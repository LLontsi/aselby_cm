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ASELBYTONTINE_2023\"/>
    </mc:Choice>
  </mc:AlternateContent>
  <bookViews>
    <workbookView xWindow="0" yWindow="0" windowWidth="15480" windowHeight="6810" firstSheet="24" activeTab="24"/>
  </bookViews>
  <sheets>
    <sheet name="TAF" sheetId="130" r:id="rId1"/>
    <sheet name="MODEVERSEMENT" sheetId="24" r:id="rId2"/>
    <sheet name="MODET25000" sheetId="9" r:id="rId3"/>
    <sheet name="MVTDEC21" sheetId="127" r:id="rId4"/>
    <sheet name="MVTJANV22" sheetId="88" r:id="rId5"/>
    <sheet name="MVTFEV22" sheetId="113" r:id="rId6"/>
    <sheet name="MVTMARS22" sheetId="114" r:id="rId7"/>
    <sheet name="MVTAVRIL22" sheetId="116" r:id="rId8"/>
    <sheet name="MVTMAI22" sheetId="115" r:id="rId9"/>
    <sheet name="MVTJUIN22" sheetId="117" r:id="rId10"/>
    <sheet name="MVTJUIL22" sheetId="118" r:id="rId11"/>
    <sheet name="MVTAOUT22" sheetId="119" r:id="rId12"/>
    <sheet name="MVTSEPT22" sheetId="120" r:id="rId13"/>
    <sheet name="MVTOCT22" sheetId="121" r:id="rId14"/>
    <sheet name="MVTNOV22" sheetId="122" r:id="rId15"/>
    <sheet name="MVTDEC22" sheetId="123" r:id="rId16"/>
    <sheet name="MVTRESUME22" sheetId="124" r:id="rId17"/>
    <sheet name="MVTREPARTITION2022" sheetId="132" r:id="rId18"/>
    <sheet name="BILAN 2022" sheetId="131" r:id="rId19"/>
    <sheet name="MVTREPARTITIONEDIT (2)" sheetId="84" r:id="rId20"/>
    <sheet name="MVTREPARTITION2021 (2)" sheetId="125" r:id="rId21"/>
    <sheet name="MVTREPARTITION2021DEF" sheetId="126" r:id="rId22"/>
    <sheet name="PARTAGE INTERET T100" sheetId="129" r:id="rId23"/>
    <sheet name="CPTECHINGUE" sheetId="74" r:id="rId24"/>
    <sheet name="CPTEKEHEPDAVID)" sheetId="92" r:id="rId25"/>
    <sheet name="CPTEKOUAMOEMMANUEL" sheetId="94" r:id="rId26"/>
    <sheet name="CPTETCHOUANTE" sheetId="96" r:id="rId27"/>
    <sheet name="CPTENJEPDJIO" sheetId="95" r:id="rId28"/>
    <sheet name="CPTETCHOUTOU" sheetId="97" r:id="rId29"/>
    <sheet name="MVTRESUME2019" sheetId="26" r:id="rId30"/>
    <sheet name="CPTETYAMERNEST" sheetId="98" r:id="rId31"/>
    <sheet name="CPTEFOGANGERIC" sheetId="99" r:id="rId32"/>
    <sheet name="CPTEFOTSOTHOMAS" sheetId="100" r:id="rId33"/>
    <sheet name="VP KOUAMOPEGUY" sheetId="93" r:id="rId34"/>
    <sheet name="SITUATION KEPSEU" sheetId="75" r:id="rId35"/>
    <sheet name="BAKOPACHILLE" sheetId="111" r:id="rId36"/>
    <sheet name="Feuil1" sheetId="54" r:id="rId37"/>
    <sheet name="MVTRESUMEEDIT2019" sheetId="55" r:id="rId38"/>
    <sheet name="MVTRESUMETAB" sheetId="56" r:id="rId39"/>
    <sheet name="MVTRESUME20BACKUP" sheetId="73" r:id="rId40"/>
    <sheet name="GESTTRESORERIE" sheetId="85" r:id="rId41"/>
    <sheet name="MVTJANV212" sheetId="87" r:id="rId42"/>
  </sheets>
  <externalReferences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</externalReferences>
  <definedNames>
    <definedName name="_xlnm._FilterDatabase" localSheetId="11" hidden="1">MVTAOUT22!$A$5:$U$36</definedName>
    <definedName name="_xlnm._FilterDatabase" localSheetId="7" hidden="1">MVTAVRIL22!$A$5:$U$36</definedName>
    <definedName name="_xlnm._FilterDatabase" localSheetId="3" hidden="1">MVTDEC21!$A$5:$U$36</definedName>
    <definedName name="_xlnm._FilterDatabase" localSheetId="15" hidden="1">MVTDEC22!$A$5:$U$36</definedName>
    <definedName name="_xlnm._FilterDatabase" localSheetId="5" hidden="1">MVTFEV22!$A$5:$U$36</definedName>
    <definedName name="_xlnm._FilterDatabase" localSheetId="41" hidden="1">MVTJANV212!$A$5:$U$37</definedName>
    <definedName name="_xlnm._FilterDatabase" localSheetId="4" hidden="1">MVTJANV22!$A$5:$U$36</definedName>
    <definedName name="_xlnm._FilterDatabase" localSheetId="10" hidden="1">MVTJUIL22!$A$5:$U$36</definedName>
    <definedName name="_xlnm._FilterDatabase" localSheetId="9" hidden="1">MVTJUIN22!$A$5:$U$36</definedName>
    <definedName name="_xlnm._FilterDatabase" localSheetId="8" hidden="1">MVTMAI22!$A$5:$U$36</definedName>
    <definedName name="_xlnm._FilterDatabase" localSheetId="6" hidden="1">MVTMARS22!$A$5:$U$36</definedName>
    <definedName name="_xlnm._FilterDatabase" localSheetId="14" hidden="1">MVTNOV22!$A$5:$U$36</definedName>
    <definedName name="_xlnm._FilterDatabase" localSheetId="13" hidden="1">MVTOCT22!$A$5:$U$36</definedName>
    <definedName name="_xlnm._FilterDatabase" localSheetId="20" hidden="1">'MVTREPARTITION2021 (2)'!$A$5:$R$38</definedName>
    <definedName name="_xlnm._FilterDatabase" localSheetId="21" hidden="1">MVTREPARTITION2021DEF!$A$5:$R$38</definedName>
    <definedName name="_xlnm._FilterDatabase" localSheetId="17" hidden="1">MVTREPARTITION2022!$A$5:$U$38</definedName>
    <definedName name="_xlnm._FilterDatabase" localSheetId="19" hidden="1">'MVTREPARTITIONEDIT (2)'!$A$5:$F$39</definedName>
    <definedName name="_xlnm._FilterDatabase" localSheetId="29" hidden="1">MVTRESUME2019!$A$5:$Q$49</definedName>
    <definedName name="_xlnm._FilterDatabase" localSheetId="39" hidden="1">MVTRESUME20BACKUP!$A$5:$P$39</definedName>
    <definedName name="_xlnm._FilterDatabase" localSheetId="16" hidden="1">MVTRESUME22!$A$5:$U$36</definedName>
    <definedName name="_xlnm._FilterDatabase" localSheetId="37" hidden="1">MVTRESUMEEDIT2019!$A$5:$E$48</definedName>
    <definedName name="_xlnm._FilterDatabase" localSheetId="38" hidden="1">MVTRESUMETAB!$A$1:$Q$44</definedName>
    <definedName name="_xlnm._FilterDatabase" localSheetId="12" hidden="1">MVTSEPT22!$A$5:$U$36</definedName>
    <definedName name="BANQUE" localSheetId="18">#REF!</definedName>
    <definedName name="BANQUE" localSheetId="31">#REF!</definedName>
    <definedName name="BANQUE" localSheetId="32">#REF!</definedName>
    <definedName name="BANQUE" localSheetId="24">#REF!</definedName>
    <definedName name="BANQUE" localSheetId="25">#REF!</definedName>
    <definedName name="BANQUE" localSheetId="27">#REF!</definedName>
    <definedName name="BANQUE" localSheetId="26">#REF!</definedName>
    <definedName name="BANQUE" localSheetId="28">#REF!</definedName>
    <definedName name="BANQUE" localSheetId="30">#REF!</definedName>
    <definedName name="BANQUE" localSheetId="2">#REF!</definedName>
    <definedName name="BANQUE" localSheetId="1">#REF!</definedName>
    <definedName name="BANQUE" localSheetId="11">#REF!</definedName>
    <definedName name="BANQUE" localSheetId="7">#REF!</definedName>
    <definedName name="BANQUE" localSheetId="3">#REF!</definedName>
    <definedName name="BANQUE" localSheetId="15">#REF!</definedName>
    <definedName name="BANQUE" localSheetId="5">#REF!</definedName>
    <definedName name="BANQUE" localSheetId="41">#REF!</definedName>
    <definedName name="BANQUE" localSheetId="4">#REF!</definedName>
    <definedName name="BANQUE" localSheetId="10">#REF!</definedName>
    <definedName name="BANQUE" localSheetId="9">#REF!</definedName>
    <definedName name="BANQUE" localSheetId="8">#REF!</definedName>
    <definedName name="BANQUE" localSheetId="6">#REF!</definedName>
    <definedName name="BANQUE" localSheetId="14">#REF!</definedName>
    <definedName name="BANQUE" localSheetId="13">#REF!</definedName>
    <definedName name="BANQUE" localSheetId="20">#REF!</definedName>
    <definedName name="BANQUE" localSheetId="21">#REF!</definedName>
    <definedName name="BANQUE" localSheetId="17">#REF!</definedName>
    <definedName name="BANQUE" localSheetId="19">#REF!</definedName>
    <definedName name="BANQUE" localSheetId="29">#REF!</definedName>
    <definedName name="BANQUE" localSheetId="39">#REF!</definedName>
    <definedName name="BANQUE" localSheetId="16">#REF!</definedName>
    <definedName name="BANQUE" localSheetId="37">#REF!</definedName>
    <definedName name="BANQUE" localSheetId="38">#REF!</definedName>
    <definedName name="BANQUE" localSheetId="12">#REF!</definedName>
    <definedName name="BANQUE" localSheetId="22">#REF!</definedName>
    <definedName name="BANQUE" localSheetId="33">#REF!</definedName>
    <definedName name="BANQUE">#REF!</definedName>
    <definedName name="ECHEC" localSheetId="2">#REF!</definedName>
    <definedName name="_xlnm.Print_Titles" localSheetId="20">'MVTREPARTITION2021 (2)'!$A:$B,'MVTREPARTITION2021 (2)'!$1:$5</definedName>
    <definedName name="_xlnm.Print_Titles" localSheetId="21">MVTREPARTITION2021DEF!$A:$B,MVTREPARTITION2021DEF!$1:$5</definedName>
    <definedName name="_xlnm.Print_Titles" localSheetId="17">MVTREPARTITION2022!$A:$B,MVTREPARTITION2022!$1:$5</definedName>
    <definedName name="_xlnm.Print_Titles" localSheetId="19">'MVTREPARTITIONEDIT (2)'!$1:$5</definedName>
    <definedName name="_xlnm.Print_Titles" localSheetId="37">MVTRESUMEEDIT2019!$1:$5</definedName>
    <definedName name="MODEET30000" localSheetId="40">[1]MODEVERSEMENT!$A$1:$A$3</definedName>
    <definedName name="MODEET30000" localSheetId="11">[2]MODEVERSEMENT!$A$1:$A$3</definedName>
    <definedName name="MODEET30000" localSheetId="7">[2]MODEVERSEMENT!$A$1:$A$3</definedName>
    <definedName name="MODEET30000" localSheetId="3">[2]MODEVERSEMENT!$A$1:$A$3</definedName>
    <definedName name="MODEET30000" localSheetId="15">[2]MODEVERSEMENT!$A$1:$A$3</definedName>
    <definedName name="MODEET30000" localSheetId="5">[2]MODEVERSEMENT!$A$1:$A$3</definedName>
    <definedName name="MODEET30000" localSheetId="4">[2]MODEVERSEMENT!$A$1:$A$3</definedName>
    <definedName name="MODEET30000" localSheetId="10">[2]MODEVERSEMENT!$A$1:$A$3</definedName>
    <definedName name="MODEET30000" localSheetId="9">[2]MODEVERSEMENT!$A$1:$A$3</definedName>
    <definedName name="MODEET30000" localSheetId="8">[2]MODEVERSEMENT!$A$1:$A$3</definedName>
    <definedName name="MODEET30000" localSheetId="6">[2]MODEVERSEMENT!$A$1:$A$3</definedName>
    <definedName name="MODEET30000" localSheetId="14">[2]MODEVERSEMENT!$A$1:$A$3</definedName>
    <definedName name="MODEET30000" localSheetId="13">[2]MODEVERSEMENT!$A$1:$A$3</definedName>
    <definedName name="MODEET30000" localSheetId="16">[2]MODEVERSEMENT!$A$1:$A$3</definedName>
    <definedName name="MODEET30000" localSheetId="12">[2]MODEVERSEMENT!$A$1:$A$3</definedName>
    <definedName name="MODEET30000">[3]MODEVERSEMENT!$A$1:$A$3</definedName>
    <definedName name="MODEPAID" localSheetId="18">[4]Feuil2!$A$1:$A$3</definedName>
    <definedName name="MODEPAID" localSheetId="2">[5]Feuil2!$A$1:$A$3</definedName>
    <definedName name="MODEPAID" localSheetId="1">#REF!</definedName>
    <definedName name="MODEPAID" localSheetId="33">[6]Feuil2!$A$1:$A$3</definedName>
    <definedName name="MODEPAID">[5]Feuil2!$A$1:$A$3</definedName>
    <definedName name="MODEPAID30000" localSheetId="11">MVTAOUT22!#REF!</definedName>
    <definedName name="MODEPAID30000" localSheetId="7">MVTAVRIL22!#REF!</definedName>
    <definedName name="MODEPAID30000" localSheetId="3">MVTDEC21!#REF!</definedName>
    <definedName name="MODEPAID30000" localSheetId="15">MVTDEC22!#REF!</definedName>
    <definedName name="MODEPAID30000" localSheetId="5">MVTFEV22!#REF!</definedName>
    <definedName name="MODEPAID30000" localSheetId="41">MVTJANV212!#REF!</definedName>
    <definedName name="MODEPAID30000" localSheetId="4">MVTJANV22!#REF!</definedName>
    <definedName name="MODEPAID30000" localSheetId="10">MVTJUIL22!#REF!</definedName>
    <definedName name="MODEPAID30000" localSheetId="9">MVTJUIN22!#REF!</definedName>
    <definedName name="MODEPAID30000" localSheetId="8">MVTMAI22!#REF!</definedName>
    <definedName name="MODEPAID30000" localSheetId="6">MVTMARS22!#REF!</definedName>
    <definedName name="MODEPAID30000" localSheetId="14">MVTNOV22!#REF!</definedName>
    <definedName name="MODEPAID30000" localSheetId="13">MVTOCT22!#REF!</definedName>
    <definedName name="MODEPAID30000" localSheetId="20">'MVTREPARTITION2021 (2)'!#REF!</definedName>
    <definedName name="MODEPAID30000" localSheetId="21">MVTREPARTITION2021DEF!#REF!</definedName>
    <definedName name="MODEPAID30000" localSheetId="17">MVTREPARTITION2022!#REF!</definedName>
    <definedName name="MODEPAID30000" localSheetId="19">'MVTREPARTITIONEDIT (2)'!#REF!</definedName>
    <definedName name="MODEPAID30000" localSheetId="39">MVTRESUME20BACKUP!#REF!</definedName>
    <definedName name="MODEPAID30000" localSheetId="16">MVTRESUME22!#REF!</definedName>
    <definedName name="MODEPAID30000" localSheetId="12">MVTSEPT22!#REF!</definedName>
    <definedName name="MODEPAID30000" localSheetId="22">'PARTAGE INTERET T100'!#REF!</definedName>
    <definedName name="MODEPAIDOK" localSheetId="18">[7]MODEVERSEMENT!$A$1:$A$4</definedName>
    <definedName name="MODEPAIDOK" localSheetId="40">[8]MODEVERSEMENT!$A$1:$A$4</definedName>
    <definedName name="MODEPAIDOK" localSheetId="11">[9]MODEVERSEMENT!$A$1:$A$4</definedName>
    <definedName name="MODEPAIDOK" localSheetId="7">[9]MODEVERSEMENT!$A$1:$A$4</definedName>
    <definedName name="MODEPAIDOK" localSheetId="3">[9]MODEVERSEMENT!$A$1:$A$4</definedName>
    <definedName name="MODEPAIDOK" localSheetId="15">[9]MODEVERSEMENT!$A$1:$A$4</definedName>
    <definedName name="MODEPAIDOK" localSheetId="5">[9]MODEVERSEMENT!$A$1:$A$4</definedName>
    <definedName name="MODEPAIDOK" localSheetId="4">[9]MODEVERSEMENT!$A$1:$A$4</definedName>
    <definedName name="MODEPAIDOK" localSheetId="10">[9]MODEVERSEMENT!$A$1:$A$4</definedName>
    <definedName name="MODEPAIDOK" localSheetId="9">[9]MODEVERSEMENT!$A$1:$A$4</definedName>
    <definedName name="MODEPAIDOK" localSheetId="8">[9]MODEVERSEMENT!$A$1:$A$4</definedName>
    <definedName name="MODEPAIDOK" localSheetId="6">[9]MODEVERSEMENT!$A$1:$A$4</definedName>
    <definedName name="MODEPAIDOK" localSheetId="14">[9]MODEVERSEMENT!$A$1:$A$4</definedName>
    <definedName name="MODEPAIDOK" localSheetId="13">[9]MODEVERSEMENT!$A$1:$A$4</definedName>
    <definedName name="MODEPAIDOK" localSheetId="16">[9]MODEVERSEMENT!$A$1:$A$4</definedName>
    <definedName name="MODEPAIDOK" localSheetId="12">[9]MODEVERSEMENT!$A$1:$A$4</definedName>
    <definedName name="MODEPAIDOK">MODEVERSEMENT!$A$1:$A$4</definedName>
    <definedName name="MODEPAIDS" localSheetId="40">[1]MODEVERSEMENT!$A$1:$A$3</definedName>
    <definedName name="MODEPAIDS" localSheetId="11">[2]MODEVERSEMENT!$A$1:$A$3</definedName>
    <definedName name="MODEPAIDS" localSheetId="7">[2]MODEVERSEMENT!$A$1:$A$3</definedName>
    <definedName name="MODEPAIDS" localSheetId="3">[2]MODEVERSEMENT!$A$1:$A$3</definedName>
    <definedName name="MODEPAIDS" localSheetId="15">[2]MODEVERSEMENT!$A$1:$A$3</definedName>
    <definedName name="MODEPAIDS" localSheetId="5">[2]MODEVERSEMENT!$A$1:$A$3</definedName>
    <definedName name="MODEPAIDS" localSheetId="4">[2]MODEVERSEMENT!$A$1:$A$3</definedName>
    <definedName name="MODEPAIDS" localSheetId="10">[2]MODEVERSEMENT!$A$1:$A$3</definedName>
    <definedName name="MODEPAIDS" localSheetId="9">[2]MODEVERSEMENT!$A$1:$A$3</definedName>
    <definedName name="MODEPAIDS" localSheetId="8">[2]MODEVERSEMENT!$A$1:$A$3</definedName>
    <definedName name="MODEPAIDS" localSheetId="6">[2]MODEVERSEMENT!$A$1:$A$3</definedName>
    <definedName name="MODEPAIDS" localSheetId="14">[2]MODEVERSEMENT!$A$1:$A$3</definedName>
    <definedName name="MODEPAIDS" localSheetId="13">[2]MODEVERSEMENT!$A$1:$A$3</definedName>
    <definedName name="MODEPAIDS" localSheetId="16">[2]MODEVERSEMENT!$A$1:$A$3</definedName>
    <definedName name="MODEPAIDS" localSheetId="12">[2]MODEVERSEMENT!$A$1:$A$3</definedName>
    <definedName name="MODEPAIDS">[3]MODEVERSEMENT!$A$1:$A$3</definedName>
    <definedName name="MODET25000">[10]MODEVERSEMENT!$A$1:$A$3</definedName>
    <definedName name="MODET3000" localSheetId="40">[1]MODEVERSEMENT!$A$1:$A$3</definedName>
    <definedName name="MODET3000" localSheetId="11">[2]MODEVERSEMENT!$A$1:$A$3</definedName>
    <definedName name="MODET3000" localSheetId="7">[2]MODEVERSEMENT!$A$1:$A$3</definedName>
    <definedName name="MODET3000" localSheetId="3">[2]MODEVERSEMENT!$A$1:$A$3</definedName>
    <definedName name="MODET3000" localSheetId="15">[2]MODEVERSEMENT!$A$1:$A$3</definedName>
    <definedName name="MODET3000" localSheetId="5">[2]MODEVERSEMENT!$A$1:$A$3</definedName>
    <definedName name="MODET3000" localSheetId="4">[2]MODEVERSEMENT!$A$1:$A$3</definedName>
    <definedName name="MODET3000" localSheetId="10">[2]MODEVERSEMENT!$A$1:$A$3</definedName>
    <definedName name="MODET3000" localSheetId="9">[2]MODEVERSEMENT!$A$1:$A$3</definedName>
    <definedName name="MODET3000" localSheetId="8">[2]MODEVERSEMENT!$A$1:$A$3</definedName>
    <definedName name="MODET3000" localSheetId="6">[2]MODEVERSEMENT!$A$1:$A$3</definedName>
    <definedName name="MODET3000" localSheetId="14">[2]MODEVERSEMENT!$A$1:$A$3</definedName>
    <definedName name="MODET3000" localSheetId="13">[2]MODEVERSEMENT!$A$1:$A$3</definedName>
    <definedName name="MODET3000" localSheetId="16">[2]MODEVERSEMENT!$A$1:$A$3</definedName>
    <definedName name="MODET3000" localSheetId="12">[2]MODEVERSEMENT!$A$1:$A$3</definedName>
    <definedName name="MODET3000">[3]MODEVERSEMENT!$A$1:$A$3</definedName>
    <definedName name="MODET30000" localSheetId="11">MVTAOUT22!#REF!</definedName>
    <definedName name="MODET30000" localSheetId="7">MVTAVRIL22!#REF!</definedName>
    <definedName name="MODET30000" localSheetId="3">MVTDEC21!#REF!</definedName>
    <definedName name="MODET30000" localSheetId="15">MVTDEC22!#REF!</definedName>
    <definedName name="MODET30000" localSheetId="5">MVTFEV22!#REF!</definedName>
    <definedName name="MODET30000" localSheetId="41">MVTJANV212!#REF!</definedName>
    <definedName name="MODET30000" localSheetId="4">MVTJANV22!#REF!</definedName>
    <definedName name="MODET30000" localSheetId="10">MVTJUIL22!#REF!</definedName>
    <definedName name="MODET30000" localSheetId="9">MVTJUIN22!#REF!</definedName>
    <definedName name="MODET30000" localSheetId="8">MVTMAI22!#REF!</definedName>
    <definedName name="MODET30000" localSheetId="6">MVTMARS22!#REF!</definedName>
    <definedName name="MODET30000" localSheetId="14">MVTNOV22!#REF!</definedName>
    <definedName name="MODET30000" localSheetId="13">MVTOCT22!#REF!</definedName>
    <definedName name="MODET30000" localSheetId="20">'MVTREPARTITION2021 (2)'!#REF!</definedName>
    <definedName name="MODET30000" localSheetId="21">MVTREPARTITION2021DEF!#REF!</definedName>
    <definedName name="MODET30000" localSheetId="17">MVTREPARTITION2022!#REF!</definedName>
    <definedName name="MODET30000" localSheetId="19">'MVTREPARTITIONEDIT (2)'!#REF!</definedName>
    <definedName name="MODET30000" localSheetId="39">MVTRESUME20BACKUP!#REF!</definedName>
    <definedName name="MODET30000" localSheetId="16">MVTRESUME22!#REF!</definedName>
    <definedName name="MODET30000" localSheetId="12">MVTSEPT22!#REF!</definedName>
    <definedName name="MODET30000" localSheetId="22">'PARTAGE INTERET T100'!#REF!</definedName>
    <definedName name="MODET30000B" localSheetId="1">#REF!</definedName>
    <definedName name="MODEVERSEMENT" localSheetId="18">#REF!</definedName>
    <definedName name="MODEVERSEMENT" localSheetId="31">#REF!</definedName>
    <definedName name="MODEVERSEMENT" localSheetId="32">#REF!</definedName>
    <definedName name="MODEVERSEMENT" localSheetId="24">#REF!</definedName>
    <definedName name="MODEVERSEMENT" localSheetId="25">#REF!</definedName>
    <definedName name="MODEVERSEMENT" localSheetId="27">#REF!</definedName>
    <definedName name="MODEVERSEMENT" localSheetId="26">#REF!</definedName>
    <definedName name="MODEVERSEMENT" localSheetId="28">#REF!</definedName>
    <definedName name="MODEVERSEMENT" localSheetId="30">#REF!</definedName>
    <definedName name="MODEVERSEMENT" localSheetId="2">#REF!</definedName>
    <definedName name="MODEVERSEMENT" localSheetId="1">#REF!</definedName>
    <definedName name="MODEVERSEMENT" localSheetId="11">#REF!</definedName>
    <definedName name="MODEVERSEMENT" localSheetId="7">#REF!</definedName>
    <definedName name="MODEVERSEMENT" localSheetId="3">#REF!</definedName>
    <definedName name="MODEVERSEMENT" localSheetId="15">#REF!</definedName>
    <definedName name="MODEVERSEMENT" localSheetId="5">#REF!</definedName>
    <definedName name="MODEVERSEMENT" localSheetId="41">#REF!</definedName>
    <definedName name="MODEVERSEMENT" localSheetId="4">#REF!</definedName>
    <definedName name="MODEVERSEMENT" localSheetId="10">#REF!</definedName>
    <definedName name="MODEVERSEMENT" localSheetId="9">#REF!</definedName>
    <definedName name="MODEVERSEMENT" localSheetId="8">#REF!</definedName>
    <definedName name="MODEVERSEMENT" localSheetId="6">#REF!</definedName>
    <definedName name="MODEVERSEMENT" localSheetId="14">#REF!</definedName>
    <definedName name="MODEVERSEMENT" localSheetId="13">#REF!</definedName>
    <definedName name="MODEVERSEMENT" localSheetId="20">#REF!</definedName>
    <definedName name="MODEVERSEMENT" localSheetId="21">#REF!</definedName>
    <definedName name="MODEVERSEMENT" localSheetId="17">#REF!</definedName>
    <definedName name="MODEVERSEMENT" localSheetId="19">#REF!</definedName>
    <definedName name="MODEVERSEMENT" localSheetId="29">#REF!</definedName>
    <definedName name="MODEVERSEMENT" localSheetId="39">#REF!</definedName>
    <definedName name="MODEVERSEMENT" localSheetId="16">#REF!</definedName>
    <definedName name="MODEVERSEMENT" localSheetId="37">#REF!</definedName>
    <definedName name="MODEVERSEMENT" localSheetId="38">#REF!</definedName>
    <definedName name="MODEVERSEMENT" localSheetId="12">#REF!</definedName>
    <definedName name="MODEVERSEMENT" localSheetId="22">#REF!</definedName>
    <definedName name="MODEVERSEMENT" localSheetId="33">#REF!</definedName>
    <definedName name="MODEVERSEMENT">#REF!</definedName>
    <definedName name="MODEVERSEMENTS" localSheetId="2">MODET25000!$A$1:$A$3</definedName>
    <definedName name="MODEVERSEMENTS" localSheetId="1">MODEVERSEMENT!$A$1:$A$3</definedName>
    <definedName name="MODEVERSEMENTS">[11]MODEVERSEMENT!$A$1:$A$3</definedName>
    <definedName name="MODPAID" localSheetId="11">MVTAOUT22!#REF!</definedName>
    <definedName name="MODPAID" localSheetId="7">MVTAVRIL22!#REF!</definedName>
    <definedName name="MODPAID" localSheetId="3">MVTDEC21!#REF!</definedName>
    <definedName name="MODPAID" localSheetId="15">MVTDEC22!#REF!</definedName>
    <definedName name="MODPAID" localSheetId="5">MVTFEV22!#REF!</definedName>
    <definedName name="MODPAID" localSheetId="41">MVTJANV212!#REF!</definedName>
    <definedName name="MODPAID" localSheetId="4">MVTJANV22!#REF!</definedName>
    <definedName name="MODPAID" localSheetId="10">MVTJUIL22!#REF!</definedName>
    <definedName name="MODPAID" localSheetId="9">MVTJUIN22!#REF!</definedName>
    <definedName name="MODPAID" localSheetId="8">MVTMAI22!#REF!</definedName>
    <definedName name="MODPAID" localSheetId="6">MVTMARS22!#REF!</definedName>
    <definedName name="MODPAID" localSheetId="14">MVTNOV22!#REF!</definedName>
    <definedName name="MODPAID" localSheetId="13">MVTOCT22!#REF!</definedName>
    <definedName name="MODPAID" localSheetId="20">'MVTREPARTITION2021 (2)'!#REF!</definedName>
    <definedName name="MODPAID" localSheetId="21">MVTREPARTITION2021DEF!#REF!</definedName>
    <definedName name="MODPAID" localSheetId="17">MVTREPARTITION2022!#REF!</definedName>
    <definedName name="MODPAID" localSheetId="19">'MVTREPARTITIONEDIT (2)'!#REF!</definedName>
    <definedName name="MODPAID" localSheetId="29">MVTRESUME2019!#REF!</definedName>
    <definedName name="MODPAID" localSheetId="39">MVTRESUME20BACKUP!#REF!</definedName>
    <definedName name="MODPAID" localSheetId="16">MVTRESUME22!#REF!</definedName>
    <definedName name="MODPAID" localSheetId="37">MVTRESUMEEDIT2019!#REF!</definedName>
    <definedName name="MODPAID" localSheetId="38">MVTRESUMETAB!#REF!</definedName>
    <definedName name="MODPAID" localSheetId="12">MVTSEPT22!#REF!</definedName>
    <definedName name="MODPAID" localSheetId="22">'PARTAGE INTERET T100'!#REF!</definedName>
    <definedName name="VALMODEPAID" localSheetId="40">[12]MODEPAID!$A$1:$A$3</definedName>
    <definedName name="VALMODEPAID" localSheetId="11">[13]MODEPAID!$A$1:$A$3</definedName>
    <definedName name="VALMODEPAID" localSheetId="7">[13]MODEPAID!$A$1:$A$3</definedName>
    <definedName name="VALMODEPAID" localSheetId="3">[13]MODEPAID!$A$1:$A$3</definedName>
    <definedName name="VALMODEPAID" localSheetId="15">[13]MODEPAID!$A$1:$A$3</definedName>
    <definedName name="VALMODEPAID" localSheetId="5">[13]MODEPAID!$A$1:$A$3</definedName>
    <definedName name="VALMODEPAID" localSheetId="4">[13]MODEPAID!$A$1:$A$3</definedName>
    <definedName name="VALMODEPAID" localSheetId="10">[13]MODEPAID!$A$1:$A$3</definedName>
    <definedName name="VALMODEPAID" localSheetId="9">[13]MODEPAID!$A$1:$A$3</definedName>
    <definedName name="VALMODEPAID" localSheetId="8">[13]MODEPAID!$A$1:$A$3</definedName>
    <definedName name="VALMODEPAID" localSheetId="6">[13]MODEPAID!$A$1:$A$3</definedName>
    <definedName name="VALMODEPAID" localSheetId="14">[13]MODEPAID!$A$1:$A$3</definedName>
    <definedName name="VALMODEPAID" localSheetId="13">[13]MODEPAID!$A$1:$A$3</definedName>
    <definedName name="VALMODEPAID" localSheetId="16">[13]MODEPAID!$A$1:$A$3</definedName>
    <definedName name="VALMODEPAID" localSheetId="12">[13]MODEPAID!$A$1:$A$3</definedName>
    <definedName name="VALMODEPAID">[14]MODEPAID!$A$1:$A$3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1" i="132" l="1"/>
  <c r="F6" i="88" l="1"/>
  <c r="I44" i="132" l="1"/>
  <c r="I45" i="132"/>
  <c r="G47" i="132"/>
  <c r="F47" i="132"/>
  <c r="H45" i="132"/>
  <c r="H44" i="132"/>
  <c r="H43" i="132"/>
  <c r="H42" i="132"/>
  <c r="H41" i="132"/>
  <c r="H47" i="132" s="1"/>
  <c r="C47" i="124"/>
  <c r="S20" i="113"/>
  <c r="O14" i="132"/>
  <c r="B6" i="99" l="1"/>
  <c r="W38" i="132"/>
  <c r="R6" i="132" l="1"/>
  <c r="O7" i="132"/>
  <c r="O8" i="132"/>
  <c r="O9" i="132"/>
  <c r="O10" i="132"/>
  <c r="O11" i="132"/>
  <c r="O12" i="132"/>
  <c r="O13" i="132"/>
  <c r="O15" i="132"/>
  <c r="O16" i="132"/>
  <c r="O17" i="132"/>
  <c r="O18" i="132"/>
  <c r="O19" i="132"/>
  <c r="O20" i="132"/>
  <c r="O21" i="132"/>
  <c r="O22" i="132"/>
  <c r="O23" i="132"/>
  <c r="O24" i="132"/>
  <c r="O25" i="132"/>
  <c r="O26" i="132"/>
  <c r="O27" i="132"/>
  <c r="O28" i="132"/>
  <c r="O29" i="132"/>
  <c r="O30" i="132"/>
  <c r="O32" i="132"/>
  <c r="O33" i="132"/>
  <c r="O34" i="132"/>
  <c r="O35" i="132"/>
  <c r="O36" i="132"/>
  <c r="O6" i="132"/>
  <c r="H6" i="132"/>
  <c r="E6" i="132" l="1"/>
  <c r="I38" i="132"/>
  <c r="J38" i="132"/>
  <c r="L38" i="132"/>
  <c r="M38" i="132"/>
  <c r="N38" i="132"/>
  <c r="O38" i="132"/>
  <c r="T38" i="132"/>
  <c r="U38" i="132"/>
  <c r="C44" i="132"/>
  <c r="C45" i="132"/>
  <c r="C46" i="132"/>
  <c r="C47" i="132"/>
  <c r="C43" i="132"/>
  <c r="B47" i="132"/>
  <c r="B46" i="132"/>
  <c r="B45" i="132"/>
  <c r="B44" i="132"/>
  <c r="B43" i="132"/>
  <c r="B36" i="132"/>
  <c r="B35" i="132"/>
  <c r="B34" i="132"/>
  <c r="B33" i="132"/>
  <c r="B32" i="132"/>
  <c r="B31" i="132"/>
  <c r="B30" i="132"/>
  <c r="B29" i="132"/>
  <c r="B28" i="132"/>
  <c r="B27" i="132"/>
  <c r="B26" i="132"/>
  <c r="B25" i="132"/>
  <c r="B24" i="132"/>
  <c r="B23" i="132"/>
  <c r="B22" i="132"/>
  <c r="B21" i="132"/>
  <c r="B20" i="132"/>
  <c r="B19" i="132"/>
  <c r="B18" i="132"/>
  <c r="B17" i="132"/>
  <c r="B16" i="132"/>
  <c r="B15" i="132"/>
  <c r="B14" i="132"/>
  <c r="B13" i="132"/>
  <c r="B12" i="132"/>
  <c r="B11" i="132"/>
  <c r="B10" i="132"/>
  <c r="B9" i="132"/>
  <c r="B8" i="132"/>
  <c r="B7" i="132"/>
  <c r="B6" i="132"/>
  <c r="C49" i="132" l="1"/>
  <c r="F15" i="131"/>
  <c r="F16" i="131"/>
  <c r="F18" i="131"/>
  <c r="F19" i="131"/>
  <c r="F20" i="131"/>
  <c r="F21" i="131"/>
  <c r="F23" i="131"/>
  <c r="C25" i="131"/>
  <c r="C49" i="124"/>
  <c r="C46" i="124"/>
  <c r="B44" i="124"/>
  <c r="B45" i="124"/>
  <c r="B46" i="124"/>
  <c r="B47" i="124"/>
  <c r="B43" i="124"/>
  <c r="C40" i="131" l="1"/>
  <c r="H25" i="131"/>
  <c r="Y22" i="113"/>
  <c r="Y7" i="113"/>
  <c r="AI7" i="88"/>
  <c r="AI8" i="88"/>
  <c r="AI9" i="88"/>
  <c r="AI10" i="88"/>
  <c r="AI11" i="88"/>
  <c r="AI12" i="88"/>
  <c r="AI13" i="88"/>
  <c r="AI14" i="88"/>
  <c r="AI15" i="88"/>
  <c r="AI16" i="88"/>
  <c r="AI17" i="88"/>
  <c r="AI18" i="88"/>
  <c r="AI19" i="88"/>
  <c r="AI20" i="88"/>
  <c r="AI21" i="88"/>
  <c r="AI22" i="88"/>
  <c r="AI23" i="88"/>
  <c r="AI24" i="88"/>
  <c r="AI25" i="88"/>
  <c r="AI26" i="88"/>
  <c r="AI27" i="88"/>
  <c r="AI28" i="88"/>
  <c r="AI29" i="88"/>
  <c r="AI30" i="88"/>
  <c r="AI31" i="88"/>
  <c r="AI32" i="88"/>
  <c r="AI33" i="88"/>
  <c r="AI34" i="88"/>
  <c r="AI35" i="88"/>
  <c r="AI36" i="88"/>
  <c r="Y26" i="88"/>
  <c r="Y35" i="88"/>
  <c r="Y14" i="88"/>
  <c r="AJ36" i="123"/>
  <c r="AI36" i="123"/>
  <c r="AJ35" i="123"/>
  <c r="AI35" i="123"/>
  <c r="AJ34" i="123"/>
  <c r="AI34" i="123"/>
  <c r="AJ33" i="123"/>
  <c r="AI33" i="123"/>
  <c r="AJ32" i="123"/>
  <c r="AI32" i="123"/>
  <c r="AJ31" i="123"/>
  <c r="AI31" i="123"/>
  <c r="AJ30" i="123"/>
  <c r="AI30" i="123"/>
  <c r="AJ29" i="123"/>
  <c r="AI29" i="123"/>
  <c r="AJ28" i="123"/>
  <c r="AI28" i="123"/>
  <c r="AJ27" i="123"/>
  <c r="AI27" i="123"/>
  <c r="AJ26" i="123"/>
  <c r="AI26" i="123"/>
  <c r="AJ25" i="123"/>
  <c r="AI25" i="123"/>
  <c r="AJ24" i="123"/>
  <c r="AI24" i="123"/>
  <c r="AJ23" i="123"/>
  <c r="AI23" i="123"/>
  <c r="AJ22" i="123"/>
  <c r="AI22" i="123"/>
  <c r="AJ21" i="123"/>
  <c r="AI21" i="123"/>
  <c r="AJ20" i="123"/>
  <c r="AI20" i="123"/>
  <c r="AJ19" i="123"/>
  <c r="AI19" i="123"/>
  <c r="AJ18" i="123"/>
  <c r="AI18" i="123"/>
  <c r="AJ17" i="123"/>
  <c r="AI17" i="123"/>
  <c r="AJ16" i="123"/>
  <c r="AI16" i="123"/>
  <c r="AJ15" i="123"/>
  <c r="AI15" i="123"/>
  <c r="AJ14" i="123"/>
  <c r="AI14" i="123"/>
  <c r="AJ13" i="123"/>
  <c r="AI13" i="123"/>
  <c r="AJ12" i="123"/>
  <c r="AI12" i="123"/>
  <c r="AJ11" i="123"/>
  <c r="AI11" i="123"/>
  <c r="AJ10" i="123"/>
  <c r="AI10" i="123"/>
  <c r="AJ9" i="123"/>
  <c r="AI9" i="123"/>
  <c r="AJ8" i="123"/>
  <c r="AI8" i="123"/>
  <c r="AJ7" i="123"/>
  <c r="AI7" i="123"/>
  <c r="AJ6" i="123"/>
  <c r="AI6" i="123"/>
  <c r="AJ36" i="122"/>
  <c r="AI36" i="122"/>
  <c r="AJ35" i="122"/>
  <c r="AI35" i="122"/>
  <c r="AJ34" i="122"/>
  <c r="AI34" i="122"/>
  <c r="AJ33" i="122"/>
  <c r="AI33" i="122"/>
  <c r="AJ32" i="122"/>
  <c r="AI32" i="122"/>
  <c r="AJ31" i="122"/>
  <c r="AI31" i="122"/>
  <c r="AJ30" i="122"/>
  <c r="AI30" i="122"/>
  <c r="AJ29" i="122"/>
  <c r="AI29" i="122"/>
  <c r="AJ28" i="122"/>
  <c r="AI28" i="122"/>
  <c r="AJ27" i="122"/>
  <c r="AI27" i="122"/>
  <c r="AJ26" i="122"/>
  <c r="AI26" i="122"/>
  <c r="AJ25" i="122"/>
  <c r="AI25" i="122"/>
  <c r="AJ24" i="122"/>
  <c r="AI24" i="122"/>
  <c r="AJ23" i="122"/>
  <c r="AI23" i="122"/>
  <c r="AJ22" i="122"/>
  <c r="AI22" i="122"/>
  <c r="AJ21" i="122"/>
  <c r="AI21" i="122"/>
  <c r="AJ20" i="122"/>
  <c r="AI20" i="122"/>
  <c r="AJ19" i="122"/>
  <c r="AI19" i="122"/>
  <c r="AJ18" i="122"/>
  <c r="AI18" i="122"/>
  <c r="AJ17" i="122"/>
  <c r="AI17" i="122"/>
  <c r="AJ16" i="122"/>
  <c r="AI16" i="122"/>
  <c r="AJ15" i="122"/>
  <c r="AI15" i="122"/>
  <c r="AJ14" i="122"/>
  <c r="AI14" i="122"/>
  <c r="AJ13" i="122"/>
  <c r="AI13" i="122"/>
  <c r="AJ12" i="122"/>
  <c r="AI12" i="122"/>
  <c r="AJ11" i="122"/>
  <c r="AI11" i="122"/>
  <c r="AJ10" i="122"/>
  <c r="AI10" i="122"/>
  <c r="AJ9" i="122"/>
  <c r="AI9" i="122"/>
  <c r="AJ8" i="122"/>
  <c r="AI8" i="122"/>
  <c r="AJ7" i="122"/>
  <c r="AI7" i="122"/>
  <c r="AJ6" i="122"/>
  <c r="AI6" i="122"/>
  <c r="AJ36" i="121"/>
  <c r="AI36" i="121"/>
  <c r="AJ35" i="121"/>
  <c r="AI35" i="121"/>
  <c r="AJ34" i="121"/>
  <c r="AI34" i="121"/>
  <c r="AJ33" i="121"/>
  <c r="AI33" i="121"/>
  <c r="AJ32" i="121"/>
  <c r="AI32" i="121"/>
  <c r="AJ31" i="121"/>
  <c r="AI31" i="121"/>
  <c r="AJ30" i="121"/>
  <c r="AI30" i="121"/>
  <c r="AJ29" i="121"/>
  <c r="AI29" i="121"/>
  <c r="AJ28" i="121"/>
  <c r="AI28" i="121"/>
  <c r="AJ27" i="121"/>
  <c r="AI27" i="121"/>
  <c r="AJ26" i="121"/>
  <c r="AI26" i="121"/>
  <c r="AJ25" i="121"/>
  <c r="AI25" i="121"/>
  <c r="AJ24" i="121"/>
  <c r="AI24" i="121"/>
  <c r="AJ23" i="121"/>
  <c r="AI23" i="121"/>
  <c r="AJ22" i="121"/>
  <c r="AI22" i="121"/>
  <c r="AJ21" i="121"/>
  <c r="AI21" i="121"/>
  <c r="AJ20" i="121"/>
  <c r="AI20" i="121"/>
  <c r="AJ19" i="121"/>
  <c r="AI19" i="121"/>
  <c r="AJ18" i="121"/>
  <c r="AI18" i="121"/>
  <c r="AJ17" i="121"/>
  <c r="AI17" i="121"/>
  <c r="AJ16" i="121"/>
  <c r="AI16" i="121"/>
  <c r="AJ15" i="121"/>
  <c r="AI15" i="121"/>
  <c r="AJ14" i="121"/>
  <c r="AI14" i="121"/>
  <c r="AJ13" i="121"/>
  <c r="AI13" i="121"/>
  <c r="AJ12" i="121"/>
  <c r="AI12" i="121"/>
  <c r="AJ11" i="121"/>
  <c r="AI11" i="121"/>
  <c r="AJ10" i="121"/>
  <c r="AI10" i="121"/>
  <c r="AJ9" i="121"/>
  <c r="AI9" i="121"/>
  <c r="AJ8" i="121"/>
  <c r="AI8" i="121"/>
  <c r="AJ7" i="121"/>
  <c r="AI7" i="121"/>
  <c r="AJ6" i="121"/>
  <c r="AI6" i="121"/>
  <c r="AJ36" i="120"/>
  <c r="AI36" i="120"/>
  <c r="AJ35" i="120"/>
  <c r="AI35" i="120"/>
  <c r="AJ34" i="120"/>
  <c r="AI34" i="120"/>
  <c r="AJ33" i="120"/>
  <c r="AI33" i="120"/>
  <c r="AJ32" i="120"/>
  <c r="AI32" i="120"/>
  <c r="AJ31" i="120"/>
  <c r="AI31" i="120"/>
  <c r="AJ30" i="120"/>
  <c r="AI30" i="120"/>
  <c r="AJ29" i="120"/>
  <c r="AI29" i="120"/>
  <c r="AJ28" i="120"/>
  <c r="AI28" i="120"/>
  <c r="AJ27" i="120"/>
  <c r="AI27" i="120"/>
  <c r="AJ26" i="120"/>
  <c r="AI26" i="120"/>
  <c r="AJ25" i="120"/>
  <c r="AI25" i="120"/>
  <c r="AJ24" i="120"/>
  <c r="AI24" i="120"/>
  <c r="AJ23" i="120"/>
  <c r="AI23" i="120"/>
  <c r="AJ22" i="120"/>
  <c r="AI22" i="120"/>
  <c r="AJ21" i="120"/>
  <c r="AI21" i="120"/>
  <c r="AJ20" i="120"/>
  <c r="AI20" i="120"/>
  <c r="AJ19" i="120"/>
  <c r="AI19" i="120"/>
  <c r="AJ18" i="120"/>
  <c r="AI18" i="120"/>
  <c r="AJ17" i="120"/>
  <c r="AI17" i="120"/>
  <c r="AJ16" i="120"/>
  <c r="AI16" i="120"/>
  <c r="AJ15" i="120"/>
  <c r="AI15" i="120"/>
  <c r="AJ14" i="120"/>
  <c r="AI14" i="120"/>
  <c r="AJ13" i="120"/>
  <c r="AI13" i="120"/>
  <c r="AJ12" i="120"/>
  <c r="AI12" i="120"/>
  <c r="AJ11" i="120"/>
  <c r="AI11" i="120"/>
  <c r="AJ10" i="120"/>
  <c r="AI10" i="120"/>
  <c r="AJ9" i="120"/>
  <c r="AI9" i="120"/>
  <c r="AJ8" i="120"/>
  <c r="AI8" i="120"/>
  <c r="AJ7" i="120"/>
  <c r="AI7" i="120"/>
  <c r="AJ6" i="120"/>
  <c r="AI6" i="120"/>
  <c r="AJ36" i="119"/>
  <c r="AI36" i="119"/>
  <c r="AJ35" i="119"/>
  <c r="AI35" i="119"/>
  <c r="AJ34" i="119"/>
  <c r="AI34" i="119"/>
  <c r="AJ33" i="119"/>
  <c r="AI33" i="119"/>
  <c r="AJ32" i="119"/>
  <c r="AI32" i="119"/>
  <c r="AJ31" i="119"/>
  <c r="AI31" i="119"/>
  <c r="AJ30" i="119"/>
  <c r="AI30" i="119"/>
  <c r="AJ29" i="119"/>
  <c r="AI29" i="119"/>
  <c r="AJ28" i="119"/>
  <c r="AI28" i="119"/>
  <c r="AJ27" i="119"/>
  <c r="AI27" i="119"/>
  <c r="AJ26" i="119"/>
  <c r="AI26" i="119"/>
  <c r="AJ25" i="119"/>
  <c r="AI25" i="119"/>
  <c r="AJ24" i="119"/>
  <c r="AI24" i="119"/>
  <c r="AJ23" i="119"/>
  <c r="AI23" i="119"/>
  <c r="AJ22" i="119"/>
  <c r="AI22" i="119"/>
  <c r="AJ21" i="119"/>
  <c r="AI21" i="119"/>
  <c r="AJ20" i="119"/>
  <c r="AI20" i="119"/>
  <c r="AJ19" i="119"/>
  <c r="AI19" i="119"/>
  <c r="AJ18" i="119"/>
  <c r="AI18" i="119"/>
  <c r="AJ17" i="119"/>
  <c r="AI17" i="119"/>
  <c r="AJ16" i="119"/>
  <c r="AI16" i="119"/>
  <c r="AJ15" i="119"/>
  <c r="AI15" i="119"/>
  <c r="AJ14" i="119"/>
  <c r="AI14" i="119"/>
  <c r="AJ13" i="119"/>
  <c r="AI13" i="119"/>
  <c r="AJ12" i="119"/>
  <c r="AI12" i="119"/>
  <c r="AJ11" i="119"/>
  <c r="AI11" i="119"/>
  <c r="AJ10" i="119"/>
  <c r="AI10" i="119"/>
  <c r="AJ9" i="119"/>
  <c r="AI9" i="119"/>
  <c r="AJ8" i="119"/>
  <c r="AI8" i="119"/>
  <c r="AJ7" i="119"/>
  <c r="AI7" i="119"/>
  <c r="AJ6" i="119"/>
  <c r="AI6" i="119"/>
  <c r="AJ36" i="118"/>
  <c r="AI36" i="118"/>
  <c r="AJ35" i="118"/>
  <c r="AI35" i="118"/>
  <c r="AJ34" i="118"/>
  <c r="AI34" i="118"/>
  <c r="AJ33" i="118"/>
  <c r="AI33" i="118"/>
  <c r="AJ32" i="118"/>
  <c r="AI32" i="118"/>
  <c r="AJ31" i="118"/>
  <c r="AI31" i="118"/>
  <c r="AJ30" i="118"/>
  <c r="AI30" i="118"/>
  <c r="AJ29" i="118"/>
  <c r="AI29" i="118"/>
  <c r="AJ28" i="118"/>
  <c r="AI28" i="118"/>
  <c r="AJ27" i="118"/>
  <c r="AI27" i="118"/>
  <c r="AJ26" i="118"/>
  <c r="AI26" i="118"/>
  <c r="AJ25" i="118"/>
  <c r="AI25" i="118"/>
  <c r="AJ24" i="118"/>
  <c r="AI24" i="118"/>
  <c r="AJ23" i="118"/>
  <c r="AI23" i="118"/>
  <c r="AJ22" i="118"/>
  <c r="AI22" i="118"/>
  <c r="AJ21" i="118"/>
  <c r="AI21" i="118"/>
  <c r="AJ20" i="118"/>
  <c r="AI20" i="118"/>
  <c r="AJ19" i="118"/>
  <c r="AI19" i="118"/>
  <c r="AJ18" i="118"/>
  <c r="AI18" i="118"/>
  <c r="AJ17" i="118"/>
  <c r="AI17" i="118"/>
  <c r="AJ16" i="118"/>
  <c r="AI16" i="118"/>
  <c r="AJ15" i="118"/>
  <c r="AI15" i="118"/>
  <c r="AJ14" i="118"/>
  <c r="AI14" i="118"/>
  <c r="AJ13" i="118"/>
  <c r="AI13" i="118"/>
  <c r="AJ12" i="118"/>
  <c r="AI12" i="118"/>
  <c r="AJ11" i="118"/>
  <c r="AI11" i="118"/>
  <c r="AJ10" i="118"/>
  <c r="AI10" i="118"/>
  <c r="AJ9" i="118"/>
  <c r="AI9" i="118"/>
  <c r="AJ8" i="118"/>
  <c r="AI8" i="118"/>
  <c r="AJ7" i="118"/>
  <c r="AI7" i="118"/>
  <c r="AJ6" i="118"/>
  <c r="AI6" i="118"/>
  <c r="AJ36" i="117"/>
  <c r="AI36" i="117"/>
  <c r="AJ35" i="117"/>
  <c r="AI35" i="117"/>
  <c r="AJ34" i="117"/>
  <c r="AI34" i="117"/>
  <c r="AJ33" i="117"/>
  <c r="AI33" i="117"/>
  <c r="AJ32" i="117"/>
  <c r="AI32" i="117"/>
  <c r="AJ31" i="117"/>
  <c r="AI31" i="117"/>
  <c r="AJ30" i="117"/>
  <c r="AI30" i="117"/>
  <c r="AJ29" i="117"/>
  <c r="AI29" i="117"/>
  <c r="AJ28" i="117"/>
  <c r="AI28" i="117"/>
  <c r="AJ27" i="117"/>
  <c r="AI27" i="117"/>
  <c r="AJ26" i="117"/>
  <c r="AI26" i="117"/>
  <c r="AJ25" i="117"/>
  <c r="AI25" i="117"/>
  <c r="AJ24" i="117"/>
  <c r="AI24" i="117"/>
  <c r="AJ23" i="117"/>
  <c r="AI23" i="117"/>
  <c r="AJ22" i="117"/>
  <c r="AI22" i="117"/>
  <c r="AJ21" i="117"/>
  <c r="AI21" i="117"/>
  <c r="AJ20" i="117"/>
  <c r="AI20" i="117"/>
  <c r="AJ19" i="117"/>
  <c r="AI19" i="117"/>
  <c r="AJ18" i="117"/>
  <c r="AI18" i="117"/>
  <c r="AJ17" i="117"/>
  <c r="AI17" i="117"/>
  <c r="AJ16" i="117"/>
  <c r="AI16" i="117"/>
  <c r="AJ15" i="117"/>
  <c r="AI15" i="117"/>
  <c r="AJ14" i="117"/>
  <c r="AI14" i="117"/>
  <c r="AJ13" i="117"/>
  <c r="AI13" i="117"/>
  <c r="AJ12" i="117"/>
  <c r="AI12" i="117"/>
  <c r="AJ11" i="117"/>
  <c r="AI11" i="117"/>
  <c r="AJ10" i="117"/>
  <c r="AI10" i="117"/>
  <c r="AJ9" i="117"/>
  <c r="AI9" i="117"/>
  <c r="AJ8" i="117"/>
  <c r="AI8" i="117"/>
  <c r="AJ7" i="117"/>
  <c r="AI7" i="117"/>
  <c r="AJ6" i="117"/>
  <c r="AI6" i="117"/>
  <c r="AI40" i="117" s="1"/>
  <c r="AJ36" i="115"/>
  <c r="AI36" i="115"/>
  <c r="AJ35" i="115"/>
  <c r="AI35" i="115"/>
  <c r="AJ34" i="115"/>
  <c r="AI34" i="115"/>
  <c r="AJ33" i="115"/>
  <c r="AI33" i="115"/>
  <c r="AJ32" i="115"/>
  <c r="AI32" i="115"/>
  <c r="AJ31" i="115"/>
  <c r="AI31" i="115"/>
  <c r="AJ30" i="115"/>
  <c r="AI30" i="115"/>
  <c r="AJ29" i="115"/>
  <c r="AI29" i="115"/>
  <c r="AJ28" i="115"/>
  <c r="AI28" i="115"/>
  <c r="AJ27" i="115"/>
  <c r="AI27" i="115"/>
  <c r="AJ26" i="115"/>
  <c r="AI26" i="115"/>
  <c r="AJ25" i="115"/>
  <c r="AI25" i="115"/>
  <c r="AJ24" i="115"/>
  <c r="AI24" i="115"/>
  <c r="AJ23" i="115"/>
  <c r="AI23" i="115"/>
  <c r="AJ22" i="115"/>
  <c r="AI22" i="115"/>
  <c r="AJ21" i="115"/>
  <c r="AI21" i="115"/>
  <c r="AJ20" i="115"/>
  <c r="AI20" i="115"/>
  <c r="AJ19" i="115"/>
  <c r="AI19" i="115"/>
  <c r="AJ18" i="115"/>
  <c r="AI18" i="115"/>
  <c r="AJ17" i="115"/>
  <c r="AI17" i="115"/>
  <c r="AJ16" i="115"/>
  <c r="AI16" i="115"/>
  <c r="AJ15" i="115"/>
  <c r="AI15" i="115"/>
  <c r="AJ14" i="115"/>
  <c r="AI14" i="115"/>
  <c r="AJ13" i="115"/>
  <c r="AI13" i="115"/>
  <c r="AJ12" i="115"/>
  <c r="AI12" i="115"/>
  <c r="AJ11" i="115"/>
  <c r="AI11" i="115"/>
  <c r="AJ10" i="115"/>
  <c r="AI10" i="115"/>
  <c r="AJ9" i="115"/>
  <c r="AI9" i="115"/>
  <c r="AJ8" i="115"/>
  <c r="AI8" i="115"/>
  <c r="AJ7" i="115"/>
  <c r="AI7" i="115"/>
  <c r="AJ6" i="115"/>
  <c r="AI6" i="115"/>
  <c r="AJ36" i="116"/>
  <c r="AI36" i="116"/>
  <c r="AJ35" i="116"/>
  <c r="AI35" i="116"/>
  <c r="AJ34" i="116"/>
  <c r="AI34" i="116"/>
  <c r="AJ33" i="116"/>
  <c r="AI33" i="116"/>
  <c r="AJ32" i="116"/>
  <c r="AI32" i="116"/>
  <c r="AJ31" i="116"/>
  <c r="AI31" i="116"/>
  <c r="AJ30" i="116"/>
  <c r="AI30" i="116"/>
  <c r="AJ29" i="116"/>
  <c r="AI29" i="116"/>
  <c r="AJ28" i="116"/>
  <c r="AI28" i="116"/>
  <c r="AJ27" i="116"/>
  <c r="AI27" i="116"/>
  <c r="AJ26" i="116"/>
  <c r="AI26" i="116"/>
  <c r="AJ25" i="116"/>
  <c r="AI25" i="116"/>
  <c r="AJ24" i="116"/>
  <c r="AI24" i="116"/>
  <c r="AJ23" i="116"/>
  <c r="AI23" i="116"/>
  <c r="AJ22" i="116"/>
  <c r="AI22" i="116"/>
  <c r="AJ21" i="116"/>
  <c r="AI21" i="116"/>
  <c r="AJ20" i="116"/>
  <c r="AI20" i="116"/>
  <c r="AJ19" i="116"/>
  <c r="AI19" i="116"/>
  <c r="AJ18" i="116"/>
  <c r="AI18" i="116"/>
  <c r="AJ17" i="116"/>
  <c r="AI17" i="116"/>
  <c r="AJ16" i="116"/>
  <c r="AI16" i="116"/>
  <c r="AJ15" i="116"/>
  <c r="AI15" i="116"/>
  <c r="AJ14" i="116"/>
  <c r="AI14" i="116"/>
  <c r="AJ13" i="116"/>
  <c r="AI13" i="116"/>
  <c r="AJ12" i="116"/>
  <c r="AI12" i="116"/>
  <c r="AJ11" i="116"/>
  <c r="AI11" i="116"/>
  <c r="AJ10" i="116"/>
  <c r="AI10" i="116"/>
  <c r="AJ9" i="116"/>
  <c r="AI9" i="116"/>
  <c r="AJ8" i="116"/>
  <c r="AI8" i="116"/>
  <c r="AJ7" i="116"/>
  <c r="AI7" i="116"/>
  <c r="AJ6" i="116"/>
  <c r="AI6" i="116"/>
  <c r="AJ36" i="114"/>
  <c r="AI36" i="114"/>
  <c r="AJ35" i="114"/>
  <c r="AI35" i="114"/>
  <c r="AJ34" i="114"/>
  <c r="AI34" i="114"/>
  <c r="AJ33" i="114"/>
  <c r="AI33" i="114"/>
  <c r="AJ32" i="114"/>
  <c r="AI32" i="114"/>
  <c r="AJ31" i="114"/>
  <c r="AI31" i="114"/>
  <c r="AJ30" i="114"/>
  <c r="AI30" i="114"/>
  <c r="AJ29" i="114"/>
  <c r="AI29" i="114"/>
  <c r="AJ28" i="114"/>
  <c r="AI28" i="114"/>
  <c r="AJ27" i="114"/>
  <c r="AI27" i="114"/>
  <c r="AJ26" i="114"/>
  <c r="AI26" i="114"/>
  <c r="AJ25" i="114"/>
  <c r="AI25" i="114"/>
  <c r="AJ24" i="114"/>
  <c r="AI24" i="114"/>
  <c r="AJ23" i="114"/>
  <c r="AI23" i="114"/>
  <c r="AJ22" i="114"/>
  <c r="AI22" i="114"/>
  <c r="AJ21" i="114"/>
  <c r="AI21" i="114"/>
  <c r="AJ20" i="114"/>
  <c r="AI20" i="114"/>
  <c r="AJ19" i="114"/>
  <c r="AI19" i="114"/>
  <c r="AJ18" i="114"/>
  <c r="AI18" i="114"/>
  <c r="AJ17" i="114"/>
  <c r="AI17" i="114"/>
  <c r="AJ16" i="114"/>
  <c r="AI16" i="114"/>
  <c r="AJ15" i="114"/>
  <c r="AI15" i="114"/>
  <c r="AJ14" i="114"/>
  <c r="AI14" i="114"/>
  <c r="AJ13" i="114"/>
  <c r="AI13" i="114"/>
  <c r="AJ12" i="114"/>
  <c r="AI12" i="114"/>
  <c r="AJ11" i="114"/>
  <c r="AI11" i="114"/>
  <c r="AJ10" i="114"/>
  <c r="AI10" i="114"/>
  <c r="AJ9" i="114"/>
  <c r="AI9" i="114"/>
  <c r="AJ8" i="114"/>
  <c r="AI8" i="114"/>
  <c r="AJ7" i="114"/>
  <c r="AI7" i="114"/>
  <c r="AJ6" i="114"/>
  <c r="AI6" i="114"/>
  <c r="AJ36" i="113"/>
  <c r="AI36" i="113"/>
  <c r="AJ35" i="113"/>
  <c r="AI35" i="113"/>
  <c r="AJ34" i="113"/>
  <c r="AI34" i="113"/>
  <c r="AJ33" i="113"/>
  <c r="AI33" i="113"/>
  <c r="AJ32" i="113"/>
  <c r="AI32" i="113"/>
  <c r="AJ31" i="113"/>
  <c r="AI31" i="113"/>
  <c r="AJ30" i="113"/>
  <c r="AI30" i="113"/>
  <c r="AJ29" i="113"/>
  <c r="AI29" i="113"/>
  <c r="AJ28" i="113"/>
  <c r="AI28" i="113"/>
  <c r="AJ27" i="113"/>
  <c r="AI27" i="113"/>
  <c r="AJ26" i="113"/>
  <c r="AI26" i="113"/>
  <c r="AJ25" i="113"/>
  <c r="AI25" i="113"/>
  <c r="AJ24" i="113"/>
  <c r="AI24" i="113"/>
  <c r="AJ23" i="113"/>
  <c r="AI23" i="113"/>
  <c r="AJ22" i="113"/>
  <c r="AI22" i="113"/>
  <c r="AJ21" i="113"/>
  <c r="AI21" i="113"/>
  <c r="AJ20" i="113"/>
  <c r="AI20" i="113"/>
  <c r="AJ19" i="113"/>
  <c r="AI19" i="113"/>
  <c r="AJ18" i="113"/>
  <c r="AI18" i="113"/>
  <c r="AJ17" i="113"/>
  <c r="AI17" i="113"/>
  <c r="AJ16" i="113"/>
  <c r="AI16" i="113"/>
  <c r="AJ15" i="113"/>
  <c r="AI15" i="113"/>
  <c r="AJ14" i="113"/>
  <c r="AI14" i="113"/>
  <c r="AJ13" i="113"/>
  <c r="AI13" i="113"/>
  <c r="AJ12" i="113"/>
  <c r="AI12" i="113"/>
  <c r="AJ11" i="113"/>
  <c r="AI11" i="113"/>
  <c r="AJ10" i="113"/>
  <c r="AI10" i="113"/>
  <c r="AJ9" i="113"/>
  <c r="AI9" i="113"/>
  <c r="AJ8" i="113"/>
  <c r="AI8" i="113"/>
  <c r="AJ7" i="113"/>
  <c r="AI7" i="113"/>
  <c r="AJ6" i="113"/>
  <c r="AI6" i="113"/>
  <c r="AJ7" i="88"/>
  <c r="AJ8" i="88"/>
  <c r="AJ9" i="88"/>
  <c r="AJ10" i="88"/>
  <c r="AJ11" i="88"/>
  <c r="AJ12" i="88"/>
  <c r="AJ13" i="88"/>
  <c r="AJ14" i="88"/>
  <c r="AJ15" i="88"/>
  <c r="AJ16" i="88"/>
  <c r="AJ17" i="88"/>
  <c r="AJ18" i="88"/>
  <c r="AJ19" i="88"/>
  <c r="AJ20" i="88"/>
  <c r="AJ21" i="88"/>
  <c r="AJ22" i="88"/>
  <c r="AJ23" i="88"/>
  <c r="AJ24" i="88"/>
  <c r="AJ25" i="88"/>
  <c r="AJ26" i="88"/>
  <c r="AJ27" i="88"/>
  <c r="AJ28" i="88"/>
  <c r="AJ29" i="88"/>
  <c r="AJ30" i="88"/>
  <c r="AJ31" i="88"/>
  <c r="AJ32" i="88"/>
  <c r="AJ33" i="88"/>
  <c r="AJ34" i="88"/>
  <c r="AJ35" i="88"/>
  <c r="AJ36" i="88"/>
  <c r="AJ6" i="88"/>
  <c r="AJ40" i="88" l="1"/>
  <c r="AK14" i="124"/>
  <c r="AI40" i="114"/>
  <c r="AI40" i="115"/>
  <c r="AI40" i="118"/>
  <c r="AJ40" i="113"/>
  <c r="AI40" i="113"/>
  <c r="AJ40" i="114"/>
  <c r="AJ40" i="116"/>
  <c r="AI40" i="116"/>
  <c r="AJ40" i="115"/>
  <c r="AJ40" i="117"/>
  <c r="AJ40" i="118"/>
  <c r="AI40" i="119"/>
  <c r="AI40" i="123"/>
  <c r="AL8" i="124"/>
  <c r="AL10" i="124"/>
  <c r="AL12" i="124"/>
  <c r="AL14" i="124"/>
  <c r="AL16" i="124"/>
  <c r="AL18" i="124"/>
  <c r="AL20" i="124"/>
  <c r="AL22" i="124"/>
  <c r="AL24" i="124"/>
  <c r="AL26" i="124"/>
  <c r="AL28" i="124"/>
  <c r="AL30" i="124"/>
  <c r="AL32" i="124"/>
  <c r="AL34" i="124"/>
  <c r="AL36" i="124"/>
  <c r="AJ40" i="120"/>
  <c r="AJ40" i="121"/>
  <c r="AL9" i="124"/>
  <c r="AL11" i="124"/>
  <c r="AL13" i="124"/>
  <c r="AL15" i="124"/>
  <c r="AL17" i="124"/>
  <c r="AL19" i="124"/>
  <c r="AL21" i="124"/>
  <c r="AL23" i="124"/>
  <c r="AL25" i="124"/>
  <c r="AL27" i="124"/>
  <c r="AL29" i="124"/>
  <c r="AL31" i="124"/>
  <c r="AL33" i="124"/>
  <c r="AL35" i="124"/>
  <c r="AJ40" i="122"/>
  <c r="AK7" i="124"/>
  <c r="AK9" i="124"/>
  <c r="AK11" i="124"/>
  <c r="AK13" i="124"/>
  <c r="AK15" i="124"/>
  <c r="AK17" i="124"/>
  <c r="AK19" i="124"/>
  <c r="AK21" i="124"/>
  <c r="AK23" i="124"/>
  <c r="AK25" i="124"/>
  <c r="AK27" i="124"/>
  <c r="AK29" i="124"/>
  <c r="AK31" i="124"/>
  <c r="AK33" i="124"/>
  <c r="AK35" i="124"/>
  <c r="AL7" i="124"/>
  <c r="AI40" i="121"/>
  <c r="AK8" i="124"/>
  <c r="AK10" i="124"/>
  <c r="AK12" i="124"/>
  <c r="AK16" i="124"/>
  <c r="AK18" i="124"/>
  <c r="AK20" i="124"/>
  <c r="AK22" i="124"/>
  <c r="AK24" i="124"/>
  <c r="AK26" i="124"/>
  <c r="AK28" i="124"/>
  <c r="AK30" i="124"/>
  <c r="AK32" i="124"/>
  <c r="AK34" i="124"/>
  <c r="AK36" i="124"/>
  <c r="AL6" i="124"/>
  <c r="AI40" i="120"/>
  <c r="AI40" i="122"/>
  <c r="AJ40" i="119"/>
  <c r="AJ40" i="123"/>
  <c r="AL40" i="124" l="1"/>
  <c r="E13" i="131" s="1"/>
  <c r="S20" i="88" l="1"/>
  <c r="Y26" i="117" l="1"/>
  <c r="Y22" i="88"/>
  <c r="Y11" i="88"/>
  <c r="Y7" i="88"/>
  <c r="AH7" i="116"/>
  <c r="AH8" i="116"/>
  <c r="AH9" i="116"/>
  <c r="AH10" i="116"/>
  <c r="AH11" i="116"/>
  <c r="AH12" i="116"/>
  <c r="AH13" i="116"/>
  <c r="AH14" i="116"/>
  <c r="AH15" i="116"/>
  <c r="AH16" i="116"/>
  <c r="AH17" i="116"/>
  <c r="AH18" i="116"/>
  <c r="AH19" i="116"/>
  <c r="AH20" i="116"/>
  <c r="AH21" i="116"/>
  <c r="AH22" i="116"/>
  <c r="AH23" i="116"/>
  <c r="AH24" i="116"/>
  <c r="AH25" i="116"/>
  <c r="AH26" i="116"/>
  <c r="AH27" i="116"/>
  <c r="AH28" i="116"/>
  <c r="AH29" i="116"/>
  <c r="AH30" i="116"/>
  <c r="AH31" i="116"/>
  <c r="AH32" i="116"/>
  <c r="AH33" i="116"/>
  <c r="AH34" i="116"/>
  <c r="AH35" i="116"/>
  <c r="AH36" i="116"/>
  <c r="U26" i="117"/>
  <c r="R22" i="88"/>
  <c r="H6" i="88" l="1"/>
  <c r="S7" i="88"/>
  <c r="Y36" i="113" l="1"/>
  <c r="Y35" i="113"/>
  <c r="Y34" i="113"/>
  <c r="Y33" i="113"/>
  <c r="Y32" i="113"/>
  <c r="Y31" i="113"/>
  <c r="Y30" i="113"/>
  <c r="Y29" i="113"/>
  <c r="Y28" i="113"/>
  <c r="Y27" i="113"/>
  <c r="Y26" i="113"/>
  <c r="Y25" i="113"/>
  <c r="Y24" i="113"/>
  <c r="Y23" i="113"/>
  <c r="Y21" i="113"/>
  <c r="Y20" i="113"/>
  <c r="Y19" i="113"/>
  <c r="Y18" i="113"/>
  <c r="Y17" i="113"/>
  <c r="Y16" i="113"/>
  <c r="Y15" i="113"/>
  <c r="Y14" i="113"/>
  <c r="Y13" i="113"/>
  <c r="Y12" i="113"/>
  <c r="Y11" i="113"/>
  <c r="Y10" i="113"/>
  <c r="Y9" i="113"/>
  <c r="Y8" i="113"/>
  <c r="Y36" i="114"/>
  <c r="Y35" i="114"/>
  <c r="Y34" i="114"/>
  <c r="Y33" i="114"/>
  <c r="Y32" i="114"/>
  <c r="Y31" i="114"/>
  <c r="Y30" i="114"/>
  <c r="Y29" i="114"/>
  <c r="Y28" i="114"/>
  <c r="Y27" i="114"/>
  <c r="Y26" i="114"/>
  <c r="Y25" i="114"/>
  <c r="Y24" i="114"/>
  <c r="Y23" i="114"/>
  <c r="Y22" i="114"/>
  <c r="Y21" i="114"/>
  <c r="Y20" i="114"/>
  <c r="Y19" i="114"/>
  <c r="Y18" i="114"/>
  <c r="Y17" i="114"/>
  <c r="Y16" i="114"/>
  <c r="Y15" i="114"/>
  <c r="Y14" i="114"/>
  <c r="Y13" i="114"/>
  <c r="Y12" i="114"/>
  <c r="Y11" i="114"/>
  <c r="Y10" i="114"/>
  <c r="Y9" i="114"/>
  <c r="Y8" i="114"/>
  <c r="Y7" i="114"/>
  <c r="Y36" i="116"/>
  <c r="Y35" i="116"/>
  <c r="Y34" i="116"/>
  <c r="Y33" i="116"/>
  <c r="Y32" i="116"/>
  <c r="Y31" i="116"/>
  <c r="Y30" i="116"/>
  <c r="Y29" i="116"/>
  <c r="Y28" i="116"/>
  <c r="Y27" i="116"/>
  <c r="Y26" i="116"/>
  <c r="Y25" i="116"/>
  <c r="Y24" i="116"/>
  <c r="Y23" i="116"/>
  <c r="Y22" i="116"/>
  <c r="Y21" i="116"/>
  <c r="Y20" i="116"/>
  <c r="Y19" i="116"/>
  <c r="Y18" i="116"/>
  <c r="Y17" i="116"/>
  <c r="Y16" i="116"/>
  <c r="Y15" i="116"/>
  <c r="Y14" i="116"/>
  <c r="Y13" i="116"/>
  <c r="Y12" i="116"/>
  <c r="Y11" i="116"/>
  <c r="Y10" i="116"/>
  <c r="Y9" i="116"/>
  <c r="Y8" i="116"/>
  <c r="Y7" i="116"/>
  <c r="Y36" i="115"/>
  <c r="Y35" i="115"/>
  <c r="Y34" i="115"/>
  <c r="Y33" i="115"/>
  <c r="Y32" i="115"/>
  <c r="Y31" i="115"/>
  <c r="Y30" i="115"/>
  <c r="Y29" i="115"/>
  <c r="Y28" i="115"/>
  <c r="Y27" i="115"/>
  <c r="Y26" i="115"/>
  <c r="Y25" i="115"/>
  <c r="Y24" i="115"/>
  <c r="Y23" i="115"/>
  <c r="Y22" i="115"/>
  <c r="Y21" i="115"/>
  <c r="Y20" i="115"/>
  <c r="Y19" i="115"/>
  <c r="Y18" i="115"/>
  <c r="Y17" i="115"/>
  <c r="Y16" i="115"/>
  <c r="Y15" i="115"/>
  <c r="Y14" i="115"/>
  <c r="Y13" i="115"/>
  <c r="Y12" i="115"/>
  <c r="Y11" i="115"/>
  <c r="Y10" i="115"/>
  <c r="Y9" i="115"/>
  <c r="Y8" i="115"/>
  <c r="Y7" i="115"/>
  <c r="Y36" i="117"/>
  <c r="Y35" i="117"/>
  <c r="Y34" i="117"/>
  <c r="Y33" i="117"/>
  <c r="Y32" i="117"/>
  <c r="Y31" i="117"/>
  <c r="Y30" i="117"/>
  <c r="Y29" i="117"/>
  <c r="Y28" i="117"/>
  <c r="Y27" i="117"/>
  <c r="Y25" i="117"/>
  <c r="Y24" i="117"/>
  <c r="Y23" i="117"/>
  <c r="Y22" i="117"/>
  <c r="Y21" i="117"/>
  <c r="Y20" i="117"/>
  <c r="Y19" i="117"/>
  <c r="Y18" i="117"/>
  <c r="Y17" i="117"/>
  <c r="Y16" i="117"/>
  <c r="Y15" i="117"/>
  <c r="Y14" i="117"/>
  <c r="Y13" i="117"/>
  <c r="Y12" i="117"/>
  <c r="Y11" i="117"/>
  <c r="Y10" i="117"/>
  <c r="Y9" i="117"/>
  <c r="Y8" i="117"/>
  <c r="Y7" i="117"/>
  <c r="Y36" i="118"/>
  <c r="Y35" i="118"/>
  <c r="Y34" i="118"/>
  <c r="Y33" i="118"/>
  <c r="Y32" i="118"/>
  <c r="Y31" i="118"/>
  <c r="Y30" i="118"/>
  <c r="Y29" i="118"/>
  <c r="Y28" i="118"/>
  <c r="Y27" i="118"/>
  <c r="Y26" i="118"/>
  <c r="Y25" i="118"/>
  <c r="Y24" i="118"/>
  <c r="Y23" i="118"/>
  <c r="Y22" i="118"/>
  <c r="Y21" i="118"/>
  <c r="Y20" i="118"/>
  <c r="Y19" i="118"/>
  <c r="Y18" i="118"/>
  <c r="Y17" i="118"/>
  <c r="Y16" i="118"/>
  <c r="Y15" i="118"/>
  <c r="Y14" i="118"/>
  <c r="Y13" i="118"/>
  <c r="Y12" i="118"/>
  <c r="Y11" i="118"/>
  <c r="Y10" i="118"/>
  <c r="Y9" i="118"/>
  <c r="Y8" i="118"/>
  <c r="Y7" i="118"/>
  <c r="Y36" i="119"/>
  <c r="Y35" i="119"/>
  <c r="Y34" i="119"/>
  <c r="Y33" i="119"/>
  <c r="Y32" i="119"/>
  <c r="Y31" i="119"/>
  <c r="Y30" i="119"/>
  <c r="Y29" i="119"/>
  <c r="Y28" i="119"/>
  <c r="Y27" i="119"/>
  <c r="Y26" i="119"/>
  <c r="Y25" i="119"/>
  <c r="Y24" i="119"/>
  <c r="Y23" i="119"/>
  <c r="Y22" i="119"/>
  <c r="Y21" i="119"/>
  <c r="Y20" i="119"/>
  <c r="Y19" i="119"/>
  <c r="Y18" i="119"/>
  <c r="Y17" i="119"/>
  <c r="Y16" i="119"/>
  <c r="Y15" i="119"/>
  <c r="Y14" i="119"/>
  <c r="Y13" i="119"/>
  <c r="Y12" i="119"/>
  <c r="Y11" i="119"/>
  <c r="Y10" i="119"/>
  <c r="Y9" i="119"/>
  <c r="Y8" i="119"/>
  <c r="Y7" i="119"/>
  <c r="Y36" i="120"/>
  <c r="Y35" i="120"/>
  <c r="Y34" i="120"/>
  <c r="Y33" i="120"/>
  <c r="Y32" i="120"/>
  <c r="Y31" i="120"/>
  <c r="Y30" i="120"/>
  <c r="Y29" i="120"/>
  <c r="Y28" i="120"/>
  <c r="Y27" i="120"/>
  <c r="Y26" i="120"/>
  <c r="Y25" i="120"/>
  <c r="Y24" i="120"/>
  <c r="Y23" i="120"/>
  <c r="Y22" i="120"/>
  <c r="Y21" i="120"/>
  <c r="Y20" i="120"/>
  <c r="Y19" i="120"/>
  <c r="Y18" i="120"/>
  <c r="Y17" i="120"/>
  <c r="Y16" i="120"/>
  <c r="Y15" i="120"/>
  <c r="Y14" i="120"/>
  <c r="Y13" i="120"/>
  <c r="Y12" i="120"/>
  <c r="Y11" i="120"/>
  <c r="Y10" i="120"/>
  <c r="Y9" i="120"/>
  <c r="Y8" i="120"/>
  <c r="Y7" i="120"/>
  <c r="Y36" i="121"/>
  <c r="Y35" i="121"/>
  <c r="Y34" i="121"/>
  <c r="Y33" i="121"/>
  <c r="Y32" i="121"/>
  <c r="Y31" i="121"/>
  <c r="Y30" i="121"/>
  <c r="Y29" i="121"/>
  <c r="Y28" i="121"/>
  <c r="Y27" i="121"/>
  <c r="Y26" i="121"/>
  <c r="Y25" i="121"/>
  <c r="Y24" i="121"/>
  <c r="Y23" i="121"/>
  <c r="Y22" i="121"/>
  <c r="Y21" i="121"/>
  <c r="Y20" i="121"/>
  <c r="Y19" i="121"/>
  <c r="Y18" i="121"/>
  <c r="Y17" i="121"/>
  <c r="Y16" i="121"/>
  <c r="Y15" i="121"/>
  <c r="Y14" i="121"/>
  <c r="Y13" i="121"/>
  <c r="Y12" i="121"/>
  <c r="Y11" i="121"/>
  <c r="Y10" i="121"/>
  <c r="Y9" i="121"/>
  <c r="Y8" i="121"/>
  <c r="Y7" i="121"/>
  <c r="Y36" i="122"/>
  <c r="Y35" i="122"/>
  <c r="Y34" i="122"/>
  <c r="Y33" i="122"/>
  <c r="Y32" i="122"/>
  <c r="Y31" i="122"/>
  <c r="Y30" i="122"/>
  <c r="Y29" i="122"/>
  <c r="Y28" i="122"/>
  <c r="Y27" i="122"/>
  <c r="Y26" i="122"/>
  <c r="Y25" i="122"/>
  <c r="Y24" i="122"/>
  <c r="Y23" i="122"/>
  <c r="Y22" i="122"/>
  <c r="Y21" i="122"/>
  <c r="Y20" i="122"/>
  <c r="Y19" i="122"/>
  <c r="Y18" i="122"/>
  <c r="Y17" i="122"/>
  <c r="Y16" i="122"/>
  <c r="Y15" i="122"/>
  <c r="Y14" i="122"/>
  <c r="Y13" i="122"/>
  <c r="Y12" i="122"/>
  <c r="Y11" i="122"/>
  <c r="Y10" i="122"/>
  <c r="Y9" i="122"/>
  <c r="Y8" i="122"/>
  <c r="Y7" i="122"/>
  <c r="Y36" i="123"/>
  <c r="Y35" i="123"/>
  <c r="Y34" i="123"/>
  <c r="Y33" i="123"/>
  <c r="Y32" i="123"/>
  <c r="Y31" i="123"/>
  <c r="Y30" i="123"/>
  <c r="Y29" i="123"/>
  <c r="Y28" i="123"/>
  <c r="Y27" i="123"/>
  <c r="Y26" i="123"/>
  <c r="Y25" i="123"/>
  <c r="Y24" i="123"/>
  <c r="Y23" i="123"/>
  <c r="Y22" i="123"/>
  <c r="Y21" i="123"/>
  <c r="Y20" i="123"/>
  <c r="Y19" i="123"/>
  <c r="Y18" i="123"/>
  <c r="Y17" i="123"/>
  <c r="Y16" i="123"/>
  <c r="Y15" i="123"/>
  <c r="Y14" i="123"/>
  <c r="Y13" i="123"/>
  <c r="Y12" i="123"/>
  <c r="Y11" i="123"/>
  <c r="Y10" i="123"/>
  <c r="Y9" i="123"/>
  <c r="Y8" i="123"/>
  <c r="Y7" i="123"/>
  <c r="X7" i="88"/>
  <c r="Y12" i="88"/>
  <c r="Y13" i="88"/>
  <c r="Y15" i="88"/>
  <c r="Y16" i="88"/>
  <c r="Y17" i="88"/>
  <c r="Y18" i="88"/>
  <c r="Y19" i="88"/>
  <c r="Y20" i="88"/>
  <c r="Y21" i="88"/>
  <c r="Y23" i="88"/>
  <c r="Y24" i="88"/>
  <c r="Y25" i="88"/>
  <c r="Y27" i="88"/>
  <c r="Y28" i="88"/>
  <c r="Y29" i="88"/>
  <c r="Y30" i="88"/>
  <c r="Y31" i="88"/>
  <c r="Y32" i="88"/>
  <c r="Y33" i="88"/>
  <c r="Y34" i="88"/>
  <c r="Y36" i="88"/>
  <c r="Y8" i="88"/>
  <c r="Y9" i="88"/>
  <c r="Y10" i="88"/>
  <c r="AE7" i="123" l="1"/>
  <c r="AF7" i="123"/>
  <c r="AG7" i="123"/>
  <c r="AH7" i="123"/>
  <c r="AE8" i="123"/>
  <c r="AF8" i="123"/>
  <c r="AG8" i="123"/>
  <c r="AH8" i="123"/>
  <c r="AE9" i="123"/>
  <c r="AF9" i="123"/>
  <c r="AG9" i="123"/>
  <c r="AH9" i="123"/>
  <c r="AE10" i="123"/>
  <c r="AF10" i="123"/>
  <c r="AG10" i="123"/>
  <c r="AH10" i="123"/>
  <c r="AE11" i="123"/>
  <c r="AF11" i="123"/>
  <c r="AG11" i="123"/>
  <c r="AH11" i="123"/>
  <c r="AE12" i="123"/>
  <c r="AF12" i="123"/>
  <c r="AG12" i="123"/>
  <c r="AH12" i="123"/>
  <c r="AE13" i="123"/>
  <c r="AF13" i="123"/>
  <c r="AG13" i="123"/>
  <c r="AH13" i="123"/>
  <c r="AE14" i="123"/>
  <c r="AF14" i="123"/>
  <c r="AG14" i="123"/>
  <c r="AH14" i="123"/>
  <c r="AE15" i="123"/>
  <c r="AF15" i="123"/>
  <c r="AG15" i="123"/>
  <c r="AH15" i="123"/>
  <c r="AE16" i="123"/>
  <c r="AF16" i="123"/>
  <c r="AG16" i="123"/>
  <c r="AH16" i="123"/>
  <c r="AE17" i="123"/>
  <c r="AF17" i="123"/>
  <c r="AG17" i="123"/>
  <c r="AH17" i="123"/>
  <c r="AE18" i="123"/>
  <c r="AF18" i="123"/>
  <c r="AG18" i="123"/>
  <c r="AH18" i="123"/>
  <c r="AE19" i="123"/>
  <c r="AF19" i="123"/>
  <c r="AG19" i="123"/>
  <c r="AH19" i="123"/>
  <c r="AE20" i="123"/>
  <c r="AF20" i="123"/>
  <c r="AG20" i="123"/>
  <c r="AH20" i="123"/>
  <c r="AE21" i="123"/>
  <c r="AF21" i="123"/>
  <c r="AG21" i="123"/>
  <c r="AH21" i="123"/>
  <c r="AE22" i="123"/>
  <c r="AF22" i="123"/>
  <c r="AG22" i="123"/>
  <c r="AH22" i="123"/>
  <c r="AE23" i="123"/>
  <c r="AF23" i="123"/>
  <c r="AG23" i="123"/>
  <c r="AH23" i="123"/>
  <c r="AE24" i="123"/>
  <c r="AF24" i="123"/>
  <c r="AG24" i="123"/>
  <c r="AH24" i="123"/>
  <c r="AE25" i="123"/>
  <c r="AF25" i="123"/>
  <c r="AG25" i="123"/>
  <c r="AH25" i="123"/>
  <c r="AE26" i="123"/>
  <c r="AF26" i="123"/>
  <c r="AG26" i="123"/>
  <c r="AH26" i="123"/>
  <c r="AE27" i="123"/>
  <c r="AF27" i="123"/>
  <c r="AG27" i="123"/>
  <c r="AH27" i="123"/>
  <c r="AE28" i="123"/>
  <c r="AF28" i="123"/>
  <c r="AG28" i="123"/>
  <c r="AH28" i="123"/>
  <c r="AE29" i="123"/>
  <c r="AF29" i="123"/>
  <c r="AG29" i="123"/>
  <c r="AH29" i="123"/>
  <c r="AE30" i="123"/>
  <c r="AF30" i="123"/>
  <c r="AG30" i="123"/>
  <c r="AH30" i="123"/>
  <c r="AE31" i="123"/>
  <c r="AF31" i="123"/>
  <c r="AG31" i="123"/>
  <c r="AH31" i="123"/>
  <c r="AE32" i="123"/>
  <c r="AF32" i="123"/>
  <c r="AG32" i="123"/>
  <c r="AH32" i="123"/>
  <c r="AE33" i="123"/>
  <c r="AF33" i="123"/>
  <c r="AG33" i="123"/>
  <c r="AH33" i="123"/>
  <c r="AE34" i="123"/>
  <c r="AF34" i="123"/>
  <c r="AG34" i="123"/>
  <c r="AH34" i="123"/>
  <c r="AE35" i="123"/>
  <c r="AF35" i="123"/>
  <c r="AG35" i="123"/>
  <c r="AH35" i="123"/>
  <c r="AE36" i="123"/>
  <c r="AF36" i="123"/>
  <c r="AG36" i="123"/>
  <c r="AH36" i="123"/>
  <c r="AH6" i="123"/>
  <c r="AG6" i="123"/>
  <c r="AF6" i="123"/>
  <c r="AE6" i="123"/>
  <c r="AE7" i="121"/>
  <c r="AF7" i="121"/>
  <c r="AG7" i="121"/>
  <c r="AH7" i="121"/>
  <c r="AE8" i="121"/>
  <c r="AF8" i="121"/>
  <c r="AG8" i="121"/>
  <c r="AH8" i="121"/>
  <c r="AE9" i="121"/>
  <c r="AF9" i="121"/>
  <c r="AG9" i="121"/>
  <c r="AH9" i="121"/>
  <c r="AE10" i="121"/>
  <c r="AF10" i="121"/>
  <c r="AG10" i="121"/>
  <c r="AH10" i="121"/>
  <c r="AE11" i="121"/>
  <c r="AF11" i="121"/>
  <c r="AG11" i="121"/>
  <c r="AH11" i="121"/>
  <c r="AE12" i="121"/>
  <c r="AF12" i="121"/>
  <c r="AG12" i="121"/>
  <c r="AH12" i="121"/>
  <c r="AE13" i="121"/>
  <c r="AF13" i="121"/>
  <c r="AG13" i="121"/>
  <c r="AH13" i="121"/>
  <c r="AE14" i="121"/>
  <c r="AF14" i="121"/>
  <c r="AG14" i="121"/>
  <c r="AH14" i="121"/>
  <c r="AE15" i="121"/>
  <c r="AF15" i="121"/>
  <c r="AG15" i="121"/>
  <c r="AH15" i="121"/>
  <c r="AE16" i="121"/>
  <c r="AF16" i="121"/>
  <c r="AG16" i="121"/>
  <c r="AH16" i="121"/>
  <c r="AE17" i="121"/>
  <c r="AF17" i="121"/>
  <c r="AG17" i="121"/>
  <c r="AH17" i="121"/>
  <c r="AE18" i="121"/>
  <c r="AF18" i="121"/>
  <c r="AG18" i="121"/>
  <c r="AH18" i="121"/>
  <c r="AE19" i="121"/>
  <c r="AF19" i="121"/>
  <c r="AG19" i="121"/>
  <c r="AH19" i="121"/>
  <c r="AE20" i="121"/>
  <c r="AF20" i="121"/>
  <c r="AG20" i="121"/>
  <c r="AH20" i="121"/>
  <c r="AE21" i="121"/>
  <c r="AF21" i="121"/>
  <c r="AG21" i="121"/>
  <c r="AH21" i="121"/>
  <c r="AE22" i="121"/>
  <c r="AF22" i="121"/>
  <c r="AG22" i="121"/>
  <c r="AH22" i="121"/>
  <c r="AE23" i="121"/>
  <c r="AF23" i="121"/>
  <c r="AG23" i="121"/>
  <c r="AH23" i="121"/>
  <c r="AE24" i="121"/>
  <c r="AF24" i="121"/>
  <c r="AG24" i="121"/>
  <c r="AH24" i="121"/>
  <c r="AE25" i="121"/>
  <c r="AF25" i="121"/>
  <c r="AG25" i="121"/>
  <c r="AH25" i="121"/>
  <c r="AE26" i="121"/>
  <c r="AF26" i="121"/>
  <c r="AG26" i="121"/>
  <c r="AH26" i="121"/>
  <c r="AE27" i="121"/>
  <c r="AF27" i="121"/>
  <c r="AG27" i="121"/>
  <c r="AH27" i="121"/>
  <c r="AE28" i="121"/>
  <c r="AF28" i="121"/>
  <c r="AG28" i="121"/>
  <c r="AH28" i="121"/>
  <c r="AE29" i="121"/>
  <c r="AF29" i="121"/>
  <c r="AG29" i="121"/>
  <c r="AH29" i="121"/>
  <c r="AE30" i="121"/>
  <c r="AF30" i="121"/>
  <c r="AG30" i="121"/>
  <c r="AH30" i="121"/>
  <c r="AE31" i="121"/>
  <c r="AF31" i="121"/>
  <c r="AG31" i="121"/>
  <c r="AH31" i="121"/>
  <c r="AE32" i="121"/>
  <c r="AF32" i="121"/>
  <c r="AG32" i="121"/>
  <c r="AH32" i="121"/>
  <c r="AE33" i="121"/>
  <c r="AF33" i="121"/>
  <c r="AG33" i="121"/>
  <c r="AH33" i="121"/>
  <c r="AE34" i="121"/>
  <c r="AF34" i="121"/>
  <c r="AG34" i="121"/>
  <c r="AH34" i="121"/>
  <c r="AE35" i="121"/>
  <c r="AF35" i="121"/>
  <c r="AG35" i="121"/>
  <c r="AH35" i="121"/>
  <c r="AE36" i="121"/>
  <c r="AF36" i="121"/>
  <c r="AG36" i="121"/>
  <c r="AH36" i="121"/>
  <c r="AH6" i="121"/>
  <c r="AG6" i="121"/>
  <c r="AF6" i="121"/>
  <c r="AE6" i="121"/>
  <c r="AE7" i="120"/>
  <c r="AF7" i="120"/>
  <c r="AG7" i="120"/>
  <c r="AH7" i="120"/>
  <c r="AE8" i="120"/>
  <c r="AF8" i="120"/>
  <c r="AG8" i="120"/>
  <c r="AH8" i="120"/>
  <c r="AE9" i="120"/>
  <c r="AF9" i="120"/>
  <c r="AG9" i="120"/>
  <c r="AH9" i="120"/>
  <c r="AE10" i="120"/>
  <c r="AF10" i="120"/>
  <c r="AG10" i="120"/>
  <c r="AH10" i="120"/>
  <c r="AE11" i="120"/>
  <c r="AF11" i="120"/>
  <c r="AG11" i="120"/>
  <c r="AH11" i="120"/>
  <c r="AE12" i="120"/>
  <c r="AF12" i="120"/>
  <c r="AG12" i="120"/>
  <c r="AH12" i="120"/>
  <c r="AE13" i="120"/>
  <c r="AF13" i="120"/>
  <c r="AG13" i="120"/>
  <c r="AH13" i="120"/>
  <c r="AE14" i="120"/>
  <c r="AF14" i="120"/>
  <c r="AG14" i="120"/>
  <c r="AH14" i="120"/>
  <c r="AE15" i="120"/>
  <c r="AF15" i="120"/>
  <c r="AG15" i="120"/>
  <c r="AH15" i="120"/>
  <c r="AE16" i="120"/>
  <c r="AF16" i="120"/>
  <c r="AG16" i="120"/>
  <c r="AH16" i="120"/>
  <c r="AE17" i="120"/>
  <c r="AF17" i="120"/>
  <c r="AG17" i="120"/>
  <c r="AH17" i="120"/>
  <c r="AE18" i="120"/>
  <c r="AF18" i="120"/>
  <c r="AG18" i="120"/>
  <c r="AH18" i="120"/>
  <c r="AE19" i="120"/>
  <c r="AF19" i="120"/>
  <c r="AG19" i="120"/>
  <c r="AH19" i="120"/>
  <c r="AE20" i="120"/>
  <c r="AF20" i="120"/>
  <c r="AG20" i="120"/>
  <c r="AH20" i="120"/>
  <c r="AE21" i="120"/>
  <c r="AF21" i="120"/>
  <c r="AG21" i="120"/>
  <c r="AH21" i="120"/>
  <c r="AE22" i="120"/>
  <c r="AF22" i="120"/>
  <c r="AG22" i="120"/>
  <c r="AH22" i="120"/>
  <c r="AE23" i="120"/>
  <c r="AF23" i="120"/>
  <c r="AG23" i="120"/>
  <c r="AH23" i="120"/>
  <c r="AE24" i="120"/>
  <c r="AF24" i="120"/>
  <c r="AG24" i="120"/>
  <c r="AH24" i="120"/>
  <c r="AE25" i="120"/>
  <c r="AF25" i="120"/>
  <c r="AG25" i="120"/>
  <c r="AH25" i="120"/>
  <c r="AE26" i="120"/>
  <c r="AF26" i="120"/>
  <c r="AG26" i="120"/>
  <c r="AH26" i="120"/>
  <c r="AE27" i="120"/>
  <c r="AF27" i="120"/>
  <c r="AG27" i="120"/>
  <c r="AH27" i="120"/>
  <c r="AE28" i="120"/>
  <c r="AF28" i="120"/>
  <c r="AG28" i="120"/>
  <c r="AH28" i="120"/>
  <c r="AE29" i="120"/>
  <c r="AF29" i="120"/>
  <c r="AG29" i="120"/>
  <c r="AH29" i="120"/>
  <c r="AE30" i="120"/>
  <c r="AF30" i="120"/>
  <c r="AG30" i="120"/>
  <c r="AH30" i="120"/>
  <c r="AE31" i="120"/>
  <c r="AF31" i="120"/>
  <c r="AG31" i="120"/>
  <c r="AH31" i="120"/>
  <c r="AE32" i="120"/>
  <c r="AF32" i="120"/>
  <c r="AG32" i="120"/>
  <c r="AH32" i="120"/>
  <c r="AE33" i="120"/>
  <c r="AF33" i="120"/>
  <c r="AG33" i="120"/>
  <c r="AH33" i="120"/>
  <c r="AE34" i="120"/>
  <c r="AF34" i="120"/>
  <c r="AG34" i="120"/>
  <c r="AH34" i="120"/>
  <c r="AE35" i="120"/>
  <c r="AF35" i="120"/>
  <c r="AG35" i="120"/>
  <c r="AH35" i="120"/>
  <c r="AE36" i="120"/>
  <c r="AF36" i="120"/>
  <c r="AG36" i="120"/>
  <c r="AH36" i="120"/>
  <c r="AH6" i="120"/>
  <c r="AG6" i="120"/>
  <c r="AF6" i="120"/>
  <c r="AE6" i="120"/>
  <c r="AE7" i="119"/>
  <c r="AF7" i="119"/>
  <c r="AG7" i="119"/>
  <c r="AH7" i="119"/>
  <c r="AE8" i="119"/>
  <c r="AF8" i="119"/>
  <c r="AG8" i="119"/>
  <c r="AH8" i="119"/>
  <c r="AE9" i="119"/>
  <c r="AF9" i="119"/>
  <c r="AG9" i="119"/>
  <c r="AH9" i="119"/>
  <c r="AE10" i="119"/>
  <c r="AF10" i="119"/>
  <c r="AG10" i="119"/>
  <c r="AH10" i="119"/>
  <c r="AE11" i="119"/>
  <c r="AF11" i="119"/>
  <c r="AG11" i="119"/>
  <c r="AH11" i="119"/>
  <c r="AE12" i="119"/>
  <c r="AF12" i="119"/>
  <c r="AG12" i="119"/>
  <c r="AH12" i="119"/>
  <c r="AE13" i="119"/>
  <c r="AF13" i="119"/>
  <c r="AG13" i="119"/>
  <c r="AH13" i="119"/>
  <c r="AE14" i="119"/>
  <c r="AF14" i="119"/>
  <c r="AG14" i="119"/>
  <c r="AH14" i="119"/>
  <c r="AE15" i="119"/>
  <c r="AF15" i="119"/>
  <c r="AG15" i="119"/>
  <c r="AH15" i="119"/>
  <c r="AE16" i="119"/>
  <c r="AF16" i="119"/>
  <c r="AG16" i="119"/>
  <c r="AH16" i="119"/>
  <c r="AE17" i="119"/>
  <c r="AF17" i="119"/>
  <c r="AG17" i="119"/>
  <c r="AH17" i="119"/>
  <c r="AE18" i="119"/>
  <c r="AF18" i="119"/>
  <c r="AG18" i="119"/>
  <c r="AH18" i="119"/>
  <c r="AE19" i="119"/>
  <c r="AF19" i="119"/>
  <c r="AG19" i="119"/>
  <c r="AH19" i="119"/>
  <c r="AE20" i="119"/>
  <c r="AF20" i="119"/>
  <c r="AG20" i="119"/>
  <c r="AH20" i="119"/>
  <c r="AE21" i="119"/>
  <c r="AF21" i="119"/>
  <c r="AG21" i="119"/>
  <c r="AH21" i="119"/>
  <c r="AE22" i="119"/>
  <c r="AF22" i="119"/>
  <c r="AG22" i="119"/>
  <c r="AH22" i="119"/>
  <c r="AE23" i="119"/>
  <c r="AF23" i="119"/>
  <c r="AG23" i="119"/>
  <c r="AH23" i="119"/>
  <c r="AE24" i="119"/>
  <c r="AF24" i="119"/>
  <c r="AG24" i="119"/>
  <c r="AH24" i="119"/>
  <c r="AE25" i="119"/>
  <c r="AF25" i="119"/>
  <c r="AG25" i="119"/>
  <c r="AH25" i="119"/>
  <c r="AE26" i="119"/>
  <c r="AF26" i="119"/>
  <c r="AG26" i="119"/>
  <c r="AH26" i="119"/>
  <c r="AE27" i="119"/>
  <c r="AF27" i="119"/>
  <c r="AG27" i="119"/>
  <c r="AH27" i="119"/>
  <c r="AE28" i="119"/>
  <c r="AF28" i="119"/>
  <c r="AG28" i="119"/>
  <c r="AH28" i="119"/>
  <c r="AE29" i="119"/>
  <c r="AF29" i="119"/>
  <c r="AG29" i="119"/>
  <c r="AH29" i="119"/>
  <c r="AE30" i="119"/>
  <c r="AF30" i="119"/>
  <c r="AG30" i="119"/>
  <c r="AH30" i="119"/>
  <c r="AE31" i="119"/>
  <c r="AF31" i="119"/>
  <c r="AG31" i="119"/>
  <c r="AH31" i="119"/>
  <c r="AE32" i="119"/>
  <c r="AF32" i="119"/>
  <c r="AG32" i="119"/>
  <c r="AH32" i="119"/>
  <c r="AE33" i="119"/>
  <c r="AF33" i="119"/>
  <c r="AG33" i="119"/>
  <c r="AH33" i="119"/>
  <c r="AE34" i="119"/>
  <c r="AF34" i="119"/>
  <c r="AG34" i="119"/>
  <c r="AH34" i="119"/>
  <c r="AE35" i="119"/>
  <c r="AF35" i="119"/>
  <c r="AG35" i="119"/>
  <c r="AH35" i="119"/>
  <c r="AE36" i="119"/>
  <c r="AF36" i="119"/>
  <c r="AG36" i="119"/>
  <c r="AH36" i="119"/>
  <c r="AH6" i="119"/>
  <c r="AG6" i="119"/>
  <c r="AF6" i="119"/>
  <c r="AE6" i="119"/>
  <c r="AE7" i="118"/>
  <c r="AF7" i="118"/>
  <c r="AG7" i="118"/>
  <c r="AH7" i="118"/>
  <c r="AE8" i="118"/>
  <c r="AF8" i="118"/>
  <c r="AG8" i="118"/>
  <c r="AH8" i="118"/>
  <c r="AE9" i="118"/>
  <c r="AF9" i="118"/>
  <c r="AG9" i="118"/>
  <c r="AH9" i="118"/>
  <c r="AE10" i="118"/>
  <c r="AF10" i="118"/>
  <c r="AG10" i="118"/>
  <c r="AH10" i="118"/>
  <c r="AE11" i="118"/>
  <c r="AF11" i="118"/>
  <c r="AG11" i="118"/>
  <c r="AH11" i="118"/>
  <c r="AE12" i="118"/>
  <c r="AF12" i="118"/>
  <c r="AG12" i="118"/>
  <c r="AH12" i="118"/>
  <c r="AE13" i="118"/>
  <c r="AF13" i="118"/>
  <c r="AG13" i="118"/>
  <c r="AH13" i="118"/>
  <c r="AE14" i="118"/>
  <c r="AF14" i="118"/>
  <c r="AG14" i="118"/>
  <c r="AH14" i="118"/>
  <c r="AE15" i="118"/>
  <c r="AF15" i="118"/>
  <c r="AG15" i="118"/>
  <c r="AH15" i="118"/>
  <c r="AE16" i="118"/>
  <c r="AF16" i="118"/>
  <c r="AG16" i="118"/>
  <c r="AH16" i="118"/>
  <c r="AE17" i="118"/>
  <c r="AF17" i="118"/>
  <c r="AG17" i="118"/>
  <c r="AH17" i="118"/>
  <c r="AE18" i="118"/>
  <c r="AF18" i="118"/>
  <c r="AG18" i="118"/>
  <c r="AH18" i="118"/>
  <c r="AE19" i="118"/>
  <c r="AF19" i="118"/>
  <c r="AG19" i="118"/>
  <c r="AH19" i="118"/>
  <c r="AE20" i="118"/>
  <c r="AF20" i="118"/>
  <c r="AG20" i="118"/>
  <c r="AH20" i="118"/>
  <c r="AE21" i="118"/>
  <c r="AF21" i="118"/>
  <c r="AG21" i="118"/>
  <c r="AH21" i="118"/>
  <c r="AE22" i="118"/>
  <c r="AF22" i="118"/>
  <c r="AG22" i="118"/>
  <c r="AH22" i="118"/>
  <c r="AE23" i="118"/>
  <c r="AF23" i="118"/>
  <c r="AG23" i="118"/>
  <c r="AH23" i="118"/>
  <c r="AE24" i="118"/>
  <c r="AF24" i="118"/>
  <c r="AG24" i="118"/>
  <c r="AH24" i="118"/>
  <c r="AE25" i="118"/>
  <c r="AF25" i="118"/>
  <c r="AG25" i="118"/>
  <c r="AH25" i="118"/>
  <c r="AE26" i="118"/>
  <c r="AF26" i="118"/>
  <c r="AG26" i="118"/>
  <c r="AH26" i="118"/>
  <c r="AE27" i="118"/>
  <c r="AF27" i="118"/>
  <c r="AG27" i="118"/>
  <c r="AH27" i="118"/>
  <c r="AE28" i="118"/>
  <c r="AF28" i="118"/>
  <c r="AG28" i="118"/>
  <c r="AH28" i="118"/>
  <c r="AE29" i="118"/>
  <c r="AF29" i="118"/>
  <c r="AG29" i="118"/>
  <c r="AH29" i="118"/>
  <c r="AE30" i="118"/>
  <c r="AF30" i="118"/>
  <c r="AG30" i="118"/>
  <c r="AH30" i="118"/>
  <c r="AE31" i="118"/>
  <c r="AF31" i="118"/>
  <c r="AG31" i="118"/>
  <c r="AH31" i="118"/>
  <c r="AE32" i="118"/>
  <c r="AF32" i="118"/>
  <c r="AG32" i="118"/>
  <c r="AH32" i="118"/>
  <c r="AE33" i="118"/>
  <c r="AF33" i="118"/>
  <c r="AG33" i="118"/>
  <c r="AH33" i="118"/>
  <c r="AE34" i="118"/>
  <c r="AF34" i="118"/>
  <c r="AG34" i="118"/>
  <c r="AH34" i="118"/>
  <c r="AE35" i="118"/>
  <c r="AF35" i="118"/>
  <c r="AG35" i="118"/>
  <c r="AH35" i="118"/>
  <c r="AE36" i="118"/>
  <c r="AF36" i="118"/>
  <c r="AG36" i="118"/>
  <c r="AH36" i="118"/>
  <c r="AH6" i="118"/>
  <c r="AG6" i="118"/>
  <c r="AF6" i="118"/>
  <c r="AE6" i="118"/>
  <c r="AE7" i="117"/>
  <c r="AF7" i="117"/>
  <c r="AG7" i="117"/>
  <c r="AH7" i="117"/>
  <c r="AE8" i="117"/>
  <c r="AF8" i="117"/>
  <c r="AG8" i="117"/>
  <c r="AH8" i="117"/>
  <c r="AE9" i="117"/>
  <c r="AF9" i="117"/>
  <c r="AG9" i="117"/>
  <c r="AH9" i="117"/>
  <c r="AE10" i="117"/>
  <c r="AF10" i="117"/>
  <c r="AG10" i="117"/>
  <c r="AH10" i="117"/>
  <c r="AE11" i="117"/>
  <c r="AF11" i="117"/>
  <c r="AG11" i="117"/>
  <c r="AH11" i="117"/>
  <c r="AE12" i="117"/>
  <c r="AF12" i="117"/>
  <c r="AG12" i="117"/>
  <c r="AH12" i="117"/>
  <c r="AE13" i="117"/>
  <c r="AF13" i="117"/>
  <c r="AG13" i="117"/>
  <c r="AH13" i="117"/>
  <c r="AE14" i="117"/>
  <c r="AF14" i="117"/>
  <c r="AG14" i="117"/>
  <c r="AH14" i="117"/>
  <c r="AE15" i="117"/>
  <c r="AF15" i="117"/>
  <c r="AG15" i="117"/>
  <c r="AH15" i="117"/>
  <c r="AE16" i="117"/>
  <c r="AF16" i="117"/>
  <c r="AG16" i="117"/>
  <c r="AH16" i="117"/>
  <c r="AE17" i="117"/>
  <c r="AF17" i="117"/>
  <c r="AG17" i="117"/>
  <c r="AH17" i="117"/>
  <c r="AE18" i="117"/>
  <c r="AF18" i="117"/>
  <c r="AG18" i="117"/>
  <c r="AH18" i="117"/>
  <c r="AE19" i="117"/>
  <c r="AF19" i="117"/>
  <c r="AG19" i="117"/>
  <c r="AH19" i="117"/>
  <c r="AE20" i="117"/>
  <c r="AF20" i="117"/>
  <c r="AG20" i="117"/>
  <c r="AH20" i="117"/>
  <c r="AE21" i="117"/>
  <c r="AF21" i="117"/>
  <c r="AG21" i="117"/>
  <c r="AH21" i="117"/>
  <c r="AE22" i="117"/>
  <c r="AF22" i="117"/>
  <c r="AG22" i="117"/>
  <c r="AH22" i="117"/>
  <c r="AE23" i="117"/>
  <c r="AF23" i="117"/>
  <c r="AG23" i="117"/>
  <c r="AH23" i="117"/>
  <c r="AE24" i="117"/>
  <c r="AF24" i="117"/>
  <c r="AG24" i="117"/>
  <c r="AH24" i="117"/>
  <c r="AE25" i="117"/>
  <c r="AF25" i="117"/>
  <c r="AG25" i="117"/>
  <c r="AH25" i="117"/>
  <c r="AE26" i="117"/>
  <c r="AF26" i="117"/>
  <c r="AG26" i="117"/>
  <c r="AH26" i="117"/>
  <c r="AE27" i="117"/>
  <c r="AF27" i="117"/>
  <c r="AG27" i="117"/>
  <c r="AH27" i="117"/>
  <c r="AE28" i="117"/>
  <c r="AF28" i="117"/>
  <c r="AG28" i="117"/>
  <c r="AH28" i="117"/>
  <c r="AE29" i="117"/>
  <c r="AF29" i="117"/>
  <c r="AG29" i="117"/>
  <c r="AH29" i="117"/>
  <c r="AE30" i="117"/>
  <c r="AF30" i="117"/>
  <c r="AG30" i="117"/>
  <c r="AH30" i="117"/>
  <c r="AE31" i="117"/>
  <c r="AF31" i="117"/>
  <c r="AG31" i="117"/>
  <c r="AH31" i="117"/>
  <c r="AE32" i="117"/>
  <c r="AF32" i="117"/>
  <c r="AG32" i="117"/>
  <c r="AH32" i="117"/>
  <c r="AE33" i="117"/>
  <c r="AF33" i="117"/>
  <c r="AG33" i="117"/>
  <c r="AH33" i="117"/>
  <c r="AE34" i="117"/>
  <c r="AF34" i="117"/>
  <c r="AG34" i="117"/>
  <c r="AH34" i="117"/>
  <c r="AE35" i="117"/>
  <c r="AF35" i="117"/>
  <c r="AG35" i="117"/>
  <c r="AH35" i="117"/>
  <c r="AE36" i="117"/>
  <c r="AF36" i="117"/>
  <c r="AG36" i="117"/>
  <c r="AH36" i="117"/>
  <c r="AH6" i="117"/>
  <c r="AG6" i="117"/>
  <c r="AF6" i="117"/>
  <c r="AE6" i="117"/>
  <c r="AE7" i="115"/>
  <c r="AF7" i="115"/>
  <c r="AG7" i="115"/>
  <c r="AH7" i="115"/>
  <c r="AE8" i="115"/>
  <c r="AF8" i="115"/>
  <c r="AG8" i="115"/>
  <c r="AH8" i="115"/>
  <c r="AE9" i="115"/>
  <c r="AF9" i="115"/>
  <c r="AG9" i="115"/>
  <c r="AH9" i="115"/>
  <c r="AE10" i="115"/>
  <c r="AF10" i="115"/>
  <c r="AG10" i="115"/>
  <c r="AH10" i="115"/>
  <c r="AE11" i="115"/>
  <c r="AF11" i="115"/>
  <c r="AG11" i="115"/>
  <c r="AH11" i="115"/>
  <c r="AE12" i="115"/>
  <c r="AF12" i="115"/>
  <c r="AG12" i="115"/>
  <c r="AH12" i="115"/>
  <c r="AE13" i="115"/>
  <c r="AF13" i="115"/>
  <c r="AG13" i="115"/>
  <c r="AH13" i="115"/>
  <c r="AE14" i="115"/>
  <c r="AF14" i="115"/>
  <c r="AG14" i="115"/>
  <c r="AH14" i="115"/>
  <c r="AE15" i="115"/>
  <c r="AF15" i="115"/>
  <c r="AG15" i="115"/>
  <c r="AH15" i="115"/>
  <c r="AE16" i="115"/>
  <c r="AF16" i="115"/>
  <c r="AG16" i="115"/>
  <c r="AH16" i="115"/>
  <c r="AE17" i="115"/>
  <c r="AF17" i="115"/>
  <c r="AG17" i="115"/>
  <c r="AH17" i="115"/>
  <c r="AE18" i="115"/>
  <c r="AF18" i="115"/>
  <c r="AG18" i="115"/>
  <c r="AH18" i="115"/>
  <c r="AE19" i="115"/>
  <c r="AF19" i="115"/>
  <c r="AG19" i="115"/>
  <c r="AH19" i="115"/>
  <c r="AE20" i="115"/>
  <c r="AF20" i="115"/>
  <c r="AG20" i="115"/>
  <c r="AH20" i="115"/>
  <c r="AE21" i="115"/>
  <c r="AF21" i="115"/>
  <c r="AG21" i="115"/>
  <c r="AH21" i="115"/>
  <c r="AE22" i="115"/>
  <c r="AF22" i="115"/>
  <c r="AG22" i="115"/>
  <c r="AH22" i="115"/>
  <c r="AE23" i="115"/>
  <c r="AF23" i="115"/>
  <c r="AG23" i="115"/>
  <c r="AH23" i="115"/>
  <c r="AE24" i="115"/>
  <c r="AF24" i="115"/>
  <c r="AG24" i="115"/>
  <c r="AH24" i="115"/>
  <c r="AE25" i="115"/>
  <c r="AF25" i="115"/>
  <c r="AG25" i="115"/>
  <c r="AH25" i="115"/>
  <c r="AE26" i="115"/>
  <c r="AF26" i="115"/>
  <c r="AG26" i="115"/>
  <c r="AH26" i="115"/>
  <c r="AE27" i="115"/>
  <c r="AF27" i="115"/>
  <c r="AG27" i="115"/>
  <c r="AH27" i="115"/>
  <c r="AE28" i="115"/>
  <c r="AF28" i="115"/>
  <c r="AG28" i="115"/>
  <c r="AH28" i="115"/>
  <c r="AE29" i="115"/>
  <c r="AF29" i="115"/>
  <c r="AG29" i="115"/>
  <c r="AH29" i="115"/>
  <c r="AE30" i="115"/>
  <c r="AF30" i="115"/>
  <c r="AG30" i="115"/>
  <c r="AH30" i="115"/>
  <c r="AE31" i="115"/>
  <c r="AF31" i="115"/>
  <c r="AG31" i="115"/>
  <c r="AH31" i="115"/>
  <c r="AE32" i="115"/>
  <c r="AF32" i="115"/>
  <c r="AG32" i="115"/>
  <c r="AH32" i="115"/>
  <c r="AE33" i="115"/>
  <c r="AF33" i="115"/>
  <c r="AG33" i="115"/>
  <c r="AH33" i="115"/>
  <c r="AE34" i="115"/>
  <c r="AF34" i="115"/>
  <c r="AG34" i="115"/>
  <c r="AH34" i="115"/>
  <c r="AE35" i="115"/>
  <c r="AF35" i="115"/>
  <c r="AG35" i="115"/>
  <c r="AH35" i="115"/>
  <c r="AE36" i="115"/>
  <c r="AF36" i="115"/>
  <c r="AG36" i="115"/>
  <c r="AH36" i="115"/>
  <c r="AH6" i="115"/>
  <c r="AG6" i="115"/>
  <c r="AF6" i="115"/>
  <c r="AE6" i="115"/>
  <c r="AE7" i="116"/>
  <c r="AF7" i="116"/>
  <c r="AG7" i="116"/>
  <c r="AE8" i="116"/>
  <c r="AF8" i="116"/>
  <c r="AG8" i="116"/>
  <c r="AE9" i="116"/>
  <c r="AF9" i="116"/>
  <c r="AG9" i="116"/>
  <c r="AE10" i="116"/>
  <c r="AF10" i="116"/>
  <c r="AG10" i="116"/>
  <c r="AE11" i="116"/>
  <c r="AF11" i="116"/>
  <c r="AG11" i="116"/>
  <c r="AE12" i="116"/>
  <c r="AF12" i="116"/>
  <c r="AG12" i="116"/>
  <c r="AE13" i="116"/>
  <c r="AF13" i="116"/>
  <c r="AG13" i="116"/>
  <c r="AE14" i="116"/>
  <c r="AF14" i="116"/>
  <c r="AG14" i="116"/>
  <c r="AE15" i="116"/>
  <c r="AF15" i="116"/>
  <c r="AG15" i="116"/>
  <c r="AE16" i="116"/>
  <c r="AF16" i="116"/>
  <c r="AG16" i="116"/>
  <c r="AE17" i="116"/>
  <c r="AF17" i="116"/>
  <c r="AG17" i="116"/>
  <c r="AE18" i="116"/>
  <c r="AF18" i="116"/>
  <c r="AG18" i="116"/>
  <c r="AE19" i="116"/>
  <c r="AF19" i="116"/>
  <c r="AG19" i="116"/>
  <c r="AE20" i="116"/>
  <c r="AF20" i="116"/>
  <c r="AG20" i="116"/>
  <c r="AE21" i="116"/>
  <c r="AF21" i="116"/>
  <c r="AG21" i="116"/>
  <c r="AE22" i="116"/>
  <c r="AF22" i="116"/>
  <c r="AG22" i="116"/>
  <c r="AE23" i="116"/>
  <c r="AF23" i="116"/>
  <c r="AG23" i="116"/>
  <c r="AE24" i="116"/>
  <c r="AF24" i="116"/>
  <c r="AG24" i="116"/>
  <c r="AE25" i="116"/>
  <c r="AF25" i="116"/>
  <c r="AG25" i="116"/>
  <c r="AE26" i="116"/>
  <c r="AF26" i="116"/>
  <c r="AG26" i="116"/>
  <c r="AE27" i="116"/>
  <c r="AF27" i="116"/>
  <c r="AG27" i="116"/>
  <c r="AE28" i="116"/>
  <c r="AF28" i="116"/>
  <c r="AG28" i="116"/>
  <c r="AE29" i="116"/>
  <c r="AF29" i="116"/>
  <c r="AG29" i="116"/>
  <c r="AE30" i="116"/>
  <c r="AF30" i="116"/>
  <c r="AG30" i="116"/>
  <c r="AE31" i="116"/>
  <c r="AF31" i="116"/>
  <c r="AG31" i="116"/>
  <c r="AE32" i="116"/>
  <c r="AF32" i="116"/>
  <c r="AG32" i="116"/>
  <c r="AE33" i="116"/>
  <c r="AF33" i="116"/>
  <c r="AG33" i="116"/>
  <c r="AE34" i="116"/>
  <c r="AF34" i="116"/>
  <c r="AG34" i="116"/>
  <c r="AE35" i="116"/>
  <c r="AF35" i="116"/>
  <c r="AG35" i="116"/>
  <c r="AE36" i="116"/>
  <c r="AF36" i="116"/>
  <c r="AG36" i="116"/>
  <c r="AH6" i="116"/>
  <c r="AH40" i="116" s="1"/>
  <c r="AG6" i="116"/>
  <c r="AF6" i="116"/>
  <c r="AE6" i="116"/>
  <c r="AE7" i="114"/>
  <c r="AF7" i="114"/>
  <c r="AG7" i="114"/>
  <c r="AH7" i="114"/>
  <c r="AE8" i="114"/>
  <c r="AF8" i="114"/>
  <c r="AG8" i="114"/>
  <c r="AH8" i="114"/>
  <c r="AE9" i="114"/>
  <c r="AF9" i="114"/>
  <c r="AG9" i="114"/>
  <c r="AH9" i="114"/>
  <c r="AE10" i="114"/>
  <c r="AF10" i="114"/>
  <c r="AG10" i="114"/>
  <c r="AH10" i="114"/>
  <c r="AE11" i="114"/>
  <c r="AF11" i="114"/>
  <c r="AG11" i="114"/>
  <c r="AH11" i="114"/>
  <c r="AE12" i="114"/>
  <c r="AF12" i="114"/>
  <c r="AG12" i="114"/>
  <c r="AH12" i="114"/>
  <c r="AE13" i="114"/>
  <c r="AF13" i="114"/>
  <c r="AG13" i="114"/>
  <c r="AH13" i="114"/>
  <c r="AE14" i="114"/>
  <c r="AF14" i="114"/>
  <c r="AG14" i="114"/>
  <c r="AH14" i="114"/>
  <c r="AE15" i="114"/>
  <c r="AF15" i="114"/>
  <c r="AG15" i="114"/>
  <c r="AH15" i="114"/>
  <c r="AE16" i="114"/>
  <c r="AF16" i="114"/>
  <c r="AG16" i="114"/>
  <c r="AH16" i="114"/>
  <c r="AE17" i="114"/>
  <c r="AF17" i="114"/>
  <c r="AG17" i="114"/>
  <c r="AH17" i="114"/>
  <c r="AE18" i="114"/>
  <c r="AF18" i="114"/>
  <c r="AG18" i="114"/>
  <c r="AH18" i="114"/>
  <c r="AE19" i="114"/>
  <c r="AF19" i="114"/>
  <c r="AG19" i="114"/>
  <c r="AH19" i="114"/>
  <c r="AE20" i="114"/>
  <c r="AF20" i="114"/>
  <c r="AG20" i="114"/>
  <c r="AH20" i="114"/>
  <c r="AE21" i="114"/>
  <c r="AF21" i="114"/>
  <c r="AG21" i="114"/>
  <c r="AH21" i="114"/>
  <c r="AE22" i="114"/>
  <c r="AF22" i="114"/>
  <c r="AG22" i="114"/>
  <c r="AH22" i="114"/>
  <c r="AE23" i="114"/>
  <c r="AF23" i="114"/>
  <c r="AG23" i="114"/>
  <c r="AH23" i="114"/>
  <c r="AE24" i="114"/>
  <c r="AF24" i="114"/>
  <c r="AG24" i="114"/>
  <c r="AH24" i="114"/>
  <c r="AE25" i="114"/>
  <c r="AF25" i="114"/>
  <c r="AG25" i="114"/>
  <c r="AH25" i="114"/>
  <c r="AE26" i="114"/>
  <c r="AF26" i="114"/>
  <c r="AG26" i="114"/>
  <c r="AH26" i="114"/>
  <c r="AE27" i="114"/>
  <c r="AF27" i="114"/>
  <c r="AG27" i="114"/>
  <c r="AH27" i="114"/>
  <c r="AE28" i="114"/>
  <c r="AF28" i="114"/>
  <c r="AG28" i="114"/>
  <c r="AH28" i="114"/>
  <c r="AE29" i="114"/>
  <c r="AF29" i="114"/>
  <c r="AG29" i="114"/>
  <c r="AH29" i="114"/>
  <c r="AE30" i="114"/>
  <c r="AF30" i="114"/>
  <c r="AG30" i="114"/>
  <c r="AH30" i="114"/>
  <c r="AE31" i="114"/>
  <c r="AF31" i="114"/>
  <c r="AG31" i="114"/>
  <c r="AH31" i="114"/>
  <c r="AE32" i="114"/>
  <c r="AF32" i="114"/>
  <c r="AG32" i="114"/>
  <c r="AH32" i="114"/>
  <c r="AE33" i="114"/>
  <c r="AF33" i="114"/>
  <c r="AG33" i="114"/>
  <c r="AH33" i="114"/>
  <c r="AE34" i="114"/>
  <c r="AF34" i="114"/>
  <c r="AG34" i="114"/>
  <c r="AH34" i="114"/>
  <c r="AE35" i="114"/>
  <c r="AF35" i="114"/>
  <c r="AG35" i="114"/>
  <c r="AH35" i="114"/>
  <c r="AE36" i="114"/>
  <c r="AF36" i="114"/>
  <c r="AG36" i="114"/>
  <c r="AH36" i="114"/>
  <c r="AH6" i="114"/>
  <c r="AG6" i="114"/>
  <c r="AF6" i="114"/>
  <c r="AE6" i="114"/>
  <c r="AE7" i="113"/>
  <c r="AF7" i="113"/>
  <c r="AG7" i="113"/>
  <c r="AH7" i="113"/>
  <c r="AE8" i="113"/>
  <c r="AF8" i="113"/>
  <c r="AG8" i="113"/>
  <c r="AH8" i="113"/>
  <c r="AE9" i="113"/>
  <c r="AF9" i="113"/>
  <c r="AG9" i="113"/>
  <c r="AH9" i="113"/>
  <c r="AE10" i="113"/>
  <c r="AF10" i="113"/>
  <c r="AG10" i="113"/>
  <c r="AH10" i="113"/>
  <c r="AE11" i="113"/>
  <c r="AF11" i="113"/>
  <c r="AG11" i="113"/>
  <c r="AH11" i="113"/>
  <c r="AE12" i="113"/>
  <c r="AF12" i="113"/>
  <c r="AG12" i="113"/>
  <c r="AH12" i="113"/>
  <c r="AE13" i="113"/>
  <c r="AF13" i="113"/>
  <c r="AG13" i="113"/>
  <c r="AH13" i="113"/>
  <c r="AE14" i="113"/>
  <c r="AF14" i="113"/>
  <c r="AG14" i="113"/>
  <c r="AH14" i="113"/>
  <c r="AE15" i="113"/>
  <c r="AF15" i="113"/>
  <c r="AG15" i="113"/>
  <c r="AH15" i="113"/>
  <c r="AE16" i="113"/>
  <c r="AF16" i="113"/>
  <c r="AG16" i="113"/>
  <c r="AH16" i="113"/>
  <c r="AE17" i="113"/>
  <c r="AF17" i="113"/>
  <c r="AG17" i="113"/>
  <c r="AH17" i="113"/>
  <c r="AE18" i="113"/>
  <c r="AF18" i="113"/>
  <c r="AG18" i="113"/>
  <c r="AH18" i="113"/>
  <c r="AE19" i="113"/>
  <c r="AF19" i="113"/>
  <c r="AG19" i="113"/>
  <c r="AH19" i="113"/>
  <c r="AE20" i="113"/>
  <c r="AF20" i="113"/>
  <c r="AG20" i="113"/>
  <c r="AH20" i="113"/>
  <c r="AE21" i="113"/>
  <c r="AF21" i="113"/>
  <c r="AG21" i="113"/>
  <c r="AH21" i="113"/>
  <c r="AE22" i="113"/>
  <c r="AF22" i="113"/>
  <c r="AG22" i="113"/>
  <c r="AH22" i="113"/>
  <c r="AE23" i="113"/>
  <c r="AF23" i="113"/>
  <c r="AG23" i="113"/>
  <c r="AH23" i="113"/>
  <c r="AE24" i="113"/>
  <c r="AF24" i="113"/>
  <c r="AG24" i="113"/>
  <c r="AH24" i="113"/>
  <c r="AE25" i="113"/>
  <c r="AF25" i="113"/>
  <c r="AG25" i="113"/>
  <c r="AH25" i="113"/>
  <c r="AE26" i="113"/>
  <c r="AF26" i="113"/>
  <c r="AG26" i="113"/>
  <c r="AH26" i="113"/>
  <c r="AE27" i="113"/>
  <c r="AF27" i="113"/>
  <c r="AG27" i="113"/>
  <c r="AH27" i="113"/>
  <c r="AE28" i="113"/>
  <c r="AF28" i="113"/>
  <c r="AG28" i="113"/>
  <c r="AH28" i="113"/>
  <c r="AE29" i="113"/>
  <c r="AF29" i="113"/>
  <c r="AG29" i="113"/>
  <c r="AH29" i="113"/>
  <c r="AE30" i="113"/>
  <c r="AF30" i="113"/>
  <c r="AG30" i="113"/>
  <c r="AH30" i="113"/>
  <c r="AE31" i="113"/>
  <c r="AF31" i="113"/>
  <c r="AG31" i="113"/>
  <c r="AH31" i="113"/>
  <c r="AE32" i="113"/>
  <c r="AF32" i="113"/>
  <c r="AG32" i="113"/>
  <c r="AH32" i="113"/>
  <c r="AE33" i="113"/>
  <c r="AF33" i="113"/>
  <c r="AG33" i="113"/>
  <c r="AH33" i="113"/>
  <c r="AE34" i="113"/>
  <c r="AF34" i="113"/>
  <c r="AG34" i="113"/>
  <c r="AH34" i="113"/>
  <c r="AE35" i="113"/>
  <c r="AF35" i="113"/>
  <c r="AG35" i="113"/>
  <c r="AH35" i="113"/>
  <c r="AE36" i="113"/>
  <c r="AF36" i="113"/>
  <c r="AG36" i="113"/>
  <c r="AH36" i="113"/>
  <c r="AH6" i="113"/>
  <c r="AG6" i="113"/>
  <c r="AF6" i="113"/>
  <c r="AE6" i="113"/>
  <c r="AE7" i="88"/>
  <c r="AF7" i="88"/>
  <c r="AG7" i="88"/>
  <c r="AH7" i="88"/>
  <c r="AE8" i="88"/>
  <c r="AF8" i="88"/>
  <c r="AG8" i="88"/>
  <c r="AH8" i="88"/>
  <c r="AE9" i="88"/>
  <c r="AF9" i="88"/>
  <c r="AG9" i="88"/>
  <c r="AH9" i="88"/>
  <c r="AE10" i="88"/>
  <c r="AF10" i="88"/>
  <c r="AG10" i="88"/>
  <c r="AH10" i="88"/>
  <c r="AE11" i="88"/>
  <c r="AF11" i="88"/>
  <c r="AG11" i="88"/>
  <c r="AH11" i="88"/>
  <c r="AE12" i="88"/>
  <c r="AF12" i="88"/>
  <c r="AG12" i="88"/>
  <c r="AH12" i="88"/>
  <c r="AE13" i="88"/>
  <c r="AF13" i="88"/>
  <c r="AG13" i="88"/>
  <c r="AH13" i="88"/>
  <c r="AE14" i="88"/>
  <c r="AF14" i="88"/>
  <c r="AG14" i="88"/>
  <c r="AH14" i="88"/>
  <c r="AE15" i="88"/>
  <c r="AF15" i="88"/>
  <c r="AG15" i="88"/>
  <c r="AH15" i="88"/>
  <c r="AE16" i="88"/>
  <c r="AF16" i="88"/>
  <c r="AG16" i="88"/>
  <c r="AH16" i="88"/>
  <c r="AE17" i="88"/>
  <c r="AF17" i="88"/>
  <c r="AG17" i="88"/>
  <c r="AH17" i="88"/>
  <c r="AE18" i="88"/>
  <c r="AF18" i="88"/>
  <c r="AG18" i="88"/>
  <c r="AH18" i="88"/>
  <c r="AE19" i="88"/>
  <c r="AF19" i="88"/>
  <c r="AG19" i="88"/>
  <c r="AH19" i="88"/>
  <c r="AE20" i="88"/>
  <c r="AF20" i="88"/>
  <c r="AG20" i="88"/>
  <c r="AH20" i="88"/>
  <c r="AE21" i="88"/>
  <c r="AF21" i="88"/>
  <c r="AG21" i="88"/>
  <c r="AH21" i="88"/>
  <c r="AE22" i="88"/>
  <c r="AF22" i="88"/>
  <c r="AG22" i="88"/>
  <c r="AH22" i="88"/>
  <c r="AE23" i="88"/>
  <c r="AF23" i="88"/>
  <c r="AG23" i="88"/>
  <c r="AH23" i="88"/>
  <c r="AE24" i="88"/>
  <c r="AF24" i="88"/>
  <c r="AG24" i="88"/>
  <c r="AH24" i="88"/>
  <c r="AE25" i="88"/>
  <c r="AF25" i="88"/>
  <c r="AG25" i="88"/>
  <c r="AH25" i="88"/>
  <c r="AE26" i="88"/>
  <c r="AF26" i="88"/>
  <c r="AG26" i="88"/>
  <c r="AH26" i="88"/>
  <c r="AE27" i="88"/>
  <c r="AF27" i="88"/>
  <c r="AG27" i="88"/>
  <c r="AH27" i="88"/>
  <c r="AE28" i="88"/>
  <c r="AF28" i="88"/>
  <c r="AG28" i="88"/>
  <c r="AH28" i="88"/>
  <c r="AE29" i="88"/>
  <c r="AF29" i="88"/>
  <c r="AG29" i="88"/>
  <c r="AH29" i="88"/>
  <c r="AE30" i="88"/>
  <c r="AF30" i="88"/>
  <c r="AG30" i="88"/>
  <c r="AH30" i="88"/>
  <c r="AE31" i="88"/>
  <c r="AF31" i="88"/>
  <c r="AG31" i="88"/>
  <c r="AH31" i="88"/>
  <c r="AE32" i="88"/>
  <c r="AF32" i="88"/>
  <c r="AG32" i="88"/>
  <c r="AH32" i="88"/>
  <c r="AE33" i="88"/>
  <c r="AF33" i="88"/>
  <c r="AG33" i="88"/>
  <c r="AH33" i="88"/>
  <c r="AE34" i="88"/>
  <c r="AF34" i="88"/>
  <c r="AG34" i="88"/>
  <c r="AH34" i="88"/>
  <c r="AE35" i="88"/>
  <c r="AF35" i="88"/>
  <c r="AG35" i="88"/>
  <c r="AH35" i="88"/>
  <c r="AE36" i="88"/>
  <c r="AF36" i="88"/>
  <c r="AG36" i="88"/>
  <c r="AH36" i="88"/>
  <c r="AI6" i="88"/>
  <c r="AK6" i="124" s="1"/>
  <c r="AK40" i="124" s="1"/>
  <c r="AH6" i="88"/>
  <c r="AG6" i="88"/>
  <c r="AF6" i="88"/>
  <c r="AE6" i="88"/>
  <c r="AE7" i="122"/>
  <c r="AF7" i="122"/>
  <c r="AG7" i="122"/>
  <c r="AH7" i="122"/>
  <c r="AE8" i="122"/>
  <c r="AF8" i="122"/>
  <c r="AG8" i="122"/>
  <c r="AH8" i="122"/>
  <c r="AE9" i="122"/>
  <c r="AF9" i="122"/>
  <c r="AG9" i="122"/>
  <c r="AH9" i="122"/>
  <c r="AE10" i="122"/>
  <c r="AF10" i="122"/>
  <c r="AG10" i="122"/>
  <c r="AH10" i="122"/>
  <c r="AE11" i="122"/>
  <c r="AF11" i="122"/>
  <c r="AG11" i="122"/>
  <c r="AH11" i="122"/>
  <c r="AE12" i="122"/>
  <c r="AF12" i="122"/>
  <c r="AG12" i="122"/>
  <c r="AH12" i="122"/>
  <c r="AE13" i="122"/>
  <c r="AF13" i="122"/>
  <c r="AG13" i="122"/>
  <c r="AH13" i="122"/>
  <c r="AE14" i="122"/>
  <c r="AF14" i="122"/>
  <c r="AG14" i="122"/>
  <c r="AH14" i="122"/>
  <c r="AE15" i="122"/>
  <c r="AF15" i="122"/>
  <c r="AG15" i="122"/>
  <c r="AH15" i="122"/>
  <c r="AE16" i="122"/>
  <c r="AF16" i="122"/>
  <c r="AG16" i="122"/>
  <c r="AH16" i="122"/>
  <c r="AE17" i="122"/>
  <c r="AF17" i="122"/>
  <c r="AG17" i="122"/>
  <c r="AH17" i="122"/>
  <c r="AE18" i="122"/>
  <c r="AF18" i="122"/>
  <c r="AG18" i="122"/>
  <c r="AH18" i="122"/>
  <c r="AE19" i="122"/>
  <c r="AF19" i="122"/>
  <c r="AG19" i="122"/>
  <c r="AH19" i="122"/>
  <c r="AE20" i="122"/>
  <c r="AF20" i="122"/>
  <c r="AG20" i="122"/>
  <c r="AH20" i="122"/>
  <c r="AE21" i="122"/>
  <c r="AF21" i="122"/>
  <c r="AG21" i="122"/>
  <c r="AH21" i="122"/>
  <c r="AE22" i="122"/>
  <c r="AF22" i="122"/>
  <c r="AG22" i="122"/>
  <c r="AH22" i="122"/>
  <c r="AE23" i="122"/>
  <c r="AF23" i="122"/>
  <c r="AG23" i="122"/>
  <c r="AH23" i="122"/>
  <c r="AE24" i="122"/>
  <c r="AF24" i="122"/>
  <c r="AG24" i="122"/>
  <c r="AH24" i="122"/>
  <c r="AE25" i="122"/>
  <c r="AF25" i="122"/>
  <c r="AG25" i="122"/>
  <c r="AH25" i="122"/>
  <c r="AE26" i="122"/>
  <c r="AF26" i="122"/>
  <c r="AG26" i="122"/>
  <c r="AH26" i="122"/>
  <c r="AE27" i="122"/>
  <c r="AF27" i="122"/>
  <c r="AG27" i="122"/>
  <c r="AH27" i="122"/>
  <c r="AE28" i="122"/>
  <c r="AF28" i="122"/>
  <c r="AG28" i="122"/>
  <c r="AH28" i="122"/>
  <c r="AE29" i="122"/>
  <c r="AF29" i="122"/>
  <c r="AG29" i="122"/>
  <c r="AH29" i="122"/>
  <c r="AE30" i="122"/>
  <c r="AF30" i="122"/>
  <c r="AG30" i="122"/>
  <c r="AH30" i="122"/>
  <c r="AE31" i="122"/>
  <c r="AF31" i="122"/>
  <c r="AG31" i="122"/>
  <c r="AH31" i="122"/>
  <c r="AE32" i="122"/>
  <c r="AF32" i="122"/>
  <c r="AG32" i="122"/>
  <c r="AH32" i="122"/>
  <c r="AE33" i="122"/>
  <c r="AF33" i="122"/>
  <c r="AG33" i="122"/>
  <c r="AH33" i="122"/>
  <c r="AE34" i="122"/>
  <c r="AF34" i="122"/>
  <c r="AG34" i="122"/>
  <c r="AH34" i="122"/>
  <c r="AE35" i="122"/>
  <c r="AF35" i="122"/>
  <c r="AG35" i="122"/>
  <c r="AH35" i="122"/>
  <c r="AE36" i="122"/>
  <c r="AF36" i="122"/>
  <c r="AG36" i="122"/>
  <c r="AH36" i="122"/>
  <c r="AH6" i="122"/>
  <c r="AG6" i="122"/>
  <c r="AF6" i="122"/>
  <c r="AE6" i="122"/>
  <c r="AF40" i="114" l="1"/>
  <c r="AG40" i="113"/>
  <c r="AG40" i="119"/>
  <c r="AG40" i="116"/>
  <c r="AF40" i="113"/>
  <c r="AG40" i="114"/>
  <c r="AF40" i="119"/>
  <c r="AH40" i="113"/>
  <c r="AH40" i="119"/>
  <c r="AH40" i="114"/>
  <c r="AH40" i="88"/>
  <c r="AI40" i="88"/>
  <c r="AF40" i="88"/>
  <c r="AG40" i="88"/>
  <c r="AG40" i="115"/>
  <c r="AH40" i="117"/>
  <c r="AG40" i="120"/>
  <c r="AH40" i="121"/>
  <c r="AH40" i="115"/>
  <c r="AH40" i="120"/>
  <c r="AF40" i="123"/>
  <c r="AF40" i="115"/>
  <c r="AG40" i="117"/>
  <c r="AH40" i="118"/>
  <c r="AF40" i="120"/>
  <c r="AG40" i="121"/>
  <c r="AH40" i="123"/>
  <c r="AF40" i="118"/>
  <c r="AF40" i="117"/>
  <c r="AG40" i="118"/>
  <c r="AF40" i="121"/>
  <c r="AG40" i="123"/>
  <c r="AF40" i="116"/>
  <c r="AG34" i="124"/>
  <c r="AF23" i="124"/>
  <c r="AF15" i="124"/>
  <c r="AH40" i="122"/>
  <c r="AF31" i="124"/>
  <c r="AG26" i="124"/>
  <c r="AG10" i="124"/>
  <c r="AF6" i="124"/>
  <c r="AE36" i="124"/>
  <c r="AF35" i="124"/>
  <c r="AH33" i="124"/>
  <c r="AE32" i="124"/>
  <c r="AG30" i="124"/>
  <c r="AH29" i="124"/>
  <c r="AE28" i="124"/>
  <c r="AF27" i="124"/>
  <c r="AH25" i="124"/>
  <c r="AE24" i="124"/>
  <c r="AG22" i="124"/>
  <c r="AH21" i="124"/>
  <c r="AE20" i="124"/>
  <c r="AF19" i="124"/>
  <c r="AH17" i="124"/>
  <c r="AE16" i="124"/>
  <c r="AG14" i="124"/>
  <c r="AH13" i="124"/>
  <c r="AE12" i="124"/>
  <c r="AF11" i="124"/>
  <c r="AH9" i="124"/>
  <c r="AE8" i="124"/>
  <c r="AG36" i="124"/>
  <c r="AG28" i="124"/>
  <c r="AG20" i="124"/>
  <c r="AG12" i="124"/>
  <c r="AG18" i="124"/>
  <c r="AF7" i="124"/>
  <c r="AG6" i="124"/>
  <c r="AH36" i="124"/>
  <c r="AE35" i="124"/>
  <c r="AF34" i="124"/>
  <c r="AG33" i="124"/>
  <c r="AH32" i="124"/>
  <c r="AE31" i="124"/>
  <c r="AF30" i="124"/>
  <c r="AG29" i="124"/>
  <c r="AH28" i="124"/>
  <c r="AE27" i="124"/>
  <c r="AF26" i="124"/>
  <c r="AG25" i="124"/>
  <c r="AH24" i="124"/>
  <c r="AE23" i="124"/>
  <c r="AF22" i="124"/>
  <c r="AG21" i="124"/>
  <c r="AH20" i="124"/>
  <c r="AE19" i="124"/>
  <c r="AF18" i="124"/>
  <c r="AG17" i="124"/>
  <c r="AH16" i="124"/>
  <c r="AE15" i="124"/>
  <c r="AF14" i="124"/>
  <c r="AG13" i="124"/>
  <c r="AH12" i="124"/>
  <c r="AE11" i="124"/>
  <c r="AF10" i="124"/>
  <c r="AG9" i="124"/>
  <c r="AH8" i="124"/>
  <c r="AE7" i="124"/>
  <c r="AH6" i="124"/>
  <c r="AH35" i="124"/>
  <c r="AE34" i="124"/>
  <c r="AF33" i="124"/>
  <c r="AG32" i="124"/>
  <c r="AH31" i="124"/>
  <c r="AE30" i="124"/>
  <c r="AF29" i="124"/>
  <c r="AH27" i="124"/>
  <c r="AE26" i="124"/>
  <c r="AF25" i="124"/>
  <c r="AG24" i="124"/>
  <c r="AH23" i="124"/>
  <c r="AE22" i="124"/>
  <c r="AF21" i="124"/>
  <c r="AH19" i="124"/>
  <c r="AE18" i="124"/>
  <c r="AF17" i="124"/>
  <c r="AG16" i="124"/>
  <c r="AH15" i="124"/>
  <c r="AE14" i="124"/>
  <c r="AF13" i="124"/>
  <c r="AH11" i="124"/>
  <c r="AE10" i="124"/>
  <c r="AF9" i="124"/>
  <c r="AG8" i="124"/>
  <c r="AH7" i="124"/>
  <c r="AE6" i="124"/>
  <c r="AF36" i="124"/>
  <c r="AG35" i="124"/>
  <c r="AH34" i="124"/>
  <c r="AE33" i="124"/>
  <c r="AF32" i="124"/>
  <c r="AG31" i="124"/>
  <c r="AH30" i="124"/>
  <c r="AE29" i="124"/>
  <c r="AF28" i="124"/>
  <c r="AG27" i="124"/>
  <c r="AH26" i="124"/>
  <c r="AE25" i="124"/>
  <c r="AF24" i="124"/>
  <c r="AG23" i="124"/>
  <c r="AH22" i="124"/>
  <c r="AE21" i="124"/>
  <c r="AF20" i="124"/>
  <c r="AG19" i="124"/>
  <c r="AH18" i="124"/>
  <c r="AE17" i="124"/>
  <c r="AF16" i="124"/>
  <c r="AG15" i="124"/>
  <c r="AH14" i="124"/>
  <c r="AE13" i="124"/>
  <c r="AF12" i="124"/>
  <c r="AG11" i="124"/>
  <c r="AH10" i="124"/>
  <c r="AE9" i="124"/>
  <c r="AF8" i="124"/>
  <c r="AG7" i="124"/>
  <c r="AG40" i="122"/>
  <c r="AF40" i="122"/>
  <c r="H30" i="129"/>
  <c r="H16" i="129"/>
  <c r="H17" i="129"/>
  <c r="H18" i="129"/>
  <c r="H19" i="129"/>
  <c r="H20" i="129"/>
  <c r="H21" i="129"/>
  <c r="H22" i="129"/>
  <c r="H23" i="129"/>
  <c r="H24" i="129"/>
  <c r="H25" i="129"/>
  <c r="H26" i="129"/>
  <c r="H27" i="129"/>
  <c r="H28" i="129"/>
  <c r="H15" i="129"/>
  <c r="G19" i="129"/>
  <c r="G30" i="129"/>
  <c r="F30" i="129"/>
  <c r="AF40" i="124" l="1"/>
  <c r="E10" i="131" s="1"/>
  <c r="AG40" i="124"/>
  <c r="E11" i="131" s="1"/>
  <c r="AE40" i="124"/>
  <c r="E9" i="131" s="1"/>
  <c r="AH40" i="124"/>
  <c r="E14" i="131" s="1"/>
  <c r="B6" i="100"/>
  <c r="F6" i="113" l="1"/>
  <c r="F6" i="114" s="1"/>
  <c r="F6" i="116" s="1"/>
  <c r="F6" i="115" s="1"/>
  <c r="F6" i="117" s="1"/>
  <c r="F6" i="118" s="1"/>
  <c r="F6" i="119" s="1"/>
  <c r="F6" i="120" s="1"/>
  <c r="F6" i="121" s="1"/>
  <c r="F6" i="122" s="1"/>
  <c r="F6" i="123" s="1"/>
  <c r="E15" i="117"/>
  <c r="S9" i="123"/>
  <c r="S13" i="123"/>
  <c r="S17" i="123"/>
  <c r="S11" i="122"/>
  <c r="S15" i="122"/>
  <c r="S23" i="122"/>
  <c r="S27" i="122"/>
  <c r="S31" i="122"/>
  <c r="S30" i="121"/>
  <c r="S33" i="121"/>
  <c r="S34" i="120"/>
  <c r="S10" i="119"/>
  <c r="S18" i="119"/>
  <c r="S26" i="119"/>
  <c r="S34" i="119"/>
  <c r="S11" i="118"/>
  <c r="S19" i="118"/>
  <c r="S27" i="118"/>
  <c r="S35" i="118"/>
  <c r="S11" i="117"/>
  <c r="S19" i="117"/>
  <c r="S27" i="117"/>
  <c r="S35" i="117"/>
  <c r="S11" i="115"/>
  <c r="S27" i="115"/>
  <c r="S35" i="115"/>
  <c r="S8" i="116"/>
  <c r="S9" i="116"/>
  <c r="S10" i="116"/>
  <c r="S11" i="116"/>
  <c r="S12" i="116"/>
  <c r="S13" i="116"/>
  <c r="S14" i="116"/>
  <c r="S15" i="116"/>
  <c r="S16" i="116"/>
  <c r="S17" i="116"/>
  <c r="S33" i="116"/>
  <c r="S7" i="116"/>
  <c r="S36" i="113"/>
  <c r="S7" i="113"/>
  <c r="S8" i="88"/>
  <c r="S9" i="88"/>
  <c r="S10" i="88"/>
  <c r="S11" i="88"/>
  <c r="S12" i="88"/>
  <c r="S13" i="88"/>
  <c r="S15" i="88"/>
  <c r="S16" i="88"/>
  <c r="S17" i="88"/>
  <c r="S18" i="88"/>
  <c r="S19" i="88"/>
  <c r="S21" i="88"/>
  <c r="S22" i="88"/>
  <c r="S23" i="88"/>
  <c r="S24" i="88"/>
  <c r="S25" i="88"/>
  <c r="S28" i="88"/>
  <c r="S29" i="88"/>
  <c r="S30" i="88"/>
  <c r="S31" i="88"/>
  <c r="S32" i="88"/>
  <c r="S33" i="88"/>
  <c r="S35" i="88"/>
  <c r="S36" i="88"/>
  <c r="R7" i="88"/>
  <c r="S36" i="123"/>
  <c r="S35" i="123"/>
  <c r="S34" i="123"/>
  <c r="S31" i="123"/>
  <c r="S30" i="123"/>
  <c r="S29" i="123"/>
  <c r="S28" i="123"/>
  <c r="S27" i="123"/>
  <c r="S15" i="123"/>
  <c r="S14" i="123"/>
  <c r="S36" i="122"/>
  <c r="S35" i="122"/>
  <c r="S34" i="122"/>
  <c r="S33" i="122"/>
  <c r="S32" i="122"/>
  <c r="S30" i="122"/>
  <c r="S29" i="122"/>
  <c r="S28" i="122"/>
  <c r="S26" i="122"/>
  <c r="S25" i="122"/>
  <c r="S24" i="122"/>
  <c r="S22" i="122"/>
  <c r="S21" i="122"/>
  <c r="S20" i="122"/>
  <c r="S19" i="122"/>
  <c r="S18" i="122"/>
  <c r="S17" i="122"/>
  <c r="S16" i="122"/>
  <c r="S14" i="122"/>
  <c r="S13" i="122"/>
  <c r="S12" i="122"/>
  <c r="S10" i="122"/>
  <c r="S8" i="122"/>
  <c r="S7" i="122"/>
  <c r="S36" i="121"/>
  <c r="S35" i="121"/>
  <c r="S34" i="121"/>
  <c r="S32" i="121"/>
  <c r="S31" i="121"/>
  <c r="S29" i="121"/>
  <c r="S28" i="121"/>
  <c r="S27" i="121"/>
  <c r="S26" i="121"/>
  <c r="S25" i="121"/>
  <c r="S24" i="121"/>
  <c r="S23" i="121"/>
  <c r="S22" i="121"/>
  <c r="S21" i="121"/>
  <c r="S20" i="121"/>
  <c r="S19" i="121"/>
  <c r="S18" i="121"/>
  <c r="S17" i="121"/>
  <c r="S16" i="121"/>
  <c r="S15" i="121"/>
  <c r="S14" i="121"/>
  <c r="S13" i="121"/>
  <c r="S12" i="121"/>
  <c r="S11" i="121"/>
  <c r="S10" i="121"/>
  <c r="S9" i="121"/>
  <c r="S8" i="121"/>
  <c r="S7" i="121"/>
  <c r="S36" i="120"/>
  <c r="S35" i="120"/>
  <c r="S33" i="120"/>
  <c r="S32" i="120"/>
  <c r="S31" i="120"/>
  <c r="S30" i="120"/>
  <c r="S29" i="120"/>
  <c r="S28" i="120"/>
  <c r="S27" i="120"/>
  <c r="S26" i="120"/>
  <c r="S25" i="120"/>
  <c r="S24" i="120"/>
  <c r="S23" i="120"/>
  <c r="S22" i="120"/>
  <c r="S21" i="120"/>
  <c r="S20" i="120"/>
  <c r="S19" i="120"/>
  <c r="S18" i="120"/>
  <c r="S17" i="120"/>
  <c r="S16" i="120"/>
  <c r="S15" i="120"/>
  <c r="S14" i="120"/>
  <c r="S13" i="120"/>
  <c r="S12" i="120"/>
  <c r="S11" i="120"/>
  <c r="S10" i="120"/>
  <c r="S9" i="120"/>
  <c r="S8" i="120"/>
  <c r="S7" i="120"/>
  <c r="S36" i="119"/>
  <c r="S35" i="119"/>
  <c r="S33" i="119"/>
  <c r="S32" i="119"/>
  <c r="S31" i="119"/>
  <c r="S30" i="119"/>
  <c r="S29" i="119"/>
  <c r="S28" i="119"/>
  <c r="S27" i="119"/>
  <c r="S25" i="119"/>
  <c r="S24" i="119"/>
  <c r="S23" i="119"/>
  <c r="S22" i="119"/>
  <c r="S21" i="119"/>
  <c r="S20" i="119"/>
  <c r="S19" i="119"/>
  <c r="S17" i="119"/>
  <c r="S16" i="119"/>
  <c r="S15" i="119"/>
  <c r="S14" i="119"/>
  <c r="S13" i="119"/>
  <c r="S12" i="119"/>
  <c r="S11" i="119"/>
  <c r="S9" i="119"/>
  <c r="S8" i="119"/>
  <c r="S7" i="119"/>
  <c r="S36" i="118"/>
  <c r="S34" i="118"/>
  <c r="S32" i="118"/>
  <c r="S31" i="118"/>
  <c r="S30" i="118"/>
  <c r="S29" i="118"/>
  <c r="S28" i="118"/>
  <c r="S26" i="118"/>
  <c r="S25" i="118"/>
  <c r="S24" i="118"/>
  <c r="S23" i="118"/>
  <c r="S22" i="118"/>
  <c r="S21" i="118"/>
  <c r="S20" i="118"/>
  <c r="S18" i="118"/>
  <c r="S17" i="118"/>
  <c r="S16" i="118"/>
  <c r="S15" i="118"/>
  <c r="S14" i="118"/>
  <c r="S13" i="118"/>
  <c r="S12" i="118"/>
  <c r="S10" i="118"/>
  <c r="S9" i="118"/>
  <c r="S8" i="118"/>
  <c r="S7" i="118"/>
  <c r="S34" i="117"/>
  <c r="S33" i="117"/>
  <c r="S32" i="117"/>
  <c r="S31" i="117"/>
  <c r="S30" i="117"/>
  <c r="S29" i="117"/>
  <c r="S28" i="117"/>
  <c r="S26" i="117"/>
  <c r="S25" i="117"/>
  <c r="S24" i="117"/>
  <c r="S23" i="117"/>
  <c r="S22" i="117"/>
  <c r="S21" i="117"/>
  <c r="S20" i="117"/>
  <c r="S18" i="117"/>
  <c r="S17" i="117"/>
  <c r="S16" i="117"/>
  <c r="S15" i="117"/>
  <c r="S14" i="117"/>
  <c r="S13" i="117"/>
  <c r="S12" i="117"/>
  <c r="S10" i="117"/>
  <c r="S9" i="117"/>
  <c r="S8" i="117"/>
  <c r="S7" i="117"/>
  <c r="S36" i="115"/>
  <c r="S34" i="115"/>
  <c r="S33" i="115"/>
  <c r="S32" i="115"/>
  <c r="S31" i="115"/>
  <c r="S30" i="115"/>
  <c r="S29" i="115"/>
  <c r="S28" i="115"/>
  <c r="S26" i="115"/>
  <c r="S25" i="115"/>
  <c r="S24" i="115"/>
  <c r="S23" i="115"/>
  <c r="S22" i="115"/>
  <c r="S21" i="115"/>
  <c r="S20" i="115"/>
  <c r="S19" i="115"/>
  <c r="S18" i="115"/>
  <c r="S17" i="115"/>
  <c r="S16" i="115"/>
  <c r="S15" i="115"/>
  <c r="S14" i="115"/>
  <c r="S13" i="115"/>
  <c r="S12" i="115"/>
  <c r="S10" i="115"/>
  <c r="S9" i="115"/>
  <c r="S8" i="115"/>
  <c r="S7" i="115"/>
  <c r="S36" i="116"/>
  <c r="S35" i="116"/>
  <c r="S34" i="116"/>
  <c r="S32" i="116"/>
  <c r="S31" i="116"/>
  <c r="S30" i="116"/>
  <c r="S29" i="116"/>
  <c r="S28" i="116"/>
  <c r="S27" i="116"/>
  <c r="S26" i="116"/>
  <c r="S25" i="116"/>
  <c r="S24" i="116"/>
  <c r="S23" i="116"/>
  <c r="S22" i="116"/>
  <c r="S21" i="116"/>
  <c r="S20" i="116"/>
  <c r="S19" i="116"/>
  <c r="S18" i="116"/>
  <c r="S36" i="114"/>
  <c r="S35" i="114"/>
  <c r="S34" i="114"/>
  <c r="S33" i="114"/>
  <c r="S32" i="114"/>
  <c r="S31" i="114"/>
  <c r="S30" i="114"/>
  <c r="S29" i="114"/>
  <c r="S28" i="114"/>
  <c r="S27" i="114"/>
  <c r="S26" i="114"/>
  <c r="S25" i="114"/>
  <c r="S24" i="114"/>
  <c r="S23" i="114"/>
  <c r="S21" i="114"/>
  <c r="S20" i="114"/>
  <c r="S19" i="114"/>
  <c r="S18" i="114"/>
  <c r="S17" i="114"/>
  <c r="S16" i="114"/>
  <c r="S15" i="114"/>
  <c r="S14" i="114"/>
  <c r="S13" i="114"/>
  <c r="S12" i="114"/>
  <c r="S11" i="114"/>
  <c r="S10" i="114"/>
  <c r="S9" i="114"/>
  <c r="S8" i="114"/>
  <c r="S7" i="114"/>
  <c r="S35" i="113"/>
  <c r="S34" i="113"/>
  <c r="S33" i="113"/>
  <c r="S32" i="113"/>
  <c r="S31" i="113"/>
  <c r="S30" i="113"/>
  <c r="S29" i="113"/>
  <c r="S28" i="113"/>
  <c r="S27" i="113"/>
  <c r="S26" i="113"/>
  <c r="S25" i="113"/>
  <c r="S24" i="113"/>
  <c r="S23" i="113"/>
  <c r="S22" i="113"/>
  <c r="S21" i="113"/>
  <c r="S19" i="113"/>
  <c r="S18" i="113"/>
  <c r="S17" i="113"/>
  <c r="S16" i="113"/>
  <c r="S15" i="113"/>
  <c r="S14" i="113"/>
  <c r="S13" i="113"/>
  <c r="S12" i="113"/>
  <c r="S11" i="113"/>
  <c r="S10" i="113"/>
  <c r="S9" i="113"/>
  <c r="S8" i="113"/>
  <c r="S14" i="88"/>
  <c r="S26" i="88"/>
  <c r="S27" i="88"/>
  <c r="S34" i="88"/>
  <c r="S28" i="124" l="1"/>
  <c r="S40" i="88"/>
  <c r="S14" i="124"/>
  <c r="S29" i="124"/>
  <c r="S34" i="124"/>
  <c r="S40" i="113"/>
  <c r="S17" i="124"/>
  <c r="S15" i="124"/>
  <c r="S30" i="124"/>
  <c r="S35" i="124"/>
  <c r="S13" i="124"/>
  <c r="S27" i="124"/>
  <c r="S31" i="124"/>
  <c r="S40" i="115"/>
  <c r="S40" i="121"/>
  <c r="S40" i="119"/>
  <c r="S40" i="116"/>
  <c r="S40" i="120"/>
  <c r="S9" i="122"/>
  <c r="S40" i="122" s="1"/>
  <c r="S9" i="124" l="1"/>
  <c r="R8" i="127"/>
  <c r="S8" i="127" s="1"/>
  <c r="R9" i="127"/>
  <c r="S9" i="127" s="1"/>
  <c r="R10" i="127"/>
  <c r="S10" i="127" s="1"/>
  <c r="R11" i="127"/>
  <c r="S11" i="127" s="1"/>
  <c r="R12" i="127"/>
  <c r="S12" i="127" s="1"/>
  <c r="R13" i="127"/>
  <c r="S13" i="127" s="1"/>
  <c r="R14" i="127"/>
  <c r="S14" i="127" s="1"/>
  <c r="R15" i="127"/>
  <c r="S15" i="127" s="1"/>
  <c r="R16" i="127"/>
  <c r="S16" i="127" s="1"/>
  <c r="R17" i="127"/>
  <c r="S17" i="127" s="1"/>
  <c r="R18" i="127"/>
  <c r="S18" i="127" s="1"/>
  <c r="R19" i="127"/>
  <c r="S19" i="127" s="1"/>
  <c r="R20" i="127"/>
  <c r="S20" i="127" s="1"/>
  <c r="R21" i="127"/>
  <c r="S21" i="127" s="1"/>
  <c r="R22" i="127"/>
  <c r="S22" i="127" s="1"/>
  <c r="R23" i="127"/>
  <c r="S23" i="127" s="1"/>
  <c r="R24" i="127"/>
  <c r="S24" i="127" s="1"/>
  <c r="R25" i="127"/>
  <c r="S25" i="127" s="1"/>
  <c r="R26" i="127"/>
  <c r="S26" i="127" s="1"/>
  <c r="R27" i="127"/>
  <c r="S27" i="127" s="1"/>
  <c r="R28" i="127"/>
  <c r="S28" i="127" s="1"/>
  <c r="R29" i="127"/>
  <c r="S29" i="127" s="1"/>
  <c r="R30" i="127"/>
  <c r="S30" i="127" s="1"/>
  <c r="R31" i="127"/>
  <c r="S31" i="127" s="1"/>
  <c r="R32" i="127"/>
  <c r="S32" i="127" s="1"/>
  <c r="R33" i="127"/>
  <c r="S33" i="127" s="1"/>
  <c r="R34" i="127"/>
  <c r="S34" i="127" s="1"/>
  <c r="R35" i="127"/>
  <c r="S35" i="127" s="1"/>
  <c r="R36" i="127"/>
  <c r="S36" i="127" s="1"/>
  <c r="R7" i="127"/>
  <c r="Z40" i="127"/>
  <c r="Y40" i="127"/>
  <c r="D40" i="127"/>
  <c r="C40" i="127"/>
  <c r="AD36" i="127"/>
  <c r="AC36" i="127"/>
  <c r="X36" i="127"/>
  <c r="W36" i="127"/>
  <c r="V36" i="127"/>
  <c r="U36" i="127"/>
  <c r="T36" i="127"/>
  <c r="Q36" i="127"/>
  <c r="P36" i="127"/>
  <c r="I36" i="127"/>
  <c r="E36" i="127"/>
  <c r="F36" i="127" s="1"/>
  <c r="B36" i="127"/>
  <c r="AD35" i="127"/>
  <c r="AC35" i="127"/>
  <c r="X35" i="127"/>
  <c r="W35" i="127"/>
  <c r="V35" i="127"/>
  <c r="U35" i="127"/>
  <c r="T35" i="127"/>
  <c r="Q35" i="127"/>
  <c r="P35" i="127"/>
  <c r="I35" i="127"/>
  <c r="E35" i="127"/>
  <c r="F35" i="127" s="1"/>
  <c r="B35" i="127"/>
  <c r="AD34" i="127"/>
  <c r="AC34" i="127"/>
  <c r="X34" i="127"/>
  <c r="W34" i="127"/>
  <c r="V34" i="127"/>
  <c r="U34" i="127"/>
  <c r="T34" i="127"/>
  <c r="Q34" i="127"/>
  <c r="P34" i="127"/>
  <c r="I34" i="127"/>
  <c r="E34" i="127"/>
  <c r="F34" i="127" s="1"/>
  <c r="B34" i="127"/>
  <c r="AD33" i="127"/>
  <c r="AC33" i="127"/>
  <c r="X33" i="127"/>
  <c r="W33" i="127"/>
  <c r="V33" i="127"/>
  <c r="U33" i="127"/>
  <c r="T33" i="127"/>
  <c r="Q33" i="127"/>
  <c r="P33" i="127"/>
  <c r="I33" i="127"/>
  <c r="E33" i="127"/>
  <c r="F33" i="127" s="1"/>
  <c r="B33" i="127"/>
  <c r="AD32" i="127"/>
  <c r="AC32" i="127"/>
  <c r="X32" i="127"/>
  <c r="W32" i="127"/>
  <c r="V32" i="127"/>
  <c r="U32" i="127"/>
  <c r="T32" i="127"/>
  <c r="Q32" i="127"/>
  <c r="P32" i="127"/>
  <c r="I32" i="127"/>
  <c r="E32" i="127"/>
  <c r="F32" i="127" s="1"/>
  <c r="B32" i="127"/>
  <c r="AD31" i="127"/>
  <c r="AC31" i="127"/>
  <c r="X31" i="127"/>
  <c r="W31" i="127"/>
  <c r="V31" i="127"/>
  <c r="U31" i="127"/>
  <c r="T31" i="127"/>
  <c r="Q31" i="127"/>
  <c r="P31" i="127"/>
  <c r="I31" i="127"/>
  <c r="E31" i="127"/>
  <c r="F31" i="127" s="1"/>
  <c r="B31" i="127"/>
  <c r="AD30" i="127"/>
  <c r="AC30" i="127"/>
  <c r="X30" i="127"/>
  <c r="W30" i="127"/>
  <c r="V30" i="127"/>
  <c r="U30" i="127"/>
  <c r="T30" i="127"/>
  <c r="Q30" i="127"/>
  <c r="P30" i="127"/>
  <c r="I30" i="127"/>
  <c r="E30" i="127"/>
  <c r="F30" i="127" s="1"/>
  <c r="B30" i="127"/>
  <c r="AD29" i="127"/>
  <c r="AC29" i="127"/>
  <c r="X29" i="127"/>
  <c r="W29" i="127"/>
  <c r="V29" i="127"/>
  <c r="U29" i="127"/>
  <c r="T29" i="127"/>
  <c r="Q29" i="127"/>
  <c r="P29" i="127"/>
  <c r="I29" i="127"/>
  <c r="E29" i="127"/>
  <c r="F29" i="127" s="1"/>
  <c r="B29" i="127"/>
  <c r="AD28" i="127"/>
  <c r="AC28" i="127"/>
  <c r="X28" i="127"/>
  <c r="W28" i="127"/>
  <c r="V28" i="127"/>
  <c r="U28" i="127"/>
  <c r="T28" i="127"/>
  <c r="Q28" i="127"/>
  <c r="P28" i="127"/>
  <c r="I28" i="127"/>
  <c r="E28" i="127"/>
  <c r="F28" i="127" s="1"/>
  <c r="B28" i="127"/>
  <c r="AD27" i="127"/>
  <c r="AC27" i="127"/>
  <c r="X27" i="127"/>
  <c r="W27" i="127"/>
  <c r="V27" i="127"/>
  <c r="U27" i="127"/>
  <c r="T27" i="127"/>
  <c r="Q27" i="127"/>
  <c r="P27" i="127"/>
  <c r="I27" i="127"/>
  <c r="E27" i="127"/>
  <c r="F27" i="127" s="1"/>
  <c r="B27" i="127"/>
  <c r="AD26" i="127"/>
  <c r="AC26" i="127"/>
  <c r="X26" i="127"/>
  <c r="W26" i="127"/>
  <c r="V26" i="127"/>
  <c r="U26" i="127"/>
  <c r="T26" i="127"/>
  <c r="Q26" i="127"/>
  <c r="P26" i="127"/>
  <c r="I26" i="127"/>
  <c r="E26" i="127"/>
  <c r="F26" i="127" s="1"/>
  <c r="B26" i="127"/>
  <c r="AD25" i="127"/>
  <c r="AC25" i="127"/>
  <c r="X25" i="127"/>
  <c r="W25" i="127"/>
  <c r="V25" i="127"/>
  <c r="U25" i="127"/>
  <c r="T25" i="127"/>
  <c r="Q25" i="127"/>
  <c r="P25" i="127"/>
  <c r="I25" i="127"/>
  <c r="E25" i="127"/>
  <c r="F25" i="127" s="1"/>
  <c r="B25" i="127"/>
  <c r="AD24" i="127"/>
  <c r="AC24" i="127"/>
  <c r="X24" i="127"/>
  <c r="W24" i="127"/>
  <c r="V24" i="127"/>
  <c r="U24" i="127"/>
  <c r="T24" i="127"/>
  <c r="Q24" i="127"/>
  <c r="P24" i="127"/>
  <c r="I24" i="127"/>
  <c r="E24" i="127"/>
  <c r="F24" i="127" s="1"/>
  <c r="B24" i="127"/>
  <c r="AD23" i="127"/>
  <c r="AC23" i="127"/>
  <c r="X23" i="127"/>
  <c r="W23" i="127"/>
  <c r="V23" i="127"/>
  <c r="U23" i="127"/>
  <c r="T23" i="127"/>
  <c r="Q23" i="127"/>
  <c r="P23" i="127"/>
  <c r="I23" i="127"/>
  <c r="E23" i="127"/>
  <c r="F23" i="127" s="1"/>
  <c r="B23" i="127"/>
  <c r="AD22" i="127"/>
  <c r="AC22" i="127"/>
  <c r="X22" i="127"/>
  <c r="W22" i="127"/>
  <c r="V22" i="127"/>
  <c r="U22" i="127"/>
  <c r="T22" i="127"/>
  <c r="Q22" i="127"/>
  <c r="P22" i="127"/>
  <c r="I22" i="127"/>
  <c r="E22" i="127"/>
  <c r="F22" i="127" s="1"/>
  <c r="B22" i="127"/>
  <c r="AD21" i="127"/>
  <c r="AC21" i="127"/>
  <c r="X21" i="127"/>
  <c r="W21" i="127"/>
  <c r="V21" i="127"/>
  <c r="U21" i="127"/>
  <c r="T21" i="127"/>
  <c r="Q21" i="127"/>
  <c r="P21" i="127"/>
  <c r="I21" i="127"/>
  <c r="E21" i="127"/>
  <c r="F21" i="127" s="1"/>
  <c r="B21" i="127"/>
  <c r="AD20" i="127"/>
  <c r="AC20" i="127"/>
  <c r="X20" i="127"/>
  <c r="W20" i="127"/>
  <c r="V20" i="127"/>
  <c r="U20" i="127"/>
  <c r="T20" i="127"/>
  <c r="Q20" i="127"/>
  <c r="P20" i="127"/>
  <c r="I20" i="127"/>
  <c r="E20" i="127"/>
  <c r="F20" i="127" s="1"/>
  <c r="B20" i="127"/>
  <c r="AD19" i="127"/>
  <c r="AC19" i="127"/>
  <c r="X19" i="127"/>
  <c r="W19" i="127"/>
  <c r="V19" i="127"/>
  <c r="U19" i="127"/>
  <c r="T19" i="127"/>
  <c r="Q19" i="127"/>
  <c r="P19" i="127"/>
  <c r="I19" i="127"/>
  <c r="E19" i="127"/>
  <c r="F19" i="127" s="1"/>
  <c r="B19" i="127"/>
  <c r="AD18" i="127"/>
  <c r="AC18" i="127"/>
  <c r="X18" i="127"/>
  <c r="W18" i="127"/>
  <c r="V18" i="127"/>
  <c r="U18" i="127"/>
  <c r="T18" i="127"/>
  <c r="Q18" i="127"/>
  <c r="P18" i="127"/>
  <c r="I18" i="127"/>
  <c r="E18" i="127"/>
  <c r="F18" i="127" s="1"/>
  <c r="B18" i="127"/>
  <c r="AD17" i="127"/>
  <c r="AC17" i="127"/>
  <c r="X17" i="127"/>
  <c r="W17" i="127"/>
  <c r="V17" i="127"/>
  <c r="U17" i="127"/>
  <c r="T17" i="127"/>
  <c r="Q17" i="127"/>
  <c r="P17" i="127"/>
  <c r="I17" i="127"/>
  <c r="E17" i="127"/>
  <c r="F17" i="127" s="1"/>
  <c r="B17" i="127"/>
  <c r="AD16" i="127"/>
  <c r="AC16" i="127"/>
  <c r="X16" i="127"/>
  <c r="W16" i="127"/>
  <c r="V16" i="127"/>
  <c r="U16" i="127"/>
  <c r="T16" i="127"/>
  <c r="Q16" i="127"/>
  <c r="P16" i="127"/>
  <c r="I16" i="127"/>
  <c r="E16" i="127"/>
  <c r="F16" i="127" s="1"/>
  <c r="B16" i="127"/>
  <c r="AD15" i="127"/>
  <c r="AC15" i="127"/>
  <c r="X15" i="127"/>
  <c r="W15" i="127"/>
  <c r="V15" i="127"/>
  <c r="U15" i="127"/>
  <c r="T15" i="127"/>
  <c r="Q15" i="127"/>
  <c r="P15" i="127"/>
  <c r="I15" i="127"/>
  <c r="E15" i="127"/>
  <c r="F15" i="127" s="1"/>
  <c r="B15" i="127"/>
  <c r="AD14" i="127"/>
  <c r="AC14" i="127"/>
  <c r="X14" i="127"/>
  <c r="W14" i="127"/>
  <c r="V14" i="127"/>
  <c r="U14" i="127"/>
  <c r="T14" i="127"/>
  <c r="Q14" i="127"/>
  <c r="P14" i="127"/>
  <c r="I14" i="127"/>
  <c r="E14" i="127"/>
  <c r="F14" i="127" s="1"/>
  <c r="B14" i="127"/>
  <c r="AD13" i="127"/>
  <c r="AC13" i="127"/>
  <c r="X13" i="127"/>
  <c r="W13" i="127"/>
  <c r="V13" i="127"/>
  <c r="U13" i="127"/>
  <c r="T13" i="127"/>
  <c r="Q13" i="127"/>
  <c r="P13" i="127"/>
  <c r="I13" i="127"/>
  <c r="E13" i="127"/>
  <c r="F13" i="127" s="1"/>
  <c r="B13" i="127"/>
  <c r="AD12" i="127"/>
  <c r="AC12" i="127"/>
  <c r="X12" i="127"/>
  <c r="W12" i="127"/>
  <c r="V12" i="127"/>
  <c r="U12" i="127"/>
  <c r="T12" i="127"/>
  <c r="Q12" i="127"/>
  <c r="P12" i="127"/>
  <c r="I12" i="127"/>
  <c r="E12" i="127"/>
  <c r="F12" i="127" s="1"/>
  <c r="B12" i="127"/>
  <c r="AD11" i="127"/>
  <c r="AC11" i="127"/>
  <c r="X11" i="127"/>
  <c r="W11" i="127"/>
  <c r="V11" i="127"/>
  <c r="U11" i="127"/>
  <c r="T11" i="127"/>
  <c r="Q11" i="127"/>
  <c r="P11" i="127"/>
  <c r="I11" i="127"/>
  <c r="E11" i="127"/>
  <c r="F11" i="127" s="1"/>
  <c r="B11" i="127"/>
  <c r="AD10" i="127"/>
  <c r="AC10" i="127"/>
  <c r="X10" i="127"/>
  <c r="W10" i="127"/>
  <c r="V10" i="127"/>
  <c r="U10" i="127"/>
  <c r="T10" i="127"/>
  <c r="Q10" i="127"/>
  <c r="P10" i="127"/>
  <c r="I10" i="127"/>
  <c r="E10" i="127"/>
  <c r="B10" i="127"/>
  <c r="AD9" i="127"/>
  <c r="AC9" i="127"/>
  <c r="X9" i="127"/>
  <c r="W9" i="127"/>
  <c r="V9" i="127"/>
  <c r="U9" i="127"/>
  <c r="T9" i="127"/>
  <c r="Q9" i="127"/>
  <c r="P9" i="127"/>
  <c r="I9" i="127"/>
  <c r="E9" i="127"/>
  <c r="F9" i="127" s="1"/>
  <c r="B9" i="127"/>
  <c r="AD8" i="127"/>
  <c r="AC8" i="127"/>
  <c r="X8" i="127"/>
  <c r="W8" i="127"/>
  <c r="V8" i="127"/>
  <c r="U8" i="127"/>
  <c r="T8" i="127"/>
  <c r="Q8" i="127"/>
  <c r="P8" i="127"/>
  <c r="I8" i="127"/>
  <c r="E8" i="127"/>
  <c r="F8" i="127" s="1"/>
  <c r="B8" i="127"/>
  <c r="AD7" i="127"/>
  <c r="AC7" i="127"/>
  <c r="X7" i="127"/>
  <c r="W7" i="127"/>
  <c r="V7" i="127"/>
  <c r="U7" i="127"/>
  <c r="T7" i="127"/>
  <c r="Q7" i="127"/>
  <c r="P7" i="127"/>
  <c r="I7" i="127"/>
  <c r="E7" i="127"/>
  <c r="F7" i="127" s="1"/>
  <c r="B7" i="127"/>
  <c r="AE6" i="127"/>
  <c r="AE40" i="127" s="1"/>
  <c r="F6" i="127"/>
  <c r="B6" i="127"/>
  <c r="C35" i="98"/>
  <c r="T40" i="127" l="1"/>
  <c r="X40" i="127"/>
  <c r="AD40" i="127"/>
  <c r="Q40" i="127"/>
  <c r="AC40" i="127"/>
  <c r="U40" i="127"/>
  <c r="W40" i="127"/>
  <c r="I40" i="127"/>
  <c r="P40" i="127"/>
  <c r="V40" i="127"/>
  <c r="H6" i="127"/>
  <c r="R40" i="127"/>
  <c r="F10" i="127"/>
  <c r="F40" i="127" s="1"/>
  <c r="E40" i="127"/>
  <c r="S7" i="127"/>
  <c r="S40" i="127" s="1"/>
  <c r="Y7" i="124"/>
  <c r="Z7" i="124"/>
  <c r="Y8" i="124"/>
  <c r="Z8" i="124"/>
  <c r="Y9" i="124"/>
  <c r="Z9" i="124"/>
  <c r="Y10" i="124"/>
  <c r="Z10" i="124"/>
  <c r="Y11" i="124"/>
  <c r="Z11" i="124"/>
  <c r="Y12" i="124"/>
  <c r="Z12" i="124"/>
  <c r="Y13" i="124"/>
  <c r="Z13" i="124"/>
  <c r="Y14" i="124"/>
  <c r="Z14" i="124"/>
  <c r="Y15" i="124"/>
  <c r="Z15" i="124"/>
  <c r="Y16" i="124"/>
  <c r="Z16" i="124"/>
  <c r="Y17" i="124"/>
  <c r="Z17" i="124"/>
  <c r="Y18" i="124"/>
  <c r="Z18" i="124"/>
  <c r="Y19" i="124"/>
  <c r="Z19" i="124"/>
  <c r="Y20" i="124"/>
  <c r="Z20" i="124"/>
  <c r="Y21" i="124"/>
  <c r="Z21" i="124"/>
  <c r="Y22" i="124"/>
  <c r="Z22" i="124"/>
  <c r="Y23" i="124"/>
  <c r="Z23" i="124"/>
  <c r="Y24" i="124"/>
  <c r="Z24" i="124"/>
  <c r="Y25" i="124"/>
  <c r="Z25" i="124"/>
  <c r="Y26" i="124"/>
  <c r="Z26" i="124"/>
  <c r="Y27" i="124"/>
  <c r="Z27" i="124"/>
  <c r="Y28" i="124"/>
  <c r="Z28" i="124"/>
  <c r="Y29" i="124"/>
  <c r="Z29" i="124"/>
  <c r="Y30" i="124"/>
  <c r="Z30" i="124"/>
  <c r="Y31" i="124"/>
  <c r="Z31" i="124"/>
  <c r="Y32" i="124"/>
  <c r="Z32" i="124"/>
  <c r="Y33" i="124"/>
  <c r="Z33" i="124"/>
  <c r="Y34" i="124"/>
  <c r="Z34" i="124"/>
  <c r="Y35" i="124"/>
  <c r="Z35" i="124"/>
  <c r="Y36" i="124"/>
  <c r="Z36" i="124"/>
  <c r="J6" i="124"/>
  <c r="K6" i="124"/>
  <c r="L6" i="124"/>
  <c r="M6" i="124"/>
  <c r="N6" i="124"/>
  <c r="O6" i="124"/>
  <c r="P6" i="124"/>
  <c r="Q6" i="124"/>
  <c r="R6" i="124"/>
  <c r="S6" i="124"/>
  <c r="U6" i="124"/>
  <c r="X6" i="124"/>
  <c r="Y6" i="124"/>
  <c r="Z6" i="124"/>
  <c r="AA6" i="124"/>
  <c r="AB6" i="124"/>
  <c r="AC6" i="124"/>
  <c r="AD6" i="124"/>
  <c r="I6" i="124"/>
  <c r="E6" i="124"/>
  <c r="C9" i="124"/>
  <c r="C9" i="132" s="1"/>
  <c r="D9" i="124"/>
  <c r="D9" i="132" s="1"/>
  <c r="C10" i="124"/>
  <c r="C10" i="132" s="1"/>
  <c r="D10" i="124"/>
  <c r="D10" i="132" s="1"/>
  <c r="C11" i="124"/>
  <c r="C11" i="132" s="1"/>
  <c r="D11" i="124"/>
  <c r="D11" i="132" s="1"/>
  <c r="C12" i="124"/>
  <c r="C12" i="132" s="1"/>
  <c r="D12" i="124"/>
  <c r="D12" i="132" s="1"/>
  <c r="C13" i="124"/>
  <c r="C13" i="132" s="1"/>
  <c r="D13" i="124"/>
  <c r="D13" i="132" s="1"/>
  <c r="C14" i="124"/>
  <c r="C14" i="132" s="1"/>
  <c r="D14" i="124"/>
  <c r="D14" i="132" s="1"/>
  <c r="C15" i="124"/>
  <c r="C15" i="132" s="1"/>
  <c r="D15" i="124"/>
  <c r="D15" i="132" s="1"/>
  <c r="C16" i="124"/>
  <c r="C16" i="132" s="1"/>
  <c r="D16" i="124"/>
  <c r="D16" i="132" s="1"/>
  <c r="C17" i="124"/>
  <c r="C17" i="132" s="1"/>
  <c r="D17" i="124"/>
  <c r="D17" i="132" s="1"/>
  <c r="C18" i="124"/>
  <c r="C18" i="132" s="1"/>
  <c r="D18" i="124"/>
  <c r="D18" i="132" s="1"/>
  <c r="C19" i="124"/>
  <c r="C19" i="132" s="1"/>
  <c r="D19" i="124"/>
  <c r="D19" i="132" s="1"/>
  <c r="C20" i="124"/>
  <c r="C20" i="132" s="1"/>
  <c r="D20" i="124"/>
  <c r="D20" i="132" s="1"/>
  <c r="C21" i="124"/>
  <c r="C21" i="132" s="1"/>
  <c r="D21" i="124"/>
  <c r="D21" i="132" s="1"/>
  <c r="C22" i="124"/>
  <c r="C22" i="132" s="1"/>
  <c r="D22" i="124"/>
  <c r="D22" i="132" s="1"/>
  <c r="C23" i="124"/>
  <c r="C23" i="132" s="1"/>
  <c r="D23" i="124"/>
  <c r="D23" i="132" s="1"/>
  <c r="C24" i="124"/>
  <c r="C24" i="132" s="1"/>
  <c r="D24" i="124"/>
  <c r="D24" i="132" s="1"/>
  <c r="C25" i="124"/>
  <c r="C25" i="132" s="1"/>
  <c r="D25" i="124"/>
  <c r="D25" i="132" s="1"/>
  <c r="C26" i="124"/>
  <c r="C26" i="132" s="1"/>
  <c r="D26" i="124"/>
  <c r="D26" i="132" s="1"/>
  <c r="C27" i="124"/>
  <c r="C27" i="132" s="1"/>
  <c r="D27" i="124"/>
  <c r="D27" i="132" s="1"/>
  <c r="C28" i="124"/>
  <c r="C28" i="132" s="1"/>
  <c r="D28" i="124"/>
  <c r="D28" i="132" s="1"/>
  <c r="C29" i="124"/>
  <c r="C29" i="132" s="1"/>
  <c r="D29" i="124"/>
  <c r="D29" i="132" s="1"/>
  <c r="C30" i="124"/>
  <c r="C30" i="132" s="1"/>
  <c r="D30" i="124"/>
  <c r="D30" i="132" s="1"/>
  <c r="C31" i="124"/>
  <c r="C31" i="132" s="1"/>
  <c r="D31" i="124"/>
  <c r="D31" i="132" s="1"/>
  <c r="C32" i="124"/>
  <c r="C32" i="132" s="1"/>
  <c r="D32" i="124"/>
  <c r="D32" i="132" s="1"/>
  <c r="C33" i="124"/>
  <c r="C33" i="132" s="1"/>
  <c r="D33" i="124"/>
  <c r="D33" i="132" s="1"/>
  <c r="C34" i="124"/>
  <c r="C34" i="132" s="1"/>
  <c r="D34" i="124"/>
  <c r="D34" i="132" s="1"/>
  <c r="C35" i="124"/>
  <c r="C35" i="132" s="1"/>
  <c r="D35" i="124"/>
  <c r="D35" i="132" s="1"/>
  <c r="C36" i="124"/>
  <c r="C36" i="132" s="1"/>
  <c r="D36" i="124"/>
  <c r="D36" i="132" s="1"/>
  <c r="C7" i="124"/>
  <c r="C7" i="132" s="1"/>
  <c r="D7" i="124"/>
  <c r="D7" i="132" s="1"/>
  <c r="C8" i="124"/>
  <c r="C8" i="132" s="1"/>
  <c r="D8" i="124"/>
  <c r="D8" i="132" s="1"/>
  <c r="D6" i="124"/>
  <c r="D6" i="132" s="1"/>
  <c r="C6" i="124"/>
  <c r="AD36" i="123"/>
  <c r="AC36" i="123"/>
  <c r="X36" i="123"/>
  <c r="W36" i="123"/>
  <c r="V36" i="123"/>
  <c r="U36" i="123"/>
  <c r="T36" i="123"/>
  <c r="R36" i="123"/>
  <c r="Q36" i="123"/>
  <c r="P36" i="123"/>
  <c r="I36" i="123"/>
  <c r="E36" i="123"/>
  <c r="AD35" i="123"/>
  <c r="AC35" i="123"/>
  <c r="X35" i="123"/>
  <c r="W35" i="123"/>
  <c r="V35" i="123"/>
  <c r="U35" i="123"/>
  <c r="T35" i="123"/>
  <c r="R35" i="123"/>
  <c r="Q35" i="123"/>
  <c r="P35" i="123"/>
  <c r="I35" i="123"/>
  <c r="E35" i="123"/>
  <c r="AD34" i="123"/>
  <c r="AC34" i="123"/>
  <c r="X34" i="123"/>
  <c r="W34" i="123"/>
  <c r="V34" i="123"/>
  <c r="U34" i="123"/>
  <c r="T34" i="123"/>
  <c r="R34" i="123"/>
  <c r="Q34" i="123"/>
  <c r="P34" i="123"/>
  <c r="I34" i="123"/>
  <c r="E34" i="123"/>
  <c r="AD33" i="123"/>
  <c r="AC33" i="123"/>
  <c r="X33" i="123"/>
  <c r="W33" i="123"/>
  <c r="V33" i="123"/>
  <c r="U33" i="123"/>
  <c r="T33" i="123"/>
  <c r="R33" i="123"/>
  <c r="Q33" i="123"/>
  <c r="P33" i="123"/>
  <c r="I33" i="123"/>
  <c r="E33" i="123"/>
  <c r="AD32" i="123"/>
  <c r="AC32" i="123"/>
  <c r="X32" i="123"/>
  <c r="W32" i="123"/>
  <c r="V32" i="123"/>
  <c r="U32" i="123"/>
  <c r="T32" i="123"/>
  <c r="R32" i="123"/>
  <c r="Q32" i="123"/>
  <c r="P32" i="123"/>
  <c r="I32" i="123"/>
  <c r="E32" i="123"/>
  <c r="AD31" i="123"/>
  <c r="AC31" i="123"/>
  <c r="X31" i="123"/>
  <c r="W31" i="123"/>
  <c r="V31" i="123"/>
  <c r="U31" i="123"/>
  <c r="T31" i="123"/>
  <c r="R31" i="123"/>
  <c r="Q31" i="123"/>
  <c r="P31" i="123"/>
  <c r="I31" i="123"/>
  <c r="E31" i="123"/>
  <c r="AD30" i="123"/>
  <c r="AC30" i="123"/>
  <c r="X30" i="123"/>
  <c r="W30" i="123"/>
  <c r="V30" i="123"/>
  <c r="U30" i="123"/>
  <c r="T30" i="123"/>
  <c r="R30" i="123"/>
  <c r="Q30" i="123"/>
  <c r="P30" i="123"/>
  <c r="I30" i="123"/>
  <c r="E30" i="123"/>
  <c r="AD29" i="123"/>
  <c r="AC29" i="123"/>
  <c r="X29" i="123"/>
  <c r="W29" i="123"/>
  <c r="V29" i="123"/>
  <c r="U29" i="123"/>
  <c r="T29" i="123"/>
  <c r="R29" i="123"/>
  <c r="Q29" i="123"/>
  <c r="P29" i="123"/>
  <c r="I29" i="123"/>
  <c r="E29" i="123"/>
  <c r="AD28" i="123"/>
  <c r="AC28" i="123"/>
  <c r="X28" i="123"/>
  <c r="W28" i="123"/>
  <c r="V28" i="123"/>
  <c r="U28" i="123"/>
  <c r="T28" i="123"/>
  <c r="R28" i="123"/>
  <c r="Q28" i="123"/>
  <c r="P28" i="123"/>
  <c r="I28" i="123"/>
  <c r="E28" i="123"/>
  <c r="AD27" i="123"/>
  <c r="AC27" i="123"/>
  <c r="X27" i="123"/>
  <c r="W27" i="123"/>
  <c r="V27" i="123"/>
  <c r="U27" i="123"/>
  <c r="T27" i="123"/>
  <c r="R27" i="123"/>
  <c r="Q27" i="123"/>
  <c r="P27" i="123"/>
  <c r="I27" i="123"/>
  <c r="E27" i="123"/>
  <c r="AD26" i="123"/>
  <c r="AC26" i="123"/>
  <c r="X26" i="123"/>
  <c r="W26" i="123"/>
  <c r="V26" i="123"/>
  <c r="U26" i="123"/>
  <c r="T26" i="123"/>
  <c r="R26" i="123"/>
  <c r="Q26" i="123"/>
  <c r="P26" i="123"/>
  <c r="I26" i="123"/>
  <c r="E26" i="123"/>
  <c r="AD25" i="123"/>
  <c r="AC25" i="123"/>
  <c r="X25" i="123"/>
  <c r="W25" i="123"/>
  <c r="V25" i="123"/>
  <c r="U25" i="123"/>
  <c r="T25" i="123"/>
  <c r="R25" i="123"/>
  <c r="Q25" i="123"/>
  <c r="P25" i="123"/>
  <c r="I25" i="123"/>
  <c r="E25" i="123"/>
  <c r="AD24" i="123"/>
  <c r="AC24" i="123"/>
  <c r="X24" i="123"/>
  <c r="W24" i="123"/>
  <c r="V24" i="123"/>
  <c r="U24" i="123"/>
  <c r="T24" i="123"/>
  <c r="R24" i="123"/>
  <c r="Q24" i="123"/>
  <c r="P24" i="123"/>
  <c r="I24" i="123"/>
  <c r="E24" i="123"/>
  <c r="AD23" i="123"/>
  <c r="AC23" i="123"/>
  <c r="X23" i="123"/>
  <c r="W23" i="123"/>
  <c r="V23" i="123"/>
  <c r="U23" i="123"/>
  <c r="T23" i="123"/>
  <c r="R23" i="123"/>
  <c r="Q23" i="123"/>
  <c r="P23" i="123"/>
  <c r="I23" i="123"/>
  <c r="E23" i="123"/>
  <c r="AD22" i="123"/>
  <c r="AC22" i="123"/>
  <c r="X22" i="123"/>
  <c r="W22" i="123"/>
  <c r="V22" i="123"/>
  <c r="U22" i="123"/>
  <c r="T22" i="123"/>
  <c r="R22" i="123"/>
  <c r="Q22" i="123"/>
  <c r="P22" i="123"/>
  <c r="I22" i="123"/>
  <c r="E22" i="123"/>
  <c r="AD21" i="123"/>
  <c r="AC21" i="123"/>
  <c r="X21" i="123"/>
  <c r="W21" i="123"/>
  <c r="V21" i="123"/>
  <c r="U21" i="123"/>
  <c r="T21" i="123"/>
  <c r="R21" i="123"/>
  <c r="Q21" i="123"/>
  <c r="P21" i="123"/>
  <c r="I21" i="123"/>
  <c r="E21" i="123"/>
  <c r="AD20" i="123"/>
  <c r="AC20" i="123"/>
  <c r="X20" i="123"/>
  <c r="W20" i="123"/>
  <c r="V20" i="123"/>
  <c r="U20" i="123"/>
  <c r="T20" i="123"/>
  <c r="R20" i="123"/>
  <c r="Q20" i="123"/>
  <c r="P20" i="123"/>
  <c r="I20" i="123"/>
  <c r="E20" i="123"/>
  <c r="AD19" i="123"/>
  <c r="AC19" i="123"/>
  <c r="X19" i="123"/>
  <c r="W19" i="123"/>
  <c r="V19" i="123"/>
  <c r="U19" i="123"/>
  <c r="T19" i="123"/>
  <c r="R19" i="123"/>
  <c r="Q19" i="123"/>
  <c r="P19" i="123"/>
  <c r="I19" i="123"/>
  <c r="E19" i="123"/>
  <c r="AD18" i="123"/>
  <c r="AC18" i="123"/>
  <c r="X18" i="123"/>
  <c r="W18" i="123"/>
  <c r="V18" i="123"/>
  <c r="U18" i="123"/>
  <c r="T18" i="123"/>
  <c r="R18" i="123"/>
  <c r="Q18" i="123"/>
  <c r="P18" i="123"/>
  <c r="I18" i="123"/>
  <c r="E18" i="123"/>
  <c r="AD17" i="123"/>
  <c r="AC17" i="123"/>
  <c r="X17" i="123"/>
  <c r="W17" i="123"/>
  <c r="V17" i="123"/>
  <c r="U17" i="123"/>
  <c r="T17" i="123"/>
  <c r="R17" i="123"/>
  <c r="Q17" i="123"/>
  <c r="P17" i="123"/>
  <c r="I17" i="123"/>
  <c r="E17" i="123"/>
  <c r="AD16" i="123"/>
  <c r="AC16" i="123"/>
  <c r="X16" i="123"/>
  <c r="W16" i="123"/>
  <c r="V16" i="123"/>
  <c r="U16" i="123"/>
  <c r="T16" i="123"/>
  <c r="R16" i="123"/>
  <c r="Q16" i="123"/>
  <c r="P16" i="123"/>
  <c r="I16" i="123"/>
  <c r="E16" i="123"/>
  <c r="AD15" i="123"/>
  <c r="AC15" i="123"/>
  <c r="X15" i="123"/>
  <c r="W15" i="123"/>
  <c r="V15" i="123"/>
  <c r="U15" i="123"/>
  <c r="T15" i="123"/>
  <c r="R15" i="123"/>
  <c r="Q15" i="123"/>
  <c r="P15" i="123"/>
  <c r="I15" i="123"/>
  <c r="E15" i="123"/>
  <c r="AD14" i="123"/>
  <c r="AC14" i="123"/>
  <c r="X14" i="123"/>
  <c r="W14" i="123"/>
  <c r="V14" i="123"/>
  <c r="U14" i="123"/>
  <c r="T14" i="123"/>
  <c r="R14" i="123"/>
  <c r="Q14" i="123"/>
  <c r="P14" i="123"/>
  <c r="I14" i="123"/>
  <c r="E14" i="123"/>
  <c r="AD13" i="123"/>
  <c r="AC13" i="123"/>
  <c r="X13" i="123"/>
  <c r="W13" i="123"/>
  <c r="V13" i="123"/>
  <c r="U13" i="123"/>
  <c r="T13" i="123"/>
  <c r="R13" i="123"/>
  <c r="Q13" i="123"/>
  <c r="P13" i="123"/>
  <c r="I13" i="123"/>
  <c r="E13" i="123"/>
  <c r="AD12" i="123"/>
  <c r="AC12" i="123"/>
  <c r="X12" i="123"/>
  <c r="W12" i="123"/>
  <c r="V12" i="123"/>
  <c r="U12" i="123"/>
  <c r="T12" i="123"/>
  <c r="R12" i="123"/>
  <c r="Q12" i="123"/>
  <c r="P12" i="123"/>
  <c r="I12" i="123"/>
  <c r="E12" i="123"/>
  <c r="AD11" i="123"/>
  <c r="AC11" i="123"/>
  <c r="X11" i="123"/>
  <c r="W11" i="123"/>
  <c r="V11" i="123"/>
  <c r="U11" i="123"/>
  <c r="T11" i="123"/>
  <c r="R11" i="123"/>
  <c r="Q11" i="123"/>
  <c r="P11" i="123"/>
  <c r="I11" i="123"/>
  <c r="E11" i="123"/>
  <c r="AD10" i="123"/>
  <c r="AC10" i="123"/>
  <c r="X10" i="123"/>
  <c r="W10" i="123"/>
  <c r="V10" i="123"/>
  <c r="U10" i="123"/>
  <c r="T10" i="123"/>
  <c r="R10" i="123"/>
  <c r="Q10" i="123"/>
  <c r="P10" i="123"/>
  <c r="I10" i="123"/>
  <c r="E10" i="123"/>
  <c r="AD9" i="123"/>
  <c r="AC9" i="123"/>
  <c r="X9" i="123"/>
  <c r="W9" i="123"/>
  <c r="V9" i="123"/>
  <c r="U9" i="123"/>
  <c r="T9" i="123"/>
  <c r="R9" i="123"/>
  <c r="Q9" i="123"/>
  <c r="P9" i="123"/>
  <c r="I9" i="123"/>
  <c r="E9" i="123"/>
  <c r="AD8" i="123"/>
  <c r="AC8" i="123"/>
  <c r="X8" i="123"/>
  <c r="W8" i="123"/>
  <c r="V8" i="123"/>
  <c r="U8" i="123"/>
  <c r="T8" i="123"/>
  <c r="R8" i="123"/>
  <c r="Q8" i="123"/>
  <c r="P8" i="123"/>
  <c r="I8" i="123"/>
  <c r="E8" i="123"/>
  <c r="AD7" i="123"/>
  <c r="AC7" i="123"/>
  <c r="X7" i="123"/>
  <c r="W7" i="123"/>
  <c r="V7" i="123"/>
  <c r="U7" i="123"/>
  <c r="T7" i="123"/>
  <c r="R7" i="123"/>
  <c r="Q7" i="123"/>
  <c r="P7" i="123"/>
  <c r="I7" i="123"/>
  <c r="E7" i="123"/>
  <c r="AD36" i="122"/>
  <c r="AC36" i="122"/>
  <c r="X36" i="122"/>
  <c r="W36" i="122"/>
  <c r="V36" i="122"/>
  <c r="U36" i="122"/>
  <c r="T36" i="122"/>
  <c r="R36" i="122"/>
  <c r="Q36" i="122"/>
  <c r="P36" i="122"/>
  <c r="I36" i="122"/>
  <c r="E36" i="122"/>
  <c r="AD35" i="122"/>
  <c r="AC35" i="122"/>
  <c r="X35" i="122"/>
  <c r="W35" i="122"/>
  <c r="V35" i="122"/>
  <c r="U35" i="122"/>
  <c r="T35" i="122"/>
  <c r="R35" i="122"/>
  <c r="Q35" i="122"/>
  <c r="P35" i="122"/>
  <c r="I35" i="122"/>
  <c r="E35" i="122"/>
  <c r="AD34" i="122"/>
  <c r="AC34" i="122"/>
  <c r="X34" i="122"/>
  <c r="W34" i="122"/>
  <c r="V34" i="122"/>
  <c r="U34" i="122"/>
  <c r="T34" i="122"/>
  <c r="R34" i="122"/>
  <c r="Q34" i="122"/>
  <c r="P34" i="122"/>
  <c r="I34" i="122"/>
  <c r="E34" i="122"/>
  <c r="AD33" i="122"/>
  <c r="AC33" i="122"/>
  <c r="X33" i="122"/>
  <c r="W33" i="122"/>
  <c r="V33" i="122"/>
  <c r="U33" i="122"/>
  <c r="T33" i="122"/>
  <c r="R33" i="122"/>
  <c r="Q33" i="122"/>
  <c r="P33" i="122"/>
  <c r="I33" i="122"/>
  <c r="E33" i="122"/>
  <c r="AD32" i="122"/>
  <c r="AC32" i="122"/>
  <c r="X32" i="122"/>
  <c r="W32" i="122"/>
  <c r="V32" i="122"/>
  <c r="U32" i="122"/>
  <c r="T32" i="122"/>
  <c r="R32" i="122"/>
  <c r="Q32" i="122"/>
  <c r="P32" i="122"/>
  <c r="I32" i="122"/>
  <c r="E32" i="122"/>
  <c r="AD31" i="122"/>
  <c r="AC31" i="122"/>
  <c r="X31" i="122"/>
  <c r="W31" i="122"/>
  <c r="V31" i="122"/>
  <c r="U31" i="122"/>
  <c r="T31" i="122"/>
  <c r="R31" i="122"/>
  <c r="Q31" i="122"/>
  <c r="P31" i="122"/>
  <c r="I31" i="122"/>
  <c r="E31" i="122"/>
  <c r="AD30" i="122"/>
  <c r="AC30" i="122"/>
  <c r="X30" i="122"/>
  <c r="W30" i="122"/>
  <c r="V30" i="122"/>
  <c r="U30" i="122"/>
  <c r="T30" i="122"/>
  <c r="R30" i="122"/>
  <c r="Q30" i="122"/>
  <c r="P30" i="122"/>
  <c r="I30" i="122"/>
  <c r="E30" i="122"/>
  <c r="AD29" i="122"/>
  <c r="AC29" i="122"/>
  <c r="X29" i="122"/>
  <c r="W29" i="122"/>
  <c r="V29" i="122"/>
  <c r="U29" i="122"/>
  <c r="T29" i="122"/>
  <c r="R29" i="122"/>
  <c r="Q29" i="122"/>
  <c r="P29" i="122"/>
  <c r="I29" i="122"/>
  <c r="E29" i="122"/>
  <c r="AD28" i="122"/>
  <c r="AC28" i="122"/>
  <c r="X28" i="122"/>
  <c r="W28" i="122"/>
  <c r="V28" i="122"/>
  <c r="U28" i="122"/>
  <c r="T28" i="122"/>
  <c r="R28" i="122"/>
  <c r="Q28" i="122"/>
  <c r="P28" i="122"/>
  <c r="I28" i="122"/>
  <c r="E28" i="122"/>
  <c r="AD27" i="122"/>
  <c r="AC27" i="122"/>
  <c r="X27" i="122"/>
  <c r="W27" i="122"/>
  <c r="V27" i="122"/>
  <c r="U27" i="122"/>
  <c r="T27" i="122"/>
  <c r="R27" i="122"/>
  <c r="Q27" i="122"/>
  <c r="P27" i="122"/>
  <c r="I27" i="122"/>
  <c r="E27" i="122"/>
  <c r="AD26" i="122"/>
  <c r="AC26" i="122"/>
  <c r="X26" i="122"/>
  <c r="W26" i="122"/>
  <c r="V26" i="122"/>
  <c r="U26" i="122"/>
  <c r="T26" i="122"/>
  <c r="R26" i="122"/>
  <c r="Q26" i="122"/>
  <c r="P26" i="122"/>
  <c r="I26" i="122"/>
  <c r="E26" i="122"/>
  <c r="AD25" i="122"/>
  <c r="AC25" i="122"/>
  <c r="X25" i="122"/>
  <c r="W25" i="122"/>
  <c r="V25" i="122"/>
  <c r="U25" i="122"/>
  <c r="T25" i="122"/>
  <c r="R25" i="122"/>
  <c r="Q25" i="122"/>
  <c r="P25" i="122"/>
  <c r="I25" i="122"/>
  <c r="E25" i="122"/>
  <c r="AD24" i="122"/>
  <c r="AC24" i="122"/>
  <c r="X24" i="122"/>
  <c r="W24" i="122"/>
  <c r="V24" i="122"/>
  <c r="U24" i="122"/>
  <c r="T24" i="122"/>
  <c r="R24" i="122"/>
  <c r="Q24" i="122"/>
  <c r="P24" i="122"/>
  <c r="I24" i="122"/>
  <c r="E24" i="122"/>
  <c r="AD23" i="122"/>
  <c r="AC23" i="122"/>
  <c r="X23" i="122"/>
  <c r="W23" i="122"/>
  <c r="V23" i="122"/>
  <c r="U23" i="122"/>
  <c r="T23" i="122"/>
  <c r="R23" i="122"/>
  <c r="Q23" i="122"/>
  <c r="P23" i="122"/>
  <c r="I23" i="122"/>
  <c r="E23" i="122"/>
  <c r="AD22" i="122"/>
  <c r="AC22" i="122"/>
  <c r="X22" i="122"/>
  <c r="W22" i="122"/>
  <c r="V22" i="122"/>
  <c r="U22" i="122"/>
  <c r="T22" i="122"/>
  <c r="R22" i="122"/>
  <c r="Q22" i="122"/>
  <c r="P22" i="122"/>
  <c r="I22" i="122"/>
  <c r="E22" i="122"/>
  <c r="AD21" i="122"/>
  <c r="AC21" i="122"/>
  <c r="X21" i="122"/>
  <c r="W21" i="122"/>
  <c r="V21" i="122"/>
  <c r="U21" i="122"/>
  <c r="T21" i="122"/>
  <c r="R21" i="122"/>
  <c r="Q21" i="122"/>
  <c r="P21" i="122"/>
  <c r="I21" i="122"/>
  <c r="E21" i="122"/>
  <c r="AD20" i="122"/>
  <c r="AC20" i="122"/>
  <c r="X20" i="122"/>
  <c r="W20" i="122"/>
  <c r="V20" i="122"/>
  <c r="U20" i="122"/>
  <c r="T20" i="122"/>
  <c r="R20" i="122"/>
  <c r="Q20" i="122"/>
  <c r="P20" i="122"/>
  <c r="I20" i="122"/>
  <c r="E20" i="122"/>
  <c r="AD19" i="122"/>
  <c r="AC19" i="122"/>
  <c r="X19" i="122"/>
  <c r="W19" i="122"/>
  <c r="V19" i="122"/>
  <c r="U19" i="122"/>
  <c r="T19" i="122"/>
  <c r="R19" i="122"/>
  <c r="Q19" i="122"/>
  <c r="P19" i="122"/>
  <c r="I19" i="122"/>
  <c r="E19" i="122"/>
  <c r="AD18" i="122"/>
  <c r="AC18" i="122"/>
  <c r="X18" i="122"/>
  <c r="W18" i="122"/>
  <c r="V18" i="122"/>
  <c r="U18" i="122"/>
  <c r="T18" i="122"/>
  <c r="R18" i="122"/>
  <c r="Q18" i="122"/>
  <c r="P18" i="122"/>
  <c r="I18" i="122"/>
  <c r="E18" i="122"/>
  <c r="AD17" i="122"/>
  <c r="AC17" i="122"/>
  <c r="X17" i="122"/>
  <c r="W17" i="122"/>
  <c r="V17" i="122"/>
  <c r="U17" i="122"/>
  <c r="T17" i="122"/>
  <c r="R17" i="122"/>
  <c r="Q17" i="122"/>
  <c r="P17" i="122"/>
  <c r="I17" i="122"/>
  <c r="E17" i="122"/>
  <c r="AD16" i="122"/>
  <c r="AC16" i="122"/>
  <c r="X16" i="122"/>
  <c r="W16" i="122"/>
  <c r="V16" i="122"/>
  <c r="U16" i="122"/>
  <c r="T16" i="122"/>
  <c r="R16" i="122"/>
  <c r="Q16" i="122"/>
  <c r="P16" i="122"/>
  <c r="I16" i="122"/>
  <c r="E16" i="122"/>
  <c r="AD15" i="122"/>
  <c r="AC15" i="122"/>
  <c r="X15" i="122"/>
  <c r="W15" i="122"/>
  <c r="V15" i="122"/>
  <c r="U15" i="122"/>
  <c r="T15" i="122"/>
  <c r="R15" i="122"/>
  <c r="Q15" i="122"/>
  <c r="P15" i="122"/>
  <c r="I15" i="122"/>
  <c r="E15" i="122"/>
  <c r="AD14" i="122"/>
  <c r="AC14" i="122"/>
  <c r="X14" i="122"/>
  <c r="W14" i="122"/>
  <c r="V14" i="122"/>
  <c r="U14" i="122"/>
  <c r="T14" i="122"/>
  <c r="R14" i="122"/>
  <c r="Q14" i="122"/>
  <c r="P14" i="122"/>
  <c r="I14" i="122"/>
  <c r="E14" i="122"/>
  <c r="AD13" i="122"/>
  <c r="AC13" i="122"/>
  <c r="X13" i="122"/>
  <c r="W13" i="122"/>
  <c r="V13" i="122"/>
  <c r="U13" i="122"/>
  <c r="T13" i="122"/>
  <c r="R13" i="122"/>
  <c r="Q13" i="122"/>
  <c r="P13" i="122"/>
  <c r="I13" i="122"/>
  <c r="E13" i="122"/>
  <c r="AD12" i="122"/>
  <c r="AC12" i="122"/>
  <c r="X12" i="122"/>
  <c r="W12" i="122"/>
  <c r="V12" i="122"/>
  <c r="U12" i="122"/>
  <c r="T12" i="122"/>
  <c r="R12" i="122"/>
  <c r="Q12" i="122"/>
  <c r="P12" i="122"/>
  <c r="I12" i="122"/>
  <c r="E12" i="122"/>
  <c r="AD11" i="122"/>
  <c r="AC11" i="122"/>
  <c r="X11" i="122"/>
  <c r="W11" i="122"/>
  <c r="V11" i="122"/>
  <c r="U11" i="122"/>
  <c r="T11" i="122"/>
  <c r="R11" i="122"/>
  <c r="Q11" i="122"/>
  <c r="P11" i="122"/>
  <c r="I11" i="122"/>
  <c r="E11" i="122"/>
  <c r="AD10" i="122"/>
  <c r="AC10" i="122"/>
  <c r="X10" i="122"/>
  <c r="W10" i="122"/>
  <c r="V10" i="122"/>
  <c r="U10" i="122"/>
  <c r="T10" i="122"/>
  <c r="R10" i="122"/>
  <c r="Q10" i="122"/>
  <c r="P10" i="122"/>
  <c r="I10" i="122"/>
  <c r="E10" i="122"/>
  <c r="AD9" i="122"/>
  <c r="AC9" i="122"/>
  <c r="X9" i="122"/>
  <c r="W9" i="122"/>
  <c r="V9" i="122"/>
  <c r="U9" i="122"/>
  <c r="T9" i="122"/>
  <c r="R9" i="122"/>
  <c r="Q9" i="122"/>
  <c r="P9" i="122"/>
  <c r="I9" i="122"/>
  <c r="E9" i="122"/>
  <c r="AD8" i="122"/>
  <c r="AC8" i="122"/>
  <c r="X8" i="122"/>
  <c r="W8" i="122"/>
  <c r="V8" i="122"/>
  <c r="U8" i="122"/>
  <c r="T8" i="122"/>
  <c r="R8" i="122"/>
  <c r="Q8" i="122"/>
  <c r="P8" i="122"/>
  <c r="I8" i="122"/>
  <c r="E8" i="122"/>
  <c r="AD7" i="122"/>
  <c r="AC7" i="122"/>
  <c r="X7" i="122"/>
  <c r="W7" i="122"/>
  <c r="V7" i="122"/>
  <c r="U7" i="122"/>
  <c r="T7" i="122"/>
  <c r="R7" i="122"/>
  <c r="Q7" i="122"/>
  <c r="P7" i="122"/>
  <c r="I7" i="122"/>
  <c r="E7" i="122"/>
  <c r="AD36" i="121"/>
  <c r="AC36" i="121"/>
  <c r="X36" i="121"/>
  <c r="W36" i="121"/>
  <c r="V36" i="121"/>
  <c r="U36" i="121"/>
  <c r="T36" i="121"/>
  <c r="R36" i="121"/>
  <c r="Q36" i="121"/>
  <c r="P36" i="121"/>
  <c r="I36" i="121"/>
  <c r="E36" i="121"/>
  <c r="AD35" i="121"/>
  <c r="AC35" i="121"/>
  <c r="X35" i="121"/>
  <c r="W35" i="121"/>
  <c r="V35" i="121"/>
  <c r="U35" i="121"/>
  <c r="T35" i="121"/>
  <c r="R35" i="121"/>
  <c r="Q35" i="121"/>
  <c r="P35" i="121"/>
  <c r="I35" i="121"/>
  <c r="E35" i="121"/>
  <c r="AD34" i="121"/>
  <c r="AC34" i="121"/>
  <c r="X34" i="121"/>
  <c r="W34" i="121"/>
  <c r="V34" i="121"/>
  <c r="U34" i="121"/>
  <c r="T34" i="121"/>
  <c r="R34" i="121"/>
  <c r="Q34" i="121"/>
  <c r="P34" i="121"/>
  <c r="I34" i="121"/>
  <c r="E34" i="121"/>
  <c r="AD33" i="121"/>
  <c r="AC33" i="121"/>
  <c r="X33" i="121"/>
  <c r="W33" i="121"/>
  <c r="V33" i="121"/>
  <c r="U33" i="121"/>
  <c r="T33" i="121"/>
  <c r="R33" i="121"/>
  <c r="Q33" i="121"/>
  <c r="P33" i="121"/>
  <c r="I33" i="121"/>
  <c r="E33" i="121"/>
  <c r="AD32" i="121"/>
  <c r="AC32" i="121"/>
  <c r="X32" i="121"/>
  <c r="W32" i="121"/>
  <c r="V32" i="121"/>
  <c r="U32" i="121"/>
  <c r="T32" i="121"/>
  <c r="R32" i="121"/>
  <c r="Q32" i="121"/>
  <c r="P32" i="121"/>
  <c r="I32" i="121"/>
  <c r="E32" i="121"/>
  <c r="AD31" i="121"/>
  <c r="AC31" i="121"/>
  <c r="X31" i="121"/>
  <c r="W31" i="121"/>
  <c r="V31" i="121"/>
  <c r="U31" i="121"/>
  <c r="T31" i="121"/>
  <c r="R31" i="121"/>
  <c r="Q31" i="121"/>
  <c r="P31" i="121"/>
  <c r="I31" i="121"/>
  <c r="E31" i="121"/>
  <c r="AD30" i="121"/>
  <c r="AC30" i="121"/>
  <c r="X30" i="121"/>
  <c r="W30" i="121"/>
  <c r="V30" i="121"/>
  <c r="U30" i="121"/>
  <c r="T30" i="121"/>
  <c r="R30" i="121"/>
  <c r="Q30" i="121"/>
  <c r="P30" i="121"/>
  <c r="I30" i="121"/>
  <c r="E30" i="121"/>
  <c r="AD29" i="121"/>
  <c r="AC29" i="121"/>
  <c r="X29" i="121"/>
  <c r="W29" i="121"/>
  <c r="V29" i="121"/>
  <c r="U29" i="121"/>
  <c r="T29" i="121"/>
  <c r="R29" i="121"/>
  <c r="Q29" i="121"/>
  <c r="P29" i="121"/>
  <c r="I29" i="121"/>
  <c r="E29" i="121"/>
  <c r="AD28" i="121"/>
  <c r="AC28" i="121"/>
  <c r="X28" i="121"/>
  <c r="W28" i="121"/>
  <c r="V28" i="121"/>
  <c r="U28" i="121"/>
  <c r="T28" i="121"/>
  <c r="R28" i="121"/>
  <c r="Q28" i="121"/>
  <c r="P28" i="121"/>
  <c r="I28" i="121"/>
  <c r="E28" i="121"/>
  <c r="AD27" i="121"/>
  <c r="AC27" i="121"/>
  <c r="X27" i="121"/>
  <c r="W27" i="121"/>
  <c r="V27" i="121"/>
  <c r="U27" i="121"/>
  <c r="T27" i="121"/>
  <c r="R27" i="121"/>
  <c r="Q27" i="121"/>
  <c r="P27" i="121"/>
  <c r="I27" i="121"/>
  <c r="E27" i="121"/>
  <c r="AD26" i="121"/>
  <c r="AC26" i="121"/>
  <c r="X26" i="121"/>
  <c r="W26" i="121"/>
  <c r="V26" i="121"/>
  <c r="U26" i="121"/>
  <c r="T26" i="121"/>
  <c r="R26" i="121"/>
  <c r="Q26" i="121"/>
  <c r="P26" i="121"/>
  <c r="I26" i="121"/>
  <c r="E26" i="121"/>
  <c r="AD25" i="121"/>
  <c r="AC25" i="121"/>
  <c r="X25" i="121"/>
  <c r="W25" i="121"/>
  <c r="V25" i="121"/>
  <c r="U25" i="121"/>
  <c r="T25" i="121"/>
  <c r="R25" i="121"/>
  <c r="Q25" i="121"/>
  <c r="P25" i="121"/>
  <c r="I25" i="121"/>
  <c r="E25" i="121"/>
  <c r="AD24" i="121"/>
  <c r="AC24" i="121"/>
  <c r="X24" i="121"/>
  <c r="W24" i="121"/>
  <c r="V24" i="121"/>
  <c r="U24" i="121"/>
  <c r="T24" i="121"/>
  <c r="R24" i="121"/>
  <c r="Q24" i="121"/>
  <c r="P24" i="121"/>
  <c r="I24" i="121"/>
  <c r="E24" i="121"/>
  <c r="AD23" i="121"/>
  <c r="AC23" i="121"/>
  <c r="X23" i="121"/>
  <c r="W23" i="121"/>
  <c r="V23" i="121"/>
  <c r="U23" i="121"/>
  <c r="T23" i="121"/>
  <c r="R23" i="121"/>
  <c r="Q23" i="121"/>
  <c r="P23" i="121"/>
  <c r="I23" i="121"/>
  <c r="E23" i="121"/>
  <c r="AD22" i="121"/>
  <c r="AC22" i="121"/>
  <c r="X22" i="121"/>
  <c r="W22" i="121"/>
  <c r="V22" i="121"/>
  <c r="U22" i="121"/>
  <c r="T22" i="121"/>
  <c r="R22" i="121"/>
  <c r="Q22" i="121"/>
  <c r="P22" i="121"/>
  <c r="I22" i="121"/>
  <c r="E22" i="121"/>
  <c r="AD21" i="121"/>
  <c r="AC21" i="121"/>
  <c r="X21" i="121"/>
  <c r="W21" i="121"/>
  <c r="V21" i="121"/>
  <c r="U21" i="121"/>
  <c r="T21" i="121"/>
  <c r="R21" i="121"/>
  <c r="Q21" i="121"/>
  <c r="P21" i="121"/>
  <c r="I21" i="121"/>
  <c r="E21" i="121"/>
  <c r="AD20" i="121"/>
  <c r="AC20" i="121"/>
  <c r="X20" i="121"/>
  <c r="W20" i="121"/>
  <c r="V20" i="121"/>
  <c r="U20" i="121"/>
  <c r="T20" i="121"/>
  <c r="R20" i="121"/>
  <c r="Q20" i="121"/>
  <c r="P20" i="121"/>
  <c r="I20" i="121"/>
  <c r="E20" i="121"/>
  <c r="AD19" i="121"/>
  <c r="AC19" i="121"/>
  <c r="X19" i="121"/>
  <c r="W19" i="121"/>
  <c r="V19" i="121"/>
  <c r="U19" i="121"/>
  <c r="T19" i="121"/>
  <c r="R19" i="121"/>
  <c r="Q19" i="121"/>
  <c r="P19" i="121"/>
  <c r="I19" i="121"/>
  <c r="E19" i="121"/>
  <c r="AD18" i="121"/>
  <c r="AC18" i="121"/>
  <c r="X18" i="121"/>
  <c r="W18" i="121"/>
  <c r="V18" i="121"/>
  <c r="U18" i="121"/>
  <c r="T18" i="121"/>
  <c r="R18" i="121"/>
  <c r="Q18" i="121"/>
  <c r="P18" i="121"/>
  <c r="I18" i="121"/>
  <c r="E18" i="121"/>
  <c r="AD17" i="121"/>
  <c r="AC17" i="121"/>
  <c r="X17" i="121"/>
  <c r="W17" i="121"/>
  <c r="V17" i="121"/>
  <c r="U17" i="121"/>
  <c r="T17" i="121"/>
  <c r="R17" i="121"/>
  <c r="Q17" i="121"/>
  <c r="P17" i="121"/>
  <c r="I17" i="121"/>
  <c r="E17" i="121"/>
  <c r="AD16" i="121"/>
  <c r="AC16" i="121"/>
  <c r="X16" i="121"/>
  <c r="W16" i="121"/>
  <c r="V16" i="121"/>
  <c r="U16" i="121"/>
  <c r="T16" i="121"/>
  <c r="R16" i="121"/>
  <c r="Q16" i="121"/>
  <c r="P16" i="121"/>
  <c r="I16" i="121"/>
  <c r="E16" i="121"/>
  <c r="AD15" i="121"/>
  <c r="AC15" i="121"/>
  <c r="X15" i="121"/>
  <c r="W15" i="121"/>
  <c r="V15" i="121"/>
  <c r="U15" i="121"/>
  <c r="T15" i="121"/>
  <c r="R15" i="121"/>
  <c r="Q15" i="121"/>
  <c r="P15" i="121"/>
  <c r="I15" i="121"/>
  <c r="E15" i="121"/>
  <c r="AD14" i="121"/>
  <c r="AC14" i="121"/>
  <c r="X14" i="121"/>
  <c r="W14" i="121"/>
  <c r="V14" i="121"/>
  <c r="U14" i="121"/>
  <c r="T14" i="121"/>
  <c r="R14" i="121"/>
  <c r="Q14" i="121"/>
  <c r="P14" i="121"/>
  <c r="I14" i="121"/>
  <c r="E14" i="121"/>
  <c r="AD13" i="121"/>
  <c r="AC13" i="121"/>
  <c r="X13" i="121"/>
  <c r="W13" i="121"/>
  <c r="V13" i="121"/>
  <c r="U13" i="121"/>
  <c r="T13" i="121"/>
  <c r="R13" i="121"/>
  <c r="Q13" i="121"/>
  <c r="P13" i="121"/>
  <c r="I13" i="121"/>
  <c r="E13" i="121"/>
  <c r="AD12" i="121"/>
  <c r="AC12" i="121"/>
  <c r="X12" i="121"/>
  <c r="W12" i="121"/>
  <c r="V12" i="121"/>
  <c r="U12" i="121"/>
  <c r="T12" i="121"/>
  <c r="R12" i="121"/>
  <c r="Q12" i="121"/>
  <c r="P12" i="121"/>
  <c r="I12" i="121"/>
  <c r="E12" i="121"/>
  <c r="AD11" i="121"/>
  <c r="AC11" i="121"/>
  <c r="X11" i="121"/>
  <c r="W11" i="121"/>
  <c r="V11" i="121"/>
  <c r="U11" i="121"/>
  <c r="T11" i="121"/>
  <c r="R11" i="121"/>
  <c r="Q11" i="121"/>
  <c r="P11" i="121"/>
  <c r="I11" i="121"/>
  <c r="E11" i="121"/>
  <c r="AD10" i="121"/>
  <c r="AC10" i="121"/>
  <c r="X10" i="121"/>
  <c r="W10" i="121"/>
  <c r="V10" i="121"/>
  <c r="U10" i="121"/>
  <c r="T10" i="121"/>
  <c r="R10" i="121"/>
  <c r="Q10" i="121"/>
  <c r="P10" i="121"/>
  <c r="I10" i="121"/>
  <c r="E10" i="121"/>
  <c r="AD9" i="121"/>
  <c r="AC9" i="121"/>
  <c r="X9" i="121"/>
  <c r="W9" i="121"/>
  <c r="V9" i="121"/>
  <c r="U9" i="121"/>
  <c r="T9" i="121"/>
  <c r="R9" i="121"/>
  <c r="Q9" i="121"/>
  <c r="P9" i="121"/>
  <c r="I9" i="121"/>
  <c r="E9" i="121"/>
  <c r="AD8" i="121"/>
  <c r="AC8" i="121"/>
  <c r="X8" i="121"/>
  <c r="W8" i="121"/>
  <c r="V8" i="121"/>
  <c r="U8" i="121"/>
  <c r="T8" i="121"/>
  <c r="R8" i="121"/>
  <c r="Q8" i="121"/>
  <c r="P8" i="121"/>
  <c r="I8" i="121"/>
  <c r="E8" i="121"/>
  <c r="AD7" i="121"/>
  <c r="AC7" i="121"/>
  <c r="X7" i="121"/>
  <c r="W7" i="121"/>
  <c r="V7" i="121"/>
  <c r="U7" i="121"/>
  <c r="T7" i="121"/>
  <c r="R7" i="121"/>
  <c r="Q7" i="121"/>
  <c r="P7" i="121"/>
  <c r="I7" i="121"/>
  <c r="E7" i="121"/>
  <c r="AD36" i="120"/>
  <c r="AC36" i="120"/>
  <c r="X36" i="120"/>
  <c r="W36" i="120"/>
  <c r="V36" i="120"/>
  <c r="U36" i="120"/>
  <c r="T36" i="120"/>
  <c r="R36" i="120"/>
  <c r="Q36" i="120"/>
  <c r="P36" i="120"/>
  <c r="I36" i="120"/>
  <c r="E36" i="120"/>
  <c r="AD35" i="120"/>
  <c r="AC35" i="120"/>
  <c r="X35" i="120"/>
  <c r="W35" i="120"/>
  <c r="V35" i="120"/>
  <c r="U35" i="120"/>
  <c r="T35" i="120"/>
  <c r="R35" i="120"/>
  <c r="Q35" i="120"/>
  <c r="P35" i="120"/>
  <c r="I35" i="120"/>
  <c r="E35" i="120"/>
  <c r="AD34" i="120"/>
  <c r="AC34" i="120"/>
  <c r="X34" i="120"/>
  <c r="W34" i="120"/>
  <c r="V34" i="120"/>
  <c r="U34" i="120"/>
  <c r="T34" i="120"/>
  <c r="R34" i="120"/>
  <c r="Q34" i="120"/>
  <c r="P34" i="120"/>
  <c r="I34" i="120"/>
  <c r="E34" i="120"/>
  <c r="AD33" i="120"/>
  <c r="AC33" i="120"/>
  <c r="X33" i="120"/>
  <c r="W33" i="120"/>
  <c r="V33" i="120"/>
  <c r="U33" i="120"/>
  <c r="T33" i="120"/>
  <c r="R33" i="120"/>
  <c r="Q33" i="120"/>
  <c r="P33" i="120"/>
  <c r="I33" i="120"/>
  <c r="E33" i="120"/>
  <c r="AD32" i="120"/>
  <c r="AC32" i="120"/>
  <c r="X32" i="120"/>
  <c r="W32" i="120"/>
  <c r="V32" i="120"/>
  <c r="U32" i="120"/>
  <c r="T32" i="120"/>
  <c r="R32" i="120"/>
  <c r="Q32" i="120"/>
  <c r="P32" i="120"/>
  <c r="I32" i="120"/>
  <c r="E32" i="120"/>
  <c r="AD31" i="120"/>
  <c r="AC31" i="120"/>
  <c r="X31" i="120"/>
  <c r="W31" i="120"/>
  <c r="V31" i="120"/>
  <c r="U31" i="120"/>
  <c r="T31" i="120"/>
  <c r="R31" i="120"/>
  <c r="Q31" i="120"/>
  <c r="P31" i="120"/>
  <c r="I31" i="120"/>
  <c r="E31" i="120"/>
  <c r="AD30" i="120"/>
  <c r="AC30" i="120"/>
  <c r="X30" i="120"/>
  <c r="W30" i="120"/>
  <c r="V30" i="120"/>
  <c r="U30" i="120"/>
  <c r="T30" i="120"/>
  <c r="R30" i="120"/>
  <c r="Q30" i="120"/>
  <c r="P30" i="120"/>
  <c r="I30" i="120"/>
  <c r="E30" i="120"/>
  <c r="AD29" i="120"/>
  <c r="AC29" i="120"/>
  <c r="X29" i="120"/>
  <c r="W29" i="120"/>
  <c r="V29" i="120"/>
  <c r="U29" i="120"/>
  <c r="T29" i="120"/>
  <c r="R29" i="120"/>
  <c r="Q29" i="120"/>
  <c r="P29" i="120"/>
  <c r="I29" i="120"/>
  <c r="E29" i="120"/>
  <c r="AD28" i="120"/>
  <c r="AC28" i="120"/>
  <c r="X28" i="120"/>
  <c r="W28" i="120"/>
  <c r="V28" i="120"/>
  <c r="U28" i="120"/>
  <c r="T28" i="120"/>
  <c r="R28" i="120"/>
  <c r="Q28" i="120"/>
  <c r="P28" i="120"/>
  <c r="I28" i="120"/>
  <c r="E28" i="120"/>
  <c r="AD27" i="120"/>
  <c r="AC27" i="120"/>
  <c r="X27" i="120"/>
  <c r="W27" i="120"/>
  <c r="V27" i="120"/>
  <c r="U27" i="120"/>
  <c r="T27" i="120"/>
  <c r="R27" i="120"/>
  <c r="Q27" i="120"/>
  <c r="P27" i="120"/>
  <c r="I27" i="120"/>
  <c r="E27" i="120"/>
  <c r="AD26" i="120"/>
  <c r="AC26" i="120"/>
  <c r="X26" i="120"/>
  <c r="W26" i="120"/>
  <c r="V26" i="120"/>
  <c r="U26" i="120"/>
  <c r="T26" i="120"/>
  <c r="R26" i="120"/>
  <c r="Q26" i="120"/>
  <c r="P26" i="120"/>
  <c r="I26" i="120"/>
  <c r="E26" i="120"/>
  <c r="AD25" i="120"/>
  <c r="AC25" i="120"/>
  <c r="X25" i="120"/>
  <c r="W25" i="120"/>
  <c r="V25" i="120"/>
  <c r="U25" i="120"/>
  <c r="T25" i="120"/>
  <c r="R25" i="120"/>
  <c r="Q25" i="120"/>
  <c r="P25" i="120"/>
  <c r="I25" i="120"/>
  <c r="E25" i="120"/>
  <c r="AD24" i="120"/>
  <c r="AC24" i="120"/>
  <c r="X24" i="120"/>
  <c r="W24" i="120"/>
  <c r="V24" i="120"/>
  <c r="U24" i="120"/>
  <c r="T24" i="120"/>
  <c r="R24" i="120"/>
  <c r="Q24" i="120"/>
  <c r="P24" i="120"/>
  <c r="I24" i="120"/>
  <c r="E24" i="120"/>
  <c r="AD23" i="120"/>
  <c r="AC23" i="120"/>
  <c r="X23" i="120"/>
  <c r="W23" i="120"/>
  <c r="V23" i="120"/>
  <c r="U23" i="120"/>
  <c r="T23" i="120"/>
  <c r="R23" i="120"/>
  <c r="Q23" i="120"/>
  <c r="P23" i="120"/>
  <c r="I23" i="120"/>
  <c r="E23" i="120"/>
  <c r="AD22" i="120"/>
  <c r="AC22" i="120"/>
  <c r="X22" i="120"/>
  <c r="W22" i="120"/>
  <c r="V22" i="120"/>
  <c r="U22" i="120"/>
  <c r="T22" i="120"/>
  <c r="R22" i="120"/>
  <c r="Q22" i="120"/>
  <c r="P22" i="120"/>
  <c r="I22" i="120"/>
  <c r="E22" i="120"/>
  <c r="AD21" i="120"/>
  <c r="AC21" i="120"/>
  <c r="X21" i="120"/>
  <c r="W21" i="120"/>
  <c r="V21" i="120"/>
  <c r="U21" i="120"/>
  <c r="T21" i="120"/>
  <c r="R21" i="120"/>
  <c r="Q21" i="120"/>
  <c r="P21" i="120"/>
  <c r="I21" i="120"/>
  <c r="E21" i="120"/>
  <c r="AD20" i="120"/>
  <c r="AC20" i="120"/>
  <c r="X20" i="120"/>
  <c r="W20" i="120"/>
  <c r="V20" i="120"/>
  <c r="U20" i="120"/>
  <c r="T20" i="120"/>
  <c r="R20" i="120"/>
  <c r="Q20" i="120"/>
  <c r="P20" i="120"/>
  <c r="I20" i="120"/>
  <c r="E20" i="120"/>
  <c r="AD19" i="120"/>
  <c r="AC19" i="120"/>
  <c r="X19" i="120"/>
  <c r="W19" i="120"/>
  <c r="V19" i="120"/>
  <c r="U19" i="120"/>
  <c r="T19" i="120"/>
  <c r="R19" i="120"/>
  <c r="Q19" i="120"/>
  <c r="P19" i="120"/>
  <c r="I19" i="120"/>
  <c r="E19" i="120"/>
  <c r="AD18" i="120"/>
  <c r="AC18" i="120"/>
  <c r="X18" i="120"/>
  <c r="W18" i="120"/>
  <c r="V18" i="120"/>
  <c r="U18" i="120"/>
  <c r="T18" i="120"/>
  <c r="R18" i="120"/>
  <c r="Q18" i="120"/>
  <c r="P18" i="120"/>
  <c r="I18" i="120"/>
  <c r="E18" i="120"/>
  <c r="AD17" i="120"/>
  <c r="AC17" i="120"/>
  <c r="X17" i="120"/>
  <c r="W17" i="120"/>
  <c r="V17" i="120"/>
  <c r="U17" i="120"/>
  <c r="T17" i="120"/>
  <c r="R17" i="120"/>
  <c r="Q17" i="120"/>
  <c r="P17" i="120"/>
  <c r="I17" i="120"/>
  <c r="E17" i="120"/>
  <c r="AD16" i="120"/>
  <c r="AC16" i="120"/>
  <c r="X16" i="120"/>
  <c r="W16" i="120"/>
  <c r="V16" i="120"/>
  <c r="U16" i="120"/>
  <c r="T16" i="120"/>
  <c r="R16" i="120"/>
  <c r="Q16" i="120"/>
  <c r="P16" i="120"/>
  <c r="I16" i="120"/>
  <c r="E16" i="120"/>
  <c r="AD15" i="120"/>
  <c r="AC15" i="120"/>
  <c r="X15" i="120"/>
  <c r="W15" i="120"/>
  <c r="V15" i="120"/>
  <c r="U15" i="120"/>
  <c r="T15" i="120"/>
  <c r="R15" i="120"/>
  <c r="Q15" i="120"/>
  <c r="P15" i="120"/>
  <c r="I15" i="120"/>
  <c r="E15" i="120"/>
  <c r="AD14" i="120"/>
  <c r="AC14" i="120"/>
  <c r="X14" i="120"/>
  <c r="W14" i="120"/>
  <c r="V14" i="120"/>
  <c r="U14" i="120"/>
  <c r="T14" i="120"/>
  <c r="R14" i="120"/>
  <c r="Q14" i="120"/>
  <c r="P14" i="120"/>
  <c r="I14" i="120"/>
  <c r="E14" i="120"/>
  <c r="AD13" i="120"/>
  <c r="AC13" i="120"/>
  <c r="X13" i="120"/>
  <c r="W13" i="120"/>
  <c r="V13" i="120"/>
  <c r="U13" i="120"/>
  <c r="T13" i="120"/>
  <c r="R13" i="120"/>
  <c r="Q13" i="120"/>
  <c r="P13" i="120"/>
  <c r="I13" i="120"/>
  <c r="E13" i="120"/>
  <c r="AD12" i="120"/>
  <c r="AC12" i="120"/>
  <c r="X12" i="120"/>
  <c r="W12" i="120"/>
  <c r="V12" i="120"/>
  <c r="U12" i="120"/>
  <c r="T12" i="120"/>
  <c r="R12" i="120"/>
  <c r="Q12" i="120"/>
  <c r="P12" i="120"/>
  <c r="I12" i="120"/>
  <c r="E12" i="120"/>
  <c r="AD11" i="120"/>
  <c r="AC11" i="120"/>
  <c r="X11" i="120"/>
  <c r="W11" i="120"/>
  <c r="V11" i="120"/>
  <c r="U11" i="120"/>
  <c r="T11" i="120"/>
  <c r="R11" i="120"/>
  <c r="Q11" i="120"/>
  <c r="P11" i="120"/>
  <c r="I11" i="120"/>
  <c r="E11" i="120"/>
  <c r="AD10" i="120"/>
  <c r="AC10" i="120"/>
  <c r="X10" i="120"/>
  <c r="W10" i="120"/>
  <c r="V10" i="120"/>
  <c r="U10" i="120"/>
  <c r="T10" i="120"/>
  <c r="R10" i="120"/>
  <c r="Q10" i="120"/>
  <c r="P10" i="120"/>
  <c r="I10" i="120"/>
  <c r="E10" i="120"/>
  <c r="AD9" i="120"/>
  <c r="AC9" i="120"/>
  <c r="X9" i="120"/>
  <c r="W9" i="120"/>
  <c r="V9" i="120"/>
  <c r="U9" i="120"/>
  <c r="T9" i="120"/>
  <c r="R9" i="120"/>
  <c r="Q9" i="120"/>
  <c r="P9" i="120"/>
  <c r="I9" i="120"/>
  <c r="E9" i="120"/>
  <c r="AD8" i="120"/>
  <c r="AC8" i="120"/>
  <c r="X8" i="120"/>
  <c r="W8" i="120"/>
  <c r="V8" i="120"/>
  <c r="U8" i="120"/>
  <c r="T8" i="120"/>
  <c r="R8" i="120"/>
  <c r="Q8" i="120"/>
  <c r="P8" i="120"/>
  <c r="I8" i="120"/>
  <c r="E8" i="120"/>
  <c r="AD7" i="120"/>
  <c r="AC7" i="120"/>
  <c r="X7" i="120"/>
  <c r="W7" i="120"/>
  <c r="V7" i="120"/>
  <c r="U7" i="120"/>
  <c r="T7" i="120"/>
  <c r="R7" i="120"/>
  <c r="Q7" i="120"/>
  <c r="P7" i="120"/>
  <c r="I7" i="120"/>
  <c r="E7" i="120"/>
  <c r="AD36" i="119"/>
  <c r="AC36" i="119"/>
  <c r="X36" i="119"/>
  <c r="W36" i="119"/>
  <c r="V36" i="119"/>
  <c r="U36" i="119"/>
  <c r="T36" i="119"/>
  <c r="R36" i="119"/>
  <c r="Q36" i="119"/>
  <c r="P36" i="119"/>
  <c r="I36" i="119"/>
  <c r="E36" i="119"/>
  <c r="AD35" i="119"/>
  <c r="AC35" i="119"/>
  <c r="X35" i="119"/>
  <c r="W35" i="119"/>
  <c r="V35" i="119"/>
  <c r="U35" i="119"/>
  <c r="T35" i="119"/>
  <c r="R35" i="119"/>
  <c r="Q35" i="119"/>
  <c r="P35" i="119"/>
  <c r="I35" i="119"/>
  <c r="E35" i="119"/>
  <c r="AD34" i="119"/>
  <c r="AC34" i="119"/>
  <c r="X34" i="119"/>
  <c r="W34" i="119"/>
  <c r="V34" i="119"/>
  <c r="U34" i="119"/>
  <c r="T34" i="119"/>
  <c r="R34" i="119"/>
  <c r="Q34" i="119"/>
  <c r="P34" i="119"/>
  <c r="I34" i="119"/>
  <c r="E34" i="119"/>
  <c r="AD33" i="119"/>
  <c r="AC33" i="119"/>
  <c r="X33" i="119"/>
  <c r="W33" i="119"/>
  <c r="V33" i="119"/>
  <c r="U33" i="119"/>
  <c r="T33" i="119"/>
  <c r="R33" i="119"/>
  <c r="Q33" i="119"/>
  <c r="P33" i="119"/>
  <c r="I33" i="119"/>
  <c r="E33" i="119"/>
  <c r="AD32" i="119"/>
  <c r="AC32" i="119"/>
  <c r="X32" i="119"/>
  <c r="W32" i="119"/>
  <c r="V32" i="119"/>
  <c r="U32" i="119"/>
  <c r="T32" i="119"/>
  <c r="R32" i="119"/>
  <c r="Q32" i="119"/>
  <c r="P32" i="119"/>
  <c r="I32" i="119"/>
  <c r="E32" i="119"/>
  <c r="AD31" i="119"/>
  <c r="AC31" i="119"/>
  <c r="X31" i="119"/>
  <c r="W31" i="119"/>
  <c r="V31" i="119"/>
  <c r="U31" i="119"/>
  <c r="T31" i="119"/>
  <c r="R31" i="119"/>
  <c r="Q31" i="119"/>
  <c r="P31" i="119"/>
  <c r="I31" i="119"/>
  <c r="E31" i="119"/>
  <c r="AD30" i="119"/>
  <c r="AC30" i="119"/>
  <c r="X30" i="119"/>
  <c r="W30" i="119"/>
  <c r="V30" i="119"/>
  <c r="U30" i="119"/>
  <c r="T30" i="119"/>
  <c r="R30" i="119"/>
  <c r="Q30" i="119"/>
  <c r="P30" i="119"/>
  <c r="I30" i="119"/>
  <c r="E30" i="119"/>
  <c r="AD29" i="119"/>
  <c r="AC29" i="119"/>
  <c r="X29" i="119"/>
  <c r="W29" i="119"/>
  <c r="V29" i="119"/>
  <c r="U29" i="119"/>
  <c r="T29" i="119"/>
  <c r="R29" i="119"/>
  <c r="Q29" i="119"/>
  <c r="P29" i="119"/>
  <c r="I29" i="119"/>
  <c r="E29" i="119"/>
  <c r="AD28" i="119"/>
  <c r="AC28" i="119"/>
  <c r="X28" i="119"/>
  <c r="W28" i="119"/>
  <c r="V28" i="119"/>
  <c r="U28" i="119"/>
  <c r="T28" i="119"/>
  <c r="R28" i="119"/>
  <c r="Q28" i="119"/>
  <c r="P28" i="119"/>
  <c r="I28" i="119"/>
  <c r="E28" i="119"/>
  <c r="AD27" i="119"/>
  <c r="AC27" i="119"/>
  <c r="X27" i="119"/>
  <c r="W27" i="119"/>
  <c r="V27" i="119"/>
  <c r="U27" i="119"/>
  <c r="T27" i="119"/>
  <c r="R27" i="119"/>
  <c r="Q27" i="119"/>
  <c r="P27" i="119"/>
  <c r="I27" i="119"/>
  <c r="E27" i="119"/>
  <c r="AD26" i="119"/>
  <c r="AC26" i="119"/>
  <c r="X26" i="119"/>
  <c r="W26" i="119"/>
  <c r="V26" i="119"/>
  <c r="U26" i="119"/>
  <c r="T26" i="119"/>
  <c r="R26" i="119"/>
  <c r="Q26" i="119"/>
  <c r="P26" i="119"/>
  <c r="I26" i="119"/>
  <c r="E26" i="119"/>
  <c r="AD25" i="119"/>
  <c r="AC25" i="119"/>
  <c r="X25" i="119"/>
  <c r="W25" i="119"/>
  <c r="V25" i="119"/>
  <c r="U25" i="119"/>
  <c r="T25" i="119"/>
  <c r="R25" i="119"/>
  <c r="Q25" i="119"/>
  <c r="P25" i="119"/>
  <c r="I25" i="119"/>
  <c r="E25" i="119"/>
  <c r="AD24" i="119"/>
  <c r="AC24" i="119"/>
  <c r="X24" i="119"/>
  <c r="W24" i="119"/>
  <c r="V24" i="119"/>
  <c r="U24" i="119"/>
  <c r="T24" i="119"/>
  <c r="R24" i="119"/>
  <c r="Q24" i="119"/>
  <c r="P24" i="119"/>
  <c r="I24" i="119"/>
  <c r="E24" i="119"/>
  <c r="AD23" i="119"/>
  <c r="AC23" i="119"/>
  <c r="X23" i="119"/>
  <c r="W23" i="119"/>
  <c r="V23" i="119"/>
  <c r="U23" i="119"/>
  <c r="T23" i="119"/>
  <c r="R23" i="119"/>
  <c r="Q23" i="119"/>
  <c r="P23" i="119"/>
  <c r="I23" i="119"/>
  <c r="E23" i="119"/>
  <c r="AD22" i="119"/>
  <c r="AC22" i="119"/>
  <c r="X22" i="119"/>
  <c r="W22" i="119"/>
  <c r="V22" i="119"/>
  <c r="U22" i="119"/>
  <c r="T22" i="119"/>
  <c r="R22" i="119"/>
  <c r="Q22" i="119"/>
  <c r="P22" i="119"/>
  <c r="I22" i="119"/>
  <c r="E22" i="119"/>
  <c r="AD21" i="119"/>
  <c r="AC21" i="119"/>
  <c r="X21" i="119"/>
  <c r="W21" i="119"/>
  <c r="V21" i="119"/>
  <c r="U21" i="119"/>
  <c r="T21" i="119"/>
  <c r="R21" i="119"/>
  <c r="Q21" i="119"/>
  <c r="P21" i="119"/>
  <c r="I21" i="119"/>
  <c r="E21" i="119"/>
  <c r="AD20" i="119"/>
  <c r="AC20" i="119"/>
  <c r="X20" i="119"/>
  <c r="W20" i="119"/>
  <c r="V20" i="119"/>
  <c r="U20" i="119"/>
  <c r="T20" i="119"/>
  <c r="R20" i="119"/>
  <c r="Q20" i="119"/>
  <c r="P20" i="119"/>
  <c r="I20" i="119"/>
  <c r="E20" i="119"/>
  <c r="AD19" i="119"/>
  <c r="AC19" i="119"/>
  <c r="X19" i="119"/>
  <c r="W19" i="119"/>
  <c r="V19" i="119"/>
  <c r="U19" i="119"/>
  <c r="T19" i="119"/>
  <c r="R19" i="119"/>
  <c r="Q19" i="119"/>
  <c r="P19" i="119"/>
  <c r="I19" i="119"/>
  <c r="E19" i="119"/>
  <c r="AD18" i="119"/>
  <c r="AC18" i="119"/>
  <c r="X18" i="119"/>
  <c r="W18" i="119"/>
  <c r="V18" i="119"/>
  <c r="U18" i="119"/>
  <c r="T18" i="119"/>
  <c r="R18" i="119"/>
  <c r="Q18" i="119"/>
  <c r="P18" i="119"/>
  <c r="I18" i="119"/>
  <c r="E18" i="119"/>
  <c r="AD17" i="119"/>
  <c r="AC17" i="119"/>
  <c r="X17" i="119"/>
  <c r="W17" i="119"/>
  <c r="V17" i="119"/>
  <c r="U17" i="119"/>
  <c r="T17" i="119"/>
  <c r="R17" i="119"/>
  <c r="Q17" i="119"/>
  <c r="P17" i="119"/>
  <c r="I17" i="119"/>
  <c r="E17" i="119"/>
  <c r="AD16" i="119"/>
  <c r="AC16" i="119"/>
  <c r="X16" i="119"/>
  <c r="W16" i="119"/>
  <c r="V16" i="119"/>
  <c r="U16" i="119"/>
  <c r="T16" i="119"/>
  <c r="R16" i="119"/>
  <c r="Q16" i="119"/>
  <c r="P16" i="119"/>
  <c r="I16" i="119"/>
  <c r="E16" i="119"/>
  <c r="AD15" i="119"/>
  <c r="AC15" i="119"/>
  <c r="X15" i="119"/>
  <c r="W15" i="119"/>
  <c r="V15" i="119"/>
  <c r="U15" i="119"/>
  <c r="T15" i="119"/>
  <c r="R15" i="119"/>
  <c r="Q15" i="119"/>
  <c r="P15" i="119"/>
  <c r="I15" i="119"/>
  <c r="E15" i="119"/>
  <c r="AD14" i="119"/>
  <c r="AC14" i="119"/>
  <c r="X14" i="119"/>
  <c r="W14" i="119"/>
  <c r="V14" i="119"/>
  <c r="U14" i="119"/>
  <c r="T14" i="119"/>
  <c r="R14" i="119"/>
  <c r="Q14" i="119"/>
  <c r="P14" i="119"/>
  <c r="I14" i="119"/>
  <c r="E14" i="119"/>
  <c r="AD13" i="119"/>
  <c r="AC13" i="119"/>
  <c r="X13" i="119"/>
  <c r="W13" i="119"/>
  <c r="V13" i="119"/>
  <c r="U13" i="119"/>
  <c r="T13" i="119"/>
  <c r="R13" i="119"/>
  <c r="Q13" i="119"/>
  <c r="P13" i="119"/>
  <c r="I13" i="119"/>
  <c r="E13" i="119"/>
  <c r="AD12" i="119"/>
  <c r="AC12" i="119"/>
  <c r="X12" i="119"/>
  <c r="W12" i="119"/>
  <c r="V12" i="119"/>
  <c r="U12" i="119"/>
  <c r="T12" i="119"/>
  <c r="R12" i="119"/>
  <c r="Q12" i="119"/>
  <c r="P12" i="119"/>
  <c r="I12" i="119"/>
  <c r="E12" i="119"/>
  <c r="AD11" i="119"/>
  <c r="AC11" i="119"/>
  <c r="X11" i="119"/>
  <c r="W11" i="119"/>
  <c r="V11" i="119"/>
  <c r="U11" i="119"/>
  <c r="T11" i="119"/>
  <c r="R11" i="119"/>
  <c r="Q11" i="119"/>
  <c r="P11" i="119"/>
  <c r="I11" i="119"/>
  <c r="E11" i="119"/>
  <c r="AD10" i="119"/>
  <c r="AC10" i="119"/>
  <c r="X10" i="119"/>
  <c r="W10" i="119"/>
  <c r="V10" i="119"/>
  <c r="U10" i="119"/>
  <c r="T10" i="119"/>
  <c r="R10" i="119"/>
  <c r="Q10" i="119"/>
  <c r="P10" i="119"/>
  <c r="I10" i="119"/>
  <c r="E10" i="119"/>
  <c r="AD9" i="119"/>
  <c r="AC9" i="119"/>
  <c r="X9" i="119"/>
  <c r="W9" i="119"/>
  <c r="V9" i="119"/>
  <c r="U9" i="119"/>
  <c r="T9" i="119"/>
  <c r="R9" i="119"/>
  <c r="Q9" i="119"/>
  <c r="P9" i="119"/>
  <c r="I9" i="119"/>
  <c r="E9" i="119"/>
  <c r="AD8" i="119"/>
  <c r="AC8" i="119"/>
  <c r="X8" i="119"/>
  <c r="W8" i="119"/>
  <c r="V8" i="119"/>
  <c r="U8" i="119"/>
  <c r="T8" i="119"/>
  <c r="R8" i="119"/>
  <c r="Q8" i="119"/>
  <c r="P8" i="119"/>
  <c r="I8" i="119"/>
  <c r="E8" i="119"/>
  <c r="AD7" i="119"/>
  <c r="AC7" i="119"/>
  <c r="X7" i="119"/>
  <c r="W7" i="119"/>
  <c r="V7" i="119"/>
  <c r="U7" i="119"/>
  <c r="T7" i="119"/>
  <c r="R7" i="119"/>
  <c r="Q7" i="119"/>
  <c r="P7" i="119"/>
  <c r="I7" i="119"/>
  <c r="E7" i="119"/>
  <c r="AD36" i="118"/>
  <c r="AC36" i="118"/>
  <c r="X36" i="118"/>
  <c r="W36" i="118"/>
  <c r="V36" i="118"/>
  <c r="U36" i="118"/>
  <c r="T36" i="118"/>
  <c r="R36" i="118"/>
  <c r="Q36" i="118"/>
  <c r="P36" i="118"/>
  <c r="I36" i="118"/>
  <c r="E36" i="118"/>
  <c r="AD35" i="118"/>
  <c r="AC35" i="118"/>
  <c r="X35" i="118"/>
  <c r="W35" i="118"/>
  <c r="V35" i="118"/>
  <c r="U35" i="118"/>
  <c r="T35" i="118"/>
  <c r="R35" i="118"/>
  <c r="Q35" i="118"/>
  <c r="P35" i="118"/>
  <c r="I35" i="118"/>
  <c r="E35" i="118"/>
  <c r="AD34" i="118"/>
  <c r="AC34" i="118"/>
  <c r="X34" i="118"/>
  <c r="W34" i="118"/>
  <c r="V34" i="118"/>
  <c r="U34" i="118"/>
  <c r="T34" i="118"/>
  <c r="R34" i="118"/>
  <c r="Q34" i="118"/>
  <c r="P34" i="118"/>
  <c r="I34" i="118"/>
  <c r="E34" i="118"/>
  <c r="AD33" i="118"/>
  <c r="AC33" i="118"/>
  <c r="X33" i="118"/>
  <c r="W33" i="118"/>
  <c r="V33" i="118"/>
  <c r="U33" i="118"/>
  <c r="T33" i="118"/>
  <c r="R33" i="118"/>
  <c r="Q33" i="118"/>
  <c r="P33" i="118"/>
  <c r="I33" i="118"/>
  <c r="E33" i="118"/>
  <c r="AD32" i="118"/>
  <c r="AC32" i="118"/>
  <c r="X32" i="118"/>
  <c r="W32" i="118"/>
  <c r="V32" i="118"/>
  <c r="U32" i="118"/>
  <c r="T32" i="118"/>
  <c r="R32" i="118"/>
  <c r="Q32" i="118"/>
  <c r="P32" i="118"/>
  <c r="I32" i="118"/>
  <c r="E32" i="118"/>
  <c r="AD31" i="118"/>
  <c r="AC31" i="118"/>
  <c r="X31" i="118"/>
  <c r="W31" i="118"/>
  <c r="V31" i="118"/>
  <c r="U31" i="118"/>
  <c r="T31" i="118"/>
  <c r="R31" i="118"/>
  <c r="Q31" i="118"/>
  <c r="P31" i="118"/>
  <c r="I31" i="118"/>
  <c r="E31" i="118"/>
  <c r="AD30" i="118"/>
  <c r="AC30" i="118"/>
  <c r="X30" i="118"/>
  <c r="W30" i="118"/>
  <c r="V30" i="118"/>
  <c r="U30" i="118"/>
  <c r="T30" i="118"/>
  <c r="R30" i="118"/>
  <c r="Q30" i="118"/>
  <c r="P30" i="118"/>
  <c r="I30" i="118"/>
  <c r="E30" i="118"/>
  <c r="AD29" i="118"/>
  <c r="AC29" i="118"/>
  <c r="X29" i="118"/>
  <c r="W29" i="118"/>
  <c r="V29" i="118"/>
  <c r="U29" i="118"/>
  <c r="T29" i="118"/>
  <c r="R29" i="118"/>
  <c r="Q29" i="118"/>
  <c r="P29" i="118"/>
  <c r="I29" i="118"/>
  <c r="E29" i="118"/>
  <c r="AD28" i="118"/>
  <c r="AC28" i="118"/>
  <c r="X28" i="118"/>
  <c r="W28" i="118"/>
  <c r="V28" i="118"/>
  <c r="U28" i="118"/>
  <c r="T28" i="118"/>
  <c r="R28" i="118"/>
  <c r="Q28" i="118"/>
  <c r="P28" i="118"/>
  <c r="I28" i="118"/>
  <c r="E28" i="118"/>
  <c r="AD27" i="118"/>
  <c r="AC27" i="118"/>
  <c r="X27" i="118"/>
  <c r="W27" i="118"/>
  <c r="V27" i="118"/>
  <c r="U27" i="118"/>
  <c r="T27" i="118"/>
  <c r="R27" i="118"/>
  <c r="Q27" i="118"/>
  <c r="P27" i="118"/>
  <c r="I27" i="118"/>
  <c r="E27" i="118"/>
  <c r="AD26" i="118"/>
  <c r="AC26" i="118"/>
  <c r="X26" i="118"/>
  <c r="W26" i="118"/>
  <c r="V26" i="118"/>
  <c r="U26" i="118"/>
  <c r="T26" i="118"/>
  <c r="R26" i="118"/>
  <c r="Q26" i="118"/>
  <c r="P26" i="118"/>
  <c r="I26" i="118"/>
  <c r="E26" i="118"/>
  <c r="AD25" i="118"/>
  <c r="AC25" i="118"/>
  <c r="X25" i="118"/>
  <c r="W25" i="118"/>
  <c r="V25" i="118"/>
  <c r="U25" i="118"/>
  <c r="T25" i="118"/>
  <c r="R25" i="118"/>
  <c r="Q25" i="118"/>
  <c r="P25" i="118"/>
  <c r="I25" i="118"/>
  <c r="E25" i="118"/>
  <c r="AD24" i="118"/>
  <c r="AC24" i="118"/>
  <c r="X24" i="118"/>
  <c r="W24" i="118"/>
  <c r="V24" i="118"/>
  <c r="U24" i="118"/>
  <c r="T24" i="118"/>
  <c r="R24" i="118"/>
  <c r="Q24" i="118"/>
  <c r="P24" i="118"/>
  <c r="I24" i="118"/>
  <c r="E24" i="118"/>
  <c r="AD23" i="118"/>
  <c r="AC23" i="118"/>
  <c r="X23" i="118"/>
  <c r="W23" i="118"/>
  <c r="V23" i="118"/>
  <c r="U23" i="118"/>
  <c r="T23" i="118"/>
  <c r="R23" i="118"/>
  <c r="Q23" i="118"/>
  <c r="P23" i="118"/>
  <c r="I23" i="118"/>
  <c r="E23" i="118"/>
  <c r="AD22" i="118"/>
  <c r="AC22" i="118"/>
  <c r="X22" i="118"/>
  <c r="W22" i="118"/>
  <c r="V22" i="118"/>
  <c r="U22" i="118"/>
  <c r="T22" i="118"/>
  <c r="R22" i="118"/>
  <c r="Q22" i="118"/>
  <c r="P22" i="118"/>
  <c r="I22" i="118"/>
  <c r="E22" i="118"/>
  <c r="AD21" i="118"/>
  <c r="AC21" i="118"/>
  <c r="X21" i="118"/>
  <c r="W21" i="118"/>
  <c r="V21" i="118"/>
  <c r="U21" i="118"/>
  <c r="T21" i="118"/>
  <c r="R21" i="118"/>
  <c r="Q21" i="118"/>
  <c r="P21" i="118"/>
  <c r="I21" i="118"/>
  <c r="E21" i="118"/>
  <c r="AD20" i="118"/>
  <c r="AC20" i="118"/>
  <c r="X20" i="118"/>
  <c r="W20" i="118"/>
  <c r="V20" i="118"/>
  <c r="U20" i="118"/>
  <c r="T20" i="118"/>
  <c r="R20" i="118"/>
  <c r="Q20" i="118"/>
  <c r="P20" i="118"/>
  <c r="I20" i="118"/>
  <c r="E20" i="118"/>
  <c r="AD19" i="118"/>
  <c r="AC19" i="118"/>
  <c r="X19" i="118"/>
  <c r="W19" i="118"/>
  <c r="V19" i="118"/>
  <c r="U19" i="118"/>
  <c r="T19" i="118"/>
  <c r="R19" i="118"/>
  <c r="Q19" i="118"/>
  <c r="P19" i="118"/>
  <c r="I19" i="118"/>
  <c r="E19" i="118"/>
  <c r="AD18" i="118"/>
  <c r="AC18" i="118"/>
  <c r="X18" i="118"/>
  <c r="W18" i="118"/>
  <c r="V18" i="118"/>
  <c r="U18" i="118"/>
  <c r="T18" i="118"/>
  <c r="R18" i="118"/>
  <c r="Q18" i="118"/>
  <c r="P18" i="118"/>
  <c r="I18" i="118"/>
  <c r="E18" i="118"/>
  <c r="AD17" i="118"/>
  <c r="AC17" i="118"/>
  <c r="X17" i="118"/>
  <c r="W17" i="118"/>
  <c r="V17" i="118"/>
  <c r="U17" i="118"/>
  <c r="T17" i="118"/>
  <c r="R17" i="118"/>
  <c r="Q17" i="118"/>
  <c r="P17" i="118"/>
  <c r="I17" i="118"/>
  <c r="E17" i="118"/>
  <c r="AD16" i="118"/>
  <c r="AC16" i="118"/>
  <c r="X16" i="118"/>
  <c r="W16" i="118"/>
  <c r="V16" i="118"/>
  <c r="U16" i="118"/>
  <c r="T16" i="118"/>
  <c r="R16" i="118"/>
  <c r="Q16" i="118"/>
  <c r="P16" i="118"/>
  <c r="I16" i="118"/>
  <c r="E16" i="118"/>
  <c r="AD15" i="118"/>
  <c r="AC15" i="118"/>
  <c r="X15" i="118"/>
  <c r="W15" i="118"/>
  <c r="V15" i="118"/>
  <c r="U15" i="118"/>
  <c r="T15" i="118"/>
  <c r="R15" i="118"/>
  <c r="Q15" i="118"/>
  <c r="P15" i="118"/>
  <c r="I15" i="118"/>
  <c r="E15" i="118"/>
  <c r="AD14" i="118"/>
  <c r="AC14" i="118"/>
  <c r="X14" i="118"/>
  <c r="W14" i="118"/>
  <c r="V14" i="118"/>
  <c r="U14" i="118"/>
  <c r="T14" i="118"/>
  <c r="R14" i="118"/>
  <c r="Q14" i="118"/>
  <c r="P14" i="118"/>
  <c r="I14" i="118"/>
  <c r="E14" i="118"/>
  <c r="AD13" i="118"/>
  <c r="AC13" i="118"/>
  <c r="X13" i="118"/>
  <c r="W13" i="118"/>
  <c r="V13" i="118"/>
  <c r="U13" i="118"/>
  <c r="T13" i="118"/>
  <c r="R13" i="118"/>
  <c r="Q13" i="118"/>
  <c r="P13" i="118"/>
  <c r="I13" i="118"/>
  <c r="E13" i="118"/>
  <c r="AD12" i="118"/>
  <c r="AC12" i="118"/>
  <c r="X12" i="118"/>
  <c r="W12" i="118"/>
  <c r="V12" i="118"/>
  <c r="U12" i="118"/>
  <c r="T12" i="118"/>
  <c r="R12" i="118"/>
  <c r="Q12" i="118"/>
  <c r="P12" i="118"/>
  <c r="I12" i="118"/>
  <c r="E12" i="118"/>
  <c r="AD11" i="118"/>
  <c r="AC11" i="118"/>
  <c r="X11" i="118"/>
  <c r="W11" i="118"/>
  <c r="V11" i="118"/>
  <c r="U11" i="118"/>
  <c r="T11" i="118"/>
  <c r="R11" i="118"/>
  <c r="Q11" i="118"/>
  <c r="P11" i="118"/>
  <c r="I11" i="118"/>
  <c r="E11" i="118"/>
  <c r="AD10" i="118"/>
  <c r="AC10" i="118"/>
  <c r="X10" i="118"/>
  <c r="W10" i="118"/>
  <c r="V10" i="118"/>
  <c r="U10" i="118"/>
  <c r="T10" i="118"/>
  <c r="R10" i="118"/>
  <c r="Q10" i="118"/>
  <c r="P10" i="118"/>
  <c r="I10" i="118"/>
  <c r="E10" i="118"/>
  <c r="AD9" i="118"/>
  <c r="AC9" i="118"/>
  <c r="X9" i="118"/>
  <c r="W9" i="118"/>
  <c r="V9" i="118"/>
  <c r="U9" i="118"/>
  <c r="T9" i="118"/>
  <c r="R9" i="118"/>
  <c r="Q9" i="118"/>
  <c r="P9" i="118"/>
  <c r="I9" i="118"/>
  <c r="E9" i="118"/>
  <c r="AD8" i="118"/>
  <c r="AC8" i="118"/>
  <c r="X8" i="118"/>
  <c r="W8" i="118"/>
  <c r="V8" i="118"/>
  <c r="U8" i="118"/>
  <c r="T8" i="118"/>
  <c r="R8" i="118"/>
  <c r="Q8" i="118"/>
  <c r="P8" i="118"/>
  <c r="I8" i="118"/>
  <c r="E8" i="118"/>
  <c r="AD7" i="118"/>
  <c r="AC7" i="118"/>
  <c r="X7" i="118"/>
  <c r="W7" i="118"/>
  <c r="V7" i="118"/>
  <c r="U7" i="118"/>
  <c r="T7" i="118"/>
  <c r="R7" i="118"/>
  <c r="Q7" i="118"/>
  <c r="P7" i="118"/>
  <c r="I7" i="118"/>
  <c r="E7" i="118"/>
  <c r="AD36" i="117"/>
  <c r="AC36" i="117"/>
  <c r="X36" i="117"/>
  <c r="W36" i="117"/>
  <c r="V36" i="117"/>
  <c r="U36" i="117"/>
  <c r="T36" i="117"/>
  <c r="R36" i="117"/>
  <c r="Q36" i="117"/>
  <c r="P36" i="117"/>
  <c r="I36" i="117"/>
  <c r="E36" i="117"/>
  <c r="AD35" i="117"/>
  <c r="AC35" i="117"/>
  <c r="X35" i="117"/>
  <c r="W35" i="117"/>
  <c r="V35" i="117"/>
  <c r="U35" i="117"/>
  <c r="T35" i="117"/>
  <c r="R35" i="117"/>
  <c r="Q35" i="117"/>
  <c r="P35" i="117"/>
  <c r="I35" i="117"/>
  <c r="E35" i="117"/>
  <c r="AD34" i="117"/>
  <c r="AC34" i="117"/>
  <c r="X34" i="117"/>
  <c r="W34" i="117"/>
  <c r="V34" i="117"/>
  <c r="U34" i="117"/>
  <c r="T34" i="117"/>
  <c r="R34" i="117"/>
  <c r="Q34" i="117"/>
  <c r="P34" i="117"/>
  <c r="I34" i="117"/>
  <c r="E34" i="117"/>
  <c r="AD33" i="117"/>
  <c r="AC33" i="117"/>
  <c r="X33" i="117"/>
  <c r="W33" i="117"/>
  <c r="V33" i="117"/>
  <c r="U33" i="117"/>
  <c r="T33" i="117"/>
  <c r="R33" i="117"/>
  <c r="Q33" i="117"/>
  <c r="P33" i="117"/>
  <c r="I33" i="117"/>
  <c r="E33" i="117"/>
  <c r="AD32" i="117"/>
  <c r="AC32" i="117"/>
  <c r="X32" i="117"/>
  <c r="W32" i="117"/>
  <c r="V32" i="117"/>
  <c r="U32" i="117"/>
  <c r="T32" i="117"/>
  <c r="R32" i="117"/>
  <c r="Q32" i="117"/>
  <c r="P32" i="117"/>
  <c r="I32" i="117"/>
  <c r="E32" i="117"/>
  <c r="AD31" i="117"/>
  <c r="AC31" i="117"/>
  <c r="X31" i="117"/>
  <c r="W31" i="117"/>
  <c r="V31" i="117"/>
  <c r="U31" i="117"/>
  <c r="T31" i="117"/>
  <c r="R31" i="117"/>
  <c r="Q31" i="117"/>
  <c r="P31" i="117"/>
  <c r="I31" i="117"/>
  <c r="E31" i="117"/>
  <c r="AD30" i="117"/>
  <c r="AC30" i="117"/>
  <c r="X30" i="117"/>
  <c r="W30" i="117"/>
  <c r="V30" i="117"/>
  <c r="U30" i="117"/>
  <c r="T30" i="117"/>
  <c r="R30" i="117"/>
  <c r="Q30" i="117"/>
  <c r="P30" i="117"/>
  <c r="I30" i="117"/>
  <c r="E30" i="117"/>
  <c r="AD29" i="117"/>
  <c r="AC29" i="117"/>
  <c r="X29" i="117"/>
  <c r="W29" i="117"/>
  <c r="V29" i="117"/>
  <c r="U29" i="117"/>
  <c r="T29" i="117"/>
  <c r="R29" i="117"/>
  <c r="Q29" i="117"/>
  <c r="P29" i="117"/>
  <c r="I29" i="117"/>
  <c r="E29" i="117"/>
  <c r="AD28" i="117"/>
  <c r="AC28" i="117"/>
  <c r="X28" i="117"/>
  <c r="W28" i="117"/>
  <c r="V28" i="117"/>
  <c r="U28" i="117"/>
  <c r="T28" i="117"/>
  <c r="R28" i="117"/>
  <c r="Q28" i="117"/>
  <c r="P28" i="117"/>
  <c r="I28" i="117"/>
  <c r="E28" i="117"/>
  <c r="AD27" i="117"/>
  <c r="AC27" i="117"/>
  <c r="X27" i="117"/>
  <c r="W27" i="117"/>
  <c r="V27" i="117"/>
  <c r="U27" i="117"/>
  <c r="T27" i="117"/>
  <c r="R27" i="117"/>
  <c r="Q27" i="117"/>
  <c r="P27" i="117"/>
  <c r="I27" i="117"/>
  <c r="E27" i="117"/>
  <c r="AD26" i="117"/>
  <c r="AC26" i="117"/>
  <c r="X26" i="117"/>
  <c r="W26" i="117"/>
  <c r="V26" i="117"/>
  <c r="T26" i="117"/>
  <c r="R26" i="117"/>
  <c r="Q26" i="117"/>
  <c r="P26" i="117"/>
  <c r="I26" i="117"/>
  <c r="E26" i="117"/>
  <c r="AD25" i="117"/>
  <c r="AC25" i="117"/>
  <c r="X25" i="117"/>
  <c r="W25" i="117"/>
  <c r="V25" i="117"/>
  <c r="U25" i="117"/>
  <c r="T25" i="117"/>
  <c r="R25" i="117"/>
  <c r="Q25" i="117"/>
  <c r="P25" i="117"/>
  <c r="I25" i="117"/>
  <c r="E25" i="117"/>
  <c r="AD24" i="117"/>
  <c r="AC24" i="117"/>
  <c r="X24" i="117"/>
  <c r="W24" i="117"/>
  <c r="V24" i="117"/>
  <c r="U24" i="117"/>
  <c r="T24" i="117"/>
  <c r="R24" i="117"/>
  <c r="Q24" i="117"/>
  <c r="P24" i="117"/>
  <c r="I24" i="117"/>
  <c r="E24" i="117"/>
  <c r="AD23" i="117"/>
  <c r="AC23" i="117"/>
  <c r="X23" i="117"/>
  <c r="W23" i="117"/>
  <c r="V23" i="117"/>
  <c r="U23" i="117"/>
  <c r="T23" i="117"/>
  <c r="R23" i="117"/>
  <c r="Q23" i="117"/>
  <c r="P23" i="117"/>
  <c r="I23" i="117"/>
  <c r="E23" i="117"/>
  <c r="AD22" i="117"/>
  <c r="AC22" i="117"/>
  <c r="X22" i="117"/>
  <c r="W22" i="117"/>
  <c r="V22" i="117"/>
  <c r="U22" i="117"/>
  <c r="T22" i="117"/>
  <c r="R22" i="117"/>
  <c r="Q22" i="117"/>
  <c r="P22" i="117"/>
  <c r="I22" i="117"/>
  <c r="E22" i="117"/>
  <c r="AD21" i="117"/>
  <c r="AC21" i="117"/>
  <c r="X21" i="117"/>
  <c r="W21" i="117"/>
  <c r="V21" i="117"/>
  <c r="U21" i="117"/>
  <c r="T21" i="117"/>
  <c r="R21" i="117"/>
  <c r="Q21" i="117"/>
  <c r="P21" i="117"/>
  <c r="I21" i="117"/>
  <c r="E21" i="117"/>
  <c r="AD20" i="117"/>
  <c r="AC20" i="117"/>
  <c r="X20" i="117"/>
  <c r="W20" i="117"/>
  <c r="V20" i="117"/>
  <c r="U20" i="117"/>
  <c r="T20" i="117"/>
  <c r="R20" i="117"/>
  <c r="Q20" i="117"/>
  <c r="P20" i="117"/>
  <c r="I20" i="117"/>
  <c r="E20" i="117"/>
  <c r="AD19" i="117"/>
  <c r="AC19" i="117"/>
  <c r="X19" i="117"/>
  <c r="W19" i="117"/>
  <c r="V19" i="117"/>
  <c r="U19" i="117"/>
  <c r="T19" i="117"/>
  <c r="R19" i="117"/>
  <c r="Q19" i="117"/>
  <c r="P19" i="117"/>
  <c r="I19" i="117"/>
  <c r="E19" i="117"/>
  <c r="AD18" i="117"/>
  <c r="AC18" i="117"/>
  <c r="X18" i="117"/>
  <c r="W18" i="117"/>
  <c r="V18" i="117"/>
  <c r="U18" i="117"/>
  <c r="T18" i="117"/>
  <c r="R18" i="117"/>
  <c r="Q18" i="117"/>
  <c r="P18" i="117"/>
  <c r="I18" i="117"/>
  <c r="E18" i="117"/>
  <c r="AD17" i="117"/>
  <c r="AC17" i="117"/>
  <c r="X17" i="117"/>
  <c r="W17" i="117"/>
  <c r="V17" i="117"/>
  <c r="U17" i="117"/>
  <c r="T17" i="117"/>
  <c r="R17" i="117"/>
  <c r="Q17" i="117"/>
  <c r="P17" i="117"/>
  <c r="I17" i="117"/>
  <c r="E17" i="117"/>
  <c r="AD16" i="117"/>
  <c r="AC16" i="117"/>
  <c r="X16" i="117"/>
  <c r="W16" i="117"/>
  <c r="V16" i="117"/>
  <c r="U16" i="117"/>
  <c r="T16" i="117"/>
  <c r="R16" i="117"/>
  <c r="Q16" i="117"/>
  <c r="P16" i="117"/>
  <c r="I16" i="117"/>
  <c r="E16" i="117"/>
  <c r="AD15" i="117"/>
  <c r="AC15" i="117"/>
  <c r="X15" i="117"/>
  <c r="W15" i="117"/>
  <c r="V15" i="117"/>
  <c r="U15" i="117"/>
  <c r="T15" i="117"/>
  <c r="R15" i="117"/>
  <c r="Q15" i="117"/>
  <c r="P15" i="117"/>
  <c r="I15" i="117"/>
  <c r="AD14" i="117"/>
  <c r="AC14" i="117"/>
  <c r="X14" i="117"/>
  <c r="W14" i="117"/>
  <c r="V14" i="117"/>
  <c r="U14" i="117"/>
  <c r="T14" i="117"/>
  <c r="R14" i="117"/>
  <c r="Q14" i="117"/>
  <c r="P14" i="117"/>
  <c r="I14" i="117"/>
  <c r="E14" i="117"/>
  <c r="AD13" i="117"/>
  <c r="AC13" i="117"/>
  <c r="X13" i="117"/>
  <c r="W13" i="117"/>
  <c r="V13" i="117"/>
  <c r="U13" i="117"/>
  <c r="T13" i="117"/>
  <c r="R13" i="117"/>
  <c r="Q13" i="117"/>
  <c r="P13" i="117"/>
  <c r="I13" i="117"/>
  <c r="E13" i="117"/>
  <c r="AD12" i="117"/>
  <c r="AC12" i="117"/>
  <c r="X12" i="117"/>
  <c r="W12" i="117"/>
  <c r="V12" i="117"/>
  <c r="U12" i="117"/>
  <c r="T12" i="117"/>
  <c r="R12" i="117"/>
  <c r="Q12" i="117"/>
  <c r="P12" i="117"/>
  <c r="I12" i="117"/>
  <c r="E12" i="117"/>
  <c r="AD11" i="117"/>
  <c r="AC11" i="117"/>
  <c r="X11" i="117"/>
  <c r="W11" i="117"/>
  <c r="V11" i="117"/>
  <c r="U11" i="117"/>
  <c r="T11" i="117"/>
  <c r="R11" i="117"/>
  <c r="Q11" i="117"/>
  <c r="P11" i="117"/>
  <c r="I11" i="117"/>
  <c r="E11" i="117"/>
  <c r="AD10" i="117"/>
  <c r="AC10" i="117"/>
  <c r="X10" i="117"/>
  <c r="W10" i="117"/>
  <c r="V10" i="117"/>
  <c r="U10" i="117"/>
  <c r="T10" i="117"/>
  <c r="R10" i="117"/>
  <c r="Q10" i="117"/>
  <c r="P10" i="117"/>
  <c r="I10" i="117"/>
  <c r="E10" i="117"/>
  <c r="AD9" i="117"/>
  <c r="AC9" i="117"/>
  <c r="X9" i="117"/>
  <c r="W9" i="117"/>
  <c r="V9" i="117"/>
  <c r="U9" i="117"/>
  <c r="T9" i="117"/>
  <c r="R9" i="117"/>
  <c r="Q9" i="117"/>
  <c r="P9" i="117"/>
  <c r="I9" i="117"/>
  <c r="E9" i="117"/>
  <c r="AD8" i="117"/>
  <c r="AC8" i="117"/>
  <c r="X8" i="117"/>
  <c r="W8" i="117"/>
  <c r="V8" i="117"/>
  <c r="U8" i="117"/>
  <c r="T8" i="117"/>
  <c r="R8" i="117"/>
  <c r="Q8" i="117"/>
  <c r="P8" i="117"/>
  <c r="I8" i="117"/>
  <c r="E8" i="117"/>
  <c r="AD7" i="117"/>
  <c r="AC7" i="117"/>
  <c r="X7" i="117"/>
  <c r="W7" i="117"/>
  <c r="V7" i="117"/>
  <c r="U7" i="117"/>
  <c r="T7" i="117"/>
  <c r="R7" i="117"/>
  <c r="Q7" i="117"/>
  <c r="P7" i="117"/>
  <c r="I7" i="117"/>
  <c r="E7" i="117"/>
  <c r="AD36" i="115"/>
  <c r="AC36" i="115"/>
  <c r="X36" i="115"/>
  <c r="W36" i="115"/>
  <c r="V36" i="115"/>
  <c r="U36" i="115"/>
  <c r="T36" i="115"/>
  <c r="R36" i="115"/>
  <c r="Q36" i="115"/>
  <c r="P36" i="115"/>
  <c r="I36" i="115"/>
  <c r="E36" i="115"/>
  <c r="AD35" i="115"/>
  <c r="AC35" i="115"/>
  <c r="X35" i="115"/>
  <c r="W35" i="115"/>
  <c r="V35" i="115"/>
  <c r="U35" i="115"/>
  <c r="T35" i="115"/>
  <c r="R35" i="115"/>
  <c r="Q35" i="115"/>
  <c r="P35" i="115"/>
  <c r="I35" i="115"/>
  <c r="E35" i="115"/>
  <c r="AD34" i="115"/>
  <c r="AC34" i="115"/>
  <c r="X34" i="115"/>
  <c r="W34" i="115"/>
  <c r="V34" i="115"/>
  <c r="U34" i="115"/>
  <c r="T34" i="115"/>
  <c r="R34" i="115"/>
  <c r="Q34" i="115"/>
  <c r="P34" i="115"/>
  <c r="I34" i="115"/>
  <c r="E34" i="115"/>
  <c r="AD33" i="115"/>
  <c r="AC33" i="115"/>
  <c r="X33" i="115"/>
  <c r="W33" i="115"/>
  <c r="V33" i="115"/>
  <c r="U33" i="115"/>
  <c r="T33" i="115"/>
  <c r="R33" i="115"/>
  <c r="Q33" i="115"/>
  <c r="P33" i="115"/>
  <c r="I33" i="115"/>
  <c r="E33" i="115"/>
  <c r="AD32" i="115"/>
  <c r="AC32" i="115"/>
  <c r="X32" i="115"/>
  <c r="W32" i="115"/>
  <c r="V32" i="115"/>
  <c r="U32" i="115"/>
  <c r="T32" i="115"/>
  <c r="R32" i="115"/>
  <c r="Q32" i="115"/>
  <c r="P32" i="115"/>
  <c r="I32" i="115"/>
  <c r="E32" i="115"/>
  <c r="AD31" i="115"/>
  <c r="AC31" i="115"/>
  <c r="X31" i="115"/>
  <c r="W31" i="115"/>
  <c r="V31" i="115"/>
  <c r="U31" i="115"/>
  <c r="T31" i="115"/>
  <c r="R31" i="115"/>
  <c r="Q31" i="115"/>
  <c r="P31" i="115"/>
  <c r="I31" i="115"/>
  <c r="E31" i="115"/>
  <c r="AD30" i="115"/>
  <c r="AC30" i="115"/>
  <c r="X30" i="115"/>
  <c r="W30" i="115"/>
  <c r="V30" i="115"/>
  <c r="U30" i="115"/>
  <c r="T30" i="115"/>
  <c r="R30" i="115"/>
  <c r="Q30" i="115"/>
  <c r="P30" i="115"/>
  <c r="I30" i="115"/>
  <c r="E30" i="115"/>
  <c r="AD29" i="115"/>
  <c r="AC29" i="115"/>
  <c r="X29" i="115"/>
  <c r="W29" i="115"/>
  <c r="V29" i="115"/>
  <c r="U29" i="115"/>
  <c r="T29" i="115"/>
  <c r="R29" i="115"/>
  <c r="Q29" i="115"/>
  <c r="P29" i="115"/>
  <c r="I29" i="115"/>
  <c r="E29" i="115"/>
  <c r="AD28" i="115"/>
  <c r="AC28" i="115"/>
  <c r="X28" i="115"/>
  <c r="W28" i="115"/>
  <c r="V28" i="115"/>
  <c r="U28" i="115"/>
  <c r="T28" i="115"/>
  <c r="R28" i="115"/>
  <c r="Q28" i="115"/>
  <c r="P28" i="115"/>
  <c r="I28" i="115"/>
  <c r="E28" i="115"/>
  <c r="AD27" i="115"/>
  <c r="AC27" i="115"/>
  <c r="X27" i="115"/>
  <c r="W27" i="115"/>
  <c r="V27" i="115"/>
  <c r="U27" i="115"/>
  <c r="T27" i="115"/>
  <c r="R27" i="115"/>
  <c r="Q27" i="115"/>
  <c r="P27" i="115"/>
  <c r="I27" i="115"/>
  <c r="E27" i="115"/>
  <c r="AD26" i="115"/>
  <c r="AC26" i="115"/>
  <c r="X26" i="115"/>
  <c r="W26" i="115"/>
  <c r="V26" i="115"/>
  <c r="U26" i="115"/>
  <c r="T26" i="115"/>
  <c r="R26" i="115"/>
  <c r="Q26" i="115"/>
  <c r="P26" i="115"/>
  <c r="I26" i="115"/>
  <c r="E26" i="115"/>
  <c r="AD25" i="115"/>
  <c r="AC25" i="115"/>
  <c r="X25" i="115"/>
  <c r="W25" i="115"/>
  <c r="V25" i="115"/>
  <c r="U25" i="115"/>
  <c r="T25" i="115"/>
  <c r="R25" i="115"/>
  <c r="Q25" i="115"/>
  <c r="P25" i="115"/>
  <c r="I25" i="115"/>
  <c r="E25" i="115"/>
  <c r="AD24" i="115"/>
  <c r="AC24" i="115"/>
  <c r="X24" i="115"/>
  <c r="W24" i="115"/>
  <c r="V24" i="115"/>
  <c r="U24" i="115"/>
  <c r="T24" i="115"/>
  <c r="R24" i="115"/>
  <c r="Q24" i="115"/>
  <c r="P24" i="115"/>
  <c r="I24" i="115"/>
  <c r="E24" i="115"/>
  <c r="AD23" i="115"/>
  <c r="AC23" i="115"/>
  <c r="X23" i="115"/>
  <c r="W23" i="115"/>
  <c r="V23" i="115"/>
  <c r="U23" i="115"/>
  <c r="T23" i="115"/>
  <c r="R23" i="115"/>
  <c r="Q23" i="115"/>
  <c r="P23" i="115"/>
  <c r="I23" i="115"/>
  <c r="E23" i="115"/>
  <c r="AD22" i="115"/>
  <c r="AC22" i="115"/>
  <c r="X22" i="115"/>
  <c r="W22" i="115"/>
  <c r="V22" i="115"/>
  <c r="U22" i="115"/>
  <c r="T22" i="115"/>
  <c r="R22" i="115"/>
  <c r="Q22" i="115"/>
  <c r="P22" i="115"/>
  <c r="I22" i="115"/>
  <c r="E22" i="115"/>
  <c r="AD21" i="115"/>
  <c r="AC21" i="115"/>
  <c r="X21" i="115"/>
  <c r="W21" i="115"/>
  <c r="V21" i="115"/>
  <c r="U21" i="115"/>
  <c r="T21" i="115"/>
  <c r="R21" i="115"/>
  <c r="Q21" i="115"/>
  <c r="P21" i="115"/>
  <c r="I21" i="115"/>
  <c r="E21" i="115"/>
  <c r="AD20" i="115"/>
  <c r="AC20" i="115"/>
  <c r="X20" i="115"/>
  <c r="W20" i="115"/>
  <c r="V20" i="115"/>
  <c r="U20" i="115"/>
  <c r="T20" i="115"/>
  <c r="R20" i="115"/>
  <c r="Q20" i="115"/>
  <c r="P20" i="115"/>
  <c r="I20" i="115"/>
  <c r="E20" i="115"/>
  <c r="AD19" i="115"/>
  <c r="AC19" i="115"/>
  <c r="X19" i="115"/>
  <c r="W19" i="115"/>
  <c r="V19" i="115"/>
  <c r="U19" i="115"/>
  <c r="T19" i="115"/>
  <c r="R19" i="115"/>
  <c r="Q19" i="115"/>
  <c r="P19" i="115"/>
  <c r="I19" i="115"/>
  <c r="E19" i="115"/>
  <c r="AD18" i="115"/>
  <c r="AC18" i="115"/>
  <c r="X18" i="115"/>
  <c r="W18" i="115"/>
  <c r="V18" i="115"/>
  <c r="U18" i="115"/>
  <c r="T18" i="115"/>
  <c r="R18" i="115"/>
  <c r="Q18" i="115"/>
  <c r="P18" i="115"/>
  <c r="I18" i="115"/>
  <c r="E18" i="115"/>
  <c r="AD17" i="115"/>
  <c r="AC17" i="115"/>
  <c r="X17" i="115"/>
  <c r="W17" i="115"/>
  <c r="V17" i="115"/>
  <c r="U17" i="115"/>
  <c r="T17" i="115"/>
  <c r="R17" i="115"/>
  <c r="Q17" i="115"/>
  <c r="P17" i="115"/>
  <c r="I17" i="115"/>
  <c r="E17" i="115"/>
  <c r="AD16" i="115"/>
  <c r="AC16" i="115"/>
  <c r="X16" i="115"/>
  <c r="W16" i="115"/>
  <c r="V16" i="115"/>
  <c r="U16" i="115"/>
  <c r="T16" i="115"/>
  <c r="R16" i="115"/>
  <c r="Q16" i="115"/>
  <c r="P16" i="115"/>
  <c r="I16" i="115"/>
  <c r="E16" i="115"/>
  <c r="AD15" i="115"/>
  <c r="AC15" i="115"/>
  <c r="X15" i="115"/>
  <c r="W15" i="115"/>
  <c r="V15" i="115"/>
  <c r="U15" i="115"/>
  <c r="T15" i="115"/>
  <c r="R15" i="115"/>
  <c r="Q15" i="115"/>
  <c r="P15" i="115"/>
  <c r="I15" i="115"/>
  <c r="E15" i="115"/>
  <c r="AD14" i="115"/>
  <c r="AC14" i="115"/>
  <c r="X14" i="115"/>
  <c r="W14" i="115"/>
  <c r="V14" i="115"/>
  <c r="U14" i="115"/>
  <c r="T14" i="115"/>
  <c r="R14" i="115"/>
  <c r="Q14" i="115"/>
  <c r="P14" i="115"/>
  <c r="I14" i="115"/>
  <c r="E14" i="115"/>
  <c r="AD13" i="115"/>
  <c r="AC13" i="115"/>
  <c r="X13" i="115"/>
  <c r="W13" i="115"/>
  <c r="V13" i="115"/>
  <c r="U13" i="115"/>
  <c r="T13" i="115"/>
  <c r="R13" i="115"/>
  <c r="Q13" i="115"/>
  <c r="P13" i="115"/>
  <c r="I13" i="115"/>
  <c r="E13" i="115"/>
  <c r="AD12" i="115"/>
  <c r="AC12" i="115"/>
  <c r="X12" i="115"/>
  <c r="W12" i="115"/>
  <c r="V12" i="115"/>
  <c r="U12" i="115"/>
  <c r="T12" i="115"/>
  <c r="R12" i="115"/>
  <c r="Q12" i="115"/>
  <c r="P12" i="115"/>
  <c r="I12" i="115"/>
  <c r="E12" i="115"/>
  <c r="AD11" i="115"/>
  <c r="AC11" i="115"/>
  <c r="X11" i="115"/>
  <c r="W11" i="115"/>
  <c r="V11" i="115"/>
  <c r="U11" i="115"/>
  <c r="T11" i="115"/>
  <c r="R11" i="115"/>
  <c r="Q11" i="115"/>
  <c r="P11" i="115"/>
  <c r="I11" i="115"/>
  <c r="E11" i="115"/>
  <c r="AD10" i="115"/>
  <c r="AC10" i="115"/>
  <c r="X10" i="115"/>
  <c r="W10" i="115"/>
  <c r="V10" i="115"/>
  <c r="U10" i="115"/>
  <c r="T10" i="115"/>
  <c r="R10" i="115"/>
  <c r="Q10" i="115"/>
  <c r="P10" i="115"/>
  <c r="I10" i="115"/>
  <c r="E10" i="115"/>
  <c r="AD9" i="115"/>
  <c r="AC9" i="115"/>
  <c r="X9" i="115"/>
  <c r="W9" i="115"/>
  <c r="V9" i="115"/>
  <c r="U9" i="115"/>
  <c r="T9" i="115"/>
  <c r="R9" i="115"/>
  <c r="Q9" i="115"/>
  <c r="P9" i="115"/>
  <c r="I9" i="115"/>
  <c r="E9" i="115"/>
  <c r="AD8" i="115"/>
  <c r="AC8" i="115"/>
  <c r="X8" i="115"/>
  <c r="W8" i="115"/>
  <c r="V8" i="115"/>
  <c r="U8" i="115"/>
  <c r="T8" i="115"/>
  <c r="R8" i="115"/>
  <c r="Q8" i="115"/>
  <c r="P8" i="115"/>
  <c r="I8" i="115"/>
  <c r="E8" i="115"/>
  <c r="AD7" i="115"/>
  <c r="AC7" i="115"/>
  <c r="X7" i="115"/>
  <c r="W7" i="115"/>
  <c r="V7" i="115"/>
  <c r="U7" i="115"/>
  <c r="T7" i="115"/>
  <c r="R7" i="115"/>
  <c r="Q7" i="115"/>
  <c r="P7" i="115"/>
  <c r="I7" i="115"/>
  <c r="E7" i="115"/>
  <c r="AD36" i="116"/>
  <c r="AC36" i="116"/>
  <c r="X36" i="116"/>
  <c r="W36" i="116"/>
  <c r="V36" i="116"/>
  <c r="U36" i="116"/>
  <c r="T36" i="116"/>
  <c r="R36" i="116"/>
  <c r="Q36" i="116"/>
  <c r="P36" i="116"/>
  <c r="I36" i="116"/>
  <c r="E36" i="116"/>
  <c r="AD35" i="116"/>
  <c r="AC35" i="116"/>
  <c r="X35" i="116"/>
  <c r="W35" i="116"/>
  <c r="V35" i="116"/>
  <c r="U35" i="116"/>
  <c r="T35" i="116"/>
  <c r="R35" i="116"/>
  <c r="Q35" i="116"/>
  <c r="P35" i="116"/>
  <c r="I35" i="116"/>
  <c r="E35" i="116"/>
  <c r="AD34" i="116"/>
  <c r="AC34" i="116"/>
  <c r="X34" i="116"/>
  <c r="W34" i="116"/>
  <c r="V34" i="116"/>
  <c r="U34" i="116"/>
  <c r="T34" i="116"/>
  <c r="R34" i="116"/>
  <c r="Q34" i="116"/>
  <c r="P34" i="116"/>
  <c r="I34" i="116"/>
  <c r="E34" i="116"/>
  <c r="AD33" i="116"/>
  <c r="AC33" i="116"/>
  <c r="X33" i="116"/>
  <c r="W33" i="116"/>
  <c r="V33" i="116"/>
  <c r="U33" i="116"/>
  <c r="T33" i="116"/>
  <c r="R33" i="116"/>
  <c r="Q33" i="116"/>
  <c r="P33" i="116"/>
  <c r="I33" i="116"/>
  <c r="E33" i="116"/>
  <c r="AD32" i="116"/>
  <c r="AC32" i="116"/>
  <c r="X32" i="116"/>
  <c r="W32" i="116"/>
  <c r="V32" i="116"/>
  <c r="U32" i="116"/>
  <c r="T32" i="116"/>
  <c r="R32" i="116"/>
  <c r="Q32" i="116"/>
  <c r="P32" i="116"/>
  <c r="I32" i="116"/>
  <c r="E32" i="116"/>
  <c r="AD31" i="116"/>
  <c r="AC31" i="116"/>
  <c r="X31" i="116"/>
  <c r="W31" i="116"/>
  <c r="V31" i="116"/>
  <c r="U31" i="116"/>
  <c r="T31" i="116"/>
  <c r="R31" i="116"/>
  <c r="Q31" i="116"/>
  <c r="P31" i="116"/>
  <c r="I31" i="116"/>
  <c r="E31" i="116"/>
  <c r="AD30" i="116"/>
  <c r="AC30" i="116"/>
  <c r="X30" i="116"/>
  <c r="W30" i="116"/>
  <c r="V30" i="116"/>
  <c r="U30" i="116"/>
  <c r="T30" i="116"/>
  <c r="R30" i="116"/>
  <c r="Q30" i="116"/>
  <c r="P30" i="116"/>
  <c r="I30" i="116"/>
  <c r="E30" i="116"/>
  <c r="AD29" i="116"/>
  <c r="AC29" i="116"/>
  <c r="X29" i="116"/>
  <c r="W29" i="116"/>
  <c r="V29" i="116"/>
  <c r="U29" i="116"/>
  <c r="T29" i="116"/>
  <c r="R29" i="116"/>
  <c r="Q29" i="116"/>
  <c r="P29" i="116"/>
  <c r="I29" i="116"/>
  <c r="E29" i="116"/>
  <c r="AD28" i="116"/>
  <c r="AC28" i="116"/>
  <c r="X28" i="116"/>
  <c r="W28" i="116"/>
  <c r="V28" i="116"/>
  <c r="U28" i="116"/>
  <c r="T28" i="116"/>
  <c r="R28" i="116"/>
  <c r="Q28" i="116"/>
  <c r="P28" i="116"/>
  <c r="I28" i="116"/>
  <c r="E28" i="116"/>
  <c r="AD27" i="116"/>
  <c r="AC27" i="116"/>
  <c r="X27" i="116"/>
  <c r="W27" i="116"/>
  <c r="V27" i="116"/>
  <c r="U27" i="116"/>
  <c r="T27" i="116"/>
  <c r="R27" i="116"/>
  <c r="Q27" i="116"/>
  <c r="P27" i="116"/>
  <c r="I27" i="116"/>
  <c r="E27" i="116"/>
  <c r="AD26" i="116"/>
  <c r="AC26" i="116"/>
  <c r="X26" i="116"/>
  <c r="W26" i="116"/>
  <c r="V26" i="116"/>
  <c r="U26" i="116"/>
  <c r="T26" i="116"/>
  <c r="R26" i="116"/>
  <c r="Q26" i="116"/>
  <c r="P26" i="116"/>
  <c r="I26" i="116"/>
  <c r="E26" i="116"/>
  <c r="AD25" i="116"/>
  <c r="AC25" i="116"/>
  <c r="X25" i="116"/>
  <c r="W25" i="116"/>
  <c r="V25" i="116"/>
  <c r="U25" i="116"/>
  <c r="T25" i="116"/>
  <c r="R25" i="116"/>
  <c r="Q25" i="116"/>
  <c r="P25" i="116"/>
  <c r="I25" i="116"/>
  <c r="E25" i="116"/>
  <c r="AD24" i="116"/>
  <c r="AC24" i="116"/>
  <c r="X24" i="116"/>
  <c r="W24" i="116"/>
  <c r="V24" i="116"/>
  <c r="U24" i="116"/>
  <c r="T24" i="116"/>
  <c r="R24" i="116"/>
  <c r="Q24" i="116"/>
  <c r="P24" i="116"/>
  <c r="I24" i="116"/>
  <c r="E24" i="116"/>
  <c r="AD23" i="116"/>
  <c r="AC23" i="116"/>
  <c r="X23" i="116"/>
  <c r="W23" i="116"/>
  <c r="V23" i="116"/>
  <c r="U23" i="116"/>
  <c r="T23" i="116"/>
  <c r="R23" i="116"/>
  <c r="Q23" i="116"/>
  <c r="P23" i="116"/>
  <c r="I23" i="116"/>
  <c r="E23" i="116"/>
  <c r="AD22" i="116"/>
  <c r="AC22" i="116"/>
  <c r="X22" i="116"/>
  <c r="W22" i="116"/>
  <c r="V22" i="116"/>
  <c r="U22" i="116"/>
  <c r="T22" i="116"/>
  <c r="R22" i="116"/>
  <c r="Q22" i="116"/>
  <c r="P22" i="116"/>
  <c r="I22" i="116"/>
  <c r="E22" i="116"/>
  <c r="AD21" i="116"/>
  <c r="AC21" i="116"/>
  <c r="X21" i="116"/>
  <c r="W21" i="116"/>
  <c r="V21" i="116"/>
  <c r="U21" i="116"/>
  <c r="T21" i="116"/>
  <c r="R21" i="116"/>
  <c r="Q21" i="116"/>
  <c r="P21" i="116"/>
  <c r="I21" i="116"/>
  <c r="E21" i="116"/>
  <c r="AD20" i="116"/>
  <c r="AC20" i="116"/>
  <c r="X20" i="116"/>
  <c r="W20" i="116"/>
  <c r="V20" i="116"/>
  <c r="U20" i="116"/>
  <c r="T20" i="116"/>
  <c r="R20" i="116"/>
  <c r="Q20" i="116"/>
  <c r="P20" i="116"/>
  <c r="I20" i="116"/>
  <c r="E20" i="116"/>
  <c r="AD19" i="116"/>
  <c r="AC19" i="116"/>
  <c r="X19" i="116"/>
  <c r="W19" i="116"/>
  <c r="V19" i="116"/>
  <c r="U19" i="116"/>
  <c r="T19" i="116"/>
  <c r="R19" i="116"/>
  <c r="Q19" i="116"/>
  <c r="P19" i="116"/>
  <c r="I19" i="116"/>
  <c r="E19" i="116"/>
  <c r="AD18" i="116"/>
  <c r="AC18" i="116"/>
  <c r="X18" i="116"/>
  <c r="W18" i="116"/>
  <c r="V18" i="116"/>
  <c r="U18" i="116"/>
  <c r="T18" i="116"/>
  <c r="R18" i="116"/>
  <c r="Q18" i="116"/>
  <c r="P18" i="116"/>
  <c r="I18" i="116"/>
  <c r="E18" i="116"/>
  <c r="AD17" i="116"/>
  <c r="AC17" i="116"/>
  <c r="X17" i="116"/>
  <c r="W17" i="116"/>
  <c r="V17" i="116"/>
  <c r="U17" i="116"/>
  <c r="T17" i="116"/>
  <c r="R17" i="116"/>
  <c r="Q17" i="116"/>
  <c r="P17" i="116"/>
  <c r="I17" i="116"/>
  <c r="E17" i="116"/>
  <c r="AD16" i="116"/>
  <c r="AC16" i="116"/>
  <c r="X16" i="116"/>
  <c r="W16" i="116"/>
  <c r="V16" i="116"/>
  <c r="U16" i="116"/>
  <c r="T16" i="116"/>
  <c r="R16" i="116"/>
  <c r="Q16" i="116"/>
  <c r="P16" i="116"/>
  <c r="I16" i="116"/>
  <c r="E16" i="116"/>
  <c r="AD15" i="116"/>
  <c r="AC15" i="116"/>
  <c r="X15" i="116"/>
  <c r="W15" i="116"/>
  <c r="V15" i="116"/>
  <c r="U15" i="116"/>
  <c r="T15" i="116"/>
  <c r="R15" i="116"/>
  <c r="Q15" i="116"/>
  <c r="P15" i="116"/>
  <c r="I15" i="116"/>
  <c r="E15" i="116"/>
  <c r="AD14" i="116"/>
  <c r="AC14" i="116"/>
  <c r="X14" i="116"/>
  <c r="W14" i="116"/>
  <c r="V14" i="116"/>
  <c r="U14" i="116"/>
  <c r="T14" i="116"/>
  <c r="R14" i="116"/>
  <c r="Q14" i="116"/>
  <c r="P14" i="116"/>
  <c r="I14" i="116"/>
  <c r="E14" i="116"/>
  <c r="AD13" i="116"/>
  <c r="AC13" i="116"/>
  <c r="X13" i="116"/>
  <c r="W13" i="116"/>
  <c r="V13" i="116"/>
  <c r="U13" i="116"/>
  <c r="T13" i="116"/>
  <c r="R13" i="116"/>
  <c r="Q13" i="116"/>
  <c r="P13" i="116"/>
  <c r="I13" i="116"/>
  <c r="E13" i="116"/>
  <c r="AD12" i="116"/>
  <c r="AC12" i="116"/>
  <c r="X12" i="116"/>
  <c r="W12" i="116"/>
  <c r="V12" i="116"/>
  <c r="U12" i="116"/>
  <c r="T12" i="116"/>
  <c r="R12" i="116"/>
  <c r="Q12" i="116"/>
  <c r="P12" i="116"/>
  <c r="I12" i="116"/>
  <c r="E12" i="116"/>
  <c r="AD11" i="116"/>
  <c r="AC11" i="116"/>
  <c r="X11" i="116"/>
  <c r="W11" i="116"/>
  <c r="V11" i="116"/>
  <c r="U11" i="116"/>
  <c r="T11" i="116"/>
  <c r="R11" i="116"/>
  <c r="Q11" i="116"/>
  <c r="P11" i="116"/>
  <c r="I11" i="116"/>
  <c r="E11" i="116"/>
  <c r="AD10" i="116"/>
  <c r="AC10" i="116"/>
  <c r="X10" i="116"/>
  <c r="W10" i="116"/>
  <c r="V10" i="116"/>
  <c r="U10" i="116"/>
  <c r="T10" i="116"/>
  <c r="R10" i="116"/>
  <c r="Q10" i="116"/>
  <c r="P10" i="116"/>
  <c r="I10" i="116"/>
  <c r="E10" i="116"/>
  <c r="AD9" i="116"/>
  <c r="AC9" i="116"/>
  <c r="X9" i="116"/>
  <c r="W9" i="116"/>
  <c r="V9" i="116"/>
  <c r="U9" i="116"/>
  <c r="T9" i="116"/>
  <c r="R9" i="116"/>
  <c r="Q9" i="116"/>
  <c r="P9" i="116"/>
  <c r="I9" i="116"/>
  <c r="E9" i="116"/>
  <c r="AD8" i="116"/>
  <c r="AC8" i="116"/>
  <c r="X8" i="116"/>
  <c r="W8" i="116"/>
  <c r="V8" i="116"/>
  <c r="U8" i="116"/>
  <c r="T8" i="116"/>
  <c r="R8" i="116"/>
  <c r="Q8" i="116"/>
  <c r="P8" i="116"/>
  <c r="I8" i="116"/>
  <c r="E8" i="116"/>
  <c r="AD7" i="116"/>
  <c r="AC7" i="116"/>
  <c r="X7" i="116"/>
  <c r="W7" i="116"/>
  <c r="V7" i="116"/>
  <c r="U7" i="116"/>
  <c r="T7" i="116"/>
  <c r="R7" i="116"/>
  <c r="Q7" i="116"/>
  <c r="P7" i="116"/>
  <c r="I7" i="116"/>
  <c r="E7" i="116"/>
  <c r="D38" i="132" l="1"/>
  <c r="F6" i="124"/>
  <c r="F6" i="132" s="1"/>
  <c r="V6" i="132" s="1"/>
  <c r="X6" i="132" s="1"/>
  <c r="C6" i="132"/>
  <c r="C38" i="132" s="1"/>
  <c r="P38" i="125"/>
  <c r="O38" i="125"/>
  <c r="L38" i="125"/>
  <c r="K38" i="125"/>
  <c r="J38" i="125"/>
  <c r="H38" i="125"/>
  <c r="G38" i="125"/>
  <c r="C38" i="125"/>
  <c r="S37" i="125"/>
  <c r="M37" i="125"/>
  <c r="N37" i="125" s="1"/>
  <c r="R37" i="125" s="1"/>
  <c r="S36" i="125"/>
  <c r="M36" i="125"/>
  <c r="F36" i="125"/>
  <c r="E36" i="125"/>
  <c r="D36" i="125"/>
  <c r="B36" i="125"/>
  <c r="S35" i="125"/>
  <c r="M35" i="125"/>
  <c r="F35" i="125"/>
  <c r="E35" i="125"/>
  <c r="D35" i="125"/>
  <c r="B35" i="125"/>
  <c r="M34" i="125"/>
  <c r="F34" i="125"/>
  <c r="E34" i="125"/>
  <c r="D34" i="125"/>
  <c r="B34" i="125"/>
  <c r="S33" i="125"/>
  <c r="M33" i="125"/>
  <c r="F33" i="125"/>
  <c r="E33" i="125"/>
  <c r="D33" i="125"/>
  <c r="B33" i="125"/>
  <c r="S32" i="125"/>
  <c r="M32" i="125"/>
  <c r="F32" i="125"/>
  <c r="E32" i="125"/>
  <c r="D32" i="125"/>
  <c r="B32" i="125"/>
  <c r="S31" i="125"/>
  <c r="M31" i="125"/>
  <c r="F31" i="125"/>
  <c r="E31" i="125"/>
  <c r="D31" i="125"/>
  <c r="B31" i="125"/>
  <c r="S30" i="125"/>
  <c r="M30" i="125"/>
  <c r="F30" i="125"/>
  <c r="E30" i="125"/>
  <c r="D30" i="125"/>
  <c r="B30" i="125"/>
  <c r="S29" i="125"/>
  <c r="M29" i="125"/>
  <c r="F29" i="125"/>
  <c r="E29" i="125"/>
  <c r="D29" i="125"/>
  <c r="B29" i="125"/>
  <c r="S28" i="125"/>
  <c r="M28" i="125"/>
  <c r="F28" i="125"/>
  <c r="E28" i="125"/>
  <c r="D28" i="125"/>
  <c r="B28" i="125"/>
  <c r="M27" i="125"/>
  <c r="F27" i="125"/>
  <c r="E27" i="125"/>
  <c r="D27" i="125"/>
  <c r="B27" i="125"/>
  <c r="S26" i="125"/>
  <c r="M26" i="125"/>
  <c r="F26" i="125"/>
  <c r="E26" i="125"/>
  <c r="D26" i="125"/>
  <c r="B26" i="125"/>
  <c r="S25" i="125"/>
  <c r="M25" i="125"/>
  <c r="F25" i="125"/>
  <c r="E25" i="125"/>
  <c r="D25" i="125"/>
  <c r="B25" i="125"/>
  <c r="S24" i="125"/>
  <c r="M24" i="125"/>
  <c r="F24" i="125"/>
  <c r="E24" i="125"/>
  <c r="D24" i="125"/>
  <c r="B24" i="125"/>
  <c r="S23" i="125"/>
  <c r="M23" i="125"/>
  <c r="F23" i="125"/>
  <c r="E23" i="125"/>
  <c r="D23" i="125"/>
  <c r="B23" i="125"/>
  <c r="S22" i="125"/>
  <c r="M22" i="125"/>
  <c r="F22" i="125"/>
  <c r="E22" i="125"/>
  <c r="D22" i="125"/>
  <c r="B22" i="125"/>
  <c r="S21" i="125"/>
  <c r="Q21" i="125"/>
  <c r="M21" i="125"/>
  <c r="F21" i="125"/>
  <c r="E21" i="125"/>
  <c r="D21" i="125"/>
  <c r="B21" i="125"/>
  <c r="S20" i="125"/>
  <c r="M20" i="125"/>
  <c r="F20" i="125"/>
  <c r="E20" i="125"/>
  <c r="D20" i="125"/>
  <c r="B20" i="125"/>
  <c r="S19" i="125"/>
  <c r="M19" i="125"/>
  <c r="F19" i="125"/>
  <c r="E19" i="125"/>
  <c r="D19" i="125"/>
  <c r="B19" i="125"/>
  <c r="S18" i="125"/>
  <c r="M18" i="125"/>
  <c r="F18" i="125"/>
  <c r="E18" i="125"/>
  <c r="D18" i="125"/>
  <c r="B18" i="125"/>
  <c r="S17" i="125"/>
  <c r="M17" i="125"/>
  <c r="F17" i="125"/>
  <c r="E17" i="125"/>
  <c r="D17" i="125"/>
  <c r="B17" i="125"/>
  <c r="S16" i="125"/>
  <c r="Q16" i="125"/>
  <c r="Q38" i="125" s="1"/>
  <c r="P16" i="125"/>
  <c r="M16" i="125"/>
  <c r="F16" i="125"/>
  <c r="E16" i="125"/>
  <c r="D16" i="125"/>
  <c r="B16" i="125"/>
  <c r="S15" i="125"/>
  <c r="M15" i="125"/>
  <c r="F15" i="125"/>
  <c r="E15" i="125"/>
  <c r="D15" i="125"/>
  <c r="B15" i="125"/>
  <c r="S14" i="125"/>
  <c r="M14" i="125"/>
  <c r="F14" i="125"/>
  <c r="E14" i="125"/>
  <c r="D14" i="125"/>
  <c r="B14" i="125"/>
  <c r="S13" i="125"/>
  <c r="M13" i="125"/>
  <c r="F13" i="125"/>
  <c r="E13" i="125"/>
  <c r="D13" i="125"/>
  <c r="B13" i="125"/>
  <c r="S12" i="125"/>
  <c r="M12" i="125"/>
  <c r="F12" i="125"/>
  <c r="E12" i="125"/>
  <c r="D12" i="125"/>
  <c r="B12" i="125"/>
  <c r="S11" i="125"/>
  <c r="M11" i="125"/>
  <c r="F11" i="125"/>
  <c r="E11" i="125"/>
  <c r="D11" i="125"/>
  <c r="B11" i="125"/>
  <c r="S10" i="125"/>
  <c r="M10" i="125"/>
  <c r="F10" i="125"/>
  <c r="E10" i="125"/>
  <c r="D10" i="125"/>
  <c r="B10" i="125"/>
  <c r="M9" i="125"/>
  <c r="F9" i="125"/>
  <c r="E9" i="125"/>
  <c r="D9" i="125"/>
  <c r="B9" i="125"/>
  <c r="S8" i="125"/>
  <c r="M8" i="125"/>
  <c r="F8" i="125"/>
  <c r="E8" i="125"/>
  <c r="D8" i="125"/>
  <c r="B8" i="125"/>
  <c r="S7" i="125"/>
  <c r="M7" i="125"/>
  <c r="F7" i="125"/>
  <c r="E7" i="125"/>
  <c r="D7" i="125"/>
  <c r="B7" i="125"/>
  <c r="S6" i="125"/>
  <c r="M6" i="125"/>
  <c r="M38" i="125" s="1"/>
  <c r="F6" i="125"/>
  <c r="E6" i="125"/>
  <c r="B6" i="125"/>
  <c r="H6" i="124" l="1"/>
  <c r="I16" i="125"/>
  <c r="N16" i="125" s="1"/>
  <c r="R16" i="125" s="1"/>
  <c r="I29" i="125"/>
  <c r="N29" i="125" s="1"/>
  <c r="R29" i="125" s="1"/>
  <c r="I31" i="125"/>
  <c r="N31" i="125" s="1"/>
  <c r="R31" i="125" s="1"/>
  <c r="I33" i="125"/>
  <c r="N33" i="125" s="1"/>
  <c r="R33" i="125" s="1"/>
  <c r="I18" i="125"/>
  <c r="N18" i="125" s="1"/>
  <c r="R18" i="125" s="1"/>
  <c r="I20" i="125"/>
  <c r="N20" i="125" s="1"/>
  <c r="R20" i="125" s="1"/>
  <c r="I7" i="125"/>
  <c r="N7" i="125" s="1"/>
  <c r="I22" i="125"/>
  <c r="N22" i="125" s="1"/>
  <c r="R22" i="125" s="1"/>
  <c r="I23" i="125"/>
  <c r="N23" i="125" s="1"/>
  <c r="R23" i="125" s="1"/>
  <c r="I25" i="125"/>
  <c r="N25" i="125" s="1"/>
  <c r="R25" i="125" s="1"/>
  <c r="I27" i="125"/>
  <c r="N27" i="125" s="1"/>
  <c r="S27" i="125" s="1"/>
  <c r="I10" i="125"/>
  <c r="N10" i="125" s="1"/>
  <c r="R10" i="125" s="1"/>
  <c r="I12" i="125"/>
  <c r="N12" i="125" s="1"/>
  <c r="R12" i="125" s="1"/>
  <c r="I14" i="125"/>
  <c r="N14" i="125" s="1"/>
  <c r="R14" i="125" s="1"/>
  <c r="I35" i="125"/>
  <c r="N35" i="125" s="1"/>
  <c r="R35" i="125" s="1"/>
  <c r="I30" i="125"/>
  <c r="N30" i="125" s="1"/>
  <c r="R30" i="125" s="1"/>
  <c r="F38" i="125"/>
  <c r="D38" i="125"/>
  <c r="I11" i="125"/>
  <c r="N11" i="125" s="1"/>
  <c r="R11" i="125" s="1"/>
  <c r="I17" i="125"/>
  <c r="N17" i="125" s="1"/>
  <c r="R17" i="125" s="1"/>
  <c r="I24" i="125"/>
  <c r="N24" i="125" s="1"/>
  <c r="R24" i="125" s="1"/>
  <c r="I28" i="125"/>
  <c r="N28" i="125" s="1"/>
  <c r="R28" i="125" s="1"/>
  <c r="I34" i="125"/>
  <c r="N34" i="125" s="1"/>
  <c r="R34" i="125" s="1"/>
  <c r="E38" i="125"/>
  <c r="I13" i="125"/>
  <c r="N13" i="125" s="1"/>
  <c r="R13" i="125" s="1"/>
  <c r="I19" i="125"/>
  <c r="N19" i="125" s="1"/>
  <c r="R19" i="125" s="1"/>
  <c r="I26" i="125"/>
  <c r="N26" i="125" s="1"/>
  <c r="R26" i="125" s="1"/>
  <c r="I8" i="125"/>
  <c r="N8" i="125" s="1"/>
  <c r="R8" i="125" s="1"/>
  <c r="I9" i="125"/>
  <c r="N9" i="125" s="1"/>
  <c r="R9" i="125" s="1"/>
  <c r="I15" i="125"/>
  <c r="N15" i="125" s="1"/>
  <c r="R15" i="125" s="1"/>
  <c r="I21" i="125"/>
  <c r="N21" i="125" s="1"/>
  <c r="R21" i="125" s="1"/>
  <c r="I32" i="125"/>
  <c r="N32" i="125" s="1"/>
  <c r="R32" i="125" s="1"/>
  <c r="I36" i="125"/>
  <c r="N36" i="125" s="1"/>
  <c r="R36" i="125" s="1"/>
  <c r="R7" i="125"/>
  <c r="I6" i="125"/>
  <c r="R27" i="125" l="1"/>
  <c r="S34" i="125"/>
  <c r="S38" i="125" s="1"/>
  <c r="I38" i="125"/>
  <c r="N38" i="125"/>
  <c r="R38" i="125"/>
  <c r="Z40" i="124" l="1"/>
  <c r="Y40" i="124"/>
  <c r="C40" i="124"/>
  <c r="B36" i="124"/>
  <c r="B35" i="124"/>
  <c r="B34" i="124"/>
  <c r="B33" i="124"/>
  <c r="B32" i="124"/>
  <c r="B31" i="124"/>
  <c r="B30" i="124"/>
  <c r="B29" i="124"/>
  <c r="B28" i="124"/>
  <c r="B27" i="124"/>
  <c r="B26" i="124"/>
  <c r="B25" i="124"/>
  <c r="B24" i="124"/>
  <c r="B23" i="124"/>
  <c r="B22" i="124"/>
  <c r="B21" i="124"/>
  <c r="B20" i="124"/>
  <c r="B19" i="124"/>
  <c r="B18" i="124"/>
  <c r="B17" i="124"/>
  <c r="B16" i="124"/>
  <c r="B15" i="124"/>
  <c r="B14" i="124"/>
  <c r="B13" i="124"/>
  <c r="B12" i="124"/>
  <c r="B11" i="124"/>
  <c r="B10" i="124"/>
  <c r="B9" i="124"/>
  <c r="B8" i="124"/>
  <c r="B7" i="124"/>
  <c r="B6" i="124"/>
  <c r="Z40" i="123"/>
  <c r="Y40" i="123"/>
  <c r="C40" i="123"/>
  <c r="B36" i="123"/>
  <c r="B35" i="123"/>
  <c r="B34" i="123"/>
  <c r="B33" i="123"/>
  <c r="B32" i="123"/>
  <c r="B31" i="123"/>
  <c r="B30" i="123"/>
  <c r="B29" i="123"/>
  <c r="B28" i="123"/>
  <c r="B27" i="123"/>
  <c r="B26" i="123"/>
  <c r="B25" i="123"/>
  <c r="B24" i="123"/>
  <c r="B23" i="123"/>
  <c r="B22" i="123"/>
  <c r="B21" i="123"/>
  <c r="B20" i="123"/>
  <c r="B19" i="123"/>
  <c r="B18" i="123"/>
  <c r="B17" i="123"/>
  <c r="B16" i="123"/>
  <c r="B15" i="123"/>
  <c r="B14" i="123"/>
  <c r="B13" i="123"/>
  <c r="B12" i="123"/>
  <c r="B11" i="123"/>
  <c r="B10" i="123"/>
  <c r="B9" i="123"/>
  <c r="B8" i="123"/>
  <c r="B7" i="123"/>
  <c r="AE40" i="123"/>
  <c r="B6" i="123"/>
  <c r="Z40" i="122"/>
  <c r="Y40" i="122"/>
  <c r="C40" i="122"/>
  <c r="B36" i="122"/>
  <c r="B35" i="122"/>
  <c r="B34" i="122"/>
  <c r="B33" i="122"/>
  <c r="B32" i="122"/>
  <c r="B31" i="122"/>
  <c r="B30" i="122"/>
  <c r="B29" i="122"/>
  <c r="B28" i="122"/>
  <c r="B27" i="122"/>
  <c r="B26" i="122"/>
  <c r="B25" i="122"/>
  <c r="B24" i="122"/>
  <c r="B23" i="122"/>
  <c r="B22" i="122"/>
  <c r="B21" i="122"/>
  <c r="B20" i="122"/>
  <c r="B19" i="122"/>
  <c r="B18" i="122"/>
  <c r="B17" i="122"/>
  <c r="B16" i="122"/>
  <c r="B15" i="122"/>
  <c r="B14" i="122"/>
  <c r="B13" i="122"/>
  <c r="B12" i="122"/>
  <c r="B11" i="122"/>
  <c r="B10" i="122"/>
  <c r="B9" i="122"/>
  <c r="B8" i="122"/>
  <c r="B7" i="122"/>
  <c r="AE40" i="122"/>
  <c r="B6" i="122"/>
  <c r="Z40" i="121"/>
  <c r="Y40" i="121"/>
  <c r="C40" i="121"/>
  <c r="B36" i="121"/>
  <c r="B35" i="121"/>
  <c r="B34" i="121"/>
  <c r="B33" i="121"/>
  <c r="B32" i="121"/>
  <c r="B31" i="121"/>
  <c r="B30" i="121"/>
  <c r="B29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B13" i="121"/>
  <c r="B12" i="121"/>
  <c r="B11" i="121"/>
  <c r="B10" i="121"/>
  <c r="B9" i="121"/>
  <c r="B8" i="121"/>
  <c r="B7" i="121"/>
  <c r="AE40" i="121"/>
  <c r="B6" i="121"/>
  <c r="Z40" i="120"/>
  <c r="Y40" i="120"/>
  <c r="C40" i="120"/>
  <c r="B36" i="120"/>
  <c r="B35" i="120"/>
  <c r="B34" i="120"/>
  <c r="B33" i="120"/>
  <c r="B32" i="120"/>
  <c r="B31" i="120"/>
  <c r="B30" i="120"/>
  <c r="B29" i="120"/>
  <c r="B28" i="120"/>
  <c r="B27" i="120"/>
  <c r="B26" i="120"/>
  <c r="B25" i="120"/>
  <c r="B24" i="120"/>
  <c r="B23" i="120"/>
  <c r="B22" i="120"/>
  <c r="B21" i="120"/>
  <c r="B20" i="120"/>
  <c r="B19" i="120"/>
  <c r="B18" i="120"/>
  <c r="B17" i="120"/>
  <c r="B16" i="120"/>
  <c r="B15" i="120"/>
  <c r="B14" i="120"/>
  <c r="B13" i="120"/>
  <c r="B12" i="120"/>
  <c r="B11" i="120"/>
  <c r="B10" i="120"/>
  <c r="B9" i="120"/>
  <c r="B8" i="120"/>
  <c r="B7" i="120"/>
  <c r="AE40" i="120"/>
  <c r="B6" i="120"/>
  <c r="Z40" i="119"/>
  <c r="Y40" i="119"/>
  <c r="C40" i="119"/>
  <c r="B36" i="119"/>
  <c r="B35" i="119"/>
  <c r="B34" i="119"/>
  <c r="B33" i="119"/>
  <c r="B32" i="119"/>
  <c r="B31" i="119"/>
  <c r="B30" i="119"/>
  <c r="B29" i="119"/>
  <c r="B28" i="119"/>
  <c r="B27" i="119"/>
  <c r="B26" i="119"/>
  <c r="B25" i="119"/>
  <c r="B24" i="119"/>
  <c r="B23" i="119"/>
  <c r="B22" i="119"/>
  <c r="B21" i="119"/>
  <c r="B20" i="119"/>
  <c r="B19" i="119"/>
  <c r="B18" i="119"/>
  <c r="B17" i="119"/>
  <c r="B16" i="119"/>
  <c r="B15" i="119"/>
  <c r="B14" i="119"/>
  <c r="B13" i="119"/>
  <c r="B12" i="119"/>
  <c r="B11" i="119"/>
  <c r="B10" i="119"/>
  <c r="B9" i="119"/>
  <c r="B8" i="119"/>
  <c r="B7" i="119"/>
  <c r="AE40" i="119"/>
  <c r="B6" i="119"/>
  <c r="Z40" i="118"/>
  <c r="Y40" i="118"/>
  <c r="C40" i="118"/>
  <c r="B36" i="118"/>
  <c r="B35" i="118"/>
  <c r="B34" i="118"/>
  <c r="B33" i="118"/>
  <c r="B32" i="118"/>
  <c r="B31" i="118"/>
  <c r="B30" i="118"/>
  <c r="B29" i="118"/>
  <c r="B28" i="118"/>
  <c r="B27" i="118"/>
  <c r="B26" i="118"/>
  <c r="B25" i="118"/>
  <c r="B24" i="118"/>
  <c r="B23" i="118"/>
  <c r="B22" i="118"/>
  <c r="B21" i="118"/>
  <c r="B20" i="118"/>
  <c r="B19" i="118"/>
  <c r="B18" i="118"/>
  <c r="B17" i="118"/>
  <c r="B16" i="118"/>
  <c r="B15" i="118"/>
  <c r="B14" i="118"/>
  <c r="B13" i="118"/>
  <c r="B12" i="118"/>
  <c r="B11" i="118"/>
  <c r="B10" i="118"/>
  <c r="B9" i="118"/>
  <c r="B8" i="118"/>
  <c r="B7" i="118"/>
  <c r="AE40" i="118"/>
  <c r="B6" i="118"/>
  <c r="Z40" i="117"/>
  <c r="Y40" i="117"/>
  <c r="C40" i="117"/>
  <c r="B36" i="117"/>
  <c r="B35" i="117"/>
  <c r="B34" i="117"/>
  <c r="B33" i="117"/>
  <c r="B32" i="117"/>
  <c r="B31" i="117"/>
  <c r="B30" i="117"/>
  <c r="B29" i="117"/>
  <c r="B28" i="117"/>
  <c r="B27" i="117"/>
  <c r="B26" i="117"/>
  <c r="B25" i="117"/>
  <c r="B24" i="117"/>
  <c r="B23" i="117"/>
  <c r="B22" i="117"/>
  <c r="B21" i="117"/>
  <c r="B20" i="117"/>
  <c r="B19" i="117"/>
  <c r="B18" i="117"/>
  <c r="B17" i="117"/>
  <c r="B16" i="117"/>
  <c r="B15" i="117"/>
  <c r="B14" i="117"/>
  <c r="B13" i="117"/>
  <c r="B12" i="117"/>
  <c r="B11" i="117"/>
  <c r="B10" i="117"/>
  <c r="B9" i="117"/>
  <c r="B8" i="117"/>
  <c r="B7" i="117"/>
  <c r="AE40" i="117"/>
  <c r="B6" i="117"/>
  <c r="Z40" i="116"/>
  <c r="Y40" i="116"/>
  <c r="C40" i="116"/>
  <c r="B36" i="116"/>
  <c r="B35" i="116"/>
  <c r="B34" i="116"/>
  <c r="B33" i="116"/>
  <c r="B32" i="116"/>
  <c r="B31" i="116"/>
  <c r="B30" i="116"/>
  <c r="B29" i="116"/>
  <c r="B28" i="116"/>
  <c r="B27" i="116"/>
  <c r="B26" i="116"/>
  <c r="B25" i="116"/>
  <c r="B24" i="116"/>
  <c r="B23" i="116"/>
  <c r="B22" i="116"/>
  <c r="B21" i="116"/>
  <c r="B20" i="116"/>
  <c r="B19" i="116"/>
  <c r="B18" i="116"/>
  <c r="B17" i="116"/>
  <c r="B16" i="116"/>
  <c r="B15" i="116"/>
  <c r="B14" i="116"/>
  <c r="B13" i="116"/>
  <c r="B12" i="116"/>
  <c r="B11" i="116"/>
  <c r="B10" i="116"/>
  <c r="B9" i="116"/>
  <c r="B8" i="116"/>
  <c r="B7" i="116"/>
  <c r="AE40" i="116"/>
  <c r="B6" i="116"/>
  <c r="Z40" i="115"/>
  <c r="Y40" i="115"/>
  <c r="C40" i="115"/>
  <c r="B36" i="115"/>
  <c r="B35" i="115"/>
  <c r="B34" i="115"/>
  <c r="B33" i="115"/>
  <c r="B32" i="115"/>
  <c r="B31" i="115"/>
  <c r="B30" i="115"/>
  <c r="B29" i="115"/>
  <c r="B28" i="115"/>
  <c r="B27" i="115"/>
  <c r="B26" i="115"/>
  <c r="B25" i="115"/>
  <c r="B24" i="115"/>
  <c r="B23" i="115"/>
  <c r="B22" i="115"/>
  <c r="B21" i="115"/>
  <c r="B20" i="115"/>
  <c r="B19" i="115"/>
  <c r="B18" i="115"/>
  <c r="B17" i="115"/>
  <c r="B16" i="115"/>
  <c r="B15" i="115"/>
  <c r="B14" i="115"/>
  <c r="B13" i="115"/>
  <c r="B12" i="115"/>
  <c r="B11" i="115"/>
  <c r="B10" i="115"/>
  <c r="B9" i="115"/>
  <c r="B8" i="115"/>
  <c r="B7" i="115"/>
  <c r="AE40" i="115"/>
  <c r="B6" i="115"/>
  <c r="V40" i="123" l="1"/>
  <c r="Q40" i="117"/>
  <c r="T40" i="115"/>
  <c r="X40" i="115"/>
  <c r="Q40" i="119"/>
  <c r="I40" i="115"/>
  <c r="Q40" i="115"/>
  <c r="AC40" i="115"/>
  <c r="T40" i="118"/>
  <c r="X40" i="118"/>
  <c r="I40" i="119"/>
  <c r="E40" i="119"/>
  <c r="T40" i="120"/>
  <c r="X40" i="120"/>
  <c r="E40" i="115"/>
  <c r="U40" i="115"/>
  <c r="AD40" i="115"/>
  <c r="P40" i="116"/>
  <c r="U40" i="116"/>
  <c r="AC40" i="116"/>
  <c r="I40" i="118"/>
  <c r="AC40" i="119"/>
  <c r="AC40" i="117"/>
  <c r="U40" i="117"/>
  <c r="AD40" i="118"/>
  <c r="Q40" i="116"/>
  <c r="I40" i="116"/>
  <c r="I40" i="117"/>
  <c r="P40" i="118"/>
  <c r="P40" i="120"/>
  <c r="E40" i="122"/>
  <c r="T40" i="119"/>
  <c r="X40" i="119"/>
  <c r="W40" i="120"/>
  <c r="Q40" i="123"/>
  <c r="U40" i="119"/>
  <c r="R40" i="120"/>
  <c r="AD40" i="120"/>
  <c r="T40" i="122"/>
  <c r="X40" i="122"/>
  <c r="AC40" i="122"/>
  <c r="AD40" i="119"/>
  <c r="V40" i="120"/>
  <c r="E40" i="121"/>
  <c r="Q40" i="122"/>
  <c r="AD40" i="122"/>
  <c r="T40" i="124"/>
  <c r="I40" i="121"/>
  <c r="Q40" i="121"/>
  <c r="AC40" i="121"/>
  <c r="I40" i="122"/>
  <c r="I40" i="123"/>
  <c r="P40" i="121"/>
  <c r="U40" i="121"/>
  <c r="U40" i="122"/>
  <c r="U40" i="123"/>
  <c r="AC40" i="123"/>
  <c r="W40" i="124"/>
  <c r="V40" i="124"/>
  <c r="E40" i="123"/>
  <c r="P40" i="123"/>
  <c r="R40" i="123"/>
  <c r="W40" i="123"/>
  <c r="T40" i="123"/>
  <c r="X40" i="123"/>
  <c r="AD40" i="123"/>
  <c r="P40" i="122"/>
  <c r="V40" i="122"/>
  <c r="R40" i="122"/>
  <c r="W40" i="122"/>
  <c r="R40" i="121"/>
  <c r="W40" i="121"/>
  <c r="T40" i="121"/>
  <c r="X40" i="121"/>
  <c r="AD40" i="121"/>
  <c r="V40" i="121"/>
  <c r="U40" i="120"/>
  <c r="E40" i="120"/>
  <c r="I40" i="120"/>
  <c r="AC40" i="120"/>
  <c r="Q40" i="120"/>
  <c r="P40" i="119"/>
  <c r="V40" i="119"/>
  <c r="R40" i="119"/>
  <c r="W40" i="119"/>
  <c r="U40" i="118"/>
  <c r="W40" i="118"/>
  <c r="AC40" i="118"/>
  <c r="E40" i="118"/>
  <c r="Q40" i="118"/>
  <c r="V40" i="118"/>
  <c r="R40" i="118"/>
  <c r="R40" i="117"/>
  <c r="W40" i="117"/>
  <c r="AD40" i="117"/>
  <c r="E40" i="117"/>
  <c r="X40" i="117"/>
  <c r="T40" i="117"/>
  <c r="P40" i="117"/>
  <c r="V40" i="117"/>
  <c r="R40" i="116"/>
  <c r="E40" i="116"/>
  <c r="V40" i="116"/>
  <c r="W40" i="116"/>
  <c r="T40" i="116"/>
  <c r="X40" i="116"/>
  <c r="AD40" i="116"/>
  <c r="P40" i="115"/>
  <c r="V40" i="115"/>
  <c r="R40" i="115"/>
  <c r="W40" i="115"/>
  <c r="AD36" i="114"/>
  <c r="AC36" i="114"/>
  <c r="X36" i="114"/>
  <c r="W36" i="114"/>
  <c r="V36" i="114"/>
  <c r="U36" i="114"/>
  <c r="T36" i="114"/>
  <c r="R36" i="114"/>
  <c r="Q36" i="114"/>
  <c r="P36" i="114"/>
  <c r="I36" i="114"/>
  <c r="E36" i="114"/>
  <c r="AD35" i="114"/>
  <c r="AC35" i="114"/>
  <c r="X35" i="114"/>
  <c r="W35" i="114"/>
  <c r="V35" i="114"/>
  <c r="U35" i="114"/>
  <c r="T35" i="114"/>
  <c r="R35" i="114"/>
  <c r="Q35" i="114"/>
  <c r="P35" i="114"/>
  <c r="I35" i="114"/>
  <c r="E35" i="114"/>
  <c r="AD34" i="114"/>
  <c r="AC34" i="114"/>
  <c r="X34" i="114"/>
  <c r="W34" i="114"/>
  <c r="V34" i="114"/>
  <c r="U34" i="114"/>
  <c r="T34" i="114"/>
  <c r="R34" i="114"/>
  <c r="Q34" i="114"/>
  <c r="P34" i="114"/>
  <c r="I34" i="114"/>
  <c r="E34" i="114"/>
  <c r="AD33" i="114"/>
  <c r="AC33" i="114"/>
  <c r="X33" i="114"/>
  <c r="W33" i="114"/>
  <c r="V33" i="114"/>
  <c r="U33" i="114"/>
  <c r="T33" i="114"/>
  <c r="R33" i="114"/>
  <c r="Q33" i="114"/>
  <c r="P33" i="114"/>
  <c r="I33" i="114"/>
  <c r="E33" i="114"/>
  <c r="AD32" i="114"/>
  <c r="AC32" i="114"/>
  <c r="X32" i="114"/>
  <c r="W32" i="114"/>
  <c r="V32" i="114"/>
  <c r="U32" i="114"/>
  <c r="T32" i="114"/>
  <c r="R32" i="114"/>
  <c r="Q32" i="114"/>
  <c r="P32" i="114"/>
  <c r="I32" i="114"/>
  <c r="E32" i="114"/>
  <c r="AD31" i="114"/>
  <c r="AC31" i="114"/>
  <c r="X31" i="114"/>
  <c r="W31" i="114"/>
  <c r="V31" i="114"/>
  <c r="U31" i="114"/>
  <c r="T31" i="114"/>
  <c r="R31" i="114"/>
  <c r="Q31" i="114"/>
  <c r="P31" i="114"/>
  <c r="I31" i="114"/>
  <c r="E31" i="114"/>
  <c r="AD30" i="114"/>
  <c r="AC30" i="114"/>
  <c r="X30" i="114"/>
  <c r="W30" i="114"/>
  <c r="V30" i="114"/>
  <c r="U30" i="114"/>
  <c r="T30" i="114"/>
  <c r="R30" i="114"/>
  <c r="Q30" i="114"/>
  <c r="P30" i="114"/>
  <c r="I30" i="114"/>
  <c r="E30" i="114"/>
  <c r="AD29" i="114"/>
  <c r="AC29" i="114"/>
  <c r="X29" i="114"/>
  <c r="W29" i="114"/>
  <c r="V29" i="114"/>
  <c r="U29" i="114"/>
  <c r="T29" i="114"/>
  <c r="R29" i="114"/>
  <c r="Q29" i="114"/>
  <c r="P29" i="114"/>
  <c r="I29" i="114"/>
  <c r="E29" i="114"/>
  <c r="AD28" i="114"/>
  <c r="AC28" i="114"/>
  <c r="X28" i="114"/>
  <c r="W28" i="114"/>
  <c r="V28" i="114"/>
  <c r="U28" i="114"/>
  <c r="T28" i="114"/>
  <c r="R28" i="114"/>
  <c r="Q28" i="114"/>
  <c r="P28" i="114"/>
  <c r="I28" i="114"/>
  <c r="E28" i="114"/>
  <c r="AD27" i="114"/>
  <c r="AC27" i="114"/>
  <c r="X27" i="114"/>
  <c r="W27" i="114"/>
  <c r="V27" i="114"/>
  <c r="U27" i="114"/>
  <c r="T27" i="114"/>
  <c r="R27" i="114"/>
  <c r="Q27" i="114"/>
  <c r="P27" i="114"/>
  <c r="I27" i="114"/>
  <c r="E27" i="114"/>
  <c r="AD26" i="114"/>
  <c r="AC26" i="114"/>
  <c r="X26" i="114"/>
  <c r="W26" i="114"/>
  <c r="V26" i="114"/>
  <c r="U26" i="114"/>
  <c r="T26" i="114"/>
  <c r="R26" i="114"/>
  <c r="Q26" i="114"/>
  <c r="P26" i="114"/>
  <c r="I26" i="114"/>
  <c r="E26" i="114"/>
  <c r="AD25" i="114"/>
  <c r="AC25" i="114"/>
  <c r="X25" i="114"/>
  <c r="W25" i="114"/>
  <c r="V25" i="114"/>
  <c r="U25" i="114"/>
  <c r="T25" i="114"/>
  <c r="R25" i="114"/>
  <c r="Q25" i="114"/>
  <c r="P25" i="114"/>
  <c r="I25" i="114"/>
  <c r="E25" i="114"/>
  <c r="AD24" i="114"/>
  <c r="AC24" i="114"/>
  <c r="X24" i="114"/>
  <c r="W24" i="114"/>
  <c r="V24" i="114"/>
  <c r="U24" i="114"/>
  <c r="T24" i="114"/>
  <c r="R24" i="114"/>
  <c r="Q24" i="114"/>
  <c r="P24" i="114"/>
  <c r="I24" i="114"/>
  <c r="E24" i="114"/>
  <c r="AD23" i="114"/>
  <c r="AC23" i="114"/>
  <c r="X23" i="114"/>
  <c r="W23" i="114"/>
  <c r="V23" i="114"/>
  <c r="U23" i="114"/>
  <c r="T23" i="114"/>
  <c r="R23" i="114"/>
  <c r="Q23" i="114"/>
  <c r="P23" i="114"/>
  <c r="I23" i="114"/>
  <c r="E23" i="114"/>
  <c r="AD22" i="114"/>
  <c r="AC22" i="114"/>
  <c r="X22" i="114"/>
  <c r="W22" i="114"/>
  <c r="V22" i="114"/>
  <c r="U22" i="114"/>
  <c r="T22" i="114"/>
  <c r="R22" i="114"/>
  <c r="Q22" i="114"/>
  <c r="P22" i="114"/>
  <c r="I22" i="114"/>
  <c r="E22" i="114"/>
  <c r="AD21" i="114"/>
  <c r="AC21" i="114"/>
  <c r="X21" i="114"/>
  <c r="W21" i="114"/>
  <c r="V21" i="114"/>
  <c r="U21" i="114"/>
  <c r="T21" i="114"/>
  <c r="R21" i="114"/>
  <c r="Q21" i="114"/>
  <c r="P21" i="114"/>
  <c r="I21" i="114"/>
  <c r="E21" i="114"/>
  <c r="AD20" i="114"/>
  <c r="AC20" i="114"/>
  <c r="X20" i="114"/>
  <c r="W20" i="114"/>
  <c r="V20" i="114"/>
  <c r="U20" i="114"/>
  <c r="T20" i="114"/>
  <c r="R20" i="114"/>
  <c r="Q20" i="114"/>
  <c r="P20" i="114"/>
  <c r="I20" i="114"/>
  <c r="E20" i="114"/>
  <c r="AD19" i="114"/>
  <c r="AC19" i="114"/>
  <c r="X19" i="114"/>
  <c r="W19" i="114"/>
  <c r="V19" i="114"/>
  <c r="U19" i="114"/>
  <c r="T19" i="114"/>
  <c r="R19" i="114"/>
  <c r="Q19" i="114"/>
  <c r="P19" i="114"/>
  <c r="I19" i="114"/>
  <c r="E19" i="114"/>
  <c r="AD18" i="114"/>
  <c r="AC18" i="114"/>
  <c r="X18" i="114"/>
  <c r="W18" i="114"/>
  <c r="V18" i="114"/>
  <c r="U18" i="114"/>
  <c r="T18" i="114"/>
  <c r="R18" i="114"/>
  <c r="Q18" i="114"/>
  <c r="P18" i="114"/>
  <c r="I18" i="114"/>
  <c r="E18" i="114"/>
  <c r="AD17" i="114"/>
  <c r="AC17" i="114"/>
  <c r="X17" i="114"/>
  <c r="W17" i="114"/>
  <c r="V17" i="114"/>
  <c r="U17" i="114"/>
  <c r="T17" i="114"/>
  <c r="R17" i="114"/>
  <c r="Q17" i="114"/>
  <c r="P17" i="114"/>
  <c r="I17" i="114"/>
  <c r="E17" i="114"/>
  <c r="AD16" i="114"/>
  <c r="AC16" i="114"/>
  <c r="X16" i="114"/>
  <c r="W16" i="114"/>
  <c r="V16" i="114"/>
  <c r="U16" i="114"/>
  <c r="T16" i="114"/>
  <c r="R16" i="114"/>
  <c r="Q16" i="114"/>
  <c r="P16" i="114"/>
  <c r="I16" i="114"/>
  <c r="E16" i="114"/>
  <c r="AD15" i="114"/>
  <c r="AC15" i="114"/>
  <c r="X15" i="114"/>
  <c r="W15" i="114"/>
  <c r="V15" i="114"/>
  <c r="U15" i="114"/>
  <c r="T15" i="114"/>
  <c r="R15" i="114"/>
  <c r="Q15" i="114"/>
  <c r="P15" i="114"/>
  <c r="I15" i="114"/>
  <c r="E15" i="114"/>
  <c r="AD14" i="114"/>
  <c r="AC14" i="114"/>
  <c r="X14" i="114"/>
  <c r="W14" i="114"/>
  <c r="V14" i="114"/>
  <c r="U14" i="114"/>
  <c r="T14" i="114"/>
  <c r="R14" i="114"/>
  <c r="Q14" i="114"/>
  <c r="P14" i="114"/>
  <c r="I14" i="114"/>
  <c r="E14" i="114"/>
  <c r="AD13" i="114"/>
  <c r="AC13" i="114"/>
  <c r="X13" i="114"/>
  <c r="W13" i="114"/>
  <c r="V13" i="114"/>
  <c r="U13" i="114"/>
  <c r="T13" i="114"/>
  <c r="R13" i="114"/>
  <c r="Q13" i="114"/>
  <c r="P13" i="114"/>
  <c r="I13" i="114"/>
  <c r="E13" i="114"/>
  <c r="AD12" i="114"/>
  <c r="AC12" i="114"/>
  <c r="X12" i="114"/>
  <c r="W12" i="114"/>
  <c r="V12" i="114"/>
  <c r="U12" i="114"/>
  <c r="T12" i="114"/>
  <c r="R12" i="114"/>
  <c r="Q12" i="114"/>
  <c r="P12" i="114"/>
  <c r="I12" i="114"/>
  <c r="E12" i="114"/>
  <c r="AD11" i="114"/>
  <c r="AC11" i="114"/>
  <c r="X11" i="114"/>
  <c r="W11" i="114"/>
  <c r="V11" i="114"/>
  <c r="U11" i="114"/>
  <c r="T11" i="114"/>
  <c r="R11" i="114"/>
  <c r="Q11" i="114"/>
  <c r="P11" i="114"/>
  <c r="I11" i="114"/>
  <c r="E11" i="114"/>
  <c r="AD10" i="114"/>
  <c r="AC10" i="114"/>
  <c r="X10" i="114"/>
  <c r="W10" i="114"/>
  <c r="V10" i="114"/>
  <c r="U10" i="114"/>
  <c r="T10" i="114"/>
  <c r="R10" i="114"/>
  <c r="Q10" i="114"/>
  <c r="P10" i="114"/>
  <c r="I10" i="114"/>
  <c r="E10" i="114"/>
  <c r="AD9" i="114"/>
  <c r="AC9" i="114"/>
  <c r="X9" i="114"/>
  <c r="W9" i="114"/>
  <c r="V9" i="114"/>
  <c r="U9" i="114"/>
  <c r="T9" i="114"/>
  <c r="R9" i="114"/>
  <c r="Q9" i="114"/>
  <c r="P9" i="114"/>
  <c r="I9" i="114"/>
  <c r="E9" i="114"/>
  <c r="AD8" i="114"/>
  <c r="AC8" i="114"/>
  <c r="X8" i="114"/>
  <c r="W8" i="114"/>
  <c r="V8" i="114"/>
  <c r="U8" i="114"/>
  <c r="T8" i="114"/>
  <c r="R8" i="114"/>
  <c r="Q8" i="114"/>
  <c r="P8" i="114"/>
  <c r="I8" i="114"/>
  <c r="E8" i="114"/>
  <c r="AD7" i="114"/>
  <c r="AC7" i="114"/>
  <c r="X7" i="114"/>
  <c r="W7" i="114"/>
  <c r="V7" i="114"/>
  <c r="V40" i="114" s="1"/>
  <c r="U7" i="114"/>
  <c r="T7" i="114"/>
  <c r="R7" i="114"/>
  <c r="Q7" i="114"/>
  <c r="P7" i="114"/>
  <c r="I7" i="114"/>
  <c r="E7" i="114"/>
  <c r="AD36" i="113"/>
  <c r="AC36" i="113"/>
  <c r="X36" i="113"/>
  <c r="W36" i="113"/>
  <c r="V36" i="113"/>
  <c r="U36" i="113"/>
  <c r="T36" i="113"/>
  <c r="R36" i="113"/>
  <c r="Q36" i="113"/>
  <c r="P36" i="113"/>
  <c r="I36" i="113"/>
  <c r="E36" i="113"/>
  <c r="AD35" i="113"/>
  <c r="AC35" i="113"/>
  <c r="X35" i="113"/>
  <c r="W35" i="113"/>
  <c r="V35" i="113"/>
  <c r="U35" i="113"/>
  <c r="T35" i="113"/>
  <c r="R35" i="113"/>
  <c r="Q35" i="113"/>
  <c r="P35" i="113"/>
  <c r="I35" i="113"/>
  <c r="E35" i="113"/>
  <c r="AD34" i="113"/>
  <c r="AC34" i="113"/>
  <c r="X34" i="113"/>
  <c r="W34" i="113"/>
  <c r="V34" i="113"/>
  <c r="U34" i="113"/>
  <c r="T34" i="113"/>
  <c r="R34" i="113"/>
  <c r="Q34" i="113"/>
  <c r="P34" i="113"/>
  <c r="I34" i="113"/>
  <c r="E34" i="113"/>
  <c r="AD33" i="113"/>
  <c r="AC33" i="113"/>
  <c r="X33" i="113"/>
  <c r="W33" i="113"/>
  <c r="V33" i="113"/>
  <c r="U33" i="113"/>
  <c r="T33" i="113"/>
  <c r="R33" i="113"/>
  <c r="Q33" i="113"/>
  <c r="P33" i="113"/>
  <c r="I33" i="113"/>
  <c r="E33" i="113"/>
  <c r="AD32" i="113"/>
  <c r="AC32" i="113"/>
  <c r="X32" i="113"/>
  <c r="W32" i="113"/>
  <c r="V32" i="113"/>
  <c r="U32" i="113"/>
  <c r="T32" i="113"/>
  <c r="R32" i="113"/>
  <c r="Q32" i="113"/>
  <c r="P32" i="113"/>
  <c r="I32" i="113"/>
  <c r="E32" i="113"/>
  <c r="AD31" i="113"/>
  <c r="AC31" i="113"/>
  <c r="X31" i="113"/>
  <c r="W31" i="113"/>
  <c r="V31" i="113"/>
  <c r="U31" i="113"/>
  <c r="T31" i="113"/>
  <c r="R31" i="113"/>
  <c r="Q31" i="113"/>
  <c r="P31" i="113"/>
  <c r="I31" i="113"/>
  <c r="E31" i="113"/>
  <c r="AD30" i="113"/>
  <c r="AC30" i="113"/>
  <c r="X30" i="113"/>
  <c r="W30" i="113"/>
  <c r="V30" i="113"/>
  <c r="U30" i="113"/>
  <c r="T30" i="113"/>
  <c r="R30" i="113"/>
  <c r="Q30" i="113"/>
  <c r="P30" i="113"/>
  <c r="I30" i="113"/>
  <c r="E30" i="113"/>
  <c r="AD29" i="113"/>
  <c r="AC29" i="113"/>
  <c r="X29" i="113"/>
  <c r="W29" i="113"/>
  <c r="V29" i="113"/>
  <c r="U29" i="113"/>
  <c r="T29" i="113"/>
  <c r="R29" i="113"/>
  <c r="Q29" i="113"/>
  <c r="P29" i="113"/>
  <c r="I29" i="113"/>
  <c r="E29" i="113"/>
  <c r="AD28" i="113"/>
  <c r="AC28" i="113"/>
  <c r="X28" i="113"/>
  <c r="W28" i="113"/>
  <c r="V28" i="113"/>
  <c r="U28" i="113"/>
  <c r="T28" i="113"/>
  <c r="R28" i="113"/>
  <c r="Q28" i="113"/>
  <c r="P28" i="113"/>
  <c r="I28" i="113"/>
  <c r="E28" i="113"/>
  <c r="AD27" i="113"/>
  <c r="AC27" i="113"/>
  <c r="X27" i="113"/>
  <c r="W27" i="113"/>
  <c r="V27" i="113"/>
  <c r="U27" i="113"/>
  <c r="T27" i="113"/>
  <c r="R27" i="113"/>
  <c r="Q27" i="113"/>
  <c r="P27" i="113"/>
  <c r="I27" i="113"/>
  <c r="E27" i="113"/>
  <c r="AD26" i="113"/>
  <c r="AC26" i="113"/>
  <c r="X26" i="113"/>
  <c r="W26" i="113"/>
  <c r="V26" i="113"/>
  <c r="U26" i="113"/>
  <c r="T26" i="113"/>
  <c r="R26" i="113"/>
  <c r="Q26" i="113"/>
  <c r="P26" i="113"/>
  <c r="I26" i="113"/>
  <c r="E26" i="113"/>
  <c r="AD25" i="113"/>
  <c r="AC25" i="113"/>
  <c r="X25" i="113"/>
  <c r="W25" i="113"/>
  <c r="V25" i="113"/>
  <c r="U25" i="113"/>
  <c r="T25" i="113"/>
  <c r="R25" i="113"/>
  <c r="Q25" i="113"/>
  <c r="P25" i="113"/>
  <c r="I25" i="113"/>
  <c r="E25" i="113"/>
  <c r="AD24" i="113"/>
  <c r="AC24" i="113"/>
  <c r="X24" i="113"/>
  <c r="W24" i="113"/>
  <c r="V24" i="113"/>
  <c r="U24" i="113"/>
  <c r="T24" i="113"/>
  <c r="R24" i="113"/>
  <c r="Q24" i="113"/>
  <c r="P24" i="113"/>
  <c r="I24" i="113"/>
  <c r="E24" i="113"/>
  <c r="AD23" i="113"/>
  <c r="AC23" i="113"/>
  <c r="X23" i="113"/>
  <c r="W23" i="113"/>
  <c r="V23" i="113"/>
  <c r="U23" i="113"/>
  <c r="T23" i="113"/>
  <c r="R23" i="113"/>
  <c r="Q23" i="113"/>
  <c r="P23" i="113"/>
  <c r="I23" i="113"/>
  <c r="E23" i="113"/>
  <c r="AD22" i="113"/>
  <c r="AC22" i="113"/>
  <c r="X22" i="113"/>
  <c r="W22" i="113"/>
  <c r="V22" i="113"/>
  <c r="U22" i="113"/>
  <c r="T22" i="113"/>
  <c r="R22" i="113"/>
  <c r="Q22" i="113"/>
  <c r="P22" i="113"/>
  <c r="I22" i="113"/>
  <c r="E22" i="113"/>
  <c r="AD21" i="113"/>
  <c r="AC21" i="113"/>
  <c r="X21" i="113"/>
  <c r="W21" i="113"/>
  <c r="V21" i="113"/>
  <c r="U21" i="113"/>
  <c r="T21" i="113"/>
  <c r="R21" i="113"/>
  <c r="Q21" i="113"/>
  <c r="P21" i="113"/>
  <c r="I21" i="113"/>
  <c r="E21" i="113"/>
  <c r="AD20" i="113"/>
  <c r="AC20" i="113"/>
  <c r="X20" i="113"/>
  <c r="W20" i="113"/>
  <c r="V20" i="113"/>
  <c r="U20" i="113"/>
  <c r="T20" i="113"/>
  <c r="R20" i="113"/>
  <c r="Q20" i="113"/>
  <c r="P20" i="113"/>
  <c r="I20" i="113"/>
  <c r="E20" i="113"/>
  <c r="AD19" i="113"/>
  <c r="AC19" i="113"/>
  <c r="X19" i="113"/>
  <c r="W19" i="113"/>
  <c r="V19" i="113"/>
  <c r="U19" i="113"/>
  <c r="T19" i="113"/>
  <c r="R19" i="113"/>
  <c r="Q19" i="113"/>
  <c r="P19" i="113"/>
  <c r="I19" i="113"/>
  <c r="E19" i="113"/>
  <c r="AD18" i="113"/>
  <c r="AC18" i="113"/>
  <c r="X18" i="113"/>
  <c r="W18" i="113"/>
  <c r="V18" i="113"/>
  <c r="U18" i="113"/>
  <c r="T18" i="113"/>
  <c r="R18" i="113"/>
  <c r="Q18" i="113"/>
  <c r="P18" i="113"/>
  <c r="I18" i="113"/>
  <c r="E18" i="113"/>
  <c r="AD17" i="113"/>
  <c r="AC17" i="113"/>
  <c r="X17" i="113"/>
  <c r="W17" i="113"/>
  <c r="V17" i="113"/>
  <c r="U17" i="113"/>
  <c r="T17" i="113"/>
  <c r="R17" i="113"/>
  <c r="Q17" i="113"/>
  <c r="P17" i="113"/>
  <c r="I17" i="113"/>
  <c r="E17" i="113"/>
  <c r="AD16" i="113"/>
  <c r="AC16" i="113"/>
  <c r="X16" i="113"/>
  <c r="W16" i="113"/>
  <c r="V16" i="113"/>
  <c r="U16" i="113"/>
  <c r="T16" i="113"/>
  <c r="R16" i="113"/>
  <c r="Q16" i="113"/>
  <c r="P16" i="113"/>
  <c r="I16" i="113"/>
  <c r="E16" i="113"/>
  <c r="AD15" i="113"/>
  <c r="AC15" i="113"/>
  <c r="X15" i="113"/>
  <c r="W15" i="113"/>
  <c r="V15" i="113"/>
  <c r="U15" i="113"/>
  <c r="T15" i="113"/>
  <c r="R15" i="113"/>
  <c r="Q15" i="113"/>
  <c r="P15" i="113"/>
  <c r="I15" i="113"/>
  <c r="E15" i="113"/>
  <c r="AD14" i="113"/>
  <c r="AC14" i="113"/>
  <c r="X14" i="113"/>
  <c r="W14" i="113"/>
  <c r="V14" i="113"/>
  <c r="U14" i="113"/>
  <c r="T14" i="113"/>
  <c r="R14" i="113"/>
  <c r="Q14" i="113"/>
  <c r="P14" i="113"/>
  <c r="I14" i="113"/>
  <c r="E14" i="113"/>
  <c r="AD13" i="113"/>
  <c r="AC13" i="113"/>
  <c r="X13" i="113"/>
  <c r="W13" i="113"/>
  <c r="V13" i="113"/>
  <c r="U13" i="113"/>
  <c r="T13" i="113"/>
  <c r="R13" i="113"/>
  <c r="Q13" i="113"/>
  <c r="P13" i="113"/>
  <c r="I13" i="113"/>
  <c r="E13" i="113"/>
  <c r="AD12" i="113"/>
  <c r="AC12" i="113"/>
  <c r="X12" i="113"/>
  <c r="W12" i="113"/>
  <c r="V12" i="113"/>
  <c r="U12" i="113"/>
  <c r="T12" i="113"/>
  <c r="R12" i="113"/>
  <c r="Q12" i="113"/>
  <c r="P12" i="113"/>
  <c r="I12" i="113"/>
  <c r="E12" i="113"/>
  <c r="AD11" i="113"/>
  <c r="AC11" i="113"/>
  <c r="X11" i="113"/>
  <c r="W11" i="113"/>
  <c r="V11" i="113"/>
  <c r="U11" i="113"/>
  <c r="T11" i="113"/>
  <c r="R11" i="113"/>
  <c r="Q11" i="113"/>
  <c r="P11" i="113"/>
  <c r="I11" i="113"/>
  <c r="E11" i="113"/>
  <c r="AD10" i="113"/>
  <c r="AC10" i="113"/>
  <c r="X10" i="113"/>
  <c r="W10" i="113"/>
  <c r="V10" i="113"/>
  <c r="U10" i="113"/>
  <c r="T10" i="113"/>
  <c r="R10" i="113"/>
  <c r="Q10" i="113"/>
  <c r="P10" i="113"/>
  <c r="I10" i="113"/>
  <c r="E10" i="113"/>
  <c r="AD9" i="113"/>
  <c r="AC9" i="113"/>
  <c r="X9" i="113"/>
  <c r="W9" i="113"/>
  <c r="V9" i="113"/>
  <c r="U9" i="113"/>
  <c r="T9" i="113"/>
  <c r="R9" i="113"/>
  <c r="Q9" i="113"/>
  <c r="P9" i="113"/>
  <c r="I9" i="113"/>
  <c r="E9" i="113"/>
  <c r="AD8" i="113"/>
  <c r="AC8" i="113"/>
  <c r="X8" i="113"/>
  <c r="W8" i="113"/>
  <c r="V8" i="113"/>
  <c r="U8" i="113"/>
  <c r="T8" i="113"/>
  <c r="R8" i="113"/>
  <c r="Q8" i="113"/>
  <c r="P8" i="113"/>
  <c r="I8" i="113"/>
  <c r="E8" i="113"/>
  <c r="AD7" i="113"/>
  <c r="AC7" i="113"/>
  <c r="X7" i="113"/>
  <c r="W7" i="113"/>
  <c r="V7" i="113"/>
  <c r="U7" i="113"/>
  <c r="T7" i="113"/>
  <c r="R7" i="113"/>
  <c r="Q7" i="113"/>
  <c r="P7" i="113"/>
  <c r="I7" i="113"/>
  <c r="E7" i="113"/>
  <c r="Z40" i="114"/>
  <c r="Y40" i="114"/>
  <c r="C40" i="114"/>
  <c r="B36" i="114"/>
  <c r="B35" i="114"/>
  <c r="B34" i="114"/>
  <c r="B33" i="114"/>
  <c r="B32" i="114"/>
  <c r="B31" i="114"/>
  <c r="B30" i="114"/>
  <c r="B29" i="114"/>
  <c r="B28" i="114"/>
  <c r="B27" i="114"/>
  <c r="B26" i="114"/>
  <c r="B25" i="114"/>
  <c r="B24" i="114"/>
  <c r="B23" i="114"/>
  <c r="B22" i="114"/>
  <c r="B21" i="114"/>
  <c r="B20" i="114"/>
  <c r="B19" i="114"/>
  <c r="B18" i="114"/>
  <c r="B17" i="114"/>
  <c r="B16" i="114"/>
  <c r="B15" i="114"/>
  <c r="B14" i="114"/>
  <c r="B13" i="114"/>
  <c r="B12" i="114"/>
  <c r="B11" i="114"/>
  <c r="B10" i="114"/>
  <c r="B9" i="114"/>
  <c r="B8" i="114"/>
  <c r="B7" i="114"/>
  <c r="AE40" i="114"/>
  <c r="B6" i="114"/>
  <c r="Z40" i="113"/>
  <c r="Y40" i="113"/>
  <c r="C40" i="113"/>
  <c r="B36" i="113"/>
  <c r="B35" i="113"/>
  <c r="B34" i="113"/>
  <c r="B33" i="113"/>
  <c r="B32" i="113"/>
  <c r="B31" i="113"/>
  <c r="B30" i="113"/>
  <c r="B29" i="113"/>
  <c r="B28" i="113"/>
  <c r="B27" i="113"/>
  <c r="B26" i="113"/>
  <c r="B25" i="113"/>
  <c r="B24" i="113"/>
  <c r="B23" i="113"/>
  <c r="B22" i="113"/>
  <c r="B21" i="113"/>
  <c r="B20" i="113"/>
  <c r="B19" i="113"/>
  <c r="B18" i="113"/>
  <c r="B17" i="113"/>
  <c r="B16" i="113"/>
  <c r="B15" i="113"/>
  <c r="B14" i="113"/>
  <c r="B13" i="113"/>
  <c r="B12" i="113"/>
  <c r="B11" i="113"/>
  <c r="B10" i="113"/>
  <c r="B9" i="113"/>
  <c r="B8" i="113"/>
  <c r="B7" i="113"/>
  <c r="AE40" i="113"/>
  <c r="B6" i="113"/>
  <c r="Q40" i="114" l="1"/>
  <c r="AC40" i="114"/>
  <c r="W40" i="113"/>
  <c r="AC40" i="113"/>
  <c r="I40" i="113"/>
  <c r="P40" i="114"/>
  <c r="T40" i="114"/>
  <c r="X40" i="114"/>
  <c r="E40" i="113"/>
  <c r="W40" i="114"/>
  <c r="E40" i="114"/>
  <c r="I40" i="114"/>
  <c r="AD40" i="114"/>
  <c r="U40" i="114"/>
  <c r="R40" i="114"/>
  <c r="T40" i="113"/>
  <c r="AD40" i="113"/>
  <c r="P40" i="113"/>
  <c r="X40" i="113"/>
  <c r="Q40" i="113"/>
  <c r="U40" i="113"/>
  <c r="R40" i="113"/>
  <c r="V40" i="113"/>
  <c r="AE40" i="88" l="1"/>
  <c r="AD7" i="88"/>
  <c r="AD7" i="124" s="1"/>
  <c r="Q7" i="132" s="1"/>
  <c r="AD8" i="88"/>
  <c r="AD8" i="124" s="1"/>
  <c r="Q8" i="132" s="1"/>
  <c r="AD9" i="88"/>
  <c r="AD9" i="124" s="1"/>
  <c r="Q9" i="132" s="1"/>
  <c r="AD10" i="88"/>
  <c r="AD10" i="124" s="1"/>
  <c r="Q10" i="132" s="1"/>
  <c r="AD11" i="88"/>
  <c r="AD11" i="124" s="1"/>
  <c r="Q11" i="132" s="1"/>
  <c r="AD12" i="88"/>
  <c r="AD12" i="124" s="1"/>
  <c r="Q12" i="132" s="1"/>
  <c r="AD13" i="88"/>
  <c r="AD13" i="124" s="1"/>
  <c r="Q13" i="132" s="1"/>
  <c r="AD14" i="88"/>
  <c r="AD14" i="124" s="1"/>
  <c r="Q14" i="132" s="1"/>
  <c r="AD15" i="88"/>
  <c r="AD15" i="124" s="1"/>
  <c r="Q15" i="132" s="1"/>
  <c r="AD16" i="88"/>
  <c r="AD16" i="124" s="1"/>
  <c r="Q16" i="132" s="1"/>
  <c r="AD17" i="88"/>
  <c r="AD17" i="124" s="1"/>
  <c r="Q17" i="132" s="1"/>
  <c r="AD18" i="88"/>
  <c r="AD18" i="124" s="1"/>
  <c r="Q18" i="132" s="1"/>
  <c r="AD19" i="88"/>
  <c r="AD19" i="124" s="1"/>
  <c r="Q19" i="132" s="1"/>
  <c r="AD20" i="88"/>
  <c r="AD20" i="124" s="1"/>
  <c r="Q20" i="132" s="1"/>
  <c r="AD21" i="88"/>
  <c r="AD21" i="124" s="1"/>
  <c r="Q21" i="132" s="1"/>
  <c r="AD22" i="88"/>
  <c r="AD22" i="124" s="1"/>
  <c r="Q22" i="132" s="1"/>
  <c r="AD23" i="88"/>
  <c r="AD23" i="124" s="1"/>
  <c r="Q23" i="132" s="1"/>
  <c r="AD24" i="88"/>
  <c r="AD24" i="124" s="1"/>
  <c r="Q24" i="132" s="1"/>
  <c r="AD25" i="88"/>
  <c r="AD25" i="124" s="1"/>
  <c r="Q25" i="132" s="1"/>
  <c r="AD26" i="88"/>
  <c r="AD26" i="124" s="1"/>
  <c r="Q26" i="132" s="1"/>
  <c r="AD27" i="88"/>
  <c r="AD27" i="124" s="1"/>
  <c r="Q27" i="132" s="1"/>
  <c r="AD28" i="88"/>
  <c r="AD28" i="124" s="1"/>
  <c r="Q28" i="132" s="1"/>
  <c r="AD29" i="88"/>
  <c r="AD29" i="124" s="1"/>
  <c r="Q29" i="132" s="1"/>
  <c r="AD30" i="88"/>
  <c r="AD30" i="124" s="1"/>
  <c r="Q30" i="132" s="1"/>
  <c r="AD31" i="88"/>
  <c r="AD31" i="124" s="1"/>
  <c r="Q31" i="132" s="1"/>
  <c r="AD32" i="88"/>
  <c r="AD32" i="124" s="1"/>
  <c r="Q32" i="132" s="1"/>
  <c r="AD33" i="88"/>
  <c r="AD33" i="124" s="1"/>
  <c r="Q33" i="132" s="1"/>
  <c r="AD34" i="88"/>
  <c r="AD34" i="124" s="1"/>
  <c r="Q34" i="132" s="1"/>
  <c r="AD35" i="88"/>
  <c r="AD35" i="124" s="1"/>
  <c r="Q35" i="132" s="1"/>
  <c r="AD36" i="88"/>
  <c r="AD36" i="124" s="1"/>
  <c r="Q36" i="132" s="1"/>
  <c r="Q38" i="132" l="1"/>
  <c r="AD40" i="124"/>
  <c r="D17" i="131" s="1"/>
  <c r="F17" i="131" s="1"/>
  <c r="AD40" i="88"/>
  <c r="B34" i="88"/>
  <c r="E34" i="88"/>
  <c r="I34" i="88"/>
  <c r="I34" i="124" s="1"/>
  <c r="P34" i="88"/>
  <c r="P34" i="124" s="1"/>
  <c r="Q34" i="88"/>
  <c r="Q34" i="124" s="1"/>
  <c r="R34" i="88"/>
  <c r="T34" i="88"/>
  <c r="U34" i="88"/>
  <c r="U34" i="124" s="1"/>
  <c r="V34" i="88"/>
  <c r="W34" i="88"/>
  <c r="X34" i="88"/>
  <c r="X34" i="124" s="1"/>
  <c r="AC34" i="88"/>
  <c r="AC34" i="124" s="1"/>
  <c r="B27" i="88"/>
  <c r="E27" i="88"/>
  <c r="I27" i="88"/>
  <c r="I27" i="124" s="1"/>
  <c r="P27" i="88"/>
  <c r="P27" i="124" s="1"/>
  <c r="Q27" i="88"/>
  <c r="Q27" i="124" s="1"/>
  <c r="R27" i="88"/>
  <c r="T27" i="88"/>
  <c r="U27" i="88"/>
  <c r="U27" i="124" s="1"/>
  <c r="V27" i="88"/>
  <c r="W27" i="88"/>
  <c r="X27" i="88"/>
  <c r="X27" i="124" s="1"/>
  <c r="AC27" i="88"/>
  <c r="AC27" i="124" s="1"/>
  <c r="B30" i="88"/>
  <c r="E30" i="88"/>
  <c r="I30" i="88"/>
  <c r="I30" i="124" s="1"/>
  <c r="P30" i="88"/>
  <c r="P30" i="124" s="1"/>
  <c r="Q30" i="88"/>
  <c r="Q30" i="124" s="1"/>
  <c r="R30" i="88"/>
  <c r="T30" i="88"/>
  <c r="U30" i="88"/>
  <c r="U30" i="124" s="1"/>
  <c r="V30" i="88"/>
  <c r="W30" i="88"/>
  <c r="X30" i="88"/>
  <c r="X30" i="124" s="1"/>
  <c r="AC30" i="88"/>
  <c r="AC30" i="124" s="1"/>
  <c r="AC8" i="88"/>
  <c r="AC8" i="124" s="1"/>
  <c r="AC9" i="88"/>
  <c r="AC9" i="124" s="1"/>
  <c r="AC10" i="88"/>
  <c r="AC10" i="124" s="1"/>
  <c r="AC11" i="88"/>
  <c r="AC11" i="124" s="1"/>
  <c r="AC12" i="88"/>
  <c r="AC12" i="124" s="1"/>
  <c r="AC13" i="88"/>
  <c r="AC13" i="124" s="1"/>
  <c r="AC14" i="88"/>
  <c r="AC14" i="124" s="1"/>
  <c r="AC15" i="88"/>
  <c r="AC15" i="124" s="1"/>
  <c r="AC16" i="88"/>
  <c r="AC16" i="124" s="1"/>
  <c r="AC17" i="88"/>
  <c r="AC17" i="124" s="1"/>
  <c r="AC18" i="88"/>
  <c r="AC18" i="124" s="1"/>
  <c r="AC19" i="88"/>
  <c r="AC19" i="124" s="1"/>
  <c r="AC20" i="88"/>
  <c r="AC20" i="124" s="1"/>
  <c r="AC21" i="88"/>
  <c r="AC21" i="124" s="1"/>
  <c r="AC22" i="88"/>
  <c r="AC22" i="124" s="1"/>
  <c r="AC23" i="88"/>
  <c r="AC23" i="124" s="1"/>
  <c r="AC24" i="88"/>
  <c r="AC24" i="124" s="1"/>
  <c r="AC25" i="88"/>
  <c r="AC25" i="124" s="1"/>
  <c r="AC26" i="88"/>
  <c r="AC26" i="124" s="1"/>
  <c r="AC28" i="88"/>
  <c r="AC28" i="124" s="1"/>
  <c r="AC29" i="88"/>
  <c r="AC29" i="124" s="1"/>
  <c r="AC31" i="88"/>
  <c r="AC31" i="124" s="1"/>
  <c r="AC32" i="88"/>
  <c r="AC32" i="124" s="1"/>
  <c r="AC33" i="88"/>
  <c r="AC33" i="124" s="1"/>
  <c r="AC35" i="88"/>
  <c r="AC35" i="124" s="1"/>
  <c r="AC36" i="88"/>
  <c r="AC36" i="124" s="1"/>
  <c r="AC7" i="88"/>
  <c r="AC7" i="124" s="1"/>
  <c r="X8" i="88"/>
  <c r="X8" i="124" s="1"/>
  <c r="X9" i="88"/>
  <c r="X9" i="124" s="1"/>
  <c r="X10" i="88"/>
  <c r="X10" i="124" s="1"/>
  <c r="X11" i="88"/>
  <c r="X11" i="124" s="1"/>
  <c r="X12" i="88"/>
  <c r="X12" i="124" s="1"/>
  <c r="X13" i="88"/>
  <c r="X13" i="124" s="1"/>
  <c r="X14" i="88"/>
  <c r="X14" i="124" s="1"/>
  <c r="X15" i="88"/>
  <c r="X15" i="124" s="1"/>
  <c r="X16" i="88"/>
  <c r="X16" i="124" s="1"/>
  <c r="X17" i="88"/>
  <c r="X17" i="124" s="1"/>
  <c r="X18" i="88"/>
  <c r="X18" i="124" s="1"/>
  <c r="X19" i="88"/>
  <c r="X19" i="124" s="1"/>
  <c r="X20" i="88"/>
  <c r="X20" i="124" s="1"/>
  <c r="X21" i="88"/>
  <c r="X21" i="124" s="1"/>
  <c r="X22" i="88"/>
  <c r="X22" i="124" s="1"/>
  <c r="X23" i="88"/>
  <c r="X23" i="124" s="1"/>
  <c r="X24" i="88"/>
  <c r="X24" i="124" s="1"/>
  <c r="X25" i="88"/>
  <c r="X25" i="124" s="1"/>
  <c r="X26" i="88"/>
  <c r="X26" i="124" s="1"/>
  <c r="X28" i="88"/>
  <c r="X28" i="124" s="1"/>
  <c r="X29" i="88"/>
  <c r="X29" i="124" s="1"/>
  <c r="X31" i="88"/>
  <c r="X31" i="124" s="1"/>
  <c r="X32" i="88"/>
  <c r="X32" i="124" s="1"/>
  <c r="X33" i="88"/>
  <c r="X33" i="124" s="1"/>
  <c r="X35" i="88"/>
  <c r="X35" i="124" s="1"/>
  <c r="X36" i="88"/>
  <c r="X36" i="124" s="1"/>
  <c r="X7" i="124"/>
  <c r="W8" i="88"/>
  <c r="W9" i="88"/>
  <c r="W10" i="88"/>
  <c r="W11" i="88"/>
  <c r="W12" i="88"/>
  <c r="W13" i="88"/>
  <c r="W14" i="88"/>
  <c r="W15" i="88"/>
  <c r="W16" i="88"/>
  <c r="W17" i="88"/>
  <c r="W18" i="88"/>
  <c r="W19" i="88"/>
  <c r="W20" i="88"/>
  <c r="W21" i="88"/>
  <c r="W22" i="88"/>
  <c r="W23" i="88"/>
  <c r="W24" i="88"/>
  <c r="W25" i="88"/>
  <c r="W26" i="88"/>
  <c r="W28" i="88"/>
  <c r="W29" i="88"/>
  <c r="W31" i="88"/>
  <c r="W32" i="88"/>
  <c r="W33" i="88"/>
  <c r="W35" i="88"/>
  <c r="W36" i="88"/>
  <c r="W7" i="88"/>
  <c r="V8" i="88"/>
  <c r="V9" i="88"/>
  <c r="V10" i="88"/>
  <c r="V11" i="88"/>
  <c r="V12" i="88"/>
  <c r="V13" i="88"/>
  <c r="V14" i="88"/>
  <c r="V15" i="88"/>
  <c r="V16" i="88"/>
  <c r="V17" i="88"/>
  <c r="V18" i="88"/>
  <c r="V19" i="88"/>
  <c r="V20" i="88"/>
  <c r="V21" i="88"/>
  <c r="V22" i="88"/>
  <c r="V23" i="88"/>
  <c r="V24" i="88"/>
  <c r="V25" i="88"/>
  <c r="V26" i="88"/>
  <c r="V28" i="88"/>
  <c r="V29" i="88"/>
  <c r="V31" i="88"/>
  <c r="V32" i="88"/>
  <c r="V33" i="88"/>
  <c r="V35" i="88"/>
  <c r="V36" i="88"/>
  <c r="V7" i="88"/>
  <c r="U8" i="88"/>
  <c r="U8" i="124" s="1"/>
  <c r="U9" i="88"/>
  <c r="U9" i="124" s="1"/>
  <c r="U10" i="88"/>
  <c r="U10" i="124" s="1"/>
  <c r="U11" i="88"/>
  <c r="U11" i="124" s="1"/>
  <c r="U12" i="88"/>
  <c r="U12" i="124" s="1"/>
  <c r="U13" i="88"/>
  <c r="U13" i="124" s="1"/>
  <c r="U14" i="88"/>
  <c r="U14" i="124" s="1"/>
  <c r="U15" i="88"/>
  <c r="U15" i="124" s="1"/>
  <c r="U16" i="88"/>
  <c r="U16" i="124" s="1"/>
  <c r="U17" i="88"/>
  <c r="U17" i="124" s="1"/>
  <c r="U18" i="88"/>
  <c r="U18" i="124" s="1"/>
  <c r="U19" i="88"/>
  <c r="U19" i="124" s="1"/>
  <c r="U20" i="88"/>
  <c r="U20" i="124" s="1"/>
  <c r="U21" i="88"/>
  <c r="U21" i="124" s="1"/>
  <c r="U22" i="88"/>
  <c r="U22" i="124" s="1"/>
  <c r="U23" i="88"/>
  <c r="U23" i="124" s="1"/>
  <c r="U24" i="88"/>
  <c r="U24" i="124" s="1"/>
  <c r="U25" i="88"/>
  <c r="U25" i="124" s="1"/>
  <c r="U26" i="88"/>
  <c r="U26" i="124" s="1"/>
  <c r="U28" i="88"/>
  <c r="U28" i="124" s="1"/>
  <c r="U29" i="88"/>
  <c r="U29" i="124" s="1"/>
  <c r="U31" i="88"/>
  <c r="U31" i="124" s="1"/>
  <c r="U32" i="88"/>
  <c r="U32" i="124" s="1"/>
  <c r="U33" i="88"/>
  <c r="U33" i="124" s="1"/>
  <c r="U35" i="88"/>
  <c r="U35" i="124" s="1"/>
  <c r="U36" i="88"/>
  <c r="U36" i="124" s="1"/>
  <c r="U7" i="88"/>
  <c r="U7" i="124" s="1"/>
  <c r="T8" i="88"/>
  <c r="T9" i="88"/>
  <c r="T10" i="88"/>
  <c r="T11" i="88"/>
  <c r="T12" i="88"/>
  <c r="T13" i="88"/>
  <c r="T14" i="88"/>
  <c r="T15" i="88"/>
  <c r="T16" i="88"/>
  <c r="T17" i="88"/>
  <c r="T18" i="88"/>
  <c r="T19" i="88"/>
  <c r="T20" i="88"/>
  <c r="T21" i="88"/>
  <c r="T22" i="88"/>
  <c r="T23" i="88"/>
  <c r="T24" i="88"/>
  <c r="T25" i="88"/>
  <c r="T26" i="88"/>
  <c r="T28" i="88"/>
  <c r="T29" i="88"/>
  <c r="T31" i="88"/>
  <c r="T32" i="88"/>
  <c r="T33" i="88"/>
  <c r="T35" i="88"/>
  <c r="T36" i="88"/>
  <c r="T7" i="88"/>
  <c r="R8" i="88"/>
  <c r="R8" i="124" s="1"/>
  <c r="R9" i="88"/>
  <c r="R9" i="124" s="1"/>
  <c r="R10" i="88"/>
  <c r="R11" i="88"/>
  <c r="R12" i="88"/>
  <c r="R12" i="124" s="1"/>
  <c r="R13" i="88"/>
  <c r="R13" i="124" s="1"/>
  <c r="R14" i="88"/>
  <c r="R15" i="88"/>
  <c r="R15" i="124" s="1"/>
  <c r="R16" i="88"/>
  <c r="R16" i="124" s="1"/>
  <c r="R17" i="88"/>
  <c r="R17" i="124" s="1"/>
  <c r="R18" i="88"/>
  <c r="R18" i="124" s="1"/>
  <c r="R19" i="88"/>
  <c r="R19" i="124" s="1"/>
  <c r="R20" i="88"/>
  <c r="R20" i="124" s="1"/>
  <c r="R21" i="88"/>
  <c r="R21" i="124" s="1"/>
  <c r="R22" i="124"/>
  <c r="R23" i="88"/>
  <c r="R23" i="124" s="1"/>
  <c r="R24" i="88"/>
  <c r="R24" i="124" s="1"/>
  <c r="R25" i="88"/>
  <c r="R25" i="124" s="1"/>
  <c r="R26" i="88"/>
  <c r="R28" i="88"/>
  <c r="R28" i="124" s="1"/>
  <c r="R29" i="88"/>
  <c r="R29" i="124" s="1"/>
  <c r="R31" i="88"/>
  <c r="R31" i="124" s="1"/>
  <c r="R32" i="88"/>
  <c r="R32" i="124" s="1"/>
  <c r="R33" i="88"/>
  <c r="R33" i="124" s="1"/>
  <c r="R35" i="88"/>
  <c r="R36" i="88"/>
  <c r="R36" i="124" s="1"/>
  <c r="Q8" i="88"/>
  <c r="Q8" i="124" s="1"/>
  <c r="Q9" i="88"/>
  <c r="Q9" i="124" s="1"/>
  <c r="Q10" i="88"/>
  <c r="Q10" i="124" s="1"/>
  <c r="Q11" i="88"/>
  <c r="Q11" i="124" s="1"/>
  <c r="Q12" i="88"/>
  <c r="Q12" i="124" s="1"/>
  <c r="Q13" i="88"/>
  <c r="Q13" i="124" s="1"/>
  <c r="Q14" i="88"/>
  <c r="Q14" i="124" s="1"/>
  <c r="Q15" i="88"/>
  <c r="Q15" i="124" s="1"/>
  <c r="Q16" i="88"/>
  <c r="Q16" i="124" s="1"/>
  <c r="Q17" i="88"/>
  <c r="Q17" i="124" s="1"/>
  <c r="Q18" i="88"/>
  <c r="Q18" i="124" s="1"/>
  <c r="Q19" i="88"/>
  <c r="Q19" i="124" s="1"/>
  <c r="Q20" i="88"/>
  <c r="Q20" i="124" s="1"/>
  <c r="Q21" i="88"/>
  <c r="Q21" i="124" s="1"/>
  <c r="Q22" i="88"/>
  <c r="Q22" i="124" s="1"/>
  <c r="Q23" i="88"/>
  <c r="Q23" i="124" s="1"/>
  <c r="Q24" i="88"/>
  <c r="Q24" i="124" s="1"/>
  <c r="Q25" i="88"/>
  <c r="Q25" i="124" s="1"/>
  <c r="Q26" i="88"/>
  <c r="Q26" i="124" s="1"/>
  <c r="Q28" i="88"/>
  <c r="Q28" i="124" s="1"/>
  <c r="Q29" i="88"/>
  <c r="Q29" i="124" s="1"/>
  <c r="Q31" i="88"/>
  <c r="Q31" i="124" s="1"/>
  <c r="Q32" i="88"/>
  <c r="Q32" i="124" s="1"/>
  <c r="Q33" i="88"/>
  <c r="Q33" i="124" s="1"/>
  <c r="Q35" i="88"/>
  <c r="Q35" i="124" s="1"/>
  <c r="Q36" i="88"/>
  <c r="Q36" i="124" s="1"/>
  <c r="Q7" i="88"/>
  <c r="Q7" i="124" s="1"/>
  <c r="P8" i="88"/>
  <c r="P8" i="124" s="1"/>
  <c r="P9" i="88"/>
  <c r="P9" i="124" s="1"/>
  <c r="P10" i="88"/>
  <c r="P10" i="124" s="1"/>
  <c r="P11" i="88"/>
  <c r="P11" i="124" s="1"/>
  <c r="P12" i="88"/>
  <c r="P12" i="124" s="1"/>
  <c r="P13" i="88"/>
  <c r="P13" i="124" s="1"/>
  <c r="P14" i="88"/>
  <c r="P14" i="124" s="1"/>
  <c r="P15" i="88"/>
  <c r="P15" i="124" s="1"/>
  <c r="P16" i="88"/>
  <c r="P16" i="124" s="1"/>
  <c r="P17" i="88"/>
  <c r="P17" i="124" s="1"/>
  <c r="P18" i="88"/>
  <c r="P18" i="124" s="1"/>
  <c r="P19" i="88"/>
  <c r="P19" i="124" s="1"/>
  <c r="P20" i="88"/>
  <c r="P20" i="124" s="1"/>
  <c r="P21" i="88"/>
  <c r="P21" i="124" s="1"/>
  <c r="P22" i="88"/>
  <c r="P22" i="124" s="1"/>
  <c r="P23" i="88"/>
  <c r="P23" i="124" s="1"/>
  <c r="P24" i="88"/>
  <c r="P24" i="124" s="1"/>
  <c r="P25" i="88"/>
  <c r="P25" i="124" s="1"/>
  <c r="P26" i="88"/>
  <c r="P26" i="124" s="1"/>
  <c r="P28" i="88"/>
  <c r="P28" i="124" s="1"/>
  <c r="P29" i="88"/>
  <c r="P29" i="124" s="1"/>
  <c r="P31" i="88"/>
  <c r="P31" i="124" s="1"/>
  <c r="P32" i="88"/>
  <c r="P32" i="124" s="1"/>
  <c r="P33" i="88"/>
  <c r="P33" i="124" s="1"/>
  <c r="P35" i="88"/>
  <c r="P35" i="124" s="1"/>
  <c r="P36" i="88"/>
  <c r="P36" i="124" s="1"/>
  <c r="P7" i="88"/>
  <c r="P7" i="124" s="1"/>
  <c r="I8" i="88"/>
  <c r="I8" i="124" s="1"/>
  <c r="I9" i="88"/>
  <c r="I9" i="124" s="1"/>
  <c r="I10" i="88"/>
  <c r="I10" i="124" s="1"/>
  <c r="I11" i="88"/>
  <c r="I11" i="124" s="1"/>
  <c r="I12" i="88"/>
  <c r="I12" i="124" s="1"/>
  <c r="I13" i="88"/>
  <c r="I13" i="124" s="1"/>
  <c r="I14" i="88"/>
  <c r="I14" i="124" s="1"/>
  <c r="I15" i="88"/>
  <c r="I15" i="124" s="1"/>
  <c r="I16" i="88"/>
  <c r="I16" i="124" s="1"/>
  <c r="I17" i="88"/>
  <c r="I17" i="124" s="1"/>
  <c r="I18" i="88"/>
  <c r="I18" i="124" s="1"/>
  <c r="I19" i="88"/>
  <c r="I19" i="124" s="1"/>
  <c r="I20" i="88"/>
  <c r="I20" i="124" s="1"/>
  <c r="I21" i="88"/>
  <c r="I21" i="124" s="1"/>
  <c r="I22" i="88"/>
  <c r="I22" i="124" s="1"/>
  <c r="I23" i="88"/>
  <c r="I23" i="124" s="1"/>
  <c r="I24" i="88"/>
  <c r="I24" i="124" s="1"/>
  <c r="I25" i="88"/>
  <c r="I25" i="124" s="1"/>
  <c r="I26" i="88"/>
  <c r="I26" i="124" s="1"/>
  <c r="I28" i="88"/>
  <c r="I28" i="124" s="1"/>
  <c r="I29" i="88"/>
  <c r="I29" i="124" s="1"/>
  <c r="I31" i="88"/>
  <c r="I31" i="124" s="1"/>
  <c r="I32" i="88"/>
  <c r="I32" i="124" s="1"/>
  <c r="I33" i="88"/>
  <c r="I33" i="124" s="1"/>
  <c r="I35" i="88"/>
  <c r="I35" i="124" s="1"/>
  <c r="I36" i="88"/>
  <c r="I36" i="124" s="1"/>
  <c r="I7" i="88"/>
  <c r="I7" i="124" s="1"/>
  <c r="E8" i="88"/>
  <c r="E9" i="88"/>
  <c r="E10" i="88"/>
  <c r="E11" i="88"/>
  <c r="E12" i="88"/>
  <c r="E13" i="88"/>
  <c r="E14" i="88"/>
  <c r="E15" i="88"/>
  <c r="E16" i="88"/>
  <c r="E17" i="88"/>
  <c r="E18" i="88"/>
  <c r="E19" i="88"/>
  <c r="E20" i="88"/>
  <c r="E21" i="88"/>
  <c r="E22" i="88"/>
  <c r="E23" i="88"/>
  <c r="E24" i="88"/>
  <c r="E25" i="88"/>
  <c r="E26" i="88"/>
  <c r="E28" i="88"/>
  <c r="E29" i="88"/>
  <c r="E31" i="88"/>
  <c r="E32" i="88"/>
  <c r="E33" i="88"/>
  <c r="E35" i="88"/>
  <c r="E36" i="88"/>
  <c r="E7" i="88"/>
  <c r="E7" i="124" l="1"/>
  <c r="E7" i="132" s="1"/>
  <c r="F7" i="88"/>
  <c r="E22" i="124"/>
  <c r="E22" i="132" s="1"/>
  <c r="F22" i="88"/>
  <c r="E35" i="124"/>
  <c r="F35" i="124" s="1"/>
  <c r="F35" i="88"/>
  <c r="E33" i="124"/>
  <c r="E33" i="132" s="1"/>
  <c r="F33" i="88"/>
  <c r="E28" i="124"/>
  <c r="F28" i="124" s="1"/>
  <c r="F28" i="88"/>
  <c r="E23" i="124"/>
  <c r="F23" i="124" s="1"/>
  <c r="F23" i="88"/>
  <c r="E19" i="124"/>
  <c r="F19" i="124" s="1"/>
  <c r="F19" i="88"/>
  <c r="E15" i="124"/>
  <c r="F15" i="124" s="1"/>
  <c r="F15" i="88"/>
  <c r="E11" i="124"/>
  <c r="F11" i="124" s="1"/>
  <c r="F11" i="88"/>
  <c r="E26" i="124"/>
  <c r="F26" i="124" s="1"/>
  <c r="F26" i="88"/>
  <c r="E18" i="124"/>
  <c r="E18" i="132" s="1"/>
  <c r="F18" i="88"/>
  <c r="E14" i="124"/>
  <c r="E14" i="132" s="1"/>
  <c r="F14" i="88"/>
  <c r="E10" i="124"/>
  <c r="E10" i="132" s="1"/>
  <c r="F10" i="88"/>
  <c r="E32" i="124"/>
  <c r="E32" i="132" s="1"/>
  <c r="F32" i="88"/>
  <c r="E31" i="124"/>
  <c r="F31" i="124" s="1"/>
  <c r="F31" i="132" s="1"/>
  <c r="V31" i="132" s="1"/>
  <c r="F31" i="88"/>
  <c r="E25" i="124"/>
  <c r="E25" i="132" s="1"/>
  <c r="F25" i="88"/>
  <c r="E21" i="124"/>
  <c r="F21" i="124" s="1"/>
  <c r="F21" i="88"/>
  <c r="E17" i="124"/>
  <c r="E17" i="132" s="1"/>
  <c r="F17" i="88"/>
  <c r="E13" i="124"/>
  <c r="F13" i="124" s="1"/>
  <c r="F13" i="88"/>
  <c r="E9" i="124"/>
  <c r="F9" i="124" s="1"/>
  <c r="F9" i="88"/>
  <c r="E36" i="124"/>
  <c r="F36" i="124" s="1"/>
  <c r="F36" i="88"/>
  <c r="E29" i="124"/>
  <c r="E29" i="132" s="1"/>
  <c r="F29" i="88"/>
  <c r="E24" i="124"/>
  <c r="F24" i="124" s="1"/>
  <c r="F24" i="88"/>
  <c r="E20" i="124"/>
  <c r="E20" i="132" s="1"/>
  <c r="F20" i="88"/>
  <c r="E16" i="124"/>
  <c r="F16" i="124" s="1"/>
  <c r="F16" i="88"/>
  <c r="E12" i="124"/>
  <c r="E12" i="132" s="1"/>
  <c r="F12" i="88"/>
  <c r="E8" i="124"/>
  <c r="F8" i="124" s="1"/>
  <c r="F8" i="88"/>
  <c r="E30" i="124"/>
  <c r="E30" i="132" s="1"/>
  <c r="F30" i="88"/>
  <c r="E27" i="124"/>
  <c r="F27" i="124" s="1"/>
  <c r="F27" i="132" s="1"/>
  <c r="V27" i="132" s="1"/>
  <c r="F27" i="88"/>
  <c r="E34" i="124"/>
  <c r="F34" i="124" s="1"/>
  <c r="F34" i="132" s="1"/>
  <c r="V34" i="132" s="1"/>
  <c r="F34" i="88"/>
  <c r="F18" i="124"/>
  <c r="AI32" i="124"/>
  <c r="R32" i="132" s="1"/>
  <c r="AI22" i="124"/>
  <c r="R22" i="132" s="1"/>
  <c r="AI18" i="124"/>
  <c r="R18" i="132" s="1"/>
  <c r="AI33" i="124"/>
  <c r="R33" i="132" s="1"/>
  <c r="AI28" i="124"/>
  <c r="R28" i="132" s="1"/>
  <c r="AI23" i="124"/>
  <c r="R23" i="132" s="1"/>
  <c r="AI19" i="124"/>
  <c r="R19" i="132" s="1"/>
  <c r="AI15" i="124"/>
  <c r="R15" i="132" s="1"/>
  <c r="AI29" i="124"/>
  <c r="R29" i="132" s="1"/>
  <c r="AI24" i="124"/>
  <c r="R24" i="132" s="1"/>
  <c r="AI20" i="124"/>
  <c r="R20" i="132" s="1"/>
  <c r="AI16" i="124"/>
  <c r="R16" i="132" s="1"/>
  <c r="AI12" i="124"/>
  <c r="R12" i="132" s="1"/>
  <c r="AI8" i="124"/>
  <c r="R8" i="132" s="1"/>
  <c r="AI36" i="124"/>
  <c r="R36" i="132" s="1"/>
  <c r="AI31" i="124"/>
  <c r="R31" i="132" s="1"/>
  <c r="S31" i="132" s="1"/>
  <c r="AI25" i="124"/>
  <c r="R25" i="132" s="1"/>
  <c r="AI21" i="124"/>
  <c r="R21" i="132" s="1"/>
  <c r="AI17" i="124"/>
  <c r="R17" i="132" s="1"/>
  <c r="AI13" i="124"/>
  <c r="R13" i="132" s="1"/>
  <c r="AI9" i="124"/>
  <c r="R9" i="132" s="1"/>
  <c r="I40" i="124"/>
  <c r="R11" i="124"/>
  <c r="AI11" i="124" s="1"/>
  <c r="R11" i="132" s="1"/>
  <c r="X40" i="124"/>
  <c r="R30" i="124"/>
  <c r="AI30" i="124" s="1"/>
  <c r="R30" i="132" s="1"/>
  <c r="R27" i="124"/>
  <c r="AI27" i="124" s="1"/>
  <c r="R27" i="132" s="1"/>
  <c r="S27" i="132" s="1"/>
  <c r="R34" i="124"/>
  <c r="AI34" i="124" s="1"/>
  <c r="R34" i="132" s="1"/>
  <c r="S34" i="132" s="1"/>
  <c r="R7" i="124"/>
  <c r="AI7" i="124" s="1"/>
  <c r="R7" i="132" s="1"/>
  <c r="R26" i="124"/>
  <c r="AI26" i="124" s="1"/>
  <c r="R26" i="132" s="1"/>
  <c r="R14" i="124"/>
  <c r="AI14" i="124" s="1"/>
  <c r="R14" i="132" s="1"/>
  <c r="S14" i="132" s="1"/>
  <c r="R10" i="124"/>
  <c r="AI10" i="124" s="1"/>
  <c r="R10" i="132" s="1"/>
  <c r="Q40" i="124"/>
  <c r="D11" i="131" s="1"/>
  <c r="F11" i="131" s="1"/>
  <c r="P40" i="124"/>
  <c r="R35" i="124"/>
  <c r="AI35" i="124" s="1"/>
  <c r="R35" i="132" s="1"/>
  <c r="U40" i="124"/>
  <c r="AC40" i="124"/>
  <c r="F7" i="124" l="1"/>
  <c r="E11" i="132"/>
  <c r="E28" i="132"/>
  <c r="E35" i="132"/>
  <c r="E31" i="132"/>
  <c r="E19" i="132"/>
  <c r="E27" i="132"/>
  <c r="F10" i="124"/>
  <c r="F10" i="132" s="1"/>
  <c r="V10" i="132" s="1"/>
  <c r="E21" i="132"/>
  <c r="F30" i="124"/>
  <c r="F30" i="132" s="1"/>
  <c r="V30" i="132" s="1"/>
  <c r="F22" i="124"/>
  <c r="E16" i="132"/>
  <c r="E36" i="132"/>
  <c r="E40" i="124"/>
  <c r="E8" i="131" s="1"/>
  <c r="F8" i="131" s="1"/>
  <c r="E34" i="132"/>
  <c r="F17" i="124"/>
  <c r="F17" i="132" s="1"/>
  <c r="V17" i="132" s="1"/>
  <c r="F20" i="124"/>
  <c r="F20" i="132" s="1"/>
  <c r="V20" i="132" s="1"/>
  <c r="E9" i="132"/>
  <c r="F25" i="124"/>
  <c r="F25" i="132" s="1"/>
  <c r="V25" i="132" s="1"/>
  <c r="F14" i="124"/>
  <c r="F14" i="132" s="1"/>
  <c r="V14" i="132" s="1"/>
  <c r="X14" i="132" s="1"/>
  <c r="E8" i="132"/>
  <c r="E13" i="132"/>
  <c r="F12" i="124"/>
  <c r="F12" i="132" s="1"/>
  <c r="V12" i="132" s="1"/>
  <c r="F29" i="124"/>
  <c r="F29" i="132" s="1"/>
  <c r="V29" i="132" s="1"/>
  <c r="F32" i="124"/>
  <c r="F32" i="132" s="1"/>
  <c r="V32" i="132" s="1"/>
  <c r="E15" i="132"/>
  <c r="E23" i="132"/>
  <c r="F33" i="124"/>
  <c r="F33" i="132" s="1"/>
  <c r="V33" i="132" s="1"/>
  <c r="E24" i="132"/>
  <c r="E26" i="132"/>
  <c r="F22" i="132"/>
  <c r="V22" i="132" s="1"/>
  <c r="F28" i="132"/>
  <c r="V28" i="132" s="1"/>
  <c r="F8" i="132"/>
  <c r="V8" i="132" s="1"/>
  <c r="F24" i="132"/>
  <c r="V24" i="132" s="1"/>
  <c r="F9" i="132"/>
  <c r="V9" i="132" s="1"/>
  <c r="F21" i="132"/>
  <c r="V21" i="132" s="1"/>
  <c r="F18" i="132"/>
  <c r="V18" i="132" s="1"/>
  <c r="F13" i="132"/>
  <c r="V13" i="132" s="1"/>
  <c r="F36" i="132"/>
  <c r="V36" i="132" s="1"/>
  <c r="F16" i="132"/>
  <c r="V16" i="132" s="1"/>
  <c r="F11" i="132"/>
  <c r="V11" i="132" s="1"/>
  <c r="F19" i="132"/>
  <c r="V19" i="132" s="1"/>
  <c r="X19" i="132" s="1"/>
  <c r="F7" i="132"/>
  <c r="F15" i="132"/>
  <c r="V15" i="132" s="1"/>
  <c r="F23" i="132"/>
  <c r="V23" i="132" s="1"/>
  <c r="F35" i="132"/>
  <c r="V35" i="132" s="1"/>
  <c r="F26" i="132"/>
  <c r="V26" i="132" s="1"/>
  <c r="X34" i="132"/>
  <c r="X27" i="132"/>
  <c r="X31" i="132"/>
  <c r="D12" i="131"/>
  <c r="E12" i="131"/>
  <c r="R38" i="132"/>
  <c r="AI40" i="124"/>
  <c r="D37" i="131" s="1"/>
  <c r="D40" i="131" s="1"/>
  <c r="F8" i="113"/>
  <c r="F8" i="114" s="1"/>
  <c r="F8" i="116" s="1"/>
  <c r="F8" i="115" s="1"/>
  <c r="F8" i="117" s="1"/>
  <c r="F8" i="118" s="1"/>
  <c r="F8" i="119" s="1"/>
  <c r="F10" i="113"/>
  <c r="F10" i="114" s="1"/>
  <c r="F10" i="116" s="1"/>
  <c r="F10" i="115" s="1"/>
  <c r="F10" i="117" s="1"/>
  <c r="F10" i="118" s="1"/>
  <c r="F10" i="119" s="1"/>
  <c r="F26" i="113"/>
  <c r="F26" i="114" s="1"/>
  <c r="F26" i="116" s="1"/>
  <c r="F26" i="115" s="1"/>
  <c r="F26" i="117" s="1"/>
  <c r="F26" i="118" s="1"/>
  <c r="F26" i="119" s="1"/>
  <c r="F11" i="113"/>
  <c r="F11" i="114" s="1"/>
  <c r="F11" i="116" s="1"/>
  <c r="F11" i="115" s="1"/>
  <c r="F11" i="117" s="1"/>
  <c r="F11" i="118" s="1"/>
  <c r="F11" i="119" s="1"/>
  <c r="F12" i="113"/>
  <c r="F12" i="114" s="1"/>
  <c r="F12" i="116" s="1"/>
  <c r="F12" i="115" s="1"/>
  <c r="F12" i="117" s="1"/>
  <c r="F12" i="118" s="1"/>
  <c r="F12" i="119" s="1"/>
  <c r="F9" i="113"/>
  <c r="F9" i="114" s="1"/>
  <c r="F9" i="116" s="1"/>
  <c r="F9" i="115" s="1"/>
  <c r="F9" i="117" s="1"/>
  <c r="F9" i="118" s="1"/>
  <c r="F9" i="119" s="1"/>
  <c r="F25" i="113"/>
  <c r="F25" i="114" s="1"/>
  <c r="F25" i="116" s="1"/>
  <c r="F25" i="115" s="1"/>
  <c r="F25" i="117" s="1"/>
  <c r="F25" i="118" s="1"/>
  <c r="F25" i="119" s="1"/>
  <c r="F23" i="113"/>
  <c r="F23" i="114" s="1"/>
  <c r="F23" i="116" s="1"/>
  <c r="F23" i="115" s="1"/>
  <c r="F23" i="117" s="1"/>
  <c r="F23" i="118" s="1"/>
  <c r="F23" i="119" s="1"/>
  <c r="F22" i="113"/>
  <c r="F22" i="114" s="1"/>
  <c r="F22" i="116" s="1"/>
  <c r="F22" i="115" s="1"/>
  <c r="F22" i="117" s="1"/>
  <c r="F22" i="118" s="1"/>
  <c r="F22" i="119" s="1"/>
  <c r="F35" i="113"/>
  <c r="F35" i="114" s="1"/>
  <c r="F35" i="116" s="1"/>
  <c r="F35" i="115" s="1"/>
  <c r="F35" i="117" s="1"/>
  <c r="F35" i="118" s="1"/>
  <c r="F35" i="119" s="1"/>
  <c r="F15" i="113"/>
  <c r="F15" i="114" s="1"/>
  <c r="F15" i="116" s="1"/>
  <c r="F15" i="115" s="1"/>
  <c r="F15" i="117" s="1"/>
  <c r="F15" i="118" s="1"/>
  <c r="F15" i="119" s="1"/>
  <c r="F14" i="113"/>
  <c r="F14" i="114" s="1"/>
  <c r="F14" i="116" s="1"/>
  <c r="F14" i="115" s="1"/>
  <c r="F14" i="117" s="1"/>
  <c r="F14" i="118" s="1"/>
  <c r="F14" i="119" s="1"/>
  <c r="F32" i="113"/>
  <c r="F32" i="114" s="1"/>
  <c r="F32" i="116" s="1"/>
  <c r="F32" i="115" s="1"/>
  <c r="F32" i="117" s="1"/>
  <c r="F32" i="118" s="1"/>
  <c r="F32" i="119" s="1"/>
  <c r="F19" i="113"/>
  <c r="F19" i="114" s="1"/>
  <c r="F19" i="116" s="1"/>
  <c r="F19" i="115" s="1"/>
  <c r="F19" i="117" s="1"/>
  <c r="F19" i="118" s="1"/>
  <c r="F19" i="119" s="1"/>
  <c r="F16" i="113"/>
  <c r="F16" i="114" s="1"/>
  <c r="F16" i="116" s="1"/>
  <c r="F16" i="115" s="1"/>
  <c r="F16" i="117" s="1"/>
  <c r="F16" i="118" s="1"/>
  <c r="F16" i="119" s="1"/>
  <c r="F13" i="113"/>
  <c r="F13" i="114" s="1"/>
  <c r="F13" i="116" s="1"/>
  <c r="F13" i="115" s="1"/>
  <c r="F13" i="117" s="1"/>
  <c r="F13" i="118" s="1"/>
  <c r="F13" i="119" s="1"/>
  <c r="F31" i="113"/>
  <c r="F31" i="114" s="1"/>
  <c r="F31" i="116" s="1"/>
  <c r="F31" i="115" s="1"/>
  <c r="F31" i="117" s="1"/>
  <c r="F31" i="118" s="1"/>
  <c r="F31" i="119" s="1"/>
  <c r="F33" i="113"/>
  <c r="F33" i="114" s="1"/>
  <c r="F33" i="116" s="1"/>
  <c r="F33" i="115" s="1"/>
  <c r="F33" i="117" s="1"/>
  <c r="F33" i="118" s="1"/>
  <c r="F33" i="119" s="1"/>
  <c r="F30" i="113"/>
  <c r="F30" i="114" s="1"/>
  <c r="F30" i="116" s="1"/>
  <c r="F30" i="115" s="1"/>
  <c r="F30" i="117" s="1"/>
  <c r="F30" i="118" s="1"/>
  <c r="F30" i="119" s="1"/>
  <c r="F21" i="113"/>
  <c r="F21" i="114" s="1"/>
  <c r="F21" i="116" s="1"/>
  <c r="F21" i="115" s="1"/>
  <c r="F21" i="117" s="1"/>
  <c r="F21" i="118" s="1"/>
  <c r="F21" i="119" s="1"/>
  <c r="F29" i="113"/>
  <c r="F29" i="114" s="1"/>
  <c r="F29" i="116" s="1"/>
  <c r="F29" i="115" s="1"/>
  <c r="F29" i="117" s="1"/>
  <c r="F29" i="118" s="1"/>
  <c r="F29" i="119" s="1"/>
  <c r="F18" i="113"/>
  <c r="F18" i="114" s="1"/>
  <c r="F18" i="116" s="1"/>
  <c r="F18" i="115" s="1"/>
  <c r="F18" i="117" s="1"/>
  <c r="F18" i="118" s="1"/>
  <c r="F18" i="119" s="1"/>
  <c r="F7" i="113"/>
  <c r="F7" i="114" s="1"/>
  <c r="F7" i="116" s="1"/>
  <c r="F7" i="115" s="1"/>
  <c r="F7" i="117" s="1"/>
  <c r="F7" i="118" s="1"/>
  <c r="F7" i="119" s="1"/>
  <c r="F28" i="113"/>
  <c r="F28" i="114" s="1"/>
  <c r="F28" i="116" s="1"/>
  <c r="F28" i="115" s="1"/>
  <c r="F28" i="117" s="1"/>
  <c r="F28" i="118" s="1"/>
  <c r="F28" i="119" s="1"/>
  <c r="F24" i="113"/>
  <c r="F24" i="114" s="1"/>
  <c r="F24" i="116" s="1"/>
  <c r="F24" i="115" s="1"/>
  <c r="F24" i="117" s="1"/>
  <c r="F24" i="118" s="1"/>
  <c r="F24" i="119" s="1"/>
  <c r="F17" i="113"/>
  <c r="F17" i="114" s="1"/>
  <c r="F17" i="116" s="1"/>
  <c r="F17" i="115" s="1"/>
  <c r="F17" i="117" s="1"/>
  <c r="F17" i="118" s="1"/>
  <c r="F17" i="119" s="1"/>
  <c r="F36" i="113"/>
  <c r="F36" i="114" s="1"/>
  <c r="F36" i="116" s="1"/>
  <c r="F36" i="115" s="1"/>
  <c r="F36" i="117" s="1"/>
  <c r="F36" i="118" s="1"/>
  <c r="F36" i="119" s="1"/>
  <c r="F20" i="113"/>
  <c r="F20" i="114" s="1"/>
  <c r="F20" i="116" s="1"/>
  <c r="F20" i="115" s="1"/>
  <c r="F20" i="117" s="1"/>
  <c r="F20" i="118" s="1"/>
  <c r="F20" i="119" s="1"/>
  <c r="R40" i="124"/>
  <c r="C33" i="92"/>
  <c r="E38" i="132" l="1"/>
  <c r="F40" i="124"/>
  <c r="F38" i="132"/>
  <c r="V7" i="132"/>
  <c r="V38" i="132" s="1"/>
  <c r="X38" i="132"/>
  <c r="F12" i="131"/>
  <c r="E25" i="131"/>
  <c r="D14" i="99"/>
  <c r="C14" i="99"/>
  <c r="B6" i="98"/>
  <c r="D35" i="98" s="1"/>
  <c r="D12" i="97"/>
  <c r="C12" i="97"/>
  <c r="C11" i="95"/>
  <c r="D11" i="95" s="1"/>
  <c r="D12" i="96"/>
  <c r="C11" i="96"/>
  <c r="D20" i="74"/>
  <c r="C20" i="74"/>
  <c r="D6" i="111" l="1"/>
  <c r="D7" i="111"/>
  <c r="D8" i="111"/>
  <c r="D5" i="111"/>
  <c r="D4" i="111" l="1"/>
  <c r="B6" i="92" l="1"/>
  <c r="G16" i="93" l="1"/>
  <c r="E18" i="93" s="1"/>
  <c r="D16" i="93"/>
  <c r="G58" i="87" l="1"/>
  <c r="G57" i="87"/>
  <c r="G52" i="87"/>
  <c r="G45" i="87"/>
  <c r="X42" i="87"/>
  <c r="W42" i="87"/>
  <c r="Z38" i="87"/>
  <c r="Y38" i="87"/>
  <c r="V38" i="87"/>
  <c r="U38" i="87"/>
  <c r="T38" i="87"/>
  <c r="S38" i="87"/>
  <c r="R38" i="87"/>
  <c r="P38" i="87"/>
  <c r="Q38" i="87" s="1"/>
  <c r="O38" i="87"/>
  <c r="N38" i="87"/>
  <c r="M38" i="87"/>
  <c r="G38" i="87"/>
  <c r="B38" i="87"/>
  <c r="Z37" i="87"/>
  <c r="Y37" i="87"/>
  <c r="V37" i="87"/>
  <c r="U37" i="87"/>
  <c r="T37" i="87"/>
  <c r="S37" i="87"/>
  <c r="R37" i="87"/>
  <c r="P37" i="87"/>
  <c r="Q37" i="87" s="1"/>
  <c r="O37" i="87"/>
  <c r="N37" i="87"/>
  <c r="M37" i="87"/>
  <c r="G37" i="87"/>
  <c r="B37" i="87"/>
  <c r="Z36" i="87"/>
  <c r="Y36" i="87"/>
  <c r="V36" i="87"/>
  <c r="U36" i="87"/>
  <c r="T36" i="87"/>
  <c r="S36" i="87"/>
  <c r="R36" i="87"/>
  <c r="P36" i="87"/>
  <c r="Q36" i="87" s="1"/>
  <c r="O36" i="87"/>
  <c r="N36" i="87"/>
  <c r="M36" i="87"/>
  <c r="G36" i="87"/>
  <c r="B36" i="87"/>
  <c r="Z35" i="87"/>
  <c r="Y35" i="87"/>
  <c r="V35" i="87"/>
  <c r="U35" i="87"/>
  <c r="T35" i="87"/>
  <c r="S35" i="87"/>
  <c r="R35" i="87"/>
  <c r="P35" i="87"/>
  <c r="Q35" i="87" s="1"/>
  <c r="O35" i="87"/>
  <c r="N35" i="87"/>
  <c r="M35" i="87"/>
  <c r="G35" i="87"/>
  <c r="B35" i="87"/>
  <c r="Z34" i="87"/>
  <c r="Y34" i="87"/>
  <c r="V34" i="87"/>
  <c r="U34" i="87"/>
  <c r="T34" i="87"/>
  <c r="S34" i="87"/>
  <c r="R34" i="87"/>
  <c r="P34" i="87"/>
  <c r="Q34" i="87" s="1"/>
  <c r="O34" i="87"/>
  <c r="N34" i="87"/>
  <c r="M34" i="87"/>
  <c r="H34" i="87"/>
  <c r="G34" i="87"/>
  <c r="B34" i="87"/>
  <c r="Z33" i="87"/>
  <c r="Y33" i="87"/>
  <c r="V33" i="87"/>
  <c r="U33" i="87"/>
  <c r="T33" i="87"/>
  <c r="S33" i="87"/>
  <c r="R33" i="87"/>
  <c r="P33" i="87"/>
  <c r="Q33" i="87" s="1"/>
  <c r="O33" i="87"/>
  <c r="N33" i="87"/>
  <c r="M33" i="87"/>
  <c r="G33" i="87"/>
  <c r="B33" i="87"/>
  <c r="Z32" i="87"/>
  <c r="Y32" i="87"/>
  <c r="V32" i="87"/>
  <c r="U32" i="87"/>
  <c r="T32" i="87"/>
  <c r="S32" i="87"/>
  <c r="R32" i="87"/>
  <c r="P32" i="87"/>
  <c r="Q32" i="87" s="1"/>
  <c r="O32" i="87"/>
  <c r="N32" i="87"/>
  <c r="M32" i="87"/>
  <c r="G32" i="87"/>
  <c r="B32" i="87"/>
  <c r="Z31" i="87"/>
  <c r="Y31" i="87"/>
  <c r="V31" i="87"/>
  <c r="U31" i="87"/>
  <c r="T31" i="87"/>
  <c r="S31" i="87"/>
  <c r="R31" i="87"/>
  <c r="P31" i="87"/>
  <c r="Q31" i="87" s="1"/>
  <c r="O31" i="87"/>
  <c r="N31" i="87"/>
  <c r="M31" i="87"/>
  <c r="G31" i="87"/>
  <c r="B31" i="87"/>
  <c r="Z30" i="87"/>
  <c r="Y30" i="87"/>
  <c r="V30" i="87"/>
  <c r="U30" i="87"/>
  <c r="T30" i="87"/>
  <c r="S30" i="87"/>
  <c r="R30" i="87"/>
  <c r="P30" i="87"/>
  <c r="Q30" i="87" s="1"/>
  <c r="O30" i="87"/>
  <c r="N30" i="87"/>
  <c r="M30" i="87"/>
  <c r="G30" i="87"/>
  <c r="B30" i="87"/>
  <c r="Z29" i="87"/>
  <c r="Y29" i="87"/>
  <c r="V29" i="87"/>
  <c r="U29" i="87"/>
  <c r="T29" i="87"/>
  <c r="S29" i="87"/>
  <c r="R29" i="87"/>
  <c r="P29" i="87"/>
  <c r="Q29" i="87" s="1"/>
  <c r="O29" i="87"/>
  <c r="N29" i="87"/>
  <c r="M29" i="87"/>
  <c r="G29" i="87"/>
  <c r="B29" i="87"/>
  <c r="Z28" i="87"/>
  <c r="Y28" i="87"/>
  <c r="V28" i="87"/>
  <c r="U28" i="87"/>
  <c r="T28" i="87"/>
  <c r="S28" i="87"/>
  <c r="R28" i="87"/>
  <c r="P28" i="87"/>
  <c r="Q28" i="87" s="1"/>
  <c r="O28" i="87"/>
  <c r="N28" i="87"/>
  <c r="M28" i="87"/>
  <c r="G28" i="87"/>
  <c r="B28" i="87"/>
  <c r="Z27" i="87"/>
  <c r="Y27" i="87"/>
  <c r="V27" i="87"/>
  <c r="U27" i="87"/>
  <c r="T27" i="87"/>
  <c r="S27" i="87"/>
  <c r="R27" i="87"/>
  <c r="P27" i="87"/>
  <c r="Q27" i="87" s="1"/>
  <c r="O27" i="87"/>
  <c r="N27" i="87"/>
  <c r="M27" i="87"/>
  <c r="G27" i="87"/>
  <c r="B27" i="87"/>
  <c r="Z26" i="87"/>
  <c r="Y26" i="87"/>
  <c r="V26" i="87"/>
  <c r="U26" i="87"/>
  <c r="T26" i="87"/>
  <c r="S26" i="87"/>
  <c r="R26" i="87"/>
  <c r="P26" i="87"/>
  <c r="Q26" i="87" s="1"/>
  <c r="O26" i="87"/>
  <c r="N26" i="87"/>
  <c r="M26" i="87"/>
  <c r="G26" i="87"/>
  <c r="B26" i="87"/>
  <c r="Z25" i="87"/>
  <c r="Y25" i="87"/>
  <c r="V25" i="87"/>
  <c r="U25" i="87"/>
  <c r="T25" i="87"/>
  <c r="S25" i="87"/>
  <c r="R25" i="87"/>
  <c r="P25" i="87"/>
  <c r="Q25" i="87" s="1"/>
  <c r="O25" i="87"/>
  <c r="N25" i="87"/>
  <c r="M25" i="87"/>
  <c r="G25" i="87"/>
  <c r="B25" i="87"/>
  <c r="Z24" i="87"/>
  <c r="Y24" i="87"/>
  <c r="V24" i="87"/>
  <c r="U24" i="87"/>
  <c r="T24" i="87"/>
  <c r="S24" i="87"/>
  <c r="R24" i="87"/>
  <c r="P24" i="87"/>
  <c r="Q24" i="87" s="1"/>
  <c r="O24" i="87"/>
  <c r="N24" i="87"/>
  <c r="M24" i="87"/>
  <c r="G24" i="87"/>
  <c r="B24" i="87"/>
  <c r="Z23" i="87"/>
  <c r="Y23" i="87"/>
  <c r="V23" i="87"/>
  <c r="U23" i="87"/>
  <c r="T23" i="87"/>
  <c r="S23" i="87"/>
  <c r="R23" i="87"/>
  <c r="P23" i="87"/>
  <c r="Q23" i="87" s="1"/>
  <c r="O23" i="87"/>
  <c r="N23" i="87"/>
  <c r="M23" i="87"/>
  <c r="G23" i="87"/>
  <c r="B23" i="87"/>
  <c r="Z22" i="87"/>
  <c r="Y22" i="87"/>
  <c r="V22" i="87"/>
  <c r="U22" i="87"/>
  <c r="T22" i="87"/>
  <c r="S22" i="87"/>
  <c r="R22" i="87"/>
  <c r="P22" i="87"/>
  <c r="Q22" i="87" s="1"/>
  <c r="O22" i="87"/>
  <c r="N22" i="87"/>
  <c r="M22" i="87"/>
  <c r="G22" i="87"/>
  <c r="B22" i="87"/>
  <c r="Z21" i="87"/>
  <c r="Y21" i="87"/>
  <c r="V21" i="87"/>
  <c r="U21" i="87"/>
  <c r="T21" i="87"/>
  <c r="S21" i="87"/>
  <c r="R21" i="87"/>
  <c r="P21" i="87"/>
  <c r="Q21" i="87" s="1"/>
  <c r="O21" i="87"/>
  <c r="N21" i="87"/>
  <c r="M21" i="87"/>
  <c r="G21" i="87"/>
  <c r="B21" i="87"/>
  <c r="Z20" i="87"/>
  <c r="Y20" i="87"/>
  <c r="V20" i="87"/>
  <c r="U20" i="87"/>
  <c r="T20" i="87"/>
  <c r="S20" i="87"/>
  <c r="R20" i="87"/>
  <c r="P20" i="87"/>
  <c r="Q20" i="87" s="1"/>
  <c r="O20" i="87"/>
  <c r="N20" i="87"/>
  <c r="M20" i="87"/>
  <c r="G20" i="87"/>
  <c r="B20" i="87"/>
  <c r="Z19" i="87"/>
  <c r="Y19" i="87"/>
  <c r="V19" i="87"/>
  <c r="U19" i="87"/>
  <c r="T19" i="87"/>
  <c r="S19" i="87"/>
  <c r="R19" i="87"/>
  <c r="P19" i="87"/>
  <c r="Q19" i="87" s="1"/>
  <c r="O19" i="87"/>
  <c r="N19" i="87"/>
  <c r="M19" i="87"/>
  <c r="G19" i="87"/>
  <c r="B19" i="87"/>
  <c r="Z18" i="87"/>
  <c r="Y18" i="87"/>
  <c r="V18" i="87"/>
  <c r="U18" i="87"/>
  <c r="T18" i="87"/>
  <c r="S18" i="87"/>
  <c r="R18" i="87"/>
  <c r="P18" i="87"/>
  <c r="Q18" i="87" s="1"/>
  <c r="O18" i="87"/>
  <c r="N18" i="87"/>
  <c r="M18" i="87"/>
  <c r="G18" i="87"/>
  <c r="B18" i="87"/>
  <c r="Z17" i="87"/>
  <c r="Y17" i="87"/>
  <c r="V17" i="87"/>
  <c r="U17" i="87"/>
  <c r="T17" i="87"/>
  <c r="S17" i="87"/>
  <c r="R17" i="87"/>
  <c r="P17" i="87"/>
  <c r="Q17" i="87" s="1"/>
  <c r="O17" i="87"/>
  <c r="N17" i="87"/>
  <c r="M17" i="87"/>
  <c r="G17" i="87"/>
  <c r="B17" i="87"/>
  <c r="Z16" i="87"/>
  <c r="Y16" i="87"/>
  <c r="V16" i="87"/>
  <c r="U16" i="87"/>
  <c r="T16" i="87"/>
  <c r="S16" i="87"/>
  <c r="R16" i="87"/>
  <c r="P16" i="87"/>
  <c r="Q16" i="87" s="1"/>
  <c r="O16" i="87"/>
  <c r="N16" i="87"/>
  <c r="M16" i="87"/>
  <c r="G16" i="87"/>
  <c r="B16" i="87"/>
  <c r="Z15" i="87"/>
  <c r="Y15" i="87"/>
  <c r="V15" i="87"/>
  <c r="U15" i="87"/>
  <c r="T15" i="87"/>
  <c r="S15" i="87"/>
  <c r="R15" i="87"/>
  <c r="P15" i="87"/>
  <c r="Q15" i="87" s="1"/>
  <c r="O15" i="87"/>
  <c r="N15" i="87"/>
  <c r="M15" i="87"/>
  <c r="G15" i="87"/>
  <c r="B15" i="87"/>
  <c r="Z14" i="87"/>
  <c r="Y14" i="87"/>
  <c r="V14" i="87"/>
  <c r="U14" i="87"/>
  <c r="T14" i="87"/>
  <c r="S14" i="87"/>
  <c r="R14" i="87"/>
  <c r="P14" i="87"/>
  <c r="Q14" i="87" s="1"/>
  <c r="O14" i="87"/>
  <c r="N14" i="87"/>
  <c r="M14" i="87"/>
  <c r="G14" i="87"/>
  <c r="B14" i="87"/>
  <c r="Z13" i="87"/>
  <c r="Y13" i="87"/>
  <c r="V13" i="87"/>
  <c r="U13" i="87"/>
  <c r="T13" i="87"/>
  <c r="S13" i="87"/>
  <c r="R13" i="87"/>
  <c r="P13" i="87"/>
  <c r="Q13" i="87" s="1"/>
  <c r="O13" i="87"/>
  <c r="N13" i="87"/>
  <c r="M13" i="87"/>
  <c r="G13" i="87"/>
  <c r="B13" i="87"/>
  <c r="Z12" i="87"/>
  <c r="Y12" i="87"/>
  <c r="V12" i="87"/>
  <c r="U12" i="87"/>
  <c r="T12" i="87"/>
  <c r="S12" i="87"/>
  <c r="R12" i="87"/>
  <c r="P12" i="87"/>
  <c r="Q12" i="87" s="1"/>
  <c r="O12" i="87"/>
  <c r="N12" i="87"/>
  <c r="M12" i="87"/>
  <c r="G12" i="87"/>
  <c r="B12" i="87"/>
  <c r="Z11" i="87"/>
  <c r="Y11" i="87"/>
  <c r="V11" i="87"/>
  <c r="U11" i="87"/>
  <c r="T11" i="87"/>
  <c r="S11" i="87"/>
  <c r="R11" i="87"/>
  <c r="P11" i="87"/>
  <c r="Q11" i="87" s="1"/>
  <c r="O11" i="87"/>
  <c r="N11" i="87"/>
  <c r="M11" i="87"/>
  <c r="G11" i="87"/>
  <c r="B11" i="87"/>
  <c r="Z10" i="87"/>
  <c r="Y10" i="87"/>
  <c r="V10" i="87"/>
  <c r="U10" i="87"/>
  <c r="T10" i="87"/>
  <c r="S10" i="87"/>
  <c r="R10" i="87"/>
  <c r="P10" i="87"/>
  <c r="Q10" i="87" s="1"/>
  <c r="O10" i="87"/>
  <c r="N10" i="87"/>
  <c r="M10" i="87"/>
  <c r="G10" i="87"/>
  <c r="B10" i="87"/>
  <c r="Z9" i="87"/>
  <c r="Y9" i="87"/>
  <c r="V9" i="87"/>
  <c r="U9" i="87"/>
  <c r="T9" i="87"/>
  <c r="S9" i="87"/>
  <c r="R9" i="87"/>
  <c r="P9" i="87"/>
  <c r="Q9" i="87" s="1"/>
  <c r="O9" i="87"/>
  <c r="N9" i="87"/>
  <c r="M9" i="87"/>
  <c r="G9" i="87"/>
  <c r="B9" i="87"/>
  <c r="Z8" i="87"/>
  <c r="Y8" i="87"/>
  <c r="V8" i="87"/>
  <c r="U8" i="87"/>
  <c r="T8" i="87"/>
  <c r="S8" i="87"/>
  <c r="R8" i="87"/>
  <c r="P8" i="87"/>
  <c r="Q8" i="87" s="1"/>
  <c r="O8" i="87"/>
  <c r="N8" i="87"/>
  <c r="M8" i="87"/>
  <c r="G8" i="87"/>
  <c r="B8" i="87"/>
  <c r="Z7" i="87"/>
  <c r="Y7" i="87"/>
  <c r="V7" i="87"/>
  <c r="U7" i="87"/>
  <c r="T7" i="87"/>
  <c r="S7" i="87"/>
  <c r="R7" i="87"/>
  <c r="P7" i="87"/>
  <c r="Q7" i="87" s="1"/>
  <c r="O7" i="87"/>
  <c r="N7" i="87"/>
  <c r="M7" i="87"/>
  <c r="G7" i="87"/>
  <c r="B7" i="87"/>
  <c r="Z6" i="87"/>
  <c r="Y6" i="87"/>
  <c r="V6" i="87"/>
  <c r="U6" i="87"/>
  <c r="T6" i="87"/>
  <c r="S6" i="87"/>
  <c r="R6" i="87"/>
  <c r="P6" i="87"/>
  <c r="Q6" i="87" s="1"/>
  <c r="O6" i="87"/>
  <c r="N6" i="87"/>
  <c r="M6" i="87"/>
  <c r="H6" i="87"/>
  <c r="G6" i="87"/>
  <c r="B6" i="87"/>
  <c r="AI17" i="85"/>
  <c r="AH17" i="85"/>
  <c r="AG17" i="85"/>
  <c r="AF17" i="85"/>
  <c r="AC17" i="85"/>
  <c r="AB17" i="85"/>
  <c r="AA17" i="85"/>
  <c r="Z17" i="85"/>
  <c r="W17" i="85"/>
  <c r="V17" i="85"/>
  <c r="U17" i="85"/>
  <c r="T17" i="85"/>
  <c r="Q17" i="85"/>
  <c r="P17" i="85"/>
  <c r="O17" i="85"/>
  <c r="N17" i="85"/>
  <c r="K17" i="85"/>
  <c r="J17" i="85"/>
  <c r="I17" i="85"/>
  <c r="H17" i="85"/>
  <c r="E17" i="85"/>
  <c r="D17" i="85"/>
  <c r="C17" i="85"/>
  <c r="B17" i="85"/>
  <c r="AI16" i="85"/>
  <c r="AH16" i="85"/>
  <c r="AG16" i="85"/>
  <c r="AF16" i="85"/>
  <c r="AC16" i="85"/>
  <c r="AB16" i="85"/>
  <c r="AA16" i="85"/>
  <c r="Z16" i="85"/>
  <c r="W16" i="85"/>
  <c r="V16" i="85"/>
  <c r="U16" i="85"/>
  <c r="T16" i="85"/>
  <c r="Q16" i="85"/>
  <c r="P16" i="85"/>
  <c r="O16" i="85"/>
  <c r="N16" i="85"/>
  <c r="K16" i="85"/>
  <c r="J16" i="85"/>
  <c r="I16" i="85"/>
  <c r="H16" i="85"/>
  <c r="E16" i="85"/>
  <c r="D16" i="85"/>
  <c r="AN16" i="85" s="1"/>
  <c r="C16" i="85"/>
  <c r="B16" i="85"/>
  <c r="AI15" i="85"/>
  <c r="AH15" i="85"/>
  <c r="AG15" i="85"/>
  <c r="AF15" i="85"/>
  <c r="AC15" i="85"/>
  <c r="AB15" i="85"/>
  <c r="AA15" i="85"/>
  <c r="Z15" i="85"/>
  <c r="W15" i="85"/>
  <c r="V15" i="85"/>
  <c r="U15" i="85"/>
  <c r="T15" i="85"/>
  <c r="Q15" i="85"/>
  <c r="P15" i="85"/>
  <c r="O15" i="85"/>
  <c r="N15" i="85"/>
  <c r="K15" i="85"/>
  <c r="J15" i="85"/>
  <c r="I15" i="85"/>
  <c r="H15" i="85"/>
  <c r="E15" i="85"/>
  <c r="AO15" i="85" s="1"/>
  <c r="D15" i="85"/>
  <c r="C15" i="85"/>
  <c r="AM15" i="85" s="1"/>
  <c r="B15" i="85"/>
  <c r="AI14" i="85"/>
  <c r="AH14" i="85"/>
  <c r="AG14" i="85"/>
  <c r="AF14" i="85"/>
  <c r="AC14" i="85"/>
  <c r="AB14" i="85"/>
  <c r="AA14" i="85"/>
  <c r="Z14" i="85"/>
  <c r="W14" i="85"/>
  <c r="V14" i="85"/>
  <c r="U14" i="85"/>
  <c r="T14" i="85"/>
  <c r="Q14" i="85"/>
  <c r="P14" i="85"/>
  <c r="O14" i="85"/>
  <c r="N14" i="85"/>
  <c r="K14" i="85"/>
  <c r="J14" i="85"/>
  <c r="I14" i="85"/>
  <c r="H14" i="85"/>
  <c r="E14" i="85"/>
  <c r="AO14" i="85" s="1"/>
  <c r="D14" i="85"/>
  <c r="C14" i="85"/>
  <c r="B14" i="85"/>
  <c r="AI13" i="85"/>
  <c r="AH13" i="85"/>
  <c r="AG13" i="85"/>
  <c r="AF13" i="85"/>
  <c r="AC13" i="85"/>
  <c r="AB13" i="85"/>
  <c r="AA13" i="85"/>
  <c r="Z13" i="85"/>
  <c r="W13" i="85"/>
  <c r="V13" i="85"/>
  <c r="U13" i="85"/>
  <c r="T13" i="85"/>
  <c r="Q13" i="85"/>
  <c r="P13" i="85"/>
  <c r="O13" i="85"/>
  <c r="N13" i="85"/>
  <c r="K13" i="85"/>
  <c r="J13" i="85"/>
  <c r="I13" i="85"/>
  <c r="H13" i="85"/>
  <c r="E13" i="85"/>
  <c r="D13" i="85"/>
  <c r="C13" i="85"/>
  <c r="B13" i="85"/>
  <c r="AI12" i="85"/>
  <c r="AH12" i="85"/>
  <c r="AG12" i="85"/>
  <c r="AF12" i="85"/>
  <c r="AC12" i="85"/>
  <c r="AB12" i="85"/>
  <c r="AA12" i="85"/>
  <c r="Z12" i="85"/>
  <c r="W12" i="85"/>
  <c r="V12" i="85"/>
  <c r="U12" i="85"/>
  <c r="T12" i="85"/>
  <c r="Q12" i="85"/>
  <c r="P12" i="85"/>
  <c r="O12" i="85"/>
  <c r="N12" i="85"/>
  <c r="K12" i="85"/>
  <c r="J12" i="85"/>
  <c r="I12" i="85"/>
  <c r="H12" i="85"/>
  <c r="E12" i="85"/>
  <c r="AO12" i="85" s="1"/>
  <c r="D12" i="85"/>
  <c r="C12" i="85"/>
  <c r="AM12" i="85" s="1"/>
  <c r="B12" i="85"/>
  <c r="AI11" i="85"/>
  <c r="AH11" i="85"/>
  <c r="AG11" i="85"/>
  <c r="AF11" i="85"/>
  <c r="AC11" i="85"/>
  <c r="AB11" i="85"/>
  <c r="AA11" i="85"/>
  <c r="Z11" i="85"/>
  <c r="W11" i="85"/>
  <c r="V11" i="85"/>
  <c r="U11" i="85"/>
  <c r="T11" i="85"/>
  <c r="Q11" i="85"/>
  <c r="P11" i="85"/>
  <c r="O11" i="85"/>
  <c r="N11" i="85"/>
  <c r="K11" i="85"/>
  <c r="J11" i="85"/>
  <c r="I11" i="85"/>
  <c r="H11" i="85"/>
  <c r="E11" i="85"/>
  <c r="AO11" i="85" s="1"/>
  <c r="D11" i="85"/>
  <c r="C11" i="85"/>
  <c r="AM11" i="85" s="1"/>
  <c r="B11" i="85"/>
  <c r="AL11" i="85" s="1"/>
  <c r="AI10" i="85"/>
  <c r="AH10" i="85"/>
  <c r="AG10" i="85"/>
  <c r="AF10" i="85"/>
  <c r="AC10" i="85"/>
  <c r="AB10" i="85"/>
  <c r="AA10" i="85"/>
  <c r="Z10" i="85"/>
  <c r="W10" i="85"/>
  <c r="V10" i="85"/>
  <c r="U10" i="85"/>
  <c r="T10" i="85"/>
  <c r="Q10" i="85"/>
  <c r="P10" i="85"/>
  <c r="O10" i="85"/>
  <c r="N10" i="85"/>
  <c r="K10" i="85"/>
  <c r="J10" i="85"/>
  <c r="I10" i="85"/>
  <c r="H10" i="85"/>
  <c r="E10" i="85"/>
  <c r="AO10" i="85" s="1"/>
  <c r="D10" i="85"/>
  <c r="C10" i="85"/>
  <c r="AM10" i="85" s="1"/>
  <c r="B10" i="85"/>
  <c r="AL10" i="85" s="1"/>
  <c r="AI9" i="85"/>
  <c r="AH9" i="85"/>
  <c r="AG9" i="85"/>
  <c r="AF9" i="85"/>
  <c r="AC9" i="85"/>
  <c r="AB9" i="85"/>
  <c r="AA9" i="85"/>
  <c r="Z9" i="85"/>
  <c r="W9" i="85"/>
  <c r="V9" i="85"/>
  <c r="U9" i="85"/>
  <c r="T9" i="85"/>
  <c r="Q9" i="85"/>
  <c r="P9" i="85"/>
  <c r="O9" i="85"/>
  <c r="N9" i="85"/>
  <c r="K9" i="85"/>
  <c r="J9" i="85"/>
  <c r="I9" i="85"/>
  <c r="H9" i="85"/>
  <c r="E9" i="85"/>
  <c r="D9" i="85"/>
  <c r="AN9" i="85" s="1"/>
  <c r="C9" i="85"/>
  <c r="AM9" i="85" s="1"/>
  <c r="B9" i="85"/>
  <c r="AL9" i="85" s="1"/>
  <c r="AI8" i="85"/>
  <c r="AH8" i="85"/>
  <c r="AG8" i="85"/>
  <c r="AF8" i="85"/>
  <c r="AC8" i="85"/>
  <c r="AB8" i="85"/>
  <c r="AA8" i="85"/>
  <c r="Z8" i="85"/>
  <c r="W8" i="85"/>
  <c r="V8" i="85"/>
  <c r="U8" i="85"/>
  <c r="T8" i="85"/>
  <c r="Q8" i="85"/>
  <c r="P8" i="85"/>
  <c r="O8" i="85"/>
  <c r="N8" i="85"/>
  <c r="K8" i="85"/>
  <c r="J8" i="85"/>
  <c r="I8" i="85"/>
  <c r="H8" i="85"/>
  <c r="E8" i="85"/>
  <c r="AO8" i="85" s="1"/>
  <c r="D8" i="85"/>
  <c r="C8" i="85"/>
  <c r="AM8" i="85" s="1"/>
  <c r="B8" i="85"/>
  <c r="AL8" i="85" s="1"/>
  <c r="AI7" i="85"/>
  <c r="AH7" i="85"/>
  <c r="AG7" i="85"/>
  <c r="AF7" i="85"/>
  <c r="AC7" i="85"/>
  <c r="AB7" i="85"/>
  <c r="AA7" i="85"/>
  <c r="Z7" i="85"/>
  <c r="W7" i="85"/>
  <c r="V7" i="85"/>
  <c r="U7" i="85"/>
  <c r="T7" i="85"/>
  <c r="Q7" i="85"/>
  <c r="P7" i="85"/>
  <c r="O7" i="85"/>
  <c r="N7" i="85"/>
  <c r="K7" i="85"/>
  <c r="J7" i="85"/>
  <c r="I7" i="85"/>
  <c r="H7" i="85"/>
  <c r="E7" i="85"/>
  <c r="AO7" i="85" s="1"/>
  <c r="D7" i="85"/>
  <c r="AN7" i="85" s="1"/>
  <c r="C7" i="85"/>
  <c r="AM7" i="85" s="1"/>
  <c r="B7" i="85"/>
  <c r="AL7" i="85" s="1"/>
  <c r="AI6" i="85"/>
  <c r="AH6" i="85"/>
  <c r="AG6" i="85"/>
  <c r="AF6" i="85"/>
  <c r="AC6" i="85"/>
  <c r="AB6" i="85"/>
  <c r="AA6" i="85"/>
  <c r="Z6" i="85"/>
  <c r="W6" i="85"/>
  <c r="V6" i="85"/>
  <c r="U6" i="85"/>
  <c r="T6" i="85"/>
  <c r="Q6" i="85"/>
  <c r="P6" i="85"/>
  <c r="O6" i="85"/>
  <c r="N6" i="85"/>
  <c r="K6" i="85"/>
  <c r="J6" i="85"/>
  <c r="I6" i="85"/>
  <c r="H6" i="85"/>
  <c r="E6" i="85"/>
  <c r="D6" i="85"/>
  <c r="C6" i="85"/>
  <c r="B6" i="85"/>
  <c r="R39" i="73"/>
  <c r="Q39" i="73"/>
  <c r="O39" i="73"/>
  <c r="N39" i="73"/>
  <c r="M39" i="73"/>
  <c r="L39" i="73"/>
  <c r="K39" i="73"/>
  <c r="B39" i="73"/>
  <c r="R38" i="73"/>
  <c r="Q38" i="73"/>
  <c r="O38" i="73"/>
  <c r="N38" i="73"/>
  <c r="M38" i="73"/>
  <c r="L38" i="73"/>
  <c r="K38" i="73"/>
  <c r="B38" i="73"/>
  <c r="R37" i="73"/>
  <c r="Q37" i="73"/>
  <c r="O37" i="73"/>
  <c r="N37" i="73"/>
  <c r="M37" i="73"/>
  <c r="L37" i="73"/>
  <c r="K37" i="73"/>
  <c r="B37" i="73"/>
  <c r="R36" i="73"/>
  <c r="Q36" i="73"/>
  <c r="O36" i="73"/>
  <c r="N36" i="73"/>
  <c r="M36" i="73"/>
  <c r="L36" i="73"/>
  <c r="K36" i="73"/>
  <c r="B36" i="73"/>
  <c r="R35" i="73"/>
  <c r="Q35" i="73"/>
  <c r="O35" i="73"/>
  <c r="N35" i="73"/>
  <c r="M35" i="73"/>
  <c r="L35" i="73"/>
  <c r="K35" i="73"/>
  <c r="B35" i="73"/>
  <c r="R34" i="73"/>
  <c r="Q34" i="73"/>
  <c r="O34" i="73"/>
  <c r="N34" i="73"/>
  <c r="M34" i="73"/>
  <c r="L34" i="73"/>
  <c r="K34" i="73"/>
  <c r="B34" i="73"/>
  <c r="R33" i="73"/>
  <c r="Q33" i="73"/>
  <c r="O33" i="73"/>
  <c r="N33" i="73"/>
  <c r="M33" i="73"/>
  <c r="L33" i="73"/>
  <c r="K33" i="73"/>
  <c r="B33" i="73"/>
  <c r="R32" i="73"/>
  <c r="Q32" i="73"/>
  <c r="O32" i="73"/>
  <c r="N32" i="73"/>
  <c r="M32" i="73"/>
  <c r="L32" i="73"/>
  <c r="K32" i="73"/>
  <c r="B32" i="73"/>
  <c r="R31" i="73"/>
  <c r="Q31" i="73"/>
  <c r="O31" i="73"/>
  <c r="N31" i="73"/>
  <c r="M31" i="73"/>
  <c r="L31" i="73"/>
  <c r="K31" i="73"/>
  <c r="B31" i="73"/>
  <c r="R30" i="73"/>
  <c r="Q30" i="73"/>
  <c r="O30" i="73"/>
  <c r="N30" i="73"/>
  <c r="M30" i="73"/>
  <c r="L30" i="73"/>
  <c r="K30" i="73"/>
  <c r="B30" i="73"/>
  <c r="R29" i="73"/>
  <c r="Q29" i="73"/>
  <c r="O29" i="73"/>
  <c r="N29" i="73"/>
  <c r="M29" i="73"/>
  <c r="L29" i="73"/>
  <c r="K29" i="73"/>
  <c r="B29" i="73"/>
  <c r="R28" i="73"/>
  <c r="Q28" i="73"/>
  <c r="O28" i="73"/>
  <c r="N28" i="73"/>
  <c r="M28" i="73"/>
  <c r="L28" i="73"/>
  <c r="K28" i="73"/>
  <c r="B28" i="73"/>
  <c r="R27" i="73"/>
  <c r="Q27" i="73"/>
  <c r="O27" i="73"/>
  <c r="N27" i="73"/>
  <c r="M27" i="73"/>
  <c r="L27" i="73"/>
  <c r="K27" i="73"/>
  <c r="B27" i="73"/>
  <c r="R26" i="73"/>
  <c r="Q26" i="73"/>
  <c r="O26" i="73"/>
  <c r="N26" i="73"/>
  <c r="M26" i="73"/>
  <c r="L26" i="73"/>
  <c r="K26" i="73"/>
  <c r="B26" i="73"/>
  <c r="R25" i="73"/>
  <c r="Q25" i="73"/>
  <c r="O25" i="73"/>
  <c r="N25" i="73"/>
  <c r="M25" i="73"/>
  <c r="L25" i="73"/>
  <c r="K25" i="73"/>
  <c r="B25" i="73"/>
  <c r="R24" i="73"/>
  <c r="Q24" i="73"/>
  <c r="O24" i="73"/>
  <c r="N24" i="73"/>
  <c r="M24" i="73"/>
  <c r="L24" i="73"/>
  <c r="K24" i="73"/>
  <c r="B24" i="73"/>
  <c r="R23" i="73"/>
  <c r="Q23" i="73"/>
  <c r="O23" i="73"/>
  <c r="N23" i="73"/>
  <c r="M23" i="73"/>
  <c r="L23" i="73"/>
  <c r="K23" i="73"/>
  <c r="B23" i="73"/>
  <c r="R22" i="73"/>
  <c r="Q22" i="73"/>
  <c r="O22" i="73"/>
  <c r="N22" i="73"/>
  <c r="M22" i="73"/>
  <c r="L22" i="73"/>
  <c r="K22" i="73"/>
  <c r="B22" i="73"/>
  <c r="R21" i="73"/>
  <c r="Q21" i="73"/>
  <c r="O21" i="73"/>
  <c r="N21" i="73"/>
  <c r="M21" i="73"/>
  <c r="L21" i="73"/>
  <c r="K21" i="73"/>
  <c r="B21" i="73"/>
  <c r="R20" i="73"/>
  <c r="Q20" i="73"/>
  <c r="O20" i="73"/>
  <c r="N20" i="73"/>
  <c r="M20" i="73"/>
  <c r="L20" i="73"/>
  <c r="K20" i="73"/>
  <c r="B20" i="73"/>
  <c r="R19" i="73"/>
  <c r="Q19" i="73"/>
  <c r="O19" i="73"/>
  <c r="N19" i="73"/>
  <c r="M19" i="73"/>
  <c r="L19" i="73"/>
  <c r="K19" i="73"/>
  <c r="B19" i="73"/>
  <c r="R18" i="73"/>
  <c r="Q18" i="73"/>
  <c r="P18" i="73"/>
  <c r="O18" i="73"/>
  <c r="N18" i="73"/>
  <c r="M18" i="73"/>
  <c r="L18" i="73"/>
  <c r="K18" i="73"/>
  <c r="B18" i="73"/>
  <c r="R17" i="73"/>
  <c r="Q17" i="73"/>
  <c r="P17" i="73"/>
  <c r="O17" i="73"/>
  <c r="N17" i="73"/>
  <c r="M17" i="73"/>
  <c r="L17" i="73"/>
  <c r="K17" i="73"/>
  <c r="B17" i="73"/>
  <c r="R16" i="73"/>
  <c r="Q16" i="73"/>
  <c r="O16" i="73"/>
  <c r="N16" i="73"/>
  <c r="M16" i="73"/>
  <c r="L16" i="73"/>
  <c r="K16" i="73"/>
  <c r="B16" i="73"/>
  <c r="R15" i="73"/>
  <c r="Q15" i="73"/>
  <c r="O15" i="73"/>
  <c r="N15" i="73"/>
  <c r="M15" i="73"/>
  <c r="L15" i="73"/>
  <c r="K15" i="73"/>
  <c r="B15" i="73"/>
  <c r="R14" i="73"/>
  <c r="Q14" i="73"/>
  <c r="O14" i="73"/>
  <c r="N14" i="73"/>
  <c r="M14" i="73"/>
  <c r="L14" i="73"/>
  <c r="K14" i="73"/>
  <c r="B14" i="73"/>
  <c r="R13" i="73"/>
  <c r="Q13" i="73"/>
  <c r="O13" i="73"/>
  <c r="N13" i="73"/>
  <c r="M13" i="73"/>
  <c r="L13" i="73"/>
  <c r="K13" i="73"/>
  <c r="B13" i="73"/>
  <c r="R12" i="73"/>
  <c r="Q12" i="73"/>
  <c r="O12" i="73"/>
  <c r="N12" i="73"/>
  <c r="M12" i="73"/>
  <c r="L12" i="73"/>
  <c r="K12" i="73"/>
  <c r="B12" i="73"/>
  <c r="R11" i="73"/>
  <c r="Q11" i="73"/>
  <c r="O11" i="73"/>
  <c r="N11" i="73"/>
  <c r="M11" i="73"/>
  <c r="L11" i="73"/>
  <c r="K11" i="73"/>
  <c r="B11" i="73"/>
  <c r="R10" i="73"/>
  <c r="Q10" i="73"/>
  <c r="O10" i="73"/>
  <c r="N10" i="73"/>
  <c r="M10" i="73"/>
  <c r="L10" i="73"/>
  <c r="K10" i="73"/>
  <c r="B10" i="73"/>
  <c r="R9" i="73"/>
  <c r="Q9" i="73"/>
  <c r="O9" i="73"/>
  <c r="N9" i="73"/>
  <c r="M9" i="73"/>
  <c r="L9" i="73"/>
  <c r="K9" i="73"/>
  <c r="B9" i="73"/>
  <c r="R8" i="73"/>
  <c r="Q8" i="73"/>
  <c r="O8" i="73"/>
  <c r="N8" i="73"/>
  <c r="M8" i="73"/>
  <c r="L8" i="73"/>
  <c r="K8" i="73"/>
  <c r="B8" i="73"/>
  <c r="R7" i="73"/>
  <c r="Q7" i="73"/>
  <c r="O7" i="73"/>
  <c r="N7" i="73"/>
  <c r="M7" i="73"/>
  <c r="L7" i="73"/>
  <c r="K7" i="73"/>
  <c r="B7" i="73"/>
  <c r="R6" i="73"/>
  <c r="R44" i="73" s="1"/>
  <c r="Q6" i="73"/>
  <c r="Q44" i="73" s="1"/>
  <c r="P6" i="73"/>
  <c r="O6" i="73"/>
  <c r="N6" i="73"/>
  <c r="N44" i="73" s="1"/>
  <c r="M6" i="73"/>
  <c r="M44" i="73" s="1"/>
  <c r="L6" i="73"/>
  <c r="L44" i="73" s="1"/>
  <c r="K6" i="73"/>
  <c r="K44" i="73" s="1"/>
  <c r="J6" i="73"/>
  <c r="I6" i="73"/>
  <c r="H6" i="73"/>
  <c r="G6" i="73"/>
  <c r="F6" i="73"/>
  <c r="E6" i="73"/>
  <c r="D6" i="73"/>
  <c r="B6" i="73"/>
  <c r="Y45" i="56"/>
  <c r="W45" i="56"/>
  <c r="V45" i="56"/>
  <c r="U45" i="56"/>
  <c r="T45" i="56"/>
  <c r="S45" i="56"/>
  <c r="R45" i="56"/>
  <c r="Q45" i="56"/>
  <c r="P45" i="56"/>
  <c r="O45" i="56"/>
  <c r="N45" i="56"/>
  <c r="M45" i="56"/>
  <c r="L45" i="56"/>
  <c r="K45" i="56"/>
  <c r="J45" i="56"/>
  <c r="I45" i="56"/>
  <c r="H45" i="56"/>
  <c r="G45" i="56"/>
  <c r="F45" i="56"/>
  <c r="E45" i="56"/>
  <c r="D45" i="56"/>
  <c r="C45" i="56"/>
  <c r="AC44" i="56"/>
  <c r="Y44" i="56"/>
  <c r="X44" i="56"/>
  <c r="W44" i="56"/>
  <c r="V44" i="56"/>
  <c r="U44" i="56"/>
  <c r="T44" i="56"/>
  <c r="S44" i="56"/>
  <c r="R44" i="56"/>
  <c r="Q44" i="56"/>
  <c r="P44" i="56"/>
  <c r="O44" i="56"/>
  <c r="N44" i="56"/>
  <c r="M44" i="56"/>
  <c r="L44" i="56"/>
  <c r="K44" i="56"/>
  <c r="J44" i="56"/>
  <c r="I44" i="56"/>
  <c r="H44" i="56"/>
  <c r="G44" i="56"/>
  <c r="F44" i="56"/>
  <c r="E44" i="56"/>
  <c r="D44" i="56"/>
  <c r="C44" i="56"/>
  <c r="B44" i="56"/>
  <c r="AC43" i="56"/>
  <c r="Y43" i="56"/>
  <c r="X43" i="56"/>
  <c r="W43" i="56"/>
  <c r="V43" i="56"/>
  <c r="U43" i="56"/>
  <c r="T43" i="56"/>
  <c r="S43" i="56"/>
  <c r="R43" i="56"/>
  <c r="Q43" i="56"/>
  <c r="P43" i="56"/>
  <c r="O43" i="56"/>
  <c r="N43" i="56"/>
  <c r="M43" i="56"/>
  <c r="L43" i="56"/>
  <c r="K43" i="56"/>
  <c r="J43" i="56"/>
  <c r="I43" i="56"/>
  <c r="H43" i="56"/>
  <c r="G43" i="56"/>
  <c r="F43" i="56"/>
  <c r="E43" i="56"/>
  <c r="D43" i="56"/>
  <c r="C43" i="56"/>
  <c r="B43" i="56"/>
  <c r="AF42" i="56"/>
  <c r="AE42" i="56"/>
  <c r="AD42" i="56"/>
  <c r="AC42" i="56"/>
  <c r="Y42" i="56"/>
  <c r="X42" i="56"/>
  <c r="W42" i="56"/>
  <c r="V42" i="56"/>
  <c r="U42" i="56"/>
  <c r="T42" i="56"/>
  <c r="S42" i="56"/>
  <c r="R42" i="56"/>
  <c r="Q42" i="56"/>
  <c r="P42" i="56"/>
  <c r="O42" i="56"/>
  <c r="N42" i="56"/>
  <c r="M42" i="56"/>
  <c r="L42" i="56"/>
  <c r="K42" i="56"/>
  <c r="J42" i="56"/>
  <c r="I42" i="56"/>
  <c r="H42" i="56"/>
  <c r="G42" i="56"/>
  <c r="F42" i="56"/>
  <c r="E42" i="56"/>
  <c r="D42" i="56"/>
  <c r="C42" i="56"/>
  <c r="B42" i="56"/>
  <c r="AG41" i="56"/>
  <c r="AD41" i="56"/>
  <c r="AC41" i="56"/>
  <c r="Y41" i="56"/>
  <c r="X41" i="56"/>
  <c r="W41" i="56"/>
  <c r="V41" i="56"/>
  <c r="U41" i="56"/>
  <c r="T41" i="56"/>
  <c r="S41" i="56"/>
  <c r="R41" i="56"/>
  <c r="Q41" i="56"/>
  <c r="P41" i="56"/>
  <c r="O41" i="56"/>
  <c r="N41" i="56"/>
  <c r="M41" i="56"/>
  <c r="L41" i="56"/>
  <c r="K41" i="56"/>
  <c r="J41" i="56"/>
  <c r="I41" i="56"/>
  <c r="H41" i="56"/>
  <c r="G41" i="56"/>
  <c r="F41" i="56"/>
  <c r="E41" i="56"/>
  <c r="D41" i="56"/>
  <c r="C41" i="56"/>
  <c r="B41" i="56"/>
  <c r="AG40" i="56"/>
  <c r="AD40" i="56"/>
  <c r="AC40" i="56"/>
  <c r="AB40" i="56"/>
  <c r="Y40" i="56"/>
  <c r="X40" i="56"/>
  <c r="W40" i="56"/>
  <c r="V40" i="56"/>
  <c r="U40" i="56"/>
  <c r="T40" i="56"/>
  <c r="S40" i="56"/>
  <c r="R40" i="56"/>
  <c r="Q40" i="56"/>
  <c r="P40" i="56"/>
  <c r="O40" i="56"/>
  <c r="N40" i="56"/>
  <c r="M40" i="56"/>
  <c r="L40" i="56"/>
  <c r="K40" i="56"/>
  <c r="J40" i="56"/>
  <c r="I40" i="56"/>
  <c r="H40" i="56"/>
  <c r="G40" i="56"/>
  <c r="F40" i="56"/>
  <c r="E40" i="56"/>
  <c r="D40" i="56"/>
  <c r="C40" i="56"/>
  <c r="B40" i="56"/>
  <c r="AC39" i="56"/>
  <c r="Y39" i="56"/>
  <c r="X39" i="56"/>
  <c r="W39" i="56"/>
  <c r="V39" i="56"/>
  <c r="U39" i="56"/>
  <c r="T39" i="56"/>
  <c r="S39" i="56"/>
  <c r="R39" i="56"/>
  <c r="Q39" i="56"/>
  <c r="P39" i="56"/>
  <c r="O39" i="56"/>
  <c r="N39" i="56"/>
  <c r="M39" i="56"/>
  <c r="L39" i="56"/>
  <c r="K39" i="56"/>
  <c r="J39" i="56"/>
  <c r="I39" i="56"/>
  <c r="H39" i="56"/>
  <c r="G39" i="56"/>
  <c r="F39" i="56"/>
  <c r="E39" i="56"/>
  <c r="D39" i="56"/>
  <c r="C39" i="56"/>
  <c r="B39" i="56"/>
  <c r="AC38" i="56"/>
  <c r="Y38" i="56"/>
  <c r="X38" i="56"/>
  <c r="W38" i="56"/>
  <c r="V38" i="56"/>
  <c r="U38" i="56"/>
  <c r="T38" i="56"/>
  <c r="S38" i="56"/>
  <c r="R38" i="56"/>
  <c r="Q38" i="56"/>
  <c r="P38" i="56"/>
  <c r="O38" i="56"/>
  <c r="N38" i="56"/>
  <c r="M38" i="56"/>
  <c r="L38" i="56"/>
  <c r="K38" i="56"/>
  <c r="J38" i="56"/>
  <c r="I38" i="56"/>
  <c r="H38" i="56"/>
  <c r="G38" i="56"/>
  <c r="F38" i="56"/>
  <c r="E38" i="56"/>
  <c r="D38" i="56"/>
  <c r="C38" i="56"/>
  <c r="B38" i="56"/>
  <c r="AC37" i="56"/>
  <c r="Y37" i="56"/>
  <c r="X37" i="56"/>
  <c r="W37" i="56"/>
  <c r="V37" i="56"/>
  <c r="U37" i="56"/>
  <c r="T37" i="56"/>
  <c r="S37" i="56"/>
  <c r="R37" i="56"/>
  <c r="Q37" i="56"/>
  <c r="P37" i="56"/>
  <c r="O37" i="56"/>
  <c r="N37" i="56"/>
  <c r="M37" i="56"/>
  <c r="L37" i="56"/>
  <c r="K37" i="56"/>
  <c r="J37" i="56"/>
  <c r="I37" i="56"/>
  <c r="H37" i="56"/>
  <c r="G37" i="56"/>
  <c r="F37" i="56"/>
  <c r="E37" i="56"/>
  <c r="D37" i="56"/>
  <c r="C37" i="56"/>
  <c r="B37" i="56"/>
  <c r="AC36" i="56"/>
  <c r="AB36" i="56"/>
  <c r="Y36" i="56"/>
  <c r="X36" i="56"/>
  <c r="W36" i="56"/>
  <c r="V36" i="56"/>
  <c r="U36" i="56"/>
  <c r="T36" i="56"/>
  <c r="S36" i="56"/>
  <c r="R36" i="56"/>
  <c r="Q36" i="56"/>
  <c r="P36" i="56"/>
  <c r="O36" i="56"/>
  <c r="N36" i="56"/>
  <c r="M36" i="56"/>
  <c r="L36" i="56"/>
  <c r="K36" i="56"/>
  <c r="J36" i="56"/>
  <c r="I36" i="56"/>
  <c r="H36" i="56"/>
  <c r="G36" i="56"/>
  <c r="F36" i="56"/>
  <c r="E36" i="56"/>
  <c r="D36" i="56"/>
  <c r="C36" i="56"/>
  <c r="B36" i="56"/>
  <c r="AC35" i="56"/>
  <c r="Y35" i="56"/>
  <c r="X35" i="56"/>
  <c r="W35" i="56"/>
  <c r="V35" i="56"/>
  <c r="U35" i="56"/>
  <c r="T35" i="56"/>
  <c r="S35" i="56"/>
  <c r="R35" i="56"/>
  <c r="Q35" i="56"/>
  <c r="P35" i="56"/>
  <c r="O35" i="56"/>
  <c r="N35" i="56"/>
  <c r="M35" i="56"/>
  <c r="L35" i="56"/>
  <c r="K35" i="56"/>
  <c r="J35" i="56"/>
  <c r="I35" i="56"/>
  <c r="H35" i="56"/>
  <c r="G35" i="56"/>
  <c r="F35" i="56"/>
  <c r="E35" i="56"/>
  <c r="D35" i="56"/>
  <c r="C35" i="56"/>
  <c r="B35" i="56"/>
  <c r="AC34" i="56"/>
  <c r="Y34" i="56"/>
  <c r="X34" i="56"/>
  <c r="W34" i="56"/>
  <c r="V34" i="56"/>
  <c r="U34" i="56"/>
  <c r="T34" i="56"/>
  <c r="S34" i="56"/>
  <c r="R34" i="56"/>
  <c r="Q34" i="56"/>
  <c r="P34" i="56"/>
  <c r="O34" i="56"/>
  <c r="N34" i="56"/>
  <c r="M34" i="56"/>
  <c r="L34" i="56"/>
  <c r="K34" i="56"/>
  <c r="J34" i="56"/>
  <c r="I34" i="56"/>
  <c r="H34" i="56"/>
  <c r="G34" i="56"/>
  <c r="F34" i="56"/>
  <c r="E34" i="56"/>
  <c r="D34" i="56"/>
  <c r="C34" i="56"/>
  <c r="B34" i="56"/>
  <c r="AC33" i="56"/>
  <c r="Y33" i="56"/>
  <c r="X33" i="56"/>
  <c r="W33" i="56"/>
  <c r="V33" i="56"/>
  <c r="U33" i="56"/>
  <c r="T33" i="56"/>
  <c r="S33" i="56"/>
  <c r="R33" i="56"/>
  <c r="Q33" i="56"/>
  <c r="P33" i="56"/>
  <c r="O33" i="56"/>
  <c r="N33" i="56"/>
  <c r="M33" i="56"/>
  <c r="L33" i="56"/>
  <c r="K33" i="56"/>
  <c r="J33" i="56"/>
  <c r="I33" i="56"/>
  <c r="H33" i="56"/>
  <c r="G33" i="56"/>
  <c r="F33" i="56"/>
  <c r="E33" i="56"/>
  <c r="D33" i="56"/>
  <c r="C33" i="56"/>
  <c r="B33" i="56"/>
  <c r="AC32" i="56"/>
  <c r="Y32" i="56"/>
  <c r="X32" i="56"/>
  <c r="W32" i="56"/>
  <c r="V32" i="56"/>
  <c r="U32" i="56"/>
  <c r="T32" i="56"/>
  <c r="S32" i="56"/>
  <c r="R32" i="56"/>
  <c r="Q32" i="56"/>
  <c r="P32" i="56"/>
  <c r="O32" i="56"/>
  <c r="N32" i="56"/>
  <c r="M32" i="56"/>
  <c r="L32" i="56"/>
  <c r="K32" i="56"/>
  <c r="J32" i="56"/>
  <c r="I32" i="56"/>
  <c r="H32" i="56"/>
  <c r="G32" i="56"/>
  <c r="F32" i="56"/>
  <c r="E32" i="56"/>
  <c r="D32" i="56"/>
  <c r="C32" i="56"/>
  <c r="B32" i="56"/>
  <c r="AC31" i="56"/>
  <c r="Y31" i="56"/>
  <c r="X31" i="56"/>
  <c r="W31" i="56"/>
  <c r="V31" i="56"/>
  <c r="U31" i="56"/>
  <c r="T31" i="56"/>
  <c r="S31" i="56"/>
  <c r="R31" i="56"/>
  <c r="Q31" i="56"/>
  <c r="P31" i="56"/>
  <c r="O31" i="56"/>
  <c r="N31" i="56"/>
  <c r="M31" i="56"/>
  <c r="L31" i="56"/>
  <c r="K31" i="56"/>
  <c r="J31" i="56"/>
  <c r="I31" i="56"/>
  <c r="H31" i="56"/>
  <c r="G31" i="56"/>
  <c r="F31" i="56"/>
  <c r="E31" i="56"/>
  <c r="D31" i="56"/>
  <c r="C31" i="56"/>
  <c r="B31" i="56"/>
  <c r="AC30" i="56"/>
  <c r="Y30" i="56"/>
  <c r="X30" i="56"/>
  <c r="W30" i="56"/>
  <c r="V30" i="56"/>
  <c r="U30" i="56"/>
  <c r="T30" i="56"/>
  <c r="S30" i="56"/>
  <c r="R30" i="56"/>
  <c r="Q30" i="56"/>
  <c r="P30" i="56"/>
  <c r="O30" i="56"/>
  <c r="N30" i="56"/>
  <c r="M30" i="56"/>
  <c r="L30" i="56"/>
  <c r="K30" i="56"/>
  <c r="J30" i="56"/>
  <c r="I30" i="56"/>
  <c r="H30" i="56"/>
  <c r="G30" i="56"/>
  <c r="F30" i="56"/>
  <c r="E30" i="56"/>
  <c r="D30" i="56"/>
  <c r="C30" i="56"/>
  <c r="B30" i="56"/>
  <c r="AG29" i="56"/>
  <c r="AD29" i="56"/>
  <c r="AC29" i="56"/>
  <c r="AB29" i="56"/>
  <c r="Y29" i="56"/>
  <c r="X29" i="56"/>
  <c r="W29" i="56"/>
  <c r="V29" i="56"/>
  <c r="U29" i="56"/>
  <c r="T29" i="56"/>
  <c r="S29" i="56"/>
  <c r="R29" i="56"/>
  <c r="Q29" i="56"/>
  <c r="P29" i="56"/>
  <c r="O29" i="56"/>
  <c r="N29" i="56"/>
  <c r="M29" i="56"/>
  <c r="L29" i="56"/>
  <c r="K29" i="56"/>
  <c r="J29" i="56"/>
  <c r="I29" i="56"/>
  <c r="H29" i="56"/>
  <c r="G29" i="56"/>
  <c r="F29" i="56"/>
  <c r="E29" i="56"/>
  <c r="D29" i="56"/>
  <c r="C29" i="56"/>
  <c r="B29" i="56"/>
  <c r="AC28" i="56"/>
  <c r="Y28" i="56"/>
  <c r="X28" i="56"/>
  <c r="W28" i="56"/>
  <c r="V28" i="56"/>
  <c r="U28" i="56"/>
  <c r="T28" i="56"/>
  <c r="S28" i="56"/>
  <c r="R28" i="56"/>
  <c r="Q28" i="56"/>
  <c r="P28" i="56"/>
  <c r="O28" i="56"/>
  <c r="N28" i="56"/>
  <c r="M28" i="56"/>
  <c r="L28" i="56"/>
  <c r="K28" i="56"/>
  <c r="J28" i="56"/>
  <c r="I28" i="56"/>
  <c r="H28" i="56"/>
  <c r="G28" i="56"/>
  <c r="F28" i="56"/>
  <c r="E28" i="56"/>
  <c r="D28" i="56"/>
  <c r="C28" i="56"/>
  <c r="B28" i="56"/>
  <c r="AG27" i="56"/>
  <c r="AC27" i="56"/>
  <c r="Y27" i="56"/>
  <c r="X27" i="56"/>
  <c r="W27" i="56"/>
  <c r="V27" i="56"/>
  <c r="U27" i="56"/>
  <c r="T27" i="56"/>
  <c r="S27" i="56"/>
  <c r="R27" i="56"/>
  <c r="Q27" i="56"/>
  <c r="P27" i="56"/>
  <c r="O27" i="56"/>
  <c r="N27" i="56"/>
  <c r="M27" i="56"/>
  <c r="L27" i="56"/>
  <c r="K27" i="56"/>
  <c r="J27" i="56"/>
  <c r="I27" i="56"/>
  <c r="H27" i="56"/>
  <c r="G27" i="56"/>
  <c r="F27" i="56"/>
  <c r="E27" i="56"/>
  <c r="D27" i="56"/>
  <c r="C27" i="56"/>
  <c r="B27" i="56"/>
  <c r="AC26" i="56"/>
  <c r="Y26" i="56"/>
  <c r="X26" i="56"/>
  <c r="W26" i="56"/>
  <c r="V26" i="56"/>
  <c r="U26" i="56"/>
  <c r="T26" i="56"/>
  <c r="S26" i="56"/>
  <c r="R26" i="56"/>
  <c r="Q26" i="56"/>
  <c r="P26" i="56"/>
  <c r="O26" i="56"/>
  <c r="N26" i="56"/>
  <c r="M26" i="56"/>
  <c r="L26" i="56"/>
  <c r="K26" i="56"/>
  <c r="J26" i="56"/>
  <c r="I26" i="56"/>
  <c r="H26" i="56"/>
  <c r="G26" i="56"/>
  <c r="F26" i="56"/>
  <c r="E26" i="56"/>
  <c r="D26" i="56"/>
  <c r="C26" i="56"/>
  <c r="B26" i="56"/>
  <c r="AC25" i="56"/>
  <c r="Y25" i="56"/>
  <c r="X25" i="56"/>
  <c r="W25" i="56"/>
  <c r="V25" i="56"/>
  <c r="U25" i="56"/>
  <c r="T25" i="56"/>
  <c r="S25" i="56"/>
  <c r="R25" i="56"/>
  <c r="Q25" i="56"/>
  <c r="P25" i="56"/>
  <c r="O25" i="56"/>
  <c r="N25" i="56"/>
  <c r="M25" i="56"/>
  <c r="L25" i="56"/>
  <c r="K25" i="56"/>
  <c r="J25" i="56"/>
  <c r="I25" i="56"/>
  <c r="H25" i="56"/>
  <c r="G25" i="56"/>
  <c r="F25" i="56"/>
  <c r="E25" i="56"/>
  <c r="D25" i="56"/>
  <c r="C25" i="56"/>
  <c r="B25" i="56"/>
  <c r="AC24" i="56"/>
  <c r="Y24" i="56"/>
  <c r="X24" i="56"/>
  <c r="W24" i="56"/>
  <c r="V24" i="56"/>
  <c r="U24" i="56"/>
  <c r="T24" i="56"/>
  <c r="S24" i="56"/>
  <c r="R24" i="56"/>
  <c r="Q24" i="56"/>
  <c r="P24" i="56"/>
  <c r="O24" i="56"/>
  <c r="N24" i="56"/>
  <c r="M24" i="56"/>
  <c r="L24" i="56"/>
  <c r="K24" i="56"/>
  <c r="J24" i="56"/>
  <c r="I24" i="56"/>
  <c r="H24" i="56"/>
  <c r="G24" i="56"/>
  <c r="F24" i="56"/>
  <c r="E24" i="56"/>
  <c r="D24" i="56"/>
  <c r="C24" i="56"/>
  <c r="B24" i="56"/>
  <c r="AC23" i="56"/>
  <c r="Y23" i="56"/>
  <c r="X23" i="56"/>
  <c r="W23" i="56"/>
  <c r="V23" i="56"/>
  <c r="U23" i="56"/>
  <c r="T23" i="56"/>
  <c r="S23" i="56"/>
  <c r="R23" i="56"/>
  <c r="Q23" i="56"/>
  <c r="P23" i="56"/>
  <c r="O23" i="56"/>
  <c r="N23" i="56"/>
  <c r="M23" i="56"/>
  <c r="L23" i="56"/>
  <c r="K23" i="56"/>
  <c r="J23" i="56"/>
  <c r="I23" i="56"/>
  <c r="H23" i="56"/>
  <c r="G23" i="56"/>
  <c r="F23" i="56"/>
  <c r="E23" i="56"/>
  <c r="D23" i="56"/>
  <c r="C23" i="56"/>
  <c r="B23" i="56"/>
  <c r="AC22" i="56"/>
  <c r="Y22" i="56"/>
  <c r="X22" i="56"/>
  <c r="W22" i="56"/>
  <c r="V22" i="56"/>
  <c r="U22" i="56"/>
  <c r="T22" i="56"/>
  <c r="S22" i="56"/>
  <c r="R22" i="56"/>
  <c r="Q22" i="56"/>
  <c r="P22" i="56"/>
  <c r="O22" i="56"/>
  <c r="N22" i="56"/>
  <c r="M22" i="56"/>
  <c r="L22" i="56"/>
  <c r="K22" i="56"/>
  <c r="J22" i="56"/>
  <c r="I22" i="56"/>
  <c r="H22" i="56"/>
  <c r="G22" i="56"/>
  <c r="F22" i="56"/>
  <c r="E22" i="56"/>
  <c r="D22" i="56"/>
  <c r="C22" i="56"/>
  <c r="B22" i="56"/>
  <c r="AC21" i="56"/>
  <c r="Y21" i="56"/>
  <c r="X21" i="56"/>
  <c r="W21" i="56"/>
  <c r="V21" i="56"/>
  <c r="U21" i="56"/>
  <c r="T21" i="56"/>
  <c r="S21" i="56"/>
  <c r="R21" i="56"/>
  <c r="Q21" i="56"/>
  <c r="P21" i="56"/>
  <c r="O21" i="56"/>
  <c r="N21" i="56"/>
  <c r="M21" i="56"/>
  <c r="L21" i="56"/>
  <c r="K21" i="56"/>
  <c r="J21" i="56"/>
  <c r="I21" i="56"/>
  <c r="H21" i="56"/>
  <c r="G21" i="56"/>
  <c r="F21" i="56"/>
  <c r="E21" i="56"/>
  <c r="D21" i="56"/>
  <c r="C21" i="56"/>
  <c r="B21" i="56"/>
  <c r="AC20" i="56"/>
  <c r="Y20" i="56"/>
  <c r="X20" i="56"/>
  <c r="W20" i="56"/>
  <c r="V20" i="56"/>
  <c r="U20" i="56"/>
  <c r="T20" i="56"/>
  <c r="S20" i="56"/>
  <c r="R20" i="56"/>
  <c r="Q20" i="56"/>
  <c r="P20" i="56"/>
  <c r="O20" i="56"/>
  <c r="N20" i="56"/>
  <c r="M20" i="56"/>
  <c r="L20" i="56"/>
  <c r="K20" i="56"/>
  <c r="J20" i="56"/>
  <c r="I20" i="56"/>
  <c r="H20" i="56"/>
  <c r="G20" i="56"/>
  <c r="F20" i="56"/>
  <c r="E20" i="56"/>
  <c r="D20" i="56"/>
  <c r="C20" i="56"/>
  <c r="B20" i="56"/>
  <c r="AC19" i="56"/>
  <c r="Y19" i="56"/>
  <c r="X19" i="56"/>
  <c r="W19" i="56"/>
  <c r="V19" i="56"/>
  <c r="U19" i="56"/>
  <c r="T19" i="56"/>
  <c r="S19" i="56"/>
  <c r="R19" i="56"/>
  <c r="Q19" i="56"/>
  <c r="P19" i="56"/>
  <c r="O19" i="56"/>
  <c r="N19" i="56"/>
  <c r="M19" i="56"/>
  <c r="L19" i="56"/>
  <c r="K19" i="56"/>
  <c r="J19" i="56"/>
  <c r="I19" i="56"/>
  <c r="H19" i="56"/>
  <c r="G19" i="56"/>
  <c r="F19" i="56"/>
  <c r="E19" i="56"/>
  <c r="D19" i="56"/>
  <c r="C19" i="56"/>
  <c r="B19" i="56"/>
  <c r="AC18" i="56"/>
  <c r="Y18" i="56"/>
  <c r="X18" i="56"/>
  <c r="W18" i="56"/>
  <c r="V18" i="56"/>
  <c r="U18" i="56"/>
  <c r="T18" i="56"/>
  <c r="S18" i="56"/>
  <c r="R18" i="56"/>
  <c r="Q18" i="56"/>
  <c r="P18" i="56"/>
  <c r="O18" i="56"/>
  <c r="N18" i="56"/>
  <c r="M18" i="56"/>
  <c r="L18" i="56"/>
  <c r="K18" i="56"/>
  <c r="J18" i="56"/>
  <c r="I18" i="56"/>
  <c r="H18" i="56"/>
  <c r="G18" i="56"/>
  <c r="F18" i="56"/>
  <c r="E18" i="56"/>
  <c r="D18" i="56"/>
  <c r="C18" i="56"/>
  <c r="B18" i="56"/>
  <c r="AG17" i="56"/>
  <c r="AD17" i="56"/>
  <c r="AC17" i="56"/>
  <c r="AB17" i="56"/>
  <c r="Y17" i="56"/>
  <c r="X17" i="56"/>
  <c r="W17" i="56"/>
  <c r="V17" i="56"/>
  <c r="U17" i="56"/>
  <c r="T17" i="56"/>
  <c r="S17" i="56"/>
  <c r="R17" i="56"/>
  <c r="Q17" i="56"/>
  <c r="P17" i="56"/>
  <c r="O17" i="56"/>
  <c r="N17" i="56"/>
  <c r="M17" i="56"/>
  <c r="L17" i="56"/>
  <c r="K17" i="56"/>
  <c r="J17" i="56"/>
  <c r="I17" i="56"/>
  <c r="H17" i="56"/>
  <c r="G17" i="56"/>
  <c r="F17" i="56"/>
  <c r="E17" i="56"/>
  <c r="D17" i="56"/>
  <c r="C17" i="56"/>
  <c r="B17" i="56"/>
  <c r="AG16" i="56"/>
  <c r="AC16" i="56"/>
  <c r="AB16" i="56"/>
  <c r="Y16" i="56"/>
  <c r="X16" i="56"/>
  <c r="W16" i="56"/>
  <c r="V16" i="56"/>
  <c r="U16" i="56"/>
  <c r="T16" i="56"/>
  <c r="S16" i="56"/>
  <c r="R16" i="56"/>
  <c r="Q16" i="56"/>
  <c r="P16" i="56"/>
  <c r="O16" i="56"/>
  <c r="N16" i="56"/>
  <c r="M16" i="56"/>
  <c r="L16" i="56"/>
  <c r="K16" i="56"/>
  <c r="J16" i="56"/>
  <c r="I16" i="56"/>
  <c r="H16" i="56"/>
  <c r="G16" i="56"/>
  <c r="F16" i="56"/>
  <c r="E16" i="56"/>
  <c r="D16" i="56"/>
  <c r="C16" i="56"/>
  <c r="B16" i="56"/>
  <c r="AC15" i="56"/>
  <c r="Y15" i="56"/>
  <c r="X15" i="56"/>
  <c r="W15" i="56"/>
  <c r="V15" i="56"/>
  <c r="U15" i="56"/>
  <c r="T15" i="56"/>
  <c r="S15" i="56"/>
  <c r="R15" i="56"/>
  <c r="Q15" i="56"/>
  <c r="P15" i="56"/>
  <c r="O15" i="56"/>
  <c r="N15" i="56"/>
  <c r="M15" i="56"/>
  <c r="L15" i="56"/>
  <c r="K15" i="56"/>
  <c r="J15" i="56"/>
  <c r="I15" i="56"/>
  <c r="H15" i="56"/>
  <c r="G15" i="56"/>
  <c r="F15" i="56"/>
  <c r="E15" i="56"/>
  <c r="D15" i="56"/>
  <c r="C15" i="56"/>
  <c r="B15" i="56"/>
  <c r="AC14" i="56"/>
  <c r="Y14" i="56"/>
  <c r="X14" i="56"/>
  <c r="W14" i="56"/>
  <c r="V14" i="56"/>
  <c r="U14" i="56"/>
  <c r="T14" i="56"/>
  <c r="S14" i="56"/>
  <c r="R14" i="56"/>
  <c r="Q14" i="56"/>
  <c r="P14" i="56"/>
  <c r="O14" i="56"/>
  <c r="N14" i="56"/>
  <c r="M14" i="56"/>
  <c r="L14" i="56"/>
  <c r="K14" i="56"/>
  <c r="J14" i="56"/>
  <c r="I14" i="56"/>
  <c r="H14" i="56"/>
  <c r="G14" i="56"/>
  <c r="F14" i="56"/>
  <c r="E14" i="56"/>
  <c r="D14" i="56"/>
  <c r="C14" i="56"/>
  <c r="B14" i="56"/>
  <c r="AC13" i="56"/>
  <c r="Y13" i="56"/>
  <c r="X13" i="56"/>
  <c r="W13" i="56"/>
  <c r="V13" i="56"/>
  <c r="U13" i="56"/>
  <c r="T13" i="56"/>
  <c r="S13" i="56"/>
  <c r="R13" i="56"/>
  <c r="Q13" i="56"/>
  <c r="P13" i="56"/>
  <c r="O13" i="56"/>
  <c r="N13" i="56"/>
  <c r="M13" i="56"/>
  <c r="L13" i="56"/>
  <c r="K13" i="56"/>
  <c r="J13" i="56"/>
  <c r="I13" i="56"/>
  <c r="H13" i="56"/>
  <c r="G13" i="56"/>
  <c r="F13" i="56"/>
  <c r="E13" i="56"/>
  <c r="D13" i="56"/>
  <c r="C13" i="56"/>
  <c r="B13" i="56"/>
  <c r="AC12" i="56"/>
  <c r="Y12" i="56"/>
  <c r="X12" i="56"/>
  <c r="W12" i="56"/>
  <c r="V12" i="56"/>
  <c r="U12" i="56"/>
  <c r="T12" i="56"/>
  <c r="S12" i="56"/>
  <c r="R12" i="56"/>
  <c r="Q12" i="56"/>
  <c r="P12" i="56"/>
  <c r="O12" i="56"/>
  <c r="N12" i="56"/>
  <c r="M12" i="56"/>
  <c r="L12" i="56"/>
  <c r="K12" i="56"/>
  <c r="J12" i="56"/>
  <c r="I12" i="56"/>
  <c r="H12" i="56"/>
  <c r="G12" i="56"/>
  <c r="F12" i="56"/>
  <c r="E12" i="56"/>
  <c r="D12" i="56"/>
  <c r="C12" i="56"/>
  <c r="B12" i="56"/>
  <c r="AC11" i="56"/>
  <c r="Y11" i="56"/>
  <c r="X11" i="56"/>
  <c r="W11" i="56"/>
  <c r="V11" i="56"/>
  <c r="U11" i="56"/>
  <c r="T11" i="56"/>
  <c r="S11" i="56"/>
  <c r="R11" i="56"/>
  <c r="Q11" i="56"/>
  <c r="P11" i="56"/>
  <c r="O11" i="56"/>
  <c r="N11" i="56"/>
  <c r="M11" i="56"/>
  <c r="L11" i="56"/>
  <c r="K11" i="56"/>
  <c r="J11" i="56"/>
  <c r="I11" i="56"/>
  <c r="H11" i="56"/>
  <c r="G11" i="56"/>
  <c r="F11" i="56"/>
  <c r="E11" i="56"/>
  <c r="D11" i="56"/>
  <c r="C11" i="56"/>
  <c r="B11" i="56"/>
  <c r="AC10" i="56"/>
  <c r="Y10" i="56"/>
  <c r="X10" i="56"/>
  <c r="W10" i="56"/>
  <c r="V10" i="56"/>
  <c r="U10" i="56"/>
  <c r="T10" i="56"/>
  <c r="S10" i="56"/>
  <c r="R10" i="56"/>
  <c r="Q10" i="56"/>
  <c r="P10" i="56"/>
  <c r="O10" i="56"/>
  <c r="N10" i="56"/>
  <c r="M10" i="56"/>
  <c r="L10" i="56"/>
  <c r="K10" i="56"/>
  <c r="J10" i="56"/>
  <c r="I10" i="56"/>
  <c r="H10" i="56"/>
  <c r="G10" i="56"/>
  <c r="F10" i="56"/>
  <c r="E10" i="56"/>
  <c r="D10" i="56"/>
  <c r="C10" i="56"/>
  <c r="B10" i="56"/>
  <c r="AC9" i="56"/>
  <c r="Y9" i="56"/>
  <c r="X9" i="56"/>
  <c r="W9" i="56"/>
  <c r="V9" i="56"/>
  <c r="U9" i="56"/>
  <c r="T9" i="56"/>
  <c r="S9" i="56"/>
  <c r="R9" i="56"/>
  <c r="Q9" i="56"/>
  <c r="P9" i="56"/>
  <c r="O9" i="56"/>
  <c r="N9" i="56"/>
  <c r="M9" i="56"/>
  <c r="L9" i="56"/>
  <c r="K9" i="56"/>
  <c r="J9" i="56"/>
  <c r="I9" i="56"/>
  <c r="H9" i="56"/>
  <c r="G9" i="56"/>
  <c r="F9" i="56"/>
  <c r="E9" i="56"/>
  <c r="D9" i="56"/>
  <c r="C9" i="56"/>
  <c r="B9" i="56"/>
  <c r="AC8" i="56"/>
  <c r="Y8" i="56"/>
  <c r="X8" i="56"/>
  <c r="W8" i="56"/>
  <c r="V8" i="56"/>
  <c r="U8" i="56"/>
  <c r="T8" i="56"/>
  <c r="S8" i="56"/>
  <c r="R8" i="56"/>
  <c r="Q8" i="56"/>
  <c r="P8" i="56"/>
  <c r="O8" i="56"/>
  <c r="N8" i="56"/>
  <c r="M8" i="56"/>
  <c r="L8" i="56"/>
  <c r="K8" i="56"/>
  <c r="J8" i="56"/>
  <c r="I8" i="56"/>
  <c r="H8" i="56"/>
  <c r="G8" i="56"/>
  <c r="F8" i="56"/>
  <c r="E8" i="56"/>
  <c r="D8" i="56"/>
  <c r="C8" i="56"/>
  <c r="B8" i="56"/>
  <c r="AC7" i="56"/>
  <c r="AB7" i="56"/>
  <c r="Y7" i="56"/>
  <c r="X7" i="56"/>
  <c r="W7" i="56"/>
  <c r="V7" i="56"/>
  <c r="U7" i="56"/>
  <c r="T7" i="56"/>
  <c r="S7" i="56"/>
  <c r="R7" i="56"/>
  <c r="Q7" i="56"/>
  <c r="P7" i="56"/>
  <c r="O7" i="56"/>
  <c r="N7" i="56"/>
  <c r="M7" i="56"/>
  <c r="L7" i="56"/>
  <c r="K7" i="56"/>
  <c r="J7" i="56"/>
  <c r="I7" i="56"/>
  <c r="H7" i="56"/>
  <c r="G7" i="56"/>
  <c r="F7" i="56"/>
  <c r="E7" i="56"/>
  <c r="D7" i="56"/>
  <c r="C7" i="56"/>
  <c r="B7" i="56"/>
  <c r="AC6" i="56"/>
  <c r="Y6" i="56"/>
  <c r="X6" i="56"/>
  <c r="W6" i="56"/>
  <c r="V6" i="56"/>
  <c r="U6" i="56"/>
  <c r="T6" i="56"/>
  <c r="S6" i="56"/>
  <c r="R6" i="56"/>
  <c r="Q6" i="56"/>
  <c r="P6" i="56"/>
  <c r="O6" i="56"/>
  <c r="N6" i="56"/>
  <c r="M6" i="56"/>
  <c r="L6" i="56"/>
  <c r="K6" i="56"/>
  <c r="J6" i="56"/>
  <c r="I6" i="56"/>
  <c r="H6" i="56"/>
  <c r="G6" i="56"/>
  <c r="F6" i="56"/>
  <c r="E6" i="56"/>
  <c r="D6" i="56"/>
  <c r="C6" i="56"/>
  <c r="B6" i="56"/>
  <c r="AG5" i="56"/>
  <c r="AD5" i="56"/>
  <c r="AC5" i="56"/>
  <c r="AB5" i="56"/>
  <c r="Y5" i="56"/>
  <c r="X5" i="56"/>
  <c r="W5" i="56"/>
  <c r="V5" i="56"/>
  <c r="U5" i="56"/>
  <c r="T5" i="56"/>
  <c r="S5" i="56"/>
  <c r="R5" i="56"/>
  <c r="Q5" i="56"/>
  <c r="P5" i="56"/>
  <c r="O5" i="56"/>
  <c r="N5" i="56"/>
  <c r="M5" i="56"/>
  <c r="L5" i="56"/>
  <c r="K5" i="56"/>
  <c r="J5" i="56"/>
  <c r="I5" i="56"/>
  <c r="H5" i="56"/>
  <c r="G5" i="56"/>
  <c r="F5" i="56"/>
  <c r="E5" i="56"/>
  <c r="D5" i="56"/>
  <c r="C5" i="56"/>
  <c r="B5" i="56"/>
  <c r="AC4" i="56"/>
  <c r="Y4" i="56"/>
  <c r="X4" i="56"/>
  <c r="W4" i="56"/>
  <c r="V4" i="56"/>
  <c r="U4" i="56"/>
  <c r="T4" i="56"/>
  <c r="S4" i="56"/>
  <c r="R4" i="56"/>
  <c r="Q4" i="56"/>
  <c r="P4" i="56"/>
  <c r="O4" i="56"/>
  <c r="N4" i="56"/>
  <c r="M4" i="56"/>
  <c r="L4" i="56"/>
  <c r="K4" i="56"/>
  <c r="J4" i="56"/>
  <c r="I4" i="56"/>
  <c r="H4" i="56"/>
  <c r="G4" i="56"/>
  <c r="F4" i="56"/>
  <c r="E4" i="56"/>
  <c r="D4" i="56"/>
  <c r="C4" i="56"/>
  <c r="B4" i="56"/>
  <c r="AE3" i="56"/>
  <c r="AG3" i="56" s="1"/>
  <c r="AC3" i="56"/>
  <c r="Y3" i="56"/>
  <c r="X3" i="56"/>
  <c r="W3" i="56"/>
  <c r="V3" i="56"/>
  <c r="U3" i="56"/>
  <c r="T3" i="56"/>
  <c r="S3" i="56"/>
  <c r="R3" i="56"/>
  <c r="Q3" i="56"/>
  <c r="P3" i="56"/>
  <c r="O3" i="56"/>
  <c r="N3" i="56"/>
  <c r="M3" i="56"/>
  <c r="L3" i="56"/>
  <c r="K3" i="56"/>
  <c r="J3" i="56"/>
  <c r="I3" i="56"/>
  <c r="H3" i="56"/>
  <c r="G3" i="56"/>
  <c r="F3" i="56"/>
  <c r="E3" i="56"/>
  <c r="D3" i="56"/>
  <c r="C3" i="56"/>
  <c r="B3" i="56"/>
  <c r="AG2" i="56"/>
  <c r="AF2" i="56"/>
  <c r="AE2" i="56"/>
  <c r="AD2" i="56"/>
  <c r="AC2" i="56"/>
  <c r="AB2" i="56"/>
  <c r="AA2" i="56"/>
  <c r="Z2" i="56"/>
  <c r="Y2" i="56"/>
  <c r="X2" i="56"/>
  <c r="W2" i="56"/>
  <c r="V2" i="56"/>
  <c r="U2" i="56"/>
  <c r="T2" i="56"/>
  <c r="S2" i="56"/>
  <c r="R2" i="56"/>
  <c r="Q2" i="56"/>
  <c r="P2" i="56"/>
  <c r="O2" i="56"/>
  <c r="N2" i="56"/>
  <c r="M2" i="56"/>
  <c r="L2" i="56"/>
  <c r="K2" i="56"/>
  <c r="J2" i="56"/>
  <c r="I2" i="56"/>
  <c r="H2" i="56"/>
  <c r="G2" i="56"/>
  <c r="F2" i="56"/>
  <c r="E2" i="56"/>
  <c r="D2" i="56"/>
  <c r="C2" i="56"/>
  <c r="B2" i="56"/>
  <c r="J50" i="55"/>
  <c r="I50" i="55"/>
  <c r="H50" i="55"/>
  <c r="G50" i="55"/>
  <c r="F50" i="55"/>
  <c r="E50" i="55"/>
  <c r="D50" i="55"/>
  <c r="C50" i="55"/>
  <c r="B50" i="55"/>
  <c r="J48" i="55"/>
  <c r="H48" i="55"/>
  <c r="E48" i="55"/>
  <c r="D48" i="55"/>
  <c r="C48" i="55"/>
  <c r="B48" i="55"/>
  <c r="J47" i="55"/>
  <c r="H47" i="55"/>
  <c r="E47" i="55"/>
  <c r="D47" i="55"/>
  <c r="C47" i="55"/>
  <c r="B47" i="55"/>
  <c r="J46" i="55"/>
  <c r="H46" i="55"/>
  <c r="E46" i="55"/>
  <c r="D46" i="55"/>
  <c r="C46" i="55"/>
  <c r="B46" i="55"/>
  <c r="J45" i="55"/>
  <c r="H45" i="55"/>
  <c r="E45" i="55"/>
  <c r="D45" i="55"/>
  <c r="C45" i="55"/>
  <c r="B45" i="55"/>
  <c r="J44" i="55"/>
  <c r="H44" i="55"/>
  <c r="E44" i="55"/>
  <c r="D44" i="55"/>
  <c r="C44" i="55"/>
  <c r="B44" i="55"/>
  <c r="J43" i="55"/>
  <c r="H43" i="55"/>
  <c r="E43" i="55"/>
  <c r="D43" i="55"/>
  <c r="C43" i="55"/>
  <c r="B43" i="55"/>
  <c r="J42" i="55"/>
  <c r="H42" i="55"/>
  <c r="E42" i="55"/>
  <c r="D42" i="55"/>
  <c r="C42" i="55"/>
  <c r="B42" i="55"/>
  <c r="J41" i="55"/>
  <c r="H41" i="55"/>
  <c r="E41" i="55"/>
  <c r="D41" i="55"/>
  <c r="C41" i="55"/>
  <c r="B41" i="55"/>
  <c r="J40" i="55"/>
  <c r="H40" i="55"/>
  <c r="E40" i="55"/>
  <c r="D40" i="55"/>
  <c r="C40" i="55"/>
  <c r="B40" i="55"/>
  <c r="J39" i="55"/>
  <c r="H39" i="55"/>
  <c r="E39" i="55"/>
  <c r="D39" i="55"/>
  <c r="C39" i="55"/>
  <c r="B39" i="55"/>
  <c r="J38" i="55"/>
  <c r="H38" i="55"/>
  <c r="E38" i="55"/>
  <c r="D38" i="55"/>
  <c r="C38" i="55"/>
  <c r="B38" i="55"/>
  <c r="J37" i="55"/>
  <c r="H37" i="55"/>
  <c r="E37" i="55"/>
  <c r="D37" i="55"/>
  <c r="C37" i="55"/>
  <c r="B37" i="55"/>
  <c r="J36" i="55"/>
  <c r="H36" i="55"/>
  <c r="E36" i="55"/>
  <c r="D36" i="55"/>
  <c r="C36" i="55"/>
  <c r="B36" i="55"/>
  <c r="J35" i="55"/>
  <c r="H35" i="55"/>
  <c r="E35" i="55"/>
  <c r="D35" i="55"/>
  <c r="C35" i="55"/>
  <c r="B35" i="55"/>
  <c r="J34" i="55"/>
  <c r="H34" i="55"/>
  <c r="E34" i="55"/>
  <c r="D34" i="55"/>
  <c r="C34" i="55"/>
  <c r="B34" i="55"/>
  <c r="J33" i="55"/>
  <c r="H33" i="55"/>
  <c r="E33" i="55"/>
  <c r="D33" i="55"/>
  <c r="C33" i="55"/>
  <c r="B33" i="55"/>
  <c r="J32" i="55"/>
  <c r="H32" i="55"/>
  <c r="E32" i="55"/>
  <c r="D32" i="55"/>
  <c r="C32" i="55"/>
  <c r="B32" i="55"/>
  <c r="J31" i="55"/>
  <c r="H31" i="55"/>
  <c r="E31" i="55"/>
  <c r="D31" i="55"/>
  <c r="C31" i="55"/>
  <c r="B31" i="55"/>
  <c r="J30" i="55"/>
  <c r="H30" i="55"/>
  <c r="E30" i="55"/>
  <c r="D30" i="55"/>
  <c r="C30" i="55"/>
  <c r="B30" i="55"/>
  <c r="J29" i="55"/>
  <c r="H29" i="55"/>
  <c r="E29" i="55"/>
  <c r="D29" i="55"/>
  <c r="C29" i="55"/>
  <c r="B29" i="55"/>
  <c r="J28" i="55"/>
  <c r="H28" i="55"/>
  <c r="E28" i="55"/>
  <c r="D28" i="55"/>
  <c r="C28" i="55"/>
  <c r="B28" i="55"/>
  <c r="J27" i="55"/>
  <c r="H27" i="55"/>
  <c r="E27" i="55"/>
  <c r="D27" i="55"/>
  <c r="C27" i="55"/>
  <c r="B27" i="55"/>
  <c r="J26" i="55"/>
  <c r="H26" i="55"/>
  <c r="E26" i="55"/>
  <c r="D26" i="55"/>
  <c r="C26" i="55"/>
  <c r="B26" i="55"/>
  <c r="J25" i="55"/>
  <c r="H25" i="55"/>
  <c r="E25" i="55"/>
  <c r="D25" i="55"/>
  <c r="C25" i="55"/>
  <c r="B25" i="55"/>
  <c r="J24" i="55"/>
  <c r="H24" i="55"/>
  <c r="E24" i="55"/>
  <c r="D24" i="55"/>
  <c r="C24" i="55"/>
  <c r="B24" i="55"/>
  <c r="J23" i="55"/>
  <c r="H23" i="55"/>
  <c r="E23" i="55"/>
  <c r="D23" i="55"/>
  <c r="C23" i="55"/>
  <c r="B23" i="55"/>
  <c r="J22" i="55"/>
  <c r="H22" i="55"/>
  <c r="E22" i="55"/>
  <c r="D22" i="55"/>
  <c r="C22" i="55"/>
  <c r="B22" i="55"/>
  <c r="J21" i="55"/>
  <c r="H21" i="55"/>
  <c r="E21" i="55"/>
  <c r="D21" i="55"/>
  <c r="C21" i="55"/>
  <c r="B21" i="55"/>
  <c r="J20" i="55"/>
  <c r="H20" i="55"/>
  <c r="E20" i="55"/>
  <c r="D20" i="55"/>
  <c r="C20" i="55"/>
  <c r="B20" i="55"/>
  <c r="J19" i="55"/>
  <c r="H19" i="55"/>
  <c r="E19" i="55"/>
  <c r="D19" i="55"/>
  <c r="C19" i="55"/>
  <c r="B19" i="55"/>
  <c r="J18" i="55"/>
  <c r="H18" i="55"/>
  <c r="E18" i="55"/>
  <c r="D18" i="55"/>
  <c r="C18" i="55"/>
  <c r="B18" i="55"/>
  <c r="J17" i="55"/>
  <c r="H17" i="55"/>
  <c r="E17" i="55"/>
  <c r="D17" i="55"/>
  <c r="C17" i="55"/>
  <c r="B17" i="55"/>
  <c r="J16" i="55"/>
  <c r="H16" i="55"/>
  <c r="E16" i="55"/>
  <c r="D16" i="55"/>
  <c r="C16" i="55"/>
  <c r="B16" i="55"/>
  <c r="J15" i="55"/>
  <c r="H15" i="55"/>
  <c r="E15" i="55"/>
  <c r="D15" i="55"/>
  <c r="C15" i="55"/>
  <c r="B15" i="55"/>
  <c r="J14" i="55"/>
  <c r="H14" i="55"/>
  <c r="E14" i="55"/>
  <c r="D14" i="55"/>
  <c r="C14" i="55"/>
  <c r="B14" i="55"/>
  <c r="J13" i="55"/>
  <c r="H13" i="55"/>
  <c r="E13" i="55"/>
  <c r="D13" i="55"/>
  <c r="C13" i="55"/>
  <c r="B13" i="55"/>
  <c r="J12" i="55"/>
  <c r="H12" i="55"/>
  <c r="E12" i="55"/>
  <c r="D12" i="55"/>
  <c r="C12" i="55"/>
  <c r="B12" i="55"/>
  <c r="J11" i="55"/>
  <c r="H11" i="55"/>
  <c r="E11" i="55"/>
  <c r="D11" i="55"/>
  <c r="C11" i="55"/>
  <c r="B11" i="55"/>
  <c r="J10" i="55"/>
  <c r="H10" i="55"/>
  <c r="E10" i="55"/>
  <c r="D10" i="55"/>
  <c r="C10" i="55"/>
  <c r="B10" i="55"/>
  <c r="J9" i="55"/>
  <c r="H9" i="55"/>
  <c r="E9" i="55"/>
  <c r="D9" i="55"/>
  <c r="C9" i="55"/>
  <c r="B9" i="55"/>
  <c r="J8" i="55"/>
  <c r="H8" i="55"/>
  <c r="E8" i="55"/>
  <c r="D8" i="55"/>
  <c r="C8" i="55"/>
  <c r="B8" i="55"/>
  <c r="J7" i="55"/>
  <c r="H7" i="55"/>
  <c r="E7" i="55"/>
  <c r="D7" i="55"/>
  <c r="C7" i="55"/>
  <c r="B7" i="55"/>
  <c r="J6" i="55"/>
  <c r="H6" i="55"/>
  <c r="E6" i="55"/>
  <c r="D6" i="55"/>
  <c r="C6" i="55"/>
  <c r="B6" i="55"/>
  <c r="F50" i="54"/>
  <c r="E50" i="54"/>
  <c r="D50" i="54"/>
  <c r="C50" i="54"/>
  <c r="B50" i="54"/>
  <c r="U58" i="26"/>
  <c r="U56" i="26"/>
  <c r="Z54" i="26"/>
  <c r="Y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Z49" i="26"/>
  <c r="Y49" i="26"/>
  <c r="Z48" i="26"/>
  <c r="Y48" i="26"/>
  <c r="Z47" i="26"/>
  <c r="Y47" i="26"/>
  <c r="Z46" i="26"/>
  <c r="Y46" i="26"/>
  <c r="Z45" i="26"/>
  <c r="Y45" i="26"/>
  <c r="Z44" i="26"/>
  <c r="Y44" i="26"/>
  <c r="Z43" i="26"/>
  <c r="Y43" i="26"/>
  <c r="Z42" i="26"/>
  <c r="Y42" i="26"/>
  <c r="Z41" i="26"/>
  <c r="Y41" i="26"/>
  <c r="Z40" i="26"/>
  <c r="Y40" i="26"/>
  <c r="W40" i="26"/>
  <c r="Z39" i="26"/>
  <c r="Y39" i="26"/>
  <c r="Z38" i="26"/>
  <c r="Y38" i="26"/>
  <c r="Z37" i="26"/>
  <c r="Y37" i="26"/>
  <c r="Z36" i="26"/>
  <c r="Y36" i="26"/>
  <c r="Z35" i="26"/>
  <c r="Y35" i="26"/>
  <c r="Z34" i="26"/>
  <c r="Y34" i="26"/>
  <c r="Z33" i="26"/>
  <c r="Y33" i="26"/>
  <c r="Z32" i="26"/>
  <c r="Y32" i="26"/>
  <c r="Z31" i="26"/>
  <c r="Y31" i="26"/>
  <c r="Z30" i="26"/>
  <c r="Y30" i="26"/>
  <c r="Z29" i="26"/>
  <c r="Y29" i="26"/>
  <c r="Z28" i="26"/>
  <c r="Y28" i="26"/>
  <c r="Z27" i="26"/>
  <c r="Y27" i="26"/>
  <c r="W27" i="26"/>
  <c r="Z26" i="26"/>
  <c r="Y26" i="26"/>
  <c r="Z25" i="26"/>
  <c r="Y25" i="26"/>
  <c r="Z24" i="26"/>
  <c r="Y24" i="26"/>
  <c r="Z23" i="26"/>
  <c r="Y23" i="26"/>
  <c r="Z22" i="26"/>
  <c r="Y22" i="26"/>
  <c r="Z21" i="26"/>
  <c r="Y21" i="26"/>
  <c r="Z20" i="26"/>
  <c r="Y20" i="26"/>
  <c r="Z19" i="26"/>
  <c r="Y19" i="26"/>
  <c r="Z18" i="26"/>
  <c r="Y18" i="26"/>
  <c r="Z17" i="26"/>
  <c r="Y17" i="26"/>
  <c r="Z16" i="26"/>
  <c r="Y16" i="26"/>
  <c r="Z15" i="26"/>
  <c r="Y15" i="26"/>
  <c r="W15" i="26"/>
  <c r="Z14" i="26"/>
  <c r="Y14" i="26"/>
  <c r="Z13" i="26"/>
  <c r="Y13" i="26"/>
  <c r="B12" i="26"/>
  <c r="Z11" i="26"/>
  <c r="Y11" i="26"/>
  <c r="Z10" i="26"/>
  <c r="Y10" i="26"/>
  <c r="AI9" i="26"/>
  <c r="Z9" i="26"/>
  <c r="Y9" i="26"/>
  <c r="Z8" i="26"/>
  <c r="Y8" i="26"/>
  <c r="Z7" i="26"/>
  <c r="Y7" i="26"/>
  <c r="Z6" i="26"/>
  <c r="Y6" i="26"/>
  <c r="AA2" i="26"/>
  <c r="C21" i="75"/>
  <c r="C19" i="75"/>
  <c r="C14" i="75"/>
  <c r="C10" i="75"/>
  <c r="P8" i="73"/>
  <c r="D8" i="73"/>
  <c r="P7" i="73"/>
  <c r="P44" i="73" s="1"/>
  <c r="D7" i="73"/>
  <c r="Z40" i="88"/>
  <c r="Y40" i="88"/>
  <c r="E40" i="88"/>
  <c r="B36" i="88"/>
  <c r="B35" i="88"/>
  <c r="B33" i="88"/>
  <c r="B32" i="88"/>
  <c r="B31" i="88"/>
  <c r="B29" i="88"/>
  <c r="B28" i="88"/>
  <c r="B26" i="88"/>
  <c r="B25" i="88"/>
  <c r="B24" i="88"/>
  <c r="B23" i="88"/>
  <c r="B22" i="88"/>
  <c r="B21" i="88"/>
  <c r="B20" i="88"/>
  <c r="B19" i="88"/>
  <c r="B18" i="88"/>
  <c r="B17" i="88"/>
  <c r="B16" i="88"/>
  <c r="B15" i="88"/>
  <c r="B14" i="88"/>
  <c r="B13" i="88"/>
  <c r="B12" i="88"/>
  <c r="B11" i="88"/>
  <c r="B10" i="88"/>
  <c r="B9" i="88"/>
  <c r="B8" i="88"/>
  <c r="B7" i="88"/>
  <c r="B6" i="88"/>
  <c r="AN8" i="85" l="1"/>
  <c r="AN10" i="85"/>
  <c r="G17" i="85"/>
  <c r="M17" i="85"/>
  <c r="S17" i="85"/>
  <c r="Y17" i="85"/>
  <c r="AK17" i="85"/>
  <c r="S13" i="85"/>
  <c r="M16" i="85"/>
  <c r="D44" i="73"/>
  <c r="AO9" i="85"/>
  <c r="S6" i="85"/>
  <c r="M7" i="85"/>
  <c r="S7" i="85"/>
  <c r="Y7" i="85"/>
  <c r="AE7" i="85"/>
  <c r="AK7" i="85"/>
  <c r="M8" i="85"/>
  <c r="S8" i="85"/>
  <c r="Y8" i="85"/>
  <c r="AE8" i="85"/>
  <c r="AK8" i="85"/>
  <c r="M9" i="85"/>
  <c r="S9" i="85"/>
  <c r="Y9" i="85"/>
  <c r="AE9" i="85"/>
  <c r="AK9" i="85"/>
  <c r="M10" i="85"/>
  <c r="S10" i="85"/>
  <c r="Y10" i="85"/>
  <c r="AE10" i="85"/>
  <c r="AK10" i="85"/>
  <c r="G11" i="85"/>
  <c r="M11" i="85"/>
  <c r="S11" i="85"/>
  <c r="Y11" i="85"/>
  <c r="AE11" i="85"/>
  <c r="AK11" i="85"/>
  <c r="F12" i="85"/>
  <c r="R12" i="85"/>
  <c r="X12" i="85"/>
  <c r="AD12" i="85"/>
  <c r="AJ12" i="85"/>
  <c r="L13" i="85"/>
  <c r="R13" i="85"/>
  <c r="X13" i="85"/>
  <c r="AD13" i="85"/>
  <c r="AE13" i="85"/>
  <c r="Y14" i="85"/>
  <c r="AE14" i="85"/>
  <c r="AK14" i="85"/>
  <c r="M15" i="85"/>
  <c r="S15" i="85"/>
  <c r="M14" i="85"/>
  <c r="D19" i="85"/>
  <c r="J19" i="85"/>
  <c r="P19" i="85"/>
  <c r="V19" i="85"/>
  <c r="M12" i="85"/>
  <c r="S12" i="85"/>
  <c r="AE12" i="85"/>
  <c r="AK12" i="85"/>
  <c r="L15" i="85"/>
  <c r="R15" i="85"/>
  <c r="X15" i="85"/>
  <c r="AJ15" i="85"/>
  <c r="F16" i="85"/>
  <c r="L16" i="85"/>
  <c r="AN13" i="85"/>
  <c r="AC40" i="88"/>
  <c r="AN17" i="85"/>
  <c r="AB19" i="85"/>
  <c r="AH19" i="85"/>
  <c r="AN11" i="85"/>
  <c r="L34" i="87"/>
  <c r="K34" i="87"/>
  <c r="J34" i="87"/>
  <c r="AG42" i="56"/>
  <c r="E19" i="85"/>
  <c r="K19" i="85"/>
  <c r="Q19" i="85"/>
  <c r="W19" i="85"/>
  <c r="AC19" i="85"/>
  <c r="AI19" i="85"/>
  <c r="AM13" i="85"/>
  <c r="M13" i="85"/>
  <c r="Y13" i="85"/>
  <c r="AJ13" i="85"/>
  <c r="F14" i="85"/>
  <c r="L14" i="85"/>
  <c r="R14" i="85"/>
  <c r="X14" i="85"/>
  <c r="AN15" i="85"/>
  <c r="Y15" i="85"/>
  <c r="AE15" i="85"/>
  <c r="AK15" i="85"/>
  <c r="G16" i="85"/>
  <c r="AM16" i="85"/>
  <c r="AL16" i="85"/>
  <c r="AD16" i="85"/>
  <c r="AL17" i="85"/>
  <c r="AO17" i="85"/>
  <c r="B19" i="85"/>
  <c r="H19" i="85"/>
  <c r="N19" i="85"/>
  <c r="T19" i="85"/>
  <c r="Z19" i="85"/>
  <c r="AF19" i="85"/>
  <c r="L7" i="85"/>
  <c r="R7" i="85"/>
  <c r="X7" i="85"/>
  <c r="AD7" i="85"/>
  <c r="AJ7" i="85"/>
  <c r="L8" i="85"/>
  <c r="R8" i="85"/>
  <c r="X8" i="85"/>
  <c r="AD8" i="85"/>
  <c r="AJ8" i="85"/>
  <c r="L9" i="85"/>
  <c r="R9" i="85"/>
  <c r="X9" i="85"/>
  <c r="AD9" i="85"/>
  <c r="AJ9" i="85"/>
  <c r="L10" i="85"/>
  <c r="R10" i="85"/>
  <c r="X10" i="85"/>
  <c r="AD10" i="85"/>
  <c r="AJ10" i="85"/>
  <c r="L11" i="85"/>
  <c r="R11" i="85"/>
  <c r="X11" i="85"/>
  <c r="AD11" i="85"/>
  <c r="AJ11" i="85"/>
  <c r="Y12" i="85"/>
  <c r="AK13" i="85"/>
  <c r="G14" i="85"/>
  <c r="S14" i="85"/>
  <c r="AD14" i="85"/>
  <c r="AL14" i="85"/>
  <c r="S16" i="85"/>
  <c r="Y16" i="85"/>
  <c r="AE16" i="85"/>
  <c r="AK16" i="85"/>
  <c r="L17" i="85"/>
  <c r="X17" i="85"/>
  <c r="AJ17" i="85"/>
  <c r="C19" i="85"/>
  <c r="I19" i="85"/>
  <c r="U19" i="85"/>
  <c r="AA19" i="85"/>
  <c r="AG19" i="85"/>
  <c r="AO13" i="85"/>
  <c r="AN14" i="85"/>
  <c r="AO16" i="85"/>
  <c r="E9" i="73"/>
  <c r="E10" i="73"/>
  <c r="E11" i="73"/>
  <c r="E12" i="73"/>
  <c r="E13" i="73"/>
  <c r="E14" i="73"/>
  <c r="E15" i="73"/>
  <c r="E16" i="73"/>
  <c r="E17" i="73"/>
  <c r="E18" i="73"/>
  <c r="E19" i="73"/>
  <c r="E20" i="73"/>
  <c r="E21" i="73"/>
  <c r="E22" i="73"/>
  <c r="E23" i="73"/>
  <c r="E24" i="73"/>
  <c r="E25" i="73"/>
  <c r="E26" i="73"/>
  <c r="E27" i="73"/>
  <c r="E30" i="73"/>
  <c r="E31" i="73"/>
  <c r="E32" i="73"/>
  <c r="E33" i="73"/>
  <c r="E34" i="73"/>
  <c r="E35" i="73"/>
  <c r="E36" i="73"/>
  <c r="E37" i="73"/>
  <c r="J38" i="73"/>
  <c r="J39" i="73"/>
  <c r="E7" i="73"/>
  <c r="E8" i="73"/>
  <c r="J9" i="73"/>
  <c r="J10" i="73"/>
  <c r="J11" i="73"/>
  <c r="J12" i="73"/>
  <c r="J13" i="73"/>
  <c r="J14" i="73"/>
  <c r="J15" i="73"/>
  <c r="J16" i="73"/>
  <c r="J17" i="73"/>
  <c r="J18" i="73"/>
  <c r="J19" i="73"/>
  <c r="J20" i="73"/>
  <c r="J21" i="73"/>
  <c r="J22" i="73"/>
  <c r="J23" i="73"/>
  <c r="J24" i="73"/>
  <c r="J25" i="73"/>
  <c r="J26" i="73"/>
  <c r="J27" i="73"/>
  <c r="E28" i="73"/>
  <c r="E29" i="73"/>
  <c r="J30" i="73"/>
  <c r="J31" i="73"/>
  <c r="J32" i="73"/>
  <c r="J33" i="73"/>
  <c r="J34" i="73"/>
  <c r="J35" i="73"/>
  <c r="J36" i="73"/>
  <c r="J37" i="73"/>
  <c r="J7" i="73"/>
  <c r="J8" i="73"/>
  <c r="J28" i="73"/>
  <c r="J29" i="73"/>
  <c r="E38" i="73"/>
  <c r="E39" i="73"/>
  <c r="D10" i="73"/>
  <c r="P10" i="73"/>
  <c r="D14" i="73"/>
  <c r="P14" i="73"/>
  <c r="D22" i="73"/>
  <c r="P22" i="73"/>
  <c r="D26" i="73"/>
  <c r="P26" i="73"/>
  <c r="D30" i="73"/>
  <c r="P30" i="73"/>
  <c r="D34" i="73"/>
  <c r="P34" i="73"/>
  <c r="D38" i="73"/>
  <c r="P38" i="73"/>
  <c r="D17" i="73"/>
  <c r="D11" i="73"/>
  <c r="P11" i="73"/>
  <c r="D15" i="73"/>
  <c r="P15" i="73"/>
  <c r="D19" i="73"/>
  <c r="P19" i="73"/>
  <c r="D23" i="73"/>
  <c r="P23" i="73"/>
  <c r="D27" i="73"/>
  <c r="P27" i="73"/>
  <c r="D31" i="73"/>
  <c r="P31" i="73"/>
  <c r="D35" i="73"/>
  <c r="P35" i="73"/>
  <c r="D39" i="73"/>
  <c r="P39" i="73"/>
  <c r="D18" i="73"/>
  <c r="D12" i="73"/>
  <c r="P12" i="73"/>
  <c r="D16" i="73"/>
  <c r="P16" i="73"/>
  <c r="D20" i="73"/>
  <c r="P20" i="73"/>
  <c r="D24" i="73"/>
  <c r="P24" i="73"/>
  <c r="D28" i="73"/>
  <c r="P28" i="73"/>
  <c r="D32" i="73"/>
  <c r="P32" i="73"/>
  <c r="D36" i="73"/>
  <c r="P36" i="73"/>
  <c r="D9" i="73"/>
  <c r="P9" i="73"/>
  <c r="D13" i="73"/>
  <c r="P13" i="73"/>
  <c r="D21" i="73"/>
  <c r="P21" i="73"/>
  <c r="D25" i="73"/>
  <c r="P25" i="73"/>
  <c r="D29" i="73"/>
  <c r="P29" i="73"/>
  <c r="D33" i="73"/>
  <c r="P33" i="73"/>
  <c r="D37" i="73"/>
  <c r="P37" i="73"/>
  <c r="M6" i="85"/>
  <c r="Y6" i="85"/>
  <c r="AK6" i="85"/>
  <c r="AO6" i="85"/>
  <c r="G7" i="85"/>
  <c r="G9" i="85"/>
  <c r="G12" i="85"/>
  <c r="AL12" i="85"/>
  <c r="AM14" i="85"/>
  <c r="AL15" i="85"/>
  <c r="G15" i="85"/>
  <c r="R16" i="85"/>
  <c r="AM17" i="85"/>
  <c r="O19" i="85"/>
  <c r="F6" i="85"/>
  <c r="R6" i="85"/>
  <c r="AD6" i="85"/>
  <c r="AL6" i="85"/>
  <c r="F8" i="85"/>
  <c r="F10" i="85"/>
  <c r="AN12" i="85"/>
  <c r="L12" i="85"/>
  <c r="AL13" i="85"/>
  <c r="G13" i="85"/>
  <c r="AJ16" i="85"/>
  <c r="AD17" i="85"/>
  <c r="G6" i="85"/>
  <c r="AE6" i="85"/>
  <c r="AM6" i="85"/>
  <c r="G8" i="85"/>
  <c r="G10" i="85"/>
  <c r="AJ14" i="85"/>
  <c r="AD15" i="85"/>
  <c r="X16" i="85"/>
  <c r="R17" i="85"/>
  <c r="AE17" i="85"/>
  <c r="L6" i="85"/>
  <c r="X6" i="85"/>
  <c r="AJ6" i="85"/>
  <c r="AN6" i="85"/>
  <c r="F7" i="85"/>
  <c r="F9" i="85"/>
  <c r="F11" i="85"/>
  <c r="F13" i="85"/>
  <c r="F15" i="85"/>
  <c r="F17" i="85"/>
  <c r="W40" i="88"/>
  <c r="V40" i="88"/>
  <c r="R40" i="88"/>
  <c r="P42" i="87"/>
  <c r="G54" i="87" s="1"/>
  <c r="N42" i="87"/>
  <c r="S42" i="87"/>
  <c r="G56" i="87" s="1"/>
  <c r="P40" i="88"/>
  <c r="T40" i="88"/>
  <c r="X40" i="88"/>
  <c r="G42" i="87"/>
  <c r="G47" i="87" s="1"/>
  <c r="O42" i="87"/>
  <c r="G53" i="87" s="1"/>
  <c r="Z42" i="87"/>
  <c r="Q40" i="88"/>
  <c r="U40" i="88"/>
  <c r="Q42" i="87"/>
  <c r="I40" i="88"/>
  <c r="M42" i="87"/>
  <c r="G46" i="87" s="1"/>
  <c r="M19" i="85" l="1"/>
  <c r="AK19" i="85"/>
  <c r="S19" i="85"/>
  <c r="X19" i="85"/>
  <c r="R19" i="85"/>
  <c r="G35" i="73"/>
  <c r="I34" i="87"/>
  <c r="G8" i="73"/>
  <c r="AO19" i="85"/>
  <c r="H39" i="73"/>
  <c r="G37" i="73"/>
  <c r="F19" i="73"/>
  <c r="G33" i="73"/>
  <c r="H7" i="73"/>
  <c r="G31" i="73"/>
  <c r="L19" i="85"/>
  <c r="AD19" i="85"/>
  <c r="Y19" i="85"/>
  <c r="G29" i="73"/>
  <c r="H38" i="73"/>
  <c r="H8" i="73"/>
  <c r="I39" i="73"/>
  <c r="H36" i="73"/>
  <c r="H34" i="73"/>
  <c r="H32" i="73"/>
  <c r="H30" i="73"/>
  <c r="H26" i="73"/>
  <c r="H24" i="73"/>
  <c r="H22" i="73"/>
  <c r="H20" i="73"/>
  <c r="H18" i="73"/>
  <c r="H16" i="73"/>
  <c r="H14" i="73"/>
  <c r="H12" i="73"/>
  <c r="H10" i="73"/>
  <c r="G26" i="73"/>
  <c r="G22" i="73"/>
  <c r="G18" i="73"/>
  <c r="G14" i="73"/>
  <c r="G10" i="73"/>
  <c r="I7" i="73"/>
  <c r="I34" i="73"/>
  <c r="I30" i="73"/>
  <c r="H28" i="73"/>
  <c r="I24" i="73"/>
  <c r="I20" i="73"/>
  <c r="I16" i="73"/>
  <c r="I12" i="73"/>
  <c r="AM19" i="85"/>
  <c r="AQ6" i="85"/>
  <c r="AQ7" i="85" s="1"/>
  <c r="AQ8" i="85" s="1"/>
  <c r="AQ9" i="85" s="1"/>
  <c r="AQ10" i="85" s="1"/>
  <c r="AQ11" i="85" s="1"/>
  <c r="AQ12" i="85" s="1"/>
  <c r="AQ13" i="85" s="1"/>
  <c r="AQ14" i="85" s="1"/>
  <c r="AQ15" i="85" s="1"/>
  <c r="AQ16" i="85" s="1"/>
  <c r="AQ17" i="85" s="1"/>
  <c r="I38" i="73"/>
  <c r="G28" i="73"/>
  <c r="G36" i="73"/>
  <c r="G34" i="73"/>
  <c r="G32" i="73"/>
  <c r="G30" i="73"/>
  <c r="G25" i="73"/>
  <c r="G21" i="73"/>
  <c r="G17" i="73"/>
  <c r="G13" i="73"/>
  <c r="G9" i="73"/>
  <c r="J44" i="73"/>
  <c r="G38" i="73"/>
  <c r="I37" i="73"/>
  <c r="I33" i="73"/>
  <c r="I27" i="73"/>
  <c r="I23" i="73"/>
  <c r="I19" i="73"/>
  <c r="I15" i="73"/>
  <c r="I11" i="73"/>
  <c r="AN19" i="85"/>
  <c r="AE19" i="85"/>
  <c r="F19" i="85"/>
  <c r="H37" i="73"/>
  <c r="H35" i="73"/>
  <c r="H33" i="73"/>
  <c r="H31" i="73"/>
  <c r="H27" i="73"/>
  <c r="H25" i="73"/>
  <c r="H23" i="73"/>
  <c r="H21" i="73"/>
  <c r="H19" i="73"/>
  <c r="H17" i="73"/>
  <c r="H15" i="73"/>
  <c r="H13" i="73"/>
  <c r="H11" i="73"/>
  <c r="H9" i="73"/>
  <c r="G7" i="73"/>
  <c r="G24" i="73"/>
  <c r="G20" i="73"/>
  <c r="G16" i="73"/>
  <c r="G12" i="73"/>
  <c r="I29" i="73"/>
  <c r="E44" i="73"/>
  <c r="I36" i="73"/>
  <c r="I32" i="73"/>
  <c r="H29" i="73"/>
  <c r="I26" i="73"/>
  <c r="I22" i="73"/>
  <c r="I18" i="73"/>
  <c r="I14" i="73"/>
  <c r="I10" i="73"/>
  <c r="AJ19" i="85"/>
  <c r="G19" i="85"/>
  <c r="AL19" i="85"/>
  <c r="AP6" i="85"/>
  <c r="AP7" i="85" s="1"/>
  <c r="AP8" i="85" s="1"/>
  <c r="AP9" i="85" s="1"/>
  <c r="AP10" i="85" s="1"/>
  <c r="AP11" i="85" s="1"/>
  <c r="AP12" i="85" s="1"/>
  <c r="AP13" i="85" s="1"/>
  <c r="AP14" i="85" s="1"/>
  <c r="AP15" i="85" s="1"/>
  <c r="AP16" i="85" s="1"/>
  <c r="AP17" i="85" s="1"/>
  <c r="G27" i="73"/>
  <c r="G23" i="73"/>
  <c r="G19" i="73"/>
  <c r="G15" i="73"/>
  <c r="G11" i="73"/>
  <c r="G39" i="73"/>
  <c r="I28" i="73"/>
  <c r="I8" i="73"/>
  <c r="I35" i="73"/>
  <c r="I31" i="73"/>
  <c r="I25" i="73"/>
  <c r="I21" i="73"/>
  <c r="I17" i="73"/>
  <c r="I13" i="73"/>
  <c r="I9" i="73"/>
  <c r="G55" i="87"/>
  <c r="F17" i="73" l="1"/>
  <c r="F23" i="73"/>
  <c r="F13" i="73"/>
  <c r="F11" i="73"/>
  <c r="F9" i="73"/>
  <c r="F25" i="73"/>
  <c r="F15" i="73"/>
  <c r="F21" i="73"/>
  <c r="F38" i="73"/>
  <c r="H44" i="73"/>
  <c r="F20" i="73"/>
  <c r="F18" i="73"/>
  <c r="F30" i="73"/>
  <c r="F37" i="73"/>
  <c r="F24" i="73"/>
  <c r="F32" i="73"/>
  <c r="F27" i="73"/>
  <c r="G44" i="73"/>
  <c r="F22" i="73"/>
  <c r="F34" i="73"/>
  <c r="I44" i="73"/>
  <c r="F39" i="73"/>
  <c r="F12" i="73"/>
  <c r="F28" i="73"/>
  <c r="F36" i="73"/>
  <c r="F31" i="73"/>
  <c r="F10" i="73"/>
  <c r="F26" i="73"/>
  <c r="F8" i="73"/>
  <c r="F33" i="73"/>
  <c r="F16" i="73"/>
  <c r="F29" i="73"/>
  <c r="F35" i="73"/>
  <c r="F14" i="73"/>
  <c r="F7" i="73"/>
  <c r="F44" i="73" l="1"/>
  <c r="F6" i="87" l="1"/>
  <c r="C21" i="73" l="1"/>
  <c r="C30" i="73"/>
  <c r="C39" i="73"/>
  <c r="C25" i="73"/>
  <c r="C27" i="73"/>
  <c r="C24" i="73"/>
  <c r="C15" i="73"/>
  <c r="C6" i="73"/>
  <c r="C9" i="73"/>
  <c r="C29" i="73"/>
  <c r="C19" i="73"/>
  <c r="C35" i="73"/>
  <c r="C18" i="73"/>
  <c r="C32" i="73"/>
  <c r="C7" i="73"/>
  <c r="C8" i="73"/>
  <c r="C23" i="73"/>
  <c r="C36" i="73"/>
  <c r="C22" i="73"/>
  <c r="C33" i="73"/>
  <c r="C10" i="73"/>
  <c r="C20" i="73"/>
  <c r="C13" i="73"/>
  <c r="C11" i="73"/>
  <c r="C12" i="73"/>
  <c r="C14" i="73"/>
  <c r="C38" i="73"/>
  <c r="C26" i="73"/>
  <c r="C17" i="73"/>
  <c r="C34" i="73"/>
  <c r="C31" i="73"/>
  <c r="C16" i="73"/>
  <c r="C28" i="73"/>
  <c r="C37" i="73"/>
  <c r="C44" i="73" l="1"/>
  <c r="H42" i="87" l="1"/>
  <c r="H27" i="87" l="1"/>
  <c r="H36" i="87"/>
  <c r="L36" i="87" l="1"/>
  <c r="J36" i="87"/>
  <c r="K36" i="87"/>
  <c r="L27" i="87"/>
  <c r="J27" i="87"/>
  <c r="K27" i="87"/>
  <c r="I36" i="87" l="1"/>
  <c r="F36" i="87" s="1"/>
  <c r="I27" i="87"/>
  <c r="F27" i="87" s="1"/>
  <c r="H8" i="87" l="1"/>
  <c r="H9" i="87"/>
  <c r="H10" i="87"/>
  <c r="H11" i="87"/>
  <c r="H12" i="87"/>
  <c r="H13" i="87"/>
  <c r="H14" i="87"/>
  <c r="H15" i="87"/>
  <c r="H16" i="87"/>
  <c r="H17" i="87"/>
  <c r="H19" i="87"/>
  <c r="H21" i="87"/>
  <c r="H22" i="87"/>
  <c r="H23" i="87"/>
  <c r="H24" i="87"/>
  <c r="H25" i="87"/>
  <c r="H26" i="87"/>
  <c r="H28" i="87"/>
  <c r="H29" i="87"/>
  <c r="H30" i="87"/>
  <c r="H31" i="87"/>
  <c r="H32" i="87"/>
  <c r="H33" i="87"/>
  <c r="H35" i="87"/>
  <c r="H37" i="87"/>
  <c r="H38" i="87"/>
  <c r="H7" i="87"/>
  <c r="L7" i="87" l="1"/>
  <c r="K7" i="87"/>
  <c r="J7" i="87"/>
  <c r="K33" i="87"/>
  <c r="L33" i="87"/>
  <c r="J33" i="87"/>
  <c r="J29" i="87"/>
  <c r="L29" i="87"/>
  <c r="K29" i="87"/>
  <c r="L24" i="87"/>
  <c r="J24" i="87"/>
  <c r="K24" i="87"/>
  <c r="L19" i="87"/>
  <c r="J19" i="87"/>
  <c r="K19" i="87"/>
  <c r="K14" i="87"/>
  <c r="J14" i="87"/>
  <c r="L14" i="87"/>
  <c r="K10" i="87"/>
  <c r="L10" i="87"/>
  <c r="J10" i="87"/>
  <c r="J38" i="87"/>
  <c r="K38" i="87"/>
  <c r="L38" i="87"/>
  <c r="K32" i="87"/>
  <c r="L32" i="87"/>
  <c r="J32" i="87"/>
  <c r="L28" i="87"/>
  <c r="K28" i="87"/>
  <c r="J28" i="87"/>
  <c r="K23" i="87"/>
  <c r="L23" i="87"/>
  <c r="J23" i="87"/>
  <c r="J17" i="87"/>
  <c r="K17" i="87"/>
  <c r="L17" i="87"/>
  <c r="K13" i="87"/>
  <c r="J13" i="87"/>
  <c r="L13" i="87"/>
  <c r="K9" i="87"/>
  <c r="J9" i="87"/>
  <c r="L9" i="87"/>
  <c r="J37" i="87"/>
  <c r="L37" i="87"/>
  <c r="K37" i="87"/>
  <c r="K31" i="87"/>
  <c r="L31" i="87"/>
  <c r="J31" i="87"/>
  <c r="J26" i="87"/>
  <c r="L26" i="87"/>
  <c r="K26" i="87"/>
  <c r="J22" i="87"/>
  <c r="L22" i="87"/>
  <c r="K22" i="87"/>
  <c r="K16" i="87"/>
  <c r="J16" i="87"/>
  <c r="L16" i="87"/>
  <c r="J12" i="87"/>
  <c r="L12" i="87"/>
  <c r="K12" i="87"/>
  <c r="K8" i="87"/>
  <c r="L8" i="87"/>
  <c r="J8" i="87"/>
  <c r="J35" i="87"/>
  <c r="L35" i="87"/>
  <c r="K35" i="87"/>
  <c r="L30" i="87"/>
  <c r="K30" i="87"/>
  <c r="J30" i="87"/>
  <c r="J25" i="87"/>
  <c r="L25" i="87"/>
  <c r="K25" i="87"/>
  <c r="L21" i="87"/>
  <c r="K21" i="87"/>
  <c r="J21" i="87"/>
  <c r="L15" i="87"/>
  <c r="K15" i="87"/>
  <c r="J15" i="87"/>
  <c r="J11" i="87"/>
  <c r="K11" i="87"/>
  <c r="L11" i="87"/>
  <c r="I25" i="87" l="1"/>
  <c r="F25" i="87" s="1"/>
  <c r="I12" i="87"/>
  <c r="F12" i="87" s="1"/>
  <c r="I31" i="87"/>
  <c r="F31" i="87" s="1"/>
  <c r="I23" i="87"/>
  <c r="F23" i="87" s="1"/>
  <c r="I10" i="87"/>
  <c r="F10" i="87" s="1"/>
  <c r="I15" i="87"/>
  <c r="F15" i="87" s="1"/>
  <c r="I35" i="87"/>
  <c r="F35" i="87" s="1"/>
  <c r="I22" i="87"/>
  <c r="F22" i="87" s="1"/>
  <c r="I11" i="87"/>
  <c r="F11" i="87" s="1"/>
  <c r="I30" i="87"/>
  <c r="F30" i="87" s="1"/>
  <c r="I16" i="87"/>
  <c r="F16" i="87" s="1"/>
  <c r="I33" i="87"/>
  <c r="F33" i="87" s="1"/>
  <c r="I21" i="87"/>
  <c r="F21" i="87" s="1"/>
  <c r="I8" i="87"/>
  <c r="F8" i="87" s="1"/>
  <c r="I26" i="87"/>
  <c r="F26" i="87" s="1"/>
  <c r="I9" i="87"/>
  <c r="F9" i="87" s="1"/>
  <c r="I14" i="87"/>
  <c r="F14" i="87" s="1"/>
  <c r="I32" i="87"/>
  <c r="F32" i="87" s="1"/>
  <c r="I24" i="87"/>
  <c r="F24" i="87" s="1"/>
  <c r="I13" i="87"/>
  <c r="F13" i="87" s="1"/>
  <c r="I17" i="87"/>
  <c r="F17" i="87" s="1"/>
  <c r="I28" i="87"/>
  <c r="F28" i="87" s="1"/>
  <c r="I38" i="87"/>
  <c r="F38" i="87" s="1"/>
  <c r="I7" i="87"/>
  <c r="F7" i="87" s="1"/>
  <c r="I37" i="87"/>
  <c r="F37" i="87" s="1"/>
  <c r="I19" i="87"/>
  <c r="F19" i="87" s="1"/>
  <c r="I29" i="87"/>
  <c r="F29" i="87" s="1"/>
  <c r="H18" i="87" l="1"/>
  <c r="J18" i="87" l="1"/>
  <c r="K18" i="87"/>
  <c r="L18" i="87"/>
  <c r="I18" i="87" s="1"/>
  <c r="H20" i="87"/>
  <c r="F18" i="87" l="1"/>
  <c r="K20" i="87"/>
  <c r="K42" i="87" s="1"/>
  <c r="G50" i="87" s="1"/>
  <c r="L20" i="87"/>
  <c r="L42" i="87" s="1"/>
  <c r="G51" i="87" s="1"/>
  <c r="J20" i="87"/>
  <c r="J42" i="87" s="1"/>
  <c r="G49" i="87" s="1"/>
  <c r="I20" i="87" l="1"/>
  <c r="F20" i="87" l="1"/>
  <c r="F42" i="87" s="1"/>
  <c r="I42" i="87"/>
  <c r="G48" i="87" s="1"/>
  <c r="E20" i="87" l="1"/>
  <c r="E9" i="87"/>
  <c r="E15" i="87"/>
  <c r="E38" i="87"/>
  <c r="E21" i="87"/>
  <c r="E16" i="87"/>
  <c r="E33" i="87"/>
  <c r="E11" i="87"/>
  <c r="E34" i="87"/>
  <c r="E37" i="87"/>
  <c r="E29" i="87"/>
  <c r="E28" i="87"/>
  <c r="E36" i="87"/>
  <c r="E30" i="87"/>
  <c r="E6" i="87"/>
  <c r="E42" i="87" s="1"/>
  <c r="E7" i="87"/>
  <c r="E14" i="87"/>
  <c r="E31" i="87"/>
  <c r="E35" i="87"/>
  <c r="E10" i="87"/>
  <c r="E26" i="87"/>
  <c r="E32" i="87"/>
  <c r="E25" i="87"/>
  <c r="E18" i="87"/>
  <c r="E13" i="87"/>
  <c r="E19" i="87"/>
  <c r="E17" i="87"/>
  <c r="E24" i="87"/>
  <c r="E8" i="87"/>
  <c r="E12" i="87"/>
  <c r="E23" i="87"/>
  <c r="E22" i="87"/>
  <c r="E27" i="87"/>
  <c r="D33" i="92" l="1"/>
  <c r="C40" i="88" l="1"/>
  <c r="F27" i="113" l="1"/>
  <c r="F27" i="114" s="1"/>
  <c r="F27" i="116" s="1"/>
  <c r="F27" i="115" s="1"/>
  <c r="F27" i="117" s="1"/>
  <c r="F27" i="118" s="1"/>
  <c r="F27" i="119" s="1"/>
  <c r="F34" i="113"/>
  <c r="F34" i="114" s="1"/>
  <c r="F34" i="116" s="1"/>
  <c r="F34" i="115" s="1"/>
  <c r="F34" i="117" s="1"/>
  <c r="F34" i="118" s="1"/>
  <c r="F34" i="119" s="1"/>
  <c r="F40" i="88"/>
  <c r="F40" i="113" l="1"/>
  <c r="F40" i="114" l="1"/>
  <c r="D40" i="123"/>
  <c r="D40" i="124"/>
  <c r="D40" i="121"/>
  <c r="D40" i="122"/>
  <c r="D40" i="119"/>
  <c r="D40" i="120"/>
  <c r="D40" i="117"/>
  <c r="D40" i="118"/>
  <c r="D40" i="115"/>
  <c r="D40" i="116"/>
  <c r="D40" i="113"/>
  <c r="D40" i="88"/>
  <c r="D40" i="114"/>
  <c r="F15" i="120" l="1"/>
  <c r="F15" i="121" s="1"/>
  <c r="F15" i="122" s="1"/>
  <c r="F15" i="123" s="1"/>
  <c r="F40" i="116" l="1"/>
  <c r="F40" i="115" l="1"/>
  <c r="F21" i="120"/>
  <c r="F21" i="121" s="1"/>
  <c r="F21" i="122" s="1"/>
  <c r="F21" i="123" s="1"/>
  <c r="F12" i="120" l="1"/>
  <c r="F12" i="121" s="1"/>
  <c r="F12" i="122" s="1"/>
  <c r="F12" i="123" s="1"/>
  <c r="F40" i="117"/>
  <c r="F16" i="120" l="1"/>
  <c r="F16" i="121" s="1"/>
  <c r="F16" i="122" s="1"/>
  <c r="F16" i="123" s="1"/>
  <c r="F14" i="120"/>
  <c r="F14" i="121" s="1"/>
  <c r="F14" i="122" s="1"/>
  <c r="F14" i="123" s="1"/>
  <c r="F40" i="118"/>
  <c r="F8" i="120"/>
  <c r="F8" i="121" s="1"/>
  <c r="F8" i="122" s="1"/>
  <c r="F8" i="123" s="1"/>
  <c r="F10" i="120"/>
  <c r="F10" i="121" s="1"/>
  <c r="F10" i="122" s="1"/>
  <c r="F10" i="123" s="1"/>
  <c r="F13" i="120"/>
  <c r="F13" i="121" s="1"/>
  <c r="F13" i="122" s="1"/>
  <c r="F13" i="123" s="1"/>
  <c r="F30" i="120"/>
  <c r="F30" i="121" s="1"/>
  <c r="F30" i="122" s="1"/>
  <c r="F30" i="123" s="1"/>
  <c r="F20" i="120"/>
  <c r="F20" i="121" s="1"/>
  <c r="F20" i="122" s="1"/>
  <c r="F20" i="123" s="1"/>
  <c r="F9" i="120"/>
  <c r="F9" i="121" s="1"/>
  <c r="F9" i="122" s="1"/>
  <c r="F9" i="123" s="1"/>
  <c r="F34" i="120" l="1"/>
  <c r="F34" i="121" s="1"/>
  <c r="F34" i="122" s="1"/>
  <c r="F34" i="123" s="1"/>
  <c r="F27" i="120"/>
  <c r="F27" i="121" s="1"/>
  <c r="F27" i="122" s="1"/>
  <c r="F27" i="123" s="1"/>
  <c r="F32" i="120"/>
  <c r="F32" i="121" s="1"/>
  <c r="F32" i="122" s="1"/>
  <c r="F32" i="123" s="1"/>
  <c r="F28" i="120"/>
  <c r="F28" i="121" s="1"/>
  <c r="F28" i="122" s="1"/>
  <c r="F28" i="123" s="1"/>
  <c r="F11" i="120"/>
  <c r="F11" i="121" s="1"/>
  <c r="F11" i="122" s="1"/>
  <c r="F11" i="123" s="1"/>
  <c r="F29" i="120"/>
  <c r="F29" i="121" s="1"/>
  <c r="F29" i="122" s="1"/>
  <c r="F29" i="123" s="1"/>
  <c r="F36" i="120"/>
  <c r="F36" i="121" s="1"/>
  <c r="F36" i="122" s="1"/>
  <c r="F36" i="123" s="1"/>
  <c r="F23" i="120"/>
  <c r="F23" i="121" s="1"/>
  <c r="F23" i="122" s="1"/>
  <c r="F23" i="123" s="1"/>
  <c r="F31" i="120"/>
  <c r="F31" i="121" s="1"/>
  <c r="F31" i="122" s="1"/>
  <c r="F31" i="123" s="1"/>
  <c r="F24" i="120"/>
  <c r="F24" i="121" s="1"/>
  <c r="F24" i="122" s="1"/>
  <c r="F24" i="123" s="1"/>
  <c r="F25" i="120"/>
  <c r="F25" i="121" s="1"/>
  <c r="F25" i="122" s="1"/>
  <c r="F25" i="123" s="1"/>
  <c r="F17" i="120"/>
  <c r="F17" i="121" s="1"/>
  <c r="F17" i="122" s="1"/>
  <c r="F17" i="123" s="1"/>
  <c r="F18" i="120"/>
  <c r="F18" i="121" s="1"/>
  <c r="F18" i="122" s="1"/>
  <c r="F18" i="123" s="1"/>
  <c r="F19" i="120"/>
  <c r="F19" i="121" s="1"/>
  <c r="F19" i="122" s="1"/>
  <c r="F19" i="123" s="1"/>
  <c r="F33" i="120"/>
  <c r="F33" i="121" s="1"/>
  <c r="F33" i="122" s="1"/>
  <c r="F33" i="123" s="1"/>
  <c r="F22" i="120"/>
  <c r="F22" i="121" s="1"/>
  <c r="F22" i="122" s="1"/>
  <c r="F22" i="123" s="1"/>
  <c r="F40" i="119"/>
  <c r="F7" i="120"/>
  <c r="F7" i="121" s="1"/>
  <c r="F7" i="122" s="1"/>
  <c r="F7" i="123" s="1"/>
  <c r="F35" i="120"/>
  <c r="F35" i="121" s="1"/>
  <c r="F35" i="122" s="1"/>
  <c r="F35" i="123" s="1"/>
  <c r="F26" i="120"/>
  <c r="F26" i="121" s="1"/>
  <c r="F26" i="122" s="1"/>
  <c r="F26" i="123" s="1"/>
  <c r="F40" i="120" l="1"/>
  <c r="F40" i="121" l="1"/>
  <c r="F40" i="122" l="1"/>
  <c r="F40" i="123" l="1"/>
  <c r="S33" i="118" l="1"/>
  <c r="S40" i="118" l="1"/>
  <c r="O26" i="120"/>
  <c r="O24" i="122" l="1"/>
  <c r="S36" i="117" l="1"/>
  <c r="S22" i="114"/>
  <c r="S40" i="114" l="1"/>
  <c r="S36" i="124"/>
  <c r="S40" i="117"/>
  <c r="S33" i="123" l="1"/>
  <c r="S33" i="124" s="1"/>
  <c r="S32" i="123"/>
  <c r="S32" i="124" s="1"/>
  <c r="S26" i="123"/>
  <c r="S26" i="124" s="1"/>
  <c r="S25" i="123"/>
  <c r="S25" i="124" s="1"/>
  <c r="S24" i="123"/>
  <c r="S24" i="124" s="1"/>
  <c r="S23" i="123"/>
  <c r="S23" i="124" s="1"/>
  <c r="S22" i="123"/>
  <c r="S22" i="124" s="1"/>
  <c r="S21" i="123"/>
  <c r="S21" i="124" s="1"/>
  <c r="S20" i="123"/>
  <c r="S20" i="124" s="1"/>
  <c r="S19" i="123"/>
  <c r="S19" i="124" s="1"/>
  <c r="S18" i="123"/>
  <c r="S18" i="124" s="1"/>
  <c r="S16" i="123"/>
  <c r="S16" i="124" s="1"/>
  <c r="S12" i="123"/>
  <c r="S12" i="124" s="1"/>
  <c r="S11" i="123"/>
  <c r="S11" i="124" s="1"/>
  <c r="S10" i="123"/>
  <c r="S8" i="123"/>
  <c r="S8" i="124" s="1"/>
  <c r="S7" i="123"/>
  <c r="S7" i="124" s="1"/>
  <c r="S40" i="123" l="1"/>
  <c r="S10" i="124"/>
  <c r="S40" i="124" s="1"/>
  <c r="J31" i="116" l="1"/>
  <c r="J27" i="116"/>
  <c r="J27" i="115"/>
  <c r="J31" i="115"/>
  <c r="J34" i="119"/>
  <c r="J27" i="122"/>
  <c r="O27" i="119"/>
  <c r="J31" i="118"/>
  <c r="J14" i="122"/>
  <c r="O31" i="123"/>
  <c r="O14" i="120"/>
  <c r="J34" i="122"/>
  <c r="J31" i="120"/>
  <c r="J14" i="119"/>
  <c r="J8" i="116"/>
  <c r="J18" i="116"/>
  <c r="J28" i="116"/>
  <c r="J12" i="116"/>
  <c r="J17" i="116"/>
  <c r="J32" i="116"/>
  <c r="J10" i="116"/>
  <c r="J13" i="116"/>
  <c r="J15" i="116"/>
  <c r="J22" i="116"/>
  <c r="O17" i="116" l="1"/>
  <c r="O12" i="116"/>
  <c r="O15" i="116"/>
  <c r="O22" i="116"/>
  <c r="O13" i="116"/>
  <c r="O10" i="116"/>
  <c r="O28" i="116"/>
  <c r="O8" i="116"/>
  <c r="O32" i="116"/>
  <c r="O18" i="116"/>
  <c r="L22" i="116"/>
  <c r="M22" i="116"/>
  <c r="N22" i="116"/>
  <c r="N13" i="116"/>
  <c r="K13" i="116" s="1"/>
  <c r="L13" i="116"/>
  <c r="M13" i="116"/>
  <c r="N12" i="116"/>
  <c r="L12" i="116"/>
  <c r="M12" i="116"/>
  <c r="L8" i="116"/>
  <c r="M8" i="116"/>
  <c r="N8" i="116"/>
  <c r="M27" i="122"/>
  <c r="N27" i="122"/>
  <c r="K27" i="122"/>
  <c r="L27" i="122"/>
  <c r="M34" i="119"/>
  <c r="K34" i="119"/>
  <c r="N34" i="119"/>
  <c r="L34" i="119"/>
  <c r="M27" i="115"/>
  <c r="K27" i="115"/>
  <c r="N27" i="115"/>
  <c r="L27" i="115"/>
  <c r="K31" i="116"/>
  <c r="N31" i="116"/>
  <c r="L31" i="116"/>
  <c r="M31" i="116"/>
  <c r="L10" i="116"/>
  <c r="N10" i="116"/>
  <c r="M10" i="116"/>
  <c r="L17" i="116"/>
  <c r="K17" i="116" s="1"/>
  <c r="N17" i="116"/>
  <c r="M17" i="116"/>
  <c r="K14" i="119"/>
  <c r="L14" i="119"/>
  <c r="N14" i="119"/>
  <c r="M14" i="119"/>
  <c r="N31" i="115"/>
  <c r="L31" i="115"/>
  <c r="K31" i="115"/>
  <c r="M31" i="115"/>
  <c r="M32" i="116"/>
  <c r="N32" i="116"/>
  <c r="L32" i="116"/>
  <c r="N18" i="116"/>
  <c r="M18" i="116"/>
  <c r="L18" i="116"/>
  <c r="L28" i="116"/>
  <c r="M28" i="116"/>
  <c r="N28" i="116"/>
  <c r="N15" i="116"/>
  <c r="L15" i="116"/>
  <c r="M15" i="116"/>
  <c r="M31" i="120"/>
  <c r="L31" i="120"/>
  <c r="N31" i="120"/>
  <c r="K31" i="120"/>
  <c r="N34" i="122"/>
  <c r="L34" i="122"/>
  <c r="K34" i="122"/>
  <c r="M34" i="122"/>
  <c r="N14" i="122"/>
  <c r="M14" i="122"/>
  <c r="K14" i="122"/>
  <c r="L14" i="122"/>
  <c r="K31" i="118"/>
  <c r="N31" i="118"/>
  <c r="M31" i="118"/>
  <c r="L31" i="118"/>
  <c r="L27" i="116"/>
  <c r="K27" i="116"/>
  <c r="N27" i="116"/>
  <c r="M27" i="116"/>
  <c r="J18" i="118"/>
  <c r="J8" i="115"/>
  <c r="J11" i="116"/>
  <c r="J30" i="115"/>
  <c r="J25" i="115"/>
  <c r="J25" i="120"/>
  <c r="J27" i="120"/>
  <c r="O27" i="116"/>
  <c r="O31" i="116"/>
  <c r="J15" i="118"/>
  <c r="J17" i="121"/>
  <c r="J18" i="120"/>
  <c r="J17" i="115"/>
  <c r="J12" i="122"/>
  <c r="J7" i="120"/>
  <c r="J21" i="121"/>
  <c r="J9" i="117"/>
  <c r="J18" i="123"/>
  <c r="J22" i="117"/>
  <c r="J20" i="121"/>
  <c r="J13" i="122"/>
  <c r="O22" i="117"/>
  <c r="AB31" i="118"/>
  <c r="J29" i="121"/>
  <c r="J30" i="118"/>
  <c r="J30" i="117"/>
  <c r="J11" i="115"/>
  <c r="J18" i="115"/>
  <c r="J33" i="123"/>
  <c r="J22" i="123"/>
  <c r="AA9" i="121"/>
  <c r="J35" i="116"/>
  <c r="J13" i="118"/>
  <c r="O27" i="115"/>
  <c r="O22" i="123"/>
  <c r="J19" i="116"/>
  <c r="J24" i="117"/>
  <c r="O34" i="119"/>
  <c r="O27" i="122"/>
  <c r="AA22" i="123"/>
  <c r="AA17" i="121"/>
  <c r="J35" i="118"/>
  <c r="J13" i="119"/>
  <c r="J21" i="120"/>
  <c r="J9" i="120"/>
  <c r="AA27" i="115"/>
  <c r="AA19" i="116"/>
  <c r="J18" i="119"/>
  <c r="J35" i="117"/>
  <c r="AB17" i="121"/>
  <c r="AB22" i="123"/>
  <c r="J13" i="117"/>
  <c r="J32" i="115"/>
  <c r="J21" i="115"/>
  <c r="AB21" i="115"/>
  <c r="J12" i="120"/>
  <c r="J9" i="121"/>
  <c r="AB9" i="121"/>
  <c r="J26" i="119"/>
  <c r="J17" i="120"/>
  <c r="J14" i="120"/>
  <c r="J23" i="119"/>
  <c r="AA21" i="122"/>
  <c r="J21" i="122"/>
  <c r="AA12" i="119"/>
  <c r="AA21" i="115"/>
  <c r="AB29" i="122"/>
  <c r="O22" i="120"/>
  <c r="J32" i="121"/>
  <c r="AB13" i="123"/>
  <c r="AB32" i="115"/>
  <c r="J25" i="118"/>
  <c r="J19" i="118"/>
  <c r="AA9" i="119"/>
  <c r="AA17" i="122"/>
  <c r="J19" i="117"/>
  <c r="J29" i="115"/>
  <c r="AB14" i="119"/>
  <c r="AA17" i="119"/>
  <c r="AA21" i="119"/>
  <c r="AA17" i="120"/>
  <c r="AB21" i="121"/>
  <c r="J10" i="119"/>
  <c r="J12" i="121"/>
  <c r="O31" i="115"/>
  <c r="AB13" i="117"/>
  <c r="AA33" i="116"/>
  <c r="J33" i="116"/>
  <c r="J32" i="122"/>
  <c r="AB28" i="123"/>
  <c r="AB25" i="118"/>
  <c r="O31" i="120"/>
  <c r="O14" i="122"/>
  <c r="AA21" i="121"/>
  <c r="AA15" i="123"/>
  <c r="AB17" i="120"/>
  <c r="AA29" i="115"/>
  <c r="O31" i="118"/>
  <c r="AB17" i="119"/>
  <c r="AB29" i="121"/>
  <c r="AA25" i="117"/>
  <c r="AA13" i="118"/>
  <c r="J15" i="119"/>
  <c r="J9" i="119"/>
  <c r="AA29" i="121"/>
  <c r="J10" i="123"/>
  <c r="AA17" i="116"/>
  <c r="J9" i="122"/>
  <c r="AB21" i="120"/>
  <c r="J27" i="119"/>
  <c r="AB9" i="119"/>
  <c r="AA29" i="120"/>
  <c r="J11" i="122"/>
  <c r="J25" i="117"/>
  <c r="J13" i="123"/>
  <c r="J28" i="119"/>
  <c r="J8" i="119"/>
  <c r="J16" i="122"/>
  <c r="AB15" i="123"/>
  <c r="AA22" i="117"/>
  <c r="AB32" i="121"/>
  <c r="AA17" i="115"/>
  <c r="AA18" i="123"/>
  <c r="AB27" i="115"/>
  <c r="AA15" i="118"/>
  <c r="J11" i="117"/>
  <c r="AB15" i="118"/>
  <c r="O34" i="122"/>
  <c r="AB21" i="122"/>
  <c r="AB18" i="123"/>
  <c r="AB10" i="123"/>
  <c r="J17" i="119"/>
  <c r="J28" i="115"/>
  <c r="J33" i="117"/>
  <c r="AA25" i="118"/>
  <c r="J29" i="119"/>
  <c r="J17" i="122"/>
  <c r="AA21" i="120"/>
  <c r="AB17" i="115"/>
  <c r="AB27" i="119"/>
  <c r="J22" i="120"/>
  <c r="J11" i="121"/>
  <c r="AB27" i="122"/>
  <c r="AB17" i="122"/>
  <c r="J15" i="123"/>
  <c r="J24" i="123"/>
  <c r="AB22" i="117"/>
  <c r="J31" i="123"/>
  <c r="J29" i="120"/>
  <c r="AB29" i="120"/>
  <c r="AA10" i="123"/>
  <c r="AA22" i="118"/>
  <c r="AB27" i="120"/>
  <c r="J28" i="120"/>
  <c r="AB24" i="123"/>
  <c r="AA18" i="117"/>
  <c r="AB25" i="123"/>
  <c r="J25" i="123"/>
  <c r="AA25" i="123"/>
  <c r="AA14" i="122"/>
  <c r="AA29" i="122"/>
  <c r="AA11" i="122"/>
  <c r="AA16" i="122"/>
  <c r="J29" i="122"/>
  <c r="AA12" i="122"/>
  <c r="AA29" i="119"/>
  <c r="J21" i="119"/>
  <c r="AB29" i="119"/>
  <c r="AB21" i="119"/>
  <c r="AB22" i="118"/>
  <c r="AB18" i="118"/>
  <c r="J18" i="117"/>
  <c r="AA10" i="117"/>
  <c r="AB25" i="117"/>
  <c r="AA32" i="115"/>
  <c r="AB29" i="115"/>
  <c r="AB35" i="116"/>
  <c r="AB31" i="116"/>
  <c r="AB28" i="115"/>
  <c r="AA15" i="119"/>
  <c r="AA22" i="120"/>
  <c r="AB12" i="122"/>
  <c r="AA15" i="117"/>
  <c r="AB10" i="118"/>
  <c r="AB32" i="119"/>
  <c r="O27" i="120"/>
  <c r="AA24" i="117"/>
  <c r="AA8" i="117"/>
  <c r="AB18" i="119"/>
  <c r="AB16" i="122"/>
  <c r="AB30" i="123"/>
  <c r="AA10" i="118"/>
  <c r="J8" i="117"/>
  <c r="AA15" i="116"/>
  <c r="AA28" i="116"/>
  <c r="AB18" i="117"/>
  <c r="J36" i="117"/>
  <c r="J22" i="118"/>
  <c r="AB28" i="116"/>
  <c r="AB32" i="116"/>
  <c r="AA31" i="115"/>
  <c r="AB22" i="115"/>
  <c r="AA14" i="119"/>
  <c r="AA11" i="121"/>
  <c r="AB20" i="121"/>
  <c r="AA33" i="123"/>
  <c r="J35" i="123"/>
  <c r="J20" i="119"/>
  <c r="J32" i="119"/>
  <c r="AA26" i="121"/>
  <c r="AB27" i="116"/>
  <c r="AA10" i="116"/>
  <c r="AB18" i="115"/>
  <c r="AA33" i="117"/>
  <c r="AB26" i="119"/>
  <c r="AB11" i="123"/>
  <c r="J10" i="117"/>
  <c r="AA32" i="122"/>
  <c r="J30" i="123"/>
  <c r="AB19" i="116"/>
  <c r="AB35" i="118"/>
  <c r="AA32" i="119"/>
  <c r="AA14" i="120"/>
  <c r="AB9" i="120"/>
  <c r="AB28" i="117"/>
  <c r="J10" i="118"/>
  <c r="AB12" i="119"/>
  <c r="J19" i="123"/>
  <c r="AB33" i="123"/>
  <c r="AA35" i="123"/>
  <c r="J11" i="123"/>
  <c r="AA19" i="123"/>
  <c r="J36" i="123"/>
  <c r="AA31" i="123"/>
  <c r="AB31" i="123"/>
  <c r="AA11" i="123"/>
  <c r="AA30" i="123"/>
  <c r="J28" i="123"/>
  <c r="AA28" i="123"/>
  <c r="AA24" i="123"/>
  <c r="AB36" i="123"/>
  <c r="AA36" i="123"/>
  <c r="AB14" i="122"/>
  <c r="AB13" i="122"/>
  <c r="AB32" i="122"/>
  <c r="AB9" i="122"/>
  <c r="AB11" i="122"/>
  <c r="AA34" i="122"/>
  <c r="AA13" i="122"/>
  <c r="AA9" i="122"/>
  <c r="J23" i="121"/>
  <c r="AB11" i="121"/>
  <c r="J26" i="121"/>
  <c r="AA12" i="121"/>
  <c r="AB23" i="121"/>
  <c r="AA20" i="121"/>
  <c r="AB26" i="121"/>
  <c r="AB12" i="121"/>
  <c r="AA32" i="121"/>
  <c r="AA23" i="121"/>
  <c r="AB31" i="120"/>
  <c r="AA28" i="120"/>
  <c r="AA12" i="120"/>
  <c r="AB28" i="120"/>
  <c r="AB18" i="120"/>
  <c r="AA32" i="120"/>
  <c r="AA27" i="120"/>
  <c r="AA7" i="120"/>
  <c r="AB22" i="120"/>
  <c r="AA18" i="120"/>
  <c r="AA9" i="120"/>
  <c r="AB12" i="120"/>
  <c r="J32" i="120"/>
  <c r="AB32" i="120"/>
  <c r="AA31" i="120"/>
  <c r="AB7" i="120"/>
  <c r="AA23" i="119"/>
  <c r="AA26" i="119"/>
  <c r="AA13" i="119"/>
  <c r="AA18" i="119"/>
  <c r="AB15" i="119"/>
  <c r="O14" i="119"/>
  <c r="AA20" i="119"/>
  <c r="AB28" i="119"/>
  <c r="J12" i="119"/>
  <c r="AA10" i="119"/>
  <c r="AA8" i="119"/>
  <c r="AB23" i="119"/>
  <c r="AA34" i="119"/>
  <c r="AB20" i="119"/>
  <c r="AA28" i="119"/>
  <c r="AB8" i="119"/>
  <c r="AB10" i="119"/>
  <c r="O22" i="118"/>
  <c r="AA19" i="118"/>
  <c r="AA18" i="118"/>
  <c r="AA28" i="118"/>
  <c r="AB28" i="118"/>
  <c r="J28" i="118"/>
  <c r="AB19" i="118"/>
  <c r="AA30" i="118"/>
  <c r="AB13" i="118"/>
  <c r="AB36" i="117"/>
  <c r="AA11" i="117"/>
  <c r="AB9" i="117"/>
  <c r="AA36" i="117"/>
  <c r="J15" i="117"/>
  <c r="AB35" i="117"/>
  <c r="AB15" i="117"/>
  <c r="AB11" i="117"/>
  <c r="AB10" i="117"/>
  <c r="J28" i="117"/>
  <c r="AA28" i="117"/>
  <c r="J31" i="117"/>
  <c r="O31" i="117"/>
  <c r="AA31" i="117"/>
  <c r="AB31" i="117"/>
  <c r="AA9" i="117"/>
  <c r="AB19" i="117"/>
  <c r="AA30" i="117"/>
  <c r="AB33" i="117"/>
  <c r="AB31" i="115"/>
  <c r="AA28" i="115"/>
  <c r="AB11" i="115"/>
  <c r="J22" i="115"/>
  <c r="AA11" i="115"/>
  <c r="AA22" i="115"/>
  <c r="AA18" i="115"/>
  <c r="AA27" i="116"/>
  <c r="AA35" i="116"/>
  <c r="AB18" i="116"/>
  <c r="AB13" i="116"/>
  <c r="AB8" i="116"/>
  <c r="AA18" i="116"/>
  <c r="AB15" i="116"/>
  <c r="AB33" i="116"/>
  <c r="AA32" i="116"/>
  <c r="AA22" i="116"/>
  <c r="AB22" i="116"/>
  <c r="AB10" i="116"/>
  <c r="AB17" i="116"/>
  <c r="AA34" i="123"/>
  <c r="AB34" i="123"/>
  <c r="O34" i="123"/>
  <c r="J34" i="123"/>
  <c r="AB27" i="123"/>
  <c r="J27" i="123"/>
  <c r="AA27" i="123"/>
  <c r="O27" i="123"/>
  <c r="AA23" i="123"/>
  <c r="J23" i="123"/>
  <c r="AB23" i="123"/>
  <c r="AB17" i="123"/>
  <c r="J17" i="123"/>
  <c r="AA17" i="123"/>
  <c r="J26" i="123"/>
  <c r="AB26" i="123"/>
  <c r="AA26" i="123"/>
  <c r="J20" i="123"/>
  <c r="AB20" i="123"/>
  <c r="AA20" i="123"/>
  <c r="AB19" i="123"/>
  <c r="AB9" i="123"/>
  <c r="J9" i="123"/>
  <c r="AA9" i="123"/>
  <c r="AB35" i="123"/>
  <c r="AB21" i="123"/>
  <c r="J21" i="123"/>
  <c r="AA21" i="123"/>
  <c r="AA32" i="123"/>
  <c r="J32" i="123"/>
  <c r="AB32" i="123"/>
  <c r="AA13" i="123"/>
  <c r="AA8" i="123"/>
  <c r="J8" i="123"/>
  <c r="AB8" i="123"/>
  <c r="J7" i="123"/>
  <c r="AB7" i="123"/>
  <c r="AA7" i="123"/>
  <c r="AA29" i="123"/>
  <c r="J29" i="123"/>
  <c r="AB29" i="123"/>
  <c r="AB14" i="123"/>
  <c r="J14" i="123"/>
  <c r="O14" i="123"/>
  <c r="AA14" i="123"/>
  <c r="AB12" i="123"/>
  <c r="J12" i="123"/>
  <c r="AA12" i="123"/>
  <c r="J16" i="123"/>
  <c r="AB16" i="123"/>
  <c r="AA16" i="123"/>
  <c r="AA35" i="122"/>
  <c r="J35" i="122"/>
  <c r="AB35" i="122"/>
  <c r="AA10" i="122"/>
  <c r="AB10" i="122"/>
  <c r="J10" i="122"/>
  <c r="AB28" i="122"/>
  <c r="AA28" i="122"/>
  <c r="J28" i="122"/>
  <c r="AA15" i="122"/>
  <c r="J15" i="122"/>
  <c r="AB15" i="122"/>
  <c r="AA33" i="122"/>
  <c r="AB33" i="122"/>
  <c r="J33" i="122"/>
  <c r="J24" i="122"/>
  <c r="AA24" i="122"/>
  <c r="AB24" i="122"/>
  <c r="AA27" i="122"/>
  <c r="AA22" i="122"/>
  <c r="J22" i="122"/>
  <c r="AB22" i="122"/>
  <c r="O22" i="122"/>
  <c r="J18" i="122"/>
  <c r="AB18" i="122"/>
  <c r="AA18" i="122"/>
  <c r="AB26" i="122"/>
  <c r="AA26" i="122"/>
  <c r="J26" i="122"/>
  <c r="J30" i="122"/>
  <c r="AB30" i="122"/>
  <c r="AA30" i="122"/>
  <c r="AA19" i="122"/>
  <c r="AB19" i="122"/>
  <c r="J19" i="122"/>
  <c r="AA25" i="122"/>
  <c r="J25" i="122"/>
  <c r="AB25" i="122"/>
  <c r="AB8" i="122"/>
  <c r="J8" i="122"/>
  <c r="AA8" i="122"/>
  <c r="J7" i="122"/>
  <c r="AB7" i="122"/>
  <c r="AA7" i="122"/>
  <c r="J23" i="122"/>
  <c r="AB23" i="122"/>
  <c r="AA23" i="122"/>
  <c r="AB20" i="122"/>
  <c r="AA20" i="122"/>
  <c r="J20" i="122"/>
  <c r="AB31" i="122"/>
  <c r="AA31" i="122"/>
  <c r="J31" i="122"/>
  <c r="O31" i="122"/>
  <c r="AB36" i="122"/>
  <c r="AA36" i="122"/>
  <c r="J36" i="122"/>
  <c r="AB34" i="122"/>
  <c r="AA35" i="121"/>
  <c r="J35" i="121"/>
  <c r="AB35" i="121"/>
  <c r="J30" i="121"/>
  <c r="AB30" i="121"/>
  <c r="AA30" i="121"/>
  <c r="AB31" i="121"/>
  <c r="AA31" i="121"/>
  <c r="J31" i="121"/>
  <c r="O31" i="121"/>
  <c r="AA25" i="121"/>
  <c r="J25" i="121"/>
  <c r="AB25" i="121"/>
  <c r="AA22" i="121"/>
  <c r="J22" i="121"/>
  <c r="AB22" i="121"/>
  <c r="O22" i="121"/>
  <c r="AB8" i="121"/>
  <c r="J8" i="121"/>
  <c r="AA8" i="121"/>
  <c r="J7" i="121"/>
  <c r="AA7" i="121"/>
  <c r="AB7" i="121"/>
  <c r="AB28" i="121"/>
  <c r="AA28" i="121"/>
  <c r="J28" i="121"/>
  <c r="J27" i="121"/>
  <c r="O27" i="121"/>
  <c r="AA27" i="121"/>
  <c r="AB27" i="121"/>
  <c r="AA15" i="121"/>
  <c r="AB15" i="121"/>
  <c r="J15" i="121"/>
  <c r="J14" i="121"/>
  <c r="O14" i="121"/>
  <c r="AA14" i="121"/>
  <c r="AB14" i="121"/>
  <c r="AB16" i="121"/>
  <c r="AA16" i="121"/>
  <c r="J16" i="121"/>
  <c r="AA10" i="121"/>
  <c r="J10" i="121"/>
  <c r="AB10" i="121"/>
  <c r="AA33" i="121"/>
  <c r="J33" i="121"/>
  <c r="AB33" i="121"/>
  <c r="J24" i="121"/>
  <c r="AB24" i="121"/>
  <c r="AA24" i="121"/>
  <c r="AB13" i="121"/>
  <c r="AA13" i="121"/>
  <c r="J13" i="121"/>
  <c r="AB36" i="121"/>
  <c r="AA36" i="121"/>
  <c r="J36" i="121"/>
  <c r="AA19" i="121"/>
  <c r="AB19" i="121"/>
  <c r="J19" i="121"/>
  <c r="J18" i="121"/>
  <c r="AB18" i="121"/>
  <c r="AA18" i="121"/>
  <c r="J34" i="121"/>
  <c r="O34" i="121"/>
  <c r="AB34" i="121"/>
  <c r="AA34" i="121"/>
  <c r="AB36" i="120"/>
  <c r="J36" i="120"/>
  <c r="AA36" i="120"/>
  <c r="AB8" i="120"/>
  <c r="J8" i="120"/>
  <c r="AA8" i="120"/>
  <c r="J23" i="120"/>
  <c r="AA23" i="120"/>
  <c r="AB23" i="120"/>
  <c r="AA35" i="120"/>
  <c r="AB35" i="120"/>
  <c r="J35" i="120"/>
  <c r="AA25" i="120"/>
  <c r="AB25" i="120"/>
  <c r="AB11" i="120"/>
  <c r="J11" i="120"/>
  <c r="AA11" i="120"/>
  <c r="AA19" i="120"/>
  <c r="AB19" i="120"/>
  <c r="J19" i="120"/>
  <c r="AA33" i="120"/>
  <c r="AB33" i="120"/>
  <c r="J33" i="120"/>
  <c r="AB14" i="120"/>
  <c r="J34" i="120"/>
  <c r="O34" i="120"/>
  <c r="AB34" i="120"/>
  <c r="AA34" i="120"/>
  <c r="AB16" i="120"/>
  <c r="J16" i="120"/>
  <c r="AA16" i="120"/>
  <c r="AB13" i="120"/>
  <c r="J13" i="120"/>
  <c r="AA13" i="120"/>
  <c r="AA24" i="120"/>
  <c r="J24" i="120"/>
  <c r="AB24" i="120"/>
  <c r="AB20" i="120"/>
  <c r="J20" i="120"/>
  <c r="AA20" i="120"/>
  <c r="AB26" i="120"/>
  <c r="AA26" i="120"/>
  <c r="AA15" i="120"/>
  <c r="AB15" i="120"/>
  <c r="J15" i="120"/>
  <c r="AA10" i="120"/>
  <c r="AB10" i="120"/>
  <c r="J10" i="120"/>
  <c r="AA30" i="120"/>
  <c r="AB30" i="120"/>
  <c r="J30" i="120"/>
  <c r="J24" i="119"/>
  <c r="AB24" i="119"/>
  <c r="AA24" i="119"/>
  <c r="AA33" i="119"/>
  <c r="J33" i="119"/>
  <c r="AB33" i="119"/>
  <c r="AB36" i="119"/>
  <c r="AA36" i="119"/>
  <c r="J36" i="119"/>
  <c r="AA22" i="119"/>
  <c r="J22" i="119"/>
  <c r="O22" i="119"/>
  <c r="AB22" i="119"/>
  <c r="AB34" i="119"/>
  <c r="AA27" i="119"/>
  <c r="AB11" i="119"/>
  <c r="J11" i="119"/>
  <c r="AA11" i="119"/>
  <c r="J30" i="119"/>
  <c r="AB30" i="119"/>
  <c r="AA30" i="119"/>
  <c r="AB31" i="119"/>
  <c r="AA31" i="119"/>
  <c r="J31" i="119"/>
  <c r="O31" i="119"/>
  <c r="AB13" i="119"/>
  <c r="J7" i="119"/>
  <c r="AA7" i="119"/>
  <c r="AB7" i="119"/>
  <c r="AA35" i="119"/>
  <c r="J35" i="119"/>
  <c r="AB35" i="119"/>
  <c r="AA19" i="119"/>
  <c r="AB19" i="119"/>
  <c r="J19" i="119"/>
  <c r="AA25" i="119"/>
  <c r="J25" i="119"/>
  <c r="AB25" i="119"/>
  <c r="AB16" i="119"/>
  <c r="J16" i="119"/>
  <c r="AA16" i="119"/>
  <c r="J26" i="118"/>
  <c r="AA26" i="118"/>
  <c r="AB26" i="118"/>
  <c r="AB30" i="118"/>
  <c r="AA35" i="118"/>
  <c r="AB8" i="118"/>
  <c r="AA8" i="118"/>
  <c r="J8" i="118"/>
  <c r="AA23" i="118"/>
  <c r="J23" i="118"/>
  <c r="AB23" i="118"/>
  <c r="J16" i="118"/>
  <c r="AB16" i="118"/>
  <c r="AA16" i="118"/>
  <c r="AB27" i="118"/>
  <c r="AA27" i="118"/>
  <c r="J27" i="118"/>
  <c r="O27" i="118"/>
  <c r="J33" i="118"/>
  <c r="AB33" i="118"/>
  <c r="AA33" i="118"/>
  <c r="AB9" i="118"/>
  <c r="J9" i="118"/>
  <c r="AA9" i="118"/>
  <c r="J36" i="118"/>
  <c r="AB36" i="118"/>
  <c r="AA36" i="118"/>
  <c r="AA31" i="118"/>
  <c r="AA34" i="118"/>
  <c r="J34" i="118"/>
  <c r="O34" i="118"/>
  <c r="AB34" i="118"/>
  <c r="AA11" i="118"/>
  <c r="J11" i="118"/>
  <c r="AB11" i="118"/>
  <c r="AB21" i="118"/>
  <c r="AA21" i="118"/>
  <c r="J21" i="118"/>
  <c r="AA7" i="118"/>
  <c r="AB7" i="118"/>
  <c r="J7" i="118"/>
  <c r="AB14" i="118"/>
  <c r="O14" i="118"/>
  <c r="AA14" i="118"/>
  <c r="J14" i="118"/>
  <c r="AB12" i="118"/>
  <c r="AA12" i="118"/>
  <c r="J12" i="118"/>
  <c r="AA29" i="118"/>
  <c r="J29" i="118"/>
  <c r="AB29" i="118"/>
  <c r="AB24" i="118"/>
  <c r="J24" i="118"/>
  <c r="AA24" i="118"/>
  <c r="AB17" i="118"/>
  <c r="J17" i="118"/>
  <c r="AA17" i="118"/>
  <c r="J20" i="118"/>
  <c r="AB20" i="118"/>
  <c r="AA20" i="118"/>
  <c r="AA32" i="118"/>
  <c r="AB32" i="118"/>
  <c r="J32" i="118"/>
  <c r="AA29" i="117"/>
  <c r="J29" i="117"/>
  <c r="AB29" i="117"/>
  <c r="AB8" i="117"/>
  <c r="AA35" i="117"/>
  <c r="AA19" i="117"/>
  <c r="AA13" i="117"/>
  <c r="AB30" i="117"/>
  <c r="AB24" i="117"/>
  <c r="AA34" i="117"/>
  <c r="AB34" i="117"/>
  <c r="O34" i="117"/>
  <c r="J34" i="117"/>
  <c r="AB27" i="117"/>
  <c r="J27" i="117"/>
  <c r="AA27" i="117"/>
  <c r="O27" i="117"/>
  <c r="AA23" i="117"/>
  <c r="J23" i="117"/>
  <c r="AB23" i="117"/>
  <c r="AB17" i="117"/>
  <c r="J17" i="117"/>
  <c r="AA17" i="117"/>
  <c r="J26" i="117"/>
  <c r="AB26" i="117"/>
  <c r="AA26" i="117"/>
  <c r="J20" i="117"/>
  <c r="AB20" i="117"/>
  <c r="AA20" i="117"/>
  <c r="AB12" i="117"/>
  <c r="J12" i="117"/>
  <c r="AA12" i="117"/>
  <c r="J16" i="117"/>
  <c r="AB16" i="117"/>
  <c r="AA16" i="117"/>
  <c r="AB14" i="117"/>
  <c r="J14" i="117"/>
  <c r="O14" i="117"/>
  <c r="AA14" i="117"/>
  <c r="J7" i="117"/>
  <c r="AA7" i="117"/>
  <c r="AB7" i="117"/>
  <c r="AB21" i="117"/>
  <c r="J21" i="117"/>
  <c r="AA21" i="117"/>
  <c r="AA32" i="117"/>
  <c r="J32" i="117"/>
  <c r="AB32" i="117"/>
  <c r="AA25" i="115"/>
  <c r="AB25" i="115"/>
  <c r="AB16" i="115"/>
  <c r="J16" i="115"/>
  <c r="AA16" i="115"/>
  <c r="AB26" i="115"/>
  <c r="J26" i="115"/>
  <c r="AA26" i="115"/>
  <c r="AA35" i="115"/>
  <c r="AB35" i="115"/>
  <c r="J35" i="115"/>
  <c r="AA33" i="115"/>
  <c r="AB33" i="115"/>
  <c r="J33" i="115"/>
  <c r="AA15" i="115"/>
  <c r="AB15" i="115"/>
  <c r="J15" i="115"/>
  <c r="J7" i="115"/>
  <c r="AB7" i="115"/>
  <c r="AA7" i="115"/>
  <c r="J9" i="115"/>
  <c r="AB9" i="115"/>
  <c r="AA9" i="115"/>
  <c r="AA30" i="115"/>
  <c r="AB30" i="115"/>
  <c r="AB36" i="115"/>
  <c r="J36" i="115"/>
  <c r="AA36" i="115"/>
  <c r="AB20" i="115"/>
  <c r="J20" i="115"/>
  <c r="AA20" i="115"/>
  <c r="AA24" i="115"/>
  <c r="AB24" i="115"/>
  <c r="J24" i="115"/>
  <c r="J14" i="115"/>
  <c r="AA14" i="115"/>
  <c r="O14" i="115"/>
  <c r="AB14" i="115"/>
  <c r="J12" i="115"/>
  <c r="AA12" i="115"/>
  <c r="AB12" i="115"/>
  <c r="J23" i="115"/>
  <c r="AA23" i="115"/>
  <c r="AB23" i="115"/>
  <c r="J34" i="115"/>
  <c r="O34" i="115"/>
  <c r="AB34" i="115"/>
  <c r="AA34" i="115"/>
  <c r="AB13" i="115"/>
  <c r="J13" i="115"/>
  <c r="AA13" i="115"/>
  <c r="AA10" i="115"/>
  <c r="AB10" i="115"/>
  <c r="J10" i="115"/>
  <c r="AA19" i="115"/>
  <c r="AB19" i="115"/>
  <c r="J19" i="115"/>
  <c r="AB8" i="115"/>
  <c r="AA8" i="115"/>
  <c r="AA7" i="116"/>
  <c r="J7" i="116"/>
  <c r="AB7" i="116"/>
  <c r="AA26" i="116"/>
  <c r="J26" i="116"/>
  <c r="AB26" i="116"/>
  <c r="J24" i="116"/>
  <c r="AA24" i="116"/>
  <c r="AB24" i="116"/>
  <c r="AB12" i="116"/>
  <c r="AA12" i="116"/>
  <c r="J14" i="116"/>
  <c r="O14" i="116"/>
  <c r="AA14" i="116"/>
  <c r="AB14" i="116"/>
  <c r="AA31" i="116"/>
  <c r="AA9" i="116"/>
  <c r="J9" i="116"/>
  <c r="AB9" i="116"/>
  <c r="AA13" i="116"/>
  <c r="AA8" i="116"/>
  <c r="AB23" i="116"/>
  <c r="AA23" i="116"/>
  <c r="J23" i="116"/>
  <c r="AA11" i="116"/>
  <c r="AB11" i="116"/>
  <c r="J21" i="116"/>
  <c r="AA21" i="116"/>
  <c r="AB21" i="116"/>
  <c r="AB34" i="116"/>
  <c r="AA34" i="116"/>
  <c r="J34" i="116"/>
  <c r="O34" i="116"/>
  <c r="AA16" i="116"/>
  <c r="J16" i="116"/>
  <c r="AB16" i="116"/>
  <c r="AB29" i="116"/>
  <c r="J29" i="116"/>
  <c r="AA29" i="116"/>
  <c r="AA36" i="116"/>
  <c r="J36" i="116"/>
  <c r="AB36" i="116"/>
  <c r="AA20" i="116"/>
  <c r="J20" i="116"/>
  <c r="AB20" i="116"/>
  <c r="AB25" i="116"/>
  <c r="J25" i="116"/>
  <c r="AA25" i="116"/>
  <c r="J30" i="116"/>
  <c r="AA30" i="116"/>
  <c r="AB30" i="116"/>
  <c r="O9" i="116" l="1"/>
  <c r="O26" i="115"/>
  <c r="O32" i="117"/>
  <c r="O33" i="115"/>
  <c r="O35" i="115"/>
  <c r="O25" i="115"/>
  <c r="O15" i="115"/>
  <c r="O32" i="118"/>
  <c r="O12" i="118"/>
  <c r="O11" i="118"/>
  <c r="O36" i="118"/>
  <c r="O19" i="119"/>
  <c r="O33" i="119"/>
  <c r="O30" i="120"/>
  <c r="O15" i="120"/>
  <c r="J26" i="120"/>
  <c r="O33" i="120"/>
  <c r="O23" i="120"/>
  <c r="O36" i="120"/>
  <c r="O36" i="121"/>
  <c r="O16" i="121"/>
  <c r="O7" i="121"/>
  <c r="O8" i="122"/>
  <c r="O15" i="122"/>
  <c r="O35" i="122"/>
  <c r="O16" i="123"/>
  <c r="O12" i="123"/>
  <c r="O32" i="123"/>
  <c r="O21" i="123"/>
  <c r="O28" i="117"/>
  <c r="O12" i="119"/>
  <c r="O35" i="123"/>
  <c r="O26" i="119"/>
  <c r="O20" i="119"/>
  <c r="O15" i="123"/>
  <c r="O22" i="115"/>
  <c r="O29" i="119"/>
  <c r="O17" i="122"/>
  <c r="O17" i="120"/>
  <c r="O21" i="122"/>
  <c r="O10" i="123"/>
  <c r="O9" i="120"/>
  <c r="O19" i="116"/>
  <c r="O18" i="120"/>
  <c r="O9" i="117"/>
  <c r="O29" i="121"/>
  <c r="O17" i="121"/>
  <c r="O18" i="119"/>
  <c r="O20" i="115"/>
  <c r="O11" i="116"/>
  <c r="O26" i="116"/>
  <c r="K18" i="116"/>
  <c r="K12" i="116"/>
  <c r="O16" i="115"/>
  <c r="O21" i="117"/>
  <c r="O26" i="117"/>
  <c r="O33" i="118"/>
  <c r="O25" i="119"/>
  <c r="O36" i="119"/>
  <c r="O10" i="120"/>
  <c r="O20" i="120"/>
  <c r="O13" i="120"/>
  <c r="O16" i="120"/>
  <c r="O11" i="120"/>
  <c r="O36" i="122"/>
  <c r="O20" i="122"/>
  <c r="O23" i="122"/>
  <c r="O7" i="122"/>
  <c r="O26" i="122"/>
  <c r="O20" i="123"/>
  <c r="O26" i="123"/>
  <c r="O17" i="123"/>
  <c r="O23" i="123"/>
  <c r="O32" i="119"/>
  <c r="O12" i="121"/>
  <c r="O28" i="115"/>
  <c r="O26" i="121"/>
  <c r="O36" i="123"/>
  <c r="O25" i="123"/>
  <c r="O23" i="121"/>
  <c r="O20" i="121"/>
  <c r="O28" i="119"/>
  <c r="O17" i="119"/>
  <c r="O8" i="117"/>
  <c r="O24" i="123"/>
  <c r="O9" i="119"/>
  <c r="O13" i="123"/>
  <c r="O25" i="118"/>
  <c r="O12" i="122"/>
  <c r="O16" i="122"/>
  <c r="O23" i="119"/>
  <c r="O33" i="116"/>
  <c r="O33" i="123"/>
  <c r="O18" i="115"/>
  <c r="O28" i="118"/>
  <c r="O18" i="123"/>
  <c r="O24" i="117"/>
  <c r="O26" i="118"/>
  <c r="O24" i="116"/>
  <c r="K8" i="116"/>
  <c r="O20" i="116"/>
  <c r="O16" i="116"/>
  <c r="O30" i="115"/>
  <c r="O20" i="117"/>
  <c r="O17" i="117"/>
  <c r="O23" i="117"/>
  <c r="O24" i="118"/>
  <c r="O7" i="118"/>
  <c r="O35" i="119"/>
  <c r="O30" i="119"/>
  <c r="O30" i="116"/>
  <c r="O36" i="116"/>
  <c r="O19" i="115"/>
  <c r="O10" i="115"/>
  <c r="O13" i="115"/>
  <c r="O24" i="115"/>
  <c r="O36" i="115"/>
  <c r="O7" i="117"/>
  <c r="O16" i="117"/>
  <c r="O12" i="117"/>
  <c r="O20" i="118"/>
  <c r="O21" i="118"/>
  <c r="O16" i="118"/>
  <c r="O8" i="118"/>
  <c r="O16" i="119"/>
  <c r="O7" i="119"/>
  <c r="O35" i="120"/>
  <c r="O18" i="121"/>
  <c r="O13" i="121"/>
  <c r="O24" i="121"/>
  <c r="O10" i="121"/>
  <c r="O28" i="121"/>
  <c r="O25" i="121"/>
  <c r="O30" i="121"/>
  <c r="O8" i="123"/>
  <c r="O9" i="123"/>
  <c r="O32" i="120"/>
  <c r="O28" i="123"/>
  <c r="O28" i="120"/>
  <c r="O11" i="123"/>
  <c r="O36" i="117"/>
  <c r="O18" i="117"/>
  <c r="O11" i="121"/>
  <c r="O11" i="117"/>
  <c r="O30" i="117"/>
  <c r="O19" i="123"/>
  <c r="O11" i="122"/>
  <c r="O15" i="119"/>
  <c r="O9" i="121"/>
  <c r="O18" i="118"/>
  <c r="O35" i="117"/>
  <c r="O35" i="118"/>
  <c r="O19" i="118"/>
  <c r="O10" i="119"/>
  <c r="O7" i="120"/>
  <c r="O21" i="121"/>
  <c r="O17" i="115"/>
  <c r="K28" i="116"/>
  <c r="K10" i="116"/>
  <c r="K22" i="116"/>
  <c r="O12" i="115"/>
  <c r="O7" i="115"/>
  <c r="O25" i="116"/>
  <c r="O29" i="116"/>
  <c r="O21" i="116"/>
  <c r="O23" i="116"/>
  <c r="O7" i="116"/>
  <c r="O8" i="115"/>
  <c r="O23" i="115"/>
  <c r="O9" i="115"/>
  <c r="O29" i="117"/>
  <c r="O17" i="118"/>
  <c r="O29" i="118"/>
  <c r="O9" i="118"/>
  <c r="O23" i="118"/>
  <c r="O11" i="119"/>
  <c r="O24" i="119"/>
  <c r="O24" i="120"/>
  <c r="O19" i="120"/>
  <c r="O25" i="120"/>
  <c r="O8" i="120"/>
  <c r="O19" i="121"/>
  <c r="O33" i="121"/>
  <c r="O15" i="121"/>
  <c r="O8" i="121"/>
  <c r="O35" i="121"/>
  <c r="O25" i="122"/>
  <c r="O19" i="122"/>
  <c r="O30" i="122"/>
  <c r="O18" i="122"/>
  <c r="O33" i="122"/>
  <c r="O28" i="122"/>
  <c r="O10" i="122"/>
  <c r="O29" i="123"/>
  <c r="O7" i="123"/>
  <c r="O10" i="117"/>
  <c r="O32" i="121"/>
  <c r="O19" i="117"/>
  <c r="O15" i="117"/>
  <c r="O10" i="118"/>
  <c r="O25" i="117"/>
  <c r="O8" i="119"/>
  <c r="O33" i="117"/>
  <c r="O12" i="120"/>
  <c r="O29" i="120"/>
  <c r="O30" i="123"/>
  <c r="O29" i="122"/>
  <c r="O32" i="122"/>
  <c r="O13" i="122"/>
  <c r="O15" i="118"/>
  <c r="O29" i="115"/>
  <c r="O21" i="115"/>
  <c r="O13" i="117"/>
  <c r="O9" i="122"/>
  <c r="O35" i="116"/>
  <c r="O32" i="115"/>
  <c r="O21" i="119"/>
  <c r="O13" i="118"/>
  <c r="O11" i="115"/>
  <c r="O13" i="119"/>
  <c r="O30" i="118"/>
  <c r="O21" i="120"/>
  <c r="AA40" i="117"/>
  <c r="K15" i="116"/>
  <c r="AB40" i="117"/>
  <c r="K32" i="116"/>
  <c r="N14" i="116"/>
  <c r="M14" i="116"/>
  <c r="L14" i="116"/>
  <c r="K14" i="116"/>
  <c r="AA40" i="116"/>
  <c r="L19" i="115"/>
  <c r="M19" i="115"/>
  <c r="N19" i="115"/>
  <c r="N10" i="115"/>
  <c r="M10" i="115"/>
  <c r="L10" i="115"/>
  <c r="M24" i="115"/>
  <c r="N24" i="115"/>
  <c r="L24" i="115"/>
  <c r="L36" i="115"/>
  <c r="K36" i="115" s="1"/>
  <c r="N36" i="115"/>
  <c r="M36" i="115"/>
  <c r="O40" i="115"/>
  <c r="L34" i="117"/>
  <c r="K34" i="117"/>
  <c r="N34" i="117"/>
  <c r="M34" i="117"/>
  <c r="L29" i="117"/>
  <c r="N29" i="117"/>
  <c r="M29" i="117"/>
  <c r="M20" i="118"/>
  <c r="N20" i="118"/>
  <c r="L20" i="118"/>
  <c r="L17" i="118"/>
  <c r="M17" i="118"/>
  <c r="N17" i="118"/>
  <c r="L29" i="118"/>
  <c r="M29" i="118"/>
  <c r="N29" i="118"/>
  <c r="O40" i="118"/>
  <c r="L9" i="118"/>
  <c r="M9" i="118"/>
  <c r="N9" i="118"/>
  <c r="M16" i="118"/>
  <c r="K16" i="118" s="1"/>
  <c r="L16" i="118"/>
  <c r="N16" i="118"/>
  <c r="N23" i="118"/>
  <c r="M23" i="118"/>
  <c r="L23" i="118"/>
  <c r="M16" i="119"/>
  <c r="N16" i="119"/>
  <c r="L16" i="119"/>
  <c r="K16" i="119" s="1"/>
  <c r="M19" i="119"/>
  <c r="L19" i="119"/>
  <c r="N19" i="119"/>
  <c r="AA40" i="119"/>
  <c r="M22" i="119"/>
  <c r="L22" i="119"/>
  <c r="N22" i="119"/>
  <c r="N33" i="119"/>
  <c r="M33" i="119"/>
  <c r="L33" i="119"/>
  <c r="N24" i="120"/>
  <c r="L24" i="120"/>
  <c r="M24" i="120"/>
  <c r="N23" i="120"/>
  <c r="L23" i="120"/>
  <c r="M23" i="120"/>
  <c r="K34" i="121"/>
  <c r="L34" i="121"/>
  <c r="N34" i="121"/>
  <c r="M34" i="121"/>
  <c r="L18" i="121"/>
  <c r="M18" i="121"/>
  <c r="N18" i="121"/>
  <c r="M24" i="121"/>
  <c r="K24" i="121" s="1"/>
  <c r="N24" i="121"/>
  <c r="L24" i="121"/>
  <c r="M14" i="121"/>
  <c r="L14" i="121"/>
  <c r="K14" i="121"/>
  <c r="N14" i="121"/>
  <c r="K27" i="121"/>
  <c r="L27" i="121"/>
  <c r="M27" i="121"/>
  <c r="N27" i="121"/>
  <c r="M7" i="121"/>
  <c r="N7" i="121"/>
  <c r="K7" i="121" s="1"/>
  <c r="L7" i="121"/>
  <c r="J40" i="121"/>
  <c r="M30" i="121"/>
  <c r="K30" i="121" s="1"/>
  <c r="L30" i="121"/>
  <c r="N30" i="121"/>
  <c r="O40" i="122"/>
  <c r="L8" i="122"/>
  <c r="M8" i="122"/>
  <c r="N8" i="122"/>
  <c r="L25" i="122"/>
  <c r="N25" i="122"/>
  <c r="M25" i="122"/>
  <c r="N22" i="122"/>
  <c r="L22" i="122"/>
  <c r="M22" i="122"/>
  <c r="N15" i="122"/>
  <c r="L15" i="122"/>
  <c r="M15" i="122"/>
  <c r="M35" i="122"/>
  <c r="N35" i="122"/>
  <c r="L35" i="122"/>
  <c r="L12" i="123"/>
  <c r="N12" i="123"/>
  <c r="M12" i="123"/>
  <c r="K14" i="123"/>
  <c r="M14" i="123"/>
  <c r="L14" i="123"/>
  <c r="N14" i="123"/>
  <c r="M29" i="123"/>
  <c r="N29" i="123"/>
  <c r="L29" i="123"/>
  <c r="AB40" i="123"/>
  <c r="N9" i="123"/>
  <c r="M9" i="123"/>
  <c r="L9" i="123"/>
  <c r="N34" i="123"/>
  <c r="K34" i="123"/>
  <c r="L34" i="123"/>
  <c r="M34" i="123"/>
  <c r="L12" i="119"/>
  <c r="M12" i="119"/>
  <c r="N12" i="119"/>
  <c r="AA40" i="120"/>
  <c r="M23" i="121"/>
  <c r="N23" i="121"/>
  <c r="L23" i="121"/>
  <c r="N36" i="123"/>
  <c r="M36" i="123"/>
  <c r="L36" i="123"/>
  <c r="M20" i="119"/>
  <c r="L20" i="119"/>
  <c r="N20" i="119"/>
  <c r="M35" i="123"/>
  <c r="N35" i="123"/>
  <c r="L35" i="123"/>
  <c r="M24" i="123"/>
  <c r="L24" i="123"/>
  <c r="N24" i="123"/>
  <c r="L28" i="115"/>
  <c r="M28" i="115"/>
  <c r="N28" i="115"/>
  <c r="N28" i="119"/>
  <c r="L28" i="119"/>
  <c r="M28" i="119"/>
  <c r="L9" i="122"/>
  <c r="M9" i="122"/>
  <c r="N9" i="122"/>
  <c r="L19" i="118"/>
  <c r="N19" i="118"/>
  <c r="M19" i="118"/>
  <c r="N17" i="120"/>
  <c r="L17" i="120"/>
  <c r="K17" i="120" s="1"/>
  <c r="M17" i="120"/>
  <c r="L9" i="121"/>
  <c r="K9" i="121" s="1"/>
  <c r="M9" i="121"/>
  <c r="N9" i="121"/>
  <c r="M13" i="117"/>
  <c r="N13" i="117"/>
  <c r="L13" i="117"/>
  <c r="M35" i="117"/>
  <c r="L35" i="117"/>
  <c r="N35" i="117"/>
  <c r="N21" i="120"/>
  <c r="M21" i="120"/>
  <c r="L21" i="120"/>
  <c r="N35" i="118"/>
  <c r="L35" i="118"/>
  <c r="M35" i="118"/>
  <c r="M13" i="118"/>
  <c r="N13" i="118"/>
  <c r="L13" i="118"/>
  <c r="M30" i="118"/>
  <c r="N30" i="118"/>
  <c r="L30" i="118"/>
  <c r="M13" i="122"/>
  <c r="L13" i="122"/>
  <c r="N13" i="122"/>
  <c r="M9" i="117"/>
  <c r="N9" i="117"/>
  <c r="L9" i="117"/>
  <c r="L7" i="120"/>
  <c r="N7" i="120"/>
  <c r="K7" i="120" s="1"/>
  <c r="M7" i="120"/>
  <c r="J40" i="120"/>
  <c r="M17" i="115"/>
  <c r="L17" i="115"/>
  <c r="N17" i="115"/>
  <c r="N18" i="120"/>
  <c r="L18" i="120"/>
  <c r="M18" i="120"/>
  <c r="L11" i="116"/>
  <c r="K11" i="116" s="1"/>
  <c r="M11" i="116"/>
  <c r="N11" i="116"/>
  <c r="L25" i="116"/>
  <c r="M25" i="116"/>
  <c r="N25" i="116"/>
  <c r="N29" i="116"/>
  <c r="L29" i="116"/>
  <c r="K29" i="116" s="1"/>
  <c r="M29" i="116"/>
  <c r="K34" i="116"/>
  <c r="L34" i="116"/>
  <c r="M34" i="116"/>
  <c r="N34" i="116"/>
  <c r="N24" i="116"/>
  <c r="L24" i="116"/>
  <c r="M24" i="116"/>
  <c r="AB40" i="116"/>
  <c r="N20" i="115"/>
  <c r="M20" i="115"/>
  <c r="L20" i="115"/>
  <c r="L9" i="115"/>
  <c r="N9" i="115"/>
  <c r="M9" i="115"/>
  <c r="J40" i="115"/>
  <c r="L7" i="115"/>
  <c r="N7" i="115"/>
  <c r="M7" i="115"/>
  <c r="O40" i="117"/>
  <c r="L14" i="118"/>
  <c r="M14" i="118"/>
  <c r="K14" i="118"/>
  <c r="N14" i="118"/>
  <c r="J40" i="118"/>
  <c r="L7" i="118"/>
  <c r="N7" i="118"/>
  <c r="M7" i="118"/>
  <c r="L36" i="118"/>
  <c r="M36" i="118"/>
  <c r="N36" i="118"/>
  <c r="M33" i="118"/>
  <c r="L33" i="118"/>
  <c r="N33" i="118"/>
  <c r="L25" i="119"/>
  <c r="N25" i="119"/>
  <c r="M25" i="119"/>
  <c r="L35" i="119"/>
  <c r="M35" i="119"/>
  <c r="N35" i="119"/>
  <c r="O40" i="119"/>
  <c r="M31" i="119"/>
  <c r="L31" i="119"/>
  <c r="K31" i="119"/>
  <c r="N31" i="119"/>
  <c r="L11" i="119"/>
  <c r="K11" i="119" s="1"/>
  <c r="M11" i="119"/>
  <c r="N11" i="119"/>
  <c r="M24" i="119"/>
  <c r="L24" i="119"/>
  <c r="K24" i="119" s="1"/>
  <c r="N24" i="119"/>
  <c r="M34" i="120"/>
  <c r="L34" i="120"/>
  <c r="N34" i="120"/>
  <c r="K34" i="120"/>
  <c r="M19" i="121"/>
  <c r="N19" i="121"/>
  <c r="K19" i="121"/>
  <c r="L19" i="121"/>
  <c r="L36" i="121"/>
  <c r="M36" i="121"/>
  <c r="K36" i="121"/>
  <c r="N36" i="121"/>
  <c r="M16" i="121"/>
  <c r="L16" i="121"/>
  <c r="N16" i="121"/>
  <c r="L15" i="121"/>
  <c r="M15" i="121"/>
  <c r="N15" i="121"/>
  <c r="AB40" i="121"/>
  <c r="N23" i="122"/>
  <c r="L23" i="122"/>
  <c r="M23" i="122"/>
  <c r="L7" i="122"/>
  <c r="M7" i="122"/>
  <c r="N7" i="122"/>
  <c r="J40" i="122"/>
  <c r="L30" i="122"/>
  <c r="K30" i="122" s="1"/>
  <c r="M30" i="122"/>
  <c r="N30" i="122"/>
  <c r="N18" i="122"/>
  <c r="L18" i="122"/>
  <c r="M18" i="122"/>
  <c r="N24" i="122"/>
  <c r="L24" i="122"/>
  <c r="M24" i="122"/>
  <c r="K24" i="122" s="1"/>
  <c r="M16" i="123"/>
  <c r="L16" i="123"/>
  <c r="N16" i="123"/>
  <c r="N7" i="123"/>
  <c r="L7" i="123"/>
  <c r="M7" i="123"/>
  <c r="J40" i="123"/>
  <c r="N32" i="123"/>
  <c r="L32" i="123"/>
  <c r="M32" i="123"/>
  <c r="L21" i="123"/>
  <c r="N21" i="123"/>
  <c r="M21" i="123"/>
  <c r="N28" i="117"/>
  <c r="L28" i="117"/>
  <c r="M28" i="117"/>
  <c r="K28" i="117" s="1"/>
  <c r="N10" i="118"/>
  <c r="M10" i="118"/>
  <c r="L10" i="118"/>
  <c r="K10" i="118"/>
  <c r="N22" i="118"/>
  <c r="M22" i="118"/>
  <c r="L22" i="118"/>
  <c r="K22" i="118"/>
  <c r="L18" i="117"/>
  <c r="M18" i="117"/>
  <c r="N18" i="117"/>
  <c r="N25" i="123"/>
  <c r="M25" i="123"/>
  <c r="L25" i="123"/>
  <c r="M28" i="120"/>
  <c r="L28" i="120"/>
  <c r="N28" i="120"/>
  <c r="M29" i="120"/>
  <c r="N29" i="120"/>
  <c r="L29" i="120"/>
  <c r="K29" i="120" s="1"/>
  <c r="N15" i="123"/>
  <c r="L15" i="123"/>
  <c r="M15" i="123"/>
  <c r="L17" i="122"/>
  <c r="K17" i="122" s="1"/>
  <c r="N17" i="122"/>
  <c r="M17" i="122"/>
  <c r="M29" i="119"/>
  <c r="N29" i="119"/>
  <c r="L29" i="119"/>
  <c r="M11" i="117"/>
  <c r="N11" i="117"/>
  <c r="L11" i="117"/>
  <c r="M16" i="122"/>
  <c r="N16" i="122"/>
  <c r="L16" i="122"/>
  <c r="L33" i="116"/>
  <c r="K33" i="116" s="1"/>
  <c r="N33" i="116"/>
  <c r="M33" i="116"/>
  <c r="M12" i="121"/>
  <c r="N12" i="121"/>
  <c r="L12" i="121"/>
  <c r="M19" i="117"/>
  <c r="L19" i="117"/>
  <c r="N19" i="117"/>
  <c r="N25" i="118"/>
  <c r="L25" i="118"/>
  <c r="M25" i="118"/>
  <c r="L32" i="121"/>
  <c r="M32" i="121"/>
  <c r="N32" i="121"/>
  <c r="M23" i="119"/>
  <c r="L23" i="119"/>
  <c r="N23" i="119"/>
  <c r="M26" i="119"/>
  <c r="L26" i="119"/>
  <c r="N26" i="119"/>
  <c r="M21" i="115"/>
  <c r="N21" i="115"/>
  <c r="L21" i="115"/>
  <c r="K21" i="115" s="1"/>
  <c r="L13" i="119"/>
  <c r="N13" i="119"/>
  <c r="M13" i="119"/>
  <c r="L19" i="116"/>
  <c r="K19" i="116" s="1"/>
  <c r="N19" i="116"/>
  <c r="M19" i="116"/>
  <c r="L35" i="116"/>
  <c r="M35" i="116"/>
  <c r="N35" i="116"/>
  <c r="L33" i="123"/>
  <c r="M33" i="123"/>
  <c r="N33" i="123"/>
  <c r="N11" i="115"/>
  <c r="L11" i="115"/>
  <c r="M11" i="115"/>
  <c r="N29" i="121"/>
  <c r="L29" i="121"/>
  <c r="M29" i="121"/>
  <c r="M18" i="123"/>
  <c r="N18" i="123"/>
  <c r="L18" i="123"/>
  <c r="O40" i="120"/>
  <c r="M17" i="121"/>
  <c r="N17" i="121"/>
  <c r="K17" i="121" s="1"/>
  <c r="L17" i="121"/>
  <c r="N25" i="115"/>
  <c r="L25" i="115"/>
  <c r="K25" i="115" s="1"/>
  <c r="M25" i="115"/>
  <c r="M8" i="115"/>
  <c r="N8" i="115"/>
  <c r="L8" i="115"/>
  <c r="N36" i="116"/>
  <c r="M36" i="116"/>
  <c r="L36" i="116"/>
  <c r="N16" i="116"/>
  <c r="M16" i="116"/>
  <c r="L16" i="116"/>
  <c r="M9" i="116"/>
  <c r="N9" i="116"/>
  <c r="L9" i="116"/>
  <c r="O40" i="116"/>
  <c r="M13" i="115"/>
  <c r="L13" i="115"/>
  <c r="N13" i="115"/>
  <c r="AA40" i="115"/>
  <c r="M15" i="115"/>
  <c r="N15" i="115"/>
  <c r="L15" i="115"/>
  <c r="K15" i="115"/>
  <c r="M32" i="117"/>
  <c r="L32" i="117"/>
  <c r="N32" i="117"/>
  <c r="L21" i="117"/>
  <c r="K21" i="117" s="1"/>
  <c r="N21" i="117"/>
  <c r="M21" i="117"/>
  <c r="M14" i="117"/>
  <c r="K14" i="117"/>
  <c r="L14" i="117"/>
  <c r="N14" i="117"/>
  <c r="N12" i="117"/>
  <c r="L12" i="117"/>
  <c r="K12" i="117" s="1"/>
  <c r="M12" i="117"/>
  <c r="L17" i="117"/>
  <c r="M17" i="117"/>
  <c r="N17" i="117"/>
  <c r="L23" i="117"/>
  <c r="N23" i="117"/>
  <c r="M23" i="117"/>
  <c r="K27" i="117"/>
  <c r="L27" i="117"/>
  <c r="M27" i="117"/>
  <c r="N27" i="117"/>
  <c r="M32" i="118"/>
  <c r="N32" i="118"/>
  <c r="L32" i="118"/>
  <c r="L12" i="118"/>
  <c r="M12" i="118"/>
  <c r="N12" i="118"/>
  <c r="AB40" i="118"/>
  <c r="L21" i="118"/>
  <c r="N21" i="118"/>
  <c r="K21" i="118" s="1"/>
  <c r="M21" i="118"/>
  <c r="M11" i="118"/>
  <c r="L11" i="118"/>
  <c r="N11" i="118"/>
  <c r="M8" i="118"/>
  <c r="L8" i="118"/>
  <c r="N8" i="118"/>
  <c r="M26" i="118"/>
  <c r="N26" i="118"/>
  <c r="L26" i="118"/>
  <c r="N7" i="119"/>
  <c r="J40" i="119"/>
  <c r="M7" i="119"/>
  <c r="L7" i="119"/>
  <c r="M36" i="119"/>
  <c r="N36" i="119"/>
  <c r="L36" i="119"/>
  <c r="M30" i="120"/>
  <c r="N30" i="120"/>
  <c r="L30" i="120"/>
  <c r="N10" i="120"/>
  <c r="L10" i="120"/>
  <c r="M10" i="120"/>
  <c r="K10" i="120"/>
  <c r="L15" i="120"/>
  <c r="M15" i="120"/>
  <c r="N15" i="120"/>
  <c r="K15" i="120"/>
  <c r="N33" i="120"/>
  <c r="M33" i="120"/>
  <c r="L33" i="120"/>
  <c r="K33" i="120"/>
  <c r="N35" i="120"/>
  <c r="M35" i="120"/>
  <c r="L35" i="120"/>
  <c r="K35" i="120"/>
  <c r="M36" i="120"/>
  <c r="N36" i="120"/>
  <c r="L36" i="120"/>
  <c r="K36" i="120"/>
  <c r="M13" i="121"/>
  <c r="L13" i="121"/>
  <c r="N13" i="121"/>
  <c r="K13" i="121"/>
  <c r="N28" i="121"/>
  <c r="L28" i="121"/>
  <c r="M28" i="121"/>
  <c r="K28" i="121"/>
  <c r="AA40" i="121"/>
  <c r="K31" i="121"/>
  <c r="N31" i="121"/>
  <c r="M31" i="121"/>
  <c r="L31" i="121"/>
  <c r="L36" i="122"/>
  <c r="N36" i="122"/>
  <c r="M36" i="122"/>
  <c r="M20" i="122"/>
  <c r="N20" i="122"/>
  <c r="L20" i="122"/>
  <c r="AA40" i="122"/>
  <c r="M26" i="122"/>
  <c r="N26" i="122"/>
  <c r="L26" i="122"/>
  <c r="K26" i="122"/>
  <c r="M17" i="123"/>
  <c r="N17" i="123"/>
  <c r="L17" i="123"/>
  <c r="M23" i="123"/>
  <c r="L23" i="123"/>
  <c r="N23" i="123"/>
  <c r="N27" i="123"/>
  <c r="M27" i="123"/>
  <c r="K27" i="123"/>
  <c r="L27" i="123"/>
  <c r="N22" i="115"/>
  <c r="M22" i="115"/>
  <c r="L22" i="115"/>
  <c r="L31" i="117"/>
  <c r="N31" i="117"/>
  <c r="K31" i="117"/>
  <c r="M31" i="117"/>
  <c r="M15" i="117"/>
  <c r="L15" i="117"/>
  <c r="K15" i="117" s="1"/>
  <c r="N15" i="117"/>
  <c r="M28" i="118"/>
  <c r="N28" i="118"/>
  <c r="L28" i="118"/>
  <c r="K28" i="118" s="1"/>
  <c r="L26" i="121"/>
  <c r="M26" i="121"/>
  <c r="K26" i="121" s="1"/>
  <c r="N26" i="121"/>
  <c r="N11" i="123"/>
  <c r="M11" i="123"/>
  <c r="L11" i="123"/>
  <c r="L19" i="123"/>
  <c r="N19" i="123"/>
  <c r="M19" i="123"/>
  <c r="N10" i="117"/>
  <c r="L10" i="117"/>
  <c r="M10" i="117"/>
  <c r="N29" i="122"/>
  <c r="M29" i="122"/>
  <c r="L29" i="122"/>
  <c r="L31" i="123"/>
  <c r="K31" i="123"/>
  <c r="M31" i="123"/>
  <c r="N31" i="123"/>
  <c r="L11" i="121"/>
  <c r="K11" i="121" s="1"/>
  <c r="M11" i="121"/>
  <c r="N11" i="121"/>
  <c r="L17" i="119"/>
  <c r="N17" i="119"/>
  <c r="M17" i="119"/>
  <c r="N13" i="123"/>
  <c r="M13" i="123"/>
  <c r="L13" i="123"/>
  <c r="L11" i="122"/>
  <c r="M11" i="122"/>
  <c r="N11" i="122"/>
  <c r="N27" i="119"/>
  <c r="M27" i="119"/>
  <c r="K27" i="119"/>
  <c r="L27" i="119"/>
  <c r="M9" i="119"/>
  <c r="K9" i="119" s="1"/>
  <c r="L9" i="119"/>
  <c r="N9" i="119"/>
  <c r="M10" i="119"/>
  <c r="L10" i="119"/>
  <c r="N10" i="119"/>
  <c r="N21" i="122"/>
  <c r="M21" i="122"/>
  <c r="L21" i="122"/>
  <c r="M18" i="119"/>
  <c r="L18" i="119"/>
  <c r="N18" i="119"/>
  <c r="L24" i="117"/>
  <c r="K24" i="117" s="1"/>
  <c r="N24" i="117"/>
  <c r="M24" i="117"/>
  <c r="L20" i="121"/>
  <c r="K20" i="121" s="1"/>
  <c r="M20" i="121"/>
  <c r="N20" i="121"/>
  <c r="L21" i="121"/>
  <c r="K21" i="121" s="1"/>
  <c r="N21" i="121"/>
  <c r="M21" i="121"/>
  <c r="N12" i="122"/>
  <c r="M12" i="122"/>
  <c r="L12" i="122"/>
  <c r="K12" i="122" s="1"/>
  <c r="K27" i="120"/>
  <c r="M27" i="120"/>
  <c r="L27" i="120"/>
  <c r="N27" i="120"/>
  <c r="N25" i="120"/>
  <c r="M25" i="120"/>
  <c r="L25" i="120"/>
  <c r="K25" i="120" s="1"/>
  <c r="N30" i="115"/>
  <c r="L30" i="115"/>
  <c r="M30" i="115"/>
  <c r="K30" i="115" s="1"/>
  <c r="L18" i="118"/>
  <c r="M18" i="118"/>
  <c r="N18" i="118"/>
  <c r="M20" i="116"/>
  <c r="L20" i="116"/>
  <c r="N20" i="116"/>
  <c r="N30" i="116"/>
  <c r="L30" i="116"/>
  <c r="M30" i="116"/>
  <c r="L21" i="116"/>
  <c r="M21" i="116"/>
  <c r="N21" i="116"/>
  <c r="L23" i="116"/>
  <c r="M23" i="116"/>
  <c r="N23" i="116"/>
  <c r="L26" i="116"/>
  <c r="N26" i="116"/>
  <c r="M26" i="116"/>
  <c r="L7" i="116"/>
  <c r="M7" i="116"/>
  <c r="N7" i="116"/>
  <c r="J40" i="116"/>
  <c r="L34" i="115"/>
  <c r="N34" i="115"/>
  <c r="K34" i="115"/>
  <c r="M34" i="115"/>
  <c r="N23" i="115"/>
  <c r="L23" i="115"/>
  <c r="M23" i="115"/>
  <c r="N12" i="115"/>
  <c r="L12" i="115"/>
  <c r="M12" i="115"/>
  <c r="N14" i="115"/>
  <c r="L14" i="115"/>
  <c r="M14" i="115"/>
  <c r="K14" i="115"/>
  <c r="AB40" i="115"/>
  <c r="N33" i="115"/>
  <c r="L33" i="115"/>
  <c r="M33" i="115"/>
  <c r="L35" i="115"/>
  <c r="K35" i="115" s="1"/>
  <c r="N35" i="115"/>
  <c r="M35" i="115"/>
  <c r="N26" i="115"/>
  <c r="M26" i="115"/>
  <c r="L26" i="115"/>
  <c r="K26" i="115" s="1"/>
  <c r="N16" i="115"/>
  <c r="L16" i="115"/>
  <c r="M16" i="115"/>
  <c r="K16" i="115" s="1"/>
  <c r="J40" i="117"/>
  <c r="M7" i="117"/>
  <c r="L7" i="117"/>
  <c r="K7" i="117" s="1"/>
  <c r="N7" i="117"/>
  <c r="L16" i="117"/>
  <c r="N16" i="117"/>
  <c r="M16" i="117"/>
  <c r="K16" i="117" s="1"/>
  <c r="N20" i="117"/>
  <c r="M20" i="117"/>
  <c r="L20" i="117"/>
  <c r="K20" i="117" s="1"/>
  <c r="N26" i="117"/>
  <c r="M26" i="117"/>
  <c r="L26" i="117"/>
  <c r="K26" i="117" s="1"/>
  <c r="M24" i="118"/>
  <c r="N24" i="118"/>
  <c r="L24" i="118"/>
  <c r="AA40" i="118"/>
  <c r="K34" i="118"/>
  <c r="N34" i="118"/>
  <c r="L34" i="118"/>
  <c r="M34" i="118"/>
  <c r="K27" i="118"/>
  <c r="M27" i="118"/>
  <c r="L27" i="118"/>
  <c r="N27" i="118"/>
  <c r="AB40" i="119"/>
  <c r="N30" i="119"/>
  <c r="L30" i="119"/>
  <c r="M30" i="119"/>
  <c r="N26" i="120"/>
  <c r="L26" i="120"/>
  <c r="M26" i="120"/>
  <c r="N20" i="120"/>
  <c r="L20" i="120"/>
  <c r="M20" i="120"/>
  <c r="L13" i="120"/>
  <c r="M13" i="120"/>
  <c r="N13" i="120"/>
  <c r="L16" i="120"/>
  <c r="M16" i="120"/>
  <c r="N16" i="120"/>
  <c r="N19" i="120"/>
  <c r="M19" i="120"/>
  <c r="L19" i="120"/>
  <c r="L11" i="120"/>
  <c r="M11" i="120"/>
  <c r="N11" i="120"/>
  <c r="N8" i="120"/>
  <c r="L8" i="120"/>
  <c r="M8" i="120"/>
  <c r="L33" i="121"/>
  <c r="M33" i="121"/>
  <c r="N33" i="121"/>
  <c r="M10" i="121"/>
  <c r="L10" i="121"/>
  <c r="N10" i="121"/>
  <c r="O40" i="121"/>
  <c r="M8" i="121"/>
  <c r="L8" i="121"/>
  <c r="N8" i="121"/>
  <c r="K8" i="121"/>
  <c r="L22" i="121"/>
  <c r="M22" i="121"/>
  <c r="N22" i="121"/>
  <c r="K22" i="121"/>
  <c r="N25" i="121"/>
  <c r="L25" i="121"/>
  <c r="M25" i="121"/>
  <c r="N35" i="121"/>
  <c r="L35" i="121"/>
  <c r="M35" i="121"/>
  <c r="N31" i="122"/>
  <c r="M31" i="122"/>
  <c r="K31" i="122"/>
  <c r="L31" i="122"/>
  <c r="AB40" i="122"/>
  <c r="M19" i="122"/>
  <c r="L19" i="122"/>
  <c r="N19" i="122"/>
  <c r="N33" i="122"/>
  <c r="M33" i="122"/>
  <c r="L33" i="122"/>
  <c r="L28" i="122"/>
  <c r="N28" i="122"/>
  <c r="M28" i="122"/>
  <c r="N10" i="122"/>
  <c r="L10" i="122"/>
  <c r="M10" i="122"/>
  <c r="AA40" i="123"/>
  <c r="M8" i="123"/>
  <c r="N8" i="123"/>
  <c r="L8" i="123"/>
  <c r="N20" i="123"/>
  <c r="L20" i="123"/>
  <c r="M20" i="123"/>
  <c r="N26" i="123"/>
  <c r="M26" i="123"/>
  <c r="L26" i="123"/>
  <c r="AB40" i="120"/>
  <c r="N32" i="120"/>
  <c r="L32" i="120"/>
  <c r="K32" i="120" s="1"/>
  <c r="M32" i="120"/>
  <c r="M28" i="123"/>
  <c r="N28" i="123"/>
  <c r="L28" i="123"/>
  <c r="L30" i="123"/>
  <c r="N30" i="123"/>
  <c r="M30" i="123"/>
  <c r="M32" i="119"/>
  <c r="N32" i="119"/>
  <c r="L32" i="119"/>
  <c r="K32" i="119"/>
  <c r="N36" i="117"/>
  <c r="M36" i="117"/>
  <c r="L36" i="117"/>
  <c r="L8" i="117"/>
  <c r="K8" i="117" s="1"/>
  <c r="M8" i="117"/>
  <c r="N8" i="117"/>
  <c r="L21" i="119"/>
  <c r="M21" i="119"/>
  <c r="N21" i="119"/>
  <c r="M22" i="120"/>
  <c r="L22" i="120"/>
  <c r="N22" i="120"/>
  <c r="L33" i="117"/>
  <c r="N33" i="117"/>
  <c r="K33" i="117" s="1"/>
  <c r="M33" i="117"/>
  <c r="N8" i="119"/>
  <c r="M8" i="119"/>
  <c r="L8" i="119"/>
  <c r="L25" i="117"/>
  <c r="N25" i="117"/>
  <c r="M25" i="117"/>
  <c r="M10" i="123"/>
  <c r="L10" i="123"/>
  <c r="N10" i="123"/>
  <c r="N15" i="119"/>
  <c r="M15" i="119"/>
  <c r="L15" i="119"/>
  <c r="K15" i="119"/>
  <c r="L32" i="122"/>
  <c r="N32" i="122"/>
  <c r="M32" i="122"/>
  <c r="N29" i="115"/>
  <c r="L29" i="115"/>
  <c r="M29" i="115"/>
  <c r="M14" i="120"/>
  <c r="N14" i="120"/>
  <c r="L14" i="120"/>
  <c r="K14" i="120"/>
  <c r="L12" i="120"/>
  <c r="N12" i="120"/>
  <c r="M12" i="120"/>
  <c r="L32" i="115"/>
  <c r="N32" i="115"/>
  <c r="M32" i="115"/>
  <c r="N9" i="120"/>
  <c r="L9" i="120"/>
  <c r="K9" i="120" s="1"/>
  <c r="M9" i="120"/>
  <c r="N22" i="123"/>
  <c r="M22" i="123"/>
  <c r="L22" i="123"/>
  <c r="N18" i="115"/>
  <c r="M18" i="115"/>
  <c r="K18" i="115" s="1"/>
  <c r="L18" i="115"/>
  <c r="L30" i="117"/>
  <c r="N30" i="117"/>
  <c r="M30" i="117"/>
  <c r="N22" i="117"/>
  <c r="M22" i="117"/>
  <c r="L22" i="117"/>
  <c r="K22" i="117" s="1"/>
  <c r="N15" i="118"/>
  <c r="M15" i="118"/>
  <c r="L15" i="118"/>
  <c r="K15" i="118"/>
  <c r="O40" i="123" l="1"/>
  <c r="K25" i="117"/>
  <c r="K33" i="121"/>
  <c r="K26" i="120"/>
  <c r="K30" i="119"/>
  <c r="K24" i="118"/>
  <c r="K23" i="115"/>
  <c r="K30" i="116"/>
  <c r="K10" i="119"/>
  <c r="K17" i="119"/>
  <c r="K29" i="122"/>
  <c r="K11" i="115"/>
  <c r="K19" i="117"/>
  <c r="K23" i="122"/>
  <c r="K25" i="119"/>
  <c r="K13" i="117"/>
  <c r="K9" i="122"/>
  <c r="K35" i="122"/>
  <c r="K23" i="120"/>
  <c r="K8" i="119"/>
  <c r="K16" i="116"/>
  <c r="K9" i="117"/>
  <c r="K29" i="121"/>
  <c r="K20" i="115"/>
  <c r="K19" i="118"/>
  <c r="K23" i="121"/>
  <c r="K36" i="116"/>
  <c r="K13" i="119"/>
  <c r="K29" i="119"/>
  <c r="K35" i="119"/>
  <c r="K24" i="116"/>
  <c r="K28" i="119"/>
  <c r="K28" i="115"/>
  <c r="K20" i="119"/>
  <c r="K29" i="118"/>
  <c r="K32" i="123"/>
  <c r="K30" i="123"/>
  <c r="K24" i="123"/>
  <c r="K10" i="123"/>
  <c r="K7" i="123"/>
  <c r="K28" i="123"/>
  <c r="K19" i="123"/>
  <c r="K35" i="123"/>
  <c r="K11" i="123"/>
  <c r="K18" i="123"/>
  <c r="K21" i="123"/>
  <c r="K36" i="123"/>
  <c r="K17" i="123"/>
  <c r="K8" i="123"/>
  <c r="K15" i="123"/>
  <c r="K9" i="123"/>
  <c r="K12" i="123"/>
  <c r="K21" i="119"/>
  <c r="K26" i="123"/>
  <c r="K33" i="122"/>
  <c r="K10" i="121"/>
  <c r="K11" i="120"/>
  <c r="K21" i="116"/>
  <c r="K11" i="122"/>
  <c r="K22" i="115"/>
  <c r="K23" i="123"/>
  <c r="K20" i="122"/>
  <c r="K32" i="118"/>
  <c r="K13" i="115"/>
  <c r="K35" i="116"/>
  <c r="K26" i="119"/>
  <c r="K16" i="122"/>
  <c r="K28" i="120"/>
  <c r="K21" i="120"/>
  <c r="K35" i="117"/>
  <c r="K15" i="122"/>
  <c r="K24" i="120"/>
  <c r="K19" i="115"/>
  <c r="K12" i="120"/>
  <c r="K8" i="120"/>
  <c r="N40" i="116"/>
  <c r="K20" i="116"/>
  <c r="K21" i="122"/>
  <c r="K13" i="123"/>
  <c r="K33" i="123"/>
  <c r="K25" i="123"/>
  <c r="K16" i="121"/>
  <c r="K32" i="115"/>
  <c r="K32" i="121"/>
  <c r="K16" i="123"/>
  <c r="K18" i="122"/>
  <c r="K9" i="115"/>
  <c r="K17" i="115"/>
  <c r="K33" i="119"/>
  <c r="K22" i="119"/>
  <c r="K22" i="123"/>
  <c r="K29" i="115"/>
  <c r="K20" i="123"/>
  <c r="K28" i="122"/>
  <c r="K35" i="121"/>
  <c r="K25" i="121"/>
  <c r="K19" i="120"/>
  <c r="K16" i="120"/>
  <c r="K20" i="120"/>
  <c r="K33" i="115"/>
  <c r="K12" i="115"/>
  <c r="K36" i="122"/>
  <c r="K11" i="118"/>
  <c r="K12" i="118"/>
  <c r="K17" i="117"/>
  <c r="K23" i="119"/>
  <c r="K25" i="118"/>
  <c r="K13" i="118"/>
  <c r="K29" i="123"/>
  <c r="K8" i="122"/>
  <c r="K18" i="121"/>
  <c r="K30" i="117"/>
  <c r="K22" i="120"/>
  <c r="K10" i="122"/>
  <c r="K19" i="122"/>
  <c r="L40" i="120"/>
  <c r="L40" i="117"/>
  <c r="L40" i="116"/>
  <c r="K18" i="118"/>
  <c r="K10" i="117"/>
  <c r="K36" i="119"/>
  <c r="M40" i="119"/>
  <c r="K26" i="118"/>
  <c r="K8" i="118"/>
  <c r="K23" i="117"/>
  <c r="K9" i="116"/>
  <c r="K8" i="115"/>
  <c r="K12" i="121"/>
  <c r="M40" i="118"/>
  <c r="K25" i="116"/>
  <c r="K30" i="118"/>
  <c r="K12" i="119"/>
  <c r="N40" i="121"/>
  <c r="K19" i="119"/>
  <c r="K9" i="118"/>
  <c r="K29" i="117"/>
  <c r="K24" i="115"/>
  <c r="N40" i="120"/>
  <c r="M40" i="117"/>
  <c r="M40" i="123"/>
  <c r="N40" i="118"/>
  <c r="M40" i="115"/>
  <c r="M40" i="121"/>
  <c r="K23" i="118"/>
  <c r="K10" i="115"/>
  <c r="K32" i="122"/>
  <c r="K36" i="117"/>
  <c r="K13" i="120"/>
  <c r="N40" i="117"/>
  <c r="M40" i="116"/>
  <c r="K23" i="116"/>
  <c r="K18" i="119"/>
  <c r="K30" i="120"/>
  <c r="N40" i="119"/>
  <c r="K32" i="117"/>
  <c r="K11" i="117"/>
  <c r="K18" i="117"/>
  <c r="L40" i="123"/>
  <c r="L40" i="122"/>
  <c r="K7" i="122"/>
  <c r="M40" i="122"/>
  <c r="K36" i="118"/>
  <c r="L40" i="118"/>
  <c r="K7" i="115"/>
  <c r="N40" i="115"/>
  <c r="K18" i="120"/>
  <c r="K13" i="122"/>
  <c r="K22" i="122"/>
  <c r="K17" i="118"/>
  <c r="M40" i="120"/>
  <c r="K40" i="117"/>
  <c r="K7" i="116"/>
  <c r="K26" i="116"/>
  <c r="K7" i="119"/>
  <c r="L40" i="119"/>
  <c r="N40" i="123"/>
  <c r="N40" i="122"/>
  <c r="K15" i="121"/>
  <c r="K33" i="118"/>
  <c r="K7" i="118"/>
  <c r="L40" i="115"/>
  <c r="K35" i="118"/>
  <c r="K25" i="122"/>
  <c r="L40" i="121"/>
  <c r="K20" i="118"/>
  <c r="K40" i="121" l="1"/>
  <c r="K40" i="119"/>
  <c r="K40" i="115"/>
  <c r="K40" i="123"/>
  <c r="K40" i="122"/>
  <c r="K40" i="120"/>
  <c r="K40" i="116"/>
  <c r="K40" i="118"/>
  <c r="O27" i="114" l="1"/>
  <c r="J14" i="114"/>
  <c r="O31" i="114"/>
  <c r="J21" i="114"/>
  <c r="AB13" i="113"/>
  <c r="O34" i="113"/>
  <c r="AB7" i="113"/>
  <c r="AA7" i="113"/>
  <c r="AB26" i="113"/>
  <c r="AA26" i="113"/>
  <c r="AB20" i="113"/>
  <c r="AA20" i="113"/>
  <c r="AB23" i="113"/>
  <c r="AA23" i="113"/>
  <c r="AB36" i="113"/>
  <c r="AA36" i="113"/>
  <c r="J10" i="113"/>
  <c r="AB10" i="113"/>
  <c r="J21" i="113"/>
  <c r="AA21" i="113"/>
  <c r="J29" i="113"/>
  <c r="AB29" i="113"/>
  <c r="AA29" i="113"/>
  <c r="J27" i="113"/>
  <c r="O27" i="113"/>
  <c r="J13" i="113"/>
  <c r="AA10" i="113"/>
  <c r="AA13" i="113"/>
  <c r="J20" i="113"/>
  <c r="AB21" i="113"/>
  <c r="J23" i="113"/>
  <c r="J26" i="113"/>
  <c r="J36" i="113"/>
  <c r="O29" i="113" l="1"/>
  <c r="O21" i="113"/>
  <c r="O20" i="113"/>
  <c r="O13" i="113"/>
  <c r="O21" i="114"/>
  <c r="O10" i="113"/>
  <c r="O36" i="113"/>
  <c r="O23" i="113"/>
  <c r="O7" i="113"/>
  <c r="O26" i="113"/>
  <c r="N29" i="113"/>
  <c r="L29" i="113"/>
  <c r="K29" i="113" s="1"/>
  <c r="M29" i="113"/>
  <c r="N21" i="114"/>
  <c r="M21" i="114"/>
  <c r="L21" i="114"/>
  <c r="N23" i="113"/>
  <c r="M23" i="113"/>
  <c r="L23" i="113"/>
  <c r="K23" i="113" s="1"/>
  <c r="N20" i="113"/>
  <c r="M20" i="113"/>
  <c r="L20" i="113"/>
  <c r="N10" i="113"/>
  <c r="M10" i="113"/>
  <c r="L10" i="113"/>
  <c r="N14" i="114"/>
  <c r="M14" i="114"/>
  <c r="K14" i="114"/>
  <c r="L14" i="114"/>
  <c r="N36" i="113"/>
  <c r="L36" i="113"/>
  <c r="M36" i="113"/>
  <c r="K36" i="113" s="1"/>
  <c r="N26" i="113"/>
  <c r="M26" i="113"/>
  <c r="L26" i="113"/>
  <c r="M27" i="113"/>
  <c r="N27" i="113"/>
  <c r="L27" i="113"/>
  <c r="K27" i="113"/>
  <c r="N21" i="113"/>
  <c r="L21" i="113"/>
  <c r="M21" i="113"/>
  <c r="N13" i="113"/>
  <c r="M13" i="113"/>
  <c r="L13" i="113"/>
  <c r="J35" i="114"/>
  <c r="AB15" i="113"/>
  <c r="AB27" i="113"/>
  <c r="J15" i="113"/>
  <c r="AA11" i="113"/>
  <c r="AA15" i="113"/>
  <c r="J18" i="113"/>
  <c r="AB11" i="113"/>
  <c r="AA18" i="113"/>
  <c r="AA27" i="113"/>
  <c r="J24" i="114"/>
  <c r="O14" i="114"/>
  <c r="J27" i="114"/>
  <c r="J32" i="114"/>
  <c r="J16" i="114"/>
  <c r="J11" i="114"/>
  <c r="J9" i="114"/>
  <c r="J31" i="114"/>
  <c r="AB35" i="114"/>
  <c r="AB28" i="114"/>
  <c r="AB14" i="114"/>
  <c r="J33" i="114"/>
  <c r="AB12" i="114"/>
  <c r="AB32" i="114"/>
  <c r="J17" i="114"/>
  <c r="AB31" i="114"/>
  <c r="J25" i="114"/>
  <c r="AA22" i="114"/>
  <c r="AA31" i="114"/>
  <c r="AB30" i="114"/>
  <c r="AA9" i="114"/>
  <c r="AA24" i="114"/>
  <c r="AA8" i="114"/>
  <c r="AA28" i="114"/>
  <c r="AA16" i="114"/>
  <c r="AA21" i="114"/>
  <c r="AA14" i="114"/>
  <c r="AB8" i="114"/>
  <c r="J12" i="114"/>
  <c r="AA12" i="114"/>
  <c r="J29" i="114"/>
  <c r="J8" i="114"/>
  <c r="J28" i="114"/>
  <c r="AB17" i="114"/>
  <c r="AB27" i="114"/>
  <c r="J22" i="114"/>
  <c r="AB22" i="114"/>
  <c r="O22" i="114"/>
  <c r="AA30" i="114"/>
  <c r="AA29" i="114"/>
  <c r="AA35" i="114"/>
  <c r="AA27" i="114"/>
  <c r="AB16" i="114"/>
  <c r="J30" i="114"/>
  <c r="AA32" i="114"/>
  <c r="AB24" i="114"/>
  <c r="AA11" i="114"/>
  <c r="AB29" i="114"/>
  <c r="AB25" i="114"/>
  <c r="AA25" i="114"/>
  <c r="AB11" i="114"/>
  <c r="AB33" i="114"/>
  <c r="AA33" i="114"/>
  <c r="AA17" i="114"/>
  <c r="AB9" i="114"/>
  <c r="AB13" i="114"/>
  <c r="AA13" i="114"/>
  <c r="J13" i="114"/>
  <c r="AB21" i="114"/>
  <c r="J19" i="114"/>
  <c r="AB19" i="114"/>
  <c r="AA19" i="114"/>
  <c r="AB34" i="114"/>
  <c r="AA34" i="114"/>
  <c r="J34" i="114"/>
  <c r="O34" i="114"/>
  <c r="AB18" i="114"/>
  <c r="AA18" i="114"/>
  <c r="J18" i="114"/>
  <c r="AB23" i="114"/>
  <c r="AA23" i="114"/>
  <c r="J23" i="114"/>
  <c r="AA20" i="114"/>
  <c r="J20" i="114"/>
  <c r="AB20" i="114"/>
  <c r="AB15" i="114"/>
  <c r="AA15" i="114"/>
  <c r="J15" i="114"/>
  <c r="AA10" i="114"/>
  <c r="J10" i="114"/>
  <c r="AB10" i="114"/>
  <c r="AA36" i="114"/>
  <c r="AB36" i="114"/>
  <c r="J36" i="114"/>
  <c r="AA26" i="114"/>
  <c r="J26" i="114"/>
  <c r="AB26" i="114"/>
  <c r="AA7" i="114"/>
  <c r="J7" i="114"/>
  <c r="AB7" i="114"/>
  <c r="J34" i="113"/>
  <c r="AB32" i="113"/>
  <c r="J32" i="113"/>
  <c r="AA34" i="113"/>
  <c r="AA32" i="113"/>
  <c r="AB18" i="113"/>
  <c r="AB34" i="113"/>
  <c r="J11" i="113"/>
  <c r="J8" i="113"/>
  <c r="AB8" i="113"/>
  <c r="AA8" i="113"/>
  <c r="J24" i="113"/>
  <c r="AB24" i="113"/>
  <c r="AA24" i="113"/>
  <c r="AB31" i="113"/>
  <c r="AA31" i="113"/>
  <c r="J31" i="113"/>
  <c r="O31" i="113"/>
  <c r="AA35" i="113"/>
  <c r="J35" i="113"/>
  <c r="AB35" i="113"/>
  <c r="AA19" i="113"/>
  <c r="J19" i="113"/>
  <c r="AB19" i="113"/>
  <c r="AB12" i="113"/>
  <c r="AA12" i="113"/>
  <c r="J12" i="113"/>
  <c r="AB14" i="113"/>
  <c r="AA14" i="113"/>
  <c r="J14" i="113"/>
  <c r="O14" i="113"/>
  <c r="J7" i="113"/>
  <c r="AA33" i="113"/>
  <c r="AB33" i="113"/>
  <c r="J33" i="113"/>
  <c r="J16" i="113"/>
  <c r="AB16" i="113"/>
  <c r="AA16" i="113"/>
  <c r="AB17" i="113"/>
  <c r="AA17" i="113"/>
  <c r="J17" i="113"/>
  <c r="AB9" i="113"/>
  <c r="AA9" i="113"/>
  <c r="J9" i="113"/>
  <c r="AA22" i="113"/>
  <c r="J22" i="113"/>
  <c r="AB22" i="113"/>
  <c r="J30" i="113"/>
  <c r="AA30" i="113"/>
  <c r="AB30" i="113"/>
  <c r="AB28" i="113"/>
  <c r="AA28" i="113"/>
  <c r="J28" i="113"/>
  <c r="AA25" i="113"/>
  <c r="AB25" i="113"/>
  <c r="J25" i="113"/>
  <c r="O22" i="113" l="1"/>
  <c r="O16" i="113"/>
  <c r="O7" i="114"/>
  <c r="O19" i="114"/>
  <c r="O16" i="114"/>
  <c r="O11" i="114"/>
  <c r="O17" i="114"/>
  <c r="O18" i="113"/>
  <c r="O17" i="113"/>
  <c r="O25" i="113"/>
  <c r="O30" i="113"/>
  <c r="O12" i="113"/>
  <c r="O20" i="114"/>
  <c r="O23" i="114"/>
  <c r="O12" i="114"/>
  <c r="O29" i="114"/>
  <c r="O30" i="114"/>
  <c r="O33" i="114"/>
  <c r="O32" i="114"/>
  <c r="O35" i="114"/>
  <c r="O11" i="113"/>
  <c r="O28" i="113"/>
  <c r="O9" i="113"/>
  <c r="O33" i="113"/>
  <c r="O19" i="113"/>
  <c r="O35" i="113"/>
  <c r="O36" i="114"/>
  <c r="O9" i="114"/>
  <c r="O28" i="114"/>
  <c r="O32" i="113"/>
  <c r="O24" i="113"/>
  <c r="O26" i="114"/>
  <c r="K21" i="113"/>
  <c r="K10" i="113"/>
  <c r="O10" i="114"/>
  <c r="O15" i="114"/>
  <c r="O18" i="114"/>
  <c r="O13" i="114"/>
  <c r="O8" i="114"/>
  <c r="O25" i="114"/>
  <c r="O15" i="113"/>
  <c r="O24" i="114"/>
  <c r="O8" i="113"/>
  <c r="AA40" i="113"/>
  <c r="AB40" i="113"/>
  <c r="K20" i="113"/>
  <c r="K26" i="113"/>
  <c r="O40" i="113"/>
  <c r="K21" i="114"/>
  <c r="N25" i="113"/>
  <c r="L25" i="113"/>
  <c r="M25" i="113"/>
  <c r="N22" i="113"/>
  <c r="L22" i="113"/>
  <c r="M22" i="113"/>
  <c r="M14" i="113"/>
  <c r="L14" i="113"/>
  <c r="K14" i="113"/>
  <c r="N14" i="113"/>
  <c r="M12" i="113"/>
  <c r="N12" i="113"/>
  <c r="L12" i="113"/>
  <c r="L31" i="113"/>
  <c r="M31" i="113"/>
  <c r="K31" i="113"/>
  <c r="N31" i="113"/>
  <c r="N8" i="113"/>
  <c r="L8" i="113"/>
  <c r="M8" i="113"/>
  <c r="M7" i="114"/>
  <c r="N7" i="114"/>
  <c r="L7" i="114"/>
  <c r="N10" i="114"/>
  <c r="L10" i="114"/>
  <c r="M10" i="114"/>
  <c r="N23" i="114"/>
  <c r="L23" i="114"/>
  <c r="M23" i="114"/>
  <c r="M34" i="114"/>
  <c r="N34" i="114"/>
  <c r="K34" i="114"/>
  <c r="L34" i="114"/>
  <c r="L30" i="114"/>
  <c r="M30" i="114"/>
  <c r="N30" i="114"/>
  <c r="M22" i="114"/>
  <c r="N22" i="114"/>
  <c r="L22" i="114"/>
  <c r="L28" i="114"/>
  <c r="M28" i="114"/>
  <c r="N28" i="114"/>
  <c r="L12" i="114"/>
  <c r="M12" i="114"/>
  <c r="N12" i="114"/>
  <c r="M33" i="114"/>
  <c r="N33" i="114"/>
  <c r="L33" i="114"/>
  <c r="N16" i="114"/>
  <c r="M16" i="114"/>
  <c r="L16" i="114"/>
  <c r="J40" i="114"/>
  <c r="L24" i="114"/>
  <c r="N24" i="114"/>
  <c r="M24" i="114"/>
  <c r="M30" i="113"/>
  <c r="N30" i="113"/>
  <c r="L30" i="113"/>
  <c r="M16" i="113"/>
  <c r="L16" i="113"/>
  <c r="N16" i="113"/>
  <c r="M19" i="113"/>
  <c r="L19" i="113"/>
  <c r="N19" i="113"/>
  <c r="M35" i="113"/>
  <c r="L35" i="113"/>
  <c r="N35" i="113"/>
  <c r="N24" i="113"/>
  <c r="M24" i="113"/>
  <c r="L24" i="113"/>
  <c r="N11" i="113"/>
  <c r="L11" i="113"/>
  <c r="M11" i="113"/>
  <c r="M34" i="113"/>
  <c r="L34" i="113"/>
  <c r="N34" i="113"/>
  <c r="K34" i="113"/>
  <c r="AA40" i="114"/>
  <c r="L20" i="114"/>
  <c r="M20" i="114"/>
  <c r="N20" i="114"/>
  <c r="N8" i="114"/>
  <c r="L8" i="114"/>
  <c r="M8" i="114"/>
  <c r="M25" i="114"/>
  <c r="N25" i="114"/>
  <c r="L25" i="114"/>
  <c r="L31" i="114"/>
  <c r="N31" i="114"/>
  <c r="K31" i="114"/>
  <c r="M31" i="114"/>
  <c r="L32" i="114"/>
  <c r="M32" i="114"/>
  <c r="N32" i="114"/>
  <c r="M27" i="114"/>
  <c r="L27" i="114"/>
  <c r="N27" i="114"/>
  <c r="K27" i="114"/>
  <c r="L18" i="113"/>
  <c r="N18" i="113"/>
  <c r="M18" i="113"/>
  <c r="N35" i="114"/>
  <c r="M35" i="114"/>
  <c r="L35" i="114"/>
  <c r="K35" i="114" s="1"/>
  <c r="L7" i="113"/>
  <c r="J40" i="113"/>
  <c r="M7" i="113"/>
  <c r="N7" i="113"/>
  <c r="N13" i="114"/>
  <c r="L13" i="114"/>
  <c r="M13" i="114"/>
  <c r="L29" i="114"/>
  <c r="M29" i="114"/>
  <c r="N29" i="114"/>
  <c r="M9" i="114"/>
  <c r="N9" i="114"/>
  <c r="L9" i="114"/>
  <c r="K13" i="113"/>
  <c r="L28" i="113"/>
  <c r="N28" i="113"/>
  <c r="M28" i="113"/>
  <c r="M9" i="113"/>
  <c r="N9" i="113"/>
  <c r="L9" i="113"/>
  <c r="K9" i="113" s="1"/>
  <c r="M17" i="113"/>
  <c r="N17" i="113"/>
  <c r="L17" i="113"/>
  <c r="L33" i="113"/>
  <c r="M33" i="113"/>
  <c r="N33" i="113"/>
  <c r="M32" i="113"/>
  <c r="N32" i="113"/>
  <c r="L32" i="113"/>
  <c r="AB40" i="114"/>
  <c r="M26" i="114"/>
  <c r="L26" i="114"/>
  <c r="N26" i="114"/>
  <c r="M36" i="114"/>
  <c r="N36" i="114"/>
  <c r="L36" i="114"/>
  <c r="N15" i="114"/>
  <c r="M15" i="114"/>
  <c r="L15" i="114"/>
  <c r="N18" i="114"/>
  <c r="M18" i="114"/>
  <c r="L18" i="114"/>
  <c r="N19" i="114"/>
  <c r="L19" i="114"/>
  <c r="M19" i="114"/>
  <c r="M17" i="114"/>
  <c r="N17" i="114"/>
  <c r="L17" i="114"/>
  <c r="M11" i="114"/>
  <c r="N11" i="114"/>
  <c r="L11" i="114"/>
  <c r="N15" i="113"/>
  <c r="L15" i="113"/>
  <c r="K15" i="113" s="1"/>
  <c r="M15" i="113"/>
  <c r="K15" i="114" l="1"/>
  <c r="K13" i="114"/>
  <c r="K16" i="114"/>
  <c r="K25" i="113"/>
  <c r="K26" i="114"/>
  <c r="K9" i="114"/>
  <c r="K29" i="114"/>
  <c r="K12" i="114"/>
  <c r="K36" i="114"/>
  <c r="K20" i="114"/>
  <c r="K19" i="113"/>
  <c r="K33" i="114"/>
  <c r="O40" i="114"/>
  <c r="K33" i="113"/>
  <c r="K16" i="113"/>
  <c r="K28" i="114"/>
  <c r="K10" i="114"/>
  <c r="K18" i="113"/>
  <c r="K32" i="114"/>
  <c r="K22" i="114"/>
  <c r="K23" i="114"/>
  <c r="K12" i="113"/>
  <c r="K22" i="113"/>
  <c r="K17" i="113"/>
  <c r="K7" i="113"/>
  <c r="K7" i="114"/>
  <c r="K8" i="113"/>
  <c r="K11" i="114"/>
  <c r="K19" i="114"/>
  <c r="L40" i="113"/>
  <c r="K8" i="114"/>
  <c r="K11" i="113"/>
  <c r="K24" i="113"/>
  <c r="K24" i="114"/>
  <c r="K18" i="114"/>
  <c r="K32" i="113"/>
  <c r="K28" i="113"/>
  <c r="N40" i="113"/>
  <c r="K25" i="114"/>
  <c r="K30" i="113"/>
  <c r="K30" i="114"/>
  <c r="M40" i="113"/>
  <c r="M40" i="114"/>
  <c r="L40" i="114"/>
  <c r="K17" i="114"/>
  <c r="K35" i="113"/>
  <c r="N40" i="114"/>
  <c r="K40" i="113" l="1"/>
  <c r="K40" i="114"/>
  <c r="O29" i="127" l="1"/>
  <c r="O29" i="88"/>
  <c r="O29" i="124" s="1"/>
  <c r="O24" i="88"/>
  <c r="O24" i="124" s="1"/>
  <c r="O24" i="127"/>
  <c r="O27" i="88"/>
  <c r="O27" i="124" s="1"/>
  <c r="O27" i="127"/>
  <c r="O28" i="88"/>
  <c r="O28" i="124" s="1"/>
  <c r="O28" i="127"/>
  <c r="O25" i="127"/>
  <c r="O25" i="88"/>
  <c r="O25" i="124" s="1"/>
  <c r="O11" i="127"/>
  <c r="O11" i="88"/>
  <c r="O11" i="124" s="1"/>
  <c r="O23" i="127"/>
  <c r="O23" i="88"/>
  <c r="O23" i="124" s="1"/>
  <c r="J34" i="127"/>
  <c r="J34" i="88"/>
  <c r="O12" i="127"/>
  <c r="O12" i="88"/>
  <c r="O12" i="124" s="1"/>
  <c r="O17" i="127"/>
  <c r="O17" i="88"/>
  <c r="O17" i="124" s="1"/>
  <c r="O15" i="127"/>
  <c r="O15" i="88"/>
  <c r="O15" i="124" s="1"/>
  <c r="O36" i="88"/>
  <c r="O36" i="124" s="1"/>
  <c r="O36" i="127"/>
  <c r="O9" i="127"/>
  <c r="O9" i="88"/>
  <c r="O9" i="124" s="1"/>
  <c r="O22" i="127"/>
  <c r="O22" i="88"/>
  <c r="O22" i="124" s="1"/>
  <c r="O34" i="127"/>
  <c r="O34" i="88"/>
  <c r="O34" i="124" s="1"/>
  <c r="O18" i="88"/>
  <c r="O18" i="124" s="1"/>
  <c r="O18" i="127"/>
  <c r="O30" i="127"/>
  <c r="O30" i="88"/>
  <c r="O30" i="124" s="1"/>
  <c r="O13" i="88"/>
  <c r="O13" i="124" s="1"/>
  <c r="O13" i="127"/>
  <c r="O32" i="127"/>
  <c r="O32" i="88"/>
  <c r="O32" i="124" s="1"/>
  <c r="O21" i="127"/>
  <c r="O21" i="88"/>
  <c r="O21" i="124" s="1"/>
  <c r="O10" i="88"/>
  <c r="O10" i="124" s="1"/>
  <c r="O10" i="127"/>
  <c r="O19" i="127"/>
  <c r="O19" i="88"/>
  <c r="O19" i="124" s="1"/>
  <c r="O16" i="88"/>
  <c r="O16" i="124" s="1"/>
  <c r="O16" i="127"/>
  <c r="O26" i="127"/>
  <c r="O26" i="88"/>
  <c r="O26" i="124" s="1"/>
  <c r="J27" i="88"/>
  <c r="J27" i="127"/>
  <c r="M34" i="88" l="1"/>
  <c r="M34" i="124" s="1"/>
  <c r="J34" i="124"/>
  <c r="L34" i="88"/>
  <c r="L34" i="124" s="1"/>
  <c r="K34" i="88"/>
  <c r="N34" i="88"/>
  <c r="N34" i="124" s="1"/>
  <c r="O33" i="127"/>
  <c r="O33" i="88"/>
  <c r="O33" i="124" s="1"/>
  <c r="L34" i="127"/>
  <c r="M34" i="127"/>
  <c r="K34" i="127"/>
  <c r="H34" i="127" s="1"/>
  <c r="N34" i="127"/>
  <c r="K27" i="127"/>
  <c r="H27" i="127" s="1"/>
  <c r="L27" i="127"/>
  <c r="N27" i="127"/>
  <c r="M27" i="127"/>
  <c r="L27" i="88"/>
  <c r="L27" i="124" s="1"/>
  <c r="N27" i="88"/>
  <c r="N27" i="124" s="1"/>
  <c r="K27" i="88"/>
  <c r="M27" i="88"/>
  <c r="M27" i="124" s="1"/>
  <c r="J27" i="124"/>
  <c r="O20" i="88" l="1"/>
  <c r="O20" i="124" s="1"/>
  <c r="O20" i="127"/>
  <c r="K34" i="124"/>
  <c r="H34" i="132" s="1"/>
  <c r="K27" i="124"/>
  <c r="H27" i="132" s="1"/>
  <c r="AB9" i="127" l="1"/>
  <c r="AB9" i="88"/>
  <c r="AB9" i="124" s="1"/>
  <c r="AB11" i="127"/>
  <c r="AB11" i="88"/>
  <c r="AB11" i="124" s="1"/>
  <c r="J17" i="127"/>
  <c r="J17" i="88"/>
  <c r="AB20" i="88"/>
  <c r="AB20" i="124" s="1"/>
  <c r="AB20" i="127"/>
  <c r="AB23" i="127"/>
  <c r="AB23" i="88"/>
  <c r="AB23" i="124" s="1"/>
  <c r="J25" i="127"/>
  <c r="J25" i="88"/>
  <c r="AA26" i="127"/>
  <c r="AA26" i="88"/>
  <c r="AA26" i="124" s="1"/>
  <c r="AB27" i="88"/>
  <c r="AB27" i="124" s="1"/>
  <c r="AB27" i="127"/>
  <c r="AB16" i="88"/>
  <c r="AB16" i="124" s="1"/>
  <c r="AB16" i="127"/>
  <c r="AA17" i="127"/>
  <c r="AA17" i="88"/>
  <c r="AA17" i="124" s="1"/>
  <c r="AB22" i="127"/>
  <c r="AB22" i="88"/>
  <c r="AB22" i="124" s="1"/>
  <c r="AA25" i="127"/>
  <c r="AA25" i="88"/>
  <c r="AA25" i="124" s="1"/>
  <c r="AB26" i="88"/>
  <c r="AB26" i="124" s="1"/>
  <c r="AB26" i="127"/>
  <c r="AB30" i="127"/>
  <c r="AB30" i="88"/>
  <c r="AB30" i="124" s="1"/>
  <c r="AB32" i="127"/>
  <c r="AB32" i="88"/>
  <c r="AB32" i="124" s="1"/>
  <c r="AA9" i="127"/>
  <c r="AA9" i="88"/>
  <c r="AA9" i="124" s="1"/>
  <c r="AB12" i="127"/>
  <c r="AB12" i="88"/>
  <c r="AB12" i="124" s="1"/>
  <c r="J9" i="127"/>
  <c r="J9" i="88"/>
  <c r="AB13" i="127"/>
  <c r="AB13" i="88"/>
  <c r="AB13" i="124" s="1"/>
  <c r="AB15" i="127"/>
  <c r="AB15" i="88"/>
  <c r="AB15" i="124" s="1"/>
  <c r="AB17" i="88"/>
  <c r="AB17" i="124" s="1"/>
  <c r="AB17" i="127"/>
  <c r="AB19" i="127"/>
  <c r="AB19" i="88"/>
  <c r="AB19" i="124" s="1"/>
  <c r="AB24" i="127"/>
  <c r="AB24" i="88"/>
  <c r="AB24" i="124" s="1"/>
  <c r="AB25" i="127"/>
  <c r="AB25" i="88"/>
  <c r="AB25" i="124" s="1"/>
  <c r="AB29" i="127"/>
  <c r="AB29" i="88"/>
  <c r="AB29" i="124" s="1"/>
  <c r="AB21" i="88"/>
  <c r="AB21" i="124" s="1"/>
  <c r="AB21" i="127"/>
  <c r="AB28" i="127"/>
  <c r="AB28" i="88"/>
  <c r="AB28" i="124" s="1"/>
  <c r="J36" i="127"/>
  <c r="J36" i="88"/>
  <c r="AA33" i="88" l="1"/>
  <c r="AA33" i="124" s="1"/>
  <c r="AA33" i="127"/>
  <c r="J22" i="127"/>
  <c r="J22" i="88"/>
  <c r="AA30" i="88"/>
  <c r="AA30" i="124" s="1"/>
  <c r="AA30" i="127"/>
  <c r="J16" i="127"/>
  <c r="J16" i="88"/>
  <c r="AA10" i="88"/>
  <c r="AA10" i="124" s="1"/>
  <c r="AA10" i="127"/>
  <c r="J33" i="127"/>
  <c r="J33" i="88"/>
  <c r="J23" i="127"/>
  <c r="J23" i="88"/>
  <c r="J19" i="127"/>
  <c r="J19" i="88"/>
  <c r="AA29" i="88"/>
  <c r="AA29" i="124" s="1"/>
  <c r="AA29" i="127"/>
  <c r="J15" i="127"/>
  <c r="J15" i="88"/>
  <c r="AA34" i="88"/>
  <c r="AA34" i="124" s="1"/>
  <c r="AA34" i="127"/>
  <c r="J10" i="127"/>
  <c r="J10" i="88"/>
  <c r="L36" i="88"/>
  <c r="L36" i="124" s="1"/>
  <c r="J36" i="124"/>
  <c r="N36" i="88"/>
  <c r="N36" i="124" s="1"/>
  <c r="M36" i="88"/>
  <c r="M36" i="124" s="1"/>
  <c r="N9" i="88"/>
  <c r="N9" i="124" s="1"/>
  <c r="J9" i="124"/>
  <c r="L9" i="88"/>
  <c r="L9" i="124" s="1"/>
  <c r="M9" i="88"/>
  <c r="M9" i="124" s="1"/>
  <c r="M25" i="88"/>
  <c r="M25" i="124" s="1"/>
  <c r="N25" i="88"/>
  <c r="N25" i="124" s="1"/>
  <c r="L25" i="88"/>
  <c r="L25" i="124" s="1"/>
  <c r="J25" i="124"/>
  <c r="J32" i="127"/>
  <c r="J32" i="88"/>
  <c r="J21" i="127"/>
  <c r="J21" i="88"/>
  <c r="AB36" i="127"/>
  <c r="AB36" i="88"/>
  <c r="AB36" i="124" s="1"/>
  <c r="AA27" i="88"/>
  <c r="AA27" i="124" s="1"/>
  <c r="AA27" i="127"/>
  <c r="J12" i="127"/>
  <c r="J12" i="88"/>
  <c r="AA24" i="88"/>
  <c r="AA24" i="124" s="1"/>
  <c r="AA24" i="127"/>
  <c r="AA22" i="88"/>
  <c r="AA22" i="124" s="1"/>
  <c r="AA22" i="127"/>
  <c r="AA20" i="88"/>
  <c r="AA20" i="124" s="1"/>
  <c r="AA20" i="127"/>
  <c r="AA18" i="127"/>
  <c r="AA18" i="88"/>
  <c r="AA18" i="124" s="1"/>
  <c r="AB34" i="88"/>
  <c r="AB34" i="124" s="1"/>
  <c r="AB34" i="127"/>
  <c r="J29" i="88"/>
  <c r="J29" i="127"/>
  <c r="AA16" i="127"/>
  <c r="AA16" i="88"/>
  <c r="AA16" i="124" s="1"/>
  <c r="AA13" i="127"/>
  <c r="AA13" i="88"/>
  <c r="AA13" i="124" s="1"/>
  <c r="AA11" i="127"/>
  <c r="AA11" i="88"/>
  <c r="AA11" i="124" s="1"/>
  <c r="AB18" i="88"/>
  <c r="AB18" i="124" s="1"/>
  <c r="AB18" i="127"/>
  <c r="N36" i="127"/>
  <c r="M36" i="127"/>
  <c r="L36" i="127"/>
  <c r="K36" i="127" s="1"/>
  <c r="H36" i="127" s="1"/>
  <c r="L9" i="127"/>
  <c r="K9" i="127" s="1"/>
  <c r="H9" i="127" s="1"/>
  <c r="M9" i="127"/>
  <c r="N9" i="127"/>
  <c r="N25" i="127"/>
  <c r="M25" i="127"/>
  <c r="L25" i="127"/>
  <c r="J24" i="88"/>
  <c r="J24" i="127"/>
  <c r="J18" i="88"/>
  <c r="J18" i="127"/>
  <c r="J13" i="88"/>
  <c r="J13" i="127"/>
  <c r="J17" i="124"/>
  <c r="L17" i="88"/>
  <c r="L17" i="124" s="1"/>
  <c r="N17" i="88"/>
  <c r="N17" i="124" s="1"/>
  <c r="M17" i="88"/>
  <c r="M17" i="124" s="1"/>
  <c r="J20" i="127"/>
  <c r="J20" i="88"/>
  <c r="AA28" i="127"/>
  <c r="AA28" i="88"/>
  <c r="AA28" i="124" s="1"/>
  <c r="J11" i="127"/>
  <c r="J11" i="88"/>
  <c r="AB33" i="88"/>
  <c r="AB33" i="124" s="1"/>
  <c r="AB33" i="127"/>
  <c r="AA32" i="88"/>
  <c r="AA32" i="124" s="1"/>
  <c r="AA32" i="127"/>
  <c r="AA23" i="127"/>
  <c r="AA23" i="88"/>
  <c r="AA23" i="124" s="1"/>
  <c r="AA21" i="88"/>
  <c r="AA21" i="124" s="1"/>
  <c r="AA21" i="127"/>
  <c r="AA19" i="88"/>
  <c r="AA19" i="124" s="1"/>
  <c r="AA19" i="127"/>
  <c r="J26" i="127"/>
  <c r="J26" i="88"/>
  <c r="J30" i="127"/>
  <c r="J30" i="88"/>
  <c r="J28" i="88"/>
  <c r="J28" i="127"/>
  <c r="AA15" i="88"/>
  <c r="AA15" i="124" s="1"/>
  <c r="AA15" i="127"/>
  <c r="AA12" i="88"/>
  <c r="AA12" i="124" s="1"/>
  <c r="AA12" i="127"/>
  <c r="AA36" i="88"/>
  <c r="AA36" i="124" s="1"/>
  <c r="AA36" i="127"/>
  <c r="AB10" i="127"/>
  <c r="AB10" i="88"/>
  <c r="AB10" i="124" s="1"/>
  <c r="N17" i="127"/>
  <c r="L17" i="127"/>
  <c r="M17" i="127"/>
  <c r="K17" i="127" l="1"/>
  <c r="H17" i="127" s="1"/>
  <c r="O8" i="88"/>
  <c r="O8" i="124" s="1"/>
  <c r="O8" i="127"/>
  <c r="J28" i="124"/>
  <c r="N28" i="88"/>
  <c r="N28" i="124" s="1"/>
  <c r="M28" i="88"/>
  <c r="M28" i="124" s="1"/>
  <c r="L28" i="88"/>
  <c r="L28" i="124" s="1"/>
  <c r="L26" i="127"/>
  <c r="M26" i="127"/>
  <c r="N26" i="127"/>
  <c r="M11" i="127"/>
  <c r="L11" i="127"/>
  <c r="N11" i="127"/>
  <c r="N20" i="127"/>
  <c r="M20" i="127"/>
  <c r="L20" i="127"/>
  <c r="N18" i="127"/>
  <c r="L18" i="127"/>
  <c r="K18" i="127" s="1"/>
  <c r="H18" i="127" s="1"/>
  <c r="M18" i="127"/>
  <c r="K25" i="127"/>
  <c r="H25" i="127" s="1"/>
  <c r="M29" i="88"/>
  <c r="M29" i="124" s="1"/>
  <c r="J29" i="124"/>
  <c r="L29" i="88"/>
  <c r="L29" i="124" s="1"/>
  <c r="N29" i="88"/>
  <c r="N29" i="124" s="1"/>
  <c r="L12" i="127"/>
  <c r="N12" i="127"/>
  <c r="M12" i="127"/>
  <c r="L32" i="127"/>
  <c r="M32" i="127"/>
  <c r="N32" i="127"/>
  <c r="K36" i="88"/>
  <c r="H36" i="88" s="1"/>
  <c r="N10" i="88"/>
  <c r="N10" i="124" s="1"/>
  <c r="L10" i="88"/>
  <c r="L10" i="124" s="1"/>
  <c r="M10" i="88"/>
  <c r="M10" i="124" s="1"/>
  <c r="J10" i="124"/>
  <c r="N15" i="88"/>
  <c r="N15" i="124" s="1"/>
  <c r="M15" i="88"/>
  <c r="M15" i="124" s="1"/>
  <c r="J15" i="124"/>
  <c r="L15" i="88"/>
  <c r="L15" i="124" s="1"/>
  <c r="L19" i="88"/>
  <c r="L19" i="124" s="1"/>
  <c r="N19" i="88"/>
  <c r="N19" i="124" s="1"/>
  <c r="M19" i="88"/>
  <c r="M19" i="124" s="1"/>
  <c r="J19" i="124"/>
  <c r="J33" i="124"/>
  <c r="L33" i="88"/>
  <c r="L33" i="124" s="1"/>
  <c r="M33" i="88"/>
  <c r="M33" i="124" s="1"/>
  <c r="N33" i="88"/>
  <c r="N33" i="124" s="1"/>
  <c r="J16" i="124"/>
  <c r="N16" i="88"/>
  <c r="N16" i="124" s="1"/>
  <c r="M16" i="88"/>
  <c r="M16" i="124" s="1"/>
  <c r="L16" i="88"/>
  <c r="L16" i="124" s="1"/>
  <c r="M22" i="88"/>
  <c r="M22" i="124" s="1"/>
  <c r="J22" i="124"/>
  <c r="L22" i="88"/>
  <c r="L22" i="124" s="1"/>
  <c r="N22" i="88"/>
  <c r="N22" i="124" s="1"/>
  <c r="J26" i="124"/>
  <c r="N26" i="88"/>
  <c r="N26" i="124" s="1"/>
  <c r="M26" i="88"/>
  <c r="M26" i="124" s="1"/>
  <c r="L26" i="88"/>
  <c r="L26" i="124" s="1"/>
  <c r="AA8" i="88"/>
  <c r="AA8" i="124" s="1"/>
  <c r="AA8" i="127"/>
  <c r="AB8" i="88"/>
  <c r="AB8" i="124" s="1"/>
  <c r="AB8" i="127"/>
  <c r="M30" i="88"/>
  <c r="M30" i="124" s="1"/>
  <c r="L30" i="88"/>
  <c r="L30" i="124" s="1"/>
  <c r="N30" i="88"/>
  <c r="N30" i="124" s="1"/>
  <c r="J30" i="124"/>
  <c r="K30" i="88"/>
  <c r="H30" i="88" s="1"/>
  <c r="K17" i="88"/>
  <c r="H17" i="88" s="1"/>
  <c r="M18" i="88"/>
  <c r="M18" i="124" s="1"/>
  <c r="L18" i="88"/>
  <c r="L18" i="124" s="1"/>
  <c r="J18" i="124"/>
  <c r="N18" i="88"/>
  <c r="N18" i="124" s="1"/>
  <c r="K18" i="88"/>
  <c r="H18" i="88" s="1"/>
  <c r="L21" i="88"/>
  <c r="L21" i="124" s="1"/>
  <c r="J21" i="124"/>
  <c r="N21" i="88"/>
  <c r="N21" i="124" s="1"/>
  <c r="M21" i="88"/>
  <c r="M21" i="124" s="1"/>
  <c r="K25" i="88"/>
  <c r="H25" i="88" s="1"/>
  <c r="L10" i="127"/>
  <c r="M10" i="127"/>
  <c r="N10" i="127"/>
  <c r="K10" i="127" s="1"/>
  <c r="H10" i="127" s="1"/>
  <c r="L15" i="127"/>
  <c r="M15" i="127"/>
  <c r="N15" i="127"/>
  <c r="K15" i="127"/>
  <c r="H15" i="127" s="1"/>
  <c r="N19" i="127"/>
  <c r="M19" i="127"/>
  <c r="L19" i="127"/>
  <c r="M33" i="127"/>
  <c r="N33" i="127"/>
  <c r="L33" i="127"/>
  <c r="N16" i="127"/>
  <c r="L16" i="127"/>
  <c r="K16" i="127" s="1"/>
  <c r="H16" i="127" s="1"/>
  <c r="M16" i="127"/>
  <c r="N22" i="127"/>
  <c r="M22" i="127"/>
  <c r="L22" i="127"/>
  <c r="N30" i="127"/>
  <c r="L30" i="127"/>
  <c r="M30" i="127"/>
  <c r="N13" i="127"/>
  <c r="L13" i="127"/>
  <c r="M13" i="127"/>
  <c r="N24" i="127"/>
  <c r="L24" i="127"/>
  <c r="M24" i="127"/>
  <c r="K24" i="127" s="1"/>
  <c r="H24" i="127" s="1"/>
  <c r="L21" i="127"/>
  <c r="N21" i="127"/>
  <c r="M21" i="127"/>
  <c r="K9" i="88"/>
  <c r="H9" i="88" s="1"/>
  <c r="J23" i="124"/>
  <c r="M23" i="88"/>
  <c r="M23" i="124" s="1"/>
  <c r="N23" i="88"/>
  <c r="N23" i="124" s="1"/>
  <c r="L23" i="88"/>
  <c r="L23" i="124" s="1"/>
  <c r="J8" i="88"/>
  <c r="J8" i="127"/>
  <c r="M28" i="127"/>
  <c r="N28" i="127"/>
  <c r="L28" i="127"/>
  <c r="J11" i="124"/>
  <c r="N11" i="88"/>
  <c r="N11" i="124" s="1"/>
  <c r="M11" i="88"/>
  <c r="M11" i="124" s="1"/>
  <c r="L11" i="88"/>
  <c r="L11" i="124" s="1"/>
  <c r="L20" i="88"/>
  <c r="L20" i="124" s="1"/>
  <c r="M20" i="88"/>
  <c r="M20" i="124" s="1"/>
  <c r="J20" i="124"/>
  <c r="N20" i="88"/>
  <c r="N20" i="124" s="1"/>
  <c r="M13" i="88"/>
  <c r="M13" i="124" s="1"/>
  <c r="J13" i="124"/>
  <c r="L13" i="88"/>
  <c r="L13" i="124" s="1"/>
  <c r="N13" i="88"/>
  <c r="N13" i="124" s="1"/>
  <c r="N24" i="88"/>
  <c r="N24" i="124" s="1"/>
  <c r="M24" i="88"/>
  <c r="M24" i="124" s="1"/>
  <c r="J24" i="124"/>
  <c r="L24" i="88"/>
  <c r="L24" i="124" s="1"/>
  <c r="M29" i="127"/>
  <c r="L29" i="127"/>
  <c r="N29" i="127"/>
  <c r="L12" i="88"/>
  <c r="L12" i="124" s="1"/>
  <c r="N12" i="88"/>
  <c r="N12" i="124" s="1"/>
  <c r="M12" i="88"/>
  <c r="M12" i="124" s="1"/>
  <c r="J12" i="124"/>
  <c r="M32" i="88"/>
  <c r="M32" i="124" s="1"/>
  <c r="L32" i="88"/>
  <c r="L32" i="124" s="1"/>
  <c r="J32" i="124"/>
  <c r="N32" i="88"/>
  <c r="N32" i="124" s="1"/>
  <c r="L23" i="127"/>
  <c r="N23" i="127"/>
  <c r="M23" i="127"/>
  <c r="K12" i="88" l="1"/>
  <c r="H12" i="88" s="1"/>
  <c r="K28" i="127"/>
  <c r="H28" i="127" s="1"/>
  <c r="K21" i="127"/>
  <c r="H21" i="127" s="1"/>
  <c r="K30" i="127"/>
  <c r="H30" i="127" s="1"/>
  <c r="K33" i="127"/>
  <c r="H33" i="127" s="1"/>
  <c r="K29" i="127"/>
  <c r="H29" i="127" s="1"/>
  <c r="K19" i="127"/>
  <c r="H19" i="127" s="1"/>
  <c r="K12" i="127"/>
  <c r="H12" i="127" s="1"/>
  <c r="K20" i="127"/>
  <c r="H20" i="127" s="1"/>
  <c r="K11" i="127"/>
  <c r="H11" i="127" s="1"/>
  <c r="K22" i="127"/>
  <c r="H22" i="127" s="1"/>
  <c r="K32" i="127"/>
  <c r="H32" i="127" s="1"/>
  <c r="K33" i="88"/>
  <c r="H33" i="88" s="1"/>
  <c r="K19" i="88"/>
  <c r="H19" i="88" s="1"/>
  <c r="K29" i="88"/>
  <c r="H29" i="88" s="1"/>
  <c r="K26" i="127"/>
  <c r="H26" i="127" s="1"/>
  <c r="K12" i="124"/>
  <c r="K23" i="127"/>
  <c r="H23" i="127" s="1"/>
  <c r="K13" i="88"/>
  <c r="H13" i="88" s="1"/>
  <c r="K11" i="88"/>
  <c r="H11" i="88" s="1"/>
  <c r="J8" i="124"/>
  <c r="N8" i="88"/>
  <c r="N8" i="124" s="1"/>
  <c r="M8" i="88"/>
  <c r="M8" i="124" s="1"/>
  <c r="L8" i="88"/>
  <c r="L8" i="124" s="1"/>
  <c r="K8" i="88"/>
  <c r="H8" i="88" s="1"/>
  <c r="K13" i="127"/>
  <c r="H13" i="127" s="1"/>
  <c r="K21" i="88"/>
  <c r="H21" i="88" s="1"/>
  <c r="K18" i="124"/>
  <c r="K22" i="88"/>
  <c r="H22" i="88" s="1"/>
  <c r="K10" i="88"/>
  <c r="H10" i="88" s="1"/>
  <c r="K28" i="88"/>
  <c r="H28" i="88" s="1"/>
  <c r="K32" i="88"/>
  <c r="H32" i="88" s="1"/>
  <c r="K20" i="88"/>
  <c r="H20" i="88" s="1"/>
  <c r="K23" i="88"/>
  <c r="H23" i="88" s="1"/>
  <c r="K17" i="124"/>
  <c r="K9" i="124"/>
  <c r="K25" i="124"/>
  <c r="K30" i="124"/>
  <c r="K15" i="88"/>
  <c r="H15" i="88" s="1"/>
  <c r="K36" i="124"/>
  <c r="K24" i="88"/>
  <c r="H24" i="88" s="1"/>
  <c r="N8" i="127"/>
  <c r="M8" i="127"/>
  <c r="L8" i="127"/>
  <c r="K26" i="88"/>
  <c r="H26" i="88" s="1"/>
  <c r="K16" i="88"/>
  <c r="H16" i="88" s="1"/>
  <c r="K33" i="124"/>
  <c r="K19" i="124"/>
  <c r="K29" i="124"/>
  <c r="K8" i="127" l="1"/>
  <c r="H8" i="127" s="1"/>
  <c r="H29" i="124"/>
  <c r="H29" i="132"/>
  <c r="H33" i="124"/>
  <c r="H33" i="132"/>
  <c r="K24" i="124"/>
  <c r="H30" i="124"/>
  <c r="H30" i="132"/>
  <c r="H9" i="124"/>
  <c r="H9" i="132"/>
  <c r="K23" i="124"/>
  <c r="K10" i="124"/>
  <c r="K21" i="124"/>
  <c r="K13" i="124"/>
  <c r="H36" i="124"/>
  <c r="H36" i="132"/>
  <c r="K20" i="124"/>
  <c r="K22" i="124"/>
  <c r="H19" i="124"/>
  <c r="H19" i="132"/>
  <c r="K16" i="124"/>
  <c r="H17" i="124"/>
  <c r="H17" i="132"/>
  <c r="K32" i="124"/>
  <c r="H18" i="124"/>
  <c r="H18" i="132"/>
  <c r="K8" i="124"/>
  <c r="H12" i="124"/>
  <c r="H12" i="132"/>
  <c r="H25" i="124"/>
  <c r="H25" i="132"/>
  <c r="K26" i="124"/>
  <c r="K15" i="124"/>
  <c r="K28" i="124"/>
  <c r="K11" i="124"/>
  <c r="J7" i="127" l="1"/>
  <c r="J7" i="88"/>
  <c r="H21" i="124"/>
  <c r="H21" i="132"/>
  <c r="H23" i="124"/>
  <c r="H23" i="132"/>
  <c r="H8" i="124"/>
  <c r="H8" i="132"/>
  <c r="H32" i="124"/>
  <c r="H32" i="132"/>
  <c r="H16" i="124"/>
  <c r="H16" i="132"/>
  <c r="H22" i="124"/>
  <c r="H22" i="132"/>
  <c r="AB7" i="88"/>
  <c r="AB7" i="127"/>
  <c r="H11" i="124"/>
  <c r="H11" i="132"/>
  <c r="AA7" i="127"/>
  <c r="AA7" i="88"/>
  <c r="H26" i="124"/>
  <c r="H26" i="132"/>
  <c r="H20" i="124"/>
  <c r="H20" i="132"/>
  <c r="H15" i="124"/>
  <c r="H15" i="132"/>
  <c r="H28" i="124"/>
  <c r="H28" i="132"/>
  <c r="H13" i="124"/>
  <c r="H13" i="132"/>
  <c r="H10" i="124"/>
  <c r="H10" i="132"/>
  <c r="H24" i="124"/>
  <c r="H24" i="132"/>
  <c r="O7" i="88"/>
  <c r="O7" i="127"/>
  <c r="AA7" i="124" l="1"/>
  <c r="O7" i="124"/>
  <c r="AB7" i="124"/>
  <c r="L7" i="88"/>
  <c r="M7" i="88"/>
  <c r="J7" i="124"/>
  <c r="N7" i="88"/>
  <c r="K7" i="88"/>
  <c r="H7" i="88" s="1"/>
  <c r="N7" i="127"/>
  <c r="M7" i="127"/>
  <c r="L7" i="127"/>
  <c r="K7" i="127" l="1"/>
  <c r="H7" i="127" s="1"/>
  <c r="M7" i="124"/>
  <c r="L7" i="124"/>
  <c r="K7" i="124"/>
  <c r="N7" i="124"/>
  <c r="H7" i="124" l="1"/>
  <c r="H7" i="132"/>
  <c r="AB14" i="127" l="1"/>
  <c r="AB14" i="88"/>
  <c r="O31" i="88"/>
  <c r="O31" i="124" s="1"/>
  <c r="O31" i="127"/>
  <c r="O14" i="127"/>
  <c r="O14" i="88"/>
  <c r="AB31" i="127"/>
  <c r="AB31" i="88"/>
  <c r="AB31" i="124" s="1"/>
  <c r="J14" i="88"/>
  <c r="J14" i="127"/>
  <c r="AA14" i="88"/>
  <c r="AA14" i="127"/>
  <c r="J31" i="88"/>
  <c r="J31" i="127"/>
  <c r="AA31" i="88"/>
  <c r="AA31" i="124" s="1"/>
  <c r="AA31" i="127"/>
  <c r="AA14" i="124" l="1"/>
  <c r="M31" i="127"/>
  <c r="N31" i="127"/>
  <c r="K31" i="127"/>
  <c r="H31" i="127" s="1"/>
  <c r="L31" i="127"/>
  <c r="K14" i="127"/>
  <c r="L14" i="127"/>
  <c r="N14" i="127"/>
  <c r="M14" i="127"/>
  <c r="O14" i="124"/>
  <c r="AB14" i="124"/>
  <c r="M31" i="88"/>
  <c r="M31" i="124" s="1"/>
  <c r="K31" i="88"/>
  <c r="J31" i="124"/>
  <c r="N31" i="88"/>
  <c r="N31" i="124" s="1"/>
  <c r="L31" i="88"/>
  <c r="L31" i="124" s="1"/>
  <c r="L14" i="88"/>
  <c r="K14" i="88"/>
  <c r="N14" i="88"/>
  <c r="J14" i="124"/>
  <c r="M14" i="88"/>
  <c r="N14" i="124" l="1"/>
  <c r="H14" i="127"/>
  <c r="K14" i="124"/>
  <c r="M14" i="124"/>
  <c r="L14" i="124"/>
  <c r="K31" i="124"/>
  <c r="H31" i="132" s="1"/>
  <c r="AA35" i="127" l="1"/>
  <c r="AA40" i="127" s="1"/>
  <c r="AA35" i="88"/>
  <c r="J35" i="127"/>
  <c r="J35" i="88"/>
  <c r="O35" i="127"/>
  <c r="O40" i="127" s="1"/>
  <c r="O35" i="88"/>
  <c r="AB35" i="88"/>
  <c r="AB35" i="127"/>
  <c r="AB40" i="127" s="1"/>
  <c r="H14" i="132"/>
  <c r="M35" i="88" l="1"/>
  <c r="L35" i="88"/>
  <c r="J35" i="124"/>
  <c r="J40" i="124" s="1"/>
  <c r="N35" i="88"/>
  <c r="J40" i="88"/>
  <c r="AB35" i="124"/>
  <c r="AB40" i="124" s="1"/>
  <c r="AB40" i="88"/>
  <c r="N35" i="127"/>
  <c r="N40" i="127" s="1"/>
  <c r="M35" i="127"/>
  <c r="M40" i="127" s="1"/>
  <c r="L35" i="127"/>
  <c r="L40" i="127" s="1"/>
  <c r="J40" i="127"/>
  <c r="O35" i="124"/>
  <c r="O40" i="124" s="1"/>
  <c r="D13" i="131" s="1"/>
  <c r="F13" i="131" s="1"/>
  <c r="O40" i="88"/>
  <c r="AA35" i="124"/>
  <c r="AA40" i="124" s="1"/>
  <c r="AA40" i="88"/>
  <c r="K35" i="127" l="1"/>
  <c r="N35" i="124"/>
  <c r="N40" i="124" s="1"/>
  <c r="D14" i="131" s="1"/>
  <c r="F14" i="131" s="1"/>
  <c r="N40" i="88"/>
  <c r="L35" i="124"/>
  <c r="L40" i="124" s="1"/>
  <c r="D9" i="131" s="1"/>
  <c r="L40" i="88"/>
  <c r="K35" i="88"/>
  <c r="H35" i="88" s="1"/>
  <c r="M35" i="124"/>
  <c r="M40" i="124" s="1"/>
  <c r="D10" i="131" s="1"/>
  <c r="F10" i="131" s="1"/>
  <c r="M40" i="88"/>
  <c r="F9" i="131" l="1"/>
  <c r="H40" i="88"/>
  <c r="K35" i="124"/>
  <c r="K40" i="88"/>
  <c r="H35" i="127"/>
  <c r="H40" i="127" s="1"/>
  <c r="K40" i="127"/>
  <c r="H35" i="124" l="1"/>
  <c r="H40" i="124" s="1"/>
  <c r="H35" i="132"/>
  <c r="H38" i="132" s="1"/>
  <c r="K40" i="124"/>
  <c r="G35" i="88"/>
  <c r="H35" i="113" s="1"/>
  <c r="G11" i="88"/>
  <c r="H11" i="113" s="1"/>
  <c r="G16" i="88"/>
  <c r="H16" i="113" s="1"/>
  <c r="G7" i="88"/>
  <c r="H7" i="113" s="1"/>
  <c r="G20" i="88"/>
  <c r="H20" i="113" s="1"/>
  <c r="G22" i="88"/>
  <c r="G17" i="88"/>
  <c r="H17" i="113" s="1"/>
  <c r="G9" i="88"/>
  <c r="H9" i="113" s="1"/>
  <c r="G28" i="88"/>
  <c r="H28" i="113" s="1"/>
  <c r="G14" i="88"/>
  <c r="H14" i="113" s="1"/>
  <c r="G32" i="88"/>
  <c r="H32" i="113" s="1"/>
  <c r="G18" i="88"/>
  <c r="G36" i="88"/>
  <c r="G15" i="88"/>
  <c r="G33" i="88"/>
  <c r="H33" i="113" s="1"/>
  <c r="G31" i="88"/>
  <c r="H31" i="113" s="1"/>
  <c r="G26" i="88"/>
  <c r="H26" i="113" s="1"/>
  <c r="G21" i="88"/>
  <c r="H21" i="113" s="1"/>
  <c r="G30" i="88"/>
  <c r="H30" i="113" s="1"/>
  <c r="G25" i="88"/>
  <c r="G34" i="88"/>
  <c r="H34" i="113" s="1"/>
  <c r="G29" i="88"/>
  <c r="H29" i="113" s="1"/>
  <c r="G10" i="88"/>
  <c r="H10" i="113" s="1"/>
  <c r="G19" i="88"/>
  <c r="H19" i="113" s="1"/>
  <c r="G13" i="88"/>
  <c r="G23" i="88"/>
  <c r="H23" i="113" s="1"/>
  <c r="G8" i="88"/>
  <c r="H8" i="113" s="1"/>
  <c r="G27" i="88"/>
  <c r="H27" i="113" s="1"/>
  <c r="G12" i="88"/>
  <c r="H12" i="113" s="1"/>
  <c r="G24" i="88"/>
  <c r="G6" i="88"/>
  <c r="G12" i="127"/>
  <c r="G27" i="127"/>
  <c r="G33" i="127"/>
  <c r="G16" i="127"/>
  <c r="G14" i="127"/>
  <c r="G24" i="127"/>
  <c r="G20" i="127"/>
  <c r="G13" i="127"/>
  <c r="G11" i="127"/>
  <c r="G35" i="127"/>
  <c r="G28" i="127"/>
  <c r="G36" i="127"/>
  <c r="G7" i="127"/>
  <c r="G6" i="127"/>
  <c r="G17" i="127"/>
  <c r="G9" i="127"/>
  <c r="G32" i="127"/>
  <c r="G26" i="127"/>
  <c r="G15" i="127"/>
  <c r="G8" i="127"/>
  <c r="G23" i="127"/>
  <c r="G34" i="127"/>
  <c r="G22" i="127"/>
  <c r="G19" i="127"/>
  <c r="G21" i="127"/>
  <c r="G10" i="127"/>
  <c r="G25" i="127"/>
  <c r="G29" i="127"/>
  <c r="G31" i="127"/>
  <c r="G18" i="127"/>
  <c r="G30" i="127"/>
  <c r="G40" i="127" l="1"/>
  <c r="H13" i="113"/>
  <c r="H36" i="113"/>
  <c r="H25" i="113"/>
  <c r="H18" i="113"/>
  <c r="G40" i="88"/>
  <c r="H6" i="113"/>
  <c r="H24" i="113"/>
  <c r="H15" i="113"/>
  <c r="H22" i="113"/>
  <c r="H40" i="113" l="1"/>
  <c r="G32" i="113" l="1"/>
  <c r="H32" i="114" s="1"/>
  <c r="G15" i="113"/>
  <c r="G12" i="113"/>
  <c r="H12" i="114" s="1"/>
  <c r="G23" i="113"/>
  <c r="H23" i="114" s="1"/>
  <c r="G10" i="113"/>
  <c r="H10" i="114" s="1"/>
  <c r="G19" i="113"/>
  <c r="H19" i="114" s="1"/>
  <c r="G13" i="113"/>
  <c r="G11" i="113"/>
  <c r="H11" i="114" s="1"/>
  <c r="G35" i="113"/>
  <c r="H35" i="114" s="1"/>
  <c r="G36" i="113"/>
  <c r="G22" i="113"/>
  <c r="G29" i="113"/>
  <c r="H29" i="114" s="1"/>
  <c r="G34" i="113"/>
  <c r="H34" i="114" s="1"/>
  <c r="G21" i="113"/>
  <c r="H21" i="114" s="1"/>
  <c r="G18" i="113"/>
  <c r="G33" i="113"/>
  <c r="H33" i="114" s="1"/>
  <c r="G30" i="113"/>
  <c r="H30" i="114" s="1"/>
  <c r="G16" i="113"/>
  <c r="H16" i="114" s="1"/>
  <c r="G25" i="113"/>
  <c r="G27" i="113"/>
  <c r="H27" i="114" s="1"/>
  <c r="G26" i="113"/>
  <c r="H26" i="114" s="1"/>
  <c r="G24" i="113"/>
  <c r="G14" i="113"/>
  <c r="H14" i="114" s="1"/>
  <c r="G6" i="113"/>
  <c r="G8" i="113"/>
  <c r="H8" i="114" s="1"/>
  <c r="G28" i="113"/>
  <c r="H28" i="114" s="1"/>
  <c r="G17" i="113"/>
  <c r="H17" i="114" s="1"/>
  <c r="G7" i="113"/>
  <c r="H7" i="114" s="1"/>
  <c r="G9" i="113"/>
  <c r="H9" i="114" s="1"/>
  <c r="G20" i="113"/>
  <c r="H20" i="114" s="1"/>
  <c r="G31" i="113"/>
  <c r="H31" i="114" s="1"/>
  <c r="G40" i="113" l="1"/>
  <c r="H6" i="114"/>
  <c r="H25" i="114"/>
  <c r="H18" i="114"/>
  <c r="H22" i="114"/>
  <c r="H13" i="114"/>
  <c r="H24" i="114"/>
  <c r="H36" i="114"/>
  <c r="H15" i="114"/>
  <c r="H40" i="114" l="1"/>
  <c r="G6" i="114" l="1"/>
  <c r="G9" i="114"/>
  <c r="H9" i="116" s="1"/>
  <c r="G16" i="114"/>
  <c r="H16" i="116" s="1"/>
  <c r="G17" i="114"/>
  <c r="H17" i="116" s="1"/>
  <c r="G14" i="114"/>
  <c r="H14" i="116" s="1"/>
  <c r="G15" i="114"/>
  <c r="G26" i="114"/>
  <c r="H26" i="116" s="1"/>
  <c r="G19" i="114"/>
  <c r="H19" i="116" s="1"/>
  <c r="G35" i="114"/>
  <c r="H35" i="116" s="1"/>
  <c r="G32" i="114"/>
  <c r="H32" i="116" s="1"/>
  <c r="G10" i="114"/>
  <c r="H10" i="116" s="1"/>
  <c r="G20" i="114"/>
  <c r="H20" i="116" s="1"/>
  <c r="G23" i="114"/>
  <c r="H23" i="116" s="1"/>
  <c r="G29" i="114"/>
  <c r="H29" i="116" s="1"/>
  <c r="G33" i="114"/>
  <c r="H33" i="116" s="1"/>
  <c r="G18" i="114"/>
  <c r="G30" i="114"/>
  <c r="H30" i="116" s="1"/>
  <c r="G28" i="114"/>
  <c r="H28" i="116" s="1"/>
  <c r="G22" i="114"/>
  <c r="G24" i="114"/>
  <c r="G12" i="114"/>
  <c r="H12" i="116" s="1"/>
  <c r="G25" i="114"/>
  <c r="G36" i="114"/>
  <c r="G34" i="114"/>
  <c r="H34" i="116" s="1"/>
  <c r="G7" i="114"/>
  <c r="H7" i="116" s="1"/>
  <c r="G13" i="114"/>
  <c r="G11" i="114"/>
  <c r="H11" i="116" s="1"/>
  <c r="G21" i="114"/>
  <c r="H21" i="116" s="1"/>
  <c r="G8" i="114"/>
  <c r="H8" i="116" s="1"/>
  <c r="G31" i="114"/>
  <c r="H31" i="116" s="1"/>
  <c r="G27" i="114"/>
  <c r="H27" i="116" s="1"/>
  <c r="H24" i="116" l="1"/>
  <c r="H18" i="116"/>
  <c r="H36" i="116"/>
  <c r="H22" i="116"/>
  <c r="H13" i="116"/>
  <c r="H25" i="116"/>
  <c r="H15" i="116"/>
  <c r="G40" i="114"/>
  <c r="H6" i="116"/>
  <c r="H40" i="116" l="1"/>
  <c r="G6" i="116" l="1"/>
  <c r="G20" i="116"/>
  <c r="H20" i="115" s="1"/>
  <c r="G31" i="116"/>
  <c r="H31" i="115" s="1"/>
  <c r="G26" i="116"/>
  <c r="H26" i="115" s="1"/>
  <c r="G25" i="116"/>
  <c r="G35" i="116"/>
  <c r="H35" i="115" s="1"/>
  <c r="G12" i="116"/>
  <c r="H12" i="115" s="1"/>
  <c r="G32" i="116"/>
  <c r="H32" i="115" s="1"/>
  <c r="G16" i="116"/>
  <c r="H16" i="115" s="1"/>
  <c r="G21" i="116"/>
  <c r="H21" i="115" s="1"/>
  <c r="G8" i="116"/>
  <c r="H8" i="115" s="1"/>
  <c r="G14" i="116"/>
  <c r="H14" i="115" s="1"/>
  <c r="G34" i="116"/>
  <c r="H34" i="115" s="1"/>
  <c r="G17" i="116"/>
  <c r="H17" i="115" s="1"/>
  <c r="G28" i="116"/>
  <c r="H28" i="115" s="1"/>
  <c r="G11" i="116"/>
  <c r="H11" i="115" s="1"/>
  <c r="G7" i="116"/>
  <c r="H7" i="115" s="1"/>
  <c r="G15" i="116"/>
  <c r="G36" i="116"/>
  <c r="G9" i="116"/>
  <c r="H9" i="115" s="1"/>
  <c r="G13" i="116"/>
  <c r="G23" i="116"/>
  <c r="H23" i="115" s="1"/>
  <c r="G30" i="116"/>
  <c r="H30" i="115" s="1"/>
  <c r="G29" i="116"/>
  <c r="H29" i="115" s="1"/>
  <c r="G33" i="116"/>
  <c r="H33" i="115" s="1"/>
  <c r="G24" i="116"/>
  <c r="G22" i="116"/>
  <c r="G27" i="116"/>
  <c r="H27" i="115" s="1"/>
  <c r="G18" i="116"/>
  <c r="G19" i="116"/>
  <c r="H19" i="115" s="1"/>
  <c r="G10" i="116"/>
  <c r="H10" i="115" s="1"/>
  <c r="H22" i="115" l="1"/>
  <c r="H36" i="115"/>
  <c r="H24" i="115"/>
  <c r="H15" i="115"/>
  <c r="H18" i="115"/>
  <c r="H13" i="115"/>
  <c r="H25" i="115"/>
  <c r="G40" i="116"/>
  <c r="H6" i="115"/>
  <c r="H40" i="115" l="1"/>
  <c r="G6" i="115" l="1"/>
  <c r="G18" i="115"/>
  <c r="G29" i="115"/>
  <c r="H29" i="117" s="1"/>
  <c r="G19" i="115"/>
  <c r="H19" i="117" s="1"/>
  <c r="G13" i="115"/>
  <c r="G25" i="115"/>
  <c r="G23" i="115"/>
  <c r="H23" i="117" s="1"/>
  <c r="G15" i="115"/>
  <c r="G8" i="115"/>
  <c r="H8" i="117" s="1"/>
  <c r="G12" i="115"/>
  <c r="H12" i="117" s="1"/>
  <c r="G28" i="115"/>
  <c r="H28" i="117" s="1"/>
  <c r="G24" i="115"/>
  <c r="G9" i="115"/>
  <c r="H9" i="117" s="1"/>
  <c r="G27" i="115"/>
  <c r="H27" i="117" s="1"/>
  <c r="G21" i="115"/>
  <c r="H21" i="117" s="1"/>
  <c r="G11" i="115"/>
  <c r="H11" i="117" s="1"/>
  <c r="G32" i="115"/>
  <c r="H32" i="117" s="1"/>
  <c r="G36" i="115"/>
  <c r="G7" i="115"/>
  <c r="H7" i="117" s="1"/>
  <c r="G20" i="115"/>
  <c r="H20" i="117" s="1"/>
  <c r="G30" i="115"/>
  <c r="H30" i="117" s="1"/>
  <c r="G17" i="115"/>
  <c r="H17" i="117" s="1"/>
  <c r="G14" i="115"/>
  <c r="H14" i="117" s="1"/>
  <c r="G26" i="115"/>
  <c r="H26" i="117" s="1"/>
  <c r="G34" i="115"/>
  <c r="H34" i="117" s="1"/>
  <c r="G31" i="115"/>
  <c r="H31" i="117" s="1"/>
  <c r="G16" i="115"/>
  <c r="H16" i="117" s="1"/>
  <c r="G33" i="115"/>
  <c r="H33" i="117" s="1"/>
  <c r="G22" i="115"/>
  <c r="G35" i="115"/>
  <c r="H35" i="117" s="1"/>
  <c r="G10" i="115"/>
  <c r="H10" i="117" s="1"/>
  <c r="H24" i="117" l="1"/>
  <c r="H15" i="117"/>
  <c r="H36" i="117"/>
  <c r="H25" i="117"/>
  <c r="H18" i="117"/>
  <c r="H22" i="117"/>
  <c r="H13" i="117"/>
  <c r="G40" i="115"/>
  <c r="H6" i="117"/>
  <c r="H40" i="117" l="1"/>
  <c r="G9" i="117" l="1"/>
  <c r="H9" i="118" s="1"/>
  <c r="G25" i="117"/>
  <c r="G35" i="117"/>
  <c r="H35" i="118" s="1"/>
  <c r="G14" i="117"/>
  <c r="H14" i="118" s="1"/>
  <c r="G30" i="117"/>
  <c r="H30" i="118" s="1"/>
  <c r="G15" i="117"/>
  <c r="G8" i="117"/>
  <c r="H8" i="118" s="1"/>
  <c r="G28" i="117"/>
  <c r="H28" i="118" s="1"/>
  <c r="G13" i="117"/>
  <c r="G29" i="117"/>
  <c r="H29" i="118" s="1"/>
  <c r="G24" i="117"/>
  <c r="G18" i="117"/>
  <c r="G34" i="117"/>
  <c r="H34" i="118" s="1"/>
  <c r="G19" i="117"/>
  <c r="H19" i="118" s="1"/>
  <c r="G12" i="117"/>
  <c r="H12" i="118" s="1"/>
  <c r="G36" i="117"/>
  <c r="G17" i="117"/>
  <c r="H17" i="118" s="1"/>
  <c r="G33" i="117"/>
  <c r="H33" i="118" s="1"/>
  <c r="G32" i="117"/>
  <c r="H32" i="118" s="1"/>
  <c r="G22" i="117"/>
  <c r="G7" i="117"/>
  <c r="H7" i="118" s="1"/>
  <c r="G23" i="117"/>
  <c r="H23" i="118" s="1"/>
  <c r="G16" i="117"/>
  <c r="H16" i="118" s="1"/>
  <c r="G6" i="117"/>
  <c r="G21" i="117"/>
  <c r="H21" i="118" s="1"/>
  <c r="G27" i="117"/>
  <c r="H27" i="118" s="1"/>
  <c r="G10" i="117"/>
  <c r="H10" i="118" s="1"/>
  <c r="G26" i="117"/>
  <c r="H26" i="118" s="1"/>
  <c r="G11" i="117"/>
  <c r="H11" i="118" s="1"/>
  <c r="G31" i="117"/>
  <c r="H31" i="118" s="1"/>
  <c r="G20" i="117"/>
  <c r="H20" i="118" s="1"/>
  <c r="G40" i="117" l="1"/>
  <c r="H6" i="118"/>
  <c r="H22" i="118"/>
  <c r="H36" i="118"/>
  <c r="H18" i="118"/>
  <c r="H24" i="118"/>
  <c r="H15" i="118"/>
  <c r="H25" i="118"/>
  <c r="H13" i="118"/>
  <c r="H40" i="118" l="1"/>
  <c r="G6" i="118" l="1"/>
  <c r="G14" i="118"/>
  <c r="H14" i="119" s="1"/>
  <c r="G33" i="118"/>
  <c r="H33" i="119" s="1"/>
  <c r="G10" i="118"/>
  <c r="H10" i="119" s="1"/>
  <c r="G34" i="118"/>
  <c r="H34" i="119" s="1"/>
  <c r="G28" i="118"/>
  <c r="H28" i="119" s="1"/>
  <c r="G12" i="118"/>
  <c r="H12" i="119" s="1"/>
  <c r="G25" i="118"/>
  <c r="G19" i="118"/>
  <c r="H19" i="119" s="1"/>
  <c r="G13" i="118"/>
  <c r="G16" i="118"/>
  <c r="H16" i="119" s="1"/>
  <c r="G31" i="118"/>
  <c r="H31" i="119" s="1"/>
  <c r="G21" i="118"/>
  <c r="H21" i="119" s="1"/>
  <c r="G22" i="118"/>
  <c r="G35" i="118"/>
  <c r="H35" i="119" s="1"/>
  <c r="G26" i="118"/>
  <c r="H26" i="119" s="1"/>
  <c r="G30" i="118"/>
  <c r="H30" i="119" s="1"/>
  <c r="G18" i="118"/>
  <c r="G7" i="118"/>
  <c r="H7" i="119" s="1"/>
  <c r="G32" i="118"/>
  <c r="H32" i="119" s="1"/>
  <c r="G17" i="118"/>
  <c r="H17" i="119" s="1"/>
  <c r="G9" i="118"/>
  <c r="H9" i="119" s="1"/>
  <c r="G11" i="118"/>
  <c r="H11" i="119" s="1"/>
  <c r="G29" i="118"/>
  <c r="H29" i="119" s="1"/>
  <c r="G24" i="118"/>
  <c r="G23" i="118"/>
  <c r="H23" i="119" s="1"/>
  <c r="G8" i="118"/>
  <c r="H8" i="119" s="1"/>
  <c r="G15" i="118"/>
  <c r="G36" i="118"/>
  <c r="G20" i="118"/>
  <c r="H20" i="119" s="1"/>
  <c r="G27" i="118"/>
  <c r="H27" i="119" s="1"/>
  <c r="H15" i="119" l="1"/>
  <c r="H25" i="119"/>
  <c r="H18" i="119"/>
  <c r="H22" i="119"/>
  <c r="H13" i="119"/>
  <c r="H36" i="119"/>
  <c r="H24" i="119"/>
  <c r="G40" i="118"/>
  <c r="H6" i="119"/>
  <c r="H40" i="119" l="1"/>
  <c r="G6" i="119" l="1"/>
  <c r="G32" i="119"/>
  <c r="H32" i="120" s="1"/>
  <c r="G12" i="119"/>
  <c r="H12" i="120" s="1"/>
  <c r="G29" i="119"/>
  <c r="H29" i="120" s="1"/>
  <c r="G35" i="119"/>
  <c r="H35" i="120" s="1"/>
  <c r="G9" i="119"/>
  <c r="H9" i="120" s="1"/>
  <c r="G22" i="119"/>
  <c r="G17" i="119"/>
  <c r="H17" i="120" s="1"/>
  <c r="G25" i="119"/>
  <c r="G19" i="119"/>
  <c r="H19" i="120" s="1"/>
  <c r="G33" i="119"/>
  <c r="H33" i="120" s="1"/>
  <c r="G20" i="119"/>
  <c r="H20" i="120" s="1"/>
  <c r="G16" i="119"/>
  <c r="H16" i="120" s="1"/>
  <c r="G24" i="119"/>
  <c r="G8" i="119"/>
  <c r="H8" i="120" s="1"/>
  <c r="G11" i="119"/>
  <c r="H11" i="120" s="1"/>
  <c r="G18" i="119"/>
  <c r="G30" i="119"/>
  <c r="H30" i="120" s="1"/>
  <c r="G21" i="119"/>
  <c r="H21" i="120" s="1"/>
  <c r="G15" i="119"/>
  <c r="G26" i="119"/>
  <c r="H26" i="120" s="1"/>
  <c r="G10" i="119"/>
  <c r="H10" i="120" s="1"/>
  <c r="G23" i="119"/>
  <c r="H23" i="120" s="1"/>
  <c r="G27" i="119"/>
  <c r="H27" i="120" s="1"/>
  <c r="G31" i="119"/>
  <c r="H31" i="120" s="1"/>
  <c r="G28" i="119"/>
  <c r="H28" i="120" s="1"/>
  <c r="G34" i="119"/>
  <c r="H34" i="120" s="1"/>
  <c r="G7" i="119"/>
  <c r="H7" i="120" s="1"/>
  <c r="G13" i="119"/>
  <c r="G14" i="119"/>
  <c r="H14" i="120" s="1"/>
  <c r="G36" i="119"/>
  <c r="H15" i="120" l="1"/>
  <c r="H22" i="120"/>
  <c r="H24" i="120"/>
  <c r="H36" i="120"/>
  <c r="H13" i="120"/>
  <c r="H18" i="120"/>
  <c r="H25" i="120"/>
  <c r="G40" i="119"/>
  <c r="H6" i="120"/>
  <c r="H40" i="120" l="1"/>
  <c r="G6" i="120" l="1"/>
  <c r="G13" i="120"/>
  <c r="G25" i="120"/>
  <c r="G35" i="120"/>
  <c r="H35" i="121" s="1"/>
  <c r="G16" i="120"/>
  <c r="H16" i="121" s="1"/>
  <c r="G31" i="120"/>
  <c r="H31" i="121" s="1"/>
  <c r="G33" i="120"/>
  <c r="H33" i="121" s="1"/>
  <c r="G34" i="120"/>
  <c r="H34" i="121" s="1"/>
  <c r="G36" i="120"/>
  <c r="G23" i="120"/>
  <c r="H23" i="121" s="1"/>
  <c r="G26" i="120"/>
  <c r="H26" i="121" s="1"/>
  <c r="G17" i="120"/>
  <c r="H17" i="121" s="1"/>
  <c r="G14" i="120"/>
  <c r="H14" i="121" s="1"/>
  <c r="G15" i="120"/>
  <c r="G30" i="120"/>
  <c r="H30" i="121" s="1"/>
  <c r="G20" i="120"/>
  <c r="H20" i="121" s="1"/>
  <c r="G27" i="120"/>
  <c r="H27" i="121" s="1"/>
  <c r="G12" i="120"/>
  <c r="H12" i="121" s="1"/>
  <c r="G21" i="120"/>
  <c r="H21" i="121" s="1"/>
  <c r="G18" i="120"/>
  <c r="G32" i="120"/>
  <c r="H32" i="121" s="1"/>
  <c r="G28" i="120"/>
  <c r="H28" i="121" s="1"/>
  <c r="G10" i="120"/>
  <c r="H10" i="121" s="1"/>
  <c r="G19" i="120"/>
  <c r="H19" i="121" s="1"/>
  <c r="G11" i="120"/>
  <c r="H11" i="121" s="1"/>
  <c r="G7" i="120"/>
  <c r="H7" i="121" s="1"/>
  <c r="G29" i="120"/>
  <c r="H29" i="121" s="1"/>
  <c r="G8" i="120"/>
  <c r="H8" i="121" s="1"/>
  <c r="G22" i="120"/>
  <c r="G24" i="120"/>
  <c r="G9" i="120"/>
  <c r="H9" i="121" s="1"/>
  <c r="H18" i="121" l="1"/>
  <c r="H25" i="121"/>
  <c r="H24" i="121"/>
  <c r="H15" i="121"/>
  <c r="H13" i="121"/>
  <c r="H22" i="121"/>
  <c r="H36" i="121"/>
  <c r="G40" i="120"/>
  <c r="H6" i="121"/>
  <c r="H40" i="121" l="1"/>
  <c r="G6" i="121" l="1"/>
  <c r="G9" i="121"/>
  <c r="H9" i="122" s="1"/>
  <c r="G15" i="121"/>
  <c r="G32" i="121"/>
  <c r="H32" i="122" s="1"/>
  <c r="G18" i="121"/>
  <c r="G20" i="121"/>
  <c r="H20" i="122" s="1"/>
  <c r="G11" i="121"/>
  <c r="H11" i="122" s="1"/>
  <c r="G8" i="121"/>
  <c r="H8" i="122" s="1"/>
  <c r="G25" i="121"/>
  <c r="G27" i="121"/>
  <c r="H27" i="122" s="1"/>
  <c r="G26" i="121"/>
  <c r="H26" i="122" s="1"/>
  <c r="G12" i="121"/>
  <c r="H12" i="122" s="1"/>
  <c r="G14" i="121"/>
  <c r="H14" i="122" s="1"/>
  <c r="G36" i="121"/>
  <c r="G22" i="121"/>
  <c r="G16" i="121"/>
  <c r="H16" i="122" s="1"/>
  <c r="G19" i="121"/>
  <c r="H19" i="122" s="1"/>
  <c r="G17" i="121"/>
  <c r="H17" i="122" s="1"/>
  <c r="G31" i="121"/>
  <c r="H31" i="122" s="1"/>
  <c r="G13" i="121"/>
  <c r="G28" i="121"/>
  <c r="H28" i="122" s="1"/>
  <c r="G7" i="121"/>
  <c r="H7" i="122" s="1"/>
  <c r="G10" i="121"/>
  <c r="H10" i="122" s="1"/>
  <c r="G30" i="121"/>
  <c r="H30" i="122" s="1"/>
  <c r="G33" i="121"/>
  <c r="H33" i="122" s="1"/>
  <c r="G29" i="121"/>
  <c r="H29" i="122" s="1"/>
  <c r="G24" i="121"/>
  <c r="G21" i="121"/>
  <c r="H21" i="122" s="1"/>
  <c r="G23" i="121"/>
  <c r="H23" i="122" s="1"/>
  <c r="G34" i="121"/>
  <c r="H34" i="122" s="1"/>
  <c r="G35" i="121"/>
  <c r="H35" i="122" s="1"/>
  <c r="H13" i="122" l="1"/>
  <c r="H24" i="122"/>
  <c r="H22" i="122"/>
  <c r="H15" i="122"/>
  <c r="H36" i="122"/>
  <c r="H25" i="122"/>
  <c r="H18" i="122"/>
  <c r="G40" i="121"/>
  <c r="H6" i="122"/>
  <c r="H40" i="122" l="1"/>
  <c r="G17" i="122" l="1"/>
  <c r="H17" i="123" s="1"/>
  <c r="G32" i="122"/>
  <c r="H32" i="123" s="1"/>
  <c r="G10" i="122"/>
  <c r="H10" i="123" s="1"/>
  <c r="G19" i="122"/>
  <c r="H19" i="123" s="1"/>
  <c r="G36" i="122"/>
  <c r="G24" i="122"/>
  <c r="G35" i="122"/>
  <c r="H35" i="123" s="1"/>
  <c r="G9" i="122"/>
  <c r="H9" i="123" s="1"/>
  <c r="G28" i="122"/>
  <c r="H28" i="123" s="1"/>
  <c r="G20" i="122"/>
  <c r="H20" i="123" s="1"/>
  <c r="G22" i="122"/>
  <c r="G12" i="122"/>
  <c r="H12" i="123" s="1"/>
  <c r="G26" i="122"/>
  <c r="H26" i="123" s="1"/>
  <c r="G29" i="122"/>
  <c r="H29" i="123" s="1"/>
  <c r="G33" i="122"/>
  <c r="H33" i="123" s="1"/>
  <c r="G8" i="122"/>
  <c r="H8" i="123" s="1"/>
  <c r="G18" i="122"/>
  <c r="G15" i="122"/>
  <c r="G23" i="122"/>
  <c r="H23" i="123" s="1"/>
  <c r="G11" i="122"/>
  <c r="H11" i="123" s="1"/>
  <c r="G31" i="122"/>
  <c r="H31" i="123" s="1"/>
  <c r="G27" i="122"/>
  <c r="H27" i="123" s="1"/>
  <c r="G21" i="122"/>
  <c r="H21" i="123" s="1"/>
  <c r="G25" i="122"/>
  <c r="G6" i="122"/>
  <c r="G13" i="122"/>
  <c r="G7" i="122"/>
  <c r="H7" i="123" s="1"/>
  <c r="G16" i="122"/>
  <c r="H16" i="123" s="1"/>
  <c r="G14" i="122"/>
  <c r="H14" i="123" s="1"/>
  <c r="G34" i="122"/>
  <c r="H34" i="123" s="1"/>
  <c r="G30" i="122"/>
  <c r="H30" i="123" s="1"/>
  <c r="H25" i="123" l="1"/>
  <c r="H22" i="123"/>
  <c r="H13" i="123"/>
  <c r="H15" i="123"/>
  <c r="H24" i="123"/>
  <c r="G40" i="122"/>
  <c r="S42" i="124" s="1"/>
  <c r="H6" i="123"/>
  <c r="H18" i="123"/>
  <c r="H36" i="123"/>
  <c r="H40" i="123" l="1"/>
  <c r="G25" i="123" l="1"/>
  <c r="G25" i="124" s="1"/>
  <c r="G25" i="132" s="1"/>
  <c r="K25" i="132" s="1"/>
  <c r="P25" i="132" s="1"/>
  <c r="S25" i="132" s="1"/>
  <c r="G36" i="123"/>
  <c r="G36" i="124" s="1"/>
  <c r="G36" i="132" s="1"/>
  <c r="K36" i="132" s="1"/>
  <c r="P36" i="132" s="1"/>
  <c r="S36" i="132" s="1"/>
  <c r="G10" i="123"/>
  <c r="G10" i="124" s="1"/>
  <c r="G10" i="132" s="1"/>
  <c r="K10" i="132" s="1"/>
  <c r="P10" i="132" s="1"/>
  <c r="S10" i="132" s="1"/>
  <c r="G11" i="123"/>
  <c r="G11" i="124" s="1"/>
  <c r="G11" i="132" s="1"/>
  <c r="K11" i="132" s="1"/>
  <c r="P11" i="132" s="1"/>
  <c r="S11" i="132" s="1"/>
  <c r="G18" i="123"/>
  <c r="G18" i="124" s="1"/>
  <c r="G18" i="132" s="1"/>
  <c r="K18" i="132" s="1"/>
  <c r="P18" i="132" s="1"/>
  <c r="S18" i="132" s="1"/>
  <c r="G24" i="123"/>
  <c r="G24" i="124" s="1"/>
  <c r="G24" i="132" s="1"/>
  <c r="K24" i="132" s="1"/>
  <c r="P24" i="132" s="1"/>
  <c r="S24" i="132" s="1"/>
  <c r="G23" i="123"/>
  <c r="G23" i="124" s="1"/>
  <c r="G23" i="132" s="1"/>
  <c r="K23" i="132" s="1"/>
  <c r="P23" i="132" s="1"/>
  <c r="S23" i="132" s="1"/>
  <c r="G20" i="123"/>
  <c r="G20" i="124" s="1"/>
  <c r="G20" i="132" s="1"/>
  <c r="K20" i="132" s="1"/>
  <c r="P20" i="132" s="1"/>
  <c r="S20" i="132" s="1"/>
  <c r="G6" i="123"/>
  <c r="G15" i="123"/>
  <c r="G15" i="124" s="1"/>
  <c r="G15" i="132" s="1"/>
  <c r="K15" i="132" s="1"/>
  <c r="P15" i="132" s="1"/>
  <c r="S15" i="132" s="1"/>
  <c r="G35" i="123"/>
  <c r="G35" i="124" s="1"/>
  <c r="G35" i="132" s="1"/>
  <c r="K35" i="132" s="1"/>
  <c r="P35" i="132" s="1"/>
  <c r="S35" i="132" s="1"/>
  <c r="G32" i="123"/>
  <c r="G32" i="124" s="1"/>
  <c r="G32" i="132" s="1"/>
  <c r="K32" i="132" s="1"/>
  <c r="P32" i="132" s="1"/>
  <c r="S32" i="132" s="1"/>
  <c r="G31" i="123"/>
  <c r="G31" i="124" s="1"/>
  <c r="G31" i="132" s="1"/>
  <c r="K31" i="132" s="1"/>
  <c r="G22" i="123"/>
  <c r="G22" i="124" s="1"/>
  <c r="G22" i="132" s="1"/>
  <c r="K22" i="132" s="1"/>
  <c r="P22" i="132" s="1"/>
  <c r="S22" i="132" s="1"/>
  <c r="G29" i="123"/>
  <c r="G29" i="124" s="1"/>
  <c r="G29" i="132" s="1"/>
  <c r="K29" i="132" s="1"/>
  <c r="P29" i="132" s="1"/>
  <c r="S29" i="132" s="1"/>
  <c r="G30" i="123"/>
  <c r="G30" i="124" s="1"/>
  <c r="G30" i="132" s="1"/>
  <c r="K30" i="132" s="1"/>
  <c r="P30" i="132" s="1"/>
  <c r="S30" i="132" s="1"/>
  <c r="G27" i="123"/>
  <c r="G27" i="124" s="1"/>
  <c r="G27" i="132" s="1"/>
  <c r="K27" i="132" s="1"/>
  <c r="G33" i="123"/>
  <c r="G33" i="124" s="1"/>
  <c r="G33" i="132" s="1"/>
  <c r="K33" i="132" s="1"/>
  <c r="P33" i="132" s="1"/>
  <c r="S33" i="132" s="1"/>
  <c r="G21" i="123"/>
  <c r="G21" i="124" s="1"/>
  <c r="G21" i="132" s="1"/>
  <c r="K21" i="132" s="1"/>
  <c r="P21" i="132" s="1"/>
  <c r="S21" i="132" s="1"/>
  <c r="G12" i="123"/>
  <c r="G12" i="124" s="1"/>
  <c r="G12" i="132" s="1"/>
  <c r="K12" i="132" s="1"/>
  <c r="P12" i="132" s="1"/>
  <c r="S12" i="132" s="1"/>
  <c r="G26" i="123"/>
  <c r="G26" i="124" s="1"/>
  <c r="G26" i="132" s="1"/>
  <c r="K26" i="132" s="1"/>
  <c r="P26" i="132" s="1"/>
  <c r="S26" i="132" s="1"/>
  <c r="G13" i="123"/>
  <c r="G13" i="124" s="1"/>
  <c r="G13" i="132" s="1"/>
  <c r="K13" i="132" s="1"/>
  <c r="P13" i="132" s="1"/>
  <c r="S13" i="132" s="1"/>
  <c r="G28" i="123"/>
  <c r="G28" i="124" s="1"/>
  <c r="G28" i="132" s="1"/>
  <c r="K28" i="132" s="1"/>
  <c r="P28" i="132" s="1"/>
  <c r="S28" i="132" s="1"/>
  <c r="G34" i="123"/>
  <c r="G34" i="124" s="1"/>
  <c r="G34" i="132" s="1"/>
  <c r="K34" i="132" s="1"/>
  <c r="G9" i="123"/>
  <c r="G9" i="124" s="1"/>
  <c r="G9" i="132" s="1"/>
  <c r="K9" i="132" s="1"/>
  <c r="P9" i="132" s="1"/>
  <c r="S9" i="132" s="1"/>
  <c r="G8" i="123"/>
  <c r="G8" i="124" s="1"/>
  <c r="G8" i="132" s="1"/>
  <c r="K8" i="132" s="1"/>
  <c r="G14" i="123"/>
  <c r="G14" i="124" s="1"/>
  <c r="G14" i="132" s="1"/>
  <c r="K14" i="132" s="1"/>
  <c r="G17" i="123"/>
  <c r="G17" i="124" s="1"/>
  <c r="G17" i="132" s="1"/>
  <c r="K17" i="132" s="1"/>
  <c r="P17" i="132" s="1"/>
  <c r="S17" i="132" s="1"/>
  <c r="G7" i="123"/>
  <c r="G7" i="124" s="1"/>
  <c r="G7" i="132" s="1"/>
  <c r="K7" i="132" s="1"/>
  <c r="P7" i="132" s="1"/>
  <c r="G19" i="123"/>
  <c r="G19" i="124" s="1"/>
  <c r="G19" i="132" s="1"/>
  <c r="K19" i="132" s="1"/>
  <c r="P19" i="132" s="1"/>
  <c r="S19" i="132" s="1"/>
  <c r="G16" i="123"/>
  <c r="G16" i="124" s="1"/>
  <c r="G16" i="132" s="1"/>
  <c r="K16" i="132" s="1"/>
  <c r="P16" i="132" s="1"/>
  <c r="S16" i="132" s="1"/>
  <c r="P8" i="132" l="1"/>
  <c r="S8" i="132" s="1"/>
  <c r="S7" i="132"/>
  <c r="G6" i="124"/>
  <c r="G40" i="123"/>
  <c r="P38" i="132" l="1"/>
  <c r="S38" i="132"/>
  <c r="G6" i="132"/>
  <c r="G40" i="124"/>
  <c r="D22" i="131" s="1"/>
  <c r="F22" i="131" l="1"/>
  <c r="F25" i="131" s="1"/>
  <c r="D25" i="131"/>
  <c r="G38" i="132"/>
  <c r="K6" i="132"/>
  <c r="K38" i="132" s="1"/>
</calcChain>
</file>

<file path=xl/comments1.xml><?xml version="1.0" encoding="utf-8"?>
<comments xmlns="http://schemas.openxmlformats.org/spreadsheetml/2006/main">
  <authors>
    <author>DJUOMBESSY</author>
  </authors>
  <commentList>
    <comment ref="C4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50 000 POUR SON FOYER</t>
        </r>
      </text>
    </comment>
  </commentList>
</comments>
</file>

<file path=xl/comments2.xml><?xml version="1.0" encoding="utf-8"?>
<comments xmlns="http://schemas.openxmlformats.org/spreadsheetml/2006/main">
  <authors>
    <author>DJUOMBESSY</author>
  </authors>
  <commentList>
    <comment ref="S8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COMPENSE AVEC SES INTERETS DE T75</t>
        </r>
      </text>
    </comment>
    <comment ref="P35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RETRAIT TONTINE</t>
        </r>
      </text>
    </comment>
  </commentList>
</comments>
</file>

<file path=xl/comments3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T30 147 000
T60 46 000</t>
        </r>
      </text>
    </comment>
  </commentList>
</comments>
</file>

<file path=xl/comments4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PRÊT ASSURANCE 
 1 155 000
T30 88 000
T100 1 275 500</t>
        </r>
      </text>
    </comment>
  </commentList>
</comments>
</file>

<file path=xl/comments5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54 400
PENALITE  131 750</t>
        </r>
      </text>
    </comment>
  </commentList>
</comments>
</file>

<file path=xl/comments6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T30 285 000
T60 488 000
PENALITE 108 500</t>
        </r>
      </text>
    </comment>
    <comment ref="C7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VERST EFFECTUE PAR DOMO FABIEN</t>
        </r>
      </text>
    </comment>
  </commentList>
</comments>
</file>

<file path=xl/comments7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T30 100 000</t>
        </r>
      </text>
    </comment>
  </commentList>
</comments>
</file>

<file path=xl/comments8.xml><?xml version="1.0" encoding="utf-8"?>
<comments xmlns="http://schemas.openxmlformats.org/spreadsheetml/2006/main">
  <authors>
    <author>DJUOMBESSY</author>
  </authors>
  <commentList>
    <comment ref="G44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9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 1 155 000
SAISIE INTERET 42 500
DETTE T100 554 500</t>
        </r>
      </text>
    </comment>
  </commentList>
</comments>
</file>

<file path=xl/comments10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
 1 040 000
DETTE T100 536 000
COTISATION T30  23 000</t>
        </r>
      </text>
    </comment>
  </commentList>
</comments>
</file>

<file path=xl/comments11.xml><?xml version="1.0" encoding="utf-8"?>
<comments xmlns="http://schemas.openxmlformats.org/spreadsheetml/2006/main">
  <authors>
    <author>DJUOMBESSY</author>
  </authors>
  <commentList>
    <comment ref="B6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DETTE ASSURANCE 1 080 000
DETTE T30 98 500
COITSATION T30 46 000</t>
        </r>
      </text>
    </comment>
  </commentList>
</comments>
</file>

<file path=xl/comments12.xml><?xml version="1.0" encoding="utf-8"?>
<comments xmlns="http://schemas.openxmlformats.org/spreadsheetml/2006/main">
  <authors>
    <author>DJUOMBESSY</author>
  </authors>
  <commentList>
    <comment ref="E43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comments13.xml><?xml version="1.0" encoding="utf-8"?>
<comments xmlns="http://schemas.openxmlformats.org/spreadsheetml/2006/main">
  <authors>
    <author>DJUOMBESSY</author>
  </authors>
  <commentList>
    <comment ref="G39" authorId="0" shapeId="0">
      <text>
        <r>
          <rPr>
            <b/>
            <sz val="9"/>
            <color indexed="81"/>
            <rFont val="Tahoma"/>
            <family val="2"/>
          </rPr>
          <t>DJUOMBESSY:</t>
        </r>
        <r>
          <rPr>
            <sz val="9"/>
            <color indexed="81"/>
            <rFont val="Tahoma"/>
            <family val="2"/>
          </rPr>
          <t xml:space="preserve">
REMBOURSEMENT DETTE  1 000 000</t>
        </r>
      </text>
    </comment>
  </commentList>
</comments>
</file>

<file path=xl/sharedStrings.xml><?xml version="1.0" encoding="utf-8"?>
<sst xmlns="http://schemas.openxmlformats.org/spreadsheetml/2006/main" count="2211" uniqueCount="316">
  <si>
    <t>ASSOCIATION</t>
  </si>
  <si>
    <t>ASELBY</t>
  </si>
  <si>
    <t>ANNEE</t>
  </si>
  <si>
    <t xml:space="preserve">TONTINE </t>
  </si>
  <si>
    <t>MATRICULE</t>
  </si>
  <si>
    <t>NOM ET PRENOM</t>
  </si>
  <si>
    <t>REPARTITION INTERET</t>
  </si>
  <si>
    <t>CAPITAL COMPOSE</t>
  </si>
  <si>
    <t>SANCTION</t>
  </si>
  <si>
    <t>EPARGNE</t>
  </si>
  <si>
    <t>FONDS DE ROULEMENT</t>
  </si>
  <si>
    <t>FRAIS EXCEPTIONNEL</t>
  </si>
  <si>
    <t>COLLATION</t>
  </si>
  <si>
    <t>MUTUELLE</t>
  </si>
  <si>
    <t>PENALITE FONDS</t>
  </si>
  <si>
    <t>AVALISTE</t>
  </si>
  <si>
    <t>AS201648</t>
  </si>
  <si>
    <t>AS201601</t>
  </si>
  <si>
    <t>ECHEC</t>
  </si>
  <si>
    <t>AS201602</t>
  </si>
  <si>
    <t>ESPECES</t>
  </si>
  <si>
    <t>AS201603</t>
  </si>
  <si>
    <t>BANQUE</t>
  </si>
  <si>
    <t>AS201604</t>
  </si>
  <si>
    <t>AS201605</t>
  </si>
  <si>
    <t>AS201608</t>
  </si>
  <si>
    <t>AS201609</t>
  </si>
  <si>
    <t>AS201610</t>
  </si>
  <si>
    <t>AS201611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</si>
  <si>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</si>
  <si>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</si>
  <si>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</si>
  <si>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</si>
  <si>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</si>
  <si>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</si>
  <si>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</si>
  <si>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</si>
  <si>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</si>
  <si>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</si>
  <si>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AS201624</t>
  </si>
  <si>
    <t>AS201625</t>
  </si>
  <si>
    <t>AS201626</t>
  </si>
  <si>
    <t>AS201627</t>
  </si>
  <si>
    <t>AS201628</t>
  </si>
  <si>
    <t>AS201629</t>
  </si>
  <si>
    <t>AS201633</t>
  </si>
  <si>
    <t>AS201634</t>
  </si>
  <si>
    <t>AS201636</t>
  </si>
  <si>
    <t>AS201637</t>
  </si>
  <si>
    <t>AS201638</t>
  </si>
  <si>
    <t>AS201639</t>
  </si>
  <si>
    <t>AS201641</t>
  </si>
  <si>
    <t>AS201642</t>
  </si>
  <si>
    <t>AS201643</t>
  </si>
  <si>
    <t>AS201644</t>
  </si>
  <si>
    <t>AS201646</t>
  </si>
  <si>
    <t>AS201647</t>
  </si>
  <si>
    <t>TOTAL</t>
  </si>
  <si>
    <t>FRAIS EXCEPTIONNELS</t>
  </si>
  <si>
    <t>TONTINE</t>
  </si>
  <si>
    <t>RESTE</t>
  </si>
  <si>
    <t>PRÊT FONDS</t>
  </si>
  <si>
    <t>INTERET PRÊT FONDS</t>
  </si>
  <si>
    <t>INTERETPRET FONDS</t>
  </si>
  <si>
    <t>REMBOURSEMENTPRET FONDS</t>
  </si>
  <si>
    <t>PENALITE PRET FONDS</t>
  </si>
  <si>
    <t>REMBOURSEMENT PRÊT FONDS</t>
  </si>
  <si>
    <t>MODE VERSEMENT REMBOURSEMENT</t>
  </si>
  <si>
    <t>FONDS DE CAISSE</t>
  </si>
  <si>
    <t>RELIQUAT</t>
  </si>
  <si>
    <t>DOMOU FABIEN</t>
  </si>
  <si>
    <t>INSCRIPTION</t>
  </si>
  <si>
    <t>PENALITE VST ESPECES</t>
  </si>
  <si>
    <t>INSCRISPTION</t>
  </si>
  <si>
    <t>2017/2018</t>
  </si>
  <si>
    <t>AS201649</t>
  </si>
  <si>
    <t>MBOGNING TUGMA GUY</t>
  </si>
  <si>
    <t>AS201650</t>
  </si>
  <si>
    <t>DJOMO DOMO</t>
  </si>
  <si>
    <t>AS201651</t>
  </si>
  <si>
    <t>AS201652</t>
  </si>
  <si>
    <t>AS201653</t>
  </si>
  <si>
    <t>2018/2019</t>
  </si>
  <si>
    <t>NUMERO CHEQUE</t>
  </si>
  <si>
    <t>PENALITE VERST ESPECES</t>
  </si>
  <si>
    <t>PRET FONDS</t>
  </si>
  <si>
    <t>MONTANT EPARGNE+INTERET</t>
  </si>
  <si>
    <t>NKEPSEU DIEUDONNE</t>
  </si>
  <si>
    <t>PRÊT FONDS ENCOURS</t>
  </si>
  <si>
    <t>DJUOMBESSY ANTOINE</t>
  </si>
  <si>
    <t>KOUAMO VICTOR PEGUY</t>
  </si>
  <si>
    <t>KOUATCHO MESSACK</t>
  </si>
  <si>
    <t>HOTCHO BENJAMIN</t>
  </si>
  <si>
    <t xml:space="preserve">DJOMO JEAN PAUL </t>
  </si>
  <si>
    <t xml:space="preserve">FONDS DE CAISSES </t>
  </si>
  <si>
    <t>NJEPDJIO MBOUKAM DELUXE</t>
  </si>
  <si>
    <t>NGUIEMEGNI MATHIEU BLAISE</t>
  </si>
  <si>
    <t>NANGUEN MARTIN</t>
  </si>
  <si>
    <t>NDJOMO ETIENNE</t>
  </si>
  <si>
    <t>FOTSO THOMAS</t>
  </si>
  <si>
    <t>NKAMGANG JUSTIN DEJOLIE</t>
  </si>
  <si>
    <t>BAKOP ACHILLE</t>
  </si>
  <si>
    <t>BOUTCHOUANG WILLIAM</t>
  </si>
  <si>
    <t>CHINGUE FABRICE</t>
  </si>
  <si>
    <t>DJOUKWE NANGUEN GUY BLAISE</t>
  </si>
  <si>
    <t>DONHOU DAVID</t>
  </si>
  <si>
    <t>HENGUE PAUL OMER</t>
  </si>
  <si>
    <t>KEPSEU FRANCIS</t>
  </si>
  <si>
    <t>KOUAMOU EMMANUEL</t>
  </si>
  <si>
    <t>KOUAMOU MOISE</t>
  </si>
  <si>
    <t>LOWE JEAN</t>
  </si>
  <si>
    <t>NANKAM APPOLINAIRE</t>
  </si>
  <si>
    <t>NGANHOU JEAN</t>
  </si>
  <si>
    <t>NGONDIEP CLAUDE</t>
  </si>
  <si>
    <t>NGONGANG JEAN THEODORE</t>
  </si>
  <si>
    <t>NKEHE DAVID</t>
  </si>
  <si>
    <t>PATEGO NJOSSU GUSTAVE</t>
  </si>
  <si>
    <t>SEUNOU RICHELOT</t>
  </si>
  <si>
    <t>SIME BRICE</t>
  </si>
  <si>
    <t>SIME FONGANG ERIC</t>
  </si>
  <si>
    <t>SIME MATHIEU</t>
  </si>
  <si>
    <t>SIMO PIERRE</t>
  </si>
  <si>
    <t>TCHOUAMOU MATHIEU</t>
  </si>
  <si>
    <t>TCHOUANTE FRANCOIS</t>
  </si>
  <si>
    <t>TCHOUTOU NANA CLAUDE</t>
  </si>
  <si>
    <t>TIEYAM ERNEST</t>
  </si>
  <si>
    <t>YEPMOU JEAN JACQUES</t>
  </si>
  <si>
    <t>YOUMBI EMMANUEL</t>
  </si>
  <si>
    <t>TABLEAU RECAPITULATIF PRÊT</t>
  </si>
  <si>
    <t>A APURER</t>
  </si>
  <si>
    <t>REMBOURSE</t>
  </si>
  <si>
    <t>T30</t>
  </si>
  <si>
    <t>T60</t>
  </si>
  <si>
    <t>MONTANT A VERSER</t>
  </si>
  <si>
    <t>PENALITE PRÊT</t>
  </si>
  <si>
    <t>AVANCE</t>
  </si>
  <si>
    <t>NET A PAYER</t>
  </si>
  <si>
    <t>DETTE LANGWE</t>
  </si>
  <si>
    <t>COMPLEMENT FONDS</t>
  </si>
  <si>
    <t>T100</t>
  </si>
  <si>
    <t>TABLEAU RECAPITULATIF DISTRIBUTION EPARGNE 2019</t>
  </si>
  <si>
    <t>DISTRIBUTION INTERET 2018 ET 2019</t>
  </si>
  <si>
    <t xml:space="preserve"> INTERET</t>
  </si>
  <si>
    <t>SIMO FONGANG ERIC</t>
  </si>
  <si>
    <t>NOM_ET_PRENOM</t>
  </si>
  <si>
    <t>FONDSCAISSE</t>
  </si>
  <si>
    <t>PRÊT_FONDS</t>
  </si>
  <si>
    <t>PENALITE_PRÊT</t>
  </si>
  <si>
    <t>MONTANT_MUTUELLE</t>
  </si>
  <si>
    <t>INTERET</t>
  </si>
  <si>
    <t>NET_ A_ PAYER</t>
  </si>
  <si>
    <t>PRÊT_FONDS_ENCOURS</t>
  </si>
  <si>
    <t>INTERET ANTERIEUR</t>
  </si>
  <si>
    <t>2019/2020</t>
  </si>
  <si>
    <t>AS201654</t>
  </si>
  <si>
    <t>DJOMO JEAN PAUL  AVANCE 80 000 DJOMO JEAN PAUL</t>
  </si>
  <si>
    <t>RECAPITULATIF 2020</t>
  </si>
  <si>
    <t>AOUT 2018 A NOVEMBRE 2019</t>
  </si>
  <si>
    <t>DETTE CHINGUE</t>
  </si>
  <si>
    <t>MONTANT DETTE</t>
  </si>
  <si>
    <t>REMBOURSEMENT</t>
  </si>
  <si>
    <t>DATE</t>
  </si>
  <si>
    <t>TONTINE 30000</t>
  </si>
  <si>
    <t>RECOUVREMENT MUTUELLE</t>
  </si>
  <si>
    <t>ABSENCE EXCUSSE</t>
  </si>
  <si>
    <t>TOTAL PENALITE</t>
  </si>
  <si>
    <t>A REMETTRE</t>
  </si>
  <si>
    <t>SITUATION KEPSEU</t>
  </si>
  <si>
    <t>avance</t>
  </si>
  <si>
    <t>DEDUIT DETTE</t>
  </si>
  <si>
    <t>AS201655</t>
  </si>
  <si>
    <t>NOV2020//</t>
  </si>
  <si>
    <t>AS201656</t>
  </si>
  <si>
    <t>COMPLEMENT MUTUELLE</t>
  </si>
  <si>
    <t>TOTAL RETENU</t>
  </si>
  <si>
    <t>MONTANT PERCU</t>
  </si>
  <si>
    <t>NOUVEAU FONDS</t>
  </si>
  <si>
    <t xml:space="preserve">TOTAL </t>
  </si>
  <si>
    <t>TOTAL  A PERCEVOIR</t>
  </si>
  <si>
    <t>DJOMOU TCHANDA</t>
  </si>
  <si>
    <t>TCHEMHOU EMMANUEL</t>
  </si>
  <si>
    <t>AUTRES ADHERENT</t>
  </si>
  <si>
    <t>REPARTITION PENALITE REMBOURSEMENT PRÊT</t>
  </si>
  <si>
    <t>REPARTITION COLLATION</t>
  </si>
  <si>
    <t>TOTAL  RELIQUAT/INTERET/ EPARGNE/BONUS</t>
  </si>
  <si>
    <t>TOTAL RETENU SANCTION/MUTUELLE/COMPL FONDS</t>
  </si>
  <si>
    <t>DISTRIBUTION EPARGNE 2020</t>
  </si>
  <si>
    <t>T10</t>
  </si>
  <si>
    <t>T20</t>
  </si>
  <si>
    <t>T50</t>
  </si>
  <si>
    <t>T150</t>
  </si>
  <si>
    <t>TOTAUX</t>
  </si>
  <si>
    <t>ENTREE</t>
  </si>
  <si>
    <t>SORTIE</t>
  </si>
  <si>
    <t xml:space="preserve">SOLDE </t>
  </si>
  <si>
    <t>MOIS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</si>
  <si>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</si>
  <si>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</si>
  <si>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</si>
  <si>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</si>
  <si>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</si>
  <si>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</si>
  <si>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</si>
  <si>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</si>
  <si>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</si>
  <si>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</si>
  <si>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</si>
  <si>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</si>
  <si>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REPORT</t>
  </si>
  <si>
    <t>MODE VERSEMENT PRÊT</t>
  </si>
  <si>
    <t>PENALITE ECHEC TONTINE</t>
  </si>
  <si>
    <t>PENALITE RETARD TONTINE</t>
  </si>
  <si>
    <t>FONDES DE DEPART</t>
  </si>
  <si>
    <t>RETRAIT PARTIEL</t>
  </si>
  <si>
    <t>FONDS DEFINITIF</t>
  </si>
  <si>
    <t>K</t>
  </si>
  <si>
    <t>REMBOURSEMENT TRANSPORT</t>
  </si>
  <si>
    <t>SITUATION KOUAMO VICTOR PEGUY</t>
  </si>
  <si>
    <t>ACTIF</t>
  </si>
  <si>
    <t>MONTANT</t>
  </si>
  <si>
    <t>PASSIF</t>
  </si>
  <si>
    <t xml:space="preserve">FONDS </t>
  </si>
  <si>
    <t>PRÊT</t>
  </si>
  <si>
    <t>T75</t>
  </si>
  <si>
    <t>EPARGNE EXERCISE</t>
  </si>
  <si>
    <t>RETENUE SUR PRÊT ASELBY</t>
  </si>
  <si>
    <t>RETENUE SSURANCE</t>
  </si>
  <si>
    <t>RETENUE CONJOINT SURVIVANT</t>
  </si>
  <si>
    <t>RESULTAT DEFICITAIRE</t>
  </si>
  <si>
    <t>FEVRIER</t>
  </si>
  <si>
    <t>DETTE TYAM</t>
  </si>
  <si>
    <t>DETTE TCHOUTOU</t>
  </si>
  <si>
    <t>DETTE NJEPDIO</t>
  </si>
  <si>
    <t>DETTE TCHOUATE</t>
  </si>
  <si>
    <t>SOLDE</t>
  </si>
  <si>
    <t>DETTE KEHEP DAVID</t>
  </si>
  <si>
    <t>DETTE KOUAMO EMMANUEL</t>
  </si>
  <si>
    <t>DETTEFOGANG ERIC</t>
  </si>
  <si>
    <t>DETTE FOTSO THOMAS</t>
  </si>
  <si>
    <t>AOUT</t>
  </si>
  <si>
    <t>PAYE</t>
  </si>
  <si>
    <t>SEPT</t>
  </si>
  <si>
    <t>OCT</t>
  </si>
  <si>
    <t>FOYER</t>
  </si>
  <si>
    <t>0CT</t>
  </si>
  <si>
    <t>SAISIE DECES PÈRE</t>
  </si>
  <si>
    <t>NOV</t>
  </si>
  <si>
    <t>SAISIE DECES EPOUSE</t>
  </si>
  <si>
    <t>DISTRIBUTION EPARGNE 2021</t>
  </si>
  <si>
    <t>MONTANT  A PERCEVOIR</t>
  </si>
  <si>
    <t>SOLDE FIN DEC 2021</t>
  </si>
  <si>
    <t>SOLDE DEC 2021</t>
  </si>
  <si>
    <t>DEC</t>
  </si>
  <si>
    <t>REMBOURSEMENT PRÊT</t>
  </si>
  <si>
    <t>OK</t>
  </si>
  <si>
    <t>KOUATCHO</t>
  </si>
  <si>
    <t>CONTRIBUTION FOYER</t>
  </si>
  <si>
    <t>DEPENSE FONCTIONNEMENT</t>
  </si>
  <si>
    <t>FEVRIER 2022</t>
  </si>
  <si>
    <t>DATE REMBOURSEMENT PRÊT</t>
  </si>
  <si>
    <t>PRÊT EN COURS</t>
  </si>
  <si>
    <t>DETTE CONSOLITE</t>
  </si>
  <si>
    <t>REPARTITION INTERET T100 2019/2020</t>
  </si>
  <si>
    <t xml:space="preserve">MONTANT INTERET </t>
  </si>
  <si>
    <t>NBRE ADHERENT</t>
  </si>
  <si>
    <t xml:space="preserve">AYANT DROIT </t>
  </si>
  <si>
    <t>TCHOUAMO MATHIEU</t>
  </si>
  <si>
    <t>SIME MATHIEU 1 ET 2</t>
  </si>
  <si>
    <t>MBOGNING TIEPMA 1 ET 2</t>
  </si>
  <si>
    <t>KOUMOU MOISE</t>
  </si>
  <si>
    <t>INTERET T100</t>
  </si>
  <si>
    <t>COMMISSION BUREAU</t>
  </si>
  <si>
    <t>NKAMGAING DEJOLIE</t>
  </si>
  <si>
    <t>COLLATION RECEPTION</t>
  </si>
  <si>
    <t>AIDE</t>
  </si>
  <si>
    <t>AGIOS BANCAIRE</t>
  </si>
  <si>
    <t>DETAIL CHEQUE</t>
  </si>
  <si>
    <t>RAPPORT FINANCIER</t>
  </si>
  <si>
    <t>DEPENSE PENALITE VERSEMENT BANQUE</t>
  </si>
  <si>
    <t>RUBRIQUE</t>
  </si>
  <si>
    <t>REPORT A NOUVEAU</t>
  </si>
  <si>
    <t>ENTREES</t>
  </si>
  <si>
    <t>SORTIES</t>
  </si>
  <si>
    <t>MUTUELLE\COMPLEMENT MUTUEL</t>
  </si>
  <si>
    <t>COMPTE AFRILAND</t>
  </si>
  <si>
    <t>SYNTHESE DES COMPTES</t>
  </si>
  <si>
    <t>PENALITES</t>
  </si>
  <si>
    <t>TONTINE DE PRESENCE</t>
  </si>
  <si>
    <t>CHAISES</t>
  </si>
  <si>
    <t>DIVERS</t>
  </si>
  <si>
    <t>TENUES</t>
  </si>
  <si>
    <t>FONDS GELES</t>
  </si>
  <si>
    <t>INTERETS ET AUTRES</t>
  </si>
  <si>
    <t>NUMERO ORDRE</t>
  </si>
  <si>
    <t>FONDS DE CAISSE ET RELIQUAT</t>
  </si>
  <si>
    <t>DISPOSITION DES FONDS</t>
  </si>
  <si>
    <t>COMPTE CCA AU 30/12/2022</t>
  </si>
  <si>
    <t>COMPTE MC²(NON ACTUALISE)</t>
  </si>
  <si>
    <t>DETTE PREFINANCEMENT LA'AGWEU</t>
  </si>
  <si>
    <t>RECOUVREMENT POUR LA'AGWEU</t>
  </si>
  <si>
    <t>DETTE MR KOUATCHO</t>
  </si>
  <si>
    <t>RESTE A RECUPERE AU CONSEIL</t>
  </si>
  <si>
    <t>FONDS EN CIRCULATION</t>
  </si>
  <si>
    <t>DETTES TONTINES</t>
  </si>
  <si>
    <t>AS201623</t>
  </si>
  <si>
    <t>AS201612</t>
  </si>
  <si>
    <t>INTERET TONTINE 100</t>
  </si>
  <si>
    <t>FONDS MUTUELLE</t>
  </si>
  <si>
    <t>REMBOURSEMENT PRÊT AU 18 DEC 22</t>
  </si>
  <si>
    <t>ADHERANT SANS FONS ENDETTE</t>
  </si>
  <si>
    <t>MONTANT A VERSE POUR ETRE EN REGLE</t>
  </si>
  <si>
    <t>MONTANT DEF A PAECEVOIR</t>
  </si>
  <si>
    <t>FR</t>
  </si>
  <si>
    <t>FE</t>
  </si>
  <si>
    <t>EP</t>
  </si>
  <si>
    <t>AUGMENTATION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</si>
</sst>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C]d\-mmm\-yy;@"/>
    <numFmt numFmtId="165" formatCode="#,##0;[Red]#,##0"/>
    <numFmt numFmtId="166" formatCode="[$-40C]mmm\-yy;@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1"/>
      <color theme="1"/>
      <name val="Castellar"/>
      <family val="1"/>
    </font>
    <font>
      <sz val="11"/>
      <name val="Britannic Bold"/>
      <family val="2"/>
    </font>
    <font>
      <sz val="11"/>
      <name val="Calibri"/>
      <family val="2"/>
      <scheme val="minor"/>
    </font>
    <font>
      <sz val="14"/>
      <color theme="1"/>
      <name val="Britannic Bold"/>
      <family val="2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rgb="FFFF0000"/>
      <name val="Calibri"/>
      <family val="2"/>
      <scheme val="minor"/>
    </font>
    <font>
      <sz val="11"/>
      <color rgb="FF00B050"/>
      <name val="Britannic Bold"/>
      <family val="2"/>
    </font>
    <font>
      <sz val="12"/>
      <color theme="1"/>
      <name val="Britannic Bold"/>
      <family val="2"/>
    </font>
    <font>
      <b/>
      <sz val="14"/>
      <color theme="1"/>
      <name val="Britannic Bold"/>
      <family val="2"/>
    </font>
    <font>
      <b/>
      <sz val="10"/>
      <color rgb="FF000000"/>
      <name val="Arial Black"/>
      <family val="2"/>
    </font>
    <font>
      <b/>
      <sz val="16"/>
      <color theme="1"/>
      <name val="Calibri"/>
      <family val="2"/>
      <scheme val="minor"/>
    </font>
    <font>
      <b/>
      <sz val="16"/>
      <color theme="1"/>
      <name val="Castellar"/>
      <family val="1"/>
    </font>
    <font>
      <b/>
      <sz val="11"/>
      <color theme="9"/>
      <name val="Castellar"/>
      <family val="1"/>
    </font>
    <font>
      <b/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1"/>
      <color theme="1"/>
      <name val="Castellar"/>
      <family val="1"/>
    </font>
    <font>
      <sz val="20"/>
      <color theme="1"/>
      <name val="Britannic Bold"/>
      <family val="2"/>
    </font>
    <font>
      <sz val="20"/>
      <color theme="1"/>
      <name val="Calibri"/>
      <family val="2"/>
      <scheme val="minor"/>
    </font>
    <font>
      <sz val="16"/>
      <color theme="1"/>
      <name val="Britannic Bold"/>
      <family val="2"/>
    </font>
    <font>
      <sz val="18"/>
      <color theme="1"/>
      <name val="Britannic Bold"/>
      <family val="2"/>
    </font>
    <font>
      <sz val="18"/>
      <color theme="1"/>
      <name val="Calibri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 style="double">
        <color auto="1"/>
      </left>
      <right/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double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</borders>
  <cellStyleXfs count="1">
    <xf numFmtId="0" fontId="0" fillId="0" borderId="0"/>
  </cellStyleXfs>
  <cellXfs count="161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2" fillId="0" borderId="0" xfId="0" applyNumberFormat="1" applyFont="1"/>
    <xf numFmtId="3" fontId="4" fillId="0" borderId="0" xfId="0" applyNumberFormat="1" applyFont="1"/>
    <xf numFmtId="0" fontId="4" fillId="0" borderId="0" xfId="0" applyFont="1"/>
    <xf numFmtId="3" fontId="5" fillId="0" borderId="0" xfId="0" applyNumberFormat="1" applyFont="1"/>
    <xf numFmtId="3" fontId="1" fillId="0" borderId="0" xfId="0" applyNumberFormat="1" applyFont="1" applyAlignment="1">
      <alignment horizontal="center"/>
    </xf>
    <xf numFmtId="3" fontId="6" fillId="0" borderId="0" xfId="0" applyNumberFormat="1" applyFont="1"/>
    <xf numFmtId="0" fontId="7" fillId="0" borderId="0" xfId="0" applyFont="1"/>
    <xf numFmtId="3" fontId="7" fillId="0" borderId="0" xfId="0" applyNumberFormat="1" applyFont="1"/>
    <xf numFmtId="0" fontId="6" fillId="0" borderId="0" xfId="0" applyFont="1"/>
    <xf numFmtId="0" fontId="1" fillId="0" borderId="0" xfId="0" applyFont="1" applyBorder="1"/>
    <xf numFmtId="17" fontId="5" fillId="0" borderId="0" xfId="0" applyNumberFormat="1" applyFont="1" applyAlignment="1">
      <alignment horizontal="center" vertical="center"/>
    </xf>
    <xf numFmtId="0" fontId="9" fillId="0" borderId="0" xfId="0" applyFont="1"/>
    <xf numFmtId="3" fontId="0" fillId="0" borderId="1" xfId="0" applyNumberFormat="1" applyBorder="1"/>
    <xf numFmtId="3" fontId="0" fillId="0" borderId="4" xfId="0" applyNumberFormat="1" applyBorder="1"/>
    <xf numFmtId="3" fontId="0" fillId="0" borderId="5" xfId="0" applyNumberFormat="1" applyBorder="1"/>
    <xf numFmtId="3" fontId="0" fillId="0" borderId="8" xfId="0" applyNumberFormat="1" applyBorder="1"/>
    <xf numFmtId="3" fontId="10" fillId="0" borderId="6" xfId="0" applyNumberFormat="1" applyFont="1" applyBorder="1"/>
    <xf numFmtId="3" fontId="10" fillId="0" borderId="7" xfId="0" applyNumberFormat="1" applyFont="1" applyBorder="1"/>
    <xf numFmtId="3" fontId="9" fillId="0" borderId="4" xfId="0" applyNumberFormat="1" applyFont="1" applyBorder="1"/>
    <xf numFmtId="3" fontId="9" fillId="0" borderId="5" xfId="0" applyNumberFormat="1" applyFont="1" applyBorder="1"/>
    <xf numFmtId="3" fontId="10" fillId="0" borderId="1" xfId="0" applyNumberFormat="1" applyFont="1" applyBorder="1"/>
    <xf numFmtId="0" fontId="11" fillId="0" borderId="0" xfId="0" applyFont="1"/>
    <xf numFmtId="3" fontId="12" fillId="2" borderId="2" xfId="0" applyNumberFormat="1" applyFont="1" applyFill="1" applyBorder="1"/>
    <xf numFmtId="3" fontId="12" fillId="2" borderId="3" xfId="0" applyNumberFormat="1" applyFont="1" applyFill="1" applyBorder="1" applyAlignment="1">
      <alignment horizontal="center" wrapText="1"/>
    </xf>
    <xf numFmtId="3" fontId="12" fillId="2" borderId="9" xfId="0" applyNumberFormat="1" applyFont="1" applyFill="1" applyBorder="1" applyAlignment="1">
      <alignment horizontal="center" wrapText="1"/>
    </xf>
    <xf numFmtId="3" fontId="10" fillId="0" borderId="10" xfId="0" applyNumberFormat="1" applyFont="1" applyFill="1" applyBorder="1"/>
    <xf numFmtId="3" fontId="10" fillId="0" borderId="0" xfId="0" applyNumberFormat="1" applyFont="1" applyFill="1" applyBorder="1"/>
    <xf numFmtId="3" fontId="12" fillId="2" borderId="10" xfId="0" applyNumberFormat="1" applyFont="1" applyFill="1" applyBorder="1" applyAlignment="1">
      <alignment horizontal="center" wrapText="1"/>
    </xf>
    <xf numFmtId="3" fontId="12" fillId="2" borderId="0" xfId="0" applyNumberFormat="1" applyFont="1" applyFill="1" applyBorder="1" applyAlignment="1">
      <alignment horizontal="center" wrapText="1"/>
    </xf>
    <xf numFmtId="0" fontId="15" fillId="0" borderId="0" xfId="0" applyFont="1"/>
    <xf numFmtId="3" fontId="16" fillId="0" borderId="0" xfId="0" applyNumberFormat="1" applyFont="1"/>
    <xf numFmtId="0" fontId="18" fillId="0" borderId="0" xfId="0" applyFont="1"/>
    <xf numFmtId="0" fontId="1" fillId="0" borderId="2" xfId="0" applyFont="1" applyBorder="1"/>
    <xf numFmtId="0" fontId="1" fillId="0" borderId="3" xfId="0" applyFont="1" applyBorder="1"/>
    <xf numFmtId="3" fontId="1" fillId="0" borderId="3" xfId="0" applyNumberFormat="1" applyFont="1" applyBorder="1" applyAlignment="1">
      <alignment wrapText="1"/>
    </xf>
    <xf numFmtId="3" fontId="1" fillId="0" borderId="9" xfId="0" applyNumberFormat="1" applyFont="1" applyBorder="1" applyAlignment="1">
      <alignment wrapText="1"/>
    </xf>
    <xf numFmtId="0" fontId="1" fillId="0" borderId="4" xfId="0" applyFont="1" applyBorder="1"/>
    <xf numFmtId="3" fontId="1" fillId="0" borderId="1" xfId="0" applyNumberFormat="1" applyFont="1" applyBorder="1"/>
    <xf numFmtId="3" fontId="1" fillId="0" borderId="5" xfId="0" applyNumberFormat="1" applyFont="1" applyBorder="1"/>
    <xf numFmtId="0" fontId="7" fillId="0" borderId="4" xfId="0" applyFont="1" applyBorder="1"/>
    <xf numFmtId="3" fontId="7" fillId="0" borderId="1" xfId="0" applyNumberFormat="1" applyFont="1" applyBorder="1"/>
    <xf numFmtId="0" fontId="3" fillId="0" borderId="4" xfId="0" applyFont="1" applyBorder="1"/>
    <xf numFmtId="3" fontId="3" fillId="0" borderId="1" xfId="0" applyNumberFormat="1" applyFont="1" applyBorder="1"/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3" fontId="5" fillId="0" borderId="1" xfId="0" applyNumberFormat="1" applyFont="1" applyBorder="1"/>
    <xf numFmtId="0" fontId="1" fillId="0" borderId="6" xfId="0" applyFont="1" applyBorder="1"/>
    <xf numFmtId="3" fontId="17" fillId="0" borderId="7" xfId="0" applyNumberFormat="1" applyFont="1" applyBorder="1"/>
    <xf numFmtId="3" fontId="17" fillId="0" borderId="8" xfId="0" applyNumberFormat="1" applyFont="1" applyBorder="1"/>
    <xf numFmtId="0" fontId="19" fillId="0" borderId="0" xfId="0" applyFont="1"/>
    <xf numFmtId="164" fontId="0" fillId="0" borderId="0" xfId="0" applyNumberFormat="1" applyAlignment="1">
      <alignment horizontal="center"/>
    </xf>
    <xf numFmtId="14" fontId="0" fillId="0" borderId="0" xfId="0" applyNumberFormat="1"/>
    <xf numFmtId="0" fontId="8" fillId="0" borderId="0" xfId="0" applyFont="1"/>
    <xf numFmtId="17" fontId="6" fillId="0" borderId="0" xfId="0" applyNumberFormat="1" applyFont="1"/>
    <xf numFmtId="3" fontId="3" fillId="0" borderId="0" xfId="0" applyNumberFormat="1" applyFont="1"/>
    <xf numFmtId="17" fontId="0" fillId="0" borderId="0" xfId="0" applyNumberFormat="1"/>
    <xf numFmtId="164" fontId="8" fillId="0" borderId="0" xfId="0" applyNumberFormat="1" applyFont="1" applyAlignment="1">
      <alignment horizontal="center"/>
    </xf>
    <xf numFmtId="0" fontId="1" fillId="0" borderId="5" xfId="0" applyFont="1" applyBorder="1"/>
    <xf numFmtId="0" fontId="7" fillId="0" borderId="1" xfId="0" applyFont="1" applyBorder="1"/>
    <xf numFmtId="3" fontId="7" fillId="0" borderId="5" xfId="0" applyNumberFormat="1" applyFont="1" applyBorder="1"/>
    <xf numFmtId="3" fontId="2" fillId="0" borderId="1" xfId="0" applyNumberFormat="1" applyFont="1" applyBorder="1"/>
    <xf numFmtId="0" fontId="1" fillId="0" borderId="7" xfId="0" applyFont="1" applyBorder="1"/>
    <xf numFmtId="0" fontId="1" fillId="2" borderId="2" xfId="0" applyFont="1" applyFill="1" applyBorder="1"/>
    <xf numFmtId="0" fontId="1" fillId="2" borderId="3" xfId="0" applyFont="1" applyFill="1" applyBorder="1"/>
    <xf numFmtId="3" fontId="1" fillId="2" borderId="3" xfId="0" applyNumberFormat="1" applyFont="1" applyFill="1" applyBorder="1" applyAlignment="1">
      <alignment wrapText="1"/>
    </xf>
    <xf numFmtId="3" fontId="1" fillId="2" borderId="9" xfId="0" applyNumberFormat="1" applyFont="1" applyFill="1" applyBorder="1" applyAlignment="1">
      <alignment wrapText="1"/>
    </xf>
    <xf numFmtId="3" fontId="5" fillId="0" borderId="7" xfId="0" applyNumberFormat="1" applyFont="1" applyBorder="1"/>
    <xf numFmtId="0" fontId="0" fillId="2" borderId="2" xfId="0" applyFill="1" applyBorder="1"/>
    <xf numFmtId="0" fontId="0" fillId="2" borderId="4" xfId="0" applyFill="1" applyBorder="1"/>
    <xf numFmtId="0" fontId="0" fillId="2" borderId="1" xfId="0" applyFill="1" applyBorder="1"/>
    <xf numFmtId="0" fontId="0" fillId="2" borderId="5" xfId="0" applyFill="1" applyBorder="1"/>
    <xf numFmtId="0" fontId="0" fillId="0" borderId="4" xfId="0" applyBorder="1"/>
    <xf numFmtId="3" fontId="10" fillId="0" borderId="5" xfId="0" applyNumberFormat="1" applyFont="1" applyBorder="1"/>
    <xf numFmtId="0" fontId="0" fillId="0" borderId="6" xfId="0" applyBorder="1"/>
    <xf numFmtId="3" fontId="10" fillId="0" borderId="8" xfId="0" applyNumberFormat="1" applyFont="1" applyBorder="1"/>
    <xf numFmtId="0" fontId="10" fillId="0" borderId="5" xfId="0" applyFont="1" applyBorder="1"/>
    <xf numFmtId="164" fontId="8" fillId="0" borderId="0" xfId="0" applyNumberFormat="1" applyFont="1" applyAlignment="1">
      <alignment horizontal="center"/>
    </xf>
    <xf numFmtId="0" fontId="1" fillId="0" borderId="0" xfId="0" applyFont="1" applyAlignment="1">
      <alignment horizontal="center" wrapText="1"/>
    </xf>
    <xf numFmtId="0" fontId="10" fillId="0" borderId="0" xfId="0" applyFont="1"/>
    <xf numFmtId="0" fontId="0" fillId="0" borderId="2" xfId="0" applyBorder="1"/>
    <xf numFmtId="0" fontId="0" fillId="0" borderId="3" xfId="0" applyBorder="1"/>
    <xf numFmtId="0" fontId="0" fillId="0" borderId="9" xfId="0" applyBorder="1"/>
    <xf numFmtId="3" fontId="2" fillId="0" borderId="5" xfId="0" applyNumberFormat="1" applyFont="1" applyBorder="1"/>
    <xf numFmtId="0" fontId="20" fillId="0" borderId="4" xfId="0" applyFont="1" applyBorder="1"/>
    <xf numFmtId="0" fontId="20" fillId="0" borderId="1" xfId="0" applyFont="1" applyBorder="1"/>
    <xf numFmtId="3" fontId="21" fillId="0" borderId="1" xfId="0" applyNumberFormat="1" applyFont="1" applyBorder="1"/>
    <xf numFmtId="3" fontId="21" fillId="0" borderId="5" xfId="0" applyNumberFormat="1" applyFont="1" applyBorder="1"/>
    <xf numFmtId="0" fontId="0" fillId="0" borderId="7" xfId="0" applyBorder="1"/>
    <xf numFmtId="165" fontId="8" fillId="0" borderId="7" xfId="0" applyNumberFormat="1" applyFont="1" applyBorder="1" applyProtection="1">
      <protection locked="0"/>
    </xf>
    <xf numFmtId="0" fontId="0" fillId="0" borderId="8" xfId="0" applyBorder="1"/>
    <xf numFmtId="0" fontId="9" fillId="0" borderId="7" xfId="0" applyFont="1" applyBorder="1"/>
    <xf numFmtId="3" fontId="22" fillId="0" borderId="0" xfId="0" applyNumberFormat="1" applyFont="1"/>
    <xf numFmtId="3" fontId="23" fillId="0" borderId="0" xfId="0" applyNumberFormat="1" applyFont="1"/>
    <xf numFmtId="3" fontId="24" fillId="0" borderId="0" xfId="0" applyNumberFormat="1" applyFont="1"/>
    <xf numFmtId="3" fontId="25" fillId="0" borderId="0" xfId="0" applyNumberFormat="1" applyFont="1"/>
    <xf numFmtId="3" fontId="20" fillId="0" borderId="0" xfId="0" applyNumberFormat="1" applyFont="1"/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3" fontId="26" fillId="0" borderId="0" xfId="0" applyNumberFormat="1" applyFont="1"/>
    <xf numFmtId="166" fontId="6" fillId="0" borderId="0" xfId="0" applyNumberFormat="1" applyFont="1"/>
    <xf numFmtId="0" fontId="1" fillId="0" borderId="0" xfId="0" applyFont="1" applyAlignment="1">
      <alignment horizontal="center"/>
    </xf>
    <xf numFmtId="0" fontId="10" fillId="2" borderId="2" xfId="0" applyFont="1" applyFill="1" applyBorder="1"/>
    <xf numFmtId="0" fontId="10" fillId="2" borderId="3" xfId="0" applyFont="1" applyFill="1" applyBorder="1" applyAlignment="1">
      <alignment wrapText="1"/>
    </xf>
    <xf numFmtId="0" fontId="10" fillId="2" borderId="3" xfId="0" applyFont="1" applyFill="1" applyBorder="1"/>
    <xf numFmtId="0" fontId="10" fillId="2" borderId="9" xfId="0" applyFont="1" applyFill="1" applyBorder="1"/>
    <xf numFmtId="3" fontId="9" fillId="0" borderId="0" xfId="0" applyNumberFormat="1" applyFont="1"/>
    <xf numFmtId="0" fontId="0" fillId="0" borderId="0" xfId="0" applyAlignment="1">
      <alignment horizontal="center"/>
    </xf>
    <xf numFmtId="0" fontId="0" fillId="0" borderId="0" xfId="0" applyBorder="1"/>
    <xf numFmtId="3" fontId="1" fillId="0" borderId="0" xfId="0" applyNumberFormat="1" applyFont="1" applyBorder="1"/>
    <xf numFmtId="3" fontId="7" fillId="0" borderId="0" xfId="0" applyNumberFormat="1" applyFont="1" applyBorder="1"/>
    <xf numFmtId="3" fontId="6" fillId="0" borderId="0" xfId="0" applyNumberFormat="1" applyFont="1" applyBorder="1"/>
    <xf numFmtId="3" fontId="0" fillId="0" borderId="0" xfId="0" applyNumberFormat="1" applyBorder="1"/>
    <xf numFmtId="0" fontId="6" fillId="0" borderId="0" xfId="0" applyFont="1" applyBorder="1"/>
    <xf numFmtId="3" fontId="18" fillId="0" borderId="0" xfId="0" applyNumberFormat="1" applyFont="1" applyBorder="1"/>
    <xf numFmtId="0" fontId="10" fillId="2" borderId="4" xfId="0" applyFont="1" applyFill="1" applyBorder="1"/>
    <xf numFmtId="0" fontId="10" fillId="2" borderId="1" xfId="0" applyFont="1" applyFill="1" applyBorder="1"/>
    <xf numFmtId="0" fontId="10" fillId="2" borderId="1" xfId="0" applyFont="1" applyFill="1" applyBorder="1" applyAlignment="1">
      <alignment wrapText="1"/>
    </xf>
    <xf numFmtId="0" fontId="10" fillId="2" borderId="5" xfId="0" applyFont="1" applyFill="1" applyBorder="1"/>
    <xf numFmtId="3" fontId="1" fillId="0" borderId="7" xfId="0" applyNumberFormat="1" applyFont="1" applyBorder="1"/>
    <xf numFmtId="3" fontId="1" fillId="0" borderId="8" xfId="0" applyNumberFormat="1" applyFont="1" applyBorder="1"/>
    <xf numFmtId="3" fontId="1" fillId="0" borderId="9" xfId="0" applyNumberFormat="1" applyFont="1" applyBorder="1"/>
    <xf numFmtId="3" fontId="32" fillId="0" borderId="1" xfId="0" applyNumberFormat="1" applyFont="1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9" fillId="0" borderId="7" xfId="0" applyFont="1" applyBorder="1"/>
    <xf numFmtId="3" fontId="29" fillId="0" borderId="7" xfId="0" applyNumberFormat="1" applyFont="1" applyBorder="1"/>
    <xf numFmtId="3" fontId="32" fillId="0" borderId="3" xfId="0" applyNumberFormat="1" applyFont="1" applyBorder="1"/>
    <xf numFmtId="0" fontId="6" fillId="0" borderId="4" xfId="0" applyNumberFormat="1" applyFont="1" applyBorder="1"/>
    <xf numFmtId="0" fontId="0" fillId="0" borderId="15" xfId="0" applyBorder="1"/>
    <xf numFmtId="0" fontId="1" fillId="0" borderId="16" xfId="0" applyFont="1" applyBorder="1"/>
    <xf numFmtId="3" fontId="1" fillId="0" borderId="16" xfId="0" applyNumberFormat="1" applyFont="1" applyBorder="1"/>
    <xf numFmtId="3" fontId="7" fillId="0" borderId="16" xfId="0" applyNumberFormat="1" applyFont="1" applyBorder="1"/>
    <xf numFmtId="3" fontId="1" fillId="0" borderId="17" xfId="0" applyNumberFormat="1" applyFont="1" applyBorder="1"/>
    <xf numFmtId="0" fontId="1" fillId="0" borderId="15" xfId="0" applyFont="1" applyBorder="1"/>
    <xf numFmtId="3" fontId="1" fillId="0" borderId="18" xfId="0" applyNumberFormat="1" applyFont="1" applyBorder="1"/>
    <xf numFmtId="3" fontId="1" fillId="2" borderId="10" xfId="0" applyNumberFormat="1" applyFont="1" applyFill="1" applyBorder="1" applyAlignment="1">
      <alignment wrapText="1"/>
    </xf>
    <xf numFmtId="3" fontId="1" fillId="2" borderId="0" xfId="0" applyNumberFormat="1" applyFont="1" applyFill="1" applyBorder="1" applyAlignment="1">
      <alignment wrapText="1"/>
    </xf>
    <xf numFmtId="164" fontId="8" fillId="0" borderId="0" xfId="0" applyNumberFormat="1" applyFont="1" applyAlignment="1">
      <alignment horizontal="center"/>
    </xf>
    <xf numFmtId="3" fontId="27" fillId="0" borderId="0" xfId="0" applyNumberFormat="1" applyFont="1" applyAlignment="1">
      <alignment horizontal="center" wrapText="1"/>
    </xf>
    <xf numFmtId="0" fontId="28" fillId="0" borderId="0" xfId="0" applyFont="1" applyAlignment="1">
      <alignment horizontal="center"/>
    </xf>
    <xf numFmtId="164" fontId="8" fillId="0" borderId="0" xfId="0" applyNumberFormat="1" applyFont="1" applyAlignment="1"/>
    <xf numFmtId="0" fontId="0" fillId="0" borderId="0" xfId="0" applyAlignment="1"/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30" fillId="0" borderId="0" xfId="0" applyNumberFormat="1" applyFont="1" applyBorder="1" applyAlignment="1">
      <alignment horizontal="center"/>
    </xf>
    <xf numFmtId="0" fontId="31" fillId="0" borderId="0" xfId="0" applyFont="1" applyBorder="1" applyAlignment="1">
      <alignment horizontal="center"/>
    </xf>
    <xf numFmtId="164" fontId="8" fillId="0" borderId="11" xfId="0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externalLink" Target="externalLinks/externalLink5.xml"/><Relationship Id="rId63" Type="http://schemas.openxmlformats.org/officeDocument/2006/relationships/externalLink" Target="externalLinks/externalLink21.xml"/><Relationship Id="rId68" Type="http://schemas.openxmlformats.org/officeDocument/2006/relationships/externalLink" Target="externalLinks/externalLink26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externalLink" Target="externalLinks/externalLink3.xml"/><Relationship Id="rId53" Type="http://schemas.openxmlformats.org/officeDocument/2006/relationships/externalLink" Target="externalLinks/externalLink11.xml"/><Relationship Id="rId58" Type="http://schemas.openxmlformats.org/officeDocument/2006/relationships/externalLink" Target="externalLinks/externalLink16.xml"/><Relationship Id="rId66" Type="http://schemas.openxmlformats.org/officeDocument/2006/relationships/externalLink" Target="externalLinks/externalLink24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19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1.xml"/><Relationship Id="rId48" Type="http://schemas.openxmlformats.org/officeDocument/2006/relationships/externalLink" Target="externalLinks/externalLink6.xml"/><Relationship Id="rId56" Type="http://schemas.openxmlformats.org/officeDocument/2006/relationships/externalLink" Target="externalLinks/externalLink14.xml"/><Relationship Id="rId64" Type="http://schemas.openxmlformats.org/officeDocument/2006/relationships/externalLink" Target="externalLinks/externalLink22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9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externalLink" Target="externalLinks/externalLink4.xml"/><Relationship Id="rId59" Type="http://schemas.openxmlformats.org/officeDocument/2006/relationships/externalLink" Target="externalLinks/externalLink17.xml"/><Relationship Id="rId67" Type="http://schemas.openxmlformats.org/officeDocument/2006/relationships/externalLink" Target="externalLinks/externalLink25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externalLink" Target="externalLinks/externalLink12.xml"/><Relationship Id="rId62" Type="http://schemas.openxmlformats.org/officeDocument/2006/relationships/externalLink" Target="externalLinks/externalLink20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7.xml"/><Relationship Id="rId57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2.xml"/><Relationship Id="rId52" Type="http://schemas.openxmlformats.org/officeDocument/2006/relationships/externalLink" Target="externalLinks/externalLink10.xml"/><Relationship Id="rId60" Type="http://schemas.openxmlformats.org/officeDocument/2006/relationships/externalLink" Target="externalLinks/externalLink18.xml"/><Relationship Id="rId65" Type="http://schemas.openxmlformats.org/officeDocument/2006/relationships/externalLink" Target="externalLinks/externalLink2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8.xml"/><Relationship Id="rId55" Type="http://schemas.openxmlformats.org/officeDocument/2006/relationships/externalLink" Target="externalLinks/externalLink1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SELBYTONTINE3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30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3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TONTINE2017\ASELBYTONTINEBACKUP\TONTASELB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ASELBYBURAEUDPA\ASELBYTONTINE2017\ASELBYTONTINEBACKUP\TONTASELBY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TONTASELBY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AUTREMOUVEMENT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AUTREMOUVEMEN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ROUEST2021AUTREMOUVEMEN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5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20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SELBYTONTINE10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2021/ASELBYTONTINE100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/ASELBYTONTINE1000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LISTEADHERENT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2022TABBORD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LISTEADHERENT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AUTREMOUVEMENT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ASELBYTONTINE60000%20-%202018_2019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10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200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300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50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10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/AROUESTTONTINE/AROUESTTONTINE150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/ASELBYTONTINE_2021/ASELBY2021TONTINE30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6">
          <cell r="C6">
            <v>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0</v>
          </cell>
        </row>
      </sheetData>
      <sheetData sheetId="14">
        <row r="7">
          <cell r="C7">
            <v>0</v>
          </cell>
        </row>
      </sheetData>
      <sheetData sheetId="1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TONTJANVTEST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7">
          <cell r="C7">
            <v>10000</v>
          </cell>
        </row>
      </sheetData>
      <sheetData sheetId="2">
        <row r="7">
          <cell r="C7">
            <v>10000</v>
          </cell>
        </row>
      </sheetData>
      <sheetData sheetId="3">
        <row r="7">
          <cell r="C7">
            <v>10000</v>
          </cell>
        </row>
      </sheetData>
      <sheetData sheetId="4">
        <row r="7">
          <cell r="C7">
            <v>10000</v>
          </cell>
        </row>
      </sheetData>
      <sheetData sheetId="5">
        <row r="7">
          <cell r="C7">
            <v>10000</v>
          </cell>
        </row>
      </sheetData>
      <sheetData sheetId="6">
        <row r="7">
          <cell r="C7">
            <v>10000</v>
          </cell>
        </row>
      </sheetData>
      <sheetData sheetId="7">
        <row r="7">
          <cell r="C7">
            <v>10000</v>
          </cell>
        </row>
      </sheetData>
      <sheetData sheetId="8">
        <row r="7">
          <cell r="C7">
            <v>10000</v>
          </cell>
        </row>
      </sheetData>
      <sheetData sheetId="9">
        <row r="7">
          <cell r="C7">
            <v>10000</v>
          </cell>
        </row>
      </sheetData>
      <sheetData sheetId="10">
        <row r="7">
          <cell r="C7">
            <v>10000</v>
          </cell>
        </row>
      </sheetData>
      <sheetData sheetId="11">
        <row r="7">
          <cell r="C7">
            <v>10000</v>
          </cell>
        </row>
      </sheetData>
      <sheetData sheetId="12">
        <row r="7">
          <cell r="C7">
            <v>10000</v>
          </cell>
        </row>
      </sheetData>
      <sheetData sheetId="13">
        <row r="7">
          <cell r="C7">
            <v>10000</v>
          </cell>
        </row>
      </sheetData>
      <sheetData sheetId="14">
        <row r="7">
          <cell r="C7">
            <v>10000</v>
          </cell>
        </row>
        <row r="51">
          <cell r="E51">
            <v>600000</v>
          </cell>
        </row>
      </sheetData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MVTREPARTITION"/>
      <sheetName val="MVTREPARTITIONEDIT"/>
      <sheetName val="MVTREPARTITIONEDIT (2)"/>
      <sheetName val="SITUATION KEPSEU"/>
      <sheetName val="CPTETCHEMNOU"/>
      <sheetName val="CPTECHINGUE"/>
      <sheetName val="MVTRESUME2019"/>
      <sheetName val="Feuil1"/>
      <sheetName val="MVTRESUMEEDIT2019"/>
      <sheetName val="MVTRESUMETAB"/>
      <sheetName val="MVTRESUME20BACKUP"/>
      <sheetName val="GESTTRESORERIE"/>
      <sheetName val="MVTREPARTITION (2)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>
        <row r="44">
          <cell r="C44">
            <v>16412126.924414562</v>
          </cell>
        </row>
      </sheetData>
      <sheetData sheetId="3">
        <row r="44">
          <cell r="C44">
            <v>119999.99999999997</v>
          </cell>
        </row>
      </sheetData>
      <sheetData sheetId="4">
        <row r="44">
          <cell r="C44">
            <v>244000.00000000006</v>
          </cell>
        </row>
      </sheetData>
      <sheetData sheetId="5">
        <row r="44">
          <cell r="C44">
            <v>0</v>
          </cell>
        </row>
      </sheetData>
      <sheetData sheetId="6">
        <row r="44">
          <cell r="C44">
            <v>0</v>
          </cell>
        </row>
      </sheetData>
      <sheetData sheetId="7">
        <row r="44">
          <cell r="C44">
            <v>20000</v>
          </cell>
        </row>
      </sheetData>
      <sheetData sheetId="8">
        <row r="44">
          <cell r="C44">
            <v>0</v>
          </cell>
        </row>
      </sheetData>
      <sheetData sheetId="9">
        <row r="44">
          <cell r="C44">
            <v>36180</v>
          </cell>
        </row>
      </sheetData>
      <sheetData sheetId="10">
        <row r="44">
          <cell r="C44">
            <v>0</v>
          </cell>
        </row>
      </sheetData>
      <sheetData sheetId="11">
        <row r="44">
          <cell r="C44">
            <v>1586800.0000000005</v>
          </cell>
        </row>
      </sheetData>
      <sheetData sheetId="12">
        <row r="2">
          <cell r="A2" t="str">
            <v>ANNEE</v>
          </cell>
        </row>
      </sheetData>
      <sheetData sheetId="13">
        <row r="40">
          <cell r="C40">
            <v>0</v>
          </cell>
        </row>
      </sheetData>
      <sheetData sheetId="14">
        <row r="44">
          <cell r="C44">
            <v>180000.00000000003</v>
          </cell>
        </row>
      </sheetData>
      <sheetData sheetId="15">
        <row r="44">
          <cell r="C44">
            <v>517300</v>
          </cell>
        </row>
      </sheetData>
      <sheetData sheetId="16">
        <row r="6">
          <cell r="A6" t="str">
            <v>AS201648</v>
          </cell>
        </row>
      </sheetData>
      <sheetData sheetId="17">
        <row r="6">
          <cell r="A6" t="str">
            <v>AS201648</v>
          </cell>
          <cell r="B6" t="str">
            <v>ASELBY</v>
          </cell>
          <cell r="C6">
            <v>456750.01108374598</v>
          </cell>
          <cell r="D6">
            <v>62668.935014227369</v>
          </cell>
          <cell r="E6">
            <v>48150.135608382057</v>
          </cell>
          <cell r="F6">
            <v>0</v>
          </cell>
          <cell r="G6">
            <v>16607.92384413473</v>
          </cell>
          <cell r="H6">
            <v>0</v>
          </cell>
          <cell r="I6">
            <v>127426.99446674416</v>
          </cell>
          <cell r="J6">
            <v>0</v>
          </cell>
          <cell r="K6">
            <v>0</v>
          </cell>
          <cell r="L6">
            <v>0</v>
          </cell>
          <cell r="M6">
            <v>0</v>
          </cell>
          <cell r="N6">
            <v>127426.99446674416</v>
          </cell>
          <cell r="P6">
            <v>127426.99446674416</v>
          </cell>
          <cell r="Q6">
            <v>584177.00555049011</v>
          </cell>
        </row>
        <row r="7">
          <cell r="A7" t="str">
            <v>AS201602</v>
          </cell>
          <cell r="B7" t="str">
            <v>BOUTCHOUANG WILLIAM</v>
          </cell>
          <cell r="C7">
            <v>510000</v>
          </cell>
          <cell r="D7">
            <v>3277.0176676906412</v>
          </cell>
          <cell r="E7">
            <v>52534.505556744625</v>
          </cell>
          <cell r="F7">
            <v>84000</v>
          </cell>
          <cell r="G7">
            <v>18544.15096873575</v>
          </cell>
          <cell r="H7">
            <v>14083.969465648855</v>
          </cell>
          <cell r="I7">
            <v>172439.64365881987</v>
          </cell>
          <cell r="J7">
            <v>0</v>
          </cell>
          <cell r="K7">
            <v>40000</v>
          </cell>
          <cell r="L7">
            <v>30000</v>
          </cell>
          <cell r="M7">
            <v>70000</v>
          </cell>
          <cell r="N7">
            <v>102439.64365881987</v>
          </cell>
          <cell r="O7">
            <v>100000</v>
          </cell>
          <cell r="P7">
            <v>2439.6436588198703</v>
          </cell>
          <cell r="Q7">
            <v>540000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510000</v>
          </cell>
          <cell r="D8">
            <v>3285.3583466450509</v>
          </cell>
          <cell r="E8">
            <v>54360.812004244573</v>
          </cell>
          <cell r="F8">
            <v>114500</v>
          </cell>
          <cell r="G8">
            <v>18544.15096873575</v>
          </cell>
          <cell r="H8">
            <v>14083.969465648855</v>
          </cell>
          <cell r="I8">
            <v>204774.29078527421</v>
          </cell>
          <cell r="J8">
            <v>6000</v>
          </cell>
          <cell r="K8">
            <v>40000</v>
          </cell>
          <cell r="L8">
            <v>30000</v>
          </cell>
          <cell r="M8">
            <v>76000</v>
          </cell>
          <cell r="N8">
            <v>128774.29078527421</v>
          </cell>
          <cell r="O8">
            <v>125000</v>
          </cell>
          <cell r="P8">
            <v>3774.2907852742064</v>
          </cell>
          <cell r="Q8">
            <v>540000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0</v>
          </cell>
          <cell r="E9">
            <v>0</v>
          </cell>
          <cell r="F9">
            <v>396000</v>
          </cell>
          <cell r="G9">
            <v>0</v>
          </cell>
          <cell r="H9">
            <v>14083.969465648855</v>
          </cell>
          <cell r="I9">
            <v>410083.96946564887</v>
          </cell>
          <cell r="J9">
            <v>6000</v>
          </cell>
          <cell r="K9">
            <v>40000</v>
          </cell>
          <cell r="L9">
            <v>0</v>
          </cell>
          <cell r="M9">
            <v>46000</v>
          </cell>
          <cell r="N9">
            <v>364083.96946564887</v>
          </cell>
          <cell r="P9">
            <v>0</v>
          </cell>
          <cell r="Q9">
            <v>408858.96946564887</v>
          </cell>
        </row>
        <row r="10">
          <cell r="A10" t="str">
            <v>AS201605</v>
          </cell>
          <cell r="B10" t="str">
            <v>DJOUKWE NANGUEN GUY BLAISE</v>
          </cell>
          <cell r="C10">
            <v>510000</v>
          </cell>
          <cell r="D10">
            <v>98831.460689131316</v>
          </cell>
          <cell r="E10">
            <v>86876.385649134521</v>
          </cell>
          <cell r="F10">
            <v>440000</v>
          </cell>
          <cell r="G10">
            <v>18544.15096873575</v>
          </cell>
          <cell r="H10">
            <v>14083.969465648855</v>
          </cell>
          <cell r="I10">
            <v>658335.96677265048</v>
          </cell>
          <cell r="J10">
            <v>0</v>
          </cell>
          <cell r="K10">
            <v>40000</v>
          </cell>
          <cell r="L10">
            <v>30000</v>
          </cell>
          <cell r="M10">
            <v>70000</v>
          </cell>
          <cell r="N10">
            <v>588335.96677265048</v>
          </cell>
          <cell r="O10">
            <v>75000</v>
          </cell>
          <cell r="P10">
            <v>213335.96677265048</v>
          </cell>
          <cell r="Q10">
            <v>540000</v>
          </cell>
        </row>
        <row r="11">
          <cell r="A11" t="str">
            <v>AS201608</v>
          </cell>
          <cell r="B11" t="str">
            <v>DJUOMBESSY ANTOINE</v>
          </cell>
          <cell r="C11">
            <v>510000</v>
          </cell>
          <cell r="D11">
            <v>3454.1340625486919</v>
          </cell>
          <cell r="E11">
            <v>52968.074240290727</v>
          </cell>
          <cell r="F11">
            <v>88500</v>
          </cell>
          <cell r="G11">
            <v>18544.15096873575</v>
          </cell>
          <cell r="H11">
            <v>14083.969465648855</v>
          </cell>
          <cell r="I11">
            <v>177550.32873722402</v>
          </cell>
          <cell r="J11">
            <v>0</v>
          </cell>
          <cell r="K11">
            <v>40000</v>
          </cell>
          <cell r="L11">
            <v>30000</v>
          </cell>
          <cell r="M11">
            <v>70000</v>
          </cell>
          <cell r="N11">
            <v>107550.32873722402</v>
          </cell>
          <cell r="O11">
            <v>100000</v>
          </cell>
          <cell r="P11">
            <v>7550.3287372240156</v>
          </cell>
          <cell r="Q11">
            <v>540000</v>
          </cell>
        </row>
        <row r="12">
          <cell r="A12" t="str">
            <v>AS201651</v>
          </cell>
          <cell r="B12" t="str">
            <v>DOMOU FABIEN</v>
          </cell>
          <cell r="C12">
            <v>510000</v>
          </cell>
          <cell r="D12">
            <v>0.31325073557673022</v>
          </cell>
          <cell r="E12">
            <v>52230.755061676609</v>
          </cell>
          <cell r="F12">
            <v>84000</v>
          </cell>
          <cell r="G12">
            <v>18544.15096873575</v>
          </cell>
          <cell r="H12">
            <v>14083.969465648855</v>
          </cell>
          <cell r="I12">
            <v>168859.18874679678</v>
          </cell>
          <cell r="J12">
            <v>0</v>
          </cell>
          <cell r="K12">
            <v>40000</v>
          </cell>
          <cell r="L12">
            <v>30000</v>
          </cell>
          <cell r="M12">
            <v>70000</v>
          </cell>
          <cell r="N12">
            <v>98859.188746796775</v>
          </cell>
          <cell r="O12">
            <v>90000</v>
          </cell>
          <cell r="P12">
            <v>8859.1887467967754</v>
          </cell>
          <cell r="Q12">
            <v>540000</v>
          </cell>
        </row>
        <row r="13">
          <cell r="A13" t="str">
            <v>AS201609</v>
          </cell>
          <cell r="B13" t="str">
            <v>DONHOU DAVID</v>
          </cell>
          <cell r="C13">
            <v>510000</v>
          </cell>
          <cell r="D13">
            <v>237362.07686606765</v>
          </cell>
          <cell r="E13">
            <v>74234.190231265544</v>
          </cell>
          <cell r="F13">
            <v>84000</v>
          </cell>
          <cell r="G13">
            <v>18544.15096873575</v>
          </cell>
          <cell r="H13">
            <v>14083.969465648855</v>
          </cell>
          <cell r="I13">
            <v>428224.38753171783</v>
          </cell>
          <cell r="J13">
            <v>32000</v>
          </cell>
          <cell r="K13">
            <v>40000</v>
          </cell>
          <cell r="L13">
            <v>30000</v>
          </cell>
          <cell r="M13">
            <v>102000</v>
          </cell>
          <cell r="N13">
            <v>326224.38753171783</v>
          </cell>
          <cell r="P13">
            <v>326224.38753171783</v>
          </cell>
          <cell r="Q13">
            <v>540000</v>
          </cell>
        </row>
        <row r="14">
          <cell r="A14" t="str">
            <v>AS201610</v>
          </cell>
          <cell r="B14" t="str">
            <v>FOTSO THOMAS</v>
          </cell>
          <cell r="C14">
            <v>510000</v>
          </cell>
          <cell r="D14">
            <v>4306.1020887806662</v>
          </cell>
          <cell r="E14">
            <v>51480.890086558793</v>
          </cell>
          <cell r="F14">
            <v>60000</v>
          </cell>
          <cell r="G14">
            <v>18544.15096873575</v>
          </cell>
          <cell r="H14">
            <v>12519.08396946565</v>
          </cell>
          <cell r="I14">
            <v>146850.22711354087</v>
          </cell>
          <cell r="J14">
            <v>33000</v>
          </cell>
          <cell r="K14">
            <v>40000</v>
          </cell>
          <cell r="L14">
            <v>30000</v>
          </cell>
          <cell r="M14">
            <v>103000</v>
          </cell>
          <cell r="N14">
            <v>43850.227113540866</v>
          </cell>
          <cell r="O14">
            <v>40000</v>
          </cell>
          <cell r="P14">
            <v>3850.2271135408664</v>
          </cell>
          <cell r="Q14">
            <v>540000</v>
          </cell>
        </row>
        <row r="15">
          <cell r="A15" t="str">
            <v>AS201611</v>
          </cell>
          <cell r="B15" t="str">
            <v>HENGUE PAUL OMER</v>
          </cell>
          <cell r="C15">
            <v>510000</v>
          </cell>
          <cell r="D15">
            <v>103426.16782945365</v>
          </cell>
          <cell r="E15">
            <v>61700.630312490488</v>
          </cell>
          <cell r="F15">
            <v>83000</v>
          </cell>
          <cell r="G15">
            <v>18544.15096873575</v>
          </cell>
          <cell r="H15">
            <v>14083.969465648855</v>
          </cell>
          <cell r="I15">
            <v>280754.91857632878</v>
          </cell>
          <cell r="J15">
            <v>44000</v>
          </cell>
          <cell r="K15">
            <v>40000</v>
          </cell>
          <cell r="L15">
            <v>30000</v>
          </cell>
          <cell r="M15">
            <v>114000</v>
          </cell>
          <cell r="N15">
            <v>166754.91857632878</v>
          </cell>
          <cell r="P15">
            <v>166754.91857632878</v>
          </cell>
          <cell r="Q15">
            <v>540000</v>
          </cell>
        </row>
        <row r="16">
          <cell r="A16" t="str">
            <v>AS201613</v>
          </cell>
          <cell r="B16" t="str">
            <v>HOTCHO BENJAMIN</v>
          </cell>
          <cell r="C16">
            <v>510000</v>
          </cell>
          <cell r="D16">
            <v>62933.718464401551</v>
          </cell>
          <cell r="E16">
            <v>66707.628287504063</v>
          </cell>
          <cell r="F16">
            <v>329000</v>
          </cell>
          <cell r="G16">
            <v>18544.15096873575</v>
          </cell>
          <cell r="H16">
            <v>14083.969465648855</v>
          </cell>
          <cell r="I16">
            <v>491269.46718629025</v>
          </cell>
          <cell r="J16">
            <v>16000</v>
          </cell>
          <cell r="K16">
            <v>40000</v>
          </cell>
          <cell r="L16">
            <v>30000</v>
          </cell>
          <cell r="M16">
            <v>86000</v>
          </cell>
          <cell r="N16">
            <v>405269.46718629025</v>
          </cell>
          <cell r="P16">
            <v>405269.46718629025</v>
          </cell>
          <cell r="Q16">
            <v>540000</v>
          </cell>
        </row>
        <row r="17">
          <cell r="A17" t="str">
            <v>AS201615</v>
          </cell>
          <cell r="B17" t="str">
            <v>KEPSEU FRANCIS</v>
          </cell>
          <cell r="C17">
            <v>510000</v>
          </cell>
          <cell r="D17">
            <v>1276932.807427818</v>
          </cell>
          <cell r="E17">
            <v>173343.82646120794</v>
          </cell>
          <cell r="F17">
            <v>60000</v>
          </cell>
          <cell r="G17">
            <v>0</v>
          </cell>
          <cell r="H17">
            <v>0</v>
          </cell>
          <cell r="I17">
            <v>1510276.633889026</v>
          </cell>
          <cell r="J17">
            <v>0</v>
          </cell>
          <cell r="M17">
            <v>0</v>
          </cell>
          <cell r="N17">
            <v>1510276.633889026</v>
          </cell>
          <cell r="O17">
            <v>2020276.633889026</v>
          </cell>
          <cell r="Q17">
            <v>510000</v>
          </cell>
        </row>
        <row r="18">
          <cell r="A18" t="str">
            <v>AS201618</v>
          </cell>
          <cell r="B18" t="str">
            <v>KOUAMO VICTOR PEGUY</v>
          </cell>
          <cell r="C18">
            <v>510000</v>
          </cell>
          <cell r="D18">
            <v>50661.407950449386</v>
          </cell>
          <cell r="E18">
            <v>48820.344987881683</v>
          </cell>
          <cell r="F18">
            <v>15000</v>
          </cell>
          <cell r="G18">
            <v>0</v>
          </cell>
          <cell r="H18">
            <v>0</v>
          </cell>
          <cell r="I18">
            <v>114481.75293833108</v>
          </cell>
          <cell r="J18">
            <v>0</v>
          </cell>
          <cell r="M18">
            <v>0</v>
          </cell>
          <cell r="N18">
            <v>114481.75293833108</v>
          </cell>
          <cell r="O18">
            <v>114482</v>
          </cell>
        </row>
        <row r="19">
          <cell r="A19" t="str">
            <v>AS201617</v>
          </cell>
          <cell r="B19" t="str">
            <v>KOUAMOU MOISE</v>
          </cell>
          <cell r="C19">
            <v>510000</v>
          </cell>
          <cell r="D19">
            <v>6792.7620620336966</v>
          </cell>
          <cell r="E19">
            <v>52639.432254823805</v>
          </cell>
          <cell r="F19">
            <v>81000</v>
          </cell>
          <cell r="G19">
            <v>18544.15096873575</v>
          </cell>
          <cell r="H19">
            <v>14083.969465648855</v>
          </cell>
          <cell r="I19">
            <v>173060.31475124208</v>
          </cell>
          <cell r="J19">
            <v>16000</v>
          </cell>
          <cell r="K19">
            <v>40000</v>
          </cell>
          <cell r="L19">
            <v>30000</v>
          </cell>
          <cell r="M19">
            <v>86000</v>
          </cell>
          <cell r="N19">
            <v>87060.314751242084</v>
          </cell>
          <cell r="O19">
            <v>80000</v>
          </cell>
          <cell r="P19">
            <v>7060.3147512420837</v>
          </cell>
          <cell r="Q19">
            <v>540000</v>
          </cell>
        </row>
        <row r="20">
          <cell r="A20" t="str">
            <v>AS201619</v>
          </cell>
          <cell r="B20" t="str">
            <v>KOUATCHO MESSACK</v>
          </cell>
          <cell r="C20">
            <v>510000</v>
          </cell>
          <cell r="D20">
            <v>14495.090798056219</v>
          </cell>
          <cell r="E20">
            <v>53866.207526025137</v>
          </cell>
          <cell r="F20">
            <v>90500</v>
          </cell>
          <cell r="G20">
            <v>18544.15096873575</v>
          </cell>
          <cell r="H20">
            <v>14083.969465648855</v>
          </cell>
          <cell r="I20">
            <v>191489.41875846594</v>
          </cell>
          <cell r="J20">
            <v>16000</v>
          </cell>
          <cell r="K20">
            <v>40000</v>
          </cell>
          <cell r="L20">
            <v>30000</v>
          </cell>
          <cell r="M20">
            <v>86000</v>
          </cell>
          <cell r="N20">
            <v>105489.41875846594</v>
          </cell>
          <cell r="O20">
            <v>105000</v>
          </cell>
          <cell r="P20">
            <v>489.41875846593757</v>
          </cell>
          <cell r="Q20">
            <v>540000</v>
          </cell>
        </row>
        <row r="21">
          <cell r="A21" t="str">
            <v>AS201620</v>
          </cell>
          <cell r="B21" t="str">
            <v>LOWE JEAN</v>
          </cell>
          <cell r="C21">
            <v>510000</v>
          </cell>
          <cell r="D21">
            <v>3644.5828429263202</v>
          </cell>
          <cell r="E21">
            <v>52568.578847997225</v>
          </cell>
          <cell r="F21">
            <v>84000</v>
          </cell>
          <cell r="G21">
            <v>18544.15096873575</v>
          </cell>
          <cell r="H21">
            <v>14083.969465648855</v>
          </cell>
          <cell r="I21">
            <v>172841.28212530815</v>
          </cell>
          <cell r="J21">
            <v>16000</v>
          </cell>
          <cell r="K21">
            <v>40000</v>
          </cell>
          <cell r="L21">
            <v>30000</v>
          </cell>
          <cell r="M21">
            <v>86000</v>
          </cell>
          <cell r="N21">
            <v>86841.282125308149</v>
          </cell>
          <cell r="O21">
            <v>80000</v>
          </cell>
          <cell r="P21">
            <v>6841.2821253081493</v>
          </cell>
          <cell r="Q21">
            <v>540000</v>
          </cell>
        </row>
        <row r="22">
          <cell r="A22" t="str">
            <v>AS201649</v>
          </cell>
          <cell r="B22" t="str">
            <v>MBOGNING TUGMA GUY</v>
          </cell>
          <cell r="C22">
            <v>510000</v>
          </cell>
          <cell r="D22">
            <v>519.80178948312823</v>
          </cell>
          <cell r="E22">
            <v>52431.191776844593</v>
          </cell>
          <cell r="F22">
            <v>86000</v>
          </cell>
          <cell r="G22">
            <v>18544.15096873575</v>
          </cell>
          <cell r="H22">
            <v>14083.969465648855</v>
          </cell>
          <cell r="I22">
            <v>171579.11400071232</v>
          </cell>
          <cell r="J22">
            <v>0</v>
          </cell>
          <cell r="K22">
            <v>40000</v>
          </cell>
          <cell r="L22">
            <v>30000</v>
          </cell>
          <cell r="M22">
            <v>70000</v>
          </cell>
          <cell r="N22">
            <v>101579.11400071232</v>
          </cell>
          <cell r="O22">
            <v>100000</v>
          </cell>
          <cell r="P22">
            <v>1579.1140007123176</v>
          </cell>
          <cell r="Q22">
            <v>540000</v>
          </cell>
        </row>
        <row r="23">
          <cell r="A23" t="str">
            <v>AS201639</v>
          </cell>
          <cell r="B23" t="str">
            <v>NANGUEN MARTIN</v>
          </cell>
          <cell r="C23">
            <v>510000</v>
          </cell>
          <cell r="D23">
            <v>33727.346850972681</v>
          </cell>
          <cell r="E23">
            <v>56485.75035687245</v>
          </cell>
          <cell r="F23">
            <v>99000</v>
          </cell>
          <cell r="G23">
            <v>18544.15096873575</v>
          </cell>
          <cell r="H23">
            <v>14083.969465648855</v>
          </cell>
          <cell r="I23">
            <v>221841.21764222972</v>
          </cell>
          <cell r="J23">
            <v>16000</v>
          </cell>
          <cell r="K23">
            <v>40000</v>
          </cell>
          <cell r="L23">
            <v>30000</v>
          </cell>
          <cell r="M23">
            <v>86000</v>
          </cell>
          <cell r="N23">
            <v>135841.21764222972</v>
          </cell>
          <cell r="P23">
            <v>135841.21764222972</v>
          </cell>
          <cell r="Q23">
            <v>540000</v>
          </cell>
        </row>
        <row r="24">
          <cell r="A24" t="str">
            <v>AS201621</v>
          </cell>
          <cell r="B24" t="str">
            <v>NANKAM APPOLINAIRE</v>
          </cell>
          <cell r="C24">
            <v>510000</v>
          </cell>
          <cell r="D24">
            <v>5362.048551905551</v>
          </cell>
          <cell r="E24">
            <v>52727.787916921923</v>
          </cell>
          <cell r="F24">
            <v>84000</v>
          </cell>
          <cell r="G24">
            <v>18544.15096873575</v>
          </cell>
          <cell r="H24">
            <v>14083.969465648855</v>
          </cell>
          <cell r="I24">
            <v>174717.95690321206</v>
          </cell>
          <cell r="J24">
            <v>22000</v>
          </cell>
          <cell r="K24">
            <v>40000</v>
          </cell>
          <cell r="L24">
            <v>30000</v>
          </cell>
          <cell r="M24">
            <v>92000</v>
          </cell>
          <cell r="N24">
            <v>82717.956903212063</v>
          </cell>
          <cell r="P24">
            <v>82717.956903212063</v>
          </cell>
          <cell r="Q24">
            <v>540000</v>
          </cell>
        </row>
        <row r="25">
          <cell r="A25" t="str">
            <v>AS201622</v>
          </cell>
          <cell r="B25" t="str">
            <v>NDJOMO ETIENNE</v>
          </cell>
          <cell r="C25">
            <v>510000</v>
          </cell>
          <cell r="D25">
            <v>29957.294361647102</v>
          </cell>
          <cell r="E25">
            <v>57685.764601561154</v>
          </cell>
          <cell r="F25">
            <v>128000</v>
          </cell>
          <cell r="G25">
            <v>18544.15096873575</v>
          </cell>
          <cell r="H25">
            <v>14083.969465648855</v>
          </cell>
          <cell r="I25">
            <v>248271.17939759284</v>
          </cell>
          <cell r="J25">
            <v>13000</v>
          </cell>
          <cell r="K25">
            <v>40000</v>
          </cell>
          <cell r="L25">
            <v>30000</v>
          </cell>
          <cell r="M25">
            <v>83000</v>
          </cell>
          <cell r="N25">
            <v>165271.17939759284</v>
          </cell>
          <cell r="O25">
            <v>100000</v>
          </cell>
          <cell r="P25">
            <v>65271.179397592845</v>
          </cell>
          <cell r="Q25">
            <v>540000</v>
          </cell>
        </row>
        <row r="26">
          <cell r="A26" t="str">
            <v>AS201624</v>
          </cell>
          <cell r="B26" t="str">
            <v>NGONDIEP CLAUDE</v>
          </cell>
          <cell r="C26">
            <v>510000</v>
          </cell>
          <cell r="D26">
            <v>10000.287403523515</v>
          </cell>
          <cell r="E26">
            <v>60504.980539033699</v>
          </cell>
          <cell r="F26">
            <v>194000</v>
          </cell>
          <cell r="G26">
            <v>18544.15096873575</v>
          </cell>
          <cell r="H26">
            <v>14083.969465648855</v>
          </cell>
          <cell r="I26">
            <v>297133.38837694185</v>
          </cell>
          <cell r="J26">
            <v>44000</v>
          </cell>
          <cell r="K26">
            <v>40000</v>
          </cell>
          <cell r="L26">
            <v>30000</v>
          </cell>
          <cell r="M26">
            <v>114000</v>
          </cell>
          <cell r="N26">
            <v>183133.38837694185</v>
          </cell>
          <cell r="O26">
            <v>183000</v>
          </cell>
          <cell r="P26">
            <v>133.38837694184622</v>
          </cell>
          <cell r="Q26">
            <v>540000</v>
          </cell>
        </row>
        <row r="27">
          <cell r="A27" t="str">
            <v>AS201626</v>
          </cell>
          <cell r="B27" t="str">
            <v>NGUIEMEGNI MATHIEU BLAISE</v>
          </cell>
          <cell r="C27">
            <v>510000</v>
          </cell>
          <cell r="D27">
            <v>15308.565179932339</v>
          </cell>
          <cell r="E27">
            <v>53794.380740985915</v>
          </cell>
          <cell r="F27">
            <v>104000</v>
          </cell>
          <cell r="G27">
            <v>18544.15096873575</v>
          </cell>
          <cell r="H27">
            <v>14083.969465648855</v>
          </cell>
          <cell r="I27">
            <v>205731.06635530284</v>
          </cell>
          <cell r="J27">
            <v>6000</v>
          </cell>
          <cell r="K27">
            <v>40000</v>
          </cell>
          <cell r="L27">
            <v>30000</v>
          </cell>
          <cell r="M27">
            <v>76000</v>
          </cell>
          <cell r="N27">
            <v>129731.06635530284</v>
          </cell>
          <cell r="O27">
            <v>100000</v>
          </cell>
          <cell r="P27">
            <v>29731.066355302843</v>
          </cell>
          <cell r="Q27">
            <v>540000</v>
          </cell>
        </row>
        <row r="28">
          <cell r="A28" t="str">
            <v>AS201628</v>
          </cell>
          <cell r="B28" t="str">
            <v>NKAMGANG JUSTIN DEJOLIE</v>
          </cell>
          <cell r="C28">
            <v>510000</v>
          </cell>
          <cell r="D28">
            <v>74462.341385292879</v>
          </cell>
          <cell r="E28">
            <v>59354.367772704602</v>
          </cell>
          <cell r="F28">
            <v>87000</v>
          </cell>
          <cell r="G28">
            <v>18544.15096873575</v>
          </cell>
          <cell r="H28">
            <v>14083.969465648855</v>
          </cell>
          <cell r="I28">
            <v>253444.82959238207</v>
          </cell>
          <cell r="J28">
            <v>10000</v>
          </cell>
          <cell r="K28">
            <v>40000</v>
          </cell>
          <cell r="L28">
            <v>30000</v>
          </cell>
          <cell r="M28">
            <v>80000</v>
          </cell>
          <cell r="N28">
            <v>173444.82959238207</v>
          </cell>
          <cell r="O28">
            <v>170000</v>
          </cell>
          <cell r="P28">
            <v>3444.8295923820697</v>
          </cell>
          <cell r="Q28">
            <v>540000</v>
          </cell>
        </row>
        <row r="29">
          <cell r="A29" t="str">
            <v>AS201614</v>
          </cell>
          <cell r="B29" t="str">
            <v>NKEHE DAVID</v>
          </cell>
          <cell r="C29">
            <v>481829</v>
          </cell>
          <cell r="D29">
            <v>3400.5702332210203</v>
          </cell>
          <cell r="E29">
            <v>51524.746614350093</v>
          </cell>
          <cell r="F29">
            <v>51000</v>
          </cell>
          <cell r="G29">
            <v>0</v>
          </cell>
          <cell r="H29">
            <v>0</v>
          </cell>
          <cell r="I29">
            <v>105925.31684757111</v>
          </cell>
          <cell r="J29">
            <v>32000</v>
          </cell>
          <cell r="K29">
            <v>40000</v>
          </cell>
          <cell r="L29">
            <v>30000</v>
          </cell>
          <cell r="M29">
            <v>102000</v>
          </cell>
          <cell r="N29">
            <v>3925.3168475711136</v>
          </cell>
          <cell r="P29">
            <v>3925.3168475711136</v>
          </cell>
          <cell r="Q29">
            <v>511829</v>
          </cell>
        </row>
        <row r="30">
          <cell r="A30" t="str">
            <v>AS201629</v>
          </cell>
          <cell r="B30" t="str">
            <v>NKEPSEU DIEUDONNE</v>
          </cell>
          <cell r="C30">
            <v>510000</v>
          </cell>
          <cell r="D30">
            <v>4328.4253872003756</v>
          </cell>
          <cell r="E30">
            <v>53513.506052148427</v>
          </cell>
          <cell r="F30">
            <v>94500</v>
          </cell>
          <cell r="G30">
            <v>18544.15096873575</v>
          </cell>
          <cell r="H30">
            <v>14083.969465648855</v>
          </cell>
          <cell r="I30">
            <v>184970.05187373338</v>
          </cell>
          <cell r="J30">
            <v>16000</v>
          </cell>
          <cell r="K30">
            <v>40000</v>
          </cell>
          <cell r="L30">
            <v>30000</v>
          </cell>
          <cell r="M30">
            <v>86000</v>
          </cell>
          <cell r="N30">
            <v>98970.051873733377</v>
          </cell>
          <cell r="P30">
            <v>98970.051873733377</v>
          </cell>
          <cell r="Q30">
            <v>540000</v>
          </cell>
        </row>
        <row r="31">
          <cell r="A31" t="str">
            <v>AS201633</v>
          </cell>
          <cell r="B31" t="str">
            <v>PATEGO NJOSSU GUSTAVE</v>
          </cell>
          <cell r="C31">
            <v>510000</v>
          </cell>
          <cell r="D31">
            <v>148793.36001648739</v>
          </cell>
          <cell r="E31">
            <v>66023.870297800328</v>
          </cell>
          <cell r="F31">
            <v>84000</v>
          </cell>
          <cell r="G31">
            <v>18544.15096873575</v>
          </cell>
          <cell r="H31">
            <v>14083.969465648855</v>
          </cell>
          <cell r="I31">
            <v>331445.35074867232</v>
          </cell>
          <cell r="J31">
            <v>30000</v>
          </cell>
          <cell r="K31">
            <v>40000</v>
          </cell>
          <cell r="L31">
            <v>30000</v>
          </cell>
          <cell r="M31">
            <v>100000</v>
          </cell>
          <cell r="N31">
            <v>231445.35074867232</v>
          </cell>
          <cell r="P31">
            <v>231445.35074867232</v>
          </cell>
          <cell r="Q31">
            <v>540000</v>
          </cell>
        </row>
        <row r="32">
          <cell r="A32" t="str">
            <v>AS201653</v>
          </cell>
          <cell r="B32" t="str">
            <v>SIME BRICE</v>
          </cell>
          <cell r="C32">
            <v>145376.91333081503</v>
          </cell>
          <cell r="D32">
            <v>-8.6669185460777953E-2</v>
          </cell>
          <cell r="E32">
            <v>14408.049442473102</v>
          </cell>
          <cell r="F32">
            <v>354000</v>
          </cell>
          <cell r="G32">
            <v>0</v>
          </cell>
          <cell r="H32">
            <v>14083.969465648855</v>
          </cell>
          <cell r="I32">
            <v>382491.93223893654</v>
          </cell>
          <cell r="J32">
            <v>41000</v>
          </cell>
          <cell r="K32">
            <v>40000</v>
          </cell>
          <cell r="L32">
            <v>30000</v>
          </cell>
          <cell r="M32">
            <v>111000</v>
          </cell>
          <cell r="N32">
            <v>271491.93223893654</v>
          </cell>
          <cell r="P32">
            <v>127818.84556975157</v>
          </cell>
          <cell r="Q32">
            <v>540000</v>
          </cell>
        </row>
        <row r="33">
          <cell r="A33" t="str">
            <v>AS201636</v>
          </cell>
          <cell r="B33" t="str">
            <v>SIMO FONGANG ERIC</v>
          </cell>
          <cell r="C33">
            <v>510000</v>
          </cell>
          <cell r="D33">
            <v>4952.4567591755185</v>
          </cell>
          <cell r="E33">
            <v>52094.591184285193</v>
          </cell>
          <cell r="F33">
            <v>74000</v>
          </cell>
          <cell r="G33">
            <v>18544.15096873575</v>
          </cell>
          <cell r="H33">
            <v>12519.08396946565</v>
          </cell>
          <cell r="I33">
            <v>162110.28288166213</v>
          </cell>
          <cell r="J33">
            <v>0</v>
          </cell>
          <cell r="K33">
            <v>40000</v>
          </cell>
          <cell r="L33">
            <v>30000</v>
          </cell>
          <cell r="M33">
            <v>70000</v>
          </cell>
          <cell r="N33">
            <v>92110.282881662133</v>
          </cell>
          <cell r="P33">
            <v>59110.282881662133</v>
          </cell>
          <cell r="Q33">
            <v>540000</v>
          </cell>
        </row>
        <row r="34">
          <cell r="A34" t="str">
            <v>AS201637</v>
          </cell>
          <cell r="B34" t="str">
            <v>SIME MATHIEU</v>
          </cell>
          <cell r="C34">
            <v>510000</v>
          </cell>
          <cell r="D34">
            <v>133793.71388976372</v>
          </cell>
          <cell r="E34">
            <v>64633.403121920193</v>
          </cell>
          <cell r="F34">
            <v>84000</v>
          </cell>
          <cell r="G34">
            <v>18544.15096873575</v>
          </cell>
          <cell r="H34">
            <v>14083.969465648855</v>
          </cell>
          <cell r="I34">
            <v>315055.2374460685</v>
          </cell>
          <cell r="J34">
            <v>16000</v>
          </cell>
          <cell r="K34">
            <v>40000</v>
          </cell>
          <cell r="L34">
            <v>30000</v>
          </cell>
          <cell r="M34">
            <v>86000</v>
          </cell>
          <cell r="N34">
            <v>229055.2374460685</v>
          </cell>
          <cell r="Q34">
            <v>540000</v>
          </cell>
        </row>
        <row r="35">
          <cell r="A35" t="str">
            <v>AS201638</v>
          </cell>
          <cell r="B35" t="str">
            <v>SIMO PIERRE</v>
          </cell>
          <cell r="C35">
            <v>510000</v>
          </cell>
          <cell r="D35">
            <v>28610.734144120477</v>
          </cell>
          <cell r="E35">
            <v>68866.718978036719</v>
          </cell>
          <cell r="F35">
            <v>284000</v>
          </cell>
          <cell r="G35">
            <v>18544.15096873575</v>
          </cell>
          <cell r="H35">
            <v>14083.969465648855</v>
          </cell>
          <cell r="I35">
            <v>414105.57355654181</v>
          </cell>
          <cell r="J35">
            <v>3000</v>
          </cell>
          <cell r="K35">
            <v>40000</v>
          </cell>
          <cell r="L35">
            <v>30000</v>
          </cell>
          <cell r="M35">
            <v>73000</v>
          </cell>
          <cell r="N35">
            <v>341105.57355654181</v>
          </cell>
          <cell r="O35">
            <v>270000</v>
          </cell>
          <cell r="P35">
            <v>71105.573556541814</v>
          </cell>
          <cell r="Q35">
            <v>540000</v>
          </cell>
        </row>
        <row r="36">
          <cell r="A36" t="str">
            <v>AS201641</v>
          </cell>
          <cell r="B36" t="str">
            <v>TCHOUAMOU MATHIEU</v>
          </cell>
          <cell r="C36">
            <v>510000</v>
          </cell>
          <cell r="D36">
            <v>150752.29726678343</v>
          </cell>
          <cell r="E36">
            <v>66205.463778282021</v>
          </cell>
          <cell r="F36">
            <v>84000</v>
          </cell>
          <cell r="G36">
            <v>18544.15096873575</v>
          </cell>
          <cell r="H36">
            <v>14083.969465648855</v>
          </cell>
          <cell r="I36">
            <v>333585.88147945009</v>
          </cell>
          <cell r="J36">
            <v>0</v>
          </cell>
          <cell r="K36">
            <v>40000</v>
          </cell>
          <cell r="L36">
            <v>30000</v>
          </cell>
          <cell r="M36">
            <v>70000</v>
          </cell>
          <cell r="N36">
            <v>263585.88147945009</v>
          </cell>
          <cell r="O36">
            <v>260000</v>
          </cell>
          <cell r="P36">
            <v>3585.881479450094</v>
          </cell>
          <cell r="Q36">
            <v>540000</v>
          </cell>
        </row>
        <row r="37">
          <cell r="A37" t="str">
            <v>AS201644</v>
          </cell>
          <cell r="B37" t="str">
            <v>TIEYAM ERNEST</v>
          </cell>
          <cell r="C37">
            <v>510000</v>
          </cell>
          <cell r="D37">
            <v>0.13817927145282738</v>
          </cell>
          <cell r="E37">
            <v>52430.343108508649</v>
          </cell>
          <cell r="F37">
            <v>66000</v>
          </cell>
          <cell r="G37">
            <v>0</v>
          </cell>
          <cell r="H37">
            <v>0</v>
          </cell>
          <cell r="I37">
            <v>118430.4812877801</v>
          </cell>
          <cell r="J37">
            <v>44000</v>
          </cell>
          <cell r="K37">
            <v>40000</v>
          </cell>
          <cell r="L37">
            <v>30000</v>
          </cell>
          <cell r="M37">
            <v>114000</v>
          </cell>
          <cell r="N37">
            <v>4430.4812877801014</v>
          </cell>
          <cell r="P37">
            <v>4430.4812877801014</v>
          </cell>
          <cell r="Q37">
            <v>540000</v>
          </cell>
        </row>
        <row r="38">
          <cell r="A38" t="str">
            <v>AS201646</v>
          </cell>
          <cell r="B38" t="str">
            <v>YEPMOU JEAN JACQUES</v>
          </cell>
          <cell r="C38">
            <v>510000</v>
          </cell>
          <cell r="D38">
            <v>644378.41522205353</v>
          </cell>
          <cell r="E38">
            <v>111964.60425234216</v>
          </cell>
          <cell r="F38">
            <v>84000</v>
          </cell>
          <cell r="G38">
            <v>18544.15096873575</v>
          </cell>
          <cell r="H38">
            <v>14083.969465648855</v>
          </cell>
          <cell r="I38">
            <v>872971.13990878034</v>
          </cell>
          <cell r="J38">
            <v>38000</v>
          </cell>
          <cell r="K38">
            <v>40000</v>
          </cell>
          <cell r="L38">
            <v>30000</v>
          </cell>
          <cell r="M38">
            <v>108000</v>
          </cell>
          <cell r="N38">
            <v>764971.13990878034</v>
          </cell>
          <cell r="P38">
            <v>764971.13990878034</v>
          </cell>
          <cell r="Q38">
            <v>540000</v>
          </cell>
        </row>
        <row r="39">
          <cell r="A39" t="str">
            <v>AS201647</v>
          </cell>
          <cell r="B39" t="str">
            <v>YOUMBI EMMANUEL</v>
          </cell>
          <cell r="C39">
            <v>510000</v>
          </cell>
          <cell r="D39">
            <v>2509356.6308790506</v>
          </cell>
          <cell r="E39">
            <v>284848.08234870114</v>
          </cell>
          <cell r="F39">
            <v>84000</v>
          </cell>
          <cell r="G39">
            <v>18544.15096873575</v>
          </cell>
          <cell r="H39">
            <v>14083.969465648855</v>
          </cell>
          <cell r="I39">
            <v>2910832.833662136</v>
          </cell>
          <cell r="J39">
            <v>16000</v>
          </cell>
          <cell r="K39">
            <v>40000</v>
          </cell>
          <cell r="L39">
            <v>30000</v>
          </cell>
          <cell r="M39">
            <v>86000</v>
          </cell>
          <cell r="N39">
            <v>2824832.833662136</v>
          </cell>
          <cell r="P39">
            <v>2824832.833662136</v>
          </cell>
          <cell r="Q39">
            <v>540000</v>
          </cell>
        </row>
        <row r="40">
          <cell r="A40" t="str">
            <v>AS201655</v>
          </cell>
          <cell r="B40" t="str">
            <v>TCHEMHOU EMMANUEL</v>
          </cell>
          <cell r="C40">
            <v>0</v>
          </cell>
          <cell r="D40">
            <v>0</v>
          </cell>
          <cell r="E40">
            <v>0</v>
          </cell>
          <cell r="F40">
            <v>44000</v>
          </cell>
          <cell r="G40">
            <v>0</v>
          </cell>
          <cell r="H40">
            <v>4694.6564885496182</v>
          </cell>
          <cell r="I40">
            <v>48694.656488549619</v>
          </cell>
          <cell r="J40">
            <v>0</v>
          </cell>
          <cell r="M40">
            <v>0</v>
          </cell>
          <cell r="N40">
            <v>48694.656488549619</v>
          </cell>
          <cell r="P40">
            <v>0</v>
          </cell>
          <cell r="Q40">
            <v>48695</v>
          </cell>
        </row>
        <row r="41">
          <cell r="A41" t="str">
            <v>AS201656</v>
          </cell>
          <cell r="B41" t="str">
            <v>AUTRES ADHERENT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10000</v>
          </cell>
          <cell r="K41">
            <v>0</v>
          </cell>
          <cell r="L41">
            <v>0</v>
          </cell>
          <cell r="M41">
            <v>10000</v>
          </cell>
          <cell r="Q41">
            <v>0</v>
          </cell>
        </row>
        <row r="42">
          <cell r="A42" t="str">
            <v>AS201601</v>
          </cell>
          <cell r="B42" t="str">
            <v>BAKOP ACHILLE</v>
          </cell>
          <cell r="C42">
            <v>191000</v>
          </cell>
          <cell r="Q42">
            <v>191000</v>
          </cell>
        </row>
        <row r="43">
          <cell r="A43" t="str">
            <v>AS201612</v>
          </cell>
          <cell r="B43" t="str">
            <v>HODIEP JULES</v>
          </cell>
          <cell r="C43">
            <v>80000</v>
          </cell>
          <cell r="Q43">
            <v>80000</v>
          </cell>
        </row>
        <row r="44">
          <cell r="A44" t="str">
            <v>AS201625</v>
          </cell>
          <cell r="B44" t="str">
            <v>NGONGANG JEAN THEODORE</v>
          </cell>
          <cell r="C44">
            <v>227663</v>
          </cell>
          <cell r="Q44">
            <v>227663</v>
          </cell>
        </row>
        <row r="45">
          <cell r="A45" t="str">
            <v>AS201623</v>
          </cell>
          <cell r="B45" t="str">
            <v>NDOMBOU JEAN CLAUDE</v>
          </cell>
          <cell r="C45">
            <v>480000</v>
          </cell>
          <cell r="Q45">
            <v>480000</v>
          </cell>
        </row>
        <row r="46">
          <cell r="A46" t="str">
            <v>AS201652</v>
          </cell>
          <cell r="B46" t="str">
            <v>NGANHOU JEAN</v>
          </cell>
          <cell r="C46">
            <v>130000</v>
          </cell>
          <cell r="Q46">
            <v>130000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NOV"/>
      <sheetName val="MVTDEC"/>
      <sheetName val="MVTJANV"/>
      <sheetName val="MVTFEV"/>
      <sheetName val="MVTMARS"/>
      <sheetName val="MVTAVRIL"/>
      <sheetName val="MVTMAI"/>
      <sheetName val="MVTJUIN"/>
      <sheetName val="MVTJUIL"/>
      <sheetName val="MVTAOUT"/>
      <sheetName val="MVTSEPT"/>
      <sheetName val="MVTOCT"/>
      <sheetName val="MVTNOV20"/>
      <sheetName val="MVTDEC20"/>
      <sheetName val="MVTRESUME20"/>
      <sheetName val="GESTIONINTERET"/>
      <sheetName val="ECHEC TONTINE"/>
      <sheetName val="DETTE ENVELOPPE2020"/>
      <sheetName val="AIDEDEUIL"/>
      <sheetName val="RECONS_RETRAITE"/>
      <sheetName val="EMPRUNT"/>
      <sheetName val="EPARGNEASSURANCE"/>
      <sheetName val="RECAPTONTINE"/>
      <sheetName val="EMOLUMENT"/>
      <sheetName val="REPARINTERET"/>
      <sheetName val="GESTTRESORERIE"/>
      <sheetName val="DIST ESPECES KOLOKO"/>
      <sheetName val="LISTEADHERANT"/>
      <sheetName val="GESTIONINTERET BACKUP2020"/>
      <sheetName val="REPARINTERETBACKUP2020"/>
      <sheetName val="MVTRESUME20 (2)"/>
      <sheetName val="DISTINTERET"/>
      <sheetName val="MVTRESUME2020"/>
      <sheetName val="REPARINTERET (2)"/>
      <sheetName val="DETTE ENVE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/>
      <sheetData sheetId="2"/>
      <sheetData sheetId="3"/>
      <sheetData sheetId="4">
        <row r="86">
          <cell r="G86">
            <v>33750</v>
          </cell>
        </row>
      </sheetData>
      <sheetData sheetId="5">
        <row r="86">
          <cell r="I86">
            <v>202500</v>
          </cell>
        </row>
      </sheetData>
      <sheetData sheetId="6">
        <row r="86">
          <cell r="I86">
            <v>155500</v>
          </cell>
        </row>
      </sheetData>
      <sheetData sheetId="7">
        <row r="86">
          <cell r="I86">
            <v>48000</v>
          </cell>
        </row>
      </sheetData>
      <sheetData sheetId="8">
        <row r="86">
          <cell r="I86">
            <v>0</v>
          </cell>
        </row>
      </sheetData>
      <sheetData sheetId="9">
        <row r="86">
          <cell r="I86">
            <v>616000</v>
          </cell>
        </row>
      </sheetData>
      <sheetData sheetId="10">
        <row r="86">
          <cell r="I86">
            <v>0</v>
          </cell>
        </row>
      </sheetData>
      <sheetData sheetId="11">
        <row r="86">
          <cell r="I86">
            <v>34000</v>
          </cell>
        </row>
      </sheetData>
      <sheetData sheetId="12">
        <row r="86">
          <cell r="I86">
            <v>34000</v>
          </cell>
        </row>
      </sheetData>
      <sheetData sheetId="13">
        <row r="86">
          <cell r="I86">
            <v>202000</v>
          </cell>
        </row>
      </sheetData>
      <sheetData sheetId="14"/>
      <sheetData sheetId="15"/>
      <sheetData sheetId="16"/>
      <sheetData sheetId="17">
        <row r="4">
          <cell r="G4">
            <v>1081.9642857142858</v>
          </cell>
        </row>
      </sheetData>
      <sheetData sheetId="18"/>
      <sheetData sheetId="19" refreshError="1"/>
      <sheetData sheetId="20"/>
      <sheetData sheetId="21"/>
      <sheetData sheetId="22"/>
      <sheetData sheetId="23"/>
      <sheetData sheetId="24"/>
      <sheetData sheetId="25"/>
      <sheetData sheetId="26">
        <row r="6">
          <cell r="K6">
            <v>97829.082108307513</v>
          </cell>
        </row>
      </sheetData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GESTIONINTERET21"/>
      <sheetName val="DISTINTERET21"/>
      <sheetName val="CALCULINTASS"/>
      <sheetName val="AIDEDEUIL"/>
      <sheetName val="MVTDEC20BACKUP"/>
      <sheetName val="MVTDEC20BACKUPMAJ"/>
      <sheetName val="Aide"/>
      <sheetName val="dETTE ENVELLOPPE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2018"/>
      <sheetName val="TONTSEPT2018"/>
    </sheetNames>
    <sheetDataSet>
      <sheetData sheetId="0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1">
        <row r="6">
          <cell r="C6">
            <v>70000</v>
          </cell>
        </row>
      </sheetData>
      <sheetData sheetId="2">
        <row r="6">
          <cell r="C6">
            <v>0</v>
          </cell>
        </row>
      </sheetData>
      <sheetData sheetId="3">
        <row r="6">
          <cell r="C6">
            <v>7000</v>
          </cell>
        </row>
      </sheetData>
      <sheetData sheetId="4">
        <row r="6">
          <cell r="C6">
            <v>6000</v>
          </cell>
        </row>
      </sheetData>
      <sheetData sheetId="5">
        <row r="6">
          <cell r="C6">
            <v>0</v>
          </cell>
        </row>
      </sheetData>
      <sheetData sheetId="6">
        <row r="6">
          <cell r="C6">
            <v>0</v>
          </cell>
        </row>
      </sheetData>
      <sheetData sheetId="7">
        <row r="6">
          <cell r="C6">
            <v>0</v>
          </cell>
        </row>
      </sheetData>
      <sheetData sheetId="8">
        <row r="6">
          <cell r="C6">
            <v>0</v>
          </cell>
        </row>
      </sheetData>
      <sheetData sheetId="9">
        <row r="6">
          <cell r="C6">
            <v>21000</v>
          </cell>
        </row>
      </sheetData>
      <sheetData sheetId="10">
        <row r="6">
          <cell r="C6">
            <v>7000</v>
          </cell>
        </row>
      </sheetData>
      <sheetData sheetId="11">
        <row r="6">
          <cell r="C6">
            <v>7000</v>
          </cell>
        </row>
      </sheetData>
      <sheetData sheetId="12">
        <row r="6">
          <cell r="C6">
            <v>7000</v>
          </cell>
        </row>
      </sheetData>
      <sheetData sheetId="13">
        <row r="6">
          <cell r="C6">
            <v>35000</v>
          </cell>
        </row>
      </sheetData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RAVAUXINVENTAIRE"/>
      <sheetName val="FONDSDECAISSE"/>
      <sheetName val="TONT20000DEC2016"/>
      <sheetName val="TONT20000JANV2017"/>
      <sheetName val="TONT20000FEV2017"/>
      <sheetName val="TONT20000MARS2017"/>
      <sheetName val="TONT20000AVRIL2017"/>
      <sheetName val="TONT20000MAI2017"/>
      <sheetName val="TONT20000JUIN2017"/>
      <sheetName val="TONT20000JUIL2017"/>
      <sheetName val="RECAPINT2017"/>
      <sheetName val="TONT20000AOUT2017"/>
      <sheetName val="MVTAOUT"/>
      <sheetName val="TONT20000SEPT2017"/>
      <sheetName val="TONT20000OCT2017"/>
      <sheetName val="TONT20000NOV2017"/>
      <sheetName val="TONT20000ANNUELLE"/>
      <sheetName val="TONT20000ANNUELLEBACKUP"/>
      <sheetName val="TONTINVENTFINAOUT2017"/>
      <sheetName val="DETAILVERSEMENT"/>
      <sheetName val="MODEVERSEMENT"/>
      <sheetName val="RECAPTONT20000"/>
      <sheetName val="FONDSDECAISSEBACKUP"/>
      <sheetName val="TONT20000ANNUELLEBACKUPZ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0CT"/>
      <sheetName val="TONTNOV20"/>
      <sheetName val="TONTDEC20"/>
      <sheetName val="TONTRESUME"/>
      <sheetName val="TONTOCT"/>
      <sheetName val="TONTAOUT2019"/>
      <sheetName val="TONTSEPT2019"/>
      <sheetName val="TONTOCT2019"/>
    </sheetNames>
    <sheetDataSet>
      <sheetData sheetId="0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7">
          <cell r="J27">
            <v>426500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MODEPAID"/>
      <sheetName val="TONTNOV"/>
      <sheetName val="TONTDEC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DEFAILLANCETONTINE"/>
      <sheetName val="HISTORIQUE OCT"/>
      <sheetName val="TONT0CT"/>
      <sheetName val="TONTAOUT2019"/>
      <sheetName val="TONTSEPT2019"/>
      <sheetName val="TONTOCT2019"/>
    </sheetNames>
    <sheetDataSet>
      <sheetData sheetId="0" refreshError="1"/>
      <sheetData sheetId="1">
        <row r="1">
          <cell r="A1" t="str">
            <v>BANQUE</v>
          </cell>
        </row>
        <row r="2">
          <cell r="A2" t="str">
            <v>ESPECES</v>
          </cell>
        </row>
        <row r="3">
          <cell r="A3" t="str">
            <v>ECHEC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 refreshError="1"/>
      <sheetData sheetId="21" refreshError="1"/>
      <sheetData sheetId="22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E5">
            <v>0</v>
          </cell>
          <cell r="F5">
            <v>677841881</v>
          </cell>
          <cell r="G5">
            <v>0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E6">
            <v>0</v>
          </cell>
          <cell r="F6">
            <v>677704694</v>
          </cell>
          <cell r="G6">
            <v>0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E7">
            <v>0</v>
          </cell>
          <cell r="F7">
            <v>677881912</v>
          </cell>
          <cell r="G7">
            <v>0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E8">
            <v>0</v>
          </cell>
          <cell r="F8">
            <v>677986676</v>
          </cell>
          <cell r="G8">
            <v>0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E9">
            <v>0</v>
          </cell>
          <cell r="F9">
            <v>675250451</v>
          </cell>
          <cell r="G9">
            <v>0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E10">
            <v>0</v>
          </cell>
          <cell r="F10">
            <v>675250451</v>
          </cell>
          <cell r="G10">
            <v>0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E11">
            <v>0</v>
          </cell>
          <cell r="F11">
            <v>697103557</v>
          </cell>
          <cell r="G11">
            <v>0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E12">
            <v>0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E13">
            <v>0</v>
          </cell>
          <cell r="F13">
            <v>699908065</v>
          </cell>
          <cell r="G13">
            <v>0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E14">
            <v>0</v>
          </cell>
          <cell r="F14">
            <v>677910278</v>
          </cell>
          <cell r="G14">
            <v>0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E15">
            <v>0</v>
          </cell>
          <cell r="F15">
            <v>694468080</v>
          </cell>
          <cell r="G15">
            <v>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E16">
            <v>0</v>
          </cell>
          <cell r="F16">
            <v>675291170</v>
          </cell>
          <cell r="G16">
            <v>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E17">
            <v>0</v>
          </cell>
          <cell r="F17">
            <v>699956355</v>
          </cell>
          <cell r="G17">
            <v>0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E18">
            <v>0</v>
          </cell>
          <cell r="F18">
            <v>677053815</v>
          </cell>
          <cell r="G18">
            <v>0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E19">
            <v>0</v>
          </cell>
          <cell r="F19">
            <v>699528700</v>
          </cell>
          <cell r="G19">
            <v>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E20">
            <v>0</v>
          </cell>
          <cell r="F20">
            <v>699335584</v>
          </cell>
          <cell r="G20">
            <v>0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E21">
            <v>0</v>
          </cell>
          <cell r="F21">
            <v>675836725</v>
          </cell>
          <cell r="G21">
            <v>0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E22">
            <v>0</v>
          </cell>
          <cell r="F22">
            <v>696564847</v>
          </cell>
          <cell r="G22">
            <v>0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E23">
            <v>0</v>
          </cell>
          <cell r="F23">
            <v>677735778</v>
          </cell>
          <cell r="G23">
            <v>0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E25">
            <v>0</v>
          </cell>
          <cell r="F25">
            <v>693055118</v>
          </cell>
          <cell r="G25">
            <v>0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E26">
            <v>0</v>
          </cell>
          <cell r="F26">
            <v>677553702</v>
          </cell>
          <cell r="G26">
            <v>0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E27">
            <v>0</v>
          </cell>
          <cell r="F27">
            <v>699358350</v>
          </cell>
          <cell r="G27">
            <v>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E28">
            <v>0</v>
          </cell>
          <cell r="F28">
            <v>675249207</v>
          </cell>
          <cell r="G28">
            <v>0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E29">
            <v>0</v>
          </cell>
          <cell r="F29">
            <v>677766503</v>
          </cell>
          <cell r="G29">
            <v>0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E30">
            <v>0</v>
          </cell>
          <cell r="F30">
            <v>677068360</v>
          </cell>
          <cell r="G30">
            <v>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E31">
            <v>0</v>
          </cell>
          <cell r="F31">
            <v>670909070</v>
          </cell>
          <cell r="G31">
            <v>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E32">
            <v>0</v>
          </cell>
          <cell r="F32">
            <v>676659191</v>
          </cell>
          <cell r="G32">
            <v>0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E33">
            <v>0</v>
          </cell>
          <cell r="F33">
            <v>677575366</v>
          </cell>
          <cell r="G33">
            <v>0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E34">
            <v>0</v>
          </cell>
          <cell r="F34">
            <v>699843118</v>
          </cell>
          <cell r="G34">
            <v>0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E35">
            <v>0</v>
          </cell>
          <cell r="F35">
            <v>677377251</v>
          </cell>
          <cell r="G35">
            <v>0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E36">
            <v>0</v>
          </cell>
          <cell r="F36">
            <v>677867173</v>
          </cell>
          <cell r="G36">
            <v>0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E37">
            <v>0</v>
          </cell>
          <cell r="F37">
            <v>699995086</v>
          </cell>
          <cell r="G37">
            <v>0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E38">
            <v>0</v>
          </cell>
          <cell r="F38">
            <v>677054646</v>
          </cell>
          <cell r="G38">
            <v>0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E39">
            <v>0</v>
          </cell>
          <cell r="F39">
            <v>699549665</v>
          </cell>
          <cell r="G39">
            <v>0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E40">
            <v>0</v>
          </cell>
          <cell r="F40">
            <v>699350133</v>
          </cell>
          <cell r="G40">
            <v>0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E41">
            <v>0</v>
          </cell>
          <cell r="F41">
            <v>677477649</v>
          </cell>
          <cell r="G41">
            <v>0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E42">
            <v>0</v>
          </cell>
          <cell r="F42">
            <v>677546060</v>
          </cell>
          <cell r="G42">
            <v>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E43">
            <v>0</v>
          </cell>
          <cell r="F43">
            <v>677648306</v>
          </cell>
          <cell r="G43">
            <v>0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E44">
            <v>0</v>
          </cell>
          <cell r="F44">
            <v>677780149</v>
          </cell>
          <cell r="G44">
            <v>0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E45">
            <v>0</v>
          </cell>
          <cell r="F45">
            <v>699778906</v>
          </cell>
          <cell r="G45">
            <v>0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E46">
            <v>0</v>
          </cell>
          <cell r="F46">
            <v>678639806</v>
          </cell>
          <cell r="G46">
            <v>0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E47">
            <v>0</v>
          </cell>
          <cell r="F47">
            <v>677775940</v>
          </cell>
          <cell r="G47">
            <v>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E48">
            <v>0</v>
          </cell>
          <cell r="F48">
            <v>677508603</v>
          </cell>
          <cell r="G48">
            <v>0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E49">
            <v>0</v>
          </cell>
          <cell r="F49">
            <v>677726329</v>
          </cell>
          <cell r="G49">
            <v>0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E50">
            <v>0</v>
          </cell>
          <cell r="F50">
            <v>699663416</v>
          </cell>
          <cell r="G50">
            <v>0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E51">
            <v>0</v>
          </cell>
          <cell r="F51">
            <v>677547311</v>
          </cell>
          <cell r="G51">
            <v>0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E53">
            <v>0</v>
          </cell>
          <cell r="F53">
            <v>694452000</v>
          </cell>
          <cell r="G53">
            <v>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</row>
      </sheetData>
      <sheetData sheetId="1"/>
      <sheetData sheetId="2"/>
      <sheetData sheetId="3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HISTOMVTDEPENSE"/>
      <sheetName val="COMPTE BANQUE"/>
      <sheetName val="HISTODEC21"/>
      <sheetName val="HISTOJANV22"/>
      <sheetName val="HISTOFEV22"/>
      <sheetName val="HISTOMARS22"/>
      <sheetName val="HISTOAVRIL22"/>
      <sheetName val="HISTOMAI22"/>
      <sheetName val="HISTOJUIN22"/>
      <sheetName val="HISTOJUIL22"/>
      <sheetName val="HISTOAOUT22"/>
      <sheetName val="HISTOSEPT22"/>
      <sheetName val="HISTOOCT22"/>
      <sheetName val="HISTONOV22"/>
      <sheetName val="HISTODEC22"/>
      <sheetName val="DETAILSORTIE"/>
    </sheetNames>
    <sheetDataSet>
      <sheetData sheetId="0"/>
      <sheetData sheetId="1">
        <row r="39">
          <cell r="T39">
            <v>0</v>
          </cell>
        </row>
      </sheetData>
      <sheetData sheetId="2"/>
      <sheetData sheetId="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U6">
            <v>100000</v>
          </cell>
          <cell r="AQ6">
            <v>0</v>
          </cell>
          <cell r="AR6">
            <v>0</v>
          </cell>
        </row>
        <row r="7">
          <cell r="A7" t="str">
            <v>AS201602</v>
          </cell>
          <cell r="B7" t="str">
            <v>BOUTCHOUANG WILLIAM</v>
          </cell>
          <cell r="C7">
            <v>171000</v>
          </cell>
          <cell r="D7">
            <v>105000</v>
          </cell>
          <cell r="E7">
            <v>105000</v>
          </cell>
          <cell r="F7">
            <v>570000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Q7">
            <v>0</v>
          </cell>
          <cell r="S7">
            <v>504000</v>
          </cell>
          <cell r="T7" t="str">
            <v>BANQUE</v>
          </cell>
          <cell r="U7">
            <v>609000</v>
          </cell>
          <cell r="Z7">
            <v>525000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399000</v>
          </cell>
          <cell r="D8">
            <v>150000</v>
          </cell>
          <cell r="E8">
            <v>399000</v>
          </cell>
          <cell r="F8">
            <v>1000000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45000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S8">
            <v>1000000</v>
          </cell>
          <cell r="T8" t="str">
            <v>BANQUE</v>
          </cell>
          <cell r="U8">
            <v>1150000</v>
          </cell>
          <cell r="Z8">
            <v>1000000</v>
          </cell>
          <cell r="AA8" t="str">
            <v>BANQUE</v>
          </cell>
          <cell r="AB8" t="str">
            <v>OK</v>
          </cell>
          <cell r="AD8">
            <v>95000</v>
          </cell>
          <cell r="AF8" t="str">
            <v>BANQUE</v>
          </cell>
          <cell r="AJ8">
            <v>100000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52000</v>
          </cell>
        </row>
        <row r="9">
          <cell r="A9" t="str">
            <v>AS201654</v>
          </cell>
          <cell r="B9" t="str">
            <v>DJOMOU TCHANDA</v>
          </cell>
          <cell r="C9">
            <v>180000</v>
          </cell>
          <cell r="D9">
            <v>30000</v>
          </cell>
          <cell r="E9">
            <v>67000</v>
          </cell>
          <cell r="F9">
            <v>113000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</row>
        <row r="10">
          <cell r="A10" t="str">
            <v>AS201605</v>
          </cell>
          <cell r="B10" t="str">
            <v>DJOUKWE NANGUEN GUY BLAISE</v>
          </cell>
          <cell r="C10">
            <v>51000</v>
          </cell>
          <cell r="D10">
            <v>110000</v>
          </cell>
          <cell r="E10">
            <v>0</v>
          </cell>
          <cell r="F10">
            <v>1051000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5000</v>
          </cell>
          <cell r="L10">
            <v>1</v>
          </cell>
          <cell r="M10">
            <v>75000</v>
          </cell>
          <cell r="O10">
            <v>0</v>
          </cell>
          <cell r="Q10">
            <v>0</v>
          </cell>
          <cell r="S10">
            <v>1000000</v>
          </cell>
          <cell r="T10" t="str">
            <v>BANQUE</v>
          </cell>
          <cell r="U10">
            <v>1110000</v>
          </cell>
          <cell r="Z10">
            <v>1000000</v>
          </cell>
          <cell r="AA10" t="str">
            <v>BANQUE</v>
          </cell>
          <cell r="AB10" t="str">
            <v>OK</v>
          </cell>
          <cell r="AJ10">
            <v>100000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12000</v>
          </cell>
        </row>
        <row r="11">
          <cell r="A11" t="str">
            <v>AS201608</v>
          </cell>
          <cell r="B11" t="str">
            <v>DJUOMBESSY ANTOINE</v>
          </cell>
          <cell r="C11">
            <v>1235000</v>
          </cell>
          <cell r="D11">
            <v>205000</v>
          </cell>
          <cell r="E11">
            <v>359000</v>
          </cell>
          <cell r="F11">
            <v>1966000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Q11">
            <v>0</v>
          </cell>
          <cell r="S11">
            <v>1029000</v>
          </cell>
          <cell r="T11" t="str">
            <v>BANQUE</v>
          </cell>
          <cell r="U11">
            <v>1234000</v>
          </cell>
          <cell r="Z11">
            <v>1029000</v>
          </cell>
          <cell r="AA11" t="str">
            <v>BANQUE</v>
          </cell>
          <cell r="AE11">
            <v>160000</v>
          </cell>
          <cell r="AF11" t="str">
            <v>BANQUE</v>
          </cell>
          <cell r="AQ11">
            <v>0</v>
          </cell>
          <cell r="AR11">
            <v>0</v>
          </cell>
          <cell r="AS11">
            <v>7000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U12">
            <v>35000</v>
          </cell>
          <cell r="Z12">
            <v>1000000</v>
          </cell>
          <cell r="AA12" t="str">
            <v>BANQUE</v>
          </cell>
          <cell r="AB12" t="str">
            <v>OK</v>
          </cell>
          <cell r="AQ12">
            <v>0</v>
          </cell>
          <cell r="AR12">
            <v>0</v>
          </cell>
          <cell r="AS12">
            <v>12000</v>
          </cell>
        </row>
        <row r="13">
          <cell r="A13" t="str">
            <v>AS201609</v>
          </cell>
          <cell r="B13" t="str">
            <v>DONHOU DAVID</v>
          </cell>
          <cell r="C13">
            <v>-37000</v>
          </cell>
          <cell r="D13">
            <v>30000</v>
          </cell>
          <cell r="E13">
            <v>33000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U13">
            <v>30000</v>
          </cell>
          <cell r="AQ13">
            <v>0</v>
          </cell>
          <cell r="AR13">
            <v>0</v>
          </cell>
          <cell r="AS13">
            <v>7000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Z14">
            <v>1155000</v>
          </cell>
          <cell r="AA14" t="str">
            <v>BANQUE</v>
          </cell>
          <cell r="AQ14">
            <v>0</v>
          </cell>
          <cell r="AR14">
            <v>0</v>
          </cell>
          <cell r="AS14">
            <v>0</v>
          </cell>
        </row>
        <row r="15">
          <cell r="A15" t="str">
            <v>AS201611</v>
          </cell>
          <cell r="B15" t="str">
            <v>HENGUE PAUL OMER</v>
          </cell>
          <cell r="C15">
            <v>70000</v>
          </cell>
          <cell r="D15">
            <v>105000</v>
          </cell>
          <cell r="E15">
            <v>0</v>
          </cell>
          <cell r="F15">
            <v>70000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</row>
        <row r="16">
          <cell r="A16" t="str">
            <v>AS201613</v>
          </cell>
          <cell r="B16" t="str">
            <v>HOTCHO BENJAMIN</v>
          </cell>
          <cell r="C16">
            <v>-70000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</row>
        <row r="17">
          <cell r="A17" t="str">
            <v>AS201617</v>
          </cell>
          <cell r="B17" t="str">
            <v>KOUAMOU MOISE</v>
          </cell>
          <cell r="C17">
            <v>1070000</v>
          </cell>
          <cell r="D17">
            <v>330000</v>
          </cell>
          <cell r="E17">
            <v>0</v>
          </cell>
          <cell r="F17">
            <v>1070000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</row>
        <row r="18">
          <cell r="A18" t="str">
            <v>AS201619</v>
          </cell>
          <cell r="B18" t="str">
            <v>KOUATCHO MESSACK</v>
          </cell>
          <cell r="C18">
            <v>594000</v>
          </cell>
          <cell r="D18">
            <v>411000</v>
          </cell>
          <cell r="E18">
            <v>594000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206000</v>
          </cell>
          <cell r="U18">
            <v>411000</v>
          </cell>
          <cell r="Z18">
            <v>1000000</v>
          </cell>
          <cell r="AA18" t="str">
            <v>BANQUE</v>
          </cell>
          <cell r="AB18" t="str">
            <v>OK</v>
          </cell>
          <cell r="AI18">
            <v>26000</v>
          </cell>
          <cell r="AJ18">
            <v>100000</v>
          </cell>
          <cell r="AK18">
            <v>60000</v>
          </cell>
          <cell r="AL18">
            <v>1500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U19">
            <v>30000</v>
          </cell>
          <cell r="Z19">
            <v>500000</v>
          </cell>
          <cell r="AA19" t="str">
            <v>BANQUE</v>
          </cell>
          <cell r="AB19" t="str">
            <v>OK</v>
          </cell>
          <cell r="AQ19">
            <v>0</v>
          </cell>
          <cell r="AR19">
            <v>0</v>
          </cell>
          <cell r="AS19">
            <v>7000</v>
          </cell>
        </row>
        <row r="20">
          <cell r="A20" t="str">
            <v>AS201649</v>
          </cell>
          <cell r="B20" t="str">
            <v>MBOGNING TUGMA GUY</v>
          </cell>
          <cell r="C20">
            <v>1874000</v>
          </cell>
          <cell r="D20">
            <v>455000</v>
          </cell>
          <cell r="E20">
            <v>0</v>
          </cell>
          <cell r="F20">
            <v>1874000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Q20">
            <v>0</v>
          </cell>
          <cell r="U20">
            <v>455000</v>
          </cell>
          <cell r="Z20">
            <v>1050000</v>
          </cell>
          <cell r="AA20" t="str">
            <v>BANQUE</v>
          </cell>
          <cell r="AC20">
            <v>39000</v>
          </cell>
          <cell r="AF20" t="str">
            <v>BANQUE</v>
          </cell>
          <cell r="AJ20">
            <v>100000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</row>
        <row r="21">
          <cell r="A21" t="str">
            <v>AS201639</v>
          </cell>
          <cell r="B21" t="str">
            <v>NANGUEN MARTIN</v>
          </cell>
          <cell r="C21">
            <v>70000</v>
          </cell>
          <cell r="D21">
            <v>30000</v>
          </cell>
          <cell r="E21">
            <v>0</v>
          </cell>
          <cell r="F21">
            <v>70000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</row>
        <row r="22">
          <cell r="A22" t="str">
            <v>AS201621</v>
          </cell>
          <cell r="B22" t="str">
            <v>NANKAM APPOLINAIRE</v>
          </cell>
          <cell r="C22">
            <v>1071000</v>
          </cell>
          <cell r="D22">
            <v>1029000</v>
          </cell>
          <cell r="E22">
            <v>0</v>
          </cell>
          <cell r="F22">
            <v>1071000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S22">
            <v>924000</v>
          </cell>
          <cell r="T22" t="str">
            <v>BANQUE</v>
          </cell>
          <cell r="U22">
            <v>1029000</v>
          </cell>
          <cell r="Z22">
            <v>924000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</row>
        <row r="23">
          <cell r="A23" t="str">
            <v>AS201622</v>
          </cell>
          <cell r="B23" t="str">
            <v>NDJOMO ETIENNE</v>
          </cell>
          <cell r="C23">
            <v>101000</v>
          </cell>
          <cell r="D23">
            <v>140000</v>
          </cell>
          <cell r="E23">
            <v>101000</v>
          </cell>
          <cell r="F23">
            <v>500000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S23">
            <v>500000</v>
          </cell>
          <cell r="T23" t="str">
            <v>BANQUE</v>
          </cell>
          <cell r="U23">
            <v>640000</v>
          </cell>
          <cell r="Z23">
            <v>500000</v>
          </cell>
          <cell r="AA23" t="str">
            <v>BANQUE</v>
          </cell>
          <cell r="AB23" t="str">
            <v>OK</v>
          </cell>
          <cell r="AQ23">
            <v>0</v>
          </cell>
          <cell r="AR23">
            <v>0</v>
          </cell>
          <cell r="AS23">
            <v>17000</v>
          </cell>
        </row>
        <row r="24">
          <cell r="A24" t="str">
            <v>AS201624</v>
          </cell>
          <cell r="B24" t="str">
            <v>NGONDIEP CLAUDE</v>
          </cell>
          <cell r="C24">
            <v>309500</v>
          </cell>
          <cell r="D24">
            <v>210000</v>
          </cell>
          <cell r="E24">
            <v>309500</v>
          </cell>
          <cell r="F24">
            <v>1070000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S24">
            <v>1000000</v>
          </cell>
          <cell r="T24" t="str">
            <v>BANQUE</v>
          </cell>
          <cell r="U24">
            <v>1210000</v>
          </cell>
          <cell r="Z24">
            <v>1000000</v>
          </cell>
          <cell r="AA24" t="str">
            <v>BANQUE</v>
          </cell>
          <cell r="AB24" t="str">
            <v>OK</v>
          </cell>
          <cell r="AJ24">
            <v>100000</v>
          </cell>
          <cell r="AM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</row>
        <row r="25">
          <cell r="A25" t="str">
            <v>AS201626</v>
          </cell>
          <cell r="B25" t="str">
            <v>NGUIEMEGNI MATHIEU BLAISE</v>
          </cell>
          <cell r="C25">
            <v>-70000</v>
          </cell>
          <cell r="D25">
            <v>280000</v>
          </cell>
          <cell r="E25">
            <v>0</v>
          </cell>
          <cell r="F25">
            <v>1000000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Z25">
            <v>1000000</v>
          </cell>
          <cell r="AA25" t="str">
            <v>BANQUE</v>
          </cell>
          <cell r="AB25" t="str">
            <v>OK</v>
          </cell>
          <cell r="AC25">
            <v>39000</v>
          </cell>
          <cell r="AF25" t="str">
            <v>BANQUE</v>
          </cell>
          <cell r="AI25">
            <v>25000</v>
          </cell>
          <cell r="AJ25">
            <v>30500</v>
          </cell>
          <cell r="AK25">
            <v>100000</v>
          </cell>
          <cell r="AL25">
            <v>2000</v>
          </cell>
          <cell r="AM25">
            <v>500</v>
          </cell>
          <cell r="AN25">
            <v>15000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</row>
        <row r="26">
          <cell r="A26" t="str">
            <v>AS201628</v>
          </cell>
          <cell r="B26" t="str">
            <v>NKAMGANG JUSTIN DEJOLIE</v>
          </cell>
          <cell r="C26">
            <v>417000</v>
          </cell>
          <cell r="D26">
            <v>105000</v>
          </cell>
          <cell r="E26">
            <v>446500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Q26">
            <v>29500</v>
          </cell>
          <cell r="U26">
            <v>134500</v>
          </cell>
          <cell r="Z26">
            <v>1155000</v>
          </cell>
          <cell r="AA26" t="str">
            <v>BANQUE</v>
          </cell>
          <cell r="AI26">
            <v>25000</v>
          </cell>
          <cell r="AJ26">
            <v>100000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30000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Z27">
            <v>1155000</v>
          </cell>
          <cell r="AA27" t="str">
            <v>BANQUE</v>
          </cell>
          <cell r="AQ27">
            <v>0</v>
          </cell>
          <cell r="AR27">
            <v>0</v>
          </cell>
          <cell r="AS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140000</v>
          </cell>
          <cell r="E28">
            <v>0</v>
          </cell>
          <cell r="F28">
            <v>1000000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S28">
            <v>1000000</v>
          </cell>
          <cell r="T28" t="str">
            <v>BANQUE</v>
          </cell>
          <cell r="U28">
            <v>1140000</v>
          </cell>
          <cell r="Z28">
            <v>1000000</v>
          </cell>
          <cell r="AA28" t="str">
            <v>BANQUE</v>
          </cell>
          <cell r="AB28" t="str">
            <v>OK</v>
          </cell>
          <cell r="AQ28">
            <v>0</v>
          </cell>
          <cell r="AR28">
            <v>0</v>
          </cell>
          <cell r="AS28">
            <v>17000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70000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</row>
        <row r="30">
          <cell r="A30" t="str">
            <v>AS201653</v>
          </cell>
          <cell r="B30" t="str">
            <v>SIME BRICE</v>
          </cell>
          <cell r="C30">
            <v>391000</v>
          </cell>
          <cell r="D30">
            <v>105000</v>
          </cell>
          <cell r="E30">
            <v>321000</v>
          </cell>
          <cell r="F30">
            <v>70000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Z31">
            <v>1166000</v>
          </cell>
          <cell r="AA31" t="str">
            <v>BANQUE</v>
          </cell>
          <cell r="AQ31">
            <v>0</v>
          </cell>
          <cell r="AR31">
            <v>0</v>
          </cell>
          <cell r="AS31">
            <v>0</v>
          </cell>
        </row>
        <row r="32">
          <cell r="A32" t="str">
            <v>AS201638</v>
          </cell>
          <cell r="B32" t="str">
            <v>SIMO PIERRE</v>
          </cell>
          <cell r="C32">
            <v>-60000</v>
          </cell>
          <cell r="D32">
            <v>120000</v>
          </cell>
          <cell r="E32">
            <v>10000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Q32">
            <v>0</v>
          </cell>
          <cell r="U32">
            <v>120000</v>
          </cell>
          <cell r="AQ32">
            <v>0</v>
          </cell>
          <cell r="AR32">
            <v>0</v>
          </cell>
          <cell r="AS32">
            <v>22000</v>
          </cell>
        </row>
        <row r="33">
          <cell r="A33" t="str">
            <v>AS201641</v>
          </cell>
          <cell r="B33" t="str">
            <v>TCHOUAMOU MATHIEU</v>
          </cell>
          <cell r="C33">
            <v>560000</v>
          </cell>
          <cell r="D33">
            <v>30000</v>
          </cell>
          <cell r="E33">
            <v>0</v>
          </cell>
          <cell r="F33">
            <v>1120000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S33">
            <v>560000</v>
          </cell>
          <cell r="T33" t="str">
            <v>BANQUE</v>
          </cell>
          <cell r="U33">
            <v>590000</v>
          </cell>
          <cell r="Z33">
            <v>560000</v>
          </cell>
          <cell r="AA33" t="str">
            <v>BANQUE</v>
          </cell>
          <cell r="AB33" t="str">
            <v>OK</v>
          </cell>
          <cell r="AQ33">
            <v>0</v>
          </cell>
          <cell r="AR33">
            <v>0</v>
          </cell>
          <cell r="AS33">
            <v>7000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Z34">
            <v>1112500</v>
          </cell>
          <cell r="AA34" t="str">
            <v>BANQUE</v>
          </cell>
          <cell r="AQ34">
            <v>0</v>
          </cell>
          <cell r="AR34">
            <v>0</v>
          </cell>
          <cell r="AS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342750</v>
          </cell>
          <cell r="D35">
            <v>0</v>
          </cell>
          <cell r="E35">
            <v>159000</v>
          </cell>
          <cell r="F35">
            <v>213750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U35">
            <v>33000</v>
          </cell>
          <cell r="Z35">
            <v>1155000</v>
          </cell>
          <cell r="AA35" t="str">
            <v>BANQUE</v>
          </cell>
          <cell r="AQ35">
            <v>0</v>
          </cell>
          <cell r="AR35">
            <v>0</v>
          </cell>
          <cell r="AS35">
            <v>7000</v>
          </cell>
        </row>
        <row r="36">
          <cell r="A36" t="str">
            <v>AS201647</v>
          </cell>
          <cell r="B36" t="str">
            <v>YOUMBI EMMANUEL</v>
          </cell>
          <cell r="C36">
            <v>213000</v>
          </cell>
          <cell r="D36">
            <v>280000</v>
          </cell>
          <cell r="E36">
            <v>283000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</row>
        <row r="38">
          <cell r="B38" t="str">
            <v>TOTAUX</v>
          </cell>
          <cell r="C38">
            <v>8882250</v>
          </cell>
          <cell r="D38">
            <v>4880000</v>
          </cell>
          <cell r="E38">
            <v>3187000</v>
          </cell>
          <cell r="F38">
            <v>13898750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140000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235500</v>
          </cell>
          <cell r="R38">
            <v>0</v>
          </cell>
          <cell r="S38">
            <v>8517000</v>
          </cell>
          <cell r="U38">
            <v>12475500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18986500</v>
          </cell>
          <cell r="AA38">
            <v>0</v>
          </cell>
          <cell r="AB38">
            <v>0</v>
          </cell>
          <cell r="AC38">
            <v>78000</v>
          </cell>
          <cell r="AD38">
            <v>95000</v>
          </cell>
          <cell r="AE38">
            <v>160000</v>
          </cell>
          <cell r="AF38">
            <v>0</v>
          </cell>
          <cell r="AG38">
            <v>0</v>
          </cell>
          <cell r="AH38">
            <v>0</v>
          </cell>
          <cell r="AI38">
            <v>76000</v>
          </cell>
          <cell r="AJ38">
            <v>630500</v>
          </cell>
          <cell r="AK38">
            <v>160000</v>
          </cell>
          <cell r="AL38">
            <v>4500</v>
          </cell>
          <cell r="AM38">
            <v>12500</v>
          </cell>
          <cell r="AN38">
            <v>16000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322000</v>
          </cell>
          <cell r="AT38">
            <v>0</v>
          </cell>
          <cell r="AU38">
            <v>0</v>
          </cell>
        </row>
      </sheetData>
      <sheetData sheetId="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121000</v>
          </cell>
          <cell r="BD6">
            <v>121000</v>
          </cell>
          <cell r="BF6">
            <v>0</v>
          </cell>
          <cell r="BG6">
            <v>12</v>
          </cell>
          <cell r="BH6">
            <v>51000</v>
          </cell>
          <cell r="BI6">
            <v>0</v>
          </cell>
          <cell r="BJ6">
            <v>0</v>
          </cell>
          <cell r="BK6">
            <v>70000</v>
          </cell>
          <cell r="BM6">
            <v>450000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Q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12</v>
          </cell>
          <cell r="BL7">
            <v>25000</v>
          </cell>
          <cell r="BN7" t="str">
            <v>COMMUNICATION</v>
          </cell>
          <cell r="BO7" t="str">
            <v>FONDS DE ROULEMENT</v>
          </cell>
          <cell r="BP7">
            <v>2000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45000</v>
          </cell>
          <cell r="L8">
            <v>1</v>
          </cell>
          <cell r="M8">
            <v>75000</v>
          </cell>
          <cell r="O8">
            <v>0</v>
          </cell>
          <cell r="Q8">
            <v>0</v>
          </cell>
          <cell r="U8">
            <v>150000</v>
          </cell>
          <cell r="Z8">
            <v>1000000</v>
          </cell>
          <cell r="AA8" t="str">
            <v>BANQUE</v>
          </cell>
          <cell r="AB8" t="str">
            <v>OKK</v>
          </cell>
          <cell r="AD8">
            <v>95000</v>
          </cell>
          <cell r="AF8" t="str">
            <v>BANQUE</v>
          </cell>
          <cell r="AJ8">
            <v>100000</v>
          </cell>
          <cell r="AM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52000</v>
          </cell>
          <cell r="AW8">
            <v>0</v>
          </cell>
          <cell r="AX8">
            <v>1205000</v>
          </cell>
          <cell r="AY8">
            <v>0</v>
          </cell>
          <cell r="AZ8">
            <v>2085000</v>
          </cell>
          <cell r="BD8">
            <v>2085000</v>
          </cell>
          <cell r="BF8">
            <v>120000</v>
          </cell>
          <cell r="BG8">
            <v>12</v>
          </cell>
          <cell r="BN8" t="str">
            <v>COMMISSION</v>
          </cell>
          <cell r="BO8" t="str">
            <v>FONDS DE ROULEMENT</v>
          </cell>
          <cell r="BP8">
            <v>6000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12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K10">
            <v>5000</v>
          </cell>
          <cell r="L10">
            <v>1</v>
          </cell>
          <cell r="M10">
            <v>75000</v>
          </cell>
          <cell r="O10">
            <v>0</v>
          </cell>
          <cell r="Q10">
            <v>0</v>
          </cell>
          <cell r="U10">
            <v>110000</v>
          </cell>
          <cell r="Z10">
            <v>1000000</v>
          </cell>
          <cell r="AA10" t="str">
            <v>BANQUE</v>
          </cell>
          <cell r="AB10" t="str">
            <v>OKK</v>
          </cell>
          <cell r="AJ10">
            <v>100000</v>
          </cell>
          <cell r="AM10">
            <v>2000</v>
          </cell>
          <cell r="AP10" t="str">
            <v>BANQUE</v>
          </cell>
          <cell r="AQ10">
            <v>0</v>
          </cell>
          <cell r="AR10">
            <v>0</v>
          </cell>
          <cell r="AS10">
            <v>12000</v>
          </cell>
          <cell r="AW10">
            <v>0</v>
          </cell>
          <cell r="AX10">
            <v>100000</v>
          </cell>
          <cell r="AY10">
            <v>0</v>
          </cell>
          <cell r="AZ10">
            <v>980000</v>
          </cell>
          <cell r="BD10">
            <v>980000</v>
          </cell>
          <cell r="BF10">
            <v>120000</v>
          </cell>
          <cell r="BG10">
            <v>12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29000</v>
          </cell>
          <cell r="D11">
            <v>205000</v>
          </cell>
          <cell r="E11">
            <v>0</v>
          </cell>
          <cell r="F11">
            <v>1090000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Q11">
            <v>0</v>
          </cell>
          <cell r="S11">
            <v>1000000</v>
          </cell>
          <cell r="T11" t="str">
            <v>BANQUE</v>
          </cell>
          <cell r="U11">
            <v>1205000</v>
          </cell>
          <cell r="AE11">
            <v>160000</v>
          </cell>
          <cell r="AF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1140000</v>
          </cell>
          <cell r="AZ11">
            <v>50000</v>
          </cell>
          <cell r="BB11">
            <v>61000</v>
          </cell>
          <cell r="BD11">
            <v>-11000</v>
          </cell>
          <cell r="BF11">
            <v>0</v>
          </cell>
          <cell r="BG11">
            <v>12</v>
          </cell>
          <cell r="BL11">
            <v>49000</v>
          </cell>
          <cell r="BN11" t="str">
            <v>PRODUCTION RAPPORT</v>
          </cell>
          <cell r="BO11" t="str">
            <v>FONDS DE ROULEMENT</v>
          </cell>
          <cell r="BP11">
            <v>25000</v>
          </cell>
        </row>
        <row r="12">
          <cell r="A12" t="str">
            <v>AS201651</v>
          </cell>
          <cell r="B12" t="str">
            <v>DOMOU FABIEN</v>
          </cell>
          <cell r="C12">
            <v>-57000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U12">
            <v>35000</v>
          </cell>
          <cell r="Z12">
            <v>1000000</v>
          </cell>
          <cell r="AA12" t="str">
            <v>BANQUE</v>
          </cell>
          <cell r="AB12" t="str">
            <v>OKK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B12">
            <v>57000</v>
          </cell>
          <cell r="BD12">
            <v>823000</v>
          </cell>
          <cell r="BF12">
            <v>120000</v>
          </cell>
          <cell r="BG12">
            <v>12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100000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M13">
            <v>0</v>
          </cell>
          <cell r="O13">
            <v>0</v>
          </cell>
          <cell r="U13">
            <v>30000</v>
          </cell>
          <cell r="AQ13">
            <v>0</v>
          </cell>
          <cell r="AR13">
            <v>0</v>
          </cell>
          <cell r="AS13">
            <v>7000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B13">
            <v>70000</v>
          </cell>
          <cell r="BD13">
            <v>0</v>
          </cell>
          <cell r="BF13">
            <v>0</v>
          </cell>
          <cell r="BG13">
            <v>12</v>
          </cell>
          <cell r="BN13" t="str">
            <v>TAXI BANQUE</v>
          </cell>
          <cell r="BO13" t="str">
            <v>FONDS DE ROULEMENT</v>
          </cell>
          <cell r="BP13">
            <v>18000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Z14">
            <v>1155000</v>
          </cell>
          <cell r="AA14" t="str">
            <v>BANQUE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1155000</v>
          </cell>
          <cell r="BD14">
            <v>1155000</v>
          </cell>
          <cell r="BF14">
            <v>0</v>
          </cell>
          <cell r="BG14">
            <v>0</v>
          </cell>
          <cell r="BL14">
            <v>155000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12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220000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B16">
            <v>70000</v>
          </cell>
          <cell r="BD16">
            <v>0</v>
          </cell>
          <cell r="BF16">
            <v>0</v>
          </cell>
          <cell r="BG16">
            <v>12</v>
          </cell>
          <cell r="BN16" t="str">
            <v>S/TOTAL</v>
          </cell>
          <cell r="BP16">
            <v>51000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12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411000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Q18">
            <v>206000</v>
          </cell>
          <cell r="U18">
            <v>411000</v>
          </cell>
          <cell r="Z18">
            <v>1000000</v>
          </cell>
          <cell r="AA18" t="str">
            <v>BANQUE</v>
          </cell>
          <cell r="AB18" t="str">
            <v>OKK</v>
          </cell>
          <cell r="AI18">
            <v>26000</v>
          </cell>
          <cell r="AJ18">
            <v>100000</v>
          </cell>
          <cell r="AK18">
            <v>60000</v>
          </cell>
          <cell r="AL18">
            <v>1500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26000</v>
          </cell>
          <cell r="AX18">
            <v>100000</v>
          </cell>
          <cell r="AY18">
            <v>60000</v>
          </cell>
          <cell r="AZ18">
            <v>1126000</v>
          </cell>
          <cell r="BD18">
            <v>1126000</v>
          </cell>
          <cell r="BF18">
            <v>60000</v>
          </cell>
          <cell r="BG18">
            <v>6</v>
          </cell>
          <cell r="BN18" t="str">
            <v>GRATIFICATION BUREAU 2021</v>
          </cell>
          <cell r="BO18" t="str">
            <v>PENALITE VERSEMENT ESPECES</v>
          </cell>
          <cell r="BP18">
            <v>250000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U19">
            <v>30000</v>
          </cell>
          <cell r="Z19">
            <v>500000</v>
          </cell>
          <cell r="AA19" t="str">
            <v>BANQUE</v>
          </cell>
          <cell r="AB19" t="str">
            <v>OKK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485000</v>
          </cell>
          <cell r="BD19">
            <v>485000</v>
          </cell>
          <cell r="BF19">
            <v>15000</v>
          </cell>
          <cell r="BG19">
            <v>3</v>
          </cell>
          <cell r="BN19" t="str">
            <v>ACHAT LAPTOP</v>
          </cell>
          <cell r="BO19" t="str">
            <v>PENALITE VERSEMENT ESPECES</v>
          </cell>
          <cell r="BP19">
            <v>200000</v>
          </cell>
        </row>
        <row r="20">
          <cell r="A20" t="str">
            <v>AS201649</v>
          </cell>
          <cell r="B20" t="str">
            <v>MBOGNING TUGMA GUY</v>
          </cell>
          <cell r="C20">
            <v>-1050000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Q20">
            <v>0</v>
          </cell>
          <cell r="S20">
            <v>1050000</v>
          </cell>
          <cell r="T20" t="str">
            <v>BANQUE</v>
          </cell>
          <cell r="U20">
            <v>1505000</v>
          </cell>
          <cell r="Z20">
            <v>1000000</v>
          </cell>
          <cell r="AA20" t="str">
            <v>BANQUE</v>
          </cell>
          <cell r="AC20">
            <v>39000</v>
          </cell>
          <cell r="AF20" t="str">
            <v>BANQUE</v>
          </cell>
          <cell r="AJ20">
            <v>100000</v>
          </cell>
          <cell r="AM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261000</v>
          </cell>
          <cell r="AX20">
            <v>100000</v>
          </cell>
          <cell r="AY20">
            <v>0</v>
          </cell>
          <cell r="AZ20">
            <v>1241000</v>
          </cell>
          <cell r="BD20">
            <v>1241000</v>
          </cell>
          <cell r="BF20">
            <v>120000</v>
          </cell>
          <cell r="BG20">
            <v>12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1029000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Q22">
            <v>0</v>
          </cell>
          <cell r="S22">
            <v>924000</v>
          </cell>
          <cell r="T22" t="str">
            <v>BANQUE</v>
          </cell>
          <cell r="U22">
            <v>1029000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0</v>
          </cell>
          <cell r="BF22">
            <v>0</v>
          </cell>
          <cell r="BG22">
            <v>12</v>
          </cell>
          <cell r="BL22">
            <v>44000</v>
          </cell>
          <cell r="BN22" t="str">
            <v>S/TOTAL</v>
          </cell>
          <cell r="BP22">
            <v>450000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140000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U23">
            <v>140000</v>
          </cell>
          <cell r="Z23">
            <v>500000</v>
          </cell>
          <cell r="AA23" t="str">
            <v>BANQUE</v>
          </cell>
          <cell r="AB23" t="str">
            <v>OKK</v>
          </cell>
          <cell r="AQ23">
            <v>0</v>
          </cell>
          <cell r="AR23">
            <v>0</v>
          </cell>
          <cell r="AS23">
            <v>17000</v>
          </cell>
          <cell r="AW23">
            <v>0</v>
          </cell>
          <cell r="AX23">
            <v>0</v>
          </cell>
          <cell r="AY23">
            <v>0</v>
          </cell>
          <cell r="AZ23">
            <v>440000</v>
          </cell>
          <cell r="BD23">
            <v>440000</v>
          </cell>
          <cell r="BF23">
            <v>60000</v>
          </cell>
          <cell r="BG23">
            <v>12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280000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Q24">
            <v>0</v>
          </cell>
          <cell r="U24">
            <v>210000</v>
          </cell>
          <cell r="Z24">
            <v>1000000</v>
          </cell>
          <cell r="AA24" t="str">
            <v>BANQUE</v>
          </cell>
          <cell r="AB24" t="str">
            <v>OKK</v>
          </cell>
          <cell r="AJ24">
            <v>100000</v>
          </cell>
          <cell r="AM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  <cell r="AW24">
            <v>0</v>
          </cell>
          <cell r="AX24">
            <v>100000</v>
          </cell>
          <cell r="AY24">
            <v>0</v>
          </cell>
          <cell r="AZ24">
            <v>980000</v>
          </cell>
          <cell r="BB24">
            <v>70000</v>
          </cell>
          <cell r="BD24">
            <v>910000</v>
          </cell>
          <cell r="BF24">
            <v>120000</v>
          </cell>
          <cell r="BG24">
            <v>12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350000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Q25">
            <v>0</v>
          </cell>
          <cell r="U25">
            <v>280000</v>
          </cell>
          <cell r="Z25">
            <v>1000000</v>
          </cell>
          <cell r="AA25" t="str">
            <v>BANQUE</v>
          </cell>
          <cell r="AB25" t="str">
            <v>OKK</v>
          </cell>
          <cell r="AC25">
            <v>39000</v>
          </cell>
          <cell r="AF25" t="str">
            <v>BANQUE</v>
          </cell>
          <cell r="AI25">
            <v>25000</v>
          </cell>
          <cell r="AJ25">
            <v>30500</v>
          </cell>
          <cell r="AK25">
            <v>100000</v>
          </cell>
          <cell r="AL25">
            <v>2000</v>
          </cell>
          <cell r="AM25">
            <v>500</v>
          </cell>
          <cell r="AN25">
            <v>15000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286000</v>
          </cell>
          <cell r="AX25">
            <v>30500</v>
          </cell>
          <cell r="AY25">
            <v>100000</v>
          </cell>
          <cell r="AZ25">
            <v>1296500</v>
          </cell>
          <cell r="BB25">
            <v>70000</v>
          </cell>
          <cell r="BD25">
            <v>1226500</v>
          </cell>
          <cell r="BF25">
            <v>120000</v>
          </cell>
          <cell r="BG25">
            <v>12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29500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Q26">
            <v>29500</v>
          </cell>
          <cell r="U26">
            <v>134500</v>
          </cell>
          <cell r="Z26">
            <v>1155000</v>
          </cell>
          <cell r="AA26" t="str">
            <v>BANQUE</v>
          </cell>
          <cell r="AI26">
            <v>25000</v>
          </cell>
          <cell r="AJ26">
            <v>100000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25000</v>
          </cell>
          <cell r="AX26">
            <v>100000</v>
          </cell>
          <cell r="AY26">
            <v>0</v>
          </cell>
          <cell r="AZ26">
            <v>1280000</v>
          </cell>
          <cell r="BD26">
            <v>1280000</v>
          </cell>
          <cell r="BF26">
            <v>0</v>
          </cell>
          <cell r="BG26">
            <v>0</v>
          </cell>
          <cell r="BL26">
            <v>155000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30000</v>
          </cell>
          <cell r="D27">
            <v>30000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Z27">
            <v>1155000</v>
          </cell>
          <cell r="AA27" t="str">
            <v>BANQUE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1155000</v>
          </cell>
          <cell r="BD27">
            <v>1155000</v>
          </cell>
          <cell r="BF27">
            <v>0</v>
          </cell>
          <cell r="BG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140000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U28">
            <v>140000</v>
          </cell>
          <cell r="Z28">
            <v>1000000</v>
          </cell>
          <cell r="AA28" t="str">
            <v>BANQUE</v>
          </cell>
          <cell r="AB28" t="str">
            <v>OKK</v>
          </cell>
          <cell r="AQ28">
            <v>0</v>
          </cell>
          <cell r="AR28">
            <v>0</v>
          </cell>
          <cell r="AS28">
            <v>17000</v>
          </cell>
          <cell r="AW28">
            <v>0</v>
          </cell>
          <cell r="AX28">
            <v>0</v>
          </cell>
          <cell r="AY28">
            <v>0</v>
          </cell>
          <cell r="AZ28">
            <v>880000</v>
          </cell>
          <cell r="BD28">
            <v>880000</v>
          </cell>
          <cell r="BF28">
            <v>120000</v>
          </cell>
          <cell r="BG28">
            <v>12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70000</v>
          </cell>
          <cell r="D29">
            <v>175000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12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Z31">
            <v>1166000</v>
          </cell>
          <cell r="AA31" t="str">
            <v>BANQUE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1166000</v>
          </cell>
          <cell r="BD31">
            <v>1166000</v>
          </cell>
          <cell r="BF31">
            <v>0</v>
          </cell>
          <cell r="BG31">
            <v>0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190000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Q32">
            <v>0</v>
          </cell>
          <cell r="U32">
            <v>120000</v>
          </cell>
          <cell r="Z32">
            <v>500000</v>
          </cell>
          <cell r="AA32" t="str">
            <v>BANQUE</v>
          </cell>
          <cell r="AQ32">
            <v>0</v>
          </cell>
          <cell r="AR32">
            <v>0</v>
          </cell>
          <cell r="AS32">
            <v>22000</v>
          </cell>
          <cell r="AW32">
            <v>0</v>
          </cell>
          <cell r="AX32">
            <v>0</v>
          </cell>
          <cell r="AY32">
            <v>0</v>
          </cell>
          <cell r="AZ32">
            <v>470000</v>
          </cell>
          <cell r="BB32">
            <v>70000</v>
          </cell>
          <cell r="BD32">
            <v>400000</v>
          </cell>
          <cell r="BF32">
            <v>30000</v>
          </cell>
          <cell r="BG32">
            <v>6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U33">
            <v>30000</v>
          </cell>
          <cell r="Z33">
            <v>560000</v>
          </cell>
          <cell r="AA33" t="str">
            <v>BANQUE</v>
          </cell>
          <cell r="AB33" t="str">
            <v>OKK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492800</v>
          </cell>
          <cell r="BD33">
            <v>492800</v>
          </cell>
          <cell r="BF33">
            <v>67200</v>
          </cell>
          <cell r="BG33">
            <v>12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30000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Z34">
            <v>1112500</v>
          </cell>
          <cell r="AA34" t="str">
            <v>BANQUE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1112500</v>
          </cell>
          <cell r="BD34">
            <v>1112500</v>
          </cell>
          <cell r="BF34">
            <v>0</v>
          </cell>
          <cell r="BG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33000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U35">
            <v>33000</v>
          </cell>
          <cell r="Z35">
            <v>1155000</v>
          </cell>
          <cell r="AA35" t="str">
            <v>BANQUE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1155000</v>
          </cell>
          <cell r="BD35">
            <v>1155000</v>
          </cell>
          <cell r="BF35">
            <v>0</v>
          </cell>
          <cell r="BG35">
            <v>0</v>
          </cell>
          <cell r="BL35">
            <v>155000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350000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Q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B36">
            <v>70000</v>
          </cell>
          <cell r="BD36">
            <v>0</v>
          </cell>
          <cell r="BF36">
            <v>0</v>
          </cell>
          <cell r="BG36">
            <v>12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-873000</v>
          </cell>
          <cell r="D38">
            <v>5445000</v>
          </cell>
          <cell r="E38">
            <v>62500</v>
          </cell>
          <cell r="F38">
            <v>1090000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140000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235500</v>
          </cell>
          <cell r="R38">
            <v>0</v>
          </cell>
          <cell r="S38">
            <v>2974000</v>
          </cell>
          <cell r="U38">
            <v>6932500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16958500</v>
          </cell>
          <cell r="AA38">
            <v>0</v>
          </cell>
          <cell r="AC38">
            <v>78000</v>
          </cell>
          <cell r="AD38">
            <v>95000</v>
          </cell>
          <cell r="AE38">
            <v>160000</v>
          </cell>
          <cell r="AF38">
            <v>0</v>
          </cell>
          <cell r="AG38">
            <v>0</v>
          </cell>
          <cell r="AH38">
            <v>0</v>
          </cell>
          <cell r="AI38">
            <v>76000</v>
          </cell>
          <cell r="AJ38">
            <v>630500</v>
          </cell>
          <cell r="AK38">
            <v>160000</v>
          </cell>
          <cell r="AL38">
            <v>4500</v>
          </cell>
          <cell r="AM38">
            <v>12500</v>
          </cell>
          <cell r="AN38">
            <v>16000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322000</v>
          </cell>
          <cell r="AT38">
            <v>0</v>
          </cell>
          <cell r="AU38">
            <v>0</v>
          </cell>
          <cell r="AV38">
            <v>0</v>
          </cell>
          <cell r="AW38">
            <v>598000</v>
          </cell>
          <cell r="AX38">
            <v>1735500</v>
          </cell>
          <cell r="AY38">
            <v>1300000</v>
          </cell>
          <cell r="AZ38">
            <v>18550800</v>
          </cell>
          <cell r="BA38">
            <v>0</v>
          </cell>
          <cell r="BB38">
            <v>538000</v>
          </cell>
          <cell r="BC38">
            <v>0</v>
          </cell>
          <cell r="BD38">
            <v>18222800</v>
          </cell>
          <cell r="BF38">
            <v>1072200</v>
          </cell>
          <cell r="BH38">
            <v>51000</v>
          </cell>
          <cell r="BI38">
            <v>0</v>
          </cell>
          <cell r="BJ38">
            <v>0</v>
          </cell>
          <cell r="BK38">
            <v>70000</v>
          </cell>
          <cell r="BL38">
            <v>583000</v>
          </cell>
          <cell r="BM38">
            <v>450000</v>
          </cell>
        </row>
      </sheetData>
      <sheetData sheetId="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F6">
            <v>0</v>
          </cell>
          <cell r="BG6">
            <v>10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AS201602</v>
          </cell>
          <cell r="B7" t="str">
            <v>BOUTCHOUANG WILLIAM</v>
          </cell>
          <cell r="C7">
            <v>-525000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S7">
            <v>525000</v>
          </cell>
          <cell r="T7" t="str">
            <v>BANQUE</v>
          </cell>
          <cell r="U7">
            <v>630000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10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-51000</v>
          </cell>
          <cell r="D8">
            <v>25000</v>
          </cell>
          <cell r="E8">
            <v>135000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102000</v>
          </cell>
          <cell r="U8">
            <v>211000</v>
          </cell>
          <cell r="AC8">
            <v>37000</v>
          </cell>
          <cell r="AF8" t="str">
            <v>BANQUE</v>
          </cell>
          <cell r="AP8" t="str">
            <v>BANQUE</v>
          </cell>
          <cell r="AQ8">
            <v>0</v>
          </cell>
          <cell r="AR8">
            <v>0</v>
          </cell>
          <cell r="AS8">
            <v>11000</v>
          </cell>
          <cell r="AW8">
            <v>263000</v>
          </cell>
          <cell r="AX8">
            <v>0</v>
          </cell>
          <cell r="AY8">
            <v>0</v>
          </cell>
          <cell r="AZ8">
            <v>263000</v>
          </cell>
          <cell r="BA8">
            <v>263000</v>
          </cell>
          <cell r="BD8">
            <v>0</v>
          </cell>
          <cell r="BF8">
            <v>0</v>
          </cell>
          <cell r="BG8">
            <v>10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10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30000</v>
          </cell>
          <cell r="D10">
            <v>237000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102000</v>
          </cell>
          <cell r="U10">
            <v>207000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10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-3000</v>
          </cell>
          <cell r="D11">
            <v>205000</v>
          </cell>
          <cell r="E11">
            <v>0</v>
          </cell>
          <cell r="F11">
            <v>0</v>
          </cell>
          <cell r="G11">
            <v>3000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208000</v>
          </cell>
          <cell r="AP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10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10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10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10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10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Z17">
            <v>1000000</v>
          </cell>
          <cell r="AA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900000</v>
          </cell>
          <cell r="BD17">
            <v>900000</v>
          </cell>
          <cell r="BF17">
            <v>100000</v>
          </cell>
          <cell r="BG17">
            <v>10</v>
          </cell>
        </row>
        <row r="18">
          <cell r="A18" t="str">
            <v>AS201619</v>
          </cell>
          <cell r="B18" t="str">
            <v>KOUATCHO MESSACK</v>
          </cell>
          <cell r="C18">
            <v>79000</v>
          </cell>
          <cell r="D18">
            <v>293500</v>
          </cell>
          <cell r="E18">
            <v>249000</v>
          </cell>
          <cell r="F18">
            <v>0</v>
          </cell>
          <cell r="G18">
            <v>3000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27500</v>
          </cell>
          <cell r="Q18">
            <v>102000</v>
          </cell>
          <cell r="R18">
            <v>61000</v>
          </cell>
          <cell r="U18">
            <v>398500</v>
          </cell>
          <cell r="AC18">
            <v>36000</v>
          </cell>
          <cell r="AF18" t="str">
            <v>BANQUE</v>
          </cell>
          <cell r="AK18">
            <v>50000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264000</v>
          </cell>
          <cell r="AX18">
            <v>0</v>
          </cell>
          <cell r="AY18">
            <v>50000</v>
          </cell>
          <cell r="AZ18">
            <v>314000</v>
          </cell>
          <cell r="BA18">
            <v>50000</v>
          </cell>
          <cell r="BD18">
            <v>264000</v>
          </cell>
          <cell r="BF18">
            <v>0</v>
          </cell>
          <cell r="BG18">
            <v>10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10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680000</v>
          </cell>
          <cell r="D20">
            <v>557000</v>
          </cell>
          <cell r="E20">
            <v>0</v>
          </cell>
          <cell r="F20">
            <v>1750000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102000</v>
          </cell>
          <cell r="R20">
            <v>0</v>
          </cell>
          <cell r="S20">
            <v>1000000</v>
          </cell>
          <cell r="T20" t="str">
            <v>BANQUE</v>
          </cell>
          <cell r="U20">
            <v>1557000</v>
          </cell>
          <cell r="Z20">
            <v>2050000</v>
          </cell>
          <cell r="AA20" t="str">
            <v>BANQUE</v>
          </cell>
          <cell r="AE20">
            <v>170000</v>
          </cell>
          <cell r="AF20" t="str">
            <v>BANQUE</v>
          </cell>
          <cell r="AK20">
            <v>50000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1180000</v>
          </cell>
          <cell r="AZ20">
            <v>1275000</v>
          </cell>
          <cell r="BA20">
            <v>65000</v>
          </cell>
          <cell r="BB20">
            <v>70000</v>
          </cell>
          <cell r="BD20">
            <v>1140000</v>
          </cell>
          <cell r="BF20">
            <v>205000</v>
          </cell>
          <cell r="BG20">
            <v>10</v>
          </cell>
          <cell r="BL20">
            <v>155000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10</v>
          </cell>
        </row>
        <row r="22">
          <cell r="A22" t="str">
            <v>AS201621</v>
          </cell>
          <cell r="B22" t="str">
            <v>NANKAM APPOLINAIRE</v>
          </cell>
          <cell r="C22">
            <v>71000</v>
          </cell>
          <cell r="D22">
            <v>105000</v>
          </cell>
          <cell r="E22">
            <v>0</v>
          </cell>
          <cell r="F22">
            <v>71000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D22">
            <v>85000</v>
          </cell>
          <cell r="AF22" t="str">
            <v>BANQUE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1115000</v>
          </cell>
          <cell r="AY22">
            <v>0</v>
          </cell>
          <cell r="AZ22">
            <v>1044000</v>
          </cell>
          <cell r="BD22">
            <v>1044000</v>
          </cell>
          <cell r="BF22">
            <v>0</v>
          </cell>
          <cell r="BG22">
            <v>10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K23">
            <v>100000</v>
          </cell>
          <cell r="AN23">
            <v>2000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100000</v>
          </cell>
          <cell r="AZ23">
            <v>100000</v>
          </cell>
          <cell r="BA23">
            <v>50000</v>
          </cell>
          <cell r="BD23">
            <v>50000</v>
          </cell>
          <cell r="BF23">
            <v>0</v>
          </cell>
          <cell r="BG23">
            <v>10</v>
          </cell>
        </row>
        <row r="24">
          <cell r="A24" t="str">
            <v>AS201624</v>
          </cell>
          <cell r="B24" t="str">
            <v>NGONDIEP CLAUDE</v>
          </cell>
          <cell r="C24">
            <v>-105000</v>
          </cell>
          <cell r="D24">
            <v>220000</v>
          </cell>
          <cell r="E24">
            <v>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K24">
            <v>15000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102000</v>
          </cell>
          <cell r="R24">
            <v>0</v>
          </cell>
          <cell r="U24">
            <v>325000</v>
          </cell>
          <cell r="AI24">
            <v>60000</v>
          </cell>
          <cell r="AL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22000</v>
          </cell>
          <cell r="AW24">
            <v>60000</v>
          </cell>
          <cell r="AX24">
            <v>0</v>
          </cell>
          <cell r="AY24">
            <v>0</v>
          </cell>
          <cell r="AZ24">
            <v>60000</v>
          </cell>
          <cell r="BA24">
            <v>28500</v>
          </cell>
          <cell r="BD24">
            <v>31500</v>
          </cell>
          <cell r="BF24">
            <v>0</v>
          </cell>
          <cell r="BG24">
            <v>10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-273000</v>
          </cell>
          <cell r="D25">
            <v>180000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27000</v>
          </cell>
          <cell r="Q25">
            <v>31000</v>
          </cell>
          <cell r="R25">
            <v>115000</v>
          </cell>
          <cell r="U25">
            <v>453000</v>
          </cell>
          <cell r="AK25">
            <v>100000</v>
          </cell>
          <cell r="AN25">
            <v>3500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54000</v>
          </cell>
          <cell r="BD25">
            <v>46000</v>
          </cell>
          <cell r="BF25">
            <v>0</v>
          </cell>
          <cell r="BG25">
            <v>10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-131000</v>
          </cell>
          <cell r="D26">
            <v>105000</v>
          </cell>
          <cell r="E26">
            <v>0</v>
          </cell>
          <cell r="F26">
            <v>0</v>
          </cell>
          <cell r="G26">
            <v>3000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26000</v>
          </cell>
          <cell r="Q26">
            <v>102000</v>
          </cell>
          <cell r="U26">
            <v>236000</v>
          </cell>
          <cell r="AI26">
            <v>60000</v>
          </cell>
          <cell r="AL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60000</v>
          </cell>
          <cell r="AX26">
            <v>0</v>
          </cell>
          <cell r="AY26">
            <v>0</v>
          </cell>
          <cell r="AZ26">
            <v>60000</v>
          </cell>
          <cell r="BD26">
            <v>60000</v>
          </cell>
          <cell r="BF26">
            <v>0</v>
          </cell>
          <cell r="BG26">
            <v>10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K28">
            <v>46000</v>
          </cell>
          <cell r="AN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46000</v>
          </cell>
          <cell r="AZ28">
            <v>116000</v>
          </cell>
          <cell r="BA28">
            <v>46000</v>
          </cell>
          <cell r="BD28">
            <v>70000</v>
          </cell>
          <cell r="BF28">
            <v>0</v>
          </cell>
          <cell r="BG28">
            <v>10</v>
          </cell>
          <cell r="BK28">
            <v>70000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10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10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130000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25000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130000</v>
          </cell>
          <cell r="AD32">
            <v>85000</v>
          </cell>
          <cell r="AF32" t="str">
            <v>BANQUE</v>
          </cell>
          <cell r="AQ32">
            <v>0</v>
          </cell>
          <cell r="AR32">
            <v>0</v>
          </cell>
          <cell r="AS32">
            <v>32000</v>
          </cell>
          <cell r="AW32">
            <v>0</v>
          </cell>
          <cell r="AX32">
            <v>1115000</v>
          </cell>
          <cell r="AY32">
            <v>0</v>
          </cell>
          <cell r="AZ32">
            <v>1115000</v>
          </cell>
          <cell r="BA32">
            <v>115000</v>
          </cell>
          <cell r="BD32">
            <v>1000000</v>
          </cell>
          <cell r="BF32">
            <v>0</v>
          </cell>
          <cell r="BG32">
            <v>10</v>
          </cell>
        </row>
        <row r="33">
          <cell r="A33" t="str">
            <v>AS201641</v>
          </cell>
          <cell r="B33" t="str">
            <v>TCHOUAMOU MATHIEU</v>
          </cell>
          <cell r="C33">
            <v>126000</v>
          </cell>
          <cell r="D33">
            <v>156000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I33">
            <v>31500</v>
          </cell>
          <cell r="AL33">
            <v>500</v>
          </cell>
          <cell r="AP33" t="str">
            <v>BANQUE</v>
          </cell>
          <cell r="AQ33">
            <v>0</v>
          </cell>
          <cell r="AR33">
            <v>0</v>
          </cell>
          <cell r="AS33">
            <v>7000</v>
          </cell>
          <cell r="AW33">
            <v>31500</v>
          </cell>
          <cell r="AX33">
            <v>0</v>
          </cell>
          <cell r="AY33">
            <v>0</v>
          </cell>
          <cell r="AZ33">
            <v>31500</v>
          </cell>
          <cell r="BD33">
            <v>31500</v>
          </cell>
          <cell r="BF33">
            <v>0</v>
          </cell>
          <cell r="BG33">
            <v>10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10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10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-102000</v>
          </cell>
          <cell r="D38">
            <v>3963500</v>
          </cell>
          <cell r="E38">
            <v>384000</v>
          </cell>
          <cell r="F38">
            <v>1821000</v>
          </cell>
          <cell r="G38">
            <v>12000</v>
          </cell>
          <cell r="H38">
            <v>0</v>
          </cell>
          <cell r="I38">
            <v>26</v>
          </cell>
          <cell r="J38">
            <v>780000</v>
          </cell>
          <cell r="K38">
            <v>119000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80500</v>
          </cell>
          <cell r="Q38">
            <v>643000</v>
          </cell>
          <cell r="R38">
            <v>176000</v>
          </cell>
          <cell r="S38">
            <v>1525000</v>
          </cell>
          <cell r="T38">
            <v>0</v>
          </cell>
          <cell r="U38">
            <v>6135500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3050000</v>
          </cell>
          <cell r="AA38">
            <v>0</v>
          </cell>
          <cell r="AB38">
            <v>0</v>
          </cell>
          <cell r="AC38">
            <v>73000</v>
          </cell>
          <cell r="AD38">
            <v>170000</v>
          </cell>
          <cell r="AE38">
            <v>170000</v>
          </cell>
          <cell r="AF38">
            <v>0</v>
          </cell>
          <cell r="AG38">
            <v>0</v>
          </cell>
          <cell r="AH38">
            <v>0</v>
          </cell>
          <cell r="AI38">
            <v>151500</v>
          </cell>
          <cell r="AJ38">
            <v>0</v>
          </cell>
          <cell r="AK38">
            <v>346000</v>
          </cell>
          <cell r="AL38">
            <v>2500</v>
          </cell>
          <cell r="AM38">
            <v>0</v>
          </cell>
          <cell r="AN38">
            <v>9500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301000</v>
          </cell>
          <cell r="AT38">
            <v>0</v>
          </cell>
          <cell r="AU38">
            <v>0</v>
          </cell>
          <cell r="AV38">
            <v>0</v>
          </cell>
          <cell r="AW38">
            <v>678500</v>
          </cell>
          <cell r="AX38">
            <v>2230000</v>
          </cell>
          <cell r="AY38">
            <v>1476000</v>
          </cell>
          <cell r="AZ38">
            <v>5384500</v>
          </cell>
          <cell r="BA38">
            <v>671500</v>
          </cell>
          <cell r="BB38">
            <v>70000</v>
          </cell>
          <cell r="BC38">
            <v>0</v>
          </cell>
          <cell r="BD38">
            <v>4643000</v>
          </cell>
          <cell r="BF38">
            <v>305000</v>
          </cell>
          <cell r="BH38">
            <v>6000</v>
          </cell>
          <cell r="BI38">
            <v>0</v>
          </cell>
          <cell r="BJ38">
            <v>0</v>
          </cell>
          <cell r="BK38">
            <v>70000</v>
          </cell>
          <cell r="BL38">
            <v>155000</v>
          </cell>
          <cell r="BM38">
            <v>0</v>
          </cell>
          <cell r="BN38" t="str">
            <v>S/TOTAL</v>
          </cell>
          <cell r="BP38">
            <v>0</v>
          </cell>
        </row>
      </sheetData>
      <sheetData sheetId="6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18000</v>
          </cell>
          <cell r="BD6">
            <v>18000</v>
          </cell>
          <cell r="BF6">
            <v>0</v>
          </cell>
          <cell r="BG6">
            <v>9</v>
          </cell>
          <cell r="BH6">
            <v>18000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Z7">
            <v>500000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475000</v>
          </cell>
          <cell r="BD7">
            <v>475000</v>
          </cell>
          <cell r="BF7">
            <v>25000</v>
          </cell>
          <cell r="BG7">
            <v>5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-10000</v>
          </cell>
          <cell r="D8">
            <v>0</v>
          </cell>
          <cell r="E8">
            <v>108000</v>
          </cell>
          <cell r="F8">
            <v>0</v>
          </cell>
          <cell r="G8">
            <v>3000</v>
          </cell>
          <cell r="H8" t="str">
            <v>ESPECES</v>
          </cell>
          <cell r="I8">
            <v>1</v>
          </cell>
          <cell r="J8">
            <v>30000</v>
          </cell>
          <cell r="K8">
            <v>10000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118000</v>
          </cell>
          <cell r="AI8">
            <v>100000</v>
          </cell>
          <cell r="AL8">
            <v>2000</v>
          </cell>
          <cell r="AP8" t="str">
            <v>BANQUE</v>
          </cell>
          <cell r="AQ8">
            <v>0</v>
          </cell>
          <cell r="AR8">
            <v>0</v>
          </cell>
          <cell r="AS8">
            <v>17000</v>
          </cell>
          <cell r="AW8">
            <v>100000</v>
          </cell>
          <cell r="AX8">
            <v>0</v>
          </cell>
          <cell r="AY8">
            <v>0</v>
          </cell>
          <cell r="AZ8">
            <v>100000</v>
          </cell>
          <cell r="BA8">
            <v>100000</v>
          </cell>
          <cell r="BD8">
            <v>0</v>
          </cell>
          <cell r="BF8">
            <v>0</v>
          </cell>
          <cell r="BG8">
            <v>9</v>
          </cell>
          <cell r="BN8" t="str">
            <v>COMMISSION</v>
          </cell>
          <cell r="BO8" t="str">
            <v>FONDS DE ROULEMENT</v>
          </cell>
          <cell r="BP8">
            <v>6000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0</v>
          </cell>
          <cell r="E9">
            <v>33000</v>
          </cell>
          <cell r="F9">
            <v>0</v>
          </cell>
          <cell r="G9">
            <v>3000</v>
          </cell>
          <cell r="H9" t="str">
            <v>ESPECES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33000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9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-24000</v>
          </cell>
          <cell r="D10">
            <v>81000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105000</v>
          </cell>
          <cell r="AJ10">
            <v>50000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50000</v>
          </cell>
          <cell r="AY10">
            <v>0</v>
          </cell>
          <cell r="AZ10">
            <v>50000</v>
          </cell>
          <cell r="BD10">
            <v>50000</v>
          </cell>
          <cell r="BF10">
            <v>0</v>
          </cell>
          <cell r="BG10">
            <v>9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Z11">
            <v>700000</v>
          </cell>
          <cell r="AA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665000</v>
          </cell>
          <cell r="BD11">
            <v>665000</v>
          </cell>
          <cell r="BF11">
            <v>35000</v>
          </cell>
          <cell r="BG11">
            <v>5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9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-5000</v>
          </cell>
          <cell r="D13">
            <v>0</v>
          </cell>
          <cell r="E13">
            <v>33000</v>
          </cell>
          <cell r="F13">
            <v>0</v>
          </cell>
          <cell r="G13">
            <v>3000</v>
          </cell>
          <cell r="H13" t="str">
            <v>ESPECES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38000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9</v>
          </cell>
          <cell r="BN13" t="str">
            <v>TAXI BANQUE</v>
          </cell>
          <cell r="BO13" t="str">
            <v>FONDS DE ROULEMENT</v>
          </cell>
          <cell r="BP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9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9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9</v>
          </cell>
          <cell r="BN16" t="str">
            <v>S/TOTAL</v>
          </cell>
          <cell r="BP16">
            <v>18000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K17">
            <v>100000</v>
          </cell>
          <cell r="AN17">
            <v>1000</v>
          </cell>
          <cell r="AP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100000</v>
          </cell>
          <cell r="AZ17">
            <v>100000</v>
          </cell>
          <cell r="BD17">
            <v>100000</v>
          </cell>
          <cell r="BF17">
            <v>0</v>
          </cell>
          <cell r="BG17">
            <v>9</v>
          </cell>
        </row>
        <row r="18">
          <cell r="A18" t="str">
            <v>AS201619</v>
          </cell>
          <cell r="B18" t="str">
            <v>KOUATCHO MESSACK</v>
          </cell>
          <cell r="C18">
            <v>-122000</v>
          </cell>
          <cell r="D18">
            <v>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52000</v>
          </cell>
          <cell r="U18">
            <v>257000</v>
          </cell>
          <cell r="AD18">
            <v>85000</v>
          </cell>
          <cell r="AF18" t="str">
            <v>BANQUE</v>
          </cell>
          <cell r="AJ18">
            <v>100000</v>
          </cell>
          <cell r="AK18">
            <v>100000</v>
          </cell>
          <cell r="AM18">
            <v>2000</v>
          </cell>
          <cell r="AN18">
            <v>1000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1215000</v>
          </cell>
          <cell r="AY18">
            <v>100000</v>
          </cell>
          <cell r="AZ18">
            <v>1315000</v>
          </cell>
          <cell r="BA18">
            <v>96000</v>
          </cell>
          <cell r="BB18">
            <v>70000</v>
          </cell>
          <cell r="BC18">
            <v>275000</v>
          </cell>
          <cell r="BD18">
            <v>874000</v>
          </cell>
          <cell r="BF18">
            <v>0</v>
          </cell>
          <cell r="BG18">
            <v>9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530000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S19">
            <v>500000</v>
          </cell>
          <cell r="U19">
            <v>530000</v>
          </cell>
          <cell r="AC19">
            <v>34000</v>
          </cell>
          <cell r="AF19" t="str">
            <v>BANQUE</v>
          </cell>
          <cell r="AQ19">
            <v>0</v>
          </cell>
          <cell r="AR19">
            <v>0</v>
          </cell>
          <cell r="AS19">
            <v>7000</v>
          </cell>
          <cell r="AW19">
            <v>266000</v>
          </cell>
          <cell r="AX19">
            <v>0</v>
          </cell>
          <cell r="AY19">
            <v>0</v>
          </cell>
          <cell r="AZ19">
            <v>266000</v>
          </cell>
          <cell r="BD19">
            <v>266000</v>
          </cell>
          <cell r="BF19">
            <v>0</v>
          </cell>
          <cell r="BG19">
            <v>9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-51000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51000</v>
          </cell>
          <cell r="U20">
            <v>506000</v>
          </cell>
          <cell r="AK20">
            <v>100000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100000</v>
          </cell>
          <cell r="AZ20">
            <v>100000</v>
          </cell>
          <cell r="BD20">
            <v>100000</v>
          </cell>
          <cell r="BF20">
            <v>0</v>
          </cell>
          <cell r="BG20">
            <v>9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9</v>
          </cell>
        </row>
        <row r="22">
          <cell r="A22" t="str">
            <v>AS201621</v>
          </cell>
          <cell r="B22" t="str">
            <v>NANKAM APPOLINAIRE</v>
          </cell>
          <cell r="C22">
            <v>-70000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980000</v>
          </cell>
          <cell r="BB22">
            <v>70000</v>
          </cell>
          <cell r="BD22">
            <v>910000</v>
          </cell>
          <cell r="BF22">
            <v>20000</v>
          </cell>
          <cell r="BG22">
            <v>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-102000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102000</v>
          </cell>
          <cell r="U23">
            <v>252000</v>
          </cell>
          <cell r="AK23">
            <v>35500</v>
          </cell>
          <cell r="AN23">
            <v>500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35500</v>
          </cell>
          <cell r="AZ23">
            <v>35500</v>
          </cell>
          <cell r="BD23">
            <v>35500</v>
          </cell>
          <cell r="BF23">
            <v>0</v>
          </cell>
          <cell r="BG23">
            <v>9</v>
          </cell>
        </row>
        <row r="24">
          <cell r="A24" t="str">
            <v>AS201624</v>
          </cell>
          <cell r="B24" t="str">
            <v>NGONDIEP CLAUDE</v>
          </cell>
          <cell r="C24">
            <v>-99000</v>
          </cell>
          <cell r="D24">
            <v>205000</v>
          </cell>
          <cell r="E24">
            <v>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61000</v>
          </cell>
          <cell r="Q24">
            <v>0</v>
          </cell>
          <cell r="R24">
            <v>0</v>
          </cell>
          <cell r="U24">
            <v>304000</v>
          </cell>
          <cell r="AJ24">
            <v>50000</v>
          </cell>
          <cell r="AK24">
            <v>100000</v>
          </cell>
          <cell r="AM24">
            <v>1000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42000</v>
          </cell>
          <cell r="AW24">
            <v>0</v>
          </cell>
          <cell r="AX24">
            <v>50000</v>
          </cell>
          <cell r="AY24">
            <v>100000</v>
          </cell>
          <cell r="AZ24">
            <v>150000</v>
          </cell>
          <cell r="BD24">
            <v>150000</v>
          </cell>
          <cell r="BF24">
            <v>0</v>
          </cell>
          <cell r="BG24">
            <v>9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-43500</v>
          </cell>
          <cell r="D25">
            <v>340000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103500</v>
          </cell>
          <cell r="U25">
            <v>383500</v>
          </cell>
          <cell r="AE25">
            <v>180000</v>
          </cell>
          <cell r="AF25" t="str">
            <v>BANQUE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1120000</v>
          </cell>
          <cell r="AZ25">
            <v>1120000</v>
          </cell>
          <cell r="BD25">
            <v>1120000</v>
          </cell>
          <cell r="BF25">
            <v>0</v>
          </cell>
          <cell r="BG25">
            <v>9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-64000</v>
          </cell>
          <cell r="D26">
            <v>105000</v>
          </cell>
          <cell r="E26">
            <v>0</v>
          </cell>
          <cell r="F26">
            <v>0</v>
          </cell>
          <cell r="G26">
            <v>3000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61000</v>
          </cell>
          <cell r="Q26">
            <v>0</v>
          </cell>
          <cell r="U26">
            <v>169000</v>
          </cell>
          <cell r="AJ26">
            <v>50000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50000</v>
          </cell>
          <cell r="AY26">
            <v>0</v>
          </cell>
          <cell r="AZ26">
            <v>50000</v>
          </cell>
          <cell r="BA26">
            <v>25000</v>
          </cell>
          <cell r="BD26">
            <v>25000</v>
          </cell>
          <cell r="BF26">
            <v>0</v>
          </cell>
          <cell r="BG26">
            <v>9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9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180000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3000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47000</v>
          </cell>
          <cell r="U28">
            <v>180000</v>
          </cell>
          <cell r="AC28">
            <v>28000</v>
          </cell>
          <cell r="AF28" t="str">
            <v>BANQUE</v>
          </cell>
          <cell r="AK28">
            <v>100000</v>
          </cell>
          <cell r="AN28">
            <v>1000</v>
          </cell>
          <cell r="AP28" t="str">
            <v>BANQUE</v>
          </cell>
          <cell r="AQ28">
            <v>0</v>
          </cell>
          <cell r="AR28">
            <v>0</v>
          </cell>
          <cell r="AS28">
            <v>10000</v>
          </cell>
          <cell r="AW28">
            <v>272000</v>
          </cell>
          <cell r="AX28">
            <v>0</v>
          </cell>
          <cell r="AY28">
            <v>100000</v>
          </cell>
          <cell r="AZ28">
            <v>372000</v>
          </cell>
          <cell r="BA28">
            <v>315000</v>
          </cell>
          <cell r="BD28">
            <v>57000</v>
          </cell>
          <cell r="BF28">
            <v>0</v>
          </cell>
          <cell r="BG28">
            <v>9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9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108000</v>
          </cell>
          <cell r="F30">
            <v>0</v>
          </cell>
          <cell r="G30">
            <v>3000</v>
          </cell>
          <cell r="H30" t="str">
            <v>ESPECES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108000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70000</v>
          </cell>
          <cell r="BD30">
            <v>70000</v>
          </cell>
          <cell r="BF30">
            <v>0</v>
          </cell>
          <cell r="BG30">
            <v>9</v>
          </cell>
          <cell r="BK30">
            <v>70000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9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150000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45000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150000</v>
          </cell>
          <cell r="AJ32">
            <v>48000</v>
          </cell>
          <cell r="AM32">
            <v>500</v>
          </cell>
          <cell r="AP32" t="str">
            <v>BANQUE</v>
          </cell>
          <cell r="AQ32">
            <v>0</v>
          </cell>
          <cell r="AR32">
            <v>0</v>
          </cell>
          <cell r="AS32">
            <v>52000</v>
          </cell>
          <cell r="AW32">
            <v>0</v>
          </cell>
          <cell r="AX32">
            <v>48000</v>
          </cell>
          <cell r="AY32">
            <v>0</v>
          </cell>
          <cell r="AZ32">
            <v>48000</v>
          </cell>
          <cell r="BD32">
            <v>48000</v>
          </cell>
          <cell r="BF32">
            <v>0</v>
          </cell>
          <cell r="BG32">
            <v>9</v>
          </cell>
        </row>
        <row r="33">
          <cell r="A33" t="str">
            <v>AS201641</v>
          </cell>
          <cell r="B33" t="str">
            <v>TCHOUAMOU MATHIEU</v>
          </cell>
          <cell r="C33">
            <v>43000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32000</v>
          </cell>
          <cell r="U33">
            <v>62000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9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9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9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9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-547500</v>
          </cell>
          <cell r="D38">
            <v>4086000</v>
          </cell>
          <cell r="E38">
            <v>282000</v>
          </cell>
          <cell r="F38">
            <v>0</v>
          </cell>
          <cell r="G38">
            <v>18000</v>
          </cell>
          <cell r="H38">
            <v>0</v>
          </cell>
          <cell r="I38">
            <v>26</v>
          </cell>
          <cell r="J38">
            <v>780000</v>
          </cell>
          <cell r="K38">
            <v>168000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154000</v>
          </cell>
          <cell r="Q38">
            <v>0</v>
          </cell>
          <cell r="R38">
            <v>355500</v>
          </cell>
          <cell r="S38">
            <v>500000</v>
          </cell>
          <cell r="T38">
            <v>0</v>
          </cell>
          <cell r="U38">
            <v>4775500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2200000</v>
          </cell>
          <cell r="AA38">
            <v>0</v>
          </cell>
          <cell r="AB38">
            <v>0</v>
          </cell>
          <cell r="AC38">
            <v>62000</v>
          </cell>
          <cell r="AD38">
            <v>85000</v>
          </cell>
          <cell r="AE38">
            <v>180000</v>
          </cell>
          <cell r="AF38">
            <v>0</v>
          </cell>
          <cell r="AG38">
            <v>0</v>
          </cell>
          <cell r="AH38">
            <v>0</v>
          </cell>
          <cell r="AI38">
            <v>100000</v>
          </cell>
          <cell r="AJ38">
            <v>298000</v>
          </cell>
          <cell r="AK38">
            <v>535500</v>
          </cell>
          <cell r="AL38">
            <v>2000</v>
          </cell>
          <cell r="AM38">
            <v>5500</v>
          </cell>
          <cell r="AN38">
            <v>6500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350000</v>
          </cell>
          <cell r="AT38">
            <v>0</v>
          </cell>
          <cell r="AU38">
            <v>0</v>
          </cell>
          <cell r="AV38">
            <v>0</v>
          </cell>
          <cell r="AW38">
            <v>638000</v>
          </cell>
          <cell r="AX38">
            <v>1413000</v>
          </cell>
          <cell r="AY38">
            <v>1655500</v>
          </cell>
          <cell r="AZ38">
            <v>5914500</v>
          </cell>
          <cell r="BA38">
            <v>536000</v>
          </cell>
          <cell r="BB38">
            <v>140000</v>
          </cell>
          <cell r="BC38">
            <v>275000</v>
          </cell>
          <cell r="BD38">
            <v>4963500</v>
          </cell>
          <cell r="BF38">
            <v>80000</v>
          </cell>
          <cell r="BH38">
            <v>18000</v>
          </cell>
          <cell r="BI38">
            <v>0</v>
          </cell>
          <cell r="BJ38">
            <v>0</v>
          </cell>
          <cell r="BK38">
            <v>70000</v>
          </cell>
          <cell r="BM38">
            <v>0</v>
          </cell>
          <cell r="BN38" t="str">
            <v>S/TOTAL</v>
          </cell>
          <cell r="BP38">
            <v>0</v>
          </cell>
        </row>
      </sheetData>
      <sheetData sheetId="7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28500</v>
          </cell>
          <cell r="BD6">
            <v>28500</v>
          </cell>
          <cell r="BF6">
            <v>0</v>
          </cell>
          <cell r="BG6">
            <v>8</v>
          </cell>
          <cell r="BH6">
            <v>28500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  <cell r="BP6">
            <v>12500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8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-79000</v>
          </cell>
          <cell r="D8">
            <v>132000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4000</v>
          </cell>
          <cell r="L8">
            <v>1</v>
          </cell>
          <cell r="M8">
            <v>75000</v>
          </cell>
          <cell r="O8">
            <v>0</v>
          </cell>
          <cell r="P8">
            <v>102000</v>
          </cell>
          <cell r="Q8">
            <v>0</v>
          </cell>
          <cell r="U8">
            <v>211000</v>
          </cell>
          <cell r="AQ8">
            <v>0</v>
          </cell>
          <cell r="AR8">
            <v>0</v>
          </cell>
          <cell r="AS8">
            <v>11000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8</v>
          </cell>
          <cell r="BN8" t="str">
            <v>COMMISSION</v>
          </cell>
          <cell r="BO8" t="str">
            <v>FONDS DE ROULEMENT</v>
          </cell>
          <cell r="BP8">
            <v>10000</v>
          </cell>
        </row>
        <row r="9">
          <cell r="A9" t="str">
            <v>AS201654</v>
          </cell>
          <cell r="B9" t="str">
            <v>DJOMOU TCHANDA</v>
          </cell>
          <cell r="C9">
            <v>5000</v>
          </cell>
          <cell r="D9">
            <v>35000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8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-75000</v>
          </cell>
          <cell r="D10">
            <v>81000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51000</v>
          </cell>
          <cell r="U10">
            <v>156000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8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105000</v>
          </cell>
          <cell r="E11">
            <v>100000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Q11">
            <v>0</v>
          </cell>
          <cell r="AR11">
            <v>0</v>
          </cell>
          <cell r="AS11">
            <v>4000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8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8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8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8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8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D16">
            <v>90000</v>
          </cell>
          <cell r="AF16" t="str">
            <v>BANQUE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1110000</v>
          </cell>
          <cell r="AY16">
            <v>0</v>
          </cell>
          <cell r="AZ16">
            <v>1110000</v>
          </cell>
          <cell r="BD16">
            <v>1110000</v>
          </cell>
          <cell r="BF16">
            <v>0</v>
          </cell>
          <cell r="BG16">
            <v>8</v>
          </cell>
          <cell r="BN16" t="str">
            <v>S/TOTAL</v>
          </cell>
          <cell r="BP16">
            <v>28500</v>
          </cell>
        </row>
        <row r="17">
          <cell r="A17" t="str">
            <v>AS201617</v>
          </cell>
          <cell r="B17" t="str">
            <v>KOUAMOU MOISE</v>
          </cell>
          <cell r="C17">
            <v>-1000</v>
          </cell>
          <cell r="D17">
            <v>430000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101000</v>
          </cell>
          <cell r="U17">
            <v>431000</v>
          </cell>
          <cell r="AP17" t="str">
            <v>BANQUE</v>
          </cell>
          <cell r="AQ17">
            <v>0</v>
          </cell>
          <cell r="AR17">
            <v>0</v>
          </cell>
          <cell r="AS17">
            <v>6000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8</v>
          </cell>
        </row>
        <row r="18">
          <cell r="A18" t="str">
            <v>AS201619</v>
          </cell>
          <cell r="B18" t="str">
            <v>KOUATCHO MESSACK</v>
          </cell>
          <cell r="C18">
            <v>500</v>
          </cell>
          <cell r="D18">
            <v>410000</v>
          </cell>
          <cell r="E18">
            <v>0</v>
          </cell>
          <cell r="F18">
            <v>0</v>
          </cell>
          <cell r="G18">
            <v>3000</v>
          </cell>
          <cell r="H18" t="str">
            <v>BANQUE</v>
          </cell>
          <cell r="I18">
            <v>1</v>
          </cell>
          <cell r="J18">
            <v>30000</v>
          </cell>
          <cell r="K18">
            <v>1500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102000</v>
          </cell>
          <cell r="R18">
            <v>101000</v>
          </cell>
          <cell r="U18">
            <v>412500</v>
          </cell>
          <cell r="AP18" t="str">
            <v>ESPECES</v>
          </cell>
          <cell r="AQ18">
            <v>0</v>
          </cell>
          <cell r="AR18">
            <v>0</v>
          </cell>
          <cell r="AS18">
            <v>8500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8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8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-101000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101000</v>
          </cell>
          <cell r="U20">
            <v>556000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200000</v>
          </cell>
          <cell r="AZ20">
            <v>200000</v>
          </cell>
          <cell r="BA20">
            <v>151500</v>
          </cell>
          <cell r="BD20">
            <v>48500</v>
          </cell>
          <cell r="BF20">
            <v>0</v>
          </cell>
          <cell r="BG20">
            <v>8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8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71000</v>
          </cell>
          <cell r="BF22">
            <v>0</v>
          </cell>
          <cell r="BG22">
            <v>8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-36000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36000</v>
          </cell>
          <cell r="U23">
            <v>186000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-48000</v>
          </cell>
          <cell r="D24">
            <v>315000</v>
          </cell>
          <cell r="E24">
            <v>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K24">
            <v>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51000</v>
          </cell>
          <cell r="R24">
            <v>102000</v>
          </cell>
          <cell r="U24">
            <v>366000</v>
          </cell>
          <cell r="AC24">
            <v>25000</v>
          </cell>
          <cell r="AE24">
            <v>180000</v>
          </cell>
          <cell r="AF24" t="str">
            <v>BANQUE</v>
          </cell>
          <cell r="AJ24">
            <v>200000</v>
          </cell>
          <cell r="AK24">
            <v>222000</v>
          </cell>
          <cell r="AM24">
            <v>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12000</v>
          </cell>
          <cell r="AW24">
            <v>275000</v>
          </cell>
          <cell r="AX24">
            <v>200000</v>
          </cell>
          <cell r="AY24">
            <v>1342000</v>
          </cell>
          <cell r="AZ24">
            <v>1817000</v>
          </cell>
          <cell r="BD24">
            <v>1817000</v>
          </cell>
          <cell r="BF24">
            <v>0</v>
          </cell>
          <cell r="BG24">
            <v>8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-70000</v>
          </cell>
          <cell r="D25">
            <v>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U25">
            <v>280000</v>
          </cell>
          <cell r="AJ25">
            <v>200000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200000</v>
          </cell>
          <cell r="AY25">
            <v>0</v>
          </cell>
          <cell r="AZ25">
            <v>270000</v>
          </cell>
          <cell r="BA25">
            <v>100000</v>
          </cell>
          <cell r="BB25">
            <v>70000</v>
          </cell>
          <cell r="BD25">
            <v>100000</v>
          </cell>
          <cell r="BF25">
            <v>0</v>
          </cell>
          <cell r="BG25">
            <v>8</v>
          </cell>
          <cell r="BK25">
            <v>70000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-51000</v>
          </cell>
          <cell r="D26">
            <v>105000</v>
          </cell>
          <cell r="E26">
            <v>0</v>
          </cell>
          <cell r="F26">
            <v>0</v>
          </cell>
          <cell r="G26">
            <v>3000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51000</v>
          </cell>
          <cell r="U26">
            <v>159000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D26">
            <v>0</v>
          </cell>
          <cell r="BF26">
            <v>0</v>
          </cell>
          <cell r="BG26">
            <v>8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8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241000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101000</v>
          </cell>
          <cell r="U28">
            <v>241000</v>
          </cell>
          <cell r="AK28">
            <v>200000</v>
          </cell>
          <cell r="AN28">
            <v>2000</v>
          </cell>
          <cell r="AP28" t="str">
            <v>BANQUE</v>
          </cell>
          <cell r="AQ28">
            <v>0</v>
          </cell>
          <cell r="AR28">
            <v>0</v>
          </cell>
          <cell r="AS28">
            <v>17000</v>
          </cell>
          <cell r="AW28">
            <v>0</v>
          </cell>
          <cell r="AX28">
            <v>0</v>
          </cell>
          <cell r="AY28">
            <v>200000</v>
          </cell>
          <cell r="AZ28">
            <v>200000</v>
          </cell>
          <cell r="BD28">
            <v>200000</v>
          </cell>
          <cell r="BF28">
            <v>0</v>
          </cell>
          <cell r="BG28">
            <v>8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8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8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8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261000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7500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48500</v>
          </cell>
          <cell r="S32">
            <v>100000</v>
          </cell>
          <cell r="T32" t="str">
            <v>BANQUE</v>
          </cell>
          <cell r="U32">
            <v>261000</v>
          </cell>
          <cell r="AC32">
            <v>27000</v>
          </cell>
          <cell r="AF32" t="str">
            <v>BANQUE</v>
          </cell>
          <cell r="AQ32">
            <v>0</v>
          </cell>
          <cell r="AR32">
            <v>0</v>
          </cell>
          <cell r="AS32">
            <v>14500</v>
          </cell>
          <cell r="AW32">
            <v>273000</v>
          </cell>
          <cell r="AX32">
            <v>0</v>
          </cell>
          <cell r="AY32">
            <v>0</v>
          </cell>
          <cell r="AZ32">
            <v>273000</v>
          </cell>
          <cell r="BD32">
            <v>273000</v>
          </cell>
          <cell r="BF32">
            <v>0</v>
          </cell>
          <cell r="BG32">
            <v>8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C33">
            <v>24000</v>
          </cell>
          <cell r="AF33" t="str">
            <v>BANQUE</v>
          </cell>
          <cell r="AQ33">
            <v>0</v>
          </cell>
          <cell r="AR33">
            <v>0</v>
          </cell>
          <cell r="AS33">
            <v>7000</v>
          </cell>
          <cell r="AW33">
            <v>276000</v>
          </cell>
          <cell r="AX33">
            <v>0</v>
          </cell>
          <cell r="AY33">
            <v>0</v>
          </cell>
          <cell r="AZ33">
            <v>276000</v>
          </cell>
          <cell r="BD33">
            <v>276000</v>
          </cell>
          <cell r="BF33">
            <v>0</v>
          </cell>
          <cell r="BG33">
            <v>8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8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30000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33000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8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8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-380500</v>
          </cell>
          <cell r="D38">
            <v>4290000</v>
          </cell>
          <cell r="E38">
            <v>130000</v>
          </cell>
          <cell r="F38">
            <v>0</v>
          </cell>
          <cell r="G38">
            <v>12000</v>
          </cell>
          <cell r="H38">
            <v>0</v>
          </cell>
          <cell r="I38">
            <v>26</v>
          </cell>
          <cell r="J38">
            <v>780000</v>
          </cell>
          <cell r="K38">
            <v>103000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102000</v>
          </cell>
          <cell r="Q38">
            <v>303500</v>
          </cell>
          <cell r="R38">
            <v>542000</v>
          </cell>
          <cell r="S38">
            <v>100000</v>
          </cell>
          <cell r="T38">
            <v>0</v>
          </cell>
          <cell r="U38">
            <v>4742500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76000</v>
          </cell>
          <cell r="AD38">
            <v>90000</v>
          </cell>
          <cell r="AE38">
            <v>180000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400000</v>
          </cell>
          <cell r="AK38">
            <v>622000</v>
          </cell>
          <cell r="AL38">
            <v>0</v>
          </cell>
          <cell r="AM38">
            <v>4000</v>
          </cell>
          <cell r="AN38">
            <v>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281000</v>
          </cell>
          <cell r="AT38">
            <v>0</v>
          </cell>
          <cell r="AU38">
            <v>0</v>
          </cell>
          <cell r="AV38">
            <v>0</v>
          </cell>
          <cell r="AW38">
            <v>824000</v>
          </cell>
          <cell r="AX38">
            <v>1510000</v>
          </cell>
          <cell r="AY38">
            <v>1742000</v>
          </cell>
          <cell r="AZ38">
            <v>4174500</v>
          </cell>
          <cell r="BA38">
            <v>251500</v>
          </cell>
          <cell r="BB38">
            <v>70000</v>
          </cell>
          <cell r="BC38">
            <v>0</v>
          </cell>
          <cell r="BD38">
            <v>3924000</v>
          </cell>
          <cell r="BF38">
            <v>0</v>
          </cell>
          <cell r="BH38">
            <v>28500</v>
          </cell>
          <cell r="BI38">
            <v>0</v>
          </cell>
          <cell r="BJ38">
            <v>0</v>
          </cell>
          <cell r="BK38">
            <v>70000</v>
          </cell>
          <cell r="BL38">
            <v>0</v>
          </cell>
          <cell r="BN38" t="str">
            <v>S/TOTAL</v>
          </cell>
          <cell r="BP38">
            <v>0</v>
          </cell>
        </row>
      </sheetData>
      <sheetData sheetId="8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92000</v>
          </cell>
          <cell r="BD6">
            <v>92000</v>
          </cell>
          <cell r="BF6">
            <v>0</v>
          </cell>
          <cell r="BG6">
            <v>7</v>
          </cell>
          <cell r="BH6">
            <v>22000</v>
          </cell>
          <cell r="BI6">
            <v>0</v>
          </cell>
          <cell r="BJ6">
            <v>0</v>
          </cell>
          <cell r="BK6">
            <v>70000</v>
          </cell>
          <cell r="BM6">
            <v>0</v>
          </cell>
          <cell r="BN6" t="str">
            <v>ACHAT FOURNITURE</v>
          </cell>
          <cell r="BO6" t="str">
            <v>FONDS DE ROULEMENT</v>
          </cell>
          <cell r="BP6">
            <v>10000</v>
          </cell>
        </row>
        <row r="7">
          <cell r="A7" t="str">
            <v>AS201602</v>
          </cell>
          <cell r="B7" t="str">
            <v>BOUTCHOUANG WILLIAM</v>
          </cell>
          <cell r="C7">
            <v>-3000</v>
          </cell>
          <cell r="D7">
            <v>0</v>
          </cell>
          <cell r="E7">
            <v>105000</v>
          </cell>
          <cell r="F7">
            <v>0</v>
          </cell>
          <cell r="G7">
            <v>3000</v>
          </cell>
          <cell r="H7" t="str">
            <v>ESPECES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108000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7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15000</v>
          </cell>
          <cell r="D8">
            <v>120000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105000</v>
          </cell>
          <cell r="AQ8">
            <v>0</v>
          </cell>
          <cell r="AR8">
            <v>0</v>
          </cell>
          <cell r="AS8">
            <v>4000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7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7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105000</v>
          </cell>
          <cell r="AJ10">
            <v>100000</v>
          </cell>
          <cell r="AM10">
            <v>1000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100000</v>
          </cell>
          <cell r="AY10">
            <v>0</v>
          </cell>
          <cell r="AZ10">
            <v>100000</v>
          </cell>
          <cell r="BD10">
            <v>100000</v>
          </cell>
          <cell r="BF10">
            <v>0</v>
          </cell>
          <cell r="BG10">
            <v>7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7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7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7</v>
          </cell>
          <cell r="BN13" t="str">
            <v>TAXI BANQUE</v>
          </cell>
          <cell r="BO13" t="str">
            <v>FONDS DE ROULEMENT</v>
          </cell>
          <cell r="BP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7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7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C16">
            <v>23000</v>
          </cell>
          <cell r="AF16" t="str">
            <v>BANQUE</v>
          </cell>
          <cell r="AQ16">
            <v>0</v>
          </cell>
          <cell r="AR16">
            <v>0</v>
          </cell>
          <cell r="AS16">
            <v>52000</v>
          </cell>
          <cell r="AW16">
            <v>277000</v>
          </cell>
          <cell r="AX16">
            <v>0</v>
          </cell>
          <cell r="AY16">
            <v>0</v>
          </cell>
          <cell r="AZ16">
            <v>277000</v>
          </cell>
          <cell r="BD16">
            <v>277000</v>
          </cell>
          <cell r="BF16">
            <v>0</v>
          </cell>
          <cell r="BG16">
            <v>7</v>
          </cell>
          <cell r="BN16" t="str">
            <v>S/TOTAL</v>
          </cell>
          <cell r="BP16">
            <v>22000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K17">
            <v>200000</v>
          </cell>
          <cell r="AN17">
            <v>2000</v>
          </cell>
          <cell r="AP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200000</v>
          </cell>
          <cell r="AZ17">
            <v>200000</v>
          </cell>
          <cell r="BD17">
            <v>200000</v>
          </cell>
          <cell r="BF17">
            <v>0</v>
          </cell>
          <cell r="BG17">
            <v>7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205000</v>
          </cell>
          <cell r="AJ18">
            <v>173000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173000</v>
          </cell>
          <cell r="AY18">
            <v>0</v>
          </cell>
          <cell r="AZ18">
            <v>173000</v>
          </cell>
          <cell r="BA18">
            <v>73000</v>
          </cell>
          <cell r="BD18">
            <v>100000</v>
          </cell>
          <cell r="BF18">
            <v>0</v>
          </cell>
          <cell r="BG18">
            <v>7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7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-53500</v>
          </cell>
          <cell r="D20">
            <v>606500</v>
          </cell>
          <cell r="E20">
            <v>0</v>
          </cell>
          <cell r="F20">
            <v>0</v>
          </cell>
          <cell r="G20">
            <v>3000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202000</v>
          </cell>
          <cell r="U20">
            <v>660000</v>
          </cell>
          <cell r="AD20">
            <v>75000</v>
          </cell>
          <cell r="AF20" t="str">
            <v>BANQUE</v>
          </cell>
          <cell r="AJ20">
            <v>200000</v>
          </cell>
          <cell r="AK20">
            <v>200000</v>
          </cell>
          <cell r="AM20">
            <v>2000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1325000</v>
          </cell>
          <cell r="AY20">
            <v>200000</v>
          </cell>
          <cell r="AZ20">
            <v>1525000</v>
          </cell>
          <cell r="BA20">
            <v>100000</v>
          </cell>
          <cell r="BD20">
            <v>1425000</v>
          </cell>
          <cell r="BF20">
            <v>0</v>
          </cell>
          <cell r="BG20">
            <v>7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7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1000000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-1000000</v>
          </cell>
          <cell r="BD22">
            <v>-929000</v>
          </cell>
          <cell r="BF22">
            <v>0</v>
          </cell>
          <cell r="BG22">
            <v>7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-70000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C23">
            <v>23000</v>
          </cell>
          <cell r="AF23" t="str">
            <v>BANQUE</v>
          </cell>
          <cell r="AK23">
            <v>100000</v>
          </cell>
          <cell r="AN23">
            <v>1000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277000</v>
          </cell>
          <cell r="AX23">
            <v>0</v>
          </cell>
          <cell r="AY23">
            <v>100000</v>
          </cell>
          <cell r="AZ23">
            <v>377000</v>
          </cell>
          <cell r="BB23">
            <v>70000</v>
          </cell>
          <cell r="BD23">
            <v>307000</v>
          </cell>
          <cell r="BF23">
            <v>0</v>
          </cell>
          <cell r="BG23">
            <v>7</v>
          </cell>
        </row>
        <row r="24">
          <cell r="A24" t="str">
            <v>AS201624</v>
          </cell>
          <cell r="B24" t="str">
            <v>NGONDIEP CLAUDE</v>
          </cell>
          <cell r="C24">
            <v>-429000</v>
          </cell>
          <cell r="D24">
            <v>0</v>
          </cell>
          <cell r="E24">
            <v>205000</v>
          </cell>
          <cell r="F24">
            <v>0</v>
          </cell>
          <cell r="G24">
            <v>3000</v>
          </cell>
          <cell r="H24" t="str">
            <v>ESPECES</v>
          </cell>
          <cell r="I24">
            <v>1</v>
          </cell>
          <cell r="J24">
            <v>30000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202000</v>
          </cell>
          <cell r="R24">
            <v>224000</v>
          </cell>
          <cell r="U24">
            <v>634000</v>
          </cell>
          <cell r="AJ24">
            <v>200000</v>
          </cell>
          <cell r="AK24">
            <v>243000</v>
          </cell>
          <cell r="AM24">
            <v>2000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200000</v>
          </cell>
          <cell r="AY24">
            <v>243000</v>
          </cell>
          <cell r="AZ24">
            <v>443000</v>
          </cell>
          <cell r="BA24">
            <v>443000</v>
          </cell>
          <cell r="BD24">
            <v>0</v>
          </cell>
          <cell r="BF24">
            <v>0</v>
          </cell>
          <cell r="BG24">
            <v>7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-2000</v>
          </cell>
          <cell r="D25">
            <v>480000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202000</v>
          </cell>
          <cell r="R25">
            <v>0</v>
          </cell>
          <cell r="U25">
            <v>482000</v>
          </cell>
          <cell r="AJ25">
            <v>200000</v>
          </cell>
          <cell r="AM25">
            <v>2000</v>
          </cell>
          <cell r="AP25" t="str">
            <v>BANQUE</v>
          </cell>
          <cell r="AQ25">
            <v>0</v>
          </cell>
          <cell r="AR25">
            <v>0</v>
          </cell>
          <cell r="AS25">
            <v>5000</v>
          </cell>
          <cell r="AW25">
            <v>0</v>
          </cell>
          <cell r="AX25">
            <v>200000</v>
          </cell>
          <cell r="AY25">
            <v>0</v>
          </cell>
          <cell r="AZ25">
            <v>200000</v>
          </cell>
          <cell r="BA25">
            <v>100000</v>
          </cell>
          <cell r="BD25">
            <v>100000</v>
          </cell>
          <cell r="BF25">
            <v>0</v>
          </cell>
          <cell r="BG25">
            <v>7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0</v>
          </cell>
          <cell r="U26">
            <v>105000</v>
          </cell>
          <cell r="AI26">
            <v>34000</v>
          </cell>
          <cell r="AJ26">
            <v>200000</v>
          </cell>
          <cell r="AL26">
            <v>500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34000</v>
          </cell>
          <cell r="AX26">
            <v>200000</v>
          </cell>
          <cell r="AY26">
            <v>0</v>
          </cell>
          <cell r="AZ26">
            <v>234000</v>
          </cell>
          <cell r="BA26">
            <v>34000</v>
          </cell>
          <cell r="BD26">
            <v>200000</v>
          </cell>
          <cell r="BF26">
            <v>0</v>
          </cell>
          <cell r="BG26">
            <v>7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7</v>
          </cell>
        </row>
        <row r="28">
          <cell r="A28" t="str">
            <v>AS201629</v>
          </cell>
          <cell r="B28" t="str">
            <v>NKEPSEU DIEUDONNE</v>
          </cell>
          <cell r="C28">
            <v>-71000</v>
          </cell>
          <cell r="D28">
            <v>341000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10000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202000</v>
          </cell>
          <cell r="U28">
            <v>342000</v>
          </cell>
          <cell r="AE28">
            <v>115000</v>
          </cell>
          <cell r="AF28" t="str">
            <v>BANQUE</v>
          </cell>
          <cell r="AP28" t="str">
            <v>BANQUE</v>
          </cell>
          <cell r="AQ28">
            <v>0</v>
          </cell>
          <cell r="AR28">
            <v>0</v>
          </cell>
          <cell r="AS28">
            <v>17000</v>
          </cell>
          <cell r="AW28">
            <v>0</v>
          </cell>
          <cell r="AX28">
            <v>0</v>
          </cell>
          <cell r="AY28">
            <v>1185000</v>
          </cell>
          <cell r="AZ28">
            <v>1185000</v>
          </cell>
          <cell r="BA28">
            <v>15000</v>
          </cell>
          <cell r="BB28">
            <v>70000</v>
          </cell>
          <cell r="BD28">
            <v>1100000</v>
          </cell>
          <cell r="BF28">
            <v>0</v>
          </cell>
          <cell r="BG28">
            <v>7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7</v>
          </cell>
        </row>
        <row r="30">
          <cell r="A30" t="str">
            <v>AS201653</v>
          </cell>
          <cell r="B30" t="str">
            <v>SIME BRICE</v>
          </cell>
          <cell r="C30">
            <v>-3000</v>
          </cell>
          <cell r="D30">
            <v>0</v>
          </cell>
          <cell r="E30">
            <v>105000</v>
          </cell>
          <cell r="F30">
            <v>0</v>
          </cell>
          <cell r="G30">
            <v>3000</v>
          </cell>
          <cell r="H30" t="str">
            <v>ESPECES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108000</v>
          </cell>
          <cell r="AQ30">
            <v>0</v>
          </cell>
          <cell r="AR30">
            <v>0</v>
          </cell>
          <cell r="AS30">
            <v>4000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7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7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210000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100000</v>
          </cell>
          <cell r="T32" t="str">
            <v>BANQUE</v>
          </cell>
          <cell r="U32">
            <v>210000</v>
          </cell>
          <cell r="AQ32">
            <v>0</v>
          </cell>
          <cell r="AR32">
            <v>0</v>
          </cell>
          <cell r="AS32">
            <v>12000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7</v>
          </cell>
        </row>
        <row r="33">
          <cell r="A33" t="str">
            <v>AS201641</v>
          </cell>
          <cell r="B33" t="str">
            <v>TCHOUAMOU MATHIEU</v>
          </cell>
          <cell r="C33">
            <v>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B33">
            <v>70000</v>
          </cell>
          <cell r="BD33">
            <v>0</v>
          </cell>
          <cell r="BF33">
            <v>0</v>
          </cell>
          <cell r="BG33">
            <v>7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7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7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7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-611500</v>
          </cell>
          <cell r="D38">
            <v>3997500</v>
          </cell>
          <cell r="E38">
            <v>415000</v>
          </cell>
          <cell r="F38">
            <v>1000000</v>
          </cell>
          <cell r="G38">
            <v>12000</v>
          </cell>
          <cell r="H38">
            <v>0</v>
          </cell>
          <cell r="I38">
            <v>26</v>
          </cell>
          <cell r="J38">
            <v>780000</v>
          </cell>
          <cell r="K38">
            <v>90000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404000</v>
          </cell>
          <cell r="R38">
            <v>628000</v>
          </cell>
          <cell r="S38">
            <v>1100000</v>
          </cell>
          <cell r="T38">
            <v>0</v>
          </cell>
          <cell r="U38">
            <v>5814000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115000</v>
          </cell>
          <cell r="AF38">
            <v>0</v>
          </cell>
          <cell r="AG38">
            <v>0</v>
          </cell>
          <cell r="AH38">
            <v>0</v>
          </cell>
          <cell r="AI38">
            <v>34000</v>
          </cell>
          <cell r="AJ38">
            <v>1073000</v>
          </cell>
          <cell r="AK38">
            <v>743000</v>
          </cell>
          <cell r="AL38">
            <v>500</v>
          </cell>
          <cell r="AM38">
            <v>11000</v>
          </cell>
          <cell r="AN38">
            <v>7000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264000</v>
          </cell>
          <cell r="AT38">
            <v>0</v>
          </cell>
          <cell r="AU38">
            <v>0</v>
          </cell>
          <cell r="AV38">
            <v>0</v>
          </cell>
          <cell r="AW38">
            <v>588000</v>
          </cell>
          <cell r="AX38">
            <v>2198000</v>
          </cell>
          <cell r="AY38">
            <v>1928000</v>
          </cell>
          <cell r="AZ38">
            <v>3806000</v>
          </cell>
          <cell r="BA38">
            <v>765000</v>
          </cell>
          <cell r="BB38">
            <v>210000</v>
          </cell>
          <cell r="BC38">
            <v>0</v>
          </cell>
          <cell r="BF38">
            <v>0</v>
          </cell>
          <cell r="BH38">
            <v>22000</v>
          </cell>
          <cell r="BI38">
            <v>0</v>
          </cell>
          <cell r="BJ38">
            <v>0</v>
          </cell>
          <cell r="BK38">
            <v>70000</v>
          </cell>
          <cell r="BL38">
            <v>0</v>
          </cell>
          <cell r="BN38" t="str">
            <v>S/TOTAL</v>
          </cell>
          <cell r="BP38">
            <v>0</v>
          </cell>
        </row>
      </sheetData>
      <sheetData sheetId="9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76000</v>
          </cell>
          <cell r="BD6">
            <v>76000</v>
          </cell>
          <cell r="BF6">
            <v>0</v>
          </cell>
          <cell r="BG6">
            <v>6</v>
          </cell>
          <cell r="BH6">
            <v>6000</v>
          </cell>
          <cell r="BI6">
            <v>0</v>
          </cell>
          <cell r="BJ6">
            <v>0</v>
          </cell>
          <cell r="BK6">
            <v>70000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6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5000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110000</v>
          </cell>
          <cell r="AQ8">
            <v>0</v>
          </cell>
          <cell r="AR8">
            <v>0</v>
          </cell>
          <cell r="AS8">
            <v>12000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6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6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206000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101000</v>
          </cell>
          <cell r="U10">
            <v>206000</v>
          </cell>
          <cell r="AJ10">
            <v>50000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50000</v>
          </cell>
          <cell r="AY10">
            <v>0</v>
          </cell>
          <cell r="AZ10">
            <v>50000</v>
          </cell>
          <cell r="BD10">
            <v>50000</v>
          </cell>
          <cell r="BF10">
            <v>0</v>
          </cell>
          <cell r="BG10">
            <v>6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J11">
            <v>50000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50000</v>
          </cell>
          <cell r="AY11">
            <v>0</v>
          </cell>
          <cell r="AZ11">
            <v>50000</v>
          </cell>
          <cell r="BD11">
            <v>50000</v>
          </cell>
          <cell r="BF11">
            <v>0</v>
          </cell>
          <cell r="BG11">
            <v>6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33000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C12">
            <v>23000</v>
          </cell>
          <cell r="AF12" t="str">
            <v>BANQUE</v>
          </cell>
          <cell r="AQ12">
            <v>0</v>
          </cell>
          <cell r="AR12">
            <v>0</v>
          </cell>
          <cell r="AS12">
            <v>12000</v>
          </cell>
          <cell r="AW12">
            <v>277000</v>
          </cell>
          <cell r="AX12">
            <v>0</v>
          </cell>
          <cell r="AY12">
            <v>0</v>
          </cell>
          <cell r="AZ12">
            <v>244000</v>
          </cell>
          <cell r="BB12">
            <v>33000</v>
          </cell>
          <cell r="BD12">
            <v>211000</v>
          </cell>
          <cell r="BF12">
            <v>0</v>
          </cell>
          <cell r="BG12">
            <v>6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6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6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6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6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533000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K17">
            <v>1000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202000</v>
          </cell>
          <cell r="U17">
            <v>533000</v>
          </cell>
          <cell r="AP17" t="str">
            <v>BANQUE</v>
          </cell>
          <cell r="AQ17">
            <v>0</v>
          </cell>
          <cell r="AR17">
            <v>0</v>
          </cell>
          <cell r="AS17">
            <v>8000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6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380000</v>
          </cell>
          <cell r="E18">
            <v>0</v>
          </cell>
          <cell r="F18">
            <v>1000000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175000</v>
          </cell>
          <cell r="R18">
            <v>0</v>
          </cell>
          <cell r="S18">
            <v>1000000</v>
          </cell>
          <cell r="T18" t="str">
            <v>BANQUE</v>
          </cell>
          <cell r="U18">
            <v>1380000</v>
          </cell>
          <cell r="Z18">
            <v>1000000</v>
          </cell>
          <cell r="AE18">
            <v>100000</v>
          </cell>
          <cell r="AF18" t="str">
            <v>BANQUE</v>
          </cell>
          <cell r="AI18">
            <v>48500</v>
          </cell>
          <cell r="AK18">
            <v>200000</v>
          </cell>
          <cell r="AL18">
            <v>1000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48500</v>
          </cell>
          <cell r="AX18">
            <v>0</v>
          </cell>
          <cell r="AY18">
            <v>1400000</v>
          </cell>
          <cell r="AZ18">
            <v>1388500</v>
          </cell>
          <cell r="BD18">
            <v>1388500</v>
          </cell>
          <cell r="BF18">
            <v>60000</v>
          </cell>
          <cell r="BG18">
            <v>6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Z19">
            <v>1000000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940000</v>
          </cell>
          <cell r="BD19">
            <v>940000</v>
          </cell>
          <cell r="BF19">
            <v>60000</v>
          </cell>
          <cell r="BG19">
            <v>6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859000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202000</v>
          </cell>
          <cell r="R20">
            <v>202000</v>
          </cell>
          <cell r="U20">
            <v>859000</v>
          </cell>
          <cell r="AK20">
            <v>200000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200000</v>
          </cell>
          <cell r="AZ20">
            <v>200000</v>
          </cell>
          <cell r="BD20">
            <v>200000</v>
          </cell>
          <cell r="BF20">
            <v>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6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Z22">
            <v>1000000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940000</v>
          </cell>
          <cell r="BD22">
            <v>1011000</v>
          </cell>
          <cell r="BF22">
            <v>60000</v>
          </cell>
          <cell r="BG22">
            <v>6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251000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101000</v>
          </cell>
          <cell r="U23">
            <v>251000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6</v>
          </cell>
        </row>
        <row r="24">
          <cell r="A24" t="str">
            <v>AS201624</v>
          </cell>
          <cell r="B24" t="str">
            <v>NGONDIEP CLAUDE</v>
          </cell>
          <cell r="C24">
            <v>78000</v>
          </cell>
          <cell r="D24">
            <v>740000</v>
          </cell>
          <cell r="E24">
            <v>17000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K24">
            <v>4000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202000</v>
          </cell>
          <cell r="R24">
            <v>245000</v>
          </cell>
          <cell r="U24">
            <v>659000</v>
          </cell>
          <cell r="AD24">
            <v>75000</v>
          </cell>
          <cell r="AF24" t="str">
            <v>BANQUE</v>
          </cell>
          <cell r="AK24">
            <v>250000</v>
          </cell>
          <cell r="AN24">
            <v>2000</v>
          </cell>
          <cell r="AP24" t="str">
            <v>BANQUE</v>
          </cell>
          <cell r="AQ24">
            <v>0</v>
          </cell>
          <cell r="AR24">
            <v>0</v>
          </cell>
          <cell r="AS24">
            <v>11000</v>
          </cell>
          <cell r="AW24">
            <v>0</v>
          </cell>
          <cell r="AX24">
            <v>1125000</v>
          </cell>
          <cell r="AY24">
            <v>250000</v>
          </cell>
          <cell r="AZ24">
            <v>1375000</v>
          </cell>
          <cell r="BB24">
            <v>20000</v>
          </cell>
          <cell r="BD24">
            <v>1355000</v>
          </cell>
          <cell r="BF24">
            <v>0</v>
          </cell>
          <cell r="BG24">
            <v>6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385000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4000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101000</v>
          </cell>
          <cell r="R25">
            <v>0</v>
          </cell>
          <cell r="U25">
            <v>385000</v>
          </cell>
          <cell r="AJ25">
            <v>102000</v>
          </cell>
          <cell r="AM25">
            <v>2000</v>
          </cell>
          <cell r="AQ25">
            <v>0</v>
          </cell>
          <cell r="AR25">
            <v>0</v>
          </cell>
          <cell r="AS25">
            <v>11000</v>
          </cell>
          <cell r="AW25">
            <v>0</v>
          </cell>
          <cell r="AX25">
            <v>102000</v>
          </cell>
          <cell r="AY25">
            <v>0</v>
          </cell>
          <cell r="AZ25">
            <v>102000</v>
          </cell>
          <cell r="BD25">
            <v>102000</v>
          </cell>
          <cell r="BF25">
            <v>0</v>
          </cell>
          <cell r="BG25">
            <v>6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341500</v>
          </cell>
          <cell r="E26">
            <v>0</v>
          </cell>
          <cell r="F26">
            <v>1228000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34500</v>
          </cell>
          <cell r="Q26">
            <v>202000</v>
          </cell>
          <cell r="S26">
            <v>1155000</v>
          </cell>
          <cell r="T26" t="str">
            <v>BANQUE</v>
          </cell>
          <cell r="U26">
            <v>1496500</v>
          </cell>
          <cell r="Z26">
            <v>1000000</v>
          </cell>
          <cell r="AC26">
            <v>23000</v>
          </cell>
          <cell r="AD26">
            <v>75000</v>
          </cell>
          <cell r="AF26" t="str">
            <v>BANQUE</v>
          </cell>
          <cell r="AI26">
            <v>30000</v>
          </cell>
          <cell r="AJ26">
            <v>50000</v>
          </cell>
          <cell r="AL26">
            <v>500</v>
          </cell>
          <cell r="AM26">
            <v>1000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307000</v>
          </cell>
          <cell r="AX26">
            <v>1175000</v>
          </cell>
          <cell r="AY26">
            <v>0</v>
          </cell>
          <cell r="AZ26">
            <v>1194000</v>
          </cell>
          <cell r="BA26">
            <v>33000</v>
          </cell>
          <cell r="BB26">
            <v>73000</v>
          </cell>
          <cell r="BD26">
            <v>1088000</v>
          </cell>
          <cell r="BF26">
            <v>60000</v>
          </cell>
          <cell r="BG26">
            <v>6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20000</v>
          </cell>
          <cell r="D27">
            <v>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6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430000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300000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430000</v>
          </cell>
          <cell r="AQ28">
            <v>0</v>
          </cell>
          <cell r="AR28">
            <v>0</v>
          </cell>
          <cell r="AS28">
            <v>307000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6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6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6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6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-100000</v>
          </cell>
          <cell r="D32">
            <v>310000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300000</v>
          </cell>
          <cell r="T32" t="str">
            <v>BANQUE</v>
          </cell>
          <cell r="U32">
            <v>410000</v>
          </cell>
          <cell r="Z32">
            <v>800000</v>
          </cell>
          <cell r="AQ32">
            <v>0</v>
          </cell>
          <cell r="AR32">
            <v>0</v>
          </cell>
          <cell r="AS32">
            <v>12000</v>
          </cell>
          <cell r="AW32">
            <v>0</v>
          </cell>
          <cell r="AX32">
            <v>0</v>
          </cell>
          <cell r="AY32">
            <v>0</v>
          </cell>
          <cell r="AZ32">
            <v>752000</v>
          </cell>
          <cell r="BD32">
            <v>752000</v>
          </cell>
          <cell r="BF32">
            <v>48000</v>
          </cell>
          <cell r="BG32">
            <v>6</v>
          </cell>
        </row>
        <row r="33">
          <cell r="A33" t="str">
            <v>AS201641</v>
          </cell>
          <cell r="B33" t="str">
            <v>TCHOUAMOU MATHIEU</v>
          </cell>
          <cell r="C33">
            <v>176000</v>
          </cell>
          <cell r="D33">
            <v>206000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6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30000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6</v>
          </cell>
        </row>
        <row r="35">
          <cell r="A35" t="str">
            <v>AS201646</v>
          </cell>
          <cell r="B35" t="str">
            <v>YEPMOU JEAN JACQUES</v>
          </cell>
          <cell r="C35">
            <v>-3000</v>
          </cell>
          <cell r="D35">
            <v>0</v>
          </cell>
          <cell r="E35">
            <v>30000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33000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6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Z36">
            <v>1000000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970000</v>
          </cell>
          <cell r="BD36">
            <v>970000</v>
          </cell>
          <cell r="BF36">
            <v>30000</v>
          </cell>
          <cell r="BG36">
            <v>3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201000</v>
          </cell>
          <cell r="D38">
            <v>6221500</v>
          </cell>
          <cell r="E38">
            <v>47000</v>
          </cell>
          <cell r="F38">
            <v>2261000</v>
          </cell>
          <cell r="G38">
            <v>6000</v>
          </cell>
          <cell r="H38">
            <v>0</v>
          </cell>
          <cell r="I38">
            <v>26</v>
          </cell>
          <cell r="J38">
            <v>780000</v>
          </cell>
          <cell r="K38">
            <v>394000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34500</v>
          </cell>
          <cell r="Q38">
            <v>983000</v>
          </cell>
          <cell r="R38">
            <v>750000</v>
          </cell>
          <cell r="S38">
            <v>2455000</v>
          </cell>
          <cell r="T38">
            <v>0</v>
          </cell>
          <cell r="U38">
            <v>8202500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5800000</v>
          </cell>
          <cell r="AA38">
            <v>0</v>
          </cell>
          <cell r="AB38">
            <v>0</v>
          </cell>
          <cell r="AC38">
            <v>46000</v>
          </cell>
          <cell r="AD38">
            <v>150000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78500</v>
          </cell>
          <cell r="AJ38">
            <v>252000</v>
          </cell>
          <cell r="AK38">
            <v>650000</v>
          </cell>
          <cell r="AL38">
            <v>1500</v>
          </cell>
          <cell r="AM38">
            <v>5000</v>
          </cell>
          <cell r="AN38">
            <v>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576000</v>
          </cell>
          <cell r="AT38">
            <v>0</v>
          </cell>
          <cell r="AU38">
            <v>0</v>
          </cell>
          <cell r="AV38">
            <v>0</v>
          </cell>
          <cell r="AW38">
            <v>632500</v>
          </cell>
          <cell r="AX38">
            <v>2502000</v>
          </cell>
          <cell r="AY38">
            <v>1850000</v>
          </cell>
          <cell r="AZ38">
            <v>8281500</v>
          </cell>
          <cell r="BA38">
            <v>33000</v>
          </cell>
          <cell r="BB38">
            <v>126000</v>
          </cell>
          <cell r="BC38">
            <v>0</v>
          </cell>
          <cell r="BF38">
            <v>318000</v>
          </cell>
          <cell r="BH38">
            <v>6000</v>
          </cell>
          <cell r="BI38">
            <v>0</v>
          </cell>
          <cell r="BJ38">
            <v>0</v>
          </cell>
          <cell r="BK38">
            <v>70000</v>
          </cell>
          <cell r="BM38">
            <v>0</v>
          </cell>
          <cell r="BN38" t="str">
            <v>S/TOTAL</v>
          </cell>
          <cell r="BP38">
            <v>0</v>
          </cell>
        </row>
      </sheetData>
      <sheetData sheetId="10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109000</v>
          </cell>
          <cell r="BD6">
            <v>109000</v>
          </cell>
          <cell r="BF6">
            <v>0</v>
          </cell>
          <cell r="BG6">
            <v>5</v>
          </cell>
          <cell r="BH6">
            <v>39000</v>
          </cell>
          <cell r="BI6">
            <v>0</v>
          </cell>
          <cell r="BJ6">
            <v>0</v>
          </cell>
          <cell r="BK6">
            <v>70000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570000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S7">
            <v>500000</v>
          </cell>
          <cell r="U7">
            <v>605000</v>
          </cell>
          <cell r="AC7">
            <v>23000</v>
          </cell>
          <cell r="AF7" t="str">
            <v>BANQUE</v>
          </cell>
          <cell r="AQ7">
            <v>0</v>
          </cell>
          <cell r="AR7">
            <v>0</v>
          </cell>
          <cell r="AS7">
            <v>7000</v>
          </cell>
          <cell r="AW7">
            <v>277000</v>
          </cell>
          <cell r="AX7">
            <v>0</v>
          </cell>
          <cell r="AY7">
            <v>0</v>
          </cell>
          <cell r="AZ7">
            <v>-293000</v>
          </cell>
          <cell r="BB7">
            <v>70000</v>
          </cell>
          <cell r="BD7">
            <v>-363000</v>
          </cell>
          <cell r="BF7">
            <v>0</v>
          </cell>
          <cell r="BG7">
            <v>5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U8">
            <v>105000</v>
          </cell>
          <cell r="AJ8">
            <v>50000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50000</v>
          </cell>
          <cell r="AY8">
            <v>0</v>
          </cell>
          <cell r="AZ8">
            <v>50000</v>
          </cell>
          <cell r="BA8">
            <v>50000</v>
          </cell>
          <cell r="BD8">
            <v>0</v>
          </cell>
          <cell r="BF8">
            <v>0</v>
          </cell>
          <cell r="BG8">
            <v>5</v>
          </cell>
          <cell r="BN8" t="str">
            <v>COMMISSION</v>
          </cell>
          <cell r="BO8" t="str">
            <v>FONDS DE ROULEMENT</v>
          </cell>
          <cell r="BP8">
            <v>33000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0</v>
          </cell>
          <cell r="E9">
            <v>34000</v>
          </cell>
          <cell r="F9">
            <v>0</v>
          </cell>
          <cell r="G9">
            <v>3000</v>
          </cell>
          <cell r="H9" t="str">
            <v>ESPECES</v>
          </cell>
          <cell r="I9">
            <v>1</v>
          </cell>
          <cell r="J9">
            <v>30000</v>
          </cell>
          <cell r="K9">
            <v>1000</v>
          </cell>
          <cell r="M9">
            <v>0</v>
          </cell>
          <cell r="O9">
            <v>0</v>
          </cell>
          <cell r="P9">
            <v>0</v>
          </cell>
          <cell r="U9">
            <v>34000</v>
          </cell>
          <cell r="AQ9">
            <v>0</v>
          </cell>
          <cell r="AR9">
            <v>0</v>
          </cell>
          <cell r="AS9">
            <v>8000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5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156000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51000</v>
          </cell>
          <cell r="U10">
            <v>156000</v>
          </cell>
          <cell r="AJ10">
            <v>50000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50000</v>
          </cell>
          <cell r="AY10">
            <v>0</v>
          </cell>
          <cell r="AZ10">
            <v>50000</v>
          </cell>
          <cell r="BD10">
            <v>50000</v>
          </cell>
          <cell r="BF10">
            <v>0</v>
          </cell>
          <cell r="BG10">
            <v>5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0</v>
          </cell>
          <cell r="E11">
            <v>259000</v>
          </cell>
          <cell r="F11">
            <v>700000</v>
          </cell>
          <cell r="G11">
            <v>3000</v>
          </cell>
          <cell r="H11" t="str">
            <v>ESPECES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51000</v>
          </cell>
          <cell r="R11">
            <v>0</v>
          </cell>
          <cell r="S11">
            <v>700000</v>
          </cell>
          <cell r="U11">
            <v>959000</v>
          </cell>
          <cell r="AD11">
            <v>85000</v>
          </cell>
          <cell r="AF11" t="str">
            <v>BANQUE</v>
          </cell>
          <cell r="AJ11">
            <v>75000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1190000</v>
          </cell>
          <cell r="AY11">
            <v>0</v>
          </cell>
          <cell r="AZ11">
            <v>490000</v>
          </cell>
          <cell r="BD11">
            <v>490000</v>
          </cell>
          <cell r="BF11">
            <v>0</v>
          </cell>
          <cell r="BG11">
            <v>5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5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5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5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5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5</v>
          </cell>
          <cell r="BN16" t="str">
            <v>S/TOTAL</v>
          </cell>
          <cell r="BP16">
            <v>39000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5</v>
          </cell>
        </row>
        <row r="18">
          <cell r="A18" t="str">
            <v>AS201619</v>
          </cell>
          <cell r="B18" t="str">
            <v>KOUATCHO MESSACK</v>
          </cell>
          <cell r="C18">
            <v>-3500</v>
          </cell>
          <cell r="D18">
            <v>453000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49500</v>
          </cell>
          <cell r="Q18">
            <v>0</v>
          </cell>
          <cell r="R18">
            <v>202000</v>
          </cell>
          <cell r="U18">
            <v>456500</v>
          </cell>
          <cell r="AK18">
            <v>200000</v>
          </cell>
          <cell r="AN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4000</v>
          </cell>
          <cell r="AW18">
            <v>0</v>
          </cell>
          <cell r="AX18">
            <v>0</v>
          </cell>
          <cell r="AY18">
            <v>200000</v>
          </cell>
          <cell r="AZ18">
            <v>200000</v>
          </cell>
          <cell r="BA18">
            <v>100000</v>
          </cell>
          <cell r="BD18">
            <v>100000</v>
          </cell>
          <cell r="BF18">
            <v>0</v>
          </cell>
          <cell r="BG18">
            <v>5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5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657000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202000</v>
          </cell>
          <cell r="U20">
            <v>657000</v>
          </cell>
          <cell r="AE20">
            <v>100000</v>
          </cell>
          <cell r="AF20" t="str">
            <v>BANQUE</v>
          </cell>
          <cell r="AK20">
            <v>256000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1456000</v>
          </cell>
          <cell r="AZ20">
            <v>1456000</v>
          </cell>
          <cell r="BA20">
            <v>156000</v>
          </cell>
          <cell r="BD20">
            <v>1300000</v>
          </cell>
          <cell r="BF20">
            <v>0</v>
          </cell>
          <cell r="BG20">
            <v>5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5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71000</v>
          </cell>
          <cell r="BF22">
            <v>0</v>
          </cell>
          <cell r="BG22">
            <v>5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K23">
            <v>100000</v>
          </cell>
          <cell r="AN23">
            <v>1000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100000</v>
          </cell>
          <cell r="AZ23">
            <v>100000</v>
          </cell>
          <cell r="BD23">
            <v>100000</v>
          </cell>
          <cell r="BF23">
            <v>0</v>
          </cell>
          <cell r="BG23">
            <v>5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460000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252000</v>
          </cell>
          <cell r="U24">
            <v>460000</v>
          </cell>
          <cell r="AP24" t="str">
            <v>BANQUE</v>
          </cell>
          <cell r="AQ24">
            <v>0</v>
          </cell>
          <cell r="AR24">
            <v>0</v>
          </cell>
          <cell r="AS24">
            <v>10000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5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-1000</v>
          </cell>
          <cell r="D25">
            <v>387000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4000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104000</v>
          </cell>
          <cell r="R25">
            <v>0</v>
          </cell>
          <cell r="U25">
            <v>388000</v>
          </cell>
          <cell r="AD25">
            <v>90000</v>
          </cell>
          <cell r="AF25" t="str">
            <v>BANQUE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11000</v>
          </cell>
          <cell r="AW25">
            <v>0</v>
          </cell>
          <cell r="AX25">
            <v>1110000</v>
          </cell>
          <cell r="AY25">
            <v>100000</v>
          </cell>
          <cell r="AZ25">
            <v>1210000</v>
          </cell>
          <cell r="BA25">
            <v>100000</v>
          </cell>
          <cell r="BD25">
            <v>1110000</v>
          </cell>
          <cell r="BF25">
            <v>0</v>
          </cell>
          <cell r="BG25">
            <v>5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84500</v>
          </cell>
          <cell r="F26">
            <v>0</v>
          </cell>
          <cell r="G26">
            <v>3000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30500</v>
          </cell>
          <cell r="Q26">
            <v>51000</v>
          </cell>
          <cell r="U26">
            <v>189500</v>
          </cell>
          <cell r="AJ26">
            <v>75000</v>
          </cell>
          <cell r="AM26">
            <v>1000</v>
          </cell>
          <cell r="AP26" t="str">
            <v>ESPECES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75000</v>
          </cell>
          <cell r="AY26">
            <v>0</v>
          </cell>
          <cell r="AZ26">
            <v>75000</v>
          </cell>
          <cell r="BA26">
            <v>75000</v>
          </cell>
          <cell r="BD26">
            <v>0</v>
          </cell>
          <cell r="BF26">
            <v>0</v>
          </cell>
          <cell r="BG26">
            <v>5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20000</v>
          </cell>
          <cell r="D27">
            <v>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5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200000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K28">
            <v>70000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200000</v>
          </cell>
          <cell r="AQ28">
            <v>0</v>
          </cell>
          <cell r="AR28">
            <v>0</v>
          </cell>
          <cell r="AS28">
            <v>77000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5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5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0</v>
          </cell>
          <cell r="E30">
            <v>108000</v>
          </cell>
          <cell r="F30">
            <v>0</v>
          </cell>
          <cell r="G30">
            <v>3000</v>
          </cell>
          <cell r="H30" t="str">
            <v>ESPECES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108000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5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5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110000</v>
          </cell>
          <cell r="AI32">
            <v>20000</v>
          </cell>
          <cell r="AL32">
            <v>500</v>
          </cell>
          <cell r="AP32" t="str">
            <v>BANQUE</v>
          </cell>
          <cell r="AQ32">
            <v>0</v>
          </cell>
          <cell r="AR32">
            <v>0</v>
          </cell>
          <cell r="AS32">
            <v>12000</v>
          </cell>
          <cell r="AW32">
            <v>20000</v>
          </cell>
          <cell r="AX32">
            <v>0</v>
          </cell>
          <cell r="AY32">
            <v>0</v>
          </cell>
          <cell r="AZ32">
            <v>20000</v>
          </cell>
          <cell r="BA32">
            <v>20000</v>
          </cell>
          <cell r="BD32">
            <v>0</v>
          </cell>
          <cell r="BF32">
            <v>0</v>
          </cell>
          <cell r="BG32">
            <v>5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30000</v>
          </cell>
          <cell r="E33">
            <v>0</v>
          </cell>
          <cell r="F33">
            <v>560000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S33">
            <v>560000</v>
          </cell>
          <cell r="U33">
            <v>590000</v>
          </cell>
          <cell r="Z33">
            <v>1000000</v>
          </cell>
          <cell r="AA33" t="str">
            <v>BANQUE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390000</v>
          </cell>
          <cell r="BA33">
            <v>50000</v>
          </cell>
          <cell r="BD33">
            <v>340000</v>
          </cell>
          <cell r="BF33">
            <v>50000</v>
          </cell>
          <cell r="BG33">
            <v>5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30000</v>
          </cell>
          <cell r="D34">
            <v>30000</v>
          </cell>
          <cell r="E34">
            <v>0</v>
          </cell>
          <cell r="F34">
            <v>0</v>
          </cell>
          <cell r="G34">
            <v>0</v>
          </cell>
          <cell r="H34" t="str">
            <v>BANQUE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5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33000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33000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5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0</v>
          </cell>
          <cell r="E36">
            <v>283000</v>
          </cell>
          <cell r="F36">
            <v>0</v>
          </cell>
          <cell r="G36">
            <v>3000</v>
          </cell>
          <cell r="H36" t="str">
            <v>ESPECES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283000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5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45500</v>
          </cell>
          <cell r="D38">
            <v>3993000</v>
          </cell>
          <cell r="E38">
            <v>801500</v>
          </cell>
          <cell r="F38">
            <v>1830000</v>
          </cell>
          <cell r="G38">
            <v>18000</v>
          </cell>
          <cell r="H38">
            <v>0</v>
          </cell>
          <cell r="I38">
            <v>26</v>
          </cell>
          <cell r="J38">
            <v>780000</v>
          </cell>
          <cell r="K38">
            <v>158000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80000</v>
          </cell>
          <cell r="Q38">
            <v>257000</v>
          </cell>
          <cell r="R38">
            <v>656000</v>
          </cell>
          <cell r="S38">
            <v>1760000</v>
          </cell>
          <cell r="T38">
            <v>0</v>
          </cell>
          <cell r="U38">
            <v>6509000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1000000</v>
          </cell>
          <cell r="AA38">
            <v>0</v>
          </cell>
          <cell r="AB38">
            <v>0</v>
          </cell>
          <cell r="AC38">
            <v>23000</v>
          </cell>
          <cell r="AD38">
            <v>175000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20000</v>
          </cell>
          <cell r="AJ38">
            <v>250000</v>
          </cell>
          <cell r="AK38">
            <v>656000</v>
          </cell>
          <cell r="AL38">
            <v>500</v>
          </cell>
          <cell r="AM38">
            <v>4000</v>
          </cell>
          <cell r="AN38">
            <v>6000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337000</v>
          </cell>
          <cell r="AT38">
            <v>0</v>
          </cell>
          <cell r="AU38">
            <v>0</v>
          </cell>
          <cell r="AV38">
            <v>0</v>
          </cell>
          <cell r="AW38">
            <v>297000</v>
          </cell>
          <cell r="AX38">
            <v>2475000</v>
          </cell>
          <cell r="AY38">
            <v>1856000</v>
          </cell>
          <cell r="AZ38">
            <v>3857000</v>
          </cell>
          <cell r="BA38">
            <v>551000</v>
          </cell>
          <cell r="BB38">
            <v>70000</v>
          </cell>
          <cell r="BC38">
            <v>0</v>
          </cell>
          <cell r="BD38">
            <v>3307000</v>
          </cell>
          <cell r="BF38">
            <v>50000</v>
          </cell>
          <cell r="BH38">
            <v>39000</v>
          </cell>
          <cell r="BI38">
            <v>0</v>
          </cell>
          <cell r="BJ38">
            <v>0</v>
          </cell>
          <cell r="BK38">
            <v>70000</v>
          </cell>
          <cell r="BM38">
            <v>0</v>
          </cell>
          <cell r="BN38" t="str">
            <v>S/TOTAL</v>
          </cell>
          <cell r="BP38">
            <v>0</v>
          </cell>
        </row>
      </sheetData>
      <sheetData sheetId="11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F6">
            <v>0</v>
          </cell>
          <cell r="BG6">
            <v>4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D7">
            <v>75000</v>
          </cell>
          <cell r="AF7" t="str">
            <v>BANQUE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1125000</v>
          </cell>
          <cell r="AY7">
            <v>0</v>
          </cell>
          <cell r="AZ7">
            <v>1125000</v>
          </cell>
          <cell r="BD7">
            <v>1125000</v>
          </cell>
          <cell r="BF7">
            <v>0</v>
          </cell>
          <cell r="BG7">
            <v>4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159000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3000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51000</v>
          </cell>
          <cell r="U8">
            <v>159000</v>
          </cell>
          <cell r="AJ8">
            <v>50000</v>
          </cell>
          <cell r="AM8">
            <v>1000</v>
          </cell>
          <cell r="AP8" t="str">
            <v>BANQUE</v>
          </cell>
          <cell r="AQ8">
            <v>0</v>
          </cell>
          <cell r="AR8">
            <v>0</v>
          </cell>
          <cell r="AS8">
            <v>10000</v>
          </cell>
          <cell r="AW8">
            <v>0</v>
          </cell>
          <cell r="AX8">
            <v>50000</v>
          </cell>
          <cell r="AY8">
            <v>0</v>
          </cell>
          <cell r="AZ8">
            <v>50000</v>
          </cell>
          <cell r="BA8">
            <v>50000</v>
          </cell>
          <cell r="BD8">
            <v>0</v>
          </cell>
          <cell r="BF8">
            <v>0</v>
          </cell>
          <cell r="BG8">
            <v>4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4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156000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51000</v>
          </cell>
          <cell r="U10">
            <v>156000</v>
          </cell>
          <cell r="AI10">
            <v>50000</v>
          </cell>
          <cell r="AJ10">
            <v>100000</v>
          </cell>
          <cell r="AL10">
            <v>1000</v>
          </cell>
          <cell r="AM10">
            <v>1000</v>
          </cell>
          <cell r="AP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50000</v>
          </cell>
          <cell r="AX10">
            <v>100000</v>
          </cell>
          <cell r="AY10">
            <v>0</v>
          </cell>
          <cell r="AZ10">
            <v>150000</v>
          </cell>
          <cell r="BA10">
            <v>55000</v>
          </cell>
          <cell r="BD10">
            <v>95000</v>
          </cell>
          <cell r="BF10">
            <v>0</v>
          </cell>
          <cell r="BG10">
            <v>4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110000</v>
          </cell>
          <cell r="E11">
            <v>0</v>
          </cell>
          <cell r="F11">
            <v>176000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5000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76000</v>
          </cell>
          <cell r="R11">
            <v>0</v>
          </cell>
          <cell r="U11">
            <v>286000</v>
          </cell>
          <cell r="AC11">
            <v>23000</v>
          </cell>
          <cell r="AF11" t="str">
            <v>BANQUE</v>
          </cell>
          <cell r="AI11">
            <v>68000</v>
          </cell>
          <cell r="AJ11">
            <v>75000</v>
          </cell>
          <cell r="AL11">
            <v>1000</v>
          </cell>
          <cell r="AM11">
            <v>1000</v>
          </cell>
          <cell r="AP11" t="str">
            <v>BANQUE</v>
          </cell>
          <cell r="AQ11">
            <v>0</v>
          </cell>
          <cell r="AR11">
            <v>0</v>
          </cell>
          <cell r="AS11">
            <v>12000</v>
          </cell>
          <cell r="AW11">
            <v>345000</v>
          </cell>
          <cell r="AX11">
            <v>75000</v>
          </cell>
          <cell r="AY11">
            <v>0</v>
          </cell>
          <cell r="AZ11">
            <v>244000</v>
          </cell>
          <cell r="BD11">
            <v>244000</v>
          </cell>
          <cell r="BF11">
            <v>0</v>
          </cell>
          <cell r="BG11">
            <v>4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4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4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4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1050000</v>
          </cell>
          <cell r="E15">
            <v>0</v>
          </cell>
          <cell r="F15">
            <v>70000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C15">
            <v>23000</v>
          </cell>
          <cell r="AF15" t="str">
            <v>BANQUE</v>
          </cell>
          <cell r="AQ15">
            <v>0</v>
          </cell>
          <cell r="AR15">
            <v>0</v>
          </cell>
          <cell r="AS15">
            <v>7000</v>
          </cell>
          <cell r="AW15">
            <v>277000</v>
          </cell>
          <cell r="AX15">
            <v>0</v>
          </cell>
          <cell r="AY15">
            <v>0</v>
          </cell>
          <cell r="AZ15">
            <v>207000</v>
          </cell>
          <cell r="BB15">
            <v>70000</v>
          </cell>
          <cell r="BD15">
            <v>137000</v>
          </cell>
          <cell r="BF15">
            <v>0</v>
          </cell>
          <cell r="BG15">
            <v>4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4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4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65000</v>
          </cell>
          <cell r="E18">
            <v>345000</v>
          </cell>
          <cell r="F18">
            <v>0</v>
          </cell>
          <cell r="G18">
            <v>3000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202000</v>
          </cell>
          <cell r="U18">
            <v>410000</v>
          </cell>
          <cell r="AJ18">
            <v>400000</v>
          </cell>
          <cell r="AM18">
            <v>4000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400000</v>
          </cell>
          <cell r="AY18">
            <v>0</v>
          </cell>
          <cell r="AZ18">
            <v>400000</v>
          </cell>
          <cell r="BD18">
            <v>400000</v>
          </cell>
          <cell r="BF18">
            <v>0</v>
          </cell>
          <cell r="BG18">
            <v>4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4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713000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258000</v>
          </cell>
          <cell r="U20">
            <v>713000</v>
          </cell>
          <cell r="AJ20">
            <v>200000</v>
          </cell>
          <cell r="AK20">
            <v>100000</v>
          </cell>
          <cell r="AM20">
            <v>2000</v>
          </cell>
          <cell r="AN20">
            <v>1000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200000</v>
          </cell>
          <cell r="AY20">
            <v>100000</v>
          </cell>
          <cell r="AZ20">
            <v>300000</v>
          </cell>
          <cell r="BA20">
            <v>50500</v>
          </cell>
          <cell r="BD20">
            <v>249500</v>
          </cell>
          <cell r="BF20">
            <v>0</v>
          </cell>
          <cell r="BG20">
            <v>4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4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71000</v>
          </cell>
          <cell r="BF22">
            <v>0</v>
          </cell>
          <cell r="BG22">
            <v>4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251000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101000</v>
          </cell>
          <cell r="U23">
            <v>251000</v>
          </cell>
          <cell r="AE23">
            <v>100000</v>
          </cell>
          <cell r="AF23" t="str">
            <v>BANQUE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1200000</v>
          </cell>
          <cell r="AZ23">
            <v>1200000</v>
          </cell>
          <cell r="BD23">
            <v>1200000</v>
          </cell>
          <cell r="BF23">
            <v>0</v>
          </cell>
          <cell r="BG23">
            <v>4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240000</v>
          </cell>
          <cell r="AQ24">
            <v>0</v>
          </cell>
          <cell r="AR24">
            <v>0</v>
          </cell>
          <cell r="AS24">
            <v>42000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4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381000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381000</v>
          </cell>
          <cell r="AK25">
            <v>100000</v>
          </cell>
          <cell r="AN25">
            <v>1000</v>
          </cell>
          <cell r="AP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100000</v>
          </cell>
          <cell r="AZ25">
            <v>100000</v>
          </cell>
          <cell r="BA25">
            <v>100000</v>
          </cell>
          <cell r="BD25">
            <v>0</v>
          </cell>
          <cell r="BF25">
            <v>0</v>
          </cell>
          <cell r="BG25">
            <v>4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181000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76000</v>
          </cell>
          <cell r="U26">
            <v>181000</v>
          </cell>
          <cell r="AI26">
            <v>50000</v>
          </cell>
          <cell r="AJ26">
            <v>200000</v>
          </cell>
          <cell r="AL26">
            <v>1000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50000</v>
          </cell>
          <cell r="AX26">
            <v>200000</v>
          </cell>
          <cell r="AY26">
            <v>0</v>
          </cell>
          <cell r="AZ26">
            <v>250000</v>
          </cell>
          <cell r="BA26">
            <v>100000</v>
          </cell>
          <cell r="BD26">
            <v>150000</v>
          </cell>
          <cell r="BF26">
            <v>0</v>
          </cell>
          <cell r="BG26">
            <v>4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4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4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4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4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4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120000</v>
          </cell>
          <cell r="E32">
            <v>10000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4500</v>
          </cell>
          <cell r="L32">
            <v>1</v>
          </cell>
          <cell r="M32">
            <v>75000</v>
          </cell>
          <cell r="O32">
            <v>0</v>
          </cell>
          <cell r="P32">
            <v>20500</v>
          </cell>
          <cell r="Q32">
            <v>0</v>
          </cell>
          <cell r="U32">
            <v>130000</v>
          </cell>
          <cell r="AQ32">
            <v>0</v>
          </cell>
          <cell r="AR32">
            <v>0</v>
          </cell>
          <cell r="AS32">
            <v>11500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4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4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4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213750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S35">
            <v>143750</v>
          </cell>
          <cell r="U35">
            <v>173750</v>
          </cell>
          <cell r="AC35">
            <v>23000</v>
          </cell>
          <cell r="AF35" t="str">
            <v>BANQUE</v>
          </cell>
          <cell r="AQ35">
            <v>0</v>
          </cell>
          <cell r="AR35">
            <v>0</v>
          </cell>
          <cell r="AS35">
            <v>7000</v>
          </cell>
          <cell r="AW35">
            <v>277000</v>
          </cell>
          <cell r="AX35">
            <v>0</v>
          </cell>
          <cell r="AY35">
            <v>0</v>
          </cell>
          <cell r="AZ35">
            <v>63250</v>
          </cell>
          <cell r="BA35">
            <v>70000</v>
          </cell>
          <cell r="BB35">
            <v>70000</v>
          </cell>
          <cell r="BC35">
            <v>63250</v>
          </cell>
          <cell r="BD35">
            <v>-140000</v>
          </cell>
          <cell r="BF35">
            <v>0</v>
          </cell>
          <cell r="BG35">
            <v>4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4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0</v>
          </cell>
          <cell r="D38">
            <v>5076000</v>
          </cell>
          <cell r="E38">
            <v>355000</v>
          </cell>
          <cell r="F38">
            <v>459750</v>
          </cell>
          <cell r="G38">
            <v>3000</v>
          </cell>
          <cell r="H38">
            <v>0</v>
          </cell>
          <cell r="I38">
            <v>26</v>
          </cell>
          <cell r="J38">
            <v>780000</v>
          </cell>
          <cell r="K38">
            <v>122500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20500</v>
          </cell>
          <cell r="Q38">
            <v>254000</v>
          </cell>
          <cell r="R38">
            <v>662000</v>
          </cell>
          <cell r="S38">
            <v>143750</v>
          </cell>
          <cell r="T38">
            <v>0</v>
          </cell>
          <cell r="U38">
            <v>4785750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69000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168000</v>
          </cell>
          <cell r="AJ38">
            <v>1025000</v>
          </cell>
          <cell r="AK38">
            <v>200000</v>
          </cell>
          <cell r="AL38">
            <v>3000</v>
          </cell>
          <cell r="AM38">
            <v>11000</v>
          </cell>
          <cell r="AN38">
            <v>2000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304500</v>
          </cell>
          <cell r="AT38">
            <v>0</v>
          </cell>
          <cell r="AU38">
            <v>0</v>
          </cell>
          <cell r="AV38">
            <v>0</v>
          </cell>
          <cell r="AW38">
            <v>999000</v>
          </cell>
          <cell r="AX38">
            <v>2150000</v>
          </cell>
          <cell r="AY38">
            <v>1400000</v>
          </cell>
          <cell r="AZ38">
            <v>4095250</v>
          </cell>
          <cell r="BA38">
            <v>425500</v>
          </cell>
          <cell r="BB38">
            <v>140000</v>
          </cell>
          <cell r="BC38">
            <v>63250</v>
          </cell>
          <cell r="BD38">
            <v>3537500</v>
          </cell>
          <cell r="BF38">
            <v>0</v>
          </cell>
          <cell r="BH38">
            <v>6000</v>
          </cell>
          <cell r="BI38">
            <v>0</v>
          </cell>
          <cell r="BJ38">
            <v>0</v>
          </cell>
          <cell r="BK38">
            <v>0</v>
          </cell>
          <cell r="BL38">
            <v>0</v>
          </cell>
          <cell r="BM38">
            <v>0</v>
          </cell>
          <cell r="BN38" t="str">
            <v>S/TOTAL</v>
          </cell>
          <cell r="BP38">
            <v>0</v>
          </cell>
        </row>
      </sheetData>
      <sheetData sheetId="12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40000</v>
          </cell>
          <cell r="BA6">
            <v>28000</v>
          </cell>
          <cell r="BD6">
            <v>12000</v>
          </cell>
          <cell r="BF6">
            <v>0</v>
          </cell>
          <cell r="BG6">
            <v>3</v>
          </cell>
          <cell r="BH6">
            <v>40000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  <cell r="BP6">
            <v>8000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3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0</v>
          </cell>
          <cell r="E8">
            <v>156000</v>
          </cell>
          <cell r="F8">
            <v>0</v>
          </cell>
          <cell r="G8">
            <v>3000</v>
          </cell>
          <cell r="H8" t="str">
            <v>ESPECES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51000</v>
          </cell>
          <cell r="U8">
            <v>159000</v>
          </cell>
          <cell r="AJ8">
            <v>100000</v>
          </cell>
          <cell r="AM8">
            <v>14000</v>
          </cell>
          <cell r="AP8" t="str">
            <v>BANQUE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100000</v>
          </cell>
          <cell r="AY8">
            <v>0</v>
          </cell>
          <cell r="AZ8">
            <v>170000</v>
          </cell>
          <cell r="BA8">
            <v>50000</v>
          </cell>
          <cell r="BD8">
            <v>120000</v>
          </cell>
          <cell r="BF8">
            <v>0</v>
          </cell>
          <cell r="BG8">
            <v>3</v>
          </cell>
          <cell r="BK8">
            <v>70000</v>
          </cell>
          <cell r="BN8" t="str">
            <v>COMMISSION</v>
          </cell>
          <cell r="BO8" t="str">
            <v>FONDS DE ROULEMENT</v>
          </cell>
          <cell r="BP8">
            <v>20000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113000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C9">
            <v>28000</v>
          </cell>
          <cell r="AF9" t="str">
            <v>BANQUE</v>
          </cell>
          <cell r="AQ9">
            <v>0</v>
          </cell>
          <cell r="AR9">
            <v>0</v>
          </cell>
          <cell r="AS9">
            <v>7000</v>
          </cell>
          <cell r="AW9">
            <v>272000</v>
          </cell>
          <cell r="AX9">
            <v>0</v>
          </cell>
          <cell r="AY9">
            <v>0</v>
          </cell>
          <cell r="AZ9">
            <v>159000</v>
          </cell>
          <cell r="BA9">
            <v>25000</v>
          </cell>
          <cell r="BB9">
            <v>113000</v>
          </cell>
          <cell r="BD9">
            <v>21000</v>
          </cell>
          <cell r="BF9">
            <v>0</v>
          </cell>
          <cell r="BG9">
            <v>3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-70000</v>
          </cell>
          <cell r="D10">
            <v>206000</v>
          </cell>
          <cell r="E10">
            <v>0</v>
          </cell>
          <cell r="F10">
            <v>51000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51000</v>
          </cell>
          <cell r="Q10">
            <v>101000</v>
          </cell>
          <cell r="U10">
            <v>257000</v>
          </cell>
          <cell r="AC10">
            <v>27000</v>
          </cell>
          <cell r="AF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273000</v>
          </cell>
          <cell r="AX10">
            <v>0</v>
          </cell>
          <cell r="AY10">
            <v>0</v>
          </cell>
          <cell r="AZ10">
            <v>222000</v>
          </cell>
          <cell r="BA10">
            <v>52000</v>
          </cell>
          <cell r="BB10">
            <v>70000</v>
          </cell>
          <cell r="BD10">
            <v>100000</v>
          </cell>
          <cell r="BF10">
            <v>0</v>
          </cell>
          <cell r="BG10">
            <v>3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350000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69000</v>
          </cell>
          <cell r="Q11">
            <v>76000</v>
          </cell>
          <cell r="R11">
            <v>0</v>
          </cell>
          <cell r="U11">
            <v>350000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3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3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3</v>
          </cell>
          <cell r="BN13" t="str">
            <v>TAXI BANQUE</v>
          </cell>
          <cell r="BO13" t="str">
            <v>FONDS DE ROULEMENT</v>
          </cell>
          <cell r="BP13">
            <v>12000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3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3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3</v>
          </cell>
          <cell r="BN16" t="str">
            <v>S/TOTAL</v>
          </cell>
          <cell r="BP16">
            <v>40000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1070000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S17">
            <v>1000000</v>
          </cell>
          <cell r="T17" t="str">
            <v>BANQUE</v>
          </cell>
          <cell r="U17">
            <v>1330000</v>
          </cell>
          <cell r="AE17">
            <v>200000</v>
          </cell>
          <cell r="AF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1100000</v>
          </cell>
          <cell r="AZ17">
            <v>30000</v>
          </cell>
          <cell r="BB17">
            <v>70000</v>
          </cell>
          <cell r="BD17">
            <v>-40000</v>
          </cell>
          <cell r="BF17">
            <v>0</v>
          </cell>
          <cell r="BG17">
            <v>3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609000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404000</v>
          </cell>
          <cell r="R18">
            <v>0</v>
          </cell>
          <cell r="U18">
            <v>609000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3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3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-1000</v>
          </cell>
          <cell r="D20">
            <v>633000</v>
          </cell>
          <cell r="E20">
            <v>0</v>
          </cell>
          <cell r="F20">
            <v>124000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202000</v>
          </cell>
          <cell r="R20">
            <v>101000</v>
          </cell>
          <cell r="U20">
            <v>758000</v>
          </cell>
          <cell r="AD20">
            <v>75000</v>
          </cell>
          <cell r="AF20" t="str">
            <v>BANQUE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1125000</v>
          </cell>
          <cell r="AY20">
            <v>0</v>
          </cell>
          <cell r="AZ20">
            <v>1001000</v>
          </cell>
          <cell r="BD20">
            <v>1001000</v>
          </cell>
          <cell r="BF20">
            <v>0</v>
          </cell>
          <cell r="BG20">
            <v>3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3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C22">
            <v>27000</v>
          </cell>
          <cell r="AF22" t="str">
            <v>BANQUE</v>
          </cell>
          <cell r="AQ22">
            <v>0</v>
          </cell>
          <cell r="AR22">
            <v>0</v>
          </cell>
          <cell r="AS22">
            <v>7000</v>
          </cell>
          <cell r="AW22">
            <v>273000</v>
          </cell>
          <cell r="AX22">
            <v>0</v>
          </cell>
          <cell r="AY22">
            <v>0</v>
          </cell>
          <cell r="AZ22">
            <v>273000</v>
          </cell>
          <cell r="BD22">
            <v>344000</v>
          </cell>
          <cell r="BF22">
            <v>0</v>
          </cell>
          <cell r="BG22">
            <v>3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3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205000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U24">
            <v>205000</v>
          </cell>
          <cell r="AK24">
            <v>64000</v>
          </cell>
          <cell r="AN24">
            <v>2500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0</v>
          </cell>
          <cell r="AY24">
            <v>64000</v>
          </cell>
          <cell r="AZ24">
            <v>64000</v>
          </cell>
          <cell r="BA24">
            <v>58000</v>
          </cell>
          <cell r="BD24">
            <v>6000</v>
          </cell>
          <cell r="BF24">
            <v>0</v>
          </cell>
          <cell r="BG24">
            <v>3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-3000</v>
          </cell>
          <cell r="D25">
            <v>378000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101000</v>
          </cell>
          <cell r="U25">
            <v>381000</v>
          </cell>
          <cell r="AJ25">
            <v>77000</v>
          </cell>
          <cell r="AM25">
            <v>7000</v>
          </cell>
          <cell r="AP25" t="str">
            <v>BANQUE</v>
          </cell>
          <cell r="AQ25">
            <v>0</v>
          </cell>
          <cell r="AR25">
            <v>0</v>
          </cell>
          <cell r="AS25">
            <v>4000</v>
          </cell>
          <cell r="AW25">
            <v>0</v>
          </cell>
          <cell r="AX25">
            <v>77000</v>
          </cell>
          <cell r="AY25">
            <v>0</v>
          </cell>
          <cell r="AZ25">
            <v>77000</v>
          </cell>
          <cell r="BD25">
            <v>77000</v>
          </cell>
          <cell r="BF25">
            <v>0</v>
          </cell>
          <cell r="BG25">
            <v>3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105000</v>
          </cell>
          <cell r="E26">
            <v>253000</v>
          </cell>
          <cell r="F26">
            <v>0</v>
          </cell>
          <cell r="G26">
            <v>3000</v>
          </cell>
          <cell r="H26" t="str">
            <v>ESPECES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51000</v>
          </cell>
          <cell r="Q26">
            <v>202000</v>
          </cell>
          <cell r="U26">
            <v>361000</v>
          </cell>
          <cell r="AJ26">
            <v>202000</v>
          </cell>
          <cell r="AM26">
            <v>4000</v>
          </cell>
          <cell r="AN26">
            <v>2000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202000</v>
          </cell>
          <cell r="AY26">
            <v>0</v>
          </cell>
          <cell r="AZ26">
            <v>202000</v>
          </cell>
          <cell r="BD26">
            <v>202000</v>
          </cell>
          <cell r="BF26">
            <v>0</v>
          </cell>
          <cell r="BG26">
            <v>3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20000</v>
          </cell>
          <cell r="D27">
            <v>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3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3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3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70000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D30">
            <v>75000</v>
          </cell>
          <cell r="AF30" t="str">
            <v>BANQUE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1125000</v>
          </cell>
          <cell r="AY30">
            <v>0</v>
          </cell>
          <cell r="AZ30">
            <v>1055000</v>
          </cell>
          <cell r="BB30">
            <v>70000</v>
          </cell>
          <cell r="BD30">
            <v>985000</v>
          </cell>
          <cell r="BF30">
            <v>0</v>
          </cell>
          <cell r="BG30">
            <v>3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3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110000</v>
          </cell>
          <cell r="AQ32">
            <v>0</v>
          </cell>
          <cell r="AR32">
            <v>0</v>
          </cell>
          <cell r="AS32">
            <v>12000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3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3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3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3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-1000000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S36">
            <v>1000000</v>
          </cell>
          <cell r="T36" t="str">
            <v>BANQUE</v>
          </cell>
          <cell r="U36">
            <v>1280000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3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-979000</v>
          </cell>
          <cell r="D38">
            <v>4576000</v>
          </cell>
          <cell r="E38">
            <v>409000</v>
          </cell>
          <cell r="F38">
            <v>1428000</v>
          </cell>
          <cell r="G38">
            <v>6000</v>
          </cell>
          <cell r="H38">
            <v>0</v>
          </cell>
          <cell r="I38">
            <v>26</v>
          </cell>
          <cell r="J38">
            <v>780000</v>
          </cell>
          <cell r="K38">
            <v>80000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171000</v>
          </cell>
          <cell r="Q38">
            <v>1036000</v>
          </cell>
          <cell r="R38">
            <v>202000</v>
          </cell>
          <cell r="S38">
            <v>2000000</v>
          </cell>
          <cell r="T38">
            <v>0</v>
          </cell>
          <cell r="U38">
            <v>7075000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82000</v>
          </cell>
          <cell r="AD38">
            <v>150000</v>
          </cell>
          <cell r="AE38">
            <v>200000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379000</v>
          </cell>
          <cell r="AK38">
            <v>64000</v>
          </cell>
          <cell r="AL38">
            <v>0</v>
          </cell>
          <cell r="AM38">
            <v>25000</v>
          </cell>
          <cell r="AN38">
            <v>4500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259000</v>
          </cell>
          <cell r="AT38">
            <v>0</v>
          </cell>
          <cell r="AU38">
            <v>0</v>
          </cell>
          <cell r="AV38">
            <v>0</v>
          </cell>
          <cell r="AW38">
            <v>818000</v>
          </cell>
          <cell r="AX38">
            <v>2629000</v>
          </cell>
          <cell r="AY38">
            <v>1164000</v>
          </cell>
          <cell r="AZ38">
            <v>3293000</v>
          </cell>
          <cell r="BA38">
            <v>213000</v>
          </cell>
          <cell r="BB38">
            <v>323000</v>
          </cell>
          <cell r="BC38">
            <v>0</v>
          </cell>
          <cell r="BD38">
            <v>2828000</v>
          </cell>
          <cell r="BF38">
            <v>0</v>
          </cell>
          <cell r="BH38">
            <v>40000</v>
          </cell>
          <cell r="BI38">
            <v>0</v>
          </cell>
          <cell r="BJ38">
            <v>0</v>
          </cell>
          <cell r="BK38">
            <v>70000</v>
          </cell>
          <cell r="BL38">
            <v>0</v>
          </cell>
          <cell r="BM38">
            <v>0</v>
          </cell>
          <cell r="BN38" t="str">
            <v>S/TOTAL</v>
          </cell>
          <cell r="BP38">
            <v>0</v>
          </cell>
        </row>
      </sheetData>
      <sheetData sheetId="13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E6">
            <v>1951095</v>
          </cell>
          <cell r="BF6">
            <v>0</v>
          </cell>
          <cell r="BG6">
            <v>2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2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250000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31000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114000</v>
          </cell>
          <cell r="U8">
            <v>250000</v>
          </cell>
          <cell r="AJ8">
            <v>100000</v>
          </cell>
          <cell r="AM8">
            <v>1500</v>
          </cell>
          <cell r="AP8" t="str">
            <v>BANQUE</v>
          </cell>
          <cell r="AQ8">
            <v>0</v>
          </cell>
          <cell r="AR8">
            <v>0</v>
          </cell>
          <cell r="AS8">
            <v>38000</v>
          </cell>
          <cell r="AW8">
            <v>0</v>
          </cell>
          <cell r="AX8">
            <v>100000</v>
          </cell>
          <cell r="AY8">
            <v>0</v>
          </cell>
          <cell r="AZ8">
            <v>100000</v>
          </cell>
          <cell r="BD8">
            <v>100000</v>
          </cell>
          <cell r="BE8">
            <v>1951095</v>
          </cell>
          <cell r="BF8">
            <v>0</v>
          </cell>
          <cell r="BG8">
            <v>2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2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105000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2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2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2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0</v>
          </cell>
          <cell r="BD13">
            <v>0</v>
          </cell>
          <cell r="BF13">
            <v>0</v>
          </cell>
          <cell r="BG13">
            <v>2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2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2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0</v>
          </cell>
          <cell r="BD16">
            <v>0</v>
          </cell>
          <cell r="BF16">
            <v>0</v>
          </cell>
          <cell r="BG16">
            <v>2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AC17">
            <v>23000</v>
          </cell>
          <cell r="AE17">
            <v>100000</v>
          </cell>
          <cell r="AF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277000</v>
          </cell>
          <cell r="AX17">
            <v>0</v>
          </cell>
          <cell r="AY17">
            <v>1200000</v>
          </cell>
          <cell r="AZ17">
            <v>1477000</v>
          </cell>
          <cell r="BD17">
            <v>1477000</v>
          </cell>
          <cell r="BE17">
            <v>1951095</v>
          </cell>
          <cell r="BF17">
            <v>0</v>
          </cell>
          <cell r="BG17">
            <v>2</v>
          </cell>
        </row>
        <row r="18">
          <cell r="A18" t="str">
            <v>AS201619</v>
          </cell>
          <cell r="B18" t="str">
            <v>KOUATCHO MESSACK</v>
          </cell>
          <cell r="C18">
            <v>170000</v>
          </cell>
          <cell r="D18">
            <v>375000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U18">
            <v>205000</v>
          </cell>
          <cell r="AJ18">
            <v>200000</v>
          </cell>
          <cell r="AM18">
            <v>2000</v>
          </cell>
          <cell r="AP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200000</v>
          </cell>
          <cell r="AY18">
            <v>0</v>
          </cell>
          <cell r="AZ18">
            <v>200000</v>
          </cell>
          <cell r="BD18">
            <v>200000</v>
          </cell>
          <cell r="BE18">
            <v>1951095</v>
          </cell>
          <cell r="BF18">
            <v>0</v>
          </cell>
          <cell r="BG18">
            <v>2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70000</v>
          </cell>
          <cell r="BD19">
            <v>70000</v>
          </cell>
          <cell r="BF19">
            <v>0</v>
          </cell>
          <cell r="BG19">
            <v>2</v>
          </cell>
          <cell r="BK19">
            <v>70000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455000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0</v>
          </cell>
          <cell r="U20">
            <v>455000</v>
          </cell>
          <cell r="AJ20">
            <v>179000</v>
          </cell>
          <cell r="AM20">
            <v>1500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179000</v>
          </cell>
          <cell r="AY20">
            <v>0</v>
          </cell>
          <cell r="AZ20">
            <v>179000</v>
          </cell>
          <cell r="BD20">
            <v>179000</v>
          </cell>
          <cell r="BE20">
            <v>1951095</v>
          </cell>
          <cell r="BF20">
            <v>0</v>
          </cell>
          <cell r="BG20">
            <v>2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D21">
            <v>0</v>
          </cell>
          <cell r="BF21">
            <v>0</v>
          </cell>
          <cell r="BG21">
            <v>2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71000</v>
          </cell>
          <cell r="BF22">
            <v>0</v>
          </cell>
          <cell r="BG22">
            <v>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150000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150000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D23">
            <v>0</v>
          </cell>
          <cell r="BF23">
            <v>0</v>
          </cell>
          <cell r="BG23">
            <v>2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271500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66500</v>
          </cell>
          <cell r="U24">
            <v>271500</v>
          </cell>
          <cell r="AK24">
            <v>83500</v>
          </cell>
          <cell r="AN24">
            <v>1000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0</v>
          </cell>
          <cell r="AY24">
            <v>83500</v>
          </cell>
          <cell r="AZ24">
            <v>83500</v>
          </cell>
          <cell r="BD24">
            <v>83500</v>
          </cell>
          <cell r="BE24">
            <v>1951095</v>
          </cell>
          <cell r="BF24">
            <v>0</v>
          </cell>
          <cell r="BG24">
            <v>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400000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36000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84000</v>
          </cell>
          <cell r="R25">
            <v>0</v>
          </cell>
          <cell r="U25">
            <v>400000</v>
          </cell>
          <cell r="AJ25">
            <v>100000</v>
          </cell>
          <cell r="AK25">
            <v>83000</v>
          </cell>
          <cell r="AM25">
            <v>1000</v>
          </cell>
          <cell r="AN25">
            <v>3000</v>
          </cell>
          <cell r="AP25" t="str">
            <v>BANQUE</v>
          </cell>
          <cell r="AQ25">
            <v>0</v>
          </cell>
          <cell r="AR25">
            <v>0</v>
          </cell>
          <cell r="AS25">
            <v>43000</v>
          </cell>
          <cell r="AW25">
            <v>0</v>
          </cell>
          <cell r="AX25">
            <v>100000</v>
          </cell>
          <cell r="AY25">
            <v>83000</v>
          </cell>
          <cell r="AZ25">
            <v>183000</v>
          </cell>
          <cell r="BD25">
            <v>183000</v>
          </cell>
          <cell r="BE25">
            <v>1951095</v>
          </cell>
          <cell r="BF25">
            <v>0</v>
          </cell>
          <cell r="BG25">
            <v>2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311000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206000</v>
          </cell>
          <cell r="U26">
            <v>311000</v>
          </cell>
          <cell r="AJ26">
            <v>200000</v>
          </cell>
          <cell r="AM26">
            <v>2000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200000</v>
          </cell>
          <cell r="AY26">
            <v>0</v>
          </cell>
          <cell r="AZ26">
            <v>200000</v>
          </cell>
          <cell r="BD26">
            <v>200000</v>
          </cell>
          <cell r="BE26">
            <v>1951095</v>
          </cell>
          <cell r="BF26">
            <v>0</v>
          </cell>
          <cell r="BG26">
            <v>2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2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2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70000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C29">
            <v>23000</v>
          </cell>
          <cell r="AD29">
            <v>75000</v>
          </cell>
          <cell r="AF29" t="str">
            <v>BANQUE</v>
          </cell>
          <cell r="AQ29">
            <v>0</v>
          </cell>
          <cell r="AR29">
            <v>0</v>
          </cell>
          <cell r="AS29">
            <v>7000</v>
          </cell>
          <cell r="AW29">
            <v>277000</v>
          </cell>
          <cell r="AX29">
            <v>1125000</v>
          </cell>
          <cell r="AY29">
            <v>0</v>
          </cell>
          <cell r="AZ29">
            <v>1332000</v>
          </cell>
          <cell r="BB29">
            <v>70000</v>
          </cell>
          <cell r="BD29">
            <v>1262000</v>
          </cell>
          <cell r="BE29">
            <v>1951095</v>
          </cell>
          <cell r="BF29">
            <v>0</v>
          </cell>
          <cell r="BG29">
            <v>2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2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2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120000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15000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120000</v>
          </cell>
          <cell r="AQ32">
            <v>0</v>
          </cell>
          <cell r="AR32">
            <v>0</v>
          </cell>
          <cell r="AS32">
            <v>22000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2</v>
          </cell>
        </row>
        <row r="33">
          <cell r="A33" t="str">
            <v>AS201641</v>
          </cell>
          <cell r="B33" t="str">
            <v>TCHOUAMOU MATHIEU</v>
          </cell>
          <cell r="C33">
            <v>75000</v>
          </cell>
          <cell r="D33">
            <v>105000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2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2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30000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30000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2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2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245000</v>
          </cell>
          <cell r="D38">
            <v>4452500</v>
          </cell>
          <cell r="E38">
            <v>0</v>
          </cell>
          <cell r="F38">
            <v>70000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157000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404000</v>
          </cell>
          <cell r="R38">
            <v>66500</v>
          </cell>
          <cell r="S38">
            <v>0</v>
          </cell>
          <cell r="T38">
            <v>0</v>
          </cell>
          <cell r="U38">
            <v>4207500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779000</v>
          </cell>
          <cell r="AK38">
            <v>166500</v>
          </cell>
          <cell r="AL38">
            <v>0</v>
          </cell>
          <cell r="AM38">
            <v>8000</v>
          </cell>
          <cell r="AN38">
            <v>4000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339000</v>
          </cell>
          <cell r="AT38">
            <v>0</v>
          </cell>
          <cell r="AU38">
            <v>0</v>
          </cell>
          <cell r="AV38">
            <v>0</v>
          </cell>
          <cell r="AW38">
            <v>554000</v>
          </cell>
          <cell r="AX38">
            <v>1904000</v>
          </cell>
          <cell r="AY38">
            <v>1366500</v>
          </cell>
          <cell r="AZ38">
            <v>3830500</v>
          </cell>
          <cell r="BA38">
            <v>0</v>
          </cell>
          <cell r="BB38">
            <v>70000</v>
          </cell>
          <cell r="BC38">
            <v>0</v>
          </cell>
          <cell r="BD38">
            <v>3831500</v>
          </cell>
          <cell r="BF38">
            <v>0</v>
          </cell>
          <cell r="BH38">
            <v>6000</v>
          </cell>
          <cell r="BI38">
            <v>0</v>
          </cell>
          <cell r="BJ38">
            <v>0</v>
          </cell>
          <cell r="BK38">
            <v>70000</v>
          </cell>
          <cell r="BL38">
            <v>0</v>
          </cell>
          <cell r="BM38">
            <v>0</v>
          </cell>
          <cell r="BN38" t="str">
            <v>S/TOTAL</v>
          </cell>
          <cell r="BP38">
            <v>0</v>
          </cell>
        </row>
      </sheetData>
      <sheetData sheetId="14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0</v>
          </cell>
          <cell r="AZ6">
            <v>6000</v>
          </cell>
          <cell r="BD6">
            <v>6000</v>
          </cell>
          <cell r="BF6">
            <v>0</v>
          </cell>
          <cell r="BG6">
            <v>1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0</v>
          </cell>
          <cell r="BD7">
            <v>0</v>
          </cell>
          <cell r="BF7">
            <v>0</v>
          </cell>
          <cell r="BG7">
            <v>1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205000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K8">
            <v>-1500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101500</v>
          </cell>
          <cell r="U8">
            <v>205000</v>
          </cell>
          <cell r="AP8" t="str">
            <v>BANQUE</v>
          </cell>
          <cell r="AQ8">
            <v>0</v>
          </cell>
          <cell r="AR8">
            <v>0</v>
          </cell>
          <cell r="AS8">
            <v>5500</v>
          </cell>
          <cell r="AW8">
            <v>0</v>
          </cell>
          <cell r="AX8">
            <v>0</v>
          </cell>
          <cell r="AY8">
            <v>0</v>
          </cell>
          <cell r="AZ8">
            <v>0</v>
          </cell>
          <cell r="BD8">
            <v>0</v>
          </cell>
          <cell r="BF8">
            <v>0</v>
          </cell>
          <cell r="BG8">
            <v>1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1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U10">
            <v>105000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0</v>
          </cell>
          <cell r="BD10">
            <v>0</v>
          </cell>
          <cell r="BF10">
            <v>0</v>
          </cell>
          <cell r="BG10">
            <v>1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205000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205000</v>
          </cell>
          <cell r="AQ11">
            <v>0</v>
          </cell>
          <cell r="AR11">
            <v>0</v>
          </cell>
          <cell r="AS11">
            <v>7000</v>
          </cell>
          <cell r="AW11">
            <v>0</v>
          </cell>
          <cell r="AX11">
            <v>0</v>
          </cell>
          <cell r="AY11">
            <v>0</v>
          </cell>
          <cell r="AZ11">
            <v>0</v>
          </cell>
          <cell r="BD11">
            <v>0</v>
          </cell>
          <cell r="BF11">
            <v>0</v>
          </cell>
          <cell r="BG11">
            <v>1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U12">
            <v>35000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0</v>
          </cell>
          <cell r="BD12">
            <v>0</v>
          </cell>
          <cell r="BF12">
            <v>0</v>
          </cell>
          <cell r="BG12">
            <v>1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Q13">
            <v>0</v>
          </cell>
          <cell r="AR13">
            <v>0</v>
          </cell>
          <cell r="AS13">
            <v>12000</v>
          </cell>
          <cell r="AW13">
            <v>0</v>
          </cell>
          <cell r="AX13">
            <v>0</v>
          </cell>
          <cell r="AY13">
            <v>0</v>
          </cell>
          <cell r="AZ13">
            <v>70000</v>
          </cell>
          <cell r="BD13">
            <v>70000</v>
          </cell>
          <cell r="BF13">
            <v>0</v>
          </cell>
          <cell r="BG13">
            <v>1</v>
          </cell>
          <cell r="BK13">
            <v>70000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1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0</v>
          </cell>
          <cell r="AY15">
            <v>0</v>
          </cell>
          <cell r="AZ15">
            <v>0</v>
          </cell>
          <cell r="BD15">
            <v>0</v>
          </cell>
          <cell r="BF15">
            <v>0</v>
          </cell>
          <cell r="BG15">
            <v>1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U16">
            <v>150000</v>
          </cell>
          <cell r="Z16">
            <v>1000000</v>
          </cell>
          <cell r="AA16" t="str">
            <v>BANQUE</v>
          </cell>
          <cell r="AQ16">
            <v>0</v>
          </cell>
          <cell r="AR16">
            <v>0</v>
          </cell>
          <cell r="AS16">
            <v>52000</v>
          </cell>
          <cell r="AV16">
            <v>500000</v>
          </cell>
          <cell r="AW16">
            <v>0</v>
          </cell>
          <cell r="AX16">
            <v>0</v>
          </cell>
          <cell r="AY16">
            <v>0</v>
          </cell>
          <cell r="AZ16">
            <v>1490000</v>
          </cell>
          <cell r="BD16">
            <v>1490000</v>
          </cell>
          <cell r="BF16">
            <v>10000</v>
          </cell>
          <cell r="BG16">
            <v>1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330000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U17">
            <v>330000</v>
          </cell>
          <cell r="Z17">
            <v>700000</v>
          </cell>
          <cell r="AA17" t="str">
            <v>BANQUE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693000</v>
          </cell>
          <cell r="BD17">
            <v>693000</v>
          </cell>
          <cell r="BF17">
            <v>7000</v>
          </cell>
          <cell r="BG17">
            <v>1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408500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K18">
            <v>1500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202000</v>
          </cell>
          <cell r="R18">
            <v>0</v>
          </cell>
          <cell r="U18">
            <v>408500</v>
          </cell>
          <cell r="AP18" t="str">
            <v>BANQUE</v>
          </cell>
          <cell r="AQ18">
            <v>0</v>
          </cell>
          <cell r="AR18">
            <v>0</v>
          </cell>
          <cell r="AS18">
            <v>8500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D18">
            <v>0</v>
          </cell>
          <cell r="BF18">
            <v>0</v>
          </cell>
          <cell r="BG18">
            <v>1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U19">
            <v>30000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D19">
            <v>0</v>
          </cell>
          <cell r="BF19">
            <v>0</v>
          </cell>
          <cell r="BG19">
            <v>1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635500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180500</v>
          </cell>
          <cell r="R20">
            <v>0</v>
          </cell>
          <cell r="U20">
            <v>635500</v>
          </cell>
          <cell r="AK20">
            <v>170500</v>
          </cell>
          <cell r="AN20">
            <v>2000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170500</v>
          </cell>
          <cell r="AZ20">
            <v>170500</v>
          </cell>
          <cell r="BA20">
            <v>85000</v>
          </cell>
          <cell r="BD20">
            <v>85500</v>
          </cell>
          <cell r="BF20">
            <v>0</v>
          </cell>
          <cell r="BG20">
            <v>1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70000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AC21">
            <v>23000</v>
          </cell>
          <cell r="AF21" t="str">
            <v>BANQUE</v>
          </cell>
          <cell r="AQ21">
            <v>0</v>
          </cell>
          <cell r="AR21">
            <v>0</v>
          </cell>
          <cell r="AS21">
            <v>7000</v>
          </cell>
          <cell r="AW21">
            <v>277000</v>
          </cell>
          <cell r="AX21">
            <v>0</v>
          </cell>
          <cell r="AY21">
            <v>0</v>
          </cell>
          <cell r="AZ21">
            <v>207000</v>
          </cell>
          <cell r="BB21">
            <v>70000</v>
          </cell>
          <cell r="BD21">
            <v>137000</v>
          </cell>
          <cell r="BF21">
            <v>0</v>
          </cell>
          <cell r="BG21">
            <v>1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U22">
            <v>105000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D22">
            <v>71000</v>
          </cell>
          <cell r="BF22">
            <v>0</v>
          </cell>
          <cell r="BG22">
            <v>1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140000</v>
          </cell>
          <cell r="E23">
            <v>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10000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0</v>
          </cell>
          <cell r="U23">
            <v>140000</v>
          </cell>
          <cell r="AK23">
            <v>100000</v>
          </cell>
          <cell r="AN23">
            <v>1000</v>
          </cell>
          <cell r="AQ23">
            <v>0</v>
          </cell>
          <cell r="AR23">
            <v>0</v>
          </cell>
          <cell r="AS23">
            <v>17000</v>
          </cell>
          <cell r="AW23">
            <v>0</v>
          </cell>
          <cell r="AX23">
            <v>0</v>
          </cell>
          <cell r="AY23">
            <v>100000</v>
          </cell>
          <cell r="AZ23">
            <v>100000</v>
          </cell>
          <cell r="BD23">
            <v>100000</v>
          </cell>
          <cell r="BF23">
            <v>0</v>
          </cell>
          <cell r="BG23">
            <v>1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205000</v>
          </cell>
          <cell r="E24">
            <v>87500</v>
          </cell>
          <cell r="F24">
            <v>0</v>
          </cell>
          <cell r="G24">
            <v>3000</v>
          </cell>
          <cell r="H24" t="str">
            <v>BANQUE</v>
          </cell>
          <cell r="I24">
            <v>1</v>
          </cell>
          <cell r="J24">
            <v>30000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84500</v>
          </cell>
          <cell r="U24">
            <v>292500</v>
          </cell>
          <cell r="AP24" t="str">
            <v>BANQUE</v>
          </cell>
          <cell r="AQ24">
            <v>0</v>
          </cell>
          <cell r="AR24">
            <v>0</v>
          </cell>
          <cell r="AS24">
            <v>7000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D24">
            <v>0</v>
          </cell>
          <cell r="BF24">
            <v>0</v>
          </cell>
          <cell r="BG24">
            <v>1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490000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K25">
            <v>23000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101000</v>
          </cell>
          <cell r="R25">
            <v>86000</v>
          </cell>
          <cell r="U25">
            <v>490000</v>
          </cell>
          <cell r="AP25" t="str">
            <v>BANQUE</v>
          </cell>
          <cell r="AQ25">
            <v>0</v>
          </cell>
          <cell r="AR25">
            <v>0</v>
          </cell>
          <cell r="AS25">
            <v>30000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D25">
            <v>0</v>
          </cell>
          <cell r="BF25">
            <v>0</v>
          </cell>
          <cell r="BG25">
            <v>1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307000</v>
          </cell>
          <cell r="E26">
            <v>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0</v>
          </cell>
          <cell r="Q26">
            <v>202000</v>
          </cell>
          <cell r="U26">
            <v>307000</v>
          </cell>
          <cell r="AI26">
            <v>40000</v>
          </cell>
          <cell r="AJ26">
            <v>37000</v>
          </cell>
          <cell r="AL26">
            <v>1000</v>
          </cell>
          <cell r="AM26">
            <v>1500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40000</v>
          </cell>
          <cell r="AX26">
            <v>37000</v>
          </cell>
          <cell r="AY26">
            <v>0</v>
          </cell>
          <cell r="AZ26">
            <v>77000</v>
          </cell>
          <cell r="BD26">
            <v>77000</v>
          </cell>
          <cell r="BF26">
            <v>0</v>
          </cell>
          <cell r="BG26">
            <v>1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 t="str">
            <v>ECHEC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1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U28">
            <v>130000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1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1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Q30">
            <v>0</v>
          </cell>
          <cell r="AR30">
            <v>0</v>
          </cell>
          <cell r="AS30">
            <v>7000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D30">
            <v>0</v>
          </cell>
          <cell r="BF30">
            <v>0</v>
          </cell>
          <cell r="BG30">
            <v>1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1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110000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K32">
            <v>5000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U32">
            <v>110000</v>
          </cell>
          <cell r="AQ32">
            <v>0</v>
          </cell>
          <cell r="AR32">
            <v>0</v>
          </cell>
          <cell r="AS32">
            <v>12000</v>
          </cell>
          <cell r="AW32">
            <v>0</v>
          </cell>
          <cell r="AX32">
            <v>0</v>
          </cell>
          <cell r="AY32">
            <v>0</v>
          </cell>
          <cell r="AZ32">
            <v>0</v>
          </cell>
          <cell r="BD32">
            <v>0</v>
          </cell>
          <cell r="BF32">
            <v>0</v>
          </cell>
          <cell r="BG32">
            <v>1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U33">
            <v>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1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1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0</v>
          </cell>
          <cell r="E35">
            <v>33000</v>
          </cell>
          <cell r="F35">
            <v>0</v>
          </cell>
          <cell r="G35">
            <v>3000</v>
          </cell>
          <cell r="H35" t="str">
            <v>ESPECES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U35">
            <v>33000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1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C36">
            <v>24000</v>
          </cell>
          <cell r="AD36">
            <v>150000</v>
          </cell>
          <cell r="AE36">
            <v>100000</v>
          </cell>
          <cell r="AF36" t="str">
            <v>BANQUE</v>
          </cell>
          <cell r="AQ36">
            <v>0</v>
          </cell>
          <cell r="AR36">
            <v>0</v>
          </cell>
          <cell r="AS36">
            <v>7000</v>
          </cell>
          <cell r="AW36">
            <v>276000</v>
          </cell>
          <cell r="AX36">
            <v>1050000</v>
          </cell>
          <cell r="AY36">
            <v>1200000</v>
          </cell>
          <cell r="AZ36">
            <v>2526000</v>
          </cell>
          <cell r="BD36">
            <v>2526000</v>
          </cell>
          <cell r="BF36">
            <v>0</v>
          </cell>
          <cell r="BG36">
            <v>1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0</v>
          </cell>
          <cell r="D38">
            <v>4516000</v>
          </cell>
          <cell r="E38">
            <v>120500</v>
          </cell>
          <cell r="F38">
            <v>70000</v>
          </cell>
          <cell r="G38">
            <v>6000</v>
          </cell>
          <cell r="H38">
            <v>0</v>
          </cell>
          <cell r="I38">
            <v>26</v>
          </cell>
          <cell r="J38">
            <v>780000</v>
          </cell>
          <cell r="K38">
            <v>93000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0</v>
          </cell>
          <cell r="Q38">
            <v>787000</v>
          </cell>
          <cell r="R38">
            <v>170500</v>
          </cell>
          <cell r="S38">
            <v>0</v>
          </cell>
          <cell r="T38">
            <v>0</v>
          </cell>
          <cell r="U38">
            <v>4636500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1700000</v>
          </cell>
          <cell r="AA38">
            <v>0</v>
          </cell>
          <cell r="AB38">
            <v>0</v>
          </cell>
          <cell r="AC38">
            <v>47000</v>
          </cell>
          <cell r="AD38">
            <v>150000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40000</v>
          </cell>
          <cell r="AJ38">
            <v>37000</v>
          </cell>
          <cell r="AK38">
            <v>270500</v>
          </cell>
          <cell r="AL38">
            <v>1000</v>
          </cell>
          <cell r="AM38">
            <v>1500</v>
          </cell>
          <cell r="AN38">
            <v>3000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275000</v>
          </cell>
          <cell r="AT38">
            <v>0</v>
          </cell>
          <cell r="AU38">
            <v>0</v>
          </cell>
          <cell r="AV38">
            <v>500000</v>
          </cell>
          <cell r="AW38">
            <v>593000</v>
          </cell>
          <cell r="AX38">
            <v>1087000</v>
          </cell>
          <cell r="AY38">
            <v>1470500</v>
          </cell>
          <cell r="AZ38">
            <v>5339500</v>
          </cell>
          <cell r="BA38">
            <v>85000</v>
          </cell>
          <cell r="BB38">
            <v>70000</v>
          </cell>
          <cell r="BC38">
            <v>0</v>
          </cell>
          <cell r="BD38">
            <v>5255500</v>
          </cell>
          <cell r="BF38">
            <v>17000</v>
          </cell>
          <cell r="BH38">
            <v>6000</v>
          </cell>
          <cell r="BI38">
            <v>0</v>
          </cell>
          <cell r="BJ38">
            <v>0</v>
          </cell>
          <cell r="BK38">
            <v>70000</v>
          </cell>
          <cell r="BL38">
            <v>0</v>
          </cell>
          <cell r="BM38">
            <v>0</v>
          </cell>
          <cell r="BN38" t="str">
            <v>S/TOTAL</v>
          </cell>
          <cell r="BP38">
            <v>0</v>
          </cell>
        </row>
      </sheetData>
      <sheetData sheetId="15">
        <row r="6">
          <cell r="A6" t="str">
            <v>AS201648</v>
          </cell>
          <cell r="B6" t="str">
            <v>ASELBY</v>
          </cell>
          <cell r="C6">
            <v>0</v>
          </cell>
          <cell r="D6">
            <v>100000</v>
          </cell>
          <cell r="E6">
            <v>0</v>
          </cell>
          <cell r="F6">
            <v>0</v>
          </cell>
          <cell r="G6">
            <v>0</v>
          </cell>
          <cell r="H6" t="str">
            <v>BANQUE</v>
          </cell>
          <cell r="J6">
            <v>0</v>
          </cell>
          <cell r="M6">
            <v>0</v>
          </cell>
          <cell r="N6">
            <v>1</v>
          </cell>
          <cell r="O6">
            <v>100000</v>
          </cell>
          <cell r="R6">
            <v>0</v>
          </cell>
          <cell r="U6">
            <v>100000</v>
          </cell>
          <cell r="AE6">
            <v>100000</v>
          </cell>
          <cell r="AF6" t="str">
            <v>BANQUE</v>
          </cell>
          <cell r="AQ6">
            <v>0</v>
          </cell>
          <cell r="AR6">
            <v>0</v>
          </cell>
          <cell r="AW6">
            <v>0</v>
          </cell>
          <cell r="AX6">
            <v>0</v>
          </cell>
          <cell r="AY6">
            <v>1200000</v>
          </cell>
          <cell r="AZ6">
            <v>1206000</v>
          </cell>
          <cell r="BD6">
            <v>1206000</v>
          </cell>
          <cell r="BF6">
            <v>0</v>
          </cell>
          <cell r="BG6">
            <v>0</v>
          </cell>
          <cell r="BH6">
            <v>6000</v>
          </cell>
          <cell r="BI6">
            <v>0</v>
          </cell>
          <cell r="BJ6">
            <v>0</v>
          </cell>
          <cell r="BM6">
            <v>0</v>
          </cell>
          <cell r="BN6" t="str">
            <v>ACHAT FOURNITURE</v>
          </cell>
          <cell r="BO6" t="str">
            <v>FONDS DE ROULEMENT</v>
          </cell>
        </row>
        <row r="7">
          <cell r="A7" t="str">
            <v>AS201602</v>
          </cell>
          <cell r="B7" t="str">
            <v>BOUTCHOUANG WILLIAM</v>
          </cell>
          <cell r="C7">
            <v>0</v>
          </cell>
          <cell r="D7">
            <v>105000</v>
          </cell>
          <cell r="E7">
            <v>0</v>
          </cell>
          <cell r="F7">
            <v>0</v>
          </cell>
          <cell r="G7">
            <v>0</v>
          </cell>
          <cell r="H7" t="str">
            <v>BANQUE</v>
          </cell>
          <cell r="I7">
            <v>1</v>
          </cell>
          <cell r="J7">
            <v>30000</v>
          </cell>
          <cell r="L7">
            <v>1</v>
          </cell>
          <cell r="M7">
            <v>75000</v>
          </cell>
          <cell r="O7">
            <v>0</v>
          </cell>
          <cell r="P7">
            <v>0</v>
          </cell>
          <cell r="U7">
            <v>105000</v>
          </cell>
          <cell r="Z7">
            <v>500000</v>
          </cell>
          <cell r="AA7" t="str">
            <v>BANQUE</v>
          </cell>
          <cell r="AQ7">
            <v>0</v>
          </cell>
          <cell r="AR7">
            <v>0</v>
          </cell>
          <cell r="AS7">
            <v>7000</v>
          </cell>
          <cell r="AW7">
            <v>0</v>
          </cell>
          <cell r="AX7">
            <v>0</v>
          </cell>
          <cell r="AY7">
            <v>0</v>
          </cell>
          <cell r="AZ7">
            <v>490000</v>
          </cell>
          <cell r="BD7">
            <v>490000</v>
          </cell>
          <cell r="BF7">
            <v>10000</v>
          </cell>
          <cell r="BG7">
            <v>2</v>
          </cell>
          <cell r="BN7" t="str">
            <v>COMMUNICATION</v>
          </cell>
          <cell r="BO7" t="str">
            <v>FONDS DE ROULEMENT</v>
          </cell>
        </row>
        <row r="8">
          <cell r="A8" t="str">
            <v>AS201604</v>
          </cell>
          <cell r="B8" t="str">
            <v xml:space="preserve">DJOMO JEAN PAUL </v>
          </cell>
          <cell r="C8">
            <v>0</v>
          </cell>
          <cell r="D8">
            <v>1105000</v>
          </cell>
          <cell r="E8">
            <v>0</v>
          </cell>
          <cell r="F8">
            <v>0</v>
          </cell>
          <cell r="G8">
            <v>0</v>
          </cell>
          <cell r="H8" t="str">
            <v>BANQUE</v>
          </cell>
          <cell r="I8">
            <v>1</v>
          </cell>
          <cell r="J8">
            <v>30000</v>
          </cell>
          <cell r="L8">
            <v>1</v>
          </cell>
          <cell r="M8">
            <v>75000</v>
          </cell>
          <cell r="O8">
            <v>0</v>
          </cell>
          <cell r="P8">
            <v>0</v>
          </cell>
          <cell r="Q8">
            <v>0</v>
          </cell>
          <cell r="S8">
            <v>1000000</v>
          </cell>
          <cell r="T8" t="str">
            <v>BANQUE</v>
          </cell>
          <cell r="U8">
            <v>1105000</v>
          </cell>
          <cell r="Z8">
            <v>1000000</v>
          </cell>
          <cell r="AA8" t="str">
            <v>BANQUE</v>
          </cell>
          <cell r="AQ8">
            <v>0</v>
          </cell>
          <cell r="AR8">
            <v>0</v>
          </cell>
          <cell r="AS8">
            <v>7000</v>
          </cell>
          <cell r="AW8">
            <v>0</v>
          </cell>
          <cell r="AX8">
            <v>0</v>
          </cell>
          <cell r="AY8">
            <v>0</v>
          </cell>
          <cell r="AZ8">
            <v>880000</v>
          </cell>
          <cell r="BD8">
            <v>880000</v>
          </cell>
          <cell r="BF8">
            <v>120000</v>
          </cell>
          <cell r="BG8">
            <v>12</v>
          </cell>
          <cell r="BN8" t="str">
            <v>COMMISSION</v>
          </cell>
          <cell r="BO8" t="str">
            <v>FONDS DE ROULEMENT</v>
          </cell>
        </row>
        <row r="9">
          <cell r="A9" t="str">
            <v>AS201654</v>
          </cell>
          <cell r="B9" t="str">
            <v>DJOMOU TCHANDA</v>
          </cell>
          <cell r="C9">
            <v>0</v>
          </cell>
          <cell r="D9">
            <v>30000</v>
          </cell>
          <cell r="E9">
            <v>0</v>
          </cell>
          <cell r="F9">
            <v>0</v>
          </cell>
          <cell r="G9">
            <v>0</v>
          </cell>
          <cell r="H9" t="str">
            <v>BANQUE</v>
          </cell>
          <cell r="I9">
            <v>1</v>
          </cell>
          <cell r="J9">
            <v>30000</v>
          </cell>
          <cell r="M9">
            <v>0</v>
          </cell>
          <cell r="O9">
            <v>0</v>
          </cell>
          <cell r="P9">
            <v>0</v>
          </cell>
          <cell r="U9">
            <v>30000</v>
          </cell>
          <cell r="AQ9">
            <v>0</v>
          </cell>
          <cell r="AR9">
            <v>0</v>
          </cell>
          <cell r="AS9">
            <v>7000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D9">
            <v>0</v>
          </cell>
          <cell r="BF9">
            <v>0</v>
          </cell>
          <cell r="BG9">
            <v>0</v>
          </cell>
          <cell r="BN9" t="str">
            <v>AIDE UEEB ET CONT FEMME</v>
          </cell>
          <cell r="BO9" t="str">
            <v>FONDS DE ROULEMENT</v>
          </cell>
        </row>
        <row r="10">
          <cell r="A10" t="str">
            <v>AS201605</v>
          </cell>
          <cell r="B10" t="str">
            <v>DJOUKWE NANGUEN GUY BLAISE</v>
          </cell>
          <cell r="C10">
            <v>0</v>
          </cell>
          <cell r="D10">
            <v>1105000</v>
          </cell>
          <cell r="E10">
            <v>0</v>
          </cell>
          <cell r="F10">
            <v>0</v>
          </cell>
          <cell r="G10">
            <v>0</v>
          </cell>
          <cell r="H10" t="str">
            <v>BANQUE</v>
          </cell>
          <cell r="I10">
            <v>1</v>
          </cell>
          <cell r="J10">
            <v>30000</v>
          </cell>
          <cell r="L10">
            <v>1</v>
          </cell>
          <cell r="M10">
            <v>75000</v>
          </cell>
          <cell r="O10">
            <v>0</v>
          </cell>
          <cell r="P10">
            <v>0</v>
          </cell>
          <cell r="Q10">
            <v>0</v>
          </cell>
          <cell r="S10">
            <v>1000000</v>
          </cell>
          <cell r="T10" t="str">
            <v>BANQUE</v>
          </cell>
          <cell r="U10">
            <v>1105000</v>
          </cell>
          <cell r="Z10">
            <v>1000000</v>
          </cell>
          <cell r="AA10" t="str">
            <v>BANQUE</v>
          </cell>
          <cell r="AQ10">
            <v>0</v>
          </cell>
          <cell r="AR10">
            <v>0</v>
          </cell>
          <cell r="AS10">
            <v>7000</v>
          </cell>
          <cell r="AW10">
            <v>0</v>
          </cell>
          <cell r="AX10">
            <v>0</v>
          </cell>
          <cell r="AY10">
            <v>0</v>
          </cell>
          <cell r="AZ10">
            <v>960000</v>
          </cell>
          <cell r="BD10">
            <v>960000</v>
          </cell>
          <cell r="BF10">
            <v>40000</v>
          </cell>
          <cell r="BG10">
            <v>4</v>
          </cell>
          <cell r="BN10" t="str">
            <v>CREDIT TELEPHONE</v>
          </cell>
          <cell r="BO10" t="str">
            <v>FONDS DE ROULEMENT</v>
          </cell>
        </row>
        <row r="11">
          <cell r="A11" t="str">
            <v>AS201608</v>
          </cell>
          <cell r="B11" t="str">
            <v>DJUOMBESSY ANTOINE</v>
          </cell>
          <cell r="C11">
            <v>0</v>
          </cell>
          <cell r="D11">
            <v>215000</v>
          </cell>
          <cell r="E11">
            <v>0</v>
          </cell>
          <cell r="F11">
            <v>0</v>
          </cell>
          <cell r="G11">
            <v>0</v>
          </cell>
          <cell r="H11" t="str">
            <v>BANQUE</v>
          </cell>
          <cell r="I11">
            <v>1</v>
          </cell>
          <cell r="J11">
            <v>30000</v>
          </cell>
          <cell r="K11">
            <v>1000</v>
          </cell>
          <cell r="L11">
            <v>1</v>
          </cell>
          <cell r="M11">
            <v>75000</v>
          </cell>
          <cell r="N11">
            <v>1</v>
          </cell>
          <cell r="O11">
            <v>100000</v>
          </cell>
          <cell r="P11">
            <v>0</v>
          </cell>
          <cell r="Q11">
            <v>0</v>
          </cell>
          <cell r="R11">
            <v>0</v>
          </cell>
          <cell r="U11">
            <v>206000</v>
          </cell>
          <cell r="Z11">
            <v>1000000</v>
          </cell>
          <cell r="AA11" t="str">
            <v>BANQUE</v>
          </cell>
          <cell r="AQ11">
            <v>0</v>
          </cell>
          <cell r="AR11">
            <v>0</v>
          </cell>
          <cell r="AS11">
            <v>8000</v>
          </cell>
          <cell r="AW11">
            <v>0</v>
          </cell>
          <cell r="AX11">
            <v>0</v>
          </cell>
          <cell r="AY11">
            <v>0</v>
          </cell>
          <cell r="AZ11">
            <v>940000</v>
          </cell>
          <cell r="BB11">
            <v>9000</v>
          </cell>
          <cell r="BD11">
            <v>931000</v>
          </cell>
          <cell r="BF11">
            <v>60000</v>
          </cell>
          <cell r="BG11">
            <v>6</v>
          </cell>
          <cell r="BN11" t="str">
            <v>PRODUCTION RAPPORT</v>
          </cell>
          <cell r="BO11" t="str">
            <v>FONDS DE ROULEMENT</v>
          </cell>
        </row>
        <row r="12">
          <cell r="A12" t="str">
            <v>AS201651</v>
          </cell>
          <cell r="B12" t="str">
            <v>DOMOU FABIEN</v>
          </cell>
          <cell r="C12">
            <v>0</v>
          </cell>
          <cell r="D12">
            <v>1035000</v>
          </cell>
          <cell r="E12">
            <v>0</v>
          </cell>
          <cell r="F12">
            <v>0</v>
          </cell>
          <cell r="G12">
            <v>0</v>
          </cell>
          <cell r="H12" t="str">
            <v>BANQUE</v>
          </cell>
          <cell r="I12">
            <v>1</v>
          </cell>
          <cell r="J12">
            <v>30000</v>
          </cell>
          <cell r="K12">
            <v>5000</v>
          </cell>
          <cell r="M12">
            <v>0</v>
          </cell>
          <cell r="O12">
            <v>0</v>
          </cell>
          <cell r="P12">
            <v>0</v>
          </cell>
          <cell r="S12">
            <v>1000000</v>
          </cell>
          <cell r="T12" t="str">
            <v>BANQUE</v>
          </cell>
          <cell r="U12">
            <v>1035000</v>
          </cell>
          <cell r="Z12">
            <v>1000000</v>
          </cell>
          <cell r="AA12" t="str">
            <v>BANQUE</v>
          </cell>
          <cell r="AQ12">
            <v>0</v>
          </cell>
          <cell r="AR12">
            <v>0</v>
          </cell>
          <cell r="AS12">
            <v>12000</v>
          </cell>
          <cell r="AW12">
            <v>0</v>
          </cell>
          <cell r="AX12">
            <v>0</v>
          </cell>
          <cell r="AY12">
            <v>0</v>
          </cell>
          <cell r="AZ12">
            <v>880000</v>
          </cell>
          <cell r="BD12">
            <v>880000</v>
          </cell>
          <cell r="BF12">
            <v>120000</v>
          </cell>
          <cell r="BG12">
            <v>12</v>
          </cell>
          <cell r="BN12" t="str">
            <v>ACHAT SOURIS ET PHOTOCOPIE</v>
          </cell>
          <cell r="BO12" t="str">
            <v>FONDS DE ROULEMENT</v>
          </cell>
        </row>
        <row r="13">
          <cell r="A13" t="str">
            <v>AS201609</v>
          </cell>
          <cell r="B13" t="str">
            <v>DONHOU DAVID</v>
          </cell>
          <cell r="C13">
            <v>0</v>
          </cell>
          <cell r="D13">
            <v>35000</v>
          </cell>
          <cell r="E13">
            <v>0</v>
          </cell>
          <cell r="F13">
            <v>0</v>
          </cell>
          <cell r="G13">
            <v>0</v>
          </cell>
          <cell r="H13" t="str">
            <v>BANQUE</v>
          </cell>
          <cell r="I13">
            <v>1</v>
          </cell>
          <cell r="J13">
            <v>30000</v>
          </cell>
          <cell r="K13">
            <v>5000</v>
          </cell>
          <cell r="M13">
            <v>0</v>
          </cell>
          <cell r="O13">
            <v>0</v>
          </cell>
          <cell r="P13">
            <v>0</v>
          </cell>
          <cell r="U13">
            <v>35000</v>
          </cell>
          <cell r="AC13">
            <v>23000</v>
          </cell>
          <cell r="AF13" t="str">
            <v>BANQUE</v>
          </cell>
          <cell r="AQ13">
            <v>0</v>
          </cell>
          <cell r="AR13">
            <v>0</v>
          </cell>
          <cell r="AS13">
            <v>12000</v>
          </cell>
          <cell r="AW13">
            <v>277000</v>
          </cell>
          <cell r="AX13">
            <v>0</v>
          </cell>
          <cell r="AY13">
            <v>0</v>
          </cell>
          <cell r="AZ13">
            <v>277000</v>
          </cell>
          <cell r="BD13">
            <v>277000</v>
          </cell>
          <cell r="BF13">
            <v>0</v>
          </cell>
          <cell r="BG13">
            <v>0</v>
          </cell>
          <cell r="BN13" t="str">
            <v>TAXI BANQUE</v>
          </cell>
          <cell r="BO13" t="str">
            <v>FONDS DE ROULEMENT</v>
          </cell>
          <cell r="BP13">
            <v>6000</v>
          </cell>
        </row>
        <row r="14">
          <cell r="A14" t="str">
            <v>AS201610</v>
          </cell>
          <cell r="B14" t="str">
            <v>FOTSO THOMAS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 t="str">
            <v>ECHEC</v>
          </cell>
          <cell r="J14">
            <v>0</v>
          </cell>
          <cell r="M14">
            <v>0</v>
          </cell>
          <cell r="O14">
            <v>0</v>
          </cell>
          <cell r="U14">
            <v>0</v>
          </cell>
          <cell r="AQ14">
            <v>0</v>
          </cell>
          <cell r="AR14">
            <v>0</v>
          </cell>
          <cell r="AS14">
            <v>0</v>
          </cell>
          <cell r="AW14">
            <v>0</v>
          </cell>
          <cell r="AX14">
            <v>0</v>
          </cell>
          <cell r="AY14">
            <v>0</v>
          </cell>
          <cell r="AZ14">
            <v>0</v>
          </cell>
          <cell r="BD14">
            <v>0</v>
          </cell>
          <cell r="BF14">
            <v>0</v>
          </cell>
          <cell r="BG14">
            <v>0</v>
          </cell>
          <cell r="BN14" t="str">
            <v>CONFECTION CACHET</v>
          </cell>
          <cell r="BO14" t="str">
            <v>FONDS DE ROULEMENT</v>
          </cell>
        </row>
        <row r="15">
          <cell r="A15" t="str">
            <v>AS201611</v>
          </cell>
          <cell r="B15" t="str">
            <v>HENGUE PAUL OMER</v>
          </cell>
          <cell r="C15">
            <v>0</v>
          </cell>
          <cell r="D15">
            <v>105000</v>
          </cell>
          <cell r="E15">
            <v>0</v>
          </cell>
          <cell r="F15">
            <v>0</v>
          </cell>
          <cell r="G15">
            <v>0</v>
          </cell>
          <cell r="H15" t="str">
            <v>BANQUE</v>
          </cell>
          <cell r="I15">
            <v>1</v>
          </cell>
          <cell r="J15">
            <v>30000</v>
          </cell>
          <cell r="L15">
            <v>1</v>
          </cell>
          <cell r="M15">
            <v>75000</v>
          </cell>
          <cell r="O15">
            <v>0</v>
          </cell>
          <cell r="P15">
            <v>0</v>
          </cell>
          <cell r="Q15">
            <v>0</v>
          </cell>
          <cell r="U15">
            <v>105000</v>
          </cell>
          <cell r="AD15">
            <v>75000</v>
          </cell>
          <cell r="AF15" t="str">
            <v>BANQUE</v>
          </cell>
          <cell r="AQ15">
            <v>0</v>
          </cell>
          <cell r="AR15">
            <v>0</v>
          </cell>
          <cell r="AS15">
            <v>7000</v>
          </cell>
          <cell r="AW15">
            <v>0</v>
          </cell>
          <cell r="AX15">
            <v>1125000</v>
          </cell>
          <cell r="AY15">
            <v>0</v>
          </cell>
          <cell r="AZ15">
            <v>1125000</v>
          </cell>
          <cell r="BD15">
            <v>1125000</v>
          </cell>
          <cell r="BF15">
            <v>0</v>
          </cell>
          <cell r="BG15">
            <v>0</v>
          </cell>
        </row>
        <row r="16">
          <cell r="A16" t="str">
            <v>AS201613</v>
          </cell>
          <cell r="B16" t="str">
            <v>HOTCHO BENJAMIN</v>
          </cell>
          <cell r="C16">
            <v>0</v>
          </cell>
          <cell r="D16">
            <v>1150000</v>
          </cell>
          <cell r="E16">
            <v>0</v>
          </cell>
          <cell r="F16">
            <v>0</v>
          </cell>
          <cell r="G16">
            <v>0</v>
          </cell>
          <cell r="H16" t="str">
            <v>BANQUE</v>
          </cell>
          <cell r="I16">
            <v>1</v>
          </cell>
          <cell r="J16">
            <v>30000</v>
          </cell>
          <cell r="K16">
            <v>45000</v>
          </cell>
          <cell r="L16">
            <v>1</v>
          </cell>
          <cell r="M16">
            <v>75000</v>
          </cell>
          <cell r="O16">
            <v>0</v>
          </cell>
          <cell r="P16">
            <v>0</v>
          </cell>
          <cell r="Q16">
            <v>0</v>
          </cell>
          <cell r="S16">
            <v>1000000</v>
          </cell>
          <cell r="T16" t="str">
            <v>BANQUE</v>
          </cell>
          <cell r="U16">
            <v>1150000</v>
          </cell>
          <cell r="Z16">
            <v>1000000</v>
          </cell>
          <cell r="AA16" t="str">
            <v>BANQUE</v>
          </cell>
          <cell r="AQ16">
            <v>0</v>
          </cell>
          <cell r="AR16">
            <v>0</v>
          </cell>
          <cell r="AS16">
            <v>52000</v>
          </cell>
          <cell r="AW16">
            <v>0</v>
          </cell>
          <cell r="AX16">
            <v>0</v>
          </cell>
          <cell r="AY16">
            <v>0</v>
          </cell>
          <cell r="AZ16">
            <v>880000</v>
          </cell>
          <cell r="BD16">
            <v>880000</v>
          </cell>
          <cell r="BF16">
            <v>120000</v>
          </cell>
          <cell r="BG16">
            <v>12</v>
          </cell>
          <cell r="BN16" t="str">
            <v>S/TOTAL</v>
          </cell>
          <cell r="BP16">
            <v>6000</v>
          </cell>
        </row>
        <row r="17">
          <cell r="A17" t="str">
            <v>AS201617</v>
          </cell>
          <cell r="B17" t="str">
            <v>KOUAMOU MOISE</v>
          </cell>
          <cell r="C17">
            <v>0</v>
          </cell>
          <cell r="D17">
            <v>1030000</v>
          </cell>
          <cell r="E17">
            <v>0</v>
          </cell>
          <cell r="F17">
            <v>0</v>
          </cell>
          <cell r="G17">
            <v>0</v>
          </cell>
          <cell r="H17" t="str">
            <v>BANQUE</v>
          </cell>
          <cell r="I17">
            <v>1</v>
          </cell>
          <cell r="J17">
            <v>30000</v>
          </cell>
          <cell r="M17">
            <v>0</v>
          </cell>
          <cell r="N17">
            <v>3</v>
          </cell>
          <cell r="O17">
            <v>300000</v>
          </cell>
          <cell r="P17">
            <v>0</v>
          </cell>
          <cell r="R17">
            <v>0</v>
          </cell>
          <cell r="S17">
            <v>700000</v>
          </cell>
          <cell r="T17" t="str">
            <v>BANQUE</v>
          </cell>
          <cell r="U17">
            <v>1030000</v>
          </cell>
          <cell r="AQ17">
            <v>0</v>
          </cell>
          <cell r="AR17">
            <v>0</v>
          </cell>
          <cell r="AS17">
            <v>7000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D17">
            <v>0</v>
          </cell>
          <cell r="BF17">
            <v>0</v>
          </cell>
          <cell r="BG17">
            <v>0</v>
          </cell>
        </row>
        <row r="18">
          <cell r="A18" t="str">
            <v>AS201619</v>
          </cell>
          <cell r="B18" t="str">
            <v>KOUATCHO MESSACK</v>
          </cell>
          <cell r="C18">
            <v>0</v>
          </cell>
          <cell r="D18">
            <v>1205000</v>
          </cell>
          <cell r="E18">
            <v>0</v>
          </cell>
          <cell r="F18">
            <v>0</v>
          </cell>
          <cell r="G18">
            <v>0</v>
          </cell>
          <cell r="H18" t="str">
            <v>BANQUE</v>
          </cell>
          <cell r="I18">
            <v>1</v>
          </cell>
          <cell r="J18">
            <v>30000</v>
          </cell>
          <cell r="L18">
            <v>1</v>
          </cell>
          <cell r="M18">
            <v>75000</v>
          </cell>
          <cell r="N18">
            <v>1</v>
          </cell>
          <cell r="O18">
            <v>100000</v>
          </cell>
          <cell r="P18">
            <v>0</v>
          </cell>
          <cell r="Q18">
            <v>0</v>
          </cell>
          <cell r="R18">
            <v>0</v>
          </cell>
          <cell r="S18">
            <v>1000000</v>
          </cell>
          <cell r="T18" t="str">
            <v>BANQUE</v>
          </cell>
          <cell r="U18">
            <v>1205000</v>
          </cell>
          <cell r="Z18">
            <v>1000000</v>
          </cell>
          <cell r="AA18" t="str">
            <v>BANQUE</v>
          </cell>
          <cell r="AQ18">
            <v>0</v>
          </cell>
          <cell r="AR18">
            <v>0</v>
          </cell>
          <cell r="AS18">
            <v>7000</v>
          </cell>
          <cell r="AW18">
            <v>0</v>
          </cell>
          <cell r="AX18">
            <v>0</v>
          </cell>
          <cell r="AY18">
            <v>0</v>
          </cell>
          <cell r="AZ18">
            <v>940000</v>
          </cell>
          <cell r="BD18">
            <v>940000</v>
          </cell>
          <cell r="BF18">
            <v>60000</v>
          </cell>
          <cell r="BG18">
            <v>6</v>
          </cell>
          <cell r="BN18" t="str">
            <v>GRATIFICATION BUREAU 2021</v>
          </cell>
          <cell r="BO18" t="str">
            <v>PENALITE VERSEMENT ESPECES</v>
          </cell>
        </row>
        <row r="19">
          <cell r="A19" t="str">
            <v>AS201620</v>
          </cell>
          <cell r="B19" t="str">
            <v>LOWE JEAN</v>
          </cell>
          <cell r="C19">
            <v>0</v>
          </cell>
          <cell r="D19">
            <v>1030000</v>
          </cell>
          <cell r="E19">
            <v>0</v>
          </cell>
          <cell r="F19">
            <v>0</v>
          </cell>
          <cell r="G19">
            <v>0</v>
          </cell>
          <cell r="H19" t="str">
            <v>BANQUE</v>
          </cell>
          <cell r="I19">
            <v>1</v>
          </cell>
          <cell r="J19">
            <v>30000</v>
          </cell>
          <cell r="M19">
            <v>0</v>
          </cell>
          <cell r="O19">
            <v>0</v>
          </cell>
          <cell r="P19">
            <v>0</v>
          </cell>
          <cell r="S19">
            <v>1000000</v>
          </cell>
          <cell r="T19" t="str">
            <v>BANQUE</v>
          </cell>
          <cell r="U19">
            <v>1030000</v>
          </cell>
          <cell r="Z19">
            <v>1000000</v>
          </cell>
          <cell r="AA19" t="str">
            <v>BANQUE</v>
          </cell>
          <cell r="AQ19">
            <v>0</v>
          </cell>
          <cell r="AR19">
            <v>0</v>
          </cell>
          <cell r="AS19">
            <v>7000</v>
          </cell>
          <cell r="AW19">
            <v>0</v>
          </cell>
          <cell r="AX19">
            <v>0</v>
          </cell>
          <cell r="AY19">
            <v>0</v>
          </cell>
          <cell r="AZ19">
            <v>960000</v>
          </cell>
          <cell r="BD19">
            <v>960000</v>
          </cell>
          <cell r="BF19">
            <v>40000</v>
          </cell>
          <cell r="BG19">
            <v>4</v>
          </cell>
          <cell r="BN19" t="str">
            <v>ACHAT LAPTOP</v>
          </cell>
          <cell r="BO19" t="str">
            <v>PENALITE VERSEMENT ESPECES</v>
          </cell>
        </row>
        <row r="20">
          <cell r="A20" t="str">
            <v>AS201649</v>
          </cell>
          <cell r="B20" t="str">
            <v>MBOGNING TUGMA GUY</v>
          </cell>
          <cell r="C20">
            <v>0</v>
          </cell>
          <cell r="D20">
            <v>1627500</v>
          </cell>
          <cell r="E20">
            <v>0</v>
          </cell>
          <cell r="F20">
            <v>0</v>
          </cell>
          <cell r="G20">
            <v>0</v>
          </cell>
          <cell r="H20" t="str">
            <v>BANQUE</v>
          </cell>
          <cell r="I20">
            <v>1</v>
          </cell>
          <cell r="J20">
            <v>30000</v>
          </cell>
          <cell r="L20">
            <v>3</v>
          </cell>
          <cell r="M20">
            <v>225000</v>
          </cell>
          <cell r="N20">
            <v>2</v>
          </cell>
          <cell r="O20">
            <v>200000</v>
          </cell>
          <cell r="P20">
            <v>0</v>
          </cell>
          <cell r="Q20">
            <v>0</v>
          </cell>
          <cell r="R20">
            <v>172500</v>
          </cell>
          <cell r="S20">
            <v>1000000</v>
          </cell>
          <cell r="T20" t="str">
            <v>BANQUE</v>
          </cell>
          <cell r="U20">
            <v>1627500</v>
          </cell>
          <cell r="Z20">
            <v>1000000</v>
          </cell>
          <cell r="AA20" t="str">
            <v>BANQUE</v>
          </cell>
          <cell r="AP20" t="str">
            <v>BANQUE</v>
          </cell>
          <cell r="AQ20">
            <v>0</v>
          </cell>
          <cell r="AR20">
            <v>0</v>
          </cell>
          <cell r="AS20">
            <v>7000</v>
          </cell>
          <cell r="AW20">
            <v>0</v>
          </cell>
          <cell r="AX20">
            <v>0</v>
          </cell>
          <cell r="AY20">
            <v>0</v>
          </cell>
          <cell r="AZ20">
            <v>940000</v>
          </cell>
          <cell r="BD20">
            <v>940000</v>
          </cell>
          <cell r="BF20">
            <v>60000</v>
          </cell>
          <cell r="BG20">
            <v>6</v>
          </cell>
        </row>
        <row r="21">
          <cell r="A21" t="str">
            <v>AS201639</v>
          </cell>
          <cell r="B21" t="str">
            <v>NANGUEN MARTIN</v>
          </cell>
          <cell r="C21">
            <v>0</v>
          </cell>
          <cell r="D21">
            <v>30000</v>
          </cell>
          <cell r="E21">
            <v>0</v>
          </cell>
          <cell r="F21">
            <v>0</v>
          </cell>
          <cell r="G21">
            <v>0</v>
          </cell>
          <cell r="H21" t="str">
            <v>BANQUE</v>
          </cell>
          <cell r="I21">
            <v>1</v>
          </cell>
          <cell r="J21">
            <v>30000</v>
          </cell>
          <cell r="M21">
            <v>0</v>
          </cell>
          <cell r="O21">
            <v>0</v>
          </cell>
          <cell r="P21">
            <v>0</v>
          </cell>
          <cell r="U21">
            <v>30000</v>
          </cell>
          <cell r="Z21">
            <v>500000</v>
          </cell>
          <cell r="AA21" t="str">
            <v>BANQUE</v>
          </cell>
          <cell r="AQ21">
            <v>0</v>
          </cell>
          <cell r="AR21">
            <v>0</v>
          </cell>
          <cell r="AS21">
            <v>7000</v>
          </cell>
          <cell r="AW21">
            <v>0</v>
          </cell>
          <cell r="AX21">
            <v>0</v>
          </cell>
          <cell r="AY21">
            <v>0</v>
          </cell>
          <cell r="AZ21">
            <v>510000</v>
          </cell>
          <cell r="BD21">
            <v>510000</v>
          </cell>
          <cell r="BF21">
            <v>60000</v>
          </cell>
          <cell r="BG21">
            <v>12</v>
          </cell>
          <cell r="BK21">
            <v>70000</v>
          </cell>
        </row>
        <row r="22">
          <cell r="A22" t="str">
            <v>AS201621</v>
          </cell>
          <cell r="B22" t="str">
            <v>NANKAM APPOLINAIRE</v>
          </cell>
          <cell r="C22">
            <v>0</v>
          </cell>
          <cell r="D22">
            <v>1105000</v>
          </cell>
          <cell r="E22">
            <v>0</v>
          </cell>
          <cell r="F22">
            <v>0</v>
          </cell>
          <cell r="G22">
            <v>0</v>
          </cell>
          <cell r="H22" t="str">
            <v>BANQUE</v>
          </cell>
          <cell r="I22">
            <v>1</v>
          </cell>
          <cell r="J22">
            <v>30000</v>
          </cell>
          <cell r="L22">
            <v>1</v>
          </cell>
          <cell r="M22">
            <v>75000</v>
          </cell>
          <cell r="O22">
            <v>0</v>
          </cell>
          <cell r="P22">
            <v>0</v>
          </cell>
          <cell r="Q22">
            <v>0</v>
          </cell>
          <cell r="S22">
            <v>1000000</v>
          </cell>
          <cell r="T22" t="str">
            <v>BANQUE</v>
          </cell>
          <cell r="U22">
            <v>1105000</v>
          </cell>
          <cell r="Z22">
            <v>1000000</v>
          </cell>
          <cell r="AA22" t="str">
            <v>BANQUE</v>
          </cell>
          <cell r="AQ22">
            <v>0</v>
          </cell>
          <cell r="AR22">
            <v>0</v>
          </cell>
          <cell r="AS22">
            <v>7000</v>
          </cell>
          <cell r="AW22">
            <v>0</v>
          </cell>
          <cell r="AX22">
            <v>0</v>
          </cell>
          <cell r="AY22">
            <v>0</v>
          </cell>
          <cell r="AZ22">
            <v>880000</v>
          </cell>
          <cell r="BD22">
            <v>951000</v>
          </cell>
          <cell r="BF22">
            <v>120000</v>
          </cell>
          <cell r="BG22">
            <v>12</v>
          </cell>
          <cell r="BN22" t="str">
            <v>S/TOTAL</v>
          </cell>
          <cell r="BP22">
            <v>0</v>
          </cell>
        </row>
        <row r="23">
          <cell r="A23" t="str">
            <v>AS201622</v>
          </cell>
          <cell r="B23" t="str">
            <v>NDJOMO ETIENNE</v>
          </cell>
          <cell r="C23">
            <v>0</v>
          </cell>
          <cell r="D23">
            <v>680000</v>
          </cell>
          <cell r="E23">
            <v>101000</v>
          </cell>
          <cell r="F23">
            <v>0</v>
          </cell>
          <cell r="G23">
            <v>0</v>
          </cell>
          <cell r="H23" t="str">
            <v>BANQUE</v>
          </cell>
          <cell r="I23">
            <v>1</v>
          </cell>
          <cell r="J23">
            <v>30000</v>
          </cell>
          <cell r="K23">
            <v>20000</v>
          </cell>
          <cell r="M23">
            <v>0</v>
          </cell>
          <cell r="N23">
            <v>1</v>
          </cell>
          <cell r="O23">
            <v>100000</v>
          </cell>
          <cell r="P23">
            <v>0</v>
          </cell>
          <cell r="R23">
            <v>101000</v>
          </cell>
          <cell r="S23">
            <v>530000</v>
          </cell>
          <cell r="T23" t="str">
            <v>BANQUE</v>
          </cell>
          <cell r="U23">
            <v>781000</v>
          </cell>
          <cell r="Z23">
            <v>600000</v>
          </cell>
          <cell r="AA23" t="str">
            <v>BANQUE</v>
          </cell>
          <cell r="AP23" t="str">
            <v>BANQUE</v>
          </cell>
          <cell r="AQ23">
            <v>0</v>
          </cell>
          <cell r="AR23">
            <v>0</v>
          </cell>
          <cell r="AS23">
            <v>27000</v>
          </cell>
          <cell r="AW23">
            <v>0</v>
          </cell>
          <cell r="AX23">
            <v>0</v>
          </cell>
          <cell r="AY23">
            <v>0</v>
          </cell>
          <cell r="AZ23">
            <v>552000</v>
          </cell>
          <cell r="BD23">
            <v>552000</v>
          </cell>
          <cell r="BF23">
            <v>48000</v>
          </cell>
          <cell r="BG23">
            <v>8</v>
          </cell>
        </row>
        <row r="24">
          <cell r="A24" t="str">
            <v>AS201624</v>
          </cell>
          <cell r="B24" t="str">
            <v>NGONDIEP CLAUDE</v>
          </cell>
          <cell r="C24">
            <v>0</v>
          </cell>
          <cell r="D24">
            <v>1240000</v>
          </cell>
          <cell r="E24">
            <v>0</v>
          </cell>
          <cell r="F24">
            <v>0</v>
          </cell>
          <cell r="G24">
            <v>0</v>
          </cell>
          <cell r="H24" t="str">
            <v>BANQUE</v>
          </cell>
          <cell r="I24">
            <v>1</v>
          </cell>
          <cell r="J24">
            <v>30000</v>
          </cell>
          <cell r="K24">
            <v>35000</v>
          </cell>
          <cell r="L24">
            <v>1</v>
          </cell>
          <cell r="M24">
            <v>75000</v>
          </cell>
          <cell r="N24">
            <v>1</v>
          </cell>
          <cell r="O24">
            <v>100000</v>
          </cell>
          <cell r="P24">
            <v>0</v>
          </cell>
          <cell r="Q24">
            <v>0</v>
          </cell>
          <cell r="R24">
            <v>0</v>
          </cell>
          <cell r="S24">
            <v>1000000</v>
          </cell>
          <cell r="T24" t="str">
            <v>BANQUE</v>
          </cell>
          <cell r="U24">
            <v>1240000</v>
          </cell>
          <cell r="Z24">
            <v>1000000</v>
          </cell>
          <cell r="AA24" t="str">
            <v>BANQUE</v>
          </cell>
          <cell r="AQ24">
            <v>0</v>
          </cell>
          <cell r="AR24">
            <v>0</v>
          </cell>
          <cell r="AS24">
            <v>42000</v>
          </cell>
          <cell r="AW24">
            <v>0</v>
          </cell>
          <cell r="AX24">
            <v>0</v>
          </cell>
          <cell r="AY24">
            <v>0</v>
          </cell>
          <cell r="AZ24">
            <v>880000</v>
          </cell>
          <cell r="BD24">
            <v>880000</v>
          </cell>
          <cell r="BF24">
            <v>120000</v>
          </cell>
          <cell r="BG24">
            <v>12</v>
          </cell>
          <cell r="BN24" t="str">
            <v>GRATIFICATION BUREAU 2021</v>
          </cell>
          <cell r="BO24" t="str">
            <v>FRAIS EXEPTIONNEL</v>
          </cell>
        </row>
        <row r="25">
          <cell r="A25" t="str">
            <v>AS201626</v>
          </cell>
          <cell r="B25" t="str">
            <v>NGUIEMEGNI MATHIEU BLAISE</v>
          </cell>
          <cell r="C25">
            <v>0</v>
          </cell>
          <cell r="D25">
            <v>1280000</v>
          </cell>
          <cell r="E25">
            <v>0</v>
          </cell>
          <cell r="F25">
            <v>0</v>
          </cell>
          <cell r="G25">
            <v>0</v>
          </cell>
          <cell r="H25" t="str">
            <v>BANQUE</v>
          </cell>
          <cell r="I25">
            <v>1</v>
          </cell>
          <cell r="J25">
            <v>30000</v>
          </cell>
          <cell r="L25">
            <v>2</v>
          </cell>
          <cell r="M25">
            <v>150000</v>
          </cell>
          <cell r="N25">
            <v>1</v>
          </cell>
          <cell r="O25">
            <v>100000</v>
          </cell>
          <cell r="P25">
            <v>0</v>
          </cell>
          <cell r="Q25">
            <v>0</v>
          </cell>
          <cell r="R25">
            <v>0</v>
          </cell>
          <cell r="S25">
            <v>1000000</v>
          </cell>
          <cell r="T25" t="str">
            <v>BANQUE</v>
          </cell>
          <cell r="U25">
            <v>1280000</v>
          </cell>
          <cell r="Z25">
            <v>1000000</v>
          </cell>
          <cell r="AA25" t="str">
            <v>BANQUE</v>
          </cell>
          <cell r="AQ25">
            <v>0</v>
          </cell>
          <cell r="AR25">
            <v>0</v>
          </cell>
          <cell r="AS25">
            <v>7000</v>
          </cell>
          <cell r="AW25">
            <v>0</v>
          </cell>
          <cell r="AX25">
            <v>0</v>
          </cell>
          <cell r="AY25">
            <v>0</v>
          </cell>
          <cell r="AZ25">
            <v>1000000</v>
          </cell>
          <cell r="BD25">
            <v>1000000</v>
          </cell>
          <cell r="BF25">
            <v>0</v>
          </cell>
          <cell r="BG25">
            <v>0</v>
          </cell>
          <cell r="BN25" t="str">
            <v>DEVELOPPEMENT LAGWEU</v>
          </cell>
          <cell r="BO25" t="str">
            <v>FRAIS EXEPTIONNEL</v>
          </cell>
        </row>
        <row r="26">
          <cell r="A26" t="str">
            <v>AS201628</v>
          </cell>
          <cell r="B26" t="str">
            <v>NKAMGANG JUSTIN DEJOLIE</v>
          </cell>
          <cell r="C26">
            <v>0</v>
          </cell>
          <cell r="D26">
            <v>1105000</v>
          </cell>
          <cell r="E26">
            <v>79500</v>
          </cell>
          <cell r="F26">
            <v>0</v>
          </cell>
          <cell r="G26">
            <v>0</v>
          </cell>
          <cell r="H26" t="str">
            <v>BANQUE</v>
          </cell>
          <cell r="I26">
            <v>1</v>
          </cell>
          <cell r="J26">
            <v>30000</v>
          </cell>
          <cell r="L26">
            <v>1</v>
          </cell>
          <cell r="M26">
            <v>75000</v>
          </cell>
          <cell r="O26">
            <v>0</v>
          </cell>
          <cell r="P26">
            <v>41000</v>
          </cell>
          <cell r="Q26">
            <v>38500</v>
          </cell>
          <cell r="S26">
            <v>1000000</v>
          </cell>
          <cell r="T26" t="str">
            <v>BANQUE</v>
          </cell>
          <cell r="U26">
            <v>1184500</v>
          </cell>
          <cell r="Z26">
            <v>1000000</v>
          </cell>
          <cell r="AA26" t="str">
            <v>BANQUE</v>
          </cell>
          <cell r="AP26" t="str">
            <v>BANQUE</v>
          </cell>
          <cell r="AQ26">
            <v>0</v>
          </cell>
          <cell r="AR26">
            <v>0</v>
          </cell>
          <cell r="AS26">
            <v>7000</v>
          </cell>
          <cell r="AW26">
            <v>0</v>
          </cell>
          <cell r="AX26">
            <v>0</v>
          </cell>
          <cell r="AY26">
            <v>0</v>
          </cell>
          <cell r="AZ26">
            <v>980000</v>
          </cell>
          <cell r="BD26">
            <v>980000</v>
          </cell>
          <cell r="BF26">
            <v>20000</v>
          </cell>
          <cell r="BG26">
            <v>2</v>
          </cell>
          <cell r="BN26" t="str">
            <v>DEUIL TCHEMNOU EMMANUEL</v>
          </cell>
          <cell r="BO26" t="str">
            <v>FRAIS EXEPTIONNEL</v>
          </cell>
        </row>
        <row r="27">
          <cell r="A27" t="str">
            <v>AS201614</v>
          </cell>
          <cell r="B27" t="str">
            <v>NKEHE DAVID</v>
          </cell>
          <cell r="C27">
            <v>520000</v>
          </cell>
          <cell r="D27">
            <v>520000</v>
          </cell>
          <cell r="E27">
            <v>0</v>
          </cell>
          <cell r="F27">
            <v>0</v>
          </cell>
          <cell r="G27">
            <v>0</v>
          </cell>
          <cell r="H27" t="str">
            <v>BANQUE</v>
          </cell>
          <cell r="I27">
            <v>0</v>
          </cell>
          <cell r="J27">
            <v>0</v>
          </cell>
          <cell r="M27">
            <v>0</v>
          </cell>
          <cell r="N27">
            <v>0</v>
          </cell>
          <cell r="O27">
            <v>0</v>
          </cell>
          <cell r="U27">
            <v>0</v>
          </cell>
          <cell r="AQ27">
            <v>0</v>
          </cell>
          <cell r="AR27">
            <v>0</v>
          </cell>
          <cell r="AS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D27">
            <v>0</v>
          </cell>
          <cell r="BF27">
            <v>0</v>
          </cell>
          <cell r="BG27">
            <v>0</v>
          </cell>
        </row>
        <row r="28">
          <cell r="A28" t="str">
            <v>AS201629</v>
          </cell>
          <cell r="B28" t="str">
            <v>NKEPSEU DIEUDONNE</v>
          </cell>
          <cell r="C28">
            <v>0</v>
          </cell>
          <cell r="D28">
            <v>1130000</v>
          </cell>
          <cell r="E28">
            <v>0</v>
          </cell>
          <cell r="F28">
            <v>0</v>
          </cell>
          <cell r="G28">
            <v>0</v>
          </cell>
          <cell r="H28" t="str">
            <v>BANQUE</v>
          </cell>
          <cell r="I28">
            <v>1</v>
          </cell>
          <cell r="J28">
            <v>30000</v>
          </cell>
          <cell r="M28">
            <v>0</v>
          </cell>
          <cell r="N28">
            <v>1</v>
          </cell>
          <cell r="O28">
            <v>100000</v>
          </cell>
          <cell r="P28">
            <v>0</v>
          </cell>
          <cell r="R28">
            <v>0</v>
          </cell>
          <cell r="S28">
            <v>1000000</v>
          </cell>
          <cell r="T28" t="str">
            <v>BANQUE</v>
          </cell>
          <cell r="U28">
            <v>1130000</v>
          </cell>
          <cell r="AQ28">
            <v>0</v>
          </cell>
          <cell r="AR28">
            <v>0</v>
          </cell>
          <cell r="AS28">
            <v>7000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D28">
            <v>0</v>
          </cell>
          <cell r="BF28">
            <v>0</v>
          </cell>
          <cell r="BG28">
            <v>0</v>
          </cell>
          <cell r="BN28" t="str">
            <v>S/TOTAL</v>
          </cell>
          <cell r="BP28">
            <v>0</v>
          </cell>
        </row>
        <row r="29">
          <cell r="A29" t="str">
            <v>AS201633</v>
          </cell>
          <cell r="B29" t="str">
            <v>PATEGO NJOSSU GUSTAVE</v>
          </cell>
          <cell r="C29">
            <v>0</v>
          </cell>
          <cell r="D29">
            <v>105000</v>
          </cell>
          <cell r="E29">
            <v>0</v>
          </cell>
          <cell r="F29">
            <v>0</v>
          </cell>
          <cell r="G29">
            <v>0</v>
          </cell>
          <cell r="H29" t="str">
            <v>BANQUE</v>
          </cell>
          <cell r="I29">
            <v>1</v>
          </cell>
          <cell r="J29">
            <v>30000</v>
          </cell>
          <cell r="L29">
            <v>1</v>
          </cell>
          <cell r="M29">
            <v>75000</v>
          </cell>
          <cell r="O29">
            <v>0</v>
          </cell>
          <cell r="P29">
            <v>0</v>
          </cell>
          <cell r="Q29">
            <v>0</v>
          </cell>
          <cell r="U29">
            <v>105000</v>
          </cell>
          <cell r="AQ29">
            <v>0</v>
          </cell>
          <cell r="AR29">
            <v>0</v>
          </cell>
          <cell r="AS29">
            <v>7000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D29">
            <v>0</v>
          </cell>
          <cell r="BF29">
            <v>0</v>
          </cell>
          <cell r="BG29">
            <v>0</v>
          </cell>
        </row>
        <row r="30">
          <cell r="A30" t="str">
            <v>AS201653</v>
          </cell>
          <cell r="B30" t="str">
            <v>SIME BRICE</v>
          </cell>
          <cell r="C30">
            <v>0</v>
          </cell>
          <cell r="D30">
            <v>105000</v>
          </cell>
          <cell r="E30">
            <v>0</v>
          </cell>
          <cell r="F30">
            <v>0</v>
          </cell>
          <cell r="G30">
            <v>0</v>
          </cell>
          <cell r="H30" t="str">
            <v>BANQUE</v>
          </cell>
          <cell r="I30">
            <v>1</v>
          </cell>
          <cell r="J30">
            <v>30000</v>
          </cell>
          <cell r="L30">
            <v>1</v>
          </cell>
          <cell r="M30">
            <v>75000</v>
          </cell>
          <cell r="O30">
            <v>0</v>
          </cell>
          <cell r="P30">
            <v>0</v>
          </cell>
          <cell r="Q30">
            <v>0</v>
          </cell>
          <cell r="U30">
            <v>105000</v>
          </cell>
          <cell r="AC30">
            <v>23000</v>
          </cell>
          <cell r="AF30" t="str">
            <v>BANQUE</v>
          </cell>
          <cell r="AQ30">
            <v>0</v>
          </cell>
          <cell r="AR30">
            <v>0</v>
          </cell>
          <cell r="AS30">
            <v>7000</v>
          </cell>
          <cell r="AW30">
            <v>277000</v>
          </cell>
          <cell r="AX30">
            <v>0</v>
          </cell>
          <cell r="AY30">
            <v>0</v>
          </cell>
          <cell r="AZ30">
            <v>277000</v>
          </cell>
          <cell r="BD30">
            <v>277000</v>
          </cell>
          <cell r="BF30">
            <v>0</v>
          </cell>
          <cell r="BG30">
            <v>0</v>
          </cell>
          <cell r="BN30" t="str">
            <v xml:space="preserve">DECES </v>
          </cell>
          <cell r="BO30" t="str">
            <v>MUTUELLE</v>
          </cell>
        </row>
        <row r="31">
          <cell r="A31" t="str">
            <v>AS201636</v>
          </cell>
          <cell r="B31" t="str">
            <v>SIMO FONGANG ERIC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 t="str">
            <v>ECHEC</v>
          </cell>
          <cell r="J31">
            <v>0</v>
          </cell>
          <cell r="M31">
            <v>0</v>
          </cell>
          <cell r="O31">
            <v>0</v>
          </cell>
          <cell r="U31">
            <v>0</v>
          </cell>
          <cell r="AQ31">
            <v>0</v>
          </cell>
          <cell r="AR31">
            <v>0</v>
          </cell>
          <cell r="AS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D31">
            <v>0</v>
          </cell>
          <cell r="BF31">
            <v>0</v>
          </cell>
          <cell r="BG31">
            <v>0</v>
          </cell>
          <cell r="BN31" t="str">
            <v>TRANSPORT DELEGUE</v>
          </cell>
          <cell r="BO31" t="str">
            <v>MUTUELLE</v>
          </cell>
        </row>
        <row r="32">
          <cell r="A32" t="str">
            <v>AS201638</v>
          </cell>
          <cell r="B32" t="str">
            <v>SIMO PIERRE</v>
          </cell>
          <cell r="C32">
            <v>0</v>
          </cell>
          <cell r="D32">
            <v>905000</v>
          </cell>
          <cell r="E32">
            <v>0</v>
          </cell>
          <cell r="F32">
            <v>0</v>
          </cell>
          <cell r="G32">
            <v>0</v>
          </cell>
          <cell r="H32" t="str">
            <v>BANQUE</v>
          </cell>
          <cell r="I32">
            <v>1</v>
          </cell>
          <cell r="J32">
            <v>30000</v>
          </cell>
          <cell r="L32">
            <v>1</v>
          </cell>
          <cell r="M32">
            <v>75000</v>
          </cell>
          <cell r="O32">
            <v>0</v>
          </cell>
          <cell r="P32">
            <v>0</v>
          </cell>
          <cell r="Q32">
            <v>0</v>
          </cell>
          <cell r="S32">
            <v>800000</v>
          </cell>
          <cell r="T32" t="str">
            <v>BANQUE</v>
          </cell>
          <cell r="U32">
            <v>905000</v>
          </cell>
          <cell r="Z32">
            <v>1000000</v>
          </cell>
          <cell r="AA32" t="str">
            <v>BANQUE</v>
          </cell>
          <cell r="AQ32">
            <v>0</v>
          </cell>
          <cell r="AR32">
            <v>0</v>
          </cell>
          <cell r="AS32">
            <v>7000</v>
          </cell>
          <cell r="AW32">
            <v>0</v>
          </cell>
          <cell r="AX32">
            <v>0</v>
          </cell>
          <cell r="AY32">
            <v>0</v>
          </cell>
          <cell r="AZ32">
            <v>880000</v>
          </cell>
          <cell r="BD32">
            <v>880000</v>
          </cell>
          <cell r="BF32">
            <v>120000</v>
          </cell>
          <cell r="BG32">
            <v>12</v>
          </cell>
        </row>
        <row r="33">
          <cell r="A33" t="str">
            <v>AS201641</v>
          </cell>
          <cell r="B33" t="str">
            <v>TCHOUAMOU MATHIEU</v>
          </cell>
          <cell r="C33">
            <v>0</v>
          </cell>
          <cell r="D33">
            <v>1030000</v>
          </cell>
          <cell r="E33">
            <v>0</v>
          </cell>
          <cell r="F33">
            <v>0</v>
          </cell>
          <cell r="G33">
            <v>0</v>
          </cell>
          <cell r="H33" t="str">
            <v>BANQUE</v>
          </cell>
          <cell r="I33">
            <v>1</v>
          </cell>
          <cell r="J33">
            <v>30000</v>
          </cell>
          <cell r="M33">
            <v>0</v>
          </cell>
          <cell r="O33">
            <v>0</v>
          </cell>
          <cell r="P33">
            <v>0</v>
          </cell>
          <cell r="S33">
            <v>1000000</v>
          </cell>
          <cell r="T33" t="str">
            <v>BANQUE</v>
          </cell>
          <cell r="U33">
            <v>1030000</v>
          </cell>
          <cell r="AQ33">
            <v>0</v>
          </cell>
          <cell r="AR33">
            <v>0</v>
          </cell>
          <cell r="AS33">
            <v>7000</v>
          </cell>
          <cell r="AW33">
            <v>0</v>
          </cell>
          <cell r="AX33">
            <v>0</v>
          </cell>
          <cell r="AY33">
            <v>0</v>
          </cell>
          <cell r="AZ33">
            <v>0</v>
          </cell>
          <cell r="BD33">
            <v>0</v>
          </cell>
          <cell r="BF33">
            <v>0</v>
          </cell>
          <cell r="BG33">
            <v>3</v>
          </cell>
          <cell r="BN33" t="str">
            <v>S/TOTAL</v>
          </cell>
          <cell r="BP33">
            <v>0</v>
          </cell>
        </row>
        <row r="34">
          <cell r="A34" t="str">
            <v>AS201644</v>
          </cell>
          <cell r="B34" t="str">
            <v>TIEYAM ERNEST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 t="str">
            <v>ECHEC</v>
          </cell>
          <cell r="I34">
            <v>0</v>
          </cell>
          <cell r="J34">
            <v>0</v>
          </cell>
          <cell r="M34">
            <v>0</v>
          </cell>
          <cell r="N34">
            <v>0</v>
          </cell>
          <cell r="O34">
            <v>0</v>
          </cell>
          <cell r="U34">
            <v>0</v>
          </cell>
          <cell r="AQ34">
            <v>0</v>
          </cell>
          <cell r="AR34">
            <v>0</v>
          </cell>
          <cell r="AS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D34">
            <v>0</v>
          </cell>
          <cell r="BF34">
            <v>0</v>
          </cell>
          <cell r="BG34">
            <v>0</v>
          </cell>
        </row>
        <row r="35">
          <cell r="A35" t="str">
            <v>AS201646</v>
          </cell>
          <cell r="B35" t="str">
            <v>YEPMOU JEAN JACQUES</v>
          </cell>
          <cell r="C35">
            <v>0</v>
          </cell>
          <cell r="D35">
            <v>1041250</v>
          </cell>
          <cell r="E35">
            <v>0</v>
          </cell>
          <cell r="F35">
            <v>0</v>
          </cell>
          <cell r="G35">
            <v>0</v>
          </cell>
          <cell r="H35" t="str">
            <v>BANQUE</v>
          </cell>
          <cell r="I35">
            <v>1</v>
          </cell>
          <cell r="J35">
            <v>30000</v>
          </cell>
          <cell r="M35">
            <v>0</v>
          </cell>
          <cell r="O35">
            <v>0</v>
          </cell>
          <cell r="P35">
            <v>0</v>
          </cell>
          <cell r="S35">
            <v>1011250</v>
          </cell>
          <cell r="T35" t="str">
            <v>BANQUE</v>
          </cell>
          <cell r="U35">
            <v>1041250</v>
          </cell>
          <cell r="AQ35">
            <v>0</v>
          </cell>
          <cell r="AR35">
            <v>0</v>
          </cell>
          <cell r="AS35">
            <v>7000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D35">
            <v>0</v>
          </cell>
          <cell r="BF35">
            <v>0</v>
          </cell>
          <cell r="BG35">
            <v>0</v>
          </cell>
          <cell r="BN35" t="str">
            <v>COLLATION</v>
          </cell>
          <cell r="BO35" t="str">
            <v>COLLATION</v>
          </cell>
        </row>
        <row r="36">
          <cell r="A36" t="str">
            <v>AS201647</v>
          </cell>
          <cell r="B36" t="str">
            <v>YOUMBI EMMANUEL</v>
          </cell>
          <cell r="C36">
            <v>0</v>
          </cell>
          <cell r="D36">
            <v>280000</v>
          </cell>
          <cell r="E36">
            <v>0</v>
          </cell>
          <cell r="F36">
            <v>0</v>
          </cell>
          <cell r="G36">
            <v>0</v>
          </cell>
          <cell r="H36" t="str">
            <v>BANQUE</v>
          </cell>
          <cell r="I36">
            <v>1</v>
          </cell>
          <cell r="J36">
            <v>30000</v>
          </cell>
          <cell r="L36">
            <v>2</v>
          </cell>
          <cell r="M36">
            <v>150000</v>
          </cell>
          <cell r="N36">
            <v>1</v>
          </cell>
          <cell r="O36">
            <v>100000</v>
          </cell>
          <cell r="P36">
            <v>0</v>
          </cell>
          <cell r="Q36">
            <v>0</v>
          </cell>
          <cell r="R36">
            <v>0</v>
          </cell>
          <cell r="U36">
            <v>280000</v>
          </cell>
          <cell r="AQ36">
            <v>0</v>
          </cell>
          <cell r="AR36">
            <v>0</v>
          </cell>
          <cell r="AS36">
            <v>7000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D36">
            <v>0</v>
          </cell>
          <cell r="BF36">
            <v>0</v>
          </cell>
          <cell r="BG36">
            <v>0</v>
          </cell>
          <cell r="BN36" t="str">
            <v>BOISSON</v>
          </cell>
          <cell r="BO36" t="str">
            <v>COLLATION</v>
          </cell>
        </row>
        <row r="38">
          <cell r="B38" t="str">
            <v>TOTAUX</v>
          </cell>
          <cell r="C38">
            <v>520000</v>
          </cell>
          <cell r="D38">
            <v>20433750</v>
          </cell>
          <cell r="E38">
            <v>180500</v>
          </cell>
          <cell r="F38">
            <v>0</v>
          </cell>
          <cell r="G38">
            <v>0</v>
          </cell>
          <cell r="H38">
            <v>0</v>
          </cell>
          <cell r="I38">
            <v>26</v>
          </cell>
          <cell r="J38">
            <v>780000</v>
          </cell>
          <cell r="K38">
            <v>111000</v>
          </cell>
          <cell r="L38">
            <v>20</v>
          </cell>
          <cell r="M38">
            <v>1500000</v>
          </cell>
          <cell r="N38">
            <v>13</v>
          </cell>
          <cell r="O38">
            <v>1300000</v>
          </cell>
          <cell r="P38">
            <v>41000</v>
          </cell>
          <cell r="Q38">
            <v>38500</v>
          </cell>
          <cell r="R38">
            <v>273500</v>
          </cell>
          <cell r="S38">
            <v>16041250</v>
          </cell>
          <cell r="T38">
            <v>0</v>
          </cell>
          <cell r="U38">
            <v>20085250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14600000</v>
          </cell>
          <cell r="AA38">
            <v>0</v>
          </cell>
          <cell r="AB38">
            <v>0</v>
          </cell>
          <cell r="AC38">
            <v>46000</v>
          </cell>
          <cell r="AD38">
            <v>75000</v>
          </cell>
          <cell r="AE38">
            <v>100000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  <cell r="AS38">
            <v>293000</v>
          </cell>
          <cell r="AT38">
            <v>0</v>
          </cell>
          <cell r="AU38">
            <v>0</v>
          </cell>
          <cell r="AV38">
            <v>0</v>
          </cell>
          <cell r="AW38">
            <v>554000</v>
          </cell>
          <cell r="AX38">
            <v>1125000</v>
          </cell>
          <cell r="AY38">
            <v>1200000</v>
          </cell>
          <cell r="AZ38">
            <v>16437000</v>
          </cell>
          <cell r="BA38">
            <v>0</v>
          </cell>
          <cell r="BB38">
            <v>9000</v>
          </cell>
          <cell r="BC38">
            <v>0</v>
          </cell>
          <cell r="BD38">
            <v>16499000</v>
          </cell>
          <cell r="BF38">
            <v>1118000</v>
          </cell>
          <cell r="BH38">
            <v>6000</v>
          </cell>
          <cell r="BI38">
            <v>0</v>
          </cell>
          <cell r="BJ38">
            <v>0</v>
          </cell>
          <cell r="BK38">
            <v>70000</v>
          </cell>
          <cell r="BL38">
            <v>0</v>
          </cell>
          <cell r="BM38">
            <v>0</v>
          </cell>
          <cell r="BN38" t="str">
            <v>S/TOTAL</v>
          </cell>
          <cell r="BP38">
            <v>0</v>
          </cell>
        </row>
      </sheetData>
      <sheetData sheetId="16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LISTADHERENTTRIRECEPT"/>
      <sheetName val="LISTADHERENT (4)"/>
      <sheetName val="LISTADHERENT (2)"/>
    </sheetNames>
    <sheetDataSet>
      <sheetData sheetId="0">
        <row r="5">
          <cell r="A5" t="str">
            <v>AS201601</v>
          </cell>
          <cell r="B5">
            <v>1</v>
          </cell>
          <cell r="C5" t="str">
            <v>BAKOP ACHILLE</v>
          </cell>
          <cell r="D5" t="str">
            <v>FONCTIONNAIRE DE POLICE</v>
          </cell>
          <cell r="F5">
            <v>677841881</v>
          </cell>
          <cell r="H5" t="str">
            <v>NKOLBISSON</v>
          </cell>
        </row>
        <row r="6">
          <cell r="A6" t="str">
            <v>AS201602</v>
          </cell>
          <cell r="B6">
            <v>2</v>
          </cell>
          <cell r="C6" t="str">
            <v>BOUTCHOUANG WILLIAM</v>
          </cell>
          <cell r="D6" t="str">
            <v>OPERATEUR ECONOMIQUE</v>
          </cell>
          <cell r="F6">
            <v>677704694</v>
          </cell>
          <cell r="H6" t="str">
            <v>EMANA</v>
          </cell>
        </row>
        <row r="7">
          <cell r="A7" t="str">
            <v>AS201603</v>
          </cell>
          <cell r="B7">
            <v>3</v>
          </cell>
          <cell r="C7" t="str">
            <v>CHINGUE FABRICE</v>
          </cell>
          <cell r="D7" t="str">
            <v>OPERATEUR ECONOMIQUE</v>
          </cell>
          <cell r="F7">
            <v>677881912</v>
          </cell>
          <cell r="H7" t="str">
            <v>SANTA BARBARA</v>
          </cell>
        </row>
        <row r="8">
          <cell r="A8" t="str">
            <v>AS201604</v>
          </cell>
          <cell r="B8">
            <v>4</v>
          </cell>
          <cell r="C8" t="str">
            <v xml:space="preserve">DJOMO JEAN PAUL </v>
          </cell>
          <cell r="D8" t="str">
            <v>ENTREPRENEUR DE BATIMENT</v>
          </cell>
          <cell r="F8">
            <v>677986676</v>
          </cell>
          <cell r="H8" t="str">
            <v>RUE MANGUIERS</v>
          </cell>
        </row>
        <row r="9">
          <cell r="A9" t="str">
            <v>AS201605</v>
          </cell>
          <cell r="B9">
            <v>5</v>
          </cell>
          <cell r="C9" t="str">
            <v>DJOUKWE NANGUEN GUY BLAISE</v>
          </cell>
          <cell r="D9" t="str">
            <v>PROFESSEUR DES LYCEES TECHNIQUE</v>
          </cell>
          <cell r="F9">
            <v>675250451</v>
          </cell>
          <cell r="H9" t="str">
            <v>RUE MANGUIERS</v>
          </cell>
        </row>
        <row r="10">
          <cell r="A10" t="str">
            <v>AS201606</v>
          </cell>
          <cell r="B10">
            <v>6</v>
          </cell>
          <cell r="C10" t="str">
            <v>DJOSSEU JOSUE</v>
          </cell>
          <cell r="D10" t="str">
            <v>PROFESSEUR DES LYCEES TECHNIQUE</v>
          </cell>
          <cell r="F10">
            <v>675250451</v>
          </cell>
          <cell r="H10" t="str">
            <v>RUE MANGUIERS</v>
          </cell>
        </row>
        <row r="11">
          <cell r="A11" t="str">
            <v>AS201607</v>
          </cell>
          <cell r="B11">
            <v>7</v>
          </cell>
          <cell r="C11" t="str">
            <v>DJOUNKEP SAMUEL</v>
          </cell>
          <cell r="D11" t="str">
            <v>COMPTABLE RETRAITE</v>
          </cell>
          <cell r="F11">
            <v>697103557</v>
          </cell>
          <cell r="H11" t="str">
            <v>BIYEM ASSI LYCEE</v>
          </cell>
        </row>
        <row r="12">
          <cell r="A12" t="str">
            <v>AS201608</v>
          </cell>
          <cell r="B12">
            <v>8</v>
          </cell>
          <cell r="C12" t="str">
            <v>DJUOMBESSY ANTOINE</v>
          </cell>
          <cell r="D12" t="str">
            <v>ANALYSTE CONCEPTEUR SI</v>
          </cell>
          <cell r="F12">
            <v>677501239</v>
          </cell>
          <cell r="G12">
            <v>699324095</v>
          </cell>
          <cell r="H12" t="str">
            <v>MESSASSI</v>
          </cell>
        </row>
        <row r="13">
          <cell r="A13" t="str">
            <v>AS201609</v>
          </cell>
          <cell r="B13">
            <v>9</v>
          </cell>
          <cell r="C13" t="str">
            <v>DONHOU DAVID</v>
          </cell>
          <cell r="D13" t="str">
            <v>MAGISTRAT</v>
          </cell>
          <cell r="F13">
            <v>699908065</v>
          </cell>
          <cell r="H13" t="str">
            <v>TONGOLO</v>
          </cell>
        </row>
        <row r="14">
          <cell r="A14" t="str">
            <v>AS201610</v>
          </cell>
          <cell r="B14">
            <v>10</v>
          </cell>
          <cell r="C14" t="str">
            <v>FOTSO THOMAS</v>
          </cell>
          <cell r="D14" t="str">
            <v>CADRE BANQUE</v>
          </cell>
          <cell r="F14">
            <v>677910278</v>
          </cell>
          <cell r="H14" t="str">
            <v>OYOMABANG</v>
          </cell>
        </row>
        <row r="15">
          <cell r="A15" t="str">
            <v>AS201611</v>
          </cell>
          <cell r="B15">
            <v>11</v>
          </cell>
          <cell r="C15" t="str">
            <v>HENGUE PAUL OMER</v>
          </cell>
          <cell r="D15" t="str">
            <v>SOCIOLOGUE</v>
          </cell>
          <cell r="F15">
            <v>694468080</v>
          </cell>
          <cell r="H15" t="str">
            <v>MESSASSI</v>
          </cell>
        </row>
        <row r="16">
          <cell r="A16" t="str">
            <v>AS201612</v>
          </cell>
          <cell r="B16">
            <v>12</v>
          </cell>
          <cell r="C16" t="str">
            <v>HODIEP JULES</v>
          </cell>
          <cell r="D16" t="str">
            <v>CADRE CNPS</v>
          </cell>
          <cell r="F16">
            <v>675291170</v>
          </cell>
          <cell r="H16" t="str">
            <v>NYOM 2</v>
          </cell>
        </row>
        <row r="17">
          <cell r="A17" t="str">
            <v>AS201613</v>
          </cell>
          <cell r="B17">
            <v>13</v>
          </cell>
          <cell r="C17" t="str">
            <v>HOTCHO BENJAMIN</v>
          </cell>
          <cell r="D17" t="str">
            <v>COMPTABLE</v>
          </cell>
          <cell r="F17">
            <v>699956355</v>
          </cell>
          <cell r="H17" t="str">
            <v>DAMAS</v>
          </cell>
        </row>
        <row r="18">
          <cell r="A18" t="str">
            <v>AS201614</v>
          </cell>
          <cell r="B18">
            <v>14</v>
          </cell>
          <cell r="C18" t="str">
            <v>NKEHE DAVID</v>
          </cell>
          <cell r="D18" t="str">
            <v>OPERATEUR ECONOMIQUE</v>
          </cell>
          <cell r="F18">
            <v>677053815</v>
          </cell>
          <cell r="H18" t="str">
            <v>MESSASSI</v>
          </cell>
        </row>
        <row r="19">
          <cell r="A19" t="str">
            <v>AS201615</v>
          </cell>
          <cell r="B19">
            <v>15</v>
          </cell>
          <cell r="C19" t="str">
            <v>KEPSEU FRANCIS</v>
          </cell>
          <cell r="D19" t="str">
            <v>OFFICIER DE POLICE RETRAITE</v>
          </cell>
          <cell r="F19">
            <v>699528700</v>
          </cell>
          <cell r="H19" t="str">
            <v>SIMBOCK</v>
          </cell>
        </row>
        <row r="20">
          <cell r="A20" t="str">
            <v>AS201616</v>
          </cell>
          <cell r="B20">
            <v>16</v>
          </cell>
          <cell r="C20" t="str">
            <v>KOUAMOU EMMANUEL</v>
          </cell>
          <cell r="D20" t="str">
            <v>OPERATEUR ECONOMIQUE</v>
          </cell>
          <cell r="F20">
            <v>699335584</v>
          </cell>
          <cell r="H20" t="str">
            <v>MONTEE JOUVENCE</v>
          </cell>
        </row>
        <row r="21">
          <cell r="A21" t="str">
            <v>AS201617</v>
          </cell>
          <cell r="B21">
            <v>17</v>
          </cell>
          <cell r="C21" t="str">
            <v>KOUAMOU MOISE</v>
          </cell>
          <cell r="D21" t="str">
            <v>INGENIEUR E-F</v>
          </cell>
          <cell r="F21">
            <v>675836725</v>
          </cell>
          <cell r="H21" t="str">
            <v>DAMAS</v>
          </cell>
        </row>
        <row r="22">
          <cell r="A22" t="str">
            <v>AS201618</v>
          </cell>
          <cell r="B22">
            <v>18</v>
          </cell>
          <cell r="C22" t="str">
            <v>KOUAMO VICTOR PEGUY</v>
          </cell>
          <cell r="D22" t="str">
            <v>S/OFFICIER SUPERIEUR</v>
          </cell>
          <cell r="F22">
            <v>696564847</v>
          </cell>
          <cell r="H22" t="str">
            <v>MESSASSI</v>
          </cell>
        </row>
        <row r="23">
          <cell r="A23" t="str">
            <v>AS201619</v>
          </cell>
          <cell r="B23">
            <v>19</v>
          </cell>
          <cell r="C23" t="str">
            <v>KOUATCHO MESSACK</v>
          </cell>
          <cell r="D23" t="str">
            <v>INSPECTEUR DE TRAVAIL</v>
          </cell>
          <cell r="F23">
            <v>677735778</v>
          </cell>
          <cell r="H23" t="str">
            <v>SANTA BARBARA</v>
          </cell>
        </row>
        <row r="24">
          <cell r="A24" t="str">
            <v>AS201620</v>
          </cell>
          <cell r="B24">
            <v>20</v>
          </cell>
          <cell r="C24" t="str">
            <v>LOWE JEAN</v>
          </cell>
          <cell r="D24" t="str">
            <v>PROFESSEUR DE LYCEE</v>
          </cell>
        </row>
        <row r="25">
          <cell r="A25" t="str">
            <v>AS201621</v>
          </cell>
          <cell r="B25">
            <v>21</v>
          </cell>
          <cell r="C25" t="str">
            <v>NANKAM APPOLINAIRE</v>
          </cell>
          <cell r="D25" t="str">
            <v>ENSEIGNANT</v>
          </cell>
          <cell r="F25">
            <v>693055118</v>
          </cell>
          <cell r="H25" t="str">
            <v>DAMAS</v>
          </cell>
        </row>
        <row r="26">
          <cell r="A26" t="str">
            <v>AS201622</v>
          </cell>
          <cell r="B26">
            <v>22</v>
          </cell>
          <cell r="C26" t="str">
            <v>NDJOMO ETIENNE</v>
          </cell>
          <cell r="D26" t="str">
            <v>COMPTABLE</v>
          </cell>
          <cell r="F26">
            <v>677553702</v>
          </cell>
          <cell r="H26" t="str">
            <v>MONTEE JOUVENCE</v>
          </cell>
        </row>
        <row r="27">
          <cell r="A27" t="str">
            <v>AS201623</v>
          </cell>
          <cell r="B27">
            <v>23</v>
          </cell>
          <cell r="C27" t="str">
            <v>NDOMBOU JEAN CLAUDE</v>
          </cell>
          <cell r="D27" t="str">
            <v>ING AGRONOME RETRAITE</v>
          </cell>
          <cell r="F27">
            <v>699358350</v>
          </cell>
          <cell r="H27" t="str">
            <v>ETOUG EBE</v>
          </cell>
        </row>
        <row r="28">
          <cell r="A28" t="str">
            <v>AS201624</v>
          </cell>
          <cell r="B28">
            <v>24</v>
          </cell>
          <cell r="C28" t="str">
            <v>NGONDIEP CLAUDE</v>
          </cell>
          <cell r="D28" t="str">
            <v>DAS(DIRECTEUR ADMINISTRATEUR SOCIETE)</v>
          </cell>
          <cell r="F28">
            <v>675249207</v>
          </cell>
          <cell r="H28" t="str">
            <v>CITE VERTE</v>
          </cell>
        </row>
        <row r="29">
          <cell r="A29" t="str">
            <v>AS201625</v>
          </cell>
          <cell r="B29">
            <v>25</v>
          </cell>
          <cell r="C29" t="str">
            <v>NGONGANG JEAN THEODORE</v>
          </cell>
          <cell r="D29" t="str">
            <v>CHEF ENTREPRISE</v>
          </cell>
          <cell r="F29">
            <v>677766503</v>
          </cell>
          <cell r="H29" t="str">
            <v>RUE MANGUIERS</v>
          </cell>
        </row>
        <row r="30">
          <cell r="A30" t="str">
            <v>AS201626</v>
          </cell>
          <cell r="B30">
            <v>26</v>
          </cell>
          <cell r="C30" t="str">
            <v>NGUIEMEGNI MATHIEU BLAISE</v>
          </cell>
          <cell r="D30" t="str">
            <v>CADRE CADASTRE</v>
          </cell>
          <cell r="F30">
            <v>677068360</v>
          </cell>
          <cell r="H30" t="str">
            <v>MONATELE</v>
          </cell>
        </row>
        <row r="31">
          <cell r="A31" t="str">
            <v>AS201627</v>
          </cell>
          <cell r="B31">
            <v>27</v>
          </cell>
          <cell r="C31" t="str">
            <v>NJEPDJIO MBOUKAM DELUXE</v>
          </cell>
          <cell r="D31" t="str">
            <v>OPERATEUR ECONOMIQUE</v>
          </cell>
          <cell r="F31">
            <v>670909070</v>
          </cell>
          <cell r="H31" t="str">
            <v>MENDONG</v>
          </cell>
        </row>
        <row r="32">
          <cell r="A32" t="str">
            <v>AS201628</v>
          </cell>
          <cell r="B32">
            <v>28</v>
          </cell>
          <cell r="C32" t="str">
            <v>NKAMGANG JUSTIN DEJOLIE</v>
          </cell>
          <cell r="D32" t="str">
            <v>DELEGUE COMMERCIAL</v>
          </cell>
          <cell r="F32">
            <v>676659191</v>
          </cell>
          <cell r="H32" t="str">
            <v>MENDONG</v>
          </cell>
        </row>
        <row r="33">
          <cell r="A33" t="str">
            <v>AS201629</v>
          </cell>
          <cell r="B33">
            <v>29</v>
          </cell>
          <cell r="C33" t="str">
            <v>NKEPSEU DIEUDONNE</v>
          </cell>
          <cell r="D33" t="str">
            <v>OPERATEUR ECONOMIQUE</v>
          </cell>
          <cell r="F33">
            <v>677575366</v>
          </cell>
          <cell r="H33" t="str">
            <v>ESSOS</v>
          </cell>
        </row>
        <row r="34">
          <cell r="A34" t="str">
            <v>AS201630</v>
          </cell>
          <cell r="B34">
            <v>30</v>
          </cell>
          <cell r="C34" t="str">
            <v>NKEPSEU HENANG RENE</v>
          </cell>
          <cell r="D34" t="str">
            <v>CADRE SONEL RETRAITE</v>
          </cell>
          <cell r="F34">
            <v>699843118</v>
          </cell>
          <cell r="H34" t="str">
            <v>BIYEM ASSI LYCEE</v>
          </cell>
        </row>
        <row r="35">
          <cell r="A35" t="str">
            <v>AS201631</v>
          </cell>
          <cell r="B35">
            <v>31</v>
          </cell>
          <cell r="C35" t="str">
            <v>NTEPDIE TUEMAC MZ</v>
          </cell>
          <cell r="D35" t="str">
            <v>OPERATEUR ECONOMIQUE</v>
          </cell>
          <cell r="F35">
            <v>677377251</v>
          </cell>
          <cell r="H35" t="str">
            <v>MONTEE JOUVENCE</v>
          </cell>
        </row>
        <row r="36">
          <cell r="A36" t="str">
            <v>AS201632</v>
          </cell>
          <cell r="B36">
            <v>32</v>
          </cell>
          <cell r="C36" t="str">
            <v>NTOMBOU ADOLPHE</v>
          </cell>
          <cell r="D36" t="str">
            <v xml:space="preserve">INGENIEUR </v>
          </cell>
          <cell r="F36">
            <v>677867173</v>
          </cell>
          <cell r="H36" t="str">
            <v>BIYEM ASSI LYCEE</v>
          </cell>
        </row>
        <row r="37">
          <cell r="A37" t="str">
            <v>AS201633</v>
          </cell>
          <cell r="B37">
            <v>33</v>
          </cell>
          <cell r="C37" t="str">
            <v>PATEGO NJOSSU GUSTAVE</v>
          </cell>
          <cell r="D37" t="str">
            <v>INGENIEUR T-P</v>
          </cell>
          <cell r="F37">
            <v>699995086</v>
          </cell>
          <cell r="H37" t="str">
            <v>EBOGO 1(SOA)</v>
          </cell>
        </row>
        <row r="38">
          <cell r="A38" t="str">
            <v>AS201634</v>
          </cell>
          <cell r="B38">
            <v>34</v>
          </cell>
          <cell r="C38" t="str">
            <v>SEUNOU RICHELOT</v>
          </cell>
          <cell r="D38" t="str">
            <v>OPERATEUR ECONOMIQUE</v>
          </cell>
          <cell r="F38">
            <v>677054646</v>
          </cell>
          <cell r="H38" t="str">
            <v>EMANA</v>
          </cell>
        </row>
        <row r="39">
          <cell r="A39" t="str">
            <v>AS201635</v>
          </cell>
          <cell r="B39">
            <v>35</v>
          </cell>
          <cell r="C39" t="str">
            <v>SIME ABEL</v>
          </cell>
          <cell r="D39" t="str">
            <v>OPERATEUR ECONOMIQUE</v>
          </cell>
          <cell r="F39">
            <v>699549665</v>
          </cell>
          <cell r="H39" t="str">
            <v>ELEVEUR</v>
          </cell>
        </row>
        <row r="40">
          <cell r="A40" t="str">
            <v>AS201636</v>
          </cell>
          <cell r="B40">
            <v>36</v>
          </cell>
          <cell r="C40" t="str">
            <v>SIMO FONGANG ERIC</v>
          </cell>
          <cell r="D40" t="str">
            <v>CADRE BANQUE</v>
          </cell>
          <cell r="F40">
            <v>699350133</v>
          </cell>
          <cell r="H40" t="str">
            <v>DAMAS</v>
          </cell>
        </row>
        <row r="41">
          <cell r="A41" t="str">
            <v>AS201637</v>
          </cell>
          <cell r="B41">
            <v>37</v>
          </cell>
          <cell r="C41" t="str">
            <v>SIME MATHIEU</v>
          </cell>
          <cell r="D41" t="str">
            <v>CHEF ENTREPRISE</v>
          </cell>
          <cell r="F41">
            <v>677477649</v>
          </cell>
          <cell r="H41" t="str">
            <v>PARC NATIONAL</v>
          </cell>
        </row>
        <row r="42">
          <cell r="A42" t="str">
            <v>AS201638</v>
          </cell>
          <cell r="B42">
            <v>38</v>
          </cell>
          <cell r="C42" t="str">
            <v>SIMO PIERRE</v>
          </cell>
          <cell r="D42" t="str">
            <v>TECHNICIEN DE SANTE RETRAITE</v>
          </cell>
          <cell r="F42">
            <v>677546060</v>
          </cell>
          <cell r="H42" t="str">
            <v>OYOMABANG</v>
          </cell>
        </row>
        <row r="43">
          <cell r="A43" t="str">
            <v>AS201639</v>
          </cell>
          <cell r="B43">
            <v>39</v>
          </cell>
          <cell r="C43" t="str">
            <v>NANGUEN MARTIN</v>
          </cell>
          <cell r="D43" t="str">
            <v>SECRETAIRE D'ADMINISTRATION</v>
          </cell>
          <cell r="F43">
            <v>677648306</v>
          </cell>
          <cell r="H43" t="str">
            <v>RUE MANGUIERS</v>
          </cell>
        </row>
        <row r="44">
          <cell r="A44" t="str">
            <v>AS201640</v>
          </cell>
          <cell r="B44">
            <v>40</v>
          </cell>
          <cell r="C44" t="str">
            <v>TCHOUAMOU JEAN PAUL</v>
          </cell>
          <cell r="D44" t="str">
            <v>CADRE CNPS</v>
          </cell>
          <cell r="F44">
            <v>677780149</v>
          </cell>
          <cell r="H44" t="str">
            <v>MESSASSI</v>
          </cell>
        </row>
        <row r="45">
          <cell r="A45" t="str">
            <v>AS201641</v>
          </cell>
          <cell r="B45">
            <v>41</v>
          </cell>
          <cell r="C45" t="str">
            <v>TCHOUAMOU MATHIEU</v>
          </cell>
          <cell r="D45" t="str">
            <v>OFFICIER SUPERIEUR</v>
          </cell>
          <cell r="F45">
            <v>699778906</v>
          </cell>
          <cell r="H45" t="str">
            <v>MENDONG</v>
          </cell>
        </row>
        <row r="46">
          <cell r="A46" t="str">
            <v>AS201642</v>
          </cell>
          <cell r="B46">
            <v>42</v>
          </cell>
          <cell r="C46" t="str">
            <v>TCHOUANTE FRANCOIS</v>
          </cell>
          <cell r="D46" t="str">
            <v>ENSEIGNANT</v>
          </cell>
          <cell r="F46">
            <v>678639806</v>
          </cell>
          <cell r="H46" t="str">
            <v>MENDONG</v>
          </cell>
        </row>
        <row r="47">
          <cell r="A47" t="str">
            <v>AS201643</v>
          </cell>
          <cell r="B47">
            <v>43</v>
          </cell>
          <cell r="C47" t="str">
            <v>TCHOUTOU NANA CLAUDE</v>
          </cell>
          <cell r="D47" t="str">
            <v>OPERATEUR ECONOMIQUE</v>
          </cell>
          <cell r="F47">
            <v>677775940</v>
          </cell>
          <cell r="H47" t="str">
            <v>NKOL FOULOU</v>
          </cell>
        </row>
        <row r="48">
          <cell r="A48" t="str">
            <v>AS201644</v>
          </cell>
          <cell r="B48">
            <v>44</v>
          </cell>
          <cell r="C48" t="str">
            <v>TIEYAM ERNEST</v>
          </cell>
          <cell r="D48" t="str">
            <v>INGENIEUR ELECTRONICIEN</v>
          </cell>
          <cell r="F48">
            <v>677508603</v>
          </cell>
          <cell r="H48" t="str">
            <v>BASTOS</v>
          </cell>
        </row>
        <row r="49">
          <cell r="A49" t="str">
            <v>AS201645</v>
          </cell>
          <cell r="B49">
            <v>45</v>
          </cell>
          <cell r="C49" t="str">
            <v>TUGMA PIERRE LOTI</v>
          </cell>
          <cell r="D49" t="str">
            <v>PROFESSEUR DES LYCEES RETRAITE</v>
          </cell>
          <cell r="F49">
            <v>677726329</v>
          </cell>
          <cell r="H49" t="str">
            <v>BIYEM ASSI LYCEE</v>
          </cell>
        </row>
        <row r="50">
          <cell r="A50" t="str">
            <v>AS201646</v>
          </cell>
          <cell r="B50">
            <v>46</v>
          </cell>
          <cell r="C50" t="str">
            <v>YEPMOU JEAN JACQUES</v>
          </cell>
          <cell r="D50" t="str">
            <v>ADMINISTRATEUR CIVIL</v>
          </cell>
          <cell r="F50">
            <v>699663416</v>
          </cell>
          <cell r="H50" t="str">
            <v>MENDONG (NKOLZIE)</v>
          </cell>
        </row>
        <row r="51">
          <cell r="A51" t="str">
            <v>AS201647</v>
          </cell>
          <cell r="B51">
            <v>47</v>
          </cell>
          <cell r="C51" t="str">
            <v>YOUMBI EMMANUEL</v>
          </cell>
          <cell r="D51" t="str">
            <v>PROFESSEUR DES UNIVERSITES</v>
          </cell>
          <cell r="F51">
            <v>677547311</v>
          </cell>
          <cell r="H51" t="str">
            <v>MENDONG (GUINNESS)</v>
          </cell>
        </row>
        <row r="52">
          <cell r="A52" t="str">
            <v>AS201648</v>
          </cell>
          <cell r="B52">
            <v>48</v>
          </cell>
          <cell r="C52" t="str">
            <v>ASELBY</v>
          </cell>
          <cell r="D52" t="str">
            <v>ASSOCIATION DES ELITES BANGOU DE YAOUNDE</v>
          </cell>
        </row>
        <row r="53">
          <cell r="A53" t="str">
            <v>AS201649</v>
          </cell>
          <cell r="B53">
            <v>49</v>
          </cell>
          <cell r="C53" t="str">
            <v>MBOGNING TUGMA GUY</v>
          </cell>
          <cell r="D53" t="str">
            <v>TECHNICIEN D'ELEVAGE</v>
          </cell>
          <cell r="F53">
            <v>694452000</v>
          </cell>
          <cell r="H53" t="str">
            <v xml:space="preserve">NSIMEYONG </v>
          </cell>
        </row>
        <row r="54">
          <cell r="A54" t="str">
            <v>AS201650</v>
          </cell>
          <cell r="B54">
            <v>50</v>
          </cell>
          <cell r="C54" t="str">
            <v>DJOMO DOMO</v>
          </cell>
        </row>
        <row r="55">
          <cell r="A55" t="str">
            <v>AS201651</v>
          </cell>
          <cell r="B55">
            <v>51</v>
          </cell>
          <cell r="C55" t="str">
            <v>DOMOU FABIEN</v>
          </cell>
        </row>
        <row r="56">
          <cell r="A56" t="str">
            <v>AS201652</v>
          </cell>
          <cell r="B56">
            <v>52</v>
          </cell>
          <cell r="C56" t="str">
            <v>NGANHOU JEAN</v>
          </cell>
        </row>
        <row r="57">
          <cell r="A57" t="str">
            <v>AS201653</v>
          </cell>
          <cell r="B57">
            <v>53</v>
          </cell>
          <cell r="C57" t="str">
            <v>SIME BRICE</v>
          </cell>
        </row>
        <row r="58">
          <cell r="A58" t="str">
            <v>AS201654</v>
          </cell>
          <cell r="B58">
            <v>54</v>
          </cell>
          <cell r="C58" t="str">
            <v>DJOMOU TCHANDA</v>
          </cell>
        </row>
        <row r="59">
          <cell r="A59" t="str">
            <v>AS201655</v>
          </cell>
          <cell r="B59">
            <v>55</v>
          </cell>
          <cell r="C59" t="str">
            <v>TCHEMHOU EMMANUEL</v>
          </cell>
        </row>
        <row r="60">
          <cell r="A60" t="str">
            <v>AS201656</v>
          </cell>
          <cell r="B60">
            <v>56</v>
          </cell>
          <cell r="C60" t="str">
            <v>AUTRES ADHERENT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MODET25000"/>
      <sheetName val="MVTDEC20_21"/>
      <sheetName val="MVTJANV21"/>
      <sheetName val="MVTFEV21"/>
      <sheetName val="MVTMARS21"/>
      <sheetName val="MVTAVRIL21"/>
      <sheetName val="MVTMAI21"/>
      <sheetName val="MVTJUIN21"/>
      <sheetName val="MVTJUIL21"/>
      <sheetName val="MVTAOUT21"/>
      <sheetName val="MVTSEPT21"/>
      <sheetName val="MVTOCT21"/>
      <sheetName val="MVTNOV21"/>
      <sheetName val="MVTDEC21"/>
      <sheetName val="MVTRESUME21"/>
      <sheetName val="MVTREPARTITION"/>
      <sheetName val="MVTREPARTITION2021"/>
      <sheetName val="MVTREPARTITIONEDIT (2)"/>
      <sheetName val="CPTECHINGUE"/>
      <sheetName val="CPTEKEHEPDAVID)"/>
      <sheetName val="CPTEKOUAMOEMMANUEL"/>
      <sheetName val="CPTETCHOUANTE"/>
      <sheetName val="CPTENJEPDJIO"/>
      <sheetName val="CPTETCHOUTOU"/>
      <sheetName val="CPTETYAMERNEST"/>
      <sheetName val="CPTEFOGANGERIC"/>
      <sheetName val="CPTEFOTSOTHOMAS"/>
      <sheetName val="VP KOUAMOPEGUY"/>
      <sheetName val="SITUATION KEPSEU"/>
      <sheetName val="BAKOPACHILLE"/>
      <sheetName val="Feuil1"/>
      <sheetName val="MVTRESUMEEDIT2019"/>
      <sheetName val="MVTRESUME2019"/>
      <sheetName val="MVTRESUMETAB"/>
      <sheetName val="MVTRESUME20BACKUP"/>
      <sheetName val="GESTTRESORERIE"/>
      <sheetName val="MVTJANV212"/>
    </sheetNames>
    <sheetDataSet>
      <sheetData sheetId="0"/>
      <sheetData sheetId="1"/>
      <sheetData sheetId="2">
        <row r="54">
          <cell r="R54">
            <v>23720812</v>
          </cell>
        </row>
      </sheetData>
      <sheetData sheetId="3">
        <row r="42">
          <cell r="K42">
            <v>228000</v>
          </cell>
        </row>
      </sheetData>
      <sheetData sheetId="4">
        <row r="42">
          <cell r="K42">
            <v>185500</v>
          </cell>
        </row>
      </sheetData>
      <sheetData sheetId="5">
        <row r="42">
          <cell r="K42">
            <v>172500</v>
          </cell>
        </row>
      </sheetData>
      <sheetData sheetId="6">
        <row r="42">
          <cell r="K42">
            <v>178000</v>
          </cell>
        </row>
      </sheetData>
      <sheetData sheetId="7">
        <row r="42">
          <cell r="K42">
            <v>153500</v>
          </cell>
        </row>
      </sheetData>
      <sheetData sheetId="8">
        <row r="42">
          <cell r="K42">
            <v>205000</v>
          </cell>
        </row>
      </sheetData>
      <sheetData sheetId="9">
        <row r="42">
          <cell r="K42">
            <v>181000</v>
          </cell>
        </row>
      </sheetData>
      <sheetData sheetId="10">
        <row r="42">
          <cell r="K42">
            <v>175500</v>
          </cell>
        </row>
      </sheetData>
      <sheetData sheetId="11">
        <row r="42">
          <cell r="K42">
            <v>181000</v>
          </cell>
        </row>
      </sheetData>
      <sheetData sheetId="12">
        <row r="42">
          <cell r="K42">
            <v>156500</v>
          </cell>
        </row>
      </sheetData>
      <sheetData sheetId="13">
        <row r="42">
          <cell r="K42">
            <v>180500</v>
          </cell>
        </row>
      </sheetData>
      <sheetData sheetId="14">
        <row r="42">
          <cell r="K42">
            <v>78000</v>
          </cell>
        </row>
      </sheetData>
      <sheetData sheetId="15">
        <row r="6">
          <cell r="G6">
            <v>33346.653120335119</v>
          </cell>
        </row>
        <row r="7">
          <cell r="G7">
            <v>31301.417835589087</v>
          </cell>
          <cell r="K7">
            <v>36000</v>
          </cell>
        </row>
        <row r="8">
          <cell r="G8">
            <v>31939.710429565836</v>
          </cell>
          <cell r="K8">
            <v>91000</v>
          </cell>
        </row>
        <row r="9">
          <cell r="G9">
            <v>0</v>
          </cell>
          <cell r="K9">
            <v>58000</v>
          </cell>
        </row>
        <row r="10">
          <cell r="G10">
            <v>44576.675349558085</v>
          </cell>
          <cell r="K10">
            <v>72500</v>
          </cell>
        </row>
        <row r="11">
          <cell r="G11">
            <v>31958.521137862837</v>
          </cell>
          <cell r="K11">
            <v>49000</v>
          </cell>
        </row>
        <row r="12">
          <cell r="G12">
            <v>31667.865575238462</v>
          </cell>
          <cell r="K12">
            <v>36000</v>
          </cell>
        </row>
        <row r="13">
          <cell r="G13">
            <v>50065.118488239867</v>
          </cell>
          <cell r="K13">
            <v>83000</v>
          </cell>
        </row>
        <row r="14">
          <cell r="G14">
            <v>31044.674303605858</v>
          </cell>
          <cell r="K14">
            <v>3000</v>
          </cell>
        </row>
        <row r="15">
          <cell r="G15">
            <v>40681.048363639871</v>
          </cell>
          <cell r="K15">
            <v>36000</v>
          </cell>
        </row>
        <row r="16">
          <cell r="G16">
            <v>58230.953117494268</v>
          </cell>
          <cell r="K16">
            <v>526000</v>
          </cell>
        </row>
        <row r="17">
          <cell r="G17">
            <v>31846.233591436034</v>
          </cell>
          <cell r="K17">
            <v>36500</v>
          </cell>
        </row>
        <row r="18">
          <cell r="G18">
            <v>31752.199646050063</v>
          </cell>
          <cell r="K18">
            <v>46000</v>
          </cell>
        </row>
        <row r="19">
          <cell r="G19">
            <v>31552.677145196445</v>
          </cell>
          <cell r="K19">
            <v>36000</v>
          </cell>
        </row>
        <row r="20">
          <cell r="G20">
            <v>31533.349485464423</v>
          </cell>
          <cell r="K20">
            <v>41000</v>
          </cell>
        </row>
        <row r="21">
          <cell r="G21">
            <v>38916.397492550284</v>
          </cell>
          <cell r="K21">
            <v>33000</v>
          </cell>
        </row>
        <row r="22">
          <cell r="G22">
            <v>35883.955387411595</v>
          </cell>
          <cell r="K22">
            <v>36000</v>
          </cell>
        </row>
        <row r="23">
          <cell r="G23">
            <v>35674.988142283801</v>
          </cell>
          <cell r="K23">
            <v>110500</v>
          </cell>
        </row>
        <row r="24">
          <cell r="G24">
            <v>32293.983072666186</v>
          </cell>
          <cell r="K24">
            <v>140500</v>
          </cell>
        </row>
        <row r="25">
          <cell r="G25">
            <v>33140.351097833765</v>
          </cell>
          <cell r="K25">
            <v>41000</v>
          </cell>
        </row>
        <row r="26">
          <cell r="G26">
            <v>31639.85037486178</v>
          </cell>
          <cell r="K26">
            <v>46000</v>
          </cell>
        </row>
        <row r="27">
          <cell r="G27">
            <v>31048.960660805504</v>
          </cell>
          <cell r="K27">
            <v>0</v>
          </cell>
        </row>
        <row r="28">
          <cell r="G28">
            <v>37092.729247862568</v>
          </cell>
          <cell r="K28">
            <v>111000</v>
          </cell>
        </row>
        <row r="29">
          <cell r="G29">
            <v>44373.780842596141</v>
          </cell>
          <cell r="K29">
            <v>36000</v>
          </cell>
        </row>
        <row r="30">
          <cell r="G30">
            <v>40706.882392093758</v>
          </cell>
          <cell r="K30">
            <v>175000</v>
          </cell>
        </row>
        <row r="32">
          <cell r="G32">
            <v>34199.091361451945</v>
          </cell>
          <cell r="K32">
            <v>0</v>
          </cell>
        </row>
        <row r="33">
          <cell r="G33">
            <v>36345.297687739221</v>
          </cell>
          <cell r="K33">
            <v>171000</v>
          </cell>
        </row>
        <row r="35">
          <cell r="G35">
            <v>31647.902058350406</v>
          </cell>
          <cell r="K35">
            <v>41000</v>
          </cell>
        </row>
        <row r="36">
          <cell r="G36">
            <v>31077.797029228641</v>
          </cell>
          <cell r="K36">
            <v>0</v>
          </cell>
        </row>
        <row r="37">
          <cell r="G37">
            <v>75110.157269601055</v>
          </cell>
          <cell r="K37">
            <v>41000</v>
          </cell>
        </row>
        <row r="38">
          <cell r="G38">
            <v>192412.46086191741</v>
          </cell>
          <cell r="K38">
            <v>36000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MODEVERSEMENT"/>
      <sheetName val="MODEPAID"/>
      <sheetName val="TONTAVRIL"/>
      <sheetName val="TONTMAI"/>
      <sheetName val="TONTJUIN"/>
      <sheetName val="TONTJUIL"/>
      <sheetName val="TONTAOUT"/>
      <sheetName val="TONTSEPT"/>
      <sheetName val="TONTOCT"/>
      <sheetName val="TONTNOV"/>
      <sheetName val="TONTDEC"/>
      <sheetName val="TONTJANV"/>
      <sheetName val="TONTFEV"/>
      <sheetName val="TONTMARS"/>
      <sheetName val="TONTAVRIL2019"/>
      <sheetName val="TONTMAI2019"/>
      <sheetName val="TONTJUIN2019"/>
      <sheetName val="TONTRESUM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">
          <cell r="M6">
            <v>336000</v>
          </cell>
        </row>
        <row r="32">
          <cell r="M32">
            <v>16000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RESUMETONTINE"/>
      <sheetName val="TONTOCT (2)"/>
    </sheetNames>
    <sheetDataSet>
      <sheetData sheetId="0"/>
      <sheetData sheetId="1">
        <row r="59">
          <cell r="E59">
            <v>90000</v>
          </cell>
          <cell r="K59">
            <v>0</v>
          </cell>
        </row>
        <row r="60">
          <cell r="E60">
            <v>180000</v>
          </cell>
          <cell r="K60">
            <v>113500</v>
          </cell>
        </row>
      </sheetData>
      <sheetData sheetId="2">
        <row r="59">
          <cell r="E59">
            <v>60000</v>
          </cell>
          <cell r="K59">
            <v>0</v>
          </cell>
        </row>
        <row r="60">
          <cell r="E60">
            <v>220000</v>
          </cell>
          <cell r="K60">
            <v>116000</v>
          </cell>
        </row>
      </sheetData>
      <sheetData sheetId="3">
        <row r="59">
          <cell r="E59">
            <v>40000</v>
          </cell>
          <cell r="K59">
            <v>0</v>
          </cell>
        </row>
        <row r="60">
          <cell r="E60">
            <v>230000</v>
          </cell>
          <cell r="K60">
            <v>238000</v>
          </cell>
        </row>
      </sheetData>
      <sheetData sheetId="4">
        <row r="59">
          <cell r="E59">
            <v>70000</v>
          </cell>
          <cell r="K59">
            <v>0</v>
          </cell>
        </row>
        <row r="60">
          <cell r="E60">
            <v>200000</v>
          </cell>
          <cell r="K60">
            <v>119000</v>
          </cell>
        </row>
      </sheetData>
      <sheetData sheetId="5">
        <row r="59">
          <cell r="E59">
            <v>40000</v>
          </cell>
          <cell r="K59">
            <v>0</v>
          </cell>
        </row>
        <row r="60">
          <cell r="E60">
            <v>230000</v>
          </cell>
          <cell r="K60">
            <v>238000</v>
          </cell>
        </row>
      </sheetData>
      <sheetData sheetId="6">
        <row r="59">
          <cell r="E59">
            <v>60000</v>
          </cell>
          <cell r="K59">
            <v>0</v>
          </cell>
        </row>
        <row r="60">
          <cell r="E60">
            <v>220000</v>
          </cell>
          <cell r="K60">
            <v>0</v>
          </cell>
        </row>
      </sheetData>
      <sheetData sheetId="7">
        <row r="59">
          <cell r="E59">
            <v>80000</v>
          </cell>
          <cell r="K59">
            <v>0</v>
          </cell>
        </row>
        <row r="60">
          <cell r="E60">
            <v>190000</v>
          </cell>
          <cell r="K60">
            <v>238000</v>
          </cell>
        </row>
      </sheetData>
      <sheetData sheetId="8">
        <row r="59">
          <cell r="E59">
            <v>70000</v>
          </cell>
          <cell r="K59">
            <v>0</v>
          </cell>
        </row>
        <row r="60">
          <cell r="E60">
            <v>200000</v>
          </cell>
          <cell r="K60">
            <v>0</v>
          </cell>
        </row>
      </sheetData>
      <sheetData sheetId="9">
        <row r="59">
          <cell r="E59">
            <v>80000</v>
          </cell>
          <cell r="K59">
            <v>0</v>
          </cell>
        </row>
        <row r="60">
          <cell r="E60">
            <v>170000</v>
          </cell>
          <cell r="K60">
            <v>0</v>
          </cell>
        </row>
      </sheetData>
      <sheetData sheetId="10">
        <row r="59">
          <cell r="E59">
            <v>80000</v>
          </cell>
          <cell r="K59">
            <v>0</v>
          </cell>
        </row>
        <row r="60">
          <cell r="E60">
            <v>170000</v>
          </cell>
          <cell r="K60">
            <v>0</v>
          </cell>
        </row>
      </sheetData>
      <sheetData sheetId="11">
        <row r="59">
          <cell r="E59">
            <v>60000</v>
          </cell>
          <cell r="K59">
            <v>0</v>
          </cell>
        </row>
        <row r="60">
          <cell r="E60">
            <v>180000</v>
          </cell>
          <cell r="K60">
            <v>476000</v>
          </cell>
        </row>
      </sheetData>
      <sheetData sheetId="12">
        <row r="59">
          <cell r="E59">
            <v>60000</v>
          </cell>
          <cell r="K59">
            <v>0</v>
          </cell>
        </row>
        <row r="60">
          <cell r="E60">
            <v>160000</v>
          </cell>
          <cell r="K60">
            <v>714000</v>
          </cell>
        </row>
      </sheetData>
      <sheetData sheetId="13">
        <row r="6">
          <cell r="A6" t="str">
            <v>AR202001</v>
          </cell>
        </row>
      </sheetData>
      <sheetData sheetId="14"/>
      <sheetData sheetId="15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48">
          <cell r="E48">
            <v>180000</v>
          </cell>
          <cell r="K48">
            <v>0</v>
          </cell>
        </row>
        <row r="49">
          <cell r="E49">
            <v>380000</v>
          </cell>
          <cell r="K49">
            <v>225000</v>
          </cell>
        </row>
      </sheetData>
      <sheetData sheetId="2">
        <row r="48">
          <cell r="E48">
            <v>80000</v>
          </cell>
          <cell r="K48">
            <v>0</v>
          </cell>
        </row>
        <row r="49">
          <cell r="E49">
            <v>500000</v>
          </cell>
          <cell r="K49">
            <v>476000</v>
          </cell>
        </row>
      </sheetData>
      <sheetData sheetId="3">
        <row r="48">
          <cell r="E48">
            <v>40000</v>
          </cell>
          <cell r="K48">
            <v>0</v>
          </cell>
        </row>
        <row r="49">
          <cell r="E49">
            <v>520000</v>
          </cell>
          <cell r="K49">
            <v>714000</v>
          </cell>
        </row>
      </sheetData>
      <sheetData sheetId="4">
        <row r="48">
          <cell r="E48">
            <v>80000</v>
          </cell>
          <cell r="K48">
            <v>0</v>
          </cell>
        </row>
        <row r="49">
          <cell r="E49">
            <v>460000</v>
          </cell>
          <cell r="K49">
            <v>238000</v>
          </cell>
        </row>
      </sheetData>
      <sheetData sheetId="5">
        <row r="48">
          <cell r="E48">
            <v>60000</v>
          </cell>
          <cell r="K48">
            <v>0</v>
          </cell>
        </row>
        <row r="49">
          <cell r="E49">
            <v>500000</v>
          </cell>
          <cell r="K49">
            <v>475000</v>
          </cell>
        </row>
      </sheetData>
      <sheetData sheetId="6">
        <row r="48">
          <cell r="E48">
            <v>120000</v>
          </cell>
          <cell r="K48">
            <v>0</v>
          </cell>
        </row>
        <row r="49">
          <cell r="E49">
            <v>420000</v>
          </cell>
          <cell r="K49">
            <v>476000</v>
          </cell>
        </row>
      </sheetData>
      <sheetData sheetId="7">
        <row r="48">
          <cell r="E48">
            <v>140000</v>
          </cell>
          <cell r="K48">
            <v>0</v>
          </cell>
        </row>
        <row r="49">
          <cell r="E49">
            <v>420000</v>
          </cell>
          <cell r="K49">
            <v>476000</v>
          </cell>
        </row>
      </sheetData>
      <sheetData sheetId="8">
        <row r="48">
          <cell r="E48">
            <v>180000</v>
          </cell>
          <cell r="K48">
            <v>0</v>
          </cell>
        </row>
        <row r="49">
          <cell r="E49">
            <v>380000</v>
          </cell>
          <cell r="K49">
            <v>0</v>
          </cell>
        </row>
      </sheetData>
      <sheetData sheetId="9">
        <row r="48">
          <cell r="E48">
            <v>140000</v>
          </cell>
          <cell r="K48">
            <v>0</v>
          </cell>
        </row>
        <row r="49">
          <cell r="E49">
            <v>380000</v>
          </cell>
          <cell r="K49">
            <v>238000</v>
          </cell>
        </row>
      </sheetData>
      <sheetData sheetId="10">
        <row r="48">
          <cell r="E48">
            <v>140000</v>
          </cell>
          <cell r="K48">
            <v>0</v>
          </cell>
        </row>
        <row r="49">
          <cell r="E49">
            <v>400000</v>
          </cell>
          <cell r="K49">
            <v>1428000</v>
          </cell>
        </row>
      </sheetData>
      <sheetData sheetId="11">
        <row r="48">
          <cell r="E48">
            <v>160000</v>
          </cell>
          <cell r="K48">
            <v>0</v>
          </cell>
        </row>
        <row r="49">
          <cell r="E49">
            <v>360000</v>
          </cell>
          <cell r="K49">
            <v>237000</v>
          </cell>
        </row>
      </sheetData>
      <sheetData sheetId="12">
        <row r="48">
          <cell r="E48">
            <v>80000</v>
          </cell>
          <cell r="K48">
            <v>0</v>
          </cell>
        </row>
        <row r="49">
          <cell r="E49">
            <v>360000</v>
          </cell>
          <cell r="K49">
            <v>1426000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37">
          <cell r="E37">
            <v>120000</v>
          </cell>
          <cell r="K37">
            <v>0</v>
          </cell>
        </row>
        <row r="38">
          <cell r="E38">
            <v>360000</v>
          </cell>
          <cell r="K38">
            <v>345000</v>
          </cell>
        </row>
      </sheetData>
      <sheetData sheetId="2">
        <row r="37">
          <cell r="E37">
            <v>90000</v>
          </cell>
          <cell r="K37">
            <v>0</v>
          </cell>
        </row>
        <row r="38">
          <cell r="E38">
            <v>390000</v>
          </cell>
          <cell r="K38">
            <v>357000</v>
          </cell>
        </row>
      </sheetData>
      <sheetData sheetId="3">
        <row r="37">
          <cell r="E37">
            <v>60000</v>
          </cell>
          <cell r="K37">
            <v>0</v>
          </cell>
        </row>
        <row r="38">
          <cell r="E38">
            <v>420000</v>
          </cell>
          <cell r="K38">
            <v>661000</v>
          </cell>
        </row>
      </sheetData>
      <sheetData sheetId="4">
        <row r="37">
          <cell r="E37">
            <v>60000</v>
          </cell>
          <cell r="K37">
            <v>0</v>
          </cell>
        </row>
        <row r="38">
          <cell r="E38">
            <v>420000</v>
          </cell>
          <cell r="K38">
            <v>342000</v>
          </cell>
        </row>
      </sheetData>
      <sheetData sheetId="5">
        <row r="37">
          <cell r="E37">
            <v>90000</v>
          </cell>
          <cell r="K37">
            <v>0</v>
          </cell>
        </row>
        <row r="38">
          <cell r="E38">
            <v>360000</v>
          </cell>
          <cell r="K38">
            <v>342000</v>
          </cell>
        </row>
      </sheetData>
      <sheetData sheetId="6">
        <row r="37">
          <cell r="E37">
            <v>90000</v>
          </cell>
          <cell r="K37">
            <v>0</v>
          </cell>
        </row>
        <row r="38">
          <cell r="E38">
            <v>390000</v>
          </cell>
          <cell r="K38">
            <v>357000</v>
          </cell>
        </row>
      </sheetData>
      <sheetData sheetId="7">
        <row r="37">
          <cell r="E37">
            <v>150000</v>
          </cell>
          <cell r="K37">
            <v>0</v>
          </cell>
        </row>
        <row r="38">
          <cell r="E38">
            <v>270000</v>
          </cell>
          <cell r="K38">
            <v>0</v>
          </cell>
        </row>
      </sheetData>
      <sheetData sheetId="8">
        <row r="37">
          <cell r="E37">
            <v>180000</v>
          </cell>
          <cell r="K37">
            <v>0</v>
          </cell>
        </row>
        <row r="38">
          <cell r="E38">
            <v>270000</v>
          </cell>
          <cell r="K38">
            <v>357000</v>
          </cell>
        </row>
      </sheetData>
      <sheetData sheetId="9">
        <row r="37">
          <cell r="E37">
            <v>120000</v>
          </cell>
          <cell r="K37">
            <v>0</v>
          </cell>
        </row>
        <row r="38">
          <cell r="E38">
            <v>330000</v>
          </cell>
          <cell r="K38">
            <v>0</v>
          </cell>
        </row>
      </sheetData>
      <sheetData sheetId="10">
        <row r="37">
          <cell r="E37">
            <v>120000</v>
          </cell>
          <cell r="K37">
            <v>0</v>
          </cell>
        </row>
        <row r="38">
          <cell r="E38">
            <v>300000</v>
          </cell>
          <cell r="K38">
            <v>357000</v>
          </cell>
        </row>
      </sheetData>
      <sheetData sheetId="11">
        <row r="37">
          <cell r="E37">
            <v>120000</v>
          </cell>
          <cell r="K37">
            <v>0</v>
          </cell>
        </row>
        <row r="38">
          <cell r="E38">
            <v>330000</v>
          </cell>
          <cell r="K38">
            <v>714000</v>
          </cell>
        </row>
      </sheetData>
      <sheetData sheetId="12">
        <row r="37">
          <cell r="E37">
            <v>60000</v>
          </cell>
          <cell r="K37">
            <v>0</v>
          </cell>
        </row>
        <row r="38">
          <cell r="E38">
            <v>300000</v>
          </cell>
          <cell r="K38">
            <v>1071000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</sheetNames>
    <sheetDataSet>
      <sheetData sheetId="0"/>
      <sheetData sheetId="1">
        <row r="43">
          <cell r="E43">
            <v>300000</v>
          </cell>
          <cell r="K43">
            <v>0</v>
          </cell>
        </row>
        <row r="44">
          <cell r="E44">
            <v>950000</v>
          </cell>
          <cell r="K44">
            <v>557500</v>
          </cell>
        </row>
      </sheetData>
      <sheetData sheetId="2">
        <row r="43">
          <cell r="E43">
            <v>150000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3">
        <row r="43">
          <cell r="E43">
            <v>50000</v>
          </cell>
          <cell r="K43">
            <v>0</v>
          </cell>
        </row>
        <row r="44">
          <cell r="E44">
            <v>1200000</v>
          </cell>
          <cell r="K44">
            <v>1190000</v>
          </cell>
        </row>
      </sheetData>
      <sheetData sheetId="4">
        <row r="43">
          <cell r="E43">
            <v>150000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5">
        <row r="43">
          <cell r="E43">
            <v>100000</v>
          </cell>
          <cell r="K43">
            <v>0</v>
          </cell>
        </row>
        <row r="44">
          <cell r="E44">
            <v>1100000</v>
          </cell>
          <cell r="K44">
            <v>0</v>
          </cell>
        </row>
      </sheetData>
      <sheetData sheetId="6">
        <row r="43">
          <cell r="E43">
            <v>100000</v>
          </cell>
          <cell r="K43">
            <v>0</v>
          </cell>
        </row>
        <row r="44">
          <cell r="E44">
            <v>1100000</v>
          </cell>
          <cell r="K44">
            <v>595000</v>
          </cell>
        </row>
      </sheetData>
      <sheetData sheetId="7">
        <row r="43">
          <cell r="E43">
            <v>150000</v>
          </cell>
          <cell r="K43">
            <v>0</v>
          </cell>
        </row>
        <row r="44">
          <cell r="E44">
            <v>1050000</v>
          </cell>
          <cell r="K44">
            <v>1710000</v>
          </cell>
        </row>
      </sheetData>
      <sheetData sheetId="8">
        <row r="43">
          <cell r="E43">
            <v>150000</v>
          </cell>
          <cell r="K43">
            <v>0</v>
          </cell>
        </row>
        <row r="44">
          <cell r="E44">
            <v>1050000</v>
          </cell>
          <cell r="K44">
            <v>0</v>
          </cell>
        </row>
      </sheetData>
      <sheetData sheetId="9">
        <row r="43">
          <cell r="E43">
            <v>250000</v>
          </cell>
          <cell r="K43">
            <v>0</v>
          </cell>
        </row>
        <row r="44">
          <cell r="E44">
            <v>1000000</v>
          </cell>
          <cell r="K44">
            <v>595000</v>
          </cell>
        </row>
      </sheetData>
      <sheetData sheetId="10">
        <row r="43">
          <cell r="E43">
            <v>200000</v>
          </cell>
          <cell r="K43">
            <v>0</v>
          </cell>
        </row>
        <row r="44">
          <cell r="E44">
            <v>1050000</v>
          </cell>
          <cell r="K44">
            <v>2380000</v>
          </cell>
        </row>
      </sheetData>
      <sheetData sheetId="11">
        <row r="43">
          <cell r="E43">
            <v>200000</v>
          </cell>
          <cell r="K43">
            <v>0</v>
          </cell>
        </row>
        <row r="44">
          <cell r="E44">
            <v>1050000</v>
          </cell>
          <cell r="K44">
            <v>1780000</v>
          </cell>
        </row>
      </sheetData>
      <sheetData sheetId="12">
        <row r="43">
          <cell r="E43">
            <v>100000</v>
          </cell>
          <cell r="K43">
            <v>0</v>
          </cell>
        </row>
        <row r="44">
          <cell r="E44">
            <v>1000000</v>
          </cell>
          <cell r="K44">
            <v>2975000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TONTOCT (2)"/>
      <sheetName val="TONTOCT (3)"/>
    </sheetNames>
    <sheetDataSet>
      <sheetData sheetId="0"/>
      <sheetData sheetId="1">
        <row r="31">
          <cell r="E31">
            <v>200000</v>
          </cell>
          <cell r="K31">
            <v>0</v>
          </cell>
        </row>
        <row r="32">
          <cell r="E32">
            <v>1100000</v>
          </cell>
          <cell r="K32">
            <v>1110000</v>
          </cell>
        </row>
      </sheetData>
      <sheetData sheetId="2">
        <row r="31">
          <cell r="E31">
            <v>100000</v>
          </cell>
        </row>
      </sheetData>
      <sheetData sheetId="3">
        <row r="31">
          <cell r="E31">
            <v>200000</v>
          </cell>
        </row>
      </sheetData>
      <sheetData sheetId="4">
        <row r="31">
          <cell r="E31">
            <v>200000</v>
          </cell>
        </row>
      </sheetData>
      <sheetData sheetId="5">
        <row r="31">
          <cell r="E31">
            <v>200000</v>
          </cell>
        </row>
      </sheetData>
      <sheetData sheetId="6">
        <row r="31">
          <cell r="E31">
            <v>300000</v>
          </cell>
        </row>
      </sheetData>
      <sheetData sheetId="7">
        <row r="31">
          <cell r="E31">
            <v>300000</v>
          </cell>
        </row>
      </sheetData>
      <sheetData sheetId="8">
        <row r="31">
          <cell r="E31">
            <v>200000</v>
          </cell>
        </row>
      </sheetData>
      <sheetData sheetId="9">
        <row r="31">
          <cell r="E31">
            <v>200000</v>
          </cell>
        </row>
      </sheetData>
      <sheetData sheetId="10">
        <row r="31">
          <cell r="E31">
            <v>200000</v>
          </cell>
        </row>
      </sheetData>
      <sheetData sheetId="11">
        <row r="31">
          <cell r="E31">
            <v>200000</v>
          </cell>
        </row>
      </sheetData>
      <sheetData sheetId="12">
        <row r="31">
          <cell r="E31">
            <v>400000</v>
          </cell>
        </row>
      </sheetData>
      <sheetData sheetId="13">
        <row r="6">
          <cell r="A6" t="str">
            <v>AR202001</v>
          </cell>
        </row>
      </sheetData>
      <sheetData sheetId="14"/>
      <sheetData sheetId="15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"/>
      <sheetName val="TONTFEV"/>
      <sheetName val="TONTMARS"/>
      <sheetName val="TONTAVRIL"/>
      <sheetName val="TONTMAI"/>
      <sheetName val="TONTJUIN"/>
      <sheetName val="TONTJUIL"/>
      <sheetName val="TONTAOUT"/>
      <sheetName val="TONTSEPT"/>
      <sheetName val="TONTOCT"/>
      <sheetName val="TONTNOV20"/>
      <sheetName val="TONTDEC20"/>
      <sheetName val="TONTRESUME"/>
      <sheetName val="GESTIONINTERET"/>
    </sheetNames>
    <sheetDataSet>
      <sheetData sheetId="0">
        <row r="1">
          <cell r="A1" t="str">
            <v>BANQUE</v>
          </cell>
        </row>
      </sheetData>
      <sheetData sheetId="1">
        <row r="34">
          <cell r="E34">
            <v>600000</v>
          </cell>
          <cell r="K34">
            <v>0</v>
          </cell>
        </row>
        <row r="35">
          <cell r="E35">
            <v>1950000</v>
          </cell>
          <cell r="K35">
            <v>1685000</v>
          </cell>
        </row>
      </sheetData>
      <sheetData sheetId="2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1685000</v>
          </cell>
        </row>
      </sheetData>
      <sheetData sheetId="3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3565000</v>
          </cell>
        </row>
      </sheetData>
      <sheetData sheetId="4">
        <row r="34">
          <cell r="E34">
            <v>450000</v>
          </cell>
          <cell r="K34">
            <v>0</v>
          </cell>
        </row>
        <row r="35">
          <cell r="E35">
            <v>2100000</v>
          </cell>
          <cell r="K35">
            <v>1785000</v>
          </cell>
        </row>
      </sheetData>
      <sheetData sheetId="5">
        <row r="34">
          <cell r="E34">
            <v>450000</v>
          </cell>
          <cell r="K34">
            <v>0</v>
          </cell>
        </row>
        <row r="35">
          <cell r="E35">
            <v>2100000</v>
          </cell>
          <cell r="K35">
            <v>3570000</v>
          </cell>
        </row>
      </sheetData>
      <sheetData sheetId="6">
        <row r="34">
          <cell r="E34">
            <v>600000</v>
          </cell>
          <cell r="K34">
            <v>0</v>
          </cell>
        </row>
        <row r="35">
          <cell r="E35">
            <v>1950000</v>
          </cell>
          <cell r="K35">
            <v>0</v>
          </cell>
        </row>
      </sheetData>
      <sheetData sheetId="7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3530000</v>
          </cell>
        </row>
      </sheetData>
      <sheetData sheetId="8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1785000</v>
          </cell>
        </row>
      </sheetData>
      <sheetData sheetId="9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0</v>
          </cell>
        </row>
      </sheetData>
      <sheetData sheetId="10">
        <row r="34">
          <cell r="E34">
            <v>300000</v>
          </cell>
          <cell r="K34">
            <v>0</v>
          </cell>
        </row>
        <row r="35">
          <cell r="E35">
            <v>2250000</v>
          </cell>
          <cell r="K35">
            <v>3570000</v>
          </cell>
        </row>
      </sheetData>
      <sheetData sheetId="11">
        <row r="34">
          <cell r="E34">
            <v>150000</v>
          </cell>
          <cell r="K34">
            <v>0</v>
          </cell>
        </row>
        <row r="35">
          <cell r="E35">
            <v>2400000</v>
          </cell>
          <cell r="K35">
            <v>0</v>
          </cell>
        </row>
      </sheetData>
      <sheetData sheetId="12">
        <row r="34">
          <cell r="E34">
            <v>600000</v>
          </cell>
          <cell r="K34">
            <v>0</v>
          </cell>
        </row>
        <row r="35">
          <cell r="E35">
            <v>1650000</v>
          </cell>
          <cell r="K35">
            <v>5355000</v>
          </cell>
        </row>
      </sheetData>
      <sheetData sheetId="13">
        <row r="6">
          <cell r="A6" t="str">
            <v>AR202001</v>
          </cell>
        </row>
      </sheetData>
      <sheetData sheetId="1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VERSEMENT"/>
      <sheetName val="TONTJANV21"/>
      <sheetName val="TONTFEV21"/>
      <sheetName val="TONTMARS21"/>
      <sheetName val="TONTAVRIL21"/>
      <sheetName val="TONTMAI21"/>
      <sheetName val="TONTJUIN21"/>
      <sheetName val="TONTJUIL21"/>
      <sheetName val="TONTAOUT21"/>
      <sheetName val="TONTSEPT21"/>
      <sheetName val="TONTOCT21"/>
      <sheetName val="TONTNOV21"/>
      <sheetName val="TONTDEC21"/>
      <sheetName val="TONTRESUME21"/>
      <sheetName val="DEFAILLANCETONTINE"/>
    </sheetNames>
    <sheetDataSet>
      <sheetData sheetId="0"/>
      <sheetData sheetId="1">
        <row r="6">
          <cell r="A6" t="str">
            <v>AS201602</v>
          </cell>
          <cell r="B6">
            <v>1</v>
          </cell>
          <cell r="C6" t="str">
            <v>BOUTCHOUANG WILLIAM</v>
          </cell>
          <cell r="D6">
            <v>23000</v>
          </cell>
          <cell r="E6">
            <v>30000</v>
          </cell>
          <cell r="F6">
            <v>0</v>
          </cell>
          <cell r="G6" t="str">
            <v>BANQUE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M6">
            <v>0</v>
          </cell>
          <cell r="N6" t="str">
            <v>ECHEC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</row>
        <row r="7">
          <cell r="A7" t="str">
            <v>AS201604</v>
          </cell>
          <cell r="B7">
            <v>1</v>
          </cell>
          <cell r="C7" t="str">
            <v xml:space="preserve">DJOMO JEAN PAUL </v>
          </cell>
          <cell r="D7">
            <v>23000</v>
          </cell>
          <cell r="E7">
            <v>30000</v>
          </cell>
          <cell r="F7">
            <v>0</v>
          </cell>
          <cell r="G7" t="str">
            <v>BANQUE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M7">
            <v>0</v>
          </cell>
          <cell r="N7" t="str">
            <v>ECHEC</v>
          </cell>
          <cell r="O7" t="str">
            <v>BANQUE</v>
          </cell>
          <cell r="P7">
            <v>0</v>
          </cell>
          <cell r="Q7">
            <v>257000</v>
          </cell>
          <cell r="R7">
            <v>43000</v>
          </cell>
        </row>
        <row r="8">
          <cell r="A8" t="str">
            <v>AS201654</v>
          </cell>
          <cell r="B8">
            <v>1</v>
          </cell>
          <cell r="C8" t="str">
            <v>DJOMOU TCHANDA</v>
          </cell>
          <cell r="D8">
            <v>23000</v>
          </cell>
          <cell r="E8">
            <v>38000</v>
          </cell>
          <cell r="F8">
            <v>3000</v>
          </cell>
          <cell r="G8" t="str">
            <v>ESPECES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M8">
            <v>0</v>
          </cell>
          <cell r="N8" t="str">
            <v>ECHEC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</row>
        <row r="9">
          <cell r="A9" t="str">
            <v>AS201605</v>
          </cell>
          <cell r="B9">
            <v>1</v>
          </cell>
          <cell r="C9" t="str">
            <v>DJOUKWE NANGUEN GUY BLAISE</v>
          </cell>
          <cell r="D9">
            <v>23000</v>
          </cell>
          <cell r="E9">
            <v>48000</v>
          </cell>
          <cell r="F9">
            <v>0</v>
          </cell>
          <cell r="G9" t="str">
            <v>BANQUE</v>
          </cell>
          <cell r="H9">
            <v>30000</v>
          </cell>
          <cell r="I9">
            <v>1000</v>
          </cell>
          <cell r="J9" t="str">
            <v>BANQUE</v>
          </cell>
          <cell r="K9">
            <v>0</v>
          </cell>
          <cell r="M9">
            <v>0</v>
          </cell>
          <cell r="N9" t="str">
            <v>ECHEC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</row>
        <row r="10">
          <cell r="A10" t="str">
            <v>AS201608</v>
          </cell>
          <cell r="B10">
            <v>1</v>
          </cell>
          <cell r="C10" t="str">
            <v>DJUOMBESSY ANTOINE</v>
          </cell>
          <cell r="D10">
            <v>23000</v>
          </cell>
          <cell r="E10">
            <v>35000</v>
          </cell>
          <cell r="F10">
            <v>0</v>
          </cell>
          <cell r="G10" t="str">
            <v>BANQUE</v>
          </cell>
          <cell r="H10">
            <v>31000</v>
          </cell>
          <cell r="I10">
            <v>1500</v>
          </cell>
          <cell r="J10" t="str">
            <v>ESPECES</v>
          </cell>
          <cell r="K10">
            <v>0</v>
          </cell>
          <cell r="M10">
            <v>0</v>
          </cell>
          <cell r="N10" t="str">
            <v>ECHEC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</row>
        <row r="11">
          <cell r="A11" t="str">
            <v>AS201651</v>
          </cell>
          <cell r="B11">
            <v>1</v>
          </cell>
          <cell r="C11" t="str">
            <v>DOMOU FABIEN</v>
          </cell>
          <cell r="D11">
            <v>23000</v>
          </cell>
          <cell r="E11">
            <v>30000</v>
          </cell>
          <cell r="F11">
            <v>0</v>
          </cell>
          <cell r="G11" t="str">
            <v>BANQUE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M11">
            <v>0</v>
          </cell>
          <cell r="N11" t="str">
            <v>ECHEC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</row>
        <row r="12">
          <cell r="A12" t="str">
            <v>AS201609</v>
          </cell>
          <cell r="B12">
            <v>1</v>
          </cell>
          <cell r="C12" t="str">
            <v>DONHOU DAVID</v>
          </cell>
          <cell r="D12">
            <v>23000</v>
          </cell>
          <cell r="E12">
            <v>30000</v>
          </cell>
          <cell r="F12">
            <v>0</v>
          </cell>
          <cell r="G12" t="str">
            <v>BANQUE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M12">
            <v>0</v>
          </cell>
          <cell r="N12" t="str">
            <v>ECHEC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</row>
        <row r="13">
          <cell r="A13" t="str">
            <v>AS201610</v>
          </cell>
          <cell r="B13">
            <v>0</v>
          </cell>
          <cell r="C13" t="str">
            <v>FOTSO THOMAS</v>
          </cell>
          <cell r="D13">
            <v>0</v>
          </cell>
          <cell r="E13">
            <v>0</v>
          </cell>
          <cell r="F13">
            <v>0</v>
          </cell>
          <cell r="G13" t="str">
            <v>ECHEC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M13">
            <v>0</v>
          </cell>
          <cell r="N13" t="str">
            <v>ECHEC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</row>
        <row r="14">
          <cell r="A14" t="str">
            <v>AS201611</v>
          </cell>
          <cell r="B14">
            <v>1</v>
          </cell>
          <cell r="C14" t="str">
            <v>HENGUE PAUL OMER</v>
          </cell>
          <cell r="D14">
            <v>23000</v>
          </cell>
          <cell r="E14">
            <v>30000</v>
          </cell>
          <cell r="F14">
            <v>0</v>
          </cell>
          <cell r="G14" t="str">
            <v>BANQUE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M14">
            <v>0</v>
          </cell>
          <cell r="N14" t="str">
            <v>ECHEC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</row>
        <row r="15">
          <cell r="A15" t="str">
            <v>AS201613</v>
          </cell>
          <cell r="B15">
            <v>1</v>
          </cell>
          <cell r="C15" t="str">
            <v>HOTCHO BENJAMIN</v>
          </cell>
          <cell r="D15">
            <v>23000</v>
          </cell>
          <cell r="E15">
            <v>65000</v>
          </cell>
          <cell r="F15">
            <v>0</v>
          </cell>
          <cell r="G15" t="str">
            <v>BANQUE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M15">
            <v>0</v>
          </cell>
          <cell r="N15" t="str">
            <v>ECHEC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</row>
        <row r="16">
          <cell r="A16" t="str">
            <v>AS201617</v>
          </cell>
          <cell r="B16">
            <v>1</v>
          </cell>
          <cell r="C16" t="str">
            <v>KOUAMOU MOISE</v>
          </cell>
          <cell r="D16">
            <v>23000</v>
          </cell>
          <cell r="E16">
            <v>38000</v>
          </cell>
          <cell r="F16">
            <v>3000</v>
          </cell>
          <cell r="G16" t="str">
            <v>ESPECES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M16">
            <v>0</v>
          </cell>
          <cell r="N16" t="str">
            <v>ECHEC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</row>
        <row r="17">
          <cell r="A17" t="str">
            <v>AS201619</v>
          </cell>
          <cell r="B17">
            <v>1</v>
          </cell>
          <cell r="C17" t="str">
            <v>KOUATCHO MESSACK</v>
          </cell>
          <cell r="D17">
            <v>23000</v>
          </cell>
          <cell r="E17">
            <v>38000</v>
          </cell>
          <cell r="F17">
            <v>3000</v>
          </cell>
          <cell r="G17" t="str">
            <v>ESPECES</v>
          </cell>
          <cell r="H17">
            <v>70000</v>
          </cell>
          <cell r="I17">
            <v>2000</v>
          </cell>
          <cell r="J17" t="str">
            <v>BANQUE</v>
          </cell>
          <cell r="K17">
            <v>0</v>
          </cell>
          <cell r="M17">
            <v>0</v>
          </cell>
          <cell r="N17" t="str">
            <v>ECHEC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AS201620</v>
          </cell>
          <cell r="B18">
            <v>1</v>
          </cell>
          <cell r="C18" t="str">
            <v>LOWE JEAN</v>
          </cell>
          <cell r="D18">
            <v>23000</v>
          </cell>
          <cell r="E18">
            <v>30000</v>
          </cell>
          <cell r="F18">
            <v>0</v>
          </cell>
          <cell r="G18" t="str">
            <v>BANQUE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M18">
            <v>0</v>
          </cell>
          <cell r="N18" t="str">
            <v>ECHEC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</row>
        <row r="19">
          <cell r="A19" t="str">
            <v>AS201649</v>
          </cell>
          <cell r="B19">
            <v>1</v>
          </cell>
          <cell r="C19" t="str">
            <v>MBOGNING TUGMA GUY</v>
          </cell>
          <cell r="D19">
            <v>23000</v>
          </cell>
          <cell r="E19">
            <v>35000</v>
          </cell>
          <cell r="F19">
            <v>0</v>
          </cell>
          <cell r="G19" t="str">
            <v>BANQUE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M19">
            <v>0</v>
          </cell>
          <cell r="N19" t="str">
            <v>ECHEC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</row>
        <row r="20">
          <cell r="A20" t="str">
            <v>AS201639</v>
          </cell>
          <cell r="B20">
            <v>1</v>
          </cell>
          <cell r="C20" t="str">
            <v>NANGUEN MARTIN</v>
          </cell>
          <cell r="D20">
            <v>23000</v>
          </cell>
          <cell r="E20">
            <v>30000</v>
          </cell>
          <cell r="F20">
            <v>0</v>
          </cell>
          <cell r="G20" t="str">
            <v>BANQUE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M20">
            <v>0</v>
          </cell>
          <cell r="N20" t="str">
            <v>ECHEC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</row>
        <row r="21">
          <cell r="A21" t="str">
            <v>AS201621</v>
          </cell>
          <cell r="B21">
            <v>1</v>
          </cell>
          <cell r="C21" t="str">
            <v>NANKAM APPOLINAIRE</v>
          </cell>
          <cell r="D21">
            <v>23000</v>
          </cell>
          <cell r="E21">
            <v>30000</v>
          </cell>
          <cell r="F21">
            <v>0</v>
          </cell>
          <cell r="G21" t="str">
            <v>BANQUE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M21">
            <v>0</v>
          </cell>
          <cell r="N21" t="str">
            <v>ECHEC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</row>
        <row r="22">
          <cell r="A22" t="str">
            <v>AS201622</v>
          </cell>
          <cell r="B22">
            <v>1</v>
          </cell>
          <cell r="C22" t="str">
            <v>NDJOMO ETIENNE</v>
          </cell>
          <cell r="D22">
            <v>23000</v>
          </cell>
          <cell r="E22">
            <v>37000</v>
          </cell>
          <cell r="F22">
            <v>0</v>
          </cell>
          <cell r="G22" t="str">
            <v>BANQUE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M22">
            <v>0</v>
          </cell>
          <cell r="N22" t="str">
            <v>ECHEC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</row>
        <row r="23">
          <cell r="A23" t="str">
            <v>AS201624</v>
          </cell>
          <cell r="B23">
            <v>1</v>
          </cell>
          <cell r="C23" t="str">
            <v>NGONDIEP CLAUDE</v>
          </cell>
          <cell r="D23">
            <v>23000</v>
          </cell>
          <cell r="E23">
            <v>40000</v>
          </cell>
          <cell r="F23">
            <v>0</v>
          </cell>
          <cell r="G23" t="str">
            <v>BANQUE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M23">
            <v>0</v>
          </cell>
          <cell r="N23" t="str">
            <v>ECHEC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</row>
        <row r="24">
          <cell r="A24" t="str">
            <v>AS201626</v>
          </cell>
          <cell r="B24">
            <v>1</v>
          </cell>
          <cell r="C24" t="str">
            <v>NGUIEMEGNI MATHIEU BLAISE</v>
          </cell>
          <cell r="D24">
            <v>23000</v>
          </cell>
          <cell r="E24">
            <v>38000</v>
          </cell>
          <cell r="F24">
            <v>3000</v>
          </cell>
          <cell r="G24" t="str">
            <v>ESPECES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M24">
            <v>0</v>
          </cell>
          <cell r="N24" t="str">
            <v>ECHEC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</row>
        <row r="25">
          <cell r="A25" t="str">
            <v>AS201628</v>
          </cell>
          <cell r="B25">
            <v>1</v>
          </cell>
          <cell r="C25" t="str">
            <v>NKAMGANG JUSTIN DEJOLIE</v>
          </cell>
          <cell r="D25">
            <v>23000</v>
          </cell>
          <cell r="E25">
            <v>38000</v>
          </cell>
          <cell r="F25">
            <v>3000</v>
          </cell>
          <cell r="G25" t="str">
            <v>ESPECES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M25">
            <v>0</v>
          </cell>
          <cell r="N25" t="str">
            <v>ECHEC</v>
          </cell>
          <cell r="O25" t="str">
            <v>BANQUE</v>
          </cell>
          <cell r="P25">
            <v>0</v>
          </cell>
          <cell r="Q25">
            <v>256000</v>
          </cell>
          <cell r="R25">
            <v>44000</v>
          </cell>
        </row>
        <row r="26">
          <cell r="A26" t="str">
            <v>AS201629</v>
          </cell>
          <cell r="B26">
            <v>1</v>
          </cell>
          <cell r="C26" t="str">
            <v>NKEPSEU DIEUDONNE</v>
          </cell>
          <cell r="D26">
            <v>23000</v>
          </cell>
          <cell r="E26">
            <v>35000</v>
          </cell>
          <cell r="F26">
            <v>0</v>
          </cell>
          <cell r="G26" t="str">
            <v>BANQUE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M26">
            <v>0</v>
          </cell>
          <cell r="N26" t="str">
            <v>ECHEC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</row>
        <row r="27">
          <cell r="A27" t="str">
            <v>AS201633</v>
          </cell>
          <cell r="B27">
            <v>1</v>
          </cell>
          <cell r="C27" t="str">
            <v>PATEGO NJOSSU GUSTAVE</v>
          </cell>
          <cell r="D27">
            <v>23000</v>
          </cell>
          <cell r="E27">
            <v>30000</v>
          </cell>
          <cell r="F27">
            <v>0</v>
          </cell>
          <cell r="G27" t="str">
            <v>BANQUE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M27">
            <v>0</v>
          </cell>
          <cell r="N27" t="str">
            <v>ECHEC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</row>
        <row r="28">
          <cell r="A28" t="str">
            <v>AS201653</v>
          </cell>
          <cell r="B28">
            <v>1</v>
          </cell>
          <cell r="C28" t="str">
            <v>SIME BRICE</v>
          </cell>
          <cell r="D28">
            <v>23000</v>
          </cell>
          <cell r="E28">
            <v>50000</v>
          </cell>
          <cell r="F28">
            <v>0</v>
          </cell>
          <cell r="G28" t="str">
            <v>BANQUE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M28">
            <v>0</v>
          </cell>
          <cell r="N28" t="str">
            <v>ECHEC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</row>
        <row r="29">
          <cell r="A29" t="str">
            <v>AS201637</v>
          </cell>
          <cell r="B29">
            <v>1</v>
          </cell>
          <cell r="C29" t="str">
            <v>SIME MATHIEU</v>
          </cell>
          <cell r="D29">
            <v>23000</v>
          </cell>
          <cell r="E29">
            <v>30000</v>
          </cell>
          <cell r="F29">
            <v>0</v>
          </cell>
          <cell r="G29" t="str">
            <v>BANQUE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M29">
            <v>0</v>
          </cell>
          <cell r="N29" t="str">
            <v>ECHEC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</row>
        <row r="30">
          <cell r="A30" t="str">
            <v>AS201636</v>
          </cell>
          <cell r="B30">
            <v>1</v>
          </cell>
          <cell r="C30" t="str">
            <v>SIMO FONGANG ERIC</v>
          </cell>
          <cell r="D30">
            <v>23000</v>
          </cell>
          <cell r="E30">
            <v>30000</v>
          </cell>
          <cell r="F30">
            <v>3000</v>
          </cell>
          <cell r="G30" t="str">
            <v>ESPECES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M30">
            <v>0</v>
          </cell>
          <cell r="N30" t="str">
            <v>ECHEC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</row>
        <row r="31">
          <cell r="A31" t="str">
            <v>AS201638</v>
          </cell>
          <cell r="B31">
            <v>1</v>
          </cell>
          <cell r="C31" t="str">
            <v>SIMO PIERRE</v>
          </cell>
          <cell r="D31">
            <v>23000</v>
          </cell>
          <cell r="E31">
            <v>40000</v>
          </cell>
          <cell r="F31">
            <v>0</v>
          </cell>
          <cell r="G31" t="str">
            <v>BANQUE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M31">
            <v>0</v>
          </cell>
          <cell r="N31" t="str">
            <v>ECHEC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AS201641</v>
          </cell>
          <cell r="B32">
            <v>1</v>
          </cell>
          <cell r="C32" t="str">
            <v>TCHOUAMOU MATHIEU</v>
          </cell>
          <cell r="D32">
            <v>23000</v>
          </cell>
          <cell r="E32">
            <v>35000</v>
          </cell>
          <cell r="F32">
            <v>0</v>
          </cell>
          <cell r="G32" t="str">
            <v>BANQUE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M32">
            <v>0</v>
          </cell>
          <cell r="N32" t="str">
            <v>ECHEC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AS201646</v>
          </cell>
          <cell r="B33">
            <v>1</v>
          </cell>
          <cell r="C33" t="str">
            <v>YEPMOU JEAN JACQUES</v>
          </cell>
          <cell r="D33">
            <v>23000</v>
          </cell>
          <cell r="E33">
            <v>35000</v>
          </cell>
          <cell r="F33">
            <v>0</v>
          </cell>
          <cell r="G33" t="str">
            <v>BANQUE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M33">
            <v>0</v>
          </cell>
          <cell r="N33" t="str">
            <v>ECHEC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AS201647</v>
          </cell>
          <cell r="B34">
            <v>1</v>
          </cell>
          <cell r="C34" t="str">
            <v>YOUMBI EMMANUEL</v>
          </cell>
          <cell r="D34">
            <v>23000</v>
          </cell>
          <cell r="E34">
            <v>30000</v>
          </cell>
          <cell r="F34">
            <v>0</v>
          </cell>
          <cell r="G34" t="str">
            <v>BANQUE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M34">
            <v>0</v>
          </cell>
          <cell r="N34" t="str">
            <v>ECHEC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</row>
        <row r="37">
          <cell r="B37">
            <v>27</v>
          </cell>
          <cell r="C37">
            <v>0</v>
          </cell>
          <cell r="D37">
            <v>644000</v>
          </cell>
          <cell r="E37">
            <v>1005000</v>
          </cell>
          <cell r="F37">
            <v>18000</v>
          </cell>
          <cell r="H37">
            <v>131000</v>
          </cell>
          <cell r="I37">
            <v>4500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513000</v>
          </cell>
          <cell r="R37">
            <v>87000</v>
          </cell>
        </row>
        <row r="39">
          <cell r="D39" t="str">
            <v>MONTANT TONTINE</v>
          </cell>
          <cell r="E39" t="str">
            <v>MONTANT VERSE</v>
          </cell>
          <cell r="G39" t="str">
            <v>REMBOURSEMENT PETIT LOT</v>
          </cell>
          <cell r="H39" t="str">
            <v>VENTE PETIT LOT</v>
          </cell>
          <cell r="I39" t="str">
            <v>VENTE LOT PRINCIPAL</v>
          </cell>
          <cell r="J39" t="str">
            <v>SOLDE EN CAISSE</v>
          </cell>
          <cell r="L39" t="str">
            <v>TONTINE + REMB + INTERET VENTE</v>
          </cell>
          <cell r="M39">
            <v>731000</v>
          </cell>
          <cell r="N39" t="str">
            <v>NBRE PART</v>
          </cell>
        </row>
        <row r="40">
          <cell r="D40">
            <v>138000</v>
          </cell>
          <cell r="E40">
            <v>220000</v>
          </cell>
          <cell r="F40" t="str">
            <v>ESPECES</v>
          </cell>
          <cell r="G40">
            <v>0</v>
          </cell>
          <cell r="H40">
            <v>31000</v>
          </cell>
          <cell r="I40">
            <v>0</v>
          </cell>
          <cell r="J40">
            <v>107000</v>
          </cell>
          <cell r="L40" t="str">
            <v>LOT PRINCIPAL</v>
          </cell>
          <cell r="M40">
            <v>600000</v>
          </cell>
          <cell r="N40">
            <v>2</v>
          </cell>
        </row>
        <row r="41">
          <cell r="D41">
            <v>506000</v>
          </cell>
          <cell r="E41">
            <v>785000</v>
          </cell>
          <cell r="F41" t="str">
            <v>BANQUE</v>
          </cell>
          <cell r="G41">
            <v>0</v>
          </cell>
          <cell r="H41">
            <v>100000</v>
          </cell>
          <cell r="I41">
            <v>513000</v>
          </cell>
          <cell r="J41">
            <v>-107000</v>
          </cell>
        </row>
      </sheetData>
      <sheetData sheetId="2">
        <row r="6">
          <cell r="A6" t="str">
            <v>AS201602</v>
          </cell>
        </row>
      </sheetData>
      <sheetData sheetId="3">
        <row r="6">
          <cell r="A6" t="str">
            <v>AS201602</v>
          </cell>
        </row>
      </sheetData>
      <sheetData sheetId="4">
        <row r="6">
          <cell r="A6" t="str">
            <v>AS201602</v>
          </cell>
        </row>
      </sheetData>
      <sheetData sheetId="5"/>
      <sheetData sheetId="6"/>
      <sheetData sheetId="7">
        <row r="6">
          <cell r="A6" t="str">
            <v>AS201602</v>
          </cell>
        </row>
      </sheetData>
      <sheetData sheetId="8">
        <row r="6">
          <cell r="A6" t="str">
            <v>AS201602</v>
          </cell>
        </row>
      </sheetData>
      <sheetData sheetId="9">
        <row r="6">
          <cell r="A6" t="str">
            <v>AS201602</v>
          </cell>
        </row>
      </sheetData>
      <sheetData sheetId="10">
        <row r="6">
          <cell r="A6" t="str">
            <v>AS201602</v>
          </cell>
        </row>
      </sheetData>
      <sheetData sheetId="11">
        <row r="6">
          <cell r="A6" t="str">
            <v>AS201602</v>
          </cell>
        </row>
      </sheetData>
      <sheetData sheetId="12">
        <row r="6">
          <cell r="A6" t="str">
            <v>AS201602</v>
          </cell>
        </row>
      </sheetData>
      <sheetData sheetId="13"/>
      <sheetData sheetId="14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1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2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7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3.xml"/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28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8" sqref="A8"/>
    </sheetView>
  </sheetViews>
  <sheetFormatPr baseColWidth="10" defaultRowHeight="15" x14ac:dyDescent="0.25"/>
  <sheetData>
    <row r="1" spans="1:1" x14ac:dyDescent="0.25">
      <c r="A1" t="s">
        <v>274</v>
      </c>
    </row>
    <row r="2" spans="1:1" x14ac:dyDescent="0.25">
      <c r="A2" t="s">
        <v>222</v>
      </c>
    </row>
    <row r="3" spans="1:1" x14ac:dyDescent="0.25">
      <c r="A3" t="s">
        <v>160</v>
      </c>
    </row>
    <row r="4" spans="1:1" x14ac:dyDescent="0.25">
      <c r="A4" t="s">
        <v>275</v>
      </c>
    </row>
    <row r="5" spans="1:1" x14ac:dyDescent="0.25">
      <c r="A5" t="s">
        <v>276</v>
      </c>
    </row>
    <row r="6" spans="1:1" x14ac:dyDescent="0.25">
      <c r="A6" t="s">
        <v>277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sqref="A1:A4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workbookViewId="0">
      <selection activeCell="D29" sqref="D29"/>
    </sheetView>
  </sheetViews>
  <sheetFormatPr baseColWidth="10" defaultColWidth="11" defaultRowHeight="15" x14ac:dyDescent="0.25"/>
  <sheetData>
    <row r="1" spans="1:1" x14ac:dyDescent="0.25">
      <c r="A1" t="s">
        <v>22</v>
      </c>
    </row>
    <row r="2" spans="1:1" x14ac:dyDescent="0.25">
      <c r="A2" t="s">
        <v>20</v>
      </c>
    </row>
    <row r="3" spans="1:1" x14ac:dyDescent="0.25">
      <c r="A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40"/>
  <sheetViews>
    <sheetView workbookViewId="0">
      <pane xSplit="2" ySplit="5" topLeftCell="C29" activePane="bottomRight" state="frozen"/>
      <selection activeCell="B43" sqref="B43"/>
      <selection pane="topRight" activeCell="B43" sqref="B43"/>
      <selection pane="bottomLeft" activeCell="B43" sqref="B43"/>
      <selection pane="bottomRight" activeCell="D7" sqref="D7:D3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30" max="30" width="12.42578125" bestFit="1" customWidth="1"/>
  </cols>
  <sheetData>
    <row r="1" spans="1:32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2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</row>
    <row r="3" spans="1:32" x14ac:dyDescent="0.25">
      <c r="A3" s="1" t="s">
        <v>3</v>
      </c>
      <c r="B3" s="5"/>
      <c r="C3" s="5"/>
      <c r="D3" s="5"/>
      <c r="E3" s="5"/>
      <c r="F3" s="5"/>
      <c r="G3" s="5"/>
      <c r="H3" s="5"/>
    </row>
    <row r="4" spans="1:32" ht="26.25" x14ac:dyDescent="0.4">
      <c r="B4" s="16"/>
      <c r="C4" s="16"/>
      <c r="D4" s="16"/>
      <c r="E4" s="16"/>
      <c r="F4" s="16"/>
      <c r="G4" s="16"/>
      <c r="H4" s="16"/>
      <c r="I4" s="105"/>
      <c r="J4" s="146">
        <v>44578</v>
      </c>
      <c r="K4" s="146"/>
      <c r="L4" s="146"/>
      <c r="M4" s="146"/>
      <c r="N4" s="146"/>
      <c r="O4" s="146"/>
      <c r="P4"/>
      <c r="Q4"/>
    </row>
    <row r="5" spans="1:32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4" t="s">
        <v>257</v>
      </c>
    </row>
    <row r="6" spans="1:32" x14ac:dyDescent="0.25">
      <c r="A6" s="1" t="s">
        <v>16</v>
      </c>
      <c r="B6" s="1" t="str">
        <f>VLOOKUP(A6,[15]LISTADHERENT!A$5:H$60,3,0)</f>
        <v>ASELBY</v>
      </c>
      <c r="C6" s="5">
        <v>584177.00555049011</v>
      </c>
      <c r="D6" s="5"/>
      <c r="E6" s="36"/>
      <c r="F6" s="5">
        <f>C6-E6</f>
        <v>584177.00555049011</v>
      </c>
      <c r="G6" s="6">
        <f t="shared" ref="G6:G36" si="0">$S$40/$H$40*H6</f>
        <v>44951.214508535508</v>
      </c>
      <c r="H6" s="6">
        <f>F6+D6+K6</f>
        <v>584177.00555049011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[16]HISTOMVTDEPENSE!$T$39</f>
        <v>0</v>
      </c>
      <c r="AF6" s="2"/>
    </row>
    <row r="7" spans="1:32" x14ac:dyDescent="0.25">
      <c r="A7" s="1" t="s">
        <v>19</v>
      </c>
      <c r="B7" s="1" t="str">
        <f>VLOOKUP(A7,[15]LISTADHERENT!A$5:H$60,3,0)</f>
        <v>BOUTCHOUANG WILLIAM</v>
      </c>
      <c r="C7" s="5">
        <v>570000</v>
      </c>
      <c r="D7" s="5">
        <v>-258.93850559103885</v>
      </c>
      <c r="E7" s="36">
        <f>VLOOKUP($A7,[16]HISTOJANV22!$A$6:$BA$39,48,0)</f>
        <v>0</v>
      </c>
      <c r="F7" s="5">
        <f t="shared" ref="F7:F36" si="1">C7-E7</f>
        <v>570000</v>
      </c>
      <c r="G7" s="6">
        <f t="shared" si="0"/>
        <v>44071.242223614609</v>
      </c>
      <c r="H7" s="6">
        <f t="shared" ref="H7:H36" si="2">F7+D7+K7</f>
        <v>572741.06149440899</v>
      </c>
      <c r="I7" s="36">
        <f>VLOOKUP($A7,[16]HISTOJANV22!$A$6:$AQ$37,22,0)</f>
        <v>0</v>
      </c>
      <c r="J7" s="36">
        <f>VLOOKUP($A7,[16]HISTOJANV22!$A$6:$AU$39,45,0)</f>
        <v>7000</v>
      </c>
      <c r="K7" s="36">
        <f t="shared" ref="K7:K36" si="3">IF(J7=0,0,J7-(L7+M7+N7))</f>
        <v>3000</v>
      </c>
      <c r="L7" s="36">
        <f t="shared" ref="L7:L36" si="4">IF(J7=0,0,500)</f>
        <v>500</v>
      </c>
      <c r="M7" s="36">
        <f t="shared" ref="M7:M36" si="5">IF(J7=0,0,1000)</f>
        <v>1000</v>
      </c>
      <c r="N7" s="36">
        <f t="shared" ref="N7:N36" si="6">IF(J7=0,0,2500)</f>
        <v>2500</v>
      </c>
      <c r="O7" s="36">
        <f>VLOOKUP($A7,[16]HISTOJANV22!$A$6:$AU$39,7,0)</f>
        <v>0</v>
      </c>
      <c r="P7" s="36">
        <f>VLOOKUP($A7,[16]HISTOJANV22!$A$6:$AU$39,23,0)</f>
        <v>0</v>
      </c>
      <c r="Q7" s="36">
        <f>VLOOKUP($A7,[16]HISTOJANV22!$A$6:$AU$39,46,0)</f>
        <v>0</v>
      </c>
      <c r="R7" s="36">
        <f>VLOOKUP($A7,[16]HISTODEC21!$A$6:$AU$39,26,0)</f>
        <v>525000</v>
      </c>
      <c r="S7" s="36">
        <f>R7*1/1200*12</f>
        <v>5250</v>
      </c>
      <c r="T7" s="36">
        <f>VLOOKUP($A7,[16]HISTOJANV22!$A$6:$AU$39,28,0)</f>
        <v>0</v>
      </c>
      <c r="U7" s="36">
        <f>VLOOKUP($A7,[16]HISTOJANV22!$A$6:$AU$39,19,0)</f>
        <v>0</v>
      </c>
      <c r="V7" s="36">
        <f>VLOOKUP($A7,[16]HISTOJANV22!$A$6:$AU$39,20,0)</f>
        <v>0</v>
      </c>
      <c r="W7" s="36">
        <f>VLOOKUP($A7,[16]HISTOJANV22!$A$6:$AU$39,27,0)</f>
        <v>0</v>
      </c>
      <c r="X7" s="36">
        <f>VLOOKUP($A7,[16]HISTOJANV22!$A$6:$AU$39,33,0)</f>
        <v>0</v>
      </c>
      <c r="Y7" s="36">
        <v>4000</v>
      </c>
      <c r="Z7" s="36"/>
      <c r="AA7" s="36">
        <f>VLOOKUP($A7,[16]HISTOJANV22!$A$6:$AU$39,43,0)</f>
        <v>0</v>
      </c>
      <c r="AB7" s="36">
        <f>VLOOKUP($A7,[16]HISTOJANV22!$A$6:$AU$39,44,0)</f>
        <v>0</v>
      </c>
      <c r="AC7" s="36">
        <f>VLOOKUP($A7,[16]HISTOJANV22!$A$6:$AU$39,47,0)</f>
        <v>0</v>
      </c>
      <c r="AD7" s="36">
        <f>VLOOKUP(A7,[16]HISTOJANV22!$A$6:$BB$36,54,0)</f>
        <v>0</v>
      </c>
      <c r="AE7" s="2"/>
      <c r="AF7" s="2"/>
    </row>
    <row r="8" spans="1:32" x14ac:dyDescent="0.25">
      <c r="A8" s="1" t="s">
        <v>23</v>
      </c>
      <c r="B8" s="1" t="str">
        <f>VLOOKUP(A8,[15]LISTADHERENT!A$5:H$60,3,0)</f>
        <v xml:space="preserve">DJOMO JEAN PAUL </v>
      </c>
      <c r="C8" s="5">
        <v>570000</v>
      </c>
      <c r="D8" s="5">
        <v>1714.0012148400419</v>
      </c>
      <c r="E8" s="36">
        <f>VLOOKUP($A8,[16]HISTOJANV22!$A$6:$BA$39,48,0)</f>
        <v>0</v>
      </c>
      <c r="F8" s="5">
        <f t="shared" si="1"/>
        <v>570000</v>
      </c>
      <c r="G8" s="6">
        <f t="shared" si="0"/>
        <v>47685.712956641619</v>
      </c>
      <c r="H8" s="6">
        <f t="shared" si="2"/>
        <v>619714.00121483998</v>
      </c>
      <c r="I8" s="36">
        <f>VLOOKUP($A8,[16]HISTOJANV22!$A$6:$AQ$37,22,0)</f>
        <v>0</v>
      </c>
      <c r="J8" s="36">
        <f>VLOOKUP($A8,[16]HISTOJANV22!$A$6:$AU$39,45,0)</f>
        <v>52000</v>
      </c>
      <c r="K8" s="36">
        <f t="shared" si="3"/>
        <v>48000</v>
      </c>
      <c r="L8" s="36">
        <f t="shared" si="4"/>
        <v>500</v>
      </c>
      <c r="M8" s="36">
        <f t="shared" si="5"/>
        <v>1000</v>
      </c>
      <c r="N8" s="36">
        <f t="shared" si="6"/>
        <v>2500</v>
      </c>
      <c r="O8" s="36">
        <f>VLOOKUP($A8,[16]HISTOJANV22!$A$6:$AU$39,7,0)</f>
        <v>0</v>
      </c>
      <c r="P8" s="36">
        <f>VLOOKUP($A8,[16]HISTOJANV22!$A$6:$AU$39,23,0)</f>
        <v>0</v>
      </c>
      <c r="Q8" s="36">
        <f>VLOOKUP($A8,[16]HISTOJANV22!$A$6:$AU$39,46,0)</f>
        <v>0</v>
      </c>
      <c r="R8" s="36">
        <f>VLOOKUP($A8,[16]HISTODEC21!$A$6:$AU$39,26,0)</f>
        <v>1000000</v>
      </c>
      <c r="S8" s="36">
        <f t="shared" ref="S8:S36" si="7">R8*12/1200*12</f>
        <v>120000</v>
      </c>
      <c r="T8" s="36" t="str">
        <f>VLOOKUP($A8,[16]HISTOJANV22!$A$6:$AU$39,28,0)</f>
        <v>OKK</v>
      </c>
      <c r="U8" s="36">
        <f>VLOOKUP($A8,[16]HISTOJANV22!$A$6:$AU$39,19,0)</f>
        <v>0</v>
      </c>
      <c r="V8" s="36">
        <f>VLOOKUP($A8,[16]HISTOJANV22!$A$6:$AU$39,20,0)</f>
        <v>0</v>
      </c>
      <c r="W8" s="36" t="str">
        <f>VLOOKUP($A8,[16]HISTOJANV22!$A$6:$AU$39,27,0)</f>
        <v>BANQUE</v>
      </c>
      <c r="X8" s="36">
        <f>VLOOKUP($A8,[16]HISTOJANV22!$A$6:$AU$39,33,0)</f>
        <v>0</v>
      </c>
      <c r="Y8" s="36"/>
      <c r="Z8" s="36"/>
      <c r="AA8" s="36">
        <f>VLOOKUP($A8,[16]HISTOJANV22!$A$6:$AU$39,43,0)</f>
        <v>0</v>
      </c>
      <c r="AB8" s="36">
        <f>VLOOKUP($A8,[16]HISTOJANV22!$A$6:$AU$39,44,0)</f>
        <v>0</v>
      </c>
      <c r="AC8" s="36">
        <f>VLOOKUP($A8,[16]HISTOJANV22!$A$6:$AU$39,47,0)</f>
        <v>0</v>
      </c>
      <c r="AD8" s="36">
        <f>VLOOKUP(A8,[16]HISTOJANV22!$A$6:$BB$36,54,0)</f>
        <v>0</v>
      </c>
      <c r="AE8" s="2"/>
      <c r="AF8" s="2"/>
    </row>
    <row r="9" spans="1:32" x14ac:dyDescent="0.25">
      <c r="A9" s="1" t="s">
        <v>154</v>
      </c>
      <c r="B9" s="1" t="str">
        <f>VLOOKUP(A9,[15]LISTADHERENT!A$5:H$60,3,0)</f>
        <v>DJOMOU TCHANDA</v>
      </c>
      <c r="C9" s="5">
        <v>570000</v>
      </c>
      <c r="D9" s="5">
        <v>359</v>
      </c>
      <c r="E9" s="36">
        <f>VLOOKUP($A9,[16]HISTOJANV22!$A$6:$BA$39,48,0)</f>
        <v>0</v>
      </c>
      <c r="F9" s="5">
        <f t="shared" si="1"/>
        <v>570000</v>
      </c>
      <c r="G9" s="6">
        <f t="shared" si="0"/>
        <v>44118.791315848619</v>
      </c>
      <c r="H9" s="6">
        <f t="shared" si="2"/>
        <v>573359</v>
      </c>
      <c r="I9" s="36">
        <f>VLOOKUP($A9,[16]HISTOJANV22!$A$6:$AQ$37,22,0)</f>
        <v>0</v>
      </c>
      <c r="J9" s="36">
        <f>VLOOKUP($A9,[16]HISTOJANV22!$A$6:$AU$39,45,0)</f>
        <v>7000</v>
      </c>
      <c r="K9" s="36">
        <f t="shared" si="3"/>
        <v>3000</v>
      </c>
      <c r="L9" s="36">
        <f t="shared" si="4"/>
        <v>500</v>
      </c>
      <c r="M9" s="36">
        <f t="shared" si="5"/>
        <v>1000</v>
      </c>
      <c r="N9" s="36">
        <f t="shared" si="6"/>
        <v>2500</v>
      </c>
      <c r="O9" s="36">
        <f>VLOOKUP($A9,[16]HISTOJANV22!$A$6:$AU$39,7,0)</f>
        <v>0</v>
      </c>
      <c r="P9" s="36">
        <f>VLOOKUP($A9,[16]HISTOJANV22!$A$6:$AU$39,23,0)</f>
        <v>0</v>
      </c>
      <c r="Q9" s="36">
        <f>VLOOKUP($A9,[16]HISTOJANV22!$A$6:$AU$39,46,0)</f>
        <v>0</v>
      </c>
      <c r="R9" s="36">
        <f>VLOOKUP($A9,[16]HISTODEC21!$A$6:$AU$39,26,0)</f>
        <v>0</v>
      </c>
      <c r="S9" s="36">
        <f t="shared" si="7"/>
        <v>0</v>
      </c>
      <c r="T9" s="36">
        <f>VLOOKUP($A9,[16]HISTOJANV22!$A$6:$AU$39,28,0)</f>
        <v>0</v>
      </c>
      <c r="U9" s="36">
        <f>VLOOKUP($A9,[16]HISTOJANV22!$A$6:$AU$39,19,0)</f>
        <v>0</v>
      </c>
      <c r="V9" s="36">
        <f>VLOOKUP($A9,[16]HISTOJANV22!$A$6:$AU$39,20,0)</f>
        <v>0</v>
      </c>
      <c r="W9" s="36">
        <f>VLOOKUP($A9,[16]HISTOJANV22!$A$6:$AU$39,27,0)</f>
        <v>0</v>
      </c>
      <c r="X9" s="36">
        <f>VLOOKUP($A9,[16]HISTOJANV22!$A$6:$AU$39,33,0)</f>
        <v>0</v>
      </c>
      <c r="Y9" s="36"/>
      <c r="Z9" s="36"/>
      <c r="AA9" s="36">
        <f>VLOOKUP($A9,[16]HISTOJANV22!$A$6:$AU$39,43,0)</f>
        <v>0</v>
      </c>
      <c r="AB9" s="36">
        <f>VLOOKUP($A9,[16]HISTOJANV22!$A$6:$AU$39,44,0)</f>
        <v>0</v>
      </c>
      <c r="AC9" s="36">
        <f>VLOOKUP($A9,[16]HISTOJANV22!$A$6:$AU$39,47,0)</f>
        <v>0</v>
      </c>
      <c r="AD9" s="36">
        <f>VLOOKUP(A9,[16]HISTOJANV22!$A$6:$BB$36,54,0)</f>
        <v>0</v>
      </c>
      <c r="AE9" s="2"/>
      <c r="AF9" s="2"/>
    </row>
    <row r="10" spans="1:32" x14ac:dyDescent="0.25">
      <c r="A10" s="1" t="s">
        <v>24</v>
      </c>
      <c r="B10" s="1" t="str">
        <f>VLOOKUP(A10,[15]LISTADHERENT!A$5:H$60,3,0)</f>
        <v>DJOUKWE NANGUEN GUY BLAISE</v>
      </c>
      <c r="C10" s="5">
        <v>570000</v>
      </c>
      <c r="D10" s="5">
        <v>110412.64212220861</v>
      </c>
      <c r="E10" s="36">
        <f>VLOOKUP($A10,[16]HISTOJANV22!$A$6:$BA$39,48,0)</f>
        <v>0</v>
      </c>
      <c r="F10" s="5">
        <f t="shared" si="1"/>
        <v>570000</v>
      </c>
      <c r="G10" s="6">
        <f t="shared" si="0"/>
        <v>52971.931541986254</v>
      </c>
      <c r="H10" s="6">
        <f t="shared" si="2"/>
        <v>688412.64212220861</v>
      </c>
      <c r="I10" s="36">
        <f>VLOOKUP($A10,[16]HISTOJANV22!$A$6:$AQ$37,22,0)</f>
        <v>0</v>
      </c>
      <c r="J10" s="36">
        <f>VLOOKUP($A10,[16]HISTOJANV22!$A$6:$AU$39,45,0)</f>
        <v>12000</v>
      </c>
      <c r="K10" s="36">
        <f t="shared" si="3"/>
        <v>8000</v>
      </c>
      <c r="L10" s="36">
        <f t="shared" si="4"/>
        <v>500</v>
      </c>
      <c r="M10" s="36">
        <f t="shared" si="5"/>
        <v>1000</v>
      </c>
      <c r="N10" s="36">
        <f t="shared" si="6"/>
        <v>2500</v>
      </c>
      <c r="O10" s="36">
        <f>VLOOKUP($A10,[16]HISTOJANV22!$A$6:$AU$39,7,0)</f>
        <v>0</v>
      </c>
      <c r="P10" s="36">
        <f>VLOOKUP($A10,[16]HISTOJANV22!$A$6:$AU$39,23,0)</f>
        <v>0</v>
      </c>
      <c r="Q10" s="36">
        <f>VLOOKUP($A10,[16]HISTOJANV22!$A$6:$AU$39,46,0)</f>
        <v>0</v>
      </c>
      <c r="R10" s="36">
        <f>VLOOKUP($A10,[16]HISTODEC21!$A$6:$AU$39,26,0)</f>
        <v>1000000</v>
      </c>
      <c r="S10" s="36">
        <f>R10*1/1200*12</f>
        <v>10000</v>
      </c>
      <c r="T10" s="36" t="str">
        <f>VLOOKUP($A10,[16]HISTOJANV22!$A$6:$AU$39,28,0)</f>
        <v>OKK</v>
      </c>
      <c r="U10" s="36">
        <f>VLOOKUP($A10,[16]HISTOJANV22!$A$6:$AU$39,19,0)</f>
        <v>0</v>
      </c>
      <c r="V10" s="36">
        <f>VLOOKUP($A10,[16]HISTOJANV22!$A$6:$AU$39,20,0)</f>
        <v>0</v>
      </c>
      <c r="W10" s="36" t="str">
        <f>VLOOKUP($A10,[16]HISTOJANV22!$A$6:$AU$39,27,0)</f>
        <v>BANQUE</v>
      </c>
      <c r="X10" s="36">
        <f>VLOOKUP($A10,[16]HISTOJANV22!$A$6:$AU$39,33,0)</f>
        <v>0</v>
      </c>
      <c r="Y10" s="36"/>
      <c r="Z10" s="36"/>
      <c r="AA10" s="36">
        <f>VLOOKUP($A10,[16]HISTOJANV22!$A$6:$AU$39,43,0)</f>
        <v>0</v>
      </c>
      <c r="AB10" s="36">
        <f>VLOOKUP($A10,[16]HISTOJANV22!$A$6:$AU$39,44,0)</f>
        <v>0</v>
      </c>
      <c r="AC10" s="36">
        <f>VLOOKUP($A10,[16]HISTOJANV22!$A$6:$AU$39,47,0)</f>
        <v>0</v>
      </c>
      <c r="AD10" s="36">
        <f>VLOOKUP(A10,[16]HISTOJANV22!$A$6:$BB$36,54,0)</f>
        <v>0</v>
      </c>
      <c r="AE10" s="2"/>
      <c r="AF10" s="2"/>
    </row>
    <row r="11" spans="1:32" x14ac:dyDescent="0.25">
      <c r="A11" s="1" t="s">
        <v>25</v>
      </c>
      <c r="B11" s="1" t="str">
        <f>VLOOKUP(A11,[15]LISTADHERENT!A$5:H$60,3,0)</f>
        <v>DJUOMBESSY ANTOINE</v>
      </c>
      <c r="C11" s="5">
        <v>570000</v>
      </c>
      <c r="D11" s="5">
        <v>18508.84987508686</v>
      </c>
      <c r="E11" s="36">
        <f>VLOOKUP($A11,[16]HISTOJANV22!$A$6:$BA$39,48,0)</f>
        <v>0</v>
      </c>
      <c r="F11" s="5">
        <f t="shared" si="1"/>
        <v>570000</v>
      </c>
      <c r="G11" s="6">
        <f t="shared" si="0"/>
        <v>45515.38479227951</v>
      </c>
      <c r="H11" s="6">
        <f t="shared" si="2"/>
        <v>591508.84987508692</v>
      </c>
      <c r="I11" s="36">
        <f>VLOOKUP($A11,[16]HISTOJANV22!$A$6:$AQ$37,22,0)</f>
        <v>0</v>
      </c>
      <c r="J11" s="36">
        <f>VLOOKUP($A11,[16]HISTOJANV22!$A$6:$AU$39,45,0)</f>
        <v>7000</v>
      </c>
      <c r="K11" s="36">
        <f t="shared" si="3"/>
        <v>3000</v>
      </c>
      <c r="L11" s="36">
        <f t="shared" si="4"/>
        <v>500</v>
      </c>
      <c r="M11" s="36">
        <f t="shared" si="5"/>
        <v>1000</v>
      </c>
      <c r="N11" s="36">
        <f t="shared" si="6"/>
        <v>2500</v>
      </c>
      <c r="O11" s="36">
        <f>VLOOKUP($A11,[16]HISTOJANV22!$A$6:$AU$39,7,0)</f>
        <v>0</v>
      </c>
      <c r="P11" s="36">
        <f>VLOOKUP($A11,[16]HISTOJANV22!$A$6:$AU$39,23,0)</f>
        <v>0</v>
      </c>
      <c r="Q11" s="36">
        <f>VLOOKUP($A11,[16]HISTOJANV22!$A$6:$AU$39,46,0)</f>
        <v>0</v>
      </c>
      <c r="R11" s="36">
        <f>VLOOKUP($A11,[16]HISTODEC21!$A$6:$AU$39,26,0)</f>
        <v>1029000</v>
      </c>
      <c r="S11" s="36">
        <f>R11*1/1200*12</f>
        <v>10290</v>
      </c>
      <c r="T11" s="36">
        <f>VLOOKUP($A11,[16]HISTOJANV22!$A$6:$AU$39,28,0)</f>
        <v>0</v>
      </c>
      <c r="U11" s="36">
        <f>VLOOKUP($A11,[16]HISTOJANV22!$A$6:$AU$39,19,0)</f>
        <v>1000000</v>
      </c>
      <c r="V11" s="36" t="str">
        <f>VLOOKUP($A11,[16]HISTOJANV22!$A$6:$AU$39,20,0)</f>
        <v>BANQUE</v>
      </c>
      <c r="W11" s="36">
        <f>VLOOKUP($A11,[16]HISTOJANV22!$A$6:$AU$39,27,0)</f>
        <v>0</v>
      </c>
      <c r="X11" s="36">
        <f>VLOOKUP($A11,[16]HISTOJANV22!$A$6:$AU$39,33,0)</f>
        <v>0</v>
      </c>
      <c r="Y11" s="36">
        <v>29000</v>
      </c>
      <c r="Z11" s="36"/>
      <c r="AA11" s="36">
        <f>VLOOKUP($A11,[16]HISTOJANV22!$A$6:$AU$39,43,0)</f>
        <v>0</v>
      </c>
      <c r="AB11" s="36">
        <f>VLOOKUP($A11,[16]HISTOJANV22!$A$6:$AU$39,44,0)</f>
        <v>0</v>
      </c>
      <c r="AC11" s="36">
        <f>VLOOKUP($A11,[16]HISTOJANV22!$A$6:$AU$39,47,0)</f>
        <v>0</v>
      </c>
      <c r="AD11" s="36">
        <f>VLOOKUP(A11,[16]HISTOJANV22!$A$6:$BB$36,54,0)</f>
        <v>61000</v>
      </c>
      <c r="AE11" s="2"/>
      <c r="AF11" s="2"/>
    </row>
    <row r="12" spans="1:32" x14ac:dyDescent="0.25">
      <c r="A12" s="1" t="s">
        <v>79</v>
      </c>
      <c r="B12" s="1" t="str">
        <f>VLOOKUP(A12,[15]LISTADHERENT!A$5:H$60,3,0)</f>
        <v>DOMOU FABIEN</v>
      </c>
      <c r="C12" s="5">
        <v>570000</v>
      </c>
      <c r="D12" s="5">
        <v>6527.0543220352411</v>
      </c>
      <c r="E12" s="36">
        <f>VLOOKUP($A12,[16]HISTOJANV22!$A$6:$BA$39,48,0)</f>
        <v>0</v>
      </c>
      <c r="F12" s="5">
        <f t="shared" si="1"/>
        <v>570000</v>
      </c>
      <c r="G12" s="6">
        <f t="shared" si="0"/>
        <v>44978.150038809166</v>
      </c>
      <c r="H12" s="6">
        <f t="shared" si="2"/>
        <v>584527.05432203528</v>
      </c>
      <c r="I12" s="36">
        <f>VLOOKUP($A12,[16]HISTOJANV22!$A$6:$AQ$37,22,0)</f>
        <v>0</v>
      </c>
      <c r="J12" s="36">
        <f>VLOOKUP($A12,[16]HISTOJANV22!$A$6:$AU$39,45,0)</f>
        <v>12000</v>
      </c>
      <c r="K12" s="36">
        <f t="shared" si="3"/>
        <v>8000</v>
      </c>
      <c r="L12" s="36">
        <f t="shared" si="4"/>
        <v>500</v>
      </c>
      <c r="M12" s="36">
        <f t="shared" si="5"/>
        <v>1000</v>
      </c>
      <c r="N12" s="36">
        <f t="shared" si="6"/>
        <v>2500</v>
      </c>
      <c r="O12" s="36">
        <f>VLOOKUP($A12,[16]HISTOJANV22!$A$6:$AU$39,7,0)</f>
        <v>0</v>
      </c>
      <c r="P12" s="36">
        <f>VLOOKUP($A12,[16]HISTOJANV22!$A$6:$AU$39,23,0)</f>
        <v>0</v>
      </c>
      <c r="Q12" s="36">
        <f>VLOOKUP($A12,[16]HISTOJANV22!$A$6:$AU$39,46,0)</f>
        <v>0</v>
      </c>
      <c r="R12" s="36">
        <f>VLOOKUP($A12,[16]HISTODEC21!$A$6:$AU$39,26,0)</f>
        <v>1000000</v>
      </c>
      <c r="S12" s="36">
        <f t="shared" si="7"/>
        <v>120000</v>
      </c>
      <c r="T12" s="36" t="str">
        <f>VLOOKUP($A12,[16]HISTOJANV22!$A$6:$AU$39,28,0)</f>
        <v>OKK</v>
      </c>
      <c r="U12" s="36">
        <f>VLOOKUP($A12,[16]HISTOJANV22!$A$6:$AU$39,19,0)</f>
        <v>0</v>
      </c>
      <c r="V12" s="36">
        <f>VLOOKUP($A12,[16]HISTOJANV22!$A$6:$AU$39,20,0)</f>
        <v>0</v>
      </c>
      <c r="W12" s="36" t="str">
        <f>VLOOKUP($A12,[16]HISTOJANV22!$A$6:$AU$39,27,0)</f>
        <v>BANQUE</v>
      </c>
      <c r="X12" s="36">
        <f>VLOOKUP($A12,[16]HISTOJANV22!$A$6:$AU$39,33,0)</f>
        <v>0</v>
      </c>
      <c r="Y12" s="36"/>
      <c r="Z12" s="36"/>
      <c r="AA12" s="36">
        <f>VLOOKUP($A12,[16]HISTOJANV22!$A$6:$AU$39,43,0)</f>
        <v>0</v>
      </c>
      <c r="AB12" s="36">
        <f>VLOOKUP($A12,[16]HISTOJANV22!$A$6:$AU$39,44,0)</f>
        <v>0</v>
      </c>
      <c r="AC12" s="36">
        <f>VLOOKUP($A12,[16]HISTOJANV22!$A$6:$AU$39,47,0)</f>
        <v>0</v>
      </c>
      <c r="AD12" s="36">
        <f>VLOOKUP(A12,[16]HISTOJANV22!$A$6:$BB$36,54,0)</f>
        <v>57000</v>
      </c>
      <c r="AE12" s="2"/>
      <c r="AF12" s="2"/>
    </row>
    <row r="13" spans="1:32" x14ac:dyDescent="0.25">
      <c r="A13" s="1" t="s">
        <v>26</v>
      </c>
      <c r="B13" s="1" t="str">
        <f>VLOOKUP(A13,[15]LISTADHERENT!A$5:H$60,3,0)</f>
        <v>DONHOU DAVID</v>
      </c>
      <c r="C13" s="5">
        <v>570000</v>
      </c>
      <c r="D13" s="5">
        <v>253289.50601995771</v>
      </c>
      <c r="E13" s="36">
        <f>VLOOKUP($A13,[16]HISTOJANV22!$A$6:$BA$39,48,0)</f>
        <v>0</v>
      </c>
      <c r="F13" s="5">
        <f t="shared" si="1"/>
        <v>570000</v>
      </c>
      <c r="G13" s="6">
        <f t="shared" si="0"/>
        <v>63581.271563837232</v>
      </c>
      <c r="H13" s="6">
        <f t="shared" si="2"/>
        <v>826289.50601995771</v>
      </c>
      <c r="I13" s="36">
        <f>VLOOKUP($A13,[16]HISTOJANV22!$A$6:$AQ$37,22,0)</f>
        <v>0</v>
      </c>
      <c r="J13" s="36">
        <f>VLOOKUP($A13,[16]HISTOJANV22!$A$6:$AU$39,45,0)</f>
        <v>7000</v>
      </c>
      <c r="K13" s="36">
        <f t="shared" si="3"/>
        <v>3000</v>
      </c>
      <c r="L13" s="36">
        <f t="shared" si="4"/>
        <v>500</v>
      </c>
      <c r="M13" s="36">
        <f t="shared" si="5"/>
        <v>1000</v>
      </c>
      <c r="N13" s="36">
        <f t="shared" si="6"/>
        <v>2500</v>
      </c>
      <c r="O13" s="36">
        <f>VLOOKUP($A13,[16]HISTOJANV22!$A$6:$AU$39,7,0)</f>
        <v>0</v>
      </c>
      <c r="P13" s="36">
        <f>VLOOKUP($A13,[16]HISTOJANV22!$A$6:$AU$39,23,0)</f>
        <v>0</v>
      </c>
      <c r="Q13" s="36">
        <f>VLOOKUP($A13,[16]HISTOJANV22!$A$6:$AU$39,46,0)</f>
        <v>0</v>
      </c>
      <c r="R13" s="36">
        <f>VLOOKUP($A13,[16]HISTODEC21!$A$6:$AU$39,26,0)</f>
        <v>0</v>
      </c>
      <c r="S13" s="36">
        <f t="shared" si="7"/>
        <v>0</v>
      </c>
      <c r="T13" s="36">
        <f>VLOOKUP($A13,[16]HISTOJANV22!$A$6:$AU$39,28,0)</f>
        <v>0</v>
      </c>
      <c r="U13" s="36">
        <f>VLOOKUP($A13,[16]HISTOJANV22!$A$6:$AU$39,19,0)</f>
        <v>0</v>
      </c>
      <c r="V13" s="36">
        <f>VLOOKUP($A13,[16]HISTOJANV22!$A$6:$AU$39,20,0)</f>
        <v>0</v>
      </c>
      <c r="W13" s="36">
        <f>VLOOKUP($A13,[16]HISTOJANV22!$A$6:$AU$39,27,0)</f>
        <v>0</v>
      </c>
      <c r="X13" s="36">
        <f>VLOOKUP($A13,[16]HISTOJANV22!$A$6:$AU$39,33,0)</f>
        <v>0</v>
      </c>
      <c r="Y13" s="36"/>
      <c r="Z13" s="36"/>
      <c r="AA13" s="36">
        <f>VLOOKUP($A13,[16]HISTOJANV22!$A$6:$AU$39,43,0)</f>
        <v>0</v>
      </c>
      <c r="AB13" s="36">
        <f>VLOOKUP($A13,[16]HISTOJANV22!$A$6:$AU$39,44,0)</f>
        <v>0</v>
      </c>
      <c r="AC13" s="36">
        <f>VLOOKUP($A13,[16]HISTOJANV22!$A$6:$AU$39,47,0)</f>
        <v>0</v>
      </c>
      <c r="AD13" s="36">
        <f>VLOOKUP(A13,[16]HISTOJANV22!$A$6:$BB$36,54,0)</f>
        <v>70000</v>
      </c>
      <c r="AE13" s="2"/>
      <c r="AF13" s="2"/>
    </row>
    <row r="14" spans="1:32" x14ac:dyDescent="0.25">
      <c r="A14" s="1" t="s">
        <v>27</v>
      </c>
      <c r="B14" s="1" t="str">
        <f>VLOOKUP(A14,[15]LISTADHERENT!A$5:H$60,3,0)</f>
        <v>FOTSO THOMAS</v>
      </c>
      <c r="C14" s="5">
        <v>540000</v>
      </c>
      <c r="D14" s="5">
        <v>-2105.0985828532721</v>
      </c>
      <c r="E14" s="36">
        <f>VLOOKUP($A14,[16]HISTOJANV22!$A$6:$BA$39,48,0)</f>
        <v>0</v>
      </c>
      <c r="F14" s="5">
        <f t="shared" si="1"/>
        <v>540000</v>
      </c>
      <c r="G14" s="6">
        <f t="shared" si="0"/>
        <v>41389.902147663255</v>
      </c>
      <c r="H14" s="6">
        <f t="shared" si="2"/>
        <v>537894.90141714667</v>
      </c>
      <c r="I14" s="36">
        <f>VLOOKUP($A14,[16]HISTOJANV22!$A$6:$AQ$37,22,0)</f>
        <v>0</v>
      </c>
      <c r="J14" s="36">
        <f>VLOOKUP($A14,[16]HISTOJANV22!$A$6:$AU$39,45,0)</f>
        <v>0</v>
      </c>
      <c r="K14" s="36">
        <f t="shared" si="3"/>
        <v>0</v>
      </c>
      <c r="L14" s="36">
        <f t="shared" si="4"/>
        <v>0</v>
      </c>
      <c r="M14" s="36">
        <f t="shared" si="5"/>
        <v>0</v>
      </c>
      <c r="N14" s="36">
        <f t="shared" si="6"/>
        <v>0</v>
      </c>
      <c r="O14" s="36">
        <f>VLOOKUP($A14,[16]HISTOJANV22!$A$6:$AU$39,7,0)</f>
        <v>0</v>
      </c>
      <c r="P14" s="36">
        <f>VLOOKUP($A14,[16]HISTOJANV22!$A$6:$AU$39,23,0)</f>
        <v>0</v>
      </c>
      <c r="Q14" s="36">
        <f>VLOOKUP($A14,[16]HISTOJANV22!$A$6:$AU$39,46,0)</f>
        <v>0</v>
      </c>
      <c r="R14" s="36">
        <f>VLOOKUP($A14,[16]HISTODEC21!$A$6:$AU$39,26,0)</f>
        <v>1155000</v>
      </c>
      <c r="S14" s="36">
        <f>R14*0/1200*12</f>
        <v>0</v>
      </c>
      <c r="T14" s="36">
        <f>VLOOKUP($A14,[16]HISTOJANV22!$A$6:$AU$39,28,0)</f>
        <v>0</v>
      </c>
      <c r="U14" s="36">
        <f>VLOOKUP($A14,[16]HISTOJANV22!$A$6:$AU$39,19,0)</f>
        <v>0</v>
      </c>
      <c r="V14" s="36">
        <f>VLOOKUP($A14,[16]HISTOJANV22!$A$6:$AU$39,20,0)</f>
        <v>0</v>
      </c>
      <c r="W14" s="36" t="str">
        <f>VLOOKUP($A14,[16]HISTOJANV22!$A$6:$AU$39,27,0)</f>
        <v>BANQUE</v>
      </c>
      <c r="X14" s="36">
        <f>VLOOKUP($A14,[16]HISTOJANV22!$A$6:$AU$39,33,0)</f>
        <v>0</v>
      </c>
      <c r="Y14" s="36">
        <v>155000</v>
      </c>
      <c r="Z14" s="36"/>
      <c r="AA14" s="36">
        <f>VLOOKUP($A14,[16]HISTOJANV22!$A$6:$AU$39,43,0)</f>
        <v>0</v>
      </c>
      <c r="AB14" s="36">
        <f>VLOOKUP($A14,[16]HISTOJANV22!$A$6:$AU$39,44,0)</f>
        <v>0</v>
      </c>
      <c r="AC14" s="36">
        <f>VLOOKUP($A14,[16]HISTOJANV22!$A$6:$AU$39,47,0)</f>
        <v>0</v>
      </c>
      <c r="AD14" s="36">
        <f>VLOOKUP(A14,[16]HISTOJANV22!$A$6:$BB$36,54,0)</f>
        <v>0</v>
      </c>
      <c r="AE14" s="2"/>
      <c r="AF14" s="2"/>
    </row>
    <row r="15" spans="1:32" ht="14.25" customHeight="1" x14ac:dyDescent="0.25">
      <c r="A15" s="1" t="s">
        <v>28</v>
      </c>
      <c r="B15" s="1" t="str">
        <f>VLOOKUP(A15,[15]LISTADHERENT!A$5:H$60,3,0)</f>
        <v>HENGUE PAUL OMER</v>
      </c>
      <c r="C15" s="5">
        <v>570000</v>
      </c>
      <c r="D15" s="5">
        <v>3435.9669399686391</v>
      </c>
      <c r="E15" s="36">
        <f>VLOOKUP($A15,[16]HISTOJANV22!$A$6:$BA$39,48,0)</f>
        <v>0</v>
      </c>
      <c r="F15" s="5">
        <f t="shared" si="1"/>
        <v>570000</v>
      </c>
      <c r="G15" s="6">
        <f t="shared" si="0"/>
        <v>44355.55756929583</v>
      </c>
      <c r="H15" s="6">
        <f t="shared" si="2"/>
        <v>576435.96693996864</v>
      </c>
      <c r="I15" s="36">
        <f>VLOOKUP($A15,[16]HISTOJANV22!$A$6:$AQ$37,22,0)</f>
        <v>0</v>
      </c>
      <c r="J15" s="36">
        <f>VLOOKUP($A15,[16]HISTOJANV22!$A$6:$AU$39,45,0)</f>
        <v>7000</v>
      </c>
      <c r="K15" s="36">
        <f t="shared" si="3"/>
        <v>3000</v>
      </c>
      <c r="L15" s="36">
        <f t="shared" si="4"/>
        <v>500</v>
      </c>
      <c r="M15" s="36">
        <f t="shared" si="5"/>
        <v>1000</v>
      </c>
      <c r="N15" s="36">
        <f t="shared" si="6"/>
        <v>2500</v>
      </c>
      <c r="O15" s="36">
        <f>VLOOKUP($A15,[16]HISTOJANV22!$A$6:$AU$39,7,0)</f>
        <v>0</v>
      </c>
      <c r="P15" s="36">
        <f>VLOOKUP($A15,[16]HISTOJANV22!$A$6:$AU$39,23,0)</f>
        <v>0</v>
      </c>
      <c r="Q15" s="36">
        <f>VLOOKUP($A15,[16]HISTOJANV22!$A$6:$AU$39,46,0)</f>
        <v>0</v>
      </c>
      <c r="R15" s="36">
        <f>VLOOKUP($A15,[16]HISTODEC21!$A$6:$AU$39,26,0)</f>
        <v>0</v>
      </c>
      <c r="S15" s="36">
        <f t="shared" si="7"/>
        <v>0</v>
      </c>
      <c r="T15" s="36">
        <f>VLOOKUP($A15,[16]HISTOJANV22!$A$6:$AU$39,28,0)</f>
        <v>0</v>
      </c>
      <c r="U15" s="36">
        <f>VLOOKUP($A15,[16]HISTOJANV22!$A$6:$AU$39,19,0)</f>
        <v>0</v>
      </c>
      <c r="V15" s="36">
        <f>VLOOKUP($A15,[16]HISTOJANV22!$A$6:$AU$39,20,0)</f>
        <v>0</v>
      </c>
      <c r="W15" s="36">
        <f>VLOOKUP($A15,[16]HISTOJANV22!$A$6:$AU$39,27,0)</f>
        <v>0</v>
      </c>
      <c r="X15" s="36">
        <f>VLOOKUP($A15,[16]HISTOJANV22!$A$6:$AU$39,33,0)</f>
        <v>0</v>
      </c>
      <c r="Y15" s="36"/>
      <c r="Z15" s="36"/>
      <c r="AA15" s="36">
        <f>VLOOKUP($A15,[16]HISTOJANV22!$A$6:$AU$39,43,0)</f>
        <v>0</v>
      </c>
      <c r="AB15" s="36">
        <f>VLOOKUP($A15,[16]HISTOJANV22!$A$6:$AU$39,44,0)</f>
        <v>0</v>
      </c>
      <c r="AC15" s="36">
        <f>VLOOKUP($A15,[16]HISTOJANV22!$A$6:$AU$39,47,0)</f>
        <v>0</v>
      </c>
      <c r="AD15" s="36">
        <f>VLOOKUP(A15,[16]HISTOJANV22!$A$6:$BB$36,54,0)</f>
        <v>0</v>
      </c>
      <c r="AE15" s="2"/>
      <c r="AF15" s="2"/>
    </row>
    <row r="16" spans="1:32" x14ac:dyDescent="0.25">
      <c r="A16" s="1" t="s">
        <v>29</v>
      </c>
      <c r="B16" s="1" t="str">
        <f>VLOOKUP(A16,[15]LISTADHERENT!A$5:H$60,3,0)</f>
        <v>HOTCHO BENJAMIN</v>
      </c>
      <c r="C16" s="5">
        <v>570000</v>
      </c>
      <c r="D16" s="5">
        <v>17580.420303784544</v>
      </c>
      <c r="E16" s="36">
        <f>VLOOKUP($A16,[16]HISTOJANV22!$A$6:$BA$39,48,0)</f>
        <v>0</v>
      </c>
      <c r="F16" s="5">
        <f t="shared" si="1"/>
        <v>570000</v>
      </c>
      <c r="G16" s="6">
        <f t="shared" si="0"/>
        <v>48906.601148359099</v>
      </c>
      <c r="H16" s="6">
        <f t="shared" si="2"/>
        <v>635580.42030378454</v>
      </c>
      <c r="I16" s="36">
        <f>VLOOKUP($A16,[16]HISTOJANV22!$A$6:$AQ$37,22,0)</f>
        <v>0</v>
      </c>
      <c r="J16" s="36">
        <f>VLOOKUP($A16,[16]HISTOJANV22!$A$6:$AU$39,45,0)</f>
        <v>52000</v>
      </c>
      <c r="K16" s="36">
        <f t="shared" si="3"/>
        <v>48000</v>
      </c>
      <c r="L16" s="36">
        <f t="shared" si="4"/>
        <v>500</v>
      </c>
      <c r="M16" s="36">
        <f t="shared" si="5"/>
        <v>1000</v>
      </c>
      <c r="N16" s="36">
        <f t="shared" si="6"/>
        <v>2500</v>
      </c>
      <c r="O16" s="36">
        <f>VLOOKUP($A16,[16]HISTOJANV22!$A$6:$AU$39,7,0)</f>
        <v>0</v>
      </c>
      <c r="P16" s="36">
        <f>VLOOKUP($A16,[16]HISTOJANV22!$A$6:$AU$39,23,0)</f>
        <v>0</v>
      </c>
      <c r="Q16" s="36">
        <f>VLOOKUP($A16,[16]HISTOJANV22!$A$6:$AU$39,46,0)</f>
        <v>0</v>
      </c>
      <c r="R16" s="36">
        <f>VLOOKUP($A16,[16]HISTODEC21!$A$6:$AU$39,26,0)</f>
        <v>0</v>
      </c>
      <c r="S16" s="36">
        <f t="shared" si="7"/>
        <v>0</v>
      </c>
      <c r="T16" s="36">
        <f>VLOOKUP($A16,[16]HISTOJANV22!$A$6:$AU$39,28,0)</f>
        <v>0</v>
      </c>
      <c r="U16" s="36">
        <f>VLOOKUP($A16,[16]HISTOJANV22!$A$6:$AU$39,19,0)</f>
        <v>0</v>
      </c>
      <c r="V16" s="36">
        <f>VLOOKUP($A16,[16]HISTOJANV22!$A$6:$AU$39,20,0)</f>
        <v>0</v>
      </c>
      <c r="W16" s="36">
        <f>VLOOKUP($A16,[16]HISTOJANV22!$A$6:$AU$39,27,0)</f>
        <v>0</v>
      </c>
      <c r="X16" s="36">
        <f>VLOOKUP($A16,[16]HISTOJANV22!$A$6:$AU$39,33,0)</f>
        <v>0</v>
      </c>
      <c r="Y16" s="36"/>
      <c r="Z16" s="36"/>
      <c r="AA16" s="36">
        <f>VLOOKUP($A16,[16]HISTOJANV22!$A$6:$AU$39,43,0)</f>
        <v>0</v>
      </c>
      <c r="AB16" s="36">
        <f>VLOOKUP($A16,[16]HISTOJANV22!$A$6:$AU$39,44,0)</f>
        <v>0</v>
      </c>
      <c r="AC16" s="36">
        <f>VLOOKUP($A16,[16]HISTOJANV22!$A$6:$AU$39,47,0)</f>
        <v>0</v>
      </c>
      <c r="AD16" s="36">
        <f>VLOOKUP(A16,[16]HISTOJANV22!$A$6:$BB$36,54,0)</f>
        <v>70000</v>
      </c>
      <c r="AE16" s="2"/>
      <c r="AF16" s="2"/>
    </row>
    <row r="17" spans="1:32" x14ac:dyDescent="0.25">
      <c r="A17" s="1" t="s">
        <v>33</v>
      </c>
      <c r="B17" s="1" t="str">
        <f>VLOOKUP(A17,[15]LISTADHERENT!A$5:H$60,3,0)</f>
        <v>KOUAMOU MOISE</v>
      </c>
      <c r="C17" s="5">
        <v>570000</v>
      </c>
      <c r="D17" s="5">
        <v>5406.5483426781138</v>
      </c>
      <c r="E17" s="36">
        <f>VLOOKUP($A17,[16]HISTOJANV22!$A$6:$BA$39,48,0)</f>
        <v>0</v>
      </c>
      <c r="F17" s="5">
        <f t="shared" si="1"/>
        <v>570000</v>
      </c>
      <c r="G17" s="6">
        <f t="shared" si="0"/>
        <v>44507.189739850459</v>
      </c>
      <c r="H17" s="6">
        <f t="shared" si="2"/>
        <v>578406.54834267811</v>
      </c>
      <c r="I17" s="36">
        <f>VLOOKUP($A17,[16]HISTOJANV22!$A$6:$AQ$37,22,0)</f>
        <v>0</v>
      </c>
      <c r="J17" s="36">
        <f>VLOOKUP($A17,[16]HISTOJANV22!$A$6:$AU$39,45,0)</f>
        <v>7000</v>
      </c>
      <c r="K17" s="36">
        <f t="shared" si="3"/>
        <v>3000</v>
      </c>
      <c r="L17" s="36">
        <f t="shared" si="4"/>
        <v>500</v>
      </c>
      <c r="M17" s="36">
        <f t="shared" si="5"/>
        <v>1000</v>
      </c>
      <c r="N17" s="36">
        <f t="shared" si="6"/>
        <v>2500</v>
      </c>
      <c r="O17" s="36">
        <f>VLOOKUP($A17,[16]HISTOJANV22!$A$6:$AU$39,7,0)</f>
        <v>0</v>
      </c>
      <c r="P17" s="36">
        <f>VLOOKUP($A17,[16]HISTOJANV22!$A$6:$AU$39,23,0)</f>
        <v>0</v>
      </c>
      <c r="Q17" s="36">
        <f>VLOOKUP($A17,[16]HISTOJANV22!$A$6:$AU$39,46,0)</f>
        <v>0</v>
      </c>
      <c r="R17" s="36">
        <f>VLOOKUP($A17,[16]HISTODEC21!$A$6:$AU$39,26,0)</f>
        <v>0</v>
      </c>
      <c r="S17" s="36">
        <f t="shared" si="7"/>
        <v>0</v>
      </c>
      <c r="T17" s="36">
        <f>VLOOKUP($A17,[16]HISTOJANV22!$A$6:$AU$39,28,0)</f>
        <v>0</v>
      </c>
      <c r="U17" s="36">
        <f>VLOOKUP($A17,[16]HISTOJANV22!$A$6:$AU$39,19,0)</f>
        <v>0</v>
      </c>
      <c r="V17" s="36">
        <f>VLOOKUP($A17,[16]HISTOJANV22!$A$6:$AU$39,20,0)</f>
        <v>0</v>
      </c>
      <c r="W17" s="36">
        <f>VLOOKUP($A17,[16]HISTOJANV22!$A$6:$AU$39,27,0)</f>
        <v>0</v>
      </c>
      <c r="X17" s="36">
        <f>VLOOKUP($A17,[16]HISTOJANV22!$A$6:$AU$39,33,0)</f>
        <v>0</v>
      </c>
      <c r="Y17" s="36"/>
      <c r="Z17" s="36"/>
      <c r="AA17" s="36">
        <f>VLOOKUP($A17,[16]HISTOJANV22!$A$6:$AU$39,43,0)</f>
        <v>0</v>
      </c>
      <c r="AB17" s="36">
        <f>VLOOKUP($A17,[16]HISTOJANV22!$A$6:$AU$39,44,0)</f>
        <v>0</v>
      </c>
      <c r="AC17" s="36">
        <f>VLOOKUP($A17,[16]HISTOJANV22!$A$6:$AU$39,47,0)</f>
        <v>0</v>
      </c>
      <c r="AD17" s="36">
        <f>VLOOKUP(A17,[16]HISTOJANV22!$A$6:$BB$36,54,0)</f>
        <v>0</v>
      </c>
      <c r="AE17" s="2"/>
      <c r="AF17" s="2"/>
    </row>
    <row r="18" spans="1:32" x14ac:dyDescent="0.25">
      <c r="A18" s="1" t="s">
        <v>35</v>
      </c>
      <c r="B18" s="1" t="str">
        <f>VLOOKUP(A18,[15]LISTADHERENT!A$5:H$60,3,0)</f>
        <v>KOUATCHO MESSACK</v>
      </c>
      <c r="C18" s="5">
        <v>570000</v>
      </c>
      <c r="D18" s="5">
        <v>8241.6184045160044</v>
      </c>
      <c r="E18" s="36">
        <f>VLOOKUP($A18,[16]HISTOJANV22!$A$6:$BA$39,48,0)</f>
        <v>0</v>
      </c>
      <c r="F18" s="5">
        <f t="shared" si="1"/>
        <v>570000</v>
      </c>
      <c r="G18" s="6">
        <f t="shared" si="0"/>
        <v>44725.342527936176</v>
      </c>
      <c r="H18" s="6">
        <f t="shared" si="2"/>
        <v>581241.61840451602</v>
      </c>
      <c r="I18" s="36">
        <f>VLOOKUP($A18,[16]HISTOJANV22!$A$6:$AQ$37,22,0)</f>
        <v>0</v>
      </c>
      <c r="J18" s="36">
        <f>VLOOKUP($A18,[16]HISTOJANV22!$A$6:$AU$39,45,0)</f>
        <v>7000</v>
      </c>
      <c r="K18" s="36">
        <f t="shared" si="3"/>
        <v>3000</v>
      </c>
      <c r="L18" s="36">
        <f t="shared" si="4"/>
        <v>500</v>
      </c>
      <c r="M18" s="36">
        <f t="shared" si="5"/>
        <v>1000</v>
      </c>
      <c r="N18" s="36">
        <f t="shared" si="6"/>
        <v>2500</v>
      </c>
      <c r="O18" s="36">
        <f>VLOOKUP($A18,[16]HISTOJANV22!$A$6:$AU$39,7,0)</f>
        <v>0</v>
      </c>
      <c r="P18" s="36">
        <f>VLOOKUP($A18,[16]HISTOJANV22!$A$6:$AU$39,23,0)</f>
        <v>0</v>
      </c>
      <c r="Q18" s="36">
        <f>VLOOKUP($A18,[16]HISTOJANV22!$A$6:$AU$39,46,0)</f>
        <v>0</v>
      </c>
      <c r="R18" s="36">
        <f>VLOOKUP($A18,[16]HISTODEC21!$A$6:$AU$39,26,0)</f>
        <v>1000000</v>
      </c>
      <c r="S18" s="36">
        <f t="shared" si="7"/>
        <v>120000</v>
      </c>
      <c r="T18" s="36" t="str">
        <f>VLOOKUP($A18,[16]HISTOJANV22!$A$6:$AU$39,28,0)</f>
        <v>OKK</v>
      </c>
      <c r="U18" s="36">
        <f>VLOOKUP($A18,[16]HISTOJANV22!$A$6:$AU$39,19,0)</f>
        <v>0</v>
      </c>
      <c r="V18" s="36">
        <f>VLOOKUP($A18,[16]HISTOJANV22!$A$6:$AU$39,20,0)</f>
        <v>0</v>
      </c>
      <c r="W18" s="36" t="str">
        <f>VLOOKUP($A18,[16]HISTOJANV22!$A$6:$AU$39,27,0)</f>
        <v>BANQUE</v>
      </c>
      <c r="X18" s="36">
        <f>VLOOKUP($A18,[16]HISTOJANV22!$A$6:$AU$39,33,0)</f>
        <v>0</v>
      </c>
      <c r="Y18" s="36"/>
      <c r="Z18" s="36"/>
      <c r="AA18" s="36">
        <f>VLOOKUP($A18,[16]HISTOJANV22!$A$6:$AU$39,43,0)</f>
        <v>0</v>
      </c>
      <c r="AB18" s="36">
        <f>VLOOKUP($A18,[16]HISTOJANV22!$A$6:$AU$39,44,0)</f>
        <v>0</v>
      </c>
      <c r="AC18" s="36">
        <f>VLOOKUP($A18,[16]HISTOJANV22!$A$6:$AU$39,47,0)</f>
        <v>0</v>
      </c>
      <c r="AD18" s="36">
        <f>VLOOKUP(A18,[16]HISTOJANV22!$A$6:$BB$36,54,0)</f>
        <v>0</v>
      </c>
      <c r="AE18" s="2"/>
      <c r="AF18" s="2"/>
    </row>
    <row r="19" spans="1:32" x14ac:dyDescent="0.25">
      <c r="A19" s="1" t="s">
        <v>36</v>
      </c>
      <c r="B19" s="1" t="str">
        <f>VLOOKUP(A19,[15]LISTADHERENT!A$5:H$60,3,0)</f>
        <v>LOWE JEAN</v>
      </c>
      <c r="C19" s="5">
        <v>570000</v>
      </c>
      <c r="D19" s="5">
        <v>393.95927050459431</v>
      </c>
      <c r="E19" s="36">
        <f>VLOOKUP($A19,[16]HISTOJANV22!$A$6:$BA$39,48,0)</f>
        <v>0</v>
      </c>
      <c r="F19" s="5">
        <f t="shared" si="1"/>
        <v>570000</v>
      </c>
      <c r="G19" s="6">
        <f t="shared" si="0"/>
        <v>44121.481359538426</v>
      </c>
      <c r="H19" s="6">
        <f t="shared" si="2"/>
        <v>573393.95927050454</v>
      </c>
      <c r="I19" s="36">
        <f>VLOOKUP($A19,[16]HISTOJANV22!$A$6:$AQ$37,22,0)</f>
        <v>0</v>
      </c>
      <c r="J19" s="36">
        <f>VLOOKUP($A19,[16]HISTOJANV22!$A$6:$AU$39,45,0)</f>
        <v>7000</v>
      </c>
      <c r="K19" s="36">
        <f t="shared" si="3"/>
        <v>3000</v>
      </c>
      <c r="L19" s="36">
        <f t="shared" si="4"/>
        <v>500</v>
      </c>
      <c r="M19" s="36">
        <f t="shared" si="5"/>
        <v>1000</v>
      </c>
      <c r="N19" s="36">
        <f t="shared" si="6"/>
        <v>2500</v>
      </c>
      <c r="O19" s="36">
        <f>VLOOKUP($A19,[16]HISTOJANV22!$A$6:$AU$39,7,0)</f>
        <v>0</v>
      </c>
      <c r="P19" s="36">
        <f>VLOOKUP($A19,[16]HISTOJANV22!$A$6:$AU$39,23,0)</f>
        <v>0</v>
      </c>
      <c r="Q19" s="36">
        <f>VLOOKUP($A19,[16]HISTOJANV22!$A$6:$AU$39,46,0)</f>
        <v>0</v>
      </c>
      <c r="R19" s="36">
        <f>VLOOKUP($A19,[16]HISTODEC21!$A$6:$AU$39,26,0)</f>
        <v>500000</v>
      </c>
      <c r="S19" s="36">
        <f t="shared" si="7"/>
        <v>60000</v>
      </c>
      <c r="T19" s="36" t="str">
        <f>VLOOKUP($A19,[16]HISTOJANV22!$A$6:$AU$39,28,0)</f>
        <v>OKK</v>
      </c>
      <c r="U19" s="36">
        <f>VLOOKUP($A19,[16]HISTOJANV22!$A$6:$AU$39,19,0)</f>
        <v>0</v>
      </c>
      <c r="V19" s="36">
        <f>VLOOKUP($A19,[16]HISTOJANV22!$A$6:$AU$39,20,0)</f>
        <v>0</v>
      </c>
      <c r="W19" s="36" t="str">
        <f>VLOOKUP($A19,[16]HISTOJANV22!$A$6:$AU$39,27,0)</f>
        <v>BANQUE</v>
      </c>
      <c r="X19" s="36">
        <f>VLOOKUP($A19,[16]HISTOJANV22!$A$6:$AU$39,33,0)</f>
        <v>0</v>
      </c>
      <c r="Y19" s="36"/>
      <c r="Z19" s="36"/>
      <c r="AA19" s="36">
        <f>VLOOKUP($A19,[16]HISTOJANV22!$A$6:$AU$39,43,0)</f>
        <v>0</v>
      </c>
      <c r="AB19" s="36">
        <f>VLOOKUP($A19,[16]HISTOJANV22!$A$6:$AU$39,44,0)</f>
        <v>0</v>
      </c>
      <c r="AC19" s="36">
        <f>VLOOKUP($A19,[16]HISTOJANV22!$A$6:$AU$39,47,0)</f>
        <v>0</v>
      </c>
      <c r="AD19" s="36">
        <f>VLOOKUP(A19,[16]HISTOJANV22!$A$6:$BB$36,54,0)</f>
        <v>0</v>
      </c>
      <c r="AE19" s="2"/>
      <c r="AF19" s="2"/>
    </row>
    <row r="20" spans="1:32" x14ac:dyDescent="0.25">
      <c r="A20" s="1" t="s">
        <v>75</v>
      </c>
      <c r="B20" s="1" t="str">
        <f>VLOOKUP(A20,[15]LISTADHERENT!A$5:H$60,3,0)</f>
        <v>MBOGNING TUGMA GUY</v>
      </c>
      <c r="C20" s="5">
        <v>570000</v>
      </c>
      <c r="D20" s="5">
        <v>112.46348617674084</v>
      </c>
      <c r="E20" s="36">
        <f>VLOOKUP($A20,[16]HISTOJANV22!$A$6:$BA$39,48,0)</f>
        <v>0</v>
      </c>
      <c r="F20" s="5">
        <f t="shared" si="1"/>
        <v>570000</v>
      </c>
      <c r="G20" s="6">
        <f t="shared" si="0"/>
        <v>44099.820840099375</v>
      </c>
      <c r="H20" s="6">
        <f t="shared" si="2"/>
        <v>573112.46348617668</v>
      </c>
      <c r="I20" s="36">
        <f>VLOOKUP($A20,[16]HISTOJANV22!$A$6:$AQ$37,22,0)</f>
        <v>0</v>
      </c>
      <c r="J20" s="36">
        <f>VLOOKUP($A20,[16]HISTOJANV22!$A$6:$AU$39,45,0)</f>
        <v>7000</v>
      </c>
      <c r="K20" s="36">
        <f t="shared" si="3"/>
        <v>3000</v>
      </c>
      <c r="L20" s="36">
        <f t="shared" si="4"/>
        <v>500</v>
      </c>
      <c r="M20" s="36">
        <f t="shared" si="5"/>
        <v>1000</v>
      </c>
      <c r="N20" s="36">
        <f t="shared" si="6"/>
        <v>2500</v>
      </c>
      <c r="O20" s="36">
        <f>VLOOKUP($A20,[16]HISTOJANV22!$A$6:$AU$39,7,0)</f>
        <v>0</v>
      </c>
      <c r="P20" s="36">
        <f>VLOOKUP($A20,[16]HISTOJANV22!$A$6:$AU$39,23,0)</f>
        <v>0</v>
      </c>
      <c r="Q20" s="36">
        <f>VLOOKUP($A20,[16]HISTOJANV22!$A$6:$AU$39,46,0)</f>
        <v>0</v>
      </c>
      <c r="R20" s="36">
        <f>VLOOKUP($A20,[16]HISTODEC21!$A$6:$AU$39,26,0)</f>
        <v>1050000</v>
      </c>
      <c r="S20" s="36">
        <f t="shared" si="7"/>
        <v>126000</v>
      </c>
      <c r="T20" s="36">
        <f>VLOOKUP($A20,[16]HISTOJANV22!$A$6:$AU$39,28,0)</f>
        <v>0</v>
      </c>
      <c r="U20" s="36">
        <f>VLOOKUP($A20,[16]HISTOJANV22!$A$6:$AU$39,19,0)</f>
        <v>1050000</v>
      </c>
      <c r="V20" s="36" t="str">
        <f>VLOOKUP($A20,[16]HISTOJANV22!$A$6:$AU$39,20,0)</f>
        <v>BANQUE</v>
      </c>
      <c r="W20" s="36" t="str">
        <f>VLOOKUP($A20,[16]HISTOJANV22!$A$6:$AU$39,27,0)</f>
        <v>BANQUE</v>
      </c>
      <c r="X20" s="36">
        <f>VLOOKUP($A20,[16]HISTOJANV22!$A$6:$AU$39,33,0)</f>
        <v>0</v>
      </c>
      <c r="Y20" s="36"/>
      <c r="Z20" s="36"/>
      <c r="AA20" s="36">
        <f>VLOOKUP($A20,[16]HISTOJANV22!$A$6:$AU$39,43,0)</f>
        <v>0</v>
      </c>
      <c r="AB20" s="36">
        <f>VLOOKUP($A20,[16]HISTOJANV22!$A$6:$AU$39,44,0)</f>
        <v>0</v>
      </c>
      <c r="AC20" s="36">
        <f>VLOOKUP($A20,[16]HISTOJANV22!$A$6:$AU$39,47,0)</f>
        <v>0</v>
      </c>
      <c r="AD20" s="36">
        <f>VLOOKUP(A20,[16]HISTOJANV22!$A$6:$BB$36,54,0)</f>
        <v>0</v>
      </c>
      <c r="AE20" s="2"/>
      <c r="AF20" s="2"/>
    </row>
    <row r="21" spans="1:32" x14ac:dyDescent="0.25">
      <c r="A21" s="1" t="s">
        <v>50</v>
      </c>
      <c r="B21" s="1" t="str">
        <f>VLOOKUP(A21,[15]LISTADHERENT!A$5:H$60,3,0)</f>
        <v>NANGUEN MARTIN</v>
      </c>
      <c r="C21" s="5">
        <v>570000</v>
      </c>
      <c r="D21" s="5">
        <v>30757.615134780004</v>
      </c>
      <c r="E21" s="36">
        <f>VLOOKUP($A21,[16]HISTOJANV22!$A$6:$BA$39,48,0)</f>
        <v>0</v>
      </c>
      <c r="F21" s="5">
        <f t="shared" si="1"/>
        <v>570000</v>
      </c>
      <c r="G21" s="6">
        <f t="shared" si="0"/>
        <v>46457.901990700077</v>
      </c>
      <c r="H21" s="6">
        <f t="shared" si="2"/>
        <v>603757.61513478006</v>
      </c>
      <c r="I21" s="36">
        <f>VLOOKUP($A21,[16]HISTOJANV22!$A$6:$AQ$37,22,0)</f>
        <v>0</v>
      </c>
      <c r="J21" s="36">
        <f>VLOOKUP($A21,[16]HISTOJANV22!$A$6:$AU$39,45,0)</f>
        <v>7000</v>
      </c>
      <c r="K21" s="36">
        <f t="shared" si="3"/>
        <v>3000</v>
      </c>
      <c r="L21" s="36">
        <f t="shared" si="4"/>
        <v>500</v>
      </c>
      <c r="M21" s="36">
        <f t="shared" si="5"/>
        <v>1000</v>
      </c>
      <c r="N21" s="36">
        <f t="shared" si="6"/>
        <v>2500</v>
      </c>
      <c r="O21" s="36">
        <f>VLOOKUP($A21,[16]HISTOJANV22!$A$6:$AU$39,7,0)</f>
        <v>0</v>
      </c>
      <c r="P21" s="36">
        <f>VLOOKUP($A21,[16]HISTOJANV22!$A$6:$AU$39,23,0)</f>
        <v>0</v>
      </c>
      <c r="Q21" s="36">
        <f>VLOOKUP($A21,[16]HISTOJANV22!$A$6:$AU$39,46,0)</f>
        <v>0</v>
      </c>
      <c r="R21" s="36">
        <f>VLOOKUP($A21,[16]HISTODEC21!$A$6:$AU$39,26,0)</f>
        <v>0</v>
      </c>
      <c r="S21" s="36">
        <f t="shared" si="7"/>
        <v>0</v>
      </c>
      <c r="T21" s="36">
        <f>VLOOKUP($A21,[16]HISTOJANV22!$A$6:$AU$39,28,0)</f>
        <v>0</v>
      </c>
      <c r="U21" s="36">
        <f>VLOOKUP($A21,[16]HISTOJANV22!$A$6:$AU$39,19,0)</f>
        <v>0</v>
      </c>
      <c r="V21" s="36">
        <f>VLOOKUP($A21,[16]HISTOJANV22!$A$6:$AU$39,20,0)</f>
        <v>0</v>
      </c>
      <c r="W21" s="36">
        <f>VLOOKUP($A21,[16]HISTOJANV22!$A$6:$AU$39,27,0)</f>
        <v>0</v>
      </c>
      <c r="X21" s="36">
        <f>VLOOKUP($A21,[16]HISTOJANV22!$A$6:$AU$39,33,0)</f>
        <v>0</v>
      </c>
      <c r="Y21" s="36"/>
      <c r="Z21" s="36"/>
      <c r="AA21" s="36">
        <f>VLOOKUP($A21,[16]HISTOJANV22!$A$6:$AU$39,43,0)</f>
        <v>0</v>
      </c>
      <c r="AB21" s="36">
        <f>VLOOKUP($A21,[16]HISTOJANV22!$A$6:$AU$39,44,0)</f>
        <v>0</v>
      </c>
      <c r="AC21" s="36">
        <f>VLOOKUP($A21,[16]HISTOJANV22!$A$6:$AU$39,47,0)</f>
        <v>0</v>
      </c>
      <c r="AD21" s="36">
        <f>VLOOKUP(A21,[16]HISTOJANV22!$A$6:$BB$36,54,0)</f>
        <v>0</v>
      </c>
      <c r="AE21" s="2"/>
      <c r="AF21" s="2"/>
    </row>
    <row r="22" spans="1:32" x14ac:dyDescent="0.25">
      <c r="A22" s="1" t="s">
        <v>37</v>
      </c>
      <c r="B22" s="1" t="str">
        <f>VLOOKUP(A22,[15]LISTADHERENT!A$5:H$60,3,0)</f>
        <v>NANKAM APPOLINAIRE</v>
      </c>
      <c r="C22" s="5">
        <v>570000</v>
      </c>
      <c r="D22" s="5">
        <v>84601.912290623644</v>
      </c>
      <c r="E22" s="36">
        <f>VLOOKUP($A22,[16]HISTOJANV22!$A$6:$BA$39,48,0)</f>
        <v>0</v>
      </c>
      <c r="F22" s="5">
        <f t="shared" si="1"/>
        <v>570000</v>
      </c>
      <c r="G22" s="6">
        <f t="shared" si="0"/>
        <v>50601.109492051248</v>
      </c>
      <c r="H22" s="6">
        <f t="shared" si="2"/>
        <v>657601.91229062364</v>
      </c>
      <c r="I22" s="36">
        <f>VLOOKUP($A22,[16]HISTOJANV22!$A$6:$AQ$37,22,0)</f>
        <v>0</v>
      </c>
      <c r="J22" s="36">
        <f>VLOOKUP($A22,[16]HISTOJANV22!$A$6:$AU$39,45,0)</f>
        <v>7000</v>
      </c>
      <c r="K22" s="36">
        <f t="shared" si="3"/>
        <v>3000</v>
      </c>
      <c r="L22" s="36">
        <f t="shared" si="4"/>
        <v>500</v>
      </c>
      <c r="M22" s="36">
        <f t="shared" si="5"/>
        <v>1000</v>
      </c>
      <c r="N22" s="36">
        <f t="shared" si="6"/>
        <v>2500</v>
      </c>
      <c r="O22" s="36">
        <f>VLOOKUP($A22,[16]HISTOJANV22!$A$6:$AU$39,7,0)</f>
        <v>0</v>
      </c>
      <c r="P22" s="36">
        <f>VLOOKUP($A22,[16]HISTOJANV22!$A$6:$AU$39,23,0)</f>
        <v>0</v>
      </c>
      <c r="Q22" s="36">
        <f>VLOOKUP($A22,[16]HISTOJANV22!$A$6:$AU$39,46,0)</f>
        <v>0</v>
      </c>
      <c r="R22" s="36">
        <f>VLOOKUP($A22,[16]HISTODEC21!$A$6:$AU$39,26,0)</f>
        <v>924000</v>
      </c>
      <c r="S22" s="36">
        <f t="shared" si="7"/>
        <v>110880</v>
      </c>
      <c r="T22" s="36">
        <f>VLOOKUP($A22,[16]HISTOJANV22!$A$6:$AU$39,28,0)</f>
        <v>0</v>
      </c>
      <c r="U22" s="36">
        <f>VLOOKUP($A22,[16]HISTOJANV22!$A$6:$AU$39,19,0)</f>
        <v>924000</v>
      </c>
      <c r="V22" s="36" t="str">
        <f>VLOOKUP($A22,[16]HISTOJANV22!$A$6:$AU$39,20,0)</f>
        <v>BANQUE</v>
      </c>
      <c r="W22" s="36">
        <f>VLOOKUP($A22,[16]HISTOJANV22!$A$6:$AU$39,27,0)</f>
        <v>0</v>
      </c>
      <c r="X22" s="36">
        <f>VLOOKUP($A22,[16]HISTOJANV22!$A$6:$AU$39,33,0)</f>
        <v>0</v>
      </c>
      <c r="Y22" s="36">
        <v>50000</v>
      </c>
      <c r="Z22" s="36"/>
      <c r="AA22" s="36">
        <f>VLOOKUP($A22,[16]HISTOJANV22!$A$6:$AU$39,43,0)</f>
        <v>0</v>
      </c>
      <c r="AB22" s="36">
        <f>VLOOKUP($A22,[16]HISTOJANV22!$A$6:$AU$39,44,0)</f>
        <v>0</v>
      </c>
      <c r="AC22" s="36">
        <f>VLOOKUP($A22,[16]HISTOJANV22!$A$6:$AU$39,47,0)</f>
        <v>0</v>
      </c>
      <c r="AD22" s="36">
        <f>VLOOKUP(A22,[16]HISTOJANV22!$A$6:$BB$36,54,0)</f>
        <v>0</v>
      </c>
      <c r="AE22" s="2"/>
      <c r="AF22" s="2"/>
    </row>
    <row r="23" spans="1:32" x14ac:dyDescent="0.25">
      <c r="A23" s="1" t="s">
        <v>38</v>
      </c>
      <c r="B23" s="1" t="str">
        <f>VLOOKUP(A23,[15]LISTADHERENT!A$5:H$60,3,0)</f>
        <v>NDJOMO ETIENNE</v>
      </c>
      <c r="C23" s="5">
        <v>570000</v>
      </c>
      <c r="D23" s="5">
        <v>101446.16753987665</v>
      </c>
      <c r="E23" s="36">
        <f>VLOOKUP($A23,[16]HISTOJANV22!$A$6:$BA$39,48,0)</f>
        <v>0</v>
      </c>
      <c r="F23" s="5">
        <f t="shared" si="1"/>
        <v>570000</v>
      </c>
      <c r="G23" s="6">
        <f t="shared" si="0"/>
        <v>52666.719511901232</v>
      </c>
      <c r="H23" s="6">
        <f t="shared" si="2"/>
        <v>684446.16753987665</v>
      </c>
      <c r="I23" s="36">
        <f>VLOOKUP($A23,[16]HISTOJANV22!$A$6:$AQ$37,22,0)</f>
        <v>0</v>
      </c>
      <c r="J23" s="36">
        <f>VLOOKUP($A23,[16]HISTOJANV22!$A$6:$AU$39,45,0)</f>
        <v>17000</v>
      </c>
      <c r="K23" s="36">
        <f t="shared" si="3"/>
        <v>13000</v>
      </c>
      <c r="L23" s="36">
        <f t="shared" si="4"/>
        <v>500</v>
      </c>
      <c r="M23" s="36">
        <f t="shared" si="5"/>
        <v>1000</v>
      </c>
      <c r="N23" s="36">
        <f t="shared" si="6"/>
        <v>2500</v>
      </c>
      <c r="O23" s="36">
        <f>VLOOKUP($A23,[16]HISTOJANV22!$A$6:$AU$39,7,0)</f>
        <v>0</v>
      </c>
      <c r="P23" s="36">
        <f>VLOOKUP($A23,[16]HISTOJANV22!$A$6:$AU$39,23,0)</f>
        <v>0</v>
      </c>
      <c r="Q23" s="36">
        <f>VLOOKUP($A23,[16]HISTOJANV22!$A$6:$AU$39,46,0)</f>
        <v>0</v>
      </c>
      <c r="R23" s="36">
        <f>VLOOKUP($A23,[16]HISTODEC21!$A$6:$AU$39,26,0)</f>
        <v>500000</v>
      </c>
      <c r="S23" s="36">
        <f t="shared" si="7"/>
        <v>60000</v>
      </c>
      <c r="T23" s="36" t="str">
        <f>VLOOKUP($A23,[16]HISTOJANV22!$A$6:$AU$39,28,0)</f>
        <v>OKK</v>
      </c>
      <c r="U23" s="36">
        <f>VLOOKUP($A23,[16]HISTOJANV22!$A$6:$AU$39,19,0)</f>
        <v>0</v>
      </c>
      <c r="V23" s="36">
        <f>VLOOKUP($A23,[16]HISTOJANV22!$A$6:$AU$39,20,0)</f>
        <v>0</v>
      </c>
      <c r="W23" s="36" t="str">
        <f>VLOOKUP($A23,[16]HISTOJANV22!$A$6:$AU$39,27,0)</f>
        <v>BANQUE</v>
      </c>
      <c r="X23" s="36">
        <f>VLOOKUP($A23,[16]HISTOJANV22!$A$6:$AU$39,33,0)</f>
        <v>0</v>
      </c>
      <c r="Y23" s="36"/>
      <c r="Z23" s="36"/>
      <c r="AA23" s="36">
        <f>VLOOKUP($A23,[16]HISTOJANV22!$A$6:$AU$39,43,0)</f>
        <v>0</v>
      </c>
      <c r="AB23" s="36">
        <f>VLOOKUP($A23,[16]HISTOJANV22!$A$6:$AU$39,44,0)</f>
        <v>0</v>
      </c>
      <c r="AC23" s="36">
        <f>VLOOKUP($A23,[16]HISTOJANV22!$A$6:$AU$39,47,0)</f>
        <v>0</v>
      </c>
      <c r="AD23" s="36">
        <f>VLOOKUP(A23,[16]HISTOJANV22!$A$6:$BB$36,54,0)</f>
        <v>0</v>
      </c>
      <c r="AE23" s="2"/>
      <c r="AF23" s="2"/>
    </row>
    <row r="24" spans="1:32" x14ac:dyDescent="0.25">
      <c r="A24" s="1" t="s">
        <v>39</v>
      </c>
      <c r="B24" s="1" t="str">
        <f>VLOOKUP(A24,[15]LISTADHERENT!A$5:H$60,3,0)</f>
        <v>NGONDIEP CLAUDE</v>
      </c>
      <c r="C24" s="5">
        <v>570000</v>
      </c>
      <c r="D24" s="5">
        <v>2927.3714496080356</v>
      </c>
      <c r="E24" s="36">
        <f>VLOOKUP($A24,[16]HISTOJANV22!$A$6:$BA$39,48,0)</f>
        <v>0</v>
      </c>
      <c r="F24" s="5">
        <f t="shared" si="1"/>
        <v>570000</v>
      </c>
      <c r="G24" s="6">
        <f t="shared" si="0"/>
        <v>44701.161873537749</v>
      </c>
      <c r="H24" s="6">
        <f t="shared" si="2"/>
        <v>580927.37144960801</v>
      </c>
      <c r="I24" s="36">
        <f>VLOOKUP($A24,[16]HISTOJANV22!$A$6:$AQ$37,22,0)</f>
        <v>0</v>
      </c>
      <c r="J24" s="36">
        <f>VLOOKUP($A24,[16]HISTOJANV22!$A$6:$AU$39,45,0)</f>
        <v>12000</v>
      </c>
      <c r="K24" s="36">
        <f t="shared" si="3"/>
        <v>8000</v>
      </c>
      <c r="L24" s="36">
        <f t="shared" si="4"/>
        <v>500</v>
      </c>
      <c r="M24" s="36">
        <f t="shared" si="5"/>
        <v>1000</v>
      </c>
      <c r="N24" s="36">
        <f t="shared" si="6"/>
        <v>2500</v>
      </c>
      <c r="O24" s="36">
        <f>VLOOKUP($A24,[16]HISTOJANV22!$A$6:$AU$39,7,0)</f>
        <v>0</v>
      </c>
      <c r="P24" s="36">
        <f>VLOOKUP($A24,[16]HISTOJANV22!$A$6:$AU$39,23,0)</f>
        <v>0</v>
      </c>
      <c r="Q24" s="36">
        <f>VLOOKUP($A24,[16]HISTOJANV22!$A$6:$AU$39,46,0)</f>
        <v>0</v>
      </c>
      <c r="R24" s="36">
        <f>VLOOKUP($A24,[16]HISTODEC21!$A$6:$AU$39,26,0)</f>
        <v>1000000</v>
      </c>
      <c r="S24" s="36">
        <f t="shared" si="7"/>
        <v>120000</v>
      </c>
      <c r="T24" s="36" t="str">
        <f>VLOOKUP($A24,[16]HISTOJANV22!$A$6:$AU$39,28,0)</f>
        <v>OKK</v>
      </c>
      <c r="U24" s="36">
        <f>VLOOKUP($A24,[16]HISTOJANV22!$A$6:$AU$39,19,0)</f>
        <v>0</v>
      </c>
      <c r="V24" s="36">
        <f>VLOOKUP($A24,[16]HISTOJANV22!$A$6:$AU$39,20,0)</f>
        <v>0</v>
      </c>
      <c r="W24" s="36" t="str">
        <f>VLOOKUP($A24,[16]HISTOJANV22!$A$6:$AU$39,27,0)</f>
        <v>BANQUE</v>
      </c>
      <c r="X24" s="36">
        <f>VLOOKUP($A24,[16]HISTOJANV22!$A$6:$AU$39,33,0)</f>
        <v>0</v>
      </c>
      <c r="Y24" s="36"/>
      <c r="Z24" s="36"/>
      <c r="AA24" s="36">
        <f>VLOOKUP($A24,[16]HISTOJANV22!$A$6:$AU$39,43,0)</f>
        <v>0</v>
      </c>
      <c r="AB24" s="36">
        <f>VLOOKUP($A24,[16]HISTOJANV22!$A$6:$AU$39,44,0)</f>
        <v>0</v>
      </c>
      <c r="AC24" s="36">
        <f>VLOOKUP($A24,[16]HISTOJANV22!$A$6:$AU$39,47,0)</f>
        <v>0</v>
      </c>
      <c r="AD24" s="36">
        <f>VLOOKUP(A24,[16]HISTOJANV22!$A$6:$BB$36,54,0)</f>
        <v>70000</v>
      </c>
      <c r="AE24" s="2"/>
      <c r="AF24" s="2"/>
    </row>
    <row r="25" spans="1:32" x14ac:dyDescent="0.25">
      <c r="A25" s="1" t="s">
        <v>41</v>
      </c>
      <c r="B25" s="1" t="str">
        <f>VLOOKUP(A25,[15]LISTADHERENT!A$5:H$60,3,0)</f>
        <v>NGUIEMEGNI MATHIEU BLAISE</v>
      </c>
      <c r="C25" s="5">
        <v>570000</v>
      </c>
      <c r="D25" s="5">
        <v>3871.4174531366152</v>
      </c>
      <c r="E25" s="36">
        <f>VLOOKUP($A25,[16]HISTOJANV22!$A$6:$BA$39,48,0)</f>
        <v>0</v>
      </c>
      <c r="F25" s="5">
        <f t="shared" si="1"/>
        <v>570000</v>
      </c>
      <c r="G25" s="6">
        <f t="shared" si="0"/>
        <v>44389.064587270324</v>
      </c>
      <c r="H25" s="6">
        <f t="shared" si="2"/>
        <v>576871.41745313664</v>
      </c>
      <c r="I25" s="36">
        <f>VLOOKUP($A25,[16]HISTOJANV22!$A$6:$AQ$37,22,0)</f>
        <v>0</v>
      </c>
      <c r="J25" s="36">
        <f>VLOOKUP($A25,[16]HISTOJANV22!$A$6:$AU$39,45,0)</f>
        <v>7000</v>
      </c>
      <c r="K25" s="36">
        <f t="shared" si="3"/>
        <v>3000</v>
      </c>
      <c r="L25" s="36">
        <f t="shared" si="4"/>
        <v>500</v>
      </c>
      <c r="M25" s="36">
        <f t="shared" si="5"/>
        <v>1000</v>
      </c>
      <c r="N25" s="36">
        <f t="shared" si="6"/>
        <v>2500</v>
      </c>
      <c r="O25" s="36">
        <f>VLOOKUP($A25,[16]HISTOJANV22!$A$6:$AU$39,7,0)</f>
        <v>0</v>
      </c>
      <c r="P25" s="36">
        <f>VLOOKUP($A25,[16]HISTOJANV22!$A$6:$AU$39,23,0)</f>
        <v>0</v>
      </c>
      <c r="Q25" s="36">
        <f>VLOOKUP($A25,[16]HISTOJANV22!$A$6:$AU$39,46,0)</f>
        <v>0</v>
      </c>
      <c r="R25" s="36">
        <f>VLOOKUP($A25,[16]HISTODEC21!$A$6:$AU$39,26,0)</f>
        <v>1000000</v>
      </c>
      <c r="S25" s="36">
        <f t="shared" si="7"/>
        <v>120000</v>
      </c>
      <c r="T25" s="36" t="str">
        <f>VLOOKUP($A25,[16]HISTOJANV22!$A$6:$AU$39,28,0)</f>
        <v>OKK</v>
      </c>
      <c r="U25" s="36">
        <f>VLOOKUP($A25,[16]HISTOJANV22!$A$6:$AU$39,19,0)</f>
        <v>0</v>
      </c>
      <c r="V25" s="36">
        <f>VLOOKUP($A25,[16]HISTOJANV22!$A$6:$AU$39,20,0)</f>
        <v>0</v>
      </c>
      <c r="W25" s="36" t="str">
        <f>VLOOKUP($A25,[16]HISTOJANV22!$A$6:$AU$39,27,0)</f>
        <v>BANQUE</v>
      </c>
      <c r="X25" s="36">
        <f>VLOOKUP($A25,[16]HISTOJANV22!$A$6:$AU$39,33,0)</f>
        <v>0</v>
      </c>
      <c r="Y25" s="36"/>
      <c r="Z25" s="36"/>
      <c r="AA25" s="36">
        <f>VLOOKUP($A25,[16]HISTOJANV22!$A$6:$AU$39,43,0)</f>
        <v>0</v>
      </c>
      <c r="AB25" s="36">
        <f>VLOOKUP($A25,[16]HISTOJANV22!$A$6:$AU$39,44,0)</f>
        <v>0</v>
      </c>
      <c r="AC25" s="36">
        <f>VLOOKUP($A25,[16]HISTOJANV22!$A$6:$AU$39,47,0)</f>
        <v>0</v>
      </c>
      <c r="AD25" s="36">
        <f>VLOOKUP(A25,[16]HISTOJANV22!$A$6:$BB$36,54,0)</f>
        <v>70000</v>
      </c>
      <c r="AE25" s="2"/>
      <c r="AF25" s="2"/>
    </row>
    <row r="26" spans="1:32" x14ac:dyDescent="0.25">
      <c r="A26" s="1" t="s">
        <v>43</v>
      </c>
      <c r="B26" s="1" t="str">
        <f>VLOOKUP(A26,[15]LISTADHERENT!A$5:H$60,3,0)</f>
        <v>NKAMGANG JUSTIN DEJOLIE</v>
      </c>
      <c r="C26" s="5">
        <v>570000</v>
      </c>
      <c r="D26" s="5">
        <v>11084.67996724385</v>
      </c>
      <c r="E26" s="36">
        <f>VLOOKUP($A26,[16]HISTOJANV22!$A$6:$BA$39,48,0)</f>
        <v>0</v>
      </c>
      <c r="F26" s="5">
        <f t="shared" si="1"/>
        <v>570000</v>
      </c>
      <c r="G26" s="6">
        <f t="shared" si="0"/>
        <v>44944.110245516429</v>
      </c>
      <c r="H26" s="6">
        <f t="shared" si="2"/>
        <v>584084.67996724381</v>
      </c>
      <c r="I26" s="36">
        <f>VLOOKUP($A26,[16]HISTOJANV22!$A$6:$AQ$37,22,0)</f>
        <v>0</v>
      </c>
      <c r="J26" s="36">
        <f>VLOOKUP($A26,[16]HISTOJANV22!$A$6:$AU$39,45,0)</f>
        <v>7000</v>
      </c>
      <c r="K26" s="36">
        <f t="shared" si="3"/>
        <v>3000</v>
      </c>
      <c r="L26" s="36">
        <f t="shared" si="4"/>
        <v>500</v>
      </c>
      <c r="M26" s="36">
        <f t="shared" si="5"/>
        <v>1000</v>
      </c>
      <c r="N26" s="36">
        <f t="shared" si="6"/>
        <v>2500</v>
      </c>
      <c r="O26" s="36">
        <f>VLOOKUP($A26,[16]HISTOJANV22!$A$6:$AU$39,7,0)</f>
        <v>0</v>
      </c>
      <c r="P26" s="36">
        <f>VLOOKUP($A26,[16]HISTOJANV22!$A$6:$AU$39,23,0)</f>
        <v>0</v>
      </c>
      <c r="Q26" s="36">
        <f>VLOOKUP($A26,[16]HISTOJANV22!$A$6:$AU$39,46,0)</f>
        <v>0</v>
      </c>
      <c r="R26" s="36">
        <f>VLOOKUP($A26,[16]HISTODEC21!$A$6:$AU$39,26,0)</f>
        <v>1155000</v>
      </c>
      <c r="S26" s="36">
        <f>R26*0/1200*12</f>
        <v>0</v>
      </c>
      <c r="T26" s="36">
        <f>VLOOKUP($A26,[16]HISTOJANV22!$A$6:$AU$39,28,0)</f>
        <v>0</v>
      </c>
      <c r="U26" s="36">
        <f>VLOOKUP($A26,[16]HISTOJANV22!$A$6:$AU$39,19,0)</f>
        <v>0</v>
      </c>
      <c r="V26" s="36">
        <f>VLOOKUP($A26,[16]HISTOJANV22!$A$6:$AU$39,20,0)</f>
        <v>0</v>
      </c>
      <c r="W26" s="36" t="str">
        <f>VLOOKUP($A26,[16]HISTOJANV22!$A$6:$AU$39,27,0)</f>
        <v>BANQUE</v>
      </c>
      <c r="X26" s="36">
        <f>VLOOKUP($A26,[16]HISTOJANV22!$A$6:$AU$39,33,0)</f>
        <v>0</v>
      </c>
      <c r="Y26" s="36">
        <v>155000</v>
      </c>
      <c r="Z26" s="36"/>
      <c r="AA26" s="36">
        <f>VLOOKUP($A26,[16]HISTOJANV22!$A$6:$AU$39,43,0)</f>
        <v>0</v>
      </c>
      <c r="AB26" s="36">
        <f>VLOOKUP($A26,[16]HISTOJANV22!$A$6:$AU$39,44,0)</f>
        <v>0</v>
      </c>
      <c r="AC26" s="36">
        <f>VLOOKUP($A26,[16]HISTOJANV22!$A$6:$AU$39,47,0)</f>
        <v>0</v>
      </c>
      <c r="AD26" s="36">
        <f>VLOOKUP(A26,[16]HISTOJANV22!$A$6:$BB$36,54,0)</f>
        <v>0</v>
      </c>
      <c r="AE26" s="2"/>
      <c r="AF26" s="2"/>
    </row>
    <row r="27" spans="1:32" x14ac:dyDescent="0.25">
      <c r="A27" s="1" t="s">
        <v>30</v>
      </c>
      <c r="B27" s="1" t="str">
        <f>VLOOKUP(A27,[15]LISTADHERENT!A$5:H$60,3,0)</f>
        <v>NKEHE DAVID</v>
      </c>
      <c r="C27" s="5">
        <v>534974.27750837663</v>
      </c>
      <c r="D27" s="5">
        <v>-5025.7224916233827</v>
      </c>
      <c r="E27" s="36">
        <f>VLOOKUP($A27,[16]HISTOJANV22!$A$6:$BA$39,48,0)</f>
        <v>0</v>
      </c>
      <c r="F27" s="5">
        <f t="shared" si="1"/>
        <v>534974.27750837663</v>
      </c>
      <c r="G27" s="6">
        <f t="shared" si="0"/>
        <v>40778.447197863221</v>
      </c>
      <c r="H27" s="6">
        <f t="shared" si="2"/>
        <v>529948.55501675326</v>
      </c>
      <c r="I27" s="36">
        <f>VLOOKUP($A27,[16]HISTOJANV22!$A$6:$AQ$37,22,0)</f>
        <v>0</v>
      </c>
      <c r="J27" s="36">
        <f>VLOOKUP($A27,[16]HISTOJANV22!$A$6:$AU$39,45,0)</f>
        <v>0</v>
      </c>
      <c r="K27" s="36">
        <f t="shared" si="3"/>
        <v>0</v>
      </c>
      <c r="L27" s="36">
        <f t="shared" si="4"/>
        <v>0</v>
      </c>
      <c r="M27" s="36">
        <f t="shared" si="5"/>
        <v>0</v>
      </c>
      <c r="N27" s="36">
        <f t="shared" si="6"/>
        <v>0</v>
      </c>
      <c r="O27" s="36">
        <f>VLOOKUP($A27,[16]HISTOJANV22!$A$6:$AU$39,7,0)</f>
        <v>0</v>
      </c>
      <c r="P27" s="36">
        <f>VLOOKUP($A27,[16]HISTOJANV22!$A$6:$AU$39,23,0)</f>
        <v>0</v>
      </c>
      <c r="Q27" s="36">
        <f>VLOOKUP($A27,[16]HISTOJANV22!$A$6:$AU$39,46,0)</f>
        <v>0</v>
      </c>
      <c r="R27" s="36">
        <f>VLOOKUP($A27,[16]HISTODEC21!$A$6:$AU$39,26,0)</f>
        <v>1155000</v>
      </c>
      <c r="S27" s="36">
        <f t="shared" si="7"/>
        <v>138600</v>
      </c>
      <c r="T27" s="36">
        <f>VLOOKUP($A27,[16]HISTOJANV22!$A$6:$AU$39,28,0)</f>
        <v>0</v>
      </c>
      <c r="U27" s="36">
        <f>VLOOKUP($A27,[16]HISTOJANV22!$A$6:$AU$39,19,0)</f>
        <v>0</v>
      </c>
      <c r="V27" s="36">
        <f>VLOOKUP($A27,[16]HISTOJANV22!$A$6:$AU$39,20,0)</f>
        <v>0</v>
      </c>
      <c r="W27" s="36" t="str">
        <f>VLOOKUP($A27,[16]HISTOJANV22!$A$6:$AU$39,27,0)</f>
        <v>BANQUE</v>
      </c>
      <c r="X27" s="36">
        <f>VLOOKUP($A27,[16]HISTOJANV22!$A$6:$AU$39,33,0)</f>
        <v>0</v>
      </c>
      <c r="Y27" s="36"/>
      <c r="Z27" s="36"/>
      <c r="AA27" s="36">
        <f>VLOOKUP($A27,[16]HISTOJANV22!$A$6:$AU$39,43,0)</f>
        <v>0</v>
      </c>
      <c r="AB27" s="36">
        <f>VLOOKUP($A27,[16]HISTOJANV22!$A$6:$AU$39,44,0)</f>
        <v>0</v>
      </c>
      <c r="AC27" s="36">
        <f>VLOOKUP($A27,[16]HISTOJANV22!$A$6:$AU$39,47,0)</f>
        <v>0</v>
      </c>
      <c r="AD27" s="36">
        <f>VLOOKUP(A27,[16]HISTOJANV22!$A$6:$BB$36,54,0)</f>
        <v>0</v>
      </c>
      <c r="AE27" s="2"/>
      <c r="AF27" s="2"/>
    </row>
    <row r="28" spans="1:32" x14ac:dyDescent="0.25">
      <c r="A28" s="1" t="s">
        <v>44</v>
      </c>
      <c r="B28" s="1" t="str">
        <f>VLOOKUP(A28,[15]LISTADHERENT!A$5:H$60,3,0)</f>
        <v>NKEPSEU DIEUDONNE</v>
      </c>
      <c r="C28" s="5">
        <v>570000</v>
      </c>
      <c r="D28" s="5">
        <v>12062.781121595937</v>
      </c>
      <c r="E28" s="36">
        <f>VLOOKUP($A28,[16]HISTOJANV22!$A$6:$BA$39,48,0)</f>
        <v>0</v>
      </c>
      <c r="F28" s="5">
        <f t="shared" si="1"/>
        <v>570000</v>
      </c>
      <c r="G28" s="6">
        <f t="shared" si="0"/>
        <v>45788.852464393502</v>
      </c>
      <c r="H28" s="6">
        <f t="shared" si="2"/>
        <v>595062.781121596</v>
      </c>
      <c r="I28" s="36">
        <f>VLOOKUP($A28,[16]HISTOJANV22!$A$6:$AQ$37,22,0)</f>
        <v>0</v>
      </c>
      <c r="J28" s="36">
        <f>VLOOKUP($A28,[16]HISTOJANV22!$A$6:$AU$39,45,0)</f>
        <v>17000</v>
      </c>
      <c r="K28" s="36">
        <f t="shared" si="3"/>
        <v>13000</v>
      </c>
      <c r="L28" s="36">
        <f t="shared" si="4"/>
        <v>500</v>
      </c>
      <c r="M28" s="36">
        <f t="shared" si="5"/>
        <v>1000</v>
      </c>
      <c r="N28" s="36">
        <f t="shared" si="6"/>
        <v>2500</v>
      </c>
      <c r="O28" s="36">
        <f>VLOOKUP($A28,[16]HISTOJANV22!$A$6:$AU$39,7,0)</f>
        <v>0</v>
      </c>
      <c r="P28" s="36">
        <f>VLOOKUP($A28,[16]HISTOJANV22!$A$6:$AU$39,23,0)</f>
        <v>0</v>
      </c>
      <c r="Q28" s="36">
        <f>VLOOKUP($A28,[16]HISTOJANV22!$A$6:$AU$39,46,0)</f>
        <v>0</v>
      </c>
      <c r="R28" s="36">
        <f>VLOOKUP($A28,[16]HISTODEC21!$A$6:$AU$39,26,0)</f>
        <v>1000000</v>
      </c>
      <c r="S28" s="36">
        <f t="shared" si="7"/>
        <v>120000</v>
      </c>
      <c r="T28" s="36" t="str">
        <f>VLOOKUP($A28,[16]HISTOJANV22!$A$6:$AU$39,28,0)</f>
        <v>OKK</v>
      </c>
      <c r="U28" s="36">
        <f>VLOOKUP($A28,[16]HISTOJANV22!$A$6:$AU$39,19,0)</f>
        <v>0</v>
      </c>
      <c r="V28" s="36">
        <f>VLOOKUP($A28,[16]HISTOJANV22!$A$6:$AU$39,20,0)</f>
        <v>0</v>
      </c>
      <c r="W28" s="36" t="str">
        <f>VLOOKUP($A28,[16]HISTOJANV22!$A$6:$AU$39,27,0)</f>
        <v>BANQUE</v>
      </c>
      <c r="X28" s="36">
        <f>VLOOKUP($A28,[16]HISTOJANV22!$A$6:$AU$39,33,0)</f>
        <v>0</v>
      </c>
      <c r="Y28" s="36"/>
      <c r="Z28" s="36"/>
      <c r="AA28" s="36">
        <f>VLOOKUP($A28,[16]HISTOJANV22!$A$6:$AU$39,43,0)</f>
        <v>0</v>
      </c>
      <c r="AB28" s="36">
        <f>VLOOKUP($A28,[16]HISTOJANV22!$A$6:$AU$39,44,0)</f>
        <v>0</v>
      </c>
      <c r="AC28" s="36">
        <f>VLOOKUP($A28,[16]HISTOJANV22!$A$6:$AU$39,47,0)</f>
        <v>0</v>
      </c>
      <c r="AD28" s="36">
        <f>VLOOKUP(A28,[16]HISTOJANV22!$A$6:$BB$36,54,0)</f>
        <v>0</v>
      </c>
      <c r="AE28" s="2"/>
      <c r="AF28" s="2"/>
    </row>
    <row r="29" spans="1:32" x14ac:dyDescent="0.25">
      <c r="A29" s="1" t="s">
        <v>45</v>
      </c>
      <c r="B29" s="1" t="str">
        <f>VLOOKUP(A29,[15]LISTADHERENT!A$5:H$60,3,0)</f>
        <v>PATEGO NJOSSU GUSTAVE</v>
      </c>
      <c r="C29" s="5">
        <v>570000</v>
      </c>
      <c r="D29" s="5">
        <v>21819.131591268466</v>
      </c>
      <c r="E29" s="36">
        <f>VLOOKUP($A29,[16]HISTOJANV22!$A$6:$BA$39,48,0)</f>
        <v>0</v>
      </c>
      <c r="F29" s="5">
        <f t="shared" si="1"/>
        <v>570000</v>
      </c>
      <c r="G29" s="6">
        <f t="shared" si="0"/>
        <v>45770.104136063914</v>
      </c>
      <c r="H29" s="6">
        <f t="shared" si="2"/>
        <v>594819.13159126847</v>
      </c>
      <c r="I29" s="36">
        <f>VLOOKUP($A29,[16]HISTOJANV22!$A$6:$AQ$37,22,0)</f>
        <v>0</v>
      </c>
      <c r="J29" s="36">
        <f>VLOOKUP($A29,[16]HISTOJANV22!$A$6:$AU$39,45,0)</f>
        <v>7000</v>
      </c>
      <c r="K29" s="36">
        <f t="shared" si="3"/>
        <v>3000</v>
      </c>
      <c r="L29" s="36">
        <f t="shared" si="4"/>
        <v>500</v>
      </c>
      <c r="M29" s="36">
        <f t="shared" si="5"/>
        <v>1000</v>
      </c>
      <c r="N29" s="36">
        <f t="shared" si="6"/>
        <v>2500</v>
      </c>
      <c r="O29" s="36">
        <f>VLOOKUP($A29,[16]HISTOJANV22!$A$6:$AU$39,7,0)</f>
        <v>0</v>
      </c>
      <c r="P29" s="36">
        <f>VLOOKUP($A29,[16]HISTOJANV22!$A$6:$AU$39,23,0)</f>
        <v>0</v>
      </c>
      <c r="Q29" s="36">
        <f>VLOOKUP($A29,[16]HISTOJANV22!$A$6:$AU$39,46,0)</f>
        <v>0</v>
      </c>
      <c r="R29" s="36">
        <f>VLOOKUP($A29,[16]HISTODEC21!$A$6:$AU$39,26,0)</f>
        <v>0</v>
      </c>
      <c r="S29" s="36">
        <f t="shared" si="7"/>
        <v>0</v>
      </c>
      <c r="T29" s="36">
        <f>VLOOKUP($A29,[16]HISTOJANV22!$A$6:$AU$39,28,0)</f>
        <v>0</v>
      </c>
      <c r="U29" s="36">
        <f>VLOOKUP($A29,[16]HISTOJANV22!$A$6:$AU$39,19,0)</f>
        <v>0</v>
      </c>
      <c r="V29" s="36">
        <f>VLOOKUP($A29,[16]HISTOJANV22!$A$6:$AU$39,20,0)</f>
        <v>0</v>
      </c>
      <c r="W29" s="36">
        <f>VLOOKUP($A29,[16]HISTOJANV22!$A$6:$AU$39,27,0)</f>
        <v>0</v>
      </c>
      <c r="X29" s="36">
        <f>VLOOKUP($A29,[16]HISTOJANV22!$A$6:$AU$39,33,0)</f>
        <v>0</v>
      </c>
      <c r="Y29" s="36"/>
      <c r="Z29" s="36"/>
      <c r="AA29" s="36">
        <f>VLOOKUP($A29,[16]HISTOJANV22!$A$6:$AU$39,43,0)</f>
        <v>0</v>
      </c>
      <c r="AB29" s="36">
        <f>VLOOKUP($A29,[16]HISTOJANV22!$A$6:$AU$39,44,0)</f>
        <v>0</v>
      </c>
      <c r="AC29" s="36">
        <f>VLOOKUP($A29,[16]HISTOJANV22!$A$6:$AU$39,47,0)</f>
        <v>0</v>
      </c>
      <c r="AD29" s="36">
        <f>VLOOKUP(A29,[16]HISTOJANV22!$A$6:$BB$36,54,0)</f>
        <v>0</v>
      </c>
      <c r="AE29" s="2"/>
      <c r="AF29" s="2"/>
    </row>
    <row r="30" spans="1:32" x14ac:dyDescent="0.25">
      <c r="A30" s="1" t="s">
        <v>81</v>
      </c>
      <c r="B30" s="1" t="str">
        <f>VLOOKUP(A30,[15]LISTADHERENT!A$5:H$60,3,0)</f>
        <v>SIME BRICE</v>
      </c>
      <c r="C30" s="5">
        <v>570000</v>
      </c>
      <c r="D30" s="5">
        <v>277025.72796184535</v>
      </c>
      <c r="E30" s="36">
        <f>VLOOKUP($A30,[16]HISTOJANV22!$A$6:$BA$39,48,0)</f>
        <v>0</v>
      </c>
      <c r="F30" s="5">
        <f t="shared" si="1"/>
        <v>570000</v>
      </c>
      <c r="G30" s="6">
        <f t="shared" si="0"/>
        <v>65407.724837407208</v>
      </c>
      <c r="H30" s="6">
        <f t="shared" si="2"/>
        <v>850025.72796184535</v>
      </c>
      <c r="I30" s="36">
        <f>VLOOKUP($A30,[16]HISTOJANV22!$A$6:$AQ$37,22,0)</f>
        <v>0</v>
      </c>
      <c r="J30" s="36">
        <f>VLOOKUP($A30,[16]HISTOJANV22!$A$6:$AU$39,45,0)</f>
        <v>7000</v>
      </c>
      <c r="K30" s="36">
        <f t="shared" si="3"/>
        <v>3000</v>
      </c>
      <c r="L30" s="36">
        <f t="shared" si="4"/>
        <v>500</v>
      </c>
      <c r="M30" s="36">
        <f t="shared" si="5"/>
        <v>1000</v>
      </c>
      <c r="N30" s="36">
        <f t="shared" si="6"/>
        <v>2500</v>
      </c>
      <c r="O30" s="36">
        <f>VLOOKUP($A30,[16]HISTOJANV22!$A$6:$AU$39,7,0)</f>
        <v>0</v>
      </c>
      <c r="P30" s="36">
        <f>VLOOKUP($A30,[16]HISTOJANV22!$A$6:$AU$39,23,0)</f>
        <v>0</v>
      </c>
      <c r="Q30" s="36">
        <f>VLOOKUP($A30,[16]HISTOJANV22!$A$6:$AU$39,46,0)</f>
        <v>0</v>
      </c>
      <c r="R30" s="36">
        <f>VLOOKUP($A30,[16]HISTODEC21!$A$6:$AU$39,26,0)</f>
        <v>0</v>
      </c>
      <c r="S30" s="36">
        <f t="shared" si="7"/>
        <v>0</v>
      </c>
      <c r="T30" s="36">
        <f>VLOOKUP($A30,[16]HISTOJANV22!$A$6:$AU$39,28,0)</f>
        <v>0</v>
      </c>
      <c r="U30" s="36">
        <f>VLOOKUP($A30,[16]HISTOJANV22!$A$6:$AU$39,19,0)</f>
        <v>0</v>
      </c>
      <c r="V30" s="36">
        <f>VLOOKUP($A30,[16]HISTOJANV22!$A$6:$AU$39,20,0)</f>
        <v>0</v>
      </c>
      <c r="W30" s="36">
        <f>VLOOKUP($A30,[16]HISTOJANV22!$A$6:$AU$39,27,0)</f>
        <v>0</v>
      </c>
      <c r="X30" s="36">
        <f>VLOOKUP($A30,[16]HISTOJANV22!$A$6:$AU$39,33,0)</f>
        <v>0</v>
      </c>
      <c r="Y30" s="36"/>
      <c r="Z30" s="36"/>
      <c r="AA30" s="36">
        <f>VLOOKUP($A30,[16]HISTOJANV22!$A$6:$AU$39,43,0)</f>
        <v>0</v>
      </c>
      <c r="AB30" s="36">
        <f>VLOOKUP($A30,[16]HISTOJANV22!$A$6:$AU$39,44,0)</f>
        <v>0</v>
      </c>
      <c r="AC30" s="36">
        <f>VLOOKUP($A30,[16]HISTOJANV22!$A$6:$AU$39,47,0)</f>
        <v>0</v>
      </c>
      <c r="AD30" s="36">
        <f>VLOOKUP(A30,[16]HISTOJANV22!$A$6:$BB$36,54,0)</f>
        <v>0</v>
      </c>
      <c r="AE30" s="2"/>
      <c r="AF30" s="2"/>
    </row>
    <row r="31" spans="1:32" x14ac:dyDescent="0.25">
      <c r="A31" s="1" t="s">
        <v>47</v>
      </c>
      <c r="B31" s="1" t="str">
        <f>VLOOKUP(A31,[15]LISTADHERENT!A$5:H$60,3,0)</f>
        <v>SIMO FONGANG ERIC</v>
      </c>
      <c r="C31" s="5">
        <v>570000</v>
      </c>
      <c r="D31" s="5">
        <v>23309.374243114085</v>
      </c>
      <c r="E31" s="36">
        <f>VLOOKUP($A31,[16]HISTOJANV22!$A$6:$BA$39,48,0)</f>
        <v>0</v>
      </c>
      <c r="F31" s="5">
        <f t="shared" si="1"/>
        <v>570000</v>
      </c>
      <c r="G31" s="6">
        <f t="shared" si="0"/>
        <v>45653.93142510832</v>
      </c>
      <c r="H31" s="6">
        <f t="shared" si="2"/>
        <v>593309.37424311414</v>
      </c>
      <c r="I31" s="36">
        <f>VLOOKUP($A31,[16]HISTOJANV22!$A$6:$AQ$37,22,0)</f>
        <v>0</v>
      </c>
      <c r="J31" s="36">
        <f>VLOOKUP($A31,[16]HISTOJANV22!$A$6:$AU$39,45,0)</f>
        <v>0</v>
      </c>
      <c r="K31" s="36">
        <f t="shared" si="3"/>
        <v>0</v>
      </c>
      <c r="L31" s="36">
        <f t="shared" si="4"/>
        <v>0</v>
      </c>
      <c r="M31" s="36">
        <f t="shared" si="5"/>
        <v>0</v>
      </c>
      <c r="N31" s="36">
        <f t="shared" si="6"/>
        <v>0</v>
      </c>
      <c r="O31" s="36">
        <f>VLOOKUP($A31,[16]HISTOJANV22!$A$6:$AU$39,7,0)</f>
        <v>0</v>
      </c>
      <c r="P31" s="36">
        <f>VLOOKUP($A31,[16]HISTOJANV22!$A$6:$AU$39,23,0)</f>
        <v>0</v>
      </c>
      <c r="Q31" s="36">
        <f>VLOOKUP($A31,[16]HISTOJANV22!$A$6:$AU$39,46,0)</f>
        <v>0</v>
      </c>
      <c r="R31" s="36">
        <f>VLOOKUP($A31,[16]HISTODEC21!$A$6:$AU$39,26,0)</f>
        <v>1166000</v>
      </c>
      <c r="S31" s="36">
        <f t="shared" si="7"/>
        <v>139920</v>
      </c>
      <c r="T31" s="36">
        <f>VLOOKUP($A31,[16]HISTOJANV22!$A$6:$AU$39,28,0)</f>
        <v>0</v>
      </c>
      <c r="U31" s="36">
        <f>VLOOKUP($A31,[16]HISTOJANV22!$A$6:$AU$39,19,0)</f>
        <v>0</v>
      </c>
      <c r="V31" s="36">
        <f>VLOOKUP($A31,[16]HISTOJANV22!$A$6:$AU$39,20,0)</f>
        <v>0</v>
      </c>
      <c r="W31" s="36" t="str">
        <f>VLOOKUP($A31,[16]HISTOJANV22!$A$6:$AU$39,27,0)</f>
        <v>BANQUE</v>
      </c>
      <c r="X31" s="36">
        <f>VLOOKUP($A31,[16]HISTOJANV22!$A$6:$AU$39,33,0)</f>
        <v>0</v>
      </c>
      <c r="Y31" s="36"/>
      <c r="Z31" s="36"/>
      <c r="AA31" s="36">
        <f>VLOOKUP($A31,[16]HISTOJANV22!$A$6:$AU$39,43,0)</f>
        <v>0</v>
      </c>
      <c r="AB31" s="36">
        <f>VLOOKUP($A31,[16]HISTOJANV22!$A$6:$AU$39,44,0)</f>
        <v>0</v>
      </c>
      <c r="AC31" s="36">
        <f>VLOOKUP($A31,[16]HISTOJANV22!$A$6:$AU$39,47,0)</f>
        <v>0</v>
      </c>
      <c r="AD31" s="36">
        <f>VLOOKUP(A31,[16]HISTOJANV22!$A$6:$BB$36,54,0)</f>
        <v>0</v>
      </c>
      <c r="AE31" s="2"/>
      <c r="AF31" s="2"/>
    </row>
    <row r="32" spans="1:32" x14ac:dyDescent="0.25">
      <c r="A32" s="1" t="s">
        <v>49</v>
      </c>
      <c r="B32" s="1" t="str">
        <f>VLOOKUP(A32,[15]LISTADHERENT!A$5:H$60,3,0)</f>
        <v>SIMO PIERRE</v>
      </c>
      <c r="C32" s="5">
        <v>570000</v>
      </c>
      <c r="D32" s="5">
        <v>38450.871244281065</v>
      </c>
      <c r="E32" s="36">
        <f>VLOOKUP($A32,[16]HISTOJANV22!$A$6:$BA$39,48,0)</f>
        <v>0</v>
      </c>
      <c r="F32" s="5">
        <f t="shared" si="1"/>
        <v>570000</v>
      </c>
      <c r="G32" s="6">
        <f t="shared" si="0"/>
        <v>48204.101196733609</v>
      </c>
      <c r="H32" s="6">
        <f t="shared" si="2"/>
        <v>626450.87124428106</v>
      </c>
      <c r="I32" s="36">
        <f>VLOOKUP($A32,[16]HISTOJANV22!$A$6:$AQ$37,22,0)</f>
        <v>0</v>
      </c>
      <c r="J32" s="36">
        <f>VLOOKUP($A32,[16]HISTOJANV22!$A$6:$AU$39,45,0)</f>
        <v>22000</v>
      </c>
      <c r="K32" s="36">
        <f t="shared" si="3"/>
        <v>18000</v>
      </c>
      <c r="L32" s="36">
        <f t="shared" si="4"/>
        <v>500</v>
      </c>
      <c r="M32" s="36">
        <f t="shared" si="5"/>
        <v>1000</v>
      </c>
      <c r="N32" s="36">
        <f t="shared" si="6"/>
        <v>2500</v>
      </c>
      <c r="O32" s="36">
        <f>VLOOKUP($A32,[16]HISTOJANV22!$A$6:$AU$39,7,0)</f>
        <v>0</v>
      </c>
      <c r="P32" s="36">
        <f>VLOOKUP($A32,[16]HISTOJANV22!$A$6:$AU$39,23,0)</f>
        <v>0</v>
      </c>
      <c r="Q32" s="36">
        <f>VLOOKUP($A32,[16]HISTOJANV22!$A$6:$AU$39,46,0)</f>
        <v>0</v>
      </c>
      <c r="R32" s="36">
        <f>VLOOKUP($A32,[16]HISTODEC21!$A$6:$AU$39,26,0)</f>
        <v>0</v>
      </c>
      <c r="S32" s="36">
        <f t="shared" si="7"/>
        <v>0</v>
      </c>
      <c r="T32" s="36">
        <f>VLOOKUP($A32,[16]HISTOJANV22!$A$6:$AU$39,28,0)</f>
        <v>0</v>
      </c>
      <c r="U32" s="36">
        <f>VLOOKUP($A32,[16]HISTOJANV22!$A$6:$AU$39,19,0)</f>
        <v>0</v>
      </c>
      <c r="V32" s="36">
        <f>VLOOKUP($A32,[16]HISTOJANV22!$A$6:$AU$39,20,0)</f>
        <v>0</v>
      </c>
      <c r="W32" s="36" t="str">
        <f>VLOOKUP($A32,[16]HISTOJANV22!$A$6:$AU$39,27,0)</f>
        <v>BANQUE</v>
      </c>
      <c r="X32" s="36">
        <f>VLOOKUP($A32,[16]HISTOJANV22!$A$6:$AU$39,33,0)</f>
        <v>0</v>
      </c>
      <c r="Y32" s="36"/>
      <c r="Z32" s="36"/>
      <c r="AA32" s="36">
        <f>VLOOKUP($A32,[16]HISTOJANV22!$A$6:$AU$39,43,0)</f>
        <v>0</v>
      </c>
      <c r="AB32" s="36">
        <f>VLOOKUP($A32,[16]HISTOJANV22!$A$6:$AU$39,44,0)</f>
        <v>0</v>
      </c>
      <c r="AC32" s="36">
        <f>VLOOKUP($A32,[16]HISTOJANV22!$A$6:$AU$39,47,0)</f>
        <v>0</v>
      </c>
      <c r="AD32" s="36">
        <f>VLOOKUP(A32,[16]HISTOJANV22!$A$6:$BB$36,54,0)</f>
        <v>70000</v>
      </c>
      <c r="AE32" s="2"/>
      <c r="AF32" s="2"/>
    </row>
    <row r="33" spans="1:32" x14ac:dyDescent="0.25">
      <c r="A33" s="1" t="s">
        <v>51</v>
      </c>
      <c r="B33" s="1" t="str">
        <f>VLOOKUP(A33,[15]LISTADHERENT!A$5:H$60,3,0)</f>
        <v>TCHOUAMOU MATHIEU</v>
      </c>
      <c r="C33" s="5">
        <v>570000</v>
      </c>
      <c r="D33" s="5">
        <v>6233.7835378004966</v>
      </c>
      <c r="E33" s="36">
        <f>VLOOKUP($A33,[16]HISTOJANV22!$A$6:$BA$39,48,0)</f>
        <v>0</v>
      </c>
      <c r="F33" s="5">
        <f t="shared" si="1"/>
        <v>570000</v>
      </c>
      <c r="G33" s="6">
        <f t="shared" si="0"/>
        <v>44570.843780238298</v>
      </c>
      <c r="H33" s="6">
        <f t="shared" si="2"/>
        <v>579233.78353780054</v>
      </c>
      <c r="I33" s="36">
        <f>VLOOKUP($A33,[16]HISTOJANV22!$A$6:$AQ$37,22,0)</f>
        <v>0</v>
      </c>
      <c r="J33" s="36">
        <f>VLOOKUP($A33,[16]HISTOJANV22!$A$6:$AU$39,45,0)</f>
        <v>7000</v>
      </c>
      <c r="K33" s="36">
        <f t="shared" si="3"/>
        <v>3000</v>
      </c>
      <c r="L33" s="36">
        <f t="shared" si="4"/>
        <v>500</v>
      </c>
      <c r="M33" s="36">
        <f t="shared" si="5"/>
        <v>1000</v>
      </c>
      <c r="N33" s="36">
        <f t="shared" si="6"/>
        <v>2500</v>
      </c>
      <c r="O33" s="36">
        <f>VLOOKUP($A33,[16]HISTOJANV22!$A$6:$AU$39,7,0)</f>
        <v>0</v>
      </c>
      <c r="P33" s="36">
        <f>VLOOKUP($A33,[16]HISTOJANV22!$A$6:$AU$39,23,0)</f>
        <v>0</v>
      </c>
      <c r="Q33" s="36">
        <f>VLOOKUP($A33,[16]HISTOJANV22!$A$6:$AU$39,46,0)</f>
        <v>0</v>
      </c>
      <c r="R33" s="36">
        <f>VLOOKUP($A33,[16]HISTODEC21!$A$6:$AU$39,26,0)</f>
        <v>560000</v>
      </c>
      <c r="S33" s="36">
        <f t="shared" si="7"/>
        <v>67200</v>
      </c>
      <c r="T33" s="36" t="str">
        <f>VLOOKUP($A33,[16]HISTOJANV22!$A$6:$AU$39,28,0)</f>
        <v>OKK</v>
      </c>
      <c r="U33" s="36">
        <f>VLOOKUP($A33,[16]HISTOJANV22!$A$6:$AU$39,19,0)</f>
        <v>0</v>
      </c>
      <c r="V33" s="36">
        <f>VLOOKUP($A33,[16]HISTOJANV22!$A$6:$AU$39,20,0)</f>
        <v>0</v>
      </c>
      <c r="W33" s="36" t="str">
        <f>VLOOKUP($A33,[16]HISTOJANV22!$A$6:$AU$39,27,0)</f>
        <v>BANQUE</v>
      </c>
      <c r="X33" s="36">
        <f>VLOOKUP($A33,[16]HISTOJANV22!$A$6:$AU$39,33,0)</f>
        <v>0</v>
      </c>
      <c r="Y33" s="36"/>
      <c r="Z33" s="36"/>
      <c r="AA33" s="36">
        <f>VLOOKUP($A33,[16]HISTOJANV22!$A$6:$AU$39,43,0)</f>
        <v>0</v>
      </c>
      <c r="AB33" s="36">
        <f>VLOOKUP($A33,[16]HISTOJANV22!$A$6:$AU$39,44,0)</f>
        <v>0</v>
      </c>
      <c r="AC33" s="36">
        <f>VLOOKUP($A33,[16]HISTOJANV22!$A$6:$AU$39,47,0)</f>
        <v>0</v>
      </c>
      <c r="AD33" s="36">
        <f>VLOOKUP(A33,[16]HISTOJANV22!$A$6:$BB$36,54,0)</f>
        <v>0</v>
      </c>
      <c r="AE33" s="2"/>
      <c r="AF33" s="2"/>
    </row>
    <row r="34" spans="1:32" x14ac:dyDescent="0.25">
      <c r="A34" s="1" t="s">
        <v>54</v>
      </c>
      <c r="B34" s="1" t="str">
        <f>VLOOKUP(A34,[15]LISTADHERENT!A$5:H$60,3,0)</f>
        <v>TIEYAM ERNEST</v>
      </c>
      <c r="C34" s="5">
        <v>535508.27831700875</v>
      </c>
      <c r="D34" s="5">
        <v>-4491.7216829912577</v>
      </c>
      <c r="E34" s="36">
        <f>VLOOKUP($A34,[16]HISTOJANV22!$A$6:$BA$39,48,0)</f>
        <v>0</v>
      </c>
      <c r="F34" s="5">
        <f t="shared" si="1"/>
        <v>535508.27831700875</v>
      </c>
      <c r="G34" s="6">
        <f t="shared" si="0"/>
        <v>40860.627717358104</v>
      </c>
      <c r="H34" s="6">
        <f t="shared" si="2"/>
        <v>531016.5566340175</v>
      </c>
      <c r="I34" s="36">
        <f>VLOOKUP($A34,[16]HISTOJANV22!$A$6:$AQ$37,22,0)</f>
        <v>0</v>
      </c>
      <c r="J34" s="36">
        <f>VLOOKUP($A34,[16]HISTOJANV22!$A$6:$AU$39,45,0)</f>
        <v>0</v>
      </c>
      <c r="K34" s="36">
        <f t="shared" si="3"/>
        <v>0</v>
      </c>
      <c r="L34" s="36">
        <f t="shared" si="4"/>
        <v>0</v>
      </c>
      <c r="M34" s="36">
        <f t="shared" si="5"/>
        <v>0</v>
      </c>
      <c r="N34" s="36">
        <f t="shared" si="6"/>
        <v>0</v>
      </c>
      <c r="O34" s="36">
        <f>VLOOKUP($A34,[16]HISTOJANV22!$A$6:$AU$39,7,0)</f>
        <v>0</v>
      </c>
      <c r="P34" s="36">
        <f>VLOOKUP($A34,[16]HISTOJANV22!$A$6:$AU$39,23,0)</f>
        <v>0</v>
      </c>
      <c r="Q34" s="36">
        <f>VLOOKUP($A34,[16]HISTOJANV22!$A$6:$AU$39,46,0)</f>
        <v>0</v>
      </c>
      <c r="R34" s="36">
        <f>VLOOKUP($A34,[16]HISTODEC21!$A$6:$AU$39,26,0)</f>
        <v>1112500</v>
      </c>
      <c r="S34" s="36">
        <f t="shared" si="7"/>
        <v>133500</v>
      </c>
      <c r="T34" s="36">
        <f>VLOOKUP($A34,[16]HISTOJANV22!$A$6:$AU$39,28,0)</f>
        <v>0</v>
      </c>
      <c r="U34" s="36">
        <f>VLOOKUP($A34,[16]HISTOJANV22!$A$6:$AU$39,19,0)</f>
        <v>0</v>
      </c>
      <c r="V34" s="36">
        <f>VLOOKUP($A34,[16]HISTOJANV22!$A$6:$AU$39,20,0)</f>
        <v>0</v>
      </c>
      <c r="W34" s="36" t="str">
        <f>VLOOKUP($A34,[16]HISTOJANV22!$A$6:$AU$39,27,0)</f>
        <v>BANQUE</v>
      </c>
      <c r="X34" s="36">
        <f>VLOOKUP($A34,[16]HISTOJANV22!$A$6:$AU$39,33,0)</f>
        <v>0</v>
      </c>
      <c r="Y34" s="36"/>
      <c r="Z34" s="36"/>
      <c r="AA34" s="36">
        <f>VLOOKUP($A34,[16]HISTOJANV22!$A$6:$AU$39,43,0)</f>
        <v>0</v>
      </c>
      <c r="AB34" s="36">
        <f>VLOOKUP($A34,[16]HISTOJANV22!$A$6:$AU$39,44,0)</f>
        <v>0</v>
      </c>
      <c r="AC34" s="36">
        <f>VLOOKUP($A34,[16]HISTOJANV22!$A$6:$AU$39,47,0)</f>
        <v>0</v>
      </c>
      <c r="AD34" s="36">
        <f>VLOOKUP(A34,[16]HISTOJANV22!$A$6:$BB$36,54,0)</f>
        <v>0</v>
      </c>
      <c r="AE34" s="2"/>
      <c r="AF34" s="2"/>
    </row>
    <row r="35" spans="1:32" x14ac:dyDescent="0.25">
      <c r="A35" s="1" t="s">
        <v>55</v>
      </c>
      <c r="B35" s="1" t="str">
        <f>VLOOKUP(A35,[15]LISTADHERENT!A$5:H$60,3,0)</f>
        <v>YEPMOU JEAN JACQUES</v>
      </c>
      <c r="C35" s="5">
        <v>570000</v>
      </c>
      <c r="D35" s="5">
        <v>811081.29717838136</v>
      </c>
      <c r="E35" s="36">
        <f>VLOOKUP($A35,[16]HISTOJANV22!$A$6:$BA$39,48,0)</f>
        <v>0</v>
      </c>
      <c r="F35" s="5">
        <f t="shared" si="1"/>
        <v>570000</v>
      </c>
      <c r="G35" s="6">
        <f t="shared" si="0"/>
        <v>106502.1982987658</v>
      </c>
      <c r="H35" s="6">
        <f t="shared" si="2"/>
        <v>1384081.2971783814</v>
      </c>
      <c r="I35" s="36">
        <f>VLOOKUP($A35,[16]HISTOJANV22!$A$6:$AQ$37,22,0)</f>
        <v>0</v>
      </c>
      <c r="J35" s="36">
        <f>VLOOKUP($A35,[16]HISTOJANV22!$A$6:$AU$39,45,0)</f>
        <v>7000</v>
      </c>
      <c r="K35" s="36">
        <f t="shared" si="3"/>
        <v>3000</v>
      </c>
      <c r="L35" s="36">
        <f t="shared" si="4"/>
        <v>500</v>
      </c>
      <c r="M35" s="36">
        <f t="shared" si="5"/>
        <v>1000</v>
      </c>
      <c r="N35" s="36">
        <f t="shared" si="6"/>
        <v>2500</v>
      </c>
      <c r="O35" s="36">
        <f>VLOOKUP($A35,[16]HISTOJANV22!$A$6:$AU$39,7,0)</f>
        <v>3000</v>
      </c>
      <c r="P35" s="36">
        <f>VLOOKUP($A35,[16]HISTOJANV22!$A$6:$AU$39,23,0)</f>
        <v>0</v>
      </c>
      <c r="Q35" s="36">
        <f>VLOOKUP($A35,[16]HISTOJANV22!$A$6:$AU$39,46,0)</f>
        <v>0</v>
      </c>
      <c r="R35" s="36">
        <f>VLOOKUP($A35,[16]HISTODEC21!$A$6:$AU$39,26,0)</f>
        <v>1155000</v>
      </c>
      <c r="S35" s="36">
        <f>R35*0/1200*12</f>
        <v>0</v>
      </c>
      <c r="T35" s="36">
        <f>VLOOKUP($A35,[16]HISTOJANV22!$A$6:$AU$39,28,0)</f>
        <v>0</v>
      </c>
      <c r="U35" s="36">
        <f>VLOOKUP($A35,[16]HISTOJANV22!$A$6:$AU$39,19,0)</f>
        <v>0</v>
      </c>
      <c r="V35" s="36">
        <f>VLOOKUP($A35,[16]HISTOJANV22!$A$6:$AU$39,20,0)</f>
        <v>0</v>
      </c>
      <c r="W35" s="36" t="str">
        <f>VLOOKUP($A35,[16]HISTOJANV22!$A$6:$AU$39,27,0)</f>
        <v>BANQUE</v>
      </c>
      <c r="X35" s="36">
        <f>VLOOKUP($A35,[16]HISTOJANV22!$A$6:$AU$39,33,0)</f>
        <v>0</v>
      </c>
      <c r="Y35" s="36">
        <v>155000</v>
      </c>
      <c r="Z35" s="36"/>
      <c r="AA35" s="36">
        <f>VLOOKUP($A35,[16]HISTOJANV22!$A$6:$AU$39,43,0)</f>
        <v>0</v>
      </c>
      <c r="AB35" s="36">
        <f>VLOOKUP($A35,[16]HISTOJANV22!$A$6:$AU$39,44,0)</f>
        <v>0</v>
      </c>
      <c r="AC35" s="36">
        <f>VLOOKUP($A35,[16]HISTOJANV22!$A$6:$AU$39,47,0)</f>
        <v>0</v>
      </c>
      <c r="AD35" s="36">
        <f>VLOOKUP(A35,[16]HISTOJANV22!$A$6:$BB$36,54,0)</f>
        <v>0</v>
      </c>
    </row>
    <row r="36" spans="1:32" x14ac:dyDescent="0.25">
      <c r="A36" s="1" t="s">
        <v>56</v>
      </c>
      <c r="B36" s="1" t="str">
        <f>VLOOKUP(A36,[15]LISTADHERENT!A$5:H$60,3,0)</f>
        <v>YOUMBI EMMANUEL</v>
      </c>
      <c r="C36" s="5">
        <v>570000</v>
      </c>
      <c r="D36" s="5">
        <v>913245.29452405358</v>
      </c>
      <c r="E36" s="36">
        <f>VLOOKUP($A36,[16]HISTOJANV22!$A$6:$BA$39,48,0)</f>
        <v>0</v>
      </c>
      <c r="F36" s="5">
        <f t="shared" si="1"/>
        <v>570000</v>
      </c>
      <c r="G36" s="6">
        <f t="shared" si="0"/>
        <v>114363.50697079611</v>
      </c>
      <c r="H36" s="6">
        <f t="shared" si="2"/>
        <v>1486245.2945240536</v>
      </c>
      <c r="I36" s="36">
        <f>VLOOKUP($A36,[16]HISTOJANV22!$A$6:$AQ$37,22,0)</f>
        <v>0</v>
      </c>
      <c r="J36" s="36">
        <f>VLOOKUP($A36,[16]HISTOJANV22!$A$6:$AU$39,45,0)</f>
        <v>7000</v>
      </c>
      <c r="K36" s="36">
        <f t="shared" si="3"/>
        <v>3000</v>
      </c>
      <c r="L36" s="36">
        <f t="shared" si="4"/>
        <v>500</v>
      </c>
      <c r="M36" s="36">
        <f t="shared" si="5"/>
        <v>1000</v>
      </c>
      <c r="N36" s="36">
        <f t="shared" si="6"/>
        <v>2500</v>
      </c>
      <c r="O36" s="36">
        <f>VLOOKUP($A36,[16]HISTOJANV22!$A$6:$AU$39,7,0)</f>
        <v>0</v>
      </c>
      <c r="P36" s="36">
        <f>VLOOKUP($A36,[16]HISTOJANV22!$A$6:$AU$39,23,0)</f>
        <v>0</v>
      </c>
      <c r="Q36" s="36">
        <f>VLOOKUP($A36,[16]HISTOJANV22!$A$6:$AU$39,46,0)</f>
        <v>0</v>
      </c>
      <c r="R36" s="36">
        <f>VLOOKUP($A36,[16]HISTODEC21!$A$6:$AU$39,26,0)</f>
        <v>0</v>
      </c>
      <c r="S36" s="36">
        <f t="shared" si="7"/>
        <v>0</v>
      </c>
      <c r="T36" s="36">
        <f>VLOOKUP($A36,[16]HISTOJANV22!$A$6:$AU$39,28,0)</f>
        <v>0</v>
      </c>
      <c r="U36" s="36">
        <f>VLOOKUP($A36,[16]HISTOJANV22!$A$6:$AU$39,19,0)</f>
        <v>0</v>
      </c>
      <c r="V36" s="36">
        <f>VLOOKUP($A36,[16]HISTOJANV22!$A$6:$AU$39,20,0)</f>
        <v>0</v>
      </c>
      <c r="W36" s="36">
        <f>VLOOKUP($A36,[16]HISTOJANV22!$A$6:$AU$39,27,0)</f>
        <v>0</v>
      </c>
      <c r="X36" s="36">
        <f>VLOOKUP($A36,[16]HISTOJANV22!$A$6:$AU$39,33,0)</f>
        <v>0</v>
      </c>
      <c r="Y36" s="36"/>
      <c r="Z36" s="36"/>
      <c r="AA36" s="36">
        <f>VLOOKUP($A36,[16]HISTOJANV22!$A$6:$AU$39,43,0)</f>
        <v>0</v>
      </c>
      <c r="AB36" s="36">
        <f>VLOOKUP($A36,[16]HISTOJANV22!$A$6:$AU$39,44,0)</f>
        <v>0</v>
      </c>
      <c r="AC36" s="36">
        <f>VLOOKUP($A36,[16]HISTOJANV22!$A$6:$AU$39,47,0)</f>
        <v>0</v>
      </c>
      <c r="AD36" s="36">
        <f>VLOOKUP(A36,[16]HISTOJANV22!$A$6:$BB$36,54,0)</f>
        <v>70000</v>
      </c>
    </row>
    <row r="37" spans="1:32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2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2" x14ac:dyDescent="0.25">
      <c r="A39" s="1"/>
      <c r="B39" s="1"/>
      <c r="C39" s="1"/>
      <c r="D39" s="1"/>
      <c r="E39" s="1"/>
      <c r="F39" s="1"/>
      <c r="G39" s="1"/>
      <c r="H39" s="1"/>
    </row>
    <row r="40" spans="1:32" ht="18" x14ac:dyDescent="0.25">
      <c r="A40" s="1" t="s">
        <v>57</v>
      </c>
      <c r="B40" s="1"/>
      <c r="C40" s="9">
        <f t="shared" ref="C40:AE40" si="8">SUM(C6:C39)</f>
        <v>17584659.561375875</v>
      </c>
      <c r="D40" s="9">
        <f t="shared" si="8"/>
        <v>2752017.974276307</v>
      </c>
      <c r="E40" s="9">
        <f t="shared" si="8"/>
        <v>0</v>
      </c>
      <c r="F40" s="9">
        <f t="shared" si="8"/>
        <v>17584659.561375875</v>
      </c>
      <c r="G40" s="9">
        <f t="shared" si="8"/>
        <v>1581640.0000000002</v>
      </c>
      <c r="H40" s="9">
        <f t="shared" si="8"/>
        <v>20554677.535652179</v>
      </c>
      <c r="I40" s="9">
        <f t="shared" si="8"/>
        <v>0</v>
      </c>
      <c r="J40" s="9">
        <f t="shared" si="8"/>
        <v>322000</v>
      </c>
      <c r="K40" s="9">
        <f t="shared" si="8"/>
        <v>218000</v>
      </c>
      <c r="L40" s="9">
        <f t="shared" si="8"/>
        <v>13000</v>
      </c>
      <c r="M40" s="9">
        <f t="shared" si="8"/>
        <v>26000</v>
      </c>
      <c r="N40" s="9">
        <f t="shared" si="8"/>
        <v>65000</v>
      </c>
      <c r="O40" s="9">
        <f t="shared" si="8"/>
        <v>3000</v>
      </c>
      <c r="P40" s="9">
        <f t="shared" si="8"/>
        <v>0</v>
      </c>
      <c r="Q40" s="9">
        <f t="shared" si="8"/>
        <v>0</v>
      </c>
      <c r="R40" s="9">
        <f t="shared" si="8"/>
        <v>18986500</v>
      </c>
      <c r="S40" s="9">
        <f t="shared" si="8"/>
        <v>1581640</v>
      </c>
      <c r="T40" s="9">
        <f t="shared" si="8"/>
        <v>0</v>
      </c>
      <c r="U40" s="9">
        <f t="shared" si="8"/>
        <v>2974000</v>
      </c>
      <c r="V40" s="9">
        <f t="shared" si="8"/>
        <v>0</v>
      </c>
      <c r="W40" s="9">
        <f t="shared" si="8"/>
        <v>0</v>
      </c>
      <c r="X40" s="9">
        <f t="shared" si="8"/>
        <v>0</v>
      </c>
      <c r="Y40" s="9">
        <f t="shared" si="8"/>
        <v>548000</v>
      </c>
      <c r="Z40" s="9">
        <f t="shared" si="8"/>
        <v>0</v>
      </c>
      <c r="AA40" s="9">
        <f t="shared" si="8"/>
        <v>0</v>
      </c>
      <c r="AB40" s="9">
        <f t="shared" si="8"/>
        <v>0</v>
      </c>
      <c r="AC40" s="9">
        <f t="shared" si="8"/>
        <v>0</v>
      </c>
      <c r="AD40" s="9">
        <f t="shared" si="8"/>
        <v>538000</v>
      </c>
      <c r="AE40" s="9">
        <f t="shared" si="8"/>
        <v>0</v>
      </c>
    </row>
  </sheetData>
  <autoFilter ref="A5:U36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3"/>
  <sheetViews>
    <sheetView workbookViewId="0">
      <pane xSplit="2" ySplit="5" topLeftCell="D36" activePane="bottomRight" state="frozen"/>
      <selection activeCell="B43" sqref="B43"/>
      <selection pane="topRight" activeCell="B43" sqref="B43"/>
      <selection pane="bottomLeft" activeCell="B43" sqref="B43"/>
      <selection pane="bottomRight" activeCell="I33" sqref="I3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5" width="12.140625" customWidth="1"/>
    <col min="6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7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5" max="35" width="12.42578125" bestFit="1" customWidth="1"/>
    <col min="36" max="36" width="17.5703125" customWidth="1"/>
    <col min="37" max="37" width="21.42578125" bestFit="1" customWidth="1"/>
    <col min="38" max="38" width="12.42578125" style="2" bestFit="1" customWidth="1"/>
  </cols>
  <sheetData>
    <row r="1" spans="1:38" ht="26.25" x14ac:dyDescent="0.4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  <c r="AK1" s="147"/>
      <c r="AL1" s="148"/>
    </row>
    <row r="2" spans="1:38" ht="26.25" x14ac:dyDescent="0.4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  <c r="AK2" s="108"/>
      <c r="AL2" s="59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  <c r="AK3" s="1"/>
      <c r="AL3"/>
    </row>
    <row r="4" spans="1:38" ht="26.25" x14ac:dyDescent="0.4">
      <c r="B4" s="16"/>
      <c r="C4" s="16"/>
      <c r="D4" s="16"/>
      <c r="E4" s="16"/>
      <c r="F4" s="16"/>
      <c r="G4" s="16"/>
      <c r="H4" s="16"/>
      <c r="I4" s="83"/>
      <c r="J4" s="146">
        <v>44578</v>
      </c>
      <c r="K4" s="146"/>
      <c r="L4" s="146"/>
      <c r="M4" s="146"/>
      <c r="N4" s="146"/>
      <c r="O4" s="146"/>
      <c r="P4"/>
      <c r="Q4"/>
      <c r="AJ4" s="108"/>
    </row>
    <row r="5" spans="1:38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84" t="s">
        <v>10</v>
      </c>
      <c r="AF5" s="84" t="s">
        <v>11</v>
      </c>
      <c r="AG5" s="84" t="s">
        <v>307</v>
      </c>
      <c r="AH5" s="84" t="s">
        <v>273</v>
      </c>
      <c r="AI5" s="4" t="s">
        <v>65</v>
      </c>
      <c r="AJ5" s="84" t="s">
        <v>278</v>
      </c>
    </row>
    <row r="6" spans="1:38" x14ac:dyDescent="0.25">
      <c r="A6" s="1" t="s">
        <v>16</v>
      </c>
      <c r="B6" s="1" t="str">
        <f>VLOOKUP(A6,[15]LISTADHERENT!A$5:H$60,3,0)</f>
        <v>ASELBY</v>
      </c>
      <c r="C6" s="5">
        <v>584177.00555049011</v>
      </c>
      <c r="D6" s="5"/>
      <c r="E6" s="36"/>
      <c r="F6" s="5">
        <f>C6-E6</f>
        <v>584177.00555049011</v>
      </c>
      <c r="G6" s="6">
        <f t="shared" ref="G6:G36" si="0">$S$40/$H$40*H6</f>
        <v>34046.886530400974</v>
      </c>
      <c r="H6" s="6">
        <f>F6+D6+K6-E6</f>
        <v>584177.00555049011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VLOOKUP($A6,[16]HISTOJANV22!$A$6:$CA$36,60,0)</f>
        <v>51000</v>
      </c>
      <c r="AF6" s="36">
        <f>VLOOKUP($A6,[16]HISTOJANV22!$A$6:$CA$36,61,0)</f>
        <v>0</v>
      </c>
      <c r="AG6" s="36">
        <f>VLOOKUP($A6,[16]HISTOJANV22!$A$6:$CA$36,62,0)</f>
        <v>0</v>
      </c>
      <c r="AH6" s="36">
        <f>VLOOKUP($A6,[16]HISTOJANV22!$A$6:$CA$36,63,0)</f>
        <v>70000</v>
      </c>
      <c r="AI6" s="36">
        <f>VLOOKUP($A6,[16]HISTOJANV22!$A$6:$CA$36,64,0)</f>
        <v>0</v>
      </c>
      <c r="AJ6" s="36">
        <f>VLOOKUP($A6,[16]HISTOJANV22!$A$6:$CA$36,65,0)</f>
        <v>450000</v>
      </c>
    </row>
    <row r="7" spans="1:38" x14ac:dyDescent="0.25">
      <c r="A7" s="1" t="s">
        <v>19</v>
      </c>
      <c r="B7" s="1" t="str">
        <f>VLOOKUP(A7,[15]LISTADHERENT!A$5:H$60,3,0)</f>
        <v>BOUTCHOUANG WILLIAM</v>
      </c>
      <c r="C7" s="5">
        <v>570000</v>
      </c>
      <c r="D7" s="5">
        <v>-258.93850559103885</v>
      </c>
      <c r="E7" s="36">
        <f>VLOOKUP($A7,[16]HISTOJANV22!$A$6:$BA$39,48,0)</f>
        <v>0</v>
      </c>
      <c r="F7" s="5">
        <f t="shared" ref="F7:F36" si="1">C7-E7</f>
        <v>570000</v>
      </c>
      <c r="G7" s="6">
        <f t="shared" si="0"/>
        <v>33380.379143177641</v>
      </c>
      <c r="H7" s="6">
        <f t="shared" ref="H7:H36" si="2">F7+D7+K7-E7</f>
        <v>572741.06149440899</v>
      </c>
      <c r="I7" s="36">
        <f>VLOOKUP($A7,[16]HISTOJANV22!$A$6:$AQ$37,22,0)</f>
        <v>0</v>
      </c>
      <c r="J7" s="36">
        <f>VLOOKUP($A7,[16]HISTOJANV22!$A$6:$AU$39,45,0)</f>
        <v>7000</v>
      </c>
      <c r="K7" s="36">
        <f t="shared" ref="K7:K36" si="3">IF(J7=0,0,J7-(L7+M7+N7))</f>
        <v>3000</v>
      </c>
      <c r="L7" s="36">
        <f t="shared" ref="L7:L36" si="4">IF(J7=0,0,500)</f>
        <v>500</v>
      </c>
      <c r="M7" s="36">
        <f t="shared" ref="M7:M36" si="5">IF(J7=0,0,1000)</f>
        <v>1000</v>
      </c>
      <c r="N7" s="36">
        <f t="shared" ref="N7:N36" si="6">IF(J7=0,0,2500)</f>
        <v>2500</v>
      </c>
      <c r="O7" s="36">
        <f>VLOOKUP($A7,[16]HISTOJANV22!$A$6:$AU$39,7,0)</f>
        <v>0</v>
      </c>
      <c r="P7" s="36">
        <f>VLOOKUP($A7,[16]HISTOJANV22!$A$6:$AU$39,23,0)</f>
        <v>0</v>
      </c>
      <c r="Q7" s="36">
        <f>VLOOKUP($A7,[16]HISTOJANV22!$A$6:$AU$39,46,0)</f>
        <v>0</v>
      </c>
      <c r="R7" s="36">
        <f>VLOOKUP($A7,[16]HISTOJANV22!$A$6:$AU$39,26,0)</f>
        <v>0</v>
      </c>
      <c r="S7" s="36">
        <f>VLOOKUP($A7,[16]HISTOJANV22!$A$6:$BG$39,58,0)</f>
        <v>0</v>
      </c>
      <c r="T7" s="36">
        <f>VLOOKUP($A7,[16]HISTOJANV22!$A$6:$AU$39,28,0)</f>
        <v>0</v>
      </c>
      <c r="U7" s="36">
        <f>VLOOKUP($A7,[16]HISTOJANV22!$A$6:$AU$39,19,0)</f>
        <v>0</v>
      </c>
      <c r="V7" s="36">
        <f>VLOOKUP($A7,[16]HISTOJANV22!$A$6:$AU$39,20,0)</f>
        <v>0</v>
      </c>
      <c r="W7" s="36">
        <f>VLOOKUP($A7,[16]HISTOJANV22!$A$6:$AU$39,27,0)</f>
        <v>0</v>
      </c>
      <c r="X7" s="36">
        <f>VLOOKUP($A7,[16]HISTOJANV22!$A$6:$BM$39,33,0)</f>
        <v>0</v>
      </c>
      <c r="Y7" s="36">
        <f>VLOOKUP($A7,[16]HISTOJANV22!$A$6:$BM$39,65,0)</f>
        <v>0</v>
      </c>
      <c r="Z7" s="36"/>
      <c r="AA7" s="36">
        <f>VLOOKUP($A7,[16]HISTOJANV22!$A$6:$AU$39,43,0)</f>
        <v>0</v>
      </c>
      <c r="AB7" s="36">
        <f>VLOOKUP($A7,[16]HISTOJANV22!$A$6:$AU$39,44,0)</f>
        <v>0</v>
      </c>
      <c r="AC7" s="36">
        <f>VLOOKUP($A7,[16]HISTOJANV22!$A$6:$AU$39,47,0)</f>
        <v>0</v>
      </c>
      <c r="AD7" s="36">
        <f>VLOOKUP(A7,[16]HISTOJANV22!$A$6:$BB$36,54,0)</f>
        <v>0</v>
      </c>
      <c r="AE7" s="36">
        <f>VLOOKUP($A7,[16]HISTOJANV22!$A$6:$CA$36,60,0)</f>
        <v>0</v>
      </c>
      <c r="AF7" s="36">
        <f>VLOOKUP($A7,[16]HISTOJANV22!$A$6:$CA$36,61,0)</f>
        <v>0</v>
      </c>
      <c r="AG7" s="36">
        <f>VLOOKUP($A7,[16]HISTOJANV22!$A$6:$CA$36,62,0)</f>
        <v>0</v>
      </c>
      <c r="AH7" s="36">
        <f>VLOOKUP($A7,[16]HISTOJANV22!$A$6:$CA$36,63,0)</f>
        <v>0</v>
      </c>
      <c r="AI7" s="36">
        <f>VLOOKUP($A7,[16]HISTOJANV22!$A$6:$CA$36,64,0)</f>
        <v>25000</v>
      </c>
      <c r="AJ7" s="36">
        <f>VLOOKUP($A7,[16]HISTOJANV22!$A$6:$CA$36,65,0)</f>
        <v>0</v>
      </c>
    </row>
    <row r="8" spans="1:38" x14ac:dyDescent="0.25">
      <c r="A8" s="1" t="s">
        <v>23</v>
      </c>
      <c r="B8" s="1" t="str">
        <f>VLOOKUP(A8,[15]LISTADHERENT!A$5:H$60,3,0)</f>
        <v xml:space="preserve">DJOMO JEAN PAUL </v>
      </c>
      <c r="C8" s="5">
        <v>570000</v>
      </c>
      <c r="D8" s="5">
        <v>1714.0012148400419</v>
      </c>
      <c r="E8" s="36">
        <f>VLOOKUP($A8,[16]HISTOJANV22!$A$6:$BA$39,48,0)</f>
        <v>0</v>
      </c>
      <c r="F8" s="5">
        <f t="shared" si="1"/>
        <v>570000</v>
      </c>
      <c r="G8" s="6">
        <f t="shared" si="0"/>
        <v>36118.046551284227</v>
      </c>
      <c r="H8" s="6">
        <f t="shared" si="2"/>
        <v>619714.00121483998</v>
      </c>
      <c r="I8" s="36">
        <f>VLOOKUP($A8,[16]HISTOJANV22!$A$6:$AQ$37,22,0)</f>
        <v>0</v>
      </c>
      <c r="J8" s="36">
        <f>VLOOKUP($A8,[16]HISTOJANV22!$A$6:$AU$39,45,0)</f>
        <v>52000</v>
      </c>
      <c r="K8" s="36">
        <f t="shared" si="3"/>
        <v>48000</v>
      </c>
      <c r="L8" s="36">
        <f t="shared" si="4"/>
        <v>500</v>
      </c>
      <c r="M8" s="36">
        <f t="shared" si="5"/>
        <v>1000</v>
      </c>
      <c r="N8" s="36">
        <f t="shared" si="6"/>
        <v>2500</v>
      </c>
      <c r="O8" s="36">
        <f>VLOOKUP($A8,[16]HISTOJANV22!$A$6:$AU$39,7,0)</f>
        <v>0</v>
      </c>
      <c r="P8" s="36">
        <f>VLOOKUP($A8,[16]HISTOJANV22!$A$6:$AU$39,23,0)</f>
        <v>0</v>
      </c>
      <c r="Q8" s="36">
        <f>VLOOKUP($A8,[16]HISTOJANV22!$A$6:$AU$39,46,0)</f>
        <v>0</v>
      </c>
      <c r="R8" s="36">
        <f>VLOOKUP($A8,[16]HISTOJANV22!$A$6:$AU$39,26,0)</f>
        <v>1000000</v>
      </c>
      <c r="S8" s="36">
        <f>VLOOKUP($A8,[16]HISTOJANV22!$A$6:$BG$39,58,0)</f>
        <v>120000</v>
      </c>
      <c r="T8" s="36" t="str">
        <f>VLOOKUP($A8,[16]HISTOJANV22!$A$6:$AU$39,28,0)</f>
        <v>OKK</v>
      </c>
      <c r="U8" s="36">
        <f>VLOOKUP($A8,[16]HISTOJANV22!$A$6:$AU$39,19,0)</f>
        <v>0</v>
      </c>
      <c r="V8" s="36">
        <f>VLOOKUP($A8,[16]HISTOJANV22!$A$6:$AU$39,20,0)</f>
        <v>0</v>
      </c>
      <c r="W8" s="36" t="str">
        <f>VLOOKUP($A8,[16]HISTOJANV22!$A$6:$AU$39,27,0)</f>
        <v>BANQUE</v>
      </c>
      <c r="X8" s="36">
        <f>VLOOKUP($A8,[16]HISTOJANV22!$A$6:$AU$39,33,0)</f>
        <v>0</v>
      </c>
      <c r="Y8" s="36">
        <f>VLOOKUP($A8,[16]HISTOJANV22!$A$6:$BM$39,65,0)</f>
        <v>0</v>
      </c>
      <c r="Z8" s="36"/>
      <c r="AA8" s="36">
        <f>VLOOKUP($A8,[16]HISTOJANV22!$A$6:$AU$39,43,0)</f>
        <v>0</v>
      </c>
      <c r="AB8" s="36">
        <f>VLOOKUP($A8,[16]HISTOJANV22!$A$6:$AU$39,44,0)</f>
        <v>0</v>
      </c>
      <c r="AC8" s="36">
        <f>VLOOKUP($A8,[16]HISTOJANV22!$A$6:$AU$39,47,0)</f>
        <v>0</v>
      </c>
      <c r="AD8" s="36">
        <f>VLOOKUP(A8,[16]HISTOJANV22!$A$6:$BB$36,54,0)</f>
        <v>0</v>
      </c>
      <c r="AE8" s="36">
        <f>VLOOKUP($A8,[16]HISTOJANV22!$A$6:$CA$36,60,0)</f>
        <v>0</v>
      </c>
      <c r="AF8" s="36">
        <f>VLOOKUP($A8,[16]HISTOJANV22!$A$6:$CA$36,61,0)</f>
        <v>0</v>
      </c>
      <c r="AG8" s="36">
        <f>VLOOKUP($A8,[16]HISTOJANV22!$A$6:$CA$36,62,0)</f>
        <v>0</v>
      </c>
      <c r="AH8" s="36">
        <f>VLOOKUP($A8,[16]HISTOJANV22!$A$6:$CA$36,63,0)</f>
        <v>0</v>
      </c>
      <c r="AI8" s="36">
        <f>VLOOKUP($A8,[16]HISTOJANV22!$A$6:$CA$36,64,0)</f>
        <v>0</v>
      </c>
      <c r="AJ8" s="36">
        <f>VLOOKUP($A8,[16]HISTOJANV22!$A$6:$CA$36,65,0)</f>
        <v>0</v>
      </c>
    </row>
    <row r="9" spans="1:38" x14ac:dyDescent="0.25">
      <c r="A9" s="1" t="s">
        <v>154</v>
      </c>
      <c r="B9" s="1" t="str">
        <f>VLOOKUP(A9,[15]LISTADHERENT!A$5:H$60,3,0)</f>
        <v>DJOMOU TCHANDA</v>
      </c>
      <c r="C9" s="5">
        <v>570000</v>
      </c>
      <c r="D9" s="5">
        <v>359</v>
      </c>
      <c r="E9" s="36">
        <f>VLOOKUP($A9,[16]HISTOJANV22!$A$6:$BA$39,48,0)</f>
        <v>0</v>
      </c>
      <c r="F9" s="5">
        <f t="shared" si="1"/>
        <v>570000</v>
      </c>
      <c r="G9" s="6">
        <f t="shared" si="0"/>
        <v>33416.393710650722</v>
      </c>
      <c r="H9" s="6">
        <f t="shared" si="2"/>
        <v>573359</v>
      </c>
      <c r="I9" s="36">
        <f>VLOOKUP($A9,[16]HISTOJANV22!$A$6:$AQ$37,22,0)</f>
        <v>0</v>
      </c>
      <c r="J9" s="36">
        <f>VLOOKUP($A9,[16]HISTOJANV22!$A$6:$AU$39,45,0)</f>
        <v>7000</v>
      </c>
      <c r="K9" s="36">
        <f t="shared" si="3"/>
        <v>3000</v>
      </c>
      <c r="L9" s="36">
        <f t="shared" si="4"/>
        <v>500</v>
      </c>
      <c r="M9" s="36">
        <f t="shared" si="5"/>
        <v>1000</v>
      </c>
      <c r="N9" s="36">
        <f t="shared" si="6"/>
        <v>2500</v>
      </c>
      <c r="O9" s="36">
        <f>VLOOKUP($A9,[16]HISTOJANV22!$A$6:$AU$39,7,0)</f>
        <v>0</v>
      </c>
      <c r="P9" s="36">
        <f>VLOOKUP($A9,[16]HISTOJANV22!$A$6:$AU$39,23,0)</f>
        <v>0</v>
      </c>
      <c r="Q9" s="36">
        <f>VLOOKUP($A9,[16]HISTOJANV22!$A$6:$AU$39,46,0)</f>
        <v>0</v>
      </c>
      <c r="R9" s="36">
        <f>VLOOKUP($A9,[16]HISTOJANV22!$A$6:$AU$39,26,0)</f>
        <v>0</v>
      </c>
      <c r="S9" s="36">
        <f>VLOOKUP($A9,[16]HISTOJANV22!$A$6:$BG$39,58,0)</f>
        <v>0</v>
      </c>
      <c r="T9" s="36">
        <f>VLOOKUP($A9,[16]HISTOJANV22!$A$6:$AU$39,28,0)</f>
        <v>0</v>
      </c>
      <c r="U9" s="36">
        <f>VLOOKUP($A9,[16]HISTOJANV22!$A$6:$AU$39,19,0)</f>
        <v>0</v>
      </c>
      <c r="V9" s="36">
        <f>VLOOKUP($A9,[16]HISTOJANV22!$A$6:$AU$39,20,0)</f>
        <v>0</v>
      </c>
      <c r="W9" s="36">
        <f>VLOOKUP($A9,[16]HISTOJANV22!$A$6:$AU$39,27,0)</f>
        <v>0</v>
      </c>
      <c r="X9" s="36">
        <f>VLOOKUP($A9,[16]HISTOJANV22!$A$6:$AU$39,33,0)</f>
        <v>0</v>
      </c>
      <c r="Y9" s="36">
        <f>VLOOKUP($A9,[16]HISTOJANV22!$A$6:$BM$39,65,0)</f>
        <v>0</v>
      </c>
      <c r="Z9" s="36"/>
      <c r="AA9" s="36">
        <f>VLOOKUP($A9,[16]HISTOJANV22!$A$6:$AU$39,43,0)</f>
        <v>0</v>
      </c>
      <c r="AB9" s="36">
        <f>VLOOKUP($A9,[16]HISTOJANV22!$A$6:$AU$39,44,0)</f>
        <v>0</v>
      </c>
      <c r="AC9" s="36">
        <f>VLOOKUP($A9,[16]HISTOJANV22!$A$6:$AU$39,47,0)</f>
        <v>0</v>
      </c>
      <c r="AD9" s="36">
        <f>VLOOKUP(A9,[16]HISTOJANV22!$A$6:$BB$36,54,0)</f>
        <v>0</v>
      </c>
      <c r="AE9" s="36">
        <f>VLOOKUP($A9,[16]HISTOJANV22!$A$6:$CA$36,60,0)</f>
        <v>0</v>
      </c>
      <c r="AF9" s="36">
        <f>VLOOKUP($A9,[16]HISTOJANV22!$A$6:$CA$36,61,0)</f>
        <v>0</v>
      </c>
      <c r="AG9" s="36">
        <f>VLOOKUP($A9,[16]HISTOJANV22!$A$6:$CA$36,62,0)</f>
        <v>0</v>
      </c>
      <c r="AH9" s="36">
        <f>VLOOKUP($A9,[16]HISTOJANV22!$A$6:$CA$36,63,0)</f>
        <v>0</v>
      </c>
      <c r="AI9" s="36">
        <f>VLOOKUP($A9,[16]HISTOJANV22!$A$6:$CA$36,64,0)</f>
        <v>0</v>
      </c>
      <c r="AJ9" s="36">
        <f>VLOOKUP($A9,[16]HISTOJANV22!$A$6:$CA$36,65,0)</f>
        <v>0</v>
      </c>
    </row>
    <row r="10" spans="1:38" x14ac:dyDescent="0.25">
      <c r="A10" s="1" t="s">
        <v>24</v>
      </c>
      <c r="B10" s="1" t="str">
        <f>VLOOKUP(A10,[15]LISTADHERENT!A$5:H$60,3,0)</f>
        <v>DJOUKWE NANGUEN GUY BLAISE</v>
      </c>
      <c r="C10" s="5">
        <v>570000</v>
      </c>
      <c r="D10" s="5">
        <v>110412.64212220861</v>
      </c>
      <c r="E10" s="36">
        <f>VLOOKUP($A10,[16]HISTOJANV22!$A$6:$BA$39,48,0)</f>
        <v>0</v>
      </c>
      <c r="F10" s="5">
        <f t="shared" si="1"/>
        <v>570000</v>
      </c>
      <c r="G10" s="6">
        <f t="shared" si="0"/>
        <v>40121.926898409234</v>
      </c>
      <c r="H10" s="6">
        <f t="shared" si="2"/>
        <v>688412.64212220861</v>
      </c>
      <c r="I10" s="36">
        <f>VLOOKUP($A10,[16]HISTOJANV22!$A$6:$AQ$37,22,0)</f>
        <v>0</v>
      </c>
      <c r="J10" s="36">
        <f>VLOOKUP($A10,[16]HISTOJANV22!$A$6:$AU$39,45,0)</f>
        <v>12000</v>
      </c>
      <c r="K10" s="36">
        <f t="shared" si="3"/>
        <v>8000</v>
      </c>
      <c r="L10" s="36">
        <f t="shared" si="4"/>
        <v>500</v>
      </c>
      <c r="M10" s="36">
        <f t="shared" si="5"/>
        <v>1000</v>
      </c>
      <c r="N10" s="36">
        <f t="shared" si="6"/>
        <v>2500</v>
      </c>
      <c r="O10" s="36">
        <f>VLOOKUP($A10,[16]HISTOJANV22!$A$6:$AU$39,7,0)</f>
        <v>0</v>
      </c>
      <c r="P10" s="36">
        <f>VLOOKUP($A10,[16]HISTOJANV22!$A$6:$AU$39,23,0)</f>
        <v>0</v>
      </c>
      <c r="Q10" s="36">
        <f>VLOOKUP($A10,[16]HISTOJANV22!$A$6:$AU$39,46,0)</f>
        <v>0</v>
      </c>
      <c r="R10" s="36">
        <f>VLOOKUP($A10,[16]HISTOJANV22!$A$6:$AU$39,26,0)</f>
        <v>1000000</v>
      </c>
      <c r="S10" s="36">
        <f>VLOOKUP($A10,[16]HISTOJANV22!$A$6:$BG$39,58,0)</f>
        <v>120000</v>
      </c>
      <c r="T10" s="36" t="str">
        <f>VLOOKUP($A10,[16]HISTOJANV22!$A$6:$AU$39,28,0)</f>
        <v>OKK</v>
      </c>
      <c r="U10" s="36">
        <f>VLOOKUP($A10,[16]HISTOJANV22!$A$6:$AU$39,19,0)</f>
        <v>0</v>
      </c>
      <c r="V10" s="36">
        <f>VLOOKUP($A10,[16]HISTOJANV22!$A$6:$AU$39,20,0)</f>
        <v>0</v>
      </c>
      <c r="W10" s="36" t="str">
        <f>VLOOKUP($A10,[16]HISTOJANV22!$A$6:$AU$39,27,0)</f>
        <v>BANQUE</v>
      </c>
      <c r="X10" s="36">
        <f>VLOOKUP($A10,[16]HISTOJANV22!$A$6:$AU$39,33,0)</f>
        <v>0</v>
      </c>
      <c r="Y10" s="36">
        <f>VLOOKUP($A10,[16]HISTOJANV22!$A$6:$BM$39,65,0)</f>
        <v>0</v>
      </c>
      <c r="Z10" s="36"/>
      <c r="AA10" s="36">
        <f>VLOOKUP($A10,[16]HISTOJANV22!$A$6:$AU$39,43,0)</f>
        <v>0</v>
      </c>
      <c r="AB10" s="36">
        <f>VLOOKUP($A10,[16]HISTOJANV22!$A$6:$AU$39,44,0)</f>
        <v>0</v>
      </c>
      <c r="AC10" s="36">
        <f>VLOOKUP($A10,[16]HISTOJANV22!$A$6:$AU$39,47,0)</f>
        <v>0</v>
      </c>
      <c r="AD10" s="36">
        <f>VLOOKUP(A10,[16]HISTOJANV22!$A$6:$BB$36,54,0)</f>
        <v>0</v>
      </c>
      <c r="AE10" s="36">
        <f>VLOOKUP($A10,[16]HISTOJANV22!$A$6:$CA$36,60,0)</f>
        <v>0</v>
      </c>
      <c r="AF10" s="36">
        <f>VLOOKUP($A10,[16]HISTOJANV22!$A$6:$CA$36,61,0)</f>
        <v>0</v>
      </c>
      <c r="AG10" s="36">
        <f>VLOOKUP($A10,[16]HISTOJANV22!$A$6:$CA$36,62,0)</f>
        <v>0</v>
      </c>
      <c r="AH10" s="36">
        <f>VLOOKUP($A10,[16]HISTOJANV22!$A$6:$CA$36,63,0)</f>
        <v>0</v>
      </c>
      <c r="AI10" s="36">
        <f>VLOOKUP($A10,[16]HISTOJANV22!$A$6:$CA$36,64,0)</f>
        <v>0</v>
      </c>
      <c r="AJ10" s="36">
        <f>VLOOKUP($A10,[16]HISTOJANV22!$A$6:$CA$36,65,0)</f>
        <v>0</v>
      </c>
    </row>
    <row r="11" spans="1:38" x14ac:dyDescent="0.25">
      <c r="A11" s="1" t="s">
        <v>25</v>
      </c>
      <c r="B11" s="1" t="str">
        <f>VLOOKUP(A11,[15]LISTADHERENT!A$5:H$60,3,0)</f>
        <v>DJUOMBESSY ANTOINE</v>
      </c>
      <c r="C11" s="5">
        <v>570000</v>
      </c>
      <c r="D11" s="5">
        <v>18508.84987508686</v>
      </c>
      <c r="E11" s="36">
        <f>VLOOKUP($A11,[16]HISTOJANV22!$A$6:$BA$39,48,0)</f>
        <v>0</v>
      </c>
      <c r="F11" s="5">
        <f t="shared" si="1"/>
        <v>570000</v>
      </c>
      <c r="G11" s="6">
        <f t="shared" si="0"/>
        <v>34474.1996040179</v>
      </c>
      <c r="H11" s="6">
        <f t="shared" si="2"/>
        <v>591508.84987508692</v>
      </c>
      <c r="I11" s="36">
        <f>VLOOKUP($A11,[16]HISTOJANV22!$A$6:$AQ$37,22,0)</f>
        <v>0</v>
      </c>
      <c r="J11" s="36">
        <f>VLOOKUP($A11,[16]HISTOJANV22!$A$6:$AU$39,45,0)</f>
        <v>7000</v>
      </c>
      <c r="K11" s="36">
        <f t="shared" si="3"/>
        <v>3000</v>
      </c>
      <c r="L11" s="36">
        <f t="shared" si="4"/>
        <v>500</v>
      </c>
      <c r="M11" s="36">
        <f t="shared" si="5"/>
        <v>1000</v>
      </c>
      <c r="N11" s="36">
        <f t="shared" si="6"/>
        <v>2500</v>
      </c>
      <c r="O11" s="36">
        <f>VLOOKUP($A11,[16]HISTOJANV22!$A$6:$AU$39,7,0)</f>
        <v>0</v>
      </c>
      <c r="P11" s="36">
        <f>VLOOKUP($A11,[16]HISTOJANV22!$A$6:$AU$39,23,0)</f>
        <v>0</v>
      </c>
      <c r="Q11" s="36">
        <f>VLOOKUP($A11,[16]HISTOJANV22!$A$6:$AU$39,46,0)</f>
        <v>0</v>
      </c>
      <c r="R11" s="36">
        <f>VLOOKUP($A11,[16]HISTOJANV22!$A$6:$AU$39,26,0)</f>
        <v>0</v>
      </c>
      <c r="S11" s="36">
        <f>VLOOKUP($A11,[16]HISTOJANV22!$A$6:$BG$39,58,0)</f>
        <v>0</v>
      </c>
      <c r="T11" s="36">
        <f>VLOOKUP($A11,[16]HISTOJANV22!$A$6:$AU$39,28,0)</f>
        <v>0</v>
      </c>
      <c r="U11" s="36">
        <f>VLOOKUP($A11,[16]HISTOJANV22!$A$6:$AU$39,19,0)</f>
        <v>1000000</v>
      </c>
      <c r="V11" s="36" t="str">
        <f>VLOOKUP($A11,[16]HISTOJANV22!$A$6:$AU$39,20,0)</f>
        <v>BANQUE</v>
      </c>
      <c r="W11" s="36">
        <f>VLOOKUP($A11,[16]HISTOJANV22!$A$6:$AU$39,27,0)</f>
        <v>0</v>
      </c>
      <c r="X11" s="36">
        <f>VLOOKUP($A11,[16]HISTOJANV22!$A$6:$AU$39,33,0)</f>
        <v>0</v>
      </c>
      <c r="Y11" s="36">
        <f>VLOOKUP($A11,[16]HISTOJANV22!$A$6:$BM$39,65,0)</f>
        <v>0</v>
      </c>
      <c r="Z11" s="36"/>
      <c r="AA11" s="36">
        <f>VLOOKUP($A11,[16]HISTOJANV22!$A$6:$AU$39,43,0)</f>
        <v>0</v>
      </c>
      <c r="AB11" s="36">
        <f>VLOOKUP($A11,[16]HISTOJANV22!$A$6:$AU$39,44,0)</f>
        <v>0</v>
      </c>
      <c r="AC11" s="36">
        <f>VLOOKUP($A11,[16]HISTOJANV22!$A$6:$AU$39,47,0)</f>
        <v>0</v>
      </c>
      <c r="AD11" s="36">
        <f>VLOOKUP(A11,[16]HISTOJANV22!$A$6:$BB$36,54,0)</f>
        <v>61000</v>
      </c>
      <c r="AE11" s="36">
        <f>VLOOKUP($A11,[16]HISTOJANV22!$A$6:$CA$36,60,0)</f>
        <v>0</v>
      </c>
      <c r="AF11" s="36">
        <f>VLOOKUP($A11,[16]HISTOJANV22!$A$6:$CA$36,61,0)</f>
        <v>0</v>
      </c>
      <c r="AG11" s="36">
        <f>VLOOKUP($A11,[16]HISTOJANV22!$A$6:$CA$36,62,0)</f>
        <v>0</v>
      </c>
      <c r="AH11" s="36">
        <f>VLOOKUP($A11,[16]HISTOJANV22!$A$6:$CA$36,63,0)</f>
        <v>0</v>
      </c>
      <c r="AI11" s="36">
        <f>VLOOKUP($A11,[16]HISTOJANV22!$A$6:$CA$36,64,0)</f>
        <v>49000</v>
      </c>
      <c r="AJ11" s="36">
        <f>VLOOKUP($A11,[16]HISTOJANV22!$A$6:$CA$36,65,0)</f>
        <v>0</v>
      </c>
    </row>
    <row r="12" spans="1:38" x14ac:dyDescent="0.25">
      <c r="A12" s="1" t="s">
        <v>79</v>
      </c>
      <c r="B12" s="1" t="str">
        <f>VLOOKUP(A12,[15]LISTADHERENT!A$5:H$60,3,0)</f>
        <v>DOMOU FABIEN</v>
      </c>
      <c r="C12" s="5">
        <v>570000</v>
      </c>
      <c r="D12" s="5">
        <v>6527.0543220352411</v>
      </c>
      <c r="E12" s="36">
        <f>VLOOKUP($A12,[16]HISTOJANV22!$A$6:$BA$39,48,0)</f>
        <v>0</v>
      </c>
      <c r="F12" s="5">
        <f t="shared" si="1"/>
        <v>570000</v>
      </c>
      <c r="G12" s="6">
        <f t="shared" si="0"/>
        <v>34067.288002372079</v>
      </c>
      <c r="H12" s="6">
        <f t="shared" si="2"/>
        <v>584527.05432203528</v>
      </c>
      <c r="I12" s="36">
        <f>VLOOKUP($A12,[16]HISTOJANV22!$A$6:$AQ$37,22,0)</f>
        <v>0</v>
      </c>
      <c r="J12" s="36">
        <f>VLOOKUP($A12,[16]HISTOJANV22!$A$6:$AU$39,45,0)</f>
        <v>12000</v>
      </c>
      <c r="K12" s="36">
        <f t="shared" si="3"/>
        <v>8000</v>
      </c>
      <c r="L12" s="36">
        <f t="shared" si="4"/>
        <v>500</v>
      </c>
      <c r="M12" s="36">
        <f t="shared" si="5"/>
        <v>1000</v>
      </c>
      <c r="N12" s="36">
        <f t="shared" si="6"/>
        <v>2500</v>
      </c>
      <c r="O12" s="36">
        <f>VLOOKUP($A12,[16]HISTOJANV22!$A$6:$AU$39,7,0)</f>
        <v>0</v>
      </c>
      <c r="P12" s="36">
        <f>VLOOKUP($A12,[16]HISTOJANV22!$A$6:$AU$39,23,0)</f>
        <v>0</v>
      </c>
      <c r="Q12" s="36">
        <f>VLOOKUP($A12,[16]HISTOJANV22!$A$6:$AU$39,46,0)</f>
        <v>0</v>
      </c>
      <c r="R12" s="36">
        <f>VLOOKUP($A12,[16]HISTOJANV22!$A$6:$AU$39,26,0)</f>
        <v>1000000</v>
      </c>
      <c r="S12" s="36">
        <f>VLOOKUP($A12,[16]HISTOJANV22!$A$6:$BG$39,58,0)</f>
        <v>120000</v>
      </c>
      <c r="T12" s="36" t="str">
        <f>VLOOKUP($A12,[16]HISTOJANV22!$A$6:$AU$39,28,0)</f>
        <v>OKK</v>
      </c>
      <c r="U12" s="36">
        <f>VLOOKUP($A12,[16]HISTOJANV22!$A$6:$AU$39,19,0)</f>
        <v>0</v>
      </c>
      <c r="V12" s="36">
        <f>VLOOKUP($A12,[16]HISTOJANV22!$A$6:$AU$39,20,0)</f>
        <v>0</v>
      </c>
      <c r="W12" s="36" t="str">
        <f>VLOOKUP($A12,[16]HISTOJANV22!$A$6:$AU$39,27,0)</f>
        <v>BANQUE</v>
      </c>
      <c r="X12" s="36">
        <f>VLOOKUP($A12,[16]HISTOJANV22!$A$6:$AU$39,33,0)</f>
        <v>0</v>
      </c>
      <c r="Y12" s="36">
        <f>VLOOKUP($A12,[16]HISTOJANV22!$A$6:$BM$39,65,0)</f>
        <v>0</v>
      </c>
      <c r="Z12" s="36"/>
      <c r="AA12" s="36">
        <f>VLOOKUP($A12,[16]HISTOJANV22!$A$6:$AU$39,43,0)</f>
        <v>0</v>
      </c>
      <c r="AB12" s="36">
        <f>VLOOKUP($A12,[16]HISTOJANV22!$A$6:$AU$39,44,0)</f>
        <v>0</v>
      </c>
      <c r="AC12" s="36">
        <f>VLOOKUP($A12,[16]HISTOJANV22!$A$6:$AU$39,47,0)</f>
        <v>0</v>
      </c>
      <c r="AD12" s="36">
        <f>VLOOKUP(A12,[16]HISTOJANV22!$A$6:$BB$36,54,0)</f>
        <v>57000</v>
      </c>
      <c r="AE12" s="36">
        <f>VLOOKUP($A12,[16]HISTOJANV22!$A$6:$CA$36,60,0)</f>
        <v>0</v>
      </c>
      <c r="AF12" s="36">
        <f>VLOOKUP($A12,[16]HISTOJANV22!$A$6:$CA$36,61,0)</f>
        <v>0</v>
      </c>
      <c r="AG12" s="36">
        <f>VLOOKUP($A12,[16]HISTOJANV22!$A$6:$CA$36,62,0)</f>
        <v>0</v>
      </c>
      <c r="AH12" s="36">
        <f>VLOOKUP($A12,[16]HISTOJANV22!$A$6:$CA$36,63,0)</f>
        <v>0</v>
      </c>
      <c r="AI12" s="36">
        <f>VLOOKUP($A12,[16]HISTOJANV22!$A$6:$CA$36,64,0)</f>
        <v>0</v>
      </c>
      <c r="AJ12" s="36">
        <f>VLOOKUP($A12,[16]HISTOJANV22!$A$6:$CA$36,65,0)</f>
        <v>0</v>
      </c>
    </row>
    <row r="13" spans="1:38" x14ac:dyDescent="0.25">
      <c r="A13" s="1" t="s">
        <v>26</v>
      </c>
      <c r="B13" s="1" t="str">
        <f>VLOOKUP(A13,[15]LISTADHERENT!A$5:H$60,3,0)</f>
        <v>DONHOU DAVID</v>
      </c>
      <c r="C13" s="5">
        <v>570000</v>
      </c>
      <c r="D13" s="5">
        <v>253289.50601995771</v>
      </c>
      <c r="E13" s="36">
        <f>VLOOKUP($A13,[16]HISTOJANV22!$A$6:$BA$39,48,0)</f>
        <v>0</v>
      </c>
      <c r="F13" s="5">
        <f t="shared" si="1"/>
        <v>570000</v>
      </c>
      <c r="G13" s="6">
        <f t="shared" si="0"/>
        <v>48157.638498989305</v>
      </c>
      <c r="H13" s="6">
        <f t="shared" si="2"/>
        <v>826289.50601995771</v>
      </c>
      <c r="I13" s="36">
        <f>VLOOKUP($A13,[16]HISTOJANV22!$A$6:$AQ$37,22,0)</f>
        <v>0</v>
      </c>
      <c r="J13" s="36">
        <f>VLOOKUP($A13,[16]HISTOJANV22!$A$6:$AU$39,45,0)</f>
        <v>7000</v>
      </c>
      <c r="K13" s="36">
        <f t="shared" si="3"/>
        <v>3000</v>
      </c>
      <c r="L13" s="36">
        <f t="shared" si="4"/>
        <v>500</v>
      </c>
      <c r="M13" s="36">
        <f t="shared" si="5"/>
        <v>1000</v>
      </c>
      <c r="N13" s="36">
        <f t="shared" si="6"/>
        <v>2500</v>
      </c>
      <c r="O13" s="36">
        <f>VLOOKUP($A13,[16]HISTOJANV22!$A$6:$AU$39,7,0)</f>
        <v>0</v>
      </c>
      <c r="P13" s="36">
        <f>VLOOKUP($A13,[16]HISTOJANV22!$A$6:$AU$39,23,0)</f>
        <v>0</v>
      </c>
      <c r="Q13" s="36">
        <f>VLOOKUP($A13,[16]HISTOJANV22!$A$6:$AU$39,46,0)</f>
        <v>0</v>
      </c>
      <c r="R13" s="36">
        <f>VLOOKUP($A13,[16]HISTOJANV22!$A$6:$AU$39,26,0)</f>
        <v>0</v>
      </c>
      <c r="S13" s="36">
        <f>VLOOKUP($A13,[16]HISTOJANV22!$A$6:$BG$39,58,0)</f>
        <v>0</v>
      </c>
      <c r="T13" s="36">
        <f>VLOOKUP($A13,[16]HISTOJANV22!$A$6:$AU$39,28,0)</f>
        <v>0</v>
      </c>
      <c r="U13" s="36">
        <f>VLOOKUP($A13,[16]HISTOJANV22!$A$6:$AU$39,19,0)</f>
        <v>0</v>
      </c>
      <c r="V13" s="36">
        <f>VLOOKUP($A13,[16]HISTOJANV22!$A$6:$AU$39,20,0)</f>
        <v>0</v>
      </c>
      <c r="W13" s="36">
        <f>VLOOKUP($A13,[16]HISTOJANV22!$A$6:$AU$39,27,0)</f>
        <v>0</v>
      </c>
      <c r="X13" s="36">
        <f>VLOOKUP($A13,[16]HISTOJANV22!$A$6:$AU$39,33,0)</f>
        <v>0</v>
      </c>
      <c r="Y13" s="36">
        <f>VLOOKUP($A13,[16]HISTOJANV22!$A$6:$BM$39,65,0)</f>
        <v>0</v>
      </c>
      <c r="Z13" s="36"/>
      <c r="AA13" s="36">
        <f>VLOOKUP($A13,[16]HISTOJANV22!$A$6:$AU$39,43,0)</f>
        <v>0</v>
      </c>
      <c r="AB13" s="36">
        <f>VLOOKUP($A13,[16]HISTOJANV22!$A$6:$AU$39,44,0)</f>
        <v>0</v>
      </c>
      <c r="AC13" s="36">
        <f>VLOOKUP($A13,[16]HISTOJANV22!$A$6:$AU$39,47,0)</f>
        <v>0</v>
      </c>
      <c r="AD13" s="36">
        <f>VLOOKUP(A13,[16]HISTOJANV22!$A$6:$BB$36,54,0)</f>
        <v>70000</v>
      </c>
      <c r="AE13" s="36">
        <f>VLOOKUP($A13,[16]HISTOJANV22!$A$6:$CA$36,60,0)</f>
        <v>0</v>
      </c>
      <c r="AF13" s="36">
        <f>VLOOKUP($A13,[16]HISTOJANV22!$A$6:$CA$36,61,0)</f>
        <v>0</v>
      </c>
      <c r="AG13" s="36">
        <f>VLOOKUP($A13,[16]HISTOJANV22!$A$6:$CA$36,62,0)</f>
        <v>0</v>
      </c>
      <c r="AH13" s="36">
        <f>VLOOKUP($A13,[16]HISTOJANV22!$A$6:$CA$36,63,0)</f>
        <v>0</v>
      </c>
      <c r="AI13" s="36">
        <f>VLOOKUP($A13,[16]HISTOJANV22!$A$6:$CA$36,64,0)</f>
        <v>0</v>
      </c>
      <c r="AJ13" s="36">
        <f>VLOOKUP($A13,[16]HISTOJANV22!$A$6:$CA$36,65,0)</f>
        <v>0</v>
      </c>
    </row>
    <row r="14" spans="1:38" x14ac:dyDescent="0.25">
      <c r="A14" s="1" t="s">
        <v>27</v>
      </c>
      <c r="B14" s="1" t="str">
        <f>VLOOKUP(A14,[15]LISTADHERENT!A$5:H$60,3,0)</f>
        <v>FOTSO THOMAS</v>
      </c>
      <c r="C14" s="5">
        <v>540000</v>
      </c>
      <c r="D14" s="5">
        <v>-2105.0985828532721</v>
      </c>
      <c r="E14" s="36">
        <f>VLOOKUP($A14,[16]HISTOJANV22!$A$6:$BA$39,48,0)</f>
        <v>0</v>
      </c>
      <c r="F14" s="5">
        <f t="shared" si="1"/>
        <v>540000</v>
      </c>
      <c r="G14" s="6">
        <f t="shared" si="0"/>
        <v>0</v>
      </c>
      <c r="H14" s="6"/>
      <c r="I14" s="36">
        <f>VLOOKUP($A14,[16]HISTOJANV22!$A$6:$AQ$37,22,0)</f>
        <v>0</v>
      </c>
      <c r="J14" s="36">
        <f>VLOOKUP($A14,[16]HISTOJANV22!$A$6:$AU$39,45,0)</f>
        <v>0</v>
      </c>
      <c r="K14" s="36">
        <f t="shared" si="3"/>
        <v>0</v>
      </c>
      <c r="L14" s="36">
        <f t="shared" si="4"/>
        <v>0</v>
      </c>
      <c r="M14" s="36">
        <f t="shared" si="5"/>
        <v>0</v>
      </c>
      <c r="N14" s="36">
        <f t="shared" si="6"/>
        <v>0</v>
      </c>
      <c r="O14" s="36">
        <f>VLOOKUP($A14,[16]HISTOJANV22!$A$6:$AU$39,7,0)</f>
        <v>0</v>
      </c>
      <c r="P14" s="36">
        <f>VLOOKUP($A14,[16]HISTOJANV22!$A$6:$AU$39,23,0)</f>
        <v>0</v>
      </c>
      <c r="Q14" s="36">
        <f>VLOOKUP($A14,[16]HISTOJANV22!$A$6:$AU$39,46,0)</f>
        <v>0</v>
      </c>
      <c r="R14" s="36">
        <f>VLOOKUP($A14,[16]HISTOJANV22!$A$6:$AU$39,26,0)</f>
        <v>1155000</v>
      </c>
      <c r="S14" s="36">
        <f>VLOOKUP($A14,[16]HISTOJANV22!$A$6:$BG$39,58,0)</f>
        <v>0</v>
      </c>
      <c r="T14" s="36">
        <f>VLOOKUP($A14,[16]HISTOJANV22!$A$6:$AU$39,28,0)</f>
        <v>0</v>
      </c>
      <c r="U14" s="36">
        <f>VLOOKUP($A14,[16]HISTOJANV22!$A$6:$AU$39,19,0)</f>
        <v>0</v>
      </c>
      <c r="V14" s="36">
        <f>VLOOKUP($A14,[16]HISTOJANV22!$A$6:$AU$39,20,0)</f>
        <v>0</v>
      </c>
      <c r="W14" s="36" t="str">
        <f>VLOOKUP($A14,[16]HISTOJANV22!$A$6:$AU$39,27,0)</f>
        <v>BANQUE</v>
      </c>
      <c r="X14" s="36">
        <f>VLOOKUP($A14,[16]HISTOJANV22!$A$6:$AU$39,33,0)</f>
        <v>0</v>
      </c>
      <c r="Y14" s="36">
        <f>VLOOKUP($A14,[16]HISTOJANV22!$A$6:$BM$39,65,0)</f>
        <v>0</v>
      </c>
      <c r="Z14" s="36"/>
      <c r="AA14" s="36">
        <f>VLOOKUP($A14,[16]HISTOJANV22!$A$6:$AU$39,43,0)</f>
        <v>0</v>
      </c>
      <c r="AB14" s="36">
        <f>VLOOKUP($A14,[16]HISTOJANV22!$A$6:$AU$39,44,0)</f>
        <v>0</v>
      </c>
      <c r="AC14" s="36">
        <f>VLOOKUP($A14,[16]HISTOJANV22!$A$6:$AU$39,47,0)</f>
        <v>0</v>
      </c>
      <c r="AD14" s="36">
        <f>VLOOKUP(A14,[16]HISTOJANV22!$A$6:$BB$36,54,0)</f>
        <v>0</v>
      </c>
      <c r="AE14" s="36">
        <f>VLOOKUP($A14,[16]HISTOJANV22!$A$6:$CA$36,60,0)</f>
        <v>0</v>
      </c>
      <c r="AF14" s="36">
        <f>VLOOKUP($A14,[16]HISTOJANV22!$A$6:$CA$36,61,0)</f>
        <v>0</v>
      </c>
      <c r="AG14" s="36">
        <f>VLOOKUP($A14,[16]HISTOJANV22!$A$6:$CA$36,62,0)</f>
        <v>0</v>
      </c>
      <c r="AH14" s="36">
        <f>VLOOKUP($A14,[16]HISTOJANV22!$A$6:$CA$36,63,0)</f>
        <v>0</v>
      </c>
      <c r="AI14" s="36">
        <f>VLOOKUP($A14,[16]HISTOJANV22!$A$6:$CA$36,64,0)</f>
        <v>155000</v>
      </c>
      <c r="AJ14" s="36">
        <f>VLOOKUP($A14,[16]HISTOJANV22!$A$6:$CA$36,65,0)</f>
        <v>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>
        <v>570000</v>
      </c>
      <c r="D15" s="5">
        <v>3435.9669399686391</v>
      </c>
      <c r="E15" s="36">
        <f>VLOOKUP($A15,[16]HISTOJANV22!$A$6:$BA$39,48,0)</f>
        <v>0</v>
      </c>
      <c r="F15" s="5">
        <f t="shared" si="1"/>
        <v>570000</v>
      </c>
      <c r="G15" s="6">
        <f t="shared" si="0"/>
        <v>33595.724877861227</v>
      </c>
      <c r="H15" s="6">
        <f t="shared" si="2"/>
        <v>576435.96693996864</v>
      </c>
      <c r="I15" s="36">
        <f>VLOOKUP($A15,[16]HISTOJANV22!$A$6:$AQ$37,22,0)</f>
        <v>0</v>
      </c>
      <c r="J15" s="36">
        <f>VLOOKUP($A15,[16]HISTOJANV22!$A$6:$AU$39,45,0)</f>
        <v>7000</v>
      </c>
      <c r="K15" s="36">
        <f t="shared" si="3"/>
        <v>3000</v>
      </c>
      <c r="L15" s="36">
        <f t="shared" si="4"/>
        <v>500</v>
      </c>
      <c r="M15" s="36">
        <f t="shared" si="5"/>
        <v>1000</v>
      </c>
      <c r="N15" s="36">
        <f t="shared" si="6"/>
        <v>2500</v>
      </c>
      <c r="O15" s="36">
        <f>VLOOKUP($A15,[16]HISTOJANV22!$A$6:$AU$39,7,0)</f>
        <v>0</v>
      </c>
      <c r="P15" s="36">
        <f>VLOOKUP($A15,[16]HISTOJANV22!$A$6:$AU$39,23,0)</f>
        <v>0</v>
      </c>
      <c r="Q15" s="36">
        <f>VLOOKUP($A15,[16]HISTOJANV22!$A$6:$AU$39,46,0)</f>
        <v>0</v>
      </c>
      <c r="R15" s="36">
        <f>VLOOKUP($A15,[16]HISTOJANV22!$A$6:$AU$39,26,0)</f>
        <v>0</v>
      </c>
      <c r="S15" s="36">
        <f>VLOOKUP($A15,[16]HISTOJANV22!$A$6:$BG$39,58,0)</f>
        <v>0</v>
      </c>
      <c r="T15" s="36">
        <f>VLOOKUP($A15,[16]HISTOJANV22!$A$6:$AU$39,28,0)</f>
        <v>0</v>
      </c>
      <c r="U15" s="36">
        <f>VLOOKUP($A15,[16]HISTOJANV22!$A$6:$AU$39,19,0)</f>
        <v>0</v>
      </c>
      <c r="V15" s="36">
        <f>VLOOKUP($A15,[16]HISTOJANV22!$A$6:$AU$39,20,0)</f>
        <v>0</v>
      </c>
      <c r="W15" s="36">
        <f>VLOOKUP($A15,[16]HISTOJANV22!$A$6:$AU$39,27,0)</f>
        <v>0</v>
      </c>
      <c r="X15" s="36">
        <f>VLOOKUP($A15,[16]HISTOJANV22!$A$6:$AU$39,33,0)</f>
        <v>0</v>
      </c>
      <c r="Y15" s="36">
        <f>VLOOKUP($A15,[16]HISTOJANV22!$A$6:$BM$39,65,0)</f>
        <v>0</v>
      </c>
      <c r="Z15" s="36"/>
      <c r="AA15" s="36">
        <f>VLOOKUP($A15,[16]HISTOJANV22!$A$6:$AU$39,43,0)</f>
        <v>0</v>
      </c>
      <c r="AB15" s="36">
        <f>VLOOKUP($A15,[16]HISTOJANV22!$A$6:$AU$39,44,0)</f>
        <v>0</v>
      </c>
      <c r="AC15" s="36">
        <f>VLOOKUP($A15,[16]HISTOJANV22!$A$6:$AU$39,47,0)</f>
        <v>0</v>
      </c>
      <c r="AD15" s="36">
        <f>VLOOKUP(A15,[16]HISTOJANV22!$A$6:$BB$36,54,0)</f>
        <v>0</v>
      </c>
      <c r="AE15" s="36">
        <f>VLOOKUP($A15,[16]HISTOJANV22!$A$6:$CA$36,60,0)</f>
        <v>0</v>
      </c>
      <c r="AF15" s="36">
        <f>VLOOKUP($A15,[16]HISTOJANV22!$A$6:$CA$36,61,0)</f>
        <v>0</v>
      </c>
      <c r="AG15" s="36">
        <f>VLOOKUP($A15,[16]HISTOJANV22!$A$6:$CA$36,62,0)</f>
        <v>0</v>
      </c>
      <c r="AH15" s="36">
        <f>VLOOKUP($A15,[16]HISTOJANV22!$A$6:$CA$36,63,0)</f>
        <v>0</v>
      </c>
      <c r="AI15" s="36">
        <f>VLOOKUP($A15,[16]HISTOJANV22!$A$6:$CA$36,64,0)</f>
        <v>0</v>
      </c>
      <c r="AJ15" s="36">
        <f>VLOOKUP($A15,[16]HISTOJANV22!$A$6:$CA$36,65,0)</f>
        <v>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>
        <v>570000</v>
      </c>
      <c r="D16" s="5">
        <v>17580.420303784544</v>
      </c>
      <c r="E16" s="36">
        <f>VLOOKUP($A16,[16]HISTOJANV22!$A$6:$BA$39,48,0)</f>
        <v>0</v>
      </c>
      <c r="F16" s="5">
        <f t="shared" si="1"/>
        <v>570000</v>
      </c>
      <c r="G16" s="6">
        <f t="shared" si="0"/>
        <v>37042.769991666879</v>
      </c>
      <c r="H16" s="6">
        <f t="shared" si="2"/>
        <v>635580.42030378454</v>
      </c>
      <c r="I16" s="36">
        <f>VLOOKUP($A16,[16]HISTOJANV22!$A$6:$AQ$37,22,0)</f>
        <v>0</v>
      </c>
      <c r="J16" s="36">
        <f>VLOOKUP($A16,[16]HISTOJANV22!$A$6:$AU$39,45,0)</f>
        <v>52000</v>
      </c>
      <c r="K16" s="36">
        <f t="shared" si="3"/>
        <v>48000</v>
      </c>
      <c r="L16" s="36">
        <f t="shared" si="4"/>
        <v>500</v>
      </c>
      <c r="M16" s="36">
        <f t="shared" si="5"/>
        <v>1000</v>
      </c>
      <c r="N16" s="36">
        <f t="shared" si="6"/>
        <v>2500</v>
      </c>
      <c r="O16" s="36">
        <f>VLOOKUP($A16,[16]HISTOJANV22!$A$6:$AU$39,7,0)</f>
        <v>0</v>
      </c>
      <c r="P16" s="36">
        <f>VLOOKUP($A16,[16]HISTOJANV22!$A$6:$AU$39,23,0)</f>
        <v>0</v>
      </c>
      <c r="Q16" s="36">
        <f>VLOOKUP($A16,[16]HISTOJANV22!$A$6:$AU$39,46,0)</f>
        <v>0</v>
      </c>
      <c r="R16" s="36">
        <f>VLOOKUP($A16,[16]HISTOJANV22!$A$6:$AU$39,26,0)</f>
        <v>0</v>
      </c>
      <c r="S16" s="36">
        <f>VLOOKUP($A16,[16]HISTOJANV22!$A$6:$BG$39,58,0)</f>
        <v>0</v>
      </c>
      <c r="T16" s="36">
        <f>VLOOKUP($A16,[16]HISTOJANV22!$A$6:$AU$39,28,0)</f>
        <v>0</v>
      </c>
      <c r="U16" s="36">
        <f>VLOOKUP($A16,[16]HISTOJANV22!$A$6:$AU$39,19,0)</f>
        <v>0</v>
      </c>
      <c r="V16" s="36">
        <f>VLOOKUP($A16,[16]HISTOJANV22!$A$6:$AU$39,20,0)</f>
        <v>0</v>
      </c>
      <c r="W16" s="36">
        <f>VLOOKUP($A16,[16]HISTOJANV22!$A$6:$AU$39,27,0)</f>
        <v>0</v>
      </c>
      <c r="X16" s="36">
        <f>VLOOKUP($A16,[16]HISTOJANV22!$A$6:$AU$39,33,0)</f>
        <v>0</v>
      </c>
      <c r="Y16" s="36">
        <f>VLOOKUP($A16,[16]HISTOJANV22!$A$6:$BM$39,65,0)</f>
        <v>0</v>
      </c>
      <c r="Z16" s="36"/>
      <c r="AA16" s="36">
        <f>VLOOKUP($A16,[16]HISTOJANV22!$A$6:$AU$39,43,0)</f>
        <v>0</v>
      </c>
      <c r="AB16" s="36">
        <f>VLOOKUP($A16,[16]HISTOJANV22!$A$6:$AU$39,44,0)</f>
        <v>0</v>
      </c>
      <c r="AC16" s="36">
        <f>VLOOKUP($A16,[16]HISTOJANV22!$A$6:$AU$39,47,0)</f>
        <v>0</v>
      </c>
      <c r="AD16" s="36">
        <f>VLOOKUP(A16,[16]HISTOJANV22!$A$6:$BB$36,54,0)</f>
        <v>70000</v>
      </c>
      <c r="AE16" s="36">
        <f>VLOOKUP($A16,[16]HISTOJANV22!$A$6:$CA$36,60,0)</f>
        <v>0</v>
      </c>
      <c r="AF16" s="36">
        <f>VLOOKUP($A16,[16]HISTOJANV22!$A$6:$CA$36,61,0)</f>
        <v>0</v>
      </c>
      <c r="AG16" s="36">
        <f>VLOOKUP($A16,[16]HISTOJANV22!$A$6:$CA$36,62,0)</f>
        <v>0</v>
      </c>
      <c r="AH16" s="36">
        <f>VLOOKUP($A16,[16]HISTOJANV22!$A$6:$CA$36,63,0)</f>
        <v>0</v>
      </c>
      <c r="AI16" s="36">
        <f>VLOOKUP($A16,[16]HISTOJANV22!$A$6:$CA$36,64,0)</f>
        <v>0</v>
      </c>
      <c r="AJ16" s="36">
        <f>VLOOKUP($A16,[16]HISTOJANV22!$A$6:$CA$36,65,0)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>
        <v>570000</v>
      </c>
      <c r="D17" s="5">
        <v>5406.5483426781138</v>
      </c>
      <c r="E17" s="36">
        <f>VLOOKUP($A17,[16]HISTOJANV22!$A$6:$BA$39,48,0)</f>
        <v>0</v>
      </c>
      <c r="F17" s="5">
        <f t="shared" si="1"/>
        <v>570000</v>
      </c>
      <c r="G17" s="6">
        <f t="shared" si="0"/>
        <v>33710.573906117221</v>
      </c>
      <c r="H17" s="6">
        <f t="shared" si="2"/>
        <v>578406.54834267811</v>
      </c>
      <c r="I17" s="36">
        <f>VLOOKUP($A17,[16]HISTOJANV22!$A$6:$AQ$37,22,0)</f>
        <v>0</v>
      </c>
      <c r="J17" s="36">
        <f>VLOOKUP($A17,[16]HISTOJANV22!$A$6:$AU$39,45,0)</f>
        <v>7000</v>
      </c>
      <c r="K17" s="36">
        <f t="shared" si="3"/>
        <v>3000</v>
      </c>
      <c r="L17" s="36">
        <f t="shared" si="4"/>
        <v>500</v>
      </c>
      <c r="M17" s="36">
        <f t="shared" si="5"/>
        <v>1000</v>
      </c>
      <c r="N17" s="36">
        <f t="shared" si="6"/>
        <v>2500</v>
      </c>
      <c r="O17" s="36">
        <f>VLOOKUP($A17,[16]HISTOJANV22!$A$6:$AU$39,7,0)</f>
        <v>0</v>
      </c>
      <c r="P17" s="36">
        <f>VLOOKUP($A17,[16]HISTOJANV22!$A$6:$AU$39,23,0)</f>
        <v>0</v>
      </c>
      <c r="Q17" s="36">
        <f>VLOOKUP($A17,[16]HISTOJANV22!$A$6:$AU$39,46,0)</f>
        <v>0</v>
      </c>
      <c r="R17" s="36">
        <f>VLOOKUP($A17,[16]HISTOJANV22!$A$6:$AU$39,26,0)</f>
        <v>0</v>
      </c>
      <c r="S17" s="36">
        <f>VLOOKUP($A17,[16]HISTOJANV22!$A$6:$BG$39,58,0)</f>
        <v>0</v>
      </c>
      <c r="T17" s="36">
        <f>VLOOKUP($A17,[16]HISTOJANV22!$A$6:$AU$39,28,0)</f>
        <v>0</v>
      </c>
      <c r="U17" s="36">
        <f>VLOOKUP($A17,[16]HISTOJANV22!$A$6:$AU$39,19,0)</f>
        <v>0</v>
      </c>
      <c r="V17" s="36">
        <f>VLOOKUP($A17,[16]HISTOJANV22!$A$6:$AU$39,20,0)</f>
        <v>0</v>
      </c>
      <c r="W17" s="36">
        <f>VLOOKUP($A17,[16]HISTOJANV22!$A$6:$AU$39,27,0)</f>
        <v>0</v>
      </c>
      <c r="X17" s="36">
        <f>VLOOKUP($A17,[16]HISTOJANV22!$A$6:$AU$39,33,0)</f>
        <v>0</v>
      </c>
      <c r="Y17" s="36">
        <f>VLOOKUP($A17,[16]HISTOJANV22!$A$6:$BM$39,65,0)</f>
        <v>0</v>
      </c>
      <c r="Z17" s="36"/>
      <c r="AA17" s="36">
        <f>VLOOKUP($A17,[16]HISTOJANV22!$A$6:$AU$39,43,0)</f>
        <v>0</v>
      </c>
      <c r="AB17" s="36">
        <f>VLOOKUP($A17,[16]HISTOJANV22!$A$6:$AU$39,44,0)</f>
        <v>0</v>
      </c>
      <c r="AC17" s="36">
        <f>VLOOKUP($A17,[16]HISTOJANV22!$A$6:$AU$39,47,0)</f>
        <v>0</v>
      </c>
      <c r="AD17" s="36">
        <f>VLOOKUP(A17,[16]HISTOJANV22!$A$6:$BB$36,54,0)</f>
        <v>0</v>
      </c>
      <c r="AE17" s="36">
        <f>VLOOKUP($A17,[16]HISTOJANV22!$A$6:$CA$36,60,0)</f>
        <v>0</v>
      </c>
      <c r="AF17" s="36">
        <f>VLOOKUP($A17,[16]HISTOJANV22!$A$6:$CA$36,61,0)</f>
        <v>0</v>
      </c>
      <c r="AG17" s="36">
        <f>VLOOKUP($A17,[16]HISTOJANV22!$A$6:$CA$36,62,0)</f>
        <v>0</v>
      </c>
      <c r="AH17" s="36">
        <f>VLOOKUP($A17,[16]HISTOJANV22!$A$6:$CA$36,63,0)</f>
        <v>0</v>
      </c>
      <c r="AI17" s="36">
        <f>VLOOKUP($A17,[16]HISTOJANV22!$A$6:$CA$36,64,0)</f>
        <v>0</v>
      </c>
      <c r="AJ17" s="36">
        <f>VLOOKUP($A17,[16]HISTOJANV22!$A$6:$CA$36,65,0)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>
        <v>570000</v>
      </c>
      <c r="D18" s="5">
        <v>8241.6184045160044</v>
      </c>
      <c r="E18" s="36">
        <f>VLOOKUP($A18,[16]HISTOJANV22!$A$6:$BA$39,48,0)</f>
        <v>0</v>
      </c>
      <c r="F18" s="5">
        <f t="shared" si="1"/>
        <v>570000</v>
      </c>
      <c r="G18" s="6">
        <f t="shared" si="0"/>
        <v>33875.806888216837</v>
      </c>
      <c r="H18" s="6">
        <f t="shared" si="2"/>
        <v>581241.61840451602</v>
      </c>
      <c r="I18" s="36">
        <f>VLOOKUP($A18,[16]HISTOJANV22!$A$6:$AQ$37,22,0)</f>
        <v>0</v>
      </c>
      <c r="J18" s="36">
        <f>VLOOKUP($A18,[16]HISTOJANV22!$A$6:$AU$39,45,0)</f>
        <v>7000</v>
      </c>
      <c r="K18" s="36">
        <f t="shared" si="3"/>
        <v>3000</v>
      </c>
      <c r="L18" s="36">
        <f t="shared" si="4"/>
        <v>500</v>
      </c>
      <c r="M18" s="36">
        <f t="shared" si="5"/>
        <v>1000</v>
      </c>
      <c r="N18" s="36">
        <f t="shared" si="6"/>
        <v>2500</v>
      </c>
      <c r="O18" s="36">
        <f>VLOOKUP($A18,[16]HISTOJANV22!$A$6:$AU$39,7,0)</f>
        <v>0</v>
      </c>
      <c r="P18" s="36">
        <f>VLOOKUP($A18,[16]HISTOJANV22!$A$6:$AU$39,23,0)</f>
        <v>0</v>
      </c>
      <c r="Q18" s="36">
        <f>VLOOKUP($A18,[16]HISTOJANV22!$A$6:$AU$39,46,0)</f>
        <v>0</v>
      </c>
      <c r="R18" s="36">
        <f>VLOOKUP($A18,[16]HISTOJANV22!$A$6:$AU$39,26,0)</f>
        <v>1000000</v>
      </c>
      <c r="S18" s="36">
        <f>VLOOKUP($A18,[16]HISTOJANV22!$A$6:$BG$39,58,0)</f>
        <v>60000</v>
      </c>
      <c r="T18" s="36" t="str">
        <f>VLOOKUP($A18,[16]HISTOJANV22!$A$6:$AU$39,28,0)</f>
        <v>OKK</v>
      </c>
      <c r="U18" s="36">
        <f>VLOOKUP($A18,[16]HISTOJANV22!$A$6:$AU$39,19,0)</f>
        <v>0</v>
      </c>
      <c r="V18" s="36">
        <f>VLOOKUP($A18,[16]HISTOJANV22!$A$6:$AU$39,20,0)</f>
        <v>0</v>
      </c>
      <c r="W18" s="36" t="str">
        <f>VLOOKUP($A18,[16]HISTOJANV22!$A$6:$AU$39,27,0)</f>
        <v>BANQUE</v>
      </c>
      <c r="X18" s="36">
        <f>VLOOKUP($A18,[16]HISTOJANV22!$A$6:$AU$39,33,0)</f>
        <v>0</v>
      </c>
      <c r="Y18" s="36">
        <f>VLOOKUP($A18,[16]HISTOJANV22!$A$6:$BM$39,65,0)</f>
        <v>0</v>
      </c>
      <c r="Z18" s="36"/>
      <c r="AA18" s="36">
        <f>VLOOKUP($A18,[16]HISTOJANV22!$A$6:$AU$39,43,0)</f>
        <v>0</v>
      </c>
      <c r="AB18" s="36">
        <f>VLOOKUP($A18,[16]HISTOJANV22!$A$6:$AU$39,44,0)</f>
        <v>0</v>
      </c>
      <c r="AC18" s="36">
        <f>VLOOKUP($A18,[16]HISTOJANV22!$A$6:$AU$39,47,0)</f>
        <v>0</v>
      </c>
      <c r="AD18" s="36">
        <f>VLOOKUP(A18,[16]HISTOJANV22!$A$6:$BB$36,54,0)</f>
        <v>0</v>
      </c>
      <c r="AE18" s="36">
        <f>VLOOKUP($A18,[16]HISTOJANV22!$A$6:$CA$36,60,0)</f>
        <v>0</v>
      </c>
      <c r="AF18" s="36">
        <f>VLOOKUP($A18,[16]HISTOJANV22!$A$6:$CA$36,61,0)</f>
        <v>0</v>
      </c>
      <c r="AG18" s="36">
        <f>VLOOKUP($A18,[16]HISTOJANV22!$A$6:$CA$36,62,0)</f>
        <v>0</v>
      </c>
      <c r="AH18" s="36">
        <f>VLOOKUP($A18,[16]HISTOJANV22!$A$6:$CA$36,63,0)</f>
        <v>0</v>
      </c>
      <c r="AI18" s="36">
        <f>VLOOKUP($A18,[16]HISTOJANV22!$A$6:$CA$36,64,0)</f>
        <v>0</v>
      </c>
      <c r="AJ18" s="36">
        <f>VLOOKUP($A18,[16]HISTOJANV22!$A$6:$CA$36,65,0)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>
        <v>570000</v>
      </c>
      <c r="D19" s="5">
        <v>393.95927050459431</v>
      </c>
      <c r="E19" s="36">
        <f>VLOOKUP($A19,[16]HISTOJANV22!$A$6:$BA$39,48,0)</f>
        <v>0</v>
      </c>
      <c r="F19" s="5">
        <f t="shared" si="1"/>
        <v>570000</v>
      </c>
      <c r="G19" s="6">
        <f t="shared" si="0"/>
        <v>33418.431199810249</v>
      </c>
      <c r="H19" s="6">
        <f t="shared" si="2"/>
        <v>573393.95927050454</v>
      </c>
      <c r="I19" s="36">
        <f>VLOOKUP($A19,[16]HISTOJANV22!$A$6:$AQ$37,22,0)</f>
        <v>0</v>
      </c>
      <c r="J19" s="36">
        <f>VLOOKUP($A19,[16]HISTOJANV22!$A$6:$AU$39,45,0)</f>
        <v>7000</v>
      </c>
      <c r="K19" s="36">
        <f t="shared" si="3"/>
        <v>3000</v>
      </c>
      <c r="L19" s="36">
        <f t="shared" si="4"/>
        <v>500</v>
      </c>
      <c r="M19" s="36">
        <f t="shared" si="5"/>
        <v>1000</v>
      </c>
      <c r="N19" s="36">
        <f t="shared" si="6"/>
        <v>2500</v>
      </c>
      <c r="O19" s="36">
        <f>VLOOKUP($A19,[16]HISTOJANV22!$A$6:$AU$39,7,0)</f>
        <v>0</v>
      </c>
      <c r="P19" s="36">
        <f>VLOOKUP($A19,[16]HISTOJANV22!$A$6:$AU$39,23,0)</f>
        <v>0</v>
      </c>
      <c r="Q19" s="36">
        <f>VLOOKUP($A19,[16]HISTOJANV22!$A$6:$AU$39,46,0)</f>
        <v>0</v>
      </c>
      <c r="R19" s="36">
        <f>VLOOKUP($A19,[16]HISTOJANV22!$A$6:$AU$39,26,0)</f>
        <v>500000</v>
      </c>
      <c r="S19" s="36">
        <f>VLOOKUP($A19,[16]HISTOJANV22!$A$6:$BG$39,58,0)</f>
        <v>15000</v>
      </c>
      <c r="T19" s="36" t="str">
        <f>VLOOKUP($A19,[16]HISTOJANV22!$A$6:$AU$39,28,0)</f>
        <v>OKK</v>
      </c>
      <c r="U19" s="36">
        <f>VLOOKUP($A19,[16]HISTOJANV22!$A$6:$AU$39,19,0)</f>
        <v>0</v>
      </c>
      <c r="V19" s="36">
        <f>VLOOKUP($A19,[16]HISTOJANV22!$A$6:$AU$39,20,0)</f>
        <v>0</v>
      </c>
      <c r="W19" s="36" t="str">
        <f>VLOOKUP($A19,[16]HISTOJANV22!$A$6:$AU$39,27,0)</f>
        <v>BANQUE</v>
      </c>
      <c r="X19" s="36">
        <f>VLOOKUP($A19,[16]HISTOJANV22!$A$6:$AU$39,33,0)</f>
        <v>0</v>
      </c>
      <c r="Y19" s="36">
        <f>VLOOKUP($A19,[16]HISTOJANV22!$A$6:$BM$39,65,0)</f>
        <v>0</v>
      </c>
      <c r="Z19" s="36"/>
      <c r="AA19" s="36">
        <f>VLOOKUP($A19,[16]HISTOJANV22!$A$6:$AU$39,43,0)</f>
        <v>0</v>
      </c>
      <c r="AB19" s="36">
        <f>VLOOKUP($A19,[16]HISTOJANV22!$A$6:$AU$39,44,0)</f>
        <v>0</v>
      </c>
      <c r="AC19" s="36">
        <f>VLOOKUP($A19,[16]HISTOJANV22!$A$6:$AU$39,47,0)</f>
        <v>0</v>
      </c>
      <c r="AD19" s="36">
        <f>VLOOKUP(A19,[16]HISTOJANV22!$A$6:$BB$36,54,0)</f>
        <v>0</v>
      </c>
      <c r="AE19" s="36">
        <f>VLOOKUP($A19,[16]HISTOJANV22!$A$6:$CA$36,60,0)</f>
        <v>0</v>
      </c>
      <c r="AF19" s="36">
        <f>VLOOKUP($A19,[16]HISTOJANV22!$A$6:$CA$36,61,0)</f>
        <v>0</v>
      </c>
      <c r="AG19" s="36">
        <f>VLOOKUP($A19,[16]HISTOJANV22!$A$6:$CA$36,62,0)</f>
        <v>0</v>
      </c>
      <c r="AH19" s="36">
        <f>VLOOKUP($A19,[16]HISTOJANV22!$A$6:$CA$36,63,0)</f>
        <v>0</v>
      </c>
      <c r="AI19" s="36">
        <f>VLOOKUP($A19,[16]HISTOJANV22!$A$6:$CA$36,64,0)</f>
        <v>0</v>
      </c>
      <c r="AJ19" s="36">
        <f>VLOOKUP($A19,[16]HISTOJANV22!$A$6:$CA$36,65,0)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>
        <v>570000</v>
      </c>
      <c r="D20" s="5">
        <v>112.46348617674084</v>
      </c>
      <c r="E20" s="36">
        <f>VLOOKUP($A20,[16]HISTOJANV22!$A$6:$BA$39,48,0)</f>
        <v>0</v>
      </c>
      <c r="F20" s="5">
        <f t="shared" si="1"/>
        <v>570000</v>
      </c>
      <c r="G20" s="6">
        <f t="shared" si="0"/>
        <v>33402.025119227248</v>
      </c>
      <c r="H20" s="6">
        <f t="shared" si="2"/>
        <v>573112.46348617668</v>
      </c>
      <c r="I20" s="36">
        <f>VLOOKUP($A20,[16]HISTOJANV22!$A$6:$AQ$37,22,0)</f>
        <v>0</v>
      </c>
      <c r="J20" s="36">
        <f>VLOOKUP($A20,[16]HISTOJANV22!$A$6:$AU$39,45,0)</f>
        <v>7000</v>
      </c>
      <c r="K20" s="36">
        <f t="shared" si="3"/>
        <v>3000</v>
      </c>
      <c r="L20" s="36">
        <f t="shared" si="4"/>
        <v>500</v>
      </c>
      <c r="M20" s="36">
        <f t="shared" si="5"/>
        <v>1000</v>
      </c>
      <c r="N20" s="36">
        <f t="shared" si="6"/>
        <v>2500</v>
      </c>
      <c r="O20" s="36">
        <f>VLOOKUP($A20,[16]HISTOJANV22!$A$6:$AU$39,7,0)</f>
        <v>0</v>
      </c>
      <c r="P20" s="36">
        <f>VLOOKUP($A20,[16]HISTOJANV22!$A$6:$AU$39,23,0)</f>
        <v>0</v>
      </c>
      <c r="Q20" s="36">
        <f>VLOOKUP($A20,[16]HISTOJANV22!$A$6:$AU$39,46,0)</f>
        <v>0</v>
      </c>
      <c r="R20" s="36">
        <f>VLOOKUP($A20,[16]HISTOJANV22!$A$6:$AU$39,26,0)</f>
        <v>1000000</v>
      </c>
      <c r="S20" s="36">
        <f>VLOOKUP($A20,[16]HISTOJANV22!$A$6:$BG$39,58,0)-120000</f>
        <v>0</v>
      </c>
      <c r="T20" s="36">
        <f>VLOOKUP($A20,[16]HISTOJANV22!$A$6:$AU$39,28,0)</f>
        <v>0</v>
      </c>
      <c r="U20" s="36">
        <f>VLOOKUP($A20,[16]HISTOJANV22!$A$6:$AU$39,19,0)</f>
        <v>1050000</v>
      </c>
      <c r="V20" s="36" t="str">
        <f>VLOOKUP($A20,[16]HISTOJANV22!$A$6:$AU$39,20,0)</f>
        <v>BANQUE</v>
      </c>
      <c r="W20" s="36" t="str">
        <f>VLOOKUP($A20,[16]HISTOJANV22!$A$6:$AU$39,27,0)</f>
        <v>BANQUE</v>
      </c>
      <c r="X20" s="36">
        <f>VLOOKUP($A20,[16]HISTOJANV22!$A$6:$AU$39,33,0)</f>
        <v>0</v>
      </c>
      <c r="Y20" s="36">
        <f>VLOOKUP($A20,[16]HISTOJANV22!$A$6:$BM$39,65,0)</f>
        <v>0</v>
      </c>
      <c r="Z20" s="36"/>
      <c r="AA20" s="36">
        <f>VLOOKUP($A20,[16]HISTOJANV22!$A$6:$AU$39,43,0)</f>
        <v>0</v>
      </c>
      <c r="AB20" s="36">
        <f>VLOOKUP($A20,[16]HISTOJANV22!$A$6:$AU$39,44,0)</f>
        <v>0</v>
      </c>
      <c r="AC20" s="36">
        <f>VLOOKUP($A20,[16]HISTOJANV22!$A$6:$AU$39,47,0)</f>
        <v>0</v>
      </c>
      <c r="AD20" s="36">
        <f>VLOOKUP(A20,[16]HISTOJANV22!$A$6:$BB$36,54,0)</f>
        <v>0</v>
      </c>
      <c r="AE20" s="36">
        <f>VLOOKUP($A20,[16]HISTOJANV22!$A$6:$CA$36,60,0)</f>
        <v>0</v>
      </c>
      <c r="AF20" s="36">
        <f>VLOOKUP($A20,[16]HISTOJANV22!$A$6:$CA$36,61,0)</f>
        <v>0</v>
      </c>
      <c r="AG20" s="36">
        <f>VLOOKUP($A20,[16]HISTOJANV22!$A$6:$CA$36,62,0)</f>
        <v>0</v>
      </c>
      <c r="AH20" s="36">
        <f>VLOOKUP($A20,[16]HISTOJANV22!$A$6:$CA$36,63,0)</f>
        <v>0</v>
      </c>
      <c r="AI20" s="36">
        <f>VLOOKUP($A20,[16]HISTOJANV22!$A$6:$CA$36,64,0)</f>
        <v>0</v>
      </c>
      <c r="AJ20" s="36">
        <f>VLOOKUP($A20,[16]HISTOJANV22!$A$6:$CA$36,65,0)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>
        <v>570000</v>
      </c>
      <c r="D21" s="5">
        <v>30757.615134780004</v>
      </c>
      <c r="E21" s="36">
        <f>VLOOKUP($A21,[16]HISTOJANV22!$A$6:$BA$39,48,0)</f>
        <v>0</v>
      </c>
      <c r="F21" s="5">
        <f t="shared" si="1"/>
        <v>570000</v>
      </c>
      <c r="G21" s="6">
        <f t="shared" si="0"/>
        <v>35188.07967285304</v>
      </c>
      <c r="H21" s="6">
        <f t="shared" si="2"/>
        <v>603757.61513478006</v>
      </c>
      <c r="I21" s="36">
        <f>VLOOKUP($A21,[16]HISTOJANV22!$A$6:$AQ$37,22,0)</f>
        <v>0</v>
      </c>
      <c r="J21" s="36">
        <f>VLOOKUP($A21,[16]HISTOJANV22!$A$6:$AU$39,45,0)</f>
        <v>7000</v>
      </c>
      <c r="K21" s="36">
        <f t="shared" si="3"/>
        <v>3000</v>
      </c>
      <c r="L21" s="36">
        <f t="shared" si="4"/>
        <v>500</v>
      </c>
      <c r="M21" s="36">
        <f t="shared" si="5"/>
        <v>1000</v>
      </c>
      <c r="N21" s="36">
        <f t="shared" si="6"/>
        <v>2500</v>
      </c>
      <c r="O21" s="36">
        <f>VLOOKUP($A21,[16]HISTOJANV22!$A$6:$AU$39,7,0)</f>
        <v>0</v>
      </c>
      <c r="P21" s="36">
        <f>VLOOKUP($A21,[16]HISTOJANV22!$A$6:$AU$39,23,0)</f>
        <v>0</v>
      </c>
      <c r="Q21" s="36">
        <f>VLOOKUP($A21,[16]HISTOJANV22!$A$6:$AU$39,46,0)</f>
        <v>0</v>
      </c>
      <c r="R21" s="36">
        <f>VLOOKUP($A21,[16]HISTOJANV22!$A$6:$AU$39,26,0)</f>
        <v>0</v>
      </c>
      <c r="S21" s="36">
        <f>VLOOKUP($A21,[16]HISTOJANV22!$A$6:$BG$39,58,0)</f>
        <v>0</v>
      </c>
      <c r="T21" s="36">
        <f>VLOOKUP($A21,[16]HISTOJANV22!$A$6:$AU$39,28,0)</f>
        <v>0</v>
      </c>
      <c r="U21" s="36">
        <f>VLOOKUP($A21,[16]HISTOJANV22!$A$6:$AU$39,19,0)</f>
        <v>0</v>
      </c>
      <c r="V21" s="36">
        <f>VLOOKUP($A21,[16]HISTOJANV22!$A$6:$AU$39,20,0)</f>
        <v>0</v>
      </c>
      <c r="W21" s="36">
        <f>VLOOKUP($A21,[16]HISTOJANV22!$A$6:$AU$39,27,0)</f>
        <v>0</v>
      </c>
      <c r="X21" s="36">
        <f>VLOOKUP($A21,[16]HISTOJANV22!$A$6:$AU$39,33,0)</f>
        <v>0</v>
      </c>
      <c r="Y21" s="36">
        <f>VLOOKUP($A21,[16]HISTOJANV22!$A$6:$BM$39,65,0)</f>
        <v>0</v>
      </c>
      <c r="Z21" s="36"/>
      <c r="AA21" s="36">
        <f>VLOOKUP($A21,[16]HISTOJANV22!$A$6:$AU$39,43,0)</f>
        <v>0</v>
      </c>
      <c r="AB21" s="36">
        <f>VLOOKUP($A21,[16]HISTOJANV22!$A$6:$AU$39,44,0)</f>
        <v>0</v>
      </c>
      <c r="AC21" s="36">
        <f>VLOOKUP($A21,[16]HISTOJANV22!$A$6:$AU$39,47,0)</f>
        <v>0</v>
      </c>
      <c r="AD21" s="36">
        <f>VLOOKUP(A21,[16]HISTOJANV22!$A$6:$BB$36,54,0)</f>
        <v>0</v>
      </c>
      <c r="AE21" s="36">
        <f>VLOOKUP($A21,[16]HISTOJANV22!$A$6:$CA$36,60,0)</f>
        <v>0</v>
      </c>
      <c r="AF21" s="36">
        <f>VLOOKUP($A21,[16]HISTOJANV22!$A$6:$CA$36,61,0)</f>
        <v>0</v>
      </c>
      <c r="AG21" s="36">
        <f>VLOOKUP($A21,[16]HISTOJANV22!$A$6:$CA$36,62,0)</f>
        <v>0</v>
      </c>
      <c r="AH21" s="36">
        <f>VLOOKUP($A21,[16]HISTOJANV22!$A$6:$CA$36,63,0)</f>
        <v>0</v>
      </c>
      <c r="AI21" s="36">
        <f>VLOOKUP($A21,[16]HISTOJANV22!$A$6:$CA$36,64,0)</f>
        <v>0</v>
      </c>
      <c r="AJ21" s="36">
        <f>VLOOKUP($A21,[16]HISTOJANV22!$A$6:$CA$36,65,0)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>
        <v>570000</v>
      </c>
      <c r="D22" s="5">
        <v>84601.912290623644</v>
      </c>
      <c r="E22" s="36">
        <f>VLOOKUP($A22,[16]HISTOJANV22!$A$6:$BA$39,48,0)</f>
        <v>0</v>
      </c>
      <c r="F22" s="5">
        <f t="shared" si="1"/>
        <v>570000</v>
      </c>
      <c r="G22" s="6">
        <f t="shared" si="0"/>
        <v>38326.222150485621</v>
      </c>
      <c r="H22" s="6">
        <f t="shared" si="2"/>
        <v>657601.91229062364</v>
      </c>
      <c r="I22" s="36">
        <f>VLOOKUP($A22,[16]HISTOJANV22!$A$6:$AQ$37,22,0)</f>
        <v>0</v>
      </c>
      <c r="J22" s="36">
        <f>VLOOKUP($A22,[16]HISTOJANV22!$A$6:$AU$39,45,0)</f>
        <v>7000</v>
      </c>
      <c r="K22" s="36">
        <f t="shared" si="3"/>
        <v>3000</v>
      </c>
      <c r="L22" s="36">
        <f t="shared" si="4"/>
        <v>500</v>
      </c>
      <c r="M22" s="36">
        <f t="shared" si="5"/>
        <v>1000</v>
      </c>
      <c r="N22" s="36">
        <f t="shared" si="6"/>
        <v>2500</v>
      </c>
      <c r="O22" s="36">
        <f>VLOOKUP($A22,[16]HISTOJANV22!$A$6:$AU$39,7,0)</f>
        <v>0</v>
      </c>
      <c r="P22" s="36">
        <f>VLOOKUP($A22,[16]HISTOJANV22!$A$6:$AU$39,23,0)</f>
        <v>0</v>
      </c>
      <c r="Q22" s="36">
        <f>VLOOKUP($A22,[16]HISTOJANV22!$A$6:$AU$39,46,0)</f>
        <v>0</v>
      </c>
      <c r="R22" s="36">
        <f>VLOOKUP($A22,[16]HISTOJANV22!$A$6:$AU$39,26,0)+924000</f>
        <v>924000</v>
      </c>
      <c r="S22" s="36">
        <f>VLOOKUP($A22,[16]HISTOJANV22!$A$6:$BG$39,58,0)</f>
        <v>0</v>
      </c>
      <c r="T22" s="36">
        <f>VLOOKUP($A22,[16]HISTOJANV22!$A$6:$AU$39,28,0)</f>
        <v>0</v>
      </c>
      <c r="U22" s="36">
        <f>VLOOKUP($A22,[16]HISTOJANV22!$A$6:$AU$39,19,0)</f>
        <v>924000</v>
      </c>
      <c r="V22" s="36" t="str">
        <f>VLOOKUP($A22,[16]HISTOJANV22!$A$6:$AU$39,20,0)</f>
        <v>BANQUE</v>
      </c>
      <c r="W22" s="36">
        <f>VLOOKUP($A22,[16]HISTOJANV22!$A$6:$AU$39,27,0)</f>
        <v>0</v>
      </c>
      <c r="X22" s="36">
        <f>VLOOKUP($A22,[16]HISTOJANV22!$A$6:$AU$39,33,0)</f>
        <v>0</v>
      </c>
      <c r="Y22" s="36">
        <f>VLOOKUP($A22,[16]HISTOJANV22!$A$6:$BM$39,65,0)</f>
        <v>0</v>
      </c>
      <c r="Z22" s="36"/>
      <c r="AA22" s="36">
        <f>VLOOKUP($A22,[16]HISTOJANV22!$A$6:$AU$39,43,0)</f>
        <v>0</v>
      </c>
      <c r="AB22" s="36">
        <f>VLOOKUP($A22,[16]HISTOJANV22!$A$6:$AU$39,44,0)</f>
        <v>0</v>
      </c>
      <c r="AC22" s="36">
        <f>VLOOKUP($A22,[16]HISTOJANV22!$A$6:$AU$39,47,0)</f>
        <v>0</v>
      </c>
      <c r="AD22" s="36">
        <f>VLOOKUP(A22,[16]HISTOJANV22!$A$6:$BB$36,54,0)</f>
        <v>0</v>
      </c>
      <c r="AE22" s="36">
        <f>VLOOKUP($A22,[16]HISTOJANV22!$A$6:$CA$36,60,0)</f>
        <v>0</v>
      </c>
      <c r="AF22" s="36">
        <f>VLOOKUP($A22,[16]HISTOJANV22!$A$6:$CA$36,61,0)</f>
        <v>0</v>
      </c>
      <c r="AG22" s="36">
        <f>VLOOKUP($A22,[16]HISTOJANV22!$A$6:$CA$36,62,0)</f>
        <v>0</v>
      </c>
      <c r="AH22" s="36">
        <f>VLOOKUP($A22,[16]HISTOJANV22!$A$6:$CA$36,63,0)</f>
        <v>0</v>
      </c>
      <c r="AI22" s="36">
        <f>VLOOKUP($A22,[16]HISTOJANV22!$A$6:$CA$36,64,0)</f>
        <v>44000</v>
      </c>
      <c r="AJ22" s="36">
        <f>VLOOKUP($A22,[16]HISTOJANV22!$A$6:$CA$36,65,0)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>
        <v>570000</v>
      </c>
      <c r="D23" s="5">
        <v>101446.16753987665</v>
      </c>
      <c r="E23" s="36">
        <f>VLOOKUP($A23,[16]HISTOJANV22!$A$6:$BA$39,48,0)</f>
        <v>0</v>
      </c>
      <c r="F23" s="5">
        <f t="shared" si="1"/>
        <v>570000</v>
      </c>
      <c r="G23" s="6">
        <f t="shared" si="0"/>
        <v>39890.753626015336</v>
      </c>
      <c r="H23" s="6">
        <f t="shared" si="2"/>
        <v>684446.16753987665</v>
      </c>
      <c r="I23" s="36">
        <f>VLOOKUP($A23,[16]HISTOJANV22!$A$6:$AQ$37,22,0)</f>
        <v>0</v>
      </c>
      <c r="J23" s="36">
        <f>VLOOKUP($A23,[16]HISTOJANV22!$A$6:$AU$39,45,0)</f>
        <v>17000</v>
      </c>
      <c r="K23" s="36">
        <f t="shared" si="3"/>
        <v>13000</v>
      </c>
      <c r="L23" s="36">
        <f t="shared" si="4"/>
        <v>500</v>
      </c>
      <c r="M23" s="36">
        <f t="shared" si="5"/>
        <v>1000</v>
      </c>
      <c r="N23" s="36">
        <f t="shared" si="6"/>
        <v>2500</v>
      </c>
      <c r="O23" s="36">
        <f>VLOOKUP($A23,[16]HISTOJANV22!$A$6:$AU$39,7,0)</f>
        <v>0</v>
      </c>
      <c r="P23" s="36">
        <f>VLOOKUP($A23,[16]HISTOJANV22!$A$6:$AU$39,23,0)</f>
        <v>0</v>
      </c>
      <c r="Q23" s="36">
        <f>VLOOKUP($A23,[16]HISTOJANV22!$A$6:$AU$39,46,0)</f>
        <v>0</v>
      </c>
      <c r="R23" s="36">
        <f>VLOOKUP($A23,[16]HISTOJANV22!$A$6:$AU$39,26,0)</f>
        <v>500000</v>
      </c>
      <c r="S23" s="36">
        <f>VLOOKUP($A23,[16]HISTOJANV22!$A$6:$BG$39,58,0)</f>
        <v>60000</v>
      </c>
      <c r="T23" s="36" t="str">
        <f>VLOOKUP($A23,[16]HISTOJANV22!$A$6:$AU$39,28,0)</f>
        <v>OKK</v>
      </c>
      <c r="U23" s="36">
        <f>VLOOKUP($A23,[16]HISTOJANV22!$A$6:$AU$39,19,0)</f>
        <v>0</v>
      </c>
      <c r="V23" s="36">
        <f>VLOOKUP($A23,[16]HISTOJANV22!$A$6:$AU$39,20,0)</f>
        <v>0</v>
      </c>
      <c r="W23" s="36" t="str">
        <f>VLOOKUP($A23,[16]HISTOJANV22!$A$6:$AU$39,27,0)</f>
        <v>BANQUE</v>
      </c>
      <c r="X23" s="36">
        <f>VLOOKUP($A23,[16]HISTOJANV22!$A$6:$AU$39,33,0)</f>
        <v>0</v>
      </c>
      <c r="Y23" s="36">
        <f>VLOOKUP($A23,[16]HISTOJANV22!$A$6:$BM$39,65,0)</f>
        <v>0</v>
      </c>
      <c r="Z23" s="36"/>
      <c r="AA23" s="36">
        <f>VLOOKUP($A23,[16]HISTOJANV22!$A$6:$AU$39,43,0)</f>
        <v>0</v>
      </c>
      <c r="AB23" s="36">
        <f>VLOOKUP($A23,[16]HISTOJANV22!$A$6:$AU$39,44,0)</f>
        <v>0</v>
      </c>
      <c r="AC23" s="36">
        <f>VLOOKUP($A23,[16]HISTOJANV22!$A$6:$AU$39,47,0)</f>
        <v>0</v>
      </c>
      <c r="AD23" s="36">
        <f>VLOOKUP(A23,[16]HISTOJANV22!$A$6:$BB$36,54,0)</f>
        <v>0</v>
      </c>
      <c r="AE23" s="36">
        <f>VLOOKUP($A23,[16]HISTOJANV22!$A$6:$CA$36,60,0)</f>
        <v>0</v>
      </c>
      <c r="AF23" s="36">
        <f>VLOOKUP($A23,[16]HISTOJANV22!$A$6:$CA$36,61,0)</f>
        <v>0</v>
      </c>
      <c r="AG23" s="36">
        <f>VLOOKUP($A23,[16]HISTOJANV22!$A$6:$CA$36,62,0)</f>
        <v>0</v>
      </c>
      <c r="AH23" s="36">
        <f>VLOOKUP($A23,[16]HISTOJANV22!$A$6:$CA$36,63,0)</f>
        <v>0</v>
      </c>
      <c r="AI23" s="36">
        <f>VLOOKUP($A23,[16]HISTOJANV22!$A$6:$CA$36,64,0)</f>
        <v>0</v>
      </c>
      <c r="AJ23" s="36">
        <f>VLOOKUP($A23,[16]HISTOJANV22!$A$6:$CA$36,65,0)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>
        <v>570000</v>
      </c>
      <c r="D24" s="5">
        <v>2927.3714496080356</v>
      </c>
      <c r="E24" s="36">
        <f>VLOOKUP($A24,[16]HISTOJANV22!$A$6:$BA$39,48,0)</f>
        <v>0</v>
      </c>
      <c r="F24" s="5">
        <f t="shared" si="1"/>
        <v>570000</v>
      </c>
      <c r="G24" s="6">
        <f t="shared" si="0"/>
        <v>33857.492010509188</v>
      </c>
      <c r="H24" s="6">
        <f t="shared" si="2"/>
        <v>580927.37144960801</v>
      </c>
      <c r="I24" s="36">
        <f>VLOOKUP($A24,[16]HISTOJANV22!$A$6:$AQ$37,22,0)</f>
        <v>0</v>
      </c>
      <c r="J24" s="36">
        <f>VLOOKUP($A24,[16]HISTOJANV22!$A$6:$AU$39,45,0)</f>
        <v>12000</v>
      </c>
      <c r="K24" s="36">
        <f t="shared" si="3"/>
        <v>8000</v>
      </c>
      <c r="L24" s="36">
        <f t="shared" si="4"/>
        <v>500</v>
      </c>
      <c r="M24" s="36">
        <f t="shared" si="5"/>
        <v>1000</v>
      </c>
      <c r="N24" s="36">
        <f t="shared" si="6"/>
        <v>2500</v>
      </c>
      <c r="O24" s="36">
        <f>VLOOKUP($A24,[16]HISTOJANV22!$A$6:$AU$39,7,0)</f>
        <v>0</v>
      </c>
      <c r="P24" s="36">
        <f>VLOOKUP($A24,[16]HISTOJANV22!$A$6:$AU$39,23,0)</f>
        <v>0</v>
      </c>
      <c r="Q24" s="36">
        <f>VLOOKUP($A24,[16]HISTOJANV22!$A$6:$AU$39,46,0)</f>
        <v>0</v>
      </c>
      <c r="R24" s="36">
        <f>VLOOKUP($A24,[16]HISTOJANV22!$A$6:$AU$39,26,0)</f>
        <v>1000000</v>
      </c>
      <c r="S24" s="36">
        <f>VLOOKUP($A24,[16]HISTOJANV22!$A$6:$BG$39,58,0)</f>
        <v>120000</v>
      </c>
      <c r="T24" s="36" t="str">
        <f>VLOOKUP($A24,[16]HISTOJANV22!$A$6:$AU$39,28,0)</f>
        <v>OKK</v>
      </c>
      <c r="U24" s="36">
        <f>VLOOKUP($A24,[16]HISTOJANV22!$A$6:$AU$39,19,0)</f>
        <v>0</v>
      </c>
      <c r="V24" s="36">
        <f>VLOOKUP($A24,[16]HISTOJANV22!$A$6:$AU$39,20,0)</f>
        <v>0</v>
      </c>
      <c r="W24" s="36" t="str">
        <f>VLOOKUP($A24,[16]HISTOJANV22!$A$6:$AU$39,27,0)</f>
        <v>BANQUE</v>
      </c>
      <c r="X24" s="36">
        <f>VLOOKUP($A24,[16]HISTOJANV22!$A$6:$AU$39,33,0)</f>
        <v>0</v>
      </c>
      <c r="Y24" s="36">
        <f>VLOOKUP($A24,[16]HISTOJANV22!$A$6:$BM$39,65,0)</f>
        <v>0</v>
      </c>
      <c r="Z24" s="36"/>
      <c r="AA24" s="36">
        <f>VLOOKUP($A24,[16]HISTOJANV22!$A$6:$AU$39,43,0)</f>
        <v>0</v>
      </c>
      <c r="AB24" s="36">
        <f>VLOOKUP($A24,[16]HISTOJANV22!$A$6:$AU$39,44,0)</f>
        <v>0</v>
      </c>
      <c r="AC24" s="36">
        <f>VLOOKUP($A24,[16]HISTOJANV22!$A$6:$AU$39,47,0)</f>
        <v>0</v>
      </c>
      <c r="AD24" s="36">
        <f>VLOOKUP(A24,[16]HISTOJANV22!$A$6:$BB$36,54,0)</f>
        <v>70000</v>
      </c>
      <c r="AE24" s="36">
        <f>VLOOKUP($A24,[16]HISTOJANV22!$A$6:$CA$36,60,0)</f>
        <v>0</v>
      </c>
      <c r="AF24" s="36">
        <f>VLOOKUP($A24,[16]HISTOJANV22!$A$6:$CA$36,61,0)</f>
        <v>0</v>
      </c>
      <c r="AG24" s="36">
        <f>VLOOKUP($A24,[16]HISTOJANV22!$A$6:$CA$36,62,0)</f>
        <v>0</v>
      </c>
      <c r="AH24" s="36">
        <f>VLOOKUP($A24,[16]HISTOJANV22!$A$6:$CA$36,63,0)</f>
        <v>0</v>
      </c>
      <c r="AI24" s="36">
        <f>VLOOKUP($A24,[16]HISTOJANV22!$A$6:$CA$36,64,0)</f>
        <v>0</v>
      </c>
      <c r="AJ24" s="36">
        <f>VLOOKUP($A24,[16]HISTOJANV22!$A$6:$CA$36,65,0)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>
        <v>570000</v>
      </c>
      <c r="D25" s="5">
        <v>3871.4174531366152</v>
      </c>
      <c r="E25" s="36">
        <f>VLOOKUP($A25,[16]HISTOJANV22!$A$6:$BA$39,48,0)</f>
        <v>0</v>
      </c>
      <c r="F25" s="5">
        <f t="shared" si="1"/>
        <v>570000</v>
      </c>
      <c r="G25" s="6">
        <f t="shared" si="0"/>
        <v>33621.103716929822</v>
      </c>
      <c r="H25" s="6">
        <f t="shared" si="2"/>
        <v>576871.41745313664</v>
      </c>
      <c r="I25" s="36">
        <f>VLOOKUP($A25,[16]HISTOJANV22!$A$6:$AQ$37,22,0)</f>
        <v>0</v>
      </c>
      <c r="J25" s="36">
        <f>VLOOKUP($A25,[16]HISTOJANV22!$A$6:$AU$39,45,0)</f>
        <v>7000</v>
      </c>
      <c r="K25" s="36">
        <f t="shared" si="3"/>
        <v>3000</v>
      </c>
      <c r="L25" s="36">
        <f t="shared" si="4"/>
        <v>500</v>
      </c>
      <c r="M25" s="36">
        <f t="shared" si="5"/>
        <v>1000</v>
      </c>
      <c r="N25" s="36">
        <f t="shared" si="6"/>
        <v>2500</v>
      </c>
      <c r="O25" s="36">
        <f>VLOOKUP($A25,[16]HISTOJANV22!$A$6:$AU$39,7,0)</f>
        <v>0</v>
      </c>
      <c r="P25" s="36">
        <f>VLOOKUP($A25,[16]HISTOJANV22!$A$6:$AU$39,23,0)</f>
        <v>0</v>
      </c>
      <c r="Q25" s="36">
        <f>VLOOKUP($A25,[16]HISTOJANV22!$A$6:$AU$39,46,0)</f>
        <v>0</v>
      </c>
      <c r="R25" s="36">
        <f>VLOOKUP($A25,[16]HISTOJANV22!$A$6:$AU$39,26,0)</f>
        <v>1000000</v>
      </c>
      <c r="S25" s="36">
        <f>VLOOKUP($A25,[16]HISTOJANV22!$A$6:$BG$39,58,0)</f>
        <v>120000</v>
      </c>
      <c r="T25" s="36" t="str">
        <f>VLOOKUP($A25,[16]HISTOJANV22!$A$6:$AU$39,28,0)</f>
        <v>OKK</v>
      </c>
      <c r="U25" s="36">
        <f>VLOOKUP($A25,[16]HISTOJANV22!$A$6:$AU$39,19,0)</f>
        <v>0</v>
      </c>
      <c r="V25" s="36">
        <f>VLOOKUP($A25,[16]HISTOJANV22!$A$6:$AU$39,20,0)</f>
        <v>0</v>
      </c>
      <c r="W25" s="36" t="str">
        <f>VLOOKUP($A25,[16]HISTOJANV22!$A$6:$AU$39,27,0)</f>
        <v>BANQUE</v>
      </c>
      <c r="X25" s="36">
        <f>VLOOKUP($A25,[16]HISTOJANV22!$A$6:$AU$39,33,0)</f>
        <v>0</v>
      </c>
      <c r="Y25" s="36">
        <f>VLOOKUP($A25,[16]HISTOJANV22!$A$6:$BM$39,65,0)</f>
        <v>0</v>
      </c>
      <c r="Z25" s="36"/>
      <c r="AA25" s="36">
        <f>VLOOKUP($A25,[16]HISTOJANV22!$A$6:$AU$39,43,0)</f>
        <v>0</v>
      </c>
      <c r="AB25" s="36">
        <f>VLOOKUP($A25,[16]HISTOJANV22!$A$6:$AU$39,44,0)</f>
        <v>0</v>
      </c>
      <c r="AC25" s="36">
        <f>VLOOKUP($A25,[16]HISTOJANV22!$A$6:$AU$39,47,0)</f>
        <v>0</v>
      </c>
      <c r="AD25" s="36">
        <f>VLOOKUP(A25,[16]HISTOJANV22!$A$6:$BB$36,54,0)</f>
        <v>70000</v>
      </c>
      <c r="AE25" s="36">
        <f>VLOOKUP($A25,[16]HISTOJANV22!$A$6:$CA$36,60,0)</f>
        <v>0</v>
      </c>
      <c r="AF25" s="36">
        <f>VLOOKUP($A25,[16]HISTOJANV22!$A$6:$CA$36,61,0)</f>
        <v>0</v>
      </c>
      <c r="AG25" s="36">
        <f>VLOOKUP($A25,[16]HISTOJANV22!$A$6:$CA$36,62,0)</f>
        <v>0</v>
      </c>
      <c r="AH25" s="36">
        <f>VLOOKUP($A25,[16]HISTOJANV22!$A$6:$CA$36,63,0)</f>
        <v>0</v>
      </c>
      <c r="AI25" s="36">
        <f>VLOOKUP($A25,[16]HISTOJANV22!$A$6:$CA$36,64,0)</f>
        <v>0</v>
      </c>
      <c r="AJ25" s="36">
        <f>VLOOKUP($A25,[16]HISTOJANV22!$A$6:$CA$36,65,0)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>
        <v>570000</v>
      </c>
      <c r="D26" s="5">
        <v>11084.67996724385</v>
      </c>
      <c r="E26" s="36">
        <f>VLOOKUP($A26,[16]HISTOJANV22!$A$6:$BA$39,48,0)</f>
        <v>0</v>
      </c>
      <c r="F26" s="5">
        <f t="shared" si="1"/>
        <v>570000</v>
      </c>
      <c r="G26" s="6">
        <f t="shared" si="0"/>
        <v>34041.505629361091</v>
      </c>
      <c r="H26" s="6">
        <f t="shared" si="2"/>
        <v>584084.67996724381</v>
      </c>
      <c r="I26" s="36">
        <f>VLOOKUP($A26,[16]HISTOJANV22!$A$6:$AQ$37,22,0)</f>
        <v>0</v>
      </c>
      <c r="J26" s="36">
        <f>VLOOKUP($A26,[16]HISTOJANV22!$A$6:$AU$39,45,0)</f>
        <v>7000</v>
      </c>
      <c r="K26" s="36">
        <f t="shared" si="3"/>
        <v>3000</v>
      </c>
      <c r="L26" s="36">
        <f t="shared" si="4"/>
        <v>500</v>
      </c>
      <c r="M26" s="36">
        <f t="shared" si="5"/>
        <v>1000</v>
      </c>
      <c r="N26" s="36">
        <f t="shared" si="6"/>
        <v>2500</v>
      </c>
      <c r="O26" s="36">
        <f>VLOOKUP($A26,[16]HISTOJANV22!$A$6:$AU$39,7,0)</f>
        <v>0</v>
      </c>
      <c r="P26" s="36">
        <f>VLOOKUP($A26,[16]HISTOJANV22!$A$6:$AU$39,23,0)</f>
        <v>0</v>
      </c>
      <c r="Q26" s="36">
        <f>VLOOKUP($A26,[16]HISTOJANV22!$A$6:$AU$39,46,0)</f>
        <v>0</v>
      </c>
      <c r="R26" s="36">
        <f>VLOOKUP($A26,[16]HISTOJANV22!$A$6:$AU$39,26,0)</f>
        <v>1155000</v>
      </c>
      <c r="S26" s="36">
        <f>VLOOKUP($A26,[16]HISTOJANV22!$A$6:$BG$39,58,0)</f>
        <v>0</v>
      </c>
      <c r="T26" s="36">
        <f>VLOOKUP($A26,[16]HISTOJANV22!$A$6:$AU$39,28,0)</f>
        <v>0</v>
      </c>
      <c r="U26" s="36">
        <f>VLOOKUP($A26,[16]HISTOJANV22!$A$6:$AU$39,19,0)</f>
        <v>0</v>
      </c>
      <c r="V26" s="36">
        <f>VLOOKUP($A26,[16]HISTOJANV22!$A$6:$AU$39,20,0)</f>
        <v>0</v>
      </c>
      <c r="W26" s="36" t="str">
        <f>VLOOKUP($A26,[16]HISTOJANV22!$A$6:$AU$39,27,0)</f>
        <v>BANQUE</v>
      </c>
      <c r="X26" s="36">
        <f>VLOOKUP($A26,[16]HISTOJANV22!$A$6:$AU$39,33,0)</f>
        <v>0</v>
      </c>
      <c r="Y26" s="36">
        <f>VLOOKUP($A26,[16]HISTOJANV22!$A$6:$BM$39,65,0)</f>
        <v>0</v>
      </c>
      <c r="Z26" s="36"/>
      <c r="AA26" s="36">
        <f>VLOOKUP($A26,[16]HISTOJANV22!$A$6:$AU$39,43,0)</f>
        <v>0</v>
      </c>
      <c r="AB26" s="36">
        <f>VLOOKUP($A26,[16]HISTOJANV22!$A$6:$AU$39,44,0)</f>
        <v>0</v>
      </c>
      <c r="AC26" s="36">
        <f>VLOOKUP($A26,[16]HISTOJANV22!$A$6:$AU$39,47,0)</f>
        <v>0</v>
      </c>
      <c r="AD26" s="36">
        <f>VLOOKUP(A26,[16]HISTOJANV22!$A$6:$BB$36,54,0)</f>
        <v>0</v>
      </c>
      <c r="AE26" s="36">
        <f>VLOOKUP($A26,[16]HISTOJANV22!$A$6:$CA$36,60,0)</f>
        <v>0</v>
      </c>
      <c r="AF26" s="36">
        <f>VLOOKUP($A26,[16]HISTOJANV22!$A$6:$CA$36,61,0)</f>
        <v>0</v>
      </c>
      <c r="AG26" s="36">
        <f>VLOOKUP($A26,[16]HISTOJANV22!$A$6:$CA$36,62,0)</f>
        <v>0</v>
      </c>
      <c r="AH26" s="36">
        <f>VLOOKUP($A26,[16]HISTOJANV22!$A$6:$CA$36,63,0)</f>
        <v>0</v>
      </c>
      <c r="AI26" s="36">
        <f>VLOOKUP($A26,[16]HISTOJANV22!$A$6:$CA$36,64,0)</f>
        <v>155000</v>
      </c>
      <c r="AJ26" s="36">
        <f>VLOOKUP($A26,[16]HISTOJANV22!$A$6:$CA$36,65,0)</f>
        <v>0</v>
      </c>
    </row>
    <row r="27" spans="1:36" x14ac:dyDescent="0.25">
      <c r="A27" s="1" t="s">
        <v>30</v>
      </c>
      <c r="B27" s="1" t="str">
        <f>VLOOKUP(A27,[15]LISTADHERENT!A$5:H$60,3,0)</f>
        <v>NKEHE DAVID</v>
      </c>
      <c r="C27" s="5">
        <v>534974.27750837663</v>
      </c>
      <c r="D27" s="5">
        <v>-5025.7224916233827</v>
      </c>
      <c r="E27" s="36">
        <f>VLOOKUP($A27,[16]HISTOJANV22!$A$6:$BA$39,48,0)</f>
        <v>0</v>
      </c>
      <c r="F27" s="5">
        <f t="shared" si="1"/>
        <v>534974.27750837663</v>
      </c>
      <c r="G27" s="6">
        <f t="shared" si="0"/>
        <v>0</v>
      </c>
      <c r="H27" s="6"/>
      <c r="I27" s="36">
        <f>VLOOKUP($A27,[16]HISTOJANV22!$A$6:$AQ$37,22,0)</f>
        <v>0</v>
      </c>
      <c r="J27" s="36">
        <f>VLOOKUP($A27,[16]HISTOJANV22!$A$6:$AU$39,45,0)</f>
        <v>0</v>
      </c>
      <c r="K27" s="36">
        <f t="shared" si="3"/>
        <v>0</v>
      </c>
      <c r="L27" s="36">
        <f t="shared" si="4"/>
        <v>0</v>
      </c>
      <c r="M27" s="36">
        <f t="shared" si="5"/>
        <v>0</v>
      </c>
      <c r="N27" s="36">
        <f t="shared" si="6"/>
        <v>0</v>
      </c>
      <c r="O27" s="36">
        <f>VLOOKUP($A27,[16]HISTOJANV22!$A$6:$AU$39,7,0)</f>
        <v>0</v>
      </c>
      <c r="P27" s="36">
        <f>VLOOKUP($A27,[16]HISTOJANV22!$A$6:$AU$39,23,0)</f>
        <v>0</v>
      </c>
      <c r="Q27" s="36">
        <f>VLOOKUP($A27,[16]HISTOJANV22!$A$6:$AU$39,46,0)</f>
        <v>0</v>
      </c>
      <c r="R27" s="36">
        <f>VLOOKUP($A27,[16]HISTOJANV22!$A$6:$AU$39,26,0)</f>
        <v>1155000</v>
      </c>
      <c r="S27" s="36">
        <f>VLOOKUP($A27,[16]HISTOJANV22!$A$6:$BG$39,58,0)</f>
        <v>0</v>
      </c>
      <c r="T27" s="36">
        <f>VLOOKUP($A27,[16]HISTOJANV22!$A$6:$AU$39,28,0)</f>
        <v>0</v>
      </c>
      <c r="U27" s="36">
        <f>VLOOKUP($A27,[16]HISTOJANV22!$A$6:$AU$39,19,0)</f>
        <v>0</v>
      </c>
      <c r="V27" s="36">
        <f>VLOOKUP($A27,[16]HISTOJANV22!$A$6:$AU$39,20,0)</f>
        <v>0</v>
      </c>
      <c r="W27" s="36" t="str">
        <f>VLOOKUP($A27,[16]HISTOJANV22!$A$6:$AU$39,27,0)</f>
        <v>BANQUE</v>
      </c>
      <c r="X27" s="36">
        <f>VLOOKUP($A27,[16]HISTOJANV22!$A$6:$AU$39,33,0)</f>
        <v>0</v>
      </c>
      <c r="Y27" s="36">
        <f>VLOOKUP($A27,[16]HISTOJANV22!$A$6:$BM$39,65,0)</f>
        <v>0</v>
      </c>
      <c r="Z27" s="36"/>
      <c r="AA27" s="36">
        <f>VLOOKUP($A27,[16]HISTOJANV22!$A$6:$AU$39,43,0)</f>
        <v>0</v>
      </c>
      <c r="AB27" s="36">
        <f>VLOOKUP($A27,[16]HISTOJANV22!$A$6:$AU$39,44,0)</f>
        <v>0</v>
      </c>
      <c r="AC27" s="36">
        <f>VLOOKUP($A27,[16]HISTOJANV22!$A$6:$AU$39,47,0)</f>
        <v>0</v>
      </c>
      <c r="AD27" s="36">
        <f>VLOOKUP(A27,[16]HISTOJANV22!$A$6:$BB$36,54,0)</f>
        <v>0</v>
      </c>
      <c r="AE27" s="36">
        <f>VLOOKUP($A27,[16]HISTOJANV22!$A$6:$CA$36,60,0)</f>
        <v>0</v>
      </c>
      <c r="AF27" s="36">
        <f>VLOOKUP($A27,[16]HISTOJANV22!$A$6:$CA$36,61,0)</f>
        <v>0</v>
      </c>
      <c r="AG27" s="36">
        <f>VLOOKUP($A27,[16]HISTOJANV22!$A$6:$CA$36,62,0)</f>
        <v>0</v>
      </c>
      <c r="AH27" s="36">
        <f>VLOOKUP($A27,[16]HISTOJANV22!$A$6:$CA$36,63,0)</f>
        <v>0</v>
      </c>
      <c r="AI27" s="36">
        <f>VLOOKUP($A27,[16]HISTOJANV22!$A$6:$CA$36,64,0)</f>
        <v>0</v>
      </c>
      <c r="AJ27" s="36">
        <f>VLOOKUP($A27,[16]HISTOJANV22!$A$6:$CA$36,65,0)</f>
        <v>0</v>
      </c>
    </row>
    <row r="28" spans="1:36" x14ac:dyDescent="0.25">
      <c r="A28" s="1" t="s">
        <v>44</v>
      </c>
      <c r="B28" s="1" t="str">
        <f>VLOOKUP(A28,[15]LISTADHERENT!A$5:H$60,3,0)</f>
        <v>NKEPSEU DIEUDONNE</v>
      </c>
      <c r="C28" s="5">
        <v>570000</v>
      </c>
      <c r="D28" s="5">
        <v>12062.781121595937</v>
      </c>
      <c r="E28" s="36">
        <f>VLOOKUP($A28,[16]HISTOJANV22!$A$6:$BA$39,48,0)</f>
        <v>0</v>
      </c>
      <c r="F28" s="5">
        <f t="shared" si="1"/>
        <v>570000</v>
      </c>
      <c r="G28" s="6">
        <f t="shared" si="0"/>
        <v>34681.329108837621</v>
      </c>
      <c r="H28" s="6">
        <f t="shared" si="2"/>
        <v>595062.781121596</v>
      </c>
      <c r="I28" s="36">
        <f>VLOOKUP($A28,[16]HISTOJANV22!$A$6:$AQ$37,22,0)</f>
        <v>0</v>
      </c>
      <c r="J28" s="36">
        <f>VLOOKUP($A28,[16]HISTOJANV22!$A$6:$AU$39,45,0)</f>
        <v>17000</v>
      </c>
      <c r="K28" s="36">
        <f t="shared" si="3"/>
        <v>13000</v>
      </c>
      <c r="L28" s="36">
        <f t="shared" si="4"/>
        <v>500</v>
      </c>
      <c r="M28" s="36">
        <f t="shared" si="5"/>
        <v>1000</v>
      </c>
      <c r="N28" s="36">
        <f t="shared" si="6"/>
        <v>2500</v>
      </c>
      <c r="O28" s="36">
        <f>VLOOKUP($A28,[16]HISTOJANV22!$A$6:$AU$39,7,0)</f>
        <v>0</v>
      </c>
      <c r="P28" s="36">
        <f>VLOOKUP($A28,[16]HISTOJANV22!$A$6:$AU$39,23,0)</f>
        <v>0</v>
      </c>
      <c r="Q28" s="36">
        <f>VLOOKUP($A28,[16]HISTOJANV22!$A$6:$AU$39,46,0)</f>
        <v>0</v>
      </c>
      <c r="R28" s="36">
        <f>VLOOKUP($A28,[16]HISTOJANV22!$A$6:$AU$39,26,0)</f>
        <v>1000000</v>
      </c>
      <c r="S28" s="36">
        <f>VLOOKUP($A28,[16]HISTOJANV22!$A$6:$BG$39,58,0)</f>
        <v>120000</v>
      </c>
      <c r="T28" s="36" t="str">
        <f>VLOOKUP($A28,[16]HISTOJANV22!$A$6:$AU$39,28,0)</f>
        <v>OKK</v>
      </c>
      <c r="U28" s="36">
        <f>VLOOKUP($A28,[16]HISTOJANV22!$A$6:$AU$39,19,0)</f>
        <v>0</v>
      </c>
      <c r="V28" s="36">
        <f>VLOOKUP($A28,[16]HISTOJANV22!$A$6:$AU$39,20,0)</f>
        <v>0</v>
      </c>
      <c r="W28" s="36" t="str">
        <f>VLOOKUP($A28,[16]HISTOJANV22!$A$6:$AU$39,27,0)</f>
        <v>BANQUE</v>
      </c>
      <c r="X28" s="36">
        <f>VLOOKUP($A28,[16]HISTOJANV22!$A$6:$AU$39,33,0)</f>
        <v>0</v>
      </c>
      <c r="Y28" s="36">
        <f>VLOOKUP($A28,[16]HISTOJANV22!$A$6:$BM$39,65,0)</f>
        <v>0</v>
      </c>
      <c r="Z28" s="36"/>
      <c r="AA28" s="36">
        <f>VLOOKUP($A28,[16]HISTOJANV22!$A$6:$AU$39,43,0)</f>
        <v>0</v>
      </c>
      <c r="AB28" s="36">
        <f>VLOOKUP($A28,[16]HISTOJANV22!$A$6:$AU$39,44,0)</f>
        <v>0</v>
      </c>
      <c r="AC28" s="36">
        <f>VLOOKUP($A28,[16]HISTOJANV22!$A$6:$AU$39,47,0)</f>
        <v>0</v>
      </c>
      <c r="AD28" s="36">
        <f>VLOOKUP(A28,[16]HISTOJANV22!$A$6:$BB$36,54,0)</f>
        <v>0</v>
      </c>
      <c r="AE28" s="36">
        <f>VLOOKUP($A28,[16]HISTOJANV22!$A$6:$CA$36,60,0)</f>
        <v>0</v>
      </c>
      <c r="AF28" s="36">
        <f>VLOOKUP($A28,[16]HISTOJANV22!$A$6:$CA$36,61,0)</f>
        <v>0</v>
      </c>
      <c r="AG28" s="36">
        <f>VLOOKUP($A28,[16]HISTOJANV22!$A$6:$CA$36,62,0)</f>
        <v>0</v>
      </c>
      <c r="AH28" s="36">
        <f>VLOOKUP($A28,[16]HISTOJANV22!$A$6:$CA$36,63,0)</f>
        <v>0</v>
      </c>
      <c r="AI28" s="36">
        <f>VLOOKUP($A28,[16]HISTOJANV22!$A$6:$CA$36,64,0)</f>
        <v>0</v>
      </c>
      <c r="AJ28" s="36">
        <f>VLOOKUP($A28,[16]HISTOJANV22!$A$6:$CA$36,65,0)</f>
        <v>0</v>
      </c>
    </row>
    <row r="29" spans="1:36" x14ac:dyDescent="0.25">
      <c r="A29" s="1" t="s">
        <v>45</v>
      </c>
      <c r="B29" s="1" t="str">
        <f>VLOOKUP(A29,[15]LISTADHERENT!A$5:H$60,3,0)</f>
        <v>PATEGO NJOSSU GUSTAVE</v>
      </c>
      <c r="C29" s="5">
        <v>570000</v>
      </c>
      <c r="D29" s="5">
        <v>21819.131591268466</v>
      </c>
      <c r="E29" s="36">
        <f>VLOOKUP($A29,[16]HISTOJANV22!$A$6:$BA$39,48,0)</f>
        <v>0</v>
      </c>
      <c r="F29" s="5">
        <f t="shared" si="1"/>
        <v>570000</v>
      </c>
      <c r="G29" s="6">
        <f t="shared" si="0"/>
        <v>34667.128776004545</v>
      </c>
      <c r="H29" s="6">
        <f t="shared" si="2"/>
        <v>594819.13159126847</v>
      </c>
      <c r="I29" s="36">
        <f>VLOOKUP($A29,[16]HISTOJANV22!$A$6:$AQ$37,22,0)</f>
        <v>0</v>
      </c>
      <c r="J29" s="36">
        <f>VLOOKUP($A29,[16]HISTOJANV22!$A$6:$AU$39,45,0)</f>
        <v>7000</v>
      </c>
      <c r="K29" s="36">
        <f t="shared" si="3"/>
        <v>3000</v>
      </c>
      <c r="L29" s="36">
        <f t="shared" si="4"/>
        <v>500</v>
      </c>
      <c r="M29" s="36">
        <f t="shared" si="5"/>
        <v>1000</v>
      </c>
      <c r="N29" s="36">
        <f t="shared" si="6"/>
        <v>2500</v>
      </c>
      <c r="O29" s="36">
        <f>VLOOKUP($A29,[16]HISTOJANV22!$A$6:$AU$39,7,0)</f>
        <v>0</v>
      </c>
      <c r="P29" s="36">
        <f>VLOOKUP($A29,[16]HISTOJANV22!$A$6:$AU$39,23,0)</f>
        <v>0</v>
      </c>
      <c r="Q29" s="36">
        <f>VLOOKUP($A29,[16]HISTOJANV22!$A$6:$AU$39,46,0)</f>
        <v>0</v>
      </c>
      <c r="R29" s="36">
        <f>VLOOKUP($A29,[16]HISTOJANV22!$A$6:$AU$39,26,0)</f>
        <v>0</v>
      </c>
      <c r="S29" s="36">
        <f>VLOOKUP($A29,[16]HISTOJANV22!$A$6:$BG$39,58,0)</f>
        <v>0</v>
      </c>
      <c r="T29" s="36">
        <f>VLOOKUP($A29,[16]HISTOJANV22!$A$6:$AU$39,28,0)</f>
        <v>0</v>
      </c>
      <c r="U29" s="36">
        <f>VLOOKUP($A29,[16]HISTOJANV22!$A$6:$AU$39,19,0)</f>
        <v>0</v>
      </c>
      <c r="V29" s="36">
        <f>VLOOKUP($A29,[16]HISTOJANV22!$A$6:$AU$39,20,0)</f>
        <v>0</v>
      </c>
      <c r="W29" s="36">
        <f>VLOOKUP($A29,[16]HISTOJANV22!$A$6:$AU$39,27,0)</f>
        <v>0</v>
      </c>
      <c r="X29" s="36">
        <f>VLOOKUP($A29,[16]HISTOJANV22!$A$6:$AU$39,33,0)</f>
        <v>0</v>
      </c>
      <c r="Y29" s="36">
        <f>VLOOKUP($A29,[16]HISTOJANV22!$A$6:$BM$39,65,0)</f>
        <v>0</v>
      </c>
      <c r="Z29" s="36"/>
      <c r="AA29" s="36">
        <f>VLOOKUP($A29,[16]HISTOJANV22!$A$6:$AU$39,43,0)</f>
        <v>0</v>
      </c>
      <c r="AB29" s="36">
        <f>VLOOKUP($A29,[16]HISTOJANV22!$A$6:$AU$39,44,0)</f>
        <v>0</v>
      </c>
      <c r="AC29" s="36">
        <f>VLOOKUP($A29,[16]HISTOJANV22!$A$6:$AU$39,47,0)</f>
        <v>0</v>
      </c>
      <c r="AD29" s="36">
        <f>VLOOKUP(A29,[16]HISTOJANV22!$A$6:$BB$36,54,0)</f>
        <v>0</v>
      </c>
      <c r="AE29" s="36">
        <f>VLOOKUP($A29,[16]HISTOJANV22!$A$6:$CA$36,60,0)</f>
        <v>0</v>
      </c>
      <c r="AF29" s="36">
        <f>VLOOKUP($A29,[16]HISTOJANV22!$A$6:$CA$36,61,0)</f>
        <v>0</v>
      </c>
      <c r="AG29" s="36">
        <f>VLOOKUP($A29,[16]HISTOJANV22!$A$6:$CA$36,62,0)</f>
        <v>0</v>
      </c>
      <c r="AH29" s="36">
        <f>VLOOKUP($A29,[16]HISTOJANV22!$A$6:$CA$36,63,0)</f>
        <v>0</v>
      </c>
      <c r="AI29" s="36">
        <f>VLOOKUP($A29,[16]HISTOJANV22!$A$6:$CA$36,64,0)</f>
        <v>0</v>
      </c>
      <c r="AJ29" s="36">
        <f>VLOOKUP($A29,[16]HISTOJANV22!$A$6:$CA$36,65,0)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>
        <v>570000</v>
      </c>
      <c r="D30" s="5">
        <v>277025.72796184535</v>
      </c>
      <c r="E30" s="36">
        <f>VLOOKUP($A30,[16]HISTOJANV22!$A$6:$BA$39,48,0)</f>
        <v>0</v>
      </c>
      <c r="F30" s="5">
        <f t="shared" si="1"/>
        <v>570000</v>
      </c>
      <c r="G30" s="6">
        <f t="shared" si="0"/>
        <v>49541.028203543523</v>
      </c>
      <c r="H30" s="6">
        <f t="shared" si="2"/>
        <v>850025.72796184535</v>
      </c>
      <c r="I30" s="36">
        <f>VLOOKUP($A30,[16]HISTOJANV22!$A$6:$AQ$37,22,0)</f>
        <v>0</v>
      </c>
      <c r="J30" s="36">
        <f>VLOOKUP($A30,[16]HISTOJANV22!$A$6:$AU$39,45,0)</f>
        <v>7000</v>
      </c>
      <c r="K30" s="36">
        <f t="shared" si="3"/>
        <v>3000</v>
      </c>
      <c r="L30" s="36">
        <f t="shared" si="4"/>
        <v>500</v>
      </c>
      <c r="M30" s="36">
        <f t="shared" si="5"/>
        <v>1000</v>
      </c>
      <c r="N30" s="36">
        <f t="shared" si="6"/>
        <v>2500</v>
      </c>
      <c r="O30" s="36">
        <f>VLOOKUP($A30,[16]HISTOJANV22!$A$6:$AU$39,7,0)</f>
        <v>0</v>
      </c>
      <c r="P30" s="36">
        <f>VLOOKUP($A30,[16]HISTOJANV22!$A$6:$AU$39,23,0)</f>
        <v>0</v>
      </c>
      <c r="Q30" s="36">
        <f>VLOOKUP($A30,[16]HISTOJANV22!$A$6:$AU$39,46,0)</f>
        <v>0</v>
      </c>
      <c r="R30" s="36">
        <f>VLOOKUP($A30,[16]HISTOJANV22!$A$6:$AU$39,26,0)</f>
        <v>0</v>
      </c>
      <c r="S30" s="36">
        <f>VLOOKUP($A30,[16]HISTOJANV22!$A$6:$BG$39,58,0)</f>
        <v>0</v>
      </c>
      <c r="T30" s="36">
        <f>VLOOKUP($A30,[16]HISTOJANV22!$A$6:$AU$39,28,0)</f>
        <v>0</v>
      </c>
      <c r="U30" s="36">
        <f>VLOOKUP($A30,[16]HISTOJANV22!$A$6:$AU$39,19,0)</f>
        <v>0</v>
      </c>
      <c r="V30" s="36">
        <f>VLOOKUP($A30,[16]HISTOJANV22!$A$6:$AU$39,20,0)</f>
        <v>0</v>
      </c>
      <c r="W30" s="36">
        <f>VLOOKUP($A30,[16]HISTOJANV22!$A$6:$AU$39,27,0)</f>
        <v>0</v>
      </c>
      <c r="X30" s="36">
        <f>VLOOKUP($A30,[16]HISTOJANV22!$A$6:$AU$39,33,0)</f>
        <v>0</v>
      </c>
      <c r="Y30" s="36">
        <f>VLOOKUP($A30,[16]HISTOJANV22!$A$6:$BM$39,65,0)</f>
        <v>0</v>
      </c>
      <c r="Z30" s="36"/>
      <c r="AA30" s="36">
        <f>VLOOKUP($A30,[16]HISTOJANV22!$A$6:$AU$39,43,0)</f>
        <v>0</v>
      </c>
      <c r="AB30" s="36">
        <f>VLOOKUP($A30,[16]HISTOJANV22!$A$6:$AU$39,44,0)</f>
        <v>0</v>
      </c>
      <c r="AC30" s="36">
        <f>VLOOKUP($A30,[16]HISTOJANV22!$A$6:$AU$39,47,0)</f>
        <v>0</v>
      </c>
      <c r="AD30" s="36">
        <f>VLOOKUP(A30,[16]HISTOJANV22!$A$6:$BB$36,54,0)</f>
        <v>0</v>
      </c>
      <c r="AE30" s="36">
        <f>VLOOKUP($A30,[16]HISTOJANV22!$A$6:$CA$36,60,0)</f>
        <v>0</v>
      </c>
      <c r="AF30" s="36">
        <f>VLOOKUP($A30,[16]HISTOJANV22!$A$6:$CA$36,61,0)</f>
        <v>0</v>
      </c>
      <c r="AG30" s="36">
        <f>VLOOKUP($A30,[16]HISTOJANV22!$A$6:$CA$36,62,0)</f>
        <v>0</v>
      </c>
      <c r="AH30" s="36">
        <f>VLOOKUP($A30,[16]HISTOJANV22!$A$6:$CA$36,63,0)</f>
        <v>0</v>
      </c>
      <c r="AI30" s="36">
        <f>VLOOKUP($A30,[16]HISTOJANV22!$A$6:$CA$36,64,0)</f>
        <v>0</v>
      </c>
      <c r="AJ30" s="36">
        <f>VLOOKUP($A30,[16]HISTOJANV22!$A$6:$CA$36,65,0)</f>
        <v>0</v>
      </c>
    </row>
    <row r="31" spans="1:36" x14ac:dyDescent="0.25">
      <c r="A31" s="1" t="s">
        <v>47</v>
      </c>
      <c r="B31" s="1" t="str">
        <f>VLOOKUP(A31,[15]LISTADHERENT!A$5:H$60,3,0)</f>
        <v>SIMO FONGANG ERIC</v>
      </c>
      <c r="C31" s="5">
        <v>570000</v>
      </c>
      <c r="D31" s="5">
        <v>23309.374243114085</v>
      </c>
      <c r="E31" s="36">
        <f>VLOOKUP($A31,[16]HISTOJANV22!$A$6:$BA$39,48,0)</f>
        <v>0</v>
      </c>
      <c r="F31" s="5">
        <f t="shared" si="1"/>
        <v>570000</v>
      </c>
      <c r="G31" s="6">
        <f t="shared" si="0"/>
        <v>0</v>
      </c>
      <c r="H31" s="6"/>
      <c r="I31" s="36">
        <f>VLOOKUP($A31,[16]HISTOJANV22!$A$6:$AQ$37,22,0)</f>
        <v>0</v>
      </c>
      <c r="J31" s="36">
        <f>VLOOKUP($A31,[16]HISTOJANV22!$A$6:$AU$39,45,0)</f>
        <v>0</v>
      </c>
      <c r="K31" s="36">
        <f t="shared" si="3"/>
        <v>0</v>
      </c>
      <c r="L31" s="36">
        <f t="shared" si="4"/>
        <v>0</v>
      </c>
      <c r="M31" s="36">
        <f t="shared" si="5"/>
        <v>0</v>
      </c>
      <c r="N31" s="36">
        <f t="shared" si="6"/>
        <v>0</v>
      </c>
      <c r="O31" s="36">
        <f>VLOOKUP($A31,[16]HISTOJANV22!$A$6:$AU$39,7,0)</f>
        <v>0</v>
      </c>
      <c r="P31" s="36">
        <f>VLOOKUP($A31,[16]HISTOJANV22!$A$6:$AU$39,23,0)</f>
        <v>0</v>
      </c>
      <c r="Q31" s="36">
        <f>VLOOKUP($A31,[16]HISTOJANV22!$A$6:$AU$39,46,0)</f>
        <v>0</v>
      </c>
      <c r="R31" s="36">
        <f>VLOOKUP($A31,[16]HISTOJANV22!$A$6:$AU$39,26,0)</f>
        <v>1166000</v>
      </c>
      <c r="S31" s="36">
        <f>VLOOKUP($A31,[16]HISTOJANV22!$A$6:$BG$39,58,0)</f>
        <v>0</v>
      </c>
      <c r="T31" s="36">
        <f>VLOOKUP($A31,[16]HISTOJANV22!$A$6:$AU$39,28,0)</f>
        <v>0</v>
      </c>
      <c r="U31" s="36">
        <f>VLOOKUP($A31,[16]HISTOJANV22!$A$6:$AU$39,19,0)</f>
        <v>0</v>
      </c>
      <c r="V31" s="36">
        <f>VLOOKUP($A31,[16]HISTOJANV22!$A$6:$AU$39,20,0)</f>
        <v>0</v>
      </c>
      <c r="W31" s="36" t="str">
        <f>VLOOKUP($A31,[16]HISTOJANV22!$A$6:$AU$39,27,0)</f>
        <v>BANQUE</v>
      </c>
      <c r="X31" s="36">
        <f>VLOOKUP($A31,[16]HISTOJANV22!$A$6:$AU$39,33,0)</f>
        <v>0</v>
      </c>
      <c r="Y31" s="36">
        <f>VLOOKUP($A31,[16]HISTOJANV22!$A$6:$BM$39,65,0)</f>
        <v>0</v>
      </c>
      <c r="Z31" s="36"/>
      <c r="AA31" s="36">
        <f>VLOOKUP($A31,[16]HISTOJANV22!$A$6:$AU$39,43,0)</f>
        <v>0</v>
      </c>
      <c r="AB31" s="36">
        <f>VLOOKUP($A31,[16]HISTOJANV22!$A$6:$AU$39,44,0)</f>
        <v>0</v>
      </c>
      <c r="AC31" s="36">
        <f>VLOOKUP($A31,[16]HISTOJANV22!$A$6:$AU$39,47,0)</f>
        <v>0</v>
      </c>
      <c r="AD31" s="36">
        <f>VLOOKUP(A31,[16]HISTOJANV22!$A$6:$BB$36,54,0)</f>
        <v>0</v>
      </c>
      <c r="AE31" s="36">
        <f>VLOOKUP($A31,[16]HISTOJANV22!$A$6:$CA$36,60,0)</f>
        <v>0</v>
      </c>
      <c r="AF31" s="36">
        <f>VLOOKUP($A31,[16]HISTOJANV22!$A$6:$CA$36,61,0)</f>
        <v>0</v>
      </c>
      <c r="AG31" s="36">
        <f>VLOOKUP($A31,[16]HISTOJANV22!$A$6:$CA$36,62,0)</f>
        <v>0</v>
      </c>
      <c r="AH31" s="36">
        <f>VLOOKUP($A31,[16]HISTOJANV22!$A$6:$CA$36,63,0)</f>
        <v>0</v>
      </c>
      <c r="AI31" s="36">
        <f>VLOOKUP($A31,[16]HISTOJANV22!$A$6:$CA$36,64,0)</f>
        <v>0</v>
      </c>
      <c r="AJ31" s="36">
        <f>VLOOKUP($A31,[16]HISTOJANV22!$A$6:$CA$36,65,0)</f>
        <v>0</v>
      </c>
    </row>
    <row r="32" spans="1:36" x14ac:dyDescent="0.25">
      <c r="A32" s="1" t="s">
        <v>49</v>
      </c>
      <c r="B32" s="1" t="str">
        <f>VLOOKUP(A32,[15]LISTADHERENT!A$5:H$60,3,0)</f>
        <v>SIMO PIERRE</v>
      </c>
      <c r="C32" s="5">
        <v>570000</v>
      </c>
      <c r="D32" s="5">
        <v>38450.871244281065</v>
      </c>
      <c r="E32" s="36">
        <f>VLOOKUP($A32,[16]HISTOJANV22!$A$6:$BA$39,48,0)</f>
        <v>0</v>
      </c>
      <c r="F32" s="5">
        <f t="shared" si="1"/>
        <v>570000</v>
      </c>
      <c r="G32" s="6">
        <f t="shared" si="0"/>
        <v>36510.683452913552</v>
      </c>
      <c r="H32" s="6">
        <f t="shared" si="2"/>
        <v>626450.87124428106</v>
      </c>
      <c r="I32" s="36">
        <f>VLOOKUP($A32,[16]HISTOJANV22!$A$6:$AQ$37,22,0)</f>
        <v>0</v>
      </c>
      <c r="J32" s="36">
        <f>VLOOKUP($A32,[16]HISTOJANV22!$A$6:$AU$39,45,0)</f>
        <v>22000</v>
      </c>
      <c r="K32" s="36">
        <f t="shared" si="3"/>
        <v>18000</v>
      </c>
      <c r="L32" s="36">
        <f t="shared" si="4"/>
        <v>500</v>
      </c>
      <c r="M32" s="36">
        <f t="shared" si="5"/>
        <v>1000</v>
      </c>
      <c r="N32" s="36">
        <f t="shared" si="6"/>
        <v>2500</v>
      </c>
      <c r="O32" s="36">
        <f>VLOOKUP($A32,[16]HISTOJANV22!$A$6:$AU$39,7,0)</f>
        <v>0</v>
      </c>
      <c r="P32" s="36">
        <f>VLOOKUP($A32,[16]HISTOJANV22!$A$6:$AU$39,23,0)</f>
        <v>0</v>
      </c>
      <c r="Q32" s="36">
        <f>VLOOKUP($A32,[16]HISTOJANV22!$A$6:$AU$39,46,0)</f>
        <v>0</v>
      </c>
      <c r="R32" s="36">
        <f>VLOOKUP($A32,[16]HISTOJANV22!$A$6:$AU$39,26,0)</f>
        <v>500000</v>
      </c>
      <c r="S32" s="36">
        <f>VLOOKUP($A32,[16]HISTOJANV22!$A$6:$BG$39,58,0)</f>
        <v>30000</v>
      </c>
      <c r="T32" s="36">
        <f>VLOOKUP($A32,[16]HISTOJANV22!$A$6:$AU$39,28,0)</f>
        <v>0</v>
      </c>
      <c r="U32" s="36">
        <f>VLOOKUP($A32,[16]HISTOJANV22!$A$6:$AU$39,19,0)</f>
        <v>0</v>
      </c>
      <c r="V32" s="36">
        <f>VLOOKUP($A32,[16]HISTOJANV22!$A$6:$AU$39,20,0)</f>
        <v>0</v>
      </c>
      <c r="W32" s="36" t="str">
        <f>VLOOKUP($A32,[16]HISTOJANV22!$A$6:$AU$39,27,0)</f>
        <v>BANQUE</v>
      </c>
      <c r="X32" s="36">
        <f>VLOOKUP($A32,[16]HISTOJANV22!$A$6:$AU$39,33,0)</f>
        <v>0</v>
      </c>
      <c r="Y32" s="36">
        <f>VLOOKUP($A32,[16]HISTOJANV22!$A$6:$BM$39,65,0)</f>
        <v>0</v>
      </c>
      <c r="Z32" s="36"/>
      <c r="AA32" s="36">
        <f>VLOOKUP($A32,[16]HISTOJANV22!$A$6:$AU$39,43,0)</f>
        <v>0</v>
      </c>
      <c r="AB32" s="36">
        <f>VLOOKUP($A32,[16]HISTOJANV22!$A$6:$AU$39,44,0)</f>
        <v>0</v>
      </c>
      <c r="AC32" s="36">
        <f>VLOOKUP($A32,[16]HISTOJANV22!$A$6:$AU$39,47,0)</f>
        <v>0</v>
      </c>
      <c r="AD32" s="36">
        <f>VLOOKUP(A32,[16]HISTOJANV22!$A$6:$BB$36,54,0)</f>
        <v>70000</v>
      </c>
      <c r="AE32" s="36">
        <f>VLOOKUP($A32,[16]HISTOJANV22!$A$6:$CA$36,60,0)</f>
        <v>0</v>
      </c>
      <c r="AF32" s="36">
        <f>VLOOKUP($A32,[16]HISTOJANV22!$A$6:$CA$36,61,0)</f>
        <v>0</v>
      </c>
      <c r="AG32" s="36">
        <f>VLOOKUP($A32,[16]HISTOJANV22!$A$6:$CA$36,62,0)</f>
        <v>0</v>
      </c>
      <c r="AH32" s="36">
        <f>VLOOKUP($A32,[16]HISTOJANV22!$A$6:$CA$36,63,0)</f>
        <v>0</v>
      </c>
      <c r="AI32" s="36">
        <f>VLOOKUP($A32,[16]HISTOJANV22!$A$6:$CA$36,64,0)</f>
        <v>0</v>
      </c>
      <c r="AJ32" s="36">
        <f>VLOOKUP($A32,[16]HISTOJANV22!$A$6:$CA$36,65,0)</f>
        <v>0</v>
      </c>
    </row>
    <row r="33" spans="1:36" x14ac:dyDescent="0.25">
      <c r="A33" s="1" t="s">
        <v>51</v>
      </c>
      <c r="B33" s="1" t="str">
        <f>VLOOKUP(A33,[15]LISTADHERENT!A$5:H$60,3,0)</f>
        <v>TCHOUAMOU MATHIEU</v>
      </c>
      <c r="C33" s="5">
        <v>570000</v>
      </c>
      <c r="D33" s="5">
        <v>6233.7835378004966</v>
      </c>
      <c r="E33" s="36">
        <f>VLOOKUP($A33,[16]HISTOJANV22!$A$6:$BA$39,48,0)</f>
        <v>0</v>
      </c>
      <c r="F33" s="5">
        <f t="shared" si="1"/>
        <v>570000</v>
      </c>
      <c r="G33" s="6">
        <f t="shared" si="0"/>
        <v>33758.786661077931</v>
      </c>
      <c r="H33" s="6">
        <f t="shared" si="2"/>
        <v>579233.78353780054</v>
      </c>
      <c r="I33" s="36">
        <f>VLOOKUP($A33,[16]HISTOJANV22!$A$6:$AQ$37,22,0)</f>
        <v>0</v>
      </c>
      <c r="J33" s="36">
        <f>VLOOKUP($A33,[16]HISTOJANV22!$A$6:$AU$39,45,0)</f>
        <v>7000</v>
      </c>
      <c r="K33" s="36">
        <f t="shared" si="3"/>
        <v>3000</v>
      </c>
      <c r="L33" s="36">
        <f t="shared" si="4"/>
        <v>500</v>
      </c>
      <c r="M33" s="36">
        <f t="shared" si="5"/>
        <v>1000</v>
      </c>
      <c r="N33" s="36">
        <f t="shared" si="6"/>
        <v>2500</v>
      </c>
      <c r="O33" s="36">
        <f>VLOOKUP($A33,[16]HISTOJANV22!$A$6:$AU$39,7,0)</f>
        <v>0</v>
      </c>
      <c r="P33" s="36">
        <f>VLOOKUP($A33,[16]HISTOJANV22!$A$6:$AU$39,23,0)</f>
        <v>0</v>
      </c>
      <c r="Q33" s="36">
        <f>VLOOKUP($A33,[16]HISTOJANV22!$A$6:$AU$39,46,0)</f>
        <v>0</v>
      </c>
      <c r="R33" s="36">
        <f>VLOOKUP($A33,[16]HISTOJANV22!$A$6:$AU$39,26,0)</f>
        <v>560000</v>
      </c>
      <c r="S33" s="36">
        <f>VLOOKUP($A33,[16]HISTOJANV22!$A$6:$BG$39,58,0)</f>
        <v>67200</v>
      </c>
      <c r="T33" s="36" t="str">
        <f>VLOOKUP($A33,[16]HISTOJANV22!$A$6:$AU$39,28,0)</f>
        <v>OKK</v>
      </c>
      <c r="U33" s="36">
        <f>VLOOKUP($A33,[16]HISTOJANV22!$A$6:$AU$39,19,0)</f>
        <v>0</v>
      </c>
      <c r="V33" s="36">
        <f>VLOOKUP($A33,[16]HISTOJANV22!$A$6:$AU$39,20,0)</f>
        <v>0</v>
      </c>
      <c r="W33" s="36" t="str">
        <f>VLOOKUP($A33,[16]HISTOJANV22!$A$6:$AU$39,27,0)</f>
        <v>BANQUE</v>
      </c>
      <c r="X33" s="36">
        <f>VLOOKUP($A33,[16]HISTOJANV22!$A$6:$AU$39,33,0)</f>
        <v>0</v>
      </c>
      <c r="Y33" s="36">
        <f>VLOOKUP($A33,[16]HISTOJANV22!$A$6:$BM$39,65,0)</f>
        <v>0</v>
      </c>
      <c r="Z33" s="36"/>
      <c r="AA33" s="36">
        <f>VLOOKUP($A33,[16]HISTOJANV22!$A$6:$AU$39,43,0)</f>
        <v>0</v>
      </c>
      <c r="AB33" s="36">
        <f>VLOOKUP($A33,[16]HISTOJANV22!$A$6:$AU$39,44,0)</f>
        <v>0</v>
      </c>
      <c r="AC33" s="36">
        <f>VLOOKUP($A33,[16]HISTOJANV22!$A$6:$AU$39,47,0)</f>
        <v>0</v>
      </c>
      <c r="AD33" s="36">
        <f>VLOOKUP(A33,[16]HISTOJANV22!$A$6:$BB$36,54,0)</f>
        <v>0</v>
      </c>
      <c r="AE33" s="36">
        <f>VLOOKUP($A33,[16]HISTOJANV22!$A$6:$CA$36,60,0)</f>
        <v>0</v>
      </c>
      <c r="AF33" s="36">
        <f>VLOOKUP($A33,[16]HISTOJANV22!$A$6:$CA$36,61,0)</f>
        <v>0</v>
      </c>
      <c r="AG33" s="36">
        <f>VLOOKUP($A33,[16]HISTOJANV22!$A$6:$CA$36,62,0)</f>
        <v>0</v>
      </c>
      <c r="AH33" s="36">
        <f>VLOOKUP($A33,[16]HISTOJANV22!$A$6:$CA$36,63,0)</f>
        <v>0</v>
      </c>
      <c r="AI33" s="36">
        <f>VLOOKUP($A33,[16]HISTOJANV22!$A$6:$CA$36,64,0)</f>
        <v>0</v>
      </c>
      <c r="AJ33" s="36">
        <f>VLOOKUP($A33,[16]HISTOJANV22!$A$6:$CA$36,65,0)</f>
        <v>0</v>
      </c>
    </row>
    <row r="34" spans="1:36" x14ac:dyDescent="0.25">
      <c r="A34" s="1" t="s">
        <v>54</v>
      </c>
      <c r="B34" s="1" t="str">
        <f>VLOOKUP(A34,[15]LISTADHERENT!A$5:H$60,3,0)</f>
        <v>TIEYAM ERNEST</v>
      </c>
      <c r="C34" s="5">
        <v>535508.27831700875</v>
      </c>
      <c r="D34" s="5">
        <v>-4491.7216829912577</v>
      </c>
      <c r="E34" s="36">
        <f>VLOOKUP($A34,[16]HISTOJANV22!$A$6:$BA$39,48,0)</f>
        <v>0</v>
      </c>
      <c r="F34" s="5">
        <f>C34-E34</f>
        <v>535508.27831700875</v>
      </c>
      <c r="G34" s="6">
        <f t="shared" si="0"/>
        <v>0</v>
      </c>
      <c r="H34" s="6"/>
      <c r="I34" s="36">
        <f>VLOOKUP($A34,[16]HISTOJANV22!$A$6:$AQ$37,22,0)</f>
        <v>0</v>
      </c>
      <c r="J34" s="36">
        <f>VLOOKUP($A34,[16]HISTOJANV22!$A$6:$AU$39,45,0)</f>
        <v>0</v>
      </c>
      <c r="K34" s="36">
        <f t="shared" si="3"/>
        <v>0</v>
      </c>
      <c r="L34" s="36">
        <f t="shared" si="4"/>
        <v>0</v>
      </c>
      <c r="M34" s="36">
        <f t="shared" si="5"/>
        <v>0</v>
      </c>
      <c r="N34" s="36">
        <f t="shared" si="6"/>
        <v>0</v>
      </c>
      <c r="O34" s="36">
        <f>VLOOKUP($A34,[16]HISTOJANV22!$A$6:$AU$39,7,0)</f>
        <v>0</v>
      </c>
      <c r="P34" s="36">
        <f>VLOOKUP($A34,[16]HISTOJANV22!$A$6:$AU$39,23,0)</f>
        <v>0</v>
      </c>
      <c r="Q34" s="36">
        <f>VLOOKUP($A34,[16]HISTOJANV22!$A$6:$AU$39,46,0)</f>
        <v>0</v>
      </c>
      <c r="R34" s="36">
        <f>VLOOKUP($A34,[16]HISTOJANV22!$A$6:$AU$39,26,0)</f>
        <v>1112500</v>
      </c>
      <c r="S34" s="36">
        <f>VLOOKUP($A34,[16]HISTOJANV22!$A$6:$BG$39,58,0)</f>
        <v>0</v>
      </c>
      <c r="T34" s="36">
        <f>VLOOKUP($A34,[16]HISTOJANV22!$A$6:$AU$39,28,0)</f>
        <v>0</v>
      </c>
      <c r="U34" s="36">
        <f>VLOOKUP($A34,[16]HISTOJANV22!$A$6:$AU$39,19,0)</f>
        <v>0</v>
      </c>
      <c r="V34" s="36">
        <f>VLOOKUP($A34,[16]HISTOJANV22!$A$6:$AU$39,20,0)</f>
        <v>0</v>
      </c>
      <c r="W34" s="36" t="str">
        <f>VLOOKUP($A34,[16]HISTOJANV22!$A$6:$AU$39,27,0)</f>
        <v>BANQUE</v>
      </c>
      <c r="X34" s="36">
        <f>VLOOKUP($A34,[16]HISTOJANV22!$A$6:$AU$39,33,0)</f>
        <v>0</v>
      </c>
      <c r="Y34" s="36">
        <f>VLOOKUP($A34,[16]HISTOJANV22!$A$6:$BM$39,65,0)</f>
        <v>0</v>
      </c>
      <c r="Z34" s="36"/>
      <c r="AA34" s="36">
        <f>VLOOKUP($A34,[16]HISTOJANV22!$A$6:$AU$39,43,0)</f>
        <v>0</v>
      </c>
      <c r="AB34" s="36">
        <f>VLOOKUP($A34,[16]HISTOJANV22!$A$6:$AU$39,44,0)</f>
        <v>0</v>
      </c>
      <c r="AC34" s="36">
        <f>VLOOKUP($A34,[16]HISTOJANV22!$A$6:$AU$39,47,0)</f>
        <v>0</v>
      </c>
      <c r="AD34" s="36">
        <f>VLOOKUP(A34,[16]HISTOJANV22!$A$6:$BB$36,54,0)</f>
        <v>0</v>
      </c>
      <c r="AE34" s="36">
        <f>VLOOKUP($A34,[16]HISTOJANV22!$A$6:$CA$36,60,0)</f>
        <v>0</v>
      </c>
      <c r="AF34" s="36">
        <f>VLOOKUP($A34,[16]HISTOJANV22!$A$6:$CA$36,61,0)</f>
        <v>0</v>
      </c>
      <c r="AG34" s="36">
        <f>VLOOKUP($A34,[16]HISTOJANV22!$A$6:$CA$36,62,0)</f>
        <v>0</v>
      </c>
      <c r="AH34" s="36">
        <f>VLOOKUP($A34,[16]HISTOJANV22!$A$6:$CA$36,63,0)</f>
        <v>0</v>
      </c>
      <c r="AI34" s="36">
        <f>VLOOKUP($A34,[16]HISTOJANV22!$A$6:$CA$36,64,0)</f>
        <v>0</v>
      </c>
      <c r="AJ34" s="36">
        <f>VLOOKUP($A34,[16]HISTOJANV22!$A$6:$CA$36,65,0)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>
        <v>570000</v>
      </c>
      <c r="D35" s="5">
        <v>811081.29717838136</v>
      </c>
      <c r="E35" s="36">
        <f>VLOOKUP($A35,[16]HISTOJANV22!$A$6:$BA$39,48,0)</f>
        <v>0</v>
      </c>
      <c r="F35" s="5">
        <f t="shared" si="1"/>
        <v>570000</v>
      </c>
      <c r="G35" s="6">
        <f t="shared" si="0"/>
        <v>80666.747280605967</v>
      </c>
      <c r="H35" s="6">
        <f t="shared" si="2"/>
        <v>1384081.2971783814</v>
      </c>
      <c r="I35" s="36">
        <f>VLOOKUP($A35,[16]HISTOJANV22!$A$6:$AQ$37,22,0)</f>
        <v>0</v>
      </c>
      <c r="J35" s="36">
        <f>VLOOKUP($A35,[16]HISTOJANV22!$A$6:$AU$39,45,0)</f>
        <v>7000</v>
      </c>
      <c r="K35" s="36">
        <f t="shared" si="3"/>
        <v>3000</v>
      </c>
      <c r="L35" s="36">
        <f t="shared" si="4"/>
        <v>500</v>
      </c>
      <c r="M35" s="36">
        <f t="shared" si="5"/>
        <v>1000</v>
      </c>
      <c r="N35" s="36">
        <f t="shared" si="6"/>
        <v>2500</v>
      </c>
      <c r="O35" s="36">
        <f>VLOOKUP($A35,[16]HISTOJANV22!$A$6:$AU$39,7,0)</f>
        <v>3000</v>
      </c>
      <c r="P35" s="36">
        <f>VLOOKUP($A35,[16]HISTOJANV22!$A$6:$AU$39,23,0)</f>
        <v>0</v>
      </c>
      <c r="Q35" s="36">
        <f>VLOOKUP($A35,[16]HISTOJANV22!$A$6:$AU$39,46,0)</f>
        <v>0</v>
      </c>
      <c r="R35" s="36">
        <f>VLOOKUP($A35,[16]HISTOJANV22!$A$6:$AU$39,26,0)</f>
        <v>1155000</v>
      </c>
      <c r="S35" s="36">
        <f>VLOOKUP($A35,[16]HISTOJANV22!$A$6:$BG$39,58,0)</f>
        <v>0</v>
      </c>
      <c r="T35" s="36">
        <f>VLOOKUP($A35,[16]HISTOJANV22!$A$6:$AU$39,28,0)</f>
        <v>0</v>
      </c>
      <c r="U35" s="36">
        <f>VLOOKUP($A35,[16]HISTOJANV22!$A$6:$AU$39,19,0)</f>
        <v>0</v>
      </c>
      <c r="V35" s="36">
        <f>VLOOKUP($A35,[16]HISTOJANV22!$A$6:$AU$39,20,0)</f>
        <v>0</v>
      </c>
      <c r="W35" s="36" t="str">
        <f>VLOOKUP($A35,[16]HISTOJANV22!$A$6:$AU$39,27,0)</f>
        <v>BANQUE</v>
      </c>
      <c r="X35" s="36">
        <f>VLOOKUP($A35,[16]HISTOJANV22!$A$6:$AU$39,33,0)</f>
        <v>0</v>
      </c>
      <c r="Y35" s="36">
        <f>VLOOKUP($A35,[16]HISTOJANV22!$A$6:$BM$39,65,0)</f>
        <v>0</v>
      </c>
      <c r="Z35" s="36"/>
      <c r="AA35" s="36">
        <f>VLOOKUP($A35,[16]HISTOJANV22!$A$6:$AU$39,43,0)</f>
        <v>0</v>
      </c>
      <c r="AB35" s="36">
        <f>VLOOKUP($A35,[16]HISTOJANV22!$A$6:$AU$39,44,0)</f>
        <v>0</v>
      </c>
      <c r="AC35" s="36">
        <f>VLOOKUP($A35,[16]HISTOJANV22!$A$6:$AU$39,47,0)</f>
        <v>0</v>
      </c>
      <c r="AD35" s="36">
        <f>VLOOKUP(A35,[16]HISTOJANV22!$A$6:$BB$36,54,0)</f>
        <v>0</v>
      </c>
      <c r="AE35" s="36">
        <f>VLOOKUP($A35,[16]HISTOJANV22!$A$6:$CA$36,60,0)</f>
        <v>0</v>
      </c>
      <c r="AF35" s="36">
        <f>VLOOKUP($A35,[16]HISTOJANV22!$A$6:$CA$36,61,0)</f>
        <v>0</v>
      </c>
      <c r="AG35" s="36">
        <f>VLOOKUP($A35,[16]HISTOJANV22!$A$6:$CA$36,62,0)</f>
        <v>0</v>
      </c>
      <c r="AH35" s="36">
        <f>VLOOKUP($A35,[16]HISTOJANV22!$A$6:$CA$36,63,0)</f>
        <v>0</v>
      </c>
      <c r="AI35" s="36">
        <f>VLOOKUP($A35,[16]HISTOJANV22!$A$6:$CA$36,64,0)</f>
        <v>155000</v>
      </c>
      <c r="AJ35" s="36">
        <f>VLOOKUP($A35,[16]HISTOJANV22!$A$6:$CA$36,65,0)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>
        <v>570000</v>
      </c>
      <c r="D36" s="5">
        <v>913245.29452405358</v>
      </c>
      <c r="E36" s="36">
        <f>VLOOKUP($A36,[16]HISTOJANV22!$A$6:$BA$39,48,0)</f>
        <v>0</v>
      </c>
      <c r="F36" s="5">
        <f t="shared" si="1"/>
        <v>570000</v>
      </c>
      <c r="G36" s="6">
        <f t="shared" si="0"/>
        <v>86621.04878866089</v>
      </c>
      <c r="H36" s="6">
        <f t="shared" si="2"/>
        <v>1486245.2945240536</v>
      </c>
      <c r="I36" s="36">
        <f>VLOOKUP($A36,[16]HISTOJANV22!$A$6:$AQ$37,22,0)</f>
        <v>0</v>
      </c>
      <c r="J36" s="36">
        <f>VLOOKUP($A36,[16]HISTOJANV22!$A$6:$AU$39,45,0)</f>
        <v>7000</v>
      </c>
      <c r="K36" s="36">
        <f t="shared" si="3"/>
        <v>3000</v>
      </c>
      <c r="L36" s="36">
        <f t="shared" si="4"/>
        <v>500</v>
      </c>
      <c r="M36" s="36">
        <f t="shared" si="5"/>
        <v>1000</v>
      </c>
      <c r="N36" s="36">
        <f t="shared" si="6"/>
        <v>2500</v>
      </c>
      <c r="O36" s="36">
        <f>VLOOKUP($A36,[16]HISTOJANV22!$A$6:$AU$39,7,0)</f>
        <v>0</v>
      </c>
      <c r="P36" s="36">
        <f>VLOOKUP($A36,[16]HISTOJANV22!$A$6:$AU$39,23,0)</f>
        <v>0</v>
      </c>
      <c r="Q36" s="36">
        <f>VLOOKUP($A36,[16]HISTOJANV22!$A$6:$AU$39,46,0)</f>
        <v>0</v>
      </c>
      <c r="R36" s="36">
        <f>VLOOKUP($A36,[16]HISTOJANV22!$A$6:$AU$39,26,0)</f>
        <v>0</v>
      </c>
      <c r="S36" s="36">
        <f>VLOOKUP($A36,[16]HISTOJANV22!$A$6:$BG$39,58,0)</f>
        <v>0</v>
      </c>
      <c r="T36" s="36">
        <f>VLOOKUP($A36,[16]HISTOJANV22!$A$6:$AU$39,28,0)</f>
        <v>0</v>
      </c>
      <c r="U36" s="36">
        <f>VLOOKUP($A36,[16]HISTOJANV22!$A$6:$AU$39,19,0)</f>
        <v>0</v>
      </c>
      <c r="V36" s="36">
        <f>VLOOKUP($A36,[16]HISTOJANV22!$A$6:$AU$39,20,0)</f>
        <v>0</v>
      </c>
      <c r="W36" s="36">
        <f>VLOOKUP($A36,[16]HISTOJANV22!$A$6:$AU$39,27,0)</f>
        <v>0</v>
      </c>
      <c r="X36" s="36">
        <f>VLOOKUP($A36,[16]HISTOJANV22!$A$6:$AU$39,33,0)</f>
        <v>0</v>
      </c>
      <c r="Y36" s="36">
        <f>VLOOKUP($A36,[16]HISTOJANV22!$A$6:$BM$39,65,0)</f>
        <v>0</v>
      </c>
      <c r="Z36" s="36"/>
      <c r="AA36" s="36">
        <f>VLOOKUP($A36,[16]HISTOJANV22!$A$6:$AU$39,43,0)</f>
        <v>0</v>
      </c>
      <c r="AB36" s="36">
        <f>VLOOKUP($A36,[16]HISTOJANV22!$A$6:$AU$39,44,0)</f>
        <v>0</v>
      </c>
      <c r="AC36" s="36">
        <f>VLOOKUP($A36,[16]HISTOJANV22!$A$6:$AU$39,47,0)</f>
        <v>0</v>
      </c>
      <c r="AD36" s="36">
        <f>VLOOKUP(A36,[16]HISTOJANV22!$A$6:$BB$36,54,0)</f>
        <v>70000</v>
      </c>
      <c r="AE36" s="36">
        <f>VLOOKUP($A36,[16]HISTOJANV22!$A$6:$CA$36,60,0)</f>
        <v>0</v>
      </c>
      <c r="AF36" s="36">
        <f>VLOOKUP($A36,[16]HISTOJANV22!$A$6:$CA$36,61,0)</f>
        <v>0</v>
      </c>
      <c r="AG36" s="36">
        <f>VLOOKUP($A36,[16]HISTOJANV22!$A$6:$CA$36,62,0)</f>
        <v>0</v>
      </c>
      <c r="AH36" s="36">
        <f>VLOOKUP($A36,[16]HISTOJANV22!$A$6:$CA$36,63,0)</f>
        <v>0</v>
      </c>
      <c r="AI36" s="36">
        <f>VLOOKUP($A36,[16]HISTOJANV22!$A$6:$CA$36,64,0)</f>
        <v>0</v>
      </c>
      <c r="AJ36" s="36">
        <f>VLOOKUP($A36,[16]HISTOJANV22!$A$6:$CA$36,65,0)</f>
        <v>0</v>
      </c>
    </row>
    <row r="37" spans="1:36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D40" si="7">SUM(C6:C39)</f>
        <v>17584659.561375875</v>
      </c>
      <c r="D40" s="9">
        <f t="shared" si="7"/>
        <v>2752017.974276307</v>
      </c>
      <c r="E40" s="9">
        <f t="shared" si="7"/>
        <v>0</v>
      </c>
      <c r="F40" s="9">
        <f t="shared" si="7"/>
        <v>17584659.561375875</v>
      </c>
      <c r="G40" s="9">
        <f>SUM(G6:G39)</f>
        <v>1070199.9999999998</v>
      </c>
      <c r="H40" s="9">
        <f t="shared" si="7"/>
        <v>18362508.148341153</v>
      </c>
      <c r="I40" s="9">
        <f t="shared" si="7"/>
        <v>0</v>
      </c>
      <c r="J40" s="9">
        <f t="shared" si="7"/>
        <v>322000</v>
      </c>
      <c r="K40" s="9">
        <f t="shared" si="7"/>
        <v>218000</v>
      </c>
      <c r="L40" s="9">
        <f t="shared" si="7"/>
        <v>13000</v>
      </c>
      <c r="M40" s="9">
        <f t="shared" si="7"/>
        <v>26000</v>
      </c>
      <c r="N40" s="9">
        <f t="shared" si="7"/>
        <v>65000</v>
      </c>
      <c r="O40" s="9">
        <f t="shared" si="7"/>
        <v>3000</v>
      </c>
      <c r="P40" s="9">
        <f t="shared" si="7"/>
        <v>0</v>
      </c>
      <c r="Q40" s="9">
        <f t="shared" si="7"/>
        <v>0</v>
      </c>
      <c r="R40" s="9">
        <f t="shared" si="7"/>
        <v>17882500</v>
      </c>
      <c r="S40" s="9">
        <f>SUM(S6:S39)+118000</f>
        <v>1070200</v>
      </c>
      <c r="T40" s="9">
        <f t="shared" si="7"/>
        <v>0</v>
      </c>
      <c r="U40" s="9">
        <f t="shared" si="7"/>
        <v>2974000</v>
      </c>
      <c r="V40" s="9">
        <f t="shared" si="7"/>
        <v>0</v>
      </c>
      <c r="W40" s="9">
        <f t="shared" si="7"/>
        <v>0</v>
      </c>
      <c r="X40" s="9">
        <f>SUM(X6:X39)</f>
        <v>0</v>
      </c>
      <c r="Y40" s="9">
        <f>SUM(Y6:Y39)</f>
        <v>0</v>
      </c>
      <c r="Z40" s="9">
        <f>SUM(Z6:Z39)</f>
        <v>0</v>
      </c>
      <c r="AA40" s="9">
        <f t="shared" si="7"/>
        <v>0</v>
      </c>
      <c r="AB40" s="9">
        <f t="shared" si="7"/>
        <v>0</v>
      </c>
      <c r="AC40" s="9">
        <f t="shared" si="7"/>
        <v>0</v>
      </c>
      <c r="AD40" s="9">
        <f t="shared" si="7"/>
        <v>538000</v>
      </c>
      <c r="AE40" s="9">
        <f t="shared" ref="AE40:AJ40" si="8">SUM(AE6:AE39)</f>
        <v>51000</v>
      </c>
      <c r="AF40" s="9">
        <f t="shared" si="8"/>
        <v>0</v>
      </c>
      <c r="AG40" s="9">
        <f t="shared" si="8"/>
        <v>0</v>
      </c>
      <c r="AH40" s="9">
        <f t="shared" si="8"/>
        <v>70000</v>
      </c>
      <c r="AI40" s="9">
        <f t="shared" si="8"/>
        <v>583000</v>
      </c>
      <c r="AJ40" s="9">
        <f t="shared" si="8"/>
        <v>450000</v>
      </c>
    </row>
    <row r="43" spans="1:36" x14ac:dyDescent="0.25">
      <c r="F43" s="2"/>
    </row>
  </sheetData>
  <autoFilter ref="A5:U36">
    <sortState ref="A5:L48">
      <sortCondition ref="B5:B48"/>
    </sortState>
  </autoFilter>
  <mergeCells count="2">
    <mergeCell ref="J4:O4"/>
    <mergeCell ref="AK1:AL1"/>
  </mergeCells>
  <dataValidations disablePrompts="1"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"/>
  <sheetViews>
    <sheetView workbookViewId="0">
      <pane xSplit="2" ySplit="5" topLeftCell="O18" activePane="bottomRight" state="frozen"/>
      <selection activeCell="B43" sqref="B43"/>
      <selection pane="topRight" activeCell="B43" sqref="B43"/>
      <selection pane="bottomLeft" activeCell="B43" sqref="B43"/>
      <selection pane="bottomRight" activeCell="S20" sqref="S20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5" bestFit="1" customWidth="1"/>
    <col min="19" max="19" width="15" customWidth="1"/>
    <col min="20" max="21" width="18.140625" customWidth="1"/>
    <col min="25" max="25" width="12.42578125" bestFit="1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03"/>
      <c r="J4" s="146">
        <v>44609</v>
      </c>
      <c r="K4" s="146"/>
      <c r="L4" s="146"/>
      <c r="M4" s="146"/>
      <c r="N4" s="146"/>
      <c r="O4" s="146"/>
      <c r="P4"/>
      <c r="Q4"/>
      <c r="AJ4" s="108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84" t="s">
        <v>10</v>
      </c>
      <c r="AF5" s="84" t="s">
        <v>11</v>
      </c>
      <c r="AG5" s="84" t="s">
        <v>307</v>
      </c>
      <c r="AH5" s="84" t="s">
        <v>273</v>
      </c>
      <c r="AI5" s="4" t="s">
        <v>65</v>
      </c>
      <c r="AJ5" s="84" t="s">
        <v>278</v>
      </c>
    </row>
    <row r="6" spans="1:36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MVTJANV22!F6-MVTFEV22!E6</f>
        <v>584177.00555049011</v>
      </c>
      <c r="G6" s="6">
        <f t="shared" ref="G6:G36" si="0">$S$40/$H$40*H6</f>
        <v>11180.476043260125</v>
      </c>
      <c r="H6" s="6">
        <f>MVTJANV22!H6+MVTJANV22!G6+K6</f>
        <v>618223.89208089106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VLOOKUP($A6,[16]HISTOFEV22!$A$6:$BZ$36,60,0)</f>
        <v>6000</v>
      </c>
      <c r="AF6" s="36">
        <f>VLOOKUP($A6,[16]HISTOFEV22!$A$6:$BZ$36,61,0)</f>
        <v>0</v>
      </c>
      <c r="AG6" s="36">
        <f>VLOOKUP($A6,[16]HISTOFEV22!$A$6:$BZ$36,62,0)</f>
        <v>0</v>
      </c>
      <c r="AH6" s="36">
        <f>VLOOKUP($A6,[16]HISTOFEV22!$A$6:$BZ$36,63,0)</f>
        <v>0</v>
      </c>
      <c r="AI6" s="36">
        <f>VLOOKUP($A6,[16]HISTOFEV22!$A$6:$CA$36,64,0)</f>
        <v>0</v>
      </c>
      <c r="AJ6" s="36">
        <f>VLOOKUP($A6,[16]HISTOFEV22!$A$6:$CA$36,65,0)</f>
        <v>0</v>
      </c>
    </row>
    <row r="7" spans="1:36" x14ac:dyDescent="0.25">
      <c r="A7" s="1" t="s">
        <v>19</v>
      </c>
      <c r="B7" s="1" t="str">
        <f>VLOOKUP(A7,[15]LISTADHERENT!A$5:H$60,3,0)</f>
        <v>BOUTCHOUANG WILLIAM</v>
      </c>
      <c r="C7" s="5"/>
      <c r="D7" s="5"/>
      <c r="E7" s="36">
        <f>VLOOKUP($A7,[16]HISTOFEV22!$A$6:$BA$39,48,0)</f>
        <v>0</v>
      </c>
      <c r="F7" s="5">
        <f>MVTJANV22!F7-MVTFEV22!E7</f>
        <v>570000</v>
      </c>
      <c r="G7" s="6">
        <f t="shared" si="0"/>
        <v>11015.859726096685</v>
      </c>
      <c r="H7" s="6">
        <f>MVTJANV22!H7+MVTJANV22!G7+K7</f>
        <v>609121.44063758664</v>
      </c>
      <c r="I7" s="36">
        <f>VLOOKUP($A7,[16]HISTOFEV22!$A$6:$AQ$37,22,0)</f>
        <v>0</v>
      </c>
      <c r="J7" s="36">
        <f>VLOOKUP($A7,[16]HISTOFEV22!$A$6:$AU$39,45,0)</f>
        <v>7000</v>
      </c>
      <c r="K7" s="36">
        <f t="shared" ref="K7:K36" si="1">IF(J7=0,0,J7-(L7+M7+N7))</f>
        <v>3000</v>
      </c>
      <c r="L7" s="36">
        <f t="shared" ref="L7:L36" si="2">IF(J7=0,0,500)</f>
        <v>500</v>
      </c>
      <c r="M7" s="36">
        <f t="shared" ref="M7:M36" si="3">IF(J7=0,0,1000)</f>
        <v>1000</v>
      </c>
      <c r="N7" s="36">
        <f t="shared" ref="N7:N36" si="4">IF(J7=0,0,2500)</f>
        <v>2500</v>
      </c>
      <c r="O7" s="36">
        <f>VLOOKUP($A7,[16]HISTOFEV22!$A$6:$AU$39,7,0)</f>
        <v>0</v>
      </c>
      <c r="P7" s="36">
        <f>VLOOKUP($A7,[16]HISTOFEV22!$A$6:$AU$39,23,0)</f>
        <v>0</v>
      </c>
      <c r="Q7" s="36">
        <f>VLOOKUP($A7,[16]HISTOFEV22!$A$6:$AU$39,46,0)</f>
        <v>0</v>
      </c>
      <c r="R7" s="36">
        <f>VLOOKUP($A7,[16]HISTOFEV22!$A$6:$AU$39,26,0)</f>
        <v>0</v>
      </c>
      <c r="S7" s="36">
        <f>VLOOKUP($A7,[16]HISTOFEV22!$A$6:$BG$39,58,0)</f>
        <v>0</v>
      </c>
      <c r="T7" s="36">
        <f>VLOOKUP($A7,[16]HISTOFEV22!$A$6:$AU$39,28,0)</f>
        <v>0</v>
      </c>
      <c r="U7" s="36">
        <f>VLOOKUP($A7,[16]HISTOFEV22!$A$6:$AU$39,19,0)</f>
        <v>525000</v>
      </c>
      <c r="V7" s="36" t="str">
        <f>VLOOKUP($A7,[16]HISTOFEV22!$A$6:$AU$39,20,0)</f>
        <v>BANQUE</v>
      </c>
      <c r="W7" s="36">
        <f>VLOOKUP($A7,[16]HISTOFEV22!$A$6:$AU$39,27,0)</f>
        <v>0</v>
      </c>
      <c r="X7" s="36">
        <f>VLOOKUP($A7,[16]HISTOFEV22!$A$6:$AU$39,33,0)</f>
        <v>0</v>
      </c>
      <c r="Y7" s="36">
        <f>VLOOKUP($A7,[16]HISTOFEV22!$A$6:$BP$39,65,0)</f>
        <v>0</v>
      </c>
      <c r="Z7" s="36"/>
      <c r="AA7" s="36">
        <f>VLOOKUP($A7,[16]HISTOFEV22!$A$6:$AU$39,43,0)</f>
        <v>0</v>
      </c>
      <c r="AB7" s="36">
        <f>VLOOKUP($A7,[16]HISTOFEV22!$A$6:$AU$39,44,0)</f>
        <v>0</v>
      </c>
      <c r="AC7" s="36">
        <f>VLOOKUP($A7,[16]HISTOFEV22!$A$6:$AU$39,47,0)</f>
        <v>0</v>
      </c>
      <c r="AD7" s="36">
        <f>VLOOKUP(A7,[16]HISTOFEV22!$A$6:$BB$36,54,0)</f>
        <v>0</v>
      </c>
      <c r="AE7" s="36">
        <f>VLOOKUP($A7,[16]HISTOFEV22!$A$6:$BZ$36,60,0)</f>
        <v>0</v>
      </c>
      <c r="AF7" s="36">
        <f>VLOOKUP($A7,[16]HISTOFEV22!$A$6:$BZ$36,61,0)</f>
        <v>0</v>
      </c>
      <c r="AG7" s="36">
        <f>VLOOKUP($A7,[16]HISTOFEV22!$A$6:$BZ$36,62,0)</f>
        <v>0</v>
      </c>
      <c r="AH7" s="36">
        <f>VLOOKUP($A7,[16]HISTOFEV22!$A$6:$BZ$36,63,0)</f>
        <v>0</v>
      </c>
      <c r="AI7" s="36">
        <f>VLOOKUP($A7,[16]HISTOFEV22!$A$6:$CA$36,64,0)</f>
        <v>0</v>
      </c>
      <c r="AJ7" s="36">
        <f>VLOOKUP($A7,[16]HISTOFEV22!$A$6:$CA$36,65,0)</f>
        <v>0</v>
      </c>
    </row>
    <row r="8" spans="1:36" x14ac:dyDescent="0.25">
      <c r="A8" s="1" t="s">
        <v>23</v>
      </c>
      <c r="B8" s="1" t="str">
        <f>VLOOKUP(A8,[15]LISTADHERENT!A$5:H$60,3,0)</f>
        <v xml:space="preserve">DJOMO JEAN PAUL </v>
      </c>
      <c r="C8" s="5"/>
      <c r="D8" s="5"/>
      <c r="E8" s="36">
        <f>VLOOKUP($A8,[16]HISTOFEV22!$A$6:$BA$39,48,0)</f>
        <v>0</v>
      </c>
      <c r="F8" s="5">
        <f>MVTJANV22!F8-MVTFEV22!E8</f>
        <v>570000</v>
      </c>
      <c r="G8" s="6">
        <f t="shared" si="0"/>
        <v>11987.207103578819</v>
      </c>
      <c r="H8" s="6">
        <f>MVTJANV22!H8+MVTJANV22!G8+K8</f>
        <v>662832.04776612425</v>
      </c>
      <c r="I8" s="36">
        <f>VLOOKUP($A8,[16]HISTOFEV22!$A$6:$AQ$37,22,0)</f>
        <v>0</v>
      </c>
      <c r="J8" s="36">
        <f>VLOOKUP($A8,[16]HISTOFEV22!$A$6:$AU$39,45,0)</f>
        <v>11000</v>
      </c>
      <c r="K8" s="36">
        <f t="shared" si="1"/>
        <v>7000</v>
      </c>
      <c r="L8" s="36">
        <f t="shared" si="2"/>
        <v>500</v>
      </c>
      <c r="M8" s="36">
        <f t="shared" si="3"/>
        <v>1000</v>
      </c>
      <c r="N8" s="36">
        <f t="shared" si="4"/>
        <v>2500</v>
      </c>
      <c r="O8" s="36">
        <f>VLOOKUP($A8,[16]HISTOFEV22!$A$6:$AU$39,7,0)</f>
        <v>0</v>
      </c>
      <c r="P8" s="36">
        <f>VLOOKUP($A8,[16]HISTOFEV22!$A$6:$AU$39,23,0)</f>
        <v>0</v>
      </c>
      <c r="Q8" s="36">
        <f>VLOOKUP($A8,[16]HISTOFEV22!$A$6:$AU$39,46,0)</f>
        <v>0</v>
      </c>
      <c r="R8" s="36">
        <f>VLOOKUP($A8,[16]HISTOFEV22!$A$6:$AU$39,26,0)</f>
        <v>0</v>
      </c>
      <c r="S8" s="36">
        <f>VLOOKUP($A8,[16]HISTOFEV22!$A$6:$BG$39,58,0)</f>
        <v>0</v>
      </c>
      <c r="T8" s="36">
        <f>VLOOKUP($A8,[16]HISTOFEV22!$A$6:$AU$39,28,0)</f>
        <v>0</v>
      </c>
      <c r="U8" s="36">
        <f>VLOOKUP($A8,[16]HISTOFEV22!$A$6:$AU$39,19,0)</f>
        <v>0</v>
      </c>
      <c r="V8" s="36">
        <f>VLOOKUP($A8,[16]HISTOFEV22!$A$6:$AU$39,20,0)</f>
        <v>0</v>
      </c>
      <c r="W8" s="36">
        <f>VLOOKUP($A8,[16]HISTOFEV22!$A$6:$AU$39,27,0)</f>
        <v>0</v>
      </c>
      <c r="X8" s="36">
        <f>VLOOKUP($A8,[16]HISTOFEV22!$A$6:$AU$39,33,0)</f>
        <v>0</v>
      </c>
      <c r="Y8" s="36">
        <f>VLOOKUP($A8,[16]HISTOFEV22!$A$6:$BP$39,65,0)</f>
        <v>0</v>
      </c>
      <c r="Z8" s="36"/>
      <c r="AA8" s="36">
        <f>VLOOKUP($A8,[16]HISTOFEV22!$A$6:$AU$39,43,0)</f>
        <v>0</v>
      </c>
      <c r="AB8" s="36">
        <f>VLOOKUP($A8,[16]HISTOFEV22!$A$6:$AU$39,44,0)</f>
        <v>0</v>
      </c>
      <c r="AC8" s="36">
        <f>VLOOKUP($A8,[16]HISTOFEV22!$A$6:$AU$39,47,0)</f>
        <v>0</v>
      </c>
      <c r="AD8" s="36">
        <f>VLOOKUP(A8,[16]HISTOFEV22!$A$6:$BB$36,54,0)</f>
        <v>0</v>
      </c>
      <c r="AE8" s="36">
        <f>VLOOKUP($A8,[16]HISTOFEV22!$A$6:$BZ$36,60,0)</f>
        <v>0</v>
      </c>
      <c r="AF8" s="36">
        <f>VLOOKUP($A8,[16]HISTOFEV22!$A$6:$BZ$36,61,0)</f>
        <v>0</v>
      </c>
      <c r="AG8" s="36">
        <f>VLOOKUP($A8,[16]HISTOFEV22!$A$6:$BZ$36,62,0)</f>
        <v>0</v>
      </c>
      <c r="AH8" s="36">
        <f>VLOOKUP($A8,[16]HISTOFEV22!$A$6:$BZ$36,63,0)</f>
        <v>0</v>
      </c>
      <c r="AI8" s="36">
        <f>VLOOKUP($A8,[16]HISTOFEV22!$A$6:$CA$36,64,0)</f>
        <v>0</v>
      </c>
      <c r="AJ8" s="36">
        <f>VLOOKUP($A8,[16]HISTOFEV22!$A$6:$CA$36,65,0)</f>
        <v>0</v>
      </c>
    </row>
    <row r="9" spans="1:36" x14ac:dyDescent="0.25">
      <c r="A9" s="1" t="s">
        <v>154</v>
      </c>
      <c r="B9" s="1" t="str">
        <f>VLOOKUP(A9,[15]LISTADHERENT!A$5:H$60,3,0)</f>
        <v>DJOMOU TCHANDA</v>
      </c>
      <c r="C9" s="5"/>
      <c r="D9" s="5"/>
      <c r="E9" s="36">
        <f>VLOOKUP($A9,[16]HISTOFEV22!$A$6:$BA$39,48,0)</f>
        <v>0</v>
      </c>
      <c r="F9" s="5">
        <f>MVTJANV22!F9-MVTFEV22!E9</f>
        <v>570000</v>
      </c>
      <c r="G9" s="6">
        <f t="shared" si="0"/>
        <v>11027.686358422718</v>
      </c>
      <c r="H9" s="6">
        <f>MVTJANV22!H9+MVTJANV22!G9+K9</f>
        <v>609775.39371065074</v>
      </c>
      <c r="I9" s="36">
        <f>VLOOKUP($A9,[16]HISTOFEV22!$A$6:$AQ$37,22,0)</f>
        <v>0</v>
      </c>
      <c r="J9" s="36">
        <f>VLOOKUP($A9,[16]HISTOFEV22!$A$6:$AU$39,45,0)</f>
        <v>7000</v>
      </c>
      <c r="K9" s="36">
        <f t="shared" si="1"/>
        <v>3000</v>
      </c>
      <c r="L9" s="36">
        <f t="shared" si="2"/>
        <v>500</v>
      </c>
      <c r="M9" s="36">
        <f t="shared" si="3"/>
        <v>1000</v>
      </c>
      <c r="N9" s="36">
        <f t="shared" si="4"/>
        <v>2500</v>
      </c>
      <c r="O9" s="36">
        <f>VLOOKUP($A9,[16]HISTOFEV22!$A$6:$AU$39,7,0)</f>
        <v>0</v>
      </c>
      <c r="P9" s="36">
        <f>VLOOKUP($A9,[16]HISTOFEV22!$A$6:$AU$39,23,0)</f>
        <v>0</v>
      </c>
      <c r="Q9" s="36">
        <f>VLOOKUP($A9,[16]HISTOFEV22!$A$6:$AU$39,46,0)</f>
        <v>0</v>
      </c>
      <c r="R9" s="36">
        <f>VLOOKUP($A9,[16]HISTOFEV22!$A$6:$AU$39,26,0)</f>
        <v>0</v>
      </c>
      <c r="S9" s="36">
        <f>VLOOKUP($A9,[16]HISTOFEV22!$A$6:$BG$39,58,0)</f>
        <v>0</v>
      </c>
      <c r="T9" s="36">
        <f>VLOOKUP($A9,[16]HISTOFEV22!$A$6:$AU$39,28,0)</f>
        <v>0</v>
      </c>
      <c r="U9" s="36">
        <f>VLOOKUP($A9,[16]HISTOFEV22!$A$6:$AU$39,19,0)</f>
        <v>0</v>
      </c>
      <c r="V9" s="36">
        <f>VLOOKUP($A9,[16]HISTOFEV22!$A$6:$AU$39,20,0)</f>
        <v>0</v>
      </c>
      <c r="W9" s="36">
        <f>VLOOKUP($A9,[16]HISTOFEV22!$A$6:$AU$39,27,0)</f>
        <v>0</v>
      </c>
      <c r="X9" s="36">
        <f>VLOOKUP($A9,[16]HISTOFEV22!$A$6:$AU$39,33,0)</f>
        <v>0</v>
      </c>
      <c r="Y9" s="36">
        <f>VLOOKUP($A9,[16]HISTOFEV22!$A$6:$BP$39,65,0)</f>
        <v>0</v>
      </c>
      <c r="Z9" s="36"/>
      <c r="AA9" s="36">
        <f>VLOOKUP($A9,[16]HISTOFEV22!$A$6:$AU$39,43,0)</f>
        <v>0</v>
      </c>
      <c r="AB9" s="36">
        <f>VLOOKUP($A9,[16]HISTOFEV22!$A$6:$AU$39,44,0)</f>
        <v>0</v>
      </c>
      <c r="AC9" s="36">
        <f>VLOOKUP($A9,[16]HISTOFEV22!$A$6:$AU$39,47,0)</f>
        <v>0</v>
      </c>
      <c r="AD9" s="36">
        <f>VLOOKUP(A9,[16]HISTOFEV22!$A$6:$BB$36,54,0)</f>
        <v>0</v>
      </c>
      <c r="AE9" s="36">
        <f>VLOOKUP($A9,[16]HISTOFEV22!$A$6:$BZ$36,60,0)</f>
        <v>0</v>
      </c>
      <c r="AF9" s="36">
        <f>VLOOKUP($A9,[16]HISTOFEV22!$A$6:$BZ$36,61,0)</f>
        <v>0</v>
      </c>
      <c r="AG9" s="36">
        <f>VLOOKUP($A9,[16]HISTOFEV22!$A$6:$BZ$36,62,0)</f>
        <v>0</v>
      </c>
      <c r="AH9" s="36">
        <f>VLOOKUP($A9,[16]HISTOFEV22!$A$6:$BZ$36,63,0)</f>
        <v>0</v>
      </c>
      <c r="AI9" s="36">
        <f>VLOOKUP($A9,[16]HISTOFEV22!$A$6:$CA$36,64,0)</f>
        <v>0</v>
      </c>
      <c r="AJ9" s="36">
        <f>VLOOKUP($A9,[16]HISTOFEV22!$A$6:$CA$36,65,0)</f>
        <v>0</v>
      </c>
    </row>
    <row r="10" spans="1:36" x14ac:dyDescent="0.25">
      <c r="A10" s="1" t="s">
        <v>24</v>
      </c>
      <c r="B10" s="1" t="str">
        <f>VLOOKUP(A10,[15]LISTADHERENT!A$5:H$60,3,0)</f>
        <v>DJOUKWE NANGUEN GUY BLAISE</v>
      </c>
      <c r="C10" s="5"/>
      <c r="D10" s="5"/>
      <c r="E10" s="36">
        <f>VLOOKUP($A10,[16]HISTOFEV22!$A$6:$BA$39,48,0)</f>
        <v>0</v>
      </c>
      <c r="F10" s="5">
        <f>MVTJANV22!F10-MVTFEV22!E10</f>
        <v>570000</v>
      </c>
      <c r="G10" s="6">
        <f t="shared" si="0"/>
        <v>13229.680749189609</v>
      </c>
      <c r="H10" s="6">
        <f>MVTJANV22!H10+MVTJANV22!G10+K10</f>
        <v>731534.56902061787</v>
      </c>
      <c r="I10" s="36">
        <f>VLOOKUP($A10,[16]HISTOFEV22!$A$6:$AQ$37,22,0)</f>
        <v>0</v>
      </c>
      <c r="J10" s="36">
        <f>VLOOKUP($A10,[16]HISTOFEV22!$A$6:$AU$39,45,0)</f>
        <v>7000</v>
      </c>
      <c r="K10" s="36">
        <f t="shared" si="1"/>
        <v>3000</v>
      </c>
      <c r="L10" s="36">
        <f t="shared" si="2"/>
        <v>500</v>
      </c>
      <c r="M10" s="36">
        <f t="shared" si="3"/>
        <v>1000</v>
      </c>
      <c r="N10" s="36">
        <f t="shared" si="4"/>
        <v>2500</v>
      </c>
      <c r="O10" s="36">
        <f>VLOOKUP($A10,[16]HISTOFEV22!$A$6:$AU$39,7,0)</f>
        <v>0</v>
      </c>
      <c r="P10" s="36">
        <f>VLOOKUP($A10,[16]HISTOFEV22!$A$6:$AU$39,23,0)</f>
        <v>0</v>
      </c>
      <c r="Q10" s="36">
        <f>VLOOKUP($A10,[16]HISTOFEV22!$A$6:$AU$39,46,0)</f>
        <v>0</v>
      </c>
      <c r="R10" s="36">
        <f>VLOOKUP($A10,[16]HISTOFEV22!$A$6:$AU$39,26,0)</f>
        <v>0</v>
      </c>
      <c r="S10" s="36">
        <f>VLOOKUP($A10,[16]HISTOFEV22!$A$6:$BG$39,58,0)</f>
        <v>0</v>
      </c>
      <c r="T10" s="36">
        <f>VLOOKUP($A10,[16]HISTOFEV22!$A$6:$AU$39,28,0)</f>
        <v>0</v>
      </c>
      <c r="U10" s="36">
        <f>VLOOKUP($A10,[16]HISTOFEV22!$A$6:$AU$39,19,0)</f>
        <v>0</v>
      </c>
      <c r="V10" s="36">
        <f>VLOOKUP($A10,[16]HISTOFEV22!$A$6:$AU$39,20,0)</f>
        <v>0</v>
      </c>
      <c r="W10" s="36">
        <f>VLOOKUP($A10,[16]HISTOFEV22!$A$6:$AU$39,27,0)</f>
        <v>0</v>
      </c>
      <c r="X10" s="36">
        <f>VLOOKUP($A10,[16]HISTOFEV22!$A$6:$AU$39,33,0)</f>
        <v>0</v>
      </c>
      <c r="Y10" s="36">
        <f>VLOOKUP($A10,[16]HISTOFEV22!$A$6:$BP$39,65,0)</f>
        <v>0</v>
      </c>
      <c r="Z10" s="36"/>
      <c r="AA10" s="36">
        <f>VLOOKUP($A10,[16]HISTOFEV22!$A$6:$AU$39,43,0)</f>
        <v>0</v>
      </c>
      <c r="AB10" s="36">
        <f>VLOOKUP($A10,[16]HISTOFEV22!$A$6:$AU$39,44,0)</f>
        <v>0</v>
      </c>
      <c r="AC10" s="36">
        <f>VLOOKUP($A10,[16]HISTOFEV22!$A$6:$AU$39,47,0)</f>
        <v>0</v>
      </c>
      <c r="AD10" s="36">
        <f>VLOOKUP(A10,[16]HISTOFEV22!$A$6:$BB$36,54,0)</f>
        <v>0</v>
      </c>
      <c r="AE10" s="36">
        <f>VLOOKUP($A10,[16]HISTOFEV22!$A$6:$BZ$36,60,0)</f>
        <v>0</v>
      </c>
      <c r="AF10" s="36">
        <f>VLOOKUP($A10,[16]HISTOFEV22!$A$6:$BZ$36,61,0)</f>
        <v>0</v>
      </c>
      <c r="AG10" s="36">
        <f>VLOOKUP($A10,[16]HISTOFEV22!$A$6:$BZ$36,62,0)</f>
        <v>0</v>
      </c>
      <c r="AH10" s="36">
        <f>VLOOKUP($A10,[16]HISTOFEV22!$A$6:$BZ$36,63,0)</f>
        <v>0</v>
      </c>
      <c r="AI10" s="36">
        <f>VLOOKUP($A10,[16]HISTOFEV22!$A$6:$CA$36,64,0)</f>
        <v>0</v>
      </c>
      <c r="AJ10" s="36">
        <f>VLOOKUP($A10,[16]HISTOFEV22!$A$6:$CA$36,65,0)</f>
        <v>0</v>
      </c>
    </row>
    <row r="11" spans="1:36" x14ac:dyDescent="0.25">
      <c r="A11" s="1" t="s">
        <v>25</v>
      </c>
      <c r="B11" s="1" t="str">
        <f>VLOOKUP(A11,[15]LISTADHERENT!A$5:H$60,3,0)</f>
        <v>DJUOMBESSY ANTOINE</v>
      </c>
      <c r="C11" s="5"/>
      <c r="D11" s="5"/>
      <c r="E11" s="36">
        <f>VLOOKUP($A11,[16]HISTOFEV22!$A$6:$BA$39,48,0)</f>
        <v>0</v>
      </c>
      <c r="F11" s="5">
        <f>MVTJANV22!F11-MVTFEV22!E11</f>
        <v>570000</v>
      </c>
      <c r="G11" s="6">
        <f t="shared" si="0"/>
        <v>11375.053611479785</v>
      </c>
      <c r="H11" s="6">
        <f>MVTJANV22!H11+MVTJANV22!G11+K11</f>
        <v>628983.04947910481</v>
      </c>
      <c r="I11" s="36">
        <f>VLOOKUP($A11,[16]HISTOFEV22!$A$6:$AQ$37,22,0)</f>
        <v>0</v>
      </c>
      <c r="J11" s="36">
        <f>VLOOKUP($A11,[16]HISTOFEV22!$A$6:$AU$39,45,0)</f>
        <v>7000</v>
      </c>
      <c r="K11" s="36">
        <f t="shared" si="1"/>
        <v>3000</v>
      </c>
      <c r="L11" s="36">
        <f t="shared" si="2"/>
        <v>500</v>
      </c>
      <c r="M11" s="36">
        <f t="shared" si="3"/>
        <v>1000</v>
      </c>
      <c r="N11" s="36">
        <f t="shared" si="4"/>
        <v>2500</v>
      </c>
      <c r="O11" s="36">
        <f>VLOOKUP($A11,[16]HISTOFEV22!$A$6:$AU$39,7,0)</f>
        <v>3000</v>
      </c>
      <c r="P11" s="36">
        <f>VLOOKUP($A11,[16]HISTOFEV22!$A$6:$AU$39,23,0)</f>
        <v>0</v>
      </c>
      <c r="Q11" s="36">
        <f>VLOOKUP($A11,[16]HISTOFEV22!$A$6:$AU$39,46,0)</f>
        <v>0</v>
      </c>
      <c r="R11" s="36">
        <f>VLOOKUP($A11,[16]HISTOFEV22!$A$6:$AU$39,26,0)</f>
        <v>0</v>
      </c>
      <c r="S11" s="36">
        <f>VLOOKUP($A11,[16]HISTOFEV22!$A$6:$BG$39,58,0)</f>
        <v>0</v>
      </c>
      <c r="T11" s="36">
        <f>VLOOKUP($A11,[16]HISTOFEV22!$A$6:$AU$39,28,0)</f>
        <v>0</v>
      </c>
      <c r="U11" s="36">
        <f>VLOOKUP($A11,[16]HISTOFEV22!$A$6:$AU$39,19,0)</f>
        <v>0</v>
      </c>
      <c r="V11" s="36">
        <f>VLOOKUP($A11,[16]HISTOFEV22!$A$6:$AU$39,20,0)</f>
        <v>0</v>
      </c>
      <c r="W11" s="36">
        <f>VLOOKUP($A11,[16]HISTOFEV22!$A$6:$AU$39,27,0)</f>
        <v>0</v>
      </c>
      <c r="X11" s="36">
        <f>VLOOKUP($A11,[16]HISTOFEV22!$A$6:$AU$39,33,0)</f>
        <v>0</v>
      </c>
      <c r="Y11" s="36">
        <f>VLOOKUP($A11,[16]HISTOFEV22!$A$6:$BP$39,65,0)</f>
        <v>0</v>
      </c>
      <c r="Z11" s="36"/>
      <c r="AA11" s="36">
        <f>VLOOKUP($A11,[16]HISTOFEV22!$A$6:$AU$39,43,0)</f>
        <v>0</v>
      </c>
      <c r="AB11" s="36">
        <f>VLOOKUP($A11,[16]HISTOFEV22!$A$6:$AU$39,44,0)</f>
        <v>0</v>
      </c>
      <c r="AC11" s="36">
        <f>VLOOKUP($A11,[16]HISTOFEV22!$A$6:$AU$39,47,0)</f>
        <v>0</v>
      </c>
      <c r="AD11" s="36">
        <f>VLOOKUP(A11,[16]HISTOFEV22!$A$6:$BB$36,54,0)</f>
        <v>0</v>
      </c>
      <c r="AE11" s="36">
        <f>VLOOKUP($A11,[16]HISTOFEV22!$A$6:$BZ$36,60,0)</f>
        <v>0</v>
      </c>
      <c r="AF11" s="36">
        <f>VLOOKUP($A11,[16]HISTOFEV22!$A$6:$BZ$36,61,0)</f>
        <v>0</v>
      </c>
      <c r="AG11" s="36">
        <f>VLOOKUP($A11,[16]HISTOFEV22!$A$6:$BZ$36,62,0)</f>
        <v>0</v>
      </c>
      <c r="AH11" s="36">
        <f>VLOOKUP($A11,[16]HISTOFEV22!$A$6:$BZ$36,63,0)</f>
        <v>0</v>
      </c>
      <c r="AI11" s="36">
        <f>VLOOKUP($A11,[16]HISTOFEV22!$A$6:$CA$36,64,0)</f>
        <v>0</v>
      </c>
      <c r="AJ11" s="36">
        <f>VLOOKUP($A11,[16]HISTOFEV22!$A$6:$CA$36,65,0)</f>
        <v>0</v>
      </c>
    </row>
    <row r="12" spans="1:36" x14ac:dyDescent="0.25">
      <c r="A12" s="1" t="s">
        <v>79</v>
      </c>
      <c r="B12" s="1" t="str">
        <f>VLOOKUP(A12,[15]LISTADHERENT!A$5:H$60,3,0)</f>
        <v>DOMOU FABIEN</v>
      </c>
      <c r="C12" s="5"/>
      <c r="D12" s="5"/>
      <c r="E12" s="36">
        <f>VLOOKUP($A12,[16]HISTOFEV22!$A$6:$BA$39,48,0)</f>
        <v>0</v>
      </c>
      <c r="F12" s="5">
        <f>MVTJANV22!F12-MVTFEV22!E12</f>
        <v>570000</v>
      </c>
      <c r="G12" s="6">
        <f t="shared" si="0"/>
        <v>11331.854240734719</v>
      </c>
      <c r="H12" s="6">
        <f>MVTJANV22!H12+MVTJANV22!G12+K12</f>
        <v>626594.34232440731</v>
      </c>
      <c r="I12" s="36">
        <f>VLOOKUP($A12,[16]HISTOFEV22!$A$6:$AQ$37,22,0)</f>
        <v>0</v>
      </c>
      <c r="J12" s="36">
        <f>VLOOKUP($A12,[16]HISTOFEV22!$A$6:$AU$39,45,0)</f>
        <v>12000</v>
      </c>
      <c r="K12" s="36">
        <f t="shared" si="1"/>
        <v>8000</v>
      </c>
      <c r="L12" s="36">
        <f t="shared" si="2"/>
        <v>500</v>
      </c>
      <c r="M12" s="36">
        <f t="shared" si="3"/>
        <v>1000</v>
      </c>
      <c r="N12" s="36">
        <f t="shared" si="4"/>
        <v>2500</v>
      </c>
      <c r="O12" s="36">
        <f>VLOOKUP($A12,[16]HISTOFEV22!$A$6:$AU$39,7,0)</f>
        <v>0</v>
      </c>
      <c r="P12" s="36">
        <f>VLOOKUP($A12,[16]HISTOFEV22!$A$6:$AU$39,23,0)</f>
        <v>0</v>
      </c>
      <c r="Q12" s="36">
        <f>VLOOKUP($A12,[16]HISTOFEV22!$A$6:$AU$39,46,0)</f>
        <v>0</v>
      </c>
      <c r="R12" s="36">
        <f>VLOOKUP($A12,[16]HISTOFEV22!$A$6:$AU$39,26,0)</f>
        <v>0</v>
      </c>
      <c r="S12" s="36">
        <f>VLOOKUP($A12,[16]HISTOFEV22!$A$6:$BG$39,58,0)</f>
        <v>0</v>
      </c>
      <c r="T12" s="36">
        <f>VLOOKUP($A12,[16]HISTOFEV22!$A$6:$AU$39,28,0)</f>
        <v>0</v>
      </c>
      <c r="U12" s="36">
        <f>VLOOKUP($A12,[16]HISTOFEV22!$A$6:$AU$39,19,0)</f>
        <v>0</v>
      </c>
      <c r="V12" s="36">
        <f>VLOOKUP($A12,[16]HISTOFEV22!$A$6:$AU$39,20,0)</f>
        <v>0</v>
      </c>
      <c r="W12" s="36">
        <f>VLOOKUP($A12,[16]HISTOFEV22!$A$6:$AU$39,27,0)</f>
        <v>0</v>
      </c>
      <c r="X12" s="36">
        <f>VLOOKUP($A12,[16]HISTOFEV22!$A$6:$AU$39,33,0)</f>
        <v>0</v>
      </c>
      <c r="Y12" s="36">
        <f>VLOOKUP($A12,[16]HISTOFEV22!$A$6:$BP$39,65,0)</f>
        <v>0</v>
      </c>
      <c r="Z12" s="36"/>
      <c r="AA12" s="36">
        <f>VLOOKUP($A12,[16]HISTOFEV22!$A$6:$AU$39,43,0)</f>
        <v>0</v>
      </c>
      <c r="AB12" s="36">
        <f>VLOOKUP($A12,[16]HISTOFEV22!$A$6:$AU$39,44,0)</f>
        <v>0</v>
      </c>
      <c r="AC12" s="36">
        <f>VLOOKUP($A12,[16]HISTOFEV22!$A$6:$AU$39,47,0)</f>
        <v>0</v>
      </c>
      <c r="AD12" s="36">
        <f>VLOOKUP(A12,[16]HISTOFEV22!$A$6:$BB$36,54,0)</f>
        <v>0</v>
      </c>
      <c r="AE12" s="36">
        <f>VLOOKUP($A12,[16]HISTOFEV22!$A$6:$BZ$36,60,0)</f>
        <v>0</v>
      </c>
      <c r="AF12" s="36">
        <f>VLOOKUP($A12,[16]HISTOFEV22!$A$6:$BZ$36,61,0)</f>
        <v>0</v>
      </c>
      <c r="AG12" s="36">
        <f>VLOOKUP($A12,[16]HISTOFEV22!$A$6:$BZ$36,62,0)</f>
        <v>0</v>
      </c>
      <c r="AH12" s="36">
        <f>VLOOKUP($A12,[16]HISTOFEV22!$A$6:$BZ$36,63,0)</f>
        <v>0</v>
      </c>
      <c r="AI12" s="36">
        <f>VLOOKUP($A12,[16]HISTOFEV22!$A$6:$CA$36,64,0)</f>
        <v>0</v>
      </c>
      <c r="AJ12" s="36">
        <f>VLOOKUP($A12,[16]HISTOFEV22!$A$6:$CA$36,65,0)</f>
        <v>0</v>
      </c>
    </row>
    <row r="13" spans="1:36" x14ac:dyDescent="0.25">
      <c r="A13" s="1" t="s">
        <v>26</v>
      </c>
      <c r="B13" s="1" t="str">
        <f>VLOOKUP(A13,[15]LISTADHERENT!A$5:H$60,3,0)</f>
        <v>DONHOU DAVID</v>
      </c>
      <c r="C13" s="5"/>
      <c r="D13" s="5"/>
      <c r="E13" s="36">
        <f>VLOOKUP($A13,[16]HISTOFEV22!$A$6:$BA$39,48,0)</f>
        <v>0</v>
      </c>
      <c r="F13" s="5">
        <f>MVTJANV22!F13-MVTFEV22!E13</f>
        <v>570000</v>
      </c>
      <c r="G13" s="6">
        <f t="shared" si="0"/>
        <v>15958.909523099535</v>
      </c>
      <c r="H13" s="6">
        <f>MVTJANV22!H13+MVTJANV22!G13+K13</f>
        <v>882447.144518947</v>
      </c>
      <c r="I13" s="36">
        <f>VLOOKUP($A13,[16]HISTOFEV22!$A$6:$AQ$37,22,0)</f>
        <v>0</v>
      </c>
      <c r="J13" s="36">
        <f>VLOOKUP($A13,[16]HISTOFEV22!$A$6:$AU$39,45,0)</f>
        <v>12000</v>
      </c>
      <c r="K13" s="36">
        <f t="shared" si="1"/>
        <v>8000</v>
      </c>
      <c r="L13" s="36">
        <f t="shared" si="2"/>
        <v>500</v>
      </c>
      <c r="M13" s="36">
        <f t="shared" si="3"/>
        <v>1000</v>
      </c>
      <c r="N13" s="36">
        <f t="shared" si="4"/>
        <v>2500</v>
      </c>
      <c r="O13" s="36">
        <f>VLOOKUP($A13,[16]HISTOFEV22!$A$6:$AU$39,7,0)</f>
        <v>0</v>
      </c>
      <c r="P13" s="36">
        <f>VLOOKUP($A13,[16]HISTOFEV22!$A$6:$AU$39,23,0)</f>
        <v>0</v>
      </c>
      <c r="Q13" s="36">
        <f>VLOOKUP($A13,[16]HISTOFEV22!$A$6:$AU$39,46,0)</f>
        <v>0</v>
      </c>
      <c r="R13" s="36">
        <f>VLOOKUP($A13,[16]HISTOFEV22!$A$6:$AU$39,26,0)</f>
        <v>0</v>
      </c>
      <c r="S13" s="36">
        <f>VLOOKUP($A13,[16]HISTOFEV22!$A$6:$BG$39,58,0)</f>
        <v>0</v>
      </c>
      <c r="T13" s="36">
        <f>VLOOKUP($A13,[16]HISTOFEV22!$A$6:$AU$39,28,0)</f>
        <v>0</v>
      </c>
      <c r="U13" s="36">
        <f>VLOOKUP($A13,[16]HISTOFEV22!$A$6:$AU$39,19,0)</f>
        <v>0</v>
      </c>
      <c r="V13" s="36">
        <f>VLOOKUP($A13,[16]HISTOFEV22!$A$6:$AU$39,20,0)</f>
        <v>0</v>
      </c>
      <c r="W13" s="36">
        <f>VLOOKUP($A13,[16]HISTOFEV22!$A$6:$AU$39,27,0)</f>
        <v>0</v>
      </c>
      <c r="X13" s="36">
        <f>VLOOKUP($A13,[16]HISTOFEV22!$A$6:$AU$39,33,0)</f>
        <v>0</v>
      </c>
      <c r="Y13" s="36">
        <f>VLOOKUP($A13,[16]HISTOFEV22!$A$6:$BP$39,65,0)</f>
        <v>0</v>
      </c>
      <c r="Z13" s="36"/>
      <c r="AA13" s="36">
        <f>VLOOKUP($A13,[16]HISTOFEV22!$A$6:$AU$39,43,0)</f>
        <v>0</v>
      </c>
      <c r="AB13" s="36">
        <f>VLOOKUP($A13,[16]HISTOFEV22!$A$6:$AU$39,44,0)</f>
        <v>0</v>
      </c>
      <c r="AC13" s="36">
        <f>VLOOKUP($A13,[16]HISTOFEV22!$A$6:$AU$39,47,0)</f>
        <v>0</v>
      </c>
      <c r="AD13" s="36">
        <f>VLOOKUP(A13,[16]HISTOFEV22!$A$6:$BB$36,54,0)</f>
        <v>0</v>
      </c>
      <c r="AE13" s="36">
        <f>VLOOKUP($A13,[16]HISTOFEV22!$A$6:$BZ$36,60,0)</f>
        <v>0</v>
      </c>
      <c r="AF13" s="36">
        <f>VLOOKUP($A13,[16]HISTOFEV22!$A$6:$BZ$36,61,0)</f>
        <v>0</v>
      </c>
      <c r="AG13" s="36">
        <f>VLOOKUP($A13,[16]HISTOFEV22!$A$6:$BZ$36,62,0)</f>
        <v>0</v>
      </c>
      <c r="AH13" s="36">
        <f>VLOOKUP($A13,[16]HISTOFEV22!$A$6:$BZ$36,63,0)</f>
        <v>0</v>
      </c>
      <c r="AI13" s="36">
        <f>VLOOKUP($A13,[16]HISTOFEV22!$A$6:$CA$36,64,0)</f>
        <v>0</v>
      </c>
      <c r="AJ13" s="36">
        <f>VLOOKUP($A13,[16]HISTOFEV22!$A$6:$CA$36,65,0)</f>
        <v>0</v>
      </c>
    </row>
    <row r="14" spans="1:36" x14ac:dyDescent="0.25">
      <c r="A14" s="1" t="s">
        <v>27</v>
      </c>
      <c r="B14" s="1" t="str">
        <f>VLOOKUP(A14,[15]LISTADHERENT!A$5:H$60,3,0)</f>
        <v>FOTSO THOMAS</v>
      </c>
      <c r="C14" s="5"/>
      <c r="D14" s="5"/>
      <c r="E14" s="36">
        <f>VLOOKUP($A14,[16]HISTOFEV22!$A$6:$BA$39,48,0)</f>
        <v>0</v>
      </c>
      <c r="F14" s="5">
        <f>MVTJANV22!F14-MVTFEV22!E14</f>
        <v>540000</v>
      </c>
      <c r="G14" s="6">
        <f t="shared" si="0"/>
        <v>0</v>
      </c>
      <c r="H14" s="6">
        <f>MVTJANV22!H14+MVTJANV22!G14+K14</f>
        <v>0</v>
      </c>
      <c r="I14" s="36">
        <f>VLOOKUP($A14,[16]HISTOFEV22!$A$6:$AQ$37,22,0)</f>
        <v>0</v>
      </c>
      <c r="J14" s="36">
        <f>VLOOKUP($A14,[16]HISTOFEV22!$A$6:$AU$39,45,0)</f>
        <v>0</v>
      </c>
      <c r="K14" s="36">
        <f t="shared" si="1"/>
        <v>0</v>
      </c>
      <c r="L14" s="36">
        <f t="shared" si="2"/>
        <v>0</v>
      </c>
      <c r="M14" s="36">
        <f t="shared" si="3"/>
        <v>0</v>
      </c>
      <c r="N14" s="36">
        <f t="shared" si="4"/>
        <v>0</v>
      </c>
      <c r="O14" s="36">
        <f>VLOOKUP($A14,[16]HISTOFEV22!$A$6:$AU$39,7,0)</f>
        <v>0</v>
      </c>
      <c r="P14" s="36">
        <f>VLOOKUP($A14,[16]HISTOFEV22!$A$6:$AU$39,23,0)</f>
        <v>0</v>
      </c>
      <c r="Q14" s="36">
        <f>VLOOKUP($A14,[16]HISTOFEV22!$A$6:$AU$39,46,0)</f>
        <v>0</v>
      </c>
      <c r="R14" s="36">
        <f>VLOOKUP($A14,[16]HISTOFEV22!$A$6:$AU$39,26,0)</f>
        <v>0</v>
      </c>
      <c r="S14" s="36">
        <f>VLOOKUP($A14,[16]HISTOFEV22!$A$6:$BG$39,58,0)</f>
        <v>0</v>
      </c>
      <c r="T14" s="36">
        <f>VLOOKUP($A14,[16]HISTOFEV22!$A$6:$AU$39,28,0)</f>
        <v>0</v>
      </c>
      <c r="U14" s="36">
        <f>VLOOKUP($A14,[16]HISTOFEV22!$A$6:$AU$39,19,0)</f>
        <v>0</v>
      </c>
      <c r="V14" s="36">
        <f>VLOOKUP($A14,[16]HISTOFEV22!$A$6:$AU$39,20,0)</f>
        <v>0</v>
      </c>
      <c r="W14" s="36">
        <f>VLOOKUP($A14,[16]HISTOFEV22!$A$6:$AU$39,27,0)</f>
        <v>0</v>
      </c>
      <c r="X14" s="36">
        <f>VLOOKUP($A14,[16]HISTOFEV22!$A$6:$AU$39,33,0)</f>
        <v>0</v>
      </c>
      <c r="Y14" s="36">
        <f>VLOOKUP($A14,[16]HISTOFEV22!$A$6:$BP$39,65,0)</f>
        <v>0</v>
      </c>
      <c r="Z14" s="36"/>
      <c r="AA14" s="36">
        <f>VLOOKUP($A14,[16]HISTOFEV22!$A$6:$AU$39,43,0)</f>
        <v>0</v>
      </c>
      <c r="AB14" s="36">
        <f>VLOOKUP($A14,[16]HISTOFEV22!$A$6:$AU$39,44,0)</f>
        <v>0</v>
      </c>
      <c r="AC14" s="36">
        <f>VLOOKUP($A14,[16]HISTOFEV22!$A$6:$AU$39,47,0)</f>
        <v>0</v>
      </c>
      <c r="AD14" s="36">
        <f>VLOOKUP(A14,[16]HISTOFEV22!$A$6:$BB$36,54,0)</f>
        <v>0</v>
      </c>
      <c r="AE14" s="36">
        <f>VLOOKUP($A14,[16]HISTOFEV22!$A$6:$BZ$36,60,0)</f>
        <v>0</v>
      </c>
      <c r="AF14" s="36">
        <f>VLOOKUP($A14,[16]HISTOFEV22!$A$6:$BZ$36,61,0)</f>
        <v>0</v>
      </c>
      <c r="AG14" s="36">
        <f>VLOOKUP($A14,[16]HISTOFEV22!$A$6:$BZ$36,62,0)</f>
        <v>0</v>
      </c>
      <c r="AH14" s="36">
        <f>VLOOKUP($A14,[16]HISTOFEV22!$A$6:$BZ$36,63,0)</f>
        <v>0</v>
      </c>
      <c r="AI14" s="36">
        <f>VLOOKUP($A14,[16]HISTOFEV22!$A$6:$CA$36,64,0)</f>
        <v>0</v>
      </c>
      <c r="AJ14" s="36">
        <f>VLOOKUP($A14,[16]HISTOFEV22!$A$6:$CA$36,65,0)</f>
        <v>0</v>
      </c>
    </row>
    <row r="15" spans="1:36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VLOOKUP($A15,[16]HISTOFEV22!$A$6:$BA$39,48,0)</f>
        <v>0</v>
      </c>
      <c r="F15" s="5">
        <f>MVTJANV22!F15-MVTFEV22!E15</f>
        <v>570000</v>
      </c>
      <c r="G15" s="6">
        <f t="shared" si="0"/>
        <v>11086.575966934104</v>
      </c>
      <c r="H15" s="6">
        <f>MVTJANV22!H15+MVTJANV22!G15+K15</f>
        <v>613031.69181782985</v>
      </c>
      <c r="I15" s="36">
        <f>VLOOKUP($A15,[16]HISTOFEV22!$A$6:$AQ$37,22,0)</f>
        <v>0</v>
      </c>
      <c r="J15" s="36">
        <f>VLOOKUP($A15,[16]HISTOFEV22!$A$6:$AU$39,45,0)</f>
        <v>7000</v>
      </c>
      <c r="K15" s="36">
        <f t="shared" si="1"/>
        <v>3000</v>
      </c>
      <c r="L15" s="36">
        <f t="shared" si="2"/>
        <v>500</v>
      </c>
      <c r="M15" s="36">
        <f t="shared" si="3"/>
        <v>1000</v>
      </c>
      <c r="N15" s="36">
        <f t="shared" si="4"/>
        <v>2500</v>
      </c>
      <c r="O15" s="36">
        <f>VLOOKUP($A15,[16]HISTOFEV22!$A$6:$AU$39,7,0)</f>
        <v>0</v>
      </c>
      <c r="P15" s="36">
        <f>VLOOKUP($A15,[16]HISTOFEV22!$A$6:$AU$39,23,0)</f>
        <v>0</v>
      </c>
      <c r="Q15" s="36">
        <f>VLOOKUP($A15,[16]HISTOFEV22!$A$6:$AU$39,46,0)</f>
        <v>0</v>
      </c>
      <c r="R15" s="36">
        <f>VLOOKUP($A15,[16]HISTOFEV22!$A$6:$AU$39,26,0)</f>
        <v>0</v>
      </c>
      <c r="S15" s="36">
        <f>VLOOKUP($A15,[16]HISTOFEV22!$A$6:$BG$39,58,0)</f>
        <v>0</v>
      </c>
      <c r="T15" s="36">
        <f>VLOOKUP($A15,[16]HISTOFEV22!$A$6:$AU$39,28,0)</f>
        <v>0</v>
      </c>
      <c r="U15" s="36">
        <f>VLOOKUP($A15,[16]HISTOFEV22!$A$6:$AU$39,19,0)</f>
        <v>0</v>
      </c>
      <c r="V15" s="36">
        <f>VLOOKUP($A15,[16]HISTOFEV22!$A$6:$AU$39,20,0)</f>
        <v>0</v>
      </c>
      <c r="W15" s="36">
        <f>VLOOKUP($A15,[16]HISTOFEV22!$A$6:$AU$39,27,0)</f>
        <v>0</v>
      </c>
      <c r="X15" s="36">
        <f>VLOOKUP($A15,[16]HISTOFEV22!$A$6:$AU$39,33,0)</f>
        <v>0</v>
      </c>
      <c r="Y15" s="36">
        <f>VLOOKUP($A15,[16]HISTOFEV22!$A$6:$BP$39,65,0)</f>
        <v>0</v>
      </c>
      <c r="Z15" s="36"/>
      <c r="AA15" s="36">
        <f>VLOOKUP($A15,[16]HISTOFEV22!$A$6:$AU$39,43,0)</f>
        <v>0</v>
      </c>
      <c r="AB15" s="36">
        <f>VLOOKUP($A15,[16]HISTOFEV22!$A$6:$AU$39,44,0)</f>
        <v>0</v>
      </c>
      <c r="AC15" s="36">
        <f>VLOOKUP($A15,[16]HISTOFEV22!$A$6:$AU$39,47,0)</f>
        <v>0</v>
      </c>
      <c r="AD15" s="36">
        <f>VLOOKUP(A15,[16]HISTOFEV22!$A$6:$BB$36,54,0)</f>
        <v>0</v>
      </c>
      <c r="AE15" s="36">
        <f>VLOOKUP($A15,[16]HISTOFEV22!$A$6:$BZ$36,60,0)</f>
        <v>0</v>
      </c>
      <c r="AF15" s="36">
        <f>VLOOKUP($A15,[16]HISTOFEV22!$A$6:$BZ$36,61,0)</f>
        <v>0</v>
      </c>
      <c r="AG15" s="36">
        <f>VLOOKUP($A15,[16]HISTOFEV22!$A$6:$BZ$36,62,0)</f>
        <v>0</v>
      </c>
      <c r="AH15" s="36">
        <f>VLOOKUP($A15,[16]HISTOFEV22!$A$6:$BZ$36,63,0)</f>
        <v>0</v>
      </c>
      <c r="AI15" s="36">
        <f>VLOOKUP($A15,[16]HISTOFEV22!$A$6:$CA$36,64,0)</f>
        <v>0</v>
      </c>
      <c r="AJ15" s="36">
        <f>VLOOKUP($A15,[16]HISTOFEV22!$A$6:$CA$36,65,0)</f>
        <v>0</v>
      </c>
    </row>
    <row r="16" spans="1:36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VLOOKUP($A16,[16]HISTOFEV22!$A$6:$BA$39,48,0)</f>
        <v>0</v>
      </c>
      <c r="F16" s="5">
        <f>MVTJANV22!F16-MVTFEV22!E16</f>
        <v>570000</v>
      </c>
      <c r="G16" s="6">
        <f t="shared" si="0"/>
        <v>13032.350283644128</v>
      </c>
      <c r="H16" s="6">
        <f>MVTJANV22!H16+MVTJANV22!G16+K16</f>
        <v>720623.19029545144</v>
      </c>
      <c r="I16" s="36">
        <f>VLOOKUP($A16,[16]HISTOFEV22!$A$6:$AQ$37,22,0)</f>
        <v>0</v>
      </c>
      <c r="J16" s="36">
        <f>VLOOKUP($A16,[16]HISTOFEV22!$A$6:$AU$39,45,0)</f>
        <v>52000</v>
      </c>
      <c r="K16" s="36">
        <f t="shared" si="1"/>
        <v>48000</v>
      </c>
      <c r="L16" s="36">
        <f t="shared" si="2"/>
        <v>500</v>
      </c>
      <c r="M16" s="36">
        <f t="shared" si="3"/>
        <v>1000</v>
      </c>
      <c r="N16" s="36">
        <f t="shared" si="4"/>
        <v>2500</v>
      </c>
      <c r="O16" s="36">
        <f>VLOOKUP($A16,[16]HISTOFEV22!$A$6:$AU$39,7,0)</f>
        <v>0</v>
      </c>
      <c r="P16" s="36">
        <f>VLOOKUP($A16,[16]HISTOFEV22!$A$6:$AU$39,23,0)</f>
        <v>0</v>
      </c>
      <c r="Q16" s="36">
        <f>VLOOKUP($A16,[16]HISTOFEV22!$A$6:$AU$39,46,0)</f>
        <v>0</v>
      </c>
      <c r="R16" s="36">
        <f>VLOOKUP($A16,[16]HISTOFEV22!$A$6:$AU$39,26,0)</f>
        <v>0</v>
      </c>
      <c r="S16" s="36">
        <f>VLOOKUP($A16,[16]HISTOFEV22!$A$6:$BG$39,58,0)</f>
        <v>0</v>
      </c>
      <c r="T16" s="36">
        <f>VLOOKUP($A16,[16]HISTOFEV22!$A$6:$AU$39,28,0)</f>
        <v>0</v>
      </c>
      <c r="U16" s="36">
        <f>VLOOKUP($A16,[16]HISTOFEV22!$A$6:$AU$39,19,0)</f>
        <v>0</v>
      </c>
      <c r="V16" s="36">
        <f>VLOOKUP($A16,[16]HISTOFEV22!$A$6:$AU$39,20,0)</f>
        <v>0</v>
      </c>
      <c r="W16" s="36">
        <f>VLOOKUP($A16,[16]HISTOFEV22!$A$6:$AU$39,27,0)</f>
        <v>0</v>
      </c>
      <c r="X16" s="36">
        <f>VLOOKUP($A16,[16]HISTOFEV22!$A$6:$AU$39,33,0)</f>
        <v>0</v>
      </c>
      <c r="Y16" s="36">
        <f>VLOOKUP($A16,[16]HISTOFEV22!$A$6:$BP$39,65,0)</f>
        <v>0</v>
      </c>
      <c r="Z16" s="36"/>
      <c r="AA16" s="36">
        <f>VLOOKUP($A16,[16]HISTOFEV22!$A$6:$AU$39,43,0)</f>
        <v>0</v>
      </c>
      <c r="AB16" s="36">
        <f>VLOOKUP($A16,[16]HISTOFEV22!$A$6:$AU$39,44,0)</f>
        <v>0</v>
      </c>
      <c r="AC16" s="36">
        <f>VLOOKUP($A16,[16]HISTOFEV22!$A$6:$AU$39,47,0)</f>
        <v>0</v>
      </c>
      <c r="AD16" s="36">
        <f>VLOOKUP(A16,[16]HISTOFEV22!$A$6:$BB$36,54,0)</f>
        <v>0</v>
      </c>
      <c r="AE16" s="36">
        <f>VLOOKUP($A16,[16]HISTOFEV22!$A$6:$BZ$36,60,0)</f>
        <v>0</v>
      </c>
      <c r="AF16" s="36">
        <f>VLOOKUP($A16,[16]HISTOFEV22!$A$6:$BZ$36,61,0)</f>
        <v>0</v>
      </c>
      <c r="AG16" s="36">
        <f>VLOOKUP($A16,[16]HISTOFEV22!$A$6:$BZ$36,62,0)</f>
        <v>0</v>
      </c>
      <c r="AH16" s="36">
        <f>VLOOKUP($A16,[16]HISTOFEV22!$A$6:$BZ$36,63,0)</f>
        <v>0</v>
      </c>
      <c r="AI16" s="36">
        <f>VLOOKUP($A16,[16]HISTOFEV22!$A$6:$CA$36,64,0)</f>
        <v>0</v>
      </c>
      <c r="AJ16" s="36">
        <f>VLOOKUP($A16,[16]HISTOFEV22!$A$6:$CA$36,65,0)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VLOOKUP($A17,[16]HISTOFEV22!$A$6:$BA$39,48,0)</f>
        <v>0</v>
      </c>
      <c r="F17" s="5">
        <f>MVTJANV22!F17-MVTFEV22!E17</f>
        <v>570000</v>
      </c>
      <c r="G17" s="6">
        <f t="shared" si="0"/>
        <v>11124.290628680377</v>
      </c>
      <c r="H17" s="6">
        <f>MVTJANV22!H17+MVTJANV22!G17+K17</f>
        <v>615117.12224879535</v>
      </c>
      <c r="I17" s="36">
        <f>VLOOKUP($A17,[16]HISTOFEV22!$A$6:$AQ$37,22,0)</f>
        <v>0</v>
      </c>
      <c r="J17" s="36">
        <f>VLOOKUP($A17,[16]HISTOFEV22!$A$6:$AU$39,45,0)</f>
        <v>7000</v>
      </c>
      <c r="K17" s="36">
        <f t="shared" si="1"/>
        <v>3000</v>
      </c>
      <c r="L17" s="36">
        <f t="shared" si="2"/>
        <v>500</v>
      </c>
      <c r="M17" s="36">
        <f t="shared" si="3"/>
        <v>1000</v>
      </c>
      <c r="N17" s="36">
        <f t="shared" si="4"/>
        <v>2500</v>
      </c>
      <c r="O17" s="36">
        <f>VLOOKUP($A17,[16]HISTOFEV22!$A$6:$AU$39,7,0)</f>
        <v>0</v>
      </c>
      <c r="P17" s="36">
        <f>VLOOKUP($A17,[16]HISTOFEV22!$A$6:$AU$39,23,0)</f>
        <v>0</v>
      </c>
      <c r="Q17" s="36">
        <f>VLOOKUP($A17,[16]HISTOFEV22!$A$6:$AU$39,46,0)</f>
        <v>0</v>
      </c>
      <c r="R17" s="36">
        <f>VLOOKUP($A17,[16]HISTOFEV22!$A$6:$AU$39,26,0)</f>
        <v>1000000</v>
      </c>
      <c r="S17" s="36">
        <f>VLOOKUP($A17,[16]HISTOFEV22!$A$6:$BG$39,58,0)</f>
        <v>100000</v>
      </c>
      <c r="T17" s="36">
        <f>VLOOKUP($A17,[16]HISTOFEV22!$A$6:$AU$39,28,0)</f>
        <v>0</v>
      </c>
      <c r="U17" s="36">
        <f>VLOOKUP($A17,[16]HISTOFEV22!$A$6:$AU$39,19,0)</f>
        <v>0</v>
      </c>
      <c r="V17" s="36">
        <f>VLOOKUP($A17,[16]HISTOFEV22!$A$6:$AU$39,20,0)</f>
        <v>0</v>
      </c>
      <c r="W17" s="36" t="str">
        <f>VLOOKUP($A17,[16]HISTOFEV22!$A$6:$AU$39,27,0)</f>
        <v>BANQUE</v>
      </c>
      <c r="X17" s="36">
        <f>VLOOKUP($A17,[16]HISTOFEV22!$A$6:$AU$39,33,0)</f>
        <v>0</v>
      </c>
      <c r="Y17" s="36">
        <f>VLOOKUP($A17,[16]HISTOFEV22!$A$6:$BP$39,65,0)</f>
        <v>0</v>
      </c>
      <c r="Z17" s="36"/>
      <c r="AA17" s="36">
        <f>VLOOKUP($A17,[16]HISTOFEV22!$A$6:$AU$39,43,0)</f>
        <v>0</v>
      </c>
      <c r="AB17" s="36">
        <f>VLOOKUP($A17,[16]HISTOFEV22!$A$6:$AU$39,44,0)</f>
        <v>0</v>
      </c>
      <c r="AC17" s="36">
        <f>VLOOKUP($A17,[16]HISTOFEV22!$A$6:$AU$39,47,0)</f>
        <v>0</v>
      </c>
      <c r="AD17" s="36">
        <f>VLOOKUP(A17,[16]HISTOFEV22!$A$6:$BB$36,54,0)</f>
        <v>0</v>
      </c>
      <c r="AE17" s="36">
        <f>VLOOKUP($A17,[16]HISTOFEV22!$A$6:$BZ$36,60,0)</f>
        <v>0</v>
      </c>
      <c r="AF17" s="36">
        <f>VLOOKUP($A17,[16]HISTOFEV22!$A$6:$BZ$36,61,0)</f>
        <v>0</v>
      </c>
      <c r="AG17" s="36">
        <f>VLOOKUP($A17,[16]HISTOFEV22!$A$6:$BZ$36,62,0)</f>
        <v>0</v>
      </c>
      <c r="AH17" s="36">
        <f>VLOOKUP($A17,[16]HISTOFEV22!$A$6:$BZ$36,63,0)</f>
        <v>0</v>
      </c>
      <c r="AI17" s="36">
        <f>VLOOKUP($A17,[16]HISTOFEV22!$A$6:$CA$36,64,0)</f>
        <v>0</v>
      </c>
      <c r="AJ17" s="36">
        <f>VLOOKUP($A17,[16]HISTOFEV22!$A$6:$CA$36,65,0)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VLOOKUP($A18,[16]HISTOFEV22!$A$6:$BA$39,48,0)</f>
        <v>0</v>
      </c>
      <c r="F18" s="5">
        <f>MVTJANV22!F18-MVTFEV22!E18</f>
        <v>570000</v>
      </c>
      <c r="G18" s="6">
        <f t="shared" si="0"/>
        <v>11178.550609142076</v>
      </c>
      <c r="H18" s="6">
        <f>MVTJANV22!H18+MVTJANV22!G18+K18</f>
        <v>618117.42529273289</v>
      </c>
      <c r="I18" s="36">
        <f>VLOOKUP($A18,[16]HISTOFEV22!$A$6:$AQ$37,22,0)</f>
        <v>0</v>
      </c>
      <c r="J18" s="36">
        <f>VLOOKUP($A18,[16]HISTOFEV22!$A$6:$AU$39,45,0)</f>
        <v>7000</v>
      </c>
      <c r="K18" s="36">
        <f t="shared" si="1"/>
        <v>3000</v>
      </c>
      <c r="L18" s="36">
        <f t="shared" si="2"/>
        <v>500</v>
      </c>
      <c r="M18" s="36">
        <f t="shared" si="3"/>
        <v>1000</v>
      </c>
      <c r="N18" s="36">
        <f t="shared" si="4"/>
        <v>2500</v>
      </c>
      <c r="O18" s="36">
        <f>VLOOKUP($A18,[16]HISTOFEV22!$A$6:$AU$39,7,0)</f>
        <v>3000</v>
      </c>
      <c r="P18" s="36">
        <f>VLOOKUP($A18,[16]HISTOFEV22!$A$6:$AU$39,23,0)</f>
        <v>0</v>
      </c>
      <c r="Q18" s="36">
        <f>VLOOKUP($A18,[16]HISTOFEV22!$A$6:$AU$39,46,0)</f>
        <v>0</v>
      </c>
      <c r="R18" s="36">
        <f>VLOOKUP($A18,[16]HISTOFEV22!$A$6:$AU$39,26,0)</f>
        <v>0</v>
      </c>
      <c r="S18" s="36">
        <f>VLOOKUP($A18,[16]HISTOFEV22!$A$6:$BG$39,58,0)</f>
        <v>0</v>
      </c>
      <c r="T18" s="36">
        <f>VLOOKUP($A18,[16]HISTOFEV22!$A$6:$AU$39,28,0)</f>
        <v>0</v>
      </c>
      <c r="U18" s="36">
        <f>VLOOKUP($A18,[16]HISTOFEV22!$A$6:$AU$39,19,0)</f>
        <v>0</v>
      </c>
      <c r="V18" s="36">
        <f>VLOOKUP($A18,[16]HISTOFEV22!$A$6:$AU$39,20,0)</f>
        <v>0</v>
      </c>
      <c r="W18" s="36">
        <f>VLOOKUP($A18,[16]HISTOFEV22!$A$6:$AU$39,27,0)</f>
        <v>0</v>
      </c>
      <c r="X18" s="36">
        <f>VLOOKUP($A18,[16]HISTOFEV22!$A$6:$AU$39,33,0)</f>
        <v>0</v>
      </c>
      <c r="Y18" s="36">
        <f>VLOOKUP($A18,[16]HISTOFEV22!$A$6:$BP$39,65,0)</f>
        <v>0</v>
      </c>
      <c r="Z18" s="36"/>
      <c r="AA18" s="36">
        <f>VLOOKUP($A18,[16]HISTOFEV22!$A$6:$AU$39,43,0)</f>
        <v>0</v>
      </c>
      <c r="AB18" s="36">
        <f>VLOOKUP($A18,[16]HISTOFEV22!$A$6:$AU$39,44,0)</f>
        <v>0</v>
      </c>
      <c r="AC18" s="36">
        <f>VLOOKUP($A18,[16]HISTOFEV22!$A$6:$AU$39,47,0)</f>
        <v>0</v>
      </c>
      <c r="AD18" s="36">
        <f>VLOOKUP(A18,[16]HISTOFEV22!$A$6:$BB$36,54,0)</f>
        <v>0</v>
      </c>
      <c r="AE18" s="36">
        <f>VLOOKUP($A18,[16]HISTOFEV22!$A$6:$BZ$36,60,0)</f>
        <v>0</v>
      </c>
      <c r="AF18" s="36">
        <f>VLOOKUP($A18,[16]HISTOFEV22!$A$6:$BZ$36,61,0)</f>
        <v>0</v>
      </c>
      <c r="AG18" s="36">
        <f>VLOOKUP($A18,[16]HISTOFEV22!$A$6:$BZ$36,62,0)</f>
        <v>0</v>
      </c>
      <c r="AH18" s="36">
        <f>VLOOKUP($A18,[16]HISTOFEV22!$A$6:$BZ$36,63,0)</f>
        <v>0</v>
      </c>
      <c r="AI18" s="36">
        <f>VLOOKUP($A18,[16]HISTOFEV22!$A$6:$CA$36,64,0)</f>
        <v>0</v>
      </c>
      <c r="AJ18" s="36">
        <f>VLOOKUP($A18,[16]HISTOFEV22!$A$6:$CA$36,65,0)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VLOOKUP($A19,[16]HISTOFEV22!$A$6:$BA$39,48,0)</f>
        <v>0</v>
      </c>
      <c r="F19" s="5">
        <f>MVTJANV22!F19-MVTFEV22!E19</f>
        <v>570000</v>
      </c>
      <c r="G19" s="6">
        <f t="shared" si="0"/>
        <v>11028.355438654655</v>
      </c>
      <c r="H19" s="6">
        <f>MVTJANV22!H19+MVTJANV22!G19+K19</f>
        <v>609812.39047031477</v>
      </c>
      <c r="I19" s="36">
        <f>VLOOKUP($A19,[16]HISTOFEV22!$A$6:$AQ$37,22,0)</f>
        <v>0</v>
      </c>
      <c r="J19" s="36">
        <f>VLOOKUP($A19,[16]HISTOFEV22!$A$6:$AU$39,45,0)</f>
        <v>7000</v>
      </c>
      <c r="K19" s="36">
        <f t="shared" si="1"/>
        <v>3000</v>
      </c>
      <c r="L19" s="36">
        <f t="shared" si="2"/>
        <v>500</v>
      </c>
      <c r="M19" s="36">
        <f t="shared" si="3"/>
        <v>1000</v>
      </c>
      <c r="N19" s="36">
        <f t="shared" si="4"/>
        <v>2500</v>
      </c>
      <c r="O19" s="36">
        <f>VLOOKUP($A19,[16]HISTOFEV22!$A$6:$AU$39,7,0)</f>
        <v>0</v>
      </c>
      <c r="P19" s="36">
        <f>VLOOKUP($A19,[16]HISTOFEV22!$A$6:$AU$39,23,0)</f>
        <v>0</v>
      </c>
      <c r="Q19" s="36">
        <f>VLOOKUP($A19,[16]HISTOFEV22!$A$6:$AU$39,46,0)</f>
        <v>0</v>
      </c>
      <c r="R19" s="36">
        <f>VLOOKUP($A19,[16]HISTOFEV22!$A$6:$AU$39,26,0)</f>
        <v>0</v>
      </c>
      <c r="S19" s="36">
        <f>VLOOKUP($A19,[16]HISTOFEV22!$A$6:$BG$39,58,0)</f>
        <v>0</v>
      </c>
      <c r="T19" s="36">
        <f>VLOOKUP($A19,[16]HISTOFEV22!$A$6:$AU$39,28,0)</f>
        <v>0</v>
      </c>
      <c r="U19" s="36">
        <f>VLOOKUP($A19,[16]HISTOFEV22!$A$6:$AU$39,19,0)</f>
        <v>0</v>
      </c>
      <c r="V19" s="36">
        <f>VLOOKUP($A19,[16]HISTOFEV22!$A$6:$AU$39,20,0)</f>
        <v>0</v>
      </c>
      <c r="W19" s="36">
        <f>VLOOKUP($A19,[16]HISTOFEV22!$A$6:$AU$39,27,0)</f>
        <v>0</v>
      </c>
      <c r="X19" s="36">
        <f>VLOOKUP($A19,[16]HISTOFEV22!$A$6:$AU$39,33,0)</f>
        <v>0</v>
      </c>
      <c r="Y19" s="36">
        <f>VLOOKUP($A19,[16]HISTOFEV22!$A$6:$BP$39,65,0)</f>
        <v>0</v>
      </c>
      <c r="Z19" s="36"/>
      <c r="AA19" s="36">
        <f>VLOOKUP($A19,[16]HISTOFEV22!$A$6:$AU$39,43,0)</f>
        <v>0</v>
      </c>
      <c r="AB19" s="36">
        <f>VLOOKUP($A19,[16]HISTOFEV22!$A$6:$AU$39,44,0)</f>
        <v>0</v>
      </c>
      <c r="AC19" s="36">
        <f>VLOOKUP($A19,[16]HISTOFEV22!$A$6:$AU$39,47,0)</f>
        <v>0</v>
      </c>
      <c r="AD19" s="36">
        <f>VLOOKUP(A19,[16]HISTOFEV22!$A$6:$BB$36,54,0)</f>
        <v>0</v>
      </c>
      <c r="AE19" s="36">
        <f>VLOOKUP($A19,[16]HISTOFEV22!$A$6:$BZ$36,60,0)</f>
        <v>0</v>
      </c>
      <c r="AF19" s="36">
        <f>VLOOKUP($A19,[16]HISTOFEV22!$A$6:$BZ$36,61,0)</f>
        <v>0</v>
      </c>
      <c r="AG19" s="36">
        <f>VLOOKUP($A19,[16]HISTOFEV22!$A$6:$BZ$36,62,0)</f>
        <v>0</v>
      </c>
      <c r="AH19" s="36">
        <f>VLOOKUP($A19,[16]HISTOFEV22!$A$6:$BZ$36,63,0)</f>
        <v>0</v>
      </c>
      <c r="AI19" s="36">
        <f>VLOOKUP($A19,[16]HISTOFEV22!$A$6:$CA$36,64,0)</f>
        <v>0</v>
      </c>
      <c r="AJ19" s="36">
        <f>VLOOKUP($A19,[16]HISTOFEV22!$A$6:$CA$36,65,0)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VLOOKUP($A20,[16]HISTOFEV22!$A$6:$BA$39,48,0)</f>
        <v>0</v>
      </c>
      <c r="F20" s="5">
        <f>MVTJANV22!F20-MVTFEV22!E20</f>
        <v>570000</v>
      </c>
      <c r="G20" s="6">
        <f t="shared" si="0"/>
        <v>11022.967933081767</v>
      </c>
      <c r="H20" s="6">
        <f>MVTJANV22!H20+MVTJANV22!G20+K20</f>
        <v>609514.48860540392</v>
      </c>
      <c r="I20" s="36">
        <f>VLOOKUP($A20,[16]HISTOFEV22!$A$6:$AQ$37,22,0)</f>
        <v>0</v>
      </c>
      <c r="J20" s="36">
        <f>VLOOKUP($A20,[16]HISTOFEV22!$A$6:$AU$39,45,0)</f>
        <v>7000</v>
      </c>
      <c r="K20" s="36">
        <f t="shared" si="1"/>
        <v>3000</v>
      </c>
      <c r="L20" s="36">
        <f t="shared" si="2"/>
        <v>500</v>
      </c>
      <c r="M20" s="36">
        <f t="shared" si="3"/>
        <v>1000</v>
      </c>
      <c r="N20" s="36">
        <f t="shared" si="4"/>
        <v>2500</v>
      </c>
      <c r="O20" s="36">
        <f>VLOOKUP($A20,[16]HISTOFEV22!$A$6:$AU$39,7,0)</f>
        <v>0</v>
      </c>
      <c r="P20" s="36">
        <f>VLOOKUP($A20,[16]HISTOFEV22!$A$6:$AU$39,23,0)</f>
        <v>0</v>
      </c>
      <c r="Q20" s="36">
        <f>VLOOKUP($A20,[16]HISTOFEV22!$A$6:$AU$39,46,0)</f>
        <v>0</v>
      </c>
      <c r="R20" s="36">
        <f>VLOOKUP($A20,[16]HISTOFEV22!$A$6:$AU$39,26,0)</f>
        <v>2050000</v>
      </c>
      <c r="S20" s="36">
        <f>VLOOKUP($A20,[16]HISTOFEV22!$A$6:$BG$39,58,0)-105000</f>
        <v>100000</v>
      </c>
      <c r="T20" s="36">
        <f>VLOOKUP($A20,[16]HISTOFEV22!$A$6:$AU$39,28,0)</f>
        <v>0</v>
      </c>
      <c r="U20" s="36">
        <f>VLOOKUP($A20,[16]HISTOFEV22!$A$6:$AU$39,19,0)</f>
        <v>1000000</v>
      </c>
      <c r="V20" s="36" t="str">
        <f>VLOOKUP($A20,[16]HISTOFEV22!$A$6:$AU$39,20,0)</f>
        <v>BANQUE</v>
      </c>
      <c r="W20" s="36" t="str">
        <f>VLOOKUP($A20,[16]HISTOFEV22!$A$6:$AU$39,27,0)</f>
        <v>BANQUE</v>
      </c>
      <c r="X20" s="36">
        <f>VLOOKUP($A20,[16]HISTOFEV22!$A$6:$AU$39,33,0)</f>
        <v>0</v>
      </c>
      <c r="Y20" s="36">
        <f>VLOOKUP($A20,[16]HISTOFEV22!$A$6:$BP$39,65,0)</f>
        <v>0</v>
      </c>
      <c r="Z20" s="36"/>
      <c r="AA20" s="36">
        <f>VLOOKUP($A20,[16]HISTOFEV22!$A$6:$AU$39,43,0)</f>
        <v>0</v>
      </c>
      <c r="AB20" s="36">
        <f>VLOOKUP($A20,[16]HISTOFEV22!$A$6:$AU$39,44,0)</f>
        <v>0</v>
      </c>
      <c r="AC20" s="36">
        <f>VLOOKUP($A20,[16]HISTOFEV22!$A$6:$AU$39,47,0)</f>
        <v>0</v>
      </c>
      <c r="AD20" s="36">
        <f>VLOOKUP(A20,[16]HISTOFEV22!$A$6:$BB$36,54,0)</f>
        <v>70000</v>
      </c>
      <c r="AE20" s="36">
        <f>VLOOKUP($A20,[16]HISTOFEV22!$A$6:$BZ$36,60,0)</f>
        <v>0</v>
      </c>
      <c r="AF20" s="36">
        <f>VLOOKUP($A20,[16]HISTOFEV22!$A$6:$BZ$36,61,0)</f>
        <v>0</v>
      </c>
      <c r="AG20" s="36">
        <f>VLOOKUP($A20,[16]HISTOFEV22!$A$6:$BZ$36,62,0)</f>
        <v>0</v>
      </c>
      <c r="AH20" s="36">
        <f>VLOOKUP($A20,[16]HISTOFEV22!$A$6:$BZ$36,63,0)</f>
        <v>0</v>
      </c>
      <c r="AI20" s="36">
        <f>VLOOKUP($A20,[16]HISTOFEV22!$A$6:$CA$36,64,0)</f>
        <v>155000</v>
      </c>
      <c r="AJ20" s="36">
        <f>VLOOKUP($A20,[16]HISTOFEV22!$A$6:$CA$36,65,0)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VLOOKUP($A21,[16]HISTOFEV22!$A$6:$BA$39,48,0)</f>
        <v>0</v>
      </c>
      <c r="F21" s="5">
        <f>MVTJANV22!F21-MVTFEV22!E21</f>
        <v>570000</v>
      </c>
      <c r="G21" s="6">
        <f t="shared" si="0"/>
        <v>11609.480891643725</v>
      </c>
      <c r="H21" s="6">
        <f>MVTJANV22!H21+MVTJANV22!G21+K21</f>
        <v>641945.69480763306</v>
      </c>
      <c r="I21" s="36">
        <f>VLOOKUP($A21,[16]HISTOFEV22!$A$6:$AQ$37,22,0)</f>
        <v>0</v>
      </c>
      <c r="J21" s="36">
        <f>VLOOKUP($A21,[16]HISTOFEV22!$A$6:$AU$39,45,0)</f>
        <v>7000</v>
      </c>
      <c r="K21" s="36">
        <f t="shared" si="1"/>
        <v>3000</v>
      </c>
      <c r="L21" s="36">
        <f t="shared" si="2"/>
        <v>500</v>
      </c>
      <c r="M21" s="36">
        <f t="shared" si="3"/>
        <v>1000</v>
      </c>
      <c r="N21" s="36">
        <f t="shared" si="4"/>
        <v>2500</v>
      </c>
      <c r="O21" s="36">
        <f>VLOOKUP($A21,[16]HISTOFEV22!$A$6:$AU$39,7,0)</f>
        <v>0</v>
      </c>
      <c r="P21" s="36">
        <f>VLOOKUP($A21,[16]HISTOFEV22!$A$6:$AU$39,23,0)</f>
        <v>0</v>
      </c>
      <c r="Q21" s="36">
        <f>VLOOKUP($A21,[16]HISTOFEV22!$A$6:$AU$39,46,0)</f>
        <v>0</v>
      </c>
      <c r="R21" s="36">
        <f>VLOOKUP($A21,[16]HISTOFEV22!$A$6:$AU$39,26,0)</f>
        <v>0</v>
      </c>
      <c r="S21" s="36">
        <f>VLOOKUP($A21,[16]HISTOFEV22!$A$6:$BG$39,58,0)</f>
        <v>0</v>
      </c>
      <c r="T21" s="36">
        <f>VLOOKUP($A21,[16]HISTOFEV22!$A$6:$AU$39,28,0)</f>
        <v>0</v>
      </c>
      <c r="U21" s="36">
        <f>VLOOKUP($A21,[16]HISTOFEV22!$A$6:$AU$39,19,0)</f>
        <v>0</v>
      </c>
      <c r="V21" s="36">
        <f>VLOOKUP($A21,[16]HISTOFEV22!$A$6:$AU$39,20,0)</f>
        <v>0</v>
      </c>
      <c r="W21" s="36">
        <f>VLOOKUP($A21,[16]HISTOFEV22!$A$6:$AU$39,27,0)</f>
        <v>0</v>
      </c>
      <c r="X21" s="36">
        <f>VLOOKUP($A21,[16]HISTOFEV22!$A$6:$AU$39,33,0)</f>
        <v>0</v>
      </c>
      <c r="Y21" s="36">
        <f>VLOOKUP($A21,[16]HISTOFEV22!$A$6:$BP$39,65,0)</f>
        <v>0</v>
      </c>
      <c r="Z21" s="36"/>
      <c r="AA21" s="36">
        <f>VLOOKUP($A21,[16]HISTOFEV22!$A$6:$AU$39,43,0)</f>
        <v>0</v>
      </c>
      <c r="AB21" s="36">
        <f>VLOOKUP($A21,[16]HISTOFEV22!$A$6:$AU$39,44,0)</f>
        <v>0</v>
      </c>
      <c r="AC21" s="36">
        <f>VLOOKUP($A21,[16]HISTOFEV22!$A$6:$AU$39,47,0)</f>
        <v>0</v>
      </c>
      <c r="AD21" s="36">
        <f>VLOOKUP(A21,[16]HISTOFEV22!$A$6:$BB$36,54,0)</f>
        <v>0</v>
      </c>
      <c r="AE21" s="36">
        <f>VLOOKUP($A21,[16]HISTOFEV22!$A$6:$BZ$36,60,0)</f>
        <v>0</v>
      </c>
      <c r="AF21" s="36">
        <f>VLOOKUP($A21,[16]HISTOFEV22!$A$6:$BZ$36,61,0)</f>
        <v>0</v>
      </c>
      <c r="AG21" s="36">
        <f>VLOOKUP($A21,[16]HISTOFEV22!$A$6:$BZ$36,62,0)</f>
        <v>0</v>
      </c>
      <c r="AH21" s="36">
        <f>VLOOKUP($A21,[16]HISTOFEV22!$A$6:$BZ$36,63,0)</f>
        <v>0</v>
      </c>
      <c r="AI21" s="36">
        <f>VLOOKUP($A21,[16]HISTOFEV22!$A$6:$CA$36,64,0)</f>
        <v>0</v>
      </c>
      <c r="AJ21" s="36">
        <f>VLOOKUP($A21,[16]HISTOFEV22!$A$6:$CA$36,65,0)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VLOOKUP($A22,[16]HISTOFEV22!$A$6:$BA$39,48,0)</f>
        <v>0</v>
      </c>
      <c r="F22" s="5">
        <f>MVTJANV22!F22-MVTFEV22!E22</f>
        <v>570000</v>
      </c>
      <c r="G22" s="6">
        <f t="shared" si="0"/>
        <v>12639.998814631464</v>
      </c>
      <c r="H22" s="6">
        <f>MVTJANV22!H22+MVTJANV22!G22+K22</f>
        <v>698928.13444110926</v>
      </c>
      <c r="I22" s="36">
        <f>VLOOKUP($A22,[16]HISTOFEV22!$A$6:$AQ$37,22,0)</f>
        <v>0</v>
      </c>
      <c r="J22" s="36">
        <f>VLOOKUP($A22,[16]HISTOFEV22!$A$6:$AU$39,45,0)</f>
        <v>7000</v>
      </c>
      <c r="K22" s="36">
        <f t="shared" si="1"/>
        <v>3000</v>
      </c>
      <c r="L22" s="36">
        <f t="shared" si="2"/>
        <v>500</v>
      </c>
      <c r="M22" s="36">
        <f t="shared" si="3"/>
        <v>1000</v>
      </c>
      <c r="N22" s="36">
        <f t="shared" si="4"/>
        <v>2500</v>
      </c>
      <c r="O22" s="36">
        <f>VLOOKUP($A22,[16]HISTOFEV22!$A$6:$AU$39,7,0)</f>
        <v>0</v>
      </c>
      <c r="P22" s="36">
        <f>VLOOKUP($A22,[16]HISTOFEV22!$A$6:$AU$39,23,0)</f>
        <v>0</v>
      </c>
      <c r="Q22" s="36">
        <f>VLOOKUP($A22,[16]HISTOFEV22!$A$6:$AU$39,46,0)</f>
        <v>0</v>
      </c>
      <c r="R22" s="36">
        <f>VLOOKUP($A22,[16]HISTOFEV22!$A$6:$AU$39,26,0)</f>
        <v>0</v>
      </c>
      <c r="S22" s="36">
        <f>VLOOKUP($A22,[16]HISTOFEV22!$A$6:$BG$39,58,0)</f>
        <v>0</v>
      </c>
      <c r="T22" s="36">
        <f>VLOOKUP($A22,[16]HISTOFEV22!$A$6:$AU$39,28,0)</f>
        <v>0</v>
      </c>
      <c r="U22" s="36">
        <f>VLOOKUP($A22,[16]HISTOFEV22!$A$6:$AU$39,19,0)</f>
        <v>0</v>
      </c>
      <c r="V22" s="36">
        <f>VLOOKUP($A22,[16]HISTOFEV22!$A$6:$AU$39,20,0)</f>
        <v>0</v>
      </c>
      <c r="W22" s="36">
        <f>VLOOKUP($A22,[16]HISTOFEV22!$A$6:$AU$39,27,0)</f>
        <v>0</v>
      </c>
      <c r="X22" s="36">
        <f>VLOOKUP($A22,[16]HISTOFEV22!$A$6:$AU$39,33,0)</f>
        <v>0</v>
      </c>
      <c r="Y22" s="36">
        <f>VLOOKUP($A22,[16]HISTOFEV22!$A$6:$BP$39,65,0)</f>
        <v>0</v>
      </c>
      <c r="Z22" s="36"/>
      <c r="AA22" s="36">
        <f>VLOOKUP($A22,[16]HISTOFEV22!$A$6:$AU$39,43,0)</f>
        <v>0</v>
      </c>
      <c r="AB22" s="36">
        <f>VLOOKUP($A22,[16]HISTOFEV22!$A$6:$AU$39,44,0)</f>
        <v>0</v>
      </c>
      <c r="AC22" s="36">
        <f>VLOOKUP($A22,[16]HISTOFEV22!$A$6:$AU$39,47,0)</f>
        <v>0</v>
      </c>
      <c r="AD22" s="36">
        <f>VLOOKUP(A22,[16]HISTOFEV22!$A$6:$BB$36,54,0)</f>
        <v>0</v>
      </c>
      <c r="AE22" s="36">
        <f>VLOOKUP($A22,[16]HISTOFEV22!$A$6:$BZ$36,60,0)</f>
        <v>0</v>
      </c>
      <c r="AF22" s="36">
        <f>VLOOKUP($A22,[16]HISTOFEV22!$A$6:$BZ$36,61,0)</f>
        <v>0</v>
      </c>
      <c r="AG22" s="36">
        <f>VLOOKUP($A22,[16]HISTOFEV22!$A$6:$BZ$36,62,0)</f>
        <v>0</v>
      </c>
      <c r="AH22" s="36">
        <f>VLOOKUP($A22,[16]HISTOFEV22!$A$6:$BZ$36,63,0)</f>
        <v>0</v>
      </c>
      <c r="AI22" s="36">
        <f>VLOOKUP($A22,[16]HISTOFEV22!$A$6:$CA$36,64,0)</f>
        <v>0</v>
      </c>
      <c r="AJ22" s="36">
        <f>VLOOKUP($A22,[16]HISTOFEV22!$A$6:$CA$36,65,0)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VLOOKUP($A23,[16]HISTOFEV22!$A$6:$BA$39,48,0)</f>
        <v>0</v>
      </c>
      <c r="F23" s="5">
        <f>MVTJANV22!F23-MVTFEV22!E23</f>
        <v>570000</v>
      </c>
      <c r="G23" s="6">
        <f t="shared" si="0"/>
        <v>13515.463653814524</v>
      </c>
      <c r="H23" s="6">
        <f>MVTJANV22!H23+MVTJANV22!G23+K23</f>
        <v>747336.92116589204</v>
      </c>
      <c r="I23" s="36">
        <f>VLOOKUP($A23,[16]HISTOFEV22!$A$6:$AQ$37,22,0)</f>
        <v>0</v>
      </c>
      <c r="J23" s="36">
        <f>VLOOKUP($A23,[16]HISTOFEV22!$A$6:$AU$39,45,0)</f>
        <v>27000</v>
      </c>
      <c r="K23" s="36">
        <f t="shared" si="1"/>
        <v>23000</v>
      </c>
      <c r="L23" s="36">
        <f t="shared" si="2"/>
        <v>500</v>
      </c>
      <c r="M23" s="36">
        <f t="shared" si="3"/>
        <v>1000</v>
      </c>
      <c r="N23" s="36">
        <f t="shared" si="4"/>
        <v>2500</v>
      </c>
      <c r="O23" s="36">
        <f>VLOOKUP($A23,[16]HISTOFEV22!$A$6:$AU$39,7,0)</f>
        <v>0</v>
      </c>
      <c r="P23" s="36">
        <f>VLOOKUP($A23,[16]HISTOFEV22!$A$6:$AU$39,23,0)</f>
        <v>0</v>
      </c>
      <c r="Q23" s="36">
        <f>VLOOKUP($A23,[16]HISTOFEV22!$A$6:$AU$39,46,0)</f>
        <v>0</v>
      </c>
      <c r="R23" s="36">
        <f>VLOOKUP($A23,[16]HISTOFEV22!$A$6:$AU$39,26,0)</f>
        <v>0</v>
      </c>
      <c r="S23" s="36">
        <f>VLOOKUP($A23,[16]HISTOFEV22!$A$6:$BG$39,58,0)</f>
        <v>0</v>
      </c>
      <c r="T23" s="36">
        <f>VLOOKUP($A23,[16]HISTOFEV22!$A$6:$AU$39,28,0)</f>
        <v>0</v>
      </c>
      <c r="U23" s="36">
        <f>VLOOKUP($A23,[16]HISTOFEV22!$A$6:$AU$39,19,0)</f>
        <v>0</v>
      </c>
      <c r="V23" s="36">
        <f>VLOOKUP($A23,[16]HISTOFEV22!$A$6:$AU$39,20,0)</f>
        <v>0</v>
      </c>
      <c r="W23" s="36">
        <f>VLOOKUP($A23,[16]HISTOFEV22!$A$6:$AU$39,27,0)</f>
        <v>0</v>
      </c>
      <c r="X23" s="36">
        <f>VLOOKUP($A23,[16]HISTOFEV22!$A$6:$AU$39,33,0)</f>
        <v>0</v>
      </c>
      <c r="Y23" s="36">
        <f>VLOOKUP($A23,[16]HISTOFEV22!$A$6:$BP$39,65,0)</f>
        <v>0</v>
      </c>
      <c r="Z23" s="36"/>
      <c r="AA23" s="36">
        <f>VLOOKUP($A23,[16]HISTOFEV22!$A$6:$AU$39,43,0)</f>
        <v>0</v>
      </c>
      <c r="AB23" s="36">
        <f>VLOOKUP($A23,[16]HISTOFEV22!$A$6:$AU$39,44,0)</f>
        <v>0</v>
      </c>
      <c r="AC23" s="36">
        <f>VLOOKUP($A23,[16]HISTOFEV22!$A$6:$AU$39,47,0)</f>
        <v>0</v>
      </c>
      <c r="AD23" s="36">
        <f>VLOOKUP(A23,[16]HISTOFEV22!$A$6:$BB$36,54,0)</f>
        <v>0</v>
      </c>
      <c r="AE23" s="36">
        <f>VLOOKUP($A23,[16]HISTOFEV22!$A$6:$BZ$36,60,0)</f>
        <v>0</v>
      </c>
      <c r="AF23" s="36">
        <f>VLOOKUP($A23,[16]HISTOFEV22!$A$6:$BZ$36,61,0)</f>
        <v>0</v>
      </c>
      <c r="AG23" s="36">
        <f>VLOOKUP($A23,[16]HISTOFEV22!$A$6:$BZ$36,62,0)</f>
        <v>0</v>
      </c>
      <c r="AH23" s="36">
        <f>VLOOKUP($A23,[16]HISTOFEV22!$A$6:$BZ$36,63,0)</f>
        <v>0</v>
      </c>
      <c r="AI23" s="36">
        <f>VLOOKUP($A23,[16]HISTOFEV22!$A$6:$CA$36,64,0)</f>
        <v>0</v>
      </c>
      <c r="AJ23" s="36">
        <f>VLOOKUP($A23,[16]HISTOFEV22!$A$6:$CA$36,65,0)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VLOOKUP($A24,[16]HISTOFEV22!$A$6:$BA$39,48,0)</f>
        <v>0</v>
      </c>
      <c r="F24" s="5">
        <f>MVTJANV22!F24-MVTFEV22!E24</f>
        <v>570000</v>
      </c>
      <c r="G24" s="6">
        <f t="shared" si="0"/>
        <v>11443.808783643335</v>
      </c>
      <c r="H24" s="6">
        <f>MVTJANV22!H24+MVTJANV22!G24+K24</f>
        <v>632784.86346011725</v>
      </c>
      <c r="I24" s="36">
        <f>VLOOKUP($A24,[16]HISTOFEV22!$A$6:$AQ$37,22,0)</f>
        <v>0</v>
      </c>
      <c r="J24" s="36">
        <f>VLOOKUP($A24,[16]HISTOFEV22!$A$6:$AU$39,45,0)</f>
        <v>22000</v>
      </c>
      <c r="K24" s="36">
        <f t="shared" si="1"/>
        <v>18000</v>
      </c>
      <c r="L24" s="36">
        <f t="shared" si="2"/>
        <v>500</v>
      </c>
      <c r="M24" s="36">
        <f t="shared" si="3"/>
        <v>1000</v>
      </c>
      <c r="N24" s="36">
        <f t="shared" si="4"/>
        <v>2500</v>
      </c>
      <c r="O24" s="36">
        <f>VLOOKUP($A24,[16]HISTOFEV22!$A$6:$AU$39,7,0)</f>
        <v>3000</v>
      </c>
      <c r="P24" s="36">
        <f>VLOOKUP($A24,[16]HISTOFEV22!$A$6:$AU$39,23,0)</f>
        <v>0</v>
      </c>
      <c r="Q24" s="36">
        <f>VLOOKUP($A24,[16]HISTOFEV22!$A$6:$AU$39,46,0)</f>
        <v>0</v>
      </c>
      <c r="R24" s="36">
        <f>VLOOKUP($A24,[16]HISTOFEV22!$A$6:$AU$39,26,0)</f>
        <v>0</v>
      </c>
      <c r="S24" s="36">
        <f>VLOOKUP($A24,[16]HISTOFEV22!$A$6:$BG$39,58,0)</f>
        <v>0</v>
      </c>
      <c r="T24" s="36">
        <f>VLOOKUP($A24,[16]HISTOFEV22!$A$6:$AU$39,28,0)</f>
        <v>0</v>
      </c>
      <c r="U24" s="36">
        <f>VLOOKUP($A24,[16]HISTOFEV22!$A$6:$AU$39,19,0)</f>
        <v>0</v>
      </c>
      <c r="V24" s="36">
        <f>VLOOKUP($A24,[16]HISTOFEV22!$A$6:$AU$39,20,0)</f>
        <v>0</v>
      </c>
      <c r="W24" s="36">
        <f>VLOOKUP($A24,[16]HISTOFEV22!$A$6:$AU$39,27,0)</f>
        <v>0</v>
      </c>
      <c r="X24" s="36">
        <f>VLOOKUP($A24,[16]HISTOFEV22!$A$6:$AU$39,33,0)</f>
        <v>0</v>
      </c>
      <c r="Y24" s="36">
        <f>VLOOKUP($A24,[16]HISTOFEV22!$A$6:$BP$39,65,0)</f>
        <v>0</v>
      </c>
      <c r="Z24" s="36"/>
      <c r="AA24" s="36">
        <f>VLOOKUP($A24,[16]HISTOFEV22!$A$6:$AU$39,43,0)</f>
        <v>0</v>
      </c>
      <c r="AB24" s="36">
        <f>VLOOKUP($A24,[16]HISTOFEV22!$A$6:$AU$39,44,0)</f>
        <v>0</v>
      </c>
      <c r="AC24" s="36">
        <f>VLOOKUP($A24,[16]HISTOFEV22!$A$6:$AU$39,47,0)</f>
        <v>0</v>
      </c>
      <c r="AD24" s="36">
        <f>VLOOKUP(A24,[16]HISTOFEV22!$A$6:$BB$36,54,0)</f>
        <v>0</v>
      </c>
      <c r="AE24" s="36">
        <f>VLOOKUP($A24,[16]HISTOFEV22!$A$6:$BZ$36,60,0)</f>
        <v>0</v>
      </c>
      <c r="AF24" s="36">
        <f>VLOOKUP($A24,[16]HISTOFEV22!$A$6:$BZ$36,61,0)</f>
        <v>0</v>
      </c>
      <c r="AG24" s="36">
        <f>VLOOKUP($A24,[16]HISTOFEV22!$A$6:$BZ$36,62,0)</f>
        <v>0</v>
      </c>
      <c r="AH24" s="36">
        <f>VLOOKUP($A24,[16]HISTOFEV22!$A$6:$BZ$36,63,0)</f>
        <v>0</v>
      </c>
      <c r="AI24" s="36">
        <f>VLOOKUP($A24,[16]HISTOFEV22!$A$6:$CA$36,64,0)</f>
        <v>0</v>
      </c>
      <c r="AJ24" s="36">
        <f>VLOOKUP($A24,[16]HISTOFEV22!$A$6:$CA$36,65,0)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VLOOKUP($A25,[16]HISTOFEV22!$A$6:$BA$39,48,0)</f>
        <v>0</v>
      </c>
      <c r="F25" s="5">
        <f>MVTJANV22!F25-MVTFEV22!E25</f>
        <v>570000</v>
      </c>
      <c r="G25" s="6">
        <f t="shared" si="0"/>
        <v>11094.909988958667</v>
      </c>
      <c r="H25" s="6">
        <f>MVTJANV22!H25+MVTJANV22!G25+K25</f>
        <v>613492.52117006644</v>
      </c>
      <c r="I25" s="36">
        <f>VLOOKUP($A25,[16]HISTOFEV22!$A$6:$AQ$37,22,0)</f>
        <v>0</v>
      </c>
      <c r="J25" s="36">
        <f>VLOOKUP($A25,[16]HISTOFEV22!$A$6:$AU$39,45,0)</f>
        <v>7000</v>
      </c>
      <c r="K25" s="36">
        <f t="shared" si="1"/>
        <v>3000</v>
      </c>
      <c r="L25" s="36">
        <f t="shared" si="2"/>
        <v>500</v>
      </c>
      <c r="M25" s="36">
        <f t="shared" si="3"/>
        <v>1000</v>
      </c>
      <c r="N25" s="36">
        <f t="shared" si="4"/>
        <v>2500</v>
      </c>
      <c r="O25" s="36">
        <f>VLOOKUP($A25,[16]HISTOFEV22!$A$6:$AU$39,7,0)</f>
        <v>0</v>
      </c>
      <c r="P25" s="36">
        <f>VLOOKUP($A25,[16]HISTOFEV22!$A$6:$AU$39,23,0)</f>
        <v>0</v>
      </c>
      <c r="Q25" s="36">
        <f>VLOOKUP($A25,[16]HISTOFEV22!$A$6:$AU$39,46,0)</f>
        <v>0</v>
      </c>
      <c r="R25" s="36">
        <f>VLOOKUP($A25,[16]HISTOFEV22!$A$6:$AU$39,26,0)</f>
        <v>0</v>
      </c>
      <c r="S25" s="36">
        <f>VLOOKUP($A25,[16]HISTOFEV22!$A$6:$BG$39,58,0)</f>
        <v>0</v>
      </c>
      <c r="T25" s="36">
        <f>VLOOKUP($A25,[16]HISTOFEV22!$A$6:$AU$39,28,0)</f>
        <v>0</v>
      </c>
      <c r="U25" s="36">
        <f>VLOOKUP($A25,[16]HISTOFEV22!$A$6:$AU$39,19,0)</f>
        <v>0</v>
      </c>
      <c r="V25" s="36">
        <f>VLOOKUP($A25,[16]HISTOFEV22!$A$6:$AU$39,20,0)</f>
        <v>0</v>
      </c>
      <c r="W25" s="36">
        <f>VLOOKUP($A25,[16]HISTOFEV22!$A$6:$AU$39,27,0)</f>
        <v>0</v>
      </c>
      <c r="X25" s="36">
        <f>VLOOKUP($A25,[16]HISTOFEV22!$A$6:$AU$39,33,0)</f>
        <v>0</v>
      </c>
      <c r="Y25" s="36">
        <f>VLOOKUP($A25,[16]HISTOFEV22!$A$6:$BP$39,65,0)</f>
        <v>0</v>
      </c>
      <c r="Z25" s="36"/>
      <c r="AA25" s="36">
        <f>VLOOKUP($A25,[16]HISTOFEV22!$A$6:$AU$39,43,0)</f>
        <v>0</v>
      </c>
      <c r="AB25" s="36">
        <f>VLOOKUP($A25,[16]HISTOFEV22!$A$6:$AU$39,44,0)</f>
        <v>0</v>
      </c>
      <c r="AC25" s="36">
        <f>VLOOKUP($A25,[16]HISTOFEV22!$A$6:$AU$39,47,0)</f>
        <v>0</v>
      </c>
      <c r="AD25" s="36">
        <f>VLOOKUP(A25,[16]HISTOFEV22!$A$6:$BB$36,54,0)</f>
        <v>0</v>
      </c>
      <c r="AE25" s="36">
        <f>VLOOKUP($A25,[16]HISTOFEV22!$A$6:$BZ$36,60,0)</f>
        <v>0</v>
      </c>
      <c r="AF25" s="36">
        <f>VLOOKUP($A25,[16]HISTOFEV22!$A$6:$BZ$36,61,0)</f>
        <v>0</v>
      </c>
      <c r="AG25" s="36">
        <f>VLOOKUP($A25,[16]HISTOFEV22!$A$6:$BZ$36,62,0)</f>
        <v>0</v>
      </c>
      <c r="AH25" s="36">
        <f>VLOOKUP($A25,[16]HISTOFEV22!$A$6:$BZ$36,63,0)</f>
        <v>0</v>
      </c>
      <c r="AI25" s="36">
        <f>VLOOKUP($A25,[16]HISTOFEV22!$A$6:$CA$36,64,0)</f>
        <v>0</v>
      </c>
      <c r="AJ25" s="36">
        <f>VLOOKUP($A25,[16]HISTOFEV22!$A$6:$CA$36,65,0)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VLOOKUP($A26,[16]HISTOFEV22!$A$6:$BA$39,48,0)</f>
        <v>0</v>
      </c>
      <c r="F26" s="5">
        <f>MVTJANV22!F26-MVTFEV22!E26</f>
        <v>570000</v>
      </c>
      <c r="G26" s="6">
        <f t="shared" si="0"/>
        <v>11232.963537740041</v>
      </c>
      <c r="H26" s="6">
        <f>MVTJANV22!H26+MVTJANV22!G26+K26</f>
        <v>621126.18559660495</v>
      </c>
      <c r="I26" s="36">
        <f>VLOOKUP($A26,[16]HISTOFEV22!$A$6:$AQ$37,22,0)</f>
        <v>0</v>
      </c>
      <c r="J26" s="36">
        <f>VLOOKUP($A26,[16]HISTOFEV22!$A$6:$AU$39,45,0)</f>
        <v>7000</v>
      </c>
      <c r="K26" s="36">
        <f t="shared" si="1"/>
        <v>3000</v>
      </c>
      <c r="L26" s="36">
        <f t="shared" si="2"/>
        <v>500</v>
      </c>
      <c r="M26" s="36">
        <f t="shared" si="3"/>
        <v>1000</v>
      </c>
      <c r="N26" s="36">
        <f t="shared" si="4"/>
        <v>2500</v>
      </c>
      <c r="O26" s="36">
        <f>VLOOKUP($A26,[16]HISTOFEV22!$A$6:$AU$39,7,0)</f>
        <v>3000</v>
      </c>
      <c r="P26" s="36">
        <f>VLOOKUP($A26,[16]HISTOFEV22!$A$6:$AU$39,23,0)</f>
        <v>0</v>
      </c>
      <c r="Q26" s="36">
        <f>VLOOKUP($A26,[16]HISTOFEV22!$A$6:$AU$39,46,0)</f>
        <v>0</v>
      </c>
      <c r="R26" s="36">
        <f>VLOOKUP($A26,[16]HISTOFEV22!$A$6:$AU$39,26,0)</f>
        <v>0</v>
      </c>
      <c r="S26" s="36">
        <f>VLOOKUP($A26,[16]HISTOFEV22!$A$6:$BG$39,58,0)</f>
        <v>0</v>
      </c>
      <c r="T26" s="36">
        <f>VLOOKUP($A26,[16]HISTOFEV22!$A$6:$AU$39,28,0)</f>
        <v>0</v>
      </c>
      <c r="U26" s="36">
        <f>VLOOKUP($A26,[16]HISTOFEV22!$A$6:$AU$39,19,0)</f>
        <v>0</v>
      </c>
      <c r="V26" s="36">
        <f>VLOOKUP($A26,[16]HISTOFEV22!$A$6:$AU$39,20,0)</f>
        <v>0</v>
      </c>
      <c r="W26" s="36">
        <f>VLOOKUP($A26,[16]HISTOFEV22!$A$6:$AU$39,27,0)</f>
        <v>0</v>
      </c>
      <c r="X26" s="36">
        <f>VLOOKUP($A26,[16]HISTOFEV22!$A$6:$AU$39,33,0)</f>
        <v>0</v>
      </c>
      <c r="Y26" s="36">
        <f>VLOOKUP($A26,[16]HISTOFEV22!$A$6:$BP$39,65,0)</f>
        <v>0</v>
      </c>
      <c r="Z26" s="36"/>
      <c r="AA26" s="36">
        <f>VLOOKUP($A26,[16]HISTOFEV22!$A$6:$AU$39,43,0)</f>
        <v>0</v>
      </c>
      <c r="AB26" s="36">
        <f>VLOOKUP($A26,[16]HISTOFEV22!$A$6:$AU$39,44,0)</f>
        <v>0</v>
      </c>
      <c r="AC26" s="36">
        <f>VLOOKUP($A26,[16]HISTOFEV22!$A$6:$AU$39,47,0)</f>
        <v>0</v>
      </c>
      <c r="AD26" s="36">
        <f>VLOOKUP(A26,[16]HISTOFEV22!$A$6:$BB$36,54,0)</f>
        <v>0</v>
      </c>
      <c r="AE26" s="36">
        <f>VLOOKUP($A26,[16]HISTOFEV22!$A$6:$BZ$36,60,0)</f>
        <v>0</v>
      </c>
      <c r="AF26" s="36">
        <f>VLOOKUP($A26,[16]HISTOFEV22!$A$6:$BZ$36,61,0)</f>
        <v>0</v>
      </c>
      <c r="AG26" s="36">
        <f>VLOOKUP($A26,[16]HISTOFEV22!$A$6:$BZ$36,62,0)</f>
        <v>0</v>
      </c>
      <c r="AH26" s="36">
        <f>VLOOKUP($A26,[16]HISTOFEV22!$A$6:$BZ$36,63,0)</f>
        <v>0</v>
      </c>
      <c r="AI26" s="36">
        <f>VLOOKUP($A26,[16]HISTOFEV22!$A$6:$CA$36,64,0)</f>
        <v>0</v>
      </c>
      <c r="AJ26" s="36">
        <f>VLOOKUP($A26,[16]HISTOFEV22!$A$6:$CA$36,65,0)</f>
        <v>0</v>
      </c>
    </row>
    <row r="27" spans="1:36" x14ac:dyDescent="0.25">
      <c r="A27" s="1" t="s">
        <v>30</v>
      </c>
      <c r="B27" s="1" t="str">
        <f>VLOOKUP(A27,[15]LISTADHERENT!A$5:H$60,3,0)</f>
        <v>NKEHE DAVID</v>
      </c>
      <c r="C27" s="5"/>
      <c r="D27" s="5"/>
      <c r="E27" s="36">
        <f>VLOOKUP($A27,[16]HISTOFEV22!$A$6:$BA$39,48,0)</f>
        <v>0</v>
      </c>
      <c r="F27" s="5">
        <f>MVTJANV22!F27-MVTFEV22!E27</f>
        <v>534974.27750837663</v>
      </c>
      <c r="G27" s="6">
        <f t="shared" si="0"/>
        <v>0</v>
      </c>
      <c r="H27" s="6">
        <f>MVTJANV22!H27+MVTJANV22!G27+K27</f>
        <v>0</v>
      </c>
      <c r="I27" s="36">
        <f>VLOOKUP($A27,[16]HISTOFEV22!$A$6:$AQ$37,22,0)</f>
        <v>0</v>
      </c>
      <c r="J27" s="36">
        <f>VLOOKUP($A27,[16]HISTOFEV22!$A$6:$AU$39,45,0)</f>
        <v>0</v>
      </c>
      <c r="K27" s="36">
        <f t="shared" si="1"/>
        <v>0</v>
      </c>
      <c r="L27" s="36">
        <f t="shared" si="2"/>
        <v>0</v>
      </c>
      <c r="M27" s="36">
        <f t="shared" si="3"/>
        <v>0</v>
      </c>
      <c r="N27" s="36">
        <f t="shared" si="4"/>
        <v>0</v>
      </c>
      <c r="O27" s="36">
        <f>VLOOKUP($A27,[16]HISTOFEV22!$A$6:$AU$39,7,0)</f>
        <v>0</v>
      </c>
      <c r="P27" s="36">
        <f>VLOOKUP($A27,[16]HISTOFEV22!$A$6:$AU$39,23,0)</f>
        <v>0</v>
      </c>
      <c r="Q27" s="36">
        <f>VLOOKUP($A27,[16]HISTOFEV22!$A$6:$AU$39,46,0)</f>
        <v>0</v>
      </c>
      <c r="R27" s="36">
        <f>VLOOKUP($A27,[16]HISTOFEV22!$A$6:$AU$39,26,0)</f>
        <v>0</v>
      </c>
      <c r="S27" s="36">
        <f>VLOOKUP($A27,[16]HISTOFEV22!$A$6:$BG$39,58,0)</f>
        <v>0</v>
      </c>
      <c r="T27" s="36">
        <f>VLOOKUP($A27,[16]HISTOFEV22!$A$6:$AU$39,28,0)</f>
        <v>0</v>
      </c>
      <c r="U27" s="36">
        <f>VLOOKUP($A27,[16]HISTOFEV22!$A$6:$AU$39,19,0)</f>
        <v>0</v>
      </c>
      <c r="V27" s="36">
        <f>VLOOKUP($A27,[16]HISTOFEV22!$A$6:$AU$39,20,0)</f>
        <v>0</v>
      </c>
      <c r="W27" s="36">
        <f>VLOOKUP($A27,[16]HISTOFEV22!$A$6:$AU$39,27,0)</f>
        <v>0</v>
      </c>
      <c r="X27" s="36">
        <f>VLOOKUP($A27,[16]HISTOFEV22!$A$6:$AU$39,33,0)</f>
        <v>0</v>
      </c>
      <c r="Y27" s="36">
        <f>VLOOKUP($A27,[16]HISTOFEV22!$A$6:$BP$39,65,0)</f>
        <v>0</v>
      </c>
      <c r="Z27" s="36"/>
      <c r="AA27" s="36">
        <f>VLOOKUP($A27,[16]HISTOFEV22!$A$6:$AU$39,43,0)</f>
        <v>0</v>
      </c>
      <c r="AB27" s="36">
        <f>VLOOKUP($A27,[16]HISTOFEV22!$A$6:$AU$39,44,0)</f>
        <v>0</v>
      </c>
      <c r="AC27" s="36">
        <f>VLOOKUP($A27,[16]HISTOFEV22!$A$6:$AU$39,47,0)</f>
        <v>0</v>
      </c>
      <c r="AD27" s="36">
        <f>VLOOKUP(A27,[16]HISTOFEV22!$A$6:$BB$36,54,0)</f>
        <v>0</v>
      </c>
      <c r="AE27" s="36">
        <f>VLOOKUP($A27,[16]HISTOFEV22!$A$6:$BZ$36,60,0)</f>
        <v>0</v>
      </c>
      <c r="AF27" s="36">
        <f>VLOOKUP($A27,[16]HISTOFEV22!$A$6:$BZ$36,61,0)</f>
        <v>0</v>
      </c>
      <c r="AG27" s="36">
        <f>VLOOKUP($A27,[16]HISTOFEV22!$A$6:$BZ$36,62,0)</f>
        <v>0</v>
      </c>
      <c r="AH27" s="36">
        <f>VLOOKUP($A27,[16]HISTOFEV22!$A$6:$BZ$36,63,0)</f>
        <v>0</v>
      </c>
      <c r="AI27" s="36">
        <f>VLOOKUP($A27,[16]HISTOFEV22!$A$6:$CA$36,64,0)</f>
        <v>0</v>
      </c>
      <c r="AJ27" s="36">
        <f>VLOOKUP($A27,[16]HISTOFEV22!$A$6:$CA$36,65,0)</f>
        <v>0</v>
      </c>
    </row>
    <row r="28" spans="1:36" x14ac:dyDescent="0.25">
      <c r="A28" s="1" t="s">
        <v>44</v>
      </c>
      <c r="B28" s="1" t="str">
        <f>VLOOKUP(A28,[15]LISTADHERENT!A$5:H$60,3,0)</f>
        <v>NKEPSEU DIEUDONNE</v>
      </c>
      <c r="C28" s="5"/>
      <c r="D28" s="5"/>
      <c r="E28" s="36">
        <f>VLOOKUP($A28,[16]HISTOFEV22!$A$6:$BA$39,48,0)</f>
        <v>0</v>
      </c>
      <c r="F28" s="5">
        <f>MVTJANV22!F28-MVTFEV22!E28</f>
        <v>570000</v>
      </c>
      <c r="G28" s="6">
        <f t="shared" si="0"/>
        <v>11443.071768277219</v>
      </c>
      <c r="H28" s="6">
        <f>MVTJANV22!H28+MVTJANV22!G28+K28</f>
        <v>632744.11023043364</v>
      </c>
      <c r="I28" s="36">
        <f>VLOOKUP($A28,[16]HISTOFEV22!$A$6:$AQ$37,22,0)</f>
        <v>0</v>
      </c>
      <c r="J28" s="36">
        <f>VLOOKUP($A28,[16]HISTOFEV22!$A$6:$AU$39,45,0)</f>
        <v>7000</v>
      </c>
      <c r="K28" s="36">
        <f t="shared" si="1"/>
        <v>3000</v>
      </c>
      <c r="L28" s="36">
        <f t="shared" si="2"/>
        <v>500</v>
      </c>
      <c r="M28" s="36">
        <f t="shared" si="3"/>
        <v>1000</v>
      </c>
      <c r="N28" s="36">
        <f t="shared" si="4"/>
        <v>2500</v>
      </c>
      <c r="O28" s="36">
        <f>VLOOKUP($A28,[16]HISTOFEV22!$A$6:$AU$39,7,0)</f>
        <v>0</v>
      </c>
      <c r="P28" s="36">
        <f>VLOOKUP($A28,[16]HISTOFEV22!$A$6:$AU$39,23,0)</f>
        <v>0</v>
      </c>
      <c r="Q28" s="36">
        <f>VLOOKUP($A28,[16]HISTOFEV22!$A$6:$AU$39,46,0)</f>
        <v>0</v>
      </c>
      <c r="R28" s="36">
        <f>VLOOKUP($A28,[16]HISTOFEV22!$A$6:$AU$39,26,0)</f>
        <v>0</v>
      </c>
      <c r="S28" s="36">
        <f>VLOOKUP($A28,[16]HISTOFEV22!$A$6:$BG$39,58,0)</f>
        <v>0</v>
      </c>
      <c r="T28" s="36">
        <f>VLOOKUP($A28,[16]HISTOFEV22!$A$6:$AU$39,28,0)</f>
        <v>0</v>
      </c>
      <c r="U28" s="36">
        <f>VLOOKUP($A28,[16]HISTOFEV22!$A$6:$AU$39,19,0)</f>
        <v>0</v>
      </c>
      <c r="V28" s="36">
        <f>VLOOKUP($A28,[16]HISTOFEV22!$A$6:$AU$39,20,0)</f>
        <v>0</v>
      </c>
      <c r="W28" s="36">
        <f>VLOOKUP($A28,[16]HISTOFEV22!$A$6:$AU$39,27,0)</f>
        <v>0</v>
      </c>
      <c r="X28" s="36">
        <f>VLOOKUP($A28,[16]HISTOFEV22!$A$6:$AU$39,33,0)</f>
        <v>0</v>
      </c>
      <c r="Y28" s="36">
        <f>VLOOKUP($A28,[16]HISTOFEV22!$A$6:$BP$39,65,0)</f>
        <v>0</v>
      </c>
      <c r="Z28" s="36"/>
      <c r="AA28" s="36">
        <f>VLOOKUP($A28,[16]HISTOFEV22!$A$6:$AU$39,43,0)</f>
        <v>0</v>
      </c>
      <c r="AB28" s="36">
        <f>VLOOKUP($A28,[16]HISTOFEV22!$A$6:$AU$39,44,0)</f>
        <v>0</v>
      </c>
      <c r="AC28" s="36">
        <f>VLOOKUP($A28,[16]HISTOFEV22!$A$6:$AU$39,47,0)</f>
        <v>0</v>
      </c>
      <c r="AD28" s="36">
        <f>VLOOKUP(A28,[16]HISTOFEV22!$A$6:$BB$36,54,0)</f>
        <v>0</v>
      </c>
      <c r="AE28" s="36">
        <f>VLOOKUP($A28,[16]HISTOFEV22!$A$6:$BZ$36,60,0)</f>
        <v>0</v>
      </c>
      <c r="AF28" s="36">
        <f>VLOOKUP($A28,[16]HISTOFEV22!$A$6:$BZ$36,61,0)</f>
        <v>0</v>
      </c>
      <c r="AG28" s="36">
        <f>VLOOKUP($A28,[16]HISTOFEV22!$A$6:$BZ$36,62,0)</f>
        <v>0</v>
      </c>
      <c r="AH28" s="36">
        <f>VLOOKUP($A28,[16]HISTOFEV22!$A$6:$BZ$36,63,0)</f>
        <v>70000</v>
      </c>
      <c r="AI28" s="36">
        <f>VLOOKUP($A28,[16]HISTOFEV22!$A$6:$CA$36,64,0)</f>
        <v>0</v>
      </c>
      <c r="AJ28" s="36">
        <f>VLOOKUP($A28,[16]HISTOFEV22!$A$6:$CA$36,65,0)</f>
        <v>0</v>
      </c>
    </row>
    <row r="29" spans="1:36" x14ac:dyDescent="0.25">
      <c r="A29" s="1" t="s">
        <v>45</v>
      </c>
      <c r="B29" s="1" t="str">
        <f>VLOOKUP(A29,[15]LISTADHERENT!A$5:H$60,3,0)</f>
        <v>PATEGO NJOSSU GUSTAVE</v>
      </c>
      <c r="C29" s="5"/>
      <c r="D29" s="5"/>
      <c r="E29" s="36">
        <f>VLOOKUP($A29,[16]HISTOFEV22!$A$6:$BA$39,48,0)</f>
        <v>0</v>
      </c>
      <c r="F29" s="5">
        <f>MVTJANV22!F29-MVTFEV22!E29</f>
        <v>570000</v>
      </c>
      <c r="G29" s="6">
        <f t="shared" si="0"/>
        <v>11438.408596480151</v>
      </c>
      <c r="H29" s="6">
        <f>MVTJANV22!H29+MVTJANV22!G29+K29</f>
        <v>632486.260367273</v>
      </c>
      <c r="I29" s="36">
        <f>VLOOKUP($A29,[16]HISTOFEV22!$A$6:$AQ$37,22,0)</f>
        <v>0</v>
      </c>
      <c r="J29" s="36">
        <f>VLOOKUP($A29,[16]HISTOFEV22!$A$6:$AU$39,45,0)</f>
        <v>7000</v>
      </c>
      <c r="K29" s="36">
        <f t="shared" si="1"/>
        <v>3000</v>
      </c>
      <c r="L29" s="36">
        <f t="shared" si="2"/>
        <v>500</v>
      </c>
      <c r="M29" s="36">
        <f t="shared" si="3"/>
        <v>1000</v>
      </c>
      <c r="N29" s="36">
        <f t="shared" si="4"/>
        <v>2500</v>
      </c>
      <c r="O29" s="36">
        <f>VLOOKUP($A29,[16]HISTOFEV22!$A$6:$AU$39,7,0)</f>
        <v>0</v>
      </c>
      <c r="P29" s="36">
        <f>VLOOKUP($A29,[16]HISTOFEV22!$A$6:$AU$39,23,0)</f>
        <v>0</v>
      </c>
      <c r="Q29" s="36">
        <f>VLOOKUP($A29,[16]HISTOFEV22!$A$6:$AU$39,46,0)</f>
        <v>0</v>
      </c>
      <c r="R29" s="36">
        <f>VLOOKUP($A29,[16]HISTOFEV22!$A$6:$AU$39,26,0)</f>
        <v>0</v>
      </c>
      <c r="S29" s="36">
        <f>VLOOKUP($A29,[16]HISTOFEV22!$A$6:$BG$39,58,0)</f>
        <v>0</v>
      </c>
      <c r="T29" s="36">
        <f>VLOOKUP($A29,[16]HISTOFEV22!$A$6:$AU$39,28,0)</f>
        <v>0</v>
      </c>
      <c r="U29" s="36">
        <f>VLOOKUP($A29,[16]HISTOFEV22!$A$6:$AU$39,19,0)</f>
        <v>0</v>
      </c>
      <c r="V29" s="36">
        <f>VLOOKUP($A29,[16]HISTOFEV22!$A$6:$AU$39,20,0)</f>
        <v>0</v>
      </c>
      <c r="W29" s="36">
        <f>VLOOKUP($A29,[16]HISTOFEV22!$A$6:$AU$39,27,0)</f>
        <v>0</v>
      </c>
      <c r="X29" s="36">
        <f>VLOOKUP($A29,[16]HISTOFEV22!$A$6:$AU$39,33,0)</f>
        <v>0</v>
      </c>
      <c r="Y29" s="36">
        <f>VLOOKUP($A29,[16]HISTOFEV22!$A$6:$BP$39,65,0)</f>
        <v>0</v>
      </c>
      <c r="Z29" s="36"/>
      <c r="AA29" s="36">
        <f>VLOOKUP($A29,[16]HISTOFEV22!$A$6:$AU$39,43,0)</f>
        <v>0</v>
      </c>
      <c r="AB29" s="36">
        <f>VLOOKUP($A29,[16]HISTOFEV22!$A$6:$AU$39,44,0)</f>
        <v>0</v>
      </c>
      <c r="AC29" s="36">
        <f>VLOOKUP($A29,[16]HISTOFEV22!$A$6:$AU$39,47,0)</f>
        <v>0</v>
      </c>
      <c r="AD29" s="36">
        <f>VLOOKUP(A29,[16]HISTOFEV22!$A$6:$BB$36,54,0)</f>
        <v>0</v>
      </c>
      <c r="AE29" s="36">
        <f>VLOOKUP($A29,[16]HISTOFEV22!$A$6:$BZ$36,60,0)</f>
        <v>0</v>
      </c>
      <c r="AF29" s="36">
        <f>VLOOKUP($A29,[16]HISTOFEV22!$A$6:$BZ$36,61,0)</f>
        <v>0</v>
      </c>
      <c r="AG29" s="36">
        <f>VLOOKUP($A29,[16]HISTOFEV22!$A$6:$BZ$36,62,0)</f>
        <v>0</v>
      </c>
      <c r="AH29" s="36">
        <f>VLOOKUP($A29,[16]HISTOFEV22!$A$6:$BZ$36,63,0)</f>
        <v>0</v>
      </c>
      <c r="AI29" s="36">
        <f>VLOOKUP($A29,[16]HISTOFEV22!$A$6:$CA$36,64,0)</f>
        <v>0</v>
      </c>
      <c r="AJ29" s="36">
        <f>VLOOKUP($A29,[16]HISTOFEV22!$A$6:$CA$36,65,0)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VLOOKUP($A30,[16]HISTOFEV22!$A$6:$BA$39,48,0)</f>
        <v>0</v>
      </c>
      <c r="F30" s="5">
        <f>MVTJANV22!F30-MVTFEV22!E30</f>
        <v>570000</v>
      </c>
      <c r="G30" s="6">
        <f t="shared" si="0"/>
        <v>16322.769346205996</v>
      </c>
      <c r="H30" s="6">
        <f>MVTJANV22!H30+MVTJANV22!G30+K30</f>
        <v>902566.75616538886</v>
      </c>
      <c r="I30" s="36">
        <f>VLOOKUP($A30,[16]HISTOFEV22!$A$6:$AQ$37,22,0)</f>
        <v>0</v>
      </c>
      <c r="J30" s="36">
        <f>VLOOKUP($A30,[16]HISTOFEV22!$A$6:$AU$39,45,0)</f>
        <v>7000</v>
      </c>
      <c r="K30" s="36">
        <f t="shared" si="1"/>
        <v>3000</v>
      </c>
      <c r="L30" s="36">
        <f t="shared" si="2"/>
        <v>500</v>
      </c>
      <c r="M30" s="36">
        <f t="shared" si="3"/>
        <v>1000</v>
      </c>
      <c r="N30" s="36">
        <f t="shared" si="4"/>
        <v>2500</v>
      </c>
      <c r="O30" s="36">
        <f>VLOOKUP($A30,[16]HISTOFEV22!$A$6:$AU$39,7,0)</f>
        <v>0</v>
      </c>
      <c r="P30" s="36">
        <f>VLOOKUP($A30,[16]HISTOFEV22!$A$6:$AU$39,23,0)</f>
        <v>0</v>
      </c>
      <c r="Q30" s="36">
        <f>VLOOKUP($A30,[16]HISTOFEV22!$A$6:$AU$39,46,0)</f>
        <v>0</v>
      </c>
      <c r="R30" s="36">
        <f>VLOOKUP($A30,[16]HISTOFEV22!$A$6:$AU$39,26,0)</f>
        <v>0</v>
      </c>
      <c r="S30" s="36">
        <f>VLOOKUP($A30,[16]HISTOFEV22!$A$6:$BG$39,58,0)</f>
        <v>0</v>
      </c>
      <c r="T30" s="36">
        <f>VLOOKUP($A30,[16]HISTOFEV22!$A$6:$AU$39,28,0)</f>
        <v>0</v>
      </c>
      <c r="U30" s="36">
        <f>VLOOKUP($A30,[16]HISTOFEV22!$A$6:$AU$39,19,0)</f>
        <v>0</v>
      </c>
      <c r="V30" s="36">
        <f>VLOOKUP($A30,[16]HISTOFEV22!$A$6:$AU$39,20,0)</f>
        <v>0</v>
      </c>
      <c r="W30" s="36">
        <f>VLOOKUP($A30,[16]HISTOFEV22!$A$6:$AU$39,27,0)</f>
        <v>0</v>
      </c>
      <c r="X30" s="36">
        <f>VLOOKUP($A30,[16]HISTOFEV22!$A$6:$AU$39,33,0)</f>
        <v>0</v>
      </c>
      <c r="Y30" s="36">
        <f>VLOOKUP($A30,[16]HISTOFEV22!$A$6:$BP$39,65,0)</f>
        <v>0</v>
      </c>
      <c r="Z30" s="36"/>
      <c r="AA30" s="36">
        <f>VLOOKUP($A30,[16]HISTOFEV22!$A$6:$AU$39,43,0)</f>
        <v>0</v>
      </c>
      <c r="AB30" s="36">
        <f>VLOOKUP($A30,[16]HISTOFEV22!$A$6:$AU$39,44,0)</f>
        <v>0</v>
      </c>
      <c r="AC30" s="36">
        <f>VLOOKUP($A30,[16]HISTOFEV22!$A$6:$AU$39,47,0)</f>
        <v>0</v>
      </c>
      <c r="AD30" s="36">
        <f>VLOOKUP(A30,[16]HISTOFEV22!$A$6:$BB$36,54,0)</f>
        <v>0</v>
      </c>
      <c r="AE30" s="36">
        <f>VLOOKUP($A30,[16]HISTOFEV22!$A$6:$BZ$36,60,0)</f>
        <v>0</v>
      </c>
      <c r="AF30" s="36">
        <f>VLOOKUP($A30,[16]HISTOFEV22!$A$6:$BZ$36,61,0)</f>
        <v>0</v>
      </c>
      <c r="AG30" s="36">
        <f>VLOOKUP($A30,[16]HISTOFEV22!$A$6:$BZ$36,62,0)</f>
        <v>0</v>
      </c>
      <c r="AH30" s="36">
        <f>VLOOKUP($A30,[16]HISTOFEV22!$A$6:$BZ$36,63,0)</f>
        <v>0</v>
      </c>
      <c r="AI30" s="36">
        <f>VLOOKUP($A30,[16]HISTOFEV22!$A$6:$CA$36,64,0)</f>
        <v>0</v>
      </c>
      <c r="AJ30" s="36">
        <f>VLOOKUP($A30,[16]HISTOFEV22!$A$6:$CA$36,65,0)</f>
        <v>0</v>
      </c>
    </row>
    <row r="31" spans="1:36" x14ac:dyDescent="0.25">
      <c r="A31" s="1" t="s">
        <v>47</v>
      </c>
      <c r="B31" s="1" t="str">
        <f>VLOOKUP(A31,[15]LISTADHERENT!A$5:H$60,3,0)</f>
        <v>SIMO FONGANG ERIC</v>
      </c>
      <c r="C31" s="5"/>
      <c r="D31" s="5"/>
      <c r="E31" s="36">
        <f>VLOOKUP($A31,[16]HISTOFEV22!$A$6:$BA$39,48,0)</f>
        <v>0</v>
      </c>
      <c r="F31" s="5">
        <f>MVTJANV22!F31-MVTFEV22!E31</f>
        <v>570000</v>
      </c>
      <c r="G31" s="6">
        <f t="shared" si="0"/>
        <v>0</v>
      </c>
      <c r="H31" s="6">
        <f>MVTJANV22!H31+MVTJANV22!G31+K31</f>
        <v>0</v>
      </c>
      <c r="I31" s="36">
        <f>VLOOKUP($A31,[16]HISTOFEV22!$A$6:$AQ$37,22,0)</f>
        <v>0</v>
      </c>
      <c r="J31" s="36">
        <f>VLOOKUP($A31,[16]HISTOFEV22!$A$6:$AU$39,45,0)</f>
        <v>0</v>
      </c>
      <c r="K31" s="36">
        <f t="shared" si="1"/>
        <v>0</v>
      </c>
      <c r="L31" s="36">
        <f t="shared" si="2"/>
        <v>0</v>
      </c>
      <c r="M31" s="36">
        <f t="shared" si="3"/>
        <v>0</v>
      </c>
      <c r="N31" s="36">
        <f t="shared" si="4"/>
        <v>0</v>
      </c>
      <c r="O31" s="36">
        <f>VLOOKUP($A31,[16]HISTOFEV22!$A$6:$AU$39,7,0)</f>
        <v>0</v>
      </c>
      <c r="P31" s="36">
        <f>VLOOKUP($A31,[16]HISTOFEV22!$A$6:$AU$39,23,0)</f>
        <v>0</v>
      </c>
      <c r="Q31" s="36">
        <f>VLOOKUP($A31,[16]HISTOFEV22!$A$6:$AU$39,46,0)</f>
        <v>0</v>
      </c>
      <c r="R31" s="36">
        <f>VLOOKUP($A31,[16]HISTOFEV22!$A$6:$AU$39,26,0)</f>
        <v>0</v>
      </c>
      <c r="S31" s="36">
        <f>VLOOKUP($A31,[16]HISTOFEV22!$A$6:$BG$39,58,0)</f>
        <v>0</v>
      </c>
      <c r="T31" s="36">
        <f>VLOOKUP($A31,[16]HISTOFEV22!$A$6:$AU$39,28,0)</f>
        <v>0</v>
      </c>
      <c r="U31" s="36">
        <f>VLOOKUP($A31,[16]HISTOFEV22!$A$6:$AU$39,19,0)</f>
        <v>0</v>
      </c>
      <c r="V31" s="36">
        <f>VLOOKUP($A31,[16]HISTOFEV22!$A$6:$AU$39,20,0)</f>
        <v>0</v>
      </c>
      <c r="W31" s="36">
        <f>VLOOKUP($A31,[16]HISTOFEV22!$A$6:$AU$39,27,0)</f>
        <v>0</v>
      </c>
      <c r="X31" s="36">
        <f>VLOOKUP($A31,[16]HISTOFEV22!$A$6:$AU$39,33,0)</f>
        <v>0</v>
      </c>
      <c r="Y31" s="36">
        <f>VLOOKUP($A31,[16]HISTOFEV22!$A$6:$BP$39,65,0)</f>
        <v>0</v>
      </c>
      <c r="Z31" s="36"/>
      <c r="AA31" s="36">
        <f>VLOOKUP($A31,[16]HISTOFEV22!$A$6:$AU$39,43,0)</f>
        <v>0</v>
      </c>
      <c r="AB31" s="36">
        <f>VLOOKUP($A31,[16]HISTOFEV22!$A$6:$AU$39,44,0)</f>
        <v>0</v>
      </c>
      <c r="AC31" s="36">
        <f>VLOOKUP($A31,[16]HISTOFEV22!$A$6:$AU$39,47,0)</f>
        <v>0</v>
      </c>
      <c r="AD31" s="36">
        <f>VLOOKUP(A31,[16]HISTOFEV22!$A$6:$BB$36,54,0)</f>
        <v>0</v>
      </c>
      <c r="AE31" s="36">
        <f>VLOOKUP($A31,[16]HISTOFEV22!$A$6:$BZ$36,60,0)</f>
        <v>0</v>
      </c>
      <c r="AF31" s="36">
        <f>VLOOKUP($A31,[16]HISTOFEV22!$A$6:$BZ$36,61,0)</f>
        <v>0</v>
      </c>
      <c r="AG31" s="36">
        <f>VLOOKUP($A31,[16]HISTOFEV22!$A$6:$BZ$36,62,0)</f>
        <v>0</v>
      </c>
      <c r="AH31" s="36">
        <f>VLOOKUP($A31,[16]HISTOFEV22!$A$6:$BZ$36,63,0)</f>
        <v>0</v>
      </c>
      <c r="AI31" s="36">
        <f>VLOOKUP($A31,[16]HISTOFEV22!$A$6:$CA$36,64,0)</f>
        <v>0</v>
      </c>
      <c r="AJ31" s="36">
        <f>VLOOKUP($A31,[16]HISTOFEV22!$A$6:$CA$36,65,0)</f>
        <v>0</v>
      </c>
    </row>
    <row r="32" spans="1:36" x14ac:dyDescent="0.25">
      <c r="A32" s="1" t="s">
        <v>49</v>
      </c>
      <c r="B32" s="1" t="str">
        <f>VLOOKUP(A32,[15]LISTADHERENT!A$5:H$60,3,0)</f>
        <v>SIMO PIERRE</v>
      </c>
      <c r="C32" s="5"/>
      <c r="D32" s="5"/>
      <c r="E32" s="36">
        <f>VLOOKUP($A32,[16]HISTOFEV22!$A$6:$BA$39,48,0)</f>
        <v>0</v>
      </c>
      <c r="F32" s="5">
        <f>MVTJANV22!F32-MVTFEV22!E32</f>
        <v>570000</v>
      </c>
      <c r="G32" s="6">
        <f t="shared" si="0"/>
        <v>12495.92454782538</v>
      </c>
      <c r="H32" s="6">
        <f>MVTJANV22!H32+MVTJANV22!G32+K32</f>
        <v>690961.5546971946</v>
      </c>
      <c r="I32" s="36">
        <f>VLOOKUP($A32,[16]HISTOFEV22!$A$6:$AQ$37,22,0)</f>
        <v>0</v>
      </c>
      <c r="J32" s="36">
        <f>VLOOKUP($A32,[16]HISTOFEV22!$A$6:$AU$39,45,0)</f>
        <v>32000</v>
      </c>
      <c r="K32" s="36">
        <f t="shared" si="1"/>
        <v>28000</v>
      </c>
      <c r="L32" s="36">
        <f t="shared" si="2"/>
        <v>500</v>
      </c>
      <c r="M32" s="36">
        <f t="shared" si="3"/>
        <v>1000</v>
      </c>
      <c r="N32" s="36">
        <f t="shared" si="4"/>
        <v>2500</v>
      </c>
      <c r="O32" s="36">
        <f>VLOOKUP($A32,[16]HISTOFEV22!$A$6:$AU$39,7,0)</f>
        <v>0</v>
      </c>
      <c r="P32" s="36">
        <f>VLOOKUP($A32,[16]HISTOFEV22!$A$6:$AU$39,23,0)</f>
        <v>0</v>
      </c>
      <c r="Q32" s="36">
        <f>VLOOKUP($A32,[16]HISTOFEV22!$A$6:$AU$39,46,0)</f>
        <v>0</v>
      </c>
      <c r="R32" s="36">
        <f>VLOOKUP($A32,[16]HISTOFEV22!$A$6:$AU$39,26,0)</f>
        <v>0</v>
      </c>
      <c r="S32" s="36">
        <f>VLOOKUP($A32,[16]HISTOFEV22!$A$6:$BG$39,58,0)</f>
        <v>0</v>
      </c>
      <c r="T32" s="36">
        <f>VLOOKUP($A32,[16]HISTOFEV22!$A$6:$AU$39,28,0)</f>
        <v>0</v>
      </c>
      <c r="U32" s="36">
        <f>VLOOKUP($A32,[16]HISTOFEV22!$A$6:$AU$39,19,0)</f>
        <v>0</v>
      </c>
      <c r="V32" s="36">
        <f>VLOOKUP($A32,[16]HISTOFEV22!$A$6:$AU$39,20,0)</f>
        <v>0</v>
      </c>
      <c r="W32" s="36">
        <f>VLOOKUP($A32,[16]HISTOFEV22!$A$6:$AU$39,27,0)</f>
        <v>0</v>
      </c>
      <c r="X32" s="36">
        <f>VLOOKUP($A32,[16]HISTOFEV22!$A$6:$AU$39,33,0)</f>
        <v>0</v>
      </c>
      <c r="Y32" s="36">
        <f>VLOOKUP($A32,[16]HISTOFEV22!$A$6:$BP$39,65,0)</f>
        <v>0</v>
      </c>
      <c r="Z32" s="36"/>
      <c r="AA32" s="36">
        <f>VLOOKUP($A32,[16]HISTOFEV22!$A$6:$AU$39,43,0)</f>
        <v>0</v>
      </c>
      <c r="AB32" s="36">
        <f>VLOOKUP($A32,[16]HISTOFEV22!$A$6:$AU$39,44,0)</f>
        <v>0</v>
      </c>
      <c r="AC32" s="36">
        <f>VLOOKUP($A32,[16]HISTOFEV22!$A$6:$AU$39,47,0)</f>
        <v>0</v>
      </c>
      <c r="AD32" s="36">
        <f>VLOOKUP(A32,[16]HISTOFEV22!$A$6:$BB$36,54,0)</f>
        <v>0</v>
      </c>
      <c r="AE32" s="36">
        <f>VLOOKUP($A32,[16]HISTOFEV22!$A$6:$BZ$36,60,0)</f>
        <v>0</v>
      </c>
      <c r="AF32" s="36">
        <f>VLOOKUP($A32,[16]HISTOFEV22!$A$6:$BZ$36,61,0)</f>
        <v>0</v>
      </c>
      <c r="AG32" s="36">
        <f>VLOOKUP($A32,[16]HISTOFEV22!$A$6:$BZ$36,62,0)</f>
        <v>0</v>
      </c>
      <c r="AH32" s="36">
        <f>VLOOKUP($A32,[16]HISTOFEV22!$A$6:$BZ$36,63,0)</f>
        <v>0</v>
      </c>
      <c r="AI32" s="36">
        <f>VLOOKUP($A32,[16]HISTOFEV22!$A$6:$CA$36,64,0)</f>
        <v>0</v>
      </c>
      <c r="AJ32" s="36">
        <f>VLOOKUP($A32,[16]HISTOFEV22!$A$6:$CA$36,65,0)</f>
        <v>0</v>
      </c>
    </row>
    <row r="33" spans="1:36" x14ac:dyDescent="0.25">
      <c r="A33" s="1" t="s">
        <v>51</v>
      </c>
      <c r="B33" s="1" t="str">
        <f>VLOOKUP(A33,[15]LISTADHERENT!A$5:H$60,3,0)</f>
        <v>TCHOUAMOU MATHIEU</v>
      </c>
      <c r="C33" s="5"/>
      <c r="D33" s="5"/>
      <c r="E33" s="36">
        <f>VLOOKUP($A33,[16]HISTOFEV22!$A$6:$BA$39,48,0)</f>
        <v>0</v>
      </c>
      <c r="F33" s="5">
        <f>MVTJANV22!F33-MVTFEV22!E33</f>
        <v>570000</v>
      </c>
      <c r="G33" s="6">
        <f t="shared" si="0"/>
        <v>11140.122958938724</v>
      </c>
      <c r="H33" s="6">
        <f>MVTJANV22!H33+MVTJANV22!G33+K33</f>
        <v>615992.57019887841</v>
      </c>
      <c r="I33" s="36">
        <f>VLOOKUP($A33,[16]HISTOFEV22!$A$6:$AQ$37,22,0)</f>
        <v>0</v>
      </c>
      <c r="J33" s="36">
        <f>VLOOKUP($A33,[16]HISTOFEV22!$A$6:$AU$39,45,0)</f>
        <v>7000</v>
      </c>
      <c r="K33" s="36">
        <f t="shared" si="1"/>
        <v>3000</v>
      </c>
      <c r="L33" s="36">
        <f t="shared" si="2"/>
        <v>500</v>
      </c>
      <c r="M33" s="36">
        <f t="shared" si="3"/>
        <v>1000</v>
      </c>
      <c r="N33" s="36">
        <f t="shared" si="4"/>
        <v>2500</v>
      </c>
      <c r="O33" s="36">
        <f>VLOOKUP($A33,[16]HISTOFEV22!$A$6:$AU$39,7,0)</f>
        <v>0</v>
      </c>
      <c r="P33" s="36">
        <f>VLOOKUP($A33,[16]HISTOFEV22!$A$6:$AU$39,23,0)</f>
        <v>0</v>
      </c>
      <c r="Q33" s="36">
        <f>VLOOKUP($A33,[16]HISTOFEV22!$A$6:$AU$39,46,0)</f>
        <v>0</v>
      </c>
      <c r="R33" s="36">
        <f>VLOOKUP($A33,[16]HISTOFEV22!$A$6:$AU$39,26,0)</f>
        <v>0</v>
      </c>
      <c r="S33" s="36">
        <f>VLOOKUP($A33,[16]HISTOFEV22!$A$6:$BG$39,58,0)</f>
        <v>0</v>
      </c>
      <c r="T33" s="36">
        <f>VLOOKUP($A33,[16]HISTOFEV22!$A$6:$AU$39,28,0)</f>
        <v>0</v>
      </c>
      <c r="U33" s="36">
        <f>VLOOKUP($A33,[16]HISTOFEV22!$A$6:$AU$39,19,0)</f>
        <v>0</v>
      </c>
      <c r="V33" s="36">
        <f>VLOOKUP($A33,[16]HISTOFEV22!$A$6:$AU$39,20,0)</f>
        <v>0</v>
      </c>
      <c r="W33" s="36">
        <f>VLOOKUP($A33,[16]HISTOFEV22!$A$6:$AU$39,27,0)</f>
        <v>0</v>
      </c>
      <c r="X33" s="36">
        <f>VLOOKUP($A33,[16]HISTOFEV22!$A$6:$AU$39,33,0)</f>
        <v>0</v>
      </c>
      <c r="Y33" s="36">
        <f>VLOOKUP($A33,[16]HISTOFEV22!$A$6:$BP$39,65,0)</f>
        <v>0</v>
      </c>
      <c r="Z33" s="36"/>
      <c r="AA33" s="36">
        <f>VLOOKUP($A33,[16]HISTOFEV22!$A$6:$AU$39,43,0)</f>
        <v>0</v>
      </c>
      <c r="AB33" s="36">
        <f>VLOOKUP($A33,[16]HISTOFEV22!$A$6:$AU$39,44,0)</f>
        <v>0</v>
      </c>
      <c r="AC33" s="36">
        <f>VLOOKUP($A33,[16]HISTOFEV22!$A$6:$AU$39,47,0)</f>
        <v>0</v>
      </c>
      <c r="AD33" s="36">
        <f>VLOOKUP(A33,[16]HISTOFEV22!$A$6:$BB$36,54,0)</f>
        <v>0</v>
      </c>
      <c r="AE33" s="36">
        <f>VLOOKUP($A33,[16]HISTOFEV22!$A$6:$BZ$36,60,0)</f>
        <v>0</v>
      </c>
      <c r="AF33" s="36">
        <f>VLOOKUP($A33,[16]HISTOFEV22!$A$6:$BZ$36,61,0)</f>
        <v>0</v>
      </c>
      <c r="AG33" s="36">
        <f>VLOOKUP($A33,[16]HISTOFEV22!$A$6:$BZ$36,62,0)</f>
        <v>0</v>
      </c>
      <c r="AH33" s="36">
        <f>VLOOKUP($A33,[16]HISTOFEV22!$A$6:$BZ$36,63,0)</f>
        <v>0</v>
      </c>
      <c r="AI33" s="36">
        <f>VLOOKUP($A33,[16]HISTOFEV22!$A$6:$CA$36,64,0)</f>
        <v>0</v>
      </c>
      <c r="AJ33" s="36">
        <f>VLOOKUP($A33,[16]HISTOFEV22!$A$6:$CA$36,65,0)</f>
        <v>0</v>
      </c>
    </row>
    <row r="34" spans="1:36" x14ac:dyDescent="0.25">
      <c r="A34" s="1" t="s">
        <v>54</v>
      </c>
      <c r="B34" s="1" t="str">
        <f>VLOOKUP(A34,[15]LISTADHERENT!A$5:H$60,3,0)</f>
        <v>TIEYAM ERNEST</v>
      </c>
      <c r="C34" s="5"/>
      <c r="D34" s="5"/>
      <c r="E34" s="36">
        <f>VLOOKUP($A34,[16]HISTOFEV22!$A$6:$BA$39,48,0)</f>
        <v>0</v>
      </c>
      <c r="F34" s="5">
        <f>MVTJANV22!F34-MVTFEV22!E34</f>
        <v>535508.27831700875</v>
      </c>
      <c r="G34" s="6">
        <f t="shared" si="0"/>
        <v>0</v>
      </c>
      <c r="H34" s="6">
        <f>MVTJANV22!H34+MVTJANV22!G34+K34</f>
        <v>0</v>
      </c>
      <c r="I34" s="36">
        <f>VLOOKUP($A34,[16]HISTOFEV22!$A$6:$AQ$37,22,0)</f>
        <v>0</v>
      </c>
      <c r="J34" s="36">
        <f>VLOOKUP($A34,[16]HISTOFEV22!$A$6:$AU$39,45,0)</f>
        <v>0</v>
      </c>
      <c r="K34" s="36">
        <f t="shared" si="1"/>
        <v>0</v>
      </c>
      <c r="L34" s="36">
        <f t="shared" si="2"/>
        <v>0</v>
      </c>
      <c r="M34" s="36">
        <f t="shared" si="3"/>
        <v>0</v>
      </c>
      <c r="N34" s="36">
        <f t="shared" si="4"/>
        <v>0</v>
      </c>
      <c r="O34" s="36">
        <f>VLOOKUP($A34,[16]HISTOFEV22!$A$6:$AU$39,7,0)</f>
        <v>0</v>
      </c>
      <c r="P34" s="36">
        <f>VLOOKUP($A34,[16]HISTOFEV22!$A$6:$AU$39,23,0)</f>
        <v>0</v>
      </c>
      <c r="Q34" s="36">
        <f>VLOOKUP($A34,[16]HISTOFEV22!$A$6:$AU$39,46,0)</f>
        <v>0</v>
      </c>
      <c r="R34" s="36">
        <f>VLOOKUP($A34,[16]HISTOFEV22!$A$6:$AU$39,26,0)</f>
        <v>0</v>
      </c>
      <c r="S34" s="36">
        <f>VLOOKUP($A34,[16]HISTOFEV22!$A$6:$BG$39,58,0)</f>
        <v>0</v>
      </c>
      <c r="T34" s="36">
        <f>VLOOKUP($A34,[16]HISTOFEV22!$A$6:$AU$39,28,0)</f>
        <v>0</v>
      </c>
      <c r="U34" s="36">
        <f>VLOOKUP($A34,[16]HISTOFEV22!$A$6:$AU$39,19,0)</f>
        <v>0</v>
      </c>
      <c r="V34" s="36">
        <f>VLOOKUP($A34,[16]HISTOFEV22!$A$6:$AU$39,20,0)</f>
        <v>0</v>
      </c>
      <c r="W34" s="36">
        <f>VLOOKUP($A34,[16]HISTOFEV22!$A$6:$AU$39,27,0)</f>
        <v>0</v>
      </c>
      <c r="X34" s="36">
        <f>VLOOKUP($A34,[16]HISTOFEV22!$A$6:$AU$39,33,0)</f>
        <v>0</v>
      </c>
      <c r="Y34" s="36">
        <f>VLOOKUP($A34,[16]HISTOFEV22!$A$6:$BP$39,65,0)</f>
        <v>0</v>
      </c>
      <c r="Z34" s="36"/>
      <c r="AA34" s="36">
        <f>VLOOKUP($A34,[16]HISTOFEV22!$A$6:$AU$39,43,0)</f>
        <v>0</v>
      </c>
      <c r="AB34" s="36">
        <f>VLOOKUP($A34,[16]HISTOFEV22!$A$6:$AU$39,44,0)</f>
        <v>0</v>
      </c>
      <c r="AC34" s="36">
        <f>VLOOKUP($A34,[16]HISTOFEV22!$A$6:$AU$39,47,0)</f>
        <v>0</v>
      </c>
      <c r="AD34" s="36">
        <f>VLOOKUP(A34,[16]HISTOFEV22!$A$6:$BB$36,54,0)</f>
        <v>0</v>
      </c>
      <c r="AE34" s="36">
        <f>VLOOKUP($A34,[16]HISTOFEV22!$A$6:$BZ$36,60,0)</f>
        <v>0</v>
      </c>
      <c r="AF34" s="36">
        <f>VLOOKUP($A34,[16]HISTOFEV22!$A$6:$BZ$36,61,0)</f>
        <v>0</v>
      </c>
      <c r="AG34" s="36">
        <f>VLOOKUP($A34,[16]HISTOFEV22!$A$6:$BZ$36,62,0)</f>
        <v>0</v>
      </c>
      <c r="AH34" s="36">
        <f>VLOOKUP($A34,[16]HISTOFEV22!$A$6:$BZ$36,63,0)</f>
        <v>0</v>
      </c>
      <c r="AI34" s="36">
        <f>VLOOKUP($A34,[16]HISTOFEV22!$A$6:$CA$36,64,0)</f>
        <v>0</v>
      </c>
      <c r="AJ34" s="36">
        <f>VLOOKUP($A34,[16]HISTOFEV22!$A$6:$CA$36,65,0)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VLOOKUP($A35,[16]HISTOFEV22!$A$6:$BA$39,48,0)</f>
        <v>0</v>
      </c>
      <c r="F35" s="5">
        <f>MVTJANV22!F35-MVTFEV22!E35</f>
        <v>570000</v>
      </c>
      <c r="G35" s="6">
        <f t="shared" si="0"/>
        <v>26543.978741068186</v>
      </c>
      <c r="H35" s="6">
        <f>MVTJANV22!H35+MVTJANV22!G35+K35</f>
        <v>1467748.0444589874</v>
      </c>
      <c r="I35" s="36">
        <f>VLOOKUP($A35,[16]HISTOFEV22!$A$6:$AQ$37,22,0)</f>
        <v>0</v>
      </c>
      <c r="J35" s="36">
        <f>VLOOKUP($A35,[16]HISTOFEV22!$A$6:$AU$39,45,0)</f>
        <v>7000</v>
      </c>
      <c r="K35" s="36">
        <f t="shared" si="1"/>
        <v>3000</v>
      </c>
      <c r="L35" s="36">
        <f t="shared" si="2"/>
        <v>500</v>
      </c>
      <c r="M35" s="36">
        <f t="shared" si="3"/>
        <v>1000</v>
      </c>
      <c r="N35" s="36">
        <f t="shared" si="4"/>
        <v>2500</v>
      </c>
      <c r="O35" s="36">
        <f>VLOOKUP($A35,[16]HISTOFEV22!$A$6:$AU$39,7,0)</f>
        <v>0</v>
      </c>
      <c r="P35" s="36">
        <f>VLOOKUP($A35,[16]HISTOFEV22!$A$6:$AU$39,23,0)</f>
        <v>0</v>
      </c>
      <c r="Q35" s="36">
        <f>VLOOKUP($A35,[16]HISTOFEV22!$A$6:$AU$39,46,0)</f>
        <v>0</v>
      </c>
      <c r="R35" s="36">
        <f>VLOOKUP($A35,[16]HISTOFEV22!$A$6:$AU$39,26,0)</f>
        <v>0</v>
      </c>
      <c r="S35" s="36">
        <f>VLOOKUP($A35,[16]HISTOFEV22!$A$6:$BG$39,58,0)</f>
        <v>0</v>
      </c>
      <c r="T35" s="36">
        <f>VLOOKUP($A35,[16]HISTOFEV22!$A$6:$AU$39,28,0)</f>
        <v>0</v>
      </c>
      <c r="U35" s="36">
        <f>VLOOKUP($A35,[16]HISTOFEV22!$A$6:$AU$39,19,0)</f>
        <v>0</v>
      </c>
      <c r="V35" s="36">
        <f>VLOOKUP($A35,[16]HISTOFEV22!$A$6:$AU$39,20,0)</f>
        <v>0</v>
      </c>
      <c r="W35" s="36">
        <f>VLOOKUP($A35,[16]HISTOFEV22!$A$6:$AU$39,27,0)</f>
        <v>0</v>
      </c>
      <c r="X35" s="36">
        <f>VLOOKUP($A35,[16]HISTOFEV22!$A$6:$AU$39,33,0)</f>
        <v>0</v>
      </c>
      <c r="Y35" s="36">
        <f>VLOOKUP($A35,[16]HISTOFEV22!$A$6:$BP$39,65,0)</f>
        <v>0</v>
      </c>
      <c r="Z35" s="36"/>
      <c r="AA35" s="36">
        <f>VLOOKUP($A35,[16]HISTOFEV22!$A$6:$AU$39,43,0)</f>
        <v>0</v>
      </c>
      <c r="AB35" s="36">
        <f>VLOOKUP($A35,[16]HISTOFEV22!$A$6:$AU$39,44,0)</f>
        <v>0</v>
      </c>
      <c r="AC35" s="36">
        <f>VLOOKUP($A35,[16]HISTOFEV22!$A$6:$AU$39,47,0)</f>
        <v>0</v>
      </c>
      <c r="AD35" s="36">
        <f>VLOOKUP(A35,[16]HISTOFEV22!$A$6:$BB$36,54,0)</f>
        <v>0</v>
      </c>
      <c r="AE35" s="36">
        <f>VLOOKUP($A35,[16]HISTOFEV22!$A$6:$BZ$36,60,0)</f>
        <v>0</v>
      </c>
      <c r="AF35" s="36">
        <f>VLOOKUP($A35,[16]HISTOFEV22!$A$6:$BZ$36,61,0)</f>
        <v>0</v>
      </c>
      <c r="AG35" s="36">
        <f>VLOOKUP($A35,[16]HISTOFEV22!$A$6:$BZ$36,62,0)</f>
        <v>0</v>
      </c>
      <c r="AH35" s="36">
        <f>VLOOKUP($A35,[16]HISTOFEV22!$A$6:$BZ$36,63,0)</f>
        <v>0</v>
      </c>
      <c r="AI35" s="36">
        <f>VLOOKUP($A35,[16]HISTOFEV22!$A$6:$CA$36,64,0)</f>
        <v>0</v>
      </c>
      <c r="AJ35" s="36">
        <f>VLOOKUP($A35,[16]HISTOFEV22!$A$6:$CA$36,65,0)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VLOOKUP($A36,[16]HISTOFEV22!$A$6:$BA$39,48,0)</f>
        <v>0</v>
      </c>
      <c r="F36" s="5">
        <f>MVTJANV22!F36-MVTFEV22!E36</f>
        <v>570000</v>
      </c>
      <c r="G36" s="6">
        <f t="shared" si="0"/>
        <v>28499.280154773445</v>
      </c>
      <c r="H36" s="6">
        <f>MVTJANV22!H36+MVTJANV22!G36+K36</f>
        <v>1575866.3433127145</v>
      </c>
      <c r="I36" s="36">
        <f>VLOOKUP($A36,[16]HISTOFEV22!$A$6:$AQ$37,22,0)</f>
        <v>0</v>
      </c>
      <c r="J36" s="36">
        <f>VLOOKUP($A36,[16]HISTOFEV22!$A$6:$AU$39,45,0)</f>
        <v>7000</v>
      </c>
      <c r="K36" s="36">
        <f t="shared" si="1"/>
        <v>3000</v>
      </c>
      <c r="L36" s="36">
        <f t="shared" si="2"/>
        <v>500</v>
      </c>
      <c r="M36" s="36">
        <f t="shared" si="3"/>
        <v>1000</v>
      </c>
      <c r="N36" s="36">
        <f t="shared" si="4"/>
        <v>2500</v>
      </c>
      <c r="O36" s="36">
        <f>VLOOKUP($A36,[16]HISTOFEV22!$A$6:$AU$39,7,0)</f>
        <v>0</v>
      </c>
      <c r="P36" s="36">
        <f>VLOOKUP($A36,[16]HISTOFEV22!$A$6:$AU$39,23,0)</f>
        <v>0</v>
      </c>
      <c r="Q36" s="36">
        <f>VLOOKUP($A36,[16]HISTOFEV22!$A$6:$AU$39,46,0)</f>
        <v>0</v>
      </c>
      <c r="R36" s="36">
        <f>VLOOKUP($A36,[16]HISTOFEV22!$A$6:$AU$39,26,0)</f>
        <v>0</v>
      </c>
      <c r="S36" s="36">
        <f>VLOOKUP($A36,[16]HISTOFEV22!$A$6:$BG$39,58,0)</f>
        <v>0</v>
      </c>
      <c r="T36" s="36">
        <f>VLOOKUP($A36,[16]HISTOFEV22!$A$6:$AU$39,28,0)</f>
        <v>0</v>
      </c>
      <c r="U36" s="36">
        <f>VLOOKUP($A36,[16]HISTOFEV22!$A$6:$AU$39,19,0)</f>
        <v>0</v>
      </c>
      <c r="V36" s="36">
        <f>VLOOKUP($A36,[16]HISTOFEV22!$A$6:$AU$39,20,0)</f>
        <v>0</v>
      </c>
      <c r="W36" s="36">
        <f>VLOOKUP($A36,[16]HISTOFEV22!$A$6:$AU$39,27,0)</f>
        <v>0</v>
      </c>
      <c r="X36" s="36">
        <f>VLOOKUP($A36,[16]HISTOFEV22!$A$6:$AU$39,33,0)</f>
        <v>0</v>
      </c>
      <c r="Y36" s="36">
        <f>VLOOKUP($A36,[16]HISTOFEV22!$A$6:$BP$39,65,0)</f>
        <v>0</v>
      </c>
      <c r="Z36" s="36"/>
      <c r="AA36" s="36">
        <f>VLOOKUP($A36,[16]HISTOFEV22!$A$6:$AU$39,43,0)</f>
        <v>0</v>
      </c>
      <c r="AB36" s="36">
        <f>VLOOKUP($A36,[16]HISTOFEV22!$A$6:$AU$39,44,0)</f>
        <v>0</v>
      </c>
      <c r="AC36" s="36">
        <f>VLOOKUP($A36,[16]HISTOFEV22!$A$6:$AU$39,47,0)</f>
        <v>0</v>
      </c>
      <c r="AD36" s="36">
        <f>VLOOKUP(A36,[16]HISTOFEV22!$A$6:$BB$36,54,0)</f>
        <v>0</v>
      </c>
      <c r="AE36" s="36">
        <f>VLOOKUP($A36,[16]HISTOFEV22!$A$6:$BZ$36,60,0)</f>
        <v>0</v>
      </c>
      <c r="AF36" s="36">
        <f>VLOOKUP($A36,[16]HISTOFEV22!$A$6:$BZ$36,61,0)</f>
        <v>0</v>
      </c>
      <c r="AG36" s="36">
        <f>VLOOKUP($A36,[16]HISTOFEV22!$A$6:$BZ$36,62,0)</f>
        <v>0</v>
      </c>
      <c r="AH36" s="36">
        <f>VLOOKUP($A36,[16]HISTOFEV22!$A$6:$BZ$36,63,0)</f>
        <v>0</v>
      </c>
      <c r="AI36" s="36">
        <f>VLOOKUP($A36,[16]HISTOFEV22!$A$6:$CA$36,64,0)</f>
        <v>0</v>
      </c>
      <c r="AJ36" s="36">
        <f>VLOOKUP($A36,[16]HISTOFEV22!$A$6:$CA$36,65,0)</f>
        <v>0</v>
      </c>
    </row>
    <row r="37" spans="1:36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H40" si="5">SUM(C6:C39)</f>
        <v>0</v>
      </c>
      <c r="D40" s="9">
        <f t="shared" si="5"/>
        <v>0</v>
      </c>
      <c r="E40" s="9">
        <f t="shared" si="5"/>
        <v>0</v>
      </c>
      <c r="F40" s="9">
        <f t="shared" si="5"/>
        <v>17584659.561375875</v>
      </c>
      <c r="G40" s="9">
        <f>SUM(G6:G39)</f>
        <v>354999.99999999988</v>
      </c>
      <c r="H40" s="9">
        <f t="shared" si="5"/>
        <v>19629708.148341153</v>
      </c>
      <c r="I40" s="9">
        <f t="shared" si="5"/>
        <v>0</v>
      </c>
      <c r="J40" s="9">
        <f t="shared" si="5"/>
        <v>301000</v>
      </c>
      <c r="K40" s="9">
        <f t="shared" si="5"/>
        <v>197000</v>
      </c>
      <c r="L40" s="9">
        <f t="shared" si="5"/>
        <v>13000</v>
      </c>
      <c r="M40" s="9">
        <f t="shared" si="5"/>
        <v>26000</v>
      </c>
      <c r="N40" s="9">
        <f t="shared" si="5"/>
        <v>65000</v>
      </c>
      <c r="O40" s="9">
        <f t="shared" si="5"/>
        <v>12000</v>
      </c>
      <c r="P40" s="9">
        <f t="shared" si="5"/>
        <v>0</v>
      </c>
      <c r="Q40" s="9">
        <f t="shared" si="5"/>
        <v>0</v>
      </c>
      <c r="R40" s="9">
        <f t="shared" si="5"/>
        <v>3050000</v>
      </c>
      <c r="S40" s="9">
        <f>SUM(S6:S39)+AI40</f>
        <v>355000</v>
      </c>
      <c r="T40" s="9">
        <f t="shared" si="5"/>
        <v>0</v>
      </c>
      <c r="U40" s="9">
        <f t="shared" si="5"/>
        <v>1525000</v>
      </c>
      <c r="V40" s="9">
        <f t="shared" si="5"/>
        <v>0</v>
      </c>
      <c r="W40" s="9">
        <f t="shared" si="5"/>
        <v>0</v>
      </c>
      <c r="X40" s="9">
        <f t="shared" si="5"/>
        <v>0</v>
      </c>
      <c r="Y40" s="9">
        <f t="shared" si="5"/>
        <v>0</v>
      </c>
      <c r="Z40" s="9">
        <f t="shared" si="5"/>
        <v>0</v>
      </c>
      <c r="AA40" s="9">
        <f t="shared" si="5"/>
        <v>0</v>
      </c>
      <c r="AB40" s="9">
        <f t="shared" si="5"/>
        <v>0</v>
      </c>
      <c r="AC40" s="9">
        <f t="shared" si="5"/>
        <v>0</v>
      </c>
      <c r="AD40" s="9">
        <f t="shared" si="5"/>
        <v>70000</v>
      </c>
      <c r="AE40" s="9">
        <f t="shared" si="5"/>
        <v>6000</v>
      </c>
      <c r="AF40" s="9">
        <f t="shared" si="5"/>
        <v>0</v>
      </c>
      <c r="AG40" s="9">
        <f t="shared" si="5"/>
        <v>0</v>
      </c>
      <c r="AH40" s="9">
        <f t="shared" si="5"/>
        <v>70000</v>
      </c>
      <c r="AI40" s="9">
        <f>SUM(AI6:AI39)</f>
        <v>155000</v>
      </c>
      <c r="AJ40" s="9">
        <f>SUM(AJ6:AJ39)</f>
        <v>0</v>
      </c>
    </row>
  </sheetData>
  <autoFilter ref="A5:U36">
    <sortState ref="A5:L48">
      <sortCondition ref="B5:B48"/>
    </sortState>
  </autoFilter>
  <mergeCells count="1">
    <mergeCell ref="J4:O4"/>
  </mergeCells>
  <dataValidations disablePrompts="1"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"/>
  <sheetViews>
    <sheetView workbookViewId="0">
      <pane xSplit="2" ySplit="5" topLeftCell="L34" activePane="bottomRight" state="frozen"/>
      <selection activeCell="B43" sqref="B43"/>
      <selection pane="topRight" activeCell="B43" sqref="B43"/>
      <selection pane="bottomLeft" activeCell="B43" sqref="B43"/>
      <selection pane="bottomRight" activeCell="S40" sqref="S40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5" bestFit="1" customWidth="1"/>
    <col min="19" max="19" width="15" customWidth="1"/>
    <col min="20" max="21" width="18.140625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03"/>
      <c r="J4" s="146">
        <v>44637</v>
      </c>
      <c r="K4" s="146"/>
      <c r="L4" s="146"/>
      <c r="M4" s="146"/>
      <c r="N4" s="146"/>
      <c r="O4" s="146"/>
      <c r="P4"/>
      <c r="Q4"/>
      <c r="AJ4" s="108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84" t="s">
        <v>10</v>
      </c>
      <c r="AF5" s="84" t="s">
        <v>11</v>
      </c>
      <c r="AG5" s="84" t="s">
        <v>307</v>
      </c>
      <c r="AH5" s="84" t="s">
        <v>273</v>
      </c>
      <c r="AI5" s="4" t="s">
        <v>65</v>
      </c>
      <c r="AJ5" s="84" t="s">
        <v>278</v>
      </c>
    </row>
    <row r="6" spans="1:36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MVTFEV22!F6-MVTMARS22!E6</f>
        <v>584177.00555049011</v>
      </c>
      <c r="G6" s="6">
        <f t="shared" ref="G6" si="0">$S$40/$H$40*H6</f>
        <v>2488.9069171837573</v>
      </c>
      <c r="H6" s="6">
        <f>MVTFEV22!H6+MVTFEV22!G6+K6</f>
        <v>629404.36812415114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VLOOKUP($A6,[16]HISTOMARS22!$A$6:$CA$36,60,0)</f>
        <v>18000</v>
      </c>
      <c r="AF6" s="36">
        <f>VLOOKUP($A6,[16]HISTOMARS22!$A$6:$CA$36,61,0)</f>
        <v>0</v>
      </c>
      <c r="AG6" s="36">
        <f>VLOOKUP($A6,[16]HISTOMARS22!$A$6:$CA$36,62,0)</f>
        <v>0</v>
      </c>
      <c r="AH6" s="36">
        <f>VLOOKUP($A6,[16]HISTOMARS22!$A$6:$CA$36,63,0)</f>
        <v>0</v>
      </c>
      <c r="AI6" s="36">
        <f>VLOOKUP($A6,[16]HISTOMARS22!$A$6:$CA$36,64,0)</f>
        <v>0</v>
      </c>
      <c r="AJ6" s="36">
        <f>VLOOKUP($A6,[16]HISTOMARS22!$A$6:$CA$36,65,0)</f>
        <v>0</v>
      </c>
    </row>
    <row r="7" spans="1:36" x14ac:dyDescent="0.25">
      <c r="A7" s="1" t="s">
        <v>19</v>
      </c>
      <c r="B7" s="1" t="str">
        <f>VLOOKUP(A7,[15]LISTADHERENT!A$5:H$60,3,0)</f>
        <v>BOUTCHOUANG WILLIAM</v>
      </c>
      <c r="C7" s="5"/>
      <c r="D7" s="5"/>
      <c r="E7" s="36">
        <f>VLOOKUP($A7,[16]HISTOMARS22!$A$6:$BA$39,48,0)</f>
        <v>0</v>
      </c>
      <c r="F7" s="5">
        <f>MVTFEV22!F7-MVTMARS22!E7</f>
        <v>570000</v>
      </c>
      <c r="G7" s="6">
        <f t="shared" ref="G7:G36" si="1">$S$40/$H$40*H7</f>
        <v>2464.1245211765995</v>
      </c>
      <c r="H7" s="6">
        <f>MVTFEV22!H7+MVTFEV22!G7+K7</f>
        <v>623137.30036368337</v>
      </c>
      <c r="I7" s="36">
        <f>VLOOKUP($A7,[16]HISTOMARS22!$A$6:$AQ$37,22,0)</f>
        <v>0</v>
      </c>
      <c r="J7" s="36">
        <f>VLOOKUP($A7,[16]HISTOMARS22!$A$6:$AU$39,45,0)</f>
        <v>7000</v>
      </c>
      <c r="K7" s="36">
        <f t="shared" ref="K7:K36" si="2">IF(J7=0,0,J7-(L7+M7+N7))</f>
        <v>3000</v>
      </c>
      <c r="L7" s="36">
        <f t="shared" ref="L7:L36" si="3">IF(J7=0,0,500)</f>
        <v>500</v>
      </c>
      <c r="M7" s="36">
        <f t="shared" ref="M7:M36" si="4">IF(J7=0,0,1000)</f>
        <v>1000</v>
      </c>
      <c r="N7" s="36">
        <f t="shared" ref="N7:N36" si="5">IF(J7=0,0,2500)</f>
        <v>2500</v>
      </c>
      <c r="O7" s="36">
        <f>VLOOKUP($A7,[16]HISTOMARS22!$A$6:$AU$39,7,0)</f>
        <v>0</v>
      </c>
      <c r="P7" s="36">
        <f>VLOOKUP($A7,[16]HISTOMARS22!$A$6:$AU$39,23,0)</f>
        <v>0</v>
      </c>
      <c r="Q7" s="36">
        <f>VLOOKUP($A7,[16]HISTOMARS22!$A$6:$AU$39,46,0)</f>
        <v>0</v>
      </c>
      <c r="R7" s="36">
        <f>VLOOKUP($A7,[16]HISTOMARS22!$A$6:$AU$39,26,0)</f>
        <v>500000</v>
      </c>
      <c r="S7" s="36">
        <f>VLOOKUP($A7,[16]HISTOMARS22!$A$6:$BG$39,58,0)</f>
        <v>25000</v>
      </c>
      <c r="T7" s="36">
        <f>VLOOKUP($A7,[16]HISTOMARS22!$A$6:$AU$39,28,0)</f>
        <v>0</v>
      </c>
      <c r="U7" s="36">
        <f>VLOOKUP($A7,[16]HISTOMARS22!$A$6:$AU$39,19,0)</f>
        <v>0</v>
      </c>
      <c r="V7" s="36">
        <f>VLOOKUP($A7,[16]HISTOMARS22!$A$6:$AU$39,20,0)</f>
        <v>0</v>
      </c>
      <c r="W7" s="36" t="str">
        <f>VLOOKUP($A7,[16]HISTOMARS22!$A$6:$AU$39,27,0)</f>
        <v>BANQUE</v>
      </c>
      <c r="X7" s="36">
        <f>VLOOKUP($A7,[16]HISTOMARS22!$A$6:$AU$39,33,0)</f>
        <v>0</v>
      </c>
      <c r="Y7" s="36">
        <f>VLOOKUP($A7,[16]HISTOMARS22!$A$6:$BP$39,65,0)</f>
        <v>0</v>
      </c>
      <c r="Z7" s="36"/>
      <c r="AA7" s="36">
        <f>VLOOKUP($A7,[16]HISTOMARS22!$A$6:$AU$39,43,0)</f>
        <v>0</v>
      </c>
      <c r="AB7" s="36">
        <f>VLOOKUP($A7,[16]HISTOMARS22!$A$6:$AU$39,44,0)</f>
        <v>0</v>
      </c>
      <c r="AC7" s="36">
        <f>VLOOKUP($A7,[16]HISTOMARS22!$A$6:$AU$39,47,0)</f>
        <v>0</v>
      </c>
      <c r="AD7" s="36">
        <f>VLOOKUP(A7,[16]HISTOMARS22!$A$6:$BB$36,54,0)</f>
        <v>0</v>
      </c>
      <c r="AE7" s="36">
        <f>VLOOKUP($A7,[16]HISTOMARS22!$A$6:$CA$36,60,0)</f>
        <v>0</v>
      </c>
      <c r="AF7" s="36">
        <f>VLOOKUP($A7,[16]HISTOMARS22!$A$6:$CA$36,61,0)</f>
        <v>0</v>
      </c>
      <c r="AG7" s="36">
        <f>VLOOKUP($A7,[16]HISTOMARS22!$A$6:$CA$36,62,0)</f>
        <v>0</v>
      </c>
      <c r="AH7" s="36">
        <f>VLOOKUP($A7,[16]HISTOMARS22!$A$6:$CA$36,63,0)</f>
        <v>0</v>
      </c>
      <c r="AI7" s="36">
        <f>VLOOKUP($A7,[16]HISTOMARS22!$A$6:$CA$36,64,0)</f>
        <v>0</v>
      </c>
      <c r="AJ7" s="36">
        <f>VLOOKUP($A7,[16]HISTOMARS22!$A$6:$CA$36,65,0)</f>
        <v>0</v>
      </c>
    </row>
    <row r="8" spans="1:36" x14ac:dyDescent="0.25">
      <c r="A8" s="1" t="s">
        <v>23</v>
      </c>
      <c r="B8" s="1" t="str">
        <f>VLOOKUP(A8,[15]LISTADHERENT!A$5:H$60,3,0)</f>
        <v xml:space="preserve">DJOMO JEAN PAUL </v>
      </c>
      <c r="C8" s="5"/>
      <c r="D8" s="5"/>
      <c r="E8" s="36">
        <f>VLOOKUP($A8,[16]HISTOMARS22!$A$6:$BA$39,48,0)</f>
        <v>0</v>
      </c>
      <c r="F8" s="5">
        <f>MVTFEV22!F8-MVTMARS22!E8</f>
        <v>570000</v>
      </c>
      <c r="G8" s="6">
        <f t="shared" si="1"/>
        <v>2719.9018435787257</v>
      </c>
      <c r="H8" s="6">
        <f>MVTFEV22!H8+MVTFEV22!G8+K8</f>
        <v>687819.25486970309</v>
      </c>
      <c r="I8" s="36">
        <f>VLOOKUP($A8,[16]HISTOMARS22!$A$6:$AQ$37,22,0)</f>
        <v>0</v>
      </c>
      <c r="J8" s="36">
        <f>VLOOKUP($A8,[16]HISTOMARS22!$A$6:$AU$39,45,0)</f>
        <v>17000</v>
      </c>
      <c r="K8" s="36">
        <f t="shared" si="2"/>
        <v>13000</v>
      </c>
      <c r="L8" s="36">
        <f t="shared" si="3"/>
        <v>500</v>
      </c>
      <c r="M8" s="36">
        <f t="shared" si="4"/>
        <v>1000</v>
      </c>
      <c r="N8" s="36">
        <f t="shared" si="5"/>
        <v>2500</v>
      </c>
      <c r="O8" s="36">
        <f>VLOOKUP($A8,[16]HISTOMARS22!$A$6:$AU$39,7,0)</f>
        <v>3000</v>
      </c>
      <c r="P8" s="36">
        <f>VLOOKUP($A8,[16]HISTOMARS22!$A$6:$AU$39,23,0)</f>
        <v>0</v>
      </c>
      <c r="Q8" s="36">
        <f>VLOOKUP($A8,[16]HISTOMARS22!$A$6:$AU$39,46,0)</f>
        <v>0</v>
      </c>
      <c r="R8" s="36">
        <f>VLOOKUP($A8,[16]HISTOMARS22!$A$6:$AU$39,26,0)</f>
        <v>0</v>
      </c>
      <c r="S8" s="36">
        <f>VLOOKUP($A8,[16]HISTOMARS22!$A$6:$BG$39,58,0)</f>
        <v>0</v>
      </c>
      <c r="T8" s="36">
        <f>VLOOKUP($A8,[16]HISTOMARS22!$A$6:$AU$39,28,0)</f>
        <v>0</v>
      </c>
      <c r="U8" s="36">
        <f>VLOOKUP($A8,[16]HISTOMARS22!$A$6:$AU$39,19,0)</f>
        <v>0</v>
      </c>
      <c r="V8" s="36">
        <f>VLOOKUP($A8,[16]HISTOMARS22!$A$6:$AU$39,20,0)</f>
        <v>0</v>
      </c>
      <c r="W8" s="36">
        <f>VLOOKUP($A8,[16]HISTOMARS22!$A$6:$AU$39,27,0)</f>
        <v>0</v>
      </c>
      <c r="X8" s="36">
        <f>VLOOKUP($A8,[16]HISTOMARS22!$A$6:$AU$39,33,0)</f>
        <v>0</v>
      </c>
      <c r="Y8" s="36">
        <f>VLOOKUP($A8,[16]HISTOMARS22!$A$6:$BP$39,65,0)</f>
        <v>0</v>
      </c>
      <c r="Z8" s="36"/>
      <c r="AA8" s="36">
        <f>VLOOKUP($A8,[16]HISTOMARS22!$A$6:$AU$39,43,0)</f>
        <v>0</v>
      </c>
      <c r="AB8" s="36">
        <f>VLOOKUP($A8,[16]HISTOMARS22!$A$6:$AU$39,44,0)</f>
        <v>0</v>
      </c>
      <c r="AC8" s="36">
        <f>VLOOKUP($A8,[16]HISTOMARS22!$A$6:$AU$39,47,0)</f>
        <v>0</v>
      </c>
      <c r="AD8" s="36">
        <f>VLOOKUP(A8,[16]HISTOMARS22!$A$6:$BB$36,54,0)</f>
        <v>0</v>
      </c>
      <c r="AE8" s="36">
        <f>VLOOKUP($A8,[16]HISTOMARS22!$A$6:$CA$36,60,0)</f>
        <v>0</v>
      </c>
      <c r="AF8" s="36">
        <f>VLOOKUP($A8,[16]HISTOMARS22!$A$6:$CA$36,61,0)</f>
        <v>0</v>
      </c>
      <c r="AG8" s="36">
        <f>VLOOKUP($A8,[16]HISTOMARS22!$A$6:$CA$36,62,0)</f>
        <v>0</v>
      </c>
      <c r="AH8" s="36">
        <f>VLOOKUP($A8,[16]HISTOMARS22!$A$6:$CA$36,63,0)</f>
        <v>0</v>
      </c>
      <c r="AI8" s="36">
        <f>VLOOKUP($A8,[16]HISTOMARS22!$A$6:$CA$36,64,0)</f>
        <v>0</v>
      </c>
      <c r="AJ8" s="36">
        <f>VLOOKUP($A8,[16]HISTOMARS22!$A$6:$CA$36,65,0)</f>
        <v>0</v>
      </c>
    </row>
    <row r="9" spans="1:36" x14ac:dyDescent="0.25">
      <c r="A9" s="1" t="s">
        <v>154</v>
      </c>
      <c r="B9" s="1" t="str">
        <f>VLOOKUP(A9,[15]LISTADHERENT!A$5:H$60,3,0)</f>
        <v>DJOMOU TCHANDA</v>
      </c>
      <c r="C9" s="5"/>
      <c r="D9" s="5"/>
      <c r="E9" s="36">
        <f>VLOOKUP($A9,[16]HISTOMARS22!$A$6:$BA$39,48,0)</f>
        <v>0</v>
      </c>
      <c r="F9" s="5">
        <f>MVTFEV22!F9-MVTMARS22!E9</f>
        <v>570000</v>
      </c>
      <c r="G9" s="6">
        <f t="shared" si="1"/>
        <v>2466.757270165941</v>
      </c>
      <c r="H9" s="6">
        <f>MVTFEV22!H9+MVTFEV22!G9+K9</f>
        <v>623803.08006907348</v>
      </c>
      <c r="I9" s="36">
        <f>VLOOKUP($A9,[16]HISTOMARS22!$A$6:$AQ$37,22,0)</f>
        <v>0</v>
      </c>
      <c r="J9" s="36">
        <f>VLOOKUP($A9,[16]HISTOMARS22!$A$6:$AU$39,45,0)</f>
        <v>7000</v>
      </c>
      <c r="K9" s="36">
        <f t="shared" si="2"/>
        <v>3000</v>
      </c>
      <c r="L9" s="36">
        <f t="shared" si="3"/>
        <v>500</v>
      </c>
      <c r="M9" s="36">
        <f t="shared" si="4"/>
        <v>1000</v>
      </c>
      <c r="N9" s="36">
        <f t="shared" si="5"/>
        <v>2500</v>
      </c>
      <c r="O9" s="36">
        <f>VLOOKUP($A9,[16]HISTOMARS22!$A$6:$AU$39,7,0)</f>
        <v>3000</v>
      </c>
      <c r="P9" s="36">
        <f>VLOOKUP($A9,[16]HISTOMARS22!$A$6:$AU$39,23,0)</f>
        <v>0</v>
      </c>
      <c r="Q9" s="36">
        <f>VLOOKUP($A9,[16]HISTOMARS22!$A$6:$AU$39,46,0)</f>
        <v>0</v>
      </c>
      <c r="R9" s="36">
        <f>VLOOKUP($A9,[16]HISTOMARS22!$A$6:$AU$39,26,0)</f>
        <v>0</v>
      </c>
      <c r="S9" s="36">
        <f>VLOOKUP($A9,[16]HISTOMARS22!$A$6:$BG$39,58,0)</f>
        <v>0</v>
      </c>
      <c r="T9" s="36">
        <f>VLOOKUP($A9,[16]HISTOMARS22!$A$6:$AU$39,28,0)</f>
        <v>0</v>
      </c>
      <c r="U9" s="36">
        <f>VLOOKUP($A9,[16]HISTOMARS22!$A$6:$AU$39,19,0)</f>
        <v>0</v>
      </c>
      <c r="V9" s="36">
        <f>VLOOKUP($A9,[16]HISTOMARS22!$A$6:$AU$39,20,0)</f>
        <v>0</v>
      </c>
      <c r="W9" s="36">
        <f>VLOOKUP($A9,[16]HISTOMARS22!$A$6:$AU$39,27,0)</f>
        <v>0</v>
      </c>
      <c r="X9" s="36">
        <f>VLOOKUP($A9,[16]HISTOMARS22!$A$6:$AU$39,33,0)</f>
        <v>0</v>
      </c>
      <c r="Y9" s="36">
        <f>VLOOKUP($A9,[16]HISTOMARS22!$A$6:$BP$39,65,0)</f>
        <v>0</v>
      </c>
      <c r="Z9" s="36"/>
      <c r="AA9" s="36">
        <f>VLOOKUP($A9,[16]HISTOMARS22!$A$6:$AU$39,43,0)</f>
        <v>0</v>
      </c>
      <c r="AB9" s="36">
        <f>VLOOKUP($A9,[16]HISTOMARS22!$A$6:$AU$39,44,0)</f>
        <v>0</v>
      </c>
      <c r="AC9" s="36">
        <f>VLOOKUP($A9,[16]HISTOMARS22!$A$6:$AU$39,47,0)</f>
        <v>0</v>
      </c>
      <c r="AD9" s="36">
        <f>VLOOKUP(A9,[16]HISTOMARS22!$A$6:$BB$36,54,0)</f>
        <v>0</v>
      </c>
      <c r="AE9" s="36">
        <f>VLOOKUP($A9,[16]HISTOMARS22!$A$6:$CA$36,60,0)</f>
        <v>0</v>
      </c>
      <c r="AF9" s="36">
        <f>VLOOKUP($A9,[16]HISTOMARS22!$A$6:$CA$36,61,0)</f>
        <v>0</v>
      </c>
      <c r="AG9" s="36">
        <f>VLOOKUP($A9,[16]HISTOMARS22!$A$6:$CA$36,62,0)</f>
        <v>0</v>
      </c>
      <c r="AH9" s="36">
        <f>VLOOKUP($A9,[16]HISTOMARS22!$A$6:$CA$36,63,0)</f>
        <v>0</v>
      </c>
      <c r="AI9" s="36">
        <f>VLOOKUP($A9,[16]HISTOMARS22!$A$6:$CA$36,64,0)</f>
        <v>0</v>
      </c>
      <c r="AJ9" s="36">
        <f>VLOOKUP($A9,[16]HISTOMARS22!$A$6:$CA$36,65,0)</f>
        <v>0</v>
      </c>
    </row>
    <row r="10" spans="1:36" x14ac:dyDescent="0.25">
      <c r="A10" s="1" t="s">
        <v>24</v>
      </c>
      <c r="B10" s="1" t="str">
        <f>VLOOKUP(A10,[15]LISTADHERENT!A$5:H$60,3,0)</f>
        <v>DJOUKWE NANGUEN GUY BLAISE</v>
      </c>
      <c r="C10" s="5"/>
      <c r="D10" s="5"/>
      <c r="E10" s="36">
        <f>VLOOKUP($A10,[16]HISTOMARS22!$A$6:$BA$39,48,0)</f>
        <v>0</v>
      </c>
      <c r="F10" s="5">
        <f>MVTFEV22!F10-MVTMARS22!E10</f>
        <v>570000</v>
      </c>
      <c r="G10" s="6">
        <f t="shared" si="1"/>
        <v>2956.9474060397497</v>
      </c>
      <c r="H10" s="6">
        <f>MVTFEV22!H10+MVTFEV22!G10+K10</f>
        <v>747764.24976980744</v>
      </c>
      <c r="I10" s="36">
        <f>VLOOKUP($A10,[16]HISTOMARS22!$A$6:$AQ$37,22,0)</f>
        <v>0</v>
      </c>
      <c r="J10" s="36">
        <f>VLOOKUP($A10,[16]HISTOMARS22!$A$6:$AU$39,45,0)</f>
        <v>7000</v>
      </c>
      <c r="K10" s="36">
        <f t="shared" si="2"/>
        <v>3000</v>
      </c>
      <c r="L10" s="36">
        <f t="shared" si="3"/>
        <v>500</v>
      </c>
      <c r="M10" s="36">
        <f t="shared" si="4"/>
        <v>1000</v>
      </c>
      <c r="N10" s="36">
        <f t="shared" si="5"/>
        <v>2500</v>
      </c>
      <c r="O10" s="36">
        <f>VLOOKUP($A10,[16]HISTOMARS22!$A$6:$AU$39,7,0)</f>
        <v>0</v>
      </c>
      <c r="P10" s="36">
        <f>VLOOKUP($A10,[16]HISTOMARS22!$A$6:$AU$39,23,0)</f>
        <v>0</v>
      </c>
      <c r="Q10" s="36">
        <f>VLOOKUP($A10,[16]HISTOMARS22!$A$6:$AU$39,46,0)</f>
        <v>0</v>
      </c>
      <c r="R10" s="36">
        <f>VLOOKUP($A10,[16]HISTOMARS22!$A$6:$AU$39,26,0)</f>
        <v>0</v>
      </c>
      <c r="S10" s="36">
        <f>VLOOKUP($A10,[16]HISTOMARS22!$A$6:$BG$39,58,0)</f>
        <v>0</v>
      </c>
      <c r="T10" s="36">
        <f>VLOOKUP($A10,[16]HISTOMARS22!$A$6:$AU$39,28,0)</f>
        <v>0</v>
      </c>
      <c r="U10" s="36">
        <f>VLOOKUP($A10,[16]HISTOMARS22!$A$6:$AU$39,19,0)</f>
        <v>0</v>
      </c>
      <c r="V10" s="36">
        <f>VLOOKUP($A10,[16]HISTOMARS22!$A$6:$AU$39,20,0)</f>
        <v>0</v>
      </c>
      <c r="W10" s="36">
        <f>VLOOKUP($A10,[16]HISTOMARS22!$A$6:$AU$39,27,0)</f>
        <v>0</v>
      </c>
      <c r="X10" s="36">
        <f>VLOOKUP($A10,[16]HISTOMARS22!$A$6:$AU$39,33,0)</f>
        <v>0</v>
      </c>
      <c r="Y10" s="36">
        <f>VLOOKUP($A10,[16]HISTOMARS22!$A$6:$BP$39,65,0)</f>
        <v>0</v>
      </c>
      <c r="Z10" s="36"/>
      <c r="AA10" s="36">
        <f>VLOOKUP($A10,[16]HISTOMARS22!$A$6:$AU$39,43,0)</f>
        <v>0</v>
      </c>
      <c r="AB10" s="36">
        <f>VLOOKUP($A10,[16]HISTOMARS22!$A$6:$AU$39,44,0)</f>
        <v>0</v>
      </c>
      <c r="AC10" s="36">
        <f>VLOOKUP($A10,[16]HISTOMARS22!$A$6:$AU$39,47,0)</f>
        <v>0</v>
      </c>
      <c r="AD10" s="36">
        <f>VLOOKUP(A10,[16]HISTOMARS22!$A$6:$BB$36,54,0)</f>
        <v>0</v>
      </c>
      <c r="AE10" s="36">
        <f>VLOOKUP($A10,[16]HISTOMARS22!$A$6:$CA$36,60,0)</f>
        <v>0</v>
      </c>
      <c r="AF10" s="36">
        <f>VLOOKUP($A10,[16]HISTOMARS22!$A$6:$CA$36,61,0)</f>
        <v>0</v>
      </c>
      <c r="AG10" s="36">
        <f>VLOOKUP($A10,[16]HISTOMARS22!$A$6:$CA$36,62,0)</f>
        <v>0</v>
      </c>
      <c r="AH10" s="36">
        <f>VLOOKUP($A10,[16]HISTOMARS22!$A$6:$CA$36,63,0)</f>
        <v>0</v>
      </c>
      <c r="AI10" s="36">
        <f>VLOOKUP($A10,[16]HISTOMARS22!$A$6:$CA$36,64,0)</f>
        <v>0</v>
      </c>
      <c r="AJ10" s="36">
        <f>VLOOKUP($A10,[16]HISTOMARS22!$A$6:$CA$36,65,0)</f>
        <v>0</v>
      </c>
    </row>
    <row r="11" spans="1:36" x14ac:dyDescent="0.25">
      <c r="A11" s="1" t="s">
        <v>25</v>
      </c>
      <c r="B11" s="1" t="str">
        <f>VLOOKUP(A11,[15]LISTADHERENT!A$5:H$60,3,0)</f>
        <v>DJUOMBESSY ANTOINE</v>
      </c>
      <c r="C11" s="5"/>
      <c r="D11" s="5"/>
      <c r="E11" s="36">
        <f>VLOOKUP($A11,[16]HISTOMARS22!$A$6:$BA$39,48,0)</f>
        <v>0</v>
      </c>
      <c r="F11" s="5">
        <f>MVTFEV22!F11-MVTMARS22!E11</f>
        <v>570000</v>
      </c>
      <c r="G11" s="6">
        <f t="shared" si="1"/>
        <v>2544.0853513309676</v>
      </c>
      <c r="H11" s="6">
        <f>MVTFEV22!H11+MVTFEV22!G11+K11</f>
        <v>643358.10309058463</v>
      </c>
      <c r="I11" s="36">
        <f>VLOOKUP($A11,[16]HISTOMARS22!$A$6:$AQ$37,22,0)</f>
        <v>0</v>
      </c>
      <c r="J11" s="36">
        <f>VLOOKUP($A11,[16]HISTOMARS22!$A$6:$AU$39,45,0)</f>
        <v>7000</v>
      </c>
      <c r="K11" s="36">
        <f t="shared" si="2"/>
        <v>3000</v>
      </c>
      <c r="L11" s="36">
        <f t="shared" si="3"/>
        <v>500</v>
      </c>
      <c r="M11" s="36">
        <f t="shared" si="4"/>
        <v>1000</v>
      </c>
      <c r="N11" s="36">
        <f t="shared" si="5"/>
        <v>2500</v>
      </c>
      <c r="O11" s="36">
        <f>VLOOKUP($A11,[16]HISTOMARS22!$A$6:$AU$39,7,0)</f>
        <v>0</v>
      </c>
      <c r="P11" s="36">
        <f>VLOOKUP($A11,[16]HISTOMARS22!$A$6:$AU$39,23,0)</f>
        <v>0</v>
      </c>
      <c r="Q11" s="36">
        <f>VLOOKUP($A11,[16]HISTOMARS22!$A$6:$AU$39,46,0)</f>
        <v>0</v>
      </c>
      <c r="R11" s="36">
        <f>VLOOKUP($A11,[16]HISTOMARS22!$A$6:$AU$39,26,0)</f>
        <v>700000</v>
      </c>
      <c r="S11" s="36">
        <f>VLOOKUP($A11,[16]HISTOMARS22!$A$6:$BG$39,58,0)</f>
        <v>35000</v>
      </c>
      <c r="T11" s="36">
        <f>VLOOKUP($A11,[16]HISTOMARS22!$A$6:$AU$39,28,0)</f>
        <v>0</v>
      </c>
      <c r="U11" s="36">
        <f>VLOOKUP($A11,[16]HISTOMARS22!$A$6:$AU$39,19,0)</f>
        <v>0</v>
      </c>
      <c r="V11" s="36">
        <f>VLOOKUP($A11,[16]HISTOMARS22!$A$6:$AU$39,20,0)</f>
        <v>0</v>
      </c>
      <c r="W11" s="36" t="str">
        <f>VLOOKUP($A11,[16]HISTOMARS22!$A$6:$AU$39,27,0)</f>
        <v>BANQUE</v>
      </c>
      <c r="X11" s="36">
        <f>VLOOKUP($A11,[16]HISTOMARS22!$A$6:$AU$39,33,0)</f>
        <v>0</v>
      </c>
      <c r="Y11" s="36">
        <f>VLOOKUP($A11,[16]HISTOMARS22!$A$6:$BP$39,65,0)</f>
        <v>0</v>
      </c>
      <c r="Z11" s="36"/>
      <c r="AA11" s="36">
        <f>VLOOKUP($A11,[16]HISTOMARS22!$A$6:$AU$39,43,0)</f>
        <v>0</v>
      </c>
      <c r="AB11" s="36">
        <f>VLOOKUP($A11,[16]HISTOMARS22!$A$6:$AU$39,44,0)</f>
        <v>0</v>
      </c>
      <c r="AC11" s="36">
        <f>VLOOKUP($A11,[16]HISTOMARS22!$A$6:$AU$39,47,0)</f>
        <v>0</v>
      </c>
      <c r="AD11" s="36">
        <f>VLOOKUP(A11,[16]HISTOMARS22!$A$6:$BB$36,54,0)</f>
        <v>0</v>
      </c>
      <c r="AE11" s="36">
        <f>VLOOKUP($A11,[16]HISTOMARS22!$A$6:$CA$36,60,0)</f>
        <v>0</v>
      </c>
      <c r="AF11" s="36">
        <f>VLOOKUP($A11,[16]HISTOMARS22!$A$6:$CA$36,61,0)</f>
        <v>0</v>
      </c>
      <c r="AG11" s="36">
        <f>VLOOKUP($A11,[16]HISTOMARS22!$A$6:$CA$36,62,0)</f>
        <v>0</v>
      </c>
      <c r="AH11" s="36">
        <f>VLOOKUP($A11,[16]HISTOMARS22!$A$6:$CA$36,63,0)</f>
        <v>0</v>
      </c>
      <c r="AI11" s="36">
        <f>VLOOKUP($A11,[16]HISTOMARS22!$A$6:$CA$36,64,0)</f>
        <v>0</v>
      </c>
      <c r="AJ11" s="36">
        <f>VLOOKUP($A11,[16]HISTOMARS22!$A$6:$CA$36,65,0)</f>
        <v>0</v>
      </c>
    </row>
    <row r="12" spans="1:36" x14ac:dyDescent="0.25">
      <c r="A12" s="1" t="s">
        <v>79</v>
      </c>
      <c r="B12" s="1" t="str">
        <f>VLOOKUP(A12,[15]LISTADHERENT!A$5:H$60,3,0)</f>
        <v>DOMOU FABIEN</v>
      </c>
      <c r="C12" s="5"/>
      <c r="D12" s="5"/>
      <c r="E12" s="36">
        <f>VLOOKUP($A12,[16]HISTOMARS22!$A$6:$BA$39,48,0)</f>
        <v>0</v>
      </c>
      <c r="F12" s="5">
        <f>MVTFEV22!F12-MVTMARS22!E12</f>
        <v>570000</v>
      </c>
      <c r="G12" s="6">
        <f t="shared" si="1"/>
        <v>2554.2405805230528</v>
      </c>
      <c r="H12" s="6">
        <f>MVTFEV22!H12+MVTFEV22!G12+K12</f>
        <v>645926.19656514202</v>
      </c>
      <c r="I12" s="36">
        <f>VLOOKUP($A12,[16]HISTOMARS22!$A$6:$AQ$37,22,0)</f>
        <v>0</v>
      </c>
      <c r="J12" s="36">
        <f>VLOOKUP($A12,[16]HISTOMARS22!$A$6:$AU$39,45,0)</f>
        <v>12000</v>
      </c>
      <c r="K12" s="36">
        <f t="shared" si="2"/>
        <v>8000</v>
      </c>
      <c r="L12" s="36">
        <f t="shared" si="3"/>
        <v>500</v>
      </c>
      <c r="M12" s="36">
        <f t="shared" si="4"/>
        <v>1000</v>
      </c>
      <c r="N12" s="36">
        <f t="shared" si="5"/>
        <v>2500</v>
      </c>
      <c r="O12" s="36">
        <f>VLOOKUP($A12,[16]HISTOMARS22!$A$6:$AU$39,7,0)</f>
        <v>0</v>
      </c>
      <c r="P12" s="36">
        <f>VLOOKUP($A12,[16]HISTOMARS22!$A$6:$AU$39,23,0)</f>
        <v>0</v>
      </c>
      <c r="Q12" s="36">
        <f>VLOOKUP($A12,[16]HISTOMARS22!$A$6:$AU$39,46,0)</f>
        <v>0</v>
      </c>
      <c r="R12" s="36">
        <f>VLOOKUP($A12,[16]HISTOMARS22!$A$6:$AU$39,26,0)</f>
        <v>0</v>
      </c>
      <c r="S12" s="36">
        <f>VLOOKUP($A12,[16]HISTOMARS22!$A$6:$BG$39,58,0)</f>
        <v>0</v>
      </c>
      <c r="T12" s="36">
        <f>VLOOKUP($A12,[16]HISTOMARS22!$A$6:$AU$39,28,0)</f>
        <v>0</v>
      </c>
      <c r="U12" s="36">
        <f>VLOOKUP($A12,[16]HISTOMARS22!$A$6:$AU$39,19,0)</f>
        <v>0</v>
      </c>
      <c r="V12" s="36">
        <f>VLOOKUP($A12,[16]HISTOMARS22!$A$6:$AU$39,20,0)</f>
        <v>0</v>
      </c>
      <c r="W12" s="36">
        <f>VLOOKUP($A12,[16]HISTOMARS22!$A$6:$AU$39,27,0)</f>
        <v>0</v>
      </c>
      <c r="X12" s="36">
        <f>VLOOKUP($A12,[16]HISTOMARS22!$A$6:$AU$39,33,0)</f>
        <v>0</v>
      </c>
      <c r="Y12" s="36">
        <f>VLOOKUP($A12,[16]HISTOMARS22!$A$6:$BP$39,65,0)</f>
        <v>0</v>
      </c>
      <c r="Z12" s="36"/>
      <c r="AA12" s="36">
        <f>VLOOKUP($A12,[16]HISTOMARS22!$A$6:$AU$39,43,0)</f>
        <v>0</v>
      </c>
      <c r="AB12" s="36">
        <f>VLOOKUP($A12,[16]HISTOMARS22!$A$6:$AU$39,44,0)</f>
        <v>0</v>
      </c>
      <c r="AC12" s="36">
        <f>VLOOKUP($A12,[16]HISTOMARS22!$A$6:$AU$39,47,0)</f>
        <v>0</v>
      </c>
      <c r="AD12" s="36">
        <f>VLOOKUP(A12,[16]HISTOMARS22!$A$6:$BB$36,54,0)</f>
        <v>0</v>
      </c>
      <c r="AE12" s="36">
        <f>VLOOKUP($A12,[16]HISTOMARS22!$A$6:$CA$36,60,0)</f>
        <v>0</v>
      </c>
      <c r="AF12" s="36">
        <f>VLOOKUP($A12,[16]HISTOMARS22!$A$6:$CA$36,61,0)</f>
        <v>0</v>
      </c>
      <c r="AG12" s="36">
        <f>VLOOKUP($A12,[16]HISTOMARS22!$A$6:$CA$36,62,0)</f>
        <v>0</v>
      </c>
      <c r="AH12" s="36">
        <f>VLOOKUP($A12,[16]HISTOMARS22!$A$6:$CA$36,63,0)</f>
        <v>0</v>
      </c>
      <c r="AI12" s="36">
        <f>VLOOKUP($A12,[16]HISTOMARS22!$A$6:$CA$36,64,0)</f>
        <v>0</v>
      </c>
      <c r="AJ12" s="36">
        <f>VLOOKUP($A12,[16]HISTOMARS22!$A$6:$CA$36,65,0)</f>
        <v>0</v>
      </c>
    </row>
    <row r="13" spans="1:36" x14ac:dyDescent="0.25">
      <c r="A13" s="1" t="s">
        <v>26</v>
      </c>
      <c r="B13" s="1" t="str">
        <f>VLOOKUP(A13,[15]LISTADHERENT!A$5:H$60,3,0)</f>
        <v>DONHOU DAVID</v>
      </c>
      <c r="C13" s="5"/>
      <c r="D13" s="5"/>
      <c r="E13" s="36">
        <f>VLOOKUP($A13,[16]HISTOMARS22!$A$6:$BA$39,48,0)</f>
        <v>0</v>
      </c>
      <c r="F13" s="5">
        <f>MVTFEV22!F13-MVTMARS22!E13</f>
        <v>570000</v>
      </c>
      <c r="G13" s="6">
        <f t="shared" si="1"/>
        <v>3584.2781078975477</v>
      </c>
      <c r="H13" s="6">
        <f>MVTFEV22!H13+MVTFEV22!G13+K13</f>
        <v>906406.05404204654</v>
      </c>
      <c r="I13" s="36">
        <f>VLOOKUP($A13,[16]HISTOMARS22!$A$6:$AQ$37,22,0)</f>
        <v>0</v>
      </c>
      <c r="J13" s="36">
        <f>VLOOKUP($A13,[16]HISTOMARS22!$A$6:$AU$39,45,0)</f>
        <v>12000</v>
      </c>
      <c r="K13" s="36">
        <f t="shared" si="2"/>
        <v>8000</v>
      </c>
      <c r="L13" s="36">
        <f t="shared" si="3"/>
        <v>500</v>
      </c>
      <c r="M13" s="36">
        <f t="shared" si="4"/>
        <v>1000</v>
      </c>
      <c r="N13" s="36">
        <f t="shared" si="5"/>
        <v>2500</v>
      </c>
      <c r="O13" s="36">
        <f>VLOOKUP($A13,[16]HISTOMARS22!$A$6:$AU$39,7,0)</f>
        <v>3000</v>
      </c>
      <c r="P13" s="36">
        <f>VLOOKUP($A13,[16]HISTOMARS22!$A$6:$AU$39,23,0)</f>
        <v>0</v>
      </c>
      <c r="Q13" s="36">
        <f>VLOOKUP($A13,[16]HISTOMARS22!$A$6:$AU$39,46,0)</f>
        <v>0</v>
      </c>
      <c r="R13" s="36">
        <f>VLOOKUP($A13,[16]HISTOMARS22!$A$6:$AU$39,26,0)</f>
        <v>0</v>
      </c>
      <c r="S13" s="36">
        <f>VLOOKUP($A13,[16]HISTOMARS22!$A$6:$BG$39,58,0)</f>
        <v>0</v>
      </c>
      <c r="T13" s="36">
        <f>VLOOKUP($A13,[16]HISTOMARS22!$A$6:$AU$39,28,0)</f>
        <v>0</v>
      </c>
      <c r="U13" s="36">
        <f>VLOOKUP($A13,[16]HISTOMARS22!$A$6:$AU$39,19,0)</f>
        <v>0</v>
      </c>
      <c r="V13" s="36">
        <f>VLOOKUP($A13,[16]HISTOMARS22!$A$6:$AU$39,20,0)</f>
        <v>0</v>
      </c>
      <c r="W13" s="36">
        <f>VLOOKUP($A13,[16]HISTOMARS22!$A$6:$AU$39,27,0)</f>
        <v>0</v>
      </c>
      <c r="X13" s="36">
        <f>VLOOKUP($A13,[16]HISTOMARS22!$A$6:$AU$39,33,0)</f>
        <v>0</v>
      </c>
      <c r="Y13" s="36">
        <f>VLOOKUP($A13,[16]HISTOMARS22!$A$6:$BP$39,65,0)</f>
        <v>0</v>
      </c>
      <c r="Z13" s="36"/>
      <c r="AA13" s="36">
        <f>VLOOKUP($A13,[16]HISTOMARS22!$A$6:$AU$39,43,0)</f>
        <v>0</v>
      </c>
      <c r="AB13" s="36">
        <f>VLOOKUP($A13,[16]HISTOMARS22!$A$6:$AU$39,44,0)</f>
        <v>0</v>
      </c>
      <c r="AC13" s="36">
        <f>VLOOKUP($A13,[16]HISTOMARS22!$A$6:$AU$39,47,0)</f>
        <v>0</v>
      </c>
      <c r="AD13" s="36">
        <f>VLOOKUP(A13,[16]HISTOMARS22!$A$6:$BB$36,54,0)</f>
        <v>0</v>
      </c>
      <c r="AE13" s="36">
        <f>VLOOKUP($A13,[16]HISTOMARS22!$A$6:$CA$36,60,0)</f>
        <v>0</v>
      </c>
      <c r="AF13" s="36">
        <f>VLOOKUP($A13,[16]HISTOMARS22!$A$6:$CA$36,61,0)</f>
        <v>0</v>
      </c>
      <c r="AG13" s="36">
        <f>VLOOKUP($A13,[16]HISTOMARS22!$A$6:$CA$36,62,0)</f>
        <v>0</v>
      </c>
      <c r="AH13" s="36">
        <f>VLOOKUP($A13,[16]HISTOMARS22!$A$6:$CA$36,63,0)</f>
        <v>0</v>
      </c>
      <c r="AI13" s="36">
        <f>VLOOKUP($A13,[16]HISTOMARS22!$A$6:$CA$36,64,0)</f>
        <v>0</v>
      </c>
      <c r="AJ13" s="36">
        <f>VLOOKUP($A13,[16]HISTOMARS22!$A$6:$CA$36,65,0)</f>
        <v>0</v>
      </c>
    </row>
    <row r="14" spans="1:36" x14ac:dyDescent="0.25">
      <c r="A14" s="1" t="s">
        <v>27</v>
      </c>
      <c r="B14" s="1" t="str">
        <f>VLOOKUP(A14,[15]LISTADHERENT!A$5:H$60,3,0)</f>
        <v>FOTSO THOMAS</v>
      </c>
      <c r="C14" s="5"/>
      <c r="D14" s="5"/>
      <c r="E14" s="36">
        <f>VLOOKUP($A14,[16]HISTOMARS22!$A$6:$BA$39,48,0)</f>
        <v>0</v>
      </c>
      <c r="F14" s="5">
        <f>MVTFEV22!F14-MVTMARS22!E14</f>
        <v>540000</v>
      </c>
      <c r="G14" s="6">
        <f t="shared" si="1"/>
        <v>0</v>
      </c>
      <c r="H14" s="6">
        <f>MVTFEV22!H14+MVTFEV22!G14+K14</f>
        <v>0</v>
      </c>
      <c r="I14" s="36">
        <f>VLOOKUP($A14,[16]HISTOMARS22!$A$6:$AQ$37,22,0)</f>
        <v>0</v>
      </c>
      <c r="J14" s="36">
        <f>VLOOKUP($A14,[16]HISTOMARS22!$A$6:$AU$39,45,0)</f>
        <v>0</v>
      </c>
      <c r="K14" s="36">
        <f t="shared" si="2"/>
        <v>0</v>
      </c>
      <c r="L14" s="36">
        <f t="shared" si="3"/>
        <v>0</v>
      </c>
      <c r="M14" s="36">
        <f t="shared" si="4"/>
        <v>0</v>
      </c>
      <c r="N14" s="36">
        <f t="shared" si="5"/>
        <v>0</v>
      </c>
      <c r="O14" s="36">
        <f>VLOOKUP($A14,[16]HISTOMARS22!$A$6:$AU$39,7,0)</f>
        <v>0</v>
      </c>
      <c r="P14" s="36">
        <f>VLOOKUP($A14,[16]HISTOMARS22!$A$6:$AU$39,23,0)</f>
        <v>0</v>
      </c>
      <c r="Q14" s="36">
        <f>VLOOKUP($A14,[16]HISTOMARS22!$A$6:$AU$39,46,0)</f>
        <v>0</v>
      </c>
      <c r="R14" s="36">
        <f>VLOOKUP($A14,[16]HISTOMARS22!$A$6:$AU$39,26,0)</f>
        <v>0</v>
      </c>
      <c r="S14" s="36">
        <f>VLOOKUP($A14,[16]HISTOMARS22!$A$6:$BG$39,58,0)</f>
        <v>0</v>
      </c>
      <c r="T14" s="36">
        <f>VLOOKUP($A14,[16]HISTOMARS22!$A$6:$AU$39,28,0)</f>
        <v>0</v>
      </c>
      <c r="U14" s="36">
        <f>VLOOKUP($A14,[16]HISTOMARS22!$A$6:$AU$39,19,0)</f>
        <v>0</v>
      </c>
      <c r="V14" s="36">
        <f>VLOOKUP($A14,[16]HISTOMARS22!$A$6:$AU$39,20,0)</f>
        <v>0</v>
      </c>
      <c r="W14" s="36">
        <f>VLOOKUP($A14,[16]HISTOMARS22!$A$6:$AU$39,27,0)</f>
        <v>0</v>
      </c>
      <c r="X14" s="36">
        <f>VLOOKUP($A14,[16]HISTOMARS22!$A$6:$AU$39,33,0)</f>
        <v>0</v>
      </c>
      <c r="Y14" s="36">
        <f>VLOOKUP($A14,[16]HISTOMARS22!$A$6:$BP$39,65,0)</f>
        <v>0</v>
      </c>
      <c r="Z14" s="36"/>
      <c r="AA14" s="36">
        <f>VLOOKUP($A14,[16]HISTOMARS22!$A$6:$AU$39,43,0)</f>
        <v>0</v>
      </c>
      <c r="AB14" s="36">
        <f>VLOOKUP($A14,[16]HISTOMARS22!$A$6:$AU$39,44,0)</f>
        <v>0</v>
      </c>
      <c r="AC14" s="36">
        <f>VLOOKUP($A14,[16]HISTOMARS22!$A$6:$AU$39,47,0)</f>
        <v>0</v>
      </c>
      <c r="AD14" s="36">
        <f>VLOOKUP(A14,[16]HISTOMARS22!$A$6:$BB$36,54,0)</f>
        <v>0</v>
      </c>
      <c r="AE14" s="36">
        <f>VLOOKUP($A14,[16]HISTOMARS22!$A$6:$CA$36,60,0)</f>
        <v>0</v>
      </c>
      <c r="AF14" s="36">
        <f>VLOOKUP($A14,[16]HISTOMARS22!$A$6:$CA$36,61,0)</f>
        <v>0</v>
      </c>
      <c r="AG14" s="36">
        <f>VLOOKUP($A14,[16]HISTOMARS22!$A$6:$CA$36,62,0)</f>
        <v>0</v>
      </c>
      <c r="AH14" s="36">
        <f>VLOOKUP($A14,[16]HISTOMARS22!$A$6:$CA$36,63,0)</f>
        <v>0</v>
      </c>
      <c r="AI14" s="36">
        <f>VLOOKUP($A14,[16]HISTOMARS22!$A$6:$CA$36,64,0)</f>
        <v>0</v>
      </c>
      <c r="AJ14" s="36">
        <f>VLOOKUP($A14,[16]HISTOMARS22!$A$6:$CA$36,65,0)</f>
        <v>0</v>
      </c>
    </row>
    <row r="15" spans="1:36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VLOOKUP($A15,[16]HISTOMARS22!$A$6:$BA$39,48,0)</f>
        <v>0</v>
      </c>
      <c r="F15" s="5">
        <f>MVTFEV22!F15-MVTMARS22!E15</f>
        <v>570000</v>
      </c>
      <c r="G15" s="6">
        <f t="shared" si="1"/>
        <v>2479.8667972922558</v>
      </c>
      <c r="H15" s="6">
        <f>MVTFEV22!H15+MVTFEV22!G15+K15</f>
        <v>627118.26778476394</v>
      </c>
      <c r="I15" s="36">
        <f>VLOOKUP($A15,[16]HISTOMARS22!$A$6:$AQ$37,22,0)</f>
        <v>0</v>
      </c>
      <c r="J15" s="36">
        <f>VLOOKUP($A15,[16]HISTOMARS22!$A$6:$AU$39,45,0)</f>
        <v>7000</v>
      </c>
      <c r="K15" s="36">
        <f t="shared" si="2"/>
        <v>3000</v>
      </c>
      <c r="L15" s="36">
        <f t="shared" si="3"/>
        <v>500</v>
      </c>
      <c r="M15" s="36">
        <f t="shared" si="4"/>
        <v>1000</v>
      </c>
      <c r="N15" s="36">
        <f t="shared" si="5"/>
        <v>2500</v>
      </c>
      <c r="O15" s="36">
        <f>VLOOKUP($A15,[16]HISTOMARS22!$A$6:$AU$39,7,0)</f>
        <v>0</v>
      </c>
      <c r="P15" s="36">
        <f>VLOOKUP($A15,[16]HISTOMARS22!$A$6:$AU$39,23,0)</f>
        <v>0</v>
      </c>
      <c r="Q15" s="36">
        <f>VLOOKUP($A15,[16]HISTOMARS22!$A$6:$AU$39,46,0)</f>
        <v>0</v>
      </c>
      <c r="R15" s="36">
        <f>VLOOKUP($A15,[16]HISTOMARS22!$A$6:$AU$39,26,0)</f>
        <v>0</v>
      </c>
      <c r="S15" s="36">
        <f>VLOOKUP($A15,[16]HISTOMARS22!$A$6:$BG$39,58,0)</f>
        <v>0</v>
      </c>
      <c r="T15" s="36">
        <f>VLOOKUP($A15,[16]HISTOMARS22!$A$6:$AU$39,28,0)</f>
        <v>0</v>
      </c>
      <c r="U15" s="36">
        <f>VLOOKUP($A15,[16]HISTOMARS22!$A$6:$AU$39,19,0)</f>
        <v>0</v>
      </c>
      <c r="V15" s="36">
        <f>VLOOKUP($A15,[16]HISTOMARS22!$A$6:$AU$39,20,0)</f>
        <v>0</v>
      </c>
      <c r="W15" s="36">
        <f>VLOOKUP($A15,[16]HISTOMARS22!$A$6:$AU$39,27,0)</f>
        <v>0</v>
      </c>
      <c r="X15" s="36">
        <f>VLOOKUP($A15,[16]HISTOMARS22!$A$6:$AU$39,33,0)</f>
        <v>0</v>
      </c>
      <c r="Y15" s="36">
        <f>VLOOKUP($A15,[16]HISTOMARS22!$A$6:$BP$39,65,0)</f>
        <v>0</v>
      </c>
      <c r="Z15" s="36"/>
      <c r="AA15" s="36">
        <f>VLOOKUP($A15,[16]HISTOMARS22!$A$6:$AU$39,43,0)</f>
        <v>0</v>
      </c>
      <c r="AB15" s="36">
        <f>VLOOKUP($A15,[16]HISTOMARS22!$A$6:$AU$39,44,0)</f>
        <v>0</v>
      </c>
      <c r="AC15" s="36">
        <f>VLOOKUP($A15,[16]HISTOMARS22!$A$6:$AU$39,47,0)</f>
        <v>0</v>
      </c>
      <c r="AD15" s="36">
        <f>VLOOKUP(A15,[16]HISTOMARS22!$A$6:$BB$36,54,0)</f>
        <v>0</v>
      </c>
      <c r="AE15" s="36">
        <f>VLOOKUP($A15,[16]HISTOMARS22!$A$6:$CA$36,60,0)</f>
        <v>0</v>
      </c>
      <c r="AF15" s="36">
        <f>VLOOKUP($A15,[16]HISTOMARS22!$A$6:$CA$36,61,0)</f>
        <v>0</v>
      </c>
      <c r="AG15" s="36">
        <f>VLOOKUP($A15,[16]HISTOMARS22!$A$6:$CA$36,62,0)</f>
        <v>0</v>
      </c>
      <c r="AH15" s="36">
        <f>VLOOKUP($A15,[16]HISTOMARS22!$A$6:$CA$36,63,0)</f>
        <v>0</v>
      </c>
      <c r="AI15" s="36">
        <f>VLOOKUP($A15,[16]HISTOMARS22!$A$6:$CA$36,64,0)</f>
        <v>0</v>
      </c>
      <c r="AJ15" s="36">
        <f>VLOOKUP($A15,[16]HISTOMARS22!$A$6:$CA$36,65,0)</f>
        <v>0</v>
      </c>
    </row>
    <row r="16" spans="1:36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VLOOKUP($A16,[16]HISTOMARS22!$A$6:$BA$39,48,0)</f>
        <v>0</v>
      </c>
      <c r="F16" s="5">
        <f>MVTFEV22!F16-MVTMARS22!E16</f>
        <v>570000</v>
      </c>
      <c r="G16" s="6">
        <f t="shared" si="1"/>
        <v>3090.9666032355417</v>
      </c>
      <c r="H16" s="6">
        <f>MVTFEV22!H16+MVTFEV22!G16+K16</f>
        <v>781655.5405790956</v>
      </c>
      <c r="I16" s="36">
        <f>VLOOKUP($A16,[16]HISTOMARS22!$A$6:$AQ$37,22,0)</f>
        <v>0</v>
      </c>
      <c r="J16" s="36">
        <f>VLOOKUP($A16,[16]HISTOMARS22!$A$6:$AU$39,45,0)</f>
        <v>52000</v>
      </c>
      <c r="K16" s="36">
        <f t="shared" si="2"/>
        <v>48000</v>
      </c>
      <c r="L16" s="36">
        <f t="shared" si="3"/>
        <v>500</v>
      </c>
      <c r="M16" s="36">
        <f t="shared" si="4"/>
        <v>1000</v>
      </c>
      <c r="N16" s="36">
        <f t="shared" si="5"/>
        <v>2500</v>
      </c>
      <c r="O16" s="36">
        <f>VLOOKUP($A16,[16]HISTOMARS22!$A$6:$AU$39,7,0)</f>
        <v>0</v>
      </c>
      <c r="P16" s="36">
        <f>VLOOKUP($A16,[16]HISTOMARS22!$A$6:$AU$39,23,0)</f>
        <v>0</v>
      </c>
      <c r="Q16" s="36">
        <f>VLOOKUP($A16,[16]HISTOMARS22!$A$6:$AU$39,46,0)</f>
        <v>0</v>
      </c>
      <c r="R16" s="36">
        <f>VLOOKUP($A16,[16]HISTOMARS22!$A$6:$AU$39,26,0)</f>
        <v>0</v>
      </c>
      <c r="S16" s="36">
        <f>VLOOKUP($A16,[16]HISTOMARS22!$A$6:$BG$39,58,0)</f>
        <v>0</v>
      </c>
      <c r="T16" s="36">
        <f>VLOOKUP($A16,[16]HISTOMARS22!$A$6:$AU$39,28,0)</f>
        <v>0</v>
      </c>
      <c r="U16" s="36">
        <f>VLOOKUP($A16,[16]HISTOMARS22!$A$6:$AU$39,19,0)</f>
        <v>0</v>
      </c>
      <c r="V16" s="36">
        <f>VLOOKUP($A16,[16]HISTOMARS22!$A$6:$AU$39,20,0)</f>
        <v>0</v>
      </c>
      <c r="W16" s="36">
        <f>VLOOKUP($A16,[16]HISTOMARS22!$A$6:$AU$39,27,0)</f>
        <v>0</v>
      </c>
      <c r="X16" s="36">
        <f>VLOOKUP($A16,[16]HISTOMARS22!$A$6:$AU$39,33,0)</f>
        <v>0</v>
      </c>
      <c r="Y16" s="36">
        <f>VLOOKUP($A16,[16]HISTOMARS22!$A$6:$BP$39,65,0)</f>
        <v>0</v>
      </c>
      <c r="Z16" s="36"/>
      <c r="AA16" s="36">
        <f>VLOOKUP($A16,[16]HISTOMARS22!$A$6:$AU$39,43,0)</f>
        <v>0</v>
      </c>
      <c r="AB16" s="36">
        <f>VLOOKUP($A16,[16]HISTOMARS22!$A$6:$AU$39,44,0)</f>
        <v>0</v>
      </c>
      <c r="AC16" s="36">
        <f>VLOOKUP($A16,[16]HISTOMARS22!$A$6:$AU$39,47,0)</f>
        <v>0</v>
      </c>
      <c r="AD16" s="36">
        <f>VLOOKUP(A16,[16]HISTOMARS22!$A$6:$BB$36,54,0)</f>
        <v>0</v>
      </c>
      <c r="AE16" s="36">
        <f>VLOOKUP($A16,[16]HISTOMARS22!$A$6:$CA$36,60,0)</f>
        <v>0</v>
      </c>
      <c r="AF16" s="36">
        <f>VLOOKUP($A16,[16]HISTOMARS22!$A$6:$CA$36,61,0)</f>
        <v>0</v>
      </c>
      <c r="AG16" s="36">
        <f>VLOOKUP($A16,[16]HISTOMARS22!$A$6:$CA$36,62,0)</f>
        <v>0</v>
      </c>
      <c r="AH16" s="36">
        <f>VLOOKUP($A16,[16]HISTOMARS22!$A$6:$CA$36,63,0)</f>
        <v>0</v>
      </c>
      <c r="AI16" s="36">
        <f>VLOOKUP($A16,[16]HISTOMARS22!$A$6:$CA$36,64,0)</f>
        <v>0</v>
      </c>
      <c r="AJ16" s="36">
        <f>VLOOKUP($A16,[16]HISTOMARS22!$A$6:$CA$36,65,0)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VLOOKUP($A17,[16]HISTOMARS22!$A$6:$BA$39,48,0)</f>
        <v>0</v>
      </c>
      <c r="F17" s="5">
        <f>MVTFEV22!F17-MVTMARS22!E17</f>
        <v>570000</v>
      </c>
      <c r="G17" s="6">
        <f t="shared" si="1"/>
        <v>2488.2625294718468</v>
      </c>
      <c r="H17" s="6">
        <f>MVTFEV22!H17+MVTFEV22!G17+K17</f>
        <v>629241.41287747573</v>
      </c>
      <c r="I17" s="36">
        <f>VLOOKUP($A17,[16]HISTOMARS22!$A$6:$AQ$37,22,0)</f>
        <v>0</v>
      </c>
      <c r="J17" s="36">
        <f>VLOOKUP($A17,[16]HISTOMARS22!$A$6:$AU$39,45,0)</f>
        <v>7000</v>
      </c>
      <c r="K17" s="36">
        <f t="shared" si="2"/>
        <v>3000</v>
      </c>
      <c r="L17" s="36">
        <f t="shared" si="3"/>
        <v>500</v>
      </c>
      <c r="M17" s="36">
        <f t="shared" si="4"/>
        <v>1000</v>
      </c>
      <c r="N17" s="36">
        <f t="shared" si="5"/>
        <v>2500</v>
      </c>
      <c r="O17" s="36">
        <f>VLOOKUP($A17,[16]HISTOMARS22!$A$6:$AU$39,7,0)</f>
        <v>0</v>
      </c>
      <c r="P17" s="36">
        <f>VLOOKUP($A17,[16]HISTOMARS22!$A$6:$AU$39,23,0)</f>
        <v>0</v>
      </c>
      <c r="Q17" s="36">
        <f>VLOOKUP($A17,[16]HISTOMARS22!$A$6:$AU$39,46,0)</f>
        <v>0</v>
      </c>
      <c r="R17" s="36">
        <f>VLOOKUP($A17,[16]HISTOMARS22!$A$6:$AU$39,26,0)</f>
        <v>0</v>
      </c>
      <c r="S17" s="36">
        <f>VLOOKUP($A17,[16]HISTOMARS22!$A$6:$BG$39,58,0)</f>
        <v>0</v>
      </c>
      <c r="T17" s="36">
        <f>VLOOKUP($A17,[16]HISTOMARS22!$A$6:$AU$39,28,0)</f>
        <v>0</v>
      </c>
      <c r="U17" s="36">
        <f>VLOOKUP($A17,[16]HISTOMARS22!$A$6:$AU$39,19,0)</f>
        <v>0</v>
      </c>
      <c r="V17" s="36">
        <f>VLOOKUP($A17,[16]HISTOMARS22!$A$6:$AU$39,20,0)</f>
        <v>0</v>
      </c>
      <c r="W17" s="36">
        <f>VLOOKUP($A17,[16]HISTOMARS22!$A$6:$AU$39,27,0)</f>
        <v>0</v>
      </c>
      <c r="X17" s="36">
        <f>VLOOKUP($A17,[16]HISTOMARS22!$A$6:$AU$39,33,0)</f>
        <v>0</v>
      </c>
      <c r="Y17" s="36">
        <f>VLOOKUP($A17,[16]HISTOMARS22!$A$6:$BP$39,65,0)</f>
        <v>0</v>
      </c>
      <c r="Z17" s="36"/>
      <c r="AA17" s="36">
        <f>VLOOKUP($A17,[16]HISTOMARS22!$A$6:$AU$39,43,0)</f>
        <v>0</v>
      </c>
      <c r="AB17" s="36">
        <f>VLOOKUP($A17,[16]HISTOMARS22!$A$6:$AU$39,44,0)</f>
        <v>0</v>
      </c>
      <c r="AC17" s="36">
        <f>VLOOKUP($A17,[16]HISTOMARS22!$A$6:$AU$39,47,0)</f>
        <v>0</v>
      </c>
      <c r="AD17" s="36">
        <f>VLOOKUP(A17,[16]HISTOMARS22!$A$6:$BB$36,54,0)</f>
        <v>0</v>
      </c>
      <c r="AE17" s="36">
        <f>VLOOKUP($A17,[16]HISTOMARS22!$A$6:$CA$36,60,0)</f>
        <v>0</v>
      </c>
      <c r="AF17" s="36">
        <f>VLOOKUP($A17,[16]HISTOMARS22!$A$6:$CA$36,61,0)</f>
        <v>0</v>
      </c>
      <c r="AG17" s="36">
        <f>VLOOKUP($A17,[16]HISTOMARS22!$A$6:$CA$36,62,0)</f>
        <v>0</v>
      </c>
      <c r="AH17" s="36">
        <f>VLOOKUP($A17,[16]HISTOMARS22!$A$6:$CA$36,63,0)</f>
        <v>0</v>
      </c>
      <c r="AI17" s="36">
        <f>VLOOKUP($A17,[16]HISTOMARS22!$A$6:$CA$36,64,0)</f>
        <v>0</v>
      </c>
      <c r="AJ17" s="36">
        <f>VLOOKUP($A17,[16]HISTOMARS22!$A$6:$CA$36,65,0)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VLOOKUP($A18,[16]HISTOMARS22!$A$6:$BA$39,48,0)</f>
        <v>0</v>
      </c>
      <c r="F18" s="5">
        <f>MVTFEV22!F18-MVTMARS22!E18</f>
        <v>570000</v>
      </c>
      <c r="G18" s="6">
        <f t="shared" si="1"/>
        <v>2500.3414463421877</v>
      </c>
      <c r="H18" s="6">
        <f>MVTFEV22!H18+MVTFEV22!G18+K18</f>
        <v>632295.97590187495</v>
      </c>
      <c r="I18" s="36">
        <f>VLOOKUP($A18,[16]HISTOMARS22!$A$6:$AQ$37,22,0)</f>
        <v>0</v>
      </c>
      <c r="J18" s="36">
        <f>VLOOKUP($A18,[16]HISTOMARS22!$A$6:$AU$39,45,0)</f>
        <v>7000</v>
      </c>
      <c r="K18" s="36">
        <f t="shared" si="2"/>
        <v>3000</v>
      </c>
      <c r="L18" s="36">
        <f t="shared" si="3"/>
        <v>500</v>
      </c>
      <c r="M18" s="36">
        <f t="shared" si="4"/>
        <v>1000</v>
      </c>
      <c r="N18" s="36">
        <f t="shared" si="5"/>
        <v>2500</v>
      </c>
      <c r="O18" s="36">
        <f>VLOOKUP($A18,[16]HISTOMARS22!$A$6:$AU$39,7,0)</f>
        <v>0</v>
      </c>
      <c r="P18" s="36">
        <f>VLOOKUP($A18,[16]HISTOMARS22!$A$6:$AU$39,23,0)</f>
        <v>0</v>
      </c>
      <c r="Q18" s="36">
        <f>VLOOKUP($A18,[16]HISTOMARS22!$A$6:$AU$39,46,0)</f>
        <v>0</v>
      </c>
      <c r="R18" s="36">
        <f>VLOOKUP($A18,[16]HISTOMARS22!$A$6:$AU$39,26,0)</f>
        <v>0</v>
      </c>
      <c r="S18" s="36">
        <f>VLOOKUP($A18,[16]HISTOMARS22!$A$6:$BG$39,58,0)</f>
        <v>0</v>
      </c>
      <c r="T18" s="36">
        <f>VLOOKUP($A18,[16]HISTOMARS22!$A$6:$AU$39,28,0)</f>
        <v>0</v>
      </c>
      <c r="U18" s="36">
        <f>VLOOKUP($A18,[16]HISTOMARS22!$A$6:$AU$39,19,0)</f>
        <v>0</v>
      </c>
      <c r="V18" s="36">
        <f>VLOOKUP($A18,[16]HISTOMARS22!$A$6:$AU$39,20,0)</f>
        <v>0</v>
      </c>
      <c r="W18" s="36">
        <f>VLOOKUP($A18,[16]HISTOMARS22!$A$6:$AU$39,27,0)</f>
        <v>0</v>
      </c>
      <c r="X18" s="36">
        <f>VLOOKUP($A18,[16]HISTOMARS22!$A$6:$AU$39,33,0)</f>
        <v>0</v>
      </c>
      <c r="Y18" s="36">
        <f>VLOOKUP($A18,[16]HISTOMARS22!$A$6:$BP$39,65,0)</f>
        <v>0</v>
      </c>
      <c r="Z18" s="36"/>
      <c r="AA18" s="36">
        <f>VLOOKUP($A18,[16]HISTOMARS22!$A$6:$AU$39,43,0)</f>
        <v>0</v>
      </c>
      <c r="AB18" s="36">
        <f>VLOOKUP($A18,[16]HISTOMARS22!$A$6:$AU$39,44,0)</f>
        <v>0</v>
      </c>
      <c r="AC18" s="36">
        <f>VLOOKUP($A18,[16]HISTOMARS22!$A$6:$AU$39,47,0)</f>
        <v>0</v>
      </c>
      <c r="AD18" s="36">
        <f>VLOOKUP(A18,[16]HISTOMARS22!$A$6:$BB$36,54,0)</f>
        <v>70000</v>
      </c>
      <c r="AE18" s="36">
        <f>VLOOKUP($A18,[16]HISTOMARS22!$A$6:$CA$36,60,0)</f>
        <v>0</v>
      </c>
      <c r="AF18" s="36">
        <f>VLOOKUP($A18,[16]HISTOMARS22!$A$6:$CA$36,61,0)</f>
        <v>0</v>
      </c>
      <c r="AG18" s="36">
        <f>VLOOKUP($A18,[16]HISTOMARS22!$A$6:$CA$36,62,0)</f>
        <v>0</v>
      </c>
      <c r="AH18" s="36">
        <f>VLOOKUP($A18,[16]HISTOMARS22!$A$6:$CA$36,63,0)</f>
        <v>0</v>
      </c>
      <c r="AI18" s="36">
        <f>VLOOKUP($A18,[16]HISTOMARS22!$A$6:$CA$36,64,0)</f>
        <v>0</v>
      </c>
      <c r="AJ18" s="36">
        <f>VLOOKUP($A18,[16]HISTOMARS22!$A$6:$CA$36,65,0)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VLOOKUP($A19,[16]HISTOMARS22!$A$6:$BA$39,48,0)</f>
        <v>0</v>
      </c>
      <c r="F19" s="5">
        <f>MVTFEV22!F19-MVTMARS22!E19</f>
        <v>570000</v>
      </c>
      <c r="G19" s="6">
        <f t="shared" si="1"/>
        <v>2466.9062153817772</v>
      </c>
      <c r="H19" s="6">
        <f>MVTFEV22!H19+MVTFEV22!G19+K19</f>
        <v>623840.74590896943</v>
      </c>
      <c r="I19" s="36">
        <f>VLOOKUP($A19,[16]HISTOMARS22!$A$6:$AQ$37,22,0)</f>
        <v>0</v>
      </c>
      <c r="J19" s="36">
        <f>VLOOKUP($A19,[16]HISTOMARS22!$A$6:$AU$39,45,0)</f>
        <v>7000</v>
      </c>
      <c r="K19" s="36">
        <f t="shared" si="2"/>
        <v>3000</v>
      </c>
      <c r="L19" s="36">
        <f t="shared" si="3"/>
        <v>500</v>
      </c>
      <c r="M19" s="36">
        <f t="shared" si="4"/>
        <v>1000</v>
      </c>
      <c r="N19" s="36">
        <f t="shared" si="5"/>
        <v>2500</v>
      </c>
      <c r="O19" s="36">
        <f>VLOOKUP($A19,[16]HISTOMARS22!$A$6:$AU$39,7,0)</f>
        <v>0</v>
      </c>
      <c r="P19" s="36">
        <f>VLOOKUP($A19,[16]HISTOMARS22!$A$6:$AU$39,23,0)</f>
        <v>0</v>
      </c>
      <c r="Q19" s="36">
        <f>VLOOKUP($A19,[16]HISTOMARS22!$A$6:$AU$39,46,0)</f>
        <v>0</v>
      </c>
      <c r="R19" s="36">
        <f>VLOOKUP($A19,[16]HISTOMARS22!$A$6:$AU$39,26,0)</f>
        <v>0</v>
      </c>
      <c r="S19" s="36">
        <f>VLOOKUP($A19,[16]HISTOMARS22!$A$6:$BG$39,58,0)</f>
        <v>0</v>
      </c>
      <c r="T19" s="36">
        <f>VLOOKUP($A19,[16]HISTOMARS22!$A$6:$AU$39,28,0)</f>
        <v>0</v>
      </c>
      <c r="U19" s="36">
        <f>VLOOKUP($A19,[16]HISTOMARS22!$A$6:$AU$39,19,0)</f>
        <v>500000</v>
      </c>
      <c r="V19" s="36">
        <f>VLOOKUP($A19,[16]HISTOMARS22!$A$6:$AU$39,20,0)</f>
        <v>0</v>
      </c>
      <c r="W19" s="36">
        <f>VLOOKUP($A19,[16]HISTOMARS22!$A$6:$AU$39,27,0)</f>
        <v>0</v>
      </c>
      <c r="X19" s="36">
        <f>VLOOKUP($A19,[16]HISTOMARS22!$A$6:$AU$39,33,0)</f>
        <v>0</v>
      </c>
      <c r="Y19" s="36">
        <f>VLOOKUP($A19,[16]HISTOMARS22!$A$6:$BP$39,65,0)</f>
        <v>0</v>
      </c>
      <c r="Z19" s="36"/>
      <c r="AA19" s="36">
        <f>VLOOKUP($A19,[16]HISTOMARS22!$A$6:$AU$39,43,0)</f>
        <v>0</v>
      </c>
      <c r="AB19" s="36">
        <f>VLOOKUP($A19,[16]HISTOMARS22!$A$6:$AU$39,44,0)</f>
        <v>0</v>
      </c>
      <c r="AC19" s="36">
        <f>VLOOKUP($A19,[16]HISTOMARS22!$A$6:$AU$39,47,0)</f>
        <v>0</v>
      </c>
      <c r="AD19" s="36">
        <f>VLOOKUP(A19,[16]HISTOMARS22!$A$6:$BB$36,54,0)</f>
        <v>0</v>
      </c>
      <c r="AE19" s="36">
        <f>VLOOKUP($A19,[16]HISTOMARS22!$A$6:$CA$36,60,0)</f>
        <v>0</v>
      </c>
      <c r="AF19" s="36">
        <f>VLOOKUP($A19,[16]HISTOMARS22!$A$6:$CA$36,61,0)</f>
        <v>0</v>
      </c>
      <c r="AG19" s="36">
        <f>VLOOKUP($A19,[16]HISTOMARS22!$A$6:$CA$36,62,0)</f>
        <v>0</v>
      </c>
      <c r="AH19" s="36">
        <f>VLOOKUP($A19,[16]HISTOMARS22!$A$6:$CA$36,63,0)</f>
        <v>0</v>
      </c>
      <c r="AI19" s="36">
        <f>VLOOKUP($A19,[16]HISTOMARS22!$A$6:$CA$36,64,0)</f>
        <v>0</v>
      </c>
      <c r="AJ19" s="36">
        <f>VLOOKUP($A19,[16]HISTOMARS22!$A$6:$CA$36,65,0)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VLOOKUP($A20,[16]HISTOMARS22!$A$6:$BA$39,48,0)</f>
        <v>0</v>
      </c>
      <c r="F20" s="5">
        <f>MVTFEV22!F20-MVTMARS22!E20</f>
        <v>570000</v>
      </c>
      <c r="G20" s="6">
        <f t="shared" si="1"/>
        <v>2465.70689257702</v>
      </c>
      <c r="H20" s="6">
        <f>MVTFEV22!H20+MVTFEV22!G20+K20</f>
        <v>623537.45653848571</v>
      </c>
      <c r="I20" s="36">
        <f>VLOOKUP($A20,[16]HISTOMARS22!$A$6:$AQ$37,22,0)</f>
        <v>0</v>
      </c>
      <c r="J20" s="36">
        <f>VLOOKUP($A20,[16]HISTOMARS22!$A$6:$AU$39,45,0)</f>
        <v>7000</v>
      </c>
      <c r="K20" s="36">
        <f t="shared" si="2"/>
        <v>3000</v>
      </c>
      <c r="L20" s="36">
        <f t="shared" si="3"/>
        <v>500</v>
      </c>
      <c r="M20" s="36">
        <f t="shared" si="4"/>
        <v>1000</v>
      </c>
      <c r="N20" s="36">
        <f t="shared" si="5"/>
        <v>2500</v>
      </c>
      <c r="O20" s="36">
        <f>VLOOKUP($A20,[16]HISTOMARS22!$A$6:$AU$39,7,0)</f>
        <v>0</v>
      </c>
      <c r="P20" s="36">
        <f>VLOOKUP($A20,[16]HISTOMARS22!$A$6:$AU$39,23,0)</f>
        <v>0</v>
      </c>
      <c r="Q20" s="36">
        <f>VLOOKUP($A20,[16]HISTOMARS22!$A$6:$AU$39,46,0)</f>
        <v>0</v>
      </c>
      <c r="R20" s="36">
        <f>VLOOKUP($A20,[16]HISTOMARS22!$A$6:$AU$39,26,0)</f>
        <v>0</v>
      </c>
      <c r="S20" s="36">
        <f>VLOOKUP($A20,[16]HISTOMARS22!$A$6:$BG$39,58,0)</f>
        <v>0</v>
      </c>
      <c r="T20" s="36">
        <f>VLOOKUP($A20,[16]HISTOMARS22!$A$6:$AU$39,28,0)</f>
        <v>0</v>
      </c>
      <c r="U20" s="36">
        <f>VLOOKUP($A20,[16]HISTOMARS22!$A$6:$AU$39,19,0)</f>
        <v>0</v>
      </c>
      <c r="V20" s="36">
        <f>VLOOKUP($A20,[16]HISTOMARS22!$A$6:$AU$39,20,0)</f>
        <v>0</v>
      </c>
      <c r="W20" s="36">
        <f>VLOOKUP($A20,[16]HISTOMARS22!$A$6:$AU$39,27,0)</f>
        <v>0</v>
      </c>
      <c r="X20" s="36">
        <f>VLOOKUP($A20,[16]HISTOMARS22!$A$6:$AU$39,33,0)</f>
        <v>0</v>
      </c>
      <c r="Y20" s="36">
        <f>VLOOKUP($A20,[16]HISTOMARS22!$A$6:$BP$39,65,0)</f>
        <v>0</v>
      </c>
      <c r="Z20" s="36"/>
      <c r="AA20" s="36">
        <f>VLOOKUP($A20,[16]HISTOMARS22!$A$6:$AU$39,43,0)</f>
        <v>0</v>
      </c>
      <c r="AB20" s="36">
        <f>VLOOKUP($A20,[16]HISTOMARS22!$A$6:$AU$39,44,0)</f>
        <v>0</v>
      </c>
      <c r="AC20" s="36">
        <f>VLOOKUP($A20,[16]HISTOMARS22!$A$6:$AU$39,47,0)</f>
        <v>0</v>
      </c>
      <c r="AD20" s="36">
        <f>VLOOKUP(A20,[16]HISTOMARS22!$A$6:$BB$36,54,0)</f>
        <v>0</v>
      </c>
      <c r="AE20" s="36">
        <f>VLOOKUP($A20,[16]HISTOMARS22!$A$6:$CA$36,60,0)</f>
        <v>0</v>
      </c>
      <c r="AF20" s="36">
        <f>VLOOKUP($A20,[16]HISTOMARS22!$A$6:$CA$36,61,0)</f>
        <v>0</v>
      </c>
      <c r="AG20" s="36">
        <f>VLOOKUP($A20,[16]HISTOMARS22!$A$6:$CA$36,62,0)</f>
        <v>0</v>
      </c>
      <c r="AH20" s="36">
        <f>VLOOKUP($A20,[16]HISTOMARS22!$A$6:$CA$36,63,0)</f>
        <v>0</v>
      </c>
      <c r="AI20" s="36">
        <f>VLOOKUP($A20,[16]HISTOMARS22!$A$6:$CA$36,64,0)</f>
        <v>0</v>
      </c>
      <c r="AJ20" s="36">
        <f>VLOOKUP($A20,[16]HISTOMARS22!$A$6:$CA$36,65,0)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VLOOKUP($A21,[16]HISTOMARS22!$A$6:$BA$39,48,0)</f>
        <v>0</v>
      </c>
      <c r="F21" s="5">
        <f>MVTFEV22!F21-MVTMARS22!E21</f>
        <v>570000</v>
      </c>
      <c r="G21" s="6">
        <f t="shared" si="1"/>
        <v>2596.2716515313359</v>
      </c>
      <c r="H21" s="6">
        <f>MVTFEV22!H21+MVTFEV22!G21+K21</f>
        <v>656555.17569927673</v>
      </c>
      <c r="I21" s="36">
        <f>VLOOKUP($A21,[16]HISTOMARS22!$A$6:$AQ$37,22,0)</f>
        <v>0</v>
      </c>
      <c r="J21" s="36">
        <f>VLOOKUP($A21,[16]HISTOMARS22!$A$6:$AU$39,45,0)</f>
        <v>7000</v>
      </c>
      <c r="K21" s="36">
        <f t="shared" si="2"/>
        <v>3000</v>
      </c>
      <c r="L21" s="36">
        <f t="shared" si="3"/>
        <v>500</v>
      </c>
      <c r="M21" s="36">
        <f t="shared" si="4"/>
        <v>1000</v>
      </c>
      <c r="N21" s="36">
        <f t="shared" si="5"/>
        <v>2500</v>
      </c>
      <c r="O21" s="36">
        <f>VLOOKUP($A21,[16]HISTOMARS22!$A$6:$AU$39,7,0)</f>
        <v>0</v>
      </c>
      <c r="P21" s="36">
        <f>VLOOKUP($A21,[16]HISTOMARS22!$A$6:$AU$39,23,0)</f>
        <v>0</v>
      </c>
      <c r="Q21" s="36">
        <f>VLOOKUP($A21,[16]HISTOMARS22!$A$6:$AU$39,46,0)</f>
        <v>0</v>
      </c>
      <c r="R21" s="36">
        <f>VLOOKUP($A21,[16]HISTOMARS22!$A$6:$AU$39,26,0)</f>
        <v>0</v>
      </c>
      <c r="S21" s="36">
        <f>VLOOKUP($A21,[16]HISTOMARS22!$A$6:$BG$39,58,0)</f>
        <v>0</v>
      </c>
      <c r="T21" s="36">
        <f>VLOOKUP($A21,[16]HISTOMARS22!$A$6:$AU$39,28,0)</f>
        <v>0</v>
      </c>
      <c r="U21" s="36">
        <f>VLOOKUP($A21,[16]HISTOMARS22!$A$6:$AU$39,19,0)</f>
        <v>0</v>
      </c>
      <c r="V21" s="36">
        <f>VLOOKUP($A21,[16]HISTOMARS22!$A$6:$AU$39,20,0)</f>
        <v>0</v>
      </c>
      <c r="W21" s="36">
        <f>VLOOKUP($A21,[16]HISTOMARS22!$A$6:$AU$39,27,0)</f>
        <v>0</v>
      </c>
      <c r="X21" s="36">
        <f>VLOOKUP($A21,[16]HISTOMARS22!$A$6:$AU$39,33,0)</f>
        <v>0</v>
      </c>
      <c r="Y21" s="36">
        <f>VLOOKUP($A21,[16]HISTOMARS22!$A$6:$BP$39,65,0)</f>
        <v>0</v>
      </c>
      <c r="Z21" s="36"/>
      <c r="AA21" s="36">
        <f>VLOOKUP($A21,[16]HISTOMARS22!$A$6:$AU$39,43,0)</f>
        <v>0</v>
      </c>
      <c r="AB21" s="36">
        <f>VLOOKUP($A21,[16]HISTOMARS22!$A$6:$AU$39,44,0)</f>
        <v>0</v>
      </c>
      <c r="AC21" s="36">
        <f>VLOOKUP($A21,[16]HISTOMARS22!$A$6:$AU$39,47,0)</f>
        <v>0</v>
      </c>
      <c r="AD21" s="36">
        <f>VLOOKUP(A21,[16]HISTOMARS22!$A$6:$BB$36,54,0)</f>
        <v>0</v>
      </c>
      <c r="AE21" s="36">
        <f>VLOOKUP($A21,[16]HISTOMARS22!$A$6:$CA$36,60,0)</f>
        <v>0</v>
      </c>
      <c r="AF21" s="36">
        <f>VLOOKUP($A21,[16]HISTOMARS22!$A$6:$CA$36,61,0)</f>
        <v>0</v>
      </c>
      <c r="AG21" s="36">
        <f>VLOOKUP($A21,[16]HISTOMARS22!$A$6:$CA$36,62,0)</f>
        <v>0</v>
      </c>
      <c r="AH21" s="36">
        <f>VLOOKUP($A21,[16]HISTOMARS22!$A$6:$CA$36,63,0)</f>
        <v>0</v>
      </c>
      <c r="AI21" s="36">
        <f>VLOOKUP($A21,[16]HISTOMARS22!$A$6:$CA$36,64,0)</f>
        <v>0</v>
      </c>
      <c r="AJ21" s="36">
        <f>VLOOKUP($A21,[16]HISTOMARS22!$A$6:$CA$36,65,0)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VLOOKUP($A22,[16]HISTOMARS22!$A$6:$BA$39,48,0)</f>
        <v>0</v>
      </c>
      <c r="F22" s="5">
        <f>MVTFEV22!F22-MVTMARS22!E22</f>
        <v>570000</v>
      </c>
      <c r="G22" s="6">
        <f t="shared" si="1"/>
        <v>2825.6771953455632</v>
      </c>
      <c r="H22" s="6">
        <f>MVTFEV22!H22+MVTFEV22!G22+K22</f>
        <v>714568.13325574074</v>
      </c>
      <c r="I22" s="36">
        <f>VLOOKUP($A22,[16]HISTOMARS22!$A$6:$AQ$37,22,0)</f>
        <v>0</v>
      </c>
      <c r="J22" s="36">
        <f>VLOOKUP($A22,[16]HISTOMARS22!$A$6:$AU$39,45,0)</f>
        <v>7000</v>
      </c>
      <c r="K22" s="36">
        <f t="shared" si="2"/>
        <v>3000</v>
      </c>
      <c r="L22" s="36">
        <f t="shared" si="3"/>
        <v>500</v>
      </c>
      <c r="M22" s="36">
        <f t="shared" si="4"/>
        <v>1000</v>
      </c>
      <c r="N22" s="36">
        <f t="shared" si="5"/>
        <v>2500</v>
      </c>
      <c r="O22" s="36">
        <f>VLOOKUP($A22,[16]HISTOMARS22!$A$6:$AU$39,7,0)</f>
        <v>0</v>
      </c>
      <c r="P22" s="36">
        <f>VLOOKUP($A22,[16]HISTOMARS22!$A$6:$AU$39,23,0)</f>
        <v>0</v>
      </c>
      <c r="Q22" s="36">
        <f>VLOOKUP($A22,[16]HISTOMARS22!$A$6:$AU$39,46,0)</f>
        <v>0</v>
      </c>
      <c r="R22" s="36">
        <f>VLOOKUP($A22,[16]HISTOMARS22!$A$6:$AU$39,26,0)</f>
        <v>1000000</v>
      </c>
      <c r="S22" s="36">
        <f>VLOOKUP($A22,[16]HISTOMARS22!$A$6:$BG$39,58,0)</f>
        <v>20000</v>
      </c>
      <c r="T22" s="36">
        <f>VLOOKUP($A22,[16]HISTOMARS22!$A$6:$AU$39,28,0)</f>
        <v>0</v>
      </c>
      <c r="U22" s="36">
        <f>VLOOKUP($A22,[16]HISTOMARS22!$A$6:$AU$39,19,0)</f>
        <v>0</v>
      </c>
      <c r="V22" s="36">
        <f>VLOOKUP($A22,[16]HISTOMARS22!$A$6:$AU$39,20,0)</f>
        <v>0</v>
      </c>
      <c r="W22" s="36" t="str">
        <f>VLOOKUP($A22,[16]HISTOMARS22!$A$6:$AU$39,27,0)</f>
        <v>BANQUE</v>
      </c>
      <c r="X22" s="36">
        <f>VLOOKUP($A22,[16]HISTOMARS22!$A$6:$AU$39,33,0)</f>
        <v>0</v>
      </c>
      <c r="Y22" s="36">
        <f>VLOOKUP($A22,[16]HISTOMARS22!$A$6:$BP$39,65,0)</f>
        <v>0</v>
      </c>
      <c r="Z22" s="36"/>
      <c r="AA22" s="36">
        <f>VLOOKUP($A22,[16]HISTOMARS22!$A$6:$AU$39,43,0)</f>
        <v>0</v>
      </c>
      <c r="AB22" s="36">
        <f>VLOOKUP($A22,[16]HISTOMARS22!$A$6:$AU$39,44,0)</f>
        <v>0</v>
      </c>
      <c r="AC22" s="36">
        <f>VLOOKUP($A22,[16]HISTOMARS22!$A$6:$AU$39,47,0)</f>
        <v>0</v>
      </c>
      <c r="AD22" s="36">
        <f>VLOOKUP(A22,[16]HISTOMARS22!$A$6:$BB$36,54,0)</f>
        <v>70000</v>
      </c>
      <c r="AE22" s="36">
        <f>VLOOKUP($A22,[16]HISTOMARS22!$A$6:$CA$36,60,0)</f>
        <v>0</v>
      </c>
      <c r="AF22" s="36">
        <f>VLOOKUP($A22,[16]HISTOMARS22!$A$6:$CA$36,61,0)</f>
        <v>0</v>
      </c>
      <c r="AG22" s="36">
        <f>VLOOKUP($A22,[16]HISTOMARS22!$A$6:$CA$36,62,0)</f>
        <v>0</v>
      </c>
      <c r="AH22" s="36">
        <f>VLOOKUP($A22,[16]HISTOMARS22!$A$6:$CA$36,63,0)</f>
        <v>0</v>
      </c>
      <c r="AI22" s="36">
        <f>VLOOKUP($A22,[16]HISTOMARS22!$A$6:$CA$36,64,0)</f>
        <v>0</v>
      </c>
      <c r="AJ22" s="36">
        <f>VLOOKUP($A22,[16]HISTOMARS22!$A$6:$CA$36,65,0)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VLOOKUP($A23,[16]HISTOMARS22!$A$6:$BA$39,48,0)</f>
        <v>0</v>
      </c>
      <c r="F23" s="5">
        <f>MVTFEV22!F23-MVTMARS22!E23</f>
        <v>570000</v>
      </c>
      <c r="G23" s="6">
        <f t="shared" si="1"/>
        <v>3099.6537701878901</v>
      </c>
      <c r="H23" s="6">
        <f>MVTFEV22!H23+MVTFEV22!G23+K23</f>
        <v>783852.38481970655</v>
      </c>
      <c r="I23" s="36">
        <f>VLOOKUP($A23,[16]HISTOMARS22!$A$6:$AQ$37,22,0)</f>
        <v>0</v>
      </c>
      <c r="J23" s="36">
        <f>VLOOKUP($A23,[16]HISTOMARS22!$A$6:$AU$39,45,0)</f>
        <v>27000</v>
      </c>
      <c r="K23" s="36">
        <f t="shared" si="2"/>
        <v>23000</v>
      </c>
      <c r="L23" s="36">
        <f t="shared" si="3"/>
        <v>500</v>
      </c>
      <c r="M23" s="36">
        <f t="shared" si="4"/>
        <v>1000</v>
      </c>
      <c r="N23" s="36">
        <f t="shared" si="5"/>
        <v>2500</v>
      </c>
      <c r="O23" s="36">
        <f>VLOOKUP($A23,[16]HISTOMARS22!$A$6:$AU$39,7,0)</f>
        <v>0</v>
      </c>
      <c r="P23" s="36">
        <f>VLOOKUP($A23,[16]HISTOMARS22!$A$6:$AU$39,23,0)</f>
        <v>0</v>
      </c>
      <c r="Q23" s="36">
        <f>VLOOKUP($A23,[16]HISTOMARS22!$A$6:$AU$39,46,0)</f>
        <v>0</v>
      </c>
      <c r="R23" s="36">
        <f>VLOOKUP($A23,[16]HISTOMARS22!$A$6:$AU$39,26,0)</f>
        <v>0</v>
      </c>
      <c r="S23" s="36">
        <f>VLOOKUP($A23,[16]HISTOMARS22!$A$6:$BG$39,58,0)</f>
        <v>0</v>
      </c>
      <c r="T23" s="36">
        <f>VLOOKUP($A23,[16]HISTOMARS22!$A$6:$AU$39,28,0)</f>
        <v>0</v>
      </c>
      <c r="U23" s="36">
        <f>VLOOKUP($A23,[16]HISTOMARS22!$A$6:$AU$39,19,0)</f>
        <v>0</v>
      </c>
      <c r="V23" s="36">
        <f>VLOOKUP($A23,[16]HISTOMARS22!$A$6:$AU$39,20,0)</f>
        <v>0</v>
      </c>
      <c r="W23" s="36">
        <f>VLOOKUP($A23,[16]HISTOMARS22!$A$6:$AU$39,27,0)</f>
        <v>0</v>
      </c>
      <c r="X23" s="36">
        <f>VLOOKUP($A23,[16]HISTOMARS22!$A$6:$AU$39,33,0)</f>
        <v>0</v>
      </c>
      <c r="Y23" s="36">
        <f>VLOOKUP($A23,[16]HISTOMARS22!$A$6:$BP$39,65,0)</f>
        <v>0</v>
      </c>
      <c r="Z23" s="36"/>
      <c r="AA23" s="36">
        <f>VLOOKUP($A23,[16]HISTOMARS22!$A$6:$AU$39,43,0)</f>
        <v>0</v>
      </c>
      <c r="AB23" s="36">
        <f>VLOOKUP($A23,[16]HISTOMARS22!$A$6:$AU$39,44,0)</f>
        <v>0</v>
      </c>
      <c r="AC23" s="36">
        <f>VLOOKUP($A23,[16]HISTOMARS22!$A$6:$AU$39,47,0)</f>
        <v>0</v>
      </c>
      <c r="AD23" s="36">
        <f>VLOOKUP(A23,[16]HISTOMARS22!$A$6:$BB$36,54,0)</f>
        <v>0</v>
      </c>
      <c r="AE23" s="36">
        <f>VLOOKUP($A23,[16]HISTOMARS22!$A$6:$CA$36,60,0)</f>
        <v>0</v>
      </c>
      <c r="AF23" s="36">
        <f>VLOOKUP($A23,[16]HISTOMARS22!$A$6:$CA$36,61,0)</f>
        <v>0</v>
      </c>
      <c r="AG23" s="36">
        <f>VLOOKUP($A23,[16]HISTOMARS22!$A$6:$CA$36,62,0)</f>
        <v>0</v>
      </c>
      <c r="AH23" s="36">
        <f>VLOOKUP($A23,[16]HISTOMARS22!$A$6:$CA$36,63,0)</f>
        <v>0</v>
      </c>
      <c r="AI23" s="36">
        <f>VLOOKUP($A23,[16]HISTOMARS22!$A$6:$CA$36,64,0)</f>
        <v>0</v>
      </c>
      <c r="AJ23" s="36">
        <f>VLOOKUP($A23,[16]HISTOMARS22!$A$6:$CA$36,65,0)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VLOOKUP($A24,[16]HISTOMARS22!$A$6:$BA$39,48,0)</f>
        <v>0</v>
      </c>
      <c r="F24" s="5">
        <f>MVTFEV22!F24-MVTMARS22!E24</f>
        <v>570000</v>
      </c>
      <c r="G24" s="6">
        <f t="shared" si="1"/>
        <v>2697.7945299446214</v>
      </c>
      <c r="H24" s="6">
        <f>MVTFEV22!H24+MVTFEV22!G24+K24</f>
        <v>682228.67224376055</v>
      </c>
      <c r="I24" s="36">
        <f>VLOOKUP($A24,[16]HISTOMARS22!$A$6:$AQ$37,22,0)</f>
        <v>0</v>
      </c>
      <c r="J24" s="36">
        <f>VLOOKUP($A24,[16]HISTOMARS22!$A$6:$AU$39,45,0)</f>
        <v>42000</v>
      </c>
      <c r="K24" s="36">
        <f t="shared" si="2"/>
        <v>38000</v>
      </c>
      <c r="L24" s="36">
        <f t="shared" si="3"/>
        <v>500</v>
      </c>
      <c r="M24" s="36">
        <f t="shared" si="4"/>
        <v>1000</v>
      </c>
      <c r="N24" s="36">
        <f t="shared" si="5"/>
        <v>2500</v>
      </c>
      <c r="O24" s="36">
        <f>VLOOKUP($A24,[16]HISTOMARS22!$A$6:$AU$39,7,0)</f>
        <v>3000</v>
      </c>
      <c r="P24" s="36">
        <f>VLOOKUP($A24,[16]HISTOMARS22!$A$6:$AU$39,23,0)</f>
        <v>0</v>
      </c>
      <c r="Q24" s="36">
        <f>VLOOKUP($A24,[16]HISTOMARS22!$A$6:$AU$39,46,0)</f>
        <v>0</v>
      </c>
      <c r="R24" s="36">
        <f>VLOOKUP($A24,[16]HISTOMARS22!$A$6:$AU$39,26,0)</f>
        <v>0</v>
      </c>
      <c r="S24" s="36">
        <f>VLOOKUP($A24,[16]HISTOMARS22!$A$6:$BG$39,58,0)</f>
        <v>0</v>
      </c>
      <c r="T24" s="36">
        <f>VLOOKUP($A24,[16]HISTOMARS22!$A$6:$AU$39,28,0)</f>
        <v>0</v>
      </c>
      <c r="U24" s="36">
        <f>VLOOKUP($A24,[16]HISTOMARS22!$A$6:$AU$39,19,0)</f>
        <v>0</v>
      </c>
      <c r="V24" s="36">
        <f>VLOOKUP($A24,[16]HISTOMARS22!$A$6:$AU$39,20,0)</f>
        <v>0</v>
      </c>
      <c r="W24" s="36">
        <f>VLOOKUP($A24,[16]HISTOMARS22!$A$6:$AU$39,27,0)</f>
        <v>0</v>
      </c>
      <c r="X24" s="36">
        <f>VLOOKUP($A24,[16]HISTOMARS22!$A$6:$AU$39,33,0)</f>
        <v>0</v>
      </c>
      <c r="Y24" s="36">
        <f>VLOOKUP($A24,[16]HISTOMARS22!$A$6:$BP$39,65,0)</f>
        <v>0</v>
      </c>
      <c r="Z24" s="36"/>
      <c r="AA24" s="36">
        <f>VLOOKUP($A24,[16]HISTOMARS22!$A$6:$AU$39,43,0)</f>
        <v>0</v>
      </c>
      <c r="AB24" s="36">
        <f>VLOOKUP($A24,[16]HISTOMARS22!$A$6:$AU$39,44,0)</f>
        <v>0</v>
      </c>
      <c r="AC24" s="36">
        <f>VLOOKUP($A24,[16]HISTOMARS22!$A$6:$AU$39,47,0)</f>
        <v>0</v>
      </c>
      <c r="AD24" s="36">
        <f>VLOOKUP(A24,[16]HISTOMARS22!$A$6:$BB$36,54,0)</f>
        <v>0</v>
      </c>
      <c r="AE24" s="36">
        <f>VLOOKUP($A24,[16]HISTOMARS22!$A$6:$CA$36,60,0)</f>
        <v>0</v>
      </c>
      <c r="AF24" s="36">
        <f>VLOOKUP($A24,[16]HISTOMARS22!$A$6:$CA$36,61,0)</f>
        <v>0</v>
      </c>
      <c r="AG24" s="36">
        <f>VLOOKUP($A24,[16]HISTOMARS22!$A$6:$CA$36,62,0)</f>
        <v>0</v>
      </c>
      <c r="AH24" s="36">
        <f>VLOOKUP($A24,[16]HISTOMARS22!$A$6:$CA$36,63,0)</f>
        <v>0</v>
      </c>
      <c r="AI24" s="36">
        <f>VLOOKUP($A24,[16]HISTOMARS22!$A$6:$CA$36,64,0)</f>
        <v>0</v>
      </c>
      <c r="AJ24" s="36">
        <f>VLOOKUP($A24,[16]HISTOMARS22!$A$6:$CA$36,65,0)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VLOOKUP($A25,[16]HISTOMARS22!$A$6:$BA$39,48,0)</f>
        <v>0</v>
      </c>
      <c r="F25" s="5">
        <f>MVTFEV22!F25-MVTMARS22!E25</f>
        <v>570000</v>
      </c>
      <c r="G25" s="6">
        <f t="shared" si="1"/>
        <v>2481.7220496969508</v>
      </c>
      <c r="H25" s="6">
        <f>MVTFEV22!H25+MVTFEV22!G25+K25</f>
        <v>627587.43115902506</v>
      </c>
      <c r="I25" s="36">
        <f>VLOOKUP($A25,[16]HISTOMARS22!$A$6:$AQ$37,22,0)</f>
        <v>0</v>
      </c>
      <c r="J25" s="36">
        <f>VLOOKUP($A25,[16]HISTOMARS22!$A$6:$AU$39,45,0)</f>
        <v>7000</v>
      </c>
      <c r="K25" s="36">
        <f t="shared" si="2"/>
        <v>3000</v>
      </c>
      <c r="L25" s="36">
        <f t="shared" si="3"/>
        <v>500</v>
      </c>
      <c r="M25" s="36">
        <f t="shared" si="4"/>
        <v>1000</v>
      </c>
      <c r="N25" s="36">
        <f t="shared" si="5"/>
        <v>2500</v>
      </c>
      <c r="O25" s="36">
        <f>VLOOKUP($A25,[16]HISTOMARS22!$A$6:$AU$39,7,0)</f>
        <v>0</v>
      </c>
      <c r="P25" s="36">
        <f>VLOOKUP($A25,[16]HISTOMARS22!$A$6:$AU$39,23,0)</f>
        <v>0</v>
      </c>
      <c r="Q25" s="36">
        <f>VLOOKUP($A25,[16]HISTOMARS22!$A$6:$AU$39,46,0)</f>
        <v>0</v>
      </c>
      <c r="R25" s="36">
        <f>VLOOKUP($A25,[16]HISTOMARS22!$A$6:$AU$39,26,0)</f>
        <v>0</v>
      </c>
      <c r="S25" s="36">
        <f>VLOOKUP($A25,[16]HISTOMARS22!$A$6:$BG$39,58,0)</f>
        <v>0</v>
      </c>
      <c r="T25" s="36">
        <f>VLOOKUP($A25,[16]HISTOMARS22!$A$6:$AU$39,28,0)</f>
        <v>0</v>
      </c>
      <c r="U25" s="36">
        <f>VLOOKUP($A25,[16]HISTOMARS22!$A$6:$AU$39,19,0)</f>
        <v>0</v>
      </c>
      <c r="V25" s="36">
        <f>VLOOKUP($A25,[16]HISTOMARS22!$A$6:$AU$39,20,0)</f>
        <v>0</v>
      </c>
      <c r="W25" s="36">
        <f>VLOOKUP($A25,[16]HISTOMARS22!$A$6:$AU$39,27,0)</f>
        <v>0</v>
      </c>
      <c r="X25" s="36">
        <f>VLOOKUP($A25,[16]HISTOMARS22!$A$6:$AU$39,33,0)</f>
        <v>0</v>
      </c>
      <c r="Y25" s="36">
        <f>VLOOKUP($A25,[16]HISTOMARS22!$A$6:$BP$39,65,0)</f>
        <v>0</v>
      </c>
      <c r="Z25" s="36"/>
      <c r="AA25" s="36">
        <f>VLOOKUP($A25,[16]HISTOMARS22!$A$6:$AU$39,43,0)</f>
        <v>0</v>
      </c>
      <c r="AB25" s="36">
        <f>VLOOKUP($A25,[16]HISTOMARS22!$A$6:$AU$39,44,0)</f>
        <v>0</v>
      </c>
      <c r="AC25" s="36">
        <f>VLOOKUP($A25,[16]HISTOMARS22!$A$6:$AU$39,47,0)</f>
        <v>0</v>
      </c>
      <c r="AD25" s="36">
        <f>VLOOKUP(A25,[16]HISTOMARS22!$A$6:$BB$36,54,0)</f>
        <v>0</v>
      </c>
      <c r="AE25" s="36">
        <f>VLOOKUP($A25,[16]HISTOMARS22!$A$6:$CA$36,60,0)</f>
        <v>0</v>
      </c>
      <c r="AF25" s="36">
        <f>VLOOKUP($A25,[16]HISTOMARS22!$A$6:$CA$36,61,0)</f>
        <v>0</v>
      </c>
      <c r="AG25" s="36">
        <f>VLOOKUP($A25,[16]HISTOMARS22!$A$6:$CA$36,62,0)</f>
        <v>0</v>
      </c>
      <c r="AH25" s="36">
        <f>VLOOKUP($A25,[16]HISTOMARS22!$A$6:$CA$36,63,0)</f>
        <v>0</v>
      </c>
      <c r="AI25" s="36">
        <f>VLOOKUP($A25,[16]HISTOMARS22!$A$6:$CA$36,64,0)</f>
        <v>0</v>
      </c>
      <c r="AJ25" s="36">
        <f>VLOOKUP($A25,[16]HISTOMARS22!$A$6:$CA$36,65,0)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VLOOKUP($A26,[16]HISTOMARS22!$A$6:$BA$39,48,0)</f>
        <v>0</v>
      </c>
      <c r="F26" s="5">
        <f>MVTFEV22!F26-MVTMARS22!E26</f>
        <v>570000</v>
      </c>
      <c r="G26" s="6">
        <f t="shared" si="1"/>
        <v>2512.4544112864078</v>
      </c>
      <c r="H26" s="6">
        <f>MVTFEV22!H26+MVTFEV22!G26+K26</f>
        <v>635359.149134345</v>
      </c>
      <c r="I26" s="36">
        <f>VLOOKUP($A26,[16]HISTOMARS22!$A$6:$AQ$37,22,0)</f>
        <v>0</v>
      </c>
      <c r="J26" s="36">
        <f>VLOOKUP($A26,[16]HISTOMARS22!$A$6:$AU$39,45,0)</f>
        <v>7000</v>
      </c>
      <c r="K26" s="36">
        <f t="shared" si="2"/>
        <v>3000</v>
      </c>
      <c r="L26" s="36">
        <f t="shared" si="3"/>
        <v>500</v>
      </c>
      <c r="M26" s="36">
        <f t="shared" si="4"/>
        <v>1000</v>
      </c>
      <c r="N26" s="36">
        <f t="shared" si="5"/>
        <v>2500</v>
      </c>
      <c r="O26" s="36">
        <f>VLOOKUP($A26,[16]HISTOMARS22!$A$6:$AU$39,7,0)</f>
        <v>3000</v>
      </c>
      <c r="P26" s="36">
        <f>VLOOKUP($A26,[16]HISTOMARS22!$A$6:$AU$39,23,0)</f>
        <v>0</v>
      </c>
      <c r="Q26" s="36">
        <f>VLOOKUP($A26,[16]HISTOMARS22!$A$6:$AU$39,46,0)</f>
        <v>0</v>
      </c>
      <c r="R26" s="36">
        <f>VLOOKUP($A26,[16]HISTOMARS22!$A$6:$AU$39,26,0)</f>
        <v>0</v>
      </c>
      <c r="S26" s="36">
        <f>VLOOKUP($A26,[16]HISTOMARS22!$A$6:$BG$39,58,0)</f>
        <v>0</v>
      </c>
      <c r="T26" s="36">
        <f>VLOOKUP($A26,[16]HISTOMARS22!$A$6:$AU$39,28,0)</f>
        <v>0</v>
      </c>
      <c r="U26" s="36">
        <f>VLOOKUP($A26,[16]HISTOMARS22!$A$6:$AU$39,19,0)</f>
        <v>0</v>
      </c>
      <c r="V26" s="36">
        <f>VLOOKUP($A26,[16]HISTOMARS22!$A$6:$AU$39,20,0)</f>
        <v>0</v>
      </c>
      <c r="W26" s="36">
        <f>VLOOKUP($A26,[16]HISTOMARS22!$A$6:$AU$39,27,0)</f>
        <v>0</v>
      </c>
      <c r="X26" s="36">
        <f>VLOOKUP($A26,[16]HISTOMARS22!$A$6:$AU$39,33,0)</f>
        <v>0</v>
      </c>
      <c r="Y26" s="36">
        <f>VLOOKUP($A26,[16]HISTOMARS22!$A$6:$BP$39,65,0)</f>
        <v>0</v>
      </c>
      <c r="Z26" s="36"/>
      <c r="AA26" s="36">
        <f>VLOOKUP($A26,[16]HISTOMARS22!$A$6:$AU$39,43,0)</f>
        <v>0</v>
      </c>
      <c r="AB26" s="36">
        <f>VLOOKUP($A26,[16]HISTOMARS22!$A$6:$AU$39,44,0)</f>
        <v>0</v>
      </c>
      <c r="AC26" s="36">
        <f>VLOOKUP($A26,[16]HISTOMARS22!$A$6:$AU$39,47,0)</f>
        <v>0</v>
      </c>
      <c r="AD26" s="36">
        <f>VLOOKUP(A26,[16]HISTOMARS22!$A$6:$BB$36,54,0)</f>
        <v>0</v>
      </c>
      <c r="AE26" s="36">
        <f>VLOOKUP($A26,[16]HISTOMARS22!$A$6:$CA$36,60,0)</f>
        <v>0</v>
      </c>
      <c r="AF26" s="36">
        <f>VLOOKUP($A26,[16]HISTOMARS22!$A$6:$CA$36,61,0)</f>
        <v>0</v>
      </c>
      <c r="AG26" s="36">
        <f>VLOOKUP($A26,[16]HISTOMARS22!$A$6:$CA$36,62,0)</f>
        <v>0</v>
      </c>
      <c r="AH26" s="36">
        <f>VLOOKUP($A26,[16]HISTOMARS22!$A$6:$CA$36,63,0)</f>
        <v>0</v>
      </c>
      <c r="AI26" s="36">
        <f>VLOOKUP($A26,[16]HISTOMARS22!$A$6:$CA$36,64,0)</f>
        <v>0</v>
      </c>
      <c r="AJ26" s="36">
        <f>VLOOKUP($A26,[16]HISTOMARS22!$A$6:$CA$36,65,0)</f>
        <v>0</v>
      </c>
    </row>
    <row r="27" spans="1:36" x14ac:dyDescent="0.25">
      <c r="A27" s="1" t="s">
        <v>30</v>
      </c>
      <c r="B27" s="1" t="str">
        <f>VLOOKUP(A27,[15]LISTADHERENT!A$5:H$60,3,0)</f>
        <v>NKEHE DAVID</v>
      </c>
      <c r="C27" s="5"/>
      <c r="D27" s="5"/>
      <c r="E27" s="36">
        <f>VLOOKUP($A27,[16]HISTOMARS22!$A$6:$BA$39,48,0)</f>
        <v>0</v>
      </c>
      <c r="F27" s="5">
        <f>MVTFEV22!F27-MVTMARS22!E27</f>
        <v>534974.27750837663</v>
      </c>
      <c r="G27" s="6">
        <f t="shared" si="1"/>
        <v>0</v>
      </c>
      <c r="H27" s="6">
        <f>MVTFEV22!H27+MVTFEV22!G27+K27</f>
        <v>0</v>
      </c>
      <c r="I27" s="36">
        <f>VLOOKUP($A27,[16]HISTOMARS22!$A$6:$AQ$37,22,0)</f>
        <v>0</v>
      </c>
      <c r="J27" s="36">
        <f>VLOOKUP($A27,[16]HISTOMARS22!$A$6:$AU$39,45,0)</f>
        <v>0</v>
      </c>
      <c r="K27" s="36">
        <f t="shared" si="2"/>
        <v>0</v>
      </c>
      <c r="L27" s="36">
        <f t="shared" si="3"/>
        <v>0</v>
      </c>
      <c r="M27" s="36">
        <f t="shared" si="4"/>
        <v>0</v>
      </c>
      <c r="N27" s="36">
        <f t="shared" si="5"/>
        <v>0</v>
      </c>
      <c r="O27" s="36">
        <f>VLOOKUP($A27,[16]HISTOMARS22!$A$6:$AU$39,7,0)</f>
        <v>0</v>
      </c>
      <c r="P27" s="36">
        <f>VLOOKUP($A27,[16]HISTOMARS22!$A$6:$AU$39,23,0)</f>
        <v>0</v>
      </c>
      <c r="Q27" s="36">
        <f>VLOOKUP($A27,[16]HISTOMARS22!$A$6:$AU$39,46,0)</f>
        <v>0</v>
      </c>
      <c r="R27" s="36">
        <f>VLOOKUP($A27,[16]HISTOMARS22!$A$6:$AU$39,26,0)</f>
        <v>0</v>
      </c>
      <c r="S27" s="36">
        <f>VLOOKUP($A27,[16]HISTOMARS22!$A$6:$BG$39,58,0)</f>
        <v>0</v>
      </c>
      <c r="T27" s="36">
        <f>VLOOKUP($A27,[16]HISTOMARS22!$A$6:$AU$39,28,0)</f>
        <v>0</v>
      </c>
      <c r="U27" s="36">
        <f>VLOOKUP($A27,[16]HISTOMARS22!$A$6:$AU$39,19,0)</f>
        <v>0</v>
      </c>
      <c r="V27" s="36">
        <f>VLOOKUP($A27,[16]HISTOMARS22!$A$6:$AU$39,20,0)</f>
        <v>0</v>
      </c>
      <c r="W27" s="36">
        <f>VLOOKUP($A27,[16]HISTOMARS22!$A$6:$AU$39,27,0)</f>
        <v>0</v>
      </c>
      <c r="X27" s="36">
        <f>VLOOKUP($A27,[16]HISTOMARS22!$A$6:$AU$39,33,0)</f>
        <v>0</v>
      </c>
      <c r="Y27" s="36">
        <f>VLOOKUP($A27,[16]HISTOMARS22!$A$6:$BP$39,65,0)</f>
        <v>0</v>
      </c>
      <c r="Z27" s="36"/>
      <c r="AA27" s="36">
        <f>VLOOKUP($A27,[16]HISTOMARS22!$A$6:$AU$39,43,0)</f>
        <v>0</v>
      </c>
      <c r="AB27" s="36">
        <f>VLOOKUP($A27,[16]HISTOMARS22!$A$6:$AU$39,44,0)</f>
        <v>0</v>
      </c>
      <c r="AC27" s="36">
        <f>VLOOKUP($A27,[16]HISTOMARS22!$A$6:$AU$39,47,0)</f>
        <v>0</v>
      </c>
      <c r="AD27" s="36">
        <f>VLOOKUP(A27,[16]HISTOMARS22!$A$6:$BB$36,54,0)</f>
        <v>0</v>
      </c>
      <c r="AE27" s="36">
        <f>VLOOKUP($A27,[16]HISTOMARS22!$A$6:$CA$36,60,0)</f>
        <v>0</v>
      </c>
      <c r="AF27" s="36">
        <f>VLOOKUP($A27,[16]HISTOMARS22!$A$6:$CA$36,61,0)</f>
        <v>0</v>
      </c>
      <c r="AG27" s="36">
        <f>VLOOKUP($A27,[16]HISTOMARS22!$A$6:$CA$36,62,0)</f>
        <v>0</v>
      </c>
      <c r="AH27" s="36">
        <f>VLOOKUP($A27,[16]HISTOMARS22!$A$6:$CA$36,63,0)</f>
        <v>0</v>
      </c>
      <c r="AI27" s="36">
        <f>VLOOKUP($A27,[16]HISTOMARS22!$A$6:$CA$36,64,0)</f>
        <v>0</v>
      </c>
      <c r="AJ27" s="36">
        <f>VLOOKUP($A27,[16]HISTOMARS22!$A$6:$CA$36,65,0)</f>
        <v>0</v>
      </c>
    </row>
    <row r="28" spans="1:36" x14ac:dyDescent="0.25">
      <c r="A28" s="1" t="s">
        <v>44</v>
      </c>
      <c r="B28" s="1" t="str">
        <f>VLOOKUP(A28,[15]LISTADHERENT!A$5:H$60,3,0)</f>
        <v>NKEPSEU DIEUDONNE</v>
      </c>
      <c r="C28" s="5"/>
      <c r="D28" s="5"/>
      <c r="E28" s="36">
        <f>VLOOKUP($A28,[16]HISTOMARS22!$A$6:$BA$39,48,0)</f>
        <v>0</v>
      </c>
      <c r="F28" s="5">
        <f>MVTFEV22!F28-MVTMARS22!E28</f>
        <v>570000</v>
      </c>
      <c r="G28" s="6">
        <f t="shared" si="1"/>
        <v>2571.0901555446499</v>
      </c>
      <c r="H28" s="6">
        <f>MVTFEV22!H28+MVTFEV22!G28+K28</f>
        <v>650187.18199871085</v>
      </c>
      <c r="I28" s="36">
        <f>VLOOKUP($A28,[16]HISTOMARS22!$A$6:$AQ$37,22,0)</f>
        <v>0</v>
      </c>
      <c r="J28" s="36">
        <f>VLOOKUP($A28,[16]HISTOMARS22!$A$6:$AU$39,45,0)</f>
        <v>10000</v>
      </c>
      <c r="K28" s="36">
        <f t="shared" si="2"/>
        <v>6000</v>
      </c>
      <c r="L28" s="36">
        <f t="shared" si="3"/>
        <v>500</v>
      </c>
      <c r="M28" s="36">
        <f t="shared" si="4"/>
        <v>1000</v>
      </c>
      <c r="N28" s="36">
        <f t="shared" si="5"/>
        <v>2500</v>
      </c>
      <c r="O28" s="36">
        <f>VLOOKUP($A28,[16]HISTOMARS22!$A$6:$AU$39,7,0)</f>
        <v>0</v>
      </c>
      <c r="P28" s="36">
        <f>VLOOKUP($A28,[16]HISTOMARS22!$A$6:$AU$39,23,0)</f>
        <v>0</v>
      </c>
      <c r="Q28" s="36">
        <f>VLOOKUP($A28,[16]HISTOMARS22!$A$6:$AU$39,46,0)</f>
        <v>0</v>
      </c>
      <c r="R28" s="36">
        <f>VLOOKUP($A28,[16]HISTOMARS22!$A$6:$AU$39,26,0)</f>
        <v>0</v>
      </c>
      <c r="S28" s="36">
        <f>VLOOKUP($A28,[16]HISTOMARS22!$A$6:$BG$39,58,0)</f>
        <v>0</v>
      </c>
      <c r="T28" s="36">
        <f>VLOOKUP($A28,[16]HISTOMARS22!$A$6:$AU$39,28,0)</f>
        <v>0</v>
      </c>
      <c r="U28" s="36">
        <f>VLOOKUP($A28,[16]HISTOMARS22!$A$6:$AU$39,19,0)</f>
        <v>0</v>
      </c>
      <c r="V28" s="36">
        <f>VLOOKUP($A28,[16]HISTOMARS22!$A$6:$AU$39,20,0)</f>
        <v>0</v>
      </c>
      <c r="W28" s="36">
        <f>VLOOKUP($A28,[16]HISTOMARS22!$A$6:$AU$39,27,0)</f>
        <v>0</v>
      </c>
      <c r="X28" s="36">
        <f>VLOOKUP($A28,[16]HISTOMARS22!$A$6:$AU$39,33,0)</f>
        <v>0</v>
      </c>
      <c r="Y28" s="36">
        <f>VLOOKUP($A28,[16]HISTOMARS22!$A$6:$BP$39,65,0)</f>
        <v>0</v>
      </c>
      <c r="Z28" s="36"/>
      <c r="AA28" s="36">
        <f>VLOOKUP($A28,[16]HISTOMARS22!$A$6:$AU$39,43,0)</f>
        <v>0</v>
      </c>
      <c r="AB28" s="36">
        <f>VLOOKUP($A28,[16]HISTOMARS22!$A$6:$AU$39,44,0)</f>
        <v>0</v>
      </c>
      <c r="AC28" s="36">
        <f>VLOOKUP($A28,[16]HISTOMARS22!$A$6:$AU$39,47,0)</f>
        <v>0</v>
      </c>
      <c r="AD28" s="36">
        <f>VLOOKUP(A28,[16]HISTOMARS22!$A$6:$BB$36,54,0)</f>
        <v>0</v>
      </c>
      <c r="AE28" s="36">
        <f>VLOOKUP($A28,[16]HISTOMARS22!$A$6:$CA$36,60,0)</f>
        <v>0</v>
      </c>
      <c r="AF28" s="36">
        <f>VLOOKUP($A28,[16]HISTOMARS22!$A$6:$CA$36,61,0)</f>
        <v>0</v>
      </c>
      <c r="AG28" s="36">
        <f>VLOOKUP($A28,[16]HISTOMARS22!$A$6:$CA$36,62,0)</f>
        <v>0</v>
      </c>
      <c r="AH28" s="36">
        <f>VLOOKUP($A28,[16]HISTOMARS22!$A$6:$CA$36,63,0)</f>
        <v>0</v>
      </c>
      <c r="AI28" s="36">
        <f>VLOOKUP($A28,[16]HISTOMARS22!$A$6:$CA$36,64,0)</f>
        <v>0</v>
      </c>
      <c r="AJ28" s="36">
        <f>VLOOKUP($A28,[16]HISTOMARS22!$A$6:$CA$36,65,0)</f>
        <v>0</v>
      </c>
    </row>
    <row r="29" spans="1:36" x14ac:dyDescent="0.25">
      <c r="A29" s="1" t="s">
        <v>45</v>
      </c>
      <c r="B29" s="1" t="str">
        <f>VLOOKUP(A29,[15]LISTADHERENT!A$5:H$60,3,0)</f>
        <v>PATEGO NJOSSU GUSTAVE</v>
      </c>
      <c r="C29" s="5"/>
      <c r="D29" s="5"/>
      <c r="E29" s="36">
        <f>VLOOKUP($A29,[16]HISTOMARS22!$A$6:$BA$39,48,0)</f>
        <v>0</v>
      </c>
      <c r="F29" s="5">
        <f>MVTFEV22!F29-MVTMARS22!E29</f>
        <v>570000</v>
      </c>
      <c r="G29" s="6">
        <f t="shared" si="1"/>
        <v>2558.1889243626847</v>
      </c>
      <c r="H29" s="6">
        <f>MVTFEV22!H29+MVTFEV22!G29+K29</f>
        <v>646924.66896375315</v>
      </c>
      <c r="I29" s="36">
        <f>VLOOKUP($A29,[16]HISTOMARS22!$A$6:$AQ$37,22,0)</f>
        <v>0</v>
      </c>
      <c r="J29" s="36">
        <f>VLOOKUP($A29,[16]HISTOMARS22!$A$6:$AU$39,45,0)</f>
        <v>7000</v>
      </c>
      <c r="K29" s="36">
        <f t="shared" si="2"/>
        <v>3000</v>
      </c>
      <c r="L29" s="36">
        <f t="shared" si="3"/>
        <v>500</v>
      </c>
      <c r="M29" s="36">
        <f t="shared" si="4"/>
        <v>1000</v>
      </c>
      <c r="N29" s="36">
        <f t="shared" si="5"/>
        <v>2500</v>
      </c>
      <c r="O29" s="36">
        <f>VLOOKUP($A29,[16]HISTOMARS22!$A$6:$AU$39,7,0)</f>
        <v>0</v>
      </c>
      <c r="P29" s="36">
        <f>VLOOKUP($A29,[16]HISTOMARS22!$A$6:$AU$39,23,0)</f>
        <v>0</v>
      </c>
      <c r="Q29" s="36">
        <f>VLOOKUP($A29,[16]HISTOMARS22!$A$6:$AU$39,46,0)</f>
        <v>0</v>
      </c>
      <c r="R29" s="36">
        <f>VLOOKUP($A29,[16]HISTOMARS22!$A$6:$AU$39,26,0)</f>
        <v>0</v>
      </c>
      <c r="S29" s="36">
        <f>VLOOKUP($A29,[16]HISTOMARS22!$A$6:$BG$39,58,0)</f>
        <v>0</v>
      </c>
      <c r="T29" s="36">
        <f>VLOOKUP($A29,[16]HISTOMARS22!$A$6:$AU$39,28,0)</f>
        <v>0</v>
      </c>
      <c r="U29" s="36">
        <f>VLOOKUP($A29,[16]HISTOMARS22!$A$6:$AU$39,19,0)</f>
        <v>0</v>
      </c>
      <c r="V29" s="36">
        <f>VLOOKUP($A29,[16]HISTOMARS22!$A$6:$AU$39,20,0)</f>
        <v>0</v>
      </c>
      <c r="W29" s="36">
        <f>VLOOKUP($A29,[16]HISTOMARS22!$A$6:$AU$39,27,0)</f>
        <v>0</v>
      </c>
      <c r="X29" s="36">
        <f>VLOOKUP($A29,[16]HISTOMARS22!$A$6:$AU$39,33,0)</f>
        <v>0</v>
      </c>
      <c r="Y29" s="36">
        <f>VLOOKUP($A29,[16]HISTOMARS22!$A$6:$BP$39,65,0)</f>
        <v>0</v>
      </c>
      <c r="Z29" s="36"/>
      <c r="AA29" s="36">
        <f>VLOOKUP($A29,[16]HISTOMARS22!$A$6:$AU$39,43,0)</f>
        <v>0</v>
      </c>
      <c r="AB29" s="36">
        <f>VLOOKUP($A29,[16]HISTOMARS22!$A$6:$AU$39,44,0)</f>
        <v>0</v>
      </c>
      <c r="AC29" s="36">
        <f>VLOOKUP($A29,[16]HISTOMARS22!$A$6:$AU$39,47,0)</f>
        <v>0</v>
      </c>
      <c r="AD29" s="36">
        <f>VLOOKUP(A29,[16]HISTOMARS22!$A$6:$BB$36,54,0)</f>
        <v>0</v>
      </c>
      <c r="AE29" s="36">
        <f>VLOOKUP($A29,[16]HISTOMARS22!$A$6:$CA$36,60,0)</f>
        <v>0</v>
      </c>
      <c r="AF29" s="36">
        <f>VLOOKUP($A29,[16]HISTOMARS22!$A$6:$CA$36,61,0)</f>
        <v>0</v>
      </c>
      <c r="AG29" s="36">
        <f>VLOOKUP($A29,[16]HISTOMARS22!$A$6:$CA$36,62,0)</f>
        <v>0</v>
      </c>
      <c r="AH29" s="36">
        <f>VLOOKUP($A29,[16]HISTOMARS22!$A$6:$CA$36,63,0)</f>
        <v>0</v>
      </c>
      <c r="AI29" s="36">
        <f>VLOOKUP($A29,[16]HISTOMARS22!$A$6:$CA$36,64,0)</f>
        <v>0</v>
      </c>
      <c r="AJ29" s="36">
        <f>VLOOKUP($A29,[16]HISTOMARS22!$A$6:$CA$36,65,0)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VLOOKUP($A30,[16]HISTOMARS22!$A$6:$BA$39,48,0)</f>
        <v>0</v>
      </c>
      <c r="F30" s="5">
        <f>MVTFEV22!F30-MVTMARS22!E30</f>
        <v>570000</v>
      </c>
      <c r="G30" s="6">
        <f t="shared" si="1"/>
        <v>3645.5057084581058</v>
      </c>
      <c r="H30" s="6">
        <f>MVTFEV22!H30+MVTFEV22!G30+K30</f>
        <v>921889.52551159484</v>
      </c>
      <c r="I30" s="36">
        <f>VLOOKUP($A30,[16]HISTOMARS22!$A$6:$AQ$37,22,0)</f>
        <v>0</v>
      </c>
      <c r="J30" s="36">
        <f>VLOOKUP($A30,[16]HISTOMARS22!$A$6:$AU$39,45,0)</f>
        <v>7000</v>
      </c>
      <c r="K30" s="36">
        <f t="shared" si="2"/>
        <v>3000</v>
      </c>
      <c r="L30" s="36">
        <f t="shared" si="3"/>
        <v>500</v>
      </c>
      <c r="M30" s="36">
        <f t="shared" si="4"/>
        <v>1000</v>
      </c>
      <c r="N30" s="36">
        <f t="shared" si="5"/>
        <v>2500</v>
      </c>
      <c r="O30" s="36">
        <f>VLOOKUP($A30,[16]HISTOMARS22!$A$6:$AU$39,7,0)</f>
        <v>3000</v>
      </c>
      <c r="P30" s="36">
        <f>VLOOKUP($A30,[16]HISTOMARS22!$A$6:$AU$39,23,0)</f>
        <v>0</v>
      </c>
      <c r="Q30" s="36">
        <f>VLOOKUP($A30,[16]HISTOMARS22!$A$6:$AU$39,46,0)</f>
        <v>0</v>
      </c>
      <c r="R30" s="36">
        <f>VLOOKUP($A30,[16]HISTOMARS22!$A$6:$AU$39,26,0)</f>
        <v>0</v>
      </c>
      <c r="S30" s="36">
        <f>VLOOKUP($A30,[16]HISTOMARS22!$A$6:$BG$39,58,0)</f>
        <v>0</v>
      </c>
      <c r="T30" s="36">
        <f>VLOOKUP($A30,[16]HISTOMARS22!$A$6:$AU$39,28,0)</f>
        <v>0</v>
      </c>
      <c r="U30" s="36">
        <f>VLOOKUP($A30,[16]HISTOMARS22!$A$6:$AU$39,19,0)</f>
        <v>0</v>
      </c>
      <c r="V30" s="36">
        <f>VLOOKUP($A30,[16]HISTOMARS22!$A$6:$AU$39,20,0)</f>
        <v>0</v>
      </c>
      <c r="W30" s="36">
        <f>VLOOKUP($A30,[16]HISTOMARS22!$A$6:$AU$39,27,0)</f>
        <v>0</v>
      </c>
      <c r="X30" s="36">
        <f>VLOOKUP($A30,[16]HISTOMARS22!$A$6:$AU$39,33,0)</f>
        <v>0</v>
      </c>
      <c r="Y30" s="36">
        <f>VLOOKUP($A30,[16]HISTOMARS22!$A$6:$BP$39,65,0)</f>
        <v>0</v>
      </c>
      <c r="Z30" s="36"/>
      <c r="AA30" s="36">
        <f>VLOOKUP($A30,[16]HISTOMARS22!$A$6:$AU$39,43,0)</f>
        <v>0</v>
      </c>
      <c r="AB30" s="36">
        <f>VLOOKUP($A30,[16]HISTOMARS22!$A$6:$AU$39,44,0)</f>
        <v>0</v>
      </c>
      <c r="AC30" s="36">
        <f>VLOOKUP($A30,[16]HISTOMARS22!$A$6:$AU$39,47,0)</f>
        <v>0</v>
      </c>
      <c r="AD30" s="36">
        <f>VLOOKUP(A30,[16]HISTOMARS22!$A$6:$BB$36,54,0)</f>
        <v>0</v>
      </c>
      <c r="AE30" s="36">
        <f>VLOOKUP($A30,[16]HISTOMARS22!$A$6:$CA$36,60,0)</f>
        <v>0</v>
      </c>
      <c r="AF30" s="36">
        <f>VLOOKUP($A30,[16]HISTOMARS22!$A$6:$CA$36,61,0)</f>
        <v>0</v>
      </c>
      <c r="AG30" s="36">
        <f>VLOOKUP($A30,[16]HISTOMARS22!$A$6:$CA$36,62,0)</f>
        <v>0</v>
      </c>
      <c r="AH30" s="36">
        <f>VLOOKUP($A30,[16]HISTOMARS22!$A$6:$CA$36,63,0)</f>
        <v>70000</v>
      </c>
      <c r="AI30" s="36">
        <f>VLOOKUP($A30,[16]HISTOMARS22!$A$6:$CA$36,64,0)</f>
        <v>0</v>
      </c>
      <c r="AJ30" s="36">
        <f>VLOOKUP($A30,[16]HISTOMARS22!$A$6:$CA$36,65,0)</f>
        <v>0</v>
      </c>
    </row>
    <row r="31" spans="1:36" x14ac:dyDescent="0.25">
      <c r="A31" s="1" t="s">
        <v>47</v>
      </c>
      <c r="B31" s="1" t="str">
        <f>VLOOKUP(A31,[15]LISTADHERENT!A$5:H$60,3,0)</f>
        <v>SIMO FONGANG ERIC</v>
      </c>
      <c r="C31" s="5"/>
      <c r="D31" s="5"/>
      <c r="E31" s="36">
        <f>VLOOKUP($A31,[16]HISTOMARS22!$A$6:$BA$39,48,0)</f>
        <v>0</v>
      </c>
      <c r="F31" s="5">
        <f>MVTFEV22!F31-MVTMARS22!E31</f>
        <v>570000</v>
      </c>
      <c r="G31" s="6">
        <f t="shared" si="1"/>
        <v>0</v>
      </c>
      <c r="H31" s="6">
        <f>MVTFEV22!H31+MVTFEV22!G31+K31</f>
        <v>0</v>
      </c>
      <c r="I31" s="36">
        <f>VLOOKUP($A31,[16]HISTOMARS22!$A$6:$AQ$37,22,0)</f>
        <v>0</v>
      </c>
      <c r="J31" s="36">
        <f>VLOOKUP($A31,[16]HISTOMARS22!$A$6:$AU$39,45,0)</f>
        <v>0</v>
      </c>
      <c r="K31" s="36">
        <f t="shared" si="2"/>
        <v>0</v>
      </c>
      <c r="L31" s="36">
        <f t="shared" si="3"/>
        <v>0</v>
      </c>
      <c r="M31" s="36">
        <f t="shared" si="4"/>
        <v>0</v>
      </c>
      <c r="N31" s="36">
        <f t="shared" si="5"/>
        <v>0</v>
      </c>
      <c r="O31" s="36">
        <f>VLOOKUP($A31,[16]HISTOMARS22!$A$6:$AU$39,7,0)</f>
        <v>0</v>
      </c>
      <c r="P31" s="36">
        <f>VLOOKUP($A31,[16]HISTOMARS22!$A$6:$AU$39,23,0)</f>
        <v>0</v>
      </c>
      <c r="Q31" s="36">
        <f>VLOOKUP($A31,[16]HISTOMARS22!$A$6:$AU$39,46,0)</f>
        <v>0</v>
      </c>
      <c r="R31" s="36">
        <f>VLOOKUP($A31,[16]HISTOMARS22!$A$6:$AU$39,26,0)</f>
        <v>0</v>
      </c>
      <c r="S31" s="36">
        <f>VLOOKUP($A31,[16]HISTOMARS22!$A$6:$BG$39,58,0)</f>
        <v>0</v>
      </c>
      <c r="T31" s="36">
        <f>VLOOKUP($A31,[16]HISTOMARS22!$A$6:$AU$39,28,0)</f>
        <v>0</v>
      </c>
      <c r="U31" s="36">
        <f>VLOOKUP($A31,[16]HISTOMARS22!$A$6:$AU$39,19,0)</f>
        <v>0</v>
      </c>
      <c r="V31" s="36">
        <f>VLOOKUP($A31,[16]HISTOMARS22!$A$6:$AU$39,20,0)</f>
        <v>0</v>
      </c>
      <c r="W31" s="36">
        <f>VLOOKUP($A31,[16]HISTOMARS22!$A$6:$AU$39,27,0)</f>
        <v>0</v>
      </c>
      <c r="X31" s="36">
        <f>VLOOKUP($A31,[16]HISTOMARS22!$A$6:$AU$39,33,0)</f>
        <v>0</v>
      </c>
      <c r="Y31" s="36">
        <f>VLOOKUP($A31,[16]HISTOMARS22!$A$6:$BP$39,65,0)</f>
        <v>0</v>
      </c>
      <c r="Z31" s="36"/>
      <c r="AA31" s="36">
        <f>VLOOKUP($A31,[16]HISTOMARS22!$A$6:$AU$39,43,0)</f>
        <v>0</v>
      </c>
      <c r="AB31" s="36">
        <f>VLOOKUP($A31,[16]HISTOMARS22!$A$6:$AU$39,44,0)</f>
        <v>0</v>
      </c>
      <c r="AC31" s="36">
        <f>VLOOKUP($A31,[16]HISTOMARS22!$A$6:$AU$39,47,0)</f>
        <v>0</v>
      </c>
      <c r="AD31" s="36">
        <f>VLOOKUP(A31,[16]HISTOMARS22!$A$6:$BB$36,54,0)</f>
        <v>0</v>
      </c>
      <c r="AE31" s="36">
        <f>VLOOKUP($A31,[16]HISTOMARS22!$A$6:$CA$36,60,0)</f>
        <v>0</v>
      </c>
      <c r="AF31" s="36">
        <f>VLOOKUP($A31,[16]HISTOMARS22!$A$6:$CA$36,61,0)</f>
        <v>0</v>
      </c>
      <c r="AG31" s="36">
        <f>VLOOKUP($A31,[16]HISTOMARS22!$A$6:$CA$36,62,0)</f>
        <v>0</v>
      </c>
      <c r="AH31" s="36">
        <f>VLOOKUP($A31,[16]HISTOMARS22!$A$6:$CA$36,63,0)</f>
        <v>0</v>
      </c>
      <c r="AI31" s="36">
        <f>VLOOKUP($A31,[16]HISTOMARS22!$A$6:$CA$36,64,0)</f>
        <v>0</v>
      </c>
      <c r="AJ31" s="36">
        <f>VLOOKUP($A31,[16]HISTOMARS22!$A$6:$CA$36,65,0)</f>
        <v>0</v>
      </c>
    </row>
    <row r="32" spans="1:36" x14ac:dyDescent="0.25">
      <c r="A32" s="1" t="s">
        <v>49</v>
      </c>
      <c r="B32" s="1" t="str">
        <f>VLOOKUP(A32,[15]LISTADHERENT!A$5:H$60,3,0)</f>
        <v>SIMO PIERRE</v>
      </c>
      <c r="C32" s="5"/>
      <c r="D32" s="5"/>
      <c r="E32" s="36">
        <f>VLOOKUP($A32,[16]HISTOMARS22!$A$6:$BA$39,48,0)</f>
        <v>0</v>
      </c>
      <c r="F32" s="5">
        <f>MVTFEV22!F32-MVTMARS22!E32</f>
        <v>570000</v>
      </c>
      <c r="G32" s="6">
        <f t="shared" si="1"/>
        <v>2971.5518556640814</v>
      </c>
      <c r="H32" s="6">
        <f>MVTFEV22!H32+MVTFEV22!G32+K32</f>
        <v>751457.47924501996</v>
      </c>
      <c r="I32" s="36">
        <f>VLOOKUP($A32,[16]HISTOMARS22!$A$6:$AQ$37,22,0)</f>
        <v>0</v>
      </c>
      <c r="J32" s="36">
        <f>VLOOKUP($A32,[16]HISTOMARS22!$A$6:$AU$39,45,0)</f>
        <v>52000</v>
      </c>
      <c r="K32" s="36">
        <f t="shared" si="2"/>
        <v>48000</v>
      </c>
      <c r="L32" s="36">
        <f t="shared" si="3"/>
        <v>500</v>
      </c>
      <c r="M32" s="36">
        <f t="shared" si="4"/>
        <v>1000</v>
      </c>
      <c r="N32" s="36">
        <f t="shared" si="5"/>
        <v>2500</v>
      </c>
      <c r="O32" s="36">
        <f>VLOOKUP($A32,[16]HISTOMARS22!$A$6:$AU$39,7,0)</f>
        <v>0</v>
      </c>
      <c r="P32" s="36">
        <f>VLOOKUP($A32,[16]HISTOMARS22!$A$6:$AU$39,23,0)</f>
        <v>0</v>
      </c>
      <c r="Q32" s="36">
        <f>VLOOKUP($A32,[16]HISTOMARS22!$A$6:$AU$39,46,0)</f>
        <v>0</v>
      </c>
      <c r="R32" s="36">
        <f>VLOOKUP($A32,[16]HISTOMARS22!$A$6:$AU$39,26,0)</f>
        <v>0</v>
      </c>
      <c r="S32" s="36">
        <f>VLOOKUP($A32,[16]HISTOMARS22!$A$6:$BG$39,58,0)</f>
        <v>0</v>
      </c>
      <c r="T32" s="36">
        <f>VLOOKUP($A32,[16]HISTOMARS22!$A$6:$AU$39,28,0)</f>
        <v>0</v>
      </c>
      <c r="U32" s="36">
        <f>VLOOKUP($A32,[16]HISTOMARS22!$A$6:$AU$39,19,0)</f>
        <v>0</v>
      </c>
      <c r="V32" s="36">
        <f>VLOOKUP($A32,[16]HISTOMARS22!$A$6:$AU$39,20,0)</f>
        <v>0</v>
      </c>
      <c r="W32" s="36">
        <f>VLOOKUP($A32,[16]HISTOMARS22!$A$6:$AU$39,27,0)</f>
        <v>0</v>
      </c>
      <c r="X32" s="36">
        <f>VLOOKUP($A32,[16]HISTOMARS22!$A$6:$AU$39,33,0)</f>
        <v>0</v>
      </c>
      <c r="Y32" s="36">
        <f>VLOOKUP($A32,[16]HISTOMARS22!$A$6:$BP$39,65,0)</f>
        <v>0</v>
      </c>
      <c r="Z32" s="36"/>
      <c r="AA32" s="36">
        <f>VLOOKUP($A32,[16]HISTOMARS22!$A$6:$AU$39,43,0)</f>
        <v>0</v>
      </c>
      <c r="AB32" s="36">
        <f>VLOOKUP($A32,[16]HISTOMARS22!$A$6:$AU$39,44,0)</f>
        <v>0</v>
      </c>
      <c r="AC32" s="36">
        <f>VLOOKUP($A32,[16]HISTOMARS22!$A$6:$AU$39,47,0)</f>
        <v>0</v>
      </c>
      <c r="AD32" s="36">
        <f>VLOOKUP(A32,[16]HISTOMARS22!$A$6:$BB$36,54,0)</f>
        <v>0</v>
      </c>
      <c r="AE32" s="36">
        <f>VLOOKUP($A32,[16]HISTOMARS22!$A$6:$CA$36,60,0)</f>
        <v>0</v>
      </c>
      <c r="AF32" s="36">
        <f>VLOOKUP($A32,[16]HISTOMARS22!$A$6:$CA$36,61,0)</f>
        <v>0</v>
      </c>
      <c r="AG32" s="36">
        <f>VLOOKUP($A32,[16]HISTOMARS22!$A$6:$CA$36,62,0)</f>
        <v>0</v>
      </c>
      <c r="AH32" s="36">
        <f>VLOOKUP($A32,[16]HISTOMARS22!$A$6:$CA$36,63,0)</f>
        <v>0</v>
      </c>
      <c r="AI32" s="36">
        <f>VLOOKUP($A32,[16]HISTOMARS22!$A$6:$CA$36,64,0)</f>
        <v>0</v>
      </c>
      <c r="AJ32" s="36">
        <f>VLOOKUP($A32,[16]HISTOMARS22!$A$6:$CA$36,65,0)</f>
        <v>0</v>
      </c>
    </row>
    <row r="33" spans="1:36" x14ac:dyDescent="0.25">
      <c r="A33" s="1" t="s">
        <v>51</v>
      </c>
      <c r="B33" s="1" t="str">
        <f>VLOOKUP(A33,[15]LISTADHERENT!A$5:H$60,3,0)</f>
        <v>TCHOUAMOU MATHIEU</v>
      </c>
      <c r="C33" s="5"/>
      <c r="D33" s="5"/>
      <c r="E33" s="36">
        <f>VLOOKUP($A33,[16]HISTOMARS22!$A$6:$BA$39,48,0)</f>
        <v>0</v>
      </c>
      <c r="F33" s="5">
        <f>MVTFEV22!F33-MVTMARS22!E33</f>
        <v>570000</v>
      </c>
      <c r="G33" s="6">
        <f t="shared" si="1"/>
        <v>2491.7869944537197</v>
      </c>
      <c r="H33" s="6">
        <f>MVTFEV22!H33+MVTFEV22!G33+K33</f>
        <v>630132.69315781712</v>
      </c>
      <c r="I33" s="36">
        <f>VLOOKUP($A33,[16]HISTOMARS22!$A$6:$AQ$37,22,0)</f>
        <v>0</v>
      </c>
      <c r="J33" s="36">
        <f>VLOOKUP($A33,[16]HISTOMARS22!$A$6:$AU$39,45,0)</f>
        <v>7000</v>
      </c>
      <c r="K33" s="36">
        <f t="shared" si="2"/>
        <v>3000</v>
      </c>
      <c r="L33" s="36">
        <f t="shared" si="3"/>
        <v>500</v>
      </c>
      <c r="M33" s="36">
        <f t="shared" si="4"/>
        <v>1000</v>
      </c>
      <c r="N33" s="36">
        <f t="shared" si="5"/>
        <v>2500</v>
      </c>
      <c r="O33" s="36">
        <f>VLOOKUP($A33,[16]HISTOMARS22!$A$6:$AU$39,7,0)</f>
        <v>0</v>
      </c>
      <c r="P33" s="36">
        <f>VLOOKUP($A33,[16]HISTOMARS22!$A$6:$AU$39,23,0)</f>
        <v>0</v>
      </c>
      <c r="Q33" s="36">
        <f>VLOOKUP($A33,[16]HISTOMARS22!$A$6:$AU$39,46,0)</f>
        <v>0</v>
      </c>
      <c r="R33" s="36">
        <f>VLOOKUP($A33,[16]HISTOMARS22!$A$6:$AU$39,26,0)</f>
        <v>0</v>
      </c>
      <c r="S33" s="36">
        <f>VLOOKUP($A33,[16]HISTOMARS22!$A$6:$BG$39,58,0)</f>
        <v>0</v>
      </c>
      <c r="T33" s="36">
        <f>VLOOKUP($A33,[16]HISTOMARS22!$A$6:$AU$39,28,0)</f>
        <v>0</v>
      </c>
      <c r="U33" s="36">
        <f>VLOOKUP($A33,[16]HISTOMARS22!$A$6:$AU$39,19,0)</f>
        <v>0</v>
      </c>
      <c r="V33" s="36">
        <f>VLOOKUP($A33,[16]HISTOMARS22!$A$6:$AU$39,20,0)</f>
        <v>0</v>
      </c>
      <c r="W33" s="36">
        <f>VLOOKUP($A33,[16]HISTOMARS22!$A$6:$AU$39,27,0)</f>
        <v>0</v>
      </c>
      <c r="X33" s="36">
        <f>VLOOKUP($A33,[16]HISTOMARS22!$A$6:$AU$39,33,0)</f>
        <v>0</v>
      </c>
      <c r="Y33" s="36">
        <f>VLOOKUP($A33,[16]HISTOMARS22!$A$6:$BP$39,65,0)</f>
        <v>0</v>
      </c>
      <c r="Z33" s="36"/>
      <c r="AA33" s="36">
        <f>VLOOKUP($A33,[16]HISTOMARS22!$A$6:$AU$39,43,0)</f>
        <v>0</v>
      </c>
      <c r="AB33" s="36">
        <f>VLOOKUP($A33,[16]HISTOMARS22!$A$6:$AU$39,44,0)</f>
        <v>0</v>
      </c>
      <c r="AC33" s="36">
        <f>VLOOKUP($A33,[16]HISTOMARS22!$A$6:$AU$39,47,0)</f>
        <v>0</v>
      </c>
      <c r="AD33" s="36">
        <f>VLOOKUP(A33,[16]HISTOMARS22!$A$6:$BB$36,54,0)</f>
        <v>0</v>
      </c>
      <c r="AE33" s="36">
        <f>VLOOKUP($A33,[16]HISTOMARS22!$A$6:$CA$36,60,0)</f>
        <v>0</v>
      </c>
      <c r="AF33" s="36">
        <f>VLOOKUP($A33,[16]HISTOMARS22!$A$6:$CA$36,61,0)</f>
        <v>0</v>
      </c>
      <c r="AG33" s="36">
        <f>VLOOKUP($A33,[16]HISTOMARS22!$A$6:$CA$36,62,0)</f>
        <v>0</v>
      </c>
      <c r="AH33" s="36">
        <f>VLOOKUP($A33,[16]HISTOMARS22!$A$6:$CA$36,63,0)</f>
        <v>0</v>
      </c>
      <c r="AI33" s="36">
        <f>VLOOKUP($A33,[16]HISTOMARS22!$A$6:$CA$36,64,0)</f>
        <v>0</v>
      </c>
      <c r="AJ33" s="36">
        <f>VLOOKUP($A33,[16]HISTOMARS22!$A$6:$CA$36,65,0)</f>
        <v>0</v>
      </c>
    </row>
    <row r="34" spans="1:36" x14ac:dyDescent="0.25">
      <c r="A34" s="1" t="s">
        <v>54</v>
      </c>
      <c r="B34" s="1" t="str">
        <f>VLOOKUP(A34,[15]LISTADHERENT!A$5:H$60,3,0)</f>
        <v>TIEYAM ERNEST</v>
      </c>
      <c r="C34" s="5"/>
      <c r="D34" s="5"/>
      <c r="E34" s="36">
        <f>VLOOKUP($A34,[16]HISTOMARS22!$A$6:$BA$39,48,0)</f>
        <v>0</v>
      </c>
      <c r="F34" s="5">
        <f>MVTFEV22!F34-MVTMARS22!E34</f>
        <v>535508.27831700875</v>
      </c>
      <c r="G34" s="6">
        <f t="shared" si="1"/>
        <v>0</v>
      </c>
      <c r="H34" s="6">
        <f>MVTFEV22!H34+MVTFEV22!G34+K34</f>
        <v>0</v>
      </c>
      <c r="I34" s="36">
        <f>VLOOKUP($A34,[16]HISTOMARS22!$A$6:$AQ$37,22,0)</f>
        <v>0</v>
      </c>
      <c r="J34" s="36">
        <f>VLOOKUP($A34,[16]HISTOMARS22!$A$6:$AU$39,45,0)</f>
        <v>0</v>
      </c>
      <c r="K34" s="36">
        <f t="shared" si="2"/>
        <v>0</v>
      </c>
      <c r="L34" s="36">
        <f t="shared" si="3"/>
        <v>0</v>
      </c>
      <c r="M34" s="36">
        <f t="shared" si="4"/>
        <v>0</v>
      </c>
      <c r="N34" s="36">
        <f t="shared" si="5"/>
        <v>0</v>
      </c>
      <c r="O34" s="36">
        <f>VLOOKUP($A34,[16]HISTOMARS22!$A$6:$AU$39,7,0)</f>
        <v>0</v>
      </c>
      <c r="P34" s="36">
        <f>VLOOKUP($A34,[16]HISTOMARS22!$A$6:$AU$39,23,0)</f>
        <v>0</v>
      </c>
      <c r="Q34" s="36">
        <f>VLOOKUP($A34,[16]HISTOMARS22!$A$6:$AU$39,46,0)</f>
        <v>0</v>
      </c>
      <c r="R34" s="36">
        <f>VLOOKUP($A34,[16]HISTOMARS22!$A$6:$AU$39,26,0)</f>
        <v>0</v>
      </c>
      <c r="S34" s="36">
        <f>VLOOKUP($A34,[16]HISTOMARS22!$A$6:$BG$39,58,0)</f>
        <v>0</v>
      </c>
      <c r="T34" s="36">
        <f>VLOOKUP($A34,[16]HISTOMARS22!$A$6:$AU$39,28,0)</f>
        <v>0</v>
      </c>
      <c r="U34" s="36">
        <f>VLOOKUP($A34,[16]HISTOMARS22!$A$6:$AU$39,19,0)</f>
        <v>0</v>
      </c>
      <c r="V34" s="36">
        <f>VLOOKUP($A34,[16]HISTOMARS22!$A$6:$AU$39,20,0)</f>
        <v>0</v>
      </c>
      <c r="W34" s="36">
        <f>VLOOKUP($A34,[16]HISTOMARS22!$A$6:$AU$39,27,0)</f>
        <v>0</v>
      </c>
      <c r="X34" s="36">
        <f>VLOOKUP($A34,[16]HISTOMARS22!$A$6:$AU$39,33,0)</f>
        <v>0</v>
      </c>
      <c r="Y34" s="36">
        <f>VLOOKUP($A34,[16]HISTOMARS22!$A$6:$BP$39,65,0)</f>
        <v>0</v>
      </c>
      <c r="Z34" s="36"/>
      <c r="AA34" s="36">
        <f>VLOOKUP($A34,[16]HISTOMARS22!$A$6:$AU$39,43,0)</f>
        <v>0</v>
      </c>
      <c r="AB34" s="36">
        <f>VLOOKUP($A34,[16]HISTOMARS22!$A$6:$AU$39,44,0)</f>
        <v>0</v>
      </c>
      <c r="AC34" s="36">
        <f>VLOOKUP($A34,[16]HISTOMARS22!$A$6:$AU$39,47,0)</f>
        <v>0</v>
      </c>
      <c r="AD34" s="36">
        <f>VLOOKUP(A34,[16]HISTOMARS22!$A$6:$BB$36,54,0)</f>
        <v>0</v>
      </c>
      <c r="AE34" s="36">
        <f>VLOOKUP($A34,[16]HISTOMARS22!$A$6:$CA$36,60,0)</f>
        <v>0</v>
      </c>
      <c r="AF34" s="36">
        <f>VLOOKUP($A34,[16]HISTOMARS22!$A$6:$CA$36,61,0)</f>
        <v>0</v>
      </c>
      <c r="AG34" s="36">
        <f>VLOOKUP($A34,[16]HISTOMARS22!$A$6:$CA$36,62,0)</f>
        <v>0</v>
      </c>
      <c r="AH34" s="36">
        <f>VLOOKUP($A34,[16]HISTOMARS22!$A$6:$CA$36,63,0)</f>
        <v>0</v>
      </c>
      <c r="AI34" s="36">
        <f>VLOOKUP($A34,[16]HISTOMARS22!$A$6:$CA$36,64,0)</f>
        <v>0</v>
      </c>
      <c r="AJ34" s="36">
        <f>VLOOKUP($A34,[16]HISTOMARS22!$A$6:$CA$36,65,0)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VLOOKUP($A35,[16]HISTOMARS22!$A$6:$BA$39,48,0)</f>
        <v>0</v>
      </c>
      <c r="F35" s="5">
        <f>MVTFEV22!F35-MVTMARS22!E35</f>
        <v>570000</v>
      </c>
      <c r="G35" s="6">
        <f t="shared" si="1"/>
        <v>5920.8684628188003</v>
      </c>
      <c r="H35" s="6">
        <f>MVTFEV22!H35+MVTFEV22!G35+K35</f>
        <v>1497292.0232000556</v>
      </c>
      <c r="I35" s="36">
        <f>VLOOKUP($A35,[16]HISTOMARS22!$A$6:$AQ$37,22,0)</f>
        <v>0</v>
      </c>
      <c r="J35" s="36">
        <f>VLOOKUP($A35,[16]HISTOMARS22!$A$6:$AU$39,45,0)</f>
        <v>7000</v>
      </c>
      <c r="K35" s="36">
        <f t="shared" si="2"/>
        <v>3000</v>
      </c>
      <c r="L35" s="36">
        <f t="shared" si="3"/>
        <v>500</v>
      </c>
      <c r="M35" s="36">
        <f t="shared" si="4"/>
        <v>1000</v>
      </c>
      <c r="N35" s="36">
        <f t="shared" si="5"/>
        <v>2500</v>
      </c>
      <c r="O35" s="36">
        <f>VLOOKUP($A35,[16]HISTOMARS22!$A$6:$AU$39,7,0)</f>
        <v>0</v>
      </c>
      <c r="P35" s="36">
        <f>VLOOKUP($A35,[16]HISTOMARS22!$A$6:$AU$39,23,0)</f>
        <v>0</v>
      </c>
      <c r="Q35" s="36">
        <f>VLOOKUP($A35,[16]HISTOMARS22!$A$6:$AU$39,46,0)</f>
        <v>0</v>
      </c>
      <c r="R35" s="36">
        <f>VLOOKUP($A35,[16]HISTOMARS22!$A$6:$AU$39,26,0)</f>
        <v>0</v>
      </c>
      <c r="S35" s="36">
        <f>VLOOKUP($A35,[16]HISTOMARS22!$A$6:$BG$39,58,0)</f>
        <v>0</v>
      </c>
      <c r="T35" s="36">
        <f>VLOOKUP($A35,[16]HISTOMARS22!$A$6:$AU$39,28,0)</f>
        <v>0</v>
      </c>
      <c r="U35" s="36">
        <f>VLOOKUP($A35,[16]HISTOMARS22!$A$6:$AU$39,19,0)</f>
        <v>0</v>
      </c>
      <c r="V35" s="36">
        <f>VLOOKUP($A35,[16]HISTOMARS22!$A$6:$AU$39,20,0)</f>
        <v>0</v>
      </c>
      <c r="W35" s="36">
        <f>VLOOKUP($A35,[16]HISTOMARS22!$A$6:$AU$39,27,0)</f>
        <v>0</v>
      </c>
      <c r="X35" s="36">
        <f>VLOOKUP($A35,[16]HISTOMARS22!$A$6:$AU$39,33,0)</f>
        <v>0</v>
      </c>
      <c r="Y35" s="36">
        <f>VLOOKUP($A35,[16]HISTOMARS22!$A$6:$BP$39,65,0)</f>
        <v>0</v>
      </c>
      <c r="Z35" s="36"/>
      <c r="AA35" s="36">
        <f>VLOOKUP($A35,[16]HISTOMARS22!$A$6:$AU$39,43,0)</f>
        <v>0</v>
      </c>
      <c r="AB35" s="36">
        <f>VLOOKUP($A35,[16]HISTOMARS22!$A$6:$AU$39,44,0)</f>
        <v>0</v>
      </c>
      <c r="AC35" s="36">
        <f>VLOOKUP($A35,[16]HISTOMARS22!$A$6:$AU$39,47,0)</f>
        <v>0</v>
      </c>
      <c r="AD35" s="36">
        <f>VLOOKUP(A35,[16]HISTOMARS22!$A$6:$BB$36,54,0)</f>
        <v>0</v>
      </c>
      <c r="AE35" s="36">
        <f>VLOOKUP($A35,[16]HISTOMARS22!$A$6:$CA$36,60,0)</f>
        <v>0</v>
      </c>
      <c r="AF35" s="36">
        <f>VLOOKUP($A35,[16]HISTOMARS22!$A$6:$CA$36,61,0)</f>
        <v>0</v>
      </c>
      <c r="AG35" s="36">
        <f>VLOOKUP($A35,[16]HISTOMARS22!$A$6:$CA$36,62,0)</f>
        <v>0</v>
      </c>
      <c r="AH35" s="36">
        <f>VLOOKUP($A35,[16]HISTOMARS22!$A$6:$CA$36,63,0)</f>
        <v>0</v>
      </c>
      <c r="AI35" s="36">
        <f>VLOOKUP($A35,[16]HISTOMARS22!$A$6:$CA$36,64,0)</f>
        <v>0</v>
      </c>
      <c r="AJ35" s="36">
        <f>VLOOKUP($A35,[16]HISTOMARS22!$A$6:$CA$36,65,0)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VLOOKUP($A36,[16]HISTOMARS22!$A$6:$BA$39,48,0)</f>
        <v>0</v>
      </c>
      <c r="F36" s="5">
        <f>MVTFEV22!F36-MVTMARS22!E36</f>
        <v>570000</v>
      </c>
      <c r="G36" s="6">
        <f t="shared" si="1"/>
        <v>6356.1418085082169</v>
      </c>
      <c r="H36" s="6">
        <f>MVTFEV22!H36+MVTFEV22!G36+K36</f>
        <v>1607365.623467488</v>
      </c>
      <c r="I36" s="36">
        <f>VLOOKUP($A36,[16]HISTOMARS22!$A$6:$AQ$37,22,0)</f>
        <v>0</v>
      </c>
      <c r="J36" s="36">
        <f>VLOOKUP($A36,[16]HISTOMARS22!$A$6:$AU$39,45,0)</f>
        <v>7000</v>
      </c>
      <c r="K36" s="36">
        <f t="shared" si="2"/>
        <v>3000</v>
      </c>
      <c r="L36" s="36">
        <f t="shared" si="3"/>
        <v>500</v>
      </c>
      <c r="M36" s="36">
        <f t="shared" si="4"/>
        <v>1000</v>
      </c>
      <c r="N36" s="36">
        <f t="shared" si="5"/>
        <v>2500</v>
      </c>
      <c r="O36" s="36">
        <f>VLOOKUP($A36,[16]HISTOMARS22!$A$6:$AU$39,7,0)</f>
        <v>0</v>
      </c>
      <c r="P36" s="36">
        <f>VLOOKUP($A36,[16]HISTOMARS22!$A$6:$AU$39,23,0)</f>
        <v>0</v>
      </c>
      <c r="Q36" s="36">
        <f>VLOOKUP($A36,[16]HISTOMARS22!$A$6:$AU$39,46,0)</f>
        <v>0</v>
      </c>
      <c r="R36" s="36">
        <f>VLOOKUP($A36,[16]HISTOMARS22!$A$6:$AU$39,26,0)</f>
        <v>0</v>
      </c>
      <c r="S36" s="36">
        <f>VLOOKUP($A36,[16]HISTOMARS22!$A$6:$BG$39,58,0)</f>
        <v>0</v>
      </c>
      <c r="T36" s="36">
        <f>VLOOKUP($A36,[16]HISTOMARS22!$A$6:$AU$39,28,0)</f>
        <v>0</v>
      </c>
      <c r="U36" s="36">
        <f>VLOOKUP($A36,[16]HISTOMARS22!$A$6:$AU$39,19,0)</f>
        <v>0</v>
      </c>
      <c r="V36" s="36">
        <f>VLOOKUP($A36,[16]HISTOMARS22!$A$6:$AU$39,20,0)</f>
        <v>0</v>
      </c>
      <c r="W36" s="36">
        <f>VLOOKUP($A36,[16]HISTOMARS22!$A$6:$AU$39,27,0)</f>
        <v>0</v>
      </c>
      <c r="X36" s="36">
        <f>VLOOKUP($A36,[16]HISTOMARS22!$A$6:$AU$39,33,0)</f>
        <v>0</v>
      </c>
      <c r="Y36" s="36">
        <f>VLOOKUP($A36,[16]HISTOMARS22!$A$6:$BP$39,65,0)</f>
        <v>0</v>
      </c>
      <c r="Z36" s="36"/>
      <c r="AA36" s="36">
        <f>VLOOKUP($A36,[16]HISTOMARS22!$A$6:$AU$39,43,0)</f>
        <v>0</v>
      </c>
      <c r="AB36" s="36">
        <f>VLOOKUP($A36,[16]HISTOMARS22!$A$6:$AU$39,44,0)</f>
        <v>0</v>
      </c>
      <c r="AC36" s="36">
        <f>VLOOKUP($A36,[16]HISTOMARS22!$A$6:$AU$39,47,0)</f>
        <v>0</v>
      </c>
      <c r="AD36" s="36">
        <f>VLOOKUP(A36,[16]HISTOMARS22!$A$6:$BB$36,54,0)</f>
        <v>0</v>
      </c>
      <c r="AE36" s="36">
        <f>VLOOKUP($A36,[16]HISTOMARS22!$A$6:$CA$36,60,0)</f>
        <v>0</v>
      </c>
      <c r="AF36" s="36">
        <f>VLOOKUP($A36,[16]HISTOMARS22!$A$6:$CA$36,61,0)</f>
        <v>0</v>
      </c>
      <c r="AG36" s="36">
        <f>VLOOKUP($A36,[16]HISTOMARS22!$A$6:$CA$36,62,0)</f>
        <v>0</v>
      </c>
      <c r="AH36" s="36">
        <f>VLOOKUP($A36,[16]HISTOMARS22!$A$6:$CA$36,63,0)</f>
        <v>0</v>
      </c>
      <c r="AI36" s="36">
        <f>VLOOKUP($A36,[16]HISTOMARS22!$A$6:$CA$36,64,0)</f>
        <v>0</v>
      </c>
      <c r="AJ36" s="36">
        <f>VLOOKUP($A36,[16]HISTOMARS22!$A$6:$CA$36,65,0)</f>
        <v>0</v>
      </c>
    </row>
    <row r="37" spans="1:36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H40" si="6">SUM(C6:C39)</f>
        <v>0</v>
      </c>
      <c r="D40" s="9">
        <f t="shared" si="6"/>
        <v>0</v>
      </c>
      <c r="E40" s="9">
        <f t="shared" si="6"/>
        <v>0</v>
      </c>
      <c r="F40" s="9">
        <f t="shared" si="6"/>
        <v>17584659.561375875</v>
      </c>
      <c r="G40" s="9">
        <f t="shared" si="6"/>
        <v>80000</v>
      </c>
      <c r="H40" s="9">
        <f t="shared" si="6"/>
        <v>20230708.148341153</v>
      </c>
      <c r="I40" s="9">
        <f t="shared" si="6"/>
        <v>0</v>
      </c>
      <c r="J40" s="9">
        <f t="shared" si="6"/>
        <v>350000</v>
      </c>
      <c r="K40" s="9">
        <f t="shared" si="6"/>
        <v>246000</v>
      </c>
      <c r="L40" s="9">
        <f t="shared" si="6"/>
        <v>13000</v>
      </c>
      <c r="M40" s="9">
        <f t="shared" si="6"/>
        <v>26000</v>
      </c>
      <c r="N40" s="9">
        <f t="shared" si="6"/>
        <v>65000</v>
      </c>
      <c r="O40" s="9">
        <f t="shared" si="6"/>
        <v>18000</v>
      </c>
      <c r="P40" s="9">
        <f t="shared" si="6"/>
        <v>0</v>
      </c>
      <c r="Q40" s="9">
        <f t="shared" si="6"/>
        <v>0</v>
      </c>
      <c r="R40" s="9">
        <f t="shared" si="6"/>
        <v>2200000</v>
      </c>
      <c r="S40" s="9">
        <f>SUM(S6:S39)+AI40</f>
        <v>80000</v>
      </c>
      <c r="T40" s="9">
        <f t="shared" si="6"/>
        <v>0</v>
      </c>
      <c r="U40" s="9">
        <f t="shared" si="6"/>
        <v>500000</v>
      </c>
      <c r="V40" s="9">
        <f t="shared" si="6"/>
        <v>0</v>
      </c>
      <c r="W40" s="9">
        <f t="shared" si="6"/>
        <v>0</v>
      </c>
      <c r="X40" s="9">
        <f t="shared" si="6"/>
        <v>0</v>
      </c>
      <c r="Y40" s="9">
        <f t="shared" si="6"/>
        <v>0</v>
      </c>
      <c r="Z40" s="9">
        <f t="shared" si="6"/>
        <v>0</v>
      </c>
      <c r="AA40" s="9">
        <f t="shared" si="6"/>
        <v>0</v>
      </c>
      <c r="AB40" s="9">
        <f t="shared" si="6"/>
        <v>0</v>
      </c>
      <c r="AC40" s="9">
        <f t="shared" si="6"/>
        <v>0</v>
      </c>
      <c r="AD40" s="9">
        <f t="shared" si="6"/>
        <v>140000</v>
      </c>
      <c r="AE40" s="9">
        <f t="shared" si="6"/>
        <v>18000</v>
      </c>
      <c r="AF40" s="9">
        <f t="shared" si="6"/>
        <v>0</v>
      </c>
      <c r="AG40" s="9">
        <f t="shared" si="6"/>
        <v>0</v>
      </c>
      <c r="AH40" s="9">
        <f t="shared" si="6"/>
        <v>70000</v>
      </c>
      <c r="AI40" s="9">
        <f>SUM(AI6:AI39)</f>
        <v>0</v>
      </c>
      <c r="AJ40" s="9">
        <f>SUM(AJ6:AJ39)</f>
        <v>0</v>
      </c>
    </row>
  </sheetData>
  <autoFilter ref="A5:U36">
    <sortState ref="A5:L48">
      <sortCondition ref="B5:B48"/>
    </sortState>
  </autoFilter>
  <mergeCells count="1">
    <mergeCell ref="J4:O4"/>
  </mergeCells>
  <dataValidations disablePrompts="1"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"/>
  <sheetViews>
    <sheetView workbookViewId="0">
      <pane xSplit="2" ySplit="5" topLeftCell="L33" activePane="bottomRight" state="frozen"/>
      <selection activeCell="B43" sqref="B43"/>
      <selection pane="topRight" activeCell="B43" sqref="B43"/>
      <selection pane="bottomLeft" activeCell="B43" sqref="B43"/>
      <selection pane="bottomRight" activeCell="S40" sqref="S40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5" bestFit="1" customWidth="1"/>
    <col min="19" max="19" width="15" customWidth="1"/>
    <col min="20" max="21" width="18.140625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04"/>
      <c r="J4" s="146">
        <v>44668</v>
      </c>
      <c r="K4" s="146"/>
      <c r="L4" s="146"/>
      <c r="M4" s="146"/>
      <c r="N4" s="146"/>
      <c r="O4" s="146"/>
      <c r="P4"/>
      <c r="Q4"/>
      <c r="AJ4" s="108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84" t="s">
        <v>10</v>
      </c>
      <c r="AF5" s="84" t="s">
        <v>11</v>
      </c>
      <c r="AG5" s="84" t="s">
        <v>307</v>
      </c>
      <c r="AH5" s="84" t="s">
        <v>273</v>
      </c>
      <c r="AI5" s="4" t="s">
        <v>65</v>
      </c>
      <c r="AJ5" s="84" t="s">
        <v>278</v>
      </c>
    </row>
    <row r="6" spans="1:36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MVTMARS22!F6-MVTAVRIL22!E6</f>
        <v>584177.00555049011</v>
      </c>
      <c r="G6" s="6">
        <f t="shared" ref="G6" si="0">$S$40/$H$40*H6</f>
        <v>0</v>
      </c>
      <c r="H6" s="6">
        <f>MVTMARS22!H6+MVTMARS22!G6+K6</f>
        <v>631893.27504133491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VLOOKUP($A6,[16]HISTOAVRIL22!$A$6:$CA$36,60,0)</f>
        <v>28500</v>
      </c>
      <c r="AF6" s="36">
        <f>VLOOKUP($A6,[16]HISTOAVRIL22!$A$6:$CA$36,61,0)</f>
        <v>0</v>
      </c>
      <c r="AG6" s="36">
        <f>VLOOKUP($A6,[16]HISTOAVRIL22!$A$6:$CA$36,62,0)</f>
        <v>0</v>
      </c>
      <c r="AH6" s="36">
        <f>VLOOKUP($A6,[16]HISTOAVRIL22!$A$6:$CA$36,63,0)</f>
        <v>0</v>
      </c>
      <c r="AI6" s="36">
        <f>VLOOKUP($A6,[16]HISTOAVRIL22!$A$6:$CA$36,64,0)</f>
        <v>0</v>
      </c>
      <c r="AJ6" s="36">
        <f>VLOOKUP($A6,[16]HISTOAVRIL22!$A$6:$CA$36,65,0)</f>
        <v>0</v>
      </c>
    </row>
    <row r="7" spans="1:36" x14ac:dyDescent="0.25">
      <c r="A7" s="1" t="s">
        <v>19</v>
      </c>
      <c r="B7" s="1" t="str">
        <f>VLOOKUP(A7,[15]LISTADHERENT!A$5:H$60,3,0)</f>
        <v>BOUTCHOUANG WILLIAM</v>
      </c>
      <c r="C7" s="5"/>
      <c r="D7" s="5"/>
      <c r="E7" s="36">
        <f>VLOOKUP($A7,[16]HISTOAVRIL22!$A$6:$BA$39,48,0)</f>
        <v>0</v>
      </c>
      <c r="F7" s="5">
        <f>MVTMARS22!F7-MVTAVRIL22!E7</f>
        <v>570000</v>
      </c>
      <c r="G7" s="6">
        <f t="shared" ref="G7:G36" si="1">$S$40/$H$40*H7</f>
        <v>0</v>
      </c>
      <c r="H7" s="6">
        <f>MVTMARS22!H7+MVTMARS22!G7+K7</f>
        <v>628601.42488485994</v>
      </c>
      <c r="I7" s="36">
        <f>VLOOKUP($A7,[16]HISTOAVRIL22!$A$6:$AQ$37,22,0)</f>
        <v>0</v>
      </c>
      <c r="J7" s="36">
        <f>VLOOKUP($A7,[16]HISTOAVRIL22!$A$6:$AU$39,45,0)</f>
        <v>7000</v>
      </c>
      <c r="K7" s="36">
        <f t="shared" ref="K7:K36" si="2">IF(J7=0,0,J7-(L7+M7+N7))</f>
        <v>3000</v>
      </c>
      <c r="L7" s="36">
        <f t="shared" ref="L7:L36" si="3">IF(J7=0,0,500)</f>
        <v>500</v>
      </c>
      <c r="M7" s="36">
        <f t="shared" ref="M7:M36" si="4">IF(J7=0,0,1000)</f>
        <v>1000</v>
      </c>
      <c r="N7" s="36">
        <f t="shared" ref="N7:N36" si="5">IF(J7=0,0,2500)</f>
        <v>2500</v>
      </c>
      <c r="O7" s="36">
        <f>VLOOKUP($A7,[16]HISTOAVRIL22!$A$6:$AU$39,7,0)</f>
        <v>0</v>
      </c>
      <c r="P7" s="36">
        <f>VLOOKUP($A7,[16]HISTOAVRIL22!$A$6:$AU$39,23,0)</f>
        <v>0</v>
      </c>
      <c r="Q7" s="36">
        <f>VLOOKUP($A7,[16]HISTOAVRIL22!$A$6:$AU$39,46,0)</f>
        <v>0</v>
      </c>
      <c r="R7" s="36">
        <f>VLOOKUP($A7,[16]HISTOAVRIL22!$A$6:$AU$39,26,0)</f>
        <v>0</v>
      </c>
      <c r="S7" s="36">
        <f>VLOOKUP($A7,[16]HISTOAVRIL22!$A$6:$BG$39,58,0)</f>
        <v>0</v>
      </c>
      <c r="T7" s="36">
        <f>VLOOKUP($A7,[16]HISTOAVRIL22!$A$6:$AU$39,28,0)</f>
        <v>0</v>
      </c>
      <c r="U7" s="36">
        <f>VLOOKUP($A7,[16]HISTOAVRIL22!$A$6:$AU$39,19,0)</f>
        <v>0</v>
      </c>
      <c r="V7" s="36">
        <f>VLOOKUP($A7,[16]HISTOAVRIL22!$A$6:$AU$39,20,0)</f>
        <v>0</v>
      </c>
      <c r="W7" s="36">
        <f>VLOOKUP($A7,[16]HISTOAVRIL22!$A$6:$AU$39,27,0)</f>
        <v>0</v>
      </c>
      <c r="X7" s="36">
        <f>VLOOKUP($A7,[16]HISTOAVRIL22!$A$6:$AU$39,33,0)</f>
        <v>0</v>
      </c>
      <c r="Y7" s="36">
        <f>VLOOKUP($A7,[16]HISTOAVRIL22!$A$6:$BP$39,65,0)</f>
        <v>0</v>
      </c>
      <c r="Z7" s="36"/>
      <c r="AA7" s="36">
        <f>VLOOKUP($A7,[16]HISTOAVRIL22!$A$6:$AU$39,43,0)</f>
        <v>0</v>
      </c>
      <c r="AB7" s="36">
        <f>VLOOKUP($A7,[16]HISTOAVRIL22!$A$6:$AU$39,44,0)</f>
        <v>0</v>
      </c>
      <c r="AC7" s="36">
        <f>VLOOKUP($A7,[16]HISTOAVRIL22!$A$6:$AU$39,47,0)</f>
        <v>0</v>
      </c>
      <c r="AD7" s="36">
        <f>VLOOKUP(A7,[16]HISTOAVRIL22!$A$6:$BB$36,54,0)</f>
        <v>0</v>
      </c>
      <c r="AE7" s="36">
        <f>VLOOKUP($A7,[16]HISTOAVRIL22!$A$6:$CA$36,60,0)</f>
        <v>0</v>
      </c>
      <c r="AF7" s="36">
        <f>VLOOKUP($A7,[16]HISTOAVRIL22!$A$6:$CA$36,61,0)</f>
        <v>0</v>
      </c>
      <c r="AG7" s="36">
        <f>VLOOKUP($A7,[16]HISTOAVRIL22!$A$6:$CA$36,62,0)</f>
        <v>0</v>
      </c>
      <c r="AH7" s="36">
        <f>VLOOKUP($A7,[16]HISTOAVRIL22!$A$6:$CA$36,63,0)</f>
        <v>0</v>
      </c>
      <c r="AI7" s="36">
        <f>VLOOKUP($A7,[16]HISTOAVRIL22!$A$6:$CA$36,64,0)</f>
        <v>0</v>
      </c>
      <c r="AJ7" s="36">
        <f>VLOOKUP($A7,[16]HISTOAVRIL22!$A$6:$CA$36,65,0)</f>
        <v>0</v>
      </c>
    </row>
    <row r="8" spans="1:36" x14ac:dyDescent="0.25">
      <c r="A8" s="1" t="s">
        <v>23</v>
      </c>
      <c r="B8" s="1" t="str">
        <f>VLOOKUP(A8,[15]LISTADHERENT!A$5:H$60,3,0)</f>
        <v xml:space="preserve">DJOMO JEAN PAUL </v>
      </c>
      <c r="C8" s="5"/>
      <c r="D8" s="5"/>
      <c r="E8" s="36">
        <f>VLOOKUP($A8,[16]HISTOAVRIL22!$A$6:$BA$39,48,0)</f>
        <v>0</v>
      </c>
      <c r="F8" s="5">
        <f>MVTMARS22!F8-MVTAVRIL22!E8</f>
        <v>570000</v>
      </c>
      <c r="G8" s="6">
        <f t="shared" si="1"/>
        <v>0</v>
      </c>
      <c r="H8" s="6">
        <f>MVTMARS22!H8+MVTMARS22!G8+K8</f>
        <v>697539.15671328176</v>
      </c>
      <c r="I8" s="36">
        <f>VLOOKUP($A8,[16]HISTOAVRIL22!$A$6:$AQ$37,22,0)</f>
        <v>0</v>
      </c>
      <c r="J8" s="36">
        <f>VLOOKUP($A8,[16]HISTOAVRIL22!$A$6:$AU$39,45,0)</f>
        <v>11000</v>
      </c>
      <c r="K8" s="36">
        <f t="shared" si="2"/>
        <v>7000</v>
      </c>
      <c r="L8" s="36">
        <f t="shared" si="3"/>
        <v>500</v>
      </c>
      <c r="M8" s="36">
        <f t="shared" si="4"/>
        <v>1000</v>
      </c>
      <c r="N8" s="36">
        <f t="shared" si="5"/>
        <v>2500</v>
      </c>
      <c r="O8" s="36">
        <f>VLOOKUP($A8,[16]HISTOAVRIL22!$A$6:$AU$39,7,0)</f>
        <v>0</v>
      </c>
      <c r="P8" s="36">
        <f>VLOOKUP($A8,[16]HISTOAVRIL22!$A$6:$AU$39,23,0)</f>
        <v>0</v>
      </c>
      <c r="Q8" s="36">
        <f>VLOOKUP($A8,[16]HISTOAVRIL22!$A$6:$AU$39,46,0)</f>
        <v>0</v>
      </c>
      <c r="R8" s="36">
        <f>VLOOKUP($A8,[16]HISTOAVRIL22!$A$6:$AU$39,26,0)</f>
        <v>0</v>
      </c>
      <c r="S8" s="36">
        <f>VLOOKUP($A8,[16]HISTOAVRIL22!$A$6:$BG$39,58,0)</f>
        <v>0</v>
      </c>
      <c r="T8" s="36">
        <f>VLOOKUP($A8,[16]HISTOAVRIL22!$A$6:$AU$39,28,0)</f>
        <v>0</v>
      </c>
      <c r="U8" s="36">
        <f>VLOOKUP($A8,[16]HISTOAVRIL22!$A$6:$AU$39,19,0)</f>
        <v>0</v>
      </c>
      <c r="V8" s="36">
        <f>VLOOKUP($A8,[16]HISTOAVRIL22!$A$6:$AU$39,20,0)</f>
        <v>0</v>
      </c>
      <c r="W8" s="36">
        <f>VLOOKUP($A8,[16]HISTOAVRIL22!$A$6:$AU$39,27,0)</f>
        <v>0</v>
      </c>
      <c r="X8" s="36">
        <f>VLOOKUP($A8,[16]HISTOAVRIL22!$A$6:$AU$39,33,0)</f>
        <v>0</v>
      </c>
      <c r="Y8" s="36">
        <f>VLOOKUP($A8,[16]HISTOAVRIL22!$A$6:$BP$39,65,0)</f>
        <v>0</v>
      </c>
      <c r="Z8" s="36"/>
      <c r="AA8" s="36">
        <f>VLOOKUP($A8,[16]HISTOAVRIL22!$A$6:$AU$39,43,0)</f>
        <v>0</v>
      </c>
      <c r="AB8" s="36">
        <f>VLOOKUP($A8,[16]HISTOAVRIL22!$A$6:$AU$39,44,0)</f>
        <v>0</v>
      </c>
      <c r="AC8" s="36">
        <f>VLOOKUP($A8,[16]HISTOAVRIL22!$A$6:$AU$39,47,0)</f>
        <v>0</v>
      </c>
      <c r="AD8" s="36">
        <f>VLOOKUP(A8,[16]HISTOAVRIL22!$A$6:$BB$36,54,0)</f>
        <v>0</v>
      </c>
      <c r="AE8" s="36">
        <f>VLOOKUP($A8,[16]HISTOAVRIL22!$A$6:$CA$36,60,0)</f>
        <v>0</v>
      </c>
      <c r="AF8" s="36">
        <f>VLOOKUP($A8,[16]HISTOAVRIL22!$A$6:$CA$36,61,0)</f>
        <v>0</v>
      </c>
      <c r="AG8" s="36">
        <f>VLOOKUP($A8,[16]HISTOAVRIL22!$A$6:$CA$36,62,0)</f>
        <v>0</v>
      </c>
      <c r="AH8" s="36">
        <f>VLOOKUP($A8,[16]HISTOAVRIL22!$A$6:$CA$36,63,0)</f>
        <v>0</v>
      </c>
      <c r="AI8" s="36">
        <f>VLOOKUP($A8,[16]HISTOAVRIL22!$A$6:$CA$36,64,0)</f>
        <v>0</v>
      </c>
      <c r="AJ8" s="36">
        <f>VLOOKUP($A8,[16]HISTOAVRIL22!$A$6:$CA$36,65,0)</f>
        <v>0</v>
      </c>
    </row>
    <row r="9" spans="1:36" x14ac:dyDescent="0.25">
      <c r="A9" s="1" t="s">
        <v>154</v>
      </c>
      <c r="B9" s="1" t="str">
        <f>VLOOKUP(A9,[15]LISTADHERENT!A$5:H$60,3,0)</f>
        <v>DJOMOU TCHANDA</v>
      </c>
      <c r="C9" s="5"/>
      <c r="D9" s="5"/>
      <c r="E9" s="36">
        <f>VLOOKUP($A9,[16]HISTOAVRIL22!$A$6:$BA$39,48,0)</f>
        <v>0</v>
      </c>
      <c r="F9" s="5">
        <f>MVTMARS22!F9-MVTAVRIL22!E9</f>
        <v>570000</v>
      </c>
      <c r="G9" s="6">
        <f t="shared" si="1"/>
        <v>0</v>
      </c>
      <c r="H9" s="6">
        <f>MVTMARS22!H9+MVTMARS22!G9+K9</f>
        <v>629269.83733923943</v>
      </c>
      <c r="I9" s="36">
        <f>VLOOKUP($A9,[16]HISTOAVRIL22!$A$6:$AQ$37,22,0)</f>
        <v>0</v>
      </c>
      <c r="J9" s="36">
        <f>VLOOKUP($A9,[16]HISTOAVRIL22!$A$6:$AU$39,45,0)</f>
        <v>7000</v>
      </c>
      <c r="K9" s="36">
        <f t="shared" si="2"/>
        <v>3000</v>
      </c>
      <c r="L9" s="36">
        <f t="shared" si="3"/>
        <v>500</v>
      </c>
      <c r="M9" s="36">
        <f t="shared" si="4"/>
        <v>1000</v>
      </c>
      <c r="N9" s="36">
        <f t="shared" si="5"/>
        <v>2500</v>
      </c>
      <c r="O9" s="36">
        <f>VLOOKUP($A9,[16]HISTOAVRIL22!$A$6:$AU$39,7,0)</f>
        <v>0</v>
      </c>
      <c r="P9" s="36">
        <f>VLOOKUP($A9,[16]HISTOAVRIL22!$A$6:$AU$39,23,0)</f>
        <v>0</v>
      </c>
      <c r="Q9" s="36">
        <f>VLOOKUP($A9,[16]HISTOAVRIL22!$A$6:$AU$39,46,0)</f>
        <v>0</v>
      </c>
      <c r="R9" s="36">
        <f>VLOOKUP($A9,[16]HISTOAVRIL22!$A$6:$AU$39,26,0)</f>
        <v>0</v>
      </c>
      <c r="S9" s="36">
        <f>VLOOKUP($A9,[16]HISTOAVRIL22!$A$6:$BG$39,58,0)</f>
        <v>0</v>
      </c>
      <c r="T9" s="36">
        <f>VLOOKUP($A9,[16]HISTOAVRIL22!$A$6:$AU$39,28,0)</f>
        <v>0</v>
      </c>
      <c r="U9" s="36">
        <f>VLOOKUP($A9,[16]HISTOAVRIL22!$A$6:$AU$39,19,0)</f>
        <v>0</v>
      </c>
      <c r="V9" s="36">
        <f>VLOOKUP($A9,[16]HISTOAVRIL22!$A$6:$AU$39,20,0)</f>
        <v>0</v>
      </c>
      <c r="W9" s="36">
        <f>VLOOKUP($A9,[16]HISTOAVRIL22!$A$6:$AU$39,27,0)</f>
        <v>0</v>
      </c>
      <c r="X9" s="36">
        <f>VLOOKUP($A9,[16]HISTOAVRIL22!$A$6:$AU$39,33,0)</f>
        <v>0</v>
      </c>
      <c r="Y9" s="36">
        <f>VLOOKUP($A9,[16]HISTOAVRIL22!$A$6:$BP$39,65,0)</f>
        <v>0</v>
      </c>
      <c r="Z9" s="36"/>
      <c r="AA9" s="36">
        <f>VLOOKUP($A9,[16]HISTOAVRIL22!$A$6:$AU$39,43,0)</f>
        <v>0</v>
      </c>
      <c r="AB9" s="36">
        <f>VLOOKUP($A9,[16]HISTOAVRIL22!$A$6:$AU$39,44,0)</f>
        <v>0</v>
      </c>
      <c r="AC9" s="36">
        <f>VLOOKUP($A9,[16]HISTOAVRIL22!$A$6:$AU$39,47,0)</f>
        <v>0</v>
      </c>
      <c r="AD9" s="36">
        <f>VLOOKUP(A9,[16]HISTOAVRIL22!$A$6:$BB$36,54,0)</f>
        <v>0</v>
      </c>
      <c r="AE9" s="36">
        <f>VLOOKUP($A9,[16]HISTOAVRIL22!$A$6:$CA$36,60,0)</f>
        <v>0</v>
      </c>
      <c r="AF9" s="36">
        <f>VLOOKUP($A9,[16]HISTOAVRIL22!$A$6:$CA$36,61,0)</f>
        <v>0</v>
      </c>
      <c r="AG9" s="36">
        <f>VLOOKUP($A9,[16]HISTOAVRIL22!$A$6:$CA$36,62,0)</f>
        <v>0</v>
      </c>
      <c r="AH9" s="36">
        <f>VLOOKUP($A9,[16]HISTOAVRIL22!$A$6:$CA$36,63,0)</f>
        <v>0</v>
      </c>
      <c r="AI9" s="36">
        <f>VLOOKUP($A9,[16]HISTOAVRIL22!$A$6:$CA$36,64,0)</f>
        <v>0</v>
      </c>
      <c r="AJ9" s="36">
        <f>VLOOKUP($A9,[16]HISTOAVRIL22!$A$6:$CA$36,65,0)</f>
        <v>0</v>
      </c>
    </row>
    <row r="10" spans="1:36" x14ac:dyDescent="0.25">
      <c r="A10" s="1" t="s">
        <v>24</v>
      </c>
      <c r="B10" s="1" t="str">
        <f>VLOOKUP(A10,[15]LISTADHERENT!A$5:H$60,3,0)</f>
        <v>DJOUKWE NANGUEN GUY BLAISE</v>
      </c>
      <c r="C10" s="5"/>
      <c r="D10" s="5"/>
      <c r="E10" s="36">
        <f>VLOOKUP($A10,[16]HISTOAVRIL22!$A$6:$BA$39,48,0)</f>
        <v>0</v>
      </c>
      <c r="F10" s="5">
        <f>MVTMARS22!F10-MVTAVRIL22!E10</f>
        <v>570000</v>
      </c>
      <c r="G10" s="6">
        <f t="shared" si="1"/>
        <v>0</v>
      </c>
      <c r="H10" s="6">
        <f>MVTMARS22!H10+MVTMARS22!G10+K10</f>
        <v>753721.19717584725</v>
      </c>
      <c r="I10" s="36">
        <f>VLOOKUP($A10,[16]HISTOAVRIL22!$A$6:$AQ$37,22,0)</f>
        <v>0</v>
      </c>
      <c r="J10" s="36">
        <f>VLOOKUP($A10,[16]HISTOAVRIL22!$A$6:$AU$39,45,0)</f>
        <v>7000</v>
      </c>
      <c r="K10" s="36">
        <f t="shared" si="2"/>
        <v>3000</v>
      </c>
      <c r="L10" s="36">
        <f t="shared" si="3"/>
        <v>500</v>
      </c>
      <c r="M10" s="36">
        <f t="shared" si="4"/>
        <v>1000</v>
      </c>
      <c r="N10" s="36">
        <f t="shared" si="5"/>
        <v>2500</v>
      </c>
      <c r="O10" s="36">
        <f>VLOOKUP($A10,[16]HISTOAVRIL22!$A$6:$AU$39,7,0)</f>
        <v>0</v>
      </c>
      <c r="P10" s="36">
        <f>VLOOKUP($A10,[16]HISTOAVRIL22!$A$6:$AU$39,23,0)</f>
        <v>0</v>
      </c>
      <c r="Q10" s="36">
        <f>VLOOKUP($A10,[16]HISTOAVRIL22!$A$6:$AU$39,46,0)</f>
        <v>0</v>
      </c>
      <c r="R10" s="36">
        <f>VLOOKUP($A10,[16]HISTOAVRIL22!$A$6:$AU$39,26,0)</f>
        <v>0</v>
      </c>
      <c r="S10" s="36">
        <f>VLOOKUP($A10,[16]HISTOAVRIL22!$A$6:$BG$39,58,0)</f>
        <v>0</v>
      </c>
      <c r="T10" s="36">
        <f>VLOOKUP($A10,[16]HISTOAVRIL22!$A$6:$AU$39,28,0)</f>
        <v>0</v>
      </c>
      <c r="U10" s="36">
        <f>VLOOKUP($A10,[16]HISTOAVRIL22!$A$6:$AU$39,19,0)</f>
        <v>0</v>
      </c>
      <c r="V10" s="36">
        <f>VLOOKUP($A10,[16]HISTOAVRIL22!$A$6:$AU$39,20,0)</f>
        <v>0</v>
      </c>
      <c r="W10" s="36">
        <f>VLOOKUP($A10,[16]HISTOAVRIL22!$A$6:$AU$39,27,0)</f>
        <v>0</v>
      </c>
      <c r="X10" s="36">
        <f>VLOOKUP($A10,[16]HISTOAVRIL22!$A$6:$AU$39,33,0)</f>
        <v>0</v>
      </c>
      <c r="Y10" s="36">
        <f>VLOOKUP($A10,[16]HISTOAVRIL22!$A$6:$BP$39,65,0)</f>
        <v>0</v>
      </c>
      <c r="Z10" s="36"/>
      <c r="AA10" s="36">
        <f>VLOOKUP($A10,[16]HISTOAVRIL22!$A$6:$AU$39,43,0)</f>
        <v>0</v>
      </c>
      <c r="AB10" s="36">
        <f>VLOOKUP($A10,[16]HISTOAVRIL22!$A$6:$AU$39,44,0)</f>
        <v>0</v>
      </c>
      <c r="AC10" s="36">
        <f>VLOOKUP($A10,[16]HISTOAVRIL22!$A$6:$AU$39,47,0)</f>
        <v>0</v>
      </c>
      <c r="AD10" s="36">
        <f>VLOOKUP(A10,[16]HISTOAVRIL22!$A$6:$BB$36,54,0)</f>
        <v>0</v>
      </c>
      <c r="AE10" s="36">
        <f>VLOOKUP($A10,[16]HISTOAVRIL22!$A$6:$CA$36,60,0)</f>
        <v>0</v>
      </c>
      <c r="AF10" s="36">
        <f>VLOOKUP($A10,[16]HISTOAVRIL22!$A$6:$CA$36,61,0)</f>
        <v>0</v>
      </c>
      <c r="AG10" s="36">
        <f>VLOOKUP($A10,[16]HISTOAVRIL22!$A$6:$CA$36,62,0)</f>
        <v>0</v>
      </c>
      <c r="AH10" s="36">
        <f>VLOOKUP($A10,[16]HISTOAVRIL22!$A$6:$CA$36,63,0)</f>
        <v>0</v>
      </c>
      <c r="AI10" s="36">
        <f>VLOOKUP($A10,[16]HISTOAVRIL22!$A$6:$CA$36,64,0)</f>
        <v>0</v>
      </c>
      <c r="AJ10" s="36">
        <f>VLOOKUP($A10,[16]HISTOAVRIL22!$A$6:$CA$36,65,0)</f>
        <v>0</v>
      </c>
    </row>
    <row r="11" spans="1:36" x14ac:dyDescent="0.25">
      <c r="A11" s="1" t="s">
        <v>25</v>
      </c>
      <c r="B11" s="1" t="str">
        <f>VLOOKUP(A11,[15]LISTADHERENT!A$5:H$60,3,0)</f>
        <v>DJUOMBESSY ANTOINE</v>
      </c>
      <c r="C11" s="5"/>
      <c r="D11" s="5"/>
      <c r="E11" s="36">
        <f>VLOOKUP($A11,[16]HISTOAVRIL22!$A$6:$BA$39,48,0)</f>
        <v>0</v>
      </c>
      <c r="F11" s="5">
        <f>MVTMARS22!F11-MVTAVRIL22!E11</f>
        <v>570000</v>
      </c>
      <c r="G11" s="6">
        <f t="shared" si="1"/>
        <v>0</v>
      </c>
      <c r="H11" s="6">
        <f>MVTMARS22!H11+MVTMARS22!G11+K11</f>
        <v>645902.18844191555</v>
      </c>
      <c r="I11" s="36">
        <f>VLOOKUP($A11,[16]HISTOAVRIL22!$A$6:$AQ$37,22,0)</f>
        <v>0</v>
      </c>
      <c r="J11" s="36">
        <f>VLOOKUP($A11,[16]HISTOAVRIL22!$A$6:$AU$39,45,0)</f>
        <v>4000</v>
      </c>
      <c r="K11" s="36">
        <f t="shared" si="2"/>
        <v>0</v>
      </c>
      <c r="L11" s="36">
        <f t="shared" si="3"/>
        <v>500</v>
      </c>
      <c r="M11" s="36">
        <f t="shared" si="4"/>
        <v>1000</v>
      </c>
      <c r="N11" s="36">
        <f t="shared" si="5"/>
        <v>2500</v>
      </c>
      <c r="O11" s="36">
        <f>VLOOKUP($A11,[16]HISTOAVRIL22!$A$6:$AU$39,7,0)</f>
        <v>0</v>
      </c>
      <c r="P11" s="36">
        <f>VLOOKUP($A11,[16]HISTOAVRIL22!$A$6:$AU$39,23,0)</f>
        <v>0</v>
      </c>
      <c r="Q11" s="36">
        <f>VLOOKUP($A11,[16]HISTOAVRIL22!$A$6:$AU$39,46,0)</f>
        <v>0</v>
      </c>
      <c r="R11" s="36">
        <f>VLOOKUP($A11,[16]HISTOAVRIL22!$A$6:$AU$39,26,0)</f>
        <v>0</v>
      </c>
      <c r="S11" s="36">
        <f>VLOOKUP($A11,[16]HISTOAVRIL22!$A$6:$BG$39,58,0)</f>
        <v>0</v>
      </c>
      <c r="T11" s="36">
        <f>VLOOKUP($A11,[16]HISTOAVRIL22!$A$6:$AU$39,28,0)</f>
        <v>0</v>
      </c>
      <c r="U11" s="36">
        <f>VLOOKUP($A11,[16]HISTOAVRIL22!$A$6:$AU$39,19,0)</f>
        <v>0</v>
      </c>
      <c r="V11" s="36">
        <f>VLOOKUP($A11,[16]HISTOAVRIL22!$A$6:$AU$39,20,0)</f>
        <v>0</v>
      </c>
      <c r="W11" s="36">
        <f>VLOOKUP($A11,[16]HISTOAVRIL22!$A$6:$AU$39,27,0)</f>
        <v>0</v>
      </c>
      <c r="X11" s="36">
        <f>VLOOKUP($A11,[16]HISTOAVRIL22!$A$6:$AU$39,33,0)</f>
        <v>0</v>
      </c>
      <c r="Y11" s="36">
        <f>VLOOKUP($A11,[16]HISTOAVRIL22!$A$6:$BP$39,65,0)</f>
        <v>0</v>
      </c>
      <c r="Z11" s="36"/>
      <c r="AA11" s="36">
        <f>VLOOKUP($A11,[16]HISTOAVRIL22!$A$6:$AU$39,43,0)</f>
        <v>0</v>
      </c>
      <c r="AB11" s="36">
        <f>VLOOKUP($A11,[16]HISTOAVRIL22!$A$6:$AU$39,44,0)</f>
        <v>0</v>
      </c>
      <c r="AC11" s="36">
        <f>VLOOKUP($A11,[16]HISTOAVRIL22!$A$6:$AU$39,47,0)</f>
        <v>0</v>
      </c>
      <c r="AD11" s="36">
        <f>VLOOKUP(A11,[16]HISTOAVRIL22!$A$6:$BB$36,54,0)</f>
        <v>0</v>
      </c>
      <c r="AE11" s="36">
        <f>VLOOKUP($A11,[16]HISTOAVRIL22!$A$6:$CA$36,60,0)</f>
        <v>0</v>
      </c>
      <c r="AF11" s="36">
        <f>VLOOKUP($A11,[16]HISTOAVRIL22!$A$6:$CA$36,61,0)</f>
        <v>0</v>
      </c>
      <c r="AG11" s="36">
        <f>VLOOKUP($A11,[16]HISTOAVRIL22!$A$6:$CA$36,62,0)</f>
        <v>0</v>
      </c>
      <c r="AH11" s="36">
        <f>VLOOKUP($A11,[16]HISTOAVRIL22!$A$6:$CA$36,63,0)</f>
        <v>0</v>
      </c>
      <c r="AI11" s="36">
        <f>VLOOKUP($A11,[16]HISTOAVRIL22!$A$6:$CA$36,64,0)</f>
        <v>0</v>
      </c>
      <c r="AJ11" s="36">
        <f>VLOOKUP($A11,[16]HISTOAVRIL22!$A$6:$CA$36,65,0)</f>
        <v>0</v>
      </c>
    </row>
    <row r="12" spans="1:36" x14ac:dyDescent="0.25">
      <c r="A12" s="1" t="s">
        <v>79</v>
      </c>
      <c r="B12" s="1" t="str">
        <f>VLOOKUP(A12,[15]LISTADHERENT!A$5:H$60,3,0)</f>
        <v>DOMOU FABIEN</v>
      </c>
      <c r="C12" s="5"/>
      <c r="D12" s="5"/>
      <c r="E12" s="36">
        <f>VLOOKUP($A12,[16]HISTOAVRIL22!$A$6:$BA$39,48,0)</f>
        <v>0</v>
      </c>
      <c r="F12" s="5">
        <f>MVTMARS22!F12-MVTAVRIL22!E12</f>
        <v>570000</v>
      </c>
      <c r="G12" s="6">
        <f t="shared" si="1"/>
        <v>0</v>
      </c>
      <c r="H12" s="6">
        <f>MVTMARS22!H12+MVTMARS22!G12+K12</f>
        <v>656480.43714566506</v>
      </c>
      <c r="I12" s="36">
        <f>VLOOKUP($A12,[16]HISTOAVRIL22!$A$6:$AQ$37,22,0)</f>
        <v>0</v>
      </c>
      <c r="J12" s="36">
        <f>VLOOKUP($A12,[16]HISTOAVRIL22!$A$6:$AU$39,45,0)</f>
        <v>12000</v>
      </c>
      <c r="K12" s="36">
        <f t="shared" si="2"/>
        <v>8000</v>
      </c>
      <c r="L12" s="36">
        <f t="shared" si="3"/>
        <v>500</v>
      </c>
      <c r="M12" s="36">
        <f t="shared" si="4"/>
        <v>1000</v>
      </c>
      <c r="N12" s="36">
        <f t="shared" si="5"/>
        <v>2500</v>
      </c>
      <c r="O12" s="36">
        <f>VLOOKUP($A12,[16]HISTOAVRIL22!$A$6:$AU$39,7,0)</f>
        <v>0</v>
      </c>
      <c r="P12" s="36">
        <f>VLOOKUP($A12,[16]HISTOAVRIL22!$A$6:$AU$39,23,0)</f>
        <v>0</v>
      </c>
      <c r="Q12" s="36">
        <f>VLOOKUP($A12,[16]HISTOAVRIL22!$A$6:$AU$39,46,0)</f>
        <v>0</v>
      </c>
      <c r="R12" s="36">
        <f>VLOOKUP($A12,[16]HISTOAVRIL22!$A$6:$AU$39,26,0)</f>
        <v>0</v>
      </c>
      <c r="S12" s="36">
        <f>VLOOKUP($A12,[16]HISTOAVRIL22!$A$6:$BG$39,58,0)</f>
        <v>0</v>
      </c>
      <c r="T12" s="36">
        <f>VLOOKUP($A12,[16]HISTOAVRIL22!$A$6:$AU$39,28,0)</f>
        <v>0</v>
      </c>
      <c r="U12" s="36">
        <f>VLOOKUP($A12,[16]HISTOAVRIL22!$A$6:$AU$39,19,0)</f>
        <v>0</v>
      </c>
      <c r="V12" s="36">
        <f>VLOOKUP($A12,[16]HISTOAVRIL22!$A$6:$AU$39,20,0)</f>
        <v>0</v>
      </c>
      <c r="W12" s="36">
        <f>VLOOKUP($A12,[16]HISTOAVRIL22!$A$6:$AU$39,27,0)</f>
        <v>0</v>
      </c>
      <c r="X12" s="36">
        <f>VLOOKUP($A12,[16]HISTOAVRIL22!$A$6:$AU$39,33,0)</f>
        <v>0</v>
      </c>
      <c r="Y12" s="36">
        <f>VLOOKUP($A12,[16]HISTOAVRIL22!$A$6:$BP$39,65,0)</f>
        <v>0</v>
      </c>
      <c r="Z12" s="36"/>
      <c r="AA12" s="36">
        <f>VLOOKUP($A12,[16]HISTOAVRIL22!$A$6:$AU$39,43,0)</f>
        <v>0</v>
      </c>
      <c r="AB12" s="36">
        <f>VLOOKUP($A12,[16]HISTOAVRIL22!$A$6:$AU$39,44,0)</f>
        <v>0</v>
      </c>
      <c r="AC12" s="36">
        <f>VLOOKUP($A12,[16]HISTOAVRIL22!$A$6:$AU$39,47,0)</f>
        <v>0</v>
      </c>
      <c r="AD12" s="36">
        <f>VLOOKUP(A12,[16]HISTOAVRIL22!$A$6:$BB$36,54,0)</f>
        <v>0</v>
      </c>
      <c r="AE12" s="36">
        <f>VLOOKUP($A12,[16]HISTOAVRIL22!$A$6:$CA$36,60,0)</f>
        <v>0</v>
      </c>
      <c r="AF12" s="36">
        <f>VLOOKUP($A12,[16]HISTOAVRIL22!$A$6:$CA$36,61,0)</f>
        <v>0</v>
      </c>
      <c r="AG12" s="36">
        <f>VLOOKUP($A12,[16]HISTOAVRIL22!$A$6:$CA$36,62,0)</f>
        <v>0</v>
      </c>
      <c r="AH12" s="36">
        <f>VLOOKUP($A12,[16]HISTOAVRIL22!$A$6:$CA$36,63,0)</f>
        <v>0</v>
      </c>
      <c r="AI12" s="36">
        <f>VLOOKUP($A12,[16]HISTOAVRIL22!$A$6:$CA$36,64,0)</f>
        <v>0</v>
      </c>
      <c r="AJ12" s="36">
        <f>VLOOKUP($A12,[16]HISTOAVRIL22!$A$6:$CA$36,65,0)</f>
        <v>0</v>
      </c>
    </row>
    <row r="13" spans="1:36" x14ac:dyDescent="0.25">
      <c r="A13" s="1" t="s">
        <v>26</v>
      </c>
      <c r="B13" s="1" t="str">
        <f>VLOOKUP(A13,[15]LISTADHERENT!A$5:H$60,3,0)</f>
        <v>DONHOU DAVID</v>
      </c>
      <c r="C13" s="5"/>
      <c r="D13" s="5"/>
      <c r="E13" s="36">
        <f>VLOOKUP($A13,[16]HISTOAVRIL22!$A$6:$BA$39,48,0)</f>
        <v>0</v>
      </c>
      <c r="F13" s="5">
        <f>MVTMARS22!F13-MVTAVRIL22!E13</f>
        <v>570000</v>
      </c>
      <c r="G13" s="6">
        <f t="shared" si="1"/>
        <v>0</v>
      </c>
      <c r="H13" s="6">
        <f>MVTMARS22!H13+MVTMARS22!G13+K13</f>
        <v>917990.33214994404</v>
      </c>
      <c r="I13" s="36">
        <f>VLOOKUP($A13,[16]HISTOAVRIL22!$A$6:$AQ$37,22,0)</f>
        <v>0</v>
      </c>
      <c r="J13" s="36">
        <f>VLOOKUP($A13,[16]HISTOAVRIL22!$A$6:$AU$39,45,0)</f>
        <v>12000</v>
      </c>
      <c r="K13" s="36">
        <f t="shared" si="2"/>
        <v>8000</v>
      </c>
      <c r="L13" s="36">
        <f t="shared" si="3"/>
        <v>500</v>
      </c>
      <c r="M13" s="36">
        <f t="shared" si="4"/>
        <v>1000</v>
      </c>
      <c r="N13" s="36">
        <f t="shared" si="5"/>
        <v>2500</v>
      </c>
      <c r="O13" s="36">
        <f>VLOOKUP($A13,[16]HISTOAVRIL22!$A$6:$AU$39,7,0)</f>
        <v>0</v>
      </c>
      <c r="P13" s="36">
        <f>VLOOKUP($A13,[16]HISTOAVRIL22!$A$6:$AU$39,23,0)</f>
        <v>0</v>
      </c>
      <c r="Q13" s="36">
        <f>VLOOKUP($A13,[16]HISTOAVRIL22!$A$6:$AU$39,46,0)</f>
        <v>0</v>
      </c>
      <c r="R13" s="36">
        <f>VLOOKUP($A13,[16]HISTOAVRIL22!$A$6:$AU$39,26,0)</f>
        <v>0</v>
      </c>
      <c r="S13" s="36">
        <f>VLOOKUP($A13,[16]HISTOAVRIL22!$A$6:$BG$39,58,0)</f>
        <v>0</v>
      </c>
      <c r="T13" s="36">
        <f>VLOOKUP($A13,[16]HISTOAVRIL22!$A$6:$AU$39,28,0)</f>
        <v>0</v>
      </c>
      <c r="U13" s="36">
        <f>VLOOKUP($A13,[16]HISTOAVRIL22!$A$6:$AU$39,19,0)</f>
        <v>0</v>
      </c>
      <c r="V13" s="36">
        <f>VLOOKUP($A13,[16]HISTOAVRIL22!$A$6:$AU$39,20,0)</f>
        <v>0</v>
      </c>
      <c r="W13" s="36">
        <f>VLOOKUP($A13,[16]HISTOAVRIL22!$A$6:$AU$39,27,0)</f>
        <v>0</v>
      </c>
      <c r="X13" s="36">
        <f>VLOOKUP($A13,[16]HISTOAVRIL22!$A$6:$AU$39,33,0)</f>
        <v>0</v>
      </c>
      <c r="Y13" s="36">
        <f>VLOOKUP($A13,[16]HISTOAVRIL22!$A$6:$BP$39,65,0)</f>
        <v>0</v>
      </c>
      <c r="Z13" s="36"/>
      <c r="AA13" s="36">
        <f>VLOOKUP($A13,[16]HISTOAVRIL22!$A$6:$AU$39,43,0)</f>
        <v>0</v>
      </c>
      <c r="AB13" s="36">
        <f>VLOOKUP($A13,[16]HISTOAVRIL22!$A$6:$AU$39,44,0)</f>
        <v>0</v>
      </c>
      <c r="AC13" s="36">
        <f>VLOOKUP($A13,[16]HISTOAVRIL22!$A$6:$AU$39,47,0)</f>
        <v>0</v>
      </c>
      <c r="AD13" s="36">
        <f>VLOOKUP(A13,[16]HISTOAVRIL22!$A$6:$BB$36,54,0)</f>
        <v>0</v>
      </c>
      <c r="AE13" s="36">
        <f>VLOOKUP($A13,[16]HISTOAVRIL22!$A$6:$CA$36,60,0)</f>
        <v>0</v>
      </c>
      <c r="AF13" s="36">
        <f>VLOOKUP($A13,[16]HISTOAVRIL22!$A$6:$CA$36,61,0)</f>
        <v>0</v>
      </c>
      <c r="AG13" s="36">
        <f>VLOOKUP($A13,[16]HISTOAVRIL22!$A$6:$CA$36,62,0)</f>
        <v>0</v>
      </c>
      <c r="AH13" s="36">
        <f>VLOOKUP($A13,[16]HISTOAVRIL22!$A$6:$CA$36,63,0)</f>
        <v>0</v>
      </c>
      <c r="AI13" s="36">
        <f>VLOOKUP($A13,[16]HISTOAVRIL22!$A$6:$CA$36,64,0)</f>
        <v>0</v>
      </c>
      <c r="AJ13" s="36">
        <f>VLOOKUP($A13,[16]HISTOAVRIL22!$A$6:$CA$36,65,0)</f>
        <v>0</v>
      </c>
    </row>
    <row r="14" spans="1:36" x14ac:dyDescent="0.25">
      <c r="A14" s="1" t="s">
        <v>27</v>
      </c>
      <c r="B14" s="1" t="str">
        <f>VLOOKUP(A14,[15]LISTADHERENT!A$5:H$60,3,0)</f>
        <v>FOTSO THOMAS</v>
      </c>
      <c r="C14" s="5"/>
      <c r="D14" s="5"/>
      <c r="E14" s="36">
        <f>VLOOKUP($A14,[16]HISTOAVRIL22!$A$6:$BA$39,48,0)</f>
        <v>0</v>
      </c>
      <c r="F14" s="5">
        <f>MVTMARS22!F14-MVTAVRIL22!E14</f>
        <v>540000</v>
      </c>
      <c r="G14" s="6">
        <f t="shared" si="1"/>
        <v>0</v>
      </c>
      <c r="H14" s="6">
        <f>MVTMARS22!H14+MVTMARS22!G14+K14</f>
        <v>0</v>
      </c>
      <c r="I14" s="36">
        <f>VLOOKUP($A14,[16]HISTOAVRIL22!$A$6:$AQ$37,22,0)</f>
        <v>0</v>
      </c>
      <c r="J14" s="36">
        <f>VLOOKUP($A14,[16]HISTOAVRIL22!$A$6:$AU$39,45,0)</f>
        <v>0</v>
      </c>
      <c r="K14" s="36">
        <f t="shared" si="2"/>
        <v>0</v>
      </c>
      <c r="L14" s="36">
        <f t="shared" si="3"/>
        <v>0</v>
      </c>
      <c r="M14" s="36">
        <f t="shared" si="4"/>
        <v>0</v>
      </c>
      <c r="N14" s="36">
        <f t="shared" si="5"/>
        <v>0</v>
      </c>
      <c r="O14" s="36">
        <f>VLOOKUP($A14,[16]HISTOAVRIL22!$A$6:$AU$39,7,0)</f>
        <v>0</v>
      </c>
      <c r="P14" s="36">
        <f>VLOOKUP($A14,[16]HISTOAVRIL22!$A$6:$AU$39,23,0)</f>
        <v>0</v>
      </c>
      <c r="Q14" s="36">
        <f>VLOOKUP($A14,[16]HISTOAVRIL22!$A$6:$AU$39,46,0)</f>
        <v>0</v>
      </c>
      <c r="R14" s="36">
        <f>VLOOKUP($A14,[16]HISTOAVRIL22!$A$6:$AU$39,26,0)</f>
        <v>0</v>
      </c>
      <c r="S14" s="36">
        <f>VLOOKUP($A14,[16]HISTOAVRIL22!$A$6:$BG$39,58,0)</f>
        <v>0</v>
      </c>
      <c r="T14" s="36">
        <f>VLOOKUP($A14,[16]HISTOAVRIL22!$A$6:$AU$39,28,0)</f>
        <v>0</v>
      </c>
      <c r="U14" s="36">
        <f>VLOOKUP($A14,[16]HISTOAVRIL22!$A$6:$AU$39,19,0)</f>
        <v>0</v>
      </c>
      <c r="V14" s="36">
        <f>VLOOKUP($A14,[16]HISTOAVRIL22!$A$6:$AU$39,20,0)</f>
        <v>0</v>
      </c>
      <c r="W14" s="36">
        <f>VLOOKUP($A14,[16]HISTOAVRIL22!$A$6:$AU$39,27,0)</f>
        <v>0</v>
      </c>
      <c r="X14" s="36">
        <f>VLOOKUP($A14,[16]HISTOAVRIL22!$A$6:$AU$39,33,0)</f>
        <v>0</v>
      </c>
      <c r="Y14" s="36">
        <f>VLOOKUP($A14,[16]HISTOAVRIL22!$A$6:$BP$39,65,0)</f>
        <v>0</v>
      </c>
      <c r="Z14" s="36"/>
      <c r="AA14" s="36">
        <f>VLOOKUP($A14,[16]HISTOAVRIL22!$A$6:$AU$39,43,0)</f>
        <v>0</v>
      </c>
      <c r="AB14" s="36">
        <f>VLOOKUP($A14,[16]HISTOAVRIL22!$A$6:$AU$39,44,0)</f>
        <v>0</v>
      </c>
      <c r="AC14" s="36">
        <f>VLOOKUP($A14,[16]HISTOAVRIL22!$A$6:$AU$39,47,0)</f>
        <v>0</v>
      </c>
      <c r="AD14" s="36">
        <f>VLOOKUP(A14,[16]HISTOAVRIL22!$A$6:$BB$36,54,0)</f>
        <v>0</v>
      </c>
      <c r="AE14" s="36">
        <f>VLOOKUP($A14,[16]HISTOAVRIL22!$A$6:$CA$36,60,0)</f>
        <v>0</v>
      </c>
      <c r="AF14" s="36">
        <f>VLOOKUP($A14,[16]HISTOAVRIL22!$A$6:$CA$36,61,0)</f>
        <v>0</v>
      </c>
      <c r="AG14" s="36">
        <f>VLOOKUP($A14,[16]HISTOAVRIL22!$A$6:$CA$36,62,0)</f>
        <v>0</v>
      </c>
      <c r="AH14" s="36">
        <f>VLOOKUP($A14,[16]HISTOAVRIL22!$A$6:$CA$36,63,0)</f>
        <v>0</v>
      </c>
      <c r="AI14" s="36">
        <f>VLOOKUP($A14,[16]HISTOAVRIL22!$A$6:$CA$36,64,0)</f>
        <v>0</v>
      </c>
      <c r="AJ14" s="36">
        <f>VLOOKUP($A14,[16]HISTOAVRIL22!$A$6:$CA$36,65,0)</f>
        <v>0</v>
      </c>
    </row>
    <row r="15" spans="1:36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VLOOKUP($A15,[16]HISTOAVRIL22!$A$6:$BA$39,48,0)</f>
        <v>0</v>
      </c>
      <c r="F15" s="5">
        <f>MVTMARS22!F15-MVTAVRIL22!E15</f>
        <v>570000</v>
      </c>
      <c r="G15" s="6">
        <f t="shared" si="1"/>
        <v>0</v>
      </c>
      <c r="H15" s="6">
        <f>MVTMARS22!H15+MVTMARS22!G15+K15</f>
        <v>632598.1345820562</v>
      </c>
      <c r="I15" s="36">
        <f>VLOOKUP($A15,[16]HISTOAVRIL22!$A$6:$AQ$37,22,0)</f>
        <v>0</v>
      </c>
      <c r="J15" s="36">
        <f>VLOOKUP($A15,[16]HISTOAVRIL22!$A$6:$AU$39,45,0)</f>
        <v>7000</v>
      </c>
      <c r="K15" s="36">
        <f t="shared" si="2"/>
        <v>3000</v>
      </c>
      <c r="L15" s="36">
        <f t="shared" si="3"/>
        <v>500</v>
      </c>
      <c r="M15" s="36">
        <f t="shared" si="4"/>
        <v>1000</v>
      </c>
      <c r="N15" s="36">
        <f t="shared" si="5"/>
        <v>2500</v>
      </c>
      <c r="O15" s="36">
        <f>VLOOKUP($A15,[16]HISTOAVRIL22!$A$6:$AU$39,7,0)</f>
        <v>0</v>
      </c>
      <c r="P15" s="36">
        <f>VLOOKUP($A15,[16]HISTOAVRIL22!$A$6:$AU$39,23,0)</f>
        <v>0</v>
      </c>
      <c r="Q15" s="36">
        <f>VLOOKUP($A15,[16]HISTOAVRIL22!$A$6:$AU$39,46,0)</f>
        <v>0</v>
      </c>
      <c r="R15" s="36">
        <f>VLOOKUP($A15,[16]HISTOAVRIL22!$A$6:$AU$39,26,0)</f>
        <v>0</v>
      </c>
      <c r="S15" s="36">
        <f>VLOOKUP($A15,[16]HISTOAVRIL22!$A$6:$BG$39,58,0)</f>
        <v>0</v>
      </c>
      <c r="T15" s="36">
        <f>VLOOKUP($A15,[16]HISTOAVRIL22!$A$6:$AU$39,28,0)</f>
        <v>0</v>
      </c>
      <c r="U15" s="36">
        <f>VLOOKUP($A15,[16]HISTOAVRIL22!$A$6:$AU$39,19,0)</f>
        <v>0</v>
      </c>
      <c r="V15" s="36">
        <f>VLOOKUP($A15,[16]HISTOAVRIL22!$A$6:$AU$39,20,0)</f>
        <v>0</v>
      </c>
      <c r="W15" s="36">
        <f>VLOOKUP($A15,[16]HISTOAVRIL22!$A$6:$AU$39,27,0)</f>
        <v>0</v>
      </c>
      <c r="X15" s="36">
        <f>VLOOKUP($A15,[16]HISTOAVRIL22!$A$6:$AU$39,33,0)</f>
        <v>0</v>
      </c>
      <c r="Y15" s="36">
        <f>VLOOKUP($A15,[16]HISTOAVRIL22!$A$6:$BP$39,65,0)</f>
        <v>0</v>
      </c>
      <c r="Z15" s="36"/>
      <c r="AA15" s="36">
        <f>VLOOKUP($A15,[16]HISTOAVRIL22!$A$6:$AU$39,43,0)</f>
        <v>0</v>
      </c>
      <c r="AB15" s="36">
        <f>VLOOKUP($A15,[16]HISTOAVRIL22!$A$6:$AU$39,44,0)</f>
        <v>0</v>
      </c>
      <c r="AC15" s="36">
        <f>VLOOKUP($A15,[16]HISTOAVRIL22!$A$6:$AU$39,47,0)</f>
        <v>0</v>
      </c>
      <c r="AD15" s="36">
        <f>VLOOKUP(A15,[16]HISTOAVRIL22!$A$6:$BB$36,54,0)</f>
        <v>0</v>
      </c>
      <c r="AE15" s="36">
        <f>VLOOKUP($A15,[16]HISTOAVRIL22!$A$6:$CA$36,60,0)</f>
        <v>0</v>
      </c>
      <c r="AF15" s="36">
        <f>VLOOKUP($A15,[16]HISTOAVRIL22!$A$6:$CA$36,61,0)</f>
        <v>0</v>
      </c>
      <c r="AG15" s="36">
        <f>VLOOKUP($A15,[16]HISTOAVRIL22!$A$6:$CA$36,62,0)</f>
        <v>0</v>
      </c>
      <c r="AH15" s="36">
        <f>VLOOKUP($A15,[16]HISTOAVRIL22!$A$6:$CA$36,63,0)</f>
        <v>0</v>
      </c>
      <c r="AI15" s="36">
        <f>VLOOKUP($A15,[16]HISTOAVRIL22!$A$6:$CA$36,64,0)</f>
        <v>0</v>
      </c>
      <c r="AJ15" s="36">
        <f>VLOOKUP($A15,[16]HISTOAVRIL22!$A$6:$CA$36,65,0)</f>
        <v>0</v>
      </c>
    </row>
    <row r="16" spans="1:36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VLOOKUP($A16,[16]HISTOAVRIL22!$A$6:$BA$39,48,0)</f>
        <v>0</v>
      </c>
      <c r="F16" s="5">
        <f>MVTMARS22!F16-MVTAVRIL22!E16</f>
        <v>570000</v>
      </c>
      <c r="G16" s="6">
        <f t="shared" si="1"/>
        <v>0</v>
      </c>
      <c r="H16" s="6">
        <f>MVTMARS22!H16+MVTMARS22!G16+K16</f>
        <v>832746.50718233117</v>
      </c>
      <c r="I16" s="36">
        <f>VLOOKUP($A16,[16]HISTOAVRIL22!$A$6:$AQ$37,22,0)</f>
        <v>0</v>
      </c>
      <c r="J16" s="36">
        <f>VLOOKUP($A16,[16]HISTOAVRIL22!$A$6:$AU$39,45,0)</f>
        <v>52000</v>
      </c>
      <c r="K16" s="36">
        <f t="shared" si="2"/>
        <v>48000</v>
      </c>
      <c r="L16" s="36">
        <f t="shared" si="3"/>
        <v>500</v>
      </c>
      <c r="M16" s="36">
        <f t="shared" si="4"/>
        <v>1000</v>
      </c>
      <c r="N16" s="36">
        <f t="shared" si="5"/>
        <v>2500</v>
      </c>
      <c r="O16" s="36">
        <f>VLOOKUP($A16,[16]HISTOAVRIL22!$A$6:$AU$39,7,0)</f>
        <v>0</v>
      </c>
      <c r="P16" s="36">
        <f>VLOOKUP($A16,[16]HISTOAVRIL22!$A$6:$AU$39,23,0)</f>
        <v>0</v>
      </c>
      <c r="Q16" s="36">
        <f>VLOOKUP($A16,[16]HISTOAVRIL22!$A$6:$AU$39,46,0)</f>
        <v>0</v>
      </c>
      <c r="R16" s="36">
        <f>VLOOKUP($A16,[16]HISTOAVRIL22!$A$6:$AU$39,26,0)</f>
        <v>0</v>
      </c>
      <c r="S16" s="36">
        <f>VLOOKUP($A16,[16]HISTOAVRIL22!$A$6:$BG$39,58,0)</f>
        <v>0</v>
      </c>
      <c r="T16" s="36">
        <f>VLOOKUP($A16,[16]HISTOAVRIL22!$A$6:$AU$39,28,0)</f>
        <v>0</v>
      </c>
      <c r="U16" s="36">
        <f>VLOOKUP($A16,[16]HISTOAVRIL22!$A$6:$AU$39,19,0)</f>
        <v>0</v>
      </c>
      <c r="V16" s="36">
        <f>VLOOKUP($A16,[16]HISTOAVRIL22!$A$6:$AU$39,20,0)</f>
        <v>0</v>
      </c>
      <c r="W16" s="36">
        <f>VLOOKUP($A16,[16]HISTOAVRIL22!$A$6:$AU$39,27,0)</f>
        <v>0</v>
      </c>
      <c r="X16" s="36">
        <f>VLOOKUP($A16,[16]HISTOAVRIL22!$A$6:$AU$39,33,0)</f>
        <v>0</v>
      </c>
      <c r="Y16" s="36">
        <f>VLOOKUP($A16,[16]HISTOAVRIL22!$A$6:$BP$39,65,0)</f>
        <v>0</v>
      </c>
      <c r="Z16" s="36"/>
      <c r="AA16" s="36">
        <f>VLOOKUP($A16,[16]HISTOAVRIL22!$A$6:$AU$39,43,0)</f>
        <v>0</v>
      </c>
      <c r="AB16" s="36">
        <f>VLOOKUP($A16,[16]HISTOAVRIL22!$A$6:$AU$39,44,0)</f>
        <v>0</v>
      </c>
      <c r="AC16" s="36">
        <f>VLOOKUP($A16,[16]HISTOAVRIL22!$A$6:$AU$39,47,0)</f>
        <v>0</v>
      </c>
      <c r="AD16" s="36">
        <f>VLOOKUP(A16,[16]HISTOAVRIL22!$A$6:$BB$36,54,0)</f>
        <v>0</v>
      </c>
      <c r="AE16" s="36">
        <f>VLOOKUP($A16,[16]HISTOAVRIL22!$A$6:$CA$36,60,0)</f>
        <v>0</v>
      </c>
      <c r="AF16" s="36">
        <f>VLOOKUP($A16,[16]HISTOAVRIL22!$A$6:$CA$36,61,0)</f>
        <v>0</v>
      </c>
      <c r="AG16" s="36">
        <f>VLOOKUP($A16,[16]HISTOAVRIL22!$A$6:$CA$36,62,0)</f>
        <v>0</v>
      </c>
      <c r="AH16" s="36">
        <f>VLOOKUP($A16,[16]HISTOAVRIL22!$A$6:$CA$36,63,0)</f>
        <v>0</v>
      </c>
      <c r="AI16" s="36">
        <f>VLOOKUP($A16,[16]HISTOAVRIL22!$A$6:$CA$36,64,0)</f>
        <v>0</v>
      </c>
      <c r="AJ16" s="36">
        <f>VLOOKUP($A16,[16]HISTOAVRIL22!$A$6:$CA$36,65,0)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VLOOKUP($A17,[16]HISTOAVRIL22!$A$6:$BA$39,48,0)</f>
        <v>0</v>
      </c>
      <c r="F17" s="5">
        <f>MVTMARS22!F17-MVTAVRIL22!E17</f>
        <v>570000</v>
      </c>
      <c r="G17" s="6">
        <f t="shared" si="1"/>
        <v>0</v>
      </c>
      <c r="H17" s="6">
        <f>MVTMARS22!H17+MVTMARS22!G17+K17</f>
        <v>633729.67540694762</v>
      </c>
      <c r="I17" s="36">
        <f>VLOOKUP($A17,[16]HISTOAVRIL22!$A$6:$AQ$37,22,0)</f>
        <v>0</v>
      </c>
      <c r="J17" s="36">
        <f>VLOOKUP($A17,[16]HISTOAVRIL22!$A$6:$AU$39,45,0)</f>
        <v>6000</v>
      </c>
      <c r="K17" s="36">
        <f t="shared" si="2"/>
        <v>2000</v>
      </c>
      <c r="L17" s="36">
        <f t="shared" si="3"/>
        <v>500</v>
      </c>
      <c r="M17" s="36">
        <f t="shared" si="4"/>
        <v>1000</v>
      </c>
      <c r="N17" s="36">
        <f t="shared" si="5"/>
        <v>2500</v>
      </c>
      <c r="O17" s="36">
        <f>VLOOKUP($A17,[16]HISTOAVRIL22!$A$6:$AU$39,7,0)</f>
        <v>0</v>
      </c>
      <c r="P17" s="36">
        <f>VLOOKUP($A17,[16]HISTOAVRIL22!$A$6:$AU$39,23,0)</f>
        <v>0</v>
      </c>
      <c r="Q17" s="36">
        <f>VLOOKUP($A17,[16]HISTOAVRIL22!$A$6:$AU$39,46,0)</f>
        <v>0</v>
      </c>
      <c r="R17" s="36">
        <f>VLOOKUP($A17,[16]HISTOAVRIL22!$A$6:$AU$39,26,0)</f>
        <v>0</v>
      </c>
      <c r="S17" s="36">
        <f>VLOOKUP($A17,[16]HISTOAVRIL22!$A$6:$BG$39,58,0)</f>
        <v>0</v>
      </c>
      <c r="T17" s="36">
        <f>VLOOKUP($A17,[16]HISTOAVRIL22!$A$6:$AU$39,28,0)</f>
        <v>0</v>
      </c>
      <c r="U17" s="36">
        <f>VLOOKUP($A17,[16]HISTOAVRIL22!$A$6:$AU$39,19,0)</f>
        <v>0</v>
      </c>
      <c r="V17" s="36">
        <f>VLOOKUP($A17,[16]HISTOAVRIL22!$A$6:$AU$39,20,0)</f>
        <v>0</v>
      </c>
      <c r="W17" s="36">
        <f>VLOOKUP($A17,[16]HISTOAVRIL22!$A$6:$AU$39,27,0)</f>
        <v>0</v>
      </c>
      <c r="X17" s="36">
        <f>VLOOKUP($A17,[16]HISTOAVRIL22!$A$6:$AU$39,33,0)</f>
        <v>0</v>
      </c>
      <c r="Y17" s="36">
        <f>VLOOKUP($A17,[16]HISTOAVRIL22!$A$6:$BP$39,65,0)</f>
        <v>0</v>
      </c>
      <c r="Z17" s="36"/>
      <c r="AA17" s="36">
        <f>VLOOKUP($A17,[16]HISTOAVRIL22!$A$6:$AU$39,43,0)</f>
        <v>0</v>
      </c>
      <c r="AB17" s="36">
        <f>VLOOKUP($A17,[16]HISTOAVRIL22!$A$6:$AU$39,44,0)</f>
        <v>0</v>
      </c>
      <c r="AC17" s="36">
        <f>VLOOKUP($A17,[16]HISTOAVRIL22!$A$6:$AU$39,47,0)</f>
        <v>0</v>
      </c>
      <c r="AD17" s="36">
        <f>VLOOKUP(A17,[16]HISTOAVRIL22!$A$6:$BB$36,54,0)</f>
        <v>0</v>
      </c>
      <c r="AE17" s="36">
        <f>VLOOKUP($A17,[16]HISTOAVRIL22!$A$6:$CA$36,60,0)</f>
        <v>0</v>
      </c>
      <c r="AF17" s="36">
        <f>VLOOKUP($A17,[16]HISTOAVRIL22!$A$6:$CA$36,61,0)</f>
        <v>0</v>
      </c>
      <c r="AG17" s="36">
        <f>VLOOKUP($A17,[16]HISTOAVRIL22!$A$6:$CA$36,62,0)</f>
        <v>0</v>
      </c>
      <c r="AH17" s="36">
        <f>VLOOKUP($A17,[16]HISTOAVRIL22!$A$6:$CA$36,63,0)</f>
        <v>0</v>
      </c>
      <c r="AI17" s="36">
        <f>VLOOKUP($A17,[16]HISTOAVRIL22!$A$6:$CA$36,64,0)</f>
        <v>0</v>
      </c>
      <c r="AJ17" s="36">
        <f>VLOOKUP($A17,[16]HISTOAVRIL22!$A$6:$CA$36,65,0)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VLOOKUP($A18,[16]HISTOAVRIL22!$A$6:$BA$39,48,0)</f>
        <v>0</v>
      </c>
      <c r="F18" s="5">
        <f>MVTMARS22!F18-MVTAVRIL22!E18</f>
        <v>570000</v>
      </c>
      <c r="G18" s="6">
        <f t="shared" si="1"/>
        <v>0</v>
      </c>
      <c r="H18" s="6">
        <f>MVTMARS22!H18+MVTMARS22!G18+K18</f>
        <v>639296.31734821713</v>
      </c>
      <c r="I18" s="36">
        <f>VLOOKUP($A18,[16]HISTOAVRIL22!$A$6:$AQ$37,22,0)</f>
        <v>0</v>
      </c>
      <c r="J18" s="36">
        <f>VLOOKUP($A18,[16]HISTOAVRIL22!$A$6:$AU$39,45,0)</f>
        <v>8500</v>
      </c>
      <c r="K18" s="36">
        <f t="shared" si="2"/>
        <v>4500</v>
      </c>
      <c r="L18" s="36">
        <f t="shared" si="3"/>
        <v>500</v>
      </c>
      <c r="M18" s="36">
        <f t="shared" si="4"/>
        <v>1000</v>
      </c>
      <c r="N18" s="36">
        <f t="shared" si="5"/>
        <v>2500</v>
      </c>
      <c r="O18" s="36">
        <f>VLOOKUP($A18,[16]HISTOAVRIL22!$A$6:$AU$39,7,0)</f>
        <v>3000</v>
      </c>
      <c r="P18" s="36">
        <f>VLOOKUP($A18,[16]HISTOAVRIL22!$A$6:$AU$39,23,0)</f>
        <v>0</v>
      </c>
      <c r="Q18" s="36">
        <f>VLOOKUP($A18,[16]HISTOAVRIL22!$A$6:$AU$39,46,0)</f>
        <v>0</v>
      </c>
      <c r="R18" s="36">
        <f>VLOOKUP($A18,[16]HISTOAVRIL22!$A$6:$AU$39,26,0)</f>
        <v>0</v>
      </c>
      <c r="S18" s="36">
        <f>VLOOKUP($A18,[16]HISTOAVRIL22!$A$6:$BG$39,58,0)</f>
        <v>0</v>
      </c>
      <c r="T18" s="36">
        <f>VLOOKUP($A18,[16]HISTOAVRIL22!$A$6:$AU$39,28,0)</f>
        <v>0</v>
      </c>
      <c r="U18" s="36">
        <f>VLOOKUP($A18,[16]HISTOAVRIL22!$A$6:$AU$39,19,0)</f>
        <v>0</v>
      </c>
      <c r="V18" s="36">
        <f>VLOOKUP($A18,[16]HISTOAVRIL22!$A$6:$AU$39,20,0)</f>
        <v>0</v>
      </c>
      <c r="W18" s="36">
        <f>VLOOKUP($A18,[16]HISTOAVRIL22!$A$6:$AU$39,27,0)</f>
        <v>0</v>
      </c>
      <c r="X18" s="36">
        <f>VLOOKUP($A18,[16]HISTOAVRIL22!$A$6:$AU$39,33,0)</f>
        <v>0</v>
      </c>
      <c r="Y18" s="36">
        <f>VLOOKUP($A18,[16]HISTOAVRIL22!$A$6:$BP$39,65,0)</f>
        <v>0</v>
      </c>
      <c r="Z18" s="36"/>
      <c r="AA18" s="36">
        <f>VLOOKUP($A18,[16]HISTOAVRIL22!$A$6:$AU$39,43,0)</f>
        <v>0</v>
      </c>
      <c r="AB18" s="36">
        <f>VLOOKUP($A18,[16]HISTOAVRIL22!$A$6:$AU$39,44,0)</f>
        <v>0</v>
      </c>
      <c r="AC18" s="36">
        <f>VLOOKUP($A18,[16]HISTOAVRIL22!$A$6:$AU$39,47,0)</f>
        <v>0</v>
      </c>
      <c r="AD18" s="36">
        <f>VLOOKUP(A18,[16]HISTOAVRIL22!$A$6:$BB$36,54,0)</f>
        <v>0</v>
      </c>
      <c r="AE18" s="36">
        <f>VLOOKUP($A18,[16]HISTOAVRIL22!$A$6:$CA$36,60,0)</f>
        <v>0</v>
      </c>
      <c r="AF18" s="36">
        <f>VLOOKUP($A18,[16]HISTOAVRIL22!$A$6:$CA$36,61,0)</f>
        <v>0</v>
      </c>
      <c r="AG18" s="36">
        <f>VLOOKUP($A18,[16]HISTOAVRIL22!$A$6:$CA$36,62,0)</f>
        <v>0</v>
      </c>
      <c r="AH18" s="36">
        <f>VLOOKUP($A18,[16]HISTOAVRIL22!$A$6:$CA$36,63,0)</f>
        <v>0</v>
      </c>
      <c r="AI18" s="36">
        <f>VLOOKUP($A18,[16]HISTOAVRIL22!$A$6:$CA$36,64,0)</f>
        <v>0</v>
      </c>
      <c r="AJ18" s="36">
        <f>VLOOKUP($A18,[16]HISTOAVRIL22!$A$6:$CA$36,65,0)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VLOOKUP($A19,[16]HISTOAVRIL22!$A$6:$BA$39,48,0)</f>
        <v>0</v>
      </c>
      <c r="F19" s="5">
        <f>MVTMARS22!F19-MVTAVRIL22!E19</f>
        <v>570000</v>
      </c>
      <c r="G19" s="6">
        <f t="shared" si="1"/>
        <v>0</v>
      </c>
      <c r="H19" s="6">
        <f>MVTMARS22!H19+MVTMARS22!G19+K19</f>
        <v>629307.65212435124</v>
      </c>
      <c r="I19" s="36">
        <f>VLOOKUP($A19,[16]HISTOAVRIL22!$A$6:$AQ$37,22,0)</f>
        <v>0</v>
      </c>
      <c r="J19" s="36">
        <f>VLOOKUP($A19,[16]HISTOAVRIL22!$A$6:$AU$39,45,0)</f>
        <v>7000</v>
      </c>
      <c r="K19" s="36">
        <f t="shared" si="2"/>
        <v>3000</v>
      </c>
      <c r="L19" s="36">
        <f t="shared" si="3"/>
        <v>500</v>
      </c>
      <c r="M19" s="36">
        <f t="shared" si="4"/>
        <v>1000</v>
      </c>
      <c r="N19" s="36">
        <f t="shared" si="5"/>
        <v>2500</v>
      </c>
      <c r="O19" s="36">
        <f>VLOOKUP($A19,[16]HISTOAVRIL22!$A$6:$AU$39,7,0)</f>
        <v>0</v>
      </c>
      <c r="P19" s="36">
        <f>VLOOKUP($A19,[16]HISTOAVRIL22!$A$6:$AU$39,23,0)</f>
        <v>0</v>
      </c>
      <c r="Q19" s="36">
        <f>VLOOKUP($A19,[16]HISTOAVRIL22!$A$6:$AU$39,46,0)</f>
        <v>0</v>
      </c>
      <c r="R19" s="36">
        <f>VLOOKUP($A19,[16]HISTOAVRIL22!$A$6:$AU$39,26,0)</f>
        <v>0</v>
      </c>
      <c r="S19" s="36">
        <f>VLOOKUP($A19,[16]HISTOAVRIL22!$A$6:$BG$39,58,0)</f>
        <v>0</v>
      </c>
      <c r="T19" s="36">
        <f>VLOOKUP($A19,[16]HISTOAVRIL22!$A$6:$AU$39,28,0)</f>
        <v>0</v>
      </c>
      <c r="U19" s="36">
        <f>VLOOKUP($A19,[16]HISTOAVRIL22!$A$6:$AU$39,19,0)</f>
        <v>0</v>
      </c>
      <c r="V19" s="36">
        <f>VLOOKUP($A19,[16]HISTOAVRIL22!$A$6:$AU$39,20,0)</f>
        <v>0</v>
      </c>
      <c r="W19" s="36">
        <f>VLOOKUP($A19,[16]HISTOAVRIL22!$A$6:$AU$39,27,0)</f>
        <v>0</v>
      </c>
      <c r="X19" s="36">
        <f>VLOOKUP($A19,[16]HISTOAVRIL22!$A$6:$AU$39,33,0)</f>
        <v>0</v>
      </c>
      <c r="Y19" s="36">
        <f>VLOOKUP($A19,[16]HISTOAVRIL22!$A$6:$BP$39,65,0)</f>
        <v>0</v>
      </c>
      <c r="Z19" s="36"/>
      <c r="AA19" s="36">
        <f>VLOOKUP($A19,[16]HISTOAVRIL22!$A$6:$AU$39,43,0)</f>
        <v>0</v>
      </c>
      <c r="AB19" s="36">
        <f>VLOOKUP($A19,[16]HISTOAVRIL22!$A$6:$AU$39,44,0)</f>
        <v>0</v>
      </c>
      <c r="AC19" s="36">
        <f>VLOOKUP($A19,[16]HISTOAVRIL22!$A$6:$AU$39,47,0)</f>
        <v>0</v>
      </c>
      <c r="AD19" s="36">
        <f>VLOOKUP(A19,[16]HISTOAVRIL22!$A$6:$BB$36,54,0)</f>
        <v>0</v>
      </c>
      <c r="AE19" s="36">
        <f>VLOOKUP($A19,[16]HISTOAVRIL22!$A$6:$CA$36,60,0)</f>
        <v>0</v>
      </c>
      <c r="AF19" s="36">
        <f>VLOOKUP($A19,[16]HISTOAVRIL22!$A$6:$CA$36,61,0)</f>
        <v>0</v>
      </c>
      <c r="AG19" s="36">
        <f>VLOOKUP($A19,[16]HISTOAVRIL22!$A$6:$CA$36,62,0)</f>
        <v>0</v>
      </c>
      <c r="AH19" s="36">
        <f>VLOOKUP($A19,[16]HISTOAVRIL22!$A$6:$CA$36,63,0)</f>
        <v>0</v>
      </c>
      <c r="AI19" s="36">
        <f>VLOOKUP($A19,[16]HISTOAVRIL22!$A$6:$CA$36,64,0)</f>
        <v>0</v>
      </c>
      <c r="AJ19" s="36">
        <f>VLOOKUP($A19,[16]HISTOAVRIL22!$A$6:$CA$36,65,0)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VLOOKUP($A20,[16]HISTOAVRIL22!$A$6:$BA$39,48,0)</f>
        <v>0</v>
      </c>
      <c r="F20" s="5">
        <f>MVTMARS22!F20-MVTAVRIL22!E20</f>
        <v>570000</v>
      </c>
      <c r="G20" s="6">
        <f t="shared" si="1"/>
        <v>0</v>
      </c>
      <c r="H20" s="6">
        <f>MVTMARS22!H20+MVTMARS22!G20+K20</f>
        <v>629003.16343106271</v>
      </c>
      <c r="I20" s="36">
        <f>VLOOKUP($A20,[16]HISTOAVRIL22!$A$6:$AQ$37,22,0)</f>
        <v>0</v>
      </c>
      <c r="J20" s="36">
        <f>VLOOKUP($A20,[16]HISTOAVRIL22!$A$6:$AU$39,45,0)</f>
        <v>7000</v>
      </c>
      <c r="K20" s="36">
        <f t="shared" si="2"/>
        <v>3000</v>
      </c>
      <c r="L20" s="36">
        <f t="shared" si="3"/>
        <v>500</v>
      </c>
      <c r="M20" s="36">
        <f t="shared" si="4"/>
        <v>1000</v>
      </c>
      <c r="N20" s="36">
        <f t="shared" si="5"/>
        <v>2500</v>
      </c>
      <c r="O20" s="36">
        <f>VLOOKUP($A20,[16]HISTOAVRIL22!$A$6:$AU$39,7,0)</f>
        <v>0</v>
      </c>
      <c r="P20" s="36">
        <f>VLOOKUP($A20,[16]HISTOAVRIL22!$A$6:$AU$39,23,0)</f>
        <v>0</v>
      </c>
      <c r="Q20" s="36">
        <f>VLOOKUP($A20,[16]HISTOAVRIL22!$A$6:$AU$39,46,0)</f>
        <v>0</v>
      </c>
      <c r="R20" s="36">
        <f>VLOOKUP($A20,[16]HISTOAVRIL22!$A$6:$AU$39,26,0)</f>
        <v>0</v>
      </c>
      <c r="S20" s="36">
        <f>VLOOKUP($A20,[16]HISTOAVRIL22!$A$6:$BG$39,58,0)</f>
        <v>0</v>
      </c>
      <c r="T20" s="36">
        <f>VLOOKUP($A20,[16]HISTOAVRIL22!$A$6:$AU$39,28,0)</f>
        <v>0</v>
      </c>
      <c r="U20" s="36">
        <f>VLOOKUP($A20,[16]HISTOAVRIL22!$A$6:$AU$39,19,0)</f>
        <v>0</v>
      </c>
      <c r="V20" s="36">
        <f>VLOOKUP($A20,[16]HISTOAVRIL22!$A$6:$AU$39,20,0)</f>
        <v>0</v>
      </c>
      <c r="W20" s="36">
        <f>VLOOKUP($A20,[16]HISTOAVRIL22!$A$6:$AU$39,27,0)</f>
        <v>0</v>
      </c>
      <c r="X20" s="36">
        <f>VLOOKUP($A20,[16]HISTOAVRIL22!$A$6:$AU$39,33,0)</f>
        <v>0</v>
      </c>
      <c r="Y20" s="36">
        <f>VLOOKUP($A20,[16]HISTOAVRIL22!$A$6:$BP$39,65,0)</f>
        <v>0</v>
      </c>
      <c r="Z20" s="36"/>
      <c r="AA20" s="36">
        <f>VLOOKUP($A20,[16]HISTOAVRIL22!$A$6:$AU$39,43,0)</f>
        <v>0</v>
      </c>
      <c r="AB20" s="36">
        <f>VLOOKUP($A20,[16]HISTOAVRIL22!$A$6:$AU$39,44,0)</f>
        <v>0</v>
      </c>
      <c r="AC20" s="36">
        <f>VLOOKUP($A20,[16]HISTOAVRIL22!$A$6:$AU$39,47,0)</f>
        <v>0</v>
      </c>
      <c r="AD20" s="36">
        <f>VLOOKUP(A20,[16]HISTOAVRIL22!$A$6:$BB$36,54,0)</f>
        <v>0</v>
      </c>
      <c r="AE20" s="36">
        <f>VLOOKUP($A20,[16]HISTOAVRIL22!$A$6:$CA$36,60,0)</f>
        <v>0</v>
      </c>
      <c r="AF20" s="36">
        <f>VLOOKUP($A20,[16]HISTOAVRIL22!$A$6:$CA$36,61,0)</f>
        <v>0</v>
      </c>
      <c r="AG20" s="36">
        <f>VLOOKUP($A20,[16]HISTOAVRIL22!$A$6:$CA$36,62,0)</f>
        <v>0</v>
      </c>
      <c r="AH20" s="36">
        <f>VLOOKUP($A20,[16]HISTOAVRIL22!$A$6:$CA$36,63,0)</f>
        <v>0</v>
      </c>
      <c r="AI20" s="36">
        <f>VLOOKUP($A20,[16]HISTOAVRIL22!$A$6:$CA$36,64,0)</f>
        <v>0</v>
      </c>
      <c r="AJ20" s="36">
        <f>VLOOKUP($A20,[16]HISTOAVRIL22!$A$6:$CA$36,65,0)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VLOOKUP($A21,[16]HISTOAVRIL22!$A$6:$BA$39,48,0)</f>
        <v>0</v>
      </c>
      <c r="F21" s="5">
        <f>MVTMARS22!F21-MVTAVRIL22!E21</f>
        <v>570000</v>
      </c>
      <c r="G21" s="6">
        <f t="shared" si="1"/>
        <v>0</v>
      </c>
      <c r="H21" s="6">
        <f>MVTMARS22!H21+MVTMARS22!G21+K21</f>
        <v>662151.44735080807</v>
      </c>
      <c r="I21" s="36">
        <f>VLOOKUP($A21,[16]HISTOAVRIL22!$A$6:$AQ$37,22,0)</f>
        <v>0</v>
      </c>
      <c r="J21" s="36">
        <f>VLOOKUP($A21,[16]HISTOAVRIL22!$A$6:$AU$39,45,0)</f>
        <v>7000</v>
      </c>
      <c r="K21" s="36">
        <f t="shared" si="2"/>
        <v>3000</v>
      </c>
      <c r="L21" s="36">
        <f t="shared" si="3"/>
        <v>500</v>
      </c>
      <c r="M21" s="36">
        <f t="shared" si="4"/>
        <v>1000</v>
      </c>
      <c r="N21" s="36">
        <f t="shared" si="5"/>
        <v>2500</v>
      </c>
      <c r="O21" s="36">
        <f>VLOOKUP($A21,[16]HISTOAVRIL22!$A$6:$AU$39,7,0)</f>
        <v>0</v>
      </c>
      <c r="P21" s="36">
        <f>VLOOKUP($A21,[16]HISTOAVRIL22!$A$6:$AU$39,23,0)</f>
        <v>0</v>
      </c>
      <c r="Q21" s="36">
        <f>VLOOKUP($A21,[16]HISTOAVRIL22!$A$6:$AU$39,46,0)</f>
        <v>0</v>
      </c>
      <c r="R21" s="36">
        <f>VLOOKUP($A21,[16]HISTOAVRIL22!$A$6:$AU$39,26,0)</f>
        <v>0</v>
      </c>
      <c r="S21" s="36">
        <f>VLOOKUP($A21,[16]HISTOAVRIL22!$A$6:$BG$39,58,0)</f>
        <v>0</v>
      </c>
      <c r="T21" s="36">
        <f>VLOOKUP($A21,[16]HISTOAVRIL22!$A$6:$AU$39,28,0)</f>
        <v>0</v>
      </c>
      <c r="U21" s="36">
        <f>VLOOKUP($A21,[16]HISTOAVRIL22!$A$6:$AU$39,19,0)</f>
        <v>0</v>
      </c>
      <c r="V21" s="36">
        <f>VLOOKUP($A21,[16]HISTOAVRIL22!$A$6:$AU$39,20,0)</f>
        <v>0</v>
      </c>
      <c r="W21" s="36">
        <f>VLOOKUP($A21,[16]HISTOAVRIL22!$A$6:$AU$39,27,0)</f>
        <v>0</v>
      </c>
      <c r="X21" s="36">
        <f>VLOOKUP($A21,[16]HISTOAVRIL22!$A$6:$AU$39,33,0)</f>
        <v>0</v>
      </c>
      <c r="Y21" s="36">
        <f>VLOOKUP($A21,[16]HISTOAVRIL22!$A$6:$BP$39,65,0)</f>
        <v>0</v>
      </c>
      <c r="Z21" s="36"/>
      <c r="AA21" s="36">
        <f>VLOOKUP($A21,[16]HISTOAVRIL22!$A$6:$AU$39,43,0)</f>
        <v>0</v>
      </c>
      <c r="AB21" s="36">
        <f>VLOOKUP($A21,[16]HISTOAVRIL22!$A$6:$AU$39,44,0)</f>
        <v>0</v>
      </c>
      <c r="AC21" s="36">
        <f>VLOOKUP($A21,[16]HISTOAVRIL22!$A$6:$AU$39,47,0)</f>
        <v>0</v>
      </c>
      <c r="AD21" s="36">
        <f>VLOOKUP(A21,[16]HISTOAVRIL22!$A$6:$BB$36,54,0)</f>
        <v>0</v>
      </c>
      <c r="AE21" s="36">
        <f>VLOOKUP($A21,[16]HISTOAVRIL22!$A$6:$CA$36,60,0)</f>
        <v>0</v>
      </c>
      <c r="AF21" s="36">
        <f>VLOOKUP($A21,[16]HISTOAVRIL22!$A$6:$CA$36,61,0)</f>
        <v>0</v>
      </c>
      <c r="AG21" s="36">
        <f>VLOOKUP($A21,[16]HISTOAVRIL22!$A$6:$CA$36,62,0)</f>
        <v>0</v>
      </c>
      <c r="AH21" s="36">
        <f>VLOOKUP($A21,[16]HISTOAVRIL22!$A$6:$CA$36,63,0)</f>
        <v>0</v>
      </c>
      <c r="AI21" s="36">
        <f>VLOOKUP($A21,[16]HISTOAVRIL22!$A$6:$CA$36,64,0)</f>
        <v>0</v>
      </c>
      <c r="AJ21" s="36">
        <f>VLOOKUP($A21,[16]HISTOAVRIL22!$A$6:$CA$36,65,0)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VLOOKUP($A22,[16]HISTOAVRIL22!$A$6:$BA$39,48,0)</f>
        <v>0</v>
      </c>
      <c r="F22" s="5">
        <f>MVTMARS22!F22-MVTAVRIL22!E22</f>
        <v>570000</v>
      </c>
      <c r="G22" s="6">
        <f t="shared" si="1"/>
        <v>0</v>
      </c>
      <c r="H22" s="6">
        <f>MVTMARS22!H22+MVTMARS22!G22+K22</f>
        <v>720393.81045108626</v>
      </c>
      <c r="I22" s="36">
        <f>VLOOKUP($A22,[16]HISTOAVRIL22!$A$6:$AQ$37,22,0)</f>
        <v>0</v>
      </c>
      <c r="J22" s="36">
        <f>VLOOKUP($A22,[16]HISTOAVRIL22!$A$6:$AU$39,45,0)</f>
        <v>7000</v>
      </c>
      <c r="K22" s="36">
        <f t="shared" si="2"/>
        <v>3000</v>
      </c>
      <c r="L22" s="36">
        <f t="shared" si="3"/>
        <v>500</v>
      </c>
      <c r="M22" s="36">
        <f t="shared" si="4"/>
        <v>1000</v>
      </c>
      <c r="N22" s="36">
        <f t="shared" si="5"/>
        <v>2500</v>
      </c>
      <c r="O22" s="36">
        <f>VLOOKUP($A22,[16]HISTOAVRIL22!$A$6:$AU$39,7,0)</f>
        <v>0</v>
      </c>
      <c r="P22" s="36">
        <f>VLOOKUP($A22,[16]HISTOAVRIL22!$A$6:$AU$39,23,0)</f>
        <v>0</v>
      </c>
      <c r="Q22" s="36">
        <f>VLOOKUP($A22,[16]HISTOAVRIL22!$A$6:$AU$39,46,0)</f>
        <v>0</v>
      </c>
      <c r="R22" s="36">
        <f>VLOOKUP($A22,[16]HISTOAVRIL22!$A$6:$AU$39,26,0)</f>
        <v>0</v>
      </c>
      <c r="S22" s="36">
        <f>VLOOKUP($A22,[16]HISTOAVRIL22!$A$6:$BG$39,58,0)</f>
        <v>0</v>
      </c>
      <c r="T22" s="36">
        <f>VLOOKUP($A22,[16]HISTOAVRIL22!$A$6:$AU$39,28,0)</f>
        <v>0</v>
      </c>
      <c r="U22" s="36">
        <f>VLOOKUP($A22,[16]HISTOAVRIL22!$A$6:$AU$39,19,0)</f>
        <v>0</v>
      </c>
      <c r="V22" s="36">
        <f>VLOOKUP($A22,[16]HISTOAVRIL22!$A$6:$AU$39,20,0)</f>
        <v>0</v>
      </c>
      <c r="W22" s="36">
        <f>VLOOKUP($A22,[16]HISTOAVRIL22!$A$6:$AU$39,27,0)</f>
        <v>0</v>
      </c>
      <c r="X22" s="36">
        <f>VLOOKUP($A22,[16]HISTOAVRIL22!$A$6:$AU$39,33,0)</f>
        <v>0</v>
      </c>
      <c r="Y22" s="36">
        <f>VLOOKUP($A22,[16]HISTOAVRIL22!$A$6:$BP$39,65,0)</f>
        <v>0</v>
      </c>
      <c r="Z22" s="36"/>
      <c r="AA22" s="36">
        <f>VLOOKUP($A22,[16]HISTOAVRIL22!$A$6:$AU$39,43,0)</f>
        <v>0</v>
      </c>
      <c r="AB22" s="36">
        <f>VLOOKUP($A22,[16]HISTOAVRIL22!$A$6:$AU$39,44,0)</f>
        <v>0</v>
      </c>
      <c r="AC22" s="36">
        <f>VLOOKUP($A22,[16]HISTOAVRIL22!$A$6:$AU$39,47,0)</f>
        <v>0</v>
      </c>
      <c r="AD22" s="36">
        <f>VLOOKUP(A22,[16]HISTOAVRIL22!$A$6:$BB$36,54,0)</f>
        <v>0</v>
      </c>
      <c r="AE22" s="36">
        <f>VLOOKUP($A22,[16]HISTOAVRIL22!$A$6:$CA$36,60,0)</f>
        <v>0</v>
      </c>
      <c r="AF22" s="36">
        <f>VLOOKUP($A22,[16]HISTOAVRIL22!$A$6:$CA$36,61,0)</f>
        <v>0</v>
      </c>
      <c r="AG22" s="36">
        <f>VLOOKUP($A22,[16]HISTOAVRIL22!$A$6:$CA$36,62,0)</f>
        <v>0</v>
      </c>
      <c r="AH22" s="36">
        <f>VLOOKUP($A22,[16]HISTOAVRIL22!$A$6:$CA$36,63,0)</f>
        <v>0</v>
      </c>
      <c r="AI22" s="36">
        <f>VLOOKUP($A22,[16]HISTOAVRIL22!$A$6:$CA$36,64,0)</f>
        <v>0</v>
      </c>
      <c r="AJ22" s="36">
        <f>VLOOKUP($A22,[16]HISTOAVRIL22!$A$6:$CA$36,65,0)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VLOOKUP($A23,[16]HISTOAVRIL22!$A$6:$BA$39,48,0)</f>
        <v>0</v>
      </c>
      <c r="F23" s="5">
        <f>MVTMARS22!F23-MVTAVRIL22!E23</f>
        <v>570000</v>
      </c>
      <c r="G23" s="6">
        <f t="shared" si="1"/>
        <v>0</v>
      </c>
      <c r="H23" s="6">
        <f>MVTMARS22!H23+MVTMARS22!G23+K23</f>
        <v>809952.03858989442</v>
      </c>
      <c r="I23" s="36">
        <f>VLOOKUP($A23,[16]HISTOAVRIL22!$A$6:$AQ$37,22,0)</f>
        <v>0</v>
      </c>
      <c r="J23" s="36">
        <f>VLOOKUP($A23,[16]HISTOAVRIL22!$A$6:$AU$39,45,0)</f>
        <v>27000</v>
      </c>
      <c r="K23" s="36">
        <f t="shared" si="2"/>
        <v>23000</v>
      </c>
      <c r="L23" s="36">
        <f t="shared" si="3"/>
        <v>500</v>
      </c>
      <c r="M23" s="36">
        <f t="shared" si="4"/>
        <v>1000</v>
      </c>
      <c r="N23" s="36">
        <f t="shared" si="5"/>
        <v>2500</v>
      </c>
      <c r="O23" s="36">
        <f>VLOOKUP($A23,[16]HISTOAVRIL22!$A$6:$AU$39,7,0)</f>
        <v>0</v>
      </c>
      <c r="P23" s="36">
        <f>VLOOKUP($A23,[16]HISTOAVRIL22!$A$6:$AU$39,23,0)</f>
        <v>0</v>
      </c>
      <c r="Q23" s="36">
        <f>VLOOKUP($A23,[16]HISTOAVRIL22!$A$6:$AU$39,46,0)</f>
        <v>0</v>
      </c>
      <c r="R23" s="36">
        <f>VLOOKUP($A23,[16]HISTOAVRIL22!$A$6:$AU$39,26,0)</f>
        <v>0</v>
      </c>
      <c r="S23" s="36">
        <f>VLOOKUP($A23,[16]HISTOAVRIL22!$A$6:$BG$39,58,0)</f>
        <v>0</v>
      </c>
      <c r="T23" s="36">
        <f>VLOOKUP($A23,[16]HISTOAVRIL22!$A$6:$AU$39,28,0)</f>
        <v>0</v>
      </c>
      <c r="U23" s="36">
        <f>VLOOKUP($A23,[16]HISTOAVRIL22!$A$6:$AU$39,19,0)</f>
        <v>0</v>
      </c>
      <c r="V23" s="36">
        <f>VLOOKUP($A23,[16]HISTOAVRIL22!$A$6:$AU$39,20,0)</f>
        <v>0</v>
      </c>
      <c r="W23" s="36">
        <f>VLOOKUP($A23,[16]HISTOAVRIL22!$A$6:$AU$39,27,0)</f>
        <v>0</v>
      </c>
      <c r="X23" s="36">
        <f>VLOOKUP($A23,[16]HISTOAVRIL22!$A$6:$AU$39,33,0)</f>
        <v>0</v>
      </c>
      <c r="Y23" s="36">
        <f>VLOOKUP($A23,[16]HISTOAVRIL22!$A$6:$BP$39,65,0)</f>
        <v>0</v>
      </c>
      <c r="Z23" s="36"/>
      <c r="AA23" s="36">
        <f>VLOOKUP($A23,[16]HISTOAVRIL22!$A$6:$AU$39,43,0)</f>
        <v>0</v>
      </c>
      <c r="AB23" s="36">
        <f>VLOOKUP($A23,[16]HISTOAVRIL22!$A$6:$AU$39,44,0)</f>
        <v>0</v>
      </c>
      <c r="AC23" s="36">
        <f>VLOOKUP($A23,[16]HISTOAVRIL22!$A$6:$AU$39,47,0)</f>
        <v>0</v>
      </c>
      <c r="AD23" s="36">
        <f>VLOOKUP(A23,[16]HISTOAVRIL22!$A$6:$BB$36,54,0)</f>
        <v>0</v>
      </c>
      <c r="AE23" s="36">
        <f>VLOOKUP($A23,[16]HISTOAVRIL22!$A$6:$CA$36,60,0)</f>
        <v>0</v>
      </c>
      <c r="AF23" s="36">
        <f>VLOOKUP($A23,[16]HISTOAVRIL22!$A$6:$CA$36,61,0)</f>
        <v>0</v>
      </c>
      <c r="AG23" s="36">
        <f>VLOOKUP($A23,[16]HISTOAVRIL22!$A$6:$CA$36,62,0)</f>
        <v>0</v>
      </c>
      <c r="AH23" s="36">
        <f>VLOOKUP($A23,[16]HISTOAVRIL22!$A$6:$CA$36,63,0)</f>
        <v>0</v>
      </c>
      <c r="AI23" s="36">
        <f>VLOOKUP($A23,[16]HISTOAVRIL22!$A$6:$CA$36,64,0)</f>
        <v>0</v>
      </c>
      <c r="AJ23" s="36">
        <f>VLOOKUP($A23,[16]HISTOAVRIL22!$A$6:$CA$36,65,0)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VLOOKUP($A24,[16]HISTOAVRIL22!$A$6:$BA$39,48,0)</f>
        <v>0</v>
      </c>
      <c r="F24" s="5">
        <f>MVTMARS22!F24-MVTAVRIL22!E24</f>
        <v>570000</v>
      </c>
      <c r="G24" s="6">
        <f t="shared" si="1"/>
        <v>0</v>
      </c>
      <c r="H24" s="6">
        <f>MVTMARS22!H24+MVTMARS22!G24+K24</f>
        <v>692926.46677370521</v>
      </c>
      <c r="I24" s="36">
        <f>VLOOKUP($A24,[16]HISTOAVRIL22!$A$6:$AQ$37,22,0)</f>
        <v>0</v>
      </c>
      <c r="J24" s="36">
        <f>VLOOKUP($A24,[16]HISTOAVRIL22!$A$6:$AU$39,45,0)</f>
        <v>12000</v>
      </c>
      <c r="K24" s="36">
        <f t="shared" si="2"/>
        <v>8000</v>
      </c>
      <c r="L24" s="36">
        <f t="shared" si="3"/>
        <v>500</v>
      </c>
      <c r="M24" s="36">
        <f t="shared" si="4"/>
        <v>1000</v>
      </c>
      <c r="N24" s="36">
        <f t="shared" si="5"/>
        <v>2500</v>
      </c>
      <c r="O24" s="36">
        <f>VLOOKUP($A24,[16]HISTOAVRIL22!$A$6:$AU$39,7,0)</f>
        <v>3000</v>
      </c>
      <c r="P24" s="36">
        <f>VLOOKUP($A24,[16]HISTOAVRIL22!$A$6:$AU$39,23,0)</f>
        <v>0</v>
      </c>
      <c r="Q24" s="36">
        <f>VLOOKUP($A24,[16]HISTOAVRIL22!$A$6:$AU$39,46,0)</f>
        <v>0</v>
      </c>
      <c r="R24" s="36">
        <f>VLOOKUP($A24,[16]HISTOAVRIL22!$A$6:$AU$39,26,0)</f>
        <v>0</v>
      </c>
      <c r="S24" s="36">
        <f>VLOOKUP($A24,[16]HISTOAVRIL22!$A$6:$BG$39,58,0)</f>
        <v>0</v>
      </c>
      <c r="T24" s="36">
        <f>VLOOKUP($A24,[16]HISTOAVRIL22!$A$6:$AU$39,28,0)</f>
        <v>0</v>
      </c>
      <c r="U24" s="36">
        <f>VLOOKUP($A24,[16]HISTOAVRIL22!$A$6:$AU$39,19,0)</f>
        <v>0</v>
      </c>
      <c r="V24" s="36">
        <f>VLOOKUP($A24,[16]HISTOAVRIL22!$A$6:$AU$39,20,0)</f>
        <v>0</v>
      </c>
      <c r="W24" s="36">
        <f>VLOOKUP($A24,[16]HISTOAVRIL22!$A$6:$AU$39,27,0)</f>
        <v>0</v>
      </c>
      <c r="X24" s="36">
        <f>VLOOKUP($A24,[16]HISTOAVRIL22!$A$6:$AU$39,33,0)</f>
        <v>0</v>
      </c>
      <c r="Y24" s="36">
        <f>VLOOKUP($A24,[16]HISTOAVRIL22!$A$6:$BP$39,65,0)</f>
        <v>0</v>
      </c>
      <c r="Z24" s="36"/>
      <c r="AA24" s="36">
        <f>VLOOKUP($A24,[16]HISTOAVRIL22!$A$6:$AU$39,43,0)</f>
        <v>0</v>
      </c>
      <c r="AB24" s="36">
        <f>VLOOKUP($A24,[16]HISTOAVRIL22!$A$6:$AU$39,44,0)</f>
        <v>0</v>
      </c>
      <c r="AC24" s="36">
        <f>VLOOKUP($A24,[16]HISTOAVRIL22!$A$6:$AU$39,47,0)</f>
        <v>0</v>
      </c>
      <c r="AD24" s="36">
        <f>VLOOKUP(A24,[16]HISTOAVRIL22!$A$6:$BB$36,54,0)</f>
        <v>0</v>
      </c>
      <c r="AE24" s="36">
        <f>VLOOKUP($A24,[16]HISTOAVRIL22!$A$6:$CA$36,60,0)</f>
        <v>0</v>
      </c>
      <c r="AF24" s="36">
        <f>VLOOKUP($A24,[16]HISTOAVRIL22!$A$6:$CA$36,61,0)</f>
        <v>0</v>
      </c>
      <c r="AG24" s="36">
        <f>VLOOKUP($A24,[16]HISTOAVRIL22!$A$6:$CA$36,62,0)</f>
        <v>0</v>
      </c>
      <c r="AH24" s="36">
        <f>VLOOKUP($A24,[16]HISTOAVRIL22!$A$6:$CA$36,63,0)</f>
        <v>0</v>
      </c>
      <c r="AI24" s="36">
        <f>VLOOKUP($A24,[16]HISTOAVRIL22!$A$6:$CA$36,64,0)</f>
        <v>0</v>
      </c>
      <c r="AJ24" s="36">
        <f>VLOOKUP($A24,[16]HISTOAVRIL22!$A$6:$CA$36,65,0)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VLOOKUP($A25,[16]HISTOAVRIL22!$A$6:$BA$39,48,0)</f>
        <v>0</v>
      </c>
      <c r="F25" s="5">
        <f>MVTMARS22!F25-MVTAVRIL22!E25</f>
        <v>570000</v>
      </c>
      <c r="G25" s="6">
        <f t="shared" si="1"/>
        <v>0</v>
      </c>
      <c r="H25" s="6">
        <f>MVTMARS22!H25+MVTMARS22!G25+K25</f>
        <v>633069.15320872201</v>
      </c>
      <c r="I25" s="36">
        <f>VLOOKUP($A25,[16]HISTOAVRIL22!$A$6:$AQ$37,22,0)</f>
        <v>0</v>
      </c>
      <c r="J25" s="36">
        <f>VLOOKUP($A25,[16]HISTOAVRIL22!$A$6:$AU$39,45,0)</f>
        <v>7000</v>
      </c>
      <c r="K25" s="36">
        <f t="shared" si="2"/>
        <v>3000</v>
      </c>
      <c r="L25" s="36">
        <f t="shared" si="3"/>
        <v>500</v>
      </c>
      <c r="M25" s="36">
        <f t="shared" si="4"/>
        <v>1000</v>
      </c>
      <c r="N25" s="36">
        <f t="shared" si="5"/>
        <v>2500</v>
      </c>
      <c r="O25" s="36">
        <f>VLOOKUP($A25,[16]HISTOAVRIL22!$A$6:$AU$39,7,0)</f>
        <v>0</v>
      </c>
      <c r="P25" s="36">
        <f>VLOOKUP($A25,[16]HISTOAVRIL22!$A$6:$AU$39,23,0)</f>
        <v>0</v>
      </c>
      <c r="Q25" s="36">
        <f>VLOOKUP($A25,[16]HISTOAVRIL22!$A$6:$AU$39,46,0)</f>
        <v>0</v>
      </c>
      <c r="R25" s="36">
        <f>VLOOKUP($A25,[16]HISTOAVRIL22!$A$6:$AU$39,26,0)</f>
        <v>0</v>
      </c>
      <c r="S25" s="36">
        <f>VLOOKUP($A25,[16]HISTOAVRIL22!$A$6:$BG$39,58,0)</f>
        <v>0</v>
      </c>
      <c r="T25" s="36">
        <f>VLOOKUP($A25,[16]HISTOAVRIL22!$A$6:$AU$39,28,0)</f>
        <v>0</v>
      </c>
      <c r="U25" s="36">
        <f>VLOOKUP($A25,[16]HISTOAVRIL22!$A$6:$AU$39,19,0)</f>
        <v>0</v>
      </c>
      <c r="V25" s="36">
        <f>VLOOKUP($A25,[16]HISTOAVRIL22!$A$6:$AU$39,20,0)</f>
        <v>0</v>
      </c>
      <c r="W25" s="36">
        <f>VLOOKUP($A25,[16]HISTOAVRIL22!$A$6:$AU$39,27,0)</f>
        <v>0</v>
      </c>
      <c r="X25" s="36">
        <f>VLOOKUP($A25,[16]HISTOAVRIL22!$A$6:$AU$39,33,0)</f>
        <v>0</v>
      </c>
      <c r="Y25" s="36">
        <f>VLOOKUP($A25,[16]HISTOAVRIL22!$A$6:$BP$39,65,0)</f>
        <v>0</v>
      </c>
      <c r="Z25" s="36"/>
      <c r="AA25" s="36">
        <f>VLOOKUP($A25,[16]HISTOAVRIL22!$A$6:$AU$39,43,0)</f>
        <v>0</v>
      </c>
      <c r="AB25" s="36">
        <f>VLOOKUP($A25,[16]HISTOAVRIL22!$A$6:$AU$39,44,0)</f>
        <v>0</v>
      </c>
      <c r="AC25" s="36">
        <f>VLOOKUP($A25,[16]HISTOAVRIL22!$A$6:$AU$39,47,0)</f>
        <v>0</v>
      </c>
      <c r="AD25" s="36">
        <f>VLOOKUP(A25,[16]HISTOAVRIL22!$A$6:$BB$36,54,0)</f>
        <v>70000</v>
      </c>
      <c r="AE25" s="36">
        <f>VLOOKUP($A25,[16]HISTOAVRIL22!$A$6:$CA$36,60,0)</f>
        <v>0</v>
      </c>
      <c r="AF25" s="36">
        <f>VLOOKUP($A25,[16]HISTOAVRIL22!$A$6:$CA$36,61,0)</f>
        <v>0</v>
      </c>
      <c r="AG25" s="36">
        <f>VLOOKUP($A25,[16]HISTOAVRIL22!$A$6:$CA$36,62,0)</f>
        <v>0</v>
      </c>
      <c r="AH25" s="36">
        <f>VLOOKUP($A25,[16]HISTOAVRIL22!$A$6:$CA$36,63,0)</f>
        <v>70000</v>
      </c>
      <c r="AI25" s="36">
        <f>VLOOKUP($A25,[16]HISTOAVRIL22!$A$6:$CA$36,64,0)</f>
        <v>0</v>
      </c>
      <c r="AJ25" s="36">
        <f>VLOOKUP($A25,[16]HISTOAVRIL22!$A$6:$CA$36,65,0)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VLOOKUP($A26,[16]HISTOAVRIL22!$A$6:$BA$39,48,0)</f>
        <v>0</v>
      </c>
      <c r="F26" s="5">
        <f>MVTMARS22!F26-MVTAVRIL22!E26</f>
        <v>570000</v>
      </c>
      <c r="G26" s="6">
        <f t="shared" si="1"/>
        <v>0</v>
      </c>
      <c r="H26" s="6">
        <f>MVTMARS22!H26+MVTMARS22!G26+K26</f>
        <v>640871.6035456314</v>
      </c>
      <c r="I26" s="36">
        <f>VLOOKUP($A26,[16]HISTOAVRIL22!$A$6:$AQ$37,22,0)</f>
        <v>0</v>
      </c>
      <c r="J26" s="36">
        <f>VLOOKUP($A26,[16]HISTOAVRIL22!$A$6:$AU$39,45,0)</f>
        <v>7000</v>
      </c>
      <c r="K26" s="36">
        <f t="shared" si="2"/>
        <v>3000</v>
      </c>
      <c r="L26" s="36">
        <f t="shared" si="3"/>
        <v>500</v>
      </c>
      <c r="M26" s="36">
        <f t="shared" si="4"/>
        <v>1000</v>
      </c>
      <c r="N26" s="36">
        <f t="shared" si="5"/>
        <v>2500</v>
      </c>
      <c r="O26" s="36">
        <f>VLOOKUP($A26,[16]HISTOAVRIL22!$A$6:$AU$39,7,0)</f>
        <v>3000</v>
      </c>
      <c r="P26" s="36">
        <f>VLOOKUP($A26,[16]HISTOAVRIL22!$A$6:$AU$39,23,0)</f>
        <v>0</v>
      </c>
      <c r="Q26" s="36">
        <f>VLOOKUP($A26,[16]HISTOAVRIL22!$A$6:$AU$39,46,0)</f>
        <v>0</v>
      </c>
      <c r="R26" s="36">
        <f>VLOOKUP($A26,[16]HISTOAVRIL22!$A$6:$AU$39,26,0)</f>
        <v>0</v>
      </c>
      <c r="S26" s="36">
        <f>VLOOKUP($A26,[16]HISTOAVRIL22!$A$6:$BG$39,58,0)</f>
        <v>0</v>
      </c>
      <c r="T26" s="36">
        <f>VLOOKUP($A26,[16]HISTOAVRIL22!$A$6:$AU$39,28,0)</f>
        <v>0</v>
      </c>
      <c r="U26" s="36">
        <f>VLOOKUP($A26,[16]HISTOAVRIL22!$A$6:$AU$39,19,0)</f>
        <v>0</v>
      </c>
      <c r="V26" s="36">
        <f>VLOOKUP($A26,[16]HISTOAVRIL22!$A$6:$AU$39,20,0)</f>
        <v>0</v>
      </c>
      <c r="W26" s="36">
        <f>VLOOKUP($A26,[16]HISTOAVRIL22!$A$6:$AU$39,27,0)</f>
        <v>0</v>
      </c>
      <c r="X26" s="36">
        <f>VLOOKUP($A26,[16]HISTOAVRIL22!$A$6:$AU$39,33,0)</f>
        <v>0</v>
      </c>
      <c r="Y26" s="36">
        <f>VLOOKUP($A26,[16]HISTOAVRIL22!$A$6:$BP$39,65,0)</f>
        <v>0</v>
      </c>
      <c r="Z26" s="36"/>
      <c r="AA26" s="36">
        <f>VLOOKUP($A26,[16]HISTOAVRIL22!$A$6:$AU$39,43,0)</f>
        <v>0</v>
      </c>
      <c r="AB26" s="36">
        <f>VLOOKUP($A26,[16]HISTOAVRIL22!$A$6:$AU$39,44,0)</f>
        <v>0</v>
      </c>
      <c r="AC26" s="36">
        <f>VLOOKUP($A26,[16]HISTOAVRIL22!$A$6:$AU$39,47,0)</f>
        <v>0</v>
      </c>
      <c r="AD26" s="36">
        <f>VLOOKUP(A26,[16]HISTOAVRIL22!$A$6:$BB$36,54,0)</f>
        <v>0</v>
      </c>
      <c r="AE26" s="36">
        <f>VLOOKUP($A26,[16]HISTOAVRIL22!$A$6:$CA$36,60,0)</f>
        <v>0</v>
      </c>
      <c r="AF26" s="36">
        <f>VLOOKUP($A26,[16]HISTOAVRIL22!$A$6:$CA$36,61,0)</f>
        <v>0</v>
      </c>
      <c r="AG26" s="36">
        <f>VLOOKUP($A26,[16]HISTOAVRIL22!$A$6:$CA$36,62,0)</f>
        <v>0</v>
      </c>
      <c r="AH26" s="36">
        <f>VLOOKUP($A26,[16]HISTOAVRIL22!$A$6:$CA$36,63,0)</f>
        <v>0</v>
      </c>
      <c r="AI26" s="36">
        <f>VLOOKUP($A26,[16]HISTOAVRIL22!$A$6:$CA$36,64,0)</f>
        <v>0</v>
      </c>
      <c r="AJ26" s="36">
        <f>VLOOKUP($A26,[16]HISTOAVRIL22!$A$6:$CA$36,65,0)</f>
        <v>0</v>
      </c>
    </row>
    <row r="27" spans="1:36" x14ac:dyDescent="0.25">
      <c r="A27" s="1" t="s">
        <v>30</v>
      </c>
      <c r="B27" s="1" t="str">
        <f>VLOOKUP(A27,[15]LISTADHERENT!A$5:H$60,3,0)</f>
        <v>NKEHE DAVID</v>
      </c>
      <c r="C27" s="5"/>
      <c r="D27" s="5"/>
      <c r="E27" s="36">
        <f>VLOOKUP($A27,[16]HISTOAVRIL22!$A$6:$BA$39,48,0)</f>
        <v>0</v>
      </c>
      <c r="F27" s="5">
        <f>MVTMARS22!F27-MVTAVRIL22!E27</f>
        <v>534974.27750837663</v>
      </c>
      <c r="G27" s="6">
        <f t="shared" si="1"/>
        <v>0</v>
      </c>
      <c r="H27" s="6">
        <f>MVTMARS22!H27+MVTMARS22!G27+K27</f>
        <v>0</v>
      </c>
      <c r="I27" s="36">
        <f>VLOOKUP($A27,[16]HISTOAVRIL22!$A$6:$AQ$37,22,0)</f>
        <v>0</v>
      </c>
      <c r="J27" s="36">
        <f>VLOOKUP($A27,[16]HISTOAVRIL22!$A$6:$AU$39,45,0)</f>
        <v>0</v>
      </c>
      <c r="K27" s="36">
        <f t="shared" si="2"/>
        <v>0</v>
      </c>
      <c r="L27" s="36">
        <f t="shared" si="3"/>
        <v>0</v>
      </c>
      <c r="M27" s="36">
        <f t="shared" si="4"/>
        <v>0</v>
      </c>
      <c r="N27" s="36">
        <f t="shared" si="5"/>
        <v>0</v>
      </c>
      <c r="O27" s="36">
        <f>VLOOKUP($A27,[16]HISTOAVRIL22!$A$6:$AU$39,7,0)</f>
        <v>0</v>
      </c>
      <c r="P27" s="36">
        <f>VLOOKUP($A27,[16]HISTOAVRIL22!$A$6:$AU$39,23,0)</f>
        <v>0</v>
      </c>
      <c r="Q27" s="36">
        <f>VLOOKUP($A27,[16]HISTOAVRIL22!$A$6:$AU$39,46,0)</f>
        <v>0</v>
      </c>
      <c r="R27" s="36">
        <f>VLOOKUP($A27,[16]HISTOAVRIL22!$A$6:$AU$39,26,0)</f>
        <v>0</v>
      </c>
      <c r="S27" s="36">
        <f>VLOOKUP($A27,[16]HISTOAVRIL22!$A$6:$BG$39,58,0)</f>
        <v>0</v>
      </c>
      <c r="T27" s="36">
        <f>VLOOKUP($A27,[16]HISTOAVRIL22!$A$6:$AU$39,28,0)</f>
        <v>0</v>
      </c>
      <c r="U27" s="36">
        <f>VLOOKUP($A27,[16]HISTOAVRIL22!$A$6:$AU$39,19,0)</f>
        <v>0</v>
      </c>
      <c r="V27" s="36">
        <f>VLOOKUP($A27,[16]HISTOAVRIL22!$A$6:$AU$39,20,0)</f>
        <v>0</v>
      </c>
      <c r="W27" s="36">
        <f>VLOOKUP($A27,[16]HISTOAVRIL22!$A$6:$AU$39,27,0)</f>
        <v>0</v>
      </c>
      <c r="X27" s="36">
        <f>VLOOKUP($A27,[16]HISTOAVRIL22!$A$6:$AU$39,33,0)</f>
        <v>0</v>
      </c>
      <c r="Y27" s="36">
        <f>VLOOKUP($A27,[16]HISTOAVRIL22!$A$6:$BP$39,65,0)</f>
        <v>0</v>
      </c>
      <c r="Z27" s="36"/>
      <c r="AA27" s="36">
        <f>VLOOKUP($A27,[16]HISTOAVRIL22!$A$6:$AU$39,43,0)</f>
        <v>0</v>
      </c>
      <c r="AB27" s="36">
        <f>VLOOKUP($A27,[16]HISTOAVRIL22!$A$6:$AU$39,44,0)</f>
        <v>0</v>
      </c>
      <c r="AC27" s="36">
        <f>VLOOKUP($A27,[16]HISTOAVRIL22!$A$6:$AU$39,47,0)</f>
        <v>0</v>
      </c>
      <c r="AD27" s="36">
        <f>VLOOKUP(A27,[16]HISTOAVRIL22!$A$6:$BB$36,54,0)</f>
        <v>0</v>
      </c>
      <c r="AE27" s="36">
        <f>VLOOKUP($A27,[16]HISTOAVRIL22!$A$6:$CA$36,60,0)</f>
        <v>0</v>
      </c>
      <c r="AF27" s="36">
        <f>VLOOKUP($A27,[16]HISTOAVRIL22!$A$6:$CA$36,61,0)</f>
        <v>0</v>
      </c>
      <c r="AG27" s="36">
        <f>VLOOKUP($A27,[16]HISTOAVRIL22!$A$6:$CA$36,62,0)</f>
        <v>0</v>
      </c>
      <c r="AH27" s="36">
        <f>VLOOKUP($A27,[16]HISTOAVRIL22!$A$6:$CA$36,63,0)</f>
        <v>0</v>
      </c>
      <c r="AI27" s="36">
        <f>VLOOKUP($A27,[16]HISTOAVRIL22!$A$6:$CA$36,64,0)</f>
        <v>0</v>
      </c>
      <c r="AJ27" s="36">
        <f>VLOOKUP($A27,[16]HISTOAVRIL22!$A$6:$CA$36,65,0)</f>
        <v>0</v>
      </c>
    </row>
    <row r="28" spans="1:36" x14ac:dyDescent="0.25">
      <c r="A28" s="1" t="s">
        <v>44</v>
      </c>
      <c r="B28" s="1" t="str">
        <f>VLOOKUP(A28,[15]LISTADHERENT!A$5:H$60,3,0)</f>
        <v>NKEPSEU DIEUDONNE</v>
      </c>
      <c r="C28" s="5"/>
      <c r="D28" s="5"/>
      <c r="E28" s="36">
        <f>VLOOKUP($A28,[16]HISTOAVRIL22!$A$6:$BA$39,48,0)</f>
        <v>0</v>
      </c>
      <c r="F28" s="5">
        <f>MVTMARS22!F28-MVTAVRIL22!E28</f>
        <v>570000</v>
      </c>
      <c r="G28" s="6">
        <f t="shared" si="1"/>
        <v>0</v>
      </c>
      <c r="H28" s="6">
        <f>MVTMARS22!H28+MVTMARS22!G28+K28</f>
        <v>665758.27215425554</v>
      </c>
      <c r="I28" s="36">
        <f>VLOOKUP($A28,[16]HISTOAVRIL22!$A$6:$AQ$37,22,0)</f>
        <v>0</v>
      </c>
      <c r="J28" s="36">
        <f>VLOOKUP($A28,[16]HISTOAVRIL22!$A$6:$AU$39,45,0)</f>
        <v>17000</v>
      </c>
      <c r="K28" s="36">
        <f t="shared" si="2"/>
        <v>13000</v>
      </c>
      <c r="L28" s="36">
        <f t="shared" si="3"/>
        <v>500</v>
      </c>
      <c r="M28" s="36">
        <f t="shared" si="4"/>
        <v>1000</v>
      </c>
      <c r="N28" s="36">
        <f t="shared" si="5"/>
        <v>2500</v>
      </c>
      <c r="O28" s="36">
        <f>VLOOKUP($A28,[16]HISTOAVRIL22!$A$6:$AU$39,7,0)</f>
        <v>0</v>
      </c>
      <c r="P28" s="36">
        <f>VLOOKUP($A28,[16]HISTOAVRIL22!$A$6:$AU$39,23,0)</f>
        <v>0</v>
      </c>
      <c r="Q28" s="36">
        <f>VLOOKUP($A28,[16]HISTOAVRIL22!$A$6:$AU$39,46,0)</f>
        <v>0</v>
      </c>
      <c r="R28" s="36">
        <f>VLOOKUP($A28,[16]HISTOAVRIL22!$A$6:$AU$39,26,0)</f>
        <v>0</v>
      </c>
      <c r="S28" s="36">
        <f>VLOOKUP($A28,[16]HISTOAVRIL22!$A$6:$BG$39,58,0)</f>
        <v>0</v>
      </c>
      <c r="T28" s="36">
        <f>VLOOKUP($A28,[16]HISTOAVRIL22!$A$6:$AU$39,28,0)</f>
        <v>0</v>
      </c>
      <c r="U28" s="36">
        <f>VLOOKUP($A28,[16]HISTOAVRIL22!$A$6:$AU$39,19,0)</f>
        <v>0</v>
      </c>
      <c r="V28" s="36">
        <f>VLOOKUP($A28,[16]HISTOAVRIL22!$A$6:$AU$39,20,0)</f>
        <v>0</v>
      </c>
      <c r="W28" s="36">
        <f>VLOOKUP($A28,[16]HISTOAVRIL22!$A$6:$AU$39,27,0)</f>
        <v>0</v>
      </c>
      <c r="X28" s="36">
        <f>VLOOKUP($A28,[16]HISTOAVRIL22!$A$6:$AU$39,33,0)</f>
        <v>0</v>
      </c>
      <c r="Y28" s="36">
        <f>VLOOKUP($A28,[16]HISTOAVRIL22!$A$6:$BP$39,65,0)</f>
        <v>0</v>
      </c>
      <c r="Z28" s="36"/>
      <c r="AA28" s="36">
        <f>VLOOKUP($A28,[16]HISTOAVRIL22!$A$6:$AU$39,43,0)</f>
        <v>0</v>
      </c>
      <c r="AB28" s="36">
        <f>VLOOKUP($A28,[16]HISTOAVRIL22!$A$6:$AU$39,44,0)</f>
        <v>0</v>
      </c>
      <c r="AC28" s="36">
        <f>VLOOKUP($A28,[16]HISTOAVRIL22!$A$6:$AU$39,47,0)</f>
        <v>0</v>
      </c>
      <c r="AD28" s="36">
        <f>VLOOKUP(A28,[16]HISTOAVRIL22!$A$6:$BB$36,54,0)</f>
        <v>0</v>
      </c>
      <c r="AE28" s="36">
        <f>VLOOKUP($A28,[16]HISTOAVRIL22!$A$6:$CA$36,60,0)</f>
        <v>0</v>
      </c>
      <c r="AF28" s="36">
        <f>VLOOKUP($A28,[16]HISTOAVRIL22!$A$6:$CA$36,61,0)</f>
        <v>0</v>
      </c>
      <c r="AG28" s="36">
        <f>VLOOKUP($A28,[16]HISTOAVRIL22!$A$6:$CA$36,62,0)</f>
        <v>0</v>
      </c>
      <c r="AH28" s="36">
        <f>VLOOKUP($A28,[16]HISTOAVRIL22!$A$6:$CA$36,63,0)</f>
        <v>0</v>
      </c>
      <c r="AI28" s="36">
        <f>VLOOKUP($A28,[16]HISTOAVRIL22!$A$6:$CA$36,64,0)</f>
        <v>0</v>
      </c>
      <c r="AJ28" s="36">
        <f>VLOOKUP($A28,[16]HISTOAVRIL22!$A$6:$CA$36,65,0)</f>
        <v>0</v>
      </c>
    </row>
    <row r="29" spans="1:36" x14ac:dyDescent="0.25">
      <c r="A29" s="1" t="s">
        <v>45</v>
      </c>
      <c r="B29" s="1" t="str">
        <f>VLOOKUP(A29,[15]LISTADHERENT!A$5:H$60,3,0)</f>
        <v>PATEGO NJOSSU GUSTAVE</v>
      </c>
      <c r="C29" s="5"/>
      <c r="D29" s="5"/>
      <c r="E29" s="36">
        <f>VLOOKUP($A29,[16]HISTOAVRIL22!$A$6:$BA$39,48,0)</f>
        <v>0</v>
      </c>
      <c r="F29" s="5">
        <f>MVTMARS22!F29-MVTAVRIL22!E29</f>
        <v>570000</v>
      </c>
      <c r="G29" s="6">
        <f t="shared" si="1"/>
        <v>0</v>
      </c>
      <c r="H29" s="6">
        <f>MVTMARS22!H29+MVTMARS22!G29+K29</f>
        <v>652482.8578881158</v>
      </c>
      <c r="I29" s="36">
        <f>VLOOKUP($A29,[16]HISTOAVRIL22!$A$6:$AQ$37,22,0)</f>
        <v>0</v>
      </c>
      <c r="J29" s="36">
        <f>VLOOKUP($A29,[16]HISTOAVRIL22!$A$6:$AU$39,45,0)</f>
        <v>7000</v>
      </c>
      <c r="K29" s="36">
        <f t="shared" si="2"/>
        <v>3000</v>
      </c>
      <c r="L29" s="36">
        <f t="shared" si="3"/>
        <v>500</v>
      </c>
      <c r="M29" s="36">
        <f t="shared" si="4"/>
        <v>1000</v>
      </c>
      <c r="N29" s="36">
        <f t="shared" si="5"/>
        <v>2500</v>
      </c>
      <c r="O29" s="36">
        <f>VLOOKUP($A29,[16]HISTOAVRIL22!$A$6:$AU$39,7,0)</f>
        <v>0</v>
      </c>
      <c r="P29" s="36">
        <f>VLOOKUP($A29,[16]HISTOAVRIL22!$A$6:$AU$39,23,0)</f>
        <v>0</v>
      </c>
      <c r="Q29" s="36">
        <f>VLOOKUP($A29,[16]HISTOAVRIL22!$A$6:$AU$39,46,0)</f>
        <v>0</v>
      </c>
      <c r="R29" s="36">
        <f>VLOOKUP($A29,[16]HISTOAVRIL22!$A$6:$AU$39,26,0)</f>
        <v>0</v>
      </c>
      <c r="S29" s="36">
        <f>VLOOKUP($A29,[16]HISTOAVRIL22!$A$6:$BG$39,58,0)</f>
        <v>0</v>
      </c>
      <c r="T29" s="36">
        <f>VLOOKUP($A29,[16]HISTOAVRIL22!$A$6:$AU$39,28,0)</f>
        <v>0</v>
      </c>
      <c r="U29" s="36">
        <f>VLOOKUP($A29,[16]HISTOAVRIL22!$A$6:$AU$39,19,0)</f>
        <v>0</v>
      </c>
      <c r="V29" s="36">
        <f>VLOOKUP($A29,[16]HISTOAVRIL22!$A$6:$AU$39,20,0)</f>
        <v>0</v>
      </c>
      <c r="W29" s="36">
        <f>VLOOKUP($A29,[16]HISTOAVRIL22!$A$6:$AU$39,27,0)</f>
        <v>0</v>
      </c>
      <c r="X29" s="36">
        <f>VLOOKUP($A29,[16]HISTOAVRIL22!$A$6:$AU$39,33,0)</f>
        <v>0</v>
      </c>
      <c r="Y29" s="36">
        <f>VLOOKUP($A29,[16]HISTOAVRIL22!$A$6:$BP$39,65,0)</f>
        <v>0</v>
      </c>
      <c r="Z29" s="36"/>
      <c r="AA29" s="36">
        <f>VLOOKUP($A29,[16]HISTOAVRIL22!$A$6:$AU$39,43,0)</f>
        <v>0</v>
      </c>
      <c r="AB29" s="36">
        <f>VLOOKUP($A29,[16]HISTOAVRIL22!$A$6:$AU$39,44,0)</f>
        <v>0</v>
      </c>
      <c r="AC29" s="36">
        <f>VLOOKUP($A29,[16]HISTOAVRIL22!$A$6:$AU$39,47,0)</f>
        <v>0</v>
      </c>
      <c r="AD29" s="36">
        <f>VLOOKUP(A29,[16]HISTOAVRIL22!$A$6:$BB$36,54,0)</f>
        <v>0</v>
      </c>
      <c r="AE29" s="36">
        <f>VLOOKUP($A29,[16]HISTOAVRIL22!$A$6:$CA$36,60,0)</f>
        <v>0</v>
      </c>
      <c r="AF29" s="36">
        <f>VLOOKUP($A29,[16]HISTOAVRIL22!$A$6:$CA$36,61,0)</f>
        <v>0</v>
      </c>
      <c r="AG29" s="36">
        <f>VLOOKUP($A29,[16]HISTOAVRIL22!$A$6:$CA$36,62,0)</f>
        <v>0</v>
      </c>
      <c r="AH29" s="36">
        <f>VLOOKUP($A29,[16]HISTOAVRIL22!$A$6:$CA$36,63,0)</f>
        <v>0</v>
      </c>
      <c r="AI29" s="36">
        <f>VLOOKUP($A29,[16]HISTOAVRIL22!$A$6:$CA$36,64,0)</f>
        <v>0</v>
      </c>
      <c r="AJ29" s="36">
        <f>VLOOKUP($A29,[16]HISTOAVRIL22!$A$6:$CA$36,65,0)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VLOOKUP($A30,[16]HISTOAVRIL22!$A$6:$BA$39,48,0)</f>
        <v>0</v>
      </c>
      <c r="F30" s="5">
        <f>MVTMARS22!F30-MVTAVRIL22!E30</f>
        <v>570000</v>
      </c>
      <c r="G30" s="6">
        <f t="shared" si="1"/>
        <v>0</v>
      </c>
      <c r="H30" s="6">
        <f>MVTMARS22!H30+MVTMARS22!G30+K30</f>
        <v>928535.03122005297</v>
      </c>
      <c r="I30" s="36">
        <f>VLOOKUP($A30,[16]HISTOAVRIL22!$A$6:$AQ$37,22,0)</f>
        <v>0</v>
      </c>
      <c r="J30" s="36">
        <f>VLOOKUP($A30,[16]HISTOAVRIL22!$A$6:$AU$39,45,0)</f>
        <v>7000</v>
      </c>
      <c r="K30" s="36">
        <f t="shared" si="2"/>
        <v>3000</v>
      </c>
      <c r="L30" s="36">
        <f t="shared" si="3"/>
        <v>500</v>
      </c>
      <c r="M30" s="36">
        <f t="shared" si="4"/>
        <v>1000</v>
      </c>
      <c r="N30" s="36">
        <f t="shared" si="5"/>
        <v>2500</v>
      </c>
      <c r="O30" s="36">
        <f>VLOOKUP($A30,[16]HISTOAVRIL22!$A$6:$AU$39,7,0)</f>
        <v>0</v>
      </c>
      <c r="P30" s="36">
        <f>VLOOKUP($A30,[16]HISTOAVRIL22!$A$6:$AU$39,23,0)</f>
        <v>0</v>
      </c>
      <c r="Q30" s="36">
        <f>VLOOKUP($A30,[16]HISTOAVRIL22!$A$6:$AU$39,46,0)</f>
        <v>0</v>
      </c>
      <c r="R30" s="36">
        <f>VLOOKUP($A30,[16]HISTOAVRIL22!$A$6:$AU$39,26,0)</f>
        <v>0</v>
      </c>
      <c r="S30" s="36">
        <f>VLOOKUP($A30,[16]HISTOAVRIL22!$A$6:$BG$39,58,0)</f>
        <v>0</v>
      </c>
      <c r="T30" s="36">
        <f>VLOOKUP($A30,[16]HISTOAVRIL22!$A$6:$AU$39,28,0)</f>
        <v>0</v>
      </c>
      <c r="U30" s="36">
        <f>VLOOKUP($A30,[16]HISTOAVRIL22!$A$6:$AU$39,19,0)</f>
        <v>0</v>
      </c>
      <c r="V30" s="36">
        <f>VLOOKUP($A30,[16]HISTOAVRIL22!$A$6:$AU$39,20,0)</f>
        <v>0</v>
      </c>
      <c r="W30" s="36">
        <f>VLOOKUP($A30,[16]HISTOAVRIL22!$A$6:$AU$39,27,0)</f>
        <v>0</v>
      </c>
      <c r="X30" s="36">
        <f>VLOOKUP($A30,[16]HISTOAVRIL22!$A$6:$AU$39,33,0)</f>
        <v>0</v>
      </c>
      <c r="Y30" s="36">
        <f>VLOOKUP($A30,[16]HISTOAVRIL22!$A$6:$BP$39,65,0)</f>
        <v>0</v>
      </c>
      <c r="Z30" s="36"/>
      <c r="AA30" s="36">
        <f>VLOOKUP($A30,[16]HISTOAVRIL22!$A$6:$AU$39,43,0)</f>
        <v>0</v>
      </c>
      <c r="AB30" s="36">
        <f>VLOOKUP($A30,[16]HISTOAVRIL22!$A$6:$AU$39,44,0)</f>
        <v>0</v>
      </c>
      <c r="AC30" s="36">
        <f>VLOOKUP($A30,[16]HISTOAVRIL22!$A$6:$AU$39,47,0)</f>
        <v>0</v>
      </c>
      <c r="AD30" s="36">
        <f>VLOOKUP(A30,[16]HISTOAVRIL22!$A$6:$BB$36,54,0)</f>
        <v>0</v>
      </c>
      <c r="AE30" s="36">
        <f>VLOOKUP($A30,[16]HISTOAVRIL22!$A$6:$CA$36,60,0)</f>
        <v>0</v>
      </c>
      <c r="AF30" s="36">
        <f>VLOOKUP($A30,[16]HISTOAVRIL22!$A$6:$CA$36,61,0)</f>
        <v>0</v>
      </c>
      <c r="AG30" s="36">
        <f>VLOOKUP($A30,[16]HISTOAVRIL22!$A$6:$CA$36,62,0)</f>
        <v>0</v>
      </c>
      <c r="AH30" s="36">
        <f>VLOOKUP($A30,[16]HISTOAVRIL22!$A$6:$CA$36,63,0)</f>
        <v>0</v>
      </c>
      <c r="AI30" s="36">
        <f>VLOOKUP($A30,[16]HISTOAVRIL22!$A$6:$CA$36,64,0)</f>
        <v>0</v>
      </c>
      <c r="AJ30" s="36">
        <f>VLOOKUP($A30,[16]HISTOAVRIL22!$A$6:$CA$36,65,0)</f>
        <v>0</v>
      </c>
    </row>
    <row r="31" spans="1:36" x14ac:dyDescent="0.25">
      <c r="A31" s="1" t="s">
        <v>47</v>
      </c>
      <c r="B31" s="1" t="str">
        <f>VLOOKUP(A31,[15]LISTADHERENT!A$5:H$60,3,0)</f>
        <v>SIMO FONGANG ERIC</v>
      </c>
      <c r="C31" s="5"/>
      <c r="D31" s="5"/>
      <c r="E31" s="36">
        <f>VLOOKUP($A31,[16]HISTOAVRIL22!$A$6:$BA$39,48,0)</f>
        <v>0</v>
      </c>
      <c r="F31" s="5">
        <f>MVTMARS22!F31-MVTAVRIL22!E31</f>
        <v>570000</v>
      </c>
      <c r="G31" s="6">
        <f t="shared" si="1"/>
        <v>0</v>
      </c>
      <c r="H31" s="6">
        <f>MVTMARS22!H31+MVTMARS22!G31+K31</f>
        <v>0</v>
      </c>
      <c r="I31" s="36">
        <f>VLOOKUP($A31,[16]HISTOAVRIL22!$A$6:$AQ$37,22,0)</f>
        <v>0</v>
      </c>
      <c r="J31" s="36">
        <f>VLOOKUP($A31,[16]HISTOAVRIL22!$A$6:$AU$39,45,0)</f>
        <v>0</v>
      </c>
      <c r="K31" s="36">
        <f t="shared" si="2"/>
        <v>0</v>
      </c>
      <c r="L31" s="36">
        <f t="shared" si="3"/>
        <v>0</v>
      </c>
      <c r="M31" s="36">
        <f t="shared" si="4"/>
        <v>0</v>
      </c>
      <c r="N31" s="36">
        <f t="shared" si="5"/>
        <v>0</v>
      </c>
      <c r="O31" s="36">
        <f>VLOOKUP($A31,[16]HISTOAVRIL22!$A$6:$AU$39,7,0)</f>
        <v>0</v>
      </c>
      <c r="P31" s="36">
        <f>VLOOKUP($A31,[16]HISTOAVRIL22!$A$6:$AU$39,23,0)</f>
        <v>0</v>
      </c>
      <c r="Q31" s="36">
        <f>VLOOKUP($A31,[16]HISTOAVRIL22!$A$6:$AU$39,46,0)</f>
        <v>0</v>
      </c>
      <c r="R31" s="36">
        <f>VLOOKUP($A31,[16]HISTOAVRIL22!$A$6:$AU$39,26,0)</f>
        <v>0</v>
      </c>
      <c r="S31" s="36">
        <f>VLOOKUP($A31,[16]HISTOAVRIL22!$A$6:$BG$39,58,0)</f>
        <v>0</v>
      </c>
      <c r="T31" s="36">
        <f>VLOOKUP($A31,[16]HISTOAVRIL22!$A$6:$AU$39,28,0)</f>
        <v>0</v>
      </c>
      <c r="U31" s="36">
        <f>VLOOKUP($A31,[16]HISTOAVRIL22!$A$6:$AU$39,19,0)</f>
        <v>0</v>
      </c>
      <c r="V31" s="36">
        <f>VLOOKUP($A31,[16]HISTOAVRIL22!$A$6:$AU$39,20,0)</f>
        <v>0</v>
      </c>
      <c r="W31" s="36">
        <f>VLOOKUP($A31,[16]HISTOAVRIL22!$A$6:$AU$39,27,0)</f>
        <v>0</v>
      </c>
      <c r="X31" s="36">
        <f>VLOOKUP($A31,[16]HISTOAVRIL22!$A$6:$AU$39,33,0)</f>
        <v>0</v>
      </c>
      <c r="Y31" s="36">
        <f>VLOOKUP($A31,[16]HISTOAVRIL22!$A$6:$BP$39,65,0)</f>
        <v>0</v>
      </c>
      <c r="Z31" s="36"/>
      <c r="AA31" s="36">
        <f>VLOOKUP($A31,[16]HISTOAVRIL22!$A$6:$AU$39,43,0)</f>
        <v>0</v>
      </c>
      <c r="AB31" s="36">
        <f>VLOOKUP($A31,[16]HISTOAVRIL22!$A$6:$AU$39,44,0)</f>
        <v>0</v>
      </c>
      <c r="AC31" s="36">
        <f>VLOOKUP($A31,[16]HISTOAVRIL22!$A$6:$AU$39,47,0)</f>
        <v>0</v>
      </c>
      <c r="AD31" s="36">
        <f>VLOOKUP(A31,[16]HISTOAVRIL22!$A$6:$BB$36,54,0)</f>
        <v>0</v>
      </c>
      <c r="AE31" s="36">
        <f>VLOOKUP($A31,[16]HISTOAVRIL22!$A$6:$CA$36,60,0)</f>
        <v>0</v>
      </c>
      <c r="AF31" s="36">
        <f>VLOOKUP($A31,[16]HISTOAVRIL22!$A$6:$CA$36,61,0)</f>
        <v>0</v>
      </c>
      <c r="AG31" s="36">
        <f>VLOOKUP($A31,[16]HISTOAVRIL22!$A$6:$CA$36,62,0)</f>
        <v>0</v>
      </c>
      <c r="AH31" s="36">
        <f>VLOOKUP($A31,[16]HISTOAVRIL22!$A$6:$CA$36,63,0)</f>
        <v>0</v>
      </c>
      <c r="AI31" s="36">
        <f>VLOOKUP($A31,[16]HISTOAVRIL22!$A$6:$CA$36,64,0)</f>
        <v>0</v>
      </c>
      <c r="AJ31" s="36">
        <f>VLOOKUP($A31,[16]HISTOAVRIL22!$A$6:$CA$36,65,0)</f>
        <v>0</v>
      </c>
    </row>
    <row r="32" spans="1:36" x14ac:dyDescent="0.25">
      <c r="A32" s="1" t="s">
        <v>49</v>
      </c>
      <c r="B32" s="1" t="str">
        <f>VLOOKUP(A32,[15]LISTADHERENT!A$5:H$60,3,0)</f>
        <v>SIMO PIERRE</v>
      </c>
      <c r="C32" s="5"/>
      <c r="D32" s="5"/>
      <c r="E32" s="36">
        <f>VLOOKUP($A32,[16]HISTOAVRIL22!$A$6:$BA$39,48,0)</f>
        <v>0</v>
      </c>
      <c r="F32" s="5">
        <f>MVTMARS22!F32-MVTAVRIL22!E32</f>
        <v>570000</v>
      </c>
      <c r="G32" s="6">
        <f t="shared" si="1"/>
        <v>0</v>
      </c>
      <c r="H32" s="6">
        <f>MVTMARS22!H32+MVTMARS22!G32+K32</f>
        <v>764929.03110068408</v>
      </c>
      <c r="I32" s="36">
        <f>VLOOKUP($A32,[16]HISTOAVRIL22!$A$6:$AQ$37,22,0)</f>
        <v>0</v>
      </c>
      <c r="J32" s="36">
        <f>VLOOKUP($A32,[16]HISTOAVRIL22!$A$6:$AU$39,45,0)</f>
        <v>14500</v>
      </c>
      <c r="K32" s="36">
        <f t="shared" si="2"/>
        <v>10500</v>
      </c>
      <c r="L32" s="36">
        <f t="shared" si="3"/>
        <v>500</v>
      </c>
      <c r="M32" s="36">
        <f t="shared" si="4"/>
        <v>1000</v>
      </c>
      <c r="N32" s="36">
        <f t="shared" si="5"/>
        <v>2500</v>
      </c>
      <c r="O32" s="36">
        <f>VLOOKUP($A32,[16]HISTOAVRIL22!$A$6:$AU$39,7,0)</f>
        <v>0</v>
      </c>
      <c r="P32" s="36">
        <f>VLOOKUP($A32,[16]HISTOAVRIL22!$A$6:$AU$39,23,0)</f>
        <v>0</v>
      </c>
      <c r="Q32" s="36">
        <f>VLOOKUP($A32,[16]HISTOAVRIL22!$A$6:$AU$39,46,0)</f>
        <v>0</v>
      </c>
      <c r="R32" s="36">
        <f>VLOOKUP($A32,[16]HISTOAVRIL22!$A$6:$AU$39,26,0)</f>
        <v>0</v>
      </c>
      <c r="S32" s="36">
        <f>VLOOKUP($A32,[16]HISTOAVRIL22!$A$6:$BG$39,58,0)</f>
        <v>0</v>
      </c>
      <c r="T32" s="36">
        <f>VLOOKUP($A32,[16]HISTOAVRIL22!$A$6:$AU$39,28,0)</f>
        <v>0</v>
      </c>
      <c r="U32" s="36">
        <f>VLOOKUP($A32,[16]HISTOAVRIL22!$A$6:$AU$39,19,0)</f>
        <v>100000</v>
      </c>
      <c r="V32" s="36" t="str">
        <f>VLOOKUP($A32,[16]HISTOAVRIL22!$A$6:$AU$39,20,0)</f>
        <v>BANQUE</v>
      </c>
      <c r="W32" s="36">
        <f>VLOOKUP($A32,[16]HISTOAVRIL22!$A$6:$AU$39,27,0)</f>
        <v>0</v>
      </c>
      <c r="X32" s="36">
        <f>VLOOKUP($A32,[16]HISTOAVRIL22!$A$6:$AU$39,33,0)</f>
        <v>0</v>
      </c>
      <c r="Y32" s="36">
        <f>VLOOKUP($A32,[16]HISTOAVRIL22!$A$6:$BP$39,65,0)</f>
        <v>0</v>
      </c>
      <c r="Z32" s="36"/>
      <c r="AA32" s="36">
        <f>VLOOKUP($A32,[16]HISTOAVRIL22!$A$6:$AU$39,43,0)</f>
        <v>0</v>
      </c>
      <c r="AB32" s="36">
        <f>VLOOKUP($A32,[16]HISTOAVRIL22!$A$6:$AU$39,44,0)</f>
        <v>0</v>
      </c>
      <c r="AC32" s="36">
        <f>VLOOKUP($A32,[16]HISTOAVRIL22!$A$6:$AU$39,47,0)</f>
        <v>0</v>
      </c>
      <c r="AD32" s="36">
        <f>VLOOKUP(A32,[16]HISTOAVRIL22!$A$6:$BB$36,54,0)</f>
        <v>0</v>
      </c>
      <c r="AE32" s="36">
        <f>VLOOKUP($A32,[16]HISTOAVRIL22!$A$6:$CA$36,60,0)</f>
        <v>0</v>
      </c>
      <c r="AF32" s="36">
        <f>VLOOKUP($A32,[16]HISTOAVRIL22!$A$6:$CA$36,61,0)</f>
        <v>0</v>
      </c>
      <c r="AG32" s="36">
        <f>VLOOKUP($A32,[16]HISTOAVRIL22!$A$6:$CA$36,62,0)</f>
        <v>0</v>
      </c>
      <c r="AH32" s="36">
        <f>VLOOKUP($A32,[16]HISTOAVRIL22!$A$6:$CA$36,63,0)</f>
        <v>0</v>
      </c>
      <c r="AI32" s="36">
        <f>VLOOKUP($A32,[16]HISTOAVRIL22!$A$6:$CA$36,64,0)</f>
        <v>0</v>
      </c>
      <c r="AJ32" s="36">
        <f>VLOOKUP($A32,[16]HISTOAVRIL22!$A$6:$CA$36,65,0)</f>
        <v>0</v>
      </c>
    </row>
    <row r="33" spans="1:36" x14ac:dyDescent="0.25">
      <c r="A33" s="1" t="s">
        <v>51</v>
      </c>
      <c r="B33" s="1" t="str">
        <f>VLOOKUP(A33,[15]LISTADHERENT!A$5:H$60,3,0)</f>
        <v>TCHOUAMOU MATHIEU</v>
      </c>
      <c r="C33" s="5"/>
      <c r="D33" s="5"/>
      <c r="E33" s="36">
        <f>VLOOKUP($A33,[16]HISTOAVRIL22!$A$6:$BA$39,48,0)</f>
        <v>0</v>
      </c>
      <c r="F33" s="5">
        <f>MVTMARS22!F33-MVTAVRIL22!E33</f>
        <v>570000</v>
      </c>
      <c r="G33" s="6">
        <f t="shared" si="1"/>
        <v>0</v>
      </c>
      <c r="H33" s="6">
        <f>MVTMARS22!H33+MVTMARS22!G33+K33</f>
        <v>635624.48015227087</v>
      </c>
      <c r="I33" s="36">
        <f>VLOOKUP($A33,[16]HISTOAVRIL22!$A$6:$AQ$37,22,0)</f>
        <v>0</v>
      </c>
      <c r="J33" s="36">
        <f>VLOOKUP($A33,[16]HISTOAVRIL22!$A$6:$AU$39,45,0)</f>
        <v>7000</v>
      </c>
      <c r="K33" s="36">
        <f t="shared" si="2"/>
        <v>3000</v>
      </c>
      <c r="L33" s="36">
        <f t="shared" si="3"/>
        <v>500</v>
      </c>
      <c r="M33" s="36">
        <f t="shared" si="4"/>
        <v>1000</v>
      </c>
      <c r="N33" s="36">
        <f t="shared" si="5"/>
        <v>2500</v>
      </c>
      <c r="O33" s="36">
        <f>VLOOKUP($A33,[16]HISTOAVRIL22!$A$6:$AU$39,7,0)</f>
        <v>0</v>
      </c>
      <c r="P33" s="36">
        <f>VLOOKUP($A33,[16]HISTOAVRIL22!$A$6:$AU$39,23,0)</f>
        <v>0</v>
      </c>
      <c r="Q33" s="36">
        <f>VLOOKUP($A33,[16]HISTOAVRIL22!$A$6:$AU$39,46,0)</f>
        <v>0</v>
      </c>
      <c r="R33" s="36">
        <f>VLOOKUP($A33,[16]HISTOAVRIL22!$A$6:$AU$39,26,0)</f>
        <v>0</v>
      </c>
      <c r="S33" s="36">
        <f>VLOOKUP($A33,[16]HISTOAVRIL22!$A$6:$BG$39,58,0)</f>
        <v>0</v>
      </c>
      <c r="T33" s="36">
        <f>VLOOKUP($A33,[16]HISTOAVRIL22!$A$6:$AU$39,28,0)</f>
        <v>0</v>
      </c>
      <c r="U33" s="36">
        <f>VLOOKUP($A33,[16]HISTOAVRIL22!$A$6:$AU$39,19,0)</f>
        <v>0</v>
      </c>
      <c r="V33" s="36">
        <f>VLOOKUP($A33,[16]HISTOAVRIL22!$A$6:$AU$39,20,0)</f>
        <v>0</v>
      </c>
      <c r="W33" s="36">
        <f>VLOOKUP($A33,[16]HISTOAVRIL22!$A$6:$AU$39,27,0)</f>
        <v>0</v>
      </c>
      <c r="X33" s="36">
        <f>VLOOKUP($A33,[16]HISTOAVRIL22!$A$6:$AU$39,33,0)</f>
        <v>0</v>
      </c>
      <c r="Y33" s="36">
        <f>VLOOKUP($A33,[16]HISTOAVRIL22!$A$6:$BP$39,65,0)</f>
        <v>0</v>
      </c>
      <c r="Z33" s="36"/>
      <c r="AA33" s="36">
        <f>VLOOKUP($A33,[16]HISTOAVRIL22!$A$6:$AU$39,43,0)</f>
        <v>0</v>
      </c>
      <c r="AB33" s="36">
        <f>VLOOKUP($A33,[16]HISTOAVRIL22!$A$6:$AU$39,44,0)</f>
        <v>0</v>
      </c>
      <c r="AC33" s="36">
        <f>VLOOKUP($A33,[16]HISTOAVRIL22!$A$6:$AU$39,47,0)</f>
        <v>0</v>
      </c>
      <c r="AD33" s="36">
        <f>VLOOKUP(A33,[16]HISTOAVRIL22!$A$6:$BB$36,54,0)</f>
        <v>0</v>
      </c>
      <c r="AE33" s="36">
        <f>VLOOKUP($A33,[16]HISTOAVRIL22!$A$6:$CA$36,60,0)</f>
        <v>0</v>
      </c>
      <c r="AF33" s="36">
        <f>VLOOKUP($A33,[16]HISTOAVRIL22!$A$6:$CA$36,61,0)</f>
        <v>0</v>
      </c>
      <c r="AG33" s="36">
        <f>VLOOKUP($A33,[16]HISTOAVRIL22!$A$6:$CA$36,62,0)</f>
        <v>0</v>
      </c>
      <c r="AH33" s="36">
        <f>VLOOKUP($A33,[16]HISTOAVRIL22!$A$6:$CA$36,63,0)</f>
        <v>0</v>
      </c>
      <c r="AI33" s="36">
        <f>VLOOKUP($A33,[16]HISTOAVRIL22!$A$6:$CA$36,64,0)</f>
        <v>0</v>
      </c>
      <c r="AJ33" s="36">
        <f>VLOOKUP($A33,[16]HISTOAVRIL22!$A$6:$CA$36,65,0)</f>
        <v>0</v>
      </c>
    </row>
    <row r="34" spans="1:36" x14ac:dyDescent="0.25">
      <c r="A34" s="1" t="s">
        <v>54</v>
      </c>
      <c r="B34" s="1" t="str">
        <f>VLOOKUP(A34,[15]LISTADHERENT!A$5:H$60,3,0)</f>
        <v>TIEYAM ERNEST</v>
      </c>
      <c r="C34" s="5"/>
      <c r="D34" s="5"/>
      <c r="E34" s="36">
        <f>VLOOKUP($A34,[16]HISTOAVRIL22!$A$6:$BA$39,48,0)</f>
        <v>0</v>
      </c>
      <c r="F34" s="5">
        <f>MVTMARS22!F34-MVTAVRIL22!E34</f>
        <v>535508.27831700875</v>
      </c>
      <c r="G34" s="6">
        <f t="shared" si="1"/>
        <v>0</v>
      </c>
      <c r="H34" s="6">
        <f>MVTMARS22!H34+MVTMARS22!G34+K34</f>
        <v>0</v>
      </c>
      <c r="I34" s="36">
        <f>VLOOKUP($A34,[16]HISTOAVRIL22!$A$6:$AQ$37,22,0)</f>
        <v>0</v>
      </c>
      <c r="J34" s="36">
        <f>VLOOKUP($A34,[16]HISTOAVRIL22!$A$6:$AU$39,45,0)</f>
        <v>0</v>
      </c>
      <c r="K34" s="36">
        <f t="shared" si="2"/>
        <v>0</v>
      </c>
      <c r="L34" s="36">
        <f t="shared" si="3"/>
        <v>0</v>
      </c>
      <c r="M34" s="36">
        <f t="shared" si="4"/>
        <v>0</v>
      </c>
      <c r="N34" s="36">
        <f t="shared" si="5"/>
        <v>0</v>
      </c>
      <c r="O34" s="36">
        <f>VLOOKUP($A34,[16]HISTOAVRIL22!$A$6:$AU$39,7,0)</f>
        <v>0</v>
      </c>
      <c r="P34" s="36">
        <f>VLOOKUP($A34,[16]HISTOAVRIL22!$A$6:$AU$39,23,0)</f>
        <v>0</v>
      </c>
      <c r="Q34" s="36">
        <f>VLOOKUP($A34,[16]HISTOAVRIL22!$A$6:$AU$39,46,0)</f>
        <v>0</v>
      </c>
      <c r="R34" s="36">
        <f>VLOOKUP($A34,[16]HISTOAVRIL22!$A$6:$AU$39,26,0)</f>
        <v>0</v>
      </c>
      <c r="S34" s="36">
        <f>VLOOKUP($A34,[16]HISTOAVRIL22!$A$6:$BG$39,58,0)</f>
        <v>0</v>
      </c>
      <c r="T34" s="36">
        <f>VLOOKUP($A34,[16]HISTOAVRIL22!$A$6:$AU$39,28,0)</f>
        <v>0</v>
      </c>
      <c r="U34" s="36">
        <f>VLOOKUP($A34,[16]HISTOAVRIL22!$A$6:$AU$39,19,0)</f>
        <v>0</v>
      </c>
      <c r="V34" s="36">
        <f>VLOOKUP($A34,[16]HISTOAVRIL22!$A$6:$AU$39,20,0)</f>
        <v>0</v>
      </c>
      <c r="W34" s="36">
        <f>VLOOKUP($A34,[16]HISTOAVRIL22!$A$6:$AU$39,27,0)</f>
        <v>0</v>
      </c>
      <c r="X34" s="36">
        <f>VLOOKUP($A34,[16]HISTOAVRIL22!$A$6:$AU$39,33,0)</f>
        <v>0</v>
      </c>
      <c r="Y34" s="36">
        <f>VLOOKUP($A34,[16]HISTOAVRIL22!$A$6:$BP$39,65,0)</f>
        <v>0</v>
      </c>
      <c r="Z34" s="36"/>
      <c r="AA34" s="36">
        <f>VLOOKUP($A34,[16]HISTOAVRIL22!$A$6:$AU$39,43,0)</f>
        <v>0</v>
      </c>
      <c r="AB34" s="36">
        <f>VLOOKUP($A34,[16]HISTOAVRIL22!$A$6:$AU$39,44,0)</f>
        <v>0</v>
      </c>
      <c r="AC34" s="36">
        <f>VLOOKUP($A34,[16]HISTOAVRIL22!$A$6:$AU$39,47,0)</f>
        <v>0</v>
      </c>
      <c r="AD34" s="36">
        <f>VLOOKUP(A34,[16]HISTOAVRIL22!$A$6:$BB$36,54,0)</f>
        <v>0</v>
      </c>
      <c r="AE34" s="36">
        <f>VLOOKUP($A34,[16]HISTOAVRIL22!$A$6:$CA$36,60,0)</f>
        <v>0</v>
      </c>
      <c r="AF34" s="36">
        <f>VLOOKUP($A34,[16]HISTOAVRIL22!$A$6:$CA$36,61,0)</f>
        <v>0</v>
      </c>
      <c r="AG34" s="36">
        <f>VLOOKUP($A34,[16]HISTOAVRIL22!$A$6:$CA$36,62,0)</f>
        <v>0</v>
      </c>
      <c r="AH34" s="36">
        <f>VLOOKUP($A34,[16]HISTOAVRIL22!$A$6:$CA$36,63,0)</f>
        <v>0</v>
      </c>
      <c r="AI34" s="36">
        <f>VLOOKUP($A34,[16]HISTOAVRIL22!$A$6:$CA$36,64,0)</f>
        <v>0</v>
      </c>
      <c r="AJ34" s="36">
        <f>VLOOKUP($A34,[16]HISTOAVRIL22!$A$6:$CA$36,65,0)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VLOOKUP($A35,[16]HISTOAVRIL22!$A$6:$BA$39,48,0)</f>
        <v>0</v>
      </c>
      <c r="F35" s="5">
        <f>MVTMARS22!F35-MVTAVRIL22!E35</f>
        <v>570000</v>
      </c>
      <c r="G35" s="6">
        <f t="shared" si="1"/>
        <v>0</v>
      </c>
      <c r="H35" s="6">
        <f>MVTMARS22!H35+MVTMARS22!G35+K35</f>
        <v>1506212.8916628745</v>
      </c>
      <c r="I35" s="36">
        <f>VLOOKUP($A35,[16]HISTOAVRIL22!$A$6:$AQ$37,22,0)</f>
        <v>0</v>
      </c>
      <c r="J35" s="36">
        <f>VLOOKUP($A35,[16]HISTOAVRIL22!$A$6:$AU$39,45,0)</f>
        <v>7000</v>
      </c>
      <c r="K35" s="36">
        <f t="shared" si="2"/>
        <v>3000</v>
      </c>
      <c r="L35" s="36">
        <f t="shared" si="3"/>
        <v>500</v>
      </c>
      <c r="M35" s="36">
        <f t="shared" si="4"/>
        <v>1000</v>
      </c>
      <c r="N35" s="36">
        <f t="shared" si="5"/>
        <v>2500</v>
      </c>
      <c r="O35" s="36">
        <f>VLOOKUP($A35,[16]HISTOAVRIL22!$A$6:$AU$39,7,0)</f>
        <v>3000</v>
      </c>
      <c r="P35" s="36">
        <f>VLOOKUP($A35,[16]HISTOAVRIL22!$A$6:$AU$39,23,0)</f>
        <v>0</v>
      </c>
      <c r="Q35" s="36">
        <f>VLOOKUP($A35,[16]HISTOAVRIL22!$A$6:$AU$39,46,0)</f>
        <v>0</v>
      </c>
      <c r="R35" s="36">
        <f>VLOOKUP($A35,[16]HISTOAVRIL22!$A$6:$AU$39,26,0)</f>
        <v>0</v>
      </c>
      <c r="S35" s="36">
        <f>VLOOKUP($A35,[16]HISTOAVRIL22!$A$6:$BG$39,58,0)</f>
        <v>0</v>
      </c>
      <c r="T35" s="36">
        <f>VLOOKUP($A35,[16]HISTOAVRIL22!$A$6:$AU$39,28,0)</f>
        <v>0</v>
      </c>
      <c r="U35" s="36">
        <f>VLOOKUP($A35,[16]HISTOAVRIL22!$A$6:$AU$39,19,0)</f>
        <v>0</v>
      </c>
      <c r="V35" s="36">
        <f>VLOOKUP($A35,[16]HISTOAVRIL22!$A$6:$AU$39,20,0)</f>
        <v>0</v>
      </c>
      <c r="W35" s="36">
        <f>VLOOKUP($A35,[16]HISTOAVRIL22!$A$6:$AU$39,27,0)</f>
        <v>0</v>
      </c>
      <c r="X35" s="36">
        <f>VLOOKUP($A35,[16]HISTOAVRIL22!$A$6:$AU$39,33,0)</f>
        <v>0</v>
      </c>
      <c r="Y35" s="36">
        <f>VLOOKUP($A35,[16]HISTOAVRIL22!$A$6:$BP$39,65,0)</f>
        <v>0</v>
      </c>
      <c r="Z35" s="36"/>
      <c r="AA35" s="36">
        <f>VLOOKUP($A35,[16]HISTOAVRIL22!$A$6:$AU$39,43,0)</f>
        <v>0</v>
      </c>
      <c r="AB35" s="36">
        <f>VLOOKUP($A35,[16]HISTOAVRIL22!$A$6:$AU$39,44,0)</f>
        <v>0</v>
      </c>
      <c r="AC35" s="36">
        <f>VLOOKUP($A35,[16]HISTOAVRIL22!$A$6:$AU$39,47,0)</f>
        <v>0</v>
      </c>
      <c r="AD35" s="36">
        <f>VLOOKUP(A35,[16]HISTOAVRIL22!$A$6:$BB$36,54,0)</f>
        <v>0</v>
      </c>
      <c r="AE35" s="36">
        <f>VLOOKUP($A35,[16]HISTOAVRIL22!$A$6:$CA$36,60,0)</f>
        <v>0</v>
      </c>
      <c r="AF35" s="36">
        <f>VLOOKUP($A35,[16]HISTOAVRIL22!$A$6:$CA$36,61,0)</f>
        <v>0</v>
      </c>
      <c r="AG35" s="36">
        <f>VLOOKUP($A35,[16]HISTOAVRIL22!$A$6:$CA$36,62,0)</f>
        <v>0</v>
      </c>
      <c r="AH35" s="36">
        <f>VLOOKUP($A35,[16]HISTOAVRIL22!$A$6:$CA$36,63,0)</f>
        <v>0</v>
      </c>
      <c r="AI35" s="36">
        <f>VLOOKUP($A35,[16]HISTOAVRIL22!$A$6:$CA$36,64,0)</f>
        <v>0</v>
      </c>
      <c r="AJ35" s="36">
        <f>VLOOKUP($A35,[16]HISTOAVRIL22!$A$6:$CA$36,65,0)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VLOOKUP($A36,[16]HISTOAVRIL22!$A$6:$BA$39,48,0)</f>
        <v>0</v>
      </c>
      <c r="F36" s="5">
        <f>MVTMARS22!F36-MVTAVRIL22!E36</f>
        <v>570000</v>
      </c>
      <c r="G36" s="6">
        <f t="shared" si="1"/>
        <v>0</v>
      </c>
      <c r="H36" s="6">
        <f>MVTMARS22!H36+MVTMARS22!G36+K36</f>
        <v>1616721.7652759962</v>
      </c>
      <c r="I36" s="36">
        <f>VLOOKUP($A36,[16]HISTOAVRIL22!$A$6:$AQ$37,22,0)</f>
        <v>0</v>
      </c>
      <c r="J36" s="36">
        <f>VLOOKUP($A36,[16]HISTOAVRIL22!$A$6:$AU$39,45,0)</f>
        <v>7000</v>
      </c>
      <c r="K36" s="36">
        <f t="shared" si="2"/>
        <v>3000</v>
      </c>
      <c r="L36" s="36">
        <f t="shared" si="3"/>
        <v>500</v>
      </c>
      <c r="M36" s="36">
        <f t="shared" si="4"/>
        <v>1000</v>
      </c>
      <c r="N36" s="36">
        <f t="shared" si="5"/>
        <v>2500</v>
      </c>
      <c r="O36" s="36">
        <f>VLOOKUP($A36,[16]HISTOAVRIL22!$A$6:$AU$39,7,0)</f>
        <v>0</v>
      </c>
      <c r="P36" s="36">
        <f>VLOOKUP($A36,[16]HISTOAVRIL22!$A$6:$AU$39,23,0)</f>
        <v>0</v>
      </c>
      <c r="Q36" s="36">
        <f>VLOOKUP($A36,[16]HISTOAVRIL22!$A$6:$AU$39,46,0)</f>
        <v>0</v>
      </c>
      <c r="R36" s="36">
        <f>VLOOKUP($A36,[16]HISTOAVRIL22!$A$6:$AU$39,26,0)</f>
        <v>0</v>
      </c>
      <c r="S36" s="36">
        <f>VLOOKUP($A36,[16]HISTOAVRIL22!$A$6:$BG$39,58,0)</f>
        <v>0</v>
      </c>
      <c r="T36" s="36">
        <f>VLOOKUP($A36,[16]HISTOAVRIL22!$A$6:$AU$39,28,0)</f>
        <v>0</v>
      </c>
      <c r="U36" s="36">
        <f>VLOOKUP($A36,[16]HISTOAVRIL22!$A$6:$AU$39,19,0)</f>
        <v>0</v>
      </c>
      <c r="V36" s="36">
        <f>VLOOKUP($A36,[16]HISTOAVRIL22!$A$6:$AU$39,20,0)</f>
        <v>0</v>
      </c>
      <c r="W36" s="36">
        <f>VLOOKUP($A36,[16]HISTOAVRIL22!$A$6:$AU$39,27,0)</f>
        <v>0</v>
      </c>
      <c r="X36" s="36">
        <f>VLOOKUP($A36,[16]HISTOAVRIL22!$A$6:$AU$39,33,0)</f>
        <v>0</v>
      </c>
      <c r="Y36" s="36">
        <f>VLOOKUP($A36,[16]HISTOAVRIL22!$A$6:$BP$39,65,0)</f>
        <v>0</v>
      </c>
      <c r="Z36" s="36"/>
      <c r="AA36" s="36">
        <f>VLOOKUP($A36,[16]HISTOAVRIL22!$A$6:$AU$39,43,0)</f>
        <v>0</v>
      </c>
      <c r="AB36" s="36">
        <f>VLOOKUP($A36,[16]HISTOAVRIL22!$A$6:$AU$39,44,0)</f>
        <v>0</v>
      </c>
      <c r="AC36" s="36">
        <f>VLOOKUP($A36,[16]HISTOAVRIL22!$A$6:$AU$39,47,0)</f>
        <v>0</v>
      </c>
      <c r="AD36" s="36">
        <f>VLOOKUP(A36,[16]HISTOAVRIL22!$A$6:$BB$36,54,0)</f>
        <v>0</v>
      </c>
      <c r="AE36" s="36">
        <f>VLOOKUP($A36,[16]HISTOAVRIL22!$A$6:$CA$36,60,0)</f>
        <v>0</v>
      </c>
      <c r="AF36" s="36">
        <f>VLOOKUP($A36,[16]HISTOAVRIL22!$A$6:$CA$36,61,0)</f>
        <v>0</v>
      </c>
      <c r="AG36" s="36">
        <f>VLOOKUP($A36,[16]HISTOAVRIL22!$A$6:$CA$36,62,0)</f>
        <v>0</v>
      </c>
      <c r="AH36" s="36">
        <f>VLOOKUP($A36,[16]HISTOAVRIL22!$A$6:$CA$36,63,0)</f>
        <v>0</v>
      </c>
      <c r="AI36" s="36">
        <f>VLOOKUP($A36,[16]HISTOAVRIL22!$A$6:$CA$36,64,0)</f>
        <v>0</v>
      </c>
      <c r="AJ36" s="36">
        <f>VLOOKUP($A36,[16]HISTOAVRIL22!$A$6:$CA$36,65,0)</f>
        <v>0</v>
      </c>
    </row>
    <row r="37" spans="1:36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H40" si="6">SUM(C6:C39)</f>
        <v>0</v>
      </c>
      <c r="D40" s="9">
        <f t="shared" si="6"/>
        <v>0</v>
      </c>
      <c r="E40" s="9">
        <f t="shared" si="6"/>
        <v>0</v>
      </c>
      <c r="F40" s="9">
        <f t="shared" si="6"/>
        <v>17584659.561375875</v>
      </c>
      <c r="G40" s="9">
        <f t="shared" si="6"/>
        <v>0</v>
      </c>
      <c r="H40" s="9">
        <f t="shared" si="6"/>
        <v>20487708.148341149</v>
      </c>
      <c r="I40" s="9">
        <f t="shared" si="6"/>
        <v>0</v>
      </c>
      <c r="J40" s="9">
        <f t="shared" si="6"/>
        <v>281000</v>
      </c>
      <c r="K40" s="9">
        <f t="shared" si="6"/>
        <v>177000</v>
      </c>
      <c r="L40" s="9">
        <f t="shared" si="6"/>
        <v>13000</v>
      </c>
      <c r="M40" s="9">
        <f t="shared" si="6"/>
        <v>26000</v>
      </c>
      <c r="N40" s="9">
        <f t="shared" si="6"/>
        <v>65000</v>
      </c>
      <c r="O40" s="9">
        <f t="shared" si="6"/>
        <v>12000</v>
      </c>
      <c r="P40" s="9">
        <f t="shared" si="6"/>
        <v>0</v>
      </c>
      <c r="Q40" s="9">
        <f t="shared" si="6"/>
        <v>0</v>
      </c>
      <c r="R40" s="9">
        <f t="shared" si="6"/>
        <v>0</v>
      </c>
      <c r="S40" s="9">
        <f>SUM(S6:S39)+AI40</f>
        <v>0</v>
      </c>
      <c r="T40" s="9">
        <f t="shared" si="6"/>
        <v>0</v>
      </c>
      <c r="U40" s="9">
        <f t="shared" si="6"/>
        <v>100000</v>
      </c>
      <c r="V40" s="9">
        <f t="shared" si="6"/>
        <v>0</v>
      </c>
      <c r="W40" s="9">
        <f t="shared" si="6"/>
        <v>0</v>
      </c>
      <c r="X40" s="9">
        <f t="shared" si="6"/>
        <v>0</v>
      </c>
      <c r="Y40" s="9">
        <f t="shared" si="6"/>
        <v>0</v>
      </c>
      <c r="Z40" s="9">
        <f t="shared" si="6"/>
        <v>0</v>
      </c>
      <c r="AA40" s="9">
        <f t="shared" si="6"/>
        <v>0</v>
      </c>
      <c r="AB40" s="9">
        <f t="shared" si="6"/>
        <v>0</v>
      </c>
      <c r="AC40" s="9">
        <f t="shared" si="6"/>
        <v>0</v>
      </c>
      <c r="AD40" s="9">
        <f t="shared" si="6"/>
        <v>70000</v>
      </c>
      <c r="AE40" s="9">
        <f t="shared" si="6"/>
        <v>28500</v>
      </c>
      <c r="AF40" s="9">
        <f t="shared" si="6"/>
        <v>0</v>
      </c>
      <c r="AG40" s="9">
        <f t="shared" si="6"/>
        <v>0</v>
      </c>
      <c r="AH40" s="9">
        <f t="shared" si="6"/>
        <v>70000</v>
      </c>
      <c r="AI40" s="9">
        <f>SUM(AI6:AI39)</f>
        <v>0</v>
      </c>
      <c r="AJ40" s="9">
        <f>SUM(AJ6:AJ39)</f>
        <v>0</v>
      </c>
    </row>
  </sheetData>
  <autoFilter ref="A5:U36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"/>
  <sheetViews>
    <sheetView workbookViewId="0">
      <pane xSplit="2" ySplit="5" topLeftCell="L34" activePane="bottomRight" state="frozen"/>
      <selection activeCell="B43" sqref="B43"/>
      <selection pane="topRight" activeCell="B43" sqref="B43"/>
      <selection pane="bottomLeft" activeCell="B43" sqref="B43"/>
      <selection pane="bottomRight" activeCell="S40" sqref="S40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5" bestFit="1" customWidth="1"/>
    <col min="19" max="19" width="15" customWidth="1"/>
    <col min="20" max="21" width="18.140625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04"/>
      <c r="J4" s="146">
        <v>44698</v>
      </c>
      <c r="K4" s="146"/>
      <c r="L4" s="146"/>
      <c r="M4" s="146"/>
      <c r="N4" s="146"/>
      <c r="O4" s="146"/>
      <c r="P4"/>
      <c r="Q4"/>
      <c r="AJ4" s="108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84" t="s">
        <v>10</v>
      </c>
      <c r="AF5" s="84" t="s">
        <v>11</v>
      </c>
      <c r="AG5" s="84" t="s">
        <v>307</v>
      </c>
      <c r="AH5" s="84" t="s">
        <v>273</v>
      </c>
      <c r="AI5" s="4" t="s">
        <v>65</v>
      </c>
      <c r="AJ5" s="84" t="s">
        <v>278</v>
      </c>
    </row>
    <row r="6" spans="1:36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MVTAVRIL22!F6-MVTMAI22!E6</f>
        <v>584177.00555049011</v>
      </c>
      <c r="G6" s="6">
        <f t="shared" ref="G6" si="0">$S$40/$H$40*H6</f>
        <v>0</v>
      </c>
      <c r="H6" s="6">
        <f>MVTAVRIL22!H6+MVTAVRIL22!G6+K6</f>
        <v>631893.27504133491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VLOOKUP($A6,[16]HISTOMAI22!$A$6:$CA$36,60,0)</f>
        <v>22000</v>
      </c>
      <c r="AF6" s="36">
        <f>VLOOKUP($A6,[16]HISTOMAI22!$A$6:$CA$36,61,0)</f>
        <v>0</v>
      </c>
      <c r="AG6" s="36">
        <f>VLOOKUP($A6,[16]HISTOMAI22!$A$6:$CA$36,62,0)</f>
        <v>0</v>
      </c>
      <c r="AH6" s="36">
        <f>VLOOKUP($A6,[16]HISTOMAI22!$A$6:$CA$36,63,0)</f>
        <v>70000</v>
      </c>
      <c r="AI6" s="36">
        <f>VLOOKUP($A6,[16]HISTOMAI22!$A$6:$CA$36,64,0)</f>
        <v>0</v>
      </c>
      <c r="AJ6" s="36">
        <f>VLOOKUP($A6,[16]HISTOMAI22!$A$6:$CA$36,65,0)</f>
        <v>0</v>
      </c>
    </row>
    <row r="7" spans="1:36" x14ac:dyDescent="0.25">
      <c r="A7" s="1" t="s">
        <v>19</v>
      </c>
      <c r="B7" s="1" t="str">
        <f>VLOOKUP(A7,[15]LISTADHERENT!A$5:H$60,3,0)</f>
        <v>BOUTCHOUANG WILLIAM</v>
      </c>
      <c r="C7" s="5"/>
      <c r="D7" s="5"/>
      <c r="E7" s="36">
        <f>VLOOKUP($A7,[16]HISTOMAI22!$A$6:$BA$39,48,0)</f>
        <v>0</v>
      </c>
      <c r="F7" s="5">
        <f>MVTAVRIL22!F7-MVTMAI22!E7</f>
        <v>570000</v>
      </c>
      <c r="G7" s="6">
        <f t="shared" ref="G7:G36" si="1">$S$40/$H$40*H7</f>
        <v>0</v>
      </c>
      <c r="H7" s="6">
        <f>MVTAVRIL22!H7+MVTAVRIL22!G7+K7</f>
        <v>631601.42488485994</v>
      </c>
      <c r="I7" s="36">
        <f>VLOOKUP($A7,[16]HISTOMAI22!$A$6:$AQ$37,22,0)</f>
        <v>0</v>
      </c>
      <c r="J7" s="36">
        <f>VLOOKUP($A7,[16]HISTOMAI22!$A$6:$AU$39,45,0)</f>
        <v>7000</v>
      </c>
      <c r="K7" s="36">
        <f t="shared" ref="K7:K36" si="2">IF(J7=0,0,J7-(L7+M7+N7))</f>
        <v>3000</v>
      </c>
      <c r="L7" s="36">
        <f t="shared" ref="L7:L36" si="3">IF(J7=0,0,500)</f>
        <v>500</v>
      </c>
      <c r="M7" s="36">
        <f t="shared" ref="M7:M36" si="4">IF(J7=0,0,1000)</f>
        <v>1000</v>
      </c>
      <c r="N7" s="36">
        <f t="shared" ref="N7:N36" si="5">IF(J7=0,0,2500)</f>
        <v>2500</v>
      </c>
      <c r="O7" s="36">
        <f>VLOOKUP($A7,[16]HISTOMAI22!$A$6:$AU$39,7,0)</f>
        <v>3000</v>
      </c>
      <c r="P7" s="36">
        <f>VLOOKUP($A7,[16]HISTOMAI22!$A$6:$AU$39,23,0)</f>
        <v>0</v>
      </c>
      <c r="Q7" s="36">
        <f>VLOOKUP($A7,[16]HISTOMAI22!$A$6:$AU$39,46,0)</f>
        <v>0</v>
      </c>
      <c r="R7" s="36">
        <f>VLOOKUP($A7,[16]HISTOMAI22!$A$6:$AU$39,26,0)</f>
        <v>0</v>
      </c>
      <c r="S7" s="36">
        <f>VLOOKUP($A7,[16]HISTOMAI22!$A$6:$BG$39,58,0)</f>
        <v>0</v>
      </c>
      <c r="T7" s="36">
        <f>VLOOKUP($A7,[16]HISTOMAI22!$A$6:$AU$39,28,0)</f>
        <v>0</v>
      </c>
      <c r="U7" s="36">
        <f>VLOOKUP($A7,[16]HISTOMAI22!$A$6:$AU$39,19,0)</f>
        <v>0</v>
      </c>
      <c r="V7" s="36">
        <f>VLOOKUP($A7,[16]HISTOMAI22!$A$6:$AU$39,20,0)</f>
        <v>0</v>
      </c>
      <c r="W7" s="36">
        <f>VLOOKUP($A7,[16]HISTOMAI22!$A$6:$AU$39,27,0)</f>
        <v>0</v>
      </c>
      <c r="X7" s="36">
        <f>VLOOKUP($A7,[16]HISTOMAI22!$A$6:$AU$39,33,0)</f>
        <v>0</v>
      </c>
      <c r="Y7" s="36">
        <f>VLOOKUP($A7,[16]HISTOMAI22!$A$6:$BP$39,65,0)</f>
        <v>0</v>
      </c>
      <c r="Z7" s="36"/>
      <c r="AA7" s="36">
        <f>VLOOKUP($A7,[16]HISTOMAI22!$A$6:$AU$39,43,0)</f>
        <v>0</v>
      </c>
      <c r="AB7" s="36">
        <f>VLOOKUP($A7,[16]HISTOMAI22!$A$6:$AU$39,44,0)</f>
        <v>0</v>
      </c>
      <c r="AC7" s="36">
        <f>VLOOKUP($A7,[16]HISTOMAI22!$A$6:$AU$39,47,0)</f>
        <v>0</v>
      </c>
      <c r="AD7" s="36">
        <f>VLOOKUP(A7,[16]HISTOMAI22!$A$6:$BB$36,54,0)</f>
        <v>0</v>
      </c>
      <c r="AE7" s="36">
        <f>VLOOKUP($A7,[16]HISTOMAI22!$A$6:$CA$36,60,0)</f>
        <v>0</v>
      </c>
      <c r="AF7" s="36">
        <f>VLOOKUP($A7,[16]HISTOMAI22!$A$6:$CA$36,61,0)</f>
        <v>0</v>
      </c>
      <c r="AG7" s="36">
        <f>VLOOKUP($A7,[16]HISTOMAI22!$A$6:$CA$36,62,0)</f>
        <v>0</v>
      </c>
      <c r="AH7" s="36">
        <f>VLOOKUP($A7,[16]HISTOMAI22!$A$6:$CA$36,63,0)</f>
        <v>0</v>
      </c>
      <c r="AI7" s="36">
        <f>VLOOKUP($A7,[16]HISTOMAI22!$A$6:$CA$36,64,0)</f>
        <v>0</v>
      </c>
      <c r="AJ7" s="36">
        <f>VLOOKUP($A7,[16]HISTOMAI22!$A$6:$CA$36,65,0)</f>
        <v>0</v>
      </c>
    </row>
    <row r="8" spans="1:36" x14ac:dyDescent="0.25">
      <c r="A8" s="1" t="s">
        <v>23</v>
      </c>
      <c r="B8" s="1" t="str">
        <f>VLOOKUP(A8,[15]LISTADHERENT!A$5:H$60,3,0)</f>
        <v xml:space="preserve">DJOMO JEAN PAUL </v>
      </c>
      <c r="C8" s="5"/>
      <c r="D8" s="5"/>
      <c r="E8" s="36">
        <f>VLOOKUP($A8,[16]HISTOMAI22!$A$6:$BA$39,48,0)</f>
        <v>0</v>
      </c>
      <c r="F8" s="5">
        <f>MVTAVRIL22!F8-MVTMAI22!E8</f>
        <v>570000</v>
      </c>
      <c r="G8" s="6">
        <f t="shared" si="1"/>
        <v>0</v>
      </c>
      <c r="H8" s="6">
        <f>MVTAVRIL22!H8+MVTAVRIL22!G8+K8</f>
        <v>697539.15671328176</v>
      </c>
      <c r="I8" s="36">
        <f>VLOOKUP($A8,[16]HISTOMAI22!$A$6:$AQ$37,22,0)</f>
        <v>0</v>
      </c>
      <c r="J8" s="36">
        <f>VLOOKUP($A8,[16]HISTOMAI22!$A$6:$AU$39,45,0)</f>
        <v>4000</v>
      </c>
      <c r="K8" s="36">
        <f t="shared" si="2"/>
        <v>0</v>
      </c>
      <c r="L8" s="36">
        <f t="shared" si="3"/>
        <v>500</v>
      </c>
      <c r="M8" s="36">
        <f t="shared" si="4"/>
        <v>1000</v>
      </c>
      <c r="N8" s="36">
        <f t="shared" si="5"/>
        <v>2500</v>
      </c>
      <c r="O8" s="36">
        <f>VLOOKUP($A8,[16]HISTOMAI22!$A$6:$AU$39,7,0)</f>
        <v>0</v>
      </c>
      <c r="P8" s="36">
        <f>VLOOKUP($A8,[16]HISTOMAI22!$A$6:$AU$39,23,0)</f>
        <v>0</v>
      </c>
      <c r="Q8" s="36">
        <f>VLOOKUP($A8,[16]HISTOMAI22!$A$6:$AU$39,46,0)</f>
        <v>0</v>
      </c>
      <c r="R8" s="36">
        <f>VLOOKUP($A8,[16]HISTOMAI22!$A$6:$AU$39,26,0)</f>
        <v>0</v>
      </c>
      <c r="S8" s="36">
        <f>VLOOKUP($A8,[16]HISTOMAI22!$A$6:$BG$39,58,0)</f>
        <v>0</v>
      </c>
      <c r="T8" s="36">
        <f>VLOOKUP($A8,[16]HISTOMAI22!$A$6:$AU$39,28,0)</f>
        <v>0</v>
      </c>
      <c r="U8" s="36">
        <f>VLOOKUP($A8,[16]HISTOMAI22!$A$6:$AU$39,19,0)</f>
        <v>0</v>
      </c>
      <c r="V8" s="36">
        <f>VLOOKUP($A8,[16]HISTOMAI22!$A$6:$AU$39,20,0)</f>
        <v>0</v>
      </c>
      <c r="W8" s="36">
        <f>VLOOKUP($A8,[16]HISTOMAI22!$A$6:$AU$39,27,0)</f>
        <v>0</v>
      </c>
      <c r="X8" s="36">
        <f>VLOOKUP($A8,[16]HISTOMAI22!$A$6:$AU$39,33,0)</f>
        <v>0</v>
      </c>
      <c r="Y8" s="36">
        <f>VLOOKUP($A8,[16]HISTOMAI22!$A$6:$BP$39,65,0)</f>
        <v>0</v>
      </c>
      <c r="Z8" s="36"/>
      <c r="AA8" s="36">
        <f>VLOOKUP($A8,[16]HISTOMAI22!$A$6:$AU$39,43,0)</f>
        <v>0</v>
      </c>
      <c r="AB8" s="36">
        <f>VLOOKUP($A8,[16]HISTOMAI22!$A$6:$AU$39,44,0)</f>
        <v>0</v>
      </c>
      <c r="AC8" s="36">
        <f>VLOOKUP($A8,[16]HISTOMAI22!$A$6:$AU$39,47,0)</f>
        <v>0</v>
      </c>
      <c r="AD8" s="36">
        <f>VLOOKUP(A8,[16]HISTOMAI22!$A$6:$BB$36,54,0)</f>
        <v>0</v>
      </c>
      <c r="AE8" s="36">
        <f>VLOOKUP($A8,[16]HISTOMAI22!$A$6:$CA$36,60,0)</f>
        <v>0</v>
      </c>
      <c r="AF8" s="36">
        <f>VLOOKUP($A8,[16]HISTOMAI22!$A$6:$CA$36,61,0)</f>
        <v>0</v>
      </c>
      <c r="AG8" s="36">
        <f>VLOOKUP($A8,[16]HISTOMAI22!$A$6:$CA$36,62,0)</f>
        <v>0</v>
      </c>
      <c r="AH8" s="36">
        <f>VLOOKUP($A8,[16]HISTOMAI22!$A$6:$CA$36,63,0)</f>
        <v>0</v>
      </c>
      <c r="AI8" s="36">
        <f>VLOOKUP($A8,[16]HISTOMAI22!$A$6:$CA$36,64,0)</f>
        <v>0</v>
      </c>
      <c r="AJ8" s="36">
        <f>VLOOKUP($A8,[16]HISTOMAI22!$A$6:$CA$36,65,0)</f>
        <v>0</v>
      </c>
    </row>
    <row r="9" spans="1:36" x14ac:dyDescent="0.25">
      <c r="A9" s="1" t="s">
        <v>154</v>
      </c>
      <c r="B9" s="1" t="str">
        <f>VLOOKUP(A9,[15]LISTADHERENT!A$5:H$60,3,0)</f>
        <v>DJOMOU TCHANDA</v>
      </c>
      <c r="C9" s="5"/>
      <c r="D9" s="5"/>
      <c r="E9" s="36">
        <f>VLOOKUP($A9,[16]HISTOMAI22!$A$6:$BA$39,48,0)</f>
        <v>0</v>
      </c>
      <c r="F9" s="5">
        <f>MVTAVRIL22!F9-MVTMAI22!E9</f>
        <v>570000</v>
      </c>
      <c r="G9" s="6">
        <f t="shared" si="1"/>
        <v>0</v>
      </c>
      <c r="H9" s="6">
        <f>MVTAVRIL22!H9+MVTAVRIL22!G9+K9</f>
        <v>632269.83733923943</v>
      </c>
      <c r="I9" s="36">
        <f>VLOOKUP($A9,[16]HISTOMAI22!$A$6:$AQ$37,22,0)</f>
        <v>0</v>
      </c>
      <c r="J9" s="36">
        <f>VLOOKUP($A9,[16]HISTOMAI22!$A$6:$AU$39,45,0)</f>
        <v>7000</v>
      </c>
      <c r="K9" s="36">
        <f t="shared" si="2"/>
        <v>3000</v>
      </c>
      <c r="L9" s="36">
        <f t="shared" si="3"/>
        <v>500</v>
      </c>
      <c r="M9" s="36">
        <f t="shared" si="4"/>
        <v>1000</v>
      </c>
      <c r="N9" s="36">
        <f t="shared" si="5"/>
        <v>2500</v>
      </c>
      <c r="O9" s="36">
        <f>VLOOKUP($A9,[16]HISTOMAI22!$A$6:$AU$39,7,0)</f>
        <v>0</v>
      </c>
      <c r="P9" s="36">
        <f>VLOOKUP($A9,[16]HISTOMAI22!$A$6:$AU$39,23,0)</f>
        <v>0</v>
      </c>
      <c r="Q9" s="36">
        <f>VLOOKUP($A9,[16]HISTOMAI22!$A$6:$AU$39,46,0)</f>
        <v>0</v>
      </c>
      <c r="R9" s="36">
        <f>VLOOKUP($A9,[16]HISTOMAI22!$A$6:$AU$39,26,0)</f>
        <v>0</v>
      </c>
      <c r="S9" s="36">
        <f>VLOOKUP($A9,[16]HISTOMAI22!$A$6:$BG$39,58,0)</f>
        <v>0</v>
      </c>
      <c r="T9" s="36">
        <f>VLOOKUP($A9,[16]HISTOMAI22!$A$6:$AU$39,28,0)</f>
        <v>0</v>
      </c>
      <c r="U9" s="36">
        <f>VLOOKUP($A9,[16]HISTOMAI22!$A$6:$AU$39,19,0)</f>
        <v>0</v>
      </c>
      <c r="V9" s="36">
        <f>VLOOKUP($A9,[16]HISTOMAI22!$A$6:$AU$39,20,0)</f>
        <v>0</v>
      </c>
      <c r="W9" s="36">
        <f>VLOOKUP($A9,[16]HISTOMAI22!$A$6:$AU$39,27,0)</f>
        <v>0</v>
      </c>
      <c r="X9" s="36">
        <f>VLOOKUP($A9,[16]HISTOMAI22!$A$6:$AU$39,33,0)</f>
        <v>0</v>
      </c>
      <c r="Y9" s="36">
        <f>VLOOKUP($A9,[16]HISTOMAI22!$A$6:$BP$39,65,0)</f>
        <v>0</v>
      </c>
      <c r="Z9" s="36"/>
      <c r="AA9" s="36">
        <f>VLOOKUP($A9,[16]HISTOMAI22!$A$6:$AU$39,43,0)</f>
        <v>0</v>
      </c>
      <c r="AB9" s="36">
        <f>VLOOKUP($A9,[16]HISTOMAI22!$A$6:$AU$39,44,0)</f>
        <v>0</v>
      </c>
      <c r="AC9" s="36">
        <f>VLOOKUP($A9,[16]HISTOMAI22!$A$6:$AU$39,47,0)</f>
        <v>0</v>
      </c>
      <c r="AD9" s="36">
        <f>VLOOKUP(A9,[16]HISTOMAI22!$A$6:$BB$36,54,0)</f>
        <v>0</v>
      </c>
      <c r="AE9" s="36">
        <f>VLOOKUP($A9,[16]HISTOMAI22!$A$6:$CA$36,60,0)</f>
        <v>0</v>
      </c>
      <c r="AF9" s="36">
        <f>VLOOKUP($A9,[16]HISTOMAI22!$A$6:$CA$36,61,0)</f>
        <v>0</v>
      </c>
      <c r="AG9" s="36">
        <f>VLOOKUP($A9,[16]HISTOMAI22!$A$6:$CA$36,62,0)</f>
        <v>0</v>
      </c>
      <c r="AH9" s="36">
        <f>VLOOKUP($A9,[16]HISTOMAI22!$A$6:$CA$36,63,0)</f>
        <v>0</v>
      </c>
      <c r="AI9" s="36">
        <f>VLOOKUP($A9,[16]HISTOMAI22!$A$6:$CA$36,64,0)</f>
        <v>0</v>
      </c>
      <c r="AJ9" s="36">
        <f>VLOOKUP($A9,[16]HISTOMAI22!$A$6:$CA$36,65,0)</f>
        <v>0</v>
      </c>
    </row>
    <row r="10" spans="1:36" x14ac:dyDescent="0.25">
      <c r="A10" s="1" t="s">
        <v>24</v>
      </c>
      <c r="B10" s="1" t="str">
        <f>VLOOKUP(A10,[15]LISTADHERENT!A$5:H$60,3,0)</f>
        <v>DJOUKWE NANGUEN GUY BLAISE</v>
      </c>
      <c r="C10" s="5"/>
      <c r="D10" s="5"/>
      <c r="E10" s="36">
        <f>VLOOKUP($A10,[16]HISTOMAI22!$A$6:$BA$39,48,0)</f>
        <v>0</v>
      </c>
      <c r="F10" s="5">
        <f>MVTAVRIL22!F10-MVTMAI22!E10</f>
        <v>570000</v>
      </c>
      <c r="G10" s="6">
        <f t="shared" si="1"/>
        <v>0</v>
      </c>
      <c r="H10" s="6">
        <f>MVTAVRIL22!H10+MVTAVRIL22!G10+K10</f>
        <v>756721.19717584725</v>
      </c>
      <c r="I10" s="36">
        <f>VLOOKUP($A10,[16]HISTOMAI22!$A$6:$AQ$37,22,0)</f>
        <v>0</v>
      </c>
      <c r="J10" s="36">
        <f>VLOOKUP($A10,[16]HISTOMAI22!$A$6:$AU$39,45,0)</f>
        <v>7000</v>
      </c>
      <c r="K10" s="36">
        <f t="shared" si="2"/>
        <v>3000</v>
      </c>
      <c r="L10" s="36">
        <f t="shared" si="3"/>
        <v>500</v>
      </c>
      <c r="M10" s="36">
        <f t="shared" si="4"/>
        <v>1000</v>
      </c>
      <c r="N10" s="36">
        <f t="shared" si="5"/>
        <v>2500</v>
      </c>
      <c r="O10" s="36">
        <f>VLOOKUP($A10,[16]HISTOMAI22!$A$6:$AU$39,7,0)</f>
        <v>0</v>
      </c>
      <c r="P10" s="36">
        <f>VLOOKUP($A10,[16]HISTOMAI22!$A$6:$AU$39,23,0)</f>
        <v>0</v>
      </c>
      <c r="Q10" s="36">
        <f>VLOOKUP($A10,[16]HISTOMAI22!$A$6:$AU$39,46,0)</f>
        <v>0</v>
      </c>
      <c r="R10" s="36">
        <f>VLOOKUP($A10,[16]HISTOMAI22!$A$6:$AU$39,26,0)</f>
        <v>0</v>
      </c>
      <c r="S10" s="36">
        <f>VLOOKUP($A10,[16]HISTOMAI22!$A$6:$BG$39,58,0)</f>
        <v>0</v>
      </c>
      <c r="T10" s="36">
        <f>VLOOKUP($A10,[16]HISTOMAI22!$A$6:$AU$39,28,0)</f>
        <v>0</v>
      </c>
      <c r="U10" s="36">
        <f>VLOOKUP($A10,[16]HISTOMAI22!$A$6:$AU$39,19,0)</f>
        <v>0</v>
      </c>
      <c r="V10" s="36">
        <f>VLOOKUP($A10,[16]HISTOMAI22!$A$6:$AU$39,20,0)</f>
        <v>0</v>
      </c>
      <c r="W10" s="36">
        <f>VLOOKUP($A10,[16]HISTOMAI22!$A$6:$AU$39,27,0)</f>
        <v>0</v>
      </c>
      <c r="X10" s="36">
        <f>VLOOKUP($A10,[16]HISTOMAI22!$A$6:$AU$39,33,0)</f>
        <v>0</v>
      </c>
      <c r="Y10" s="36">
        <f>VLOOKUP($A10,[16]HISTOMAI22!$A$6:$BP$39,65,0)</f>
        <v>0</v>
      </c>
      <c r="Z10" s="36"/>
      <c r="AA10" s="36">
        <f>VLOOKUP($A10,[16]HISTOMAI22!$A$6:$AU$39,43,0)</f>
        <v>0</v>
      </c>
      <c r="AB10" s="36">
        <f>VLOOKUP($A10,[16]HISTOMAI22!$A$6:$AU$39,44,0)</f>
        <v>0</v>
      </c>
      <c r="AC10" s="36">
        <f>VLOOKUP($A10,[16]HISTOMAI22!$A$6:$AU$39,47,0)</f>
        <v>0</v>
      </c>
      <c r="AD10" s="36">
        <f>VLOOKUP(A10,[16]HISTOMAI22!$A$6:$BB$36,54,0)</f>
        <v>0</v>
      </c>
      <c r="AE10" s="36">
        <f>VLOOKUP($A10,[16]HISTOMAI22!$A$6:$CA$36,60,0)</f>
        <v>0</v>
      </c>
      <c r="AF10" s="36">
        <f>VLOOKUP($A10,[16]HISTOMAI22!$A$6:$CA$36,61,0)</f>
        <v>0</v>
      </c>
      <c r="AG10" s="36">
        <f>VLOOKUP($A10,[16]HISTOMAI22!$A$6:$CA$36,62,0)</f>
        <v>0</v>
      </c>
      <c r="AH10" s="36">
        <f>VLOOKUP($A10,[16]HISTOMAI22!$A$6:$CA$36,63,0)</f>
        <v>0</v>
      </c>
      <c r="AI10" s="36">
        <f>VLOOKUP($A10,[16]HISTOMAI22!$A$6:$CA$36,64,0)</f>
        <v>0</v>
      </c>
      <c r="AJ10" s="36">
        <f>VLOOKUP($A10,[16]HISTOMAI22!$A$6:$CA$36,65,0)</f>
        <v>0</v>
      </c>
    </row>
    <row r="11" spans="1:36" x14ac:dyDescent="0.25">
      <c r="A11" s="1" t="s">
        <v>25</v>
      </c>
      <c r="B11" s="1" t="str">
        <f>VLOOKUP(A11,[15]LISTADHERENT!A$5:H$60,3,0)</f>
        <v>DJUOMBESSY ANTOINE</v>
      </c>
      <c r="C11" s="5"/>
      <c r="D11" s="5"/>
      <c r="E11" s="36">
        <f>VLOOKUP($A11,[16]HISTOMAI22!$A$6:$BA$39,48,0)</f>
        <v>0</v>
      </c>
      <c r="F11" s="5">
        <f>MVTAVRIL22!F11-MVTMAI22!E11</f>
        <v>570000</v>
      </c>
      <c r="G11" s="6">
        <f t="shared" si="1"/>
        <v>0</v>
      </c>
      <c r="H11" s="6">
        <f>MVTAVRIL22!H11+MVTAVRIL22!G11+K11</f>
        <v>648902.18844191555</v>
      </c>
      <c r="I11" s="36">
        <f>VLOOKUP($A11,[16]HISTOMAI22!$A$6:$AQ$37,22,0)</f>
        <v>0</v>
      </c>
      <c r="J11" s="36">
        <f>VLOOKUP($A11,[16]HISTOMAI22!$A$6:$AU$39,45,0)</f>
        <v>7000</v>
      </c>
      <c r="K11" s="36">
        <f t="shared" si="2"/>
        <v>3000</v>
      </c>
      <c r="L11" s="36">
        <f t="shared" si="3"/>
        <v>500</v>
      </c>
      <c r="M11" s="36">
        <f t="shared" si="4"/>
        <v>1000</v>
      </c>
      <c r="N11" s="36">
        <f t="shared" si="5"/>
        <v>2500</v>
      </c>
      <c r="O11" s="36">
        <f>VLOOKUP($A11,[16]HISTOMAI22!$A$6:$AU$39,7,0)</f>
        <v>0</v>
      </c>
      <c r="P11" s="36">
        <f>VLOOKUP($A11,[16]HISTOMAI22!$A$6:$AU$39,23,0)</f>
        <v>0</v>
      </c>
      <c r="Q11" s="36">
        <f>VLOOKUP($A11,[16]HISTOMAI22!$A$6:$AU$39,46,0)</f>
        <v>0</v>
      </c>
      <c r="R11" s="36">
        <f>VLOOKUP($A11,[16]HISTOMAI22!$A$6:$AU$39,26,0)</f>
        <v>0</v>
      </c>
      <c r="S11" s="36">
        <f>VLOOKUP($A11,[16]HISTOMAI22!$A$6:$BG$39,58,0)</f>
        <v>0</v>
      </c>
      <c r="T11" s="36">
        <f>VLOOKUP($A11,[16]HISTOMAI22!$A$6:$AU$39,28,0)</f>
        <v>0</v>
      </c>
      <c r="U11" s="36">
        <f>VLOOKUP($A11,[16]HISTOMAI22!$A$6:$AU$39,19,0)</f>
        <v>0</v>
      </c>
      <c r="V11" s="36">
        <f>VLOOKUP($A11,[16]HISTOMAI22!$A$6:$AU$39,20,0)</f>
        <v>0</v>
      </c>
      <c r="W11" s="36">
        <f>VLOOKUP($A11,[16]HISTOMAI22!$A$6:$AU$39,27,0)</f>
        <v>0</v>
      </c>
      <c r="X11" s="36">
        <f>VLOOKUP($A11,[16]HISTOMAI22!$A$6:$AU$39,33,0)</f>
        <v>0</v>
      </c>
      <c r="Y11" s="36">
        <f>VLOOKUP($A11,[16]HISTOMAI22!$A$6:$BP$39,65,0)</f>
        <v>0</v>
      </c>
      <c r="Z11" s="36"/>
      <c r="AA11" s="36">
        <f>VLOOKUP($A11,[16]HISTOMAI22!$A$6:$AU$39,43,0)</f>
        <v>0</v>
      </c>
      <c r="AB11" s="36">
        <f>VLOOKUP($A11,[16]HISTOMAI22!$A$6:$AU$39,44,0)</f>
        <v>0</v>
      </c>
      <c r="AC11" s="36">
        <f>VLOOKUP($A11,[16]HISTOMAI22!$A$6:$AU$39,47,0)</f>
        <v>0</v>
      </c>
      <c r="AD11" s="36">
        <f>VLOOKUP(A11,[16]HISTOMAI22!$A$6:$BB$36,54,0)</f>
        <v>0</v>
      </c>
      <c r="AE11" s="36">
        <f>VLOOKUP($A11,[16]HISTOMAI22!$A$6:$CA$36,60,0)</f>
        <v>0</v>
      </c>
      <c r="AF11" s="36">
        <f>VLOOKUP($A11,[16]HISTOMAI22!$A$6:$CA$36,61,0)</f>
        <v>0</v>
      </c>
      <c r="AG11" s="36">
        <f>VLOOKUP($A11,[16]HISTOMAI22!$A$6:$CA$36,62,0)</f>
        <v>0</v>
      </c>
      <c r="AH11" s="36">
        <f>VLOOKUP($A11,[16]HISTOMAI22!$A$6:$CA$36,63,0)</f>
        <v>0</v>
      </c>
      <c r="AI11" s="36">
        <f>VLOOKUP($A11,[16]HISTOMAI22!$A$6:$CA$36,64,0)</f>
        <v>0</v>
      </c>
      <c r="AJ11" s="36">
        <f>VLOOKUP($A11,[16]HISTOMAI22!$A$6:$CA$36,65,0)</f>
        <v>0</v>
      </c>
    </row>
    <row r="12" spans="1:36" x14ac:dyDescent="0.25">
      <c r="A12" s="1" t="s">
        <v>79</v>
      </c>
      <c r="B12" s="1" t="str">
        <f>VLOOKUP(A12,[15]LISTADHERENT!A$5:H$60,3,0)</f>
        <v>DOMOU FABIEN</v>
      </c>
      <c r="C12" s="5"/>
      <c r="D12" s="5"/>
      <c r="E12" s="36">
        <f>VLOOKUP($A12,[16]HISTOMAI22!$A$6:$BA$39,48,0)</f>
        <v>0</v>
      </c>
      <c r="F12" s="5">
        <f>MVTAVRIL22!F12-MVTMAI22!E12</f>
        <v>570000</v>
      </c>
      <c r="G12" s="6">
        <f t="shared" si="1"/>
        <v>0</v>
      </c>
      <c r="H12" s="6">
        <f>MVTAVRIL22!H12+MVTAVRIL22!G12+K12</f>
        <v>664480.43714566506</v>
      </c>
      <c r="I12" s="36">
        <f>VLOOKUP($A12,[16]HISTOMAI22!$A$6:$AQ$37,22,0)</f>
        <v>0</v>
      </c>
      <c r="J12" s="36">
        <f>VLOOKUP($A12,[16]HISTOMAI22!$A$6:$AU$39,45,0)</f>
        <v>12000</v>
      </c>
      <c r="K12" s="36">
        <f t="shared" si="2"/>
        <v>8000</v>
      </c>
      <c r="L12" s="36">
        <f t="shared" si="3"/>
        <v>500</v>
      </c>
      <c r="M12" s="36">
        <f t="shared" si="4"/>
        <v>1000</v>
      </c>
      <c r="N12" s="36">
        <f t="shared" si="5"/>
        <v>2500</v>
      </c>
      <c r="O12" s="36">
        <f>VLOOKUP($A12,[16]HISTOMAI22!$A$6:$AU$39,7,0)</f>
        <v>0</v>
      </c>
      <c r="P12" s="36">
        <f>VLOOKUP($A12,[16]HISTOMAI22!$A$6:$AU$39,23,0)</f>
        <v>0</v>
      </c>
      <c r="Q12" s="36">
        <f>VLOOKUP($A12,[16]HISTOMAI22!$A$6:$AU$39,46,0)</f>
        <v>0</v>
      </c>
      <c r="R12" s="36">
        <f>VLOOKUP($A12,[16]HISTOMAI22!$A$6:$AU$39,26,0)</f>
        <v>0</v>
      </c>
      <c r="S12" s="36">
        <f>VLOOKUP($A12,[16]HISTOMAI22!$A$6:$BG$39,58,0)</f>
        <v>0</v>
      </c>
      <c r="T12" s="36">
        <f>VLOOKUP($A12,[16]HISTOMAI22!$A$6:$AU$39,28,0)</f>
        <v>0</v>
      </c>
      <c r="U12" s="36">
        <f>VLOOKUP($A12,[16]HISTOMAI22!$A$6:$AU$39,19,0)</f>
        <v>0</v>
      </c>
      <c r="V12" s="36">
        <f>VLOOKUP($A12,[16]HISTOMAI22!$A$6:$AU$39,20,0)</f>
        <v>0</v>
      </c>
      <c r="W12" s="36">
        <f>VLOOKUP($A12,[16]HISTOMAI22!$A$6:$AU$39,27,0)</f>
        <v>0</v>
      </c>
      <c r="X12" s="36">
        <f>VLOOKUP($A12,[16]HISTOMAI22!$A$6:$AU$39,33,0)</f>
        <v>0</v>
      </c>
      <c r="Y12" s="36">
        <f>VLOOKUP($A12,[16]HISTOMAI22!$A$6:$BP$39,65,0)</f>
        <v>0</v>
      </c>
      <c r="Z12" s="36"/>
      <c r="AA12" s="36">
        <f>VLOOKUP($A12,[16]HISTOMAI22!$A$6:$AU$39,43,0)</f>
        <v>0</v>
      </c>
      <c r="AB12" s="36">
        <f>VLOOKUP($A12,[16]HISTOMAI22!$A$6:$AU$39,44,0)</f>
        <v>0</v>
      </c>
      <c r="AC12" s="36">
        <f>VLOOKUP($A12,[16]HISTOMAI22!$A$6:$AU$39,47,0)</f>
        <v>0</v>
      </c>
      <c r="AD12" s="36">
        <f>VLOOKUP(A12,[16]HISTOMAI22!$A$6:$BB$36,54,0)</f>
        <v>0</v>
      </c>
      <c r="AE12" s="36">
        <f>VLOOKUP($A12,[16]HISTOMAI22!$A$6:$CA$36,60,0)</f>
        <v>0</v>
      </c>
      <c r="AF12" s="36">
        <f>VLOOKUP($A12,[16]HISTOMAI22!$A$6:$CA$36,61,0)</f>
        <v>0</v>
      </c>
      <c r="AG12" s="36">
        <f>VLOOKUP($A12,[16]HISTOMAI22!$A$6:$CA$36,62,0)</f>
        <v>0</v>
      </c>
      <c r="AH12" s="36">
        <f>VLOOKUP($A12,[16]HISTOMAI22!$A$6:$CA$36,63,0)</f>
        <v>0</v>
      </c>
      <c r="AI12" s="36">
        <f>VLOOKUP($A12,[16]HISTOMAI22!$A$6:$CA$36,64,0)</f>
        <v>0</v>
      </c>
      <c r="AJ12" s="36">
        <f>VLOOKUP($A12,[16]HISTOMAI22!$A$6:$CA$36,65,0)</f>
        <v>0</v>
      </c>
    </row>
    <row r="13" spans="1:36" x14ac:dyDescent="0.25">
      <c r="A13" s="1" t="s">
        <v>26</v>
      </c>
      <c r="B13" s="1" t="str">
        <f>VLOOKUP(A13,[15]LISTADHERENT!A$5:H$60,3,0)</f>
        <v>DONHOU DAVID</v>
      </c>
      <c r="C13" s="5"/>
      <c r="D13" s="5"/>
      <c r="E13" s="36">
        <f>VLOOKUP($A13,[16]HISTOMAI22!$A$6:$BA$39,48,0)</f>
        <v>0</v>
      </c>
      <c r="F13" s="5">
        <f>MVTAVRIL22!F13-MVTMAI22!E13</f>
        <v>570000</v>
      </c>
      <c r="G13" s="6">
        <f t="shared" si="1"/>
        <v>0</v>
      </c>
      <c r="H13" s="6">
        <f>MVTAVRIL22!H13+MVTAVRIL22!G13+K13</f>
        <v>925990.33214994404</v>
      </c>
      <c r="I13" s="36">
        <f>VLOOKUP($A13,[16]HISTOMAI22!$A$6:$AQ$37,22,0)</f>
        <v>0</v>
      </c>
      <c r="J13" s="36">
        <f>VLOOKUP($A13,[16]HISTOMAI22!$A$6:$AU$39,45,0)</f>
        <v>12000</v>
      </c>
      <c r="K13" s="36">
        <f t="shared" si="2"/>
        <v>8000</v>
      </c>
      <c r="L13" s="36">
        <f t="shared" si="3"/>
        <v>500</v>
      </c>
      <c r="M13" s="36">
        <f t="shared" si="4"/>
        <v>1000</v>
      </c>
      <c r="N13" s="36">
        <f t="shared" si="5"/>
        <v>2500</v>
      </c>
      <c r="O13" s="36">
        <f>VLOOKUP($A13,[16]HISTOMAI22!$A$6:$AU$39,7,0)</f>
        <v>0</v>
      </c>
      <c r="P13" s="36">
        <f>VLOOKUP($A13,[16]HISTOMAI22!$A$6:$AU$39,23,0)</f>
        <v>0</v>
      </c>
      <c r="Q13" s="36">
        <f>VLOOKUP($A13,[16]HISTOMAI22!$A$6:$AU$39,46,0)</f>
        <v>0</v>
      </c>
      <c r="R13" s="36">
        <f>VLOOKUP($A13,[16]HISTOMAI22!$A$6:$AU$39,26,0)</f>
        <v>0</v>
      </c>
      <c r="S13" s="36">
        <f>VLOOKUP($A13,[16]HISTOMAI22!$A$6:$BG$39,58,0)</f>
        <v>0</v>
      </c>
      <c r="T13" s="36">
        <f>VLOOKUP($A13,[16]HISTOMAI22!$A$6:$AU$39,28,0)</f>
        <v>0</v>
      </c>
      <c r="U13" s="36">
        <f>VLOOKUP($A13,[16]HISTOMAI22!$A$6:$AU$39,19,0)</f>
        <v>0</v>
      </c>
      <c r="V13" s="36">
        <f>VLOOKUP($A13,[16]HISTOMAI22!$A$6:$AU$39,20,0)</f>
        <v>0</v>
      </c>
      <c r="W13" s="36">
        <f>VLOOKUP($A13,[16]HISTOMAI22!$A$6:$AU$39,27,0)</f>
        <v>0</v>
      </c>
      <c r="X13" s="36">
        <f>VLOOKUP($A13,[16]HISTOMAI22!$A$6:$AU$39,33,0)</f>
        <v>0</v>
      </c>
      <c r="Y13" s="36">
        <f>VLOOKUP($A13,[16]HISTOMAI22!$A$6:$BP$39,65,0)</f>
        <v>0</v>
      </c>
      <c r="Z13" s="36"/>
      <c r="AA13" s="36">
        <f>VLOOKUP($A13,[16]HISTOMAI22!$A$6:$AU$39,43,0)</f>
        <v>0</v>
      </c>
      <c r="AB13" s="36">
        <f>VLOOKUP($A13,[16]HISTOMAI22!$A$6:$AU$39,44,0)</f>
        <v>0</v>
      </c>
      <c r="AC13" s="36">
        <f>VLOOKUP($A13,[16]HISTOMAI22!$A$6:$AU$39,47,0)</f>
        <v>0</v>
      </c>
      <c r="AD13" s="36">
        <f>VLOOKUP(A13,[16]HISTOMAI22!$A$6:$BB$36,54,0)</f>
        <v>0</v>
      </c>
      <c r="AE13" s="36">
        <f>VLOOKUP($A13,[16]HISTOMAI22!$A$6:$CA$36,60,0)</f>
        <v>0</v>
      </c>
      <c r="AF13" s="36">
        <f>VLOOKUP($A13,[16]HISTOMAI22!$A$6:$CA$36,61,0)</f>
        <v>0</v>
      </c>
      <c r="AG13" s="36">
        <f>VLOOKUP($A13,[16]HISTOMAI22!$A$6:$CA$36,62,0)</f>
        <v>0</v>
      </c>
      <c r="AH13" s="36">
        <f>VLOOKUP($A13,[16]HISTOMAI22!$A$6:$CA$36,63,0)</f>
        <v>0</v>
      </c>
      <c r="AI13" s="36">
        <f>VLOOKUP($A13,[16]HISTOMAI22!$A$6:$CA$36,64,0)</f>
        <v>0</v>
      </c>
      <c r="AJ13" s="36">
        <f>VLOOKUP($A13,[16]HISTOMAI22!$A$6:$CA$36,65,0)</f>
        <v>0</v>
      </c>
    </row>
    <row r="14" spans="1:36" x14ac:dyDescent="0.25">
      <c r="A14" s="1" t="s">
        <v>27</v>
      </c>
      <c r="B14" s="1" t="str">
        <f>VLOOKUP(A14,[15]LISTADHERENT!A$5:H$60,3,0)</f>
        <v>FOTSO THOMAS</v>
      </c>
      <c r="C14" s="5"/>
      <c r="D14" s="5"/>
      <c r="E14" s="36">
        <f>VLOOKUP($A14,[16]HISTOMAI22!$A$6:$BA$39,48,0)</f>
        <v>0</v>
      </c>
      <c r="F14" s="5">
        <f>MVTAVRIL22!F14-MVTMAI22!E14</f>
        <v>540000</v>
      </c>
      <c r="G14" s="6">
        <f t="shared" si="1"/>
        <v>0</v>
      </c>
      <c r="H14" s="6">
        <f>MVTAVRIL22!H14+MVTAVRIL22!G14+K14</f>
        <v>0</v>
      </c>
      <c r="I14" s="36">
        <f>VLOOKUP($A14,[16]HISTOMAI22!$A$6:$AQ$37,22,0)</f>
        <v>0</v>
      </c>
      <c r="J14" s="36">
        <f>VLOOKUP($A14,[16]HISTOMAI22!$A$6:$AU$39,45,0)</f>
        <v>0</v>
      </c>
      <c r="K14" s="36">
        <f t="shared" si="2"/>
        <v>0</v>
      </c>
      <c r="L14" s="36">
        <f t="shared" si="3"/>
        <v>0</v>
      </c>
      <c r="M14" s="36">
        <f t="shared" si="4"/>
        <v>0</v>
      </c>
      <c r="N14" s="36">
        <f t="shared" si="5"/>
        <v>0</v>
      </c>
      <c r="O14" s="36">
        <f>VLOOKUP($A14,[16]HISTOMAI22!$A$6:$AU$39,7,0)</f>
        <v>0</v>
      </c>
      <c r="P14" s="36">
        <f>VLOOKUP($A14,[16]HISTOMAI22!$A$6:$AU$39,23,0)</f>
        <v>0</v>
      </c>
      <c r="Q14" s="36">
        <f>VLOOKUP($A14,[16]HISTOMAI22!$A$6:$AU$39,46,0)</f>
        <v>0</v>
      </c>
      <c r="R14" s="36">
        <f>VLOOKUP($A14,[16]HISTOMAI22!$A$6:$AU$39,26,0)</f>
        <v>0</v>
      </c>
      <c r="S14" s="36">
        <f>VLOOKUP($A14,[16]HISTOMAI22!$A$6:$BG$39,58,0)</f>
        <v>0</v>
      </c>
      <c r="T14" s="36">
        <f>VLOOKUP($A14,[16]HISTOMAI22!$A$6:$AU$39,28,0)</f>
        <v>0</v>
      </c>
      <c r="U14" s="36">
        <f>VLOOKUP($A14,[16]HISTOMAI22!$A$6:$AU$39,19,0)</f>
        <v>0</v>
      </c>
      <c r="V14" s="36">
        <f>VLOOKUP($A14,[16]HISTOMAI22!$A$6:$AU$39,20,0)</f>
        <v>0</v>
      </c>
      <c r="W14" s="36">
        <f>VLOOKUP($A14,[16]HISTOMAI22!$A$6:$AU$39,27,0)</f>
        <v>0</v>
      </c>
      <c r="X14" s="36">
        <f>VLOOKUP($A14,[16]HISTOMAI22!$A$6:$AU$39,33,0)</f>
        <v>0</v>
      </c>
      <c r="Y14" s="36">
        <f>VLOOKUP($A14,[16]HISTOMAI22!$A$6:$BP$39,65,0)</f>
        <v>0</v>
      </c>
      <c r="Z14" s="36"/>
      <c r="AA14" s="36">
        <f>VLOOKUP($A14,[16]HISTOMAI22!$A$6:$AU$39,43,0)</f>
        <v>0</v>
      </c>
      <c r="AB14" s="36">
        <f>VLOOKUP($A14,[16]HISTOMAI22!$A$6:$AU$39,44,0)</f>
        <v>0</v>
      </c>
      <c r="AC14" s="36">
        <f>VLOOKUP($A14,[16]HISTOMAI22!$A$6:$AU$39,47,0)</f>
        <v>0</v>
      </c>
      <c r="AD14" s="36">
        <f>VLOOKUP(A14,[16]HISTOMAI22!$A$6:$BB$36,54,0)</f>
        <v>0</v>
      </c>
      <c r="AE14" s="36">
        <f>VLOOKUP($A14,[16]HISTOMAI22!$A$6:$CA$36,60,0)</f>
        <v>0</v>
      </c>
      <c r="AF14" s="36">
        <f>VLOOKUP($A14,[16]HISTOMAI22!$A$6:$CA$36,61,0)</f>
        <v>0</v>
      </c>
      <c r="AG14" s="36">
        <f>VLOOKUP($A14,[16]HISTOMAI22!$A$6:$CA$36,62,0)</f>
        <v>0</v>
      </c>
      <c r="AH14" s="36">
        <f>VLOOKUP($A14,[16]HISTOMAI22!$A$6:$CA$36,63,0)</f>
        <v>0</v>
      </c>
      <c r="AI14" s="36">
        <f>VLOOKUP($A14,[16]HISTOMAI22!$A$6:$CA$36,64,0)</f>
        <v>0</v>
      </c>
      <c r="AJ14" s="36">
        <f>VLOOKUP($A14,[16]HISTOMAI22!$A$6:$CA$36,65,0)</f>
        <v>0</v>
      </c>
    </row>
    <row r="15" spans="1:36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VLOOKUP($A15,[16]HISTOMAI22!$A$6:$BA$39,48,0)</f>
        <v>0</v>
      </c>
      <c r="F15" s="5">
        <f>MVTAVRIL22!F15-MVTMAI22!E15</f>
        <v>570000</v>
      </c>
      <c r="G15" s="6">
        <f t="shared" si="1"/>
        <v>0</v>
      </c>
      <c r="H15" s="6">
        <f>MVTAVRIL22!H15+MVTAVRIL22!G15+K15</f>
        <v>635598.1345820562</v>
      </c>
      <c r="I15" s="36">
        <f>VLOOKUP($A15,[16]HISTOMAI22!$A$6:$AQ$37,22,0)</f>
        <v>0</v>
      </c>
      <c r="J15" s="36">
        <f>VLOOKUP($A15,[16]HISTOMAI22!$A$6:$AU$39,45,0)</f>
        <v>7000</v>
      </c>
      <c r="K15" s="36">
        <f t="shared" si="2"/>
        <v>3000</v>
      </c>
      <c r="L15" s="36">
        <f t="shared" si="3"/>
        <v>500</v>
      </c>
      <c r="M15" s="36">
        <f t="shared" si="4"/>
        <v>1000</v>
      </c>
      <c r="N15" s="36">
        <f t="shared" si="5"/>
        <v>2500</v>
      </c>
      <c r="O15" s="36">
        <f>VLOOKUP($A15,[16]HISTOMAI22!$A$6:$AU$39,7,0)</f>
        <v>0</v>
      </c>
      <c r="P15" s="36">
        <f>VLOOKUP($A15,[16]HISTOMAI22!$A$6:$AU$39,23,0)</f>
        <v>0</v>
      </c>
      <c r="Q15" s="36">
        <f>VLOOKUP($A15,[16]HISTOMAI22!$A$6:$AU$39,46,0)</f>
        <v>0</v>
      </c>
      <c r="R15" s="36">
        <f>VLOOKUP($A15,[16]HISTOMAI22!$A$6:$AU$39,26,0)</f>
        <v>0</v>
      </c>
      <c r="S15" s="36">
        <f>VLOOKUP($A15,[16]HISTOMAI22!$A$6:$BG$39,58,0)</f>
        <v>0</v>
      </c>
      <c r="T15" s="36">
        <f>VLOOKUP($A15,[16]HISTOMAI22!$A$6:$AU$39,28,0)</f>
        <v>0</v>
      </c>
      <c r="U15" s="36">
        <f>VLOOKUP($A15,[16]HISTOMAI22!$A$6:$AU$39,19,0)</f>
        <v>0</v>
      </c>
      <c r="V15" s="36">
        <f>VLOOKUP($A15,[16]HISTOMAI22!$A$6:$AU$39,20,0)</f>
        <v>0</v>
      </c>
      <c r="W15" s="36">
        <f>VLOOKUP($A15,[16]HISTOMAI22!$A$6:$AU$39,27,0)</f>
        <v>0</v>
      </c>
      <c r="X15" s="36">
        <f>VLOOKUP($A15,[16]HISTOMAI22!$A$6:$AU$39,33,0)</f>
        <v>0</v>
      </c>
      <c r="Y15" s="36">
        <f>VLOOKUP($A15,[16]HISTOMAI22!$A$6:$BP$39,65,0)</f>
        <v>0</v>
      </c>
      <c r="Z15" s="36"/>
      <c r="AA15" s="36">
        <f>VLOOKUP($A15,[16]HISTOMAI22!$A$6:$AU$39,43,0)</f>
        <v>0</v>
      </c>
      <c r="AB15" s="36">
        <f>VLOOKUP($A15,[16]HISTOMAI22!$A$6:$AU$39,44,0)</f>
        <v>0</v>
      </c>
      <c r="AC15" s="36">
        <f>VLOOKUP($A15,[16]HISTOMAI22!$A$6:$AU$39,47,0)</f>
        <v>0</v>
      </c>
      <c r="AD15" s="36">
        <f>VLOOKUP(A15,[16]HISTOMAI22!$A$6:$BB$36,54,0)</f>
        <v>0</v>
      </c>
      <c r="AE15" s="36">
        <f>VLOOKUP($A15,[16]HISTOMAI22!$A$6:$CA$36,60,0)</f>
        <v>0</v>
      </c>
      <c r="AF15" s="36">
        <f>VLOOKUP($A15,[16]HISTOMAI22!$A$6:$CA$36,61,0)</f>
        <v>0</v>
      </c>
      <c r="AG15" s="36">
        <f>VLOOKUP($A15,[16]HISTOMAI22!$A$6:$CA$36,62,0)</f>
        <v>0</v>
      </c>
      <c r="AH15" s="36">
        <f>VLOOKUP($A15,[16]HISTOMAI22!$A$6:$CA$36,63,0)</f>
        <v>0</v>
      </c>
      <c r="AI15" s="36">
        <f>VLOOKUP($A15,[16]HISTOMAI22!$A$6:$CA$36,64,0)</f>
        <v>0</v>
      </c>
      <c r="AJ15" s="36">
        <f>VLOOKUP($A15,[16]HISTOMAI22!$A$6:$CA$36,65,0)</f>
        <v>0</v>
      </c>
    </row>
    <row r="16" spans="1:36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VLOOKUP($A16,[16]HISTOMAI22!$A$6:$BA$39,48,0)</f>
        <v>0</v>
      </c>
      <c r="F16" s="5">
        <f>MVTAVRIL22!F16-MVTMAI22!E16</f>
        <v>570000</v>
      </c>
      <c r="G16" s="6">
        <f t="shared" si="1"/>
        <v>0</v>
      </c>
      <c r="H16" s="6">
        <f>MVTAVRIL22!H16+MVTAVRIL22!G16+K16</f>
        <v>880746.50718233117</v>
      </c>
      <c r="I16" s="36">
        <f>VLOOKUP($A16,[16]HISTOMAI22!$A$6:$AQ$37,22,0)</f>
        <v>0</v>
      </c>
      <c r="J16" s="36">
        <f>VLOOKUP($A16,[16]HISTOMAI22!$A$6:$AU$39,45,0)</f>
        <v>52000</v>
      </c>
      <c r="K16" s="36">
        <f t="shared" si="2"/>
        <v>48000</v>
      </c>
      <c r="L16" s="36">
        <f t="shared" si="3"/>
        <v>500</v>
      </c>
      <c r="M16" s="36">
        <f t="shared" si="4"/>
        <v>1000</v>
      </c>
      <c r="N16" s="36">
        <f t="shared" si="5"/>
        <v>2500</v>
      </c>
      <c r="O16" s="36">
        <f>VLOOKUP($A16,[16]HISTOMAI22!$A$6:$AU$39,7,0)</f>
        <v>0</v>
      </c>
      <c r="P16" s="36">
        <f>VLOOKUP($A16,[16]HISTOMAI22!$A$6:$AU$39,23,0)</f>
        <v>0</v>
      </c>
      <c r="Q16" s="36">
        <f>VLOOKUP($A16,[16]HISTOMAI22!$A$6:$AU$39,46,0)</f>
        <v>0</v>
      </c>
      <c r="R16" s="36">
        <f>VLOOKUP($A16,[16]HISTOMAI22!$A$6:$AU$39,26,0)</f>
        <v>0</v>
      </c>
      <c r="S16" s="36">
        <f>VLOOKUP($A16,[16]HISTOMAI22!$A$6:$BG$39,58,0)</f>
        <v>0</v>
      </c>
      <c r="T16" s="36">
        <f>VLOOKUP($A16,[16]HISTOMAI22!$A$6:$AU$39,28,0)</f>
        <v>0</v>
      </c>
      <c r="U16" s="36">
        <f>VLOOKUP($A16,[16]HISTOMAI22!$A$6:$AU$39,19,0)</f>
        <v>0</v>
      </c>
      <c r="V16" s="36">
        <f>VLOOKUP($A16,[16]HISTOMAI22!$A$6:$AU$39,20,0)</f>
        <v>0</v>
      </c>
      <c r="W16" s="36">
        <f>VLOOKUP($A16,[16]HISTOMAI22!$A$6:$AU$39,27,0)</f>
        <v>0</v>
      </c>
      <c r="X16" s="36">
        <f>VLOOKUP($A16,[16]HISTOMAI22!$A$6:$AU$39,33,0)</f>
        <v>0</v>
      </c>
      <c r="Y16" s="36">
        <f>VLOOKUP($A16,[16]HISTOMAI22!$A$6:$BP$39,65,0)</f>
        <v>0</v>
      </c>
      <c r="Z16" s="36"/>
      <c r="AA16" s="36">
        <f>VLOOKUP($A16,[16]HISTOMAI22!$A$6:$AU$39,43,0)</f>
        <v>0</v>
      </c>
      <c r="AB16" s="36">
        <f>VLOOKUP($A16,[16]HISTOMAI22!$A$6:$AU$39,44,0)</f>
        <v>0</v>
      </c>
      <c r="AC16" s="36">
        <f>VLOOKUP($A16,[16]HISTOMAI22!$A$6:$AU$39,47,0)</f>
        <v>0</v>
      </c>
      <c r="AD16" s="36">
        <f>VLOOKUP(A16,[16]HISTOMAI22!$A$6:$BB$36,54,0)</f>
        <v>0</v>
      </c>
      <c r="AE16" s="36">
        <f>VLOOKUP($A16,[16]HISTOMAI22!$A$6:$CA$36,60,0)</f>
        <v>0</v>
      </c>
      <c r="AF16" s="36">
        <f>VLOOKUP($A16,[16]HISTOMAI22!$A$6:$CA$36,61,0)</f>
        <v>0</v>
      </c>
      <c r="AG16" s="36">
        <f>VLOOKUP($A16,[16]HISTOMAI22!$A$6:$CA$36,62,0)</f>
        <v>0</v>
      </c>
      <c r="AH16" s="36">
        <f>VLOOKUP($A16,[16]HISTOMAI22!$A$6:$CA$36,63,0)</f>
        <v>0</v>
      </c>
      <c r="AI16" s="36">
        <f>VLOOKUP($A16,[16]HISTOMAI22!$A$6:$CA$36,64,0)</f>
        <v>0</v>
      </c>
      <c r="AJ16" s="36">
        <f>VLOOKUP($A16,[16]HISTOMAI22!$A$6:$CA$36,65,0)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VLOOKUP($A17,[16]HISTOMAI22!$A$6:$BA$39,48,0)</f>
        <v>0</v>
      </c>
      <c r="F17" s="5">
        <f>MVTAVRIL22!F17-MVTMAI22!E17</f>
        <v>570000</v>
      </c>
      <c r="G17" s="6">
        <f t="shared" si="1"/>
        <v>0</v>
      </c>
      <c r="H17" s="6">
        <f>MVTAVRIL22!H17+MVTAVRIL22!G17+K17</f>
        <v>636729.67540694762</v>
      </c>
      <c r="I17" s="36">
        <f>VLOOKUP($A17,[16]HISTOMAI22!$A$6:$AQ$37,22,0)</f>
        <v>0</v>
      </c>
      <c r="J17" s="36">
        <f>VLOOKUP($A17,[16]HISTOMAI22!$A$6:$AU$39,45,0)</f>
        <v>7000</v>
      </c>
      <c r="K17" s="36">
        <f t="shared" si="2"/>
        <v>3000</v>
      </c>
      <c r="L17" s="36">
        <f t="shared" si="3"/>
        <v>500</v>
      </c>
      <c r="M17" s="36">
        <f t="shared" si="4"/>
        <v>1000</v>
      </c>
      <c r="N17" s="36">
        <f t="shared" si="5"/>
        <v>2500</v>
      </c>
      <c r="O17" s="36">
        <f>VLOOKUP($A17,[16]HISTOMAI22!$A$6:$AU$39,7,0)</f>
        <v>0</v>
      </c>
      <c r="P17" s="36">
        <f>VLOOKUP($A17,[16]HISTOMAI22!$A$6:$AU$39,23,0)</f>
        <v>0</v>
      </c>
      <c r="Q17" s="36">
        <f>VLOOKUP($A17,[16]HISTOMAI22!$A$6:$AU$39,46,0)</f>
        <v>0</v>
      </c>
      <c r="R17" s="36">
        <f>VLOOKUP($A17,[16]HISTOMAI22!$A$6:$AU$39,26,0)</f>
        <v>0</v>
      </c>
      <c r="S17" s="36">
        <f>VLOOKUP($A17,[16]HISTOMAI22!$A$6:$BG$39,58,0)</f>
        <v>0</v>
      </c>
      <c r="T17" s="36">
        <f>VLOOKUP($A17,[16]HISTOMAI22!$A$6:$AU$39,28,0)</f>
        <v>0</v>
      </c>
      <c r="U17" s="36">
        <f>VLOOKUP($A17,[16]HISTOMAI22!$A$6:$AU$39,19,0)</f>
        <v>0</v>
      </c>
      <c r="V17" s="36">
        <f>VLOOKUP($A17,[16]HISTOMAI22!$A$6:$AU$39,20,0)</f>
        <v>0</v>
      </c>
      <c r="W17" s="36">
        <f>VLOOKUP($A17,[16]HISTOMAI22!$A$6:$AU$39,27,0)</f>
        <v>0</v>
      </c>
      <c r="X17" s="36">
        <f>VLOOKUP($A17,[16]HISTOMAI22!$A$6:$AU$39,33,0)</f>
        <v>0</v>
      </c>
      <c r="Y17" s="36">
        <f>VLOOKUP($A17,[16]HISTOMAI22!$A$6:$BP$39,65,0)</f>
        <v>0</v>
      </c>
      <c r="Z17" s="36"/>
      <c r="AA17" s="36">
        <f>VLOOKUP($A17,[16]HISTOMAI22!$A$6:$AU$39,43,0)</f>
        <v>0</v>
      </c>
      <c r="AB17" s="36">
        <f>VLOOKUP($A17,[16]HISTOMAI22!$A$6:$AU$39,44,0)</f>
        <v>0</v>
      </c>
      <c r="AC17" s="36">
        <f>VLOOKUP($A17,[16]HISTOMAI22!$A$6:$AU$39,47,0)</f>
        <v>0</v>
      </c>
      <c r="AD17" s="36">
        <f>VLOOKUP(A17,[16]HISTOMAI22!$A$6:$BB$36,54,0)</f>
        <v>0</v>
      </c>
      <c r="AE17" s="36">
        <f>VLOOKUP($A17,[16]HISTOMAI22!$A$6:$CA$36,60,0)</f>
        <v>0</v>
      </c>
      <c r="AF17" s="36">
        <f>VLOOKUP($A17,[16]HISTOMAI22!$A$6:$CA$36,61,0)</f>
        <v>0</v>
      </c>
      <c r="AG17" s="36">
        <f>VLOOKUP($A17,[16]HISTOMAI22!$A$6:$CA$36,62,0)</f>
        <v>0</v>
      </c>
      <c r="AH17" s="36">
        <f>VLOOKUP($A17,[16]HISTOMAI22!$A$6:$CA$36,63,0)</f>
        <v>0</v>
      </c>
      <c r="AI17" s="36">
        <f>VLOOKUP($A17,[16]HISTOMAI22!$A$6:$CA$36,64,0)</f>
        <v>0</v>
      </c>
      <c r="AJ17" s="36">
        <f>VLOOKUP($A17,[16]HISTOMAI22!$A$6:$CA$36,65,0)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VLOOKUP($A18,[16]HISTOMAI22!$A$6:$BA$39,48,0)</f>
        <v>0</v>
      </c>
      <c r="F18" s="5">
        <f>MVTAVRIL22!F18-MVTMAI22!E18</f>
        <v>570000</v>
      </c>
      <c r="G18" s="6">
        <f t="shared" si="1"/>
        <v>0</v>
      </c>
      <c r="H18" s="6">
        <f>MVTAVRIL22!H18+MVTAVRIL22!G18+K18</f>
        <v>642296.31734821713</v>
      </c>
      <c r="I18" s="36">
        <f>VLOOKUP($A18,[16]HISTOMAI22!$A$6:$AQ$37,22,0)</f>
        <v>0</v>
      </c>
      <c r="J18" s="36">
        <f>VLOOKUP($A18,[16]HISTOMAI22!$A$6:$AU$39,45,0)</f>
        <v>7000</v>
      </c>
      <c r="K18" s="36">
        <f t="shared" si="2"/>
        <v>3000</v>
      </c>
      <c r="L18" s="36">
        <f t="shared" si="3"/>
        <v>500</v>
      </c>
      <c r="M18" s="36">
        <f t="shared" si="4"/>
        <v>1000</v>
      </c>
      <c r="N18" s="36">
        <f t="shared" si="5"/>
        <v>2500</v>
      </c>
      <c r="O18" s="36">
        <f>VLOOKUP($A18,[16]HISTOMAI22!$A$6:$AU$39,7,0)</f>
        <v>0</v>
      </c>
      <c r="P18" s="36">
        <f>VLOOKUP($A18,[16]HISTOMAI22!$A$6:$AU$39,23,0)</f>
        <v>0</v>
      </c>
      <c r="Q18" s="36">
        <f>VLOOKUP($A18,[16]HISTOMAI22!$A$6:$AU$39,46,0)</f>
        <v>0</v>
      </c>
      <c r="R18" s="36">
        <f>VLOOKUP($A18,[16]HISTOMAI22!$A$6:$AU$39,26,0)</f>
        <v>0</v>
      </c>
      <c r="S18" s="36">
        <f>VLOOKUP($A18,[16]HISTOMAI22!$A$6:$BG$39,58,0)</f>
        <v>0</v>
      </c>
      <c r="T18" s="36">
        <f>VLOOKUP($A18,[16]HISTOMAI22!$A$6:$AU$39,28,0)</f>
        <v>0</v>
      </c>
      <c r="U18" s="36">
        <f>VLOOKUP($A18,[16]HISTOMAI22!$A$6:$AU$39,19,0)</f>
        <v>0</v>
      </c>
      <c r="V18" s="36">
        <f>VLOOKUP($A18,[16]HISTOMAI22!$A$6:$AU$39,20,0)</f>
        <v>0</v>
      </c>
      <c r="W18" s="36">
        <f>VLOOKUP($A18,[16]HISTOMAI22!$A$6:$AU$39,27,0)</f>
        <v>0</v>
      </c>
      <c r="X18" s="36">
        <f>VLOOKUP($A18,[16]HISTOMAI22!$A$6:$AU$39,33,0)</f>
        <v>0</v>
      </c>
      <c r="Y18" s="36">
        <f>VLOOKUP($A18,[16]HISTOMAI22!$A$6:$BP$39,65,0)</f>
        <v>0</v>
      </c>
      <c r="Z18" s="36"/>
      <c r="AA18" s="36">
        <f>VLOOKUP($A18,[16]HISTOMAI22!$A$6:$AU$39,43,0)</f>
        <v>0</v>
      </c>
      <c r="AB18" s="36">
        <f>VLOOKUP($A18,[16]HISTOMAI22!$A$6:$AU$39,44,0)</f>
        <v>0</v>
      </c>
      <c r="AC18" s="36">
        <f>VLOOKUP($A18,[16]HISTOMAI22!$A$6:$AU$39,47,0)</f>
        <v>0</v>
      </c>
      <c r="AD18" s="36">
        <f>VLOOKUP(A18,[16]HISTOMAI22!$A$6:$BB$36,54,0)</f>
        <v>0</v>
      </c>
      <c r="AE18" s="36">
        <f>VLOOKUP($A18,[16]HISTOMAI22!$A$6:$CA$36,60,0)</f>
        <v>0</v>
      </c>
      <c r="AF18" s="36">
        <f>VLOOKUP($A18,[16]HISTOMAI22!$A$6:$CA$36,61,0)</f>
        <v>0</v>
      </c>
      <c r="AG18" s="36">
        <f>VLOOKUP($A18,[16]HISTOMAI22!$A$6:$CA$36,62,0)</f>
        <v>0</v>
      </c>
      <c r="AH18" s="36">
        <f>VLOOKUP($A18,[16]HISTOMAI22!$A$6:$CA$36,63,0)</f>
        <v>0</v>
      </c>
      <c r="AI18" s="36">
        <f>VLOOKUP($A18,[16]HISTOMAI22!$A$6:$CA$36,64,0)</f>
        <v>0</v>
      </c>
      <c r="AJ18" s="36">
        <f>VLOOKUP($A18,[16]HISTOMAI22!$A$6:$CA$36,65,0)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VLOOKUP($A19,[16]HISTOMAI22!$A$6:$BA$39,48,0)</f>
        <v>0</v>
      </c>
      <c r="F19" s="5">
        <f>MVTAVRIL22!F19-MVTMAI22!E19</f>
        <v>570000</v>
      </c>
      <c r="G19" s="6">
        <f t="shared" si="1"/>
        <v>0</v>
      </c>
      <c r="H19" s="6">
        <f>MVTAVRIL22!H19+MVTAVRIL22!G19+K19</f>
        <v>632307.65212435124</v>
      </c>
      <c r="I19" s="36">
        <f>VLOOKUP($A19,[16]HISTOMAI22!$A$6:$AQ$37,22,0)</f>
        <v>0</v>
      </c>
      <c r="J19" s="36">
        <f>VLOOKUP($A19,[16]HISTOMAI22!$A$6:$AU$39,45,0)</f>
        <v>7000</v>
      </c>
      <c r="K19" s="36">
        <f t="shared" si="2"/>
        <v>3000</v>
      </c>
      <c r="L19" s="36">
        <f t="shared" si="3"/>
        <v>500</v>
      </c>
      <c r="M19" s="36">
        <f t="shared" si="4"/>
        <v>1000</v>
      </c>
      <c r="N19" s="36">
        <f t="shared" si="5"/>
        <v>2500</v>
      </c>
      <c r="O19" s="36">
        <f>VLOOKUP($A19,[16]HISTOMAI22!$A$6:$AU$39,7,0)</f>
        <v>0</v>
      </c>
      <c r="P19" s="36">
        <f>VLOOKUP($A19,[16]HISTOMAI22!$A$6:$AU$39,23,0)</f>
        <v>0</v>
      </c>
      <c r="Q19" s="36">
        <f>VLOOKUP($A19,[16]HISTOMAI22!$A$6:$AU$39,46,0)</f>
        <v>0</v>
      </c>
      <c r="R19" s="36">
        <f>VLOOKUP($A19,[16]HISTOMAI22!$A$6:$AU$39,26,0)</f>
        <v>0</v>
      </c>
      <c r="S19" s="36">
        <f>VLOOKUP($A19,[16]HISTOMAI22!$A$6:$BG$39,58,0)</f>
        <v>0</v>
      </c>
      <c r="T19" s="36">
        <f>VLOOKUP($A19,[16]HISTOMAI22!$A$6:$AU$39,28,0)</f>
        <v>0</v>
      </c>
      <c r="U19" s="36">
        <f>VLOOKUP($A19,[16]HISTOMAI22!$A$6:$AU$39,19,0)</f>
        <v>0</v>
      </c>
      <c r="V19" s="36">
        <f>VLOOKUP($A19,[16]HISTOMAI22!$A$6:$AU$39,20,0)</f>
        <v>0</v>
      </c>
      <c r="W19" s="36">
        <f>VLOOKUP($A19,[16]HISTOMAI22!$A$6:$AU$39,27,0)</f>
        <v>0</v>
      </c>
      <c r="X19" s="36">
        <f>VLOOKUP($A19,[16]HISTOMAI22!$A$6:$AU$39,33,0)</f>
        <v>0</v>
      </c>
      <c r="Y19" s="36">
        <f>VLOOKUP($A19,[16]HISTOMAI22!$A$6:$BP$39,65,0)</f>
        <v>0</v>
      </c>
      <c r="Z19" s="36"/>
      <c r="AA19" s="36">
        <f>VLOOKUP($A19,[16]HISTOMAI22!$A$6:$AU$39,43,0)</f>
        <v>0</v>
      </c>
      <c r="AB19" s="36">
        <f>VLOOKUP($A19,[16]HISTOMAI22!$A$6:$AU$39,44,0)</f>
        <v>0</v>
      </c>
      <c r="AC19" s="36">
        <f>VLOOKUP($A19,[16]HISTOMAI22!$A$6:$AU$39,47,0)</f>
        <v>0</v>
      </c>
      <c r="AD19" s="36">
        <f>VLOOKUP(A19,[16]HISTOMAI22!$A$6:$BB$36,54,0)</f>
        <v>0</v>
      </c>
      <c r="AE19" s="36">
        <f>VLOOKUP($A19,[16]HISTOMAI22!$A$6:$CA$36,60,0)</f>
        <v>0</v>
      </c>
      <c r="AF19" s="36">
        <f>VLOOKUP($A19,[16]HISTOMAI22!$A$6:$CA$36,61,0)</f>
        <v>0</v>
      </c>
      <c r="AG19" s="36">
        <f>VLOOKUP($A19,[16]HISTOMAI22!$A$6:$CA$36,62,0)</f>
        <v>0</v>
      </c>
      <c r="AH19" s="36">
        <f>VLOOKUP($A19,[16]HISTOMAI22!$A$6:$CA$36,63,0)</f>
        <v>0</v>
      </c>
      <c r="AI19" s="36">
        <f>VLOOKUP($A19,[16]HISTOMAI22!$A$6:$CA$36,64,0)</f>
        <v>0</v>
      </c>
      <c r="AJ19" s="36">
        <f>VLOOKUP($A19,[16]HISTOMAI22!$A$6:$CA$36,65,0)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VLOOKUP($A20,[16]HISTOMAI22!$A$6:$BA$39,48,0)</f>
        <v>0</v>
      </c>
      <c r="F20" s="5">
        <f>MVTAVRIL22!F20-MVTMAI22!E20</f>
        <v>570000</v>
      </c>
      <c r="G20" s="6">
        <f t="shared" si="1"/>
        <v>0</v>
      </c>
      <c r="H20" s="6">
        <f>MVTAVRIL22!H20+MVTAVRIL22!G20+K20</f>
        <v>632003.16343106271</v>
      </c>
      <c r="I20" s="36">
        <f>VLOOKUP($A20,[16]HISTOMAI22!$A$6:$AQ$37,22,0)</f>
        <v>0</v>
      </c>
      <c r="J20" s="36">
        <f>VLOOKUP($A20,[16]HISTOMAI22!$A$6:$AU$39,45,0)</f>
        <v>7000</v>
      </c>
      <c r="K20" s="36">
        <f t="shared" si="2"/>
        <v>3000</v>
      </c>
      <c r="L20" s="36">
        <f t="shared" si="3"/>
        <v>500</v>
      </c>
      <c r="M20" s="36">
        <f t="shared" si="4"/>
        <v>1000</v>
      </c>
      <c r="N20" s="36">
        <f t="shared" si="5"/>
        <v>2500</v>
      </c>
      <c r="O20" s="36">
        <f>VLOOKUP($A20,[16]HISTOMAI22!$A$6:$AU$39,7,0)</f>
        <v>3000</v>
      </c>
      <c r="P20" s="36">
        <f>VLOOKUP($A20,[16]HISTOMAI22!$A$6:$AU$39,23,0)</f>
        <v>0</v>
      </c>
      <c r="Q20" s="36">
        <f>VLOOKUP($A20,[16]HISTOMAI22!$A$6:$AU$39,46,0)</f>
        <v>0</v>
      </c>
      <c r="R20" s="36">
        <f>VLOOKUP($A20,[16]HISTOMAI22!$A$6:$AU$39,26,0)</f>
        <v>0</v>
      </c>
      <c r="S20" s="36">
        <f>VLOOKUP($A20,[16]HISTOMAI22!$A$6:$BG$39,58,0)</f>
        <v>0</v>
      </c>
      <c r="T20" s="36">
        <f>VLOOKUP($A20,[16]HISTOMAI22!$A$6:$AU$39,28,0)</f>
        <v>0</v>
      </c>
      <c r="U20" s="36">
        <f>VLOOKUP($A20,[16]HISTOMAI22!$A$6:$AU$39,19,0)</f>
        <v>0</v>
      </c>
      <c r="V20" s="36">
        <f>VLOOKUP($A20,[16]HISTOMAI22!$A$6:$AU$39,20,0)</f>
        <v>0</v>
      </c>
      <c r="W20" s="36">
        <f>VLOOKUP($A20,[16]HISTOMAI22!$A$6:$AU$39,27,0)</f>
        <v>0</v>
      </c>
      <c r="X20" s="36">
        <f>VLOOKUP($A20,[16]HISTOMAI22!$A$6:$AU$39,33,0)</f>
        <v>0</v>
      </c>
      <c r="Y20" s="36">
        <f>VLOOKUP($A20,[16]HISTOMAI22!$A$6:$BP$39,65,0)</f>
        <v>0</v>
      </c>
      <c r="Z20" s="36"/>
      <c r="AA20" s="36">
        <f>VLOOKUP($A20,[16]HISTOMAI22!$A$6:$AU$39,43,0)</f>
        <v>0</v>
      </c>
      <c r="AB20" s="36">
        <f>VLOOKUP($A20,[16]HISTOMAI22!$A$6:$AU$39,44,0)</f>
        <v>0</v>
      </c>
      <c r="AC20" s="36">
        <f>VLOOKUP($A20,[16]HISTOMAI22!$A$6:$AU$39,47,0)</f>
        <v>0</v>
      </c>
      <c r="AD20" s="36">
        <f>VLOOKUP(A20,[16]HISTOMAI22!$A$6:$BB$36,54,0)</f>
        <v>0</v>
      </c>
      <c r="AE20" s="36">
        <f>VLOOKUP($A20,[16]HISTOMAI22!$A$6:$CA$36,60,0)</f>
        <v>0</v>
      </c>
      <c r="AF20" s="36">
        <f>VLOOKUP($A20,[16]HISTOMAI22!$A$6:$CA$36,61,0)</f>
        <v>0</v>
      </c>
      <c r="AG20" s="36">
        <f>VLOOKUP($A20,[16]HISTOMAI22!$A$6:$CA$36,62,0)</f>
        <v>0</v>
      </c>
      <c r="AH20" s="36">
        <f>VLOOKUP($A20,[16]HISTOMAI22!$A$6:$CA$36,63,0)</f>
        <v>0</v>
      </c>
      <c r="AI20" s="36">
        <f>VLOOKUP($A20,[16]HISTOMAI22!$A$6:$CA$36,64,0)</f>
        <v>0</v>
      </c>
      <c r="AJ20" s="36">
        <f>VLOOKUP($A20,[16]HISTOMAI22!$A$6:$CA$36,65,0)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VLOOKUP($A21,[16]HISTOMAI22!$A$6:$BA$39,48,0)</f>
        <v>0</v>
      </c>
      <c r="F21" s="5">
        <f>MVTAVRIL22!F21-MVTMAI22!E21</f>
        <v>570000</v>
      </c>
      <c r="G21" s="6">
        <f t="shared" si="1"/>
        <v>0</v>
      </c>
      <c r="H21" s="6">
        <f>MVTAVRIL22!H21+MVTAVRIL22!G21+K21</f>
        <v>665151.44735080807</v>
      </c>
      <c r="I21" s="36">
        <f>VLOOKUP($A21,[16]HISTOMAI22!$A$6:$AQ$37,22,0)</f>
        <v>0</v>
      </c>
      <c r="J21" s="36">
        <f>VLOOKUP($A21,[16]HISTOMAI22!$A$6:$AU$39,45,0)</f>
        <v>7000</v>
      </c>
      <c r="K21" s="36">
        <f t="shared" si="2"/>
        <v>3000</v>
      </c>
      <c r="L21" s="36">
        <f t="shared" si="3"/>
        <v>500</v>
      </c>
      <c r="M21" s="36">
        <f t="shared" si="4"/>
        <v>1000</v>
      </c>
      <c r="N21" s="36">
        <f t="shared" si="5"/>
        <v>2500</v>
      </c>
      <c r="O21" s="36">
        <f>VLOOKUP($A21,[16]HISTOMAI22!$A$6:$AU$39,7,0)</f>
        <v>0</v>
      </c>
      <c r="P21" s="36">
        <f>VLOOKUP($A21,[16]HISTOMAI22!$A$6:$AU$39,23,0)</f>
        <v>0</v>
      </c>
      <c r="Q21" s="36">
        <f>VLOOKUP($A21,[16]HISTOMAI22!$A$6:$AU$39,46,0)</f>
        <v>0</v>
      </c>
      <c r="R21" s="36">
        <f>VLOOKUP($A21,[16]HISTOMAI22!$A$6:$AU$39,26,0)</f>
        <v>0</v>
      </c>
      <c r="S21" s="36">
        <f>VLOOKUP($A21,[16]HISTOMAI22!$A$6:$BG$39,58,0)</f>
        <v>0</v>
      </c>
      <c r="T21" s="36">
        <f>VLOOKUP($A21,[16]HISTOMAI22!$A$6:$AU$39,28,0)</f>
        <v>0</v>
      </c>
      <c r="U21" s="36">
        <f>VLOOKUP($A21,[16]HISTOMAI22!$A$6:$AU$39,19,0)</f>
        <v>0</v>
      </c>
      <c r="V21" s="36">
        <f>VLOOKUP($A21,[16]HISTOMAI22!$A$6:$AU$39,20,0)</f>
        <v>0</v>
      </c>
      <c r="W21" s="36">
        <f>VLOOKUP($A21,[16]HISTOMAI22!$A$6:$AU$39,27,0)</f>
        <v>0</v>
      </c>
      <c r="X21" s="36">
        <f>VLOOKUP($A21,[16]HISTOMAI22!$A$6:$AU$39,33,0)</f>
        <v>0</v>
      </c>
      <c r="Y21" s="36">
        <f>VLOOKUP($A21,[16]HISTOMAI22!$A$6:$BP$39,65,0)</f>
        <v>0</v>
      </c>
      <c r="Z21" s="36"/>
      <c r="AA21" s="36">
        <f>VLOOKUP($A21,[16]HISTOMAI22!$A$6:$AU$39,43,0)</f>
        <v>0</v>
      </c>
      <c r="AB21" s="36">
        <f>VLOOKUP($A21,[16]HISTOMAI22!$A$6:$AU$39,44,0)</f>
        <v>0</v>
      </c>
      <c r="AC21" s="36">
        <f>VLOOKUP($A21,[16]HISTOMAI22!$A$6:$AU$39,47,0)</f>
        <v>0</v>
      </c>
      <c r="AD21" s="36">
        <f>VLOOKUP(A21,[16]HISTOMAI22!$A$6:$BB$36,54,0)</f>
        <v>0</v>
      </c>
      <c r="AE21" s="36">
        <f>VLOOKUP($A21,[16]HISTOMAI22!$A$6:$CA$36,60,0)</f>
        <v>0</v>
      </c>
      <c r="AF21" s="36">
        <f>VLOOKUP($A21,[16]HISTOMAI22!$A$6:$CA$36,61,0)</f>
        <v>0</v>
      </c>
      <c r="AG21" s="36">
        <f>VLOOKUP($A21,[16]HISTOMAI22!$A$6:$CA$36,62,0)</f>
        <v>0</v>
      </c>
      <c r="AH21" s="36">
        <f>VLOOKUP($A21,[16]HISTOMAI22!$A$6:$CA$36,63,0)</f>
        <v>0</v>
      </c>
      <c r="AI21" s="36">
        <f>VLOOKUP($A21,[16]HISTOMAI22!$A$6:$CA$36,64,0)</f>
        <v>0</v>
      </c>
      <c r="AJ21" s="36">
        <f>VLOOKUP($A21,[16]HISTOMAI22!$A$6:$CA$36,65,0)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VLOOKUP($A22,[16]HISTOMAI22!$A$6:$BA$39,48,0)</f>
        <v>0</v>
      </c>
      <c r="F22" s="5">
        <f>MVTAVRIL22!F22-MVTMAI22!E22</f>
        <v>570000</v>
      </c>
      <c r="G22" s="6">
        <f t="shared" si="1"/>
        <v>0</v>
      </c>
      <c r="H22" s="6">
        <f>MVTAVRIL22!H22+MVTAVRIL22!G22+K22</f>
        <v>723393.81045108626</v>
      </c>
      <c r="I22" s="36">
        <f>VLOOKUP($A22,[16]HISTOMAI22!$A$6:$AQ$37,22,0)</f>
        <v>0</v>
      </c>
      <c r="J22" s="36">
        <f>VLOOKUP($A22,[16]HISTOMAI22!$A$6:$AU$39,45,0)</f>
        <v>7000</v>
      </c>
      <c r="K22" s="36">
        <f t="shared" si="2"/>
        <v>3000</v>
      </c>
      <c r="L22" s="36">
        <f t="shared" si="3"/>
        <v>500</v>
      </c>
      <c r="M22" s="36">
        <f t="shared" si="4"/>
        <v>1000</v>
      </c>
      <c r="N22" s="36">
        <f t="shared" si="5"/>
        <v>2500</v>
      </c>
      <c r="O22" s="36">
        <f>VLOOKUP($A22,[16]HISTOMAI22!$A$6:$AU$39,7,0)</f>
        <v>0</v>
      </c>
      <c r="P22" s="36">
        <f>VLOOKUP($A22,[16]HISTOMAI22!$A$6:$AU$39,23,0)</f>
        <v>0</v>
      </c>
      <c r="Q22" s="36">
        <f>VLOOKUP($A22,[16]HISTOMAI22!$A$6:$AU$39,46,0)</f>
        <v>0</v>
      </c>
      <c r="R22" s="36">
        <f>VLOOKUP($A22,[16]HISTOMAI22!$A$6:$AU$39,26,0)</f>
        <v>0</v>
      </c>
      <c r="S22" s="36">
        <f>VLOOKUP($A22,[16]HISTOMAI22!$A$6:$BG$39,58,0)</f>
        <v>0</v>
      </c>
      <c r="T22" s="36">
        <f>VLOOKUP($A22,[16]HISTOMAI22!$A$6:$AU$39,28,0)</f>
        <v>0</v>
      </c>
      <c r="U22" s="36">
        <f>VLOOKUP($A22,[16]HISTOMAI22!$A$6:$AU$39,19,0)</f>
        <v>1000000</v>
      </c>
      <c r="V22" s="36" t="str">
        <f>VLOOKUP($A22,[16]HISTOMAI22!$A$6:$AU$39,20,0)</f>
        <v>BANQUE</v>
      </c>
      <c r="W22" s="36">
        <f>VLOOKUP($A22,[16]HISTOMAI22!$A$6:$AU$39,27,0)</f>
        <v>0</v>
      </c>
      <c r="X22" s="36">
        <f>VLOOKUP($A22,[16]HISTOMAI22!$A$6:$AU$39,33,0)</f>
        <v>0</v>
      </c>
      <c r="Y22" s="36">
        <f>VLOOKUP($A22,[16]HISTOMAI22!$A$6:$BP$39,65,0)</f>
        <v>0</v>
      </c>
      <c r="Z22" s="36"/>
      <c r="AA22" s="36">
        <f>VLOOKUP($A22,[16]HISTOMAI22!$A$6:$AU$39,43,0)</f>
        <v>0</v>
      </c>
      <c r="AB22" s="36">
        <f>VLOOKUP($A22,[16]HISTOMAI22!$A$6:$AU$39,44,0)</f>
        <v>0</v>
      </c>
      <c r="AC22" s="36">
        <f>VLOOKUP($A22,[16]HISTOMAI22!$A$6:$AU$39,47,0)</f>
        <v>0</v>
      </c>
      <c r="AD22" s="36">
        <f>VLOOKUP(A22,[16]HISTOMAI22!$A$6:$BB$36,54,0)</f>
        <v>0</v>
      </c>
      <c r="AE22" s="36">
        <f>VLOOKUP($A22,[16]HISTOMAI22!$A$6:$CA$36,60,0)</f>
        <v>0</v>
      </c>
      <c r="AF22" s="36">
        <f>VLOOKUP($A22,[16]HISTOMAI22!$A$6:$CA$36,61,0)</f>
        <v>0</v>
      </c>
      <c r="AG22" s="36">
        <f>VLOOKUP($A22,[16]HISTOMAI22!$A$6:$CA$36,62,0)</f>
        <v>0</v>
      </c>
      <c r="AH22" s="36">
        <f>VLOOKUP($A22,[16]HISTOMAI22!$A$6:$CA$36,63,0)</f>
        <v>0</v>
      </c>
      <c r="AI22" s="36">
        <f>VLOOKUP($A22,[16]HISTOMAI22!$A$6:$CA$36,64,0)</f>
        <v>0</v>
      </c>
      <c r="AJ22" s="36">
        <f>VLOOKUP($A22,[16]HISTOMAI22!$A$6:$CA$36,65,0)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VLOOKUP($A23,[16]HISTOMAI22!$A$6:$BA$39,48,0)</f>
        <v>0</v>
      </c>
      <c r="F23" s="5">
        <f>MVTAVRIL22!F23-MVTMAI22!E23</f>
        <v>570000</v>
      </c>
      <c r="G23" s="6">
        <f t="shared" si="1"/>
        <v>0</v>
      </c>
      <c r="H23" s="6">
        <f>MVTAVRIL22!H23+MVTAVRIL22!G23+K23</f>
        <v>832952.03858989442</v>
      </c>
      <c r="I23" s="36">
        <f>VLOOKUP($A23,[16]HISTOMAI22!$A$6:$AQ$37,22,0)</f>
        <v>0</v>
      </c>
      <c r="J23" s="36">
        <f>VLOOKUP($A23,[16]HISTOMAI22!$A$6:$AU$39,45,0)</f>
        <v>27000</v>
      </c>
      <c r="K23" s="36">
        <f t="shared" si="2"/>
        <v>23000</v>
      </c>
      <c r="L23" s="36">
        <f t="shared" si="3"/>
        <v>500</v>
      </c>
      <c r="M23" s="36">
        <f t="shared" si="4"/>
        <v>1000</v>
      </c>
      <c r="N23" s="36">
        <f t="shared" si="5"/>
        <v>2500</v>
      </c>
      <c r="O23" s="36">
        <f>VLOOKUP($A23,[16]HISTOMAI22!$A$6:$AU$39,7,0)</f>
        <v>0</v>
      </c>
      <c r="P23" s="36">
        <f>VLOOKUP($A23,[16]HISTOMAI22!$A$6:$AU$39,23,0)</f>
        <v>0</v>
      </c>
      <c r="Q23" s="36">
        <f>VLOOKUP($A23,[16]HISTOMAI22!$A$6:$AU$39,46,0)</f>
        <v>0</v>
      </c>
      <c r="R23" s="36">
        <f>VLOOKUP($A23,[16]HISTOMAI22!$A$6:$AU$39,26,0)</f>
        <v>0</v>
      </c>
      <c r="S23" s="36">
        <f>VLOOKUP($A23,[16]HISTOMAI22!$A$6:$BG$39,58,0)</f>
        <v>0</v>
      </c>
      <c r="T23" s="36">
        <f>VLOOKUP($A23,[16]HISTOMAI22!$A$6:$AU$39,28,0)</f>
        <v>0</v>
      </c>
      <c r="U23" s="36">
        <f>VLOOKUP($A23,[16]HISTOMAI22!$A$6:$AU$39,19,0)</f>
        <v>0</v>
      </c>
      <c r="V23" s="36">
        <f>VLOOKUP($A23,[16]HISTOMAI22!$A$6:$AU$39,20,0)</f>
        <v>0</v>
      </c>
      <c r="W23" s="36">
        <f>VLOOKUP($A23,[16]HISTOMAI22!$A$6:$AU$39,27,0)</f>
        <v>0</v>
      </c>
      <c r="X23" s="36">
        <f>VLOOKUP($A23,[16]HISTOMAI22!$A$6:$AU$39,33,0)</f>
        <v>0</v>
      </c>
      <c r="Y23" s="36">
        <f>VLOOKUP($A23,[16]HISTOMAI22!$A$6:$BP$39,65,0)</f>
        <v>0</v>
      </c>
      <c r="Z23" s="36"/>
      <c r="AA23" s="36">
        <f>VLOOKUP($A23,[16]HISTOMAI22!$A$6:$AU$39,43,0)</f>
        <v>0</v>
      </c>
      <c r="AB23" s="36">
        <f>VLOOKUP($A23,[16]HISTOMAI22!$A$6:$AU$39,44,0)</f>
        <v>0</v>
      </c>
      <c r="AC23" s="36">
        <f>VLOOKUP($A23,[16]HISTOMAI22!$A$6:$AU$39,47,0)</f>
        <v>0</v>
      </c>
      <c r="AD23" s="36">
        <f>VLOOKUP(A23,[16]HISTOMAI22!$A$6:$BB$36,54,0)</f>
        <v>70000</v>
      </c>
      <c r="AE23" s="36">
        <f>VLOOKUP($A23,[16]HISTOMAI22!$A$6:$CA$36,60,0)</f>
        <v>0</v>
      </c>
      <c r="AF23" s="36">
        <f>VLOOKUP($A23,[16]HISTOMAI22!$A$6:$CA$36,61,0)</f>
        <v>0</v>
      </c>
      <c r="AG23" s="36">
        <f>VLOOKUP($A23,[16]HISTOMAI22!$A$6:$CA$36,62,0)</f>
        <v>0</v>
      </c>
      <c r="AH23" s="36">
        <f>VLOOKUP($A23,[16]HISTOMAI22!$A$6:$CA$36,63,0)</f>
        <v>0</v>
      </c>
      <c r="AI23" s="36">
        <f>VLOOKUP($A23,[16]HISTOMAI22!$A$6:$CA$36,64,0)</f>
        <v>0</v>
      </c>
      <c r="AJ23" s="36">
        <f>VLOOKUP($A23,[16]HISTOMAI22!$A$6:$CA$36,65,0)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VLOOKUP($A24,[16]HISTOMAI22!$A$6:$BA$39,48,0)</f>
        <v>0</v>
      </c>
      <c r="F24" s="5">
        <f>MVTAVRIL22!F24-MVTMAI22!E24</f>
        <v>570000</v>
      </c>
      <c r="G24" s="6">
        <f t="shared" si="1"/>
        <v>0</v>
      </c>
      <c r="H24" s="6">
        <f>MVTAVRIL22!H24+MVTAVRIL22!G24+K24</f>
        <v>695926.46677370521</v>
      </c>
      <c r="I24" s="36">
        <f>VLOOKUP($A24,[16]HISTOMAI22!$A$6:$AQ$37,22,0)</f>
        <v>0</v>
      </c>
      <c r="J24" s="36">
        <f>VLOOKUP($A24,[16]HISTOMAI22!$A$6:$AU$39,45,0)</f>
        <v>7000</v>
      </c>
      <c r="K24" s="36">
        <f t="shared" si="2"/>
        <v>3000</v>
      </c>
      <c r="L24" s="36">
        <f t="shared" si="3"/>
        <v>500</v>
      </c>
      <c r="M24" s="36">
        <f t="shared" si="4"/>
        <v>1000</v>
      </c>
      <c r="N24" s="36">
        <f t="shared" si="5"/>
        <v>2500</v>
      </c>
      <c r="O24" s="36">
        <f>VLOOKUP($A24,[16]HISTOMAI22!$A$6:$AU$39,7,0)</f>
        <v>3000</v>
      </c>
      <c r="P24" s="36">
        <f>VLOOKUP($A24,[16]HISTOMAI22!$A$6:$AU$39,23,0)</f>
        <v>0</v>
      </c>
      <c r="Q24" s="36">
        <f>VLOOKUP($A24,[16]HISTOMAI22!$A$6:$AU$39,46,0)</f>
        <v>0</v>
      </c>
      <c r="R24" s="36">
        <f>VLOOKUP($A24,[16]HISTOMAI22!$A$6:$AU$39,26,0)</f>
        <v>0</v>
      </c>
      <c r="S24" s="36">
        <f>VLOOKUP($A24,[16]HISTOMAI22!$A$6:$BG$39,58,0)</f>
        <v>0</v>
      </c>
      <c r="T24" s="36">
        <f>VLOOKUP($A24,[16]HISTOMAI22!$A$6:$AU$39,28,0)</f>
        <v>0</v>
      </c>
      <c r="U24" s="36">
        <f>VLOOKUP($A24,[16]HISTOMAI22!$A$6:$AU$39,19,0)</f>
        <v>0</v>
      </c>
      <c r="V24" s="36">
        <f>VLOOKUP($A24,[16]HISTOMAI22!$A$6:$AU$39,20,0)</f>
        <v>0</v>
      </c>
      <c r="W24" s="36">
        <f>VLOOKUP($A24,[16]HISTOMAI22!$A$6:$AU$39,27,0)</f>
        <v>0</v>
      </c>
      <c r="X24" s="36">
        <f>VLOOKUP($A24,[16]HISTOMAI22!$A$6:$AU$39,33,0)</f>
        <v>0</v>
      </c>
      <c r="Y24" s="36">
        <f>VLOOKUP($A24,[16]HISTOMAI22!$A$6:$BP$39,65,0)</f>
        <v>0</v>
      </c>
      <c r="Z24" s="36"/>
      <c r="AA24" s="36">
        <f>VLOOKUP($A24,[16]HISTOMAI22!$A$6:$AU$39,43,0)</f>
        <v>0</v>
      </c>
      <c r="AB24" s="36">
        <f>VLOOKUP($A24,[16]HISTOMAI22!$A$6:$AU$39,44,0)</f>
        <v>0</v>
      </c>
      <c r="AC24" s="36">
        <f>VLOOKUP($A24,[16]HISTOMAI22!$A$6:$AU$39,47,0)</f>
        <v>0</v>
      </c>
      <c r="AD24" s="36">
        <f>VLOOKUP(A24,[16]HISTOMAI22!$A$6:$BB$36,54,0)</f>
        <v>0</v>
      </c>
      <c r="AE24" s="36">
        <f>VLOOKUP($A24,[16]HISTOMAI22!$A$6:$CA$36,60,0)</f>
        <v>0</v>
      </c>
      <c r="AF24" s="36">
        <f>VLOOKUP($A24,[16]HISTOMAI22!$A$6:$CA$36,61,0)</f>
        <v>0</v>
      </c>
      <c r="AG24" s="36">
        <f>VLOOKUP($A24,[16]HISTOMAI22!$A$6:$CA$36,62,0)</f>
        <v>0</v>
      </c>
      <c r="AH24" s="36">
        <f>VLOOKUP($A24,[16]HISTOMAI22!$A$6:$CA$36,63,0)</f>
        <v>0</v>
      </c>
      <c r="AI24" s="36">
        <f>VLOOKUP($A24,[16]HISTOMAI22!$A$6:$CA$36,64,0)</f>
        <v>0</v>
      </c>
      <c r="AJ24" s="36">
        <f>VLOOKUP($A24,[16]HISTOMAI22!$A$6:$CA$36,65,0)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VLOOKUP($A25,[16]HISTOMAI22!$A$6:$BA$39,48,0)</f>
        <v>0</v>
      </c>
      <c r="F25" s="5">
        <f>MVTAVRIL22!F25-MVTMAI22!E25</f>
        <v>570000</v>
      </c>
      <c r="G25" s="6">
        <f t="shared" si="1"/>
        <v>0</v>
      </c>
      <c r="H25" s="6">
        <f>MVTAVRIL22!H25+MVTAVRIL22!G25+K25</f>
        <v>634069.15320872201</v>
      </c>
      <c r="I25" s="36">
        <f>VLOOKUP($A25,[16]HISTOMAI22!$A$6:$AQ$37,22,0)</f>
        <v>0</v>
      </c>
      <c r="J25" s="36">
        <f>VLOOKUP($A25,[16]HISTOMAI22!$A$6:$AU$39,45,0)</f>
        <v>5000</v>
      </c>
      <c r="K25" s="36">
        <f t="shared" si="2"/>
        <v>1000</v>
      </c>
      <c r="L25" s="36">
        <f t="shared" si="3"/>
        <v>500</v>
      </c>
      <c r="M25" s="36">
        <f t="shared" si="4"/>
        <v>1000</v>
      </c>
      <c r="N25" s="36">
        <f t="shared" si="5"/>
        <v>2500</v>
      </c>
      <c r="O25" s="36">
        <f>VLOOKUP($A25,[16]HISTOMAI22!$A$6:$AU$39,7,0)</f>
        <v>0</v>
      </c>
      <c r="P25" s="36">
        <f>VLOOKUP($A25,[16]HISTOMAI22!$A$6:$AU$39,23,0)</f>
        <v>0</v>
      </c>
      <c r="Q25" s="36">
        <f>VLOOKUP($A25,[16]HISTOMAI22!$A$6:$AU$39,46,0)</f>
        <v>0</v>
      </c>
      <c r="R25" s="36">
        <f>VLOOKUP($A25,[16]HISTOMAI22!$A$6:$AU$39,26,0)</f>
        <v>0</v>
      </c>
      <c r="S25" s="36">
        <f>VLOOKUP($A25,[16]HISTOMAI22!$A$6:$BG$39,58,0)</f>
        <v>0</v>
      </c>
      <c r="T25" s="36">
        <f>VLOOKUP($A25,[16]HISTOMAI22!$A$6:$AU$39,28,0)</f>
        <v>0</v>
      </c>
      <c r="U25" s="36">
        <f>VLOOKUP($A25,[16]HISTOMAI22!$A$6:$AU$39,19,0)</f>
        <v>0</v>
      </c>
      <c r="V25" s="36">
        <f>VLOOKUP($A25,[16]HISTOMAI22!$A$6:$AU$39,20,0)</f>
        <v>0</v>
      </c>
      <c r="W25" s="36">
        <f>VLOOKUP($A25,[16]HISTOMAI22!$A$6:$AU$39,27,0)</f>
        <v>0</v>
      </c>
      <c r="X25" s="36">
        <f>VLOOKUP($A25,[16]HISTOMAI22!$A$6:$AU$39,33,0)</f>
        <v>0</v>
      </c>
      <c r="Y25" s="36">
        <f>VLOOKUP($A25,[16]HISTOMAI22!$A$6:$BP$39,65,0)</f>
        <v>0</v>
      </c>
      <c r="Z25" s="36"/>
      <c r="AA25" s="36">
        <f>VLOOKUP($A25,[16]HISTOMAI22!$A$6:$AU$39,43,0)</f>
        <v>0</v>
      </c>
      <c r="AB25" s="36">
        <f>VLOOKUP($A25,[16]HISTOMAI22!$A$6:$AU$39,44,0)</f>
        <v>0</v>
      </c>
      <c r="AC25" s="36">
        <f>VLOOKUP($A25,[16]HISTOMAI22!$A$6:$AU$39,47,0)</f>
        <v>0</v>
      </c>
      <c r="AD25" s="36">
        <f>VLOOKUP(A25,[16]HISTOMAI22!$A$6:$BB$36,54,0)</f>
        <v>0</v>
      </c>
      <c r="AE25" s="36">
        <f>VLOOKUP($A25,[16]HISTOMAI22!$A$6:$CA$36,60,0)</f>
        <v>0</v>
      </c>
      <c r="AF25" s="36">
        <f>VLOOKUP($A25,[16]HISTOMAI22!$A$6:$CA$36,61,0)</f>
        <v>0</v>
      </c>
      <c r="AG25" s="36">
        <f>VLOOKUP($A25,[16]HISTOMAI22!$A$6:$CA$36,62,0)</f>
        <v>0</v>
      </c>
      <c r="AH25" s="36">
        <f>VLOOKUP($A25,[16]HISTOMAI22!$A$6:$CA$36,63,0)</f>
        <v>0</v>
      </c>
      <c r="AI25" s="36">
        <f>VLOOKUP($A25,[16]HISTOMAI22!$A$6:$CA$36,64,0)</f>
        <v>0</v>
      </c>
      <c r="AJ25" s="36">
        <f>VLOOKUP($A25,[16]HISTOMAI22!$A$6:$CA$36,65,0)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VLOOKUP($A26,[16]HISTOMAI22!$A$6:$BA$39,48,0)</f>
        <v>0</v>
      </c>
      <c r="F26" s="5">
        <f>MVTAVRIL22!F26-MVTMAI22!E26</f>
        <v>570000</v>
      </c>
      <c r="G26" s="6">
        <f t="shared" si="1"/>
        <v>0</v>
      </c>
      <c r="H26" s="6">
        <f>MVTAVRIL22!H26+MVTAVRIL22!G26+K26</f>
        <v>643871.6035456314</v>
      </c>
      <c r="I26" s="36">
        <f>VLOOKUP($A26,[16]HISTOMAI22!$A$6:$AQ$37,22,0)</f>
        <v>0</v>
      </c>
      <c r="J26" s="36">
        <f>VLOOKUP($A26,[16]HISTOMAI22!$A$6:$AU$39,45,0)</f>
        <v>7000</v>
      </c>
      <c r="K26" s="36">
        <f t="shared" si="2"/>
        <v>3000</v>
      </c>
      <c r="L26" s="36">
        <f t="shared" si="3"/>
        <v>500</v>
      </c>
      <c r="M26" s="36">
        <f t="shared" si="4"/>
        <v>1000</v>
      </c>
      <c r="N26" s="36">
        <f t="shared" si="5"/>
        <v>2500</v>
      </c>
      <c r="O26" s="36">
        <f>VLOOKUP($A26,[16]HISTOMAI22!$A$6:$AU$39,7,0)</f>
        <v>0</v>
      </c>
      <c r="P26" s="36">
        <f>VLOOKUP($A26,[16]HISTOMAI22!$A$6:$AU$39,23,0)</f>
        <v>0</v>
      </c>
      <c r="Q26" s="36">
        <f>VLOOKUP($A26,[16]HISTOMAI22!$A$6:$AU$39,46,0)</f>
        <v>0</v>
      </c>
      <c r="R26" s="36">
        <f>VLOOKUP($A26,[16]HISTOMAI22!$A$6:$AU$39,26,0)</f>
        <v>0</v>
      </c>
      <c r="S26" s="36">
        <f>VLOOKUP($A26,[16]HISTOMAI22!$A$6:$BG$39,58,0)</f>
        <v>0</v>
      </c>
      <c r="T26" s="36">
        <f>VLOOKUP($A26,[16]HISTOMAI22!$A$6:$AU$39,28,0)</f>
        <v>0</v>
      </c>
      <c r="U26" s="36">
        <f>VLOOKUP($A26,[16]HISTOMAI22!$A$6:$AU$39,19,0)</f>
        <v>0</v>
      </c>
      <c r="V26" s="36">
        <f>VLOOKUP($A26,[16]HISTOMAI22!$A$6:$AU$39,20,0)</f>
        <v>0</v>
      </c>
      <c r="W26" s="36">
        <f>VLOOKUP($A26,[16]HISTOMAI22!$A$6:$AU$39,27,0)</f>
        <v>0</v>
      </c>
      <c r="X26" s="36">
        <f>VLOOKUP($A26,[16]HISTOMAI22!$A$6:$AU$39,33,0)</f>
        <v>0</v>
      </c>
      <c r="Y26" s="36">
        <f>VLOOKUP($A26,[16]HISTOMAI22!$A$6:$BP$39,65,0)</f>
        <v>0</v>
      </c>
      <c r="Z26" s="36"/>
      <c r="AA26" s="36">
        <f>VLOOKUP($A26,[16]HISTOMAI22!$A$6:$AU$39,43,0)</f>
        <v>0</v>
      </c>
      <c r="AB26" s="36">
        <f>VLOOKUP($A26,[16]HISTOMAI22!$A$6:$AU$39,44,0)</f>
        <v>0</v>
      </c>
      <c r="AC26" s="36">
        <f>VLOOKUP($A26,[16]HISTOMAI22!$A$6:$AU$39,47,0)</f>
        <v>0</v>
      </c>
      <c r="AD26" s="36">
        <f>VLOOKUP(A26,[16]HISTOMAI22!$A$6:$BB$36,54,0)</f>
        <v>0</v>
      </c>
      <c r="AE26" s="36">
        <f>VLOOKUP($A26,[16]HISTOMAI22!$A$6:$CA$36,60,0)</f>
        <v>0</v>
      </c>
      <c r="AF26" s="36">
        <f>VLOOKUP($A26,[16]HISTOMAI22!$A$6:$CA$36,61,0)</f>
        <v>0</v>
      </c>
      <c r="AG26" s="36">
        <f>VLOOKUP($A26,[16]HISTOMAI22!$A$6:$CA$36,62,0)</f>
        <v>0</v>
      </c>
      <c r="AH26" s="36">
        <f>VLOOKUP($A26,[16]HISTOMAI22!$A$6:$CA$36,63,0)</f>
        <v>0</v>
      </c>
      <c r="AI26" s="36">
        <f>VLOOKUP($A26,[16]HISTOMAI22!$A$6:$CA$36,64,0)</f>
        <v>0</v>
      </c>
      <c r="AJ26" s="36">
        <f>VLOOKUP($A26,[16]HISTOMAI22!$A$6:$CA$36,65,0)</f>
        <v>0</v>
      </c>
    </row>
    <row r="27" spans="1:36" x14ac:dyDescent="0.25">
      <c r="A27" s="1" t="s">
        <v>30</v>
      </c>
      <c r="B27" s="1" t="str">
        <f>VLOOKUP(A27,[15]LISTADHERENT!A$5:H$60,3,0)</f>
        <v>NKEHE DAVID</v>
      </c>
      <c r="C27" s="5"/>
      <c r="D27" s="5"/>
      <c r="E27" s="36">
        <f>VLOOKUP($A27,[16]HISTOMAI22!$A$6:$BA$39,48,0)</f>
        <v>0</v>
      </c>
      <c r="F27" s="5">
        <f>MVTAVRIL22!F27-MVTMAI22!E27</f>
        <v>534974.27750837663</v>
      </c>
      <c r="G27" s="6">
        <f t="shared" si="1"/>
        <v>0</v>
      </c>
      <c r="H27" s="6">
        <f>MVTAVRIL22!H27+MVTAVRIL22!G27+K27</f>
        <v>0</v>
      </c>
      <c r="I27" s="36">
        <f>VLOOKUP($A27,[16]HISTOMAI22!$A$6:$AQ$37,22,0)</f>
        <v>0</v>
      </c>
      <c r="J27" s="36">
        <f>VLOOKUP($A27,[16]HISTOMAI22!$A$6:$AU$39,45,0)</f>
        <v>0</v>
      </c>
      <c r="K27" s="36">
        <f t="shared" si="2"/>
        <v>0</v>
      </c>
      <c r="L27" s="36">
        <f t="shared" si="3"/>
        <v>0</v>
      </c>
      <c r="M27" s="36">
        <f t="shared" si="4"/>
        <v>0</v>
      </c>
      <c r="N27" s="36">
        <f t="shared" si="5"/>
        <v>0</v>
      </c>
      <c r="O27" s="36">
        <f>VLOOKUP($A27,[16]HISTOMAI22!$A$6:$AU$39,7,0)</f>
        <v>0</v>
      </c>
      <c r="P27" s="36">
        <f>VLOOKUP($A27,[16]HISTOMAI22!$A$6:$AU$39,23,0)</f>
        <v>0</v>
      </c>
      <c r="Q27" s="36">
        <f>VLOOKUP($A27,[16]HISTOMAI22!$A$6:$AU$39,46,0)</f>
        <v>0</v>
      </c>
      <c r="R27" s="36">
        <f>VLOOKUP($A27,[16]HISTOMAI22!$A$6:$AU$39,26,0)</f>
        <v>0</v>
      </c>
      <c r="S27" s="36">
        <f>VLOOKUP($A27,[16]HISTOMAI22!$A$6:$BG$39,58,0)</f>
        <v>0</v>
      </c>
      <c r="T27" s="36">
        <f>VLOOKUP($A27,[16]HISTOMAI22!$A$6:$AU$39,28,0)</f>
        <v>0</v>
      </c>
      <c r="U27" s="36">
        <f>VLOOKUP($A27,[16]HISTOMAI22!$A$6:$AU$39,19,0)</f>
        <v>0</v>
      </c>
      <c r="V27" s="36">
        <f>VLOOKUP($A27,[16]HISTOMAI22!$A$6:$AU$39,20,0)</f>
        <v>0</v>
      </c>
      <c r="W27" s="36">
        <f>VLOOKUP($A27,[16]HISTOMAI22!$A$6:$AU$39,27,0)</f>
        <v>0</v>
      </c>
      <c r="X27" s="36">
        <f>VLOOKUP($A27,[16]HISTOMAI22!$A$6:$AU$39,33,0)</f>
        <v>0</v>
      </c>
      <c r="Y27" s="36">
        <f>VLOOKUP($A27,[16]HISTOMAI22!$A$6:$BP$39,65,0)</f>
        <v>0</v>
      </c>
      <c r="Z27" s="36"/>
      <c r="AA27" s="36">
        <f>VLOOKUP($A27,[16]HISTOMAI22!$A$6:$AU$39,43,0)</f>
        <v>0</v>
      </c>
      <c r="AB27" s="36">
        <f>VLOOKUP($A27,[16]HISTOMAI22!$A$6:$AU$39,44,0)</f>
        <v>0</v>
      </c>
      <c r="AC27" s="36">
        <f>VLOOKUP($A27,[16]HISTOMAI22!$A$6:$AU$39,47,0)</f>
        <v>0</v>
      </c>
      <c r="AD27" s="36">
        <f>VLOOKUP(A27,[16]HISTOMAI22!$A$6:$BB$36,54,0)</f>
        <v>0</v>
      </c>
      <c r="AE27" s="36">
        <f>VLOOKUP($A27,[16]HISTOMAI22!$A$6:$CA$36,60,0)</f>
        <v>0</v>
      </c>
      <c r="AF27" s="36">
        <f>VLOOKUP($A27,[16]HISTOMAI22!$A$6:$CA$36,61,0)</f>
        <v>0</v>
      </c>
      <c r="AG27" s="36">
        <f>VLOOKUP($A27,[16]HISTOMAI22!$A$6:$CA$36,62,0)</f>
        <v>0</v>
      </c>
      <c r="AH27" s="36">
        <f>VLOOKUP($A27,[16]HISTOMAI22!$A$6:$CA$36,63,0)</f>
        <v>0</v>
      </c>
      <c r="AI27" s="36">
        <f>VLOOKUP($A27,[16]HISTOMAI22!$A$6:$CA$36,64,0)</f>
        <v>0</v>
      </c>
      <c r="AJ27" s="36">
        <f>VLOOKUP($A27,[16]HISTOMAI22!$A$6:$CA$36,65,0)</f>
        <v>0</v>
      </c>
    </row>
    <row r="28" spans="1:36" x14ac:dyDescent="0.25">
      <c r="A28" s="1" t="s">
        <v>44</v>
      </c>
      <c r="B28" s="1" t="str">
        <f>VLOOKUP(A28,[15]LISTADHERENT!A$5:H$60,3,0)</f>
        <v>NKEPSEU DIEUDONNE</v>
      </c>
      <c r="C28" s="5"/>
      <c r="D28" s="5"/>
      <c r="E28" s="36">
        <f>VLOOKUP($A28,[16]HISTOMAI22!$A$6:$BA$39,48,0)</f>
        <v>0</v>
      </c>
      <c r="F28" s="5">
        <f>MVTAVRIL22!F28-MVTMAI22!E28</f>
        <v>570000</v>
      </c>
      <c r="G28" s="6">
        <f t="shared" si="1"/>
        <v>0</v>
      </c>
      <c r="H28" s="6">
        <f>MVTAVRIL22!H28+MVTAVRIL22!G28+K28</f>
        <v>678758.27215425554</v>
      </c>
      <c r="I28" s="36">
        <f>VLOOKUP($A28,[16]HISTOMAI22!$A$6:$AQ$37,22,0)</f>
        <v>0</v>
      </c>
      <c r="J28" s="36">
        <f>VLOOKUP($A28,[16]HISTOMAI22!$A$6:$AU$39,45,0)</f>
        <v>17000</v>
      </c>
      <c r="K28" s="36">
        <f t="shared" si="2"/>
        <v>13000</v>
      </c>
      <c r="L28" s="36">
        <f t="shared" si="3"/>
        <v>500</v>
      </c>
      <c r="M28" s="36">
        <f t="shared" si="4"/>
        <v>1000</v>
      </c>
      <c r="N28" s="36">
        <f t="shared" si="5"/>
        <v>2500</v>
      </c>
      <c r="O28" s="36">
        <f>VLOOKUP($A28,[16]HISTOMAI22!$A$6:$AU$39,7,0)</f>
        <v>0</v>
      </c>
      <c r="P28" s="36">
        <f>VLOOKUP($A28,[16]HISTOMAI22!$A$6:$AU$39,23,0)</f>
        <v>0</v>
      </c>
      <c r="Q28" s="36">
        <f>VLOOKUP($A28,[16]HISTOMAI22!$A$6:$AU$39,46,0)</f>
        <v>0</v>
      </c>
      <c r="R28" s="36">
        <f>VLOOKUP($A28,[16]HISTOMAI22!$A$6:$AU$39,26,0)</f>
        <v>0</v>
      </c>
      <c r="S28" s="36">
        <f>VLOOKUP($A28,[16]HISTOMAI22!$A$6:$BG$39,58,0)</f>
        <v>0</v>
      </c>
      <c r="T28" s="36">
        <f>VLOOKUP($A28,[16]HISTOMAI22!$A$6:$AU$39,28,0)</f>
        <v>0</v>
      </c>
      <c r="U28" s="36">
        <f>VLOOKUP($A28,[16]HISTOMAI22!$A$6:$AU$39,19,0)</f>
        <v>0</v>
      </c>
      <c r="V28" s="36">
        <f>VLOOKUP($A28,[16]HISTOMAI22!$A$6:$AU$39,20,0)</f>
        <v>0</v>
      </c>
      <c r="W28" s="36">
        <f>VLOOKUP($A28,[16]HISTOMAI22!$A$6:$AU$39,27,0)</f>
        <v>0</v>
      </c>
      <c r="X28" s="36">
        <f>VLOOKUP($A28,[16]HISTOMAI22!$A$6:$AU$39,33,0)</f>
        <v>0</v>
      </c>
      <c r="Y28" s="36">
        <f>VLOOKUP($A28,[16]HISTOMAI22!$A$6:$BP$39,65,0)</f>
        <v>0</v>
      </c>
      <c r="Z28" s="36"/>
      <c r="AA28" s="36">
        <f>VLOOKUP($A28,[16]HISTOMAI22!$A$6:$AU$39,43,0)</f>
        <v>0</v>
      </c>
      <c r="AB28" s="36">
        <f>VLOOKUP($A28,[16]HISTOMAI22!$A$6:$AU$39,44,0)</f>
        <v>0</v>
      </c>
      <c r="AC28" s="36">
        <f>VLOOKUP($A28,[16]HISTOMAI22!$A$6:$AU$39,47,0)</f>
        <v>0</v>
      </c>
      <c r="AD28" s="36">
        <f>VLOOKUP(A28,[16]HISTOMAI22!$A$6:$BB$36,54,0)</f>
        <v>70000</v>
      </c>
      <c r="AE28" s="36">
        <f>VLOOKUP($A28,[16]HISTOMAI22!$A$6:$CA$36,60,0)</f>
        <v>0</v>
      </c>
      <c r="AF28" s="36">
        <f>VLOOKUP($A28,[16]HISTOMAI22!$A$6:$CA$36,61,0)</f>
        <v>0</v>
      </c>
      <c r="AG28" s="36">
        <f>VLOOKUP($A28,[16]HISTOMAI22!$A$6:$CA$36,62,0)</f>
        <v>0</v>
      </c>
      <c r="AH28" s="36">
        <f>VLOOKUP($A28,[16]HISTOMAI22!$A$6:$CA$36,63,0)</f>
        <v>0</v>
      </c>
      <c r="AI28" s="36">
        <f>VLOOKUP($A28,[16]HISTOMAI22!$A$6:$CA$36,64,0)</f>
        <v>0</v>
      </c>
      <c r="AJ28" s="36">
        <f>VLOOKUP($A28,[16]HISTOMAI22!$A$6:$CA$36,65,0)</f>
        <v>0</v>
      </c>
    </row>
    <row r="29" spans="1:36" x14ac:dyDescent="0.25">
      <c r="A29" s="1" t="s">
        <v>45</v>
      </c>
      <c r="B29" s="1" t="str">
        <f>VLOOKUP(A29,[15]LISTADHERENT!A$5:H$60,3,0)</f>
        <v>PATEGO NJOSSU GUSTAVE</v>
      </c>
      <c r="C29" s="5"/>
      <c r="D29" s="5"/>
      <c r="E29" s="36">
        <f>VLOOKUP($A29,[16]HISTOMAI22!$A$6:$BA$39,48,0)</f>
        <v>0</v>
      </c>
      <c r="F29" s="5">
        <f>MVTAVRIL22!F29-MVTMAI22!E29</f>
        <v>570000</v>
      </c>
      <c r="G29" s="6">
        <f t="shared" si="1"/>
        <v>0</v>
      </c>
      <c r="H29" s="6">
        <f>MVTAVRIL22!H29+MVTAVRIL22!G29+K29</f>
        <v>655482.8578881158</v>
      </c>
      <c r="I29" s="36">
        <f>VLOOKUP($A29,[16]HISTOMAI22!$A$6:$AQ$37,22,0)</f>
        <v>0</v>
      </c>
      <c r="J29" s="36">
        <f>VLOOKUP($A29,[16]HISTOMAI22!$A$6:$AU$39,45,0)</f>
        <v>7000</v>
      </c>
      <c r="K29" s="36">
        <f t="shared" si="2"/>
        <v>3000</v>
      </c>
      <c r="L29" s="36">
        <f t="shared" si="3"/>
        <v>500</v>
      </c>
      <c r="M29" s="36">
        <f t="shared" si="4"/>
        <v>1000</v>
      </c>
      <c r="N29" s="36">
        <f t="shared" si="5"/>
        <v>2500</v>
      </c>
      <c r="O29" s="36">
        <f>VLOOKUP($A29,[16]HISTOMAI22!$A$6:$AU$39,7,0)</f>
        <v>0</v>
      </c>
      <c r="P29" s="36">
        <f>VLOOKUP($A29,[16]HISTOMAI22!$A$6:$AU$39,23,0)</f>
        <v>0</v>
      </c>
      <c r="Q29" s="36">
        <f>VLOOKUP($A29,[16]HISTOMAI22!$A$6:$AU$39,46,0)</f>
        <v>0</v>
      </c>
      <c r="R29" s="36">
        <f>VLOOKUP($A29,[16]HISTOMAI22!$A$6:$AU$39,26,0)</f>
        <v>0</v>
      </c>
      <c r="S29" s="36">
        <f>VLOOKUP($A29,[16]HISTOMAI22!$A$6:$BG$39,58,0)</f>
        <v>0</v>
      </c>
      <c r="T29" s="36">
        <f>VLOOKUP($A29,[16]HISTOMAI22!$A$6:$AU$39,28,0)</f>
        <v>0</v>
      </c>
      <c r="U29" s="36">
        <f>VLOOKUP($A29,[16]HISTOMAI22!$A$6:$AU$39,19,0)</f>
        <v>0</v>
      </c>
      <c r="V29" s="36">
        <f>VLOOKUP($A29,[16]HISTOMAI22!$A$6:$AU$39,20,0)</f>
        <v>0</v>
      </c>
      <c r="W29" s="36">
        <f>VLOOKUP($A29,[16]HISTOMAI22!$A$6:$AU$39,27,0)</f>
        <v>0</v>
      </c>
      <c r="X29" s="36">
        <f>VLOOKUP($A29,[16]HISTOMAI22!$A$6:$AU$39,33,0)</f>
        <v>0</v>
      </c>
      <c r="Y29" s="36">
        <f>VLOOKUP($A29,[16]HISTOMAI22!$A$6:$BP$39,65,0)</f>
        <v>0</v>
      </c>
      <c r="Z29" s="36"/>
      <c r="AA29" s="36">
        <f>VLOOKUP($A29,[16]HISTOMAI22!$A$6:$AU$39,43,0)</f>
        <v>0</v>
      </c>
      <c r="AB29" s="36">
        <f>VLOOKUP($A29,[16]HISTOMAI22!$A$6:$AU$39,44,0)</f>
        <v>0</v>
      </c>
      <c r="AC29" s="36">
        <f>VLOOKUP($A29,[16]HISTOMAI22!$A$6:$AU$39,47,0)</f>
        <v>0</v>
      </c>
      <c r="AD29" s="36">
        <f>VLOOKUP(A29,[16]HISTOMAI22!$A$6:$BB$36,54,0)</f>
        <v>0</v>
      </c>
      <c r="AE29" s="36">
        <f>VLOOKUP($A29,[16]HISTOMAI22!$A$6:$CA$36,60,0)</f>
        <v>0</v>
      </c>
      <c r="AF29" s="36">
        <f>VLOOKUP($A29,[16]HISTOMAI22!$A$6:$CA$36,61,0)</f>
        <v>0</v>
      </c>
      <c r="AG29" s="36">
        <f>VLOOKUP($A29,[16]HISTOMAI22!$A$6:$CA$36,62,0)</f>
        <v>0</v>
      </c>
      <c r="AH29" s="36">
        <f>VLOOKUP($A29,[16]HISTOMAI22!$A$6:$CA$36,63,0)</f>
        <v>0</v>
      </c>
      <c r="AI29" s="36">
        <f>VLOOKUP($A29,[16]HISTOMAI22!$A$6:$CA$36,64,0)</f>
        <v>0</v>
      </c>
      <c r="AJ29" s="36">
        <f>VLOOKUP($A29,[16]HISTOMAI22!$A$6:$CA$36,65,0)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VLOOKUP($A30,[16]HISTOMAI22!$A$6:$BA$39,48,0)</f>
        <v>0</v>
      </c>
      <c r="F30" s="5">
        <f>MVTAVRIL22!F30-MVTMAI22!E30</f>
        <v>570000</v>
      </c>
      <c r="G30" s="6">
        <f t="shared" si="1"/>
        <v>0</v>
      </c>
      <c r="H30" s="6">
        <f>MVTAVRIL22!H30+MVTAVRIL22!G30+K30</f>
        <v>928535.03122005297</v>
      </c>
      <c r="I30" s="36">
        <f>VLOOKUP($A30,[16]HISTOMAI22!$A$6:$AQ$37,22,0)</f>
        <v>0</v>
      </c>
      <c r="J30" s="36">
        <f>VLOOKUP($A30,[16]HISTOMAI22!$A$6:$AU$39,45,0)</f>
        <v>4000</v>
      </c>
      <c r="K30" s="36">
        <f t="shared" si="2"/>
        <v>0</v>
      </c>
      <c r="L30" s="36">
        <f t="shared" si="3"/>
        <v>500</v>
      </c>
      <c r="M30" s="36">
        <f t="shared" si="4"/>
        <v>1000</v>
      </c>
      <c r="N30" s="36">
        <f t="shared" si="5"/>
        <v>2500</v>
      </c>
      <c r="O30" s="36">
        <f>VLOOKUP($A30,[16]HISTOMAI22!$A$6:$AU$39,7,0)</f>
        <v>3000</v>
      </c>
      <c r="P30" s="36">
        <f>VLOOKUP($A30,[16]HISTOMAI22!$A$6:$AU$39,23,0)</f>
        <v>0</v>
      </c>
      <c r="Q30" s="36">
        <f>VLOOKUP($A30,[16]HISTOMAI22!$A$6:$AU$39,46,0)</f>
        <v>0</v>
      </c>
      <c r="R30" s="36">
        <f>VLOOKUP($A30,[16]HISTOMAI22!$A$6:$AU$39,26,0)</f>
        <v>0</v>
      </c>
      <c r="S30" s="36">
        <f>VLOOKUP($A30,[16]HISTOMAI22!$A$6:$BG$39,58,0)</f>
        <v>0</v>
      </c>
      <c r="T30" s="36">
        <f>VLOOKUP($A30,[16]HISTOMAI22!$A$6:$AU$39,28,0)</f>
        <v>0</v>
      </c>
      <c r="U30" s="36">
        <f>VLOOKUP($A30,[16]HISTOMAI22!$A$6:$AU$39,19,0)</f>
        <v>0</v>
      </c>
      <c r="V30" s="36">
        <f>VLOOKUP($A30,[16]HISTOMAI22!$A$6:$AU$39,20,0)</f>
        <v>0</v>
      </c>
      <c r="W30" s="36">
        <f>VLOOKUP($A30,[16]HISTOMAI22!$A$6:$AU$39,27,0)</f>
        <v>0</v>
      </c>
      <c r="X30" s="36">
        <f>VLOOKUP($A30,[16]HISTOMAI22!$A$6:$AU$39,33,0)</f>
        <v>0</v>
      </c>
      <c r="Y30" s="36">
        <f>VLOOKUP($A30,[16]HISTOMAI22!$A$6:$BP$39,65,0)</f>
        <v>0</v>
      </c>
      <c r="Z30" s="36"/>
      <c r="AA30" s="36">
        <f>VLOOKUP($A30,[16]HISTOMAI22!$A$6:$AU$39,43,0)</f>
        <v>0</v>
      </c>
      <c r="AB30" s="36">
        <f>VLOOKUP($A30,[16]HISTOMAI22!$A$6:$AU$39,44,0)</f>
        <v>0</v>
      </c>
      <c r="AC30" s="36">
        <f>VLOOKUP($A30,[16]HISTOMAI22!$A$6:$AU$39,47,0)</f>
        <v>0</v>
      </c>
      <c r="AD30" s="36">
        <f>VLOOKUP(A30,[16]HISTOMAI22!$A$6:$BB$36,54,0)</f>
        <v>0</v>
      </c>
      <c r="AE30" s="36">
        <f>VLOOKUP($A30,[16]HISTOMAI22!$A$6:$CA$36,60,0)</f>
        <v>0</v>
      </c>
      <c r="AF30" s="36">
        <f>VLOOKUP($A30,[16]HISTOMAI22!$A$6:$CA$36,61,0)</f>
        <v>0</v>
      </c>
      <c r="AG30" s="36">
        <f>VLOOKUP($A30,[16]HISTOMAI22!$A$6:$CA$36,62,0)</f>
        <v>0</v>
      </c>
      <c r="AH30" s="36">
        <f>VLOOKUP($A30,[16]HISTOMAI22!$A$6:$CA$36,63,0)</f>
        <v>0</v>
      </c>
      <c r="AI30" s="36">
        <f>VLOOKUP($A30,[16]HISTOMAI22!$A$6:$CA$36,64,0)</f>
        <v>0</v>
      </c>
      <c r="AJ30" s="36">
        <f>VLOOKUP($A30,[16]HISTOMAI22!$A$6:$CA$36,65,0)</f>
        <v>0</v>
      </c>
    </row>
    <row r="31" spans="1:36" x14ac:dyDescent="0.25">
      <c r="A31" s="1" t="s">
        <v>47</v>
      </c>
      <c r="B31" s="1" t="str">
        <f>VLOOKUP(A31,[15]LISTADHERENT!A$5:H$60,3,0)</f>
        <v>SIMO FONGANG ERIC</v>
      </c>
      <c r="C31" s="5"/>
      <c r="D31" s="5"/>
      <c r="E31" s="36">
        <f>VLOOKUP($A31,[16]HISTOMAI22!$A$6:$BA$39,48,0)</f>
        <v>0</v>
      </c>
      <c r="F31" s="5">
        <f>MVTAVRIL22!F31-MVTMAI22!E31</f>
        <v>570000</v>
      </c>
      <c r="G31" s="6">
        <f t="shared" si="1"/>
        <v>0</v>
      </c>
      <c r="H31" s="6">
        <f>MVTAVRIL22!H31+MVTAVRIL22!G31+K31</f>
        <v>0</v>
      </c>
      <c r="I31" s="36">
        <f>VLOOKUP($A31,[16]HISTOMAI22!$A$6:$AQ$37,22,0)</f>
        <v>0</v>
      </c>
      <c r="J31" s="36">
        <f>VLOOKUP($A31,[16]HISTOMAI22!$A$6:$AU$39,45,0)</f>
        <v>0</v>
      </c>
      <c r="K31" s="36">
        <f t="shared" si="2"/>
        <v>0</v>
      </c>
      <c r="L31" s="36">
        <f t="shared" si="3"/>
        <v>0</v>
      </c>
      <c r="M31" s="36">
        <f t="shared" si="4"/>
        <v>0</v>
      </c>
      <c r="N31" s="36">
        <f t="shared" si="5"/>
        <v>0</v>
      </c>
      <c r="O31" s="36">
        <f>VLOOKUP($A31,[16]HISTOMAI22!$A$6:$AU$39,7,0)</f>
        <v>0</v>
      </c>
      <c r="P31" s="36">
        <f>VLOOKUP($A31,[16]HISTOMAI22!$A$6:$AU$39,23,0)</f>
        <v>0</v>
      </c>
      <c r="Q31" s="36">
        <f>VLOOKUP($A31,[16]HISTOMAI22!$A$6:$AU$39,46,0)</f>
        <v>0</v>
      </c>
      <c r="R31" s="36">
        <f>VLOOKUP($A31,[16]HISTOMAI22!$A$6:$AU$39,26,0)</f>
        <v>0</v>
      </c>
      <c r="S31" s="36">
        <f>VLOOKUP($A31,[16]HISTOMAI22!$A$6:$BG$39,58,0)</f>
        <v>0</v>
      </c>
      <c r="T31" s="36">
        <f>VLOOKUP($A31,[16]HISTOMAI22!$A$6:$AU$39,28,0)</f>
        <v>0</v>
      </c>
      <c r="U31" s="36">
        <f>VLOOKUP($A31,[16]HISTOMAI22!$A$6:$AU$39,19,0)</f>
        <v>0</v>
      </c>
      <c r="V31" s="36">
        <f>VLOOKUP($A31,[16]HISTOMAI22!$A$6:$AU$39,20,0)</f>
        <v>0</v>
      </c>
      <c r="W31" s="36">
        <f>VLOOKUP($A31,[16]HISTOMAI22!$A$6:$AU$39,27,0)</f>
        <v>0</v>
      </c>
      <c r="X31" s="36">
        <f>VLOOKUP($A31,[16]HISTOMAI22!$A$6:$AU$39,33,0)</f>
        <v>0</v>
      </c>
      <c r="Y31" s="36">
        <f>VLOOKUP($A31,[16]HISTOMAI22!$A$6:$BP$39,65,0)</f>
        <v>0</v>
      </c>
      <c r="Z31" s="36"/>
      <c r="AA31" s="36">
        <f>VLOOKUP($A31,[16]HISTOMAI22!$A$6:$AU$39,43,0)</f>
        <v>0</v>
      </c>
      <c r="AB31" s="36">
        <f>VLOOKUP($A31,[16]HISTOMAI22!$A$6:$AU$39,44,0)</f>
        <v>0</v>
      </c>
      <c r="AC31" s="36">
        <f>VLOOKUP($A31,[16]HISTOMAI22!$A$6:$AU$39,47,0)</f>
        <v>0</v>
      </c>
      <c r="AD31" s="36">
        <f>VLOOKUP(A31,[16]HISTOMAI22!$A$6:$BB$36,54,0)</f>
        <v>0</v>
      </c>
      <c r="AE31" s="36">
        <f>VLOOKUP($A31,[16]HISTOMAI22!$A$6:$CA$36,60,0)</f>
        <v>0</v>
      </c>
      <c r="AF31" s="36">
        <f>VLOOKUP($A31,[16]HISTOMAI22!$A$6:$CA$36,61,0)</f>
        <v>0</v>
      </c>
      <c r="AG31" s="36">
        <f>VLOOKUP($A31,[16]HISTOMAI22!$A$6:$CA$36,62,0)</f>
        <v>0</v>
      </c>
      <c r="AH31" s="36">
        <f>VLOOKUP($A31,[16]HISTOMAI22!$A$6:$CA$36,63,0)</f>
        <v>0</v>
      </c>
      <c r="AI31" s="36">
        <f>VLOOKUP($A31,[16]HISTOMAI22!$A$6:$CA$36,64,0)</f>
        <v>0</v>
      </c>
      <c r="AJ31" s="36">
        <f>VLOOKUP($A31,[16]HISTOMAI22!$A$6:$CA$36,65,0)</f>
        <v>0</v>
      </c>
    </row>
    <row r="32" spans="1:36" x14ac:dyDescent="0.25">
      <c r="A32" s="1" t="s">
        <v>49</v>
      </c>
      <c r="B32" s="1" t="str">
        <f>VLOOKUP(A32,[15]LISTADHERENT!A$5:H$60,3,0)</f>
        <v>SIMO PIERRE</v>
      </c>
      <c r="C32" s="5"/>
      <c r="D32" s="5"/>
      <c r="E32" s="36">
        <f>VLOOKUP($A32,[16]HISTOMAI22!$A$6:$BA$39,48,0)</f>
        <v>0</v>
      </c>
      <c r="F32" s="5">
        <f>MVTAVRIL22!F32-MVTMAI22!E32</f>
        <v>570000</v>
      </c>
      <c r="G32" s="6">
        <f t="shared" si="1"/>
        <v>0</v>
      </c>
      <c r="H32" s="6">
        <f>MVTAVRIL22!H32+MVTAVRIL22!G32+K32</f>
        <v>772929.03110068408</v>
      </c>
      <c r="I32" s="36">
        <f>VLOOKUP($A32,[16]HISTOMAI22!$A$6:$AQ$37,22,0)</f>
        <v>0</v>
      </c>
      <c r="J32" s="36">
        <f>VLOOKUP($A32,[16]HISTOMAI22!$A$6:$AU$39,45,0)</f>
        <v>12000</v>
      </c>
      <c r="K32" s="36">
        <f t="shared" si="2"/>
        <v>8000</v>
      </c>
      <c r="L32" s="36">
        <f t="shared" si="3"/>
        <v>500</v>
      </c>
      <c r="M32" s="36">
        <f t="shared" si="4"/>
        <v>1000</v>
      </c>
      <c r="N32" s="36">
        <f t="shared" si="5"/>
        <v>2500</v>
      </c>
      <c r="O32" s="36">
        <f>VLOOKUP($A32,[16]HISTOMAI22!$A$6:$AU$39,7,0)</f>
        <v>0</v>
      </c>
      <c r="P32" s="36">
        <f>VLOOKUP($A32,[16]HISTOMAI22!$A$6:$AU$39,23,0)</f>
        <v>0</v>
      </c>
      <c r="Q32" s="36">
        <f>VLOOKUP($A32,[16]HISTOMAI22!$A$6:$AU$39,46,0)</f>
        <v>0</v>
      </c>
      <c r="R32" s="36">
        <f>VLOOKUP($A32,[16]HISTOMAI22!$A$6:$AU$39,26,0)</f>
        <v>0</v>
      </c>
      <c r="S32" s="36">
        <f>VLOOKUP($A32,[16]HISTOMAI22!$A$6:$BG$39,58,0)</f>
        <v>0</v>
      </c>
      <c r="T32" s="36">
        <f>VLOOKUP($A32,[16]HISTOMAI22!$A$6:$AU$39,28,0)</f>
        <v>0</v>
      </c>
      <c r="U32" s="36">
        <f>VLOOKUP($A32,[16]HISTOMAI22!$A$6:$AU$39,19,0)</f>
        <v>100000</v>
      </c>
      <c r="V32" s="36" t="str">
        <f>VLOOKUP($A32,[16]HISTOMAI22!$A$6:$AU$39,20,0)</f>
        <v>BANQUE</v>
      </c>
      <c r="W32" s="36">
        <f>VLOOKUP($A32,[16]HISTOMAI22!$A$6:$AU$39,27,0)</f>
        <v>0</v>
      </c>
      <c r="X32" s="36">
        <f>VLOOKUP($A32,[16]HISTOMAI22!$A$6:$AU$39,33,0)</f>
        <v>0</v>
      </c>
      <c r="Y32" s="36">
        <f>VLOOKUP($A32,[16]HISTOMAI22!$A$6:$BP$39,65,0)</f>
        <v>0</v>
      </c>
      <c r="Z32" s="36"/>
      <c r="AA32" s="36">
        <f>VLOOKUP($A32,[16]HISTOMAI22!$A$6:$AU$39,43,0)</f>
        <v>0</v>
      </c>
      <c r="AB32" s="36">
        <f>VLOOKUP($A32,[16]HISTOMAI22!$A$6:$AU$39,44,0)</f>
        <v>0</v>
      </c>
      <c r="AC32" s="36">
        <f>VLOOKUP($A32,[16]HISTOMAI22!$A$6:$AU$39,47,0)</f>
        <v>0</v>
      </c>
      <c r="AD32" s="36">
        <f>VLOOKUP(A32,[16]HISTOMAI22!$A$6:$BB$36,54,0)</f>
        <v>0</v>
      </c>
      <c r="AE32" s="36">
        <f>VLOOKUP($A32,[16]HISTOMAI22!$A$6:$CA$36,60,0)</f>
        <v>0</v>
      </c>
      <c r="AF32" s="36">
        <f>VLOOKUP($A32,[16]HISTOMAI22!$A$6:$CA$36,61,0)</f>
        <v>0</v>
      </c>
      <c r="AG32" s="36">
        <f>VLOOKUP($A32,[16]HISTOMAI22!$A$6:$CA$36,62,0)</f>
        <v>0</v>
      </c>
      <c r="AH32" s="36">
        <f>VLOOKUP($A32,[16]HISTOMAI22!$A$6:$CA$36,63,0)</f>
        <v>0</v>
      </c>
      <c r="AI32" s="36">
        <f>VLOOKUP($A32,[16]HISTOMAI22!$A$6:$CA$36,64,0)</f>
        <v>0</v>
      </c>
      <c r="AJ32" s="36">
        <f>VLOOKUP($A32,[16]HISTOMAI22!$A$6:$CA$36,65,0)</f>
        <v>0</v>
      </c>
    </row>
    <row r="33" spans="1:36" x14ac:dyDescent="0.25">
      <c r="A33" s="1" t="s">
        <v>51</v>
      </c>
      <c r="B33" s="1" t="str">
        <f>VLOOKUP(A33,[15]LISTADHERENT!A$5:H$60,3,0)</f>
        <v>TCHOUAMOU MATHIEU</v>
      </c>
      <c r="C33" s="5"/>
      <c r="D33" s="5"/>
      <c r="E33" s="36">
        <f>VLOOKUP($A33,[16]HISTOMAI22!$A$6:$BA$39,48,0)</f>
        <v>0</v>
      </c>
      <c r="F33" s="5">
        <f>MVTAVRIL22!F33-MVTMAI22!E33</f>
        <v>570000</v>
      </c>
      <c r="G33" s="6">
        <f t="shared" si="1"/>
        <v>0</v>
      </c>
      <c r="H33" s="6">
        <f>MVTAVRIL22!H33+MVTAVRIL22!G33+K33</f>
        <v>638624.48015227087</v>
      </c>
      <c r="I33" s="36">
        <f>VLOOKUP($A33,[16]HISTOMAI22!$A$6:$AQ$37,22,0)</f>
        <v>0</v>
      </c>
      <c r="J33" s="36">
        <f>VLOOKUP($A33,[16]HISTOMAI22!$A$6:$AU$39,45,0)</f>
        <v>7000</v>
      </c>
      <c r="K33" s="36">
        <f t="shared" si="2"/>
        <v>3000</v>
      </c>
      <c r="L33" s="36">
        <f t="shared" si="3"/>
        <v>500</v>
      </c>
      <c r="M33" s="36">
        <f t="shared" si="4"/>
        <v>1000</v>
      </c>
      <c r="N33" s="36">
        <f t="shared" si="5"/>
        <v>2500</v>
      </c>
      <c r="O33" s="36">
        <f>VLOOKUP($A33,[16]HISTOMAI22!$A$6:$AU$39,7,0)</f>
        <v>0</v>
      </c>
      <c r="P33" s="36">
        <f>VLOOKUP($A33,[16]HISTOMAI22!$A$6:$AU$39,23,0)</f>
        <v>0</v>
      </c>
      <c r="Q33" s="36">
        <f>VLOOKUP($A33,[16]HISTOMAI22!$A$6:$AU$39,46,0)</f>
        <v>0</v>
      </c>
      <c r="R33" s="36">
        <f>VLOOKUP($A33,[16]HISTOMAI22!$A$6:$AU$39,26,0)</f>
        <v>0</v>
      </c>
      <c r="S33" s="36">
        <f>VLOOKUP($A33,[16]HISTOMAI22!$A$6:$BG$39,58,0)</f>
        <v>0</v>
      </c>
      <c r="T33" s="36">
        <f>VLOOKUP($A33,[16]HISTOMAI22!$A$6:$AU$39,28,0)</f>
        <v>0</v>
      </c>
      <c r="U33" s="36">
        <f>VLOOKUP($A33,[16]HISTOMAI22!$A$6:$AU$39,19,0)</f>
        <v>0</v>
      </c>
      <c r="V33" s="36">
        <f>VLOOKUP($A33,[16]HISTOMAI22!$A$6:$AU$39,20,0)</f>
        <v>0</v>
      </c>
      <c r="W33" s="36">
        <f>VLOOKUP($A33,[16]HISTOMAI22!$A$6:$AU$39,27,0)</f>
        <v>0</v>
      </c>
      <c r="X33" s="36">
        <f>VLOOKUP($A33,[16]HISTOMAI22!$A$6:$AU$39,33,0)</f>
        <v>0</v>
      </c>
      <c r="Y33" s="36">
        <f>VLOOKUP($A33,[16]HISTOMAI22!$A$6:$BP$39,65,0)</f>
        <v>0</v>
      </c>
      <c r="Z33" s="36"/>
      <c r="AA33" s="36">
        <f>VLOOKUP($A33,[16]HISTOMAI22!$A$6:$AU$39,43,0)</f>
        <v>0</v>
      </c>
      <c r="AB33" s="36">
        <f>VLOOKUP($A33,[16]HISTOMAI22!$A$6:$AU$39,44,0)</f>
        <v>0</v>
      </c>
      <c r="AC33" s="36">
        <f>VLOOKUP($A33,[16]HISTOMAI22!$A$6:$AU$39,47,0)</f>
        <v>0</v>
      </c>
      <c r="AD33" s="36">
        <f>VLOOKUP(A33,[16]HISTOMAI22!$A$6:$BB$36,54,0)</f>
        <v>70000</v>
      </c>
      <c r="AE33" s="36">
        <f>VLOOKUP($A33,[16]HISTOMAI22!$A$6:$CA$36,60,0)</f>
        <v>0</v>
      </c>
      <c r="AF33" s="36">
        <f>VLOOKUP($A33,[16]HISTOMAI22!$A$6:$CA$36,61,0)</f>
        <v>0</v>
      </c>
      <c r="AG33" s="36">
        <f>VLOOKUP($A33,[16]HISTOMAI22!$A$6:$CA$36,62,0)</f>
        <v>0</v>
      </c>
      <c r="AH33" s="36">
        <f>VLOOKUP($A33,[16]HISTOMAI22!$A$6:$CA$36,63,0)</f>
        <v>0</v>
      </c>
      <c r="AI33" s="36">
        <f>VLOOKUP($A33,[16]HISTOMAI22!$A$6:$CA$36,64,0)</f>
        <v>0</v>
      </c>
      <c r="AJ33" s="36">
        <f>VLOOKUP($A33,[16]HISTOMAI22!$A$6:$CA$36,65,0)</f>
        <v>0</v>
      </c>
    </row>
    <row r="34" spans="1:36" x14ac:dyDescent="0.25">
      <c r="A34" s="1" t="s">
        <v>54</v>
      </c>
      <c r="B34" s="1" t="str">
        <f>VLOOKUP(A34,[15]LISTADHERENT!A$5:H$60,3,0)</f>
        <v>TIEYAM ERNEST</v>
      </c>
      <c r="C34" s="5"/>
      <c r="D34" s="5"/>
      <c r="E34" s="36">
        <f>VLOOKUP($A34,[16]HISTOMAI22!$A$6:$BA$39,48,0)</f>
        <v>0</v>
      </c>
      <c r="F34" s="5">
        <f>MVTAVRIL22!F34-MVTMAI22!E34</f>
        <v>535508.27831700875</v>
      </c>
      <c r="G34" s="6">
        <f t="shared" si="1"/>
        <v>0</v>
      </c>
      <c r="H34" s="6">
        <f>MVTAVRIL22!H34+MVTAVRIL22!G34+K34</f>
        <v>0</v>
      </c>
      <c r="I34" s="36">
        <f>VLOOKUP($A34,[16]HISTOMAI22!$A$6:$AQ$37,22,0)</f>
        <v>0</v>
      </c>
      <c r="J34" s="36">
        <f>VLOOKUP($A34,[16]HISTOMAI22!$A$6:$AU$39,45,0)</f>
        <v>0</v>
      </c>
      <c r="K34" s="36">
        <f t="shared" si="2"/>
        <v>0</v>
      </c>
      <c r="L34" s="36">
        <f t="shared" si="3"/>
        <v>0</v>
      </c>
      <c r="M34" s="36">
        <f t="shared" si="4"/>
        <v>0</v>
      </c>
      <c r="N34" s="36">
        <f t="shared" si="5"/>
        <v>0</v>
      </c>
      <c r="O34" s="36">
        <f>VLOOKUP($A34,[16]HISTOMAI22!$A$6:$AU$39,7,0)</f>
        <v>0</v>
      </c>
      <c r="P34" s="36">
        <f>VLOOKUP($A34,[16]HISTOMAI22!$A$6:$AU$39,23,0)</f>
        <v>0</v>
      </c>
      <c r="Q34" s="36">
        <f>VLOOKUP($A34,[16]HISTOMAI22!$A$6:$AU$39,46,0)</f>
        <v>0</v>
      </c>
      <c r="R34" s="36">
        <f>VLOOKUP($A34,[16]HISTOMAI22!$A$6:$AU$39,26,0)</f>
        <v>0</v>
      </c>
      <c r="S34" s="36">
        <f>VLOOKUP($A34,[16]HISTOMAI22!$A$6:$BG$39,58,0)</f>
        <v>0</v>
      </c>
      <c r="T34" s="36">
        <f>VLOOKUP($A34,[16]HISTOMAI22!$A$6:$AU$39,28,0)</f>
        <v>0</v>
      </c>
      <c r="U34" s="36">
        <f>VLOOKUP($A34,[16]HISTOMAI22!$A$6:$AU$39,19,0)</f>
        <v>0</v>
      </c>
      <c r="V34" s="36">
        <f>VLOOKUP($A34,[16]HISTOMAI22!$A$6:$AU$39,20,0)</f>
        <v>0</v>
      </c>
      <c r="W34" s="36">
        <f>VLOOKUP($A34,[16]HISTOMAI22!$A$6:$AU$39,27,0)</f>
        <v>0</v>
      </c>
      <c r="X34" s="36">
        <f>VLOOKUP($A34,[16]HISTOMAI22!$A$6:$AU$39,33,0)</f>
        <v>0</v>
      </c>
      <c r="Y34" s="36">
        <f>VLOOKUP($A34,[16]HISTOMAI22!$A$6:$BP$39,65,0)</f>
        <v>0</v>
      </c>
      <c r="Z34" s="36"/>
      <c r="AA34" s="36">
        <f>VLOOKUP($A34,[16]HISTOMAI22!$A$6:$AU$39,43,0)</f>
        <v>0</v>
      </c>
      <c r="AB34" s="36">
        <f>VLOOKUP($A34,[16]HISTOMAI22!$A$6:$AU$39,44,0)</f>
        <v>0</v>
      </c>
      <c r="AC34" s="36">
        <f>VLOOKUP($A34,[16]HISTOMAI22!$A$6:$AU$39,47,0)</f>
        <v>0</v>
      </c>
      <c r="AD34" s="36">
        <f>VLOOKUP(A34,[16]HISTOMAI22!$A$6:$BB$36,54,0)</f>
        <v>0</v>
      </c>
      <c r="AE34" s="36">
        <f>VLOOKUP($A34,[16]HISTOMAI22!$A$6:$CA$36,60,0)</f>
        <v>0</v>
      </c>
      <c r="AF34" s="36">
        <f>VLOOKUP($A34,[16]HISTOMAI22!$A$6:$CA$36,61,0)</f>
        <v>0</v>
      </c>
      <c r="AG34" s="36">
        <f>VLOOKUP($A34,[16]HISTOMAI22!$A$6:$CA$36,62,0)</f>
        <v>0</v>
      </c>
      <c r="AH34" s="36">
        <f>VLOOKUP($A34,[16]HISTOMAI22!$A$6:$CA$36,63,0)</f>
        <v>0</v>
      </c>
      <c r="AI34" s="36">
        <f>VLOOKUP($A34,[16]HISTOMAI22!$A$6:$CA$36,64,0)</f>
        <v>0</v>
      </c>
      <c r="AJ34" s="36">
        <f>VLOOKUP($A34,[16]HISTOMAI22!$A$6:$CA$36,65,0)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VLOOKUP($A35,[16]HISTOMAI22!$A$6:$BA$39,48,0)</f>
        <v>0</v>
      </c>
      <c r="F35" s="5">
        <f>MVTAVRIL22!F35-MVTMAI22!E35</f>
        <v>570000</v>
      </c>
      <c r="G35" s="6">
        <f t="shared" si="1"/>
        <v>0</v>
      </c>
      <c r="H35" s="6">
        <f>MVTAVRIL22!H35+MVTAVRIL22!G35+K35</f>
        <v>1509212.8916628745</v>
      </c>
      <c r="I35" s="36">
        <f>VLOOKUP($A35,[16]HISTOMAI22!$A$6:$AQ$37,22,0)</f>
        <v>0</v>
      </c>
      <c r="J35" s="36">
        <f>VLOOKUP($A35,[16]HISTOMAI22!$A$6:$AU$39,45,0)</f>
        <v>7000</v>
      </c>
      <c r="K35" s="36">
        <f t="shared" si="2"/>
        <v>3000</v>
      </c>
      <c r="L35" s="36">
        <f t="shared" si="3"/>
        <v>500</v>
      </c>
      <c r="M35" s="36">
        <f t="shared" si="4"/>
        <v>1000</v>
      </c>
      <c r="N35" s="36">
        <f t="shared" si="5"/>
        <v>2500</v>
      </c>
      <c r="O35" s="36">
        <f>VLOOKUP($A35,[16]HISTOMAI22!$A$6:$AU$39,7,0)</f>
        <v>0</v>
      </c>
      <c r="P35" s="36">
        <f>VLOOKUP($A35,[16]HISTOMAI22!$A$6:$AU$39,23,0)</f>
        <v>0</v>
      </c>
      <c r="Q35" s="36">
        <f>VLOOKUP($A35,[16]HISTOMAI22!$A$6:$AU$39,46,0)</f>
        <v>0</v>
      </c>
      <c r="R35" s="36">
        <f>VLOOKUP($A35,[16]HISTOMAI22!$A$6:$AU$39,26,0)</f>
        <v>0</v>
      </c>
      <c r="S35" s="36">
        <f>VLOOKUP($A35,[16]HISTOMAI22!$A$6:$BG$39,58,0)</f>
        <v>0</v>
      </c>
      <c r="T35" s="36">
        <f>VLOOKUP($A35,[16]HISTOMAI22!$A$6:$AU$39,28,0)</f>
        <v>0</v>
      </c>
      <c r="U35" s="36">
        <f>VLOOKUP($A35,[16]HISTOMAI22!$A$6:$AU$39,19,0)</f>
        <v>0</v>
      </c>
      <c r="V35" s="36">
        <f>VLOOKUP($A35,[16]HISTOMAI22!$A$6:$AU$39,20,0)</f>
        <v>0</v>
      </c>
      <c r="W35" s="36">
        <f>VLOOKUP($A35,[16]HISTOMAI22!$A$6:$AU$39,27,0)</f>
        <v>0</v>
      </c>
      <c r="X35" s="36">
        <f>VLOOKUP($A35,[16]HISTOMAI22!$A$6:$AU$39,33,0)</f>
        <v>0</v>
      </c>
      <c r="Y35" s="36">
        <f>VLOOKUP($A35,[16]HISTOMAI22!$A$6:$BP$39,65,0)</f>
        <v>0</v>
      </c>
      <c r="Z35" s="36"/>
      <c r="AA35" s="36">
        <f>VLOOKUP($A35,[16]HISTOMAI22!$A$6:$AU$39,43,0)</f>
        <v>0</v>
      </c>
      <c r="AB35" s="36">
        <f>VLOOKUP($A35,[16]HISTOMAI22!$A$6:$AU$39,44,0)</f>
        <v>0</v>
      </c>
      <c r="AC35" s="36">
        <f>VLOOKUP($A35,[16]HISTOMAI22!$A$6:$AU$39,47,0)</f>
        <v>0</v>
      </c>
      <c r="AD35" s="36">
        <f>VLOOKUP(A35,[16]HISTOMAI22!$A$6:$BB$36,54,0)</f>
        <v>0</v>
      </c>
      <c r="AE35" s="36">
        <f>VLOOKUP($A35,[16]HISTOMAI22!$A$6:$CA$36,60,0)</f>
        <v>0</v>
      </c>
      <c r="AF35" s="36">
        <f>VLOOKUP($A35,[16]HISTOMAI22!$A$6:$CA$36,61,0)</f>
        <v>0</v>
      </c>
      <c r="AG35" s="36">
        <f>VLOOKUP($A35,[16]HISTOMAI22!$A$6:$CA$36,62,0)</f>
        <v>0</v>
      </c>
      <c r="AH35" s="36">
        <f>VLOOKUP($A35,[16]HISTOMAI22!$A$6:$CA$36,63,0)</f>
        <v>0</v>
      </c>
      <c r="AI35" s="36">
        <f>VLOOKUP($A35,[16]HISTOMAI22!$A$6:$CA$36,64,0)</f>
        <v>0</v>
      </c>
      <c r="AJ35" s="36">
        <f>VLOOKUP($A35,[16]HISTOMAI22!$A$6:$CA$36,65,0)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VLOOKUP($A36,[16]HISTOMAI22!$A$6:$BA$39,48,0)</f>
        <v>0</v>
      </c>
      <c r="F36" s="5">
        <f>MVTAVRIL22!F36-MVTMAI22!E36</f>
        <v>570000</v>
      </c>
      <c r="G36" s="6">
        <f t="shared" si="1"/>
        <v>0</v>
      </c>
      <c r="H36" s="6">
        <f>MVTAVRIL22!H36+MVTAVRIL22!G36+K36</f>
        <v>1619721.7652759962</v>
      </c>
      <c r="I36" s="36">
        <f>VLOOKUP($A36,[16]HISTOMAI22!$A$6:$AQ$37,22,0)</f>
        <v>0</v>
      </c>
      <c r="J36" s="36">
        <f>VLOOKUP($A36,[16]HISTOMAI22!$A$6:$AU$39,45,0)</f>
        <v>7000</v>
      </c>
      <c r="K36" s="36">
        <f t="shared" si="2"/>
        <v>3000</v>
      </c>
      <c r="L36" s="36">
        <f t="shared" si="3"/>
        <v>500</v>
      </c>
      <c r="M36" s="36">
        <f t="shared" si="4"/>
        <v>1000</v>
      </c>
      <c r="N36" s="36">
        <f t="shared" si="5"/>
        <v>2500</v>
      </c>
      <c r="O36" s="36">
        <f>VLOOKUP($A36,[16]HISTOMAI22!$A$6:$AU$39,7,0)</f>
        <v>0</v>
      </c>
      <c r="P36" s="36">
        <f>VLOOKUP($A36,[16]HISTOMAI22!$A$6:$AU$39,23,0)</f>
        <v>0</v>
      </c>
      <c r="Q36" s="36">
        <f>VLOOKUP($A36,[16]HISTOMAI22!$A$6:$AU$39,46,0)</f>
        <v>0</v>
      </c>
      <c r="R36" s="36">
        <f>VLOOKUP($A36,[16]HISTOMAI22!$A$6:$AU$39,26,0)</f>
        <v>0</v>
      </c>
      <c r="S36" s="36">
        <f>VLOOKUP($A36,[16]HISTOMAI22!$A$6:$BG$39,58,0)</f>
        <v>0</v>
      </c>
      <c r="T36" s="36">
        <f>VLOOKUP($A36,[16]HISTOMAI22!$A$6:$AU$39,28,0)</f>
        <v>0</v>
      </c>
      <c r="U36" s="36">
        <f>VLOOKUP($A36,[16]HISTOMAI22!$A$6:$AU$39,19,0)</f>
        <v>0</v>
      </c>
      <c r="V36" s="36">
        <f>VLOOKUP($A36,[16]HISTOMAI22!$A$6:$AU$39,20,0)</f>
        <v>0</v>
      </c>
      <c r="W36" s="36">
        <f>VLOOKUP($A36,[16]HISTOMAI22!$A$6:$AU$39,27,0)</f>
        <v>0</v>
      </c>
      <c r="X36" s="36">
        <f>VLOOKUP($A36,[16]HISTOMAI22!$A$6:$AU$39,33,0)</f>
        <v>0</v>
      </c>
      <c r="Y36" s="36">
        <f>VLOOKUP($A36,[16]HISTOMAI22!$A$6:$BP$39,65,0)</f>
        <v>0</v>
      </c>
      <c r="Z36" s="36"/>
      <c r="AA36" s="36">
        <f>VLOOKUP($A36,[16]HISTOMAI22!$A$6:$AU$39,43,0)</f>
        <v>0</v>
      </c>
      <c r="AB36" s="36">
        <f>VLOOKUP($A36,[16]HISTOMAI22!$A$6:$AU$39,44,0)</f>
        <v>0</v>
      </c>
      <c r="AC36" s="36">
        <f>VLOOKUP($A36,[16]HISTOMAI22!$A$6:$AU$39,47,0)</f>
        <v>0</v>
      </c>
      <c r="AD36" s="36">
        <f>VLOOKUP(A36,[16]HISTOMAI22!$A$6:$BB$36,54,0)</f>
        <v>0</v>
      </c>
      <c r="AE36" s="36">
        <f>VLOOKUP($A36,[16]HISTOMAI22!$A$6:$CA$36,60,0)</f>
        <v>0</v>
      </c>
      <c r="AF36" s="36">
        <f>VLOOKUP($A36,[16]HISTOMAI22!$A$6:$CA$36,61,0)</f>
        <v>0</v>
      </c>
      <c r="AG36" s="36">
        <f>VLOOKUP($A36,[16]HISTOMAI22!$A$6:$CA$36,62,0)</f>
        <v>0</v>
      </c>
      <c r="AH36" s="36">
        <f>VLOOKUP($A36,[16]HISTOMAI22!$A$6:$CA$36,63,0)</f>
        <v>0</v>
      </c>
      <c r="AI36" s="36">
        <f>VLOOKUP($A36,[16]HISTOMAI22!$A$6:$CA$36,64,0)</f>
        <v>0</v>
      </c>
      <c r="AJ36" s="36">
        <f>VLOOKUP($A36,[16]HISTOMAI22!$A$6:$CA$36,65,0)</f>
        <v>0</v>
      </c>
    </row>
    <row r="37" spans="1:36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H40" si="6">SUM(C6:C39)</f>
        <v>0</v>
      </c>
      <c r="D40" s="9">
        <f t="shared" si="6"/>
        <v>0</v>
      </c>
      <c r="E40" s="9">
        <f t="shared" si="6"/>
        <v>0</v>
      </c>
      <c r="F40" s="9">
        <f t="shared" si="6"/>
        <v>17584659.561375875</v>
      </c>
      <c r="G40" s="9">
        <f t="shared" si="6"/>
        <v>0</v>
      </c>
      <c r="H40" s="9">
        <f t="shared" si="6"/>
        <v>20647708.148341149</v>
      </c>
      <c r="I40" s="9">
        <f t="shared" si="6"/>
        <v>0</v>
      </c>
      <c r="J40" s="9">
        <f t="shared" si="6"/>
        <v>264000</v>
      </c>
      <c r="K40" s="9">
        <f t="shared" si="6"/>
        <v>160000</v>
      </c>
      <c r="L40" s="9">
        <f t="shared" si="6"/>
        <v>13000</v>
      </c>
      <c r="M40" s="9">
        <f t="shared" si="6"/>
        <v>26000</v>
      </c>
      <c r="N40" s="9">
        <f t="shared" si="6"/>
        <v>65000</v>
      </c>
      <c r="O40" s="9">
        <f t="shared" si="6"/>
        <v>12000</v>
      </c>
      <c r="P40" s="9">
        <f t="shared" si="6"/>
        <v>0</v>
      </c>
      <c r="Q40" s="9">
        <f t="shared" si="6"/>
        <v>0</v>
      </c>
      <c r="R40" s="9">
        <f t="shared" si="6"/>
        <v>0</v>
      </c>
      <c r="S40" s="9">
        <f>SUM(S6:S39)+AI40</f>
        <v>0</v>
      </c>
      <c r="T40" s="9">
        <f t="shared" si="6"/>
        <v>0</v>
      </c>
      <c r="U40" s="9">
        <f t="shared" si="6"/>
        <v>1100000</v>
      </c>
      <c r="V40" s="9">
        <f t="shared" si="6"/>
        <v>0</v>
      </c>
      <c r="W40" s="9">
        <f t="shared" si="6"/>
        <v>0</v>
      </c>
      <c r="X40" s="9">
        <f t="shared" si="6"/>
        <v>0</v>
      </c>
      <c r="Y40" s="9">
        <f t="shared" si="6"/>
        <v>0</v>
      </c>
      <c r="Z40" s="9">
        <f t="shared" si="6"/>
        <v>0</v>
      </c>
      <c r="AA40" s="9">
        <f t="shared" si="6"/>
        <v>0</v>
      </c>
      <c r="AB40" s="9">
        <f t="shared" si="6"/>
        <v>0</v>
      </c>
      <c r="AC40" s="9">
        <f t="shared" si="6"/>
        <v>0</v>
      </c>
      <c r="AD40" s="9">
        <f t="shared" si="6"/>
        <v>210000</v>
      </c>
      <c r="AE40" s="9">
        <f t="shared" si="6"/>
        <v>22000</v>
      </c>
      <c r="AF40" s="9">
        <f t="shared" si="6"/>
        <v>0</v>
      </c>
      <c r="AG40" s="9">
        <f t="shared" si="6"/>
        <v>0</v>
      </c>
      <c r="AH40" s="9">
        <f t="shared" si="6"/>
        <v>70000</v>
      </c>
      <c r="AI40" s="9">
        <f>SUM(AI6:AI39)</f>
        <v>0</v>
      </c>
      <c r="AJ40" s="9">
        <f>SUM(AJ6:AJ39)</f>
        <v>0</v>
      </c>
    </row>
  </sheetData>
  <autoFilter ref="A5:U36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"/>
  <sheetViews>
    <sheetView workbookViewId="0">
      <pane xSplit="2" ySplit="5" topLeftCell="G33" activePane="bottomRight" state="frozen"/>
      <selection activeCell="B43" sqref="B43"/>
      <selection pane="topRight" activeCell="B43" sqref="B43"/>
      <selection pane="bottomLeft" activeCell="B43" sqref="B43"/>
      <selection pane="bottomRight" activeCell="G40" sqref="G40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5" bestFit="1" customWidth="1"/>
    <col min="19" max="19" width="15" customWidth="1"/>
    <col min="20" max="21" width="18.140625" customWidth="1"/>
    <col min="25" max="26" width="12.42578125" bestFit="1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04"/>
      <c r="J4" s="146">
        <v>44729</v>
      </c>
      <c r="K4" s="146"/>
      <c r="L4" s="146"/>
      <c r="M4" s="146"/>
      <c r="N4" s="146"/>
      <c r="O4" s="146"/>
      <c r="P4"/>
      <c r="Q4"/>
      <c r="AJ4" s="108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84" t="s">
        <v>10</v>
      </c>
      <c r="AF5" s="84" t="s">
        <v>11</v>
      </c>
      <c r="AG5" s="84" t="s">
        <v>307</v>
      </c>
      <c r="AH5" s="84" t="s">
        <v>273</v>
      </c>
      <c r="AI5" s="4" t="s">
        <v>65</v>
      </c>
      <c r="AJ5" s="84" t="s">
        <v>278</v>
      </c>
    </row>
    <row r="6" spans="1:36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MVTMAI22!F6-MVTJUIN22!E6</f>
        <v>584177.00555049011</v>
      </c>
      <c r="G6" s="6">
        <f t="shared" ref="G6:G36" si="0">$S$40/$H$40*H6</f>
        <v>14151.972034614853</v>
      </c>
      <c r="H6" s="6">
        <f>MVTMAI22!H6+MVTMAI22!G6+K6</f>
        <v>631893.27504133491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VLOOKUP($A6,[16]HISTOJUIN22!$A$6:$CA$36,60,0)</f>
        <v>6000</v>
      </c>
      <c r="AF6" s="36">
        <f>VLOOKUP($A6,[16]HISTOJUIN22!$A$6:$CA$36,61,0)</f>
        <v>0</v>
      </c>
      <c r="AG6" s="36">
        <f>VLOOKUP($A6,[16]HISTOJUIN22!$A$6:$CA$36,62,0)</f>
        <v>0</v>
      </c>
      <c r="AH6" s="36">
        <f>VLOOKUP($A6,[16]HISTOJUIN22!$A$6:$CA$36,63,0)</f>
        <v>70000</v>
      </c>
      <c r="AI6" s="36">
        <f>VLOOKUP($A6,[16]HISTOJUIN22!$A$6:$CA$36,64,0)</f>
        <v>0</v>
      </c>
      <c r="AJ6" s="36">
        <f>VLOOKUP($A6,[16]HISTOJUIN22!$A$6:$CA$36,65,0)</f>
        <v>0</v>
      </c>
    </row>
    <row r="7" spans="1:36" x14ac:dyDescent="0.25">
      <c r="A7" s="1" t="s">
        <v>19</v>
      </c>
      <c r="B7" s="1" t="str">
        <f>VLOOKUP(A7,[15]LISTADHERENT!A$5:H$60,3,0)</f>
        <v>BOUTCHOUANG WILLIAM</v>
      </c>
      <c r="C7" s="5"/>
      <c r="D7" s="5"/>
      <c r="E7" s="36">
        <f>VLOOKUP($A7,[16]HISTOJUIN22!$A$6:$BA$39,48,0)</f>
        <v>0</v>
      </c>
      <c r="F7" s="5">
        <f>MVTMAI22!F7-MVTJUIN22!E7</f>
        <v>570000</v>
      </c>
      <c r="G7" s="6">
        <f t="shared" si="0"/>
        <v>14212.624145287507</v>
      </c>
      <c r="H7" s="6">
        <f>MVTMAI22!H7+MVTMAI22!G7+K7</f>
        <v>634601.42488485994</v>
      </c>
      <c r="I7" s="36">
        <f>VLOOKUP($A7,[16]HISTOJUIN22!$A$6:$AQ$37,22,0)</f>
        <v>0</v>
      </c>
      <c r="J7" s="36">
        <f>VLOOKUP($A7,[16]HISTOJUIN22!$A$6:$AU$39,45,0)</f>
        <v>7000</v>
      </c>
      <c r="K7" s="36">
        <f t="shared" ref="K7:K36" si="1">IF(J7=0,0,J7-(L7+M7+N7))</f>
        <v>3000</v>
      </c>
      <c r="L7" s="36">
        <f t="shared" ref="L7:L36" si="2">IF(J7=0,0,500)</f>
        <v>500</v>
      </c>
      <c r="M7" s="36">
        <f t="shared" ref="M7:M36" si="3">IF(J7=0,0,1000)</f>
        <v>1000</v>
      </c>
      <c r="N7" s="36">
        <f t="shared" ref="N7:N36" si="4">IF(J7=0,0,2500)</f>
        <v>2500</v>
      </c>
      <c r="O7" s="36">
        <f>VLOOKUP($A7,[16]HISTOJUIN22!$A$6:$AU$39,7,0)</f>
        <v>0</v>
      </c>
      <c r="P7" s="36">
        <f>VLOOKUP($A7,[16]HISTOJUIN22!$A$6:$AU$39,23,0)</f>
        <v>0</v>
      </c>
      <c r="Q7" s="36">
        <f>VLOOKUP($A7,[16]HISTOJUIN22!$A$6:$AU$39,46,0)</f>
        <v>0</v>
      </c>
      <c r="R7" s="36">
        <f>VLOOKUP($A7,[16]HISTOJUIN22!$A$6:$AU$39,26,0)</f>
        <v>0</v>
      </c>
      <c r="S7" s="36">
        <f>VLOOKUP($A7,[16]HISTOJUIN22!$A$6:$BG$39,58,0)</f>
        <v>0</v>
      </c>
      <c r="T7" s="36">
        <f>VLOOKUP($A7,[16]HISTOJUIN22!$A$6:$AU$39,28,0)</f>
        <v>0</v>
      </c>
      <c r="U7" s="36">
        <f>VLOOKUP($A7,[16]HISTOJUIN22!$A$6:$AU$39,19,0)</f>
        <v>0</v>
      </c>
      <c r="V7" s="36">
        <f>VLOOKUP($A7,[16]HISTOJUIN22!$A$6:$AU$39,20,0)</f>
        <v>0</v>
      </c>
      <c r="W7" s="36">
        <f>VLOOKUP($A7,[16]HISTOJUIN22!$A$6:$AU$39,27,0)</f>
        <v>0</v>
      </c>
      <c r="X7" s="36">
        <f>VLOOKUP($A7,[16]HISTOJUIN22!$A$6:$AU$39,33,0)</f>
        <v>0</v>
      </c>
      <c r="Y7" s="36">
        <f>VLOOKUP($A7,[16]HISTOJUIN22!$A$6:$BP$39,65,0)</f>
        <v>0</v>
      </c>
      <c r="Z7" s="36"/>
      <c r="AA7" s="36">
        <f>VLOOKUP($A7,[16]HISTOJUIN22!$A$6:$AU$39,43,0)</f>
        <v>0</v>
      </c>
      <c r="AB7" s="36">
        <f>VLOOKUP($A7,[16]HISTOJUIN22!$A$6:$AU$39,44,0)</f>
        <v>0</v>
      </c>
      <c r="AC7" s="36">
        <f>VLOOKUP($A7,[16]HISTOJUIN22!$A$6:$AU$39,47,0)</f>
        <v>0</v>
      </c>
      <c r="AD7" s="36">
        <f>VLOOKUP(A7,[16]HISTOJUIN22!$A$6:$BB$36,54,0)</f>
        <v>0</v>
      </c>
      <c r="AE7" s="36">
        <f>VLOOKUP($A7,[16]HISTOJUIN22!$A$6:$CA$36,60,0)</f>
        <v>0</v>
      </c>
      <c r="AF7" s="36">
        <f>VLOOKUP($A7,[16]HISTOJUIN22!$A$6:$CA$36,61,0)</f>
        <v>0</v>
      </c>
      <c r="AG7" s="36">
        <f>VLOOKUP($A7,[16]HISTOJUIN22!$A$6:$CA$36,62,0)</f>
        <v>0</v>
      </c>
      <c r="AH7" s="36">
        <f>VLOOKUP($A7,[16]HISTOJUIN22!$A$6:$CA$36,63,0)</f>
        <v>0</v>
      </c>
      <c r="AI7" s="36">
        <f>VLOOKUP($A7,[16]HISTOJUIN22!$A$6:$CA$36,64,0)</f>
        <v>0</v>
      </c>
      <c r="AJ7" s="36">
        <f>VLOOKUP($A7,[16]HISTOJUIN22!$A$6:$CA$36,65,0)</f>
        <v>0</v>
      </c>
    </row>
    <row r="8" spans="1:36" x14ac:dyDescent="0.25">
      <c r="A8" s="1" t="s">
        <v>23</v>
      </c>
      <c r="B8" s="1" t="str">
        <f>VLOOKUP(A8,[15]LISTADHERENT!A$5:H$60,3,0)</f>
        <v xml:space="preserve">DJOMO JEAN PAUL </v>
      </c>
      <c r="C8" s="5"/>
      <c r="D8" s="5"/>
      <c r="E8" s="36">
        <f>VLOOKUP($A8,[16]HISTOJUIN22!$A$6:$BA$39,48,0)</f>
        <v>0</v>
      </c>
      <c r="F8" s="5">
        <f>MVTMAI22!F8-MVTJUIN22!E8</f>
        <v>570000</v>
      </c>
      <c r="G8" s="6">
        <f t="shared" si="0"/>
        <v>15801.355718620303</v>
      </c>
      <c r="H8" s="6">
        <f>MVTMAI22!H8+MVTMAI22!G8+K8</f>
        <v>705539.15671328176</v>
      </c>
      <c r="I8" s="36">
        <f>VLOOKUP($A8,[16]HISTOJUIN22!$A$6:$AQ$37,22,0)</f>
        <v>0</v>
      </c>
      <c r="J8" s="36">
        <f>VLOOKUP($A8,[16]HISTOJUIN22!$A$6:$AU$39,45,0)</f>
        <v>12000</v>
      </c>
      <c r="K8" s="36">
        <f t="shared" si="1"/>
        <v>8000</v>
      </c>
      <c r="L8" s="36">
        <f t="shared" si="2"/>
        <v>500</v>
      </c>
      <c r="M8" s="36">
        <f t="shared" si="3"/>
        <v>1000</v>
      </c>
      <c r="N8" s="36">
        <f t="shared" si="4"/>
        <v>2500</v>
      </c>
      <c r="O8" s="36">
        <f>VLOOKUP($A8,[16]HISTOJUIN22!$A$6:$AU$39,7,0)</f>
        <v>0</v>
      </c>
      <c r="P8" s="36">
        <f>VLOOKUP($A8,[16]HISTOJUIN22!$A$6:$AU$39,23,0)</f>
        <v>0</v>
      </c>
      <c r="Q8" s="36">
        <f>VLOOKUP($A8,[16]HISTOJUIN22!$A$6:$AU$39,46,0)</f>
        <v>0</v>
      </c>
      <c r="R8" s="36">
        <f>VLOOKUP($A8,[16]HISTOJUIN22!$A$6:$AU$39,26,0)</f>
        <v>0</v>
      </c>
      <c r="S8" s="36">
        <f>VLOOKUP($A8,[16]HISTOJUIN22!$A$6:$BG$39,58,0)</f>
        <v>0</v>
      </c>
      <c r="T8" s="36">
        <f>VLOOKUP($A8,[16]HISTOJUIN22!$A$6:$AU$39,28,0)</f>
        <v>0</v>
      </c>
      <c r="U8" s="36">
        <f>VLOOKUP($A8,[16]HISTOJUIN22!$A$6:$AU$39,19,0)</f>
        <v>0</v>
      </c>
      <c r="V8" s="36">
        <f>VLOOKUP($A8,[16]HISTOJUIN22!$A$6:$AU$39,20,0)</f>
        <v>0</v>
      </c>
      <c r="W8" s="36">
        <f>VLOOKUP($A8,[16]HISTOJUIN22!$A$6:$AU$39,27,0)</f>
        <v>0</v>
      </c>
      <c r="X8" s="36">
        <f>VLOOKUP($A8,[16]HISTOJUIN22!$A$6:$AU$39,33,0)</f>
        <v>0</v>
      </c>
      <c r="Y8" s="36">
        <f>VLOOKUP($A8,[16]HISTOJUIN22!$A$6:$BP$39,65,0)</f>
        <v>0</v>
      </c>
      <c r="Z8" s="36"/>
      <c r="AA8" s="36">
        <f>VLOOKUP($A8,[16]HISTOJUIN22!$A$6:$AU$39,43,0)</f>
        <v>0</v>
      </c>
      <c r="AB8" s="36">
        <f>VLOOKUP($A8,[16]HISTOJUIN22!$A$6:$AU$39,44,0)</f>
        <v>0</v>
      </c>
      <c r="AC8" s="36">
        <f>VLOOKUP($A8,[16]HISTOJUIN22!$A$6:$AU$39,47,0)</f>
        <v>0</v>
      </c>
      <c r="AD8" s="36">
        <f>VLOOKUP(A8,[16]HISTOJUIN22!$A$6:$BB$36,54,0)</f>
        <v>0</v>
      </c>
      <c r="AE8" s="36">
        <f>VLOOKUP($A8,[16]HISTOJUIN22!$A$6:$CA$36,60,0)</f>
        <v>0</v>
      </c>
      <c r="AF8" s="36">
        <f>VLOOKUP($A8,[16]HISTOJUIN22!$A$6:$CA$36,61,0)</f>
        <v>0</v>
      </c>
      <c r="AG8" s="36">
        <f>VLOOKUP($A8,[16]HISTOJUIN22!$A$6:$CA$36,62,0)</f>
        <v>0</v>
      </c>
      <c r="AH8" s="36">
        <f>VLOOKUP($A8,[16]HISTOJUIN22!$A$6:$CA$36,63,0)</f>
        <v>0</v>
      </c>
      <c r="AI8" s="36">
        <f>VLOOKUP($A8,[16]HISTOJUIN22!$A$6:$CA$36,64,0)</f>
        <v>0</v>
      </c>
      <c r="AJ8" s="36">
        <f>VLOOKUP($A8,[16]HISTOJUIN22!$A$6:$CA$36,65,0)</f>
        <v>0</v>
      </c>
    </row>
    <row r="9" spans="1:36" x14ac:dyDescent="0.25">
      <c r="A9" s="1" t="s">
        <v>154</v>
      </c>
      <c r="B9" s="1" t="str">
        <f>VLOOKUP(A9,[15]LISTADHERENT!A$5:H$60,3,0)</f>
        <v>DJOMOU TCHANDA</v>
      </c>
      <c r="C9" s="5"/>
      <c r="D9" s="5"/>
      <c r="E9" s="36">
        <f>VLOOKUP($A9,[16]HISTOJUIN22!$A$6:$BA$39,48,0)</f>
        <v>0</v>
      </c>
      <c r="F9" s="5">
        <f>MVTMAI22!F9-MVTJUIN22!E9</f>
        <v>570000</v>
      </c>
      <c r="G9" s="6">
        <f t="shared" si="0"/>
        <v>14227.594006078238</v>
      </c>
      <c r="H9" s="6">
        <f>MVTMAI22!H9+MVTMAI22!G9+K9</f>
        <v>635269.83733923943</v>
      </c>
      <c r="I9" s="36">
        <f>VLOOKUP($A9,[16]HISTOJUIN22!$A$6:$AQ$37,22,0)</f>
        <v>0</v>
      </c>
      <c r="J9" s="36">
        <f>VLOOKUP($A9,[16]HISTOJUIN22!$A$6:$AU$39,45,0)</f>
        <v>7000</v>
      </c>
      <c r="K9" s="36">
        <f t="shared" si="1"/>
        <v>3000</v>
      </c>
      <c r="L9" s="36">
        <f t="shared" si="2"/>
        <v>500</v>
      </c>
      <c r="M9" s="36">
        <f t="shared" si="3"/>
        <v>1000</v>
      </c>
      <c r="N9" s="36">
        <f t="shared" si="4"/>
        <v>2500</v>
      </c>
      <c r="O9" s="36">
        <f>VLOOKUP($A9,[16]HISTOJUIN22!$A$6:$AU$39,7,0)</f>
        <v>0</v>
      </c>
      <c r="P9" s="36">
        <f>VLOOKUP($A9,[16]HISTOJUIN22!$A$6:$AU$39,23,0)</f>
        <v>0</v>
      </c>
      <c r="Q9" s="36">
        <f>VLOOKUP($A9,[16]HISTOJUIN22!$A$6:$AU$39,46,0)</f>
        <v>0</v>
      </c>
      <c r="R9" s="36">
        <f>VLOOKUP($A9,[16]HISTOJUIN22!$A$6:$AU$39,26,0)</f>
        <v>0</v>
      </c>
      <c r="S9" s="36">
        <f>VLOOKUP($A9,[16]HISTOJUIN22!$A$6:$BG$39,58,0)</f>
        <v>0</v>
      </c>
      <c r="T9" s="36">
        <f>VLOOKUP($A9,[16]HISTOJUIN22!$A$6:$AU$39,28,0)</f>
        <v>0</v>
      </c>
      <c r="U9" s="36">
        <f>VLOOKUP($A9,[16]HISTOJUIN22!$A$6:$AU$39,19,0)</f>
        <v>0</v>
      </c>
      <c r="V9" s="36">
        <f>VLOOKUP($A9,[16]HISTOJUIN22!$A$6:$AU$39,20,0)</f>
        <v>0</v>
      </c>
      <c r="W9" s="36">
        <f>VLOOKUP($A9,[16]HISTOJUIN22!$A$6:$AU$39,27,0)</f>
        <v>0</v>
      </c>
      <c r="X9" s="36">
        <f>VLOOKUP($A9,[16]HISTOJUIN22!$A$6:$AU$39,33,0)</f>
        <v>0</v>
      </c>
      <c r="Y9" s="36">
        <f>VLOOKUP($A9,[16]HISTOJUIN22!$A$6:$BP$39,65,0)</f>
        <v>0</v>
      </c>
      <c r="Z9" s="36"/>
      <c r="AA9" s="36">
        <f>VLOOKUP($A9,[16]HISTOJUIN22!$A$6:$AU$39,43,0)</f>
        <v>0</v>
      </c>
      <c r="AB9" s="36">
        <f>VLOOKUP($A9,[16]HISTOJUIN22!$A$6:$AU$39,44,0)</f>
        <v>0</v>
      </c>
      <c r="AC9" s="36">
        <f>VLOOKUP($A9,[16]HISTOJUIN22!$A$6:$AU$39,47,0)</f>
        <v>0</v>
      </c>
      <c r="AD9" s="36">
        <f>VLOOKUP(A9,[16]HISTOJUIN22!$A$6:$BB$36,54,0)</f>
        <v>0</v>
      </c>
      <c r="AE9" s="36">
        <f>VLOOKUP($A9,[16]HISTOJUIN22!$A$6:$CA$36,60,0)</f>
        <v>0</v>
      </c>
      <c r="AF9" s="36">
        <f>VLOOKUP($A9,[16]HISTOJUIN22!$A$6:$CA$36,61,0)</f>
        <v>0</v>
      </c>
      <c r="AG9" s="36">
        <f>VLOOKUP($A9,[16]HISTOJUIN22!$A$6:$CA$36,62,0)</f>
        <v>0</v>
      </c>
      <c r="AH9" s="36">
        <f>VLOOKUP($A9,[16]HISTOJUIN22!$A$6:$CA$36,63,0)</f>
        <v>0</v>
      </c>
      <c r="AI9" s="36">
        <f>VLOOKUP($A9,[16]HISTOJUIN22!$A$6:$CA$36,64,0)</f>
        <v>0</v>
      </c>
      <c r="AJ9" s="36">
        <f>VLOOKUP($A9,[16]HISTOJUIN22!$A$6:$CA$36,65,0)</f>
        <v>0</v>
      </c>
    </row>
    <row r="10" spans="1:36" x14ac:dyDescent="0.25">
      <c r="A10" s="1" t="s">
        <v>24</v>
      </c>
      <c r="B10" s="1" t="str">
        <f>VLOOKUP(A10,[15]LISTADHERENT!A$5:H$60,3,0)</f>
        <v>DJOUKWE NANGUEN GUY BLAISE</v>
      </c>
      <c r="C10" s="5"/>
      <c r="D10" s="5"/>
      <c r="E10" s="36">
        <f>VLOOKUP($A10,[16]HISTOJUIN22!$A$6:$BA$39,48,0)</f>
        <v>0</v>
      </c>
      <c r="F10" s="5">
        <f>MVTMAI22!F10-MVTJUIN22!E10</f>
        <v>570000</v>
      </c>
      <c r="G10" s="6">
        <f t="shared" si="0"/>
        <v>17014.824435081067</v>
      </c>
      <c r="H10" s="6">
        <f>MVTMAI22!H10+MVTMAI22!G10+K10</f>
        <v>759721.19717584725</v>
      </c>
      <c r="I10" s="36">
        <f>VLOOKUP($A10,[16]HISTOJUIN22!$A$6:$AQ$37,22,0)</f>
        <v>0</v>
      </c>
      <c r="J10" s="36">
        <f>VLOOKUP($A10,[16]HISTOJUIN22!$A$6:$AU$39,45,0)</f>
        <v>7000</v>
      </c>
      <c r="K10" s="36">
        <f t="shared" si="1"/>
        <v>3000</v>
      </c>
      <c r="L10" s="36">
        <f t="shared" si="2"/>
        <v>500</v>
      </c>
      <c r="M10" s="36">
        <f t="shared" si="3"/>
        <v>1000</v>
      </c>
      <c r="N10" s="36">
        <f t="shared" si="4"/>
        <v>2500</v>
      </c>
      <c r="O10" s="36">
        <f>VLOOKUP($A10,[16]HISTOJUIN22!$A$6:$AU$39,7,0)</f>
        <v>0</v>
      </c>
      <c r="P10" s="36">
        <f>VLOOKUP($A10,[16]HISTOJUIN22!$A$6:$AU$39,23,0)</f>
        <v>0</v>
      </c>
      <c r="Q10" s="36">
        <f>VLOOKUP($A10,[16]HISTOJUIN22!$A$6:$AU$39,46,0)</f>
        <v>0</v>
      </c>
      <c r="R10" s="36">
        <f>VLOOKUP($A10,[16]HISTOJUIN22!$A$6:$AU$39,26,0)</f>
        <v>0</v>
      </c>
      <c r="S10" s="36">
        <f>VLOOKUP($A10,[16]HISTOJUIN22!$A$6:$BG$39,58,0)</f>
        <v>0</v>
      </c>
      <c r="T10" s="36">
        <f>VLOOKUP($A10,[16]HISTOJUIN22!$A$6:$AU$39,28,0)</f>
        <v>0</v>
      </c>
      <c r="U10" s="36">
        <f>VLOOKUP($A10,[16]HISTOJUIN22!$A$6:$AU$39,19,0)</f>
        <v>0</v>
      </c>
      <c r="V10" s="36">
        <f>VLOOKUP($A10,[16]HISTOJUIN22!$A$6:$AU$39,20,0)</f>
        <v>0</v>
      </c>
      <c r="W10" s="36">
        <f>VLOOKUP($A10,[16]HISTOJUIN22!$A$6:$AU$39,27,0)</f>
        <v>0</v>
      </c>
      <c r="X10" s="36">
        <f>VLOOKUP($A10,[16]HISTOJUIN22!$A$6:$AU$39,33,0)</f>
        <v>0</v>
      </c>
      <c r="Y10" s="36">
        <f>VLOOKUP($A10,[16]HISTOJUIN22!$A$6:$BP$39,65,0)</f>
        <v>0</v>
      </c>
      <c r="Z10" s="36"/>
      <c r="AA10" s="36">
        <f>VLOOKUP($A10,[16]HISTOJUIN22!$A$6:$AU$39,43,0)</f>
        <v>0</v>
      </c>
      <c r="AB10" s="36">
        <f>VLOOKUP($A10,[16]HISTOJUIN22!$A$6:$AU$39,44,0)</f>
        <v>0</v>
      </c>
      <c r="AC10" s="36">
        <f>VLOOKUP($A10,[16]HISTOJUIN22!$A$6:$AU$39,47,0)</f>
        <v>0</v>
      </c>
      <c r="AD10" s="36">
        <f>VLOOKUP(A10,[16]HISTOJUIN22!$A$6:$BB$36,54,0)</f>
        <v>0</v>
      </c>
      <c r="AE10" s="36">
        <f>VLOOKUP($A10,[16]HISTOJUIN22!$A$6:$CA$36,60,0)</f>
        <v>0</v>
      </c>
      <c r="AF10" s="36">
        <f>VLOOKUP($A10,[16]HISTOJUIN22!$A$6:$CA$36,61,0)</f>
        <v>0</v>
      </c>
      <c r="AG10" s="36">
        <f>VLOOKUP($A10,[16]HISTOJUIN22!$A$6:$CA$36,62,0)</f>
        <v>0</v>
      </c>
      <c r="AH10" s="36">
        <f>VLOOKUP($A10,[16]HISTOJUIN22!$A$6:$CA$36,63,0)</f>
        <v>0</v>
      </c>
      <c r="AI10" s="36">
        <f>VLOOKUP($A10,[16]HISTOJUIN22!$A$6:$CA$36,64,0)</f>
        <v>0</v>
      </c>
      <c r="AJ10" s="36">
        <f>VLOOKUP($A10,[16]HISTOJUIN22!$A$6:$CA$36,65,0)</f>
        <v>0</v>
      </c>
    </row>
    <row r="11" spans="1:36" x14ac:dyDescent="0.25">
      <c r="A11" s="1" t="s">
        <v>25</v>
      </c>
      <c r="B11" s="1" t="str">
        <f>VLOOKUP(A11,[15]LISTADHERENT!A$5:H$60,3,0)</f>
        <v>DJUOMBESSY ANTOINE</v>
      </c>
      <c r="C11" s="5"/>
      <c r="D11" s="5"/>
      <c r="E11" s="36">
        <f>VLOOKUP($A11,[16]HISTOJUIN22!$A$6:$BA$39,48,0)</f>
        <v>0</v>
      </c>
      <c r="F11" s="5">
        <f>MVTMAI22!F11-MVTJUIN22!E11</f>
        <v>570000</v>
      </c>
      <c r="G11" s="6">
        <f t="shared" si="0"/>
        <v>14600.094516800669</v>
      </c>
      <c r="H11" s="6">
        <f>MVTMAI22!H11+MVTMAI22!G11+K11</f>
        <v>651902.18844191555</v>
      </c>
      <c r="I11" s="36">
        <f>VLOOKUP($A11,[16]HISTOJUIN22!$A$6:$AQ$37,22,0)</f>
        <v>0</v>
      </c>
      <c r="J11" s="36">
        <f>VLOOKUP($A11,[16]HISTOJUIN22!$A$6:$AU$39,45,0)</f>
        <v>7000</v>
      </c>
      <c r="K11" s="36">
        <f t="shared" si="1"/>
        <v>3000</v>
      </c>
      <c r="L11" s="36">
        <f t="shared" si="2"/>
        <v>500</v>
      </c>
      <c r="M11" s="36">
        <f t="shared" si="3"/>
        <v>1000</v>
      </c>
      <c r="N11" s="36">
        <f t="shared" si="4"/>
        <v>2500</v>
      </c>
      <c r="O11" s="36">
        <f>VLOOKUP($A11,[16]HISTOJUIN22!$A$6:$AU$39,7,0)</f>
        <v>0</v>
      </c>
      <c r="P11" s="36">
        <f>VLOOKUP($A11,[16]HISTOJUIN22!$A$6:$AU$39,23,0)</f>
        <v>0</v>
      </c>
      <c r="Q11" s="36">
        <f>VLOOKUP($A11,[16]HISTOJUIN22!$A$6:$AU$39,46,0)</f>
        <v>0</v>
      </c>
      <c r="R11" s="36">
        <f>VLOOKUP($A11,[16]HISTOJUIN22!$A$6:$AU$39,26,0)</f>
        <v>0</v>
      </c>
      <c r="S11" s="36">
        <f>VLOOKUP($A11,[16]HISTOJUIN22!$A$6:$BG$39,58,0)</f>
        <v>0</v>
      </c>
      <c r="T11" s="36">
        <f>VLOOKUP($A11,[16]HISTOJUIN22!$A$6:$AU$39,28,0)</f>
        <v>0</v>
      </c>
      <c r="U11" s="36">
        <f>VLOOKUP($A11,[16]HISTOJUIN22!$A$6:$AU$39,19,0)</f>
        <v>0</v>
      </c>
      <c r="V11" s="36">
        <f>VLOOKUP($A11,[16]HISTOJUIN22!$A$6:$AU$39,20,0)</f>
        <v>0</v>
      </c>
      <c r="W11" s="36">
        <f>VLOOKUP($A11,[16]HISTOJUIN22!$A$6:$AU$39,27,0)</f>
        <v>0</v>
      </c>
      <c r="X11" s="36">
        <f>VLOOKUP($A11,[16]HISTOJUIN22!$A$6:$AU$39,33,0)</f>
        <v>0</v>
      </c>
      <c r="Y11" s="36">
        <f>VLOOKUP($A11,[16]HISTOJUIN22!$A$6:$BP$39,65,0)</f>
        <v>0</v>
      </c>
      <c r="Z11" s="36"/>
      <c r="AA11" s="36">
        <f>VLOOKUP($A11,[16]HISTOJUIN22!$A$6:$AU$39,43,0)</f>
        <v>0</v>
      </c>
      <c r="AB11" s="36">
        <f>VLOOKUP($A11,[16]HISTOJUIN22!$A$6:$AU$39,44,0)</f>
        <v>0</v>
      </c>
      <c r="AC11" s="36">
        <f>VLOOKUP($A11,[16]HISTOJUIN22!$A$6:$AU$39,47,0)</f>
        <v>0</v>
      </c>
      <c r="AD11" s="36">
        <f>VLOOKUP(A11,[16]HISTOJUIN22!$A$6:$BB$36,54,0)</f>
        <v>0</v>
      </c>
      <c r="AE11" s="36">
        <f>VLOOKUP($A11,[16]HISTOJUIN22!$A$6:$CA$36,60,0)</f>
        <v>0</v>
      </c>
      <c r="AF11" s="36">
        <f>VLOOKUP($A11,[16]HISTOJUIN22!$A$6:$CA$36,61,0)</f>
        <v>0</v>
      </c>
      <c r="AG11" s="36">
        <f>VLOOKUP($A11,[16]HISTOJUIN22!$A$6:$CA$36,62,0)</f>
        <v>0</v>
      </c>
      <c r="AH11" s="36">
        <f>VLOOKUP($A11,[16]HISTOJUIN22!$A$6:$CA$36,63,0)</f>
        <v>0</v>
      </c>
      <c r="AI11" s="36">
        <f>VLOOKUP($A11,[16]HISTOJUIN22!$A$6:$CA$36,64,0)</f>
        <v>0</v>
      </c>
      <c r="AJ11" s="36">
        <f>VLOOKUP($A11,[16]HISTOJUIN22!$A$6:$CA$36,65,0)</f>
        <v>0</v>
      </c>
    </row>
    <row r="12" spans="1:36" x14ac:dyDescent="0.25">
      <c r="A12" s="1" t="s">
        <v>79</v>
      </c>
      <c r="B12" s="1" t="str">
        <f>VLOOKUP(A12,[15]LISTADHERENT!A$5:H$60,3,0)</f>
        <v>DOMOU FABIEN</v>
      </c>
      <c r="C12" s="5"/>
      <c r="D12" s="5"/>
      <c r="E12" s="36">
        <f>VLOOKUP($A12,[16]HISTOJUIN22!$A$6:$BA$39,48,0)</f>
        <v>0</v>
      </c>
      <c r="F12" s="5">
        <f>MVTMAI22!F12-MVTJUIN22!E12</f>
        <v>570000</v>
      </c>
      <c r="G12" s="6">
        <f t="shared" si="0"/>
        <v>15060.967913748536</v>
      </c>
      <c r="H12" s="6">
        <f>MVTMAI22!H12+MVTMAI22!G12+K12</f>
        <v>672480.43714566506</v>
      </c>
      <c r="I12" s="36">
        <f>VLOOKUP($A12,[16]HISTOJUIN22!$A$6:$AQ$37,22,0)</f>
        <v>0</v>
      </c>
      <c r="J12" s="36">
        <f>VLOOKUP($A12,[16]HISTOJUIN22!$A$6:$AU$39,45,0)</f>
        <v>12000</v>
      </c>
      <c r="K12" s="36">
        <f t="shared" si="1"/>
        <v>8000</v>
      </c>
      <c r="L12" s="36">
        <f t="shared" si="2"/>
        <v>500</v>
      </c>
      <c r="M12" s="36">
        <f t="shared" si="3"/>
        <v>1000</v>
      </c>
      <c r="N12" s="36">
        <f t="shared" si="4"/>
        <v>2500</v>
      </c>
      <c r="O12" s="36">
        <f>VLOOKUP($A12,[16]HISTOJUIN22!$A$6:$AU$39,7,0)</f>
        <v>0</v>
      </c>
      <c r="P12" s="36">
        <f>VLOOKUP($A12,[16]HISTOJUIN22!$A$6:$AU$39,23,0)</f>
        <v>0</v>
      </c>
      <c r="Q12" s="36">
        <f>VLOOKUP($A12,[16]HISTOJUIN22!$A$6:$AU$39,46,0)</f>
        <v>0</v>
      </c>
      <c r="R12" s="36">
        <f>VLOOKUP($A12,[16]HISTOJUIN22!$A$6:$AU$39,26,0)</f>
        <v>0</v>
      </c>
      <c r="S12" s="36">
        <f>VLOOKUP($A12,[16]HISTOJUIN22!$A$6:$BG$39,58,0)</f>
        <v>0</v>
      </c>
      <c r="T12" s="36">
        <f>VLOOKUP($A12,[16]HISTOJUIN22!$A$6:$AU$39,28,0)</f>
        <v>0</v>
      </c>
      <c r="U12" s="36">
        <f>VLOOKUP($A12,[16]HISTOJUIN22!$A$6:$AU$39,19,0)</f>
        <v>0</v>
      </c>
      <c r="V12" s="36">
        <f>VLOOKUP($A12,[16]HISTOJUIN22!$A$6:$AU$39,20,0)</f>
        <v>0</v>
      </c>
      <c r="W12" s="36">
        <f>VLOOKUP($A12,[16]HISTOJUIN22!$A$6:$AU$39,27,0)</f>
        <v>0</v>
      </c>
      <c r="X12" s="36">
        <f>VLOOKUP($A12,[16]HISTOJUIN22!$A$6:$AU$39,33,0)</f>
        <v>0</v>
      </c>
      <c r="Y12" s="36">
        <f>VLOOKUP($A12,[16]HISTOJUIN22!$A$6:$BP$39,65,0)</f>
        <v>0</v>
      </c>
      <c r="Z12" s="36"/>
      <c r="AA12" s="36">
        <f>VLOOKUP($A12,[16]HISTOJUIN22!$A$6:$AU$39,43,0)</f>
        <v>0</v>
      </c>
      <c r="AB12" s="36">
        <f>VLOOKUP($A12,[16]HISTOJUIN22!$A$6:$AU$39,44,0)</f>
        <v>0</v>
      </c>
      <c r="AC12" s="36">
        <f>VLOOKUP($A12,[16]HISTOJUIN22!$A$6:$AU$39,47,0)</f>
        <v>0</v>
      </c>
      <c r="AD12" s="36">
        <f>VLOOKUP(A12,[16]HISTOJUIN22!$A$6:$BB$36,54,0)</f>
        <v>33000</v>
      </c>
      <c r="AE12" s="36">
        <f>VLOOKUP($A12,[16]HISTOJUIN22!$A$6:$CA$36,60,0)</f>
        <v>0</v>
      </c>
      <c r="AF12" s="36">
        <f>VLOOKUP($A12,[16]HISTOJUIN22!$A$6:$CA$36,61,0)</f>
        <v>0</v>
      </c>
      <c r="AG12" s="36">
        <f>VLOOKUP($A12,[16]HISTOJUIN22!$A$6:$CA$36,62,0)</f>
        <v>0</v>
      </c>
      <c r="AH12" s="36">
        <f>VLOOKUP($A12,[16]HISTOJUIN22!$A$6:$CA$36,63,0)</f>
        <v>0</v>
      </c>
      <c r="AI12" s="36">
        <f>VLOOKUP($A12,[16]HISTOJUIN22!$A$6:$CA$36,64,0)</f>
        <v>0</v>
      </c>
      <c r="AJ12" s="36">
        <f>VLOOKUP($A12,[16]HISTOJUIN22!$A$6:$CA$36,65,0)</f>
        <v>0</v>
      </c>
    </row>
    <row r="13" spans="1:36" x14ac:dyDescent="0.25">
      <c r="A13" s="1" t="s">
        <v>26</v>
      </c>
      <c r="B13" s="1" t="str">
        <f>VLOOKUP(A13,[15]LISTADHERENT!A$5:H$60,3,0)</f>
        <v>DONHOU DAVID</v>
      </c>
      <c r="C13" s="5"/>
      <c r="D13" s="5"/>
      <c r="E13" s="36">
        <f>VLOOKUP($A13,[16]HISTOJUIN22!$A$6:$BA$39,48,0)</f>
        <v>0</v>
      </c>
      <c r="F13" s="5">
        <f>MVTMAI22!F13-MVTJUIN22!E13</f>
        <v>570000</v>
      </c>
      <c r="G13" s="6">
        <f t="shared" si="0"/>
        <v>20917.780871021318</v>
      </c>
      <c r="H13" s="6">
        <f>MVTMAI22!H13+MVTMAI22!G13+K13</f>
        <v>933990.33214994404</v>
      </c>
      <c r="I13" s="36">
        <f>VLOOKUP($A13,[16]HISTOJUIN22!$A$6:$AQ$37,22,0)</f>
        <v>0</v>
      </c>
      <c r="J13" s="36">
        <f>VLOOKUP($A13,[16]HISTOJUIN22!$A$6:$AU$39,45,0)</f>
        <v>12000</v>
      </c>
      <c r="K13" s="36">
        <f t="shared" si="1"/>
        <v>8000</v>
      </c>
      <c r="L13" s="36">
        <f t="shared" si="2"/>
        <v>500</v>
      </c>
      <c r="M13" s="36">
        <f t="shared" si="3"/>
        <v>1000</v>
      </c>
      <c r="N13" s="36">
        <f t="shared" si="4"/>
        <v>2500</v>
      </c>
      <c r="O13" s="36">
        <f>VLOOKUP($A13,[16]HISTOJUIN22!$A$6:$AU$39,7,0)</f>
        <v>0</v>
      </c>
      <c r="P13" s="36">
        <f>VLOOKUP($A13,[16]HISTOJUIN22!$A$6:$AU$39,23,0)</f>
        <v>0</v>
      </c>
      <c r="Q13" s="36">
        <f>VLOOKUP($A13,[16]HISTOJUIN22!$A$6:$AU$39,46,0)</f>
        <v>0</v>
      </c>
      <c r="R13" s="36">
        <f>VLOOKUP($A13,[16]HISTOJUIN22!$A$6:$AU$39,26,0)</f>
        <v>0</v>
      </c>
      <c r="S13" s="36">
        <f>VLOOKUP($A13,[16]HISTOJUIN22!$A$6:$BG$39,58,0)</f>
        <v>0</v>
      </c>
      <c r="T13" s="36">
        <f>VLOOKUP($A13,[16]HISTOJUIN22!$A$6:$AU$39,28,0)</f>
        <v>0</v>
      </c>
      <c r="U13" s="36">
        <f>VLOOKUP($A13,[16]HISTOJUIN22!$A$6:$AU$39,19,0)</f>
        <v>0</v>
      </c>
      <c r="V13" s="36">
        <f>VLOOKUP($A13,[16]HISTOJUIN22!$A$6:$AU$39,20,0)</f>
        <v>0</v>
      </c>
      <c r="W13" s="36">
        <f>VLOOKUP($A13,[16]HISTOJUIN22!$A$6:$AU$39,27,0)</f>
        <v>0</v>
      </c>
      <c r="X13" s="36">
        <f>VLOOKUP($A13,[16]HISTOJUIN22!$A$6:$AU$39,33,0)</f>
        <v>0</v>
      </c>
      <c r="Y13" s="36">
        <f>VLOOKUP($A13,[16]HISTOJUIN22!$A$6:$BP$39,65,0)</f>
        <v>0</v>
      </c>
      <c r="Z13" s="36"/>
      <c r="AA13" s="36">
        <f>VLOOKUP($A13,[16]HISTOJUIN22!$A$6:$AU$39,43,0)</f>
        <v>0</v>
      </c>
      <c r="AB13" s="36">
        <f>VLOOKUP($A13,[16]HISTOJUIN22!$A$6:$AU$39,44,0)</f>
        <v>0</v>
      </c>
      <c r="AC13" s="36">
        <f>VLOOKUP($A13,[16]HISTOJUIN22!$A$6:$AU$39,47,0)</f>
        <v>0</v>
      </c>
      <c r="AD13" s="36">
        <f>VLOOKUP(A13,[16]HISTOJUIN22!$A$6:$BB$36,54,0)</f>
        <v>0</v>
      </c>
      <c r="AE13" s="36">
        <f>VLOOKUP($A13,[16]HISTOJUIN22!$A$6:$CA$36,60,0)</f>
        <v>0</v>
      </c>
      <c r="AF13" s="36">
        <f>VLOOKUP($A13,[16]HISTOJUIN22!$A$6:$CA$36,61,0)</f>
        <v>0</v>
      </c>
      <c r="AG13" s="36">
        <f>VLOOKUP($A13,[16]HISTOJUIN22!$A$6:$CA$36,62,0)</f>
        <v>0</v>
      </c>
      <c r="AH13" s="36">
        <f>VLOOKUP($A13,[16]HISTOJUIN22!$A$6:$CA$36,63,0)</f>
        <v>0</v>
      </c>
      <c r="AI13" s="36">
        <f>VLOOKUP($A13,[16]HISTOJUIN22!$A$6:$CA$36,64,0)</f>
        <v>0</v>
      </c>
      <c r="AJ13" s="36">
        <f>VLOOKUP($A13,[16]HISTOJUIN22!$A$6:$CA$36,65,0)</f>
        <v>0</v>
      </c>
    </row>
    <row r="14" spans="1:36" x14ac:dyDescent="0.25">
      <c r="A14" s="1" t="s">
        <v>27</v>
      </c>
      <c r="B14" s="1" t="str">
        <f>VLOOKUP(A14,[15]LISTADHERENT!A$5:H$60,3,0)</f>
        <v>FOTSO THOMAS</v>
      </c>
      <c r="C14" s="5"/>
      <c r="D14" s="5"/>
      <c r="E14" s="36">
        <f>VLOOKUP($A14,[16]HISTOJUIN22!$A$6:$BA$39,48,0)</f>
        <v>0</v>
      </c>
      <c r="F14" s="5">
        <f>MVTMAI22!F14-MVTJUIN22!E14</f>
        <v>540000</v>
      </c>
      <c r="G14" s="6">
        <f t="shared" si="0"/>
        <v>0</v>
      </c>
      <c r="H14" s="6">
        <f>MVTMAI22!H14+MVTMAI22!G14+K14</f>
        <v>0</v>
      </c>
      <c r="I14" s="36">
        <f>VLOOKUP($A14,[16]HISTOJUIN22!$A$6:$AQ$37,22,0)</f>
        <v>0</v>
      </c>
      <c r="J14" s="36">
        <f>VLOOKUP($A14,[16]HISTOJUIN22!$A$6:$AU$39,45,0)</f>
        <v>0</v>
      </c>
      <c r="K14" s="36">
        <f t="shared" si="1"/>
        <v>0</v>
      </c>
      <c r="L14" s="36">
        <f t="shared" si="2"/>
        <v>0</v>
      </c>
      <c r="M14" s="36">
        <f t="shared" si="3"/>
        <v>0</v>
      </c>
      <c r="N14" s="36">
        <f t="shared" si="4"/>
        <v>0</v>
      </c>
      <c r="O14" s="36">
        <f>VLOOKUP($A14,[16]HISTOJUIN22!$A$6:$AU$39,7,0)</f>
        <v>0</v>
      </c>
      <c r="P14" s="36">
        <f>VLOOKUP($A14,[16]HISTOJUIN22!$A$6:$AU$39,23,0)</f>
        <v>0</v>
      </c>
      <c r="Q14" s="36">
        <f>VLOOKUP($A14,[16]HISTOJUIN22!$A$6:$AU$39,46,0)</f>
        <v>0</v>
      </c>
      <c r="R14" s="36">
        <f>VLOOKUP($A14,[16]HISTOJUIN22!$A$6:$AU$39,26,0)</f>
        <v>0</v>
      </c>
      <c r="S14" s="36">
        <f>VLOOKUP($A14,[16]HISTOJUIN22!$A$6:$BG$39,58,0)</f>
        <v>0</v>
      </c>
      <c r="T14" s="36">
        <f>VLOOKUP($A14,[16]HISTOJUIN22!$A$6:$AU$39,28,0)</f>
        <v>0</v>
      </c>
      <c r="U14" s="36">
        <f>VLOOKUP($A14,[16]HISTOJUIN22!$A$6:$AU$39,19,0)</f>
        <v>0</v>
      </c>
      <c r="V14" s="36">
        <f>VLOOKUP($A14,[16]HISTOJUIN22!$A$6:$AU$39,20,0)</f>
        <v>0</v>
      </c>
      <c r="W14" s="36">
        <f>VLOOKUP($A14,[16]HISTOJUIN22!$A$6:$AU$39,27,0)</f>
        <v>0</v>
      </c>
      <c r="X14" s="36">
        <f>VLOOKUP($A14,[16]HISTOJUIN22!$A$6:$AU$39,33,0)</f>
        <v>0</v>
      </c>
      <c r="Y14" s="36">
        <f>VLOOKUP($A14,[16]HISTOJUIN22!$A$6:$BP$39,65,0)</f>
        <v>0</v>
      </c>
      <c r="Z14" s="36"/>
      <c r="AA14" s="36">
        <f>VLOOKUP($A14,[16]HISTOJUIN22!$A$6:$AU$39,43,0)</f>
        <v>0</v>
      </c>
      <c r="AB14" s="36">
        <f>VLOOKUP($A14,[16]HISTOJUIN22!$A$6:$AU$39,44,0)</f>
        <v>0</v>
      </c>
      <c r="AC14" s="36">
        <f>VLOOKUP($A14,[16]HISTOJUIN22!$A$6:$AU$39,47,0)</f>
        <v>0</v>
      </c>
      <c r="AD14" s="36">
        <f>VLOOKUP(A14,[16]HISTOJUIN22!$A$6:$BB$36,54,0)</f>
        <v>0</v>
      </c>
      <c r="AE14" s="36">
        <f>VLOOKUP($A14,[16]HISTOJUIN22!$A$6:$CA$36,60,0)</f>
        <v>0</v>
      </c>
      <c r="AF14" s="36">
        <f>VLOOKUP($A14,[16]HISTOJUIN22!$A$6:$CA$36,61,0)</f>
        <v>0</v>
      </c>
      <c r="AG14" s="36">
        <f>VLOOKUP($A14,[16]HISTOJUIN22!$A$6:$CA$36,62,0)</f>
        <v>0</v>
      </c>
      <c r="AH14" s="36">
        <f>VLOOKUP($A14,[16]HISTOJUIN22!$A$6:$CA$36,63,0)</f>
        <v>0</v>
      </c>
      <c r="AI14" s="36">
        <f>VLOOKUP($A14,[16]HISTOJUIN22!$A$6:$CA$36,64,0)</f>
        <v>0</v>
      </c>
      <c r="AJ14" s="36">
        <f>VLOOKUP($A14,[16]HISTOJUIN22!$A$6:$CA$36,65,0)</f>
        <v>0</v>
      </c>
    </row>
    <row r="15" spans="1:36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VLOOKUP($A15,[16]HISTOJUIN22!$A$6:$BA$39,48,0)</f>
        <v>0</v>
      </c>
      <c r="F15" s="5">
        <f>MVTMAI22!F15-MVTJUIN22!E15</f>
        <v>570000</v>
      </c>
      <c r="G15" s="6">
        <f t="shared" si="0"/>
        <v>14302.135026474676</v>
      </c>
      <c r="H15" s="6">
        <f>MVTMAI22!H15+MVTMAI22!G15+K15</f>
        <v>638598.1345820562</v>
      </c>
      <c r="I15" s="36">
        <f>VLOOKUP($A15,[16]HISTOJUIN22!$A$6:$AQ$37,22,0)</f>
        <v>0</v>
      </c>
      <c r="J15" s="36">
        <f>VLOOKUP($A15,[16]HISTOJUIN22!$A$6:$AU$39,45,0)</f>
        <v>7000</v>
      </c>
      <c r="K15" s="36">
        <f t="shared" si="1"/>
        <v>3000</v>
      </c>
      <c r="L15" s="36">
        <f t="shared" si="2"/>
        <v>500</v>
      </c>
      <c r="M15" s="36">
        <f t="shared" si="3"/>
        <v>1000</v>
      </c>
      <c r="N15" s="36">
        <f t="shared" si="4"/>
        <v>2500</v>
      </c>
      <c r="O15" s="36">
        <f>VLOOKUP($A15,[16]HISTOJUIN22!$A$6:$AU$39,7,0)</f>
        <v>0</v>
      </c>
      <c r="P15" s="36">
        <f>VLOOKUP($A15,[16]HISTOJUIN22!$A$6:$AU$39,23,0)</f>
        <v>0</v>
      </c>
      <c r="Q15" s="36">
        <f>VLOOKUP($A15,[16]HISTOJUIN22!$A$6:$AU$39,46,0)</f>
        <v>0</v>
      </c>
      <c r="R15" s="36">
        <f>VLOOKUP($A15,[16]HISTOJUIN22!$A$6:$AU$39,26,0)</f>
        <v>0</v>
      </c>
      <c r="S15" s="36">
        <f>VLOOKUP($A15,[16]HISTOJUIN22!$A$6:$BG$39,58,0)</f>
        <v>0</v>
      </c>
      <c r="T15" s="36">
        <f>VLOOKUP($A15,[16]HISTOJUIN22!$A$6:$AU$39,28,0)</f>
        <v>0</v>
      </c>
      <c r="U15" s="36">
        <f>VLOOKUP($A15,[16]HISTOJUIN22!$A$6:$AU$39,19,0)</f>
        <v>0</v>
      </c>
      <c r="V15" s="36">
        <f>VLOOKUP($A15,[16]HISTOJUIN22!$A$6:$AU$39,20,0)</f>
        <v>0</v>
      </c>
      <c r="W15" s="36">
        <f>VLOOKUP($A15,[16]HISTOJUIN22!$A$6:$AU$39,27,0)</f>
        <v>0</v>
      </c>
      <c r="X15" s="36">
        <f>VLOOKUP($A15,[16]HISTOJUIN22!$A$6:$AU$39,33,0)</f>
        <v>0</v>
      </c>
      <c r="Y15" s="36">
        <f>VLOOKUP($A15,[16]HISTOJUIN22!$A$6:$BP$39,65,0)</f>
        <v>0</v>
      </c>
      <c r="Z15" s="36"/>
      <c r="AA15" s="36">
        <f>VLOOKUP($A15,[16]HISTOJUIN22!$A$6:$AU$39,43,0)</f>
        <v>0</v>
      </c>
      <c r="AB15" s="36">
        <f>VLOOKUP($A15,[16]HISTOJUIN22!$A$6:$AU$39,44,0)</f>
        <v>0</v>
      </c>
      <c r="AC15" s="36">
        <f>VLOOKUP($A15,[16]HISTOJUIN22!$A$6:$AU$39,47,0)</f>
        <v>0</v>
      </c>
      <c r="AD15" s="36">
        <f>VLOOKUP(A15,[16]HISTOJUIN22!$A$6:$BB$36,54,0)</f>
        <v>0</v>
      </c>
      <c r="AE15" s="36">
        <f>VLOOKUP($A15,[16]HISTOJUIN22!$A$6:$CA$36,60,0)</f>
        <v>0</v>
      </c>
      <c r="AF15" s="36">
        <f>VLOOKUP($A15,[16]HISTOJUIN22!$A$6:$CA$36,61,0)</f>
        <v>0</v>
      </c>
      <c r="AG15" s="36">
        <f>VLOOKUP($A15,[16]HISTOJUIN22!$A$6:$CA$36,62,0)</f>
        <v>0</v>
      </c>
      <c r="AH15" s="36">
        <f>VLOOKUP($A15,[16]HISTOJUIN22!$A$6:$CA$36,63,0)</f>
        <v>0</v>
      </c>
      <c r="AI15" s="36">
        <f>VLOOKUP($A15,[16]HISTOJUIN22!$A$6:$CA$36,64,0)</f>
        <v>0</v>
      </c>
      <c r="AJ15" s="36">
        <f>VLOOKUP($A15,[16]HISTOJUIN22!$A$6:$CA$36,65,0)</f>
        <v>0</v>
      </c>
    </row>
    <row r="16" spans="1:36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VLOOKUP($A16,[16]HISTOJUIN22!$A$6:$BA$39,48,0)</f>
        <v>0</v>
      </c>
      <c r="F16" s="5">
        <f>MVTMAI22!F16-MVTJUIN22!E16</f>
        <v>570000</v>
      </c>
      <c r="G16" s="6">
        <f t="shared" si="0"/>
        <v>20800.339418125306</v>
      </c>
      <c r="H16" s="6">
        <f>MVTMAI22!H16+MVTMAI22!G16+K16</f>
        <v>928746.50718233117</v>
      </c>
      <c r="I16" s="36">
        <f>VLOOKUP($A16,[16]HISTOJUIN22!$A$6:$AQ$37,22,0)</f>
        <v>0</v>
      </c>
      <c r="J16" s="36">
        <f>VLOOKUP($A16,[16]HISTOJUIN22!$A$6:$AU$39,45,0)</f>
        <v>52000</v>
      </c>
      <c r="K16" s="36">
        <f t="shared" si="1"/>
        <v>48000</v>
      </c>
      <c r="L16" s="36">
        <f t="shared" si="2"/>
        <v>500</v>
      </c>
      <c r="M16" s="36">
        <f t="shared" si="3"/>
        <v>1000</v>
      </c>
      <c r="N16" s="36">
        <f t="shared" si="4"/>
        <v>2500</v>
      </c>
      <c r="O16" s="36">
        <f>VLOOKUP($A16,[16]HISTOJUIN22!$A$6:$AU$39,7,0)</f>
        <v>0</v>
      </c>
      <c r="P16" s="36">
        <f>VLOOKUP($A16,[16]HISTOJUIN22!$A$6:$AU$39,23,0)</f>
        <v>0</v>
      </c>
      <c r="Q16" s="36">
        <f>VLOOKUP($A16,[16]HISTOJUIN22!$A$6:$AU$39,46,0)</f>
        <v>0</v>
      </c>
      <c r="R16" s="36">
        <f>VLOOKUP($A16,[16]HISTOJUIN22!$A$6:$AU$39,26,0)</f>
        <v>0</v>
      </c>
      <c r="S16" s="36">
        <f>VLOOKUP($A16,[16]HISTOJUIN22!$A$6:$BG$39,58,0)</f>
        <v>0</v>
      </c>
      <c r="T16" s="36">
        <f>VLOOKUP($A16,[16]HISTOJUIN22!$A$6:$AU$39,28,0)</f>
        <v>0</v>
      </c>
      <c r="U16" s="36">
        <f>VLOOKUP($A16,[16]HISTOJUIN22!$A$6:$AU$39,19,0)</f>
        <v>0</v>
      </c>
      <c r="V16" s="36">
        <f>VLOOKUP($A16,[16]HISTOJUIN22!$A$6:$AU$39,20,0)</f>
        <v>0</v>
      </c>
      <c r="W16" s="36">
        <f>VLOOKUP($A16,[16]HISTOJUIN22!$A$6:$AU$39,27,0)</f>
        <v>0</v>
      </c>
      <c r="X16" s="36">
        <f>VLOOKUP($A16,[16]HISTOJUIN22!$A$6:$AU$39,33,0)</f>
        <v>0</v>
      </c>
      <c r="Y16" s="36">
        <f>VLOOKUP($A16,[16]HISTOJUIN22!$A$6:$BP$39,65,0)</f>
        <v>0</v>
      </c>
      <c r="Z16" s="36"/>
      <c r="AA16" s="36">
        <f>VLOOKUP($A16,[16]HISTOJUIN22!$A$6:$AU$39,43,0)</f>
        <v>0</v>
      </c>
      <c r="AB16" s="36">
        <f>VLOOKUP($A16,[16]HISTOJUIN22!$A$6:$AU$39,44,0)</f>
        <v>0</v>
      </c>
      <c r="AC16" s="36">
        <f>VLOOKUP($A16,[16]HISTOJUIN22!$A$6:$AU$39,47,0)</f>
        <v>0</v>
      </c>
      <c r="AD16" s="36">
        <f>VLOOKUP(A16,[16]HISTOJUIN22!$A$6:$BB$36,54,0)</f>
        <v>0</v>
      </c>
      <c r="AE16" s="36">
        <f>VLOOKUP($A16,[16]HISTOJUIN22!$A$6:$CA$36,60,0)</f>
        <v>0</v>
      </c>
      <c r="AF16" s="36">
        <f>VLOOKUP($A16,[16]HISTOJUIN22!$A$6:$CA$36,61,0)</f>
        <v>0</v>
      </c>
      <c r="AG16" s="36">
        <f>VLOOKUP($A16,[16]HISTOJUIN22!$A$6:$CA$36,62,0)</f>
        <v>0</v>
      </c>
      <c r="AH16" s="36">
        <f>VLOOKUP($A16,[16]HISTOJUIN22!$A$6:$CA$36,63,0)</f>
        <v>0</v>
      </c>
      <c r="AI16" s="36">
        <f>VLOOKUP($A16,[16]HISTOJUIN22!$A$6:$CA$36,64,0)</f>
        <v>0</v>
      </c>
      <c r="AJ16" s="36">
        <f>VLOOKUP($A16,[16]HISTOJUIN22!$A$6:$CA$36,65,0)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VLOOKUP($A17,[16]HISTOJUIN22!$A$6:$BA$39,48,0)</f>
        <v>0</v>
      </c>
      <c r="F17" s="5">
        <f>MVTMAI22!F17-MVTJUIN22!E17</f>
        <v>570000</v>
      </c>
      <c r="G17" s="6">
        <f t="shared" si="0"/>
        <v>14349.873319214901</v>
      </c>
      <c r="H17" s="6">
        <f>MVTMAI22!H17+MVTMAI22!G17+K17</f>
        <v>640729.67540694762</v>
      </c>
      <c r="I17" s="36">
        <f>VLOOKUP($A17,[16]HISTOJUIN22!$A$6:$AQ$37,22,0)</f>
        <v>0</v>
      </c>
      <c r="J17" s="36">
        <f>VLOOKUP($A17,[16]HISTOJUIN22!$A$6:$AU$39,45,0)</f>
        <v>8000</v>
      </c>
      <c r="K17" s="36">
        <f t="shared" si="1"/>
        <v>4000</v>
      </c>
      <c r="L17" s="36">
        <f t="shared" si="2"/>
        <v>500</v>
      </c>
      <c r="M17" s="36">
        <f t="shared" si="3"/>
        <v>1000</v>
      </c>
      <c r="N17" s="36">
        <f t="shared" si="4"/>
        <v>2500</v>
      </c>
      <c r="O17" s="36">
        <f>VLOOKUP($A17,[16]HISTOJUIN22!$A$6:$AU$39,7,0)</f>
        <v>0</v>
      </c>
      <c r="P17" s="36">
        <f>VLOOKUP($A17,[16]HISTOJUIN22!$A$6:$AU$39,23,0)</f>
        <v>0</v>
      </c>
      <c r="Q17" s="36">
        <f>VLOOKUP($A17,[16]HISTOJUIN22!$A$6:$AU$39,46,0)</f>
        <v>0</v>
      </c>
      <c r="R17" s="36">
        <f>VLOOKUP($A17,[16]HISTOJUIN22!$A$6:$AU$39,26,0)</f>
        <v>0</v>
      </c>
      <c r="S17" s="36">
        <f>VLOOKUP($A17,[16]HISTOJUIN22!$A$6:$BG$39,58,0)</f>
        <v>0</v>
      </c>
      <c r="T17" s="36">
        <f>VLOOKUP($A17,[16]HISTOJUIN22!$A$6:$AU$39,28,0)</f>
        <v>0</v>
      </c>
      <c r="U17" s="36">
        <f>VLOOKUP($A17,[16]HISTOJUIN22!$A$6:$AU$39,19,0)</f>
        <v>0</v>
      </c>
      <c r="V17" s="36">
        <f>VLOOKUP($A17,[16]HISTOJUIN22!$A$6:$AU$39,20,0)</f>
        <v>0</v>
      </c>
      <c r="W17" s="36">
        <f>VLOOKUP($A17,[16]HISTOJUIN22!$A$6:$AU$39,27,0)</f>
        <v>0</v>
      </c>
      <c r="X17" s="36">
        <f>VLOOKUP($A17,[16]HISTOJUIN22!$A$6:$AU$39,33,0)</f>
        <v>0</v>
      </c>
      <c r="Y17" s="36">
        <f>VLOOKUP($A17,[16]HISTOJUIN22!$A$6:$BP$39,65,0)</f>
        <v>0</v>
      </c>
      <c r="Z17" s="36"/>
      <c r="AA17" s="36">
        <f>VLOOKUP($A17,[16]HISTOJUIN22!$A$6:$AU$39,43,0)</f>
        <v>0</v>
      </c>
      <c r="AB17" s="36">
        <f>VLOOKUP($A17,[16]HISTOJUIN22!$A$6:$AU$39,44,0)</f>
        <v>0</v>
      </c>
      <c r="AC17" s="36">
        <f>VLOOKUP($A17,[16]HISTOJUIN22!$A$6:$AU$39,47,0)</f>
        <v>0</v>
      </c>
      <c r="AD17" s="36">
        <f>VLOOKUP(A17,[16]HISTOJUIN22!$A$6:$BB$36,54,0)</f>
        <v>0</v>
      </c>
      <c r="AE17" s="36">
        <f>VLOOKUP($A17,[16]HISTOJUIN22!$A$6:$CA$36,60,0)</f>
        <v>0</v>
      </c>
      <c r="AF17" s="36">
        <f>VLOOKUP($A17,[16]HISTOJUIN22!$A$6:$CA$36,61,0)</f>
        <v>0</v>
      </c>
      <c r="AG17" s="36">
        <f>VLOOKUP($A17,[16]HISTOJUIN22!$A$6:$CA$36,62,0)</f>
        <v>0</v>
      </c>
      <c r="AH17" s="36">
        <f>VLOOKUP($A17,[16]HISTOJUIN22!$A$6:$CA$36,63,0)</f>
        <v>0</v>
      </c>
      <c r="AI17" s="36">
        <f>VLOOKUP($A17,[16]HISTOJUIN22!$A$6:$CA$36,64,0)</f>
        <v>0</v>
      </c>
      <c r="AJ17" s="36">
        <f>VLOOKUP($A17,[16]HISTOJUIN22!$A$6:$CA$36,65,0)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VLOOKUP($A18,[16]HISTOJUIN22!$A$6:$BA$39,48,0)</f>
        <v>0</v>
      </c>
      <c r="F18" s="5">
        <f>MVTMAI22!F18-MVTJUIN22!E18</f>
        <v>570000</v>
      </c>
      <c r="G18" s="6">
        <f t="shared" si="0"/>
        <v>14452.148484337869</v>
      </c>
      <c r="H18" s="6">
        <f>MVTMAI22!H18+MVTMAI22!G18+K18</f>
        <v>645296.31734821713</v>
      </c>
      <c r="I18" s="36">
        <f>VLOOKUP($A18,[16]HISTOJUIN22!$A$6:$AQ$37,22,0)</f>
        <v>0</v>
      </c>
      <c r="J18" s="36">
        <f>VLOOKUP($A18,[16]HISTOJUIN22!$A$6:$AU$39,45,0)</f>
        <v>7000</v>
      </c>
      <c r="K18" s="36">
        <f t="shared" si="1"/>
        <v>3000</v>
      </c>
      <c r="L18" s="36">
        <f t="shared" si="2"/>
        <v>500</v>
      </c>
      <c r="M18" s="36">
        <f t="shared" si="3"/>
        <v>1000</v>
      </c>
      <c r="N18" s="36">
        <f t="shared" si="4"/>
        <v>2500</v>
      </c>
      <c r="O18" s="36">
        <f>VLOOKUP($A18,[16]HISTOJUIN22!$A$6:$AU$39,7,0)</f>
        <v>0</v>
      </c>
      <c r="P18" s="36">
        <f>VLOOKUP($A18,[16]HISTOJUIN22!$A$6:$AU$39,23,0)</f>
        <v>0</v>
      </c>
      <c r="Q18" s="36">
        <f>VLOOKUP($A18,[16]HISTOJUIN22!$A$6:$AU$39,46,0)</f>
        <v>0</v>
      </c>
      <c r="R18" s="36">
        <f>VLOOKUP($A18,[16]HISTOJUIN22!$A$6:$AU$39,26,0)</f>
        <v>1000000</v>
      </c>
      <c r="S18" s="36">
        <f>VLOOKUP($A18,[16]HISTOJUIN22!$A$6:$BG$39,58,0)</f>
        <v>60000</v>
      </c>
      <c r="T18" s="36">
        <f>VLOOKUP($A18,[16]HISTOJUIN22!$A$6:$AU$39,28,0)</f>
        <v>0</v>
      </c>
      <c r="U18" s="36">
        <f>VLOOKUP($A18,[16]HISTOJUIN22!$A$6:$AU$39,19,0)</f>
        <v>1000000</v>
      </c>
      <c r="V18" s="36" t="str">
        <f>VLOOKUP($A18,[16]HISTOJUIN22!$A$6:$AU$39,20,0)</f>
        <v>BANQUE</v>
      </c>
      <c r="W18" s="36">
        <f>VLOOKUP($A18,[16]HISTOJUIN22!$A$6:$AU$39,27,0)</f>
        <v>0</v>
      </c>
      <c r="X18" s="36">
        <f>VLOOKUP($A18,[16]HISTOJUIN22!$A$6:$AU$39,33,0)</f>
        <v>0</v>
      </c>
      <c r="Y18" s="36">
        <f>VLOOKUP($A18,[16]HISTOJUIN22!$A$6:$BP$39,65,0)</f>
        <v>0</v>
      </c>
      <c r="Z18" s="36"/>
      <c r="AA18" s="36">
        <f>VLOOKUP($A18,[16]HISTOJUIN22!$A$6:$AU$39,43,0)</f>
        <v>0</v>
      </c>
      <c r="AB18" s="36">
        <f>VLOOKUP($A18,[16]HISTOJUIN22!$A$6:$AU$39,44,0)</f>
        <v>0</v>
      </c>
      <c r="AC18" s="36">
        <f>VLOOKUP($A18,[16]HISTOJUIN22!$A$6:$AU$39,47,0)</f>
        <v>0</v>
      </c>
      <c r="AD18" s="36">
        <f>VLOOKUP(A18,[16]HISTOJUIN22!$A$6:$BB$36,54,0)</f>
        <v>0</v>
      </c>
      <c r="AE18" s="36">
        <f>VLOOKUP($A18,[16]HISTOJUIN22!$A$6:$CA$36,60,0)</f>
        <v>0</v>
      </c>
      <c r="AF18" s="36">
        <f>VLOOKUP($A18,[16]HISTOJUIN22!$A$6:$CA$36,61,0)</f>
        <v>0</v>
      </c>
      <c r="AG18" s="36">
        <f>VLOOKUP($A18,[16]HISTOJUIN22!$A$6:$CA$36,62,0)</f>
        <v>0</v>
      </c>
      <c r="AH18" s="36">
        <f>VLOOKUP($A18,[16]HISTOJUIN22!$A$6:$CA$36,63,0)</f>
        <v>0</v>
      </c>
      <c r="AI18" s="36">
        <f>VLOOKUP($A18,[16]HISTOJUIN22!$A$6:$CA$36,64,0)</f>
        <v>0</v>
      </c>
      <c r="AJ18" s="36">
        <f>VLOOKUP($A18,[16]HISTOJUIN22!$A$6:$CA$36,65,0)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VLOOKUP($A19,[16]HISTOJUIN22!$A$6:$BA$39,48,0)</f>
        <v>0</v>
      </c>
      <c r="F19" s="5">
        <f>MVTMAI22!F19-MVTJUIN22!E19</f>
        <v>570000</v>
      </c>
      <c r="G19" s="6">
        <f t="shared" si="0"/>
        <v>14228.440911406296</v>
      </c>
      <c r="H19" s="6">
        <f>MVTMAI22!H19+MVTMAI22!G19+K19</f>
        <v>635307.65212435124</v>
      </c>
      <c r="I19" s="36">
        <f>VLOOKUP($A19,[16]HISTOJUIN22!$A$6:$AQ$37,22,0)</f>
        <v>0</v>
      </c>
      <c r="J19" s="36">
        <f>VLOOKUP($A19,[16]HISTOJUIN22!$A$6:$AU$39,45,0)</f>
        <v>7000</v>
      </c>
      <c r="K19" s="36">
        <f t="shared" si="1"/>
        <v>3000</v>
      </c>
      <c r="L19" s="36">
        <f t="shared" si="2"/>
        <v>500</v>
      </c>
      <c r="M19" s="36">
        <f t="shared" si="3"/>
        <v>1000</v>
      </c>
      <c r="N19" s="36">
        <f t="shared" si="4"/>
        <v>2500</v>
      </c>
      <c r="O19" s="36">
        <f>VLOOKUP($A19,[16]HISTOJUIN22!$A$6:$AU$39,7,0)</f>
        <v>0</v>
      </c>
      <c r="P19" s="36">
        <f>VLOOKUP($A19,[16]HISTOJUIN22!$A$6:$AU$39,23,0)</f>
        <v>0</v>
      </c>
      <c r="Q19" s="36">
        <f>VLOOKUP($A19,[16]HISTOJUIN22!$A$6:$AU$39,46,0)</f>
        <v>0</v>
      </c>
      <c r="R19" s="36">
        <f>VLOOKUP($A19,[16]HISTOJUIN22!$A$6:$AU$39,26,0)</f>
        <v>1000000</v>
      </c>
      <c r="S19" s="36">
        <f>VLOOKUP($A19,[16]HISTOJUIN22!$A$6:$BG$39,58,0)</f>
        <v>60000</v>
      </c>
      <c r="T19" s="36">
        <f>VLOOKUP($A19,[16]HISTOJUIN22!$A$6:$AU$39,28,0)</f>
        <v>0</v>
      </c>
      <c r="U19" s="36">
        <f>VLOOKUP($A19,[16]HISTOJUIN22!$A$6:$AU$39,19,0)</f>
        <v>0</v>
      </c>
      <c r="V19" s="36">
        <f>VLOOKUP($A19,[16]HISTOJUIN22!$A$6:$AU$39,20,0)</f>
        <v>0</v>
      </c>
      <c r="W19" s="36">
        <f>VLOOKUP($A19,[16]HISTOJUIN22!$A$6:$AU$39,27,0)</f>
        <v>0</v>
      </c>
      <c r="X19" s="36">
        <f>VLOOKUP($A19,[16]HISTOJUIN22!$A$6:$AU$39,33,0)</f>
        <v>0</v>
      </c>
      <c r="Y19" s="36">
        <f>VLOOKUP($A19,[16]HISTOJUIN22!$A$6:$BP$39,65,0)</f>
        <v>0</v>
      </c>
      <c r="Z19" s="36"/>
      <c r="AA19" s="36">
        <f>VLOOKUP($A19,[16]HISTOJUIN22!$A$6:$AU$39,43,0)</f>
        <v>0</v>
      </c>
      <c r="AB19" s="36">
        <f>VLOOKUP($A19,[16]HISTOJUIN22!$A$6:$AU$39,44,0)</f>
        <v>0</v>
      </c>
      <c r="AC19" s="36">
        <f>VLOOKUP($A19,[16]HISTOJUIN22!$A$6:$AU$39,47,0)</f>
        <v>0</v>
      </c>
      <c r="AD19" s="36">
        <f>VLOOKUP(A19,[16]HISTOJUIN22!$A$6:$BB$36,54,0)</f>
        <v>0</v>
      </c>
      <c r="AE19" s="36">
        <f>VLOOKUP($A19,[16]HISTOJUIN22!$A$6:$CA$36,60,0)</f>
        <v>0</v>
      </c>
      <c r="AF19" s="36">
        <f>VLOOKUP($A19,[16]HISTOJUIN22!$A$6:$CA$36,61,0)</f>
        <v>0</v>
      </c>
      <c r="AG19" s="36">
        <f>VLOOKUP($A19,[16]HISTOJUIN22!$A$6:$CA$36,62,0)</f>
        <v>0</v>
      </c>
      <c r="AH19" s="36">
        <f>VLOOKUP($A19,[16]HISTOJUIN22!$A$6:$CA$36,63,0)</f>
        <v>0</v>
      </c>
      <c r="AI19" s="36">
        <f>VLOOKUP($A19,[16]HISTOJUIN22!$A$6:$CA$36,64,0)</f>
        <v>0</v>
      </c>
      <c r="AJ19" s="36">
        <f>VLOOKUP($A19,[16]HISTOJUIN22!$A$6:$CA$36,65,0)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VLOOKUP($A20,[16]HISTOJUIN22!$A$6:$BA$39,48,0)</f>
        <v>0</v>
      </c>
      <c r="F20" s="5">
        <f>MVTMAI22!F20-MVTJUIN22!E20</f>
        <v>570000</v>
      </c>
      <c r="G20" s="6">
        <f t="shared" si="0"/>
        <v>14221.621539144431</v>
      </c>
      <c r="H20" s="6">
        <f>MVTMAI22!H20+MVTMAI22!G20+K20</f>
        <v>635003.16343106271</v>
      </c>
      <c r="I20" s="36">
        <f>VLOOKUP($A20,[16]HISTOJUIN22!$A$6:$AQ$37,22,0)</f>
        <v>0</v>
      </c>
      <c r="J20" s="36">
        <f>VLOOKUP($A20,[16]HISTOJUIN22!$A$6:$AU$39,45,0)</f>
        <v>7000</v>
      </c>
      <c r="K20" s="36">
        <f t="shared" si="1"/>
        <v>3000</v>
      </c>
      <c r="L20" s="36">
        <f t="shared" si="2"/>
        <v>500</v>
      </c>
      <c r="M20" s="36">
        <f t="shared" si="3"/>
        <v>1000</v>
      </c>
      <c r="N20" s="36">
        <f t="shared" si="4"/>
        <v>2500</v>
      </c>
      <c r="O20" s="36">
        <f>VLOOKUP($A20,[16]HISTOJUIN22!$A$6:$AU$39,7,0)</f>
        <v>0</v>
      </c>
      <c r="P20" s="36">
        <f>VLOOKUP($A20,[16]HISTOJUIN22!$A$6:$AU$39,23,0)</f>
        <v>0</v>
      </c>
      <c r="Q20" s="36">
        <f>VLOOKUP($A20,[16]HISTOJUIN22!$A$6:$AU$39,46,0)</f>
        <v>0</v>
      </c>
      <c r="R20" s="36">
        <f>VLOOKUP($A20,[16]HISTOJUIN22!$A$6:$AU$39,26,0)</f>
        <v>0</v>
      </c>
      <c r="S20" s="36">
        <f>VLOOKUP($A20,[16]HISTOJUIN22!$A$6:$BG$39,58,0)</f>
        <v>0</v>
      </c>
      <c r="T20" s="36">
        <f>VLOOKUP($A20,[16]HISTOJUIN22!$A$6:$AU$39,28,0)</f>
        <v>0</v>
      </c>
      <c r="U20" s="36">
        <f>VLOOKUP($A20,[16]HISTOJUIN22!$A$6:$AU$39,19,0)</f>
        <v>0</v>
      </c>
      <c r="V20" s="36">
        <f>VLOOKUP($A20,[16]HISTOJUIN22!$A$6:$AU$39,20,0)</f>
        <v>0</v>
      </c>
      <c r="W20" s="36">
        <f>VLOOKUP($A20,[16]HISTOJUIN22!$A$6:$AU$39,27,0)</f>
        <v>0</v>
      </c>
      <c r="X20" s="36">
        <f>VLOOKUP($A20,[16]HISTOJUIN22!$A$6:$AU$39,33,0)</f>
        <v>0</v>
      </c>
      <c r="Y20" s="36">
        <f>VLOOKUP($A20,[16]HISTOJUIN22!$A$6:$BP$39,65,0)</f>
        <v>0</v>
      </c>
      <c r="Z20" s="36"/>
      <c r="AA20" s="36">
        <f>VLOOKUP($A20,[16]HISTOJUIN22!$A$6:$AU$39,43,0)</f>
        <v>0</v>
      </c>
      <c r="AB20" s="36">
        <f>VLOOKUP($A20,[16]HISTOJUIN22!$A$6:$AU$39,44,0)</f>
        <v>0</v>
      </c>
      <c r="AC20" s="36">
        <f>VLOOKUP($A20,[16]HISTOJUIN22!$A$6:$AU$39,47,0)</f>
        <v>0</v>
      </c>
      <c r="AD20" s="36">
        <f>VLOOKUP(A20,[16]HISTOJUIN22!$A$6:$BB$36,54,0)</f>
        <v>0</v>
      </c>
      <c r="AE20" s="36">
        <f>VLOOKUP($A20,[16]HISTOJUIN22!$A$6:$CA$36,60,0)</f>
        <v>0</v>
      </c>
      <c r="AF20" s="36">
        <f>VLOOKUP($A20,[16]HISTOJUIN22!$A$6:$CA$36,61,0)</f>
        <v>0</v>
      </c>
      <c r="AG20" s="36">
        <f>VLOOKUP($A20,[16]HISTOJUIN22!$A$6:$CA$36,62,0)</f>
        <v>0</v>
      </c>
      <c r="AH20" s="36">
        <f>VLOOKUP($A20,[16]HISTOJUIN22!$A$6:$CA$36,63,0)</f>
        <v>0</v>
      </c>
      <c r="AI20" s="36">
        <f>VLOOKUP($A20,[16]HISTOJUIN22!$A$6:$CA$36,64,0)</f>
        <v>0</v>
      </c>
      <c r="AJ20" s="36">
        <f>VLOOKUP($A20,[16]HISTOJUIN22!$A$6:$CA$36,65,0)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VLOOKUP($A21,[16]HISTOJUIN22!$A$6:$BA$39,48,0)</f>
        <v>0</v>
      </c>
      <c r="F21" s="5">
        <f>MVTMAI22!F21-MVTJUIN22!E21</f>
        <v>570000</v>
      </c>
      <c r="G21" s="6">
        <f t="shared" si="0"/>
        <v>14964.015240038025</v>
      </c>
      <c r="H21" s="6">
        <f>MVTMAI22!H21+MVTMAI22!G21+K21</f>
        <v>668151.44735080807</v>
      </c>
      <c r="I21" s="36">
        <f>VLOOKUP($A21,[16]HISTOJUIN22!$A$6:$AQ$37,22,0)</f>
        <v>0</v>
      </c>
      <c r="J21" s="36">
        <f>VLOOKUP($A21,[16]HISTOJUIN22!$A$6:$AU$39,45,0)</f>
        <v>7000</v>
      </c>
      <c r="K21" s="36">
        <f t="shared" si="1"/>
        <v>3000</v>
      </c>
      <c r="L21" s="36">
        <f t="shared" si="2"/>
        <v>500</v>
      </c>
      <c r="M21" s="36">
        <f t="shared" si="3"/>
        <v>1000</v>
      </c>
      <c r="N21" s="36">
        <f t="shared" si="4"/>
        <v>2500</v>
      </c>
      <c r="O21" s="36">
        <f>VLOOKUP($A21,[16]HISTOJUIN22!$A$6:$AU$39,7,0)</f>
        <v>0</v>
      </c>
      <c r="P21" s="36">
        <f>VLOOKUP($A21,[16]HISTOJUIN22!$A$6:$AU$39,23,0)</f>
        <v>0</v>
      </c>
      <c r="Q21" s="36">
        <f>VLOOKUP($A21,[16]HISTOJUIN22!$A$6:$AU$39,46,0)</f>
        <v>0</v>
      </c>
      <c r="R21" s="36">
        <f>VLOOKUP($A21,[16]HISTOJUIN22!$A$6:$AU$39,26,0)</f>
        <v>0</v>
      </c>
      <c r="S21" s="36">
        <f>VLOOKUP($A21,[16]HISTOJUIN22!$A$6:$BG$39,58,0)</f>
        <v>0</v>
      </c>
      <c r="T21" s="36">
        <f>VLOOKUP($A21,[16]HISTOJUIN22!$A$6:$AU$39,28,0)</f>
        <v>0</v>
      </c>
      <c r="U21" s="36">
        <f>VLOOKUP($A21,[16]HISTOJUIN22!$A$6:$AU$39,19,0)</f>
        <v>0</v>
      </c>
      <c r="V21" s="36">
        <f>VLOOKUP($A21,[16]HISTOJUIN22!$A$6:$AU$39,20,0)</f>
        <v>0</v>
      </c>
      <c r="W21" s="36">
        <f>VLOOKUP($A21,[16]HISTOJUIN22!$A$6:$AU$39,27,0)</f>
        <v>0</v>
      </c>
      <c r="X21" s="36">
        <f>VLOOKUP($A21,[16]HISTOJUIN22!$A$6:$AU$39,33,0)</f>
        <v>0</v>
      </c>
      <c r="Y21" s="36">
        <f>VLOOKUP($A21,[16]HISTOJUIN22!$A$6:$BP$39,65,0)</f>
        <v>0</v>
      </c>
      <c r="Z21" s="36"/>
      <c r="AA21" s="36">
        <f>VLOOKUP($A21,[16]HISTOJUIN22!$A$6:$AU$39,43,0)</f>
        <v>0</v>
      </c>
      <c r="AB21" s="36">
        <f>VLOOKUP($A21,[16]HISTOJUIN22!$A$6:$AU$39,44,0)</f>
        <v>0</v>
      </c>
      <c r="AC21" s="36">
        <f>VLOOKUP($A21,[16]HISTOJUIN22!$A$6:$AU$39,47,0)</f>
        <v>0</v>
      </c>
      <c r="AD21" s="36">
        <f>VLOOKUP(A21,[16]HISTOJUIN22!$A$6:$BB$36,54,0)</f>
        <v>0</v>
      </c>
      <c r="AE21" s="36">
        <f>VLOOKUP($A21,[16]HISTOJUIN22!$A$6:$CA$36,60,0)</f>
        <v>0</v>
      </c>
      <c r="AF21" s="36">
        <f>VLOOKUP($A21,[16]HISTOJUIN22!$A$6:$CA$36,61,0)</f>
        <v>0</v>
      </c>
      <c r="AG21" s="36">
        <f>VLOOKUP($A21,[16]HISTOJUIN22!$A$6:$CA$36,62,0)</f>
        <v>0</v>
      </c>
      <c r="AH21" s="36">
        <f>VLOOKUP($A21,[16]HISTOJUIN22!$A$6:$CA$36,63,0)</f>
        <v>0</v>
      </c>
      <c r="AI21" s="36">
        <f>VLOOKUP($A21,[16]HISTOJUIN22!$A$6:$CA$36,64,0)</f>
        <v>0</v>
      </c>
      <c r="AJ21" s="36">
        <f>VLOOKUP($A21,[16]HISTOJUIN22!$A$6:$CA$36,65,0)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VLOOKUP($A22,[16]HISTOJUIN22!$A$6:$BA$39,48,0)</f>
        <v>0</v>
      </c>
      <c r="F22" s="5">
        <f>MVTMAI22!F22-MVTJUIN22!E22</f>
        <v>570000</v>
      </c>
      <c r="G22" s="6">
        <f t="shared" si="0"/>
        <v>16268.419522186941</v>
      </c>
      <c r="H22" s="6">
        <f>MVTMAI22!H22+MVTMAI22!G22+K22</f>
        <v>726393.81045108626</v>
      </c>
      <c r="I22" s="36">
        <f>VLOOKUP($A22,[16]HISTOJUIN22!$A$6:$AQ$37,22,0)</f>
        <v>0</v>
      </c>
      <c r="J22" s="36">
        <f>VLOOKUP($A22,[16]HISTOJUIN22!$A$6:$AU$39,45,0)</f>
        <v>7000</v>
      </c>
      <c r="K22" s="36">
        <f t="shared" si="1"/>
        <v>3000</v>
      </c>
      <c r="L22" s="36">
        <f t="shared" si="2"/>
        <v>500</v>
      </c>
      <c r="M22" s="36">
        <f t="shared" si="3"/>
        <v>1000</v>
      </c>
      <c r="N22" s="36">
        <f t="shared" si="4"/>
        <v>2500</v>
      </c>
      <c r="O22" s="36">
        <f>VLOOKUP($A22,[16]HISTOJUIN22!$A$6:$AU$39,7,0)</f>
        <v>0</v>
      </c>
      <c r="P22" s="36">
        <f>VLOOKUP($A22,[16]HISTOJUIN22!$A$6:$AU$39,23,0)</f>
        <v>0</v>
      </c>
      <c r="Q22" s="36">
        <f>VLOOKUP($A22,[16]HISTOJUIN22!$A$6:$AU$39,46,0)</f>
        <v>0</v>
      </c>
      <c r="R22" s="36">
        <f>VLOOKUP($A22,[16]HISTOJUIN22!$A$6:$AU$39,26,0)</f>
        <v>1000000</v>
      </c>
      <c r="S22" s="36">
        <f>VLOOKUP($A22,[16]HISTOJUIN22!$A$6:$BG$39,58,0)</f>
        <v>60000</v>
      </c>
      <c r="T22" s="36">
        <f>VLOOKUP($A22,[16]HISTOJUIN22!$A$6:$AU$39,28,0)</f>
        <v>0</v>
      </c>
      <c r="U22" s="36">
        <f>VLOOKUP($A22,[16]HISTOJUIN22!$A$6:$AU$39,19,0)</f>
        <v>0</v>
      </c>
      <c r="V22" s="36">
        <f>VLOOKUP($A22,[16]HISTOJUIN22!$A$6:$AU$39,20,0)</f>
        <v>0</v>
      </c>
      <c r="W22" s="36">
        <f>VLOOKUP($A22,[16]HISTOJUIN22!$A$6:$AU$39,27,0)</f>
        <v>0</v>
      </c>
      <c r="X22" s="36">
        <f>VLOOKUP($A22,[16]HISTOJUIN22!$A$6:$AU$39,33,0)</f>
        <v>0</v>
      </c>
      <c r="Y22" s="36">
        <f>VLOOKUP($A22,[16]HISTOJUIN22!$A$6:$BP$39,65,0)</f>
        <v>0</v>
      </c>
      <c r="Z22" s="36"/>
      <c r="AA22" s="36">
        <f>VLOOKUP($A22,[16]HISTOJUIN22!$A$6:$AU$39,43,0)</f>
        <v>0</v>
      </c>
      <c r="AB22" s="36">
        <f>VLOOKUP($A22,[16]HISTOJUIN22!$A$6:$AU$39,44,0)</f>
        <v>0</v>
      </c>
      <c r="AC22" s="36">
        <f>VLOOKUP($A22,[16]HISTOJUIN22!$A$6:$AU$39,47,0)</f>
        <v>0</v>
      </c>
      <c r="AD22" s="36">
        <f>VLOOKUP(A22,[16]HISTOJUIN22!$A$6:$BB$36,54,0)</f>
        <v>0</v>
      </c>
      <c r="AE22" s="36">
        <f>VLOOKUP($A22,[16]HISTOJUIN22!$A$6:$CA$36,60,0)</f>
        <v>0</v>
      </c>
      <c r="AF22" s="36">
        <f>VLOOKUP($A22,[16]HISTOJUIN22!$A$6:$CA$36,61,0)</f>
        <v>0</v>
      </c>
      <c r="AG22" s="36">
        <f>VLOOKUP($A22,[16]HISTOJUIN22!$A$6:$CA$36,62,0)</f>
        <v>0</v>
      </c>
      <c r="AH22" s="36">
        <f>VLOOKUP($A22,[16]HISTOJUIN22!$A$6:$CA$36,63,0)</f>
        <v>0</v>
      </c>
      <c r="AI22" s="36">
        <f>VLOOKUP($A22,[16]HISTOJUIN22!$A$6:$CA$36,64,0)</f>
        <v>0</v>
      </c>
      <c r="AJ22" s="36">
        <f>VLOOKUP($A22,[16]HISTOJUIN22!$A$6:$CA$36,65,0)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VLOOKUP($A23,[16]HISTOJUIN22!$A$6:$BA$39,48,0)</f>
        <v>0</v>
      </c>
      <c r="F23" s="5">
        <f>MVTMAI22!F23-MVTJUIN22!E23</f>
        <v>570000</v>
      </c>
      <c r="G23" s="6">
        <f t="shared" si="0"/>
        <v>19170.024103047097</v>
      </c>
      <c r="H23" s="6">
        <f>MVTMAI22!H23+MVTMAI22!G23+K23</f>
        <v>855952.03858989442</v>
      </c>
      <c r="I23" s="36">
        <f>VLOOKUP($A23,[16]HISTOJUIN22!$A$6:$AQ$37,22,0)</f>
        <v>0</v>
      </c>
      <c r="J23" s="36">
        <f>VLOOKUP($A23,[16]HISTOJUIN22!$A$6:$AU$39,45,0)</f>
        <v>27000</v>
      </c>
      <c r="K23" s="36">
        <f t="shared" si="1"/>
        <v>23000</v>
      </c>
      <c r="L23" s="36">
        <f t="shared" si="2"/>
        <v>500</v>
      </c>
      <c r="M23" s="36">
        <f t="shared" si="3"/>
        <v>1000</v>
      </c>
      <c r="N23" s="36">
        <f t="shared" si="4"/>
        <v>2500</v>
      </c>
      <c r="O23" s="36">
        <f>VLOOKUP($A23,[16]HISTOJUIN22!$A$6:$AU$39,7,0)</f>
        <v>0</v>
      </c>
      <c r="P23" s="36">
        <f>VLOOKUP($A23,[16]HISTOJUIN22!$A$6:$AU$39,23,0)</f>
        <v>0</v>
      </c>
      <c r="Q23" s="36">
        <f>VLOOKUP($A23,[16]HISTOJUIN22!$A$6:$AU$39,46,0)</f>
        <v>0</v>
      </c>
      <c r="R23" s="36">
        <f>VLOOKUP($A23,[16]HISTOJUIN22!$A$6:$AU$39,26,0)</f>
        <v>0</v>
      </c>
      <c r="S23" s="36">
        <f>VLOOKUP($A23,[16]HISTOJUIN22!$A$6:$BG$39,58,0)</f>
        <v>0</v>
      </c>
      <c r="T23" s="36">
        <f>VLOOKUP($A23,[16]HISTOJUIN22!$A$6:$AU$39,28,0)</f>
        <v>0</v>
      </c>
      <c r="U23" s="36">
        <f>VLOOKUP($A23,[16]HISTOJUIN22!$A$6:$AU$39,19,0)</f>
        <v>0</v>
      </c>
      <c r="V23" s="36">
        <f>VLOOKUP($A23,[16]HISTOJUIN22!$A$6:$AU$39,20,0)</f>
        <v>0</v>
      </c>
      <c r="W23" s="36">
        <f>VLOOKUP($A23,[16]HISTOJUIN22!$A$6:$AU$39,27,0)</f>
        <v>0</v>
      </c>
      <c r="X23" s="36">
        <f>VLOOKUP($A23,[16]HISTOJUIN22!$A$6:$AU$39,33,0)</f>
        <v>0</v>
      </c>
      <c r="Y23" s="36">
        <f>VLOOKUP($A23,[16]HISTOJUIN22!$A$6:$BP$39,65,0)</f>
        <v>0</v>
      </c>
      <c r="Z23" s="36"/>
      <c r="AA23" s="36">
        <f>VLOOKUP($A23,[16]HISTOJUIN22!$A$6:$AU$39,43,0)</f>
        <v>0</v>
      </c>
      <c r="AB23" s="36">
        <f>VLOOKUP($A23,[16]HISTOJUIN22!$A$6:$AU$39,44,0)</f>
        <v>0</v>
      </c>
      <c r="AC23" s="36">
        <f>VLOOKUP($A23,[16]HISTOJUIN22!$A$6:$AU$39,47,0)</f>
        <v>0</v>
      </c>
      <c r="AD23" s="36">
        <f>VLOOKUP(A23,[16]HISTOJUIN22!$A$6:$BB$36,54,0)</f>
        <v>0</v>
      </c>
      <c r="AE23" s="36">
        <f>VLOOKUP($A23,[16]HISTOJUIN22!$A$6:$CA$36,60,0)</f>
        <v>0</v>
      </c>
      <c r="AF23" s="36">
        <f>VLOOKUP($A23,[16]HISTOJUIN22!$A$6:$CA$36,61,0)</f>
        <v>0</v>
      </c>
      <c r="AG23" s="36">
        <f>VLOOKUP($A23,[16]HISTOJUIN22!$A$6:$CA$36,62,0)</f>
        <v>0</v>
      </c>
      <c r="AH23" s="36">
        <f>VLOOKUP($A23,[16]HISTOJUIN22!$A$6:$CA$36,63,0)</f>
        <v>0</v>
      </c>
      <c r="AI23" s="36">
        <f>VLOOKUP($A23,[16]HISTOJUIN22!$A$6:$CA$36,64,0)</f>
        <v>0</v>
      </c>
      <c r="AJ23" s="36">
        <f>VLOOKUP($A23,[16]HISTOJUIN22!$A$6:$CA$36,65,0)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VLOOKUP($A24,[16]HISTOJUIN22!$A$6:$BA$39,48,0)</f>
        <v>0</v>
      </c>
      <c r="F24" s="5">
        <f>MVTMAI22!F24-MVTJUIN22!E24</f>
        <v>570000</v>
      </c>
      <c r="G24" s="6">
        <f t="shared" si="0"/>
        <v>15742.841541590033</v>
      </c>
      <c r="H24" s="6">
        <f>MVTMAI22!H24+MVTMAI22!G24+K24</f>
        <v>702926.46677370521</v>
      </c>
      <c r="I24" s="36">
        <f>VLOOKUP($A24,[16]HISTOJUIN22!$A$6:$AQ$37,22,0)</f>
        <v>0</v>
      </c>
      <c r="J24" s="36">
        <f>VLOOKUP($A24,[16]HISTOJUIN22!$A$6:$AU$39,45,0)</f>
        <v>11000</v>
      </c>
      <c r="K24" s="36">
        <f t="shared" si="1"/>
        <v>7000</v>
      </c>
      <c r="L24" s="36">
        <f t="shared" si="2"/>
        <v>500</v>
      </c>
      <c r="M24" s="36">
        <f t="shared" si="3"/>
        <v>1000</v>
      </c>
      <c r="N24" s="36">
        <f t="shared" si="4"/>
        <v>2500</v>
      </c>
      <c r="O24" s="36">
        <f>VLOOKUP($A24,[16]HISTOJUIN22!$A$6:$AU$39,7,0)</f>
        <v>3000</v>
      </c>
      <c r="P24" s="36">
        <f>VLOOKUP($A24,[16]HISTOJUIN22!$A$6:$AU$39,23,0)</f>
        <v>0</v>
      </c>
      <c r="Q24" s="36">
        <f>VLOOKUP($A24,[16]HISTOJUIN22!$A$6:$AU$39,46,0)</f>
        <v>0</v>
      </c>
      <c r="R24" s="36">
        <f>VLOOKUP($A24,[16]HISTOJUIN22!$A$6:$AU$39,26,0)</f>
        <v>0</v>
      </c>
      <c r="S24" s="36">
        <f>VLOOKUP($A24,[16]HISTOJUIN22!$A$6:$BG$39,58,0)</f>
        <v>0</v>
      </c>
      <c r="T24" s="36">
        <f>VLOOKUP($A24,[16]HISTOJUIN22!$A$6:$AU$39,28,0)</f>
        <v>0</v>
      </c>
      <c r="U24" s="36">
        <f>VLOOKUP($A24,[16]HISTOJUIN22!$A$6:$AU$39,19,0)</f>
        <v>0</v>
      </c>
      <c r="V24" s="36">
        <f>VLOOKUP($A24,[16]HISTOJUIN22!$A$6:$AU$39,20,0)</f>
        <v>0</v>
      </c>
      <c r="W24" s="36">
        <f>VLOOKUP($A24,[16]HISTOJUIN22!$A$6:$AU$39,27,0)</f>
        <v>0</v>
      </c>
      <c r="X24" s="36">
        <f>VLOOKUP($A24,[16]HISTOJUIN22!$A$6:$AU$39,33,0)</f>
        <v>0</v>
      </c>
      <c r="Y24" s="36">
        <f>VLOOKUP($A24,[16]HISTOJUIN22!$A$6:$BP$39,65,0)</f>
        <v>0</v>
      </c>
      <c r="Z24" s="36"/>
      <c r="AA24" s="36">
        <f>VLOOKUP($A24,[16]HISTOJUIN22!$A$6:$AU$39,43,0)</f>
        <v>0</v>
      </c>
      <c r="AB24" s="36">
        <f>VLOOKUP($A24,[16]HISTOJUIN22!$A$6:$AU$39,44,0)</f>
        <v>0</v>
      </c>
      <c r="AC24" s="36">
        <f>VLOOKUP($A24,[16]HISTOJUIN22!$A$6:$AU$39,47,0)</f>
        <v>0</v>
      </c>
      <c r="AD24" s="36">
        <f>VLOOKUP(A24,[16]HISTOJUIN22!$A$6:$BB$36,54,0)</f>
        <v>20000</v>
      </c>
      <c r="AE24" s="36">
        <f>VLOOKUP($A24,[16]HISTOJUIN22!$A$6:$CA$36,60,0)</f>
        <v>0</v>
      </c>
      <c r="AF24" s="36">
        <f>VLOOKUP($A24,[16]HISTOJUIN22!$A$6:$CA$36,61,0)</f>
        <v>0</v>
      </c>
      <c r="AG24" s="36">
        <f>VLOOKUP($A24,[16]HISTOJUIN22!$A$6:$CA$36,62,0)</f>
        <v>0</v>
      </c>
      <c r="AH24" s="36">
        <f>VLOOKUP($A24,[16]HISTOJUIN22!$A$6:$CA$36,63,0)</f>
        <v>0</v>
      </c>
      <c r="AI24" s="36">
        <f>VLOOKUP($A24,[16]HISTOJUIN22!$A$6:$CA$36,64,0)</f>
        <v>0</v>
      </c>
      <c r="AJ24" s="36">
        <f>VLOOKUP($A24,[16]HISTOJUIN22!$A$6:$CA$36,65,0)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VLOOKUP($A25,[16]HISTOJUIN22!$A$6:$BA$39,48,0)</f>
        <v>0</v>
      </c>
      <c r="F25" s="5">
        <f>MVTMAI22!F25-MVTJUIN22!E25</f>
        <v>570000</v>
      </c>
      <c r="G25" s="6">
        <f t="shared" si="0"/>
        <v>14357.476312547549</v>
      </c>
      <c r="H25" s="6">
        <f>MVTMAI22!H25+MVTMAI22!G25+K25</f>
        <v>641069.15320872201</v>
      </c>
      <c r="I25" s="36">
        <f>VLOOKUP($A25,[16]HISTOJUIN22!$A$6:$AQ$37,22,0)</f>
        <v>0</v>
      </c>
      <c r="J25" s="36">
        <f>VLOOKUP($A25,[16]HISTOJUIN22!$A$6:$AU$39,45,0)</f>
        <v>11000</v>
      </c>
      <c r="K25" s="36">
        <f t="shared" si="1"/>
        <v>7000</v>
      </c>
      <c r="L25" s="36">
        <f t="shared" si="2"/>
        <v>500</v>
      </c>
      <c r="M25" s="36">
        <f t="shared" si="3"/>
        <v>1000</v>
      </c>
      <c r="N25" s="36">
        <f t="shared" si="4"/>
        <v>2500</v>
      </c>
      <c r="O25" s="36">
        <f>VLOOKUP($A25,[16]HISTOJUIN22!$A$6:$AU$39,7,0)</f>
        <v>0</v>
      </c>
      <c r="P25" s="36">
        <f>VLOOKUP($A25,[16]HISTOJUIN22!$A$6:$AU$39,23,0)</f>
        <v>0</v>
      </c>
      <c r="Q25" s="36">
        <f>VLOOKUP($A25,[16]HISTOJUIN22!$A$6:$AU$39,46,0)</f>
        <v>0</v>
      </c>
      <c r="R25" s="36">
        <f>VLOOKUP($A25,[16]HISTOJUIN22!$A$6:$AU$39,26,0)</f>
        <v>0</v>
      </c>
      <c r="S25" s="36">
        <f>VLOOKUP($A25,[16]HISTOJUIN22!$A$6:$BG$39,58,0)</f>
        <v>0</v>
      </c>
      <c r="T25" s="36">
        <f>VLOOKUP($A25,[16]HISTOJUIN22!$A$6:$AU$39,28,0)</f>
        <v>0</v>
      </c>
      <c r="U25" s="36">
        <f>VLOOKUP($A25,[16]HISTOJUIN22!$A$6:$AU$39,19,0)</f>
        <v>0</v>
      </c>
      <c r="V25" s="36">
        <f>VLOOKUP($A25,[16]HISTOJUIN22!$A$6:$AU$39,20,0)</f>
        <v>0</v>
      </c>
      <c r="W25" s="36">
        <f>VLOOKUP($A25,[16]HISTOJUIN22!$A$6:$AU$39,27,0)</f>
        <v>0</v>
      </c>
      <c r="X25" s="36">
        <f>VLOOKUP($A25,[16]HISTOJUIN22!$A$6:$AU$39,33,0)</f>
        <v>0</v>
      </c>
      <c r="Y25" s="36">
        <f>VLOOKUP($A25,[16]HISTOJUIN22!$A$6:$BP$39,65,0)</f>
        <v>0</v>
      </c>
      <c r="Z25" s="36"/>
      <c r="AA25" s="36">
        <f>VLOOKUP($A25,[16]HISTOJUIN22!$A$6:$AU$39,43,0)</f>
        <v>0</v>
      </c>
      <c r="AB25" s="36">
        <f>VLOOKUP($A25,[16]HISTOJUIN22!$A$6:$AU$39,44,0)</f>
        <v>0</v>
      </c>
      <c r="AC25" s="36">
        <f>VLOOKUP($A25,[16]HISTOJUIN22!$A$6:$AU$39,47,0)</f>
        <v>0</v>
      </c>
      <c r="AD25" s="36">
        <f>VLOOKUP(A25,[16]HISTOJUIN22!$A$6:$BB$36,54,0)</f>
        <v>0</v>
      </c>
      <c r="AE25" s="36">
        <f>VLOOKUP($A25,[16]HISTOJUIN22!$A$6:$CA$36,60,0)</f>
        <v>0</v>
      </c>
      <c r="AF25" s="36">
        <f>VLOOKUP($A25,[16]HISTOJUIN22!$A$6:$CA$36,61,0)</f>
        <v>0</v>
      </c>
      <c r="AG25" s="36">
        <f>VLOOKUP($A25,[16]HISTOJUIN22!$A$6:$CA$36,62,0)</f>
        <v>0</v>
      </c>
      <c r="AH25" s="36">
        <f>VLOOKUP($A25,[16]HISTOJUIN22!$A$6:$CA$36,63,0)</f>
        <v>0</v>
      </c>
      <c r="AI25" s="36">
        <f>VLOOKUP($A25,[16]HISTOJUIN22!$A$6:$CA$36,64,0)</f>
        <v>0</v>
      </c>
      <c r="AJ25" s="36">
        <f>VLOOKUP($A25,[16]HISTOJUIN22!$A$6:$CA$36,65,0)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VLOOKUP($A26,[16]HISTOJUIN22!$A$6:$BA$39,48,0)</f>
        <v>0</v>
      </c>
      <c r="F26" s="5">
        <f>MVTMAI22!F26-MVTJUIN22!E26</f>
        <v>570000</v>
      </c>
      <c r="G26" s="6">
        <f t="shared" si="0"/>
        <v>14487.428818997014</v>
      </c>
      <c r="H26" s="6">
        <f>MVTMAI22!H26+MVTMAI22!G26+K26</f>
        <v>646871.6035456314</v>
      </c>
      <c r="I26" s="36">
        <f>VLOOKUP($A26,[16]HISTOJUIN22!$A$6:$AQ$37,22,0)</f>
        <v>0</v>
      </c>
      <c r="J26" s="36">
        <f>VLOOKUP($A26,[16]HISTOJUIN22!$A$6:$AU$39,45,0)</f>
        <v>7000</v>
      </c>
      <c r="K26" s="36">
        <f t="shared" si="1"/>
        <v>3000</v>
      </c>
      <c r="L26" s="36">
        <f t="shared" si="2"/>
        <v>500</v>
      </c>
      <c r="M26" s="36">
        <f t="shared" si="3"/>
        <v>1000</v>
      </c>
      <c r="N26" s="36">
        <f t="shared" si="4"/>
        <v>2500</v>
      </c>
      <c r="O26" s="36">
        <f>VLOOKUP($A26,[16]HISTOJUIN22!$A$6:$AU$39,7,0)</f>
        <v>0</v>
      </c>
      <c r="P26" s="36">
        <f>VLOOKUP($A26,[16]HISTOJUIN22!$A$6:$AU$39,23,0)</f>
        <v>0</v>
      </c>
      <c r="Q26" s="36">
        <f>VLOOKUP($A26,[16]HISTOJUIN22!$A$6:$AU$39,46,0)</f>
        <v>0</v>
      </c>
      <c r="R26" s="36">
        <f>VLOOKUP($A26,[16]HISTOJUIN22!$A$6:$AU$39,26,0)</f>
        <v>1000000</v>
      </c>
      <c r="S26" s="36">
        <f>VLOOKUP($A26,[16]HISTOJUIN22!$A$6:$BG$39,58,0)</f>
        <v>60000</v>
      </c>
      <c r="T26" s="36">
        <f>VLOOKUP($A26,[16]HISTOJUIN22!$A$6:$AU$39,28,0)</f>
        <v>0</v>
      </c>
      <c r="U26" s="36">
        <f>VLOOKUP($A26,[16]HISTOJUIN22!$A$6:$AU$39,19,0)</f>
        <v>1155000</v>
      </c>
      <c r="V26" s="36" t="str">
        <f>VLOOKUP($A26,[16]HISTOJUIN22!$A$6:$AU$39,20,0)</f>
        <v>BANQUE</v>
      </c>
      <c r="W26" s="36">
        <f>VLOOKUP($A26,[16]HISTOJUIN22!$A$6:$AU$39,27,0)</f>
        <v>0</v>
      </c>
      <c r="X26" s="36">
        <f>VLOOKUP($A26,[16]HISTOJUIN22!$A$6:$AU$39,33,0)</f>
        <v>0</v>
      </c>
      <c r="Y26" s="36">
        <f>VLOOKUP($A26,[16]HISTOJUIN22!$A$6:$BP$39,65,0)</f>
        <v>0</v>
      </c>
      <c r="Z26" s="36"/>
      <c r="AA26" s="36">
        <f>VLOOKUP($A26,[16]HISTOJUIN22!$A$6:$AU$39,43,0)</f>
        <v>0</v>
      </c>
      <c r="AB26" s="36">
        <f>VLOOKUP($A26,[16]HISTOJUIN22!$A$6:$AU$39,44,0)</f>
        <v>0</v>
      </c>
      <c r="AC26" s="36">
        <f>VLOOKUP($A26,[16]HISTOJUIN22!$A$6:$AU$39,47,0)</f>
        <v>0</v>
      </c>
      <c r="AD26" s="36">
        <f>VLOOKUP(A26,[16]HISTOJUIN22!$A$6:$BB$36,54,0)</f>
        <v>73000</v>
      </c>
      <c r="AE26" s="36">
        <f>VLOOKUP($A26,[16]HISTOJUIN22!$A$6:$CA$36,60,0)</f>
        <v>0</v>
      </c>
      <c r="AF26" s="36">
        <f>VLOOKUP($A26,[16]HISTOJUIN22!$A$6:$CA$36,61,0)</f>
        <v>0</v>
      </c>
      <c r="AG26" s="36">
        <f>VLOOKUP($A26,[16]HISTOJUIN22!$A$6:$CA$36,62,0)</f>
        <v>0</v>
      </c>
      <c r="AH26" s="36">
        <f>VLOOKUP($A26,[16]HISTOJUIN22!$A$6:$CA$36,63,0)</f>
        <v>0</v>
      </c>
      <c r="AI26" s="36">
        <f>VLOOKUP($A26,[16]HISTOJUIN22!$A$6:$CA$36,64,0)</f>
        <v>0</v>
      </c>
      <c r="AJ26" s="36">
        <f>VLOOKUP($A26,[16]HISTOJUIN22!$A$6:$CA$36,65,0)</f>
        <v>0</v>
      </c>
    </row>
    <row r="27" spans="1:36" x14ac:dyDescent="0.25">
      <c r="A27" s="1" t="s">
        <v>30</v>
      </c>
      <c r="B27" s="1" t="str">
        <f>VLOOKUP(A27,[15]LISTADHERENT!A$5:H$60,3,0)</f>
        <v>NKEHE DAVID</v>
      </c>
      <c r="C27" s="5"/>
      <c r="D27" s="5"/>
      <c r="E27" s="36">
        <f>VLOOKUP($A27,[16]HISTOJUIN22!$A$6:$BA$39,48,0)</f>
        <v>0</v>
      </c>
      <c r="F27" s="5">
        <f>MVTMAI22!F27-MVTJUIN22!E27</f>
        <v>534974.27750837663</v>
      </c>
      <c r="G27" s="6">
        <f t="shared" si="0"/>
        <v>0</v>
      </c>
      <c r="H27" s="6">
        <f>MVTMAI22!H27+MVTMAI22!G27+K27</f>
        <v>0</v>
      </c>
      <c r="I27" s="36">
        <f>VLOOKUP($A27,[16]HISTOJUIN22!$A$6:$AQ$37,22,0)</f>
        <v>0</v>
      </c>
      <c r="J27" s="36">
        <f>VLOOKUP($A27,[16]HISTOJUIN22!$A$6:$AU$39,45,0)</f>
        <v>0</v>
      </c>
      <c r="K27" s="36">
        <f t="shared" si="1"/>
        <v>0</v>
      </c>
      <c r="L27" s="36">
        <f t="shared" si="2"/>
        <v>0</v>
      </c>
      <c r="M27" s="36">
        <f t="shared" si="3"/>
        <v>0</v>
      </c>
      <c r="N27" s="36">
        <f t="shared" si="4"/>
        <v>0</v>
      </c>
      <c r="O27" s="36">
        <f>VLOOKUP($A27,[16]HISTOJUIN22!$A$6:$AU$39,7,0)</f>
        <v>0</v>
      </c>
      <c r="P27" s="36">
        <f>VLOOKUP($A27,[16]HISTOJUIN22!$A$6:$AU$39,23,0)</f>
        <v>0</v>
      </c>
      <c r="Q27" s="36">
        <f>VLOOKUP($A27,[16]HISTOJUIN22!$A$6:$AU$39,46,0)</f>
        <v>0</v>
      </c>
      <c r="R27" s="36">
        <f>VLOOKUP($A27,[16]HISTOJUIN22!$A$6:$AU$39,26,0)</f>
        <v>0</v>
      </c>
      <c r="S27" s="36">
        <f>VLOOKUP($A27,[16]HISTOJUIN22!$A$6:$BG$39,58,0)</f>
        <v>0</v>
      </c>
      <c r="T27" s="36">
        <f>VLOOKUP($A27,[16]HISTOJUIN22!$A$6:$AU$39,28,0)</f>
        <v>0</v>
      </c>
      <c r="U27" s="36">
        <f>VLOOKUP($A27,[16]HISTOJUIN22!$A$6:$AU$39,19,0)</f>
        <v>0</v>
      </c>
      <c r="V27" s="36">
        <f>VLOOKUP($A27,[16]HISTOJUIN22!$A$6:$AU$39,20,0)</f>
        <v>0</v>
      </c>
      <c r="W27" s="36">
        <f>VLOOKUP($A27,[16]HISTOJUIN22!$A$6:$AU$39,27,0)</f>
        <v>0</v>
      </c>
      <c r="X27" s="36">
        <f>VLOOKUP($A27,[16]HISTOJUIN22!$A$6:$AU$39,33,0)</f>
        <v>0</v>
      </c>
      <c r="Y27" s="36">
        <f>VLOOKUP($A27,[16]HISTOJUIN22!$A$6:$BP$39,65,0)</f>
        <v>0</v>
      </c>
      <c r="Z27" s="36"/>
      <c r="AA27" s="36">
        <f>VLOOKUP($A27,[16]HISTOJUIN22!$A$6:$AU$39,43,0)</f>
        <v>0</v>
      </c>
      <c r="AB27" s="36">
        <f>VLOOKUP($A27,[16]HISTOJUIN22!$A$6:$AU$39,44,0)</f>
        <v>0</v>
      </c>
      <c r="AC27" s="36">
        <f>VLOOKUP($A27,[16]HISTOJUIN22!$A$6:$AU$39,47,0)</f>
        <v>0</v>
      </c>
      <c r="AD27" s="36">
        <f>VLOOKUP(A27,[16]HISTOJUIN22!$A$6:$BB$36,54,0)</f>
        <v>0</v>
      </c>
      <c r="AE27" s="36">
        <f>VLOOKUP($A27,[16]HISTOJUIN22!$A$6:$CA$36,60,0)</f>
        <v>0</v>
      </c>
      <c r="AF27" s="36">
        <f>VLOOKUP($A27,[16]HISTOJUIN22!$A$6:$CA$36,61,0)</f>
        <v>0</v>
      </c>
      <c r="AG27" s="36">
        <f>VLOOKUP($A27,[16]HISTOJUIN22!$A$6:$CA$36,62,0)</f>
        <v>0</v>
      </c>
      <c r="AH27" s="36">
        <f>VLOOKUP($A27,[16]HISTOJUIN22!$A$6:$CA$36,63,0)</f>
        <v>0</v>
      </c>
      <c r="AI27" s="36">
        <f>VLOOKUP($A27,[16]HISTOJUIN22!$A$6:$CA$36,64,0)</f>
        <v>0</v>
      </c>
      <c r="AJ27" s="36">
        <f>VLOOKUP($A27,[16]HISTOJUIN22!$A$6:$CA$36,65,0)</f>
        <v>0</v>
      </c>
    </row>
    <row r="28" spans="1:36" x14ac:dyDescent="0.25">
      <c r="A28" s="1" t="s">
        <v>44</v>
      </c>
      <c r="B28" s="1" t="str">
        <f>VLOOKUP(A28,[15]LISTADHERENT!A$5:H$60,3,0)</f>
        <v>NKEPSEU DIEUDONNE</v>
      </c>
      <c r="C28" s="5"/>
      <c r="D28" s="5"/>
      <c r="E28" s="36">
        <f>VLOOKUP($A28,[16]HISTOJUIN22!$A$6:$BA$39,48,0)</f>
        <v>0</v>
      </c>
      <c r="F28" s="5">
        <f>MVTMAI22!F28-MVTJUIN22!E28</f>
        <v>570000</v>
      </c>
      <c r="G28" s="6">
        <f t="shared" si="0"/>
        <v>21987.598477559313</v>
      </c>
      <c r="H28" s="6">
        <f>MVTMAI22!H28+MVTMAI22!G28+K28</f>
        <v>981758.27215425554</v>
      </c>
      <c r="I28" s="36">
        <f>VLOOKUP($A28,[16]HISTOJUIN22!$A$6:$AQ$37,22,0)</f>
        <v>0</v>
      </c>
      <c r="J28" s="36">
        <f>VLOOKUP($A28,[16]HISTOJUIN22!$A$6:$AU$39,45,0)</f>
        <v>307000</v>
      </c>
      <c r="K28" s="36">
        <f t="shared" si="1"/>
        <v>303000</v>
      </c>
      <c r="L28" s="36">
        <f t="shared" si="2"/>
        <v>500</v>
      </c>
      <c r="M28" s="36">
        <f t="shared" si="3"/>
        <v>1000</v>
      </c>
      <c r="N28" s="36">
        <f t="shared" si="4"/>
        <v>2500</v>
      </c>
      <c r="O28" s="36">
        <f>VLOOKUP($A28,[16]HISTOJUIN22!$A$6:$AU$39,7,0)</f>
        <v>0</v>
      </c>
      <c r="P28" s="36">
        <f>VLOOKUP($A28,[16]HISTOJUIN22!$A$6:$AU$39,23,0)</f>
        <v>0</v>
      </c>
      <c r="Q28" s="36">
        <f>VLOOKUP($A28,[16]HISTOJUIN22!$A$6:$AU$39,46,0)</f>
        <v>0</v>
      </c>
      <c r="R28" s="36">
        <f>VLOOKUP($A28,[16]HISTOJUIN22!$A$6:$AU$39,26,0)</f>
        <v>0</v>
      </c>
      <c r="S28" s="36">
        <f>VLOOKUP($A28,[16]HISTOJUIN22!$A$6:$BG$39,58,0)</f>
        <v>0</v>
      </c>
      <c r="T28" s="36">
        <f>VLOOKUP($A28,[16]HISTOJUIN22!$A$6:$AU$39,28,0)</f>
        <v>0</v>
      </c>
      <c r="U28" s="36">
        <f>VLOOKUP($A28,[16]HISTOJUIN22!$A$6:$AU$39,19,0)</f>
        <v>0</v>
      </c>
      <c r="V28" s="36">
        <f>VLOOKUP($A28,[16]HISTOJUIN22!$A$6:$AU$39,20,0)</f>
        <v>0</v>
      </c>
      <c r="W28" s="36">
        <f>VLOOKUP($A28,[16]HISTOJUIN22!$A$6:$AU$39,27,0)</f>
        <v>0</v>
      </c>
      <c r="X28" s="36">
        <f>VLOOKUP($A28,[16]HISTOJUIN22!$A$6:$AU$39,33,0)</f>
        <v>0</v>
      </c>
      <c r="Y28" s="36">
        <f>VLOOKUP($A28,[16]HISTOJUIN22!$A$6:$BP$39,65,0)</f>
        <v>0</v>
      </c>
      <c r="Z28" s="36"/>
      <c r="AA28" s="36">
        <f>VLOOKUP($A28,[16]HISTOJUIN22!$A$6:$AU$39,43,0)</f>
        <v>0</v>
      </c>
      <c r="AB28" s="36">
        <f>VLOOKUP($A28,[16]HISTOJUIN22!$A$6:$AU$39,44,0)</f>
        <v>0</v>
      </c>
      <c r="AC28" s="36">
        <f>VLOOKUP($A28,[16]HISTOJUIN22!$A$6:$AU$39,47,0)</f>
        <v>0</v>
      </c>
      <c r="AD28" s="36">
        <f>VLOOKUP(A28,[16]HISTOJUIN22!$A$6:$BB$36,54,0)</f>
        <v>0</v>
      </c>
      <c r="AE28" s="36">
        <f>VLOOKUP($A28,[16]HISTOJUIN22!$A$6:$CA$36,60,0)</f>
        <v>0</v>
      </c>
      <c r="AF28" s="36">
        <f>VLOOKUP($A28,[16]HISTOJUIN22!$A$6:$CA$36,61,0)</f>
        <v>0</v>
      </c>
      <c r="AG28" s="36">
        <f>VLOOKUP($A28,[16]HISTOJUIN22!$A$6:$CA$36,62,0)</f>
        <v>0</v>
      </c>
      <c r="AH28" s="36">
        <f>VLOOKUP($A28,[16]HISTOJUIN22!$A$6:$CA$36,63,0)</f>
        <v>0</v>
      </c>
      <c r="AI28" s="36">
        <f>VLOOKUP($A28,[16]HISTOJUIN22!$A$6:$CA$36,64,0)</f>
        <v>0</v>
      </c>
      <c r="AJ28" s="36">
        <f>VLOOKUP($A28,[16]HISTOJUIN22!$A$6:$CA$36,65,0)</f>
        <v>0</v>
      </c>
    </row>
    <row r="29" spans="1:36" x14ac:dyDescent="0.25">
      <c r="A29" s="1" t="s">
        <v>45</v>
      </c>
      <c r="B29" s="1" t="str">
        <f>VLOOKUP(A29,[15]LISTADHERENT!A$5:H$60,3,0)</f>
        <v>PATEGO NJOSSU GUSTAVE</v>
      </c>
      <c r="C29" s="5"/>
      <c r="D29" s="5"/>
      <c r="E29" s="36">
        <f>VLOOKUP($A29,[16]HISTOJUIN22!$A$6:$BA$39,48,0)</f>
        <v>0</v>
      </c>
      <c r="F29" s="5">
        <f>MVTMAI22!F29-MVTJUIN22!E29</f>
        <v>570000</v>
      </c>
      <c r="G29" s="6">
        <f t="shared" si="0"/>
        <v>14747.47612956681</v>
      </c>
      <c r="H29" s="6">
        <f>MVTMAI22!H29+MVTMAI22!G29+K29</f>
        <v>658482.8578881158</v>
      </c>
      <c r="I29" s="36">
        <f>VLOOKUP($A29,[16]HISTOJUIN22!$A$6:$AQ$37,22,0)</f>
        <v>0</v>
      </c>
      <c r="J29" s="36">
        <f>VLOOKUP($A29,[16]HISTOJUIN22!$A$6:$AU$39,45,0)</f>
        <v>7000</v>
      </c>
      <c r="K29" s="36">
        <f t="shared" si="1"/>
        <v>3000</v>
      </c>
      <c r="L29" s="36">
        <f t="shared" si="2"/>
        <v>500</v>
      </c>
      <c r="M29" s="36">
        <f t="shared" si="3"/>
        <v>1000</v>
      </c>
      <c r="N29" s="36">
        <f t="shared" si="4"/>
        <v>2500</v>
      </c>
      <c r="O29" s="36">
        <f>VLOOKUP($A29,[16]HISTOJUIN22!$A$6:$AU$39,7,0)</f>
        <v>0</v>
      </c>
      <c r="P29" s="36">
        <f>VLOOKUP($A29,[16]HISTOJUIN22!$A$6:$AU$39,23,0)</f>
        <v>0</v>
      </c>
      <c r="Q29" s="36">
        <f>VLOOKUP($A29,[16]HISTOJUIN22!$A$6:$AU$39,46,0)</f>
        <v>0</v>
      </c>
      <c r="R29" s="36">
        <f>VLOOKUP($A29,[16]HISTOJUIN22!$A$6:$AU$39,26,0)</f>
        <v>0</v>
      </c>
      <c r="S29" s="36">
        <f>VLOOKUP($A29,[16]HISTOJUIN22!$A$6:$BG$39,58,0)</f>
        <v>0</v>
      </c>
      <c r="T29" s="36">
        <f>VLOOKUP($A29,[16]HISTOJUIN22!$A$6:$AU$39,28,0)</f>
        <v>0</v>
      </c>
      <c r="U29" s="36">
        <f>VLOOKUP($A29,[16]HISTOJUIN22!$A$6:$AU$39,19,0)</f>
        <v>0</v>
      </c>
      <c r="V29" s="36">
        <f>VLOOKUP($A29,[16]HISTOJUIN22!$A$6:$AU$39,20,0)</f>
        <v>0</v>
      </c>
      <c r="W29" s="36">
        <f>VLOOKUP($A29,[16]HISTOJUIN22!$A$6:$AU$39,27,0)</f>
        <v>0</v>
      </c>
      <c r="X29" s="36">
        <f>VLOOKUP($A29,[16]HISTOJUIN22!$A$6:$AU$39,33,0)</f>
        <v>0</v>
      </c>
      <c r="Y29" s="36">
        <f>VLOOKUP($A29,[16]HISTOJUIN22!$A$6:$BP$39,65,0)</f>
        <v>0</v>
      </c>
      <c r="Z29" s="36"/>
      <c r="AA29" s="36">
        <f>VLOOKUP($A29,[16]HISTOJUIN22!$A$6:$AU$39,43,0)</f>
        <v>0</v>
      </c>
      <c r="AB29" s="36">
        <f>VLOOKUP($A29,[16]HISTOJUIN22!$A$6:$AU$39,44,0)</f>
        <v>0</v>
      </c>
      <c r="AC29" s="36">
        <f>VLOOKUP($A29,[16]HISTOJUIN22!$A$6:$AU$39,47,0)</f>
        <v>0</v>
      </c>
      <c r="AD29" s="36">
        <f>VLOOKUP(A29,[16]HISTOJUIN22!$A$6:$BB$36,54,0)</f>
        <v>0</v>
      </c>
      <c r="AE29" s="36">
        <f>VLOOKUP($A29,[16]HISTOJUIN22!$A$6:$CA$36,60,0)</f>
        <v>0</v>
      </c>
      <c r="AF29" s="36">
        <f>VLOOKUP($A29,[16]HISTOJUIN22!$A$6:$CA$36,61,0)</f>
        <v>0</v>
      </c>
      <c r="AG29" s="36">
        <f>VLOOKUP($A29,[16]HISTOJUIN22!$A$6:$CA$36,62,0)</f>
        <v>0</v>
      </c>
      <c r="AH29" s="36">
        <f>VLOOKUP($A29,[16]HISTOJUIN22!$A$6:$CA$36,63,0)</f>
        <v>0</v>
      </c>
      <c r="AI29" s="36">
        <f>VLOOKUP($A29,[16]HISTOJUIN22!$A$6:$CA$36,64,0)</f>
        <v>0</v>
      </c>
      <c r="AJ29" s="36">
        <f>VLOOKUP($A29,[16]HISTOJUIN22!$A$6:$CA$36,65,0)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VLOOKUP($A30,[16]HISTOJUIN22!$A$6:$BA$39,48,0)</f>
        <v>0</v>
      </c>
      <c r="F30" s="5">
        <f>MVTMAI22!F30-MVTJUIN22!E30</f>
        <v>570000</v>
      </c>
      <c r="G30" s="6">
        <f t="shared" si="0"/>
        <v>20862.791600730208</v>
      </c>
      <c r="H30" s="6">
        <f>MVTMAI22!H30+MVTMAI22!G30+K30</f>
        <v>931535.03122005297</v>
      </c>
      <c r="I30" s="36">
        <f>VLOOKUP($A30,[16]HISTOJUIN22!$A$6:$AQ$37,22,0)</f>
        <v>0</v>
      </c>
      <c r="J30" s="36">
        <f>VLOOKUP($A30,[16]HISTOJUIN22!$A$6:$AU$39,45,0)</f>
        <v>7000</v>
      </c>
      <c r="K30" s="36">
        <f t="shared" si="1"/>
        <v>3000</v>
      </c>
      <c r="L30" s="36">
        <f t="shared" si="2"/>
        <v>500</v>
      </c>
      <c r="M30" s="36">
        <f t="shared" si="3"/>
        <v>1000</v>
      </c>
      <c r="N30" s="36">
        <f t="shared" si="4"/>
        <v>2500</v>
      </c>
      <c r="O30" s="36">
        <f>VLOOKUP($A30,[16]HISTOJUIN22!$A$6:$AU$39,7,0)</f>
        <v>0</v>
      </c>
      <c r="P30" s="36">
        <f>VLOOKUP($A30,[16]HISTOJUIN22!$A$6:$AU$39,23,0)</f>
        <v>0</v>
      </c>
      <c r="Q30" s="36">
        <f>VLOOKUP($A30,[16]HISTOJUIN22!$A$6:$AU$39,46,0)</f>
        <v>0</v>
      </c>
      <c r="R30" s="36">
        <f>VLOOKUP($A30,[16]HISTOJUIN22!$A$6:$AU$39,26,0)</f>
        <v>0</v>
      </c>
      <c r="S30" s="36">
        <f>VLOOKUP($A30,[16]HISTOJUIN22!$A$6:$BG$39,58,0)</f>
        <v>0</v>
      </c>
      <c r="T30" s="36">
        <f>VLOOKUP($A30,[16]HISTOJUIN22!$A$6:$AU$39,28,0)</f>
        <v>0</v>
      </c>
      <c r="U30" s="36">
        <f>VLOOKUP($A30,[16]HISTOJUIN22!$A$6:$AU$39,19,0)</f>
        <v>0</v>
      </c>
      <c r="V30" s="36">
        <f>VLOOKUP($A30,[16]HISTOJUIN22!$A$6:$AU$39,20,0)</f>
        <v>0</v>
      </c>
      <c r="W30" s="36">
        <f>VLOOKUP($A30,[16]HISTOJUIN22!$A$6:$AU$39,27,0)</f>
        <v>0</v>
      </c>
      <c r="X30" s="36">
        <f>VLOOKUP($A30,[16]HISTOJUIN22!$A$6:$AU$39,33,0)</f>
        <v>0</v>
      </c>
      <c r="Y30" s="36">
        <f>VLOOKUP($A30,[16]HISTOJUIN22!$A$6:$BP$39,65,0)</f>
        <v>0</v>
      </c>
      <c r="Z30" s="36"/>
      <c r="AA30" s="36">
        <f>VLOOKUP($A30,[16]HISTOJUIN22!$A$6:$AU$39,43,0)</f>
        <v>0</v>
      </c>
      <c r="AB30" s="36">
        <f>VLOOKUP($A30,[16]HISTOJUIN22!$A$6:$AU$39,44,0)</f>
        <v>0</v>
      </c>
      <c r="AC30" s="36">
        <f>VLOOKUP($A30,[16]HISTOJUIN22!$A$6:$AU$39,47,0)</f>
        <v>0</v>
      </c>
      <c r="AD30" s="36">
        <f>VLOOKUP(A30,[16]HISTOJUIN22!$A$6:$BB$36,54,0)</f>
        <v>0</v>
      </c>
      <c r="AE30" s="36">
        <f>VLOOKUP($A30,[16]HISTOJUIN22!$A$6:$CA$36,60,0)</f>
        <v>0</v>
      </c>
      <c r="AF30" s="36">
        <f>VLOOKUP($A30,[16]HISTOJUIN22!$A$6:$CA$36,61,0)</f>
        <v>0</v>
      </c>
      <c r="AG30" s="36">
        <f>VLOOKUP($A30,[16]HISTOJUIN22!$A$6:$CA$36,62,0)</f>
        <v>0</v>
      </c>
      <c r="AH30" s="36">
        <f>VLOOKUP($A30,[16]HISTOJUIN22!$A$6:$CA$36,63,0)</f>
        <v>0</v>
      </c>
      <c r="AI30" s="36">
        <f>VLOOKUP($A30,[16]HISTOJUIN22!$A$6:$CA$36,64,0)</f>
        <v>0</v>
      </c>
      <c r="AJ30" s="36">
        <f>VLOOKUP($A30,[16]HISTOJUIN22!$A$6:$CA$36,65,0)</f>
        <v>0</v>
      </c>
    </row>
    <row r="31" spans="1:36" x14ac:dyDescent="0.25">
      <c r="A31" s="1" t="s">
        <v>47</v>
      </c>
      <c r="B31" s="1" t="str">
        <f>VLOOKUP(A31,[15]LISTADHERENT!A$5:H$60,3,0)</f>
        <v>SIMO FONGANG ERIC</v>
      </c>
      <c r="C31" s="5"/>
      <c r="D31" s="5"/>
      <c r="E31" s="36">
        <f>VLOOKUP($A31,[16]HISTOJUIN22!$A$6:$BA$39,48,0)</f>
        <v>0</v>
      </c>
      <c r="F31" s="5">
        <f>MVTMAI22!F31-MVTJUIN22!E31</f>
        <v>570000</v>
      </c>
      <c r="G31" s="6">
        <f t="shared" si="0"/>
        <v>0</v>
      </c>
      <c r="H31" s="6">
        <f>MVTMAI22!H31+MVTMAI22!G31+K31</f>
        <v>0</v>
      </c>
      <c r="I31" s="36">
        <f>VLOOKUP($A31,[16]HISTOJUIN22!$A$6:$AQ$37,22,0)</f>
        <v>0</v>
      </c>
      <c r="J31" s="36">
        <f>VLOOKUP($A31,[16]HISTOJUIN22!$A$6:$AU$39,45,0)</f>
        <v>0</v>
      </c>
      <c r="K31" s="36">
        <f t="shared" si="1"/>
        <v>0</v>
      </c>
      <c r="L31" s="36">
        <f t="shared" si="2"/>
        <v>0</v>
      </c>
      <c r="M31" s="36">
        <f t="shared" si="3"/>
        <v>0</v>
      </c>
      <c r="N31" s="36">
        <f t="shared" si="4"/>
        <v>0</v>
      </c>
      <c r="O31" s="36">
        <f>VLOOKUP($A31,[16]HISTOJUIN22!$A$6:$AU$39,7,0)</f>
        <v>0</v>
      </c>
      <c r="P31" s="36">
        <f>VLOOKUP($A31,[16]HISTOJUIN22!$A$6:$AU$39,23,0)</f>
        <v>0</v>
      </c>
      <c r="Q31" s="36">
        <f>VLOOKUP($A31,[16]HISTOJUIN22!$A$6:$AU$39,46,0)</f>
        <v>0</v>
      </c>
      <c r="R31" s="36">
        <f>VLOOKUP($A31,[16]HISTOJUIN22!$A$6:$AU$39,26,0)</f>
        <v>0</v>
      </c>
      <c r="S31" s="36">
        <f>VLOOKUP($A31,[16]HISTOJUIN22!$A$6:$BG$39,58,0)</f>
        <v>0</v>
      </c>
      <c r="T31" s="36">
        <f>VLOOKUP($A31,[16]HISTOJUIN22!$A$6:$AU$39,28,0)</f>
        <v>0</v>
      </c>
      <c r="U31" s="36">
        <f>VLOOKUP($A31,[16]HISTOJUIN22!$A$6:$AU$39,19,0)</f>
        <v>0</v>
      </c>
      <c r="V31" s="36">
        <f>VLOOKUP($A31,[16]HISTOJUIN22!$A$6:$AU$39,20,0)</f>
        <v>0</v>
      </c>
      <c r="W31" s="36">
        <f>VLOOKUP($A31,[16]HISTOJUIN22!$A$6:$AU$39,27,0)</f>
        <v>0</v>
      </c>
      <c r="X31" s="36">
        <f>VLOOKUP($A31,[16]HISTOJUIN22!$A$6:$AU$39,33,0)</f>
        <v>0</v>
      </c>
      <c r="Y31" s="36">
        <f>VLOOKUP($A31,[16]HISTOJUIN22!$A$6:$BP$39,65,0)</f>
        <v>0</v>
      </c>
      <c r="Z31" s="36"/>
      <c r="AA31" s="36">
        <f>VLOOKUP($A31,[16]HISTOJUIN22!$A$6:$AU$39,43,0)</f>
        <v>0</v>
      </c>
      <c r="AB31" s="36">
        <f>VLOOKUP($A31,[16]HISTOJUIN22!$A$6:$AU$39,44,0)</f>
        <v>0</v>
      </c>
      <c r="AC31" s="36">
        <f>VLOOKUP($A31,[16]HISTOJUIN22!$A$6:$AU$39,47,0)</f>
        <v>0</v>
      </c>
      <c r="AD31" s="36">
        <f>VLOOKUP(A31,[16]HISTOJUIN22!$A$6:$BB$36,54,0)</f>
        <v>0</v>
      </c>
      <c r="AE31" s="36">
        <f>VLOOKUP($A31,[16]HISTOJUIN22!$A$6:$CA$36,60,0)</f>
        <v>0</v>
      </c>
      <c r="AF31" s="36">
        <f>VLOOKUP($A31,[16]HISTOJUIN22!$A$6:$CA$36,61,0)</f>
        <v>0</v>
      </c>
      <c r="AG31" s="36">
        <f>VLOOKUP($A31,[16]HISTOJUIN22!$A$6:$CA$36,62,0)</f>
        <v>0</v>
      </c>
      <c r="AH31" s="36">
        <f>VLOOKUP($A31,[16]HISTOJUIN22!$A$6:$CA$36,63,0)</f>
        <v>0</v>
      </c>
      <c r="AI31" s="36">
        <f>VLOOKUP($A31,[16]HISTOJUIN22!$A$6:$CA$36,64,0)</f>
        <v>0</v>
      </c>
      <c r="AJ31" s="36">
        <f>VLOOKUP($A31,[16]HISTOJUIN22!$A$6:$CA$36,65,0)</f>
        <v>0</v>
      </c>
    </row>
    <row r="32" spans="1:36" x14ac:dyDescent="0.25">
      <c r="A32" s="1" t="s">
        <v>49</v>
      </c>
      <c r="B32" s="1" t="str">
        <f>VLOOKUP(A32,[15]LISTADHERENT!A$5:H$60,3,0)</f>
        <v>SIMO PIERRE</v>
      </c>
      <c r="C32" s="5"/>
      <c r="D32" s="5"/>
      <c r="E32" s="36">
        <f>VLOOKUP($A32,[16]HISTOJUIN22!$A$6:$BA$39,48,0)</f>
        <v>0</v>
      </c>
      <c r="F32" s="5">
        <f>MVTMAI22!F32-MVTJUIN22!E32</f>
        <v>570000</v>
      </c>
      <c r="G32" s="6">
        <f t="shared" si="0"/>
        <v>17489.798112557561</v>
      </c>
      <c r="H32" s="6">
        <f>MVTMAI22!H32+MVTMAI22!G32+K32</f>
        <v>780929.03110068408</v>
      </c>
      <c r="I32" s="36">
        <f>VLOOKUP($A32,[16]HISTOJUIN22!$A$6:$AQ$37,22,0)</f>
        <v>0</v>
      </c>
      <c r="J32" s="36">
        <f>VLOOKUP($A32,[16]HISTOJUIN22!$A$6:$AU$39,45,0)</f>
        <v>12000</v>
      </c>
      <c r="K32" s="36">
        <f t="shared" si="1"/>
        <v>8000</v>
      </c>
      <c r="L32" s="36">
        <f t="shared" si="2"/>
        <v>500</v>
      </c>
      <c r="M32" s="36">
        <f t="shared" si="3"/>
        <v>1000</v>
      </c>
      <c r="N32" s="36">
        <f t="shared" si="4"/>
        <v>2500</v>
      </c>
      <c r="O32" s="36">
        <f>VLOOKUP($A32,[16]HISTOJUIN22!$A$6:$AU$39,7,0)</f>
        <v>0</v>
      </c>
      <c r="P32" s="36">
        <f>VLOOKUP($A32,[16]HISTOJUIN22!$A$6:$AU$39,23,0)</f>
        <v>0</v>
      </c>
      <c r="Q32" s="36">
        <f>VLOOKUP($A32,[16]HISTOJUIN22!$A$6:$AU$39,46,0)</f>
        <v>0</v>
      </c>
      <c r="R32" s="36">
        <f>VLOOKUP($A32,[16]HISTOJUIN22!$A$6:$AU$39,26,0)</f>
        <v>800000</v>
      </c>
      <c r="S32" s="36">
        <f>VLOOKUP($A32,[16]HISTOJUIN22!$A$6:$BG$39,58,0)</f>
        <v>48000</v>
      </c>
      <c r="T32" s="36">
        <f>VLOOKUP($A32,[16]HISTOJUIN22!$A$6:$AU$39,28,0)</f>
        <v>0</v>
      </c>
      <c r="U32" s="36">
        <f>VLOOKUP($A32,[16]HISTOJUIN22!$A$6:$AU$39,19,0)</f>
        <v>300000</v>
      </c>
      <c r="V32" s="36" t="str">
        <f>VLOOKUP($A32,[16]HISTOJUIN22!$A$6:$AU$39,20,0)</f>
        <v>BANQUE</v>
      </c>
      <c r="W32" s="36">
        <f>VLOOKUP($A32,[16]HISTOJUIN22!$A$6:$AU$39,27,0)</f>
        <v>0</v>
      </c>
      <c r="X32" s="36">
        <f>VLOOKUP($A32,[16]HISTOJUIN22!$A$6:$AU$39,33,0)</f>
        <v>0</v>
      </c>
      <c r="Y32" s="36">
        <f>VLOOKUP($A32,[16]HISTOJUIN22!$A$6:$BP$39,65,0)</f>
        <v>0</v>
      </c>
      <c r="Z32" s="36"/>
      <c r="AA32" s="36">
        <f>VLOOKUP($A32,[16]HISTOJUIN22!$A$6:$AU$39,43,0)</f>
        <v>0</v>
      </c>
      <c r="AB32" s="36">
        <f>VLOOKUP($A32,[16]HISTOJUIN22!$A$6:$AU$39,44,0)</f>
        <v>0</v>
      </c>
      <c r="AC32" s="36">
        <f>VLOOKUP($A32,[16]HISTOJUIN22!$A$6:$AU$39,47,0)</f>
        <v>0</v>
      </c>
      <c r="AD32" s="36">
        <f>VLOOKUP(A32,[16]HISTOJUIN22!$A$6:$BB$36,54,0)</f>
        <v>0</v>
      </c>
      <c r="AE32" s="36">
        <f>VLOOKUP($A32,[16]HISTOJUIN22!$A$6:$CA$36,60,0)</f>
        <v>0</v>
      </c>
      <c r="AF32" s="36">
        <f>VLOOKUP($A32,[16]HISTOJUIN22!$A$6:$CA$36,61,0)</f>
        <v>0</v>
      </c>
      <c r="AG32" s="36">
        <f>VLOOKUP($A32,[16]HISTOJUIN22!$A$6:$CA$36,62,0)</f>
        <v>0</v>
      </c>
      <c r="AH32" s="36">
        <f>VLOOKUP($A32,[16]HISTOJUIN22!$A$6:$CA$36,63,0)</f>
        <v>0</v>
      </c>
      <c r="AI32" s="36">
        <f>VLOOKUP($A32,[16]HISTOJUIN22!$A$6:$CA$36,64,0)</f>
        <v>0</v>
      </c>
      <c r="AJ32" s="36">
        <f>VLOOKUP($A32,[16]HISTOJUIN22!$A$6:$CA$36,65,0)</f>
        <v>0</v>
      </c>
    </row>
    <row r="33" spans="1:36" x14ac:dyDescent="0.25">
      <c r="A33" s="1" t="s">
        <v>51</v>
      </c>
      <c r="B33" s="1" t="str">
        <f>VLOOKUP(A33,[15]LISTADHERENT!A$5:H$60,3,0)</f>
        <v>TCHOUAMOU MATHIEU</v>
      </c>
      <c r="C33" s="5"/>
      <c r="D33" s="5"/>
      <c r="E33" s="36">
        <f>VLOOKUP($A33,[16]HISTOJUIN22!$A$6:$BA$39,48,0)</f>
        <v>0</v>
      </c>
      <c r="F33" s="5">
        <f>MVTMAI22!F33-MVTJUIN22!E33</f>
        <v>570000</v>
      </c>
      <c r="G33" s="6">
        <f t="shared" si="0"/>
        <v>14369.913494086879</v>
      </c>
      <c r="H33" s="6">
        <f>MVTMAI22!H33+MVTMAI22!G33+K33</f>
        <v>641624.48015227087</v>
      </c>
      <c r="I33" s="36">
        <f>VLOOKUP($A33,[16]HISTOJUIN22!$A$6:$AQ$37,22,0)</f>
        <v>0</v>
      </c>
      <c r="J33" s="36">
        <f>VLOOKUP($A33,[16]HISTOJUIN22!$A$6:$AU$39,45,0)</f>
        <v>7000</v>
      </c>
      <c r="K33" s="36">
        <f t="shared" si="1"/>
        <v>3000</v>
      </c>
      <c r="L33" s="36">
        <f t="shared" si="2"/>
        <v>500</v>
      </c>
      <c r="M33" s="36">
        <f t="shared" si="3"/>
        <v>1000</v>
      </c>
      <c r="N33" s="36">
        <f t="shared" si="4"/>
        <v>2500</v>
      </c>
      <c r="O33" s="36">
        <f>VLOOKUP($A33,[16]HISTOJUIN22!$A$6:$AU$39,7,0)</f>
        <v>0</v>
      </c>
      <c r="P33" s="36">
        <f>VLOOKUP($A33,[16]HISTOJUIN22!$A$6:$AU$39,23,0)</f>
        <v>0</v>
      </c>
      <c r="Q33" s="36">
        <f>VLOOKUP($A33,[16]HISTOJUIN22!$A$6:$AU$39,46,0)</f>
        <v>0</v>
      </c>
      <c r="R33" s="36">
        <f>VLOOKUP($A33,[16]HISTOJUIN22!$A$6:$AU$39,26,0)</f>
        <v>0</v>
      </c>
      <c r="S33" s="36">
        <f>VLOOKUP($A33,[16]HISTOJUIN22!$A$6:$BG$39,58,0)</f>
        <v>0</v>
      </c>
      <c r="T33" s="36">
        <f>VLOOKUP($A33,[16]HISTOJUIN22!$A$6:$AU$39,28,0)</f>
        <v>0</v>
      </c>
      <c r="U33" s="36">
        <f>VLOOKUP($A33,[16]HISTOJUIN22!$A$6:$AU$39,19,0)</f>
        <v>0</v>
      </c>
      <c r="V33" s="36">
        <f>VLOOKUP($A33,[16]HISTOJUIN22!$A$6:$AU$39,20,0)</f>
        <v>0</v>
      </c>
      <c r="W33" s="36">
        <f>VLOOKUP($A33,[16]HISTOJUIN22!$A$6:$AU$39,27,0)</f>
        <v>0</v>
      </c>
      <c r="X33" s="36">
        <f>VLOOKUP($A33,[16]HISTOJUIN22!$A$6:$AU$39,33,0)</f>
        <v>0</v>
      </c>
      <c r="Y33" s="36">
        <f>VLOOKUP($A33,[16]HISTOJUIN22!$A$6:$BP$39,65,0)</f>
        <v>0</v>
      </c>
      <c r="Z33" s="36"/>
      <c r="AA33" s="36">
        <f>VLOOKUP($A33,[16]HISTOJUIN22!$A$6:$AU$39,43,0)</f>
        <v>0</v>
      </c>
      <c r="AB33" s="36">
        <f>VLOOKUP($A33,[16]HISTOJUIN22!$A$6:$AU$39,44,0)</f>
        <v>0</v>
      </c>
      <c r="AC33" s="36">
        <f>VLOOKUP($A33,[16]HISTOJUIN22!$A$6:$AU$39,47,0)</f>
        <v>0</v>
      </c>
      <c r="AD33" s="36">
        <f>VLOOKUP(A33,[16]HISTOJUIN22!$A$6:$BB$36,54,0)</f>
        <v>0</v>
      </c>
      <c r="AE33" s="36">
        <f>VLOOKUP($A33,[16]HISTOJUIN22!$A$6:$CA$36,60,0)</f>
        <v>0</v>
      </c>
      <c r="AF33" s="36">
        <f>VLOOKUP($A33,[16]HISTOJUIN22!$A$6:$CA$36,61,0)</f>
        <v>0</v>
      </c>
      <c r="AG33" s="36">
        <f>VLOOKUP($A33,[16]HISTOJUIN22!$A$6:$CA$36,62,0)</f>
        <v>0</v>
      </c>
      <c r="AH33" s="36">
        <f>VLOOKUP($A33,[16]HISTOJUIN22!$A$6:$CA$36,63,0)</f>
        <v>0</v>
      </c>
      <c r="AI33" s="36">
        <f>VLOOKUP($A33,[16]HISTOJUIN22!$A$6:$CA$36,64,0)</f>
        <v>0</v>
      </c>
      <c r="AJ33" s="36">
        <f>VLOOKUP($A33,[16]HISTOJUIN22!$A$6:$CA$36,65,0)</f>
        <v>0</v>
      </c>
    </row>
    <row r="34" spans="1:36" x14ac:dyDescent="0.25">
      <c r="A34" s="1" t="s">
        <v>54</v>
      </c>
      <c r="B34" s="1" t="str">
        <f>VLOOKUP(A34,[15]LISTADHERENT!A$5:H$60,3,0)</f>
        <v>TIEYAM ERNEST</v>
      </c>
      <c r="C34" s="5"/>
      <c r="D34" s="5"/>
      <c r="E34" s="36">
        <f>VLOOKUP($A34,[16]HISTOJUIN22!$A$6:$BA$39,48,0)</f>
        <v>0</v>
      </c>
      <c r="F34" s="5">
        <f>MVTMAI22!F34-MVTJUIN22!E34</f>
        <v>535508.27831700875</v>
      </c>
      <c r="G34" s="6">
        <f t="shared" si="0"/>
        <v>0</v>
      </c>
      <c r="H34" s="6">
        <f>MVTMAI22!H34+MVTMAI22!G34+K34</f>
        <v>0</v>
      </c>
      <c r="I34" s="36">
        <f>VLOOKUP($A34,[16]HISTOJUIN22!$A$6:$AQ$37,22,0)</f>
        <v>0</v>
      </c>
      <c r="J34" s="36">
        <f>VLOOKUP($A34,[16]HISTOJUIN22!$A$6:$AU$39,45,0)</f>
        <v>0</v>
      </c>
      <c r="K34" s="36">
        <f t="shared" si="1"/>
        <v>0</v>
      </c>
      <c r="L34" s="36">
        <f t="shared" si="2"/>
        <v>0</v>
      </c>
      <c r="M34" s="36">
        <f t="shared" si="3"/>
        <v>0</v>
      </c>
      <c r="N34" s="36">
        <f t="shared" si="4"/>
        <v>0</v>
      </c>
      <c r="O34" s="36">
        <f>VLOOKUP($A34,[16]HISTOJUIN22!$A$6:$AU$39,7,0)</f>
        <v>0</v>
      </c>
      <c r="P34" s="36">
        <f>VLOOKUP($A34,[16]HISTOJUIN22!$A$6:$AU$39,23,0)</f>
        <v>0</v>
      </c>
      <c r="Q34" s="36">
        <f>VLOOKUP($A34,[16]HISTOJUIN22!$A$6:$AU$39,46,0)</f>
        <v>0</v>
      </c>
      <c r="R34" s="36">
        <f>VLOOKUP($A34,[16]HISTOJUIN22!$A$6:$AU$39,26,0)</f>
        <v>0</v>
      </c>
      <c r="S34" s="36">
        <f>VLOOKUP($A34,[16]HISTOJUIN22!$A$6:$BG$39,58,0)</f>
        <v>0</v>
      </c>
      <c r="T34" s="36">
        <f>VLOOKUP($A34,[16]HISTOJUIN22!$A$6:$AU$39,28,0)</f>
        <v>0</v>
      </c>
      <c r="U34" s="36">
        <f>VLOOKUP($A34,[16]HISTOJUIN22!$A$6:$AU$39,19,0)</f>
        <v>0</v>
      </c>
      <c r="V34" s="36">
        <f>VLOOKUP($A34,[16]HISTOJUIN22!$A$6:$AU$39,20,0)</f>
        <v>0</v>
      </c>
      <c r="W34" s="36">
        <f>VLOOKUP($A34,[16]HISTOJUIN22!$A$6:$AU$39,27,0)</f>
        <v>0</v>
      </c>
      <c r="X34" s="36">
        <f>VLOOKUP($A34,[16]HISTOJUIN22!$A$6:$AU$39,33,0)</f>
        <v>0</v>
      </c>
      <c r="Y34" s="36">
        <f>VLOOKUP($A34,[16]HISTOJUIN22!$A$6:$BP$39,65,0)</f>
        <v>0</v>
      </c>
      <c r="Z34" s="36"/>
      <c r="AA34" s="36">
        <f>VLOOKUP($A34,[16]HISTOJUIN22!$A$6:$AU$39,43,0)</f>
        <v>0</v>
      </c>
      <c r="AB34" s="36">
        <f>VLOOKUP($A34,[16]HISTOJUIN22!$A$6:$AU$39,44,0)</f>
        <v>0</v>
      </c>
      <c r="AC34" s="36">
        <f>VLOOKUP($A34,[16]HISTOJUIN22!$A$6:$AU$39,47,0)</f>
        <v>0</v>
      </c>
      <c r="AD34" s="36">
        <f>VLOOKUP(A34,[16]HISTOJUIN22!$A$6:$BB$36,54,0)</f>
        <v>0</v>
      </c>
      <c r="AE34" s="36">
        <f>VLOOKUP($A34,[16]HISTOJUIN22!$A$6:$CA$36,60,0)</f>
        <v>0</v>
      </c>
      <c r="AF34" s="36">
        <f>VLOOKUP($A34,[16]HISTOJUIN22!$A$6:$CA$36,61,0)</f>
        <v>0</v>
      </c>
      <c r="AG34" s="36">
        <f>VLOOKUP($A34,[16]HISTOJUIN22!$A$6:$CA$36,62,0)</f>
        <v>0</v>
      </c>
      <c r="AH34" s="36">
        <f>VLOOKUP($A34,[16]HISTOJUIN22!$A$6:$CA$36,63,0)</f>
        <v>0</v>
      </c>
      <c r="AI34" s="36">
        <f>VLOOKUP($A34,[16]HISTOJUIN22!$A$6:$CA$36,64,0)</f>
        <v>0</v>
      </c>
      <c r="AJ34" s="36">
        <f>VLOOKUP($A34,[16]HISTOJUIN22!$A$6:$CA$36,65,0)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VLOOKUP($A35,[16]HISTOJUIN22!$A$6:$BA$39,48,0)</f>
        <v>0</v>
      </c>
      <c r="F35" s="5">
        <f>MVTMAI22!F35-MVTJUIN22!E35</f>
        <v>570000</v>
      </c>
      <c r="G35" s="6">
        <f t="shared" si="0"/>
        <v>33867.735895428137</v>
      </c>
      <c r="H35" s="6">
        <f>MVTMAI22!H35+MVTMAI22!G35+K35</f>
        <v>1512212.8916628745</v>
      </c>
      <c r="I35" s="36">
        <f>VLOOKUP($A35,[16]HISTOJUIN22!$A$6:$AQ$37,22,0)</f>
        <v>0</v>
      </c>
      <c r="J35" s="36">
        <f>VLOOKUP($A35,[16]HISTOJUIN22!$A$6:$AU$39,45,0)</f>
        <v>7000</v>
      </c>
      <c r="K35" s="36">
        <f t="shared" si="1"/>
        <v>3000</v>
      </c>
      <c r="L35" s="36">
        <f t="shared" si="2"/>
        <v>500</v>
      </c>
      <c r="M35" s="36">
        <f t="shared" si="3"/>
        <v>1000</v>
      </c>
      <c r="N35" s="36">
        <f t="shared" si="4"/>
        <v>2500</v>
      </c>
      <c r="O35" s="36">
        <f>VLOOKUP($A35,[16]HISTOJUIN22!$A$6:$AU$39,7,0)</f>
        <v>3000</v>
      </c>
      <c r="P35" s="36">
        <f>VLOOKUP($A35,[16]HISTOJUIN22!$A$6:$AU$39,23,0)</f>
        <v>0</v>
      </c>
      <c r="Q35" s="36">
        <f>VLOOKUP($A35,[16]HISTOJUIN22!$A$6:$AU$39,46,0)</f>
        <v>0</v>
      </c>
      <c r="R35" s="36">
        <f>VLOOKUP($A35,[16]HISTOJUIN22!$A$6:$AU$39,26,0)</f>
        <v>0</v>
      </c>
      <c r="S35" s="36">
        <f>VLOOKUP($A35,[16]HISTOJUIN22!$A$6:$BG$39,58,0)</f>
        <v>0</v>
      </c>
      <c r="T35" s="36">
        <f>VLOOKUP($A35,[16]HISTOJUIN22!$A$6:$AU$39,28,0)</f>
        <v>0</v>
      </c>
      <c r="U35" s="36">
        <f>VLOOKUP($A35,[16]HISTOJUIN22!$A$6:$AU$39,19,0)</f>
        <v>0</v>
      </c>
      <c r="V35" s="36">
        <f>VLOOKUP($A35,[16]HISTOJUIN22!$A$6:$AU$39,20,0)</f>
        <v>0</v>
      </c>
      <c r="W35" s="36">
        <f>VLOOKUP($A35,[16]HISTOJUIN22!$A$6:$AU$39,27,0)</f>
        <v>0</v>
      </c>
      <c r="X35" s="36">
        <f>VLOOKUP($A35,[16]HISTOJUIN22!$A$6:$AU$39,33,0)</f>
        <v>0</v>
      </c>
      <c r="Y35" s="36">
        <f>VLOOKUP($A35,[16]HISTOJUIN22!$A$6:$BP$39,65,0)</f>
        <v>0</v>
      </c>
      <c r="Z35" s="36"/>
      <c r="AA35" s="36">
        <f>VLOOKUP($A35,[16]HISTOJUIN22!$A$6:$AU$39,43,0)</f>
        <v>0</v>
      </c>
      <c r="AB35" s="36">
        <f>VLOOKUP($A35,[16]HISTOJUIN22!$A$6:$AU$39,44,0)</f>
        <v>0</v>
      </c>
      <c r="AC35" s="36">
        <f>VLOOKUP($A35,[16]HISTOJUIN22!$A$6:$AU$39,47,0)</f>
        <v>0</v>
      </c>
      <c r="AD35" s="36">
        <f>VLOOKUP(A35,[16]HISTOJUIN22!$A$6:$BB$36,54,0)</f>
        <v>0</v>
      </c>
      <c r="AE35" s="36">
        <f>VLOOKUP($A35,[16]HISTOJUIN22!$A$6:$CA$36,60,0)</f>
        <v>0</v>
      </c>
      <c r="AF35" s="36">
        <f>VLOOKUP($A35,[16]HISTOJUIN22!$A$6:$CA$36,61,0)</f>
        <v>0</v>
      </c>
      <c r="AG35" s="36">
        <f>VLOOKUP($A35,[16]HISTOJUIN22!$A$6:$CA$36,62,0)</f>
        <v>0</v>
      </c>
      <c r="AH35" s="36">
        <f>VLOOKUP($A35,[16]HISTOJUIN22!$A$6:$CA$36,63,0)</f>
        <v>0</v>
      </c>
      <c r="AI35" s="36">
        <f>VLOOKUP($A35,[16]HISTOJUIN22!$A$6:$CA$36,64,0)</f>
        <v>0</v>
      </c>
      <c r="AJ35" s="36">
        <f>VLOOKUP($A35,[16]HISTOJUIN22!$A$6:$CA$36,65,0)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VLOOKUP($A36,[16]HISTOJUIN22!$A$6:$BA$39,48,0)</f>
        <v>0</v>
      </c>
      <c r="F36" s="5">
        <f>MVTMAI22!F36-MVTJUIN22!E36</f>
        <v>570000</v>
      </c>
      <c r="G36" s="6">
        <f t="shared" si="0"/>
        <v>36342.708411708489</v>
      </c>
      <c r="H36" s="6">
        <f>MVTMAI22!H36+MVTMAI22!G36+K36</f>
        <v>1622721.7652759962</v>
      </c>
      <c r="I36" s="36">
        <f>VLOOKUP($A36,[16]HISTOJUIN22!$A$6:$AQ$37,22,0)</f>
        <v>0</v>
      </c>
      <c r="J36" s="36">
        <f>VLOOKUP($A36,[16]HISTOJUIN22!$A$6:$AU$39,45,0)</f>
        <v>7000</v>
      </c>
      <c r="K36" s="36">
        <f t="shared" si="1"/>
        <v>3000</v>
      </c>
      <c r="L36" s="36">
        <f t="shared" si="2"/>
        <v>500</v>
      </c>
      <c r="M36" s="36">
        <f t="shared" si="3"/>
        <v>1000</v>
      </c>
      <c r="N36" s="36">
        <f t="shared" si="4"/>
        <v>2500</v>
      </c>
      <c r="O36" s="36">
        <f>VLOOKUP($A36,[16]HISTOJUIN22!$A$6:$AU$39,7,0)</f>
        <v>0</v>
      </c>
      <c r="P36" s="36">
        <f>VLOOKUP($A36,[16]HISTOJUIN22!$A$6:$AU$39,23,0)</f>
        <v>0</v>
      </c>
      <c r="Q36" s="36">
        <f>VLOOKUP($A36,[16]HISTOJUIN22!$A$6:$AU$39,46,0)</f>
        <v>0</v>
      </c>
      <c r="R36" s="36">
        <f>VLOOKUP($A36,[16]HISTOJUIN22!$A$6:$AU$39,26,0)</f>
        <v>1000000</v>
      </c>
      <c r="S36" s="36">
        <f>VLOOKUP($A36,[16]HISTOJUIN22!$A$6:$BG$39,58,0)</f>
        <v>30000</v>
      </c>
      <c r="T36" s="36">
        <f>VLOOKUP($A36,[16]HISTOJUIN22!$A$6:$AU$39,28,0)</f>
        <v>0</v>
      </c>
      <c r="U36" s="36">
        <f>VLOOKUP($A36,[16]HISTOJUIN22!$A$6:$AU$39,19,0)</f>
        <v>0</v>
      </c>
      <c r="V36" s="36">
        <f>VLOOKUP($A36,[16]HISTOJUIN22!$A$6:$AU$39,20,0)</f>
        <v>0</v>
      </c>
      <c r="W36" s="36">
        <f>VLOOKUP($A36,[16]HISTOJUIN22!$A$6:$AU$39,27,0)</f>
        <v>0</v>
      </c>
      <c r="X36" s="36">
        <f>VLOOKUP($A36,[16]HISTOJUIN22!$A$6:$AU$39,33,0)</f>
        <v>0</v>
      </c>
      <c r="Y36" s="36">
        <f>VLOOKUP($A36,[16]HISTOJUIN22!$A$6:$BP$39,65,0)</f>
        <v>0</v>
      </c>
      <c r="Z36" s="36"/>
      <c r="AA36" s="36">
        <f>VLOOKUP($A36,[16]HISTOJUIN22!$A$6:$AU$39,43,0)</f>
        <v>0</v>
      </c>
      <c r="AB36" s="36">
        <f>VLOOKUP($A36,[16]HISTOJUIN22!$A$6:$AU$39,44,0)</f>
        <v>0</v>
      </c>
      <c r="AC36" s="36">
        <f>VLOOKUP($A36,[16]HISTOJUIN22!$A$6:$AU$39,47,0)</f>
        <v>0</v>
      </c>
      <c r="AD36" s="36">
        <f>VLOOKUP(A36,[16]HISTOJUIN22!$A$6:$BB$36,54,0)</f>
        <v>0</v>
      </c>
      <c r="AE36" s="36">
        <f>VLOOKUP($A36,[16]HISTOJUIN22!$A$6:$CA$36,60,0)</f>
        <v>0</v>
      </c>
      <c r="AF36" s="36">
        <f>VLOOKUP($A36,[16]HISTOJUIN22!$A$6:$CA$36,61,0)</f>
        <v>0</v>
      </c>
      <c r="AG36" s="36">
        <f>VLOOKUP($A36,[16]HISTOJUIN22!$A$6:$CA$36,62,0)</f>
        <v>0</v>
      </c>
      <c r="AH36" s="36">
        <f>VLOOKUP($A36,[16]HISTOJUIN22!$A$6:$CA$36,63,0)</f>
        <v>0</v>
      </c>
      <c r="AI36" s="36">
        <f>VLOOKUP($A36,[16]HISTOJUIN22!$A$6:$CA$36,64,0)</f>
        <v>0</v>
      </c>
      <c r="AJ36" s="36">
        <f>VLOOKUP($A36,[16]HISTOJUIN22!$A$6:$CA$36,65,0)</f>
        <v>0</v>
      </c>
    </row>
    <row r="37" spans="1:36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H40" si="5">SUM(C6:C39)</f>
        <v>0</v>
      </c>
      <c r="D40" s="9">
        <f t="shared" si="5"/>
        <v>0</v>
      </c>
      <c r="E40" s="9">
        <f t="shared" si="5"/>
        <v>0</v>
      </c>
      <c r="F40" s="9">
        <f t="shared" si="5"/>
        <v>17584659.561375875</v>
      </c>
      <c r="G40" s="9">
        <f>SUM(G6:G39)</f>
        <v>473000.00000000012</v>
      </c>
      <c r="H40" s="9">
        <f t="shared" si="5"/>
        <v>21119708.148341149</v>
      </c>
      <c r="I40" s="9">
        <f t="shared" si="5"/>
        <v>0</v>
      </c>
      <c r="J40" s="9">
        <f t="shared" si="5"/>
        <v>576000</v>
      </c>
      <c r="K40" s="9">
        <f t="shared" si="5"/>
        <v>472000</v>
      </c>
      <c r="L40" s="9">
        <f t="shared" si="5"/>
        <v>13000</v>
      </c>
      <c r="M40" s="9">
        <f t="shared" si="5"/>
        <v>26000</v>
      </c>
      <c r="N40" s="9">
        <f t="shared" si="5"/>
        <v>65000</v>
      </c>
      <c r="O40" s="9">
        <f t="shared" si="5"/>
        <v>6000</v>
      </c>
      <c r="P40" s="9">
        <f t="shared" si="5"/>
        <v>0</v>
      </c>
      <c r="Q40" s="9">
        <f t="shared" si="5"/>
        <v>0</v>
      </c>
      <c r="R40" s="9">
        <f t="shared" si="5"/>
        <v>5800000</v>
      </c>
      <c r="S40" s="9">
        <f>SUM(S6:S39)+AI40</f>
        <v>473000</v>
      </c>
      <c r="T40" s="9">
        <f t="shared" si="5"/>
        <v>0</v>
      </c>
      <c r="U40" s="9">
        <f t="shared" si="5"/>
        <v>2455000</v>
      </c>
      <c r="V40" s="9">
        <f t="shared" si="5"/>
        <v>0</v>
      </c>
      <c r="W40" s="9">
        <f t="shared" si="5"/>
        <v>0</v>
      </c>
      <c r="X40" s="9">
        <f t="shared" si="5"/>
        <v>0</v>
      </c>
      <c r="Y40" s="9">
        <f t="shared" si="5"/>
        <v>0</v>
      </c>
      <c r="Z40" s="9">
        <f t="shared" si="5"/>
        <v>0</v>
      </c>
      <c r="AA40" s="9">
        <f t="shared" si="5"/>
        <v>0</v>
      </c>
      <c r="AB40" s="9">
        <f t="shared" si="5"/>
        <v>0</v>
      </c>
      <c r="AC40" s="9">
        <f t="shared" si="5"/>
        <v>0</v>
      </c>
      <c r="AD40" s="9">
        <f t="shared" si="5"/>
        <v>126000</v>
      </c>
      <c r="AE40" s="9">
        <f t="shared" si="5"/>
        <v>6000</v>
      </c>
      <c r="AF40" s="9">
        <f t="shared" si="5"/>
        <v>0</v>
      </c>
      <c r="AG40" s="9">
        <f t="shared" si="5"/>
        <v>0</v>
      </c>
      <c r="AH40" s="9">
        <f t="shared" si="5"/>
        <v>70000</v>
      </c>
      <c r="AI40" s="9">
        <f>SUM(AI6:AI39)+155000</f>
        <v>155000</v>
      </c>
      <c r="AJ40" s="9">
        <f>SUM(AJ6:AJ39)</f>
        <v>0</v>
      </c>
    </row>
  </sheetData>
  <autoFilter ref="A5:U36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"/>
  <sheetViews>
    <sheetView workbookViewId="0">
      <pane xSplit="2" ySplit="5" topLeftCell="F36" activePane="bottomRight" state="frozen"/>
      <selection activeCell="B43" sqref="B43"/>
      <selection pane="topRight" activeCell="B43" sqref="B43"/>
      <selection pane="bottomLeft" activeCell="B43" sqref="B43"/>
      <selection pane="bottomRight" activeCell="AG5" sqref="AG5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5" bestFit="1" customWidth="1"/>
    <col min="19" max="19" width="15" customWidth="1"/>
    <col min="20" max="21" width="18.140625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04"/>
      <c r="J4" s="146">
        <v>44759</v>
      </c>
      <c r="K4" s="146"/>
      <c r="L4" s="146"/>
      <c r="M4" s="146"/>
      <c r="N4" s="146"/>
      <c r="O4" s="146"/>
      <c r="P4"/>
      <c r="Q4"/>
      <c r="AJ4" s="108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84" t="s">
        <v>10</v>
      </c>
      <c r="AF5" s="84" t="s">
        <v>11</v>
      </c>
      <c r="AG5" s="84" t="s">
        <v>307</v>
      </c>
      <c r="AH5" s="84" t="s">
        <v>273</v>
      </c>
      <c r="AI5" s="4" t="s">
        <v>65</v>
      </c>
      <c r="AJ5" s="84" t="s">
        <v>278</v>
      </c>
    </row>
    <row r="6" spans="1:36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MVTJUIN22!F6-MVTJUIL22!E6</f>
        <v>584177.00555049011</v>
      </c>
      <c r="G6" s="6">
        <f t="shared" ref="G6" si="0">$S$40/$H$40*H6</f>
        <v>1480.0098184329745</v>
      </c>
      <c r="H6" s="6">
        <f>MVTJUIN22!H6+MVTJUIN22!G6+K6</f>
        <v>646045.2470759498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VLOOKUP($A6,[16]HISTOJUIL22!$A$6:$CA$36,60,0)</f>
        <v>39000</v>
      </c>
      <c r="AF6" s="36">
        <f>VLOOKUP($A6,[16]HISTOJUIL22!$A$6:$CA$36,61,0)</f>
        <v>0</v>
      </c>
      <c r="AG6" s="36">
        <f>VLOOKUP($A6,[16]HISTOJUIL22!$A$6:$CA$36,62,0)</f>
        <v>0</v>
      </c>
      <c r="AH6" s="36">
        <f>VLOOKUP($A6,[16]HISTOJUIL22!$A$6:$CA$36,63,0)</f>
        <v>70000</v>
      </c>
      <c r="AI6" s="36">
        <f>VLOOKUP($A6,[16]HISTOJUIL22!$A$6:$CA$36,64,0)</f>
        <v>0</v>
      </c>
      <c r="AJ6" s="36">
        <f>VLOOKUP($A6,[16]HISTOJUIL22!$A$6:$CA$36,65,0)</f>
        <v>0</v>
      </c>
    </row>
    <row r="7" spans="1:36" x14ac:dyDescent="0.25">
      <c r="A7" s="1" t="s">
        <v>19</v>
      </c>
      <c r="B7" s="1" t="str">
        <f>VLOOKUP(A7,[15]LISTADHERENT!A$5:H$60,3,0)</f>
        <v>BOUTCHOUANG WILLIAM</v>
      </c>
      <c r="C7" s="5"/>
      <c r="D7" s="5"/>
      <c r="E7" s="36">
        <f>VLOOKUP($A7,[16]HISTOJUIL22!$A$6:$BA$39,48,0)</f>
        <v>0</v>
      </c>
      <c r="F7" s="5">
        <f>MVTJUIN22!F7-MVTJUIL22!E7</f>
        <v>570000</v>
      </c>
      <c r="G7" s="6">
        <f t="shared" ref="G7:G36" si="1">$S$40/$H$40*H7</f>
        <v>1493.2254307626852</v>
      </c>
      <c r="H7" s="6">
        <f>MVTJUIN22!H7+MVTJUIN22!G7+K7</f>
        <v>651814.04903014749</v>
      </c>
      <c r="I7" s="36">
        <f>VLOOKUP($A7,[16]HISTOJUIL22!$A$6:$AQ$37,22,0)</f>
        <v>0</v>
      </c>
      <c r="J7" s="36">
        <f>VLOOKUP($A7,[16]HISTOJUIL22!$A$6:$AU$39,45,0)</f>
        <v>7000</v>
      </c>
      <c r="K7" s="36">
        <f t="shared" ref="K7:K36" si="2">IF(J7=0,0,J7-(L7+M7+N7))</f>
        <v>3000</v>
      </c>
      <c r="L7" s="36">
        <f t="shared" ref="L7:L36" si="3">IF(J7=0,0,500)</f>
        <v>500</v>
      </c>
      <c r="M7" s="36">
        <f t="shared" ref="M7:M36" si="4">IF(J7=0,0,1000)</f>
        <v>1000</v>
      </c>
      <c r="N7" s="36">
        <f t="shared" ref="N7:N36" si="5">IF(J7=0,0,2500)</f>
        <v>2500</v>
      </c>
      <c r="O7" s="36">
        <f>VLOOKUP($A7,[16]HISTOJUIL22!$A$6:$AU$39,7,0)</f>
        <v>0</v>
      </c>
      <c r="P7" s="36">
        <f>VLOOKUP($A7,[16]HISTOJUIL22!$A$6:$AU$39,23,0)</f>
        <v>0</v>
      </c>
      <c r="Q7" s="36">
        <f>VLOOKUP($A7,[16]HISTOJUIL22!$A$6:$AU$39,46,0)</f>
        <v>0</v>
      </c>
      <c r="R7" s="36">
        <f>VLOOKUP($A7,[16]HISTOJUIL22!$A$6:$AU$39,26,0)</f>
        <v>0</v>
      </c>
      <c r="S7" s="36">
        <f>VLOOKUP($A7,[16]HISTOJUIL22!$A$6:$BG$39,58,0)</f>
        <v>0</v>
      </c>
      <c r="T7" s="36">
        <f>VLOOKUP($A7,[16]HISTOJUIL22!$A$6:$AU$39,28,0)</f>
        <v>0</v>
      </c>
      <c r="U7" s="36">
        <f>VLOOKUP($A7,[16]HISTOJUIL22!$A$6:$AU$39,19,0)</f>
        <v>500000</v>
      </c>
      <c r="V7" s="36">
        <f>VLOOKUP($A7,[16]HISTOJUIL22!$A$6:$AU$39,20,0)</f>
        <v>0</v>
      </c>
      <c r="W7" s="36">
        <f>VLOOKUP($A7,[16]HISTOJUIL22!$A$6:$AU$39,27,0)</f>
        <v>0</v>
      </c>
      <c r="X7" s="36">
        <f>VLOOKUP($A7,[16]HISTOJUIL22!$A$6:$AU$39,33,0)</f>
        <v>0</v>
      </c>
      <c r="Y7" s="36">
        <f>VLOOKUP($A7,[16]HISTOJUIL22!$A$6:$BP$39,65,0)</f>
        <v>0</v>
      </c>
      <c r="Z7" s="36"/>
      <c r="AA7" s="36">
        <f>VLOOKUP($A7,[16]HISTOJUIL22!$A$6:$AU$39,43,0)</f>
        <v>0</v>
      </c>
      <c r="AB7" s="36">
        <f>VLOOKUP($A7,[16]HISTOJUIL22!$A$6:$AU$39,44,0)</f>
        <v>0</v>
      </c>
      <c r="AC7" s="36">
        <f>VLOOKUP($A7,[16]HISTOJUIL22!$A$6:$AU$39,47,0)</f>
        <v>0</v>
      </c>
      <c r="AD7" s="36">
        <f>VLOOKUP(A7,[16]HISTOJUIL22!$A$6:$BB$36,54,0)</f>
        <v>70000</v>
      </c>
      <c r="AE7" s="36">
        <f>VLOOKUP($A7,[16]HISTOJUIL22!$A$6:$CA$36,60,0)</f>
        <v>0</v>
      </c>
      <c r="AF7" s="36">
        <f>VLOOKUP($A7,[16]HISTOJUIL22!$A$6:$CA$36,61,0)</f>
        <v>0</v>
      </c>
      <c r="AG7" s="36">
        <f>VLOOKUP($A7,[16]HISTOJUIL22!$A$6:$CA$36,62,0)</f>
        <v>0</v>
      </c>
      <c r="AH7" s="36">
        <f>VLOOKUP($A7,[16]HISTOJUIL22!$A$6:$CA$36,63,0)</f>
        <v>0</v>
      </c>
      <c r="AI7" s="36">
        <f>VLOOKUP($A7,[16]HISTOJUIL22!$A$6:$CA$36,64,0)</f>
        <v>0</v>
      </c>
      <c r="AJ7" s="36">
        <f>VLOOKUP($A7,[16]HISTOJUIL22!$A$6:$CA$36,65,0)</f>
        <v>0</v>
      </c>
    </row>
    <row r="8" spans="1:36" x14ac:dyDescent="0.25">
      <c r="A8" s="1" t="s">
        <v>23</v>
      </c>
      <c r="B8" s="1" t="str">
        <f>VLOOKUP(A8,[15]LISTADHERENT!A$5:H$60,3,0)</f>
        <v xml:space="preserve">DJOMO JEAN PAUL </v>
      </c>
      <c r="C8" s="5"/>
      <c r="D8" s="5"/>
      <c r="E8" s="36">
        <f>VLOOKUP($A8,[16]HISTOJUIL22!$A$6:$BA$39,48,0)</f>
        <v>0</v>
      </c>
      <c r="F8" s="5">
        <f>MVTJUIN22!F8-MVTJUIL22!E8</f>
        <v>570000</v>
      </c>
      <c r="G8" s="6">
        <f t="shared" si="1"/>
        <v>1659.3745951078222</v>
      </c>
      <c r="H8" s="6">
        <f>MVTJUIN22!H8+MVTJUIN22!G8+K8</f>
        <v>724340.51243190211</v>
      </c>
      <c r="I8" s="36">
        <f>VLOOKUP($A8,[16]HISTOJUIL22!$A$6:$AQ$37,22,0)</f>
        <v>0</v>
      </c>
      <c r="J8" s="36">
        <f>VLOOKUP($A8,[16]HISTOJUIL22!$A$6:$AU$39,45,0)</f>
        <v>7000</v>
      </c>
      <c r="K8" s="36">
        <f t="shared" si="2"/>
        <v>3000</v>
      </c>
      <c r="L8" s="36">
        <f t="shared" si="3"/>
        <v>500</v>
      </c>
      <c r="M8" s="36">
        <f t="shared" si="4"/>
        <v>1000</v>
      </c>
      <c r="N8" s="36">
        <f t="shared" si="5"/>
        <v>2500</v>
      </c>
      <c r="O8" s="36">
        <f>VLOOKUP($A8,[16]HISTOJUIL22!$A$6:$AU$39,7,0)</f>
        <v>0</v>
      </c>
      <c r="P8" s="36">
        <f>VLOOKUP($A8,[16]HISTOJUIL22!$A$6:$AU$39,23,0)</f>
        <v>0</v>
      </c>
      <c r="Q8" s="36">
        <f>VLOOKUP($A8,[16]HISTOJUIL22!$A$6:$AU$39,46,0)</f>
        <v>0</v>
      </c>
      <c r="R8" s="36">
        <f>VLOOKUP($A8,[16]HISTOJUIL22!$A$6:$AU$39,26,0)</f>
        <v>0</v>
      </c>
      <c r="S8" s="36">
        <f>VLOOKUP($A8,[16]HISTOJUIL22!$A$6:$BG$39,58,0)</f>
        <v>0</v>
      </c>
      <c r="T8" s="36">
        <f>VLOOKUP($A8,[16]HISTOJUIL22!$A$6:$AU$39,28,0)</f>
        <v>0</v>
      </c>
      <c r="U8" s="36">
        <f>VLOOKUP($A8,[16]HISTOJUIL22!$A$6:$AU$39,19,0)</f>
        <v>0</v>
      </c>
      <c r="V8" s="36">
        <f>VLOOKUP($A8,[16]HISTOJUIL22!$A$6:$AU$39,20,0)</f>
        <v>0</v>
      </c>
      <c r="W8" s="36">
        <f>VLOOKUP($A8,[16]HISTOJUIL22!$A$6:$AU$39,27,0)</f>
        <v>0</v>
      </c>
      <c r="X8" s="36">
        <f>VLOOKUP($A8,[16]HISTOJUIL22!$A$6:$AU$39,33,0)</f>
        <v>0</v>
      </c>
      <c r="Y8" s="36">
        <f>VLOOKUP($A8,[16]HISTOJUIL22!$A$6:$BP$39,65,0)</f>
        <v>0</v>
      </c>
      <c r="Z8" s="36"/>
      <c r="AA8" s="36">
        <f>VLOOKUP($A8,[16]HISTOJUIL22!$A$6:$AU$39,43,0)</f>
        <v>0</v>
      </c>
      <c r="AB8" s="36">
        <f>VLOOKUP($A8,[16]HISTOJUIL22!$A$6:$AU$39,44,0)</f>
        <v>0</v>
      </c>
      <c r="AC8" s="36">
        <f>VLOOKUP($A8,[16]HISTOJUIL22!$A$6:$AU$39,47,0)</f>
        <v>0</v>
      </c>
      <c r="AD8" s="36">
        <f>VLOOKUP(A8,[16]HISTOJUIL22!$A$6:$BB$36,54,0)</f>
        <v>0</v>
      </c>
      <c r="AE8" s="36">
        <f>VLOOKUP($A8,[16]HISTOJUIL22!$A$6:$CA$36,60,0)</f>
        <v>0</v>
      </c>
      <c r="AF8" s="36">
        <f>VLOOKUP($A8,[16]HISTOJUIL22!$A$6:$CA$36,61,0)</f>
        <v>0</v>
      </c>
      <c r="AG8" s="36">
        <f>VLOOKUP($A8,[16]HISTOJUIL22!$A$6:$CA$36,62,0)</f>
        <v>0</v>
      </c>
      <c r="AH8" s="36">
        <f>VLOOKUP($A8,[16]HISTOJUIL22!$A$6:$CA$36,63,0)</f>
        <v>0</v>
      </c>
      <c r="AI8" s="36">
        <f>VLOOKUP($A8,[16]HISTOJUIL22!$A$6:$CA$36,64,0)</f>
        <v>0</v>
      </c>
      <c r="AJ8" s="36">
        <f>VLOOKUP($A8,[16]HISTOJUIL22!$A$6:$CA$36,65,0)</f>
        <v>0</v>
      </c>
    </row>
    <row r="9" spans="1:36" x14ac:dyDescent="0.25">
      <c r="A9" s="1" t="s">
        <v>154</v>
      </c>
      <c r="B9" s="1" t="str">
        <f>VLOOKUP(A9,[15]LISTADHERENT!A$5:H$60,3,0)</f>
        <v>DJOMOU TCHANDA</v>
      </c>
      <c r="C9" s="5"/>
      <c r="D9" s="5"/>
      <c r="E9" s="36">
        <f>VLOOKUP($A9,[16]HISTOJUIL22!$A$6:$BA$39,48,0)</f>
        <v>0</v>
      </c>
      <c r="F9" s="5">
        <f>MVTJUIN22!F9-MVTJUIL22!E9</f>
        <v>570000</v>
      </c>
      <c r="G9" s="6">
        <f t="shared" si="1"/>
        <v>1497.0818516030283</v>
      </c>
      <c r="H9" s="6">
        <f>MVTJUIN22!H9+MVTJUIN22!G9+K9</f>
        <v>653497.43134531763</v>
      </c>
      <c r="I9" s="36">
        <f>VLOOKUP($A9,[16]HISTOJUIL22!$A$6:$AQ$37,22,0)</f>
        <v>0</v>
      </c>
      <c r="J9" s="36">
        <f>VLOOKUP($A9,[16]HISTOJUIL22!$A$6:$AU$39,45,0)</f>
        <v>8000</v>
      </c>
      <c r="K9" s="36">
        <f t="shared" si="2"/>
        <v>4000</v>
      </c>
      <c r="L9" s="36">
        <f t="shared" si="3"/>
        <v>500</v>
      </c>
      <c r="M9" s="36">
        <f t="shared" si="4"/>
        <v>1000</v>
      </c>
      <c r="N9" s="36">
        <f t="shared" si="5"/>
        <v>2500</v>
      </c>
      <c r="O9" s="36">
        <f>VLOOKUP($A9,[16]HISTOJUIL22!$A$6:$AU$39,7,0)</f>
        <v>3000</v>
      </c>
      <c r="P9" s="36">
        <f>VLOOKUP($A9,[16]HISTOJUIL22!$A$6:$AU$39,23,0)</f>
        <v>0</v>
      </c>
      <c r="Q9" s="36">
        <f>VLOOKUP($A9,[16]HISTOJUIL22!$A$6:$AU$39,46,0)</f>
        <v>0</v>
      </c>
      <c r="R9" s="36">
        <f>VLOOKUP($A9,[16]HISTOJUIL22!$A$6:$AU$39,26,0)</f>
        <v>0</v>
      </c>
      <c r="S9" s="36">
        <f>VLOOKUP($A9,[16]HISTOJUIL22!$A$6:$BG$39,58,0)</f>
        <v>0</v>
      </c>
      <c r="T9" s="36">
        <f>VLOOKUP($A9,[16]HISTOJUIL22!$A$6:$AU$39,28,0)</f>
        <v>0</v>
      </c>
      <c r="U9" s="36">
        <f>VLOOKUP($A9,[16]HISTOJUIL22!$A$6:$AU$39,19,0)</f>
        <v>0</v>
      </c>
      <c r="V9" s="36">
        <f>VLOOKUP($A9,[16]HISTOJUIL22!$A$6:$AU$39,20,0)</f>
        <v>0</v>
      </c>
      <c r="W9" s="36">
        <f>VLOOKUP($A9,[16]HISTOJUIL22!$A$6:$AU$39,27,0)</f>
        <v>0</v>
      </c>
      <c r="X9" s="36">
        <f>VLOOKUP($A9,[16]HISTOJUIL22!$A$6:$AU$39,33,0)</f>
        <v>0</v>
      </c>
      <c r="Y9" s="36">
        <f>VLOOKUP($A9,[16]HISTOJUIL22!$A$6:$BP$39,65,0)</f>
        <v>0</v>
      </c>
      <c r="Z9" s="36"/>
      <c r="AA9" s="36">
        <f>VLOOKUP($A9,[16]HISTOJUIL22!$A$6:$AU$39,43,0)</f>
        <v>0</v>
      </c>
      <c r="AB9" s="36">
        <f>VLOOKUP($A9,[16]HISTOJUIL22!$A$6:$AU$39,44,0)</f>
        <v>0</v>
      </c>
      <c r="AC9" s="36">
        <f>VLOOKUP($A9,[16]HISTOJUIL22!$A$6:$AU$39,47,0)</f>
        <v>0</v>
      </c>
      <c r="AD9" s="36">
        <f>VLOOKUP(A9,[16]HISTOJUIL22!$A$6:$BB$36,54,0)</f>
        <v>0</v>
      </c>
      <c r="AE9" s="36">
        <f>VLOOKUP($A9,[16]HISTOJUIL22!$A$6:$CA$36,60,0)</f>
        <v>0</v>
      </c>
      <c r="AF9" s="36">
        <f>VLOOKUP($A9,[16]HISTOJUIL22!$A$6:$CA$36,61,0)</f>
        <v>0</v>
      </c>
      <c r="AG9" s="36">
        <f>VLOOKUP($A9,[16]HISTOJUIL22!$A$6:$CA$36,62,0)</f>
        <v>0</v>
      </c>
      <c r="AH9" s="36">
        <f>VLOOKUP($A9,[16]HISTOJUIL22!$A$6:$CA$36,63,0)</f>
        <v>0</v>
      </c>
      <c r="AI9" s="36">
        <f>VLOOKUP($A9,[16]HISTOJUIL22!$A$6:$CA$36,64,0)</f>
        <v>0</v>
      </c>
      <c r="AJ9" s="36">
        <f>VLOOKUP($A9,[16]HISTOJUIL22!$A$6:$CA$36,65,0)</f>
        <v>0</v>
      </c>
    </row>
    <row r="10" spans="1:36" x14ac:dyDescent="0.25">
      <c r="A10" s="1" t="s">
        <v>24</v>
      </c>
      <c r="B10" s="1" t="str">
        <f>VLOOKUP(A10,[15]LISTADHERENT!A$5:H$60,3,0)</f>
        <v>DJOUKWE NANGUEN GUY BLAISE</v>
      </c>
      <c r="C10" s="5"/>
      <c r="D10" s="5"/>
      <c r="E10" s="36">
        <f>VLOOKUP($A10,[16]HISTOJUIL22!$A$6:$BA$39,48,0)</f>
        <v>0</v>
      </c>
      <c r="F10" s="5">
        <f>MVTJUIN22!F10-MVTJUIL22!E10</f>
        <v>570000</v>
      </c>
      <c r="G10" s="6">
        <f t="shared" si="1"/>
        <v>1786.2788604872633</v>
      </c>
      <c r="H10" s="6">
        <f>MVTJUIN22!H10+MVTJUIN22!G10+K10</f>
        <v>779736.02161092835</v>
      </c>
      <c r="I10" s="36">
        <f>VLOOKUP($A10,[16]HISTOJUIL22!$A$6:$AQ$37,22,0)</f>
        <v>0</v>
      </c>
      <c r="J10" s="36">
        <f>VLOOKUP($A10,[16]HISTOJUIL22!$A$6:$AU$39,45,0)</f>
        <v>7000</v>
      </c>
      <c r="K10" s="36">
        <f t="shared" si="2"/>
        <v>3000</v>
      </c>
      <c r="L10" s="36">
        <f t="shared" si="3"/>
        <v>500</v>
      </c>
      <c r="M10" s="36">
        <f t="shared" si="4"/>
        <v>1000</v>
      </c>
      <c r="N10" s="36">
        <f t="shared" si="5"/>
        <v>2500</v>
      </c>
      <c r="O10" s="36">
        <f>VLOOKUP($A10,[16]HISTOJUIL22!$A$6:$AU$39,7,0)</f>
        <v>0</v>
      </c>
      <c r="P10" s="36">
        <f>VLOOKUP($A10,[16]HISTOJUIL22!$A$6:$AU$39,23,0)</f>
        <v>0</v>
      </c>
      <c r="Q10" s="36">
        <f>VLOOKUP($A10,[16]HISTOJUIL22!$A$6:$AU$39,46,0)</f>
        <v>0</v>
      </c>
      <c r="R10" s="36">
        <f>VLOOKUP($A10,[16]HISTOJUIL22!$A$6:$AU$39,26,0)</f>
        <v>0</v>
      </c>
      <c r="S10" s="36">
        <f>VLOOKUP($A10,[16]HISTOJUIL22!$A$6:$BG$39,58,0)</f>
        <v>0</v>
      </c>
      <c r="T10" s="36">
        <f>VLOOKUP($A10,[16]HISTOJUIL22!$A$6:$AU$39,28,0)</f>
        <v>0</v>
      </c>
      <c r="U10" s="36">
        <f>VLOOKUP($A10,[16]HISTOJUIL22!$A$6:$AU$39,19,0)</f>
        <v>0</v>
      </c>
      <c r="V10" s="36">
        <f>VLOOKUP($A10,[16]HISTOJUIL22!$A$6:$AU$39,20,0)</f>
        <v>0</v>
      </c>
      <c r="W10" s="36">
        <f>VLOOKUP($A10,[16]HISTOJUIL22!$A$6:$AU$39,27,0)</f>
        <v>0</v>
      </c>
      <c r="X10" s="36">
        <f>VLOOKUP($A10,[16]HISTOJUIL22!$A$6:$AU$39,33,0)</f>
        <v>0</v>
      </c>
      <c r="Y10" s="36">
        <f>VLOOKUP($A10,[16]HISTOJUIL22!$A$6:$BP$39,65,0)</f>
        <v>0</v>
      </c>
      <c r="Z10" s="36"/>
      <c r="AA10" s="36">
        <f>VLOOKUP($A10,[16]HISTOJUIL22!$A$6:$AU$39,43,0)</f>
        <v>0</v>
      </c>
      <c r="AB10" s="36">
        <f>VLOOKUP($A10,[16]HISTOJUIL22!$A$6:$AU$39,44,0)</f>
        <v>0</v>
      </c>
      <c r="AC10" s="36">
        <f>VLOOKUP($A10,[16]HISTOJUIL22!$A$6:$AU$39,47,0)</f>
        <v>0</v>
      </c>
      <c r="AD10" s="36">
        <f>VLOOKUP(A10,[16]HISTOJUIL22!$A$6:$BB$36,54,0)</f>
        <v>0</v>
      </c>
      <c r="AE10" s="36">
        <f>VLOOKUP($A10,[16]HISTOJUIL22!$A$6:$CA$36,60,0)</f>
        <v>0</v>
      </c>
      <c r="AF10" s="36">
        <f>VLOOKUP($A10,[16]HISTOJUIL22!$A$6:$CA$36,61,0)</f>
        <v>0</v>
      </c>
      <c r="AG10" s="36">
        <f>VLOOKUP($A10,[16]HISTOJUIL22!$A$6:$CA$36,62,0)</f>
        <v>0</v>
      </c>
      <c r="AH10" s="36">
        <f>VLOOKUP($A10,[16]HISTOJUIL22!$A$6:$CA$36,63,0)</f>
        <v>0</v>
      </c>
      <c r="AI10" s="36">
        <f>VLOOKUP($A10,[16]HISTOJUIL22!$A$6:$CA$36,64,0)</f>
        <v>0</v>
      </c>
      <c r="AJ10" s="36">
        <f>VLOOKUP($A10,[16]HISTOJUIL22!$A$6:$CA$36,65,0)</f>
        <v>0</v>
      </c>
    </row>
    <row r="11" spans="1:36" x14ac:dyDescent="0.25">
      <c r="A11" s="1" t="s">
        <v>25</v>
      </c>
      <c r="B11" s="1" t="str">
        <f>VLOOKUP(A11,[15]LISTADHERENT!A$5:H$60,3,0)</f>
        <v>DJUOMBESSY ANTOINE</v>
      </c>
      <c r="C11" s="5"/>
      <c r="D11" s="5"/>
      <c r="E11" s="36">
        <f>VLOOKUP($A11,[16]HISTOJUIL22!$A$6:$BA$39,48,0)</f>
        <v>0</v>
      </c>
      <c r="F11" s="5">
        <f>MVTJUIN22!F11-MVTJUIL22!E11</f>
        <v>570000</v>
      </c>
      <c r="G11" s="6">
        <f t="shared" si="1"/>
        <v>1533.7469886620866</v>
      </c>
      <c r="H11" s="6">
        <f>MVTJUIN22!H11+MVTJUIN22!G11+K11</f>
        <v>669502.28295871627</v>
      </c>
      <c r="I11" s="36">
        <f>VLOOKUP($A11,[16]HISTOJUIL22!$A$6:$AQ$37,22,0)</f>
        <v>0</v>
      </c>
      <c r="J11" s="36">
        <f>VLOOKUP($A11,[16]HISTOJUIL22!$A$6:$AU$39,45,0)</f>
        <v>7000</v>
      </c>
      <c r="K11" s="36">
        <f t="shared" si="2"/>
        <v>3000</v>
      </c>
      <c r="L11" s="36">
        <f t="shared" si="3"/>
        <v>500</v>
      </c>
      <c r="M11" s="36">
        <f t="shared" si="4"/>
        <v>1000</v>
      </c>
      <c r="N11" s="36">
        <f t="shared" si="5"/>
        <v>2500</v>
      </c>
      <c r="O11" s="36">
        <f>VLOOKUP($A11,[16]HISTOJUIL22!$A$6:$AU$39,7,0)</f>
        <v>3000</v>
      </c>
      <c r="P11" s="36">
        <f>VLOOKUP($A11,[16]HISTOJUIL22!$A$6:$AU$39,23,0)</f>
        <v>0</v>
      </c>
      <c r="Q11" s="36">
        <f>VLOOKUP($A11,[16]HISTOJUIL22!$A$6:$AU$39,46,0)</f>
        <v>0</v>
      </c>
      <c r="R11" s="36">
        <f>VLOOKUP($A11,[16]HISTOJUIL22!$A$6:$AU$39,26,0)</f>
        <v>0</v>
      </c>
      <c r="S11" s="36">
        <f>VLOOKUP($A11,[16]HISTOJUIL22!$A$6:$BG$39,58,0)</f>
        <v>0</v>
      </c>
      <c r="T11" s="36">
        <f>VLOOKUP($A11,[16]HISTOJUIL22!$A$6:$AU$39,28,0)</f>
        <v>0</v>
      </c>
      <c r="U11" s="36">
        <f>VLOOKUP($A11,[16]HISTOJUIL22!$A$6:$AU$39,19,0)</f>
        <v>700000</v>
      </c>
      <c r="V11" s="36">
        <f>VLOOKUP($A11,[16]HISTOJUIL22!$A$6:$AU$39,20,0)</f>
        <v>0</v>
      </c>
      <c r="W11" s="36">
        <f>VLOOKUP($A11,[16]HISTOJUIL22!$A$6:$AU$39,27,0)</f>
        <v>0</v>
      </c>
      <c r="X11" s="36">
        <f>VLOOKUP($A11,[16]HISTOJUIL22!$A$6:$AU$39,33,0)</f>
        <v>0</v>
      </c>
      <c r="Y11" s="36">
        <f>VLOOKUP($A11,[16]HISTOJUIL22!$A$6:$BP$39,65,0)</f>
        <v>0</v>
      </c>
      <c r="Z11" s="36"/>
      <c r="AA11" s="36">
        <f>VLOOKUP($A11,[16]HISTOJUIL22!$A$6:$AU$39,43,0)</f>
        <v>0</v>
      </c>
      <c r="AB11" s="36">
        <f>VLOOKUP($A11,[16]HISTOJUIL22!$A$6:$AU$39,44,0)</f>
        <v>0</v>
      </c>
      <c r="AC11" s="36">
        <f>VLOOKUP($A11,[16]HISTOJUIL22!$A$6:$AU$39,47,0)</f>
        <v>0</v>
      </c>
      <c r="AD11" s="36">
        <f>VLOOKUP(A11,[16]HISTOJUIL22!$A$6:$BB$36,54,0)</f>
        <v>0</v>
      </c>
      <c r="AE11" s="36">
        <f>VLOOKUP($A11,[16]HISTOJUIL22!$A$6:$CA$36,60,0)</f>
        <v>0</v>
      </c>
      <c r="AF11" s="36">
        <f>VLOOKUP($A11,[16]HISTOJUIL22!$A$6:$CA$36,61,0)</f>
        <v>0</v>
      </c>
      <c r="AG11" s="36">
        <f>VLOOKUP($A11,[16]HISTOJUIL22!$A$6:$CA$36,62,0)</f>
        <v>0</v>
      </c>
      <c r="AH11" s="36">
        <f>VLOOKUP($A11,[16]HISTOJUIL22!$A$6:$CA$36,63,0)</f>
        <v>0</v>
      </c>
      <c r="AI11" s="36">
        <f>VLOOKUP($A11,[16]HISTOJUIL22!$A$6:$CA$36,64,0)</f>
        <v>0</v>
      </c>
      <c r="AJ11" s="36">
        <f>VLOOKUP($A11,[16]HISTOJUIL22!$A$6:$CA$36,65,0)</f>
        <v>0</v>
      </c>
    </row>
    <row r="12" spans="1:36" x14ac:dyDescent="0.25">
      <c r="A12" s="1" t="s">
        <v>79</v>
      </c>
      <c r="B12" s="1" t="str">
        <f>VLOOKUP(A12,[15]LISTADHERENT!A$5:H$60,3,0)</f>
        <v>DOMOU FABIEN</v>
      </c>
      <c r="C12" s="5"/>
      <c r="D12" s="5"/>
      <c r="E12" s="36">
        <f>VLOOKUP($A12,[16]HISTOJUIL22!$A$6:$BA$39,48,0)</f>
        <v>0</v>
      </c>
      <c r="F12" s="5">
        <f>MVTJUIN22!F12-MVTJUIL22!E12</f>
        <v>570000</v>
      </c>
      <c r="G12" s="6">
        <f t="shared" si="1"/>
        <v>1593.3993993048919</v>
      </c>
      <c r="H12" s="6">
        <f>MVTJUIN22!H12+MVTJUIN22!G12+K12</f>
        <v>695541.40505941364</v>
      </c>
      <c r="I12" s="36">
        <f>VLOOKUP($A12,[16]HISTOJUIL22!$A$6:$AQ$37,22,0)</f>
        <v>0</v>
      </c>
      <c r="J12" s="36">
        <f>VLOOKUP($A12,[16]HISTOJUIL22!$A$6:$AU$39,45,0)</f>
        <v>12000</v>
      </c>
      <c r="K12" s="36">
        <f t="shared" si="2"/>
        <v>8000</v>
      </c>
      <c r="L12" s="36">
        <f t="shared" si="3"/>
        <v>500</v>
      </c>
      <c r="M12" s="36">
        <f t="shared" si="4"/>
        <v>1000</v>
      </c>
      <c r="N12" s="36">
        <f t="shared" si="5"/>
        <v>2500</v>
      </c>
      <c r="O12" s="36">
        <f>VLOOKUP($A12,[16]HISTOJUIL22!$A$6:$AU$39,7,0)</f>
        <v>0</v>
      </c>
      <c r="P12" s="36">
        <f>VLOOKUP($A12,[16]HISTOJUIL22!$A$6:$AU$39,23,0)</f>
        <v>0</v>
      </c>
      <c r="Q12" s="36">
        <f>VLOOKUP($A12,[16]HISTOJUIL22!$A$6:$AU$39,46,0)</f>
        <v>0</v>
      </c>
      <c r="R12" s="36">
        <f>VLOOKUP($A12,[16]HISTOJUIL22!$A$6:$AU$39,26,0)</f>
        <v>0</v>
      </c>
      <c r="S12" s="36">
        <f>VLOOKUP($A12,[16]HISTOJUIL22!$A$6:$BG$39,58,0)</f>
        <v>0</v>
      </c>
      <c r="T12" s="36">
        <f>VLOOKUP($A12,[16]HISTOJUIL22!$A$6:$AU$39,28,0)</f>
        <v>0</v>
      </c>
      <c r="U12" s="36">
        <f>VLOOKUP($A12,[16]HISTOJUIL22!$A$6:$AU$39,19,0)</f>
        <v>0</v>
      </c>
      <c r="V12" s="36">
        <f>VLOOKUP($A12,[16]HISTOJUIL22!$A$6:$AU$39,20,0)</f>
        <v>0</v>
      </c>
      <c r="W12" s="36">
        <f>VLOOKUP($A12,[16]HISTOJUIL22!$A$6:$AU$39,27,0)</f>
        <v>0</v>
      </c>
      <c r="X12" s="36">
        <f>VLOOKUP($A12,[16]HISTOJUIL22!$A$6:$AU$39,33,0)</f>
        <v>0</v>
      </c>
      <c r="Y12" s="36">
        <f>VLOOKUP($A12,[16]HISTOJUIL22!$A$6:$BP$39,65,0)</f>
        <v>0</v>
      </c>
      <c r="Z12" s="36"/>
      <c r="AA12" s="36">
        <f>VLOOKUP($A12,[16]HISTOJUIL22!$A$6:$AU$39,43,0)</f>
        <v>0</v>
      </c>
      <c r="AB12" s="36">
        <f>VLOOKUP($A12,[16]HISTOJUIL22!$A$6:$AU$39,44,0)</f>
        <v>0</v>
      </c>
      <c r="AC12" s="36">
        <f>VLOOKUP($A12,[16]HISTOJUIL22!$A$6:$AU$39,47,0)</f>
        <v>0</v>
      </c>
      <c r="AD12" s="36">
        <f>VLOOKUP(A12,[16]HISTOJUIL22!$A$6:$BB$36,54,0)</f>
        <v>0</v>
      </c>
      <c r="AE12" s="36">
        <f>VLOOKUP($A12,[16]HISTOJUIL22!$A$6:$CA$36,60,0)</f>
        <v>0</v>
      </c>
      <c r="AF12" s="36">
        <f>VLOOKUP($A12,[16]HISTOJUIL22!$A$6:$CA$36,61,0)</f>
        <v>0</v>
      </c>
      <c r="AG12" s="36">
        <f>VLOOKUP($A12,[16]HISTOJUIL22!$A$6:$CA$36,62,0)</f>
        <v>0</v>
      </c>
      <c r="AH12" s="36">
        <f>VLOOKUP($A12,[16]HISTOJUIL22!$A$6:$CA$36,63,0)</f>
        <v>0</v>
      </c>
      <c r="AI12" s="36">
        <f>VLOOKUP($A12,[16]HISTOJUIL22!$A$6:$CA$36,64,0)</f>
        <v>0</v>
      </c>
      <c r="AJ12" s="36">
        <f>VLOOKUP($A12,[16]HISTOJUIL22!$A$6:$CA$36,65,0)</f>
        <v>0</v>
      </c>
    </row>
    <row r="13" spans="1:36" x14ac:dyDescent="0.25">
      <c r="A13" s="1" t="s">
        <v>26</v>
      </c>
      <c r="B13" s="1" t="str">
        <f>VLOOKUP(A13,[15]LISTADHERENT!A$5:H$60,3,0)</f>
        <v>DONHOU DAVID</v>
      </c>
      <c r="C13" s="5"/>
      <c r="D13" s="5"/>
      <c r="E13" s="36">
        <f>VLOOKUP($A13,[16]HISTOJUIL22!$A$6:$BA$39,48,0)</f>
        <v>0</v>
      </c>
      <c r="F13" s="5">
        <f>MVTJUIN22!F13-MVTJUIL22!E13</f>
        <v>570000</v>
      </c>
      <c r="G13" s="6">
        <f t="shared" si="1"/>
        <v>2205.9034842682763</v>
      </c>
      <c r="H13" s="6">
        <f>MVTJUIN22!H13+MVTJUIN22!G13+K13</f>
        <v>962908.11302096536</v>
      </c>
      <c r="I13" s="36">
        <f>VLOOKUP($A13,[16]HISTOJUIL22!$A$6:$AQ$37,22,0)</f>
        <v>0</v>
      </c>
      <c r="J13" s="36">
        <f>VLOOKUP($A13,[16]HISTOJUIL22!$A$6:$AU$39,45,0)</f>
        <v>12000</v>
      </c>
      <c r="K13" s="36">
        <f t="shared" si="2"/>
        <v>8000</v>
      </c>
      <c r="L13" s="36">
        <f t="shared" si="3"/>
        <v>500</v>
      </c>
      <c r="M13" s="36">
        <f t="shared" si="4"/>
        <v>1000</v>
      </c>
      <c r="N13" s="36">
        <f t="shared" si="5"/>
        <v>2500</v>
      </c>
      <c r="O13" s="36">
        <f>VLOOKUP($A13,[16]HISTOJUIL22!$A$6:$AU$39,7,0)</f>
        <v>0</v>
      </c>
      <c r="P13" s="36">
        <f>VLOOKUP($A13,[16]HISTOJUIL22!$A$6:$AU$39,23,0)</f>
        <v>0</v>
      </c>
      <c r="Q13" s="36">
        <f>VLOOKUP($A13,[16]HISTOJUIL22!$A$6:$AU$39,46,0)</f>
        <v>0</v>
      </c>
      <c r="R13" s="36">
        <f>VLOOKUP($A13,[16]HISTOJUIL22!$A$6:$AU$39,26,0)</f>
        <v>0</v>
      </c>
      <c r="S13" s="36">
        <f>VLOOKUP($A13,[16]HISTOJUIL22!$A$6:$BG$39,58,0)</f>
        <v>0</v>
      </c>
      <c r="T13" s="36">
        <f>VLOOKUP($A13,[16]HISTOJUIL22!$A$6:$AU$39,28,0)</f>
        <v>0</v>
      </c>
      <c r="U13" s="36">
        <f>VLOOKUP($A13,[16]HISTOJUIL22!$A$6:$AU$39,19,0)</f>
        <v>0</v>
      </c>
      <c r="V13" s="36">
        <f>VLOOKUP($A13,[16]HISTOJUIL22!$A$6:$AU$39,20,0)</f>
        <v>0</v>
      </c>
      <c r="W13" s="36">
        <f>VLOOKUP($A13,[16]HISTOJUIL22!$A$6:$AU$39,27,0)</f>
        <v>0</v>
      </c>
      <c r="X13" s="36">
        <f>VLOOKUP($A13,[16]HISTOJUIL22!$A$6:$AU$39,33,0)</f>
        <v>0</v>
      </c>
      <c r="Y13" s="36">
        <f>VLOOKUP($A13,[16]HISTOJUIL22!$A$6:$BP$39,65,0)</f>
        <v>0</v>
      </c>
      <c r="Z13" s="36"/>
      <c r="AA13" s="36">
        <f>VLOOKUP($A13,[16]HISTOJUIL22!$A$6:$AU$39,43,0)</f>
        <v>0</v>
      </c>
      <c r="AB13" s="36">
        <f>VLOOKUP($A13,[16]HISTOJUIL22!$A$6:$AU$39,44,0)</f>
        <v>0</v>
      </c>
      <c r="AC13" s="36">
        <f>VLOOKUP($A13,[16]HISTOJUIL22!$A$6:$AU$39,47,0)</f>
        <v>0</v>
      </c>
      <c r="AD13" s="36">
        <f>VLOOKUP(A13,[16]HISTOJUIL22!$A$6:$BB$36,54,0)</f>
        <v>0</v>
      </c>
      <c r="AE13" s="36">
        <f>VLOOKUP($A13,[16]HISTOJUIL22!$A$6:$CA$36,60,0)</f>
        <v>0</v>
      </c>
      <c r="AF13" s="36">
        <f>VLOOKUP($A13,[16]HISTOJUIL22!$A$6:$CA$36,61,0)</f>
        <v>0</v>
      </c>
      <c r="AG13" s="36">
        <f>VLOOKUP($A13,[16]HISTOJUIL22!$A$6:$CA$36,62,0)</f>
        <v>0</v>
      </c>
      <c r="AH13" s="36">
        <f>VLOOKUP($A13,[16]HISTOJUIL22!$A$6:$CA$36,63,0)</f>
        <v>0</v>
      </c>
      <c r="AI13" s="36">
        <f>VLOOKUP($A13,[16]HISTOJUIL22!$A$6:$CA$36,64,0)</f>
        <v>0</v>
      </c>
      <c r="AJ13" s="36">
        <f>VLOOKUP($A13,[16]HISTOJUIL22!$A$6:$CA$36,65,0)</f>
        <v>0</v>
      </c>
    </row>
    <row r="14" spans="1:36" x14ac:dyDescent="0.25">
      <c r="A14" s="1" t="s">
        <v>27</v>
      </c>
      <c r="B14" s="1" t="str">
        <f>VLOOKUP(A14,[15]LISTADHERENT!A$5:H$60,3,0)</f>
        <v>FOTSO THOMAS</v>
      </c>
      <c r="C14" s="5"/>
      <c r="D14" s="5"/>
      <c r="E14" s="36">
        <f>VLOOKUP($A14,[16]HISTOJUIL22!$A$6:$BA$39,48,0)</f>
        <v>0</v>
      </c>
      <c r="F14" s="5">
        <f>MVTJUIN22!F14-MVTJUIL22!E14</f>
        <v>540000</v>
      </c>
      <c r="G14" s="6">
        <f t="shared" si="1"/>
        <v>0</v>
      </c>
      <c r="H14" s="6">
        <f>MVTJUIN22!H14+MVTJUIN22!G14+K14</f>
        <v>0</v>
      </c>
      <c r="I14" s="36">
        <f>VLOOKUP($A14,[16]HISTOJUIL22!$A$6:$AQ$37,22,0)</f>
        <v>0</v>
      </c>
      <c r="J14" s="36">
        <f>VLOOKUP($A14,[16]HISTOJUIL22!$A$6:$AU$39,45,0)</f>
        <v>0</v>
      </c>
      <c r="K14" s="36">
        <f t="shared" si="2"/>
        <v>0</v>
      </c>
      <c r="L14" s="36">
        <f t="shared" si="3"/>
        <v>0</v>
      </c>
      <c r="M14" s="36">
        <f t="shared" si="4"/>
        <v>0</v>
      </c>
      <c r="N14" s="36">
        <f t="shared" si="5"/>
        <v>0</v>
      </c>
      <c r="O14" s="36">
        <f>VLOOKUP($A14,[16]HISTOJUIL22!$A$6:$AU$39,7,0)</f>
        <v>0</v>
      </c>
      <c r="P14" s="36">
        <f>VLOOKUP($A14,[16]HISTOJUIL22!$A$6:$AU$39,23,0)</f>
        <v>0</v>
      </c>
      <c r="Q14" s="36">
        <f>VLOOKUP($A14,[16]HISTOJUIL22!$A$6:$AU$39,46,0)</f>
        <v>0</v>
      </c>
      <c r="R14" s="36">
        <f>VLOOKUP($A14,[16]HISTOJUIL22!$A$6:$AU$39,26,0)</f>
        <v>0</v>
      </c>
      <c r="S14" s="36">
        <f>VLOOKUP($A14,[16]HISTOJUIL22!$A$6:$BG$39,58,0)</f>
        <v>0</v>
      </c>
      <c r="T14" s="36">
        <f>VLOOKUP($A14,[16]HISTOJUIL22!$A$6:$AU$39,28,0)</f>
        <v>0</v>
      </c>
      <c r="U14" s="36">
        <f>VLOOKUP($A14,[16]HISTOJUIL22!$A$6:$AU$39,19,0)</f>
        <v>0</v>
      </c>
      <c r="V14" s="36">
        <f>VLOOKUP($A14,[16]HISTOJUIL22!$A$6:$AU$39,20,0)</f>
        <v>0</v>
      </c>
      <c r="W14" s="36">
        <f>VLOOKUP($A14,[16]HISTOJUIL22!$A$6:$AU$39,27,0)</f>
        <v>0</v>
      </c>
      <c r="X14" s="36">
        <f>VLOOKUP($A14,[16]HISTOJUIL22!$A$6:$AU$39,33,0)</f>
        <v>0</v>
      </c>
      <c r="Y14" s="36">
        <f>VLOOKUP($A14,[16]HISTOJUIL22!$A$6:$BP$39,65,0)</f>
        <v>0</v>
      </c>
      <c r="Z14" s="36"/>
      <c r="AA14" s="36">
        <f>VLOOKUP($A14,[16]HISTOJUIL22!$A$6:$AU$39,43,0)</f>
        <v>0</v>
      </c>
      <c r="AB14" s="36">
        <f>VLOOKUP($A14,[16]HISTOJUIL22!$A$6:$AU$39,44,0)</f>
        <v>0</v>
      </c>
      <c r="AC14" s="36">
        <f>VLOOKUP($A14,[16]HISTOJUIL22!$A$6:$AU$39,47,0)</f>
        <v>0</v>
      </c>
      <c r="AD14" s="36">
        <f>VLOOKUP(A14,[16]HISTOJUIL22!$A$6:$BB$36,54,0)</f>
        <v>0</v>
      </c>
      <c r="AE14" s="36">
        <f>VLOOKUP($A14,[16]HISTOJUIL22!$A$6:$CA$36,60,0)</f>
        <v>0</v>
      </c>
      <c r="AF14" s="36">
        <f>VLOOKUP($A14,[16]HISTOJUIL22!$A$6:$CA$36,61,0)</f>
        <v>0</v>
      </c>
      <c r="AG14" s="36">
        <f>VLOOKUP($A14,[16]HISTOJUIL22!$A$6:$CA$36,62,0)</f>
        <v>0</v>
      </c>
      <c r="AH14" s="36">
        <f>VLOOKUP($A14,[16]HISTOJUIL22!$A$6:$CA$36,63,0)</f>
        <v>0</v>
      </c>
      <c r="AI14" s="36">
        <f>VLOOKUP($A14,[16]HISTOJUIL22!$A$6:$CA$36,64,0)</f>
        <v>0</v>
      </c>
      <c r="AJ14" s="36">
        <f>VLOOKUP($A14,[16]HISTOJUIL22!$A$6:$CA$36,65,0)</f>
        <v>0</v>
      </c>
    </row>
    <row r="15" spans="1:36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VLOOKUP($A15,[16]HISTOJUIL22!$A$6:$BA$39,48,0)</f>
        <v>0</v>
      </c>
      <c r="F15" s="5">
        <f>MVTJUIN22!F15-MVTJUIL22!E15</f>
        <v>570000</v>
      </c>
      <c r="G15" s="6">
        <f t="shared" si="1"/>
        <v>1502.5864571051318</v>
      </c>
      <c r="H15" s="6">
        <f>MVTJUIN22!H15+MVTJUIN22!G15+K15</f>
        <v>655900.26960853091</v>
      </c>
      <c r="I15" s="36">
        <f>VLOOKUP($A15,[16]HISTOJUIL22!$A$6:$AQ$37,22,0)</f>
        <v>0</v>
      </c>
      <c r="J15" s="36">
        <f>VLOOKUP($A15,[16]HISTOJUIL22!$A$6:$AU$39,45,0)</f>
        <v>7000</v>
      </c>
      <c r="K15" s="36">
        <f t="shared" si="2"/>
        <v>3000</v>
      </c>
      <c r="L15" s="36">
        <f t="shared" si="3"/>
        <v>500</v>
      </c>
      <c r="M15" s="36">
        <f t="shared" si="4"/>
        <v>1000</v>
      </c>
      <c r="N15" s="36">
        <f t="shared" si="5"/>
        <v>2500</v>
      </c>
      <c r="O15" s="36">
        <f>VLOOKUP($A15,[16]HISTOJUIL22!$A$6:$AU$39,7,0)</f>
        <v>0</v>
      </c>
      <c r="P15" s="36">
        <f>VLOOKUP($A15,[16]HISTOJUIL22!$A$6:$AU$39,23,0)</f>
        <v>0</v>
      </c>
      <c r="Q15" s="36">
        <f>VLOOKUP($A15,[16]HISTOJUIL22!$A$6:$AU$39,46,0)</f>
        <v>0</v>
      </c>
      <c r="R15" s="36">
        <f>VLOOKUP($A15,[16]HISTOJUIL22!$A$6:$AU$39,26,0)</f>
        <v>0</v>
      </c>
      <c r="S15" s="36">
        <f>VLOOKUP($A15,[16]HISTOJUIL22!$A$6:$BG$39,58,0)</f>
        <v>0</v>
      </c>
      <c r="T15" s="36">
        <f>VLOOKUP($A15,[16]HISTOJUIL22!$A$6:$AU$39,28,0)</f>
        <v>0</v>
      </c>
      <c r="U15" s="36">
        <f>VLOOKUP($A15,[16]HISTOJUIL22!$A$6:$AU$39,19,0)</f>
        <v>0</v>
      </c>
      <c r="V15" s="36">
        <f>VLOOKUP($A15,[16]HISTOJUIL22!$A$6:$AU$39,20,0)</f>
        <v>0</v>
      </c>
      <c r="W15" s="36">
        <f>VLOOKUP($A15,[16]HISTOJUIL22!$A$6:$AU$39,27,0)</f>
        <v>0</v>
      </c>
      <c r="X15" s="36">
        <f>VLOOKUP($A15,[16]HISTOJUIL22!$A$6:$AU$39,33,0)</f>
        <v>0</v>
      </c>
      <c r="Y15" s="36">
        <f>VLOOKUP($A15,[16]HISTOJUIL22!$A$6:$BP$39,65,0)</f>
        <v>0</v>
      </c>
      <c r="Z15" s="36"/>
      <c r="AA15" s="36">
        <f>VLOOKUP($A15,[16]HISTOJUIL22!$A$6:$AU$39,43,0)</f>
        <v>0</v>
      </c>
      <c r="AB15" s="36">
        <f>VLOOKUP($A15,[16]HISTOJUIL22!$A$6:$AU$39,44,0)</f>
        <v>0</v>
      </c>
      <c r="AC15" s="36">
        <f>VLOOKUP($A15,[16]HISTOJUIL22!$A$6:$AU$39,47,0)</f>
        <v>0</v>
      </c>
      <c r="AD15" s="36">
        <f>VLOOKUP(A15,[16]HISTOJUIL22!$A$6:$BB$36,54,0)</f>
        <v>0</v>
      </c>
      <c r="AE15" s="36">
        <f>VLOOKUP($A15,[16]HISTOJUIL22!$A$6:$CA$36,60,0)</f>
        <v>0</v>
      </c>
      <c r="AF15" s="36">
        <f>VLOOKUP($A15,[16]HISTOJUIL22!$A$6:$CA$36,61,0)</f>
        <v>0</v>
      </c>
      <c r="AG15" s="36">
        <f>VLOOKUP($A15,[16]HISTOJUIL22!$A$6:$CA$36,62,0)</f>
        <v>0</v>
      </c>
      <c r="AH15" s="36">
        <f>VLOOKUP($A15,[16]HISTOJUIL22!$A$6:$CA$36,63,0)</f>
        <v>0</v>
      </c>
      <c r="AI15" s="36">
        <f>VLOOKUP($A15,[16]HISTOJUIL22!$A$6:$CA$36,64,0)</f>
        <v>0</v>
      </c>
      <c r="AJ15" s="36">
        <f>VLOOKUP($A15,[16]HISTOJUIL22!$A$6:$CA$36,65,0)</f>
        <v>0</v>
      </c>
    </row>
    <row r="16" spans="1:36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VLOOKUP($A16,[16]HISTOJUIL22!$A$6:$BA$39,48,0)</f>
        <v>0</v>
      </c>
      <c r="F16" s="5">
        <f>MVTJUIN22!F16-MVTJUIL22!E16</f>
        <v>570000</v>
      </c>
      <c r="G16" s="6">
        <f t="shared" si="1"/>
        <v>2285.2565420111559</v>
      </c>
      <c r="H16" s="6">
        <f>MVTJUIN22!H16+MVTJUIN22!G16+K16</f>
        <v>997546.84660045651</v>
      </c>
      <c r="I16" s="36">
        <f>VLOOKUP($A16,[16]HISTOJUIL22!$A$6:$AQ$37,22,0)</f>
        <v>0</v>
      </c>
      <c r="J16" s="36">
        <f>VLOOKUP($A16,[16]HISTOJUIL22!$A$6:$AU$39,45,0)</f>
        <v>52000</v>
      </c>
      <c r="K16" s="36">
        <f t="shared" si="2"/>
        <v>48000</v>
      </c>
      <c r="L16" s="36">
        <f t="shared" si="3"/>
        <v>500</v>
      </c>
      <c r="M16" s="36">
        <f t="shared" si="4"/>
        <v>1000</v>
      </c>
      <c r="N16" s="36">
        <f t="shared" si="5"/>
        <v>2500</v>
      </c>
      <c r="O16" s="36">
        <f>VLOOKUP($A16,[16]HISTOJUIL22!$A$6:$AU$39,7,0)</f>
        <v>0</v>
      </c>
      <c r="P16" s="36">
        <f>VLOOKUP($A16,[16]HISTOJUIL22!$A$6:$AU$39,23,0)</f>
        <v>0</v>
      </c>
      <c r="Q16" s="36">
        <f>VLOOKUP($A16,[16]HISTOJUIL22!$A$6:$AU$39,46,0)</f>
        <v>0</v>
      </c>
      <c r="R16" s="36">
        <f>VLOOKUP($A16,[16]HISTOJUIL22!$A$6:$AU$39,26,0)</f>
        <v>0</v>
      </c>
      <c r="S16" s="36">
        <f>VLOOKUP($A16,[16]HISTOJUIL22!$A$6:$BG$39,58,0)</f>
        <v>0</v>
      </c>
      <c r="T16" s="36">
        <f>VLOOKUP($A16,[16]HISTOJUIL22!$A$6:$AU$39,28,0)</f>
        <v>0</v>
      </c>
      <c r="U16" s="36">
        <f>VLOOKUP($A16,[16]HISTOJUIL22!$A$6:$AU$39,19,0)</f>
        <v>0</v>
      </c>
      <c r="V16" s="36">
        <f>VLOOKUP($A16,[16]HISTOJUIL22!$A$6:$AU$39,20,0)</f>
        <v>0</v>
      </c>
      <c r="W16" s="36">
        <f>VLOOKUP($A16,[16]HISTOJUIL22!$A$6:$AU$39,27,0)</f>
        <v>0</v>
      </c>
      <c r="X16" s="36">
        <f>VLOOKUP($A16,[16]HISTOJUIL22!$A$6:$AU$39,33,0)</f>
        <v>0</v>
      </c>
      <c r="Y16" s="36">
        <f>VLOOKUP($A16,[16]HISTOJUIL22!$A$6:$BP$39,65,0)</f>
        <v>0</v>
      </c>
      <c r="Z16" s="36"/>
      <c r="AA16" s="36">
        <f>VLOOKUP($A16,[16]HISTOJUIL22!$A$6:$AU$39,43,0)</f>
        <v>0</v>
      </c>
      <c r="AB16" s="36">
        <f>VLOOKUP($A16,[16]HISTOJUIL22!$A$6:$AU$39,44,0)</f>
        <v>0</v>
      </c>
      <c r="AC16" s="36">
        <f>VLOOKUP($A16,[16]HISTOJUIL22!$A$6:$AU$39,47,0)</f>
        <v>0</v>
      </c>
      <c r="AD16" s="36">
        <f>VLOOKUP(A16,[16]HISTOJUIL22!$A$6:$BB$36,54,0)</f>
        <v>0</v>
      </c>
      <c r="AE16" s="36">
        <f>VLOOKUP($A16,[16]HISTOJUIL22!$A$6:$CA$36,60,0)</f>
        <v>0</v>
      </c>
      <c r="AF16" s="36">
        <f>VLOOKUP($A16,[16]HISTOJUIL22!$A$6:$CA$36,61,0)</f>
        <v>0</v>
      </c>
      <c r="AG16" s="36">
        <f>VLOOKUP($A16,[16]HISTOJUIL22!$A$6:$CA$36,62,0)</f>
        <v>0</v>
      </c>
      <c r="AH16" s="36">
        <f>VLOOKUP($A16,[16]HISTOJUIL22!$A$6:$CA$36,63,0)</f>
        <v>0</v>
      </c>
      <c r="AI16" s="36">
        <f>VLOOKUP($A16,[16]HISTOJUIL22!$A$6:$CA$36,64,0)</f>
        <v>0</v>
      </c>
      <c r="AJ16" s="36">
        <f>VLOOKUP($A16,[16]HISTOJUIL22!$A$6:$CA$36,65,0)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VLOOKUP($A17,[16]HISTOJUIL22!$A$6:$BA$39,48,0)</f>
        <v>0</v>
      </c>
      <c r="F17" s="5">
        <f>MVTJUIN22!F17-MVTJUIL22!E17</f>
        <v>570000</v>
      </c>
      <c r="G17" s="6">
        <f t="shared" si="1"/>
        <v>1507.5789162336509</v>
      </c>
      <c r="H17" s="6">
        <f>MVTJUIN22!H17+MVTJUIN22!G17+K17</f>
        <v>658079.54872616252</v>
      </c>
      <c r="I17" s="36">
        <f>VLOOKUP($A17,[16]HISTOJUIL22!$A$6:$AQ$37,22,0)</f>
        <v>0</v>
      </c>
      <c r="J17" s="36">
        <f>VLOOKUP($A17,[16]HISTOJUIL22!$A$6:$AU$39,45,0)</f>
        <v>7000</v>
      </c>
      <c r="K17" s="36">
        <f t="shared" si="2"/>
        <v>3000</v>
      </c>
      <c r="L17" s="36">
        <f t="shared" si="3"/>
        <v>500</v>
      </c>
      <c r="M17" s="36">
        <f t="shared" si="4"/>
        <v>1000</v>
      </c>
      <c r="N17" s="36">
        <f t="shared" si="5"/>
        <v>2500</v>
      </c>
      <c r="O17" s="36">
        <f>VLOOKUP($A17,[16]HISTOJUIL22!$A$6:$AU$39,7,0)</f>
        <v>0</v>
      </c>
      <c r="P17" s="36">
        <f>VLOOKUP($A17,[16]HISTOJUIL22!$A$6:$AU$39,23,0)</f>
        <v>0</v>
      </c>
      <c r="Q17" s="36">
        <f>VLOOKUP($A17,[16]HISTOJUIL22!$A$6:$AU$39,46,0)</f>
        <v>0</v>
      </c>
      <c r="R17" s="36">
        <f>VLOOKUP($A17,[16]HISTOJUIL22!$A$6:$AU$39,26,0)</f>
        <v>0</v>
      </c>
      <c r="S17" s="36">
        <f>VLOOKUP($A17,[16]HISTOJUIL22!$A$6:$BG$39,58,0)</f>
        <v>0</v>
      </c>
      <c r="T17" s="36">
        <f>VLOOKUP($A17,[16]HISTOJUIL22!$A$6:$AU$39,28,0)</f>
        <v>0</v>
      </c>
      <c r="U17" s="36">
        <f>VLOOKUP($A17,[16]HISTOJUIL22!$A$6:$AU$39,19,0)</f>
        <v>0</v>
      </c>
      <c r="V17" s="36">
        <f>VLOOKUP($A17,[16]HISTOJUIL22!$A$6:$AU$39,20,0)</f>
        <v>0</v>
      </c>
      <c r="W17" s="36">
        <f>VLOOKUP($A17,[16]HISTOJUIL22!$A$6:$AU$39,27,0)</f>
        <v>0</v>
      </c>
      <c r="X17" s="36">
        <f>VLOOKUP($A17,[16]HISTOJUIL22!$A$6:$AU$39,33,0)</f>
        <v>0</v>
      </c>
      <c r="Y17" s="36">
        <f>VLOOKUP($A17,[16]HISTOJUIL22!$A$6:$BP$39,65,0)</f>
        <v>0</v>
      </c>
      <c r="Z17" s="36"/>
      <c r="AA17" s="36">
        <f>VLOOKUP($A17,[16]HISTOJUIL22!$A$6:$AU$39,43,0)</f>
        <v>0</v>
      </c>
      <c r="AB17" s="36">
        <f>VLOOKUP($A17,[16]HISTOJUIL22!$A$6:$AU$39,44,0)</f>
        <v>0</v>
      </c>
      <c r="AC17" s="36">
        <f>VLOOKUP($A17,[16]HISTOJUIL22!$A$6:$AU$39,47,0)</f>
        <v>0</v>
      </c>
      <c r="AD17" s="36">
        <f>VLOOKUP(A17,[16]HISTOJUIL22!$A$6:$BB$36,54,0)</f>
        <v>0</v>
      </c>
      <c r="AE17" s="36">
        <f>VLOOKUP($A17,[16]HISTOJUIL22!$A$6:$CA$36,60,0)</f>
        <v>0</v>
      </c>
      <c r="AF17" s="36">
        <f>VLOOKUP($A17,[16]HISTOJUIL22!$A$6:$CA$36,61,0)</f>
        <v>0</v>
      </c>
      <c r="AG17" s="36">
        <f>VLOOKUP($A17,[16]HISTOJUIL22!$A$6:$CA$36,62,0)</f>
        <v>0</v>
      </c>
      <c r="AH17" s="36">
        <f>VLOOKUP($A17,[16]HISTOJUIL22!$A$6:$CA$36,63,0)</f>
        <v>0</v>
      </c>
      <c r="AI17" s="36">
        <f>VLOOKUP($A17,[16]HISTOJUIL22!$A$6:$CA$36,64,0)</f>
        <v>0</v>
      </c>
      <c r="AJ17" s="36">
        <f>VLOOKUP($A17,[16]HISTOJUIL22!$A$6:$CA$36,65,0)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VLOOKUP($A18,[16]HISTOJUIL22!$A$6:$BA$39,48,0)</f>
        <v>0</v>
      </c>
      <c r="F18" s="5">
        <f>MVTJUIN22!F18-MVTJUIL22!E18</f>
        <v>570000</v>
      </c>
      <c r="G18" s="6">
        <f t="shared" si="1"/>
        <v>1511.4021990683921</v>
      </c>
      <c r="H18" s="6">
        <f>MVTJUIN22!H18+MVTJUIN22!G18+K18</f>
        <v>659748.46583255497</v>
      </c>
      <c r="I18" s="36">
        <f>VLOOKUP($A18,[16]HISTOJUIL22!$A$6:$AQ$37,22,0)</f>
        <v>0</v>
      </c>
      <c r="J18" s="36">
        <f>VLOOKUP($A18,[16]HISTOJUIL22!$A$6:$AU$39,45,0)</f>
        <v>4000</v>
      </c>
      <c r="K18" s="36">
        <f t="shared" si="2"/>
        <v>0</v>
      </c>
      <c r="L18" s="36">
        <f t="shared" si="3"/>
        <v>500</v>
      </c>
      <c r="M18" s="36">
        <f t="shared" si="4"/>
        <v>1000</v>
      </c>
      <c r="N18" s="36">
        <f t="shared" si="5"/>
        <v>2500</v>
      </c>
      <c r="O18" s="36">
        <f>VLOOKUP($A18,[16]HISTOJUIL22!$A$6:$AU$39,7,0)</f>
        <v>0</v>
      </c>
      <c r="P18" s="36">
        <f>VLOOKUP($A18,[16]HISTOJUIL22!$A$6:$AU$39,23,0)</f>
        <v>0</v>
      </c>
      <c r="Q18" s="36">
        <f>VLOOKUP($A18,[16]HISTOJUIL22!$A$6:$AU$39,46,0)</f>
        <v>0</v>
      </c>
      <c r="R18" s="36">
        <f>VLOOKUP($A18,[16]HISTOJUIL22!$A$6:$AU$39,26,0)</f>
        <v>0</v>
      </c>
      <c r="S18" s="36">
        <f>VLOOKUP($A18,[16]HISTOJUIL22!$A$6:$BG$39,58,0)</f>
        <v>0</v>
      </c>
      <c r="T18" s="36">
        <f>VLOOKUP($A18,[16]HISTOJUIL22!$A$6:$AU$39,28,0)</f>
        <v>0</v>
      </c>
      <c r="U18" s="36">
        <f>VLOOKUP($A18,[16]HISTOJUIL22!$A$6:$AU$39,19,0)</f>
        <v>0</v>
      </c>
      <c r="V18" s="36">
        <f>VLOOKUP($A18,[16]HISTOJUIL22!$A$6:$AU$39,20,0)</f>
        <v>0</v>
      </c>
      <c r="W18" s="36">
        <f>VLOOKUP($A18,[16]HISTOJUIL22!$A$6:$AU$39,27,0)</f>
        <v>0</v>
      </c>
      <c r="X18" s="36">
        <f>VLOOKUP($A18,[16]HISTOJUIL22!$A$6:$AU$39,33,0)</f>
        <v>0</v>
      </c>
      <c r="Y18" s="36">
        <f>VLOOKUP($A18,[16]HISTOJUIL22!$A$6:$BP$39,65,0)</f>
        <v>0</v>
      </c>
      <c r="Z18" s="36"/>
      <c r="AA18" s="36">
        <f>VLOOKUP($A18,[16]HISTOJUIL22!$A$6:$AU$39,43,0)</f>
        <v>0</v>
      </c>
      <c r="AB18" s="36">
        <f>VLOOKUP($A18,[16]HISTOJUIL22!$A$6:$AU$39,44,0)</f>
        <v>0</v>
      </c>
      <c r="AC18" s="36">
        <f>VLOOKUP($A18,[16]HISTOJUIL22!$A$6:$AU$39,47,0)</f>
        <v>0</v>
      </c>
      <c r="AD18" s="36">
        <f>VLOOKUP(A18,[16]HISTOJUIL22!$A$6:$BB$36,54,0)</f>
        <v>0</v>
      </c>
      <c r="AE18" s="36">
        <f>VLOOKUP($A18,[16]HISTOJUIL22!$A$6:$CA$36,60,0)</f>
        <v>0</v>
      </c>
      <c r="AF18" s="36">
        <f>VLOOKUP($A18,[16]HISTOJUIL22!$A$6:$CA$36,61,0)</f>
        <v>0</v>
      </c>
      <c r="AG18" s="36">
        <f>VLOOKUP($A18,[16]HISTOJUIL22!$A$6:$CA$36,62,0)</f>
        <v>0</v>
      </c>
      <c r="AH18" s="36">
        <f>VLOOKUP($A18,[16]HISTOJUIL22!$A$6:$CA$36,63,0)</f>
        <v>0</v>
      </c>
      <c r="AI18" s="36">
        <f>VLOOKUP($A18,[16]HISTOJUIL22!$A$6:$CA$36,64,0)</f>
        <v>0</v>
      </c>
      <c r="AJ18" s="36">
        <f>VLOOKUP($A18,[16]HISTOJUIL22!$A$6:$CA$36,65,0)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VLOOKUP($A19,[16]HISTOJUIL22!$A$6:$BA$39,48,0)</f>
        <v>0</v>
      </c>
      <c r="F19" s="5">
        <f>MVTJUIN22!F19-MVTJUIL22!E19</f>
        <v>570000</v>
      </c>
      <c r="G19" s="6">
        <f t="shared" si="1"/>
        <v>1494.8795443444819</v>
      </c>
      <c r="H19" s="6">
        <f>MVTJUIN22!H19+MVTJUIN22!G19+K19</f>
        <v>652536.09303575754</v>
      </c>
      <c r="I19" s="36">
        <f>VLOOKUP($A19,[16]HISTOJUIL22!$A$6:$AQ$37,22,0)</f>
        <v>0</v>
      </c>
      <c r="J19" s="36">
        <f>VLOOKUP($A19,[16]HISTOJUIL22!$A$6:$AU$39,45,0)</f>
        <v>7000</v>
      </c>
      <c r="K19" s="36">
        <f t="shared" si="2"/>
        <v>3000</v>
      </c>
      <c r="L19" s="36">
        <f t="shared" si="3"/>
        <v>500</v>
      </c>
      <c r="M19" s="36">
        <f t="shared" si="4"/>
        <v>1000</v>
      </c>
      <c r="N19" s="36">
        <f t="shared" si="5"/>
        <v>2500</v>
      </c>
      <c r="O19" s="36">
        <f>VLOOKUP($A19,[16]HISTOJUIL22!$A$6:$AU$39,7,0)</f>
        <v>0</v>
      </c>
      <c r="P19" s="36">
        <f>VLOOKUP($A19,[16]HISTOJUIL22!$A$6:$AU$39,23,0)</f>
        <v>0</v>
      </c>
      <c r="Q19" s="36">
        <f>VLOOKUP($A19,[16]HISTOJUIL22!$A$6:$AU$39,46,0)</f>
        <v>0</v>
      </c>
      <c r="R19" s="36">
        <f>VLOOKUP($A19,[16]HISTOJUIL22!$A$6:$AU$39,26,0)</f>
        <v>0</v>
      </c>
      <c r="S19" s="36">
        <f>VLOOKUP($A19,[16]HISTOJUIL22!$A$6:$BG$39,58,0)</f>
        <v>0</v>
      </c>
      <c r="T19" s="36">
        <f>VLOOKUP($A19,[16]HISTOJUIL22!$A$6:$AU$39,28,0)</f>
        <v>0</v>
      </c>
      <c r="U19" s="36">
        <f>VLOOKUP($A19,[16]HISTOJUIL22!$A$6:$AU$39,19,0)</f>
        <v>0</v>
      </c>
      <c r="V19" s="36">
        <f>VLOOKUP($A19,[16]HISTOJUIL22!$A$6:$AU$39,20,0)</f>
        <v>0</v>
      </c>
      <c r="W19" s="36">
        <f>VLOOKUP($A19,[16]HISTOJUIL22!$A$6:$AU$39,27,0)</f>
        <v>0</v>
      </c>
      <c r="X19" s="36">
        <f>VLOOKUP($A19,[16]HISTOJUIL22!$A$6:$AU$39,33,0)</f>
        <v>0</v>
      </c>
      <c r="Y19" s="36">
        <f>VLOOKUP($A19,[16]HISTOJUIL22!$A$6:$BP$39,65,0)</f>
        <v>0</v>
      </c>
      <c r="Z19" s="36"/>
      <c r="AA19" s="36">
        <f>VLOOKUP($A19,[16]HISTOJUIL22!$A$6:$AU$39,43,0)</f>
        <v>0</v>
      </c>
      <c r="AB19" s="36">
        <f>VLOOKUP($A19,[16]HISTOJUIL22!$A$6:$AU$39,44,0)</f>
        <v>0</v>
      </c>
      <c r="AC19" s="36">
        <f>VLOOKUP($A19,[16]HISTOJUIL22!$A$6:$AU$39,47,0)</f>
        <v>0</v>
      </c>
      <c r="AD19" s="36">
        <f>VLOOKUP(A19,[16]HISTOJUIL22!$A$6:$BB$36,54,0)</f>
        <v>0</v>
      </c>
      <c r="AE19" s="36">
        <f>VLOOKUP($A19,[16]HISTOJUIL22!$A$6:$CA$36,60,0)</f>
        <v>0</v>
      </c>
      <c r="AF19" s="36">
        <f>VLOOKUP($A19,[16]HISTOJUIL22!$A$6:$CA$36,61,0)</f>
        <v>0</v>
      </c>
      <c r="AG19" s="36">
        <f>VLOOKUP($A19,[16]HISTOJUIL22!$A$6:$CA$36,62,0)</f>
        <v>0</v>
      </c>
      <c r="AH19" s="36">
        <f>VLOOKUP($A19,[16]HISTOJUIL22!$A$6:$CA$36,63,0)</f>
        <v>0</v>
      </c>
      <c r="AI19" s="36">
        <f>VLOOKUP($A19,[16]HISTOJUIL22!$A$6:$CA$36,64,0)</f>
        <v>0</v>
      </c>
      <c r="AJ19" s="36">
        <f>VLOOKUP($A19,[16]HISTOJUIL22!$A$6:$CA$36,65,0)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VLOOKUP($A20,[16]HISTOJUIL22!$A$6:$BA$39,48,0)</f>
        <v>0</v>
      </c>
      <c r="F20" s="5">
        <f>MVTJUIN22!F20-MVTJUIL22!E20</f>
        <v>570000</v>
      </c>
      <c r="G20" s="6">
        <f t="shared" si="1"/>
        <v>1494.1663760398512</v>
      </c>
      <c r="H20" s="6">
        <f>MVTJUIN22!H20+MVTJUIN22!G20+K20</f>
        <v>652224.78497020714</v>
      </c>
      <c r="I20" s="36">
        <f>VLOOKUP($A20,[16]HISTOJUIL22!$A$6:$AQ$37,22,0)</f>
        <v>0</v>
      </c>
      <c r="J20" s="36">
        <f>VLOOKUP($A20,[16]HISTOJUIL22!$A$6:$AU$39,45,0)</f>
        <v>7000</v>
      </c>
      <c r="K20" s="36">
        <f t="shared" si="2"/>
        <v>3000</v>
      </c>
      <c r="L20" s="36">
        <f t="shared" si="3"/>
        <v>500</v>
      </c>
      <c r="M20" s="36">
        <f t="shared" si="4"/>
        <v>1000</v>
      </c>
      <c r="N20" s="36">
        <f t="shared" si="5"/>
        <v>2500</v>
      </c>
      <c r="O20" s="36">
        <f>VLOOKUP($A20,[16]HISTOJUIL22!$A$6:$AU$39,7,0)</f>
        <v>0</v>
      </c>
      <c r="P20" s="36">
        <f>VLOOKUP($A20,[16]HISTOJUIL22!$A$6:$AU$39,23,0)</f>
        <v>0</v>
      </c>
      <c r="Q20" s="36">
        <f>VLOOKUP($A20,[16]HISTOJUIL22!$A$6:$AU$39,46,0)</f>
        <v>0</v>
      </c>
      <c r="R20" s="36">
        <f>VLOOKUP($A20,[16]HISTOJUIL22!$A$6:$AU$39,26,0)</f>
        <v>0</v>
      </c>
      <c r="S20" s="36">
        <f>VLOOKUP($A20,[16]HISTOJUIL22!$A$6:$BG$39,58,0)</f>
        <v>0</v>
      </c>
      <c r="T20" s="36">
        <f>VLOOKUP($A20,[16]HISTOJUIL22!$A$6:$AU$39,28,0)</f>
        <v>0</v>
      </c>
      <c r="U20" s="36">
        <f>VLOOKUP($A20,[16]HISTOJUIL22!$A$6:$AU$39,19,0)</f>
        <v>0</v>
      </c>
      <c r="V20" s="36">
        <f>VLOOKUP($A20,[16]HISTOJUIL22!$A$6:$AU$39,20,0)</f>
        <v>0</v>
      </c>
      <c r="W20" s="36">
        <f>VLOOKUP($A20,[16]HISTOJUIL22!$A$6:$AU$39,27,0)</f>
        <v>0</v>
      </c>
      <c r="X20" s="36">
        <f>VLOOKUP($A20,[16]HISTOJUIL22!$A$6:$AU$39,33,0)</f>
        <v>0</v>
      </c>
      <c r="Y20" s="36">
        <f>VLOOKUP($A20,[16]HISTOJUIL22!$A$6:$BP$39,65,0)</f>
        <v>0</v>
      </c>
      <c r="Z20" s="36"/>
      <c r="AA20" s="36">
        <f>VLOOKUP($A20,[16]HISTOJUIL22!$A$6:$AU$39,43,0)</f>
        <v>0</v>
      </c>
      <c r="AB20" s="36">
        <f>VLOOKUP($A20,[16]HISTOJUIL22!$A$6:$AU$39,44,0)</f>
        <v>0</v>
      </c>
      <c r="AC20" s="36">
        <f>VLOOKUP($A20,[16]HISTOJUIL22!$A$6:$AU$39,47,0)</f>
        <v>0</v>
      </c>
      <c r="AD20" s="36">
        <f>VLOOKUP(A20,[16]HISTOJUIL22!$A$6:$BB$36,54,0)</f>
        <v>0</v>
      </c>
      <c r="AE20" s="36">
        <f>VLOOKUP($A20,[16]HISTOJUIL22!$A$6:$CA$36,60,0)</f>
        <v>0</v>
      </c>
      <c r="AF20" s="36">
        <f>VLOOKUP($A20,[16]HISTOJUIL22!$A$6:$CA$36,61,0)</f>
        <v>0</v>
      </c>
      <c r="AG20" s="36">
        <f>VLOOKUP($A20,[16]HISTOJUIL22!$A$6:$CA$36,62,0)</f>
        <v>0</v>
      </c>
      <c r="AH20" s="36">
        <f>VLOOKUP($A20,[16]HISTOJUIL22!$A$6:$CA$36,63,0)</f>
        <v>0</v>
      </c>
      <c r="AI20" s="36">
        <f>VLOOKUP($A20,[16]HISTOJUIL22!$A$6:$CA$36,64,0)</f>
        <v>0</v>
      </c>
      <c r="AJ20" s="36">
        <f>VLOOKUP($A20,[16]HISTOJUIL22!$A$6:$CA$36,65,0)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VLOOKUP($A21,[16]HISTOJUIL22!$A$6:$BA$39,48,0)</f>
        <v>0</v>
      </c>
      <c r="F21" s="5">
        <f>MVTJUIN22!F21-MVTJUIL22!E21</f>
        <v>570000</v>
      </c>
      <c r="G21" s="6">
        <f t="shared" si="1"/>
        <v>1571.8057300307887</v>
      </c>
      <c r="H21" s="6">
        <f>MVTJUIN22!H21+MVTJUIN22!G21+K21</f>
        <v>686115.46259084612</v>
      </c>
      <c r="I21" s="36">
        <f>VLOOKUP($A21,[16]HISTOJUIL22!$A$6:$AQ$37,22,0)</f>
        <v>0</v>
      </c>
      <c r="J21" s="36">
        <f>VLOOKUP($A21,[16]HISTOJUIL22!$A$6:$AU$39,45,0)</f>
        <v>7000</v>
      </c>
      <c r="K21" s="36">
        <f t="shared" si="2"/>
        <v>3000</v>
      </c>
      <c r="L21" s="36">
        <f t="shared" si="3"/>
        <v>500</v>
      </c>
      <c r="M21" s="36">
        <f t="shared" si="4"/>
        <v>1000</v>
      </c>
      <c r="N21" s="36">
        <f t="shared" si="5"/>
        <v>2500</v>
      </c>
      <c r="O21" s="36">
        <f>VLOOKUP($A21,[16]HISTOJUIL22!$A$6:$AU$39,7,0)</f>
        <v>0</v>
      </c>
      <c r="P21" s="36">
        <f>VLOOKUP($A21,[16]HISTOJUIL22!$A$6:$AU$39,23,0)</f>
        <v>0</v>
      </c>
      <c r="Q21" s="36">
        <f>VLOOKUP($A21,[16]HISTOJUIL22!$A$6:$AU$39,46,0)</f>
        <v>0</v>
      </c>
      <c r="R21" s="36">
        <f>VLOOKUP($A21,[16]HISTOJUIL22!$A$6:$AU$39,26,0)</f>
        <v>0</v>
      </c>
      <c r="S21" s="36">
        <f>VLOOKUP($A21,[16]HISTOJUIL22!$A$6:$BG$39,58,0)</f>
        <v>0</v>
      </c>
      <c r="T21" s="36">
        <f>VLOOKUP($A21,[16]HISTOJUIL22!$A$6:$AU$39,28,0)</f>
        <v>0</v>
      </c>
      <c r="U21" s="36">
        <f>VLOOKUP($A21,[16]HISTOJUIL22!$A$6:$AU$39,19,0)</f>
        <v>0</v>
      </c>
      <c r="V21" s="36">
        <f>VLOOKUP($A21,[16]HISTOJUIL22!$A$6:$AU$39,20,0)</f>
        <v>0</v>
      </c>
      <c r="W21" s="36">
        <f>VLOOKUP($A21,[16]HISTOJUIL22!$A$6:$AU$39,27,0)</f>
        <v>0</v>
      </c>
      <c r="X21" s="36">
        <f>VLOOKUP($A21,[16]HISTOJUIL22!$A$6:$AU$39,33,0)</f>
        <v>0</v>
      </c>
      <c r="Y21" s="36">
        <f>VLOOKUP($A21,[16]HISTOJUIL22!$A$6:$BP$39,65,0)</f>
        <v>0</v>
      </c>
      <c r="Z21" s="36"/>
      <c r="AA21" s="36">
        <f>VLOOKUP($A21,[16]HISTOJUIL22!$A$6:$AU$39,43,0)</f>
        <v>0</v>
      </c>
      <c r="AB21" s="36">
        <f>VLOOKUP($A21,[16]HISTOJUIL22!$A$6:$AU$39,44,0)</f>
        <v>0</v>
      </c>
      <c r="AC21" s="36">
        <f>VLOOKUP($A21,[16]HISTOJUIL22!$A$6:$AU$39,47,0)</f>
        <v>0</v>
      </c>
      <c r="AD21" s="36">
        <f>VLOOKUP(A21,[16]HISTOJUIL22!$A$6:$BB$36,54,0)</f>
        <v>0</v>
      </c>
      <c r="AE21" s="36">
        <f>VLOOKUP($A21,[16]HISTOJUIL22!$A$6:$CA$36,60,0)</f>
        <v>0</v>
      </c>
      <c r="AF21" s="36">
        <f>VLOOKUP($A21,[16]HISTOJUIL22!$A$6:$CA$36,61,0)</f>
        <v>0</v>
      </c>
      <c r="AG21" s="36">
        <f>VLOOKUP($A21,[16]HISTOJUIL22!$A$6:$CA$36,62,0)</f>
        <v>0</v>
      </c>
      <c r="AH21" s="36">
        <f>VLOOKUP($A21,[16]HISTOJUIL22!$A$6:$CA$36,63,0)</f>
        <v>0</v>
      </c>
      <c r="AI21" s="36">
        <f>VLOOKUP($A21,[16]HISTOJUIL22!$A$6:$CA$36,64,0)</f>
        <v>0</v>
      </c>
      <c r="AJ21" s="36">
        <f>VLOOKUP($A21,[16]HISTOJUIL22!$A$6:$CA$36,65,0)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VLOOKUP($A22,[16]HISTOJUIL22!$A$6:$BA$39,48,0)</f>
        <v>0</v>
      </c>
      <c r="F22" s="5">
        <f>MVTJUIN22!F22-MVTJUIL22!E22</f>
        <v>570000</v>
      </c>
      <c r="G22" s="6">
        <f t="shared" si="1"/>
        <v>1708.2200149138039</v>
      </c>
      <c r="H22" s="6">
        <f>MVTJUIN22!H22+MVTJUIN22!G22+K22</f>
        <v>745662.22997327324</v>
      </c>
      <c r="I22" s="36">
        <f>VLOOKUP($A22,[16]HISTOJUIL22!$A$6:$AQ$37,22,0)</f>
        <v>0</v>
      </c>
      <c r="J22" s="36">
        <f>VLOOKUP($A22,[16]HISTOJUIL22!$A$6:$AU$39,45,0)</f>
        <v>7000</v>
      </c>
      <c r="K22" s="36">
        <f t="shared" si="2"/>
        <v>3000</v>
      </c>
      <c r="L22" s="36">
        <f t="shared" si="3"/>
        <v>500</v>
      </c>
      <c r="M22" s="36">
        <f t="shared" si="4"/>
        <v>1000</v>
      </c>
      <c r="N22" s="36">
        <f t="shared" si="5"/>
        <v>2500</v>
      </c>
      <c r="O22" s="36">
        <f>VLOOKUP($A22,[16]HISTOJUIL22!$A$6:$AU$39,7,0)</f>
        <v>0</v>
      </c>
      <c r="P22" s="36">
        <f>VLOOKUP($A22,[16]HISTOJUIL22!$A$6:$AU$39,23,0)</f>
        <v>0</v>
      </c>
      <c r="Q22" s="36">
        <f>VLOOKUP($A22,[16]HISTOJUIL22!$A$6:$AU$39,46,0)</f>
        <v>0</v>
      </c>
      <c r="R22" s="36">
        <f>VLOOKUP($A22,[16]HISTOJUIL22!$A$6:$AU$39,26,0)</f>
        <v>0</v>
      </c>
      <c r="S22" s="36">
        <f>VLOOKUP($A22,[16]HISTOJUIL22!$A$6:$BG$39,58,0)</f>
        <v>0</v>
      </c>
      <c r="T22" s="36">
        <f>VLOOKUP($A22,[16]HISTOJUIL22!$A$6:$AU$39,28,0)</f>
        <v>0</v>
      </c>
      <c r="U22" s="36">
        <f>VLOOKUP($A22,[16]HISTOJUIL22!$A$6:$AU$39,19,0)</f>
        <v>0</v>
      </c>
      <c r="V22" s="36">
        <f>VLOOKUP($A22,[16]HISTOJUIL22!$A$6:$AU$39,20,0)</f>
        <v>0</v>
      </c>
      <c r="W22" s="36">
        <f>VLOOKUP($A22,[16]HISTOJUIL22!$A$6:$AU$39,27,0)</f>
        <v>0</v>
      </c>
      <c r="X22" s="36">
        <f>VLOOKUP($A22,[16]HISTOJUIL22!$A$6:$AU$39,33,0)</f>
        <v>0</v>
      </c>
      <c r="Y22" s="36">
        <f>VLOOKUP($A22,[16]HISTOJUIL22!$A$6:$BP$39,65,0)</f>
        <v>0</v>
      </c>
      <c r="Z22" s="36"/>
      <c r="AA22" s="36">
        <f>VLOOKUP($A22,[16]HISTOJUIL22!$A$6:$AU$39,43,0)</f>
        <v>0</v>
      </c>
      <c r="AB22" s="36">
        <f>VLOOKUP($A22,[16]HISTOJUIL22!$A$6:$AU$39,44,0)</f>
        <v>0</v>
      </c>
      <c r="AC22" s="36">
        <f>VLOOKUP($A22,[16]HISTOJUIL22!$A$6:$AU$39,47,0)</f>
        <v>0</v>
      </c>
      <c r="AD22" s="36">
        <f>VLOOKUP(A22,[16]HISTOJUIL22!$A$6:$BB$36,54,0)</f>
        <v>0</v>
      </c>
      <c r="AE22" s="36">
        <f>VLOOKUP($A22,[16]HISTOJUIL22!$A$6:$CA$36,60,0)</f>
        <v>0</v>
      </c>
      <c r="AF22" s="36">
        <f>VLOOKUP($A22,[16]HISTOJUIL22!$A$6:$CA$36,61,0)</f>
        <v>0</v>
      </c>
      <c r="AG22" s="36">
        <f>VLOOKUP($A22,[16]HISTOJUIL22!$A$6:$CA$36,62,0)</f>
        <v>0</v>
      </c>
      <c r="AH22" s="36">
        <f>VLOOKUP($A22,[16]HISTOJUIL22!$A$6:$CA$36,63,0)</f>
        <v>0</v>
      </c>
      <c r="AI22" s="36">
        <f>VLOOKUP($A22,[16]HISTOJUIL22!$A$6:$CA$36,64,0)</f>
        <v>0</v>
      </c>
      <c r="AJ22" s="36">
        <f>VLOOKUP($A22,[16]HISTOJUIL22!$A$6:$CA$36,65,0)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VLOOKUP($A23,[16]HISTOJUIL22!$A$6:$BA$39,48,0)</f>
        <v>0</v>
      </c>
      <c r="F23" s="5">
        <f>MVTJUIN22!F23-MVTJUIL22!E23</f>
        <v>570000</v>
      </c>
      <c r="G23" s="6">
        <f t="shared" si="1"/>
        <v>2057.4866496627337</v>
      </c>
      <c r="H23" s="6">
        <f>MVTJUIN22!H23+MVTJUIN22!G23+K23</f>
        <v>898122.06269294152</v>
      </c>
      <c r="I23" s="36">
        <f>VLOOKUP($A23,[16]HISTOJUIL22!$A$6:$AQ$37,22,0)</f>
        <v>0</v>
      </c>
      <c r="J23" s="36">
        <f>VLOOKUP($A23,[16]HISTOJUIL22!$A$6:$AU$39,45,0)</f>
        <v>27000</v>
      </c>
      <c r="K23" s="36">
        <f t="shared" si="2"/>
        <v>23000</v>
      </c>
      <c r="L23" s="36">
        <f t="shared" si="3"/>
        <v>500</v>
      </c>
      <c r="M23" s="36">
        <f t="shared" si="4"/>
        <v>1000</v>
      </c>
      <c r="N23" s="36">
        <f t="shared" si="5"/>
        <v>2500</v>
      </c>
      <c r="O23" s="36">
        <f>VLOOKUP($A23,[16]HISTOJUIL22!$A$6:$AU$39,7,0)</f>
        <v>0</v>
      </c>
      <c r="P23" s="36">
        <f>VLOOKUP($A23,[16]HISTOJUIL22!$A$6:$AU$39,23,0)</f>
        <v>0</v>
      </c>
      <c r="Q23" s="36">
        <f>VLOOKUP($A23,[16]HISTOJUIL22!$A$6:$AU$39,46,0)</f>
        <v>0</v>
      </c>
      <c r="R23" s="36">
        <f>VLOOKUP($A23,[16]HISTOJUIL22!$A$6:$AU$39,26,0)</f>
        <v>0</v>
      </c>
      <c r="S23" s="36">
        <f>VLOOKUP($A23,[16]HISTOJUIL22!$A$6:$BG$39,58,0)</f>
        <v>0</v>
      </c>
      <c r="T23" s="36">
        <f>VLOOKUP($A23,[16]HISTOJUIL22!$A$6:$AU$39,28,0)</f>
        <v>0</v>
      </c>
      <c r="U23" s="36">
        <f>VLOOKUP($A23,[16]HISTOJUIL22!$A$6:$AU$39,19,0)</f>
        <v>0</v>
      </c>
      <c r="V23" s="36">
        <f>VLOOKUP($A23,[16]HISTOJUIL22!$A$6:$AU$39,20,0)</f>
        <v>0</v>
      </c>
      <c r="W23" s="36">
        <f>VLOOKUP($A23,[16]HISTOJUIL22!$A$6:$AU$39,27,0)</f>
        <v>0</v>
      </c>
      <c r="X23" s="36">
        <f>VLOOKUP($A23,[16]HISTOJUIL22!$A$6:$AU$39,33,0)</f>
        <v>0</v>
      </c>
      <c r="Y23" s="36">
        <f>VLOOKUP($A23,[16]HISTOJUIL22!$A$6:$BP$39,65,0)</f>
        <v>0</v>
      </c>
      <c r="Z23" s="36"/>
      <c r="AA23" s="36">
        <f>VLOOKUP($A23,[16]HISTOJUIL22!$A$6:$AU$39,43,0)</f>
        <v>0</v>
      </c>
      <c r="AB23" s="36">
        <f>VLOOKUP($A23,[16]HISTOJUIL22!$A$6:$AU$39,44,0)</f>
        <v>0</v>
      </c>
      <c r="AC23" s="36">
        <f>VLOOKUP($A23,[16]HISTOJUIL22!$A$6:$AU$39,47,0)</f>
        <v>0</v>
      </c>
      <c r="AD23" s="36">
        <f>VLOOKUP(A23,[16]HISTOJUIL22!$A$6:$BB$36,54,0)</f>
        <v>0</v>
      </c>
      <c r="AE23" s="36">
        <f>VLOOKUP($A23,[16]HISTOJUIL22!$A$6:$CA$36,60,0)</f>
        <v>0</v>
      </c>
      <c r="AF23" s="36">
        <f>VLOOKUP($A23,[16]HISTOJUIL22!$A$6:$CA$36,61,0)</f>
        <v>0</v>
      </c>
      <c r="AG23" s="36">
        <f>VLOOKUP($A23,[16]HISTOJUIL22!$A$6:$CA$36,62,0)</f>
        <v>0</v>
      </c>
      <c r="AH23" s="36">
        <f>VLOOKUP($A23,[16]HISTOJUIL22!$A$6:$CA$36,63,0)</f>
        <v>0</v>
      </c>
      <c r="AI23" s="36">
        <f>VLOOKUP($A23,[16]HISTOJUIL22!$A$6:$CA$36,64,0)</f>
        <v>0</v>
      </c>
      <c r="AJ23" s="36">
        <f>VLOOKUP($A23,[16]HISTOJUIL22!$A$6:$CA$36,65,0)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VLOOKUP($A24,[16]HISTOJUIL22!$A$6:$BA$39,48,0)</f>
        <v>0</v>
      </c>
      <c r="F24" s="5">
        <f>MVTJUIN22!F24-MVTJUIL22!E24</f>
        <v>570000</v>
      </c>
      <c r="G24" s="6">
        <f t="shared" si="1"/>
        <v>1660.1278258418686</v>
      </c>
      <c r="H24" s="6">
        <f>MVTJUIN22!H24+MVTJUIN22!G24+K24</f>
        <v>724669.30831529526</v>
      </c>
      <c r="I24" s="36">
        <f>VLOOKUP($A24,[16]HISTOJUIL22!$A$6:$AQ$37,22,0)</f>
        <v>0</v>
      </c>
      <c r="J24" s="36">
        <f>VLOOKUP($A24,[16]HISTOJUIL22!$A$6:$AU$39,45,0)</f>
        <v>10000</v>
      </c>
      <c r="K24" s="36">
        <f t="shared" si="2"/>
        <v>6000</v>
      </c>
      <c r="L24" s="36">
        <f t="shared" si="3"/>
        <v>500</v>
      </c>
      <c r="M24" s="36">
        <f t="shared" si="4"/>
        <v>1000</v>
      </c>
      <c r="N24" s="36">
        <f t="shared" si="5"/>
        <v>2500</v>
      </c>
      <c r="O24" s="36">
        <f>VLOOKUP($A24,[16]HISTOJUIL22!$A$6:$AU$39,7,0)</f>
        <v>0</v>
      </c>
      <c r="P24" s="36">
        <f>VLOOKUP($A24,[16]HISTOJUIL22!$A$6:$AU$39,23,0)</f>
        <v>0</v>
      </c>
      <c r="Q24" s="36">
        <f>VLOOKUP($A24,[16]HISTOJUIL22!$A$6:$AU$39,46,0)</f>
        <v>0</v>
      </c>
      <c r="R24" s="36">
        <f>VLOOKUP($A24,[16]HISTOJUIL22!$A$6:$AU$39,26,0)</f>
        <v>0</v>
      </c>
      <c r="S24" s="36">
        <f>VLOOKUP($A24,[16]HISTOJUIL22!$A$6:$BG$39,58,0)</f>
        <v>0</v>
      </c>
      <c r="T24" s="36">
        <f>VLOOKUP($A24,[16]HISTOJUIL22!$A$6:$AU$39,28,0)</f>
        <v>0</v>
      </c>
      <c r="U24" s="36">
        <f>VLOOKUP($A24,[16]HISTOJUIL22!$A$6:$AU$39,19,0)</f>
        <v>0</v>
      </c>
      <c r="V24" s="36">
        <f>VLOOKUP($A24,[16]HISTOJUIL22!$A$6:$AU$39,20,0)</f>
        <v>0</v>
      </c>
      <c r="W24" s="36">
        <f>VLOOKUP($A24,[16]HISTOJUIL22!$A$6:$AU$39,27,0)</f>
        <v>0</v>
      </c>
      <c r="X24" s="36">
        <f>VLOOKUP($A24,[16]HISTOJUIL22!$A$6:$AU$39,33,0)</f>
        <v>0</v>
      </c>
      <c r="Y24" s="36">
        <f>VLOOKUP($A24,[16]HISTOJUIL22!$A$6:$BP$39,65,0)</f>
        <v>0</v>
      </c>
      <c r="Z24" s="36"/>
      <c r="AA24" s="36">
        <f>VLOOKUP($A24,[16]HISTOJUIL22!$A$6:$AU$39,43,0)</f>
        <v>0</v>
      </c>
      <c r="AB24" s="36">
        <f>VLOOKUP($A24,[16]HISTOJUIL22!$A$6:$AU$39,44,0)</f>
        <v>0</v>
      </c>
      <c r="AC24" s="36">
        <f>VLOOKUP($A24,[16]HISTOJUIL22!$A$6:$AU$39,47,0)</f>
        <v>0</v>
      </c>
      <c r="AD24" s="36">
        <f>VLOOKUP(A24,[16]HISTOJUIL22!$A$6:$BB$36,54,0)</f>
        <v>0</v>
      </c>
      <c r="AE24" s="36">
        <f>VLOOKUP($A24,[16]HISTOJUIL22!$A$6:$CA$36,60,0)</f>
        <v>0</v>
      </c>
      <c r="AF24" s="36">
        <f>VLOOKUP($A24,[16]HISTOJUIL22!$A$6:$CA$36,61,0)</f>
        <v>0</v>
      </c>
      <c r="AG24" s="36">
        <f>VLOOKUP($A24,[16]HISTOJUIL22!$A$6:$CA$36,62,0)</f>
        <v>0</v>
      </c>
      <c r="AH24" s="36">
        <f>VLOOKUP($A24,[16]HISTOJUIL22!$A$6:$CA$36,63,0)</f>
        <v>0</v>
      </c>
      <c r="AI24" s="36">
        <f>VLOOKUP($A24,[16]HISTOJUIL22!$A$6:$CA$36,64,0)</f>
        <v>0</v>
      </c>
      <c r="AJ24" s="36">
        <f>VLOOKUP($A24,[16]HISTOJUIL22!$A$6:$CA$36,65,0)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VLOOKUP($A25,[16]HISTOJUIL22!$A$6:$BA$39,48,0)</f>
        <v>0</v>
      </c>
      <c r="F25" s="5">
        <f>MVTJUIN22!F25-MVTJUIL22!E25</f>
        <v>570000</v>
      </c>
      <c r="G25" s="6">
        <f t="shared" si="1"/>
        <v>1517.5375410937506</v>
      </c>
      <c r="H25" s="6">
        <f>MVTJUIN22!H25+MVTJUIN22!G25+K25</f>
        <v>662426.62952126958</v>
      </c>
      <c r="I25" s="36">
        <f>VLOOKUP($A25,[16]HISTOJUIL22!$A$6:$AQ$37,22,0)</f>
        <v>0</v>
      </c>
      <c r="J25" s="36">
        <f>VLOOKUP($A25,[16]HISTOJUIL22!$A$6:$AU$39,45,0)</f>
        <v>11000</v>
      </c>
      <c r="K25" s="36">
        <f t="shared" si="2"/>
        <v>7000</v>
      </c>
      <c r="L25" s="36">
        <f t="shared" si="3"/>
        <v>500</v>
      </c>
      <c r="M25" s="36">
        <f t="shared" si="4"/>
        <v>1000</v>
      </c>
      <c r="N25" s="36">
        <f t="shared" si="5"/>
        <v>2500</v>
      </c>
      <c r="O25" s="36">
        <f>VLOOKUP($A25,[16]HISTOJUIL22!$A$6:$AU$39,7,0)</f>
        <v>0</v>
      </c>
      <c r="P25" s="36">
        <f>VLOOKUP($A25,[16]HISTOJUIL22!$A$6:$AU$39,23,0)</f>
        <v>0</v>
      </c>
      <c r="Q25" s="36">
        <f>VLOOKUP($A25,[16]HISTOJUIL22!$A$6:$AU$39,46,0)</f>
        <v>0</v>
      </c>
      <c r="R25" s="36">
        <f>VLOOKUP($A25,[16]HISTOJUIL22!$A$6:$AU$39,26,0)</f>
        <v>0</v>
      </c>
      <c r="S25" s="36">
        <f>VLOOKUP($A25,[16]HISTOJUIL22!$A$6:$BG$39,58,0)</f>
        <v>0</v>
      </c>
      <c r="T25" s="36">
        <f>VLOOKUP($A25,[16]HISTOJUIL22!$A$6:$AU$39,28,0)</f>
        <v>0</v>
      </c>
      <c r="U25" s="36">
        <f>VLOOKUP($A25,[16]HISTOJUIL22!$A$6:$AU$39,19,0)</f>
        <v>0</v>
      </c>
      <c r="V25" s="36">
        <f>VLOOKUP($A25,[16]HISTOJUIL22!$A$6:$AU$39,20,0)</f>
        <v>0</v>
      </c>
      <c r="W25" s="36">
        <f>VLOOKUP($A25,[16]HISTOJUIL22!$A$6:$AU$39,27,0)</f>
        <v>0</v>
      </c>
      <c r="X25" s="36">
        <f>VLOOKUP($A25,[16]HISTOJUIL22!$A$6:$AU$39,33,0)</f>
        <v>0</v>
      </c>
      <c r="Y25" s="36">
        <f>VLOOKUP($A25,[16]HISTOJUIL22!$A$6:$BP$39,65,0)</f>
        <v>0</v>
      </c>
      <c r="Z25" s="36"/>
      <c r="AA25" s="36">
        <f>VLOOKUP($A25,[16]HISTOJUIL22!$A$6:$AU$39,43,0)</f>
        <v>0</v>
      </c>
      <c r="AB25" s="36">
        <f>VLOOKUP($A25,[16]HISTOJUIL22!$A$6:$AU$39,44,0)</f>
        <v>0</v>
      </c>
      <c r="AC25" s="36">
        <f>VLOOKUP($A25,[16]HISTOJUIL22!$A$6:$AU$39,47,0)</f>
        <v>0</v>
      </c>
      <c r="AD25" s="36">
        <f>VLOOKUP(A25,[16]HISTOJUIL22!$A$6:$BB$36,54,0)</f>
        <v>0</v>
      </c>
      <c r="AE25" s="36">
        <f>VLOOKUP($A25,[16]HISTOJUIL22!$A$6:$CA$36,60,0)</f>
        <v>0</v>
      </c>
      <c r="AF25" s="36">
        <f>VLOOKUP($A25,[16]HISTOJUIL22!$A$6:$CA$36,61,0)</f>
        <v>0</v>
      </c>
      <c r="AG25" s="36">
        <f>VLOOKUP($A25,[16]HISTOJUIL22!$A$6:$CA$36,62,0)</f>
        <v>0</v>
      </c>
      <c r="AH25" s="36">
        <f>VLOOKUP($A25,[16]HISTOJUIL22!$A$6:$CA$36,63,0)</f>
        <v>0</v>
      </c>
      <c r="AI25" s="36">
        <f>VLOOKUP($A25,[16]HISTOJUIL22!$A$6:$CA$36,64,0)</f>
        <v>0</v>
      </c>
      <c r="AJ25" s="36">
        <f>VLOOKUP($A25,[16]HISTOJUIL22!$A$6:$CA$36,65,0)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VLOOKUP($A26,[16]HISTOJUIL22!$A$6:$BA$39,48,0)</f>
        <v>0</v>
      </c>
      <c r="F26" s="5">
        <f>MVTJUIN22!F26-MVTJUIL22!E26</f>
        <v>570000</v>
      </c>
      <c r="G26" s="6">
        <f t="shared" si="1"/>
        <v>1521.9644371885418</v>
      </c>
      <c r="H26" s="6">
        <f>MVTJUIN22!H26+MVTJUIN22!G26+K26</f>
        <v>664359.03236462839</v>
      </c>
      <c r="I26" s="36">
        <f>VLOOKUP($A26,[16]HISTOJUIL22!$A$6:$AQ$37,22,0)</f>
        <v>0</v>
      </c>
      <c r="J26" s="36">
        <f>VLOOKUP($A26,[16]HISTOJUIL22!$A$6:$AU$39,45,0)</f>
        <v>7000</v>
      </c>
      <c r="K26" s="36">
        <f t="shared" si="2"/>
        <v>3000</v>
      </c>
      <c r="L26" s="36">
        <f t="shared" si="3"/>
        <v>500</v>
      </c>
      <c r="M26" s="36">
        <f t="shared" si="4"/>
        <v>1000</v>
      </c>
      <c r="N26" s="36">
        <f t="shared" si="5"/>
        <v>2500</v>
      </c>
      <c r="O26" s="36">
        <f>VLOOKUP($A26,[16]HISTOJUIL22!$A$6:$AU$39,7,0)</f>
        <v>3000</v>
      </c>
      <c r="P26" s="36">
        <f>VLOOKUP($A26,[16]HISTOJUIL22!$A$6:$AU$39,23,0)</f>
        <v>0</v>
      </c>
      <c r="Q26" s="36">
        <f>VLOOKUP($A26,[16]HISTOJUIL22!$A$6:$AU$39,46,0)</f>
        <v>0</v>
      </c>
      <c r="R26" s="36">
        <f>VLOOKUP($A26,[16]HISTOJUIL22!$A$6:$AU$39,26,0)</f>
        <v>0</v>
      </c>
      <c r="S26" s="36">
        <f>VLOOKUP($A26,[16]HISTOJUIL22!$A$6:$BG$39,58,0)</f>
        <v>0</v>
      </c>
      <c r="T26" s="36">
        <f>VLOOKUP($A26,[16]HISTOJUIL22!$A$6:$AU$39,28,0)</f>
        <v>0</v>
      </c>
      <c r="U26" s="36">
        <f>VLOOKUP($A26,[16]HISTOJUIL22!$A$6:$AU$39,19,0)</f>
        <v>0</v>
      </c>
      <c r="V26" s="36">
        <f>VLOOKUP($A26,[16]HISTOJUIL22!$A$6:$AU$39,20,0)</f>
        <v>0</v>
      </c>
      <c r="W26" s="36">
        <f>VLOOKUP($A26,[16]HISTOJUIL22!$A$6:$AU$39,27,0)</f>
        <v>0</v>
      </c>
      <c r="X26" s="36">
        <f>VLOOKUP($A26,[16]HISTOJUIL22!$A$6:$AU$39,33,0)</f>
        <v>0</v>
      </c>
      <c r="Y26" s="36">
        <f>VLOOKUP($A26,[16]HISTOJUIL22!$A$6:$BP$39,65,0)</f>
        <v>0</v>
      </c>
      <c r="Z26" s="36"/>
      <c r="AA26" s="36">
        <f>VLOOKUP($A26,[16]HISTOJUIL22!$A$6:$AU$39,43,0)</f>
        <v>0</v>
      </c>
      <c r="AB26" s="36">
        <f>VLOOKUP($A26,[16]HISTOJUIL22!$A$6:$AU$39,44,0)</f>
        <v>0</v>
      </c>
      <c r="AC26" s="36">
        <f>VLOOKUP($A26,[16]HISTOJUIL22!$A$6:$AU$39,47,0)</f>
        <v>0</v>
      </c>
      <c r="AD26" s="36">
        <f>VLOOKUP(A26,[16]HISTOJUIL22!$A$6:$BB$36,54,0)</f>
        <v>0</v>
      </c>
      <c r="AE26" s="36">
        <f>VLOOKUP($A26,[16]HISTOJUIL22!$A$6:$CA$36,60,0)</f>
        <v>0</v>
      </c>
      <c r="AF26" s="36">
        <f>VLOOKUP($A26,[16]HISTOJUIL22!$A$6:$CA$36,61,0)</f>
        <v>0</v>
      </c>
      <c r="AG26" s="36">
        <f>VLOOKUP($A26,[16]HISTOJUIL22!$A$6:$CA$36,62,0)</f>
        <v>0</v>
      </c>
      <c r="AH26" s="36">
        <f>VLOOKUP($A26,[16]HISTOJUIL22!$A$6:$CA$36,63,0)</f>
        <v>0</v>
      </c>
      <c r="AI26" s="36">
        <f>VLOOKUP($A26,[16]HISTOJUIL22!$A$6:$CA$36,64,0)</f>
        <v>0</v>
      </c>
      <c r="AJ26" s="36">
        <f>VLOOKUP($A26,[16]HISTOJUIL22!$A$6:$CA$36,65,0)</f>
        <v>0</v>
      </c>
    </row>
    <row r="27" spans="1:36" x14ac:dyDescent="0.25">
      <c r="A27" s="1" t="s">
        <v>30</v>
      </c>
      <c r="B27" s="1" t="str">
        <f>VLOOKUP(A27,[15]LISTADHERENT!A$5:H$60,3,0)</f>
        <v>NKEHE DAVID</v>
      </c>
      <c r="C27" s="5"/>
      <c r="D27" s="5"/>
      <c r="E27" s="36">
        <f>VLOOKUP($A27,[16]HISTOJUIL22!$A$6:$BA$39,48,0)</f>
        <v>0</v>
      </c>
      <c r="F27" s="5">
        <f>MVTJUIN22!F27-MVTJUIL22!E27</f>
        <v>534974.27750837663</v>
      </c>
      <c r="G27" s="6">
        <f t="shared" si="1"/>
        <v>0</v>
      </c>
      <c r="H27" s="6">
        <f>MVTJUIN22!H27+MVTJUIN22!G27+K27</f>
        <v>0</v>
      </c>
      <c r="I27" s="36">
        <f>VLOOKUP($A27,[16]HISTOJUIL22!$A$6:$AQ$37,22,0)</f>
        <v>0</v>
      </c>
      <c r="J27" s="36">
        <f>VLOOKUP($A27,[16]HISTOJUIL22!$A$6:$AU$39,45,0)</f>
        <v>0</v>
      </c>
      <c r="K27" s="36">
        <f t="shared" si="2"/>
        <v>0</v>
      </c>
      <c r="L27" s="36">
        <f t="shared" si="3"/>
        <v>0</v>
      </c>
      <c r="M27" s="36">
        <f t="shared" si="4"/>
        <v>0</v>
      </c>
      <c r="N27" s="36">
        <f t="shared" si="5"/>
        <v>0</v>
      </c>
      <c r="O27" s="36">
        <f>VLOOKUP($A27,[16]HISTOJUIL22!$A$6:$AU$39,7,0)</f>
        <v>0</v>
      </c>
      <c r="P27" s="36">
        <f>VLOOKUP($A27,[16]HISTOJUIL22!$A$6:$AU$39,23,0)</f>
        <v>0</v>
      </c>
      <c r="Q27" s="36">
        <f>VLOOKUP($A27,[16]HISTOJUIL22!$A$6:$AU$39,46,0)</f>
        <v>0</v>
      </c>
      <c r="R27" s="36">
        <f>VLOOKUP($A27,[16]HISTOJUIL22!$A$6:$AU$39,26,0)</f>
        <v>0</v>
      </c>
      <c r="S27" s="36">
        <f>VLOOKUP($A27,[16]HISTOJUIL22!$A$6:$BG$39,58,0)</f>
        <v>0</v>
      </c>
      <c r="T27" s="36">
        <f>VLOOKUP($A27,[16]HISTOJUIL22!$A$6:$AU$39,28,0)</f>
        <v>0</v>
      </c>
      <c r="U27" s="36">
        <f>VLOOKUP($A27,[16]HISTOJUIL22!$A$6:$AU$39,19,0)</f>
        <v>0</v>
      </c>
      <c r="V27" s="36">
        <f>VLOOKUP($A27,[16]HISTOJUIL22!$A$6:$AU$39,20,0)</f>
        <v>0</v>
      </c>
      <c r="W27" s="36">
        <f>VLOOKUP($A27,[16]HISTOJUIL22!$A$6:$AU$39,27,0)</f>
        <v>0</v>
      </c>
      <c r="X27" s="36">
        <f>VLOOKUP($A27,[16]HISTOJUIL22!$A$6:$AU$39,33,0)</f>
        <v>0</v>
      </c>
      <c r="Y27" s="36">
        <f>VLOOKUP($A27,[16]HISTOJUIL22!$A$6:$BP$39,65,0)</f>
        <v>0</v>
      </c>
      <c r="Z27" s="36"/>
      <c r="AA27" s="36">
        <f>VLOOKUP($A27,[16]HISTOJUIL22!$A$6:$AU$39,43,0)</f>
        <v>0</v>
      </c>
      <c r="AB27" s="36">
        <f>VLOOKUP($A27,[16]HISTOJUIL22!$A$6:$AU$39,44,0)</f>
        <v>0</v>
      </c>
      <c r="AC27" s="36">
        <f>VLOOKUP($A27,[16]HISTOJUIL22!$A$6:$AU$39,47,0)</f>
        <v>0</v>
      </c>
      <c r="AD27" s="36">
        <f>VLOOKUP(A27,[16]HISTOJUIL22!$A$6:$BB$36,54,0)</f>
        <v>0</v>
      </c>
      <c r="AE27" s="36">
        <f>VLOOKUP($A27,[16]HISTOJUIL22!$A$6:$CA$36,60,0)</f>
        <v>0</v>
      </c>
      <c r="AF27" s="36">
        <f>VLOOKUP($A27,[16]HISTOJUIL22!$A$6:$CA$36,61,0)</f>
        <v>0</v>
      </c>
      <c r="AG27" s="36">
        <f>VLOOKUP($A27,[16]HISTOJUIL22!$A$6:$CA$36,62,0)</f>
        <v>0</v>
      </c>
      <c r="AH27" s="36">
        <f>VLOOKUP($A27,[16]HISTOJUIL22!$A$6:$CA$36,63,0)</f>
        <v>0</v>
      </c>
      <c r="AI27" s="36">
        <f>VLOOKUP($A27,[16]HISTOJUIL22!$A$6:$CA$36,64,0)</f>
        <v>0</v>
      </c>
      <c r="AJ27" s="36">
        <f>VLOOKUP($A27,[16]HISTOJUIL22!$A$6:$CA$36,65,0)</f>
        <v>0</v>
      </c>
    </row>
    <row r="28" spans="1:36" x14ac:dyDescent="0.25">
      <c r="A28" s="1" t="s">
        <v>44</v>
      </c>
      <c r="B28" s="1" t="str">
        <f>VLOOKUP(A28,[15]LISTADHERENT!A$5:H$60,3,0)</f>
        <v>NKEPSEU DIEUDONNE</v>
      </c>
      <c r="C28" s="5"/>
      <c r="D28" s="5"/>
      <c r="E28" s="36">
        <f>VLOOKUP($A28,[16]HISTOJUIL22!$A$6:$BA$39,48,0)</f>
        <v>0</v>
      </c>
      <c r="F28" s="5">
        <f>MVTJUIN22!F28-MVTJUIL22!E28</f>
        <v>570000</v>
      </c>
      <c r="G28" s="6">
        <f t="shared" si="1"/>
        <v>2466.6917181187819</v>
      </c>
      <c r="H28" s="6">
        <f>MVTJUIN22!H28+MVTJUIN22!G28+K28</f>
        <v>1076745.8706318149</v>
      </c>
      <c r="I28" s="36">
        <f>VLOOKUP($A28,[16]HISTOJUIL22!$A$6:$AQ$37,22,0)</f>
        <v>0</v>
      </c>
      <c r="J28" s="36">
        <f>VLOOKUP($A28,[16]HISTOJUIL22!$A$6:$AU$39,45,0)</f>
        <v>77000</v>
      </c>
      <c r="K28" s="36">
        <f t="shared" si="2"/>
        <v>73000</v>
      </c>
      <c r="L28" s="36">
        <f t="shared" si="3"/>
        <v>500</v>
      </c>
      <c r="M28" s="36">
        <f t="shared" si="4"/>
        <v>1000</v>
      </c>
      <c r="N28" s="36">
        <f t="shared" si="5"/>
        <v>2500</v>
      </c>
      <c r="O28" s="36">
        <f>VLOOKUP($A28,[16]HISTOJUIL22!$A$6:$AU$39,7,0)</f>
        <v>0</v>
      </c>
      <c r="P28" s="36">
        <f>VLOOKUP($A28,[16]HISTOJUIL22!$A$6:$AU$39,23,0)</f>
        <v>0</v>
      </c>
      <c r="Q28" s="36">
        <f>VLOOKUP($A28,[16]HISTOJUIL22!$A$6:$AU$39,46,0)</f>
        <v>0</v>
      </c>
      <c r="R28" s="36">
        <f>VLOOKUP($A28,[16]HISTOJUIL22!$A$6:$AU$39,26,0)</f>
        <v>0</v>
      </c>
      <c r="S28" s="36">
        <f>VLOOKUP($A28,[16]HISTOJUIL22!$A$6:$BG$39,58,0)</f>
        <v>0</v>
      </c>
      <c r="T28" s="36">
        <f>VLOOKUP($A28,[16]HISTOJUIL22!$A$6:$AU$39,28,0)</f>
        <v>0</v>
      </c>
      <c r="U28" s="36">
        <f>VLOOKUP($A28,[16]HISTOJUIL22!$A$6:$AU$39,19,0)</f>
        <v>0</v>
      </c>
      <c r="V28" s="36">
        <f>VLOOKUP($A28,[16]HISTOJUIL22!$A$6:$AU$39,20,0)</f>
        <v>0</v>
      </c>
      <c r="W28" s="36">
        <f>VLOOKUP($A28,[16]HISTOJUIL22!$A$6:$AU$39,27,0)</f>
        <v>0</v>
      </c>
      <c r="X28" s="36">
        <f>VLOOKUP($A28,[16]HISTOJUIL22!$A$6:$AU$39,33,0)</f>
        <v>0</v>
      </c>
      <c r="Y28" s="36">
        <f>VLOOKUP($A28,[16]HISTOJUIL22!$A$6:$BP$39,65,0)</f>
        <v>0</v>
      </c>
      <c r="Z28" s="36"/>
      <c r="AA28" s="36">
        <f>VLOOKUP($A28,[16]HISTOJUIL22!$A$6:$AU$39,43,0)</f>
        <v>0</v>
      </c>
      <c r="AB28" s="36">
        <f>VLOOKUP($A28,[16]HISTOJUIL22!$A$6:$AU$39,44,0)</f>
        <v>0</v>
      </c>
      <c r="AC28" s="36">
        <f>VLOOKUP($A28,[16]HISTOJUIL22!$A$6:$AU$39,47,0)</f>
        <v>0</v>
      </c>
      <c r="AD28" s="36">
        <f>VLOOKUP(A28,[16]HISTOJUIL22!$A$6:$BB$36,54,0)</f>
        <v>0</v>
      </c>
      <c r="AE28" s="36">
        <f>VLOOKUP($A28,[16]HISTOJUIL22!$A$6:$CA$36,60,0)</f>
        <v>0</v>
      </c>
      <c r="AF28" s="36">
        <f>VLOOKUP($A28,[16]HISTOJUIL22!$A$6:$CA$36,61,0)</f>
        <v>0</v>
      </c>
      <c r="AG28" s="36">
        <f>VLOOKUP($A28,[16]HISTOJUIL22!$A$6:$CA$36,62,0)</f>
        <v>0</v>
      </c>
      <c r="AH28" s="36">
        <f>VLOOKUP($A28,[16]HISTOJUIL22!$A$6:$CA$36,63,0)</f>
        <v>0</v>
      </c>
      <c r="AI28" s="36">
        <f>VLOOKUP($A28,[16]HISTOJUIL22!$A$6:$CA$36,64,0)</f>
        <v>0</v>
      </c>
      <c r="AJ28" s="36">
        <f>VLOOKUP($A28,[16]HISTOJUIL22!$A$6:$CA$36,65,0)</f>
        <v>0</v>
      </c>
    </row>
    <row r="29" spans="1:36" x14ac:dyDescent="0.25">
      <c r="A29" s="1" t="s">
        <v>45</v>
      </c>
      <c r="B29" s="1" t="str">
        <f>VLOOKUP(A29,[15]LISTADHERENT!A$5:H$60,3,0)</f>
        <v>PATEGO NJOSSU GUSTAVE</v>
      </c>
      <c r="C29" s="5"/>
      <c r="D29" s="5"/>
      <c r="E29" s="36">
        <f>VLOOKUP($A29,[16]HISTOJUIL22!$A$6:$BA$39,48,0)</f>
        <v>0</v>
      </c>
      <c r="F29" s="5">
        <f>MVTJUIN22!F29-MVTJUIL22!E29</f>
        <v>570000</v>
      </c>
      <c r="G29" s="6">
        <f t="shared" si="1"/>
        <v>1549.1601221403641</v>
      </c>
      <c r="H29" s="6">
        <f>MVTJUIN22!H29+MVTJUIN22!G29+K29</f>
        <v>676230.33401768259</v>
      </c>
      <c r="I29" s="36">
        <f>VLOOKUP($A29,[16]HISTOJUIL22!$A$6:$AQ$37,22,0)</f>
        <v>0</v>
      </c>
      <c r="J29" s="36">
        <f>VLOOKUP($A29,[16]HISTOJUIL22!$A$6:$AU$39,45,0)</f>
        <v>7000</v>
      </c>
      <c r="K29" s="36">
        <f t="shared" si="2"/>
        <v>3000</v>
      </c>
      <c r="L29" s="36">
        <f t="shared" si="3"/>
        <v>500</v>
      </c>
      <c r="M29" s="36">
        <f t="shared" si="4"/>
        <v>1000</v>
      </c>
      <c r="N29" s="36">
        <f t="shared" si="5"/>
        <v>2500</v>
      </c>
      <c r="O29" s="36">
        <f>VLOOKUP($A29,[16]HISTOJUIL22!$A$6:$AU$39,7,0)</f>
        <v>0</v>
      </c>
      <c r="P29" s="36">
        <f>VLOOKUP($A29,[16]HISTOJUIL22!$A$6:$AU$39,23,0)</f>
        <v>0</v>
      </c>
      <c r="Q29" s="36">
        <f>VLOOKUP($A29,[16]HISTOJUIL22!$A$6:$AU$39,46,0)</f>
        <v>0</v>
      </c>
      <c r="R29" s="36">
        <f>VLOOKUP($A29,[16]HISTOJUIL22!$A$6:$AU$39,26,0)</f>
        <v>0</v>
      </c>
      <c r="S29" s="36">
        <f>VLOOKUP($A29,[16]HISTOJUIL22!$A$6:$BG$39,58,0)</f>
        <v>0</v>
      </c>
      <c r="T29" s="36">
        <f>VLOOKUP($A29,[16]HISTOJUIL22!$A$6:$AU$39,28,0)</f>
        <v>0</v>
      </c>
      <c r="U29" s="36">
        <f>VLOOKUP($A29,[16]HISTOJUIL22!$A$6:$AU$39,19,0)</f>
        <v>0</v>
      </c>
      <c r="V29" s="36">
        <f>VLOOKUP($A29,[16]HISTOJUIL22!$A$6:$AU$39,20,0)</f>
        <v>0</v>
      </c>
      <c r="W29" s="36">
        <f>VLOOKUP($A29,[16]HISTOJUIL22!$A$6:$AU$39,27,0)</f>
        <v>0</v>
      </c>
      <c r="X29" s="36">
        <f>VLOOKUP($A29,[16]HISTOJUIL22!$A$6:$AU$39,33,0)</f>
        <v>0</v>
      </c>
      <c r="Y29" s="36">
        <f>VLOOKUP($A29,[16]HISTOJUIL22!$A$6:$BP$39,65,0)</f>
        <v>0</v>
      </c>
      <c r="Z29" s="36"/>
      <c r="AA29" s="36">
        <f>VLOOKUP($A29,[16]HISTOJUIL22!$A$6:$AU$39,43,0)</f>
        <v>0</v>
      </c>
      <c r="AB29" s="36">
        <f>VLOOKUP($A29,[16]HISTOJUIL22!$A$6:$AU$39,44,0)</f>
        <v>0</v>
      </c>
      <c r="AC29" s="36">
        <f>VLOOKUP($A29,[16]HISTOJUIL22!$A$6:$AU$39,47,0)</f>
        <v>0</v>
      </c>
      <c r="AD29" s="36">
        <f>VLOOKUP(A29,[16]HISTOJUIL22!$A$6:$BB$36,54,0)</f>
        <v>0</v>
      </c>
      <c r="AE29" s="36">
        <f>VLOOKUP($A29,[16]HISTOJUIL22!$A$6:$CA$36,60,0)</f>
        <v>0</v>
      </c>
      <c r="AF29" s="36">
        <f>VLOOKUP($A29,[16]HISTOJUIL22!$A$6:$CA$36,61,0)</f>
        <v>0</v>
      </c>
      <c r="AG29" s="36">
        <f>VLOOKUP($A29,[16]HISTOJUIL22!$A$6:$CA$36,62,0)</f>
        <v>0</v>
      </c>
      <c r="AH29" s="36">
        <f>VLOOKUP($A29,[16]HISTOJUIL22!$A$6:$CA$36,63,0)</f>
        <v>0</v>
      </c>
      <c r="AI29" s="36">
        <f>VLOOKUP($A29,[16]HISTOJUIL22!$A$6:$CA$36,64,0)</f>
        <v>0</v>
      </c>
      <c r="AJ29" s="36">
        <f>VLOOKUP($A29,[16]HISTOJUIL22!$A$6:$CA$36,65,0)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VLOOKUP($A30,[16]HISTOJUIL22!$A$6:$BA$39,48,0)</f>
        <v>0</v>
      </c>
      <c r="F30" s="5">
        <f>MVTJUIN22!F30-MVTJUIL22!E30</f>
        <v>570000</v>
      </c>
      <c r="G30" s="6">
        <f t="shared" si="1"/>
        <v>2188.6983375918485</v>
      </c>
      <c r="H30" s="6">
        <f>MVTJUIN22!H30+MVTJUIN22!G30+K30</f>
        <v>955397.82282078313</v>
      </c>
      <c r="I30" s="36">
        <f>VLOOKUP($A30,[16]HISTOJUIL22!$A$6:$AQ$37,22,0)</f>
        <v>0</v>
      </c>
      <c r="J30" s="36">
        <f>VLOOKUP($A30,[16]HISTOJUIL22!$A$6:$AU$39,45,0)</f>
        <v>7000</v>
      </c>
      <c r="K30" s="36">
        <f t="shared" si="2"/>
        <v>3000</v>
      </c>
      <c r="L30" s="36">
        <f t="shared" si="3"/>
        <v>500</v>
      </c>
      <c r="M30" s="36">
        <f t="shared" si="4"/>
        <v>1000</v>
      </c>
      <c r="N30" s="36">
        <f t="shared" si="5"/>
        <v>2500</v>
      </c>
      <c r="O30" s="36">
        <f>VLOOKUP($A30,[16]HISTOJUIL22!$A$6:$AU$39,7,0)</f>
        <v>3000</v>
      </c>
      <c r="P30" s="36">
        <f>VLOOKUP($A30,[16]HISTOJUIL22!$A$6:$AU$39,23,0)</f>
        <v>0</v>
      </c>
      <c r="Q30" s="36">
        <f>VLOOKUP($A30,[16]HISTOJUIL22!$A$6:$AU$39,46,0)</f>
        <v>0</v>
      </c>
      <c r="R30" s="36">
        <f>VLOOKUP($A30,[16]HISTOJUIL22!$A$6:$AU$39,26,0)</f>
        <v>0</v>
      </c>
      <c r="S30" s="36">
        <f>VLOOKUP($A30,[16]HISTOJUIL22!$A$6:$BG$39,58,0)</f>
        <v>0</v>
      </c>
      <c r="T30" s="36">
        <f>VLOOKUP($A30,[16]HISTOJUIL22!$A$6:$AU$39,28,0)</f>
        <v>0</v>
      </c>
      <c r="U30" s="36">
        <f>VLOOKUP($A30,[16]HISTOJUIL22!$A$6:$AU$39,19,0)</f>
        <v>0</v>
      </c>
      <c r="V30" s="36">
        <f>VLOOKUP($A30,[16]HISTOJUIL22!$A$6:$AU$39,20,0)</f>
        <v>0</v>
      </c>
      <c r="W30" s="36">
        <f>VLOOKUP($A30,[16]HISTOJUIL22!$A$6:$AU$39,27,0)</f>
        <v>0</v>
      </c>
      <c r="X30" s="36">
        <f>VLOOKUP($A30,[16]HISTOJUIL22!$A$6:$AU$39,33,0)</f>
        <v>0</v>
      </c>
      <c r="Y30" s="36">
        <f>VLOOKUP($A30,[16]HISTOJUIL22!$A$6:$BP$39,65,0)</f>
        <v>0</v>
      </c>
      <c r="Z30" s="36"/>
      <c r="AA30" s="36">
        <f>VLOOKUP($A30,[16]HISTOJUIL22!$A$6:$AU$39,43,0)</f>
        <v>0</v>
      </c>
      <c r="AB30" s="36">
        <f>VLOOKUP($A30,[16]HISTOJUIL22!$A$6:$AU$39,44,0)</f>
        <v>0</v>
      </c>
      <c r="AC30" s="36">
        <f>VLOOKUP($A30,[16]HISTOJUIL22!$A$6:$AU$39,47,0)</f>
        <v>0</v>
      </c>
      <c r="AD30" s="36">
        <f>VLOOKUP(A30,[16]HISTOJUIL22!$A$6:$BB$36,54,0)</f>
        <v>0</v>
      </c>
      <c r="AE30" s="36">
        <f>VLOOKUP($A30,[16]HISTOJUIL22!$A$6:$CA$36,60,0)</f>
        <v>0</v>
      </c>
      <c r="AF30" s="36">
        <f>VLOOKUP($A30,[16]HISTOJUIL22!$A$6:$CA$36,61,0)</f>
        <v>0</v>
      </c>
      <c r="AG30" s="36">
        <f>VLOOKUP($A30,[16]HISTOJUIL22!$A$6:$CA$36,62,0)</f>
        <v>0</v>
      </c>
      <c r="AH30" s="36">
        <f>VLOOKUP($A30,[16]HISTOJUIL22!$A$6:$CA$36,63,0)</f>
        <v>0</v>
      </c>
      <c r="AI30" s="36">
        <f>VLOOKUP($A30,[16]HISTOJUIL22!$A$6:$CA$36,64,0)</f>
        <v>0</v>
      </c>
      <c r="AJ30" s="36">
        <f>VLOOKUP($A30,[16]HISTOJUIL22!$A$6:$CA$36,65,0)</f>
        <v>0</v>
      </c>
    </row>
    <row r="31" spans="1:36" x14ac:dyDescent="0.25">
      <c r="A31" s="1" t="s">
        <v>47</v>
      </c>
      <c r="B31" s="1" t="str">
        <f>VLOOKUP(A31,[15]LISTADHERENT!A$5:H$60,3,0)</f>
        <v>SIMO FONGANG ERIC</v>
      </c>
      <c r="C31" s="5"/>
      <c r="D31" s="5"/>
      <c r="E31" s="36">
        <f>VLOOKUP($A31,[16]HISTOJUIL22!$A$6:$BA$39,48,0)</f>
        <v>0</v>
      </c>
      <c r="F31" s="5">
        <f>MVTJUIN22!F31-MVTJUIL22!E31</f>
        <v>570000</v>
      </c>
      <c r="G31" s="6">
        <f t="shared" si="1"/>
        <v>0</v>
      </c>
      <c r="H31" s="6">
        <f>MVTJUIN22!H31+MVTJUIN22!G31+K31</f>
        <v>0</v>
      </c>
      <c r="I31" s="36">
        <f>VLOOKUP($A31,[16]HISTOJUIL22!$A$6:$AQ$37,22,0)</f>
        <v>0</v>
      </c>
      <c r="J31" s="36">
        <f>VLOOKUP($A31,[16]HISTOJUIL22!$A$6:$AU$39,45,0)</f>
        <v>0</v>
      </c>
      <c r="K31" s="36">
        <f t="shared" si="2"/>
        <v>0</v>
      </c>
      <c r="L31" s="36">
        <f t="shared" si="3"/>
        <v>0</v>
      </c>
      <c r="M31" s="36">
        <f t="shared" si="4"/>
        <v>0</v>
      </c>
      <c r="N31" s="36">
        <f t="shared" si="5"/>
        <v>0</v>
      </c>
      <c r="O31" s="36">
        <f>VLOOKUP($A31,[16]HISTOJUIL22!$A$6:$AU$39,7,0)</f>
        <v>0</v>
      </c>
      <c r="P31" s="36">
        <f>VLOOKUP($A31,[16]HISTOJUIL22!$A$6:$AU$39,23,0)</f>
        <v>0</v>
      </c>
      <c r="Q31" s="36">
        <f>VLOOKUP($A31,[16]HISTOJUIL22!$A$6:$AU$39,46,0)</f>
        <v>0</v>
      </c>
      <c r="R31" s="36">
        <f>VLOOKUP($A31,[16]HISTOJUIL22!$A$6:$AU$39,26,0)</f>
        <v>0</v>
      </c>
      <c r="S31" s="36">
        <f>VLOOKUP($A31,[16]HISTOJUIL22!$A$6:$BG$39,58,0)</f>
        <v>0</v>
      </c>
      <c r="T31" s="36">
        <f>VLOOKUP($A31,[16]HISTOJUIL22!$A$6:$AU$39,28,0)</f>
        <v>0</v>
      </c>
      <c r="U31" s="36">
        <f>VLOOKUP($A31,[16]HISTOJUIL22!$A$6:$AU$39,19,0)</f>
        <v>0</v>
      </c>
      <c r="V31" s="36">
        <f>VLOOKUP($A31,[16]HISTOJUIL22!$A$6:$AU$39,20,0)</f>
        <v>0</v>
      </c>
      <c r="W31" s="36">
        <f>VLOOKUP($A31,[16]HISTOJUIL22!$A$6:$AU$39,27,0)</f>
        <v>0</v>
      </c>
      <c r="X31" s="36">
        <f>VLOOKUP($A31,[16]HISTOJUIL22!$A$6:$AU$39,33,0)</f>
        <v>0</v>
      </c>
      <c r="Y31" s="36">
        <f>VLOOKUP($A31,[16]HISTOJUIL22!$A$6:$BP$39,65,0)</f>
        <v>0</v>
      </c>
      <c r="Z31" s="36"/>
      <c r="AA31" s="36">
        <f>VLOOKUP($A31,[16]HISTOJUIL22!$A$6:$AU$39,43,0)</f>
        <v>0</v>
      </c>
      <c r="AB31" s="36">
        <f>VLOOKUP($A31,[16]HISTOJUIL22!$A$6:$AU$39,44,0)</f>
        <v>0</v>
      </c>
      <c r="AC31" s="36">
        <f>VLOOKUP($A31,[16]HISTOJUIL22!$A$6:$AU$39,47,0)</f>
        <v>0</v>
      </c>
      <c r="AD31" s="36">
        <f>VLOOKUP(A31,[16]HISTOJUIL22!$A$6:$BB$36,54,0)</f>
        <v>0</v>
      </c>
      <c r="AE31" s="36">
        <f>VLOOKUP($A31,[16]HISTOJUIL22!$A$6:$CA$36,60,0)</f>
        <v>0</v>
      </c>
      <c r="AF31" s="36">
        <f>VLOOKUP($A31,[16]HISTOJUIL22!$A$6:$CA$36,61,0)</f>
        <v>0</v>
      </c>
      <c r="AG31" s="36">
        <f>VLOOKUP($A31,[16]HISTOJUIL22!$A$6:$CA$36,62,0)</f>
        <v>0</v>
      </c>
      <c r="AH31" s="36">
        <f>VLOOKUP($A31,[16]HISTOJUIL22!$A$6:$CA$36,63,0)</f>
        <v>0</v>
      </c>
      <c r="AI31" s="36">
        <f>VLOOKUP($A31,[16]HISTOJUIL22!$A$6:$CA$36,64,0)</f>
        <v>0</v>
      </c>
      <c r="AJ31" s="36">
        <f>VLOOKUP($A31,[16]HISTOJUIL22!$A$6:$CA$36,65,0)</f>
        <v>0</v>
      </c>
    </row>
    <row r="32" spans="1:36" x14ac:dyDescent="0.25">
      <c r="A32" s="1" t="s">
        <v>49</v>
      </c>
      <c r="B32" s="1" t="str">
        <f>VLOOKUP(A32,[15]LISTADHERENT!A$5:H$60,3,0)</f>
        <v>SIMO PIERRE</v>
      </c>
      <c r="C32" s="5"/>
      <c r="D32" s="5"/>
      <c r="E32" s="36">
        <f>VLOOKUP($A32,[16]HISTOJUIL22!$A$6:$BA$39,48,0)</f>
        <v>0</v>
      </c>
      <c r="F32" s="5">
        <f>MVTJUIN22!F32-MVTJUIL22!E32</f>
        <v>570000</v>
      </c>
      <c r="G32" s="6">
        <f t="shared" si="1"/>
        <v>1847.4058750632855</v>
      </c>
      <c r="H32" s="6">
        <f>MVTJUIN22!H32+MVTJUIN22!G32+K32</f>
        <v>806418.82921324158</v>
      </c>
      <c r="I32" s="36">
        <f>VLOOKUP($A32,[16]HISTOJUIL22!$A$6:$AQ$37,22,0)</f>
        <v>0</v>
      </c>
      <c r="J32" s="36">
        <f>VLOOKUP($A32,[16]HISTOJUIL22!$A$6:$AU$39,45,0)</f>
        <v>12000</v>
      </c>
      <c r="K32" s="36">
        <f t="shared" si="2"/>
        <v>8000</v>
      </c>
      <c r="L32" s="36">
        <f t="shared" si="3"/>
        <v>500</v>
      </c>
      <c r="M32" s="36">
        <f t="shared" si="4"/>
        <v>1000</v>
      </c>
      <c r="N32" s="36">
        <f t="shared" si="5"/>
        <v>2500</v>
      </c>
      <c r="O32" s="36">
        <f>VLOOKUP($A32,[16]HISTOJUIL22!$A$6:$AU$39,7,0)</f>
        <v>0</v>
      </c>
      <c r="P32" s="36">
        <f>VLOOKUP($A32,[16]HISTOJUIL22!$A$6:$AU$39,23,0)</f>
        <v>0</v>
      </c>
      <c r="Q32" s="36">
        <f>VLOOKUP($A32,[16]HISTOJUIL22!$A$6:$AU$39,46,0)</f>
        <v>0</v>
      </c>
      <c r="R32" s="36">
        <f>VLOOKUP($A32,[16]HISTOJUIL22!$A$6:$AU$39,26,0)</f>
        <v>0</v>
      </c>
      <c r="S32" s="36">
        <f>VLOOKUP($A32,[16]HISTOJUIL22!$A$6:$BG$39,58,0)</f>
        <v>0</v>
      </c>
      <c r="T32" s="36">
        <f>VLOOKUP($A32,[16]HISTOJUIL22!$A$6:$AU$39,28,0)</f>
        <v>0</v>
      </c>
      <c r="U32" s="36">
        <f>VLOOKUP($A32,[16]HISTOJUIL22!$A$6:$AU$39,19,0)</f>
        <v>0</v>
      </c>
      <c r="V32" s="36">
        <f>VLOOKUP($A32,[16]HISTOJUIL22!$A$6:$AU$39,20,0)</f>
        <v>0</v>
      </c>
      <c r="W32" s="36">
        <f>VLOOKUP($A32,[16]HISTOJUIL22!$A$6:$AU$39,27,0)</f>
        <v>0</v>
      </c>
      <c r="X32" s="36">
        <f>VLOOKUP($A32,[16]HISTOJUIL22!$A$6:$AU$39,33,0)</f>
        <v>0</v>
      </c>
      <c r="Y32" s="36">
        <f>VLOOKUP($A32,[16]HISTOJUIL22!$A$6:$BP$39,65,0)</f>
        <v>0</v>
      </c>
      <c r="Z32" s="36"/>
      <c r="AA32" s="36">
        <f>VLOOKUP($A32,[16]HISTOJUIL22!$A$6:$AU$39,43,0)</f>
        <v>0</v>
      </c>
      <c r="AB32" s="36">
        <f>VLOOKUP($A32,[16]HISTOJUIL22!$A$6:$AU$39,44,0)</f>
        <v>0</v>
      </c>
      <c r="AC32" s="36">
        <f>VLOOKUP($A32,[16]HISTOJUIL22!$A$6:$AU$39,47,0)</f>
        <v>0</v>
      </c>
      <c r="AD32" s="36">
        <f>VLOOKUP(A32,[16]HISTOJUIL22!$A$6:$BB$36,54,0)</f>
        <v>0</v>
      </c>
      <c r="AE32" s="36">
        <f>VLOOKUP($A32,[16]HISTOJUIL22!$A$6:$CA$36,60,0)</f>
        <v>0</v>
      </c>
      <c r="AF32" s="36">
        <f>VLOOKUP($A32,[16]HISTOJUIL22!$A$6:$CA$36,61,0)</f>
        <v>0</v>
      </c>
      <c r="AG32" s="36">
        <f>VLOOKUP($A32,[16]HISTOJUIL22!$A$6:$CA$36,62,0)</f>
        <v>0</v>
      </c>
      <c r="AH32" s="36">
        <f>VLOOKUP($A32,[16]HISTOJUIL22!$A$6:$CA$36,63,0)</f>
        <v>0</v>
      </c>
      <c r="AI32" s="36">
        <f>VLOOKUP($A32,[16]HISTOJUIL22!$A$6:$CA$36,64,0)</f>
        <v>0</v>
      </c>
      <c r="AJ32" s="36">
        <f>VLOOKUP($A32,[16]HISTOJUIL22!$A$6:$CA$36,65,0)</f>
        <v>0</v>
      </c>
    </row>
    <row r="33" spans="1:36" x14ac:dyDescent="0.25">
      <c r="A33" s="1" t="s">
        <v>51</v>
      </c>
      <c r="B33" s="1" t="str">
        <f>VLOOKUP(A33,[15]LISTADHERENT!A$5:H$60,3,0)</f>
        <v>TCHOUAMOU MATHIEU</v>
      </c>
      <c r="C33" s="5"/>
      <c r="D33" s="5"/>
      <c r="E33" s="36">
        <f>VLOOKUP($A33,[16]HISTOJUIL22!$A$6:$BA$39,48,0)</f>
        <v>0</v>
      </c>
      <c r="F33" s="5">
        <f>MVTJUIN22!F33-MVTJUIL22!E33</f>
        <v>570000</v>
      </c>
      <c r="G33" s="6">
        <f t="shared" si="1"/>
        <v>1509.674712883128</v>
      </c>
      <c r="H33" s="6">
        <f>MVTJUIN22!H33+MVTJUIN22!G33+K33</f>
        <v>658994.3936463577</v>
      </c>
      <c r="I33" s="36">
        <f>VLOOKUP($A33,[16]HISTOJUIL22!$A$6:$AQ$37,22,0)</f>
        <v>0</v>
      </c>
      <c r="J33" s="36">
        <f>VLOOKUP($A33,[16]HISTOJUIL22!$A$6:$AU$39,45,0)</f>
        <v>7000</v>
      </c>
      <c r="K33" s="36">
        <f t="shared" si="2"/>
        <v>3000</v>
      </c>
      <c r="L33" s="36">
        <f t="shared" si="3"/>
        <v>500</v>
      </c>
      <c r="M33" s="36">
        <f t="shared" si="4"/>
        <v>1000</v>
      </c>
      <c r="N33" s="36">
        <f t="shared" si="5"/>
        <v>2500</v>
      </c>
      <c r="O33" s="36">
        <f>VLOOKUP($A33,[16]HISTOJUIL22!$A$6:$AU$39,7,0)</f>
        <v>0</v>
      </c>
      <c r="P33" s="36">
        <f>VLOOKUP($A33,[16]HISTOJUIL22!$A$6:$AU$39,23,0)</f>
        <v>0</v>
      </c>
      <c r="Q33" s="36">
        <f>VLOOKUP($A33,[16]HISTOJUIL22!$A$6:$AU$39,46,0)</f>
        <v>0</v>
      </c>
      <c r="R33" s="36">
        <f>VLOOKUP($A33,[16]HISTOJUIL22!$A$6:$AU$39,26,0)</f>
        <v>1000000</v>
      </c>
      <c r="S33" s="36">
        <f>VLOOKUP($A33,[16]HISTOJUIL22!$A$6:$BG$39,58,0)</f>
        <v>50000</v>
      </c>
      <c r="T33" s="36">
        <f>VLOOKUP($A33,[16]HISTOJUIL22!$A$6:$AU$39,28,0)</f>
        <v>0</v>
      </c>
      <c r="U33" s="36">
        <f>VLOOKUP($A33,[16]HISTOJUIL22!$A$6:$AU$39,19,0)</f>
        <v>560000</v>
      </c>
      <c r="V33" s="36">
        <f>VLOOKUP($A33,[16]HISTOJUIL22!$A$6:$AU$39,20,0)</f>
        <v>0</v>
      </c>
      <c r="W33" s="36" t="str">
        <f>VLOOKUP($A33,[16]HISTOJUIL22!$A$6:$AU$39,27,0)</f>
        <v>BANQUE</v>
      </c>
      <c r="X33" s="36">
        <f>VLOOKUP($A33,[16]HISTOJUIL22!$A$6:$AU$39,33,0)</f>
        <v>0</v>
      </c>
      <c r="Y33" s="36">
        <f>VLOOKUP($A33,[16]HISTOJUIL22!$A$6:$BP$39,65,0)</f>
        <v>0</v>
      </c>
      <c r="Z33" s="36"/>
      <c r="AA33" s="36">
        <f>VLOOKUP($A33,[16]HISTOJUIL22!$A$6:$AU$39,43,0)</f>
        <v>0</v>
      </c>
      <c r="AB33" s="36">
        <f>VLOOKUP($A33,[16]HISTOJUIL22!$A$6:$AU$39,44,0)</f>
        <v>0</v>
      </c>
      <c r="AC33" s="36">
        <f>VLOOKUP($A33,[16]HISTOJUIL22!$A$6:$AU$39,47,0)</f>
        <v>0</v>
      </c>
      <c r="AD33" s="36">
        <f>VLOOKUP(A33,[16]HISTOJUIL22!$A$6:$BB$36,54,0)</f>
        <v>0</v>
      </c>
      <c r="AE33" s="36">
        <f>VLOOKUP($A33,[16]HISTOJUIL22!$A$6:$CA$36,60,0)</f>
        <v>0</v>
      </c>
      <c r="AF33" s="36">
        <f>VLOOKUP($A33,[16]HISTOJUIL22!$A$6:$CA$36,61,0)</f>
        <v>0</v>
      </c>
      <c r="AG33" s="36">
        <f>VLOOKUP($A33,[16]HISTOJUIL22!$A$6:$CA$36,62,0)</f>
        <v>0</v>
      </c>
      <c r="AH33" s="36">
        <f>VLOOKUP($A33,[16]HISTOJUIL22!$A$6:$CA$36,63,0)</f>
        <v>0</v>
      </c>
      <c r="AI33" s="36">
        <f>VLOOKUP($A33,[16]HISTOJUIL22!$A$6:$CA$36,64,0)</f>
        <v>0</v>
      </c>
      <c r="AJ33" s="36">
        <f>VLOOKUP($A33,[16]HISTOJUIL22!$A$6:$CA$36,65,0)</f>
        <v>0</v>
      </c>
    </row>
    <row r="34" spans="1:36" x14ac:dyDescent="0.25">
      <c r="A34" s="1" t="s">
        <v>54</v>
      </c>
      <c r="B34" s="1" t="str">
        <f>VLOOKUP(A34,[15]LISTADHERENT!A$5:H$60,3,0)</f>
        <v>TIEYAM ERNEST</v>
      </c>
      <c r="C34" s="5"/>
      <c r="D34" s="5"/>
      <c r="E34" s="36">
        <f>VLOOKUP($A34,[16]HISTOJUIL22!$A$6:$BA$39,48,0)</f>
        <v>0</v>
      </c>
      <c r="F34" s="5">
        <f>MVTJUIN22!F34-MVTJUIL22!E34</f>
        <v>535508.27831700875</v>
      </c>
      <c r="G34" s="6">
        <f t="shared" si="1"/>
        <v>0</v>
      </c>
      <c r="H34" s="6">
        <f>MVTJUIN22!H34+MVTJUIN22!G34+K34</f>
        <v>0</v>
      </c>
      <c r="I34" s="36">
        <f>VLOOKUP($A34,[16]HISTOJUIL22!$A$6:$AQ$37,22,0)</f>
        <v>0</v>
      </c>
      <c r="J34" s="36">
        <f>VLOOKUP($A34,[16]HISTOJUIL22!$A$6:$AU$39,45,0)</f>
        <v>0</v>
      </c>
      <c r="K34" s="36">
        <f t="shared" si="2"/>
        <v>0</v>
      </c>
      <c r="L34" s="36">
        <f t="shared" si="3"/>
        <v>0</v>
      </c>
      <c r="M34" s="36">
        <f t="shared" si="4"/>
        <v>0</v>
      </c>
      <c r="N34" s="36">
        <f t="shared" si="5"/>
        <v>0</v>
      </c>
      <c r="O34" s="36">
        <f>VLOOKUP($A34,[16]HISTOJUIL22!$A$6:$AU$39,7,0)</f>
        <v>0</v>
      </c>
      <c r="P34" s="36">
        <f>VLOOKUP($A34,[16]HISTOJUIL22!$A$6:$AU$39,23,0)</f>
        <v>0</v>
      </c>
      <c r="Q34" s="36">
        <f>VLOOKUP($A34,[16]HISTOJUIL22!$A$6:$AU$39,46,0)</f>
        <v>0</v>
      </c>
      <c r="R34" s="36">
        <f>VLOOKUP($A34,[16]HISTOJUIL22!$A$6:$AU$39,26,0)</f>
        <v>0</v>
      </c>
      <c r="S34" s="36">
        <f>VLOOKUP($A34,[16]HISTOJUIL22!$A$6:$BG$39,58,0)</f>
        <v>0</v>
      </c>
      <c r="T34" s="36">
        <f>VLOOKUP($A34,[16]HISTOJUIL22!$A$6:$AU$39,28,0)</f>
        <v>0</v>
      </c>
      <c r="U34" s="36">
        <f>VLOOKUP($A34,[16]HISTOJUIL22!$A$6:$AU$39,19,0)</f>
        <v>0</v>
      </c>
      <c r="V34" s="36">
        <f>VLOOKUP($A34,[16]HISTOJUIL22!$A$6:$AU$39,20,0)</f>
        <v>0</v>
      </c>
      <c r="W34" s="36">
        <f>VLOOKUP($A34,[16]HISTOJUIL22!$A$6:$AU$39,27,0)</f>
        <v>0</v>
      </c>
      <c r="X34" s="36">
        <f>VLOOKUP($A34,[16]HISTOJUIL22!$A$6:$AU$39,33,0)</f>
        <v>0</v>
      </c>
      <c r="Y34" s="36">
        <f>VLOOKUP($A34,[16]HISTOJUIL22!$A$6:$BP$39,65,0)</f>
        <v>0</v>
      </c>
      <c r="Z34" s="36"/>
      <c r="AA34" s="36">
        <f>VLOOKUP($A34,[16]HISTOJUIL22!$A$6:$AU$39,43,0)</f>
        <v>0</v>
      </c>
      <c r="AB34" s="36">
        <f>VLOOKUP($A34,[16]HISTOJUIL22!$A$6:$AU$39,44,0)</f>
        <v>0</v>
      </c>
      <c r="AC34" s="36">
        <f>VLOOKUP($A34,[16]HISTOJUIL22!$A$6:$AU$39,47,0)</f>
        <v>0</v>
      </c>
      <c r="AD34" s="36">
        <f>VLOOKUP(A34,[16]HISTOJUIL22!$A$6:$BB$36,54,0)</f>
        <v>0</v>
      </c>
      <c r="AE34" s="36">
        <f>VLOOKUP($A34,[16]HISTOJUIL22!$A$6:$CA$36,60,0)</f>
        <v>0</v>
      </c>
      <c r="AF34" s="36">
        <f>VLOOKUP($A34,[16]HISTOJUIL22!$A$6:$CA$36,61,0)</f>
        <v>0</v>
      </c>
      <c r="AG34" s="36">
        <f>VLOOKUP($A34,[16]HISTOJUIL22!$A$6:$CA$36,62,0)</f>
        <v>0</v>
      </c>
      <c r="AH34" s="36">
        <f>VLOOKUP($A34,[16]HISTOJUIL22!$A$6:$CA$36,63,0)</f>
        <v>0</v>
      </c>
      <c r="AI34" s="36">
        <f>VLOOKUP($A34,[16]HISTOJUIL22!$A$6:$CA$36,64,0)</f>
        <v>0</v>
      </c>
      <c r="AJ34" s="36">
        <f>VLOOKUP($A34,[16]HISTOJUIL22!$A$6:$CA$36,65,0)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VLOOKUP($A35,[16]HISTOJUIL22!$A$6:$BA$39,48,0)</f>
        <v>0</v>
      </c>
      <c r="F35" s="5">
        <f>MVTJUIN22!F35-MVTJUIL22!E35</f>
        <v>570000</v>
      </c>
      <c r="G35" s="6">
        <f t="shared" si="1"/>
        <v>3548.752271930382</v>
      </c>
      <c r="H35" s="6">
        <f>MVTJUIN22!H35+MVTJUIN22!G35+K35</f>
        <v>1549080.6275583026</v>
      </c>
      <c r="I35" s="36">
        <f>VLOOKUP($A35,[16]HISTOJUIL22!$A$6:$AQ$37,22,0)</f>
        <v>0</v>
      </c>
      <c r="J35" s="36">
        <f>VLOOKUP($A35,[16]HISTOJUIL22!$A$6:$AU$39,45,0)</f>
        <v>7000</v>
      </c>
      <c r="K35" s="36">
        <f t="shared" si="2"/>
        <v>3000</v>
      </c>
      <c r="L35" s="36">
        <f t="shared" si="3"/>
        <v>500</v>
      </c>
      <c r="M35" s="36">
        <f t="shared" si="4"/>
        <v>1000</v>
      </c>
      <c r="N35" s="36">
        <f t="shared" si="5"/>
        <v>2500</v>
      </c>
      <c r="O35" s="36">
        <f>VLOOKUP($A35,[16]HISTOJUIL22!$A$6:$AU$39,7,0)</f>
        <v>3000</v>
      </c>
      <c r="P35" s="36">
        <f>VLOOKUP($A35,[16]HISTOJUIL22!$A$6:$AU$39,23,0)</f>
        <v>0</v>
      </c>
      <c r="Q35" s="36">
        <f>VLOOKUP($A35,[16]HISTOJUIL22!$A$6:$AU$39,46,0)</f>
        <v>0</v>
      </c>
      <c r="R35" s="36">
        <f>VLOOKUP($A35,[16]HISTOJUIL22!$A$6:$AU$39,26,0)</f>
        <v>0</v>
      </c>
      <c r="S35" s="36">
        <f>VLOOKUP($A35,[16]HISTOJUIL22!$A$6:$BG$39,58,0)</f>
        <v>0</v>
      </c>
      <c r="T35" s="36">
        <f>VLOOKUP($A35,[16]HISTOJUIL22!$A$6:$AU$39,28,0)</f>
        <v>0</v>
      </c>
      <c r="U35" s="36">
        <f>VLOOKUP($A35,[16]HISTOJUIL22!$A$6:$AU$39,19,0)</f>
        <v>0</v>
      </c>
      <c r="V35" s="36">
        <f>VLOOKUP($A35,[16]HISTOJUIL22!$A$6:$AU$39,20,0)</f>
        <v>0</v>
      </c>
      <c r="W35" s="36">
        <f>VLOOKUP($A35,[16]HISTOJUIL22!$A$6:$AU$39,27,0)</f>
        <v>0</v>
      </c>
      <c r="X35" s="36">
        <f>VLOOKUP($A35,[16]HISTOJUIL22!$A$6:$AU$39,33,0)</f>
        <v>0</v>
      </c>
      <c r="Y35" s="36">
        <f>VLOOKUP($A35,[16]HISTOJUIL22!$A$6:$BP$39,65,0)</f>
        <v>0</v>
      </c>
      <c r="Z35" s="36"/>
      <c r="AA35" s="36">
        <f>VLOOKUP($A35,[16]HISTOJUIL22!$A$6:$AU$39,43,0)</f>
        <v>0</v>
      </c>
      <c r="AB35" s="36">
        <f>VLOOKUP($A35,[16]HISTOJUIL22!$A$6:$AU$39,44,0)</f>
        <v>0</v>
      </c>
      <c r="AC35" s="36">
        <f>VLOOKUP($A35,[16]HISTOJUIL22!$A$6:$AU$39,47,0)</f>
        <v>0</v>
      </c>
      <c r="AD35" s="36">
        <f>VLOOKUP(A35,[16]HISTOJUIL22!$A$6:$BB$36,54,0)</f>
        <v>0</v>
      </c>
      <c r="AE35" s="36">
        <f>VLOOKUP($A35,[16]HISTOJUIL22!$A$6:$CA$36,60,0)</f>
        <v>0</v>
      </c>
      <c r="AF35" s="36">
        <f>VLOOKUP($A35,[16]HISTOJUIL22!$A$6:$CA$36,61,0)</f>
        <v>0</v>
      </c>
      <c r="AG35" s="36">
        <f>VLOOKUP($A35,[16]HISTOJUIL22!$A$6:$CA$36,62,0)</f>
        <v>0</v>
      </c>
      <c r="AH35" s="36">
        <f>VLOOKUP($A35,[16]HISTOJUIL22!$A$6:$CA$36,63,0)</f>
        <v>0</v>
      </c>
      <c r="AI35" s="36">
        <f>VLOOKUP($A35,[16]HISTOJUIL22!$A$6:$CA$36,64,0)</f>
        <v>0</v>
      </c>
      <c r="AJ35" s="36">
        <f>VLOOKUP($A35,[16]HISTOJUIL22!$A$6:$CA$36,65,0)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VLOOKUP($A36,[16]HISTOJUIL22!$A$6:$BA$39,48,0)</f>
        <v>0</v>
      </c>
      <c r="F36" s="5">
        <f>MVTJUIN22!F36-MVTJUIL22!E36</f>
        <v>570000</v>
      </c>
      <c r="G36" s="6">
        <f t="shared" si="1"/>
        <v>3807.584300109017</v>
      </c>
      <c r="H36" s="6">
        <f>MVTJUIN22!H36+MVTJUIN22!G36+K36</f>
        <v>1662064.4736877047</v>
      </c>
      <c r="I36" s="36">
        <f>VLOOKUP($A36,[16]HISTOJUIL22!$A$6:$AQ$37,22,0)</f>
        <v>0</v>
      </c>
      <c r="J36" s="36">
        <f>VLOOKUP($A36,[16]HISTOJUIL22!$A$6:$AU$39,45,0)</f>
        <v>7000</v>
      </c>
      <c r="K36" s="36">
        <f t="shared" si="2"/>
        <v>3000</v>
      </c>
      <c r="L36" s="36">
        <f t="shared" si="3"/>
        <v>500</v>
      </c>
      <c r="M36" s="36">
        <f t="shared" si="4"/>
        <v>1000</v>
      </c>
      <c r="N36" s="36">
        <f t="shared" si="5"/>
        <v>2500</v>
      </c>
      <c r="O36" s="36">
        <f>VLOOKUP($A36,[16]HISTOJUIL22!$A$6:$AU$39,7,0)</f>
        <v>3000</v>
      </c>
      <c r="P36" s="36">
        <f>VLOOKUP($A36,[16]HISTOJUIL22!$A$6:$AU$39,23,0)</f>
        <v>0</v>
      </c>
      <c r="Q36" s="36">
        <f>VLOOKUP($A36,[16]HISTOJUIL22!$A$6:$AU$39,46,0)</f>
        <v>0</v>
      </c>
      <c r="R36" s="36">
        <f>VLOOKUP($A36,[16]HISTOJUIL22!$A$6:$AU$39,26,0)</f>
        <v>0</v>
      </c>
      <c r="S36" s="36">
        <f>VLOOKUP($A36,[16]HISTOJUIL22!$A$6:$BG$39,58,0)</f>
        <v>0</v>
      </c>
      <c r="T36" s="36">
        <f>VLOOKUP($A36,[16]HISTOJUIL22!$A$6:$AU$39,28,0)</f>
        <v>0</v>
      </c>
      <c r="U36" s="36">
        <f>VLOOKUP($A36,[16]HISTOJUIL22!$A$6:$AU$39,19,0)</f>
        <v>0</v>
      </c>
      <c r="V36" s="36">
        <f>VLOOKUP($A36,[16]HISTOJUIL22!$A$6:$AU$39,20,0)</f>
        <v>0</v>
      </c>
      <c r="W36" s="36">
        <f>VLOOKUP($A36,[16]HISTOJUIL22!$A$6:$AU$39,27,0)</f>
        <v>0</v>
      </c>
      <c r="X36" s="36">
        <f>VLOOKUP($A36,[16]HISTOJUIL22!$A$6:$AU$39,33,0)</f>
        <v>0</v>
      </c>
      <c r="Y36" s="36">
        <f>VLOOKUP($A36,[16]HISTOJUIL22!$A$6:$BP$39,65,0)</f>
        <v>0</v>
      </c>
      <c r="Z36" s="36"/>
      <c r="AA36" s="36">
        <f>VLOOKUP($A36,[16]HISTOJUIL22!$A$6:$AU$39,43,0)</f>
        <v>0</v>
      </c>
      <c r="AB36" s="36">
        <f>VLOOKUP($A36,[16]HISTOJUIL22!$A$6:$AU$39,44,0)</f>
        <v>0</v>
      </c>
      <c r="AC36" s="36">
        <f>VLOOKUP($A36,[16]HISTOJUIL22!$A$6:$AU$39,47,0)</f>
        <v>0</v>
      </c>
      <c r="AD36" s="36">
        <f>VLOOKUP(A36,[16]HISTOJUIL22!$A$6:$BB$36,54,0)</f>
        <v>0</v>
      </c>
      <c r="AE36" s="36">
        <f>VLOOKUP($A36,[16]HISTOJUIL22!$A$6:$CA$36,60,0)</f>
        <v>0</v>
      </c>
      <c r="AF36" s="36">
        <f>VLOOKUP($A36,[16]HISTOJUIL22!$A$6:$CA$36,61,0)</f>
        <v>0</v>
      </c>
      <c r="AG36" s="36">
        <f>VLOOKUP($A36,[16]HISTOJUIL22!$A$6:$CA$36,62,0)</f>
        <v>0</v>
      </c>
      <c r="AH36" s="36">
        <f>VLOOKUP($A36,[16]HISTOJUIL22!$A$6:$CA$36,63,0)</f>
        <v>0</v>
      </c>
      <c r="AI36" s="36">
        <f>VLOOKUP($A36,[16]HISTOJUIL22!$A$6:$CA$36,64,0)</f>
        <v>0</v>
      </c>
      <c r="AJ36" s="36">
        <f>VLOOKUP($A36,[16]HISTOJUIL22!$A$6:$CA$36,65,0)</f>
        <v>0</v>
      </c>
    </row>
    <row r="37" spans="1:36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H40" si="6">SUM(C6:C39)</f>
        <v>0</v>
      </c>
      <c r="D40" s="9">
        <f t="shared" si="6"/>
        <v>0</v>
      </c>
      <c r="E40" s="9">
        <f t="shared" si="6"/>
        <v>0</v>
      </c>
      <c r="F40" s="9">
        <f t="shared" si="6"/>
        <v>17584659.561375875</v>
      </c>
      <c r="G40" s="9">
        <f t="shared" si="6"/>
        <v>49999.999999999985</v>
      </c>
      <c r="H40" s="9">
        <f t="shared" si="6"/>
        <v>21825708.148341157</v>
      </c>
      <c r="I40" s="9">
        <f t="shared" si="6"/>
        <v>0</v>
      </c>
      <c r="J40" s="9">
        <f t="shared" si="6"/>
        <v>337000</v>
      </c>
      <c r="K40" s="9">
        <f t="shared" si="6"/>
        <v>233000</v>
      </c>
      <c r="L40" s="9">
        <f t="shared" si="6"/>
        <v>13000</v>
      </c>
      <c r="M40" s="9">
        <f t="shared" si="6"/>
        <v>26000</v>
      </c>
      <c r="N40" s="9">
        <f t="shared" si="6"/>
        <v>65000</v>
      </c>
      <c r="O40" s="9">
        <f t="shared" si="6"/>
        <v>18000</v>
      </c>
      <c r="P40" s="9">
        <f t="shared" si="6"/>
        <v>0</v>
      </c>
      <c r="Q40" s="9">
        <f t="shared" si="6"/>
        <v>0</v>
      </c>
      <c r="R40" s="9">
        <f t="shared" si="6"/>
        <v>1000000</v>
      </c>
      <c r="S40" s="9">
        <f>SUM(S6:S39)+AI40</f>
        <v>50000</v>
      </c>
      <c r="T40" s="9">
        <f t="shared" si="6"/>
        <v>0</v>
      </c>
      <c r="U40" s="9">
        <f t="shared" si="6"/>
        <v>1760000</v>
      </c>
      <c r="V40" s="9">
        <f t="shared" si="6"/>
        <v>0</v>
      </c>
      <c r="W40" s="9">
        <f t="shared" si="6"/>
        <v>0</v>
      </c>
      <c r="X40" s="9">
        <f t="shared" si="6"/>
        <v>0</v>
      </c>
      <c r="Y40" s="9">
        <f t="shared" si="6"/>
        <v>0</v>
      </c>
      <c r="Z40" s="9">
        <f t="shared" si="6"/>
        <v>0</v>
      </c>
      <c r="AA40" s="9">
        <f t="shared" si="6"/>
        <v>0</v>
      </c>
      <c r="AB40" s="9">
        <f t="shared" si="6"/>
        <v>0</v>
      </c>
      <c r="AC40" s="9">
        <f t="shared" si="6"/>
        <v>0</v>
      </c>
      <c r="AD40" s="9">
        <f t="shared" si="6"/>
        <v>70000</v>
      </c>
      <c r="AE40" s="9">
        <f t="shared" si="6"/>
        <v>39000</v>
      </c>
      <c r="AF40" s="9">
        <f t="shared" si="6"/>
        <v>0</v>
      </c>
      <c r="AG40" s="9">
        <f t="shared" si="6"/>
        <v>0</v>
      </c>
      <c r="AH40" s="9">
        <f t="shared" si="6"/>
        <v>70000</v>
      </c>
      <c r="AI40" s="9">
        <f>SUM(AI6:AI39)</f>
        <v>0</v>
      </c>
      <c r="AJ40" s="9">
        <f>SUM(AJ6:AJ39)</f>
        <v>0</v>
      </c>
    </row>
  </sheetData>
  <autoFilter ref="A5:U36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"/>
  <sheetViews>
    <sheetView workbookViewId="0">
      <pane xSplit="2" ySplit="5" topLeftCell="G34" activePane="bottomRight" state="frozen"/>
      <selection activeCell="B43" sqref="B43"/>
      <selection pane="topRight" activeCell="B43" sqref="B43"/>
      <selection pane="bottomLeft" activeCell="B43" sqref="B43"/>
      <selection pane="bottomRight" activeCell="AG5" sqref="AG5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5" bestFit="1" customWidth="1"/>
    <col min="19" max="19" width="15" customWidth="1"/>
    <col min="20" max="21" width="18.140625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04"/>
      <c r="J4" s="146">
        <v>44790</v>
      </c>
      <c r="K4" s="146"/>
      <c r="L4" s="146"/>
      <c r="M4" s="146"/>
      <c r="N4" s="146"/>
      <c r="O4" s="146"/>
      <c r="P4"/>
      <c r="Q4"/>
      <c r="AJ4" s="108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84" t="s">
        <v>10</v>
      </c>
      <c r="AF5" s="84" t="s">
        <v>11</v>
      </c>
      <c r="AG5" s="84" t="s">
        <v>307</v>
      </c>
      <c r="AH5" s="84" t="s">
        <v>273</v>
      </c>
      <c r="AI5" s="4" t="s">
        <v>65</v>
      </c>
      <c r="AJ5" s="84" t="s">
        <v>278</v>
      </c>
    </row>
    <row r="6" spans="1:36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MVTJUIL22!F6-MVTAOUT22!E6</f>
        <v>584177.00555049011</v>
      </c>
      <c r="G6" s="6">
        <f t="shared" ref="G6" si="0">$S$40/$H$40*H6</f>
        <v>0</v>
      </c>
      <c r="H6" s="6">
        <f>MVTJUIL22!H6+MVTJUIL22!G6+K6</f>
        <v>647525.25689438276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VLOOKUP($A6,[16]HISTOAOUT22!$A$6:$CA$36,60,0)</f>
        <v>6000</v>
      </c>
      <c r="AF6" s="36">
        <f>VLOOKUP($A6,[16]HISTOAOUT22!$A$6:$CA$36,61,0)</f>
        <v>0</v>
      </c>
      <c r="AG6" s="36">
        <f>VLOOKUP($A6,[16]HISTOAOUT22!$A$6:$CA$36,62,0)</f>
        <v>0</v>
      </c>
      <c r="AH6" s="36">
        <f>VLOOKUP($A6,[16]HISTOAOUT22!$A$6:$CA$36,63,0)</f>
        <v>0</v>
      </c>
      <c r="AI6" s="36">
        <f>VLOOKUP($A6,[16]HISTOAOUT22!$A$6:$CA$36,64,0)</f>
        <v>0</v>
      </c>
      <c r="AJ6" s="36">
        <f>VLOOKUP($A6,[16]HISTOAOUT22!$A$6:$CA$36,65,0)</f>
        <v>0</v>
      </c>
    </row>
    <row r="7" spans="1:36" x14ac:dyDescent="0.25">
      <c r="A7" s="1" t="s">
        <v>19</v>
      </c>
      <c r="B7" s="1" t="str">
        <f>VLOOKUP(A7,[15]LISTADHERENT!A$5:H$60,3,0)</f>
        <v>BOUTCHOUANG WILLIAM</v>
      </c>
      <c r="C7" s="5"/>
      <c r="D7" s="5"/>
      <c r="E7" s="36">
        <f>VLOOKUP($A7,[16]HISTOAOUT22!$A$6:$BA$39,48,0)</f>
        <v>0</v>
      </c>
      <c r="F7" s="5">
        <f>MVTJUIL22!F7-MVTAOUT22!E7</f>
        <v>570000</v>
      </c>
      <c r="G7" s="6">
        <f t="shared" ref="G7:G36" si="1">$S$40/$H$40*H7</f>
        <v>0</v>
      </c>
      <c r="H7" s="6">
        <f>MVTJUIL22!H7+MVTJUIL22!G7+K7</f>
        <v>656307.27446091012</v>
      </c>
      <c r="I7" s="36">
        <f>VLOOKUP($A7,[16]HISTOAOUT22!$A$6:$AQ$37,22,0)</f>
        <v>0</v>
      </c>
      <c r="J7" s="36">
        <f>VLOOKUP($A7,[16]HISTOAOUT22!$A$6:$AU$39,45,0)</f>
        <v>7000</v>
      </c>
      <c r="K7" s="36">
        <f t="shared" ref="K7:K36" si="2">IF(J7=0,0,J7-(L7+M7+N7))</f>
        <v>3000</v>
      </c>
      <c r="L7" s="36">
        <f t="shared" ref="L7:L36" si="3">IF(J7=0,0,500)</f>
        <v>500</v>
      </c>
      <c r="M7" s="36">
        <f t="shared" ref="M7:M36" si="4">IF(J7=0,0,1000)</f>
        <v>1000</v>
      </c>
      <c r="N7" s="36">
        <f t="shared" ref="N7:N36" si="5">IF(J7=0,0,2500)</f>
        <v>2500</v>
      </c>
      <c r="O7" s="36">
        <f>VLOOKUP($A7,[16]HISTOAOUT22!$A$6:$AU$39,7,0)</f>
        <v>0</v>
      </c>
      <c r="P7" s="36">
        <f>VLOOKUP($A7,[16]HISTOAOUT22!$A$6:$AU$39,23,0)</f>
        <v>0</v>
      </c>
      <c r="Q7" s="36">
        <f>VLOOKUP($A7,[16]HISTOAOUT22!$A$6:$AU$39,46,0)</f>
        <v>0</v>
      </c>
      <c r="R7" s="36">
        <f>VLOOKUP($A7,[16]HISTOAOUT22!$A$6:$AU$39,26,0)</f>
        <v>0</v>
      </c>
      <c r="S7" s="36">
        <f>VLOOKUP($A7,[16]HISTOAOUT22!$A$6:$BG$39,58,0)</f>
        <v>0</v>
      </c>
      <c r="T7" s="36">
        <f>VLOOKUP($A7,[16]HISTOAOUT22!$A$6:$AU$39,28,0)</f>
        <v>0</v>
      </c>
      <c r="U7" s="36">
        <f>VLOOKUP($A7,[16]HISTOAOUT22!$A$6:$AU$39,19,0)</f>
        <v>0</v>
      </c>
      <c r="V7" s="36">
        <f>VLOOKUP($A7,[16]HISTOAOUT22!$A$6:$AU$39,20,0)</f>
        <v>0</v>
      </c>
      <c r="W7" s="36">
        <f>VLOOKUP($A7,[16]HISTOAOUT22!$A$6:$AU$39,27,0)</f>
        <v>0</v>
      </c>
      <c r="X7" s="36">
        <f>VLOOKUP($A7,[16]HISTOAOUT22!$A$6:$AU$39,33,0)</f>
        <v>0</v>
      </c>
      <c r="Y7" s="36">
        <f>VLOOKUP($A7,[16]HISTOAOUT22!$A$6:$BP$39,65,0)</f>
        <v>0</v>
      </c>
      <c r="Z7" s="36"/>
      <c r="AA7" s="36">
        <f>VLOOKUP($A7,[16]HISTOAOUT22!$A$6:$AU$39,43,0)</f>
        <v>0</v>
      </c>
      <c r="AB7" s="36">
        <f>VLOOKUP($A7,[16]HISTOAOUT22!$A$6:$AU$39,44,0)</f>
        <v>0</v>
      </c>
      <c r="AC7" s="36">
        <f>VLOOKUP($A7,[16]HISTOAOUT22!$A$6:$AU$39,47,0)</f>
        <v>0</v>
      </c>
      <c r="AD7" s="36">
        <f>VLOOKUP(A7,[16]HISTOAOUT22!$A$6:$BB$36,54,0)</f>
        <v>0</v>
      </c>
      <c r="AE7" s="36">
        <f>VLOOKUP($A7,[16]HISTOAOUT22!$A$6:$CA$36,60,0)</f>
        <v>0</v>
      </c>
      <c r="AF7" s="36">
        <f>VLOOKUP($A7,[16]HISTOAOUT22!$A$6:$CA$36,61,0)</f>
        <v>0</v>
      </c>
      <c r="AG7" s="36">
        <f>VLOOKUP($A7,[16]HISTOAOUT22!$A$6:$CA$36,62,0)</f>
        <v>0</v>
      </c>
      <c r="AH7" s="36">
        <f>VLOOKUP($A7,[16]HISTOAOUT22!$A$6:$CA$36,63,0)</f>
        <v>0</v>
      </c>
      <c r="AI7" s="36">
        <f>VLOOKUP($A7,[16]HISTOAOUT22!$A$6:$CA$36,64,0)</f>
        <v>0</v>
      </c>
      <c r="AJ7" s="36">
        <f>VLOOKUP($A7,[16]HISTOAOUT22!$A$6:$CA$36,65,0)</f>
        <v>0</v>
      </c>
    </row>
    <row r="8" spans="1:36" x14ac:dyDescent="0.25">
      <c r="A8" s="1" t="s">
        <v>23</v>
      </c>
      <c r="B8" s="1" t="str">
        <f>VLOOKUP(A8,[15]LISTADHERENT!A$5:H$60,3,0)</f>
        <v xml:space="preserve">DJOMO JEAN PAUL </v>
      </c>
      <c r="C8" s="5"/>
      <c r="D8" s="5"/>
      <c r="E8" s="36">
        <f>VLOOKUP($A8,[16]HISTOAOUT22!$A$6:$BA$39,48,0)</f>
        <v>0</v>
      </c>
      <c r="F8" s="5">
        <f>MVTJUIL22!F8-MVTAOUT22!E8</f>
        <v>570000</v>
      </c>
      <c r="G8" s="6">
        <f t="shared" si="1"/>
        <v>0</v>
      </c>
      <c r="H8" s="6">
        <f>MVTJUIL22!H8+MVTJUIL22!G8+K8</f>
        <v>731999.88702700997</v>
      </c>
      <c r="I8" s="36">
        <f>VLOOKUP($A8,[16]HISTOAOUT22!$A$6:$AQ$37,22,0)</f>
        <v>0</v>
      </c>
      <c r="J8" s="36">
        <f>VLOOKUP($A8,[16]HISTOAOUT22!$A$6:$AU$39,45,0)</f>
        <v>10000</v>
      </c>
      <c r="K8" s="36">
        <f t="shared" si="2"/>
        <v>6000</v>
      </c>
      <c r="L8" s="36">
        <f t="shared" si="3"/>
        <v>500</v>
      </c>
      <c r="M8" s="36">
        <f t="shared" si="4"/>
        <v>1000</v>
      </c>
      <c r="N8" s="36">
        <f t="shared" si="5"/>
        <v>2500</v>
      </c>
      <c r="O8" s="36">
        <f>VLOOKUP($A8,[16]HISTOAOUT22!$A$6:$AU$39,7,0)</f>
        <v>0</v>
      </c>
      <c r="P8" s="36">
        <f>VLOOKUP($A8,[16]HISTOAOUT22!$A$6:$AU$39,23,0)</f>
        <v>0</v>
      </c>
      <c r="Q8" s="36">
        <f>VLOOKUP($A8,[16]HISTOAOUT22!$A$6:$AU$39,46,0)</f>
        <v>0</v>
      </c>
      <c r="R8" s="36">
        <f>VLOOKUP($A8,[16]HISTOAOUT22!$A$6:$AU$39,26,0)</f>
        <v>0</v>
      </c>
      <c r="S8" s="36">
        <f>VLOOKUP($A8,[16]HISTOAOUT22!$A$6:$BG$39,58,0)</f>
        <v>0</v>
      </c>
      <c r="T8" s="36">
        <f>VLOOKUP($A8,[16]HISTOAOUT22!$A$6:$AU$39,28,0)</f>
        <v>0</v>
      </c>
      <c r="U8" s="36">
        <f>VLOOKUP($A8,[16]HISTOAOUT22!$A$6:$AU$39,19,0)</f>
        <v>0</v>
      </c>
      <c r="V8" s="36">
        <f>VLOOKUP($A8,[16]HISTOAOUT22!$A$6:$AU$39,20,0)</f>
        <v>0</v>
      </c>
      <c r="W8" s="36">
        <f>VLOOKUP($A8,[16]HISTOAOUT22!$A$6:$AU$39,27,0)</f>
        <v>0</v>
      </c>
      <c r="X8" s="36">
        <f>VLOOKUP($A8,[16]HISTOAOUT22!$A$6:$AU$39,33,0)</f>
        <v>0</v>
      </c>
      <c r="Y8" s="36">
        <f>VLOOKUP($A8,[16]HISTOAOUT22!$A$6:$BP$39,65,0)</f>
        <v>0</v>
      </c>
      <c r="Z8" s="36"/>
      <c r="AA8" s="36">
        <f>VLOOKUP($A8,[16]HISTOAOUT22!$A$6:$AU$39,43,0)</f>
        <v>0</v>
      </c>
      <c r="AB8" s="36">
        <f>VLOOKUP($A8,[16]HISTOAOUT22!$A$6:$AU$39,44,0)</f>
        <v>0</v>
      </c>
      <c r="AC8" s="36">
        <f>VLOOKUP($A8,[16]HISTOAOUT22!$A$6:$AU$39,47,0)</f>
        <v>0</v>
      </c>
      <c r="AD8" s="36">
        <f>VLOOKUP(A8,[16]HISTOAOUT22!$A$6:$BB$36,54,0)</f>
        <v>0</v>
      </c>
      <c r="AE8" s="36">
        <f>VLOOKUP($A8,[16]HISTOAOUT22!$A$6:$CA$36,60,0)</f>
        <v>0</v>
      </c>
      <c r="AF8" s="36">
        <f>VLOOKUP($A8,[16]HISTOAOUT22!$A$6:$CA$36,61,0)</f>
        <v>0</v>
      </c>
      <c r="AG8" s="36">
        <f>VLOOKUP($A8,[16]HISTOAOUT22!$A$6:$CA$36,62,0)</f>
        <v>0</v>
      </c>
      <c r="AH8" s="36">
        <f>VLOOKUP($A8,[16]HISTOAOUT22!$A$6:$CA$36,63,0)</f>
        <v>0</v>
      </c>
      <c r="AI8" s="36">
        <f>VLOOKUP($A8,[16]HISTOAOUT22!$A$6:$CA$36,64,0)</f>
        <v>0</v>
      </c>
      <c r="AJ8" s="36">
        <f>VLOOKUP($A8,[16]HISTOAOUT22!$A$6:$CA$36,65,0)</f>
        <v>0</v>
      </c>
    </row>
    <row r="9" spans="1:36" x14ac:dyDescent="0.25">
      <c r="A9" s="1" t="s">
        <v>154</v>
      </c>
      <c r="B9" s="1" t="str">
        <f>VLOOKUP(A9,[15]LISTADHERENT!A$5:H$60,3,0)</f>
        <v>DJOMOU TCHANDA</v>
      </c>
      <c r="C9" s="5"/>
      <c r="D9" s="5"/>
      <c r="E9" s="36">
        <f>VLOOKUP($A9,[16]HISTOAOUT22!$A$6:$BA$39,48,0)</f>
        <v>0</v>
      </c>
      <c r="F9" s="5">
        <f>MVTJUIL22!F9-MVTAOUT22!E9</f>
        <v>570000</v>
      </c>
      <c r="G9" s="6">
        <f t="shared" si="1"/>
        <v>0</v>
      </c>
      <c r="H9" s="6">
        <f>MVTJUIL22!H9+MVTJUIL22!G9+K9</f>
        <v>657994.51319692063</v>
      </c>
      <c r="I9" s="36">
        <f>VLOOKUP($A9,[16]HISTOAOUT22!$A$6:$AQ$37,22,0)</f>
        <v>0</v>
      </c>
      <c r="J9" s="36">
        <f>VLOOKUP($A9,[16]HISTOAOUT22!$A$6:$AU$39,45,0)</f>
        <v>7000</v>
      </c>
      <c r="K9" s="36">
        <f t="shared" si="2"/>
        <v>3000</v>
      </c>
      <c r="L9" s="36">
        <f t="shared" si="3"/>
        <v>500</v>
      </c>
      <c r="M9" s="36">
        <f t="shared" si="4"/>
        <v>1000</v>
      </c>
      <c r="N9" s="36">
        <f t="shared" si="5"/>
        <v>2500</v>
      </c>
      <c r="O9" s="36">
        <f>VLOOKUP($A9,[16]HISTOAOUT22!$A$6:$AU$39,7,0)</f>
        <v>0</v>
      </c>
      <c r="P9" s="36">
        <f>VLOOKUP($A9,[16]HISTOAOUT22!$A$6:$AU$39,23,0)</f>
        <v>0</v>
      </c>
      <c r="Q9" s="36">
        <f>VLOOKUP($A9,[16]HISTOAOUT22!$A$6:$AU$39,46,0)</f>
        <v>0</v>
      </c>
      <c r="R9" s="36">
        <f>VLOOKUP($A9,[16]HISTOAOUT22!$A$6:$AU$39,26,0)</f>
        <v>0</v>
      </c>
      <c r="S9" s="36">
        <f>VLOOKUP($A9,[16]HISTOAOUT22!$A$6:$BG$39,58,0)</f>
        <v>0</v>
      </c>
      <c r="T9" s="36">
        <f>VLOOKUP($A9,[16]HISTOAOUT22!$A$6:$AU$39,28,0)</f>
        <v>0</v>
      </c>
      <c r="U9" s="36">
        <f>VLOOKUP($A9,[16]HISTOAOUT22!$A$6:$AU$39,19,0)</f>
        <v>0</v>
      </c>
      <c r="V9" s="36">
        <f>VLOOKUP($A9,[16]HISTOAOUT22!$A$6:$AU$39,20,0)</f>
        <v>0</v>
      </c>
      <c r="W9" s="36">
        <f>VLOOKUP($A9,[16]HISTOAOUT22!$A$6:$AU$39,27,0)</f>
        <v>0</v>
      </c>
      <c r="X9" s="36">
        <f>VLOOKUP($A9,[16]HISTOAOUT22!$A$6:$AU$39,33,0)</f>
        <v>0</v>
      </c>
      <c r="Y9" s="36">
        <f>VLOOKUP($A9,[16]HISTOAOUT22!$A$6:$BP$39,65,0)</f>
        <v>0</v>
      </c>
      <c r="Z9" s="36"/>
      <c r="AA9" s="36">
        <f>VLOOKUP($A9,[16]HISTOAOUT22!$A$6:$AU$39,43,0)</f>
        <v>0</v>
      </c>
      <c r="AB9" s="36">
        <f>VLOOKUP($A9,[16]HISTOAOUT22!$A$6:$AU$39,44,0)</f>
        <v>0</v>
      </c>
      <c r="AC9" s="36">
        <f>VLOOKUP($A9,[16]HISTOAOUT22!$A$6:$AU$39,47,0)</f>
        <v>0</v>
      </c>
      <c r="AD9" s="36">
        <f>VLOOKUP(A9,[16]HISTOAOUT22!$A$6:$BB$36,54,0)</f>
        <v>0</v>
      </c>
      <c r="AE9" s="36">
        <f>VLOOKUP($A9,[16]HISTOAOUT22!$A$6:$CA$36,60,0)</f>
        <v>0</v>
      </c>
      <c r="AF9" s="36">
        <f>VLOOKUP($A9,[16]HISTOAOUT22!$A$6:$CA$36,61,0)</f>
        <v>0</v>
      </c>
      <c r="AG9" s="36">
        <f>VLOOKUP($A9,[16]HISTOAOUT22!$A$6:$CA$36,62,0)</f>
        <v>0</v>
      </c>
      <c r="AH9" s="36">
        <f>VLOOKUP($A9,[16]HISTOAOUT22!$A$6:$CA$36,63,0)</f>
        <v>0</v>
      </c>
      <c r="AI9" s="36">
        <f>VLOOKUP($A9,[16]HISTOAOUT22!$A$6:$CA$36,64,0)</f>
        <v>0</v>
      </c>
      <c r="AJ9" s="36">
        <f>VLOOKUP($A9,[16]HISTOAOUT22!$A$6:$CA$36,65,0)</f>
        <v>0</v>
      </c>
    </row>
    <row r="10" spans="1:36" x14ac:dyDescent="0.25">
      <c r="A10" s="1" t="s">
        <v>24</v>
      </c>
      <c r="B10" s="1" t="str">
        <f>VLOOKUP(A10,[15]LISTADHERENT!A$5:H$60,3,0)</f>
        <v>DJOUKWE NANGUEN GUY BLAISE</v>
      </c>
      <c r="C10" s="5"/>
      <c r="D10" s="5"/>
      <c r="E10" s="36">
        <f>VLOOKUP($A10,[16]HISTOAOUT22!$A$6:$BA$39,48,0)</f>
        <v>0</v>
      </c>
      <c r="F10" s="5">
        <f>MVTJUIL22!F10-MVTAOUT22!E10</f>
        <v>570000</v>
      </c>
      <c r="G10" s="6">
        <f t="shared" si="1"/>
        <v>0</v>
      </c>
      <c r="H10" s="6">
        <f>MVTJUIL22!H10+MVTJUIL22!G10+K10</f>
        <v>784522.30047141563</v>
      </c>
      <c r="I10" s="36">
        <f>VLOOKUP($A10,[16]HISTOAOUT22!$A$6:$AQ$37,22,0)</f>
        <v>0</v>
      </c>
      <c r="J10" s="36">
        <f>VLOOKUP($A10,[16]HISTOAOUT22!$A$6:$AU$39,45,0)</f>
        <v>7000</v>
      </c>
      <c r="K10" s="36">
        <f t="shared" si="2"/>
        <v>3000</v>
      </c>
      <c r="L10" s="36">
        <f t="shared" si="3"/>
        <v>500</v>
      </c>
      <c r="M10" s="36">
        <f t="shared" si="4"/>
        <v>1000</v>
      </c>
      <c r="N10" s="36">
        <f t="shared" si="5"/>
        <v>2500</v>
      </c>
      <c r="O10" s="36">
        <f>VLOOKUP($A10,[16]HISTOAOUT22!$A$6:$AU$39,7,0)</f>
        <v>0</v>
      </c>
      <c r="P10" s="36">
        <f>VLOOKUP($A10,[16]HISTOAOUT22!$A$6:$AU$39,23,0)</f>
        <v>0</v>
      </c>
      <c r="Q10" s="36">
        <f>VLOOKUP($A10,[16]HISTOAOUT22!$A$6:$AU$39,46,0)</f>
        <v>0</v>
      </c>
      <c r="R10" s="36">
        <f>VLOOKUP($A10,[16]HISTOAOUT22!$A$6:$AU$39,26,0)</f>
        <v>0</v>
      </c>
      <c r="S10" s="36">
        <f>VLOOKUP($A10,[16]HISTOAOUT22!$A$6:$BG$39,58,0)</f>
        <v>0</v>
      </c>
      <c r="T10" s="36">
        <f>VLOOKUP($A10,[16]HISTOAOUT22!$A$6:$AU$39,28,0)</f>
        <v>0</v>
      </c>
      <c r="U10" s="36">
        <f>VLOOKUP($A10,[16]HISTOAOUT22!$A$6:$AU$39,19,0)</f>
        <v>0</v>
      </c>
      <c r="V10" s="36">
        <f>VLOOKUP($A10,[16]HISTOAOUT22!$A$6:$AU$39,20,0)</f>
        <v>0</v>
      </c>
      <c r="W10" s="36">
        <f>VLOOKUP($A10,[16]HISTOAOUT22!$A$6:$AU$39,27,0)</f>
        <v>0</v>
      </c>
      <c r="X10" s="36">
        <f>VLOOKUP($A10,[16]HISTOAOUT22!$A$6:$AU$39,33,0)</f>
        <v>0</v>
      </c>
      <c r="Y10" s="36">
        <f>VLOOKUP($A10,[16]HISTOAOUT22!$A$6:$BP$39,65,0)</f>
        <v>0</v>
      </c>
      <c r="Z10" s="36"/>
      <c r="AA10" s="36">
        <f>VLOOKUP($A10,[16]HISTOAOUT22!$A$6:$AU$39,43,0)</f>
        <v>0</v>
      </c>
      <c r="AB10" s="36">
        <f>VLOOKUP($A10,[16]HISTOAOUT22!$A$6:$AU$39,44,0)</f>
        <v>0</v>
      </c>
      <c r="AC10" s="36">
        <f>VLOOKUP($A10,[16]HISTOAOUT22!$A$6:$AU$39,47,0)</f>
        <v>0</v>
      </c>
      <c r="AD10" s="36">
        <f>VLOOKUP(A10,[16]HISTOAOUT22!$A$6:$BB$36,54,0)</f>
        <v>0</v>
      </c>
      <c r="AE10" s="36">
        <f>VLOOKUP($A10,[16]HISTOAOUT22!$A$6:$CA$36,60,0)</f>
        <v>0</v>
      </c>
      <c r="AF10" s="36">
        <f>VLOOKUP($A10,[16]HISTOAOUT22!$A$6:$CA$36,61,0)</f>
        <v>0</v>
      </c>
      <c r="AG10" s="36">
        <f>VLOOKUP($A10,[16]HISTOAOUT22!$A$6:$CA$36,62,0)</f>
        <v>0</v>
      </c>
      <c r="AH10" s="36">
        <f>VLOOKUP($A10,[16]HISTOAOUT22!$A$6:$CA$36,63,0)</f>
        <v>0</v>
      </c>
      <c r="AI10" s="36">
        <f>VLOOKUP($A10,[16]HISTOAOUT22!$A$6:$CA$36,64,0)</f>
        <v>0</v>
      </c>
      <c r="AJ10" s="36">
        <f>VLOOKUP($A10,[16]HISTOAOUT22!$A$6:$CA$36,65,0)</f>
        <v>0</v>
      </c>
    </row>
    <row r="11" spans="1:36" x14ac:dyDescent="0.25">
      <c r="A11" s="1" t="s">
        <v>25</v>
      </c>
      <c r="B11" s="1" t="str">
        <f>VLOOKUP(A11,[15]LISTADHERENT!A$5:H$60,3,0)</f>
        <v>DJUOMBESSY ANTOINE</v>
      </c>
      <c r="C11" s="5"/>
      <c r="D11" s="5"/>
      <c r="E11" s="36">
        <f>VLOOKUP($A11,[16]HISTOAOUT22!$A$6:$BA$39,48,0)</f>
        <v>0</v>
      </c>
      <c r="F11" s="5">
        <f>MVTJUIL22!F11-MVTAOUT22!E11</f>
        <v>570000</v>
      </c>
      <c r="G11" s="6">
        <f t="shared" si="1"/>
        <v>0</v>
      </c>
      <c r="H11" s="6">
        <f>MVTJUIL22!H11+MVTJUIL22!G11+K11</f>
        <v>679036.02994737832</v>
      </c>
      <c r="I11" s="36">
        <f>VLOOKUP($A11,[16]HISTOAOUT22!$A$6:$AQ$37,22,0)</f>
        <v>0</v>
      </c>
      <c r="J11" s="36">
        <f>VLOOKUP($A11,[16]HISTOAOUT22!$A$6:$AU$39,45,0)</f>
        <v>12000</v>
      </c>
      <c r="K11" s="36">
        <f t="shared" si="2"/>
        <v>8000</v>
      </c>
      <c r="L11" s="36">
        <f t="shared" si="3"/>
        <v>500</v>
      </c>
      <c r="M11" s="36">
        <f t="shared" si="4"/>
        <v>1000</v>
      </c>
      <c r="N11" s="36">
        <f t="shared" si="5"/>
        <v>2500</v>
      </c>
      <c r="O11" s="36">
        <f>VLOOKUP($A11,[16]HISTOAOUT22!$A$6:$AU$39,7,0)</f>
        <v>0</v>
      </c>
      <c r="P11" s="36">
        <f>VLOOKUP($A11,[16]HISTOAOUT22!$A$6:$AU$39,23,0)</f>
        <v>0</v>
      </c>
      <c r="Q11" s="36">
        <f>VLOOKUP($A11,[16]HISTOAOUT22!$A$6:$AU$39,46,0)</f>
        <v>0</v>
      </c>
      <c r="R11" s="36">
        <f>VLOOKUP($A11,[16]HISTOAOUT22!$A$6:$AU$39,26,0)</f>
        <v>0</v>
      </c>
      <c r="S11" s="36">
        <f>VLOOKUP($A11,[16]HISTOAOUT22!$A$6:$BG$39,58,0)</f>
        <v>0</v>
      </c>
      <c r="T11" s="36">
        <f>VLOOKUP($A11,[16]HISTOAOUT22!$A$6:$AU$39,28,0)</f>
        <v>0</v>
      </c>
      <c r="U11" s="36">
        <f>VLOOKUP($A11,[16]HISTOAOUT22!$A$6:$AU$39,19,0)</f>
        <v>0</v>
      </c>
      <c r="V11" s="36">
        <f>VLOOKUP($A11,[16]HISTOAOUT22!$A$6:$AU$39,20,0)</f>
        <v>0</v>
      </c>
      <c r="W11" s="36">
        <f>VLOOKUP($A11,[16]HISTOAOUT22!$A$6:$AU$39,27,0)</f>
        <v>0</v>
      </c>
      <c r="X11" s="36">
        <f>VLOOKUP($A11,[16]HISTOAOUT22!$A$6:$AU$39,33,0)</f>
        <v>0</v>
      </c>
      <c r="Y11" s="36">
        <f>VLOOKUP($A11,[16]HISTOAOUT22!$A$6:$BP$39,65,0)</f>
        <v>0</v>
      </c>
      <c r="Z11" s="36"/>
      <c r="AA11" s="36">
        <f>VLOOKUP($A11,[16]HISTOAOUT22!$A$6:$AU$39,43,0)</f>
        <v>0</v>
      </c>
      <c r="AB11" s="36">
        <f>VLOOKUP($A11,[16]HISTOAOUT22!$A$6:$AU$39,44,0)</f>
        <v>0</v>
      </c>
      <c r="AC11" s="36">
        <f>VLOOKUP($A11,[16]HISTOAOUT22!$A$6:$AU$39,47,0)</f>
        <v>0</v>
      </c>
      <c r="AD11" s="36">
        <f>VLOOKUP(A11,[16]HISTOAOUT22!$A$6:$BB$36,54,0)</f>
        <v>0</v>
      </c>
      <c r="AE11" s="36">
        <f>VLOOKUP($A11,[16]HISTOAOUT22!$A$6:$CA$36,60,0)</f>
        <v>0</v>
      </c>
      <c r="AF11" s="36">
        <f>VLOOKUP($A11,[16]HISTOAOUT22!$A$6:$CA$36,61,0)</f>
        <v>0</v>
      </c>
      <c r="AG11" s="36">
        <f>VLOOKUP($A11,[16]HISTOAOUT22!$A$6:$CA$36,62,0)</f>
        <v>0</v>
      </c>
      <c r="AH11" s="36">
        <f>VLOOKUP($A11,[16]HISTOAOUT22!$A$6:$CA$36,63,0)</f>
        <v>0</v>
      </c>
      <c r="AI11" s="36">
        <f>VLOOKUP($A11,[16]HISTOAOUT22!$A$6:$CA$36,64,0)</f>
        <v>0</v>
      </c>
      <c r="AJ11" s="36">
        <f>VLOOKUP($A11,[16]HISTOAOUT22!$A$6:$CA$36,65,0)</f>
        <v>0</v>
      </c>
    </row>
    <row r="12" spans="1:36" x14ac:dyDescent="0.25">
      <c r="A12" s="1" t="s">
        <v>79</v>
      </c>
      <c r="B12" s="1" t="str">
        <f>VLOOKUP(A12,[15]LISTADHERENT!A$5:H$60,3,0)</f>
        <v>DOMOU FABIEN</v>
      </c>
      <c r="C12" s="5"/>
      <c r="D12" s="5"/>
      <c r="E12" s="36">
        <f>VLOOKUP($A12,[16]HISTOAOUT22!$A$6:$BA$39,48,0)</f>
        <v>0</v>
      </c>
      <c r="F12" s="5">
        <f>MVTJUIL22!F12-MVTAOUT22!E12</f>
        <v>570000</v>
      </c>
      <c r="G12" s="6">
        <f t="shared" si="1"/>
        <v>0</v>
      </c>
      <c r="H12" s="6">
        <f>MVTJUIL22!H12+MVTJUIL22!G12+K12</f>
        <v>705134.80445871851</v>
      </c>
      <c r="I12" s="36">
        <f>VLOOKUP($A12,[16]HISTOAOUT22!$A$6:$AQ$37,22,0)</f>
        <v>0</v>
      </c>
      <c r="J12" s="36">
        <f>VLOOKUP($A12,[16]HISTOAOUT22!$A$6:$AU$39,45,0)</f>
        <v>12000</v>
      </c>
      <c r="K12" s="36">
        <f t="shared" si="2"/>
        <v>8000</v>
      </c>
      <c r="L12" s="36">
        <f t="shared" si="3"/>
        <v>500</v>
      </c>
      <c r="M12" s="36">
        <f t="shared" si="4"/>
        <v>1000</v>
      </c>
      <c r="N12" s="36">
        <f t="shared" si="5"/>
        <v>2500</v>
      </c>
      <c r="O12" s="36">
        <f>VLOOKUP($A12,[16]HISTOAOUT22!$A$6:$AU$39,7,0)</f>
        <v>0</v>
      </c>
      <c r="P12" s="36">
        <f>VLOOKUP($A12,[16]HISTOAOUT22!$A$6:$AU$39,23,0)</f>
        <v>0</v>
      </c>
      <c r="Q12" s="36">
        <f>VLOOKUP($A12,[16]HISTOAOUT22!$A$6:$AU$39,46,0)</f>
        <v>0</v>
      </c>
      <c r="R12" s="36">
        <f>VLOOKUP($A12,[16]HISTOAOUT22!$A$6:$AU$39,26,0)</f>
        <v>0</v>
      </c>
      <c r="S12" s="36">
        <f>VLOOKUP($A12,[16]HISTOAOUT22!$A$6:$BG$39,58,0)</f>
        <v>0</v>
      </c>
      <c r="T12" s="36">
        <f>VLOOKUP($A12,[16]HISTOAOUT22!$A$6:$AU$39,28,0)</f>
        <v>0</v>
      </c>
      <c r="U12" s="36">
        <f>VLOOKUP($A12,[16]HISTOAOUT22!$A$6:$AU$39,19,0)</f>
        <v>0</v>
      </c>
      <c r="V12" s="36">
        <f>VLOOKUP($A12,[16]HISTOAOUT22!$A$6:$AU$39,20,0)</f>
        <v>0</v>
      </c>
      <c r="W12" s="36">
        <f>VLOOKUP($A12,[16]HISTOAOUT22!$A$6:$AU$39,27,0)</f>
        <v>0</v>
      </c>
      <c r="X12" s="36">
        <f>VLOOKUP($A12,[16]HISTOAOUT22!$A$6:$AU$39,33,0)</f>
        <v>0</v>
      </c>
      <c r="Y12" s="36">
        <f>VLOOKUP($A12,[16]HISTOAOUT22!$A$6:$BP$39,65,0)</f>
        <v>0</v>
      </c>
      <c r="Z12" s="36"/>
      <c r="AA12" s="36">
        <f>VLOOKUP($A12,[16]HISTOAOUT22!$A$6:$AU$39,43,0)</f>
        <v>0</v>
      </c>
      <c r="AB12" s="36">
        <f>VLOOKUP($A12,[16]HISTOAOUT22!$A$6:$AU$39,44,0)</f>
        <v>0</v>
      </c>
      <c r="AC12" s="36">
        <f>VLOOKUP($A12,[16]HISTOAOUT22!$A$6:$AU$39,47,0)</f>
        <v>0</v>
      </c>
      <c r="AD12" s="36">
        <f>VLOOKUP(A12,[16]HISTOAOUT22!$A$6:$BB$36,54,0)</f>
        <v>0</v>
      </c>
      <c r="AE12" s="36">
        <f>VLOOKUP($A12,[16]HISTOAOUT22!$A$6:$CA$36,60,0)</f>
        <v>0</v>
      </c>
      <c r="AF12" s="36">
        <f>VLOOKUP($A12,[16]HISTOAOUT22!$A$6:$CA$36,61,0)</f>
        <v>0</v>
      </c>
      <c r="AG12" s="36">
        <f>VLOOKUP($A12,[16]HISTOAOUT22!$A$6:$CA$36,62,0)</f>
        <v>0</v>
      </c>
      <c r="AH12" s="36">
        <f>VLOOKUP($A12,[16]HISTOAOUT22!$A$6:$CA$36,63,0)</f>
        <v>0</v>
      </c>
      <c r="AI12" s="36">
        <f>VLOOKUP($A12,[16]HISTOAOUT22!$A$6:$CA$36,64,0)</f>
        <v>0</v>
      </c>
      <c r="AJ12" s="36">
        <f>VLOOKUP($A12,[16]HISTOAOUT22!$A$6:$CA$36,65,0)</f>
        <v>0</v>
      </c>
    </row>
    <row r="13" spans="1:36" x14ac:dyDescent="0.25">
      <c r="A13" s="1" t="s">
        <v>26</v>
      </c>
      <c r="B13" s="1" t="str">
        <f>VLOOKUP(A13,[15]LISTADHERENT!A$5:H$60,3,0)</f>
        <v>DONHOU DAVID</v>
      </c>
      <c r="C13" s="5"/>
      <c r="D13" s="5"/>
      <c r="E13" s="36">
        <f>VLOOKUP($A13,[16]HISTOAOUT22!$A$6:$BA$39,48,0)</f>
        <v>0</v>
      </c>
      <c r="F13" s="5">
        <f>MVTJUIL22!F13-MVTAOUT22!E13</f>
        <v>570000</v>
      </c>
      <c r="G13" s="6">
        <f t="shared" si="1"/>
        <v>0</v>
      </c>
      <c r="H13" s="6">
        <f>MVTJUIL22!H13+MVTJUIL22!G13+K13</f>
        <v>973114.01650523359</v>
      </c>
      <c r="I13" s="36">
        <f>VLOOKUP($A13,[16]HISTOAOUT22!$A$6:$AQ$37,22,0)</f>
        <v>0</v>
      </c>
      <c r="J13" s="36">
        <f>VLOOKUP($A13,[16]HISTOAOUT22!$A$6:$AU$39,45,0)</f>
        <v>12000</v>
      </c>
      <c r="K13" s="36">
        <f t="shared" si="2"/>
        <v>8000</v>
      </c>
      <c r="L13" s="36">
        <f t="shared" si="3"/>
        <v>500</v>
      </c>
      <c r="M13" s="36">
        <f t="shared" si="4"/>
        <v>1000</v>
      </c>
      <c r="N13" s="36">
        <f t="shared" si="5"/>
        <v>2500</v>
      </c>
      <c r="O13" s="36">
        <f>VLOOKUP($A13,[16]HISTOAOUT22!$A$6:$AU$39,7,0)</f>
        <v>0</v>
      </c>
      <c r="P13" s="36">
        <f>VLOOKUP($A13,[16]HISTOAOUT22!$A$6:$AU$39,23,0)</f>
        <v>0</v>
      </c>
      <c r="Q13" s="36">
        <f>VLOOKUP($A13,[16]HISTOAOUT22!$A$6:$AU$39,46,0)</f>
        <v>0</v>
      </c>
      <c r="R13" s="36">
        <f>VLOOKUP($A13,[16]HISTOAOUT22!$A$6:$AU$39,26,0)</f>
        <v>0</v>
      </c>
      <c r="S13" s="36">
        <f>VLOOKUP($A13,[16]HISTOAOUT22!$A$6:$BG$39,58,0)</f>
        <v>0</v>
      </c>
      <c r="T13" s="36">
        <f>VLOOKUP($A13,[16]HISTOAOUT22!$A$6:$AU$39,28,0)</f>
        <v>0</v>
      </c>
      <c r="U13" s="36">
        <f>VLOOKUP($A13,[16]HISTOAOUT22!$A$6:$AU$39,19,0)</f>
        <v>0</v>
      </c>
      <c r="V13" s="36">
        <f>VLOOKUP($A13,[16]HISTOAOUT22!$A$6:$AU$39,20,0)</f>
        <v>0</v>
      </c>
      <c r="W13" s="36">
        <f>VLOOKUP($A13,[16]HISTOAOUT22!$A$6:$AU$39,27,0)</f>
        <v>0</v>
      </c>
      <c r="X13" s="36">
        <f>VLOOKUP($A13,[16]HISTOAOUT22!$A$6:$AU$39,33,0)</f>
        <v>0</v>
      </c>
      <c r="Y13" s="36">
        <f>VLOOKUP($A13,[16]HISTOAOUT22!$A$6:$BP$39,65,0)</f>
        <v>0</v>
      </c>
      <c r="Z13" s="36"/>
      <c r="AA13" s="36">
        <f>VLOOKUP($A13,[16]HISTOAOUT22!$A$6:$AU$39,43,0)</f>
        <v>0</v>
      </c>
      <c r="AB13" s="36">
        <f>VLOOKUP($A13,[16]HISTOAOUT22!$A$6:$AU$39,44,0)</f>
        <v>0</v>
      </c>
      <c r="AC13" s="36">
        <f>VLOOKUP($A13,[16]HISTOAOUT22!$A$6:$AU$39,47,0)</f>
        <v>0</v>
      </c>
      <c r="AD13" s="36">
        <f>VLOOKUP(A13,[16]HISTOAOUT22!$A$6:$BB$36,54,0)</f>
        <v>0</v>
      </c>
      <c r="AE13" s="36">
        <f>VLOOKUP($A13,[16]HISTOAOUT22!$A$6:$CA$36,60,0)</f>
        <v>0</v>
      </c>
      <c r="AF13" s="36">
        <f>VLOOKUP($A13,[16]HISTOAOUT22!$A$6:$CA$36,61,0)</f>
        <v>0</v>
      </c>
      <c r="AG13" s="36">
        <f>VLOOKUP($A13,[16]HISTOAOUT22!$A$6:$CA$36,62,0)</f>
        <v>0</v>
      </c>
      <c r="AH13" s="36">
        <f>VLOOKUP($A13,[16]HISTOAOUT22!$A$6:$CA$36,63,0)</f>
        <v>0</v>
      </c>
      <c r="AI13" s="36">
        <f>VLOOKUP($A13,[16]HISTOAOUT22!$A$6:$CA$36,64,0)</f>
        <v>0</v>
      </c>
      <c r="AJ13" s="36">
        <f>VLOOKUP($A13,[16]HISTOAOUT22!$A$6:$CA$36,65,0)</f>
        <v>0</v>
      </c>
    </row>
    <row r="14" spans="1:36" x14ac:dyDescent="0.25">
      <c r="A14" s="1" t="s">
        <v>27</v>
      </c>
      <c r="B14" s="1" t="str">
        <f>VLOOKUP(A14,[15]LISTADHERENT!A$5:H$60,3,0)</f>
        <v>FOTSO THOMAS</v>
      </c>
      <c r="C14" s="5"/>
      <c r="D14" s="5"/>
      <c r="E14" s="36">
        <f>VLOOKUP($A14,[16]HISTOAOUT22!$A$6:$BA$39,48,0)</f>
        <v>0</v>
      </c>
      <c r="F14" s="5">
        <f>MVTJUIL22!F14-MVTAOUT22!E14</f>
        <v>540000</v>
      </c>
      <c r="G14" s="6">
        <f t="shared" si="1"/>
        <v>0</v>
      </c>
      <c r="H14" s="6">
        <f>MVTJUIL22!H14+MVTJUIL22!G14+K14</f>
        <v>0</v>
      </c>
      <c r="I14" s="36">
        <f>VLOOKUP($A14,[16]HISTOAOUT22!$A$6:$AQ$37,22,0)</f>
        <v>0</v>
      </c>
      <c r="J14" s="36">
        <f>VLOOKUP($A14,[16]HISTOAOUT22!$A$6:$AU$39,45,0)</f>
        <v>0</v>
      </c>
      <c r="K14" s="36">
        <f t="shared" si="2"/>
        <v>0</v>
      </c>
      <c r="L14" s="36">
        <f t="shared" si="3"/>
        <v>0</v>
      </c>
      <c r="M14" s="36">
        <f t="shared" si="4"/>
        <v>0</v>
      </c>
      <c r="N14" s="36">
        <f t="shared" si="5"/>
        <v>0</v>
      </c>
      <c r="O14" s="36">
        <f>VLOOKUP($A14,[16]HISTOAOUT22!$A$6:$AU$39,7,0)</f>
        <v>0</v>
      </c>
      <c r="P14" s="36">
        <f>VLOOKUP($A14,[16]HISTOAOUT22!$A$6:$AU$39,23,0)</f>
        <v>0</v>
      </c>
      <c r="Q14" s="36">
        <f>VLOOKUP($A14,[16]HISTOAOUT22!$A$6:$AU$39,46,0)</f>
        <v>0</v>
      </c>
      <c r="R14" s="36">
        <f>VLOOKUP($A14,[16]HISTOAOUT22!$A$6:$AU$39,26,0)</f>
        <v>0</v>
      </c>
      <c r="S14" s="36">
        <f>VLOOKUP($A14,[16]HISTOAOUT22!$A$6:$BG$39,58,0)</f>
        <v>0</v>
      </c>
      <c r="T14" s="36">
        <f>VLOOKUP($A14,[16]HISTOAOUT22!$A$6:$AU$39,28,0)</f>
        <v>0</v>
      </c>
      <c r="U14" s="36">
        <f>VLOOKUP($A14,[16]HISTOAOUT22!$A$6:$AU$39,19,0)</f>
        <v>0</v>
      </c>
      <c r="V14" s="36">
        <f>VLOOKUP($A14,[16]HISTOAOUT22!$A$6:$AU$39,20,0)</f>
        <v>0</v>
      </c>
      <c r="W14" s="36">
        <f>VLOOKUP($A14,[16]HISTOAOUT22!$A$6:$AU$39,27,0)</f>
        <v>0</v>
      </c>
      <c r="X14" s="36">
        <f>VLOOKUP($A14,[16]HISTOAOUT22!$A$6:$AU$39,33,0)</f>
        <v>0</v>
      </c>
      <c r="Y14" s="36">
        <f>VLOOKUP($A14,[16]HISTOAOUT22!$A$6:$BP$39,65,0)</f>
        <v>0</v>
      </c>
      <c r="Z14" s="36"/>
      <c r="AA14" s="36">
        <f>VLOOKUP($A14,[16]HISTOAOUT22!$A$6:$AU$39,43,0)</f>
        <v>0</v>
      </c>
      <c r="AB14" s="36">
        <f>VLOOKUP($A14,[16]HISTOAOUT22!$A$6:$AU$39,44,0)</f>
        <v>0</v>
      </c>
      <c r="AC14" s="36">
        <f>VLOOKUP($A14,[16]HISTOAOUT22!$A$6:$AU$39,47,0)</f>
        <v>0</v>
      </c>
      <c r="AD14" s="36">
        <f>VLOOKUP(A14,[16]HISTOAOUT22!$A$6:$BB$36,54,0)</f>
        <v>0</v>
      </c>
      <c r="AE14" s="36">
        <f>VLOOKUP($A14,[16]HISTOAOUT22!$A$6:$CA$36,60,0)</f>
        <v>0</v>
      </c>
      <c r="AF14" s="36">
        <f>VLOOKUP($A14,[16]HISTOAOUT22!$A$6:$CA$36,61,0)</f>
        <v>0</v>
      </c>
      <c r="AG14" s="36">
        <f>VLOOKUP($A14,[16]HISTOAOUT22!$A$6:$CA$36,62,0)</f>
        <v>0</v>
      </c>
      <c r="AH14" s="36">
        <f>VLOOKUP($A14,[16]HISTOAOUT22!$A$6:$CA$36,63,0)</f>
        <v>0</v>
      </c>
      <c r="AI14" s="36">
        <f>VLOOKUP($A14,[16]HISTOAOUT22!$A$6:$CA$36,64,0)</f>
        <v>0</v>
      </c>
      <c r="AJ14" s="36">
        <f>VLOOKUP($A14,[16]HISTOAOUT22!$A$6:$CA$36,65,0)</f>
        <v>0</v>
      </c>
    </row>
    <row r="15" spans="1:36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VLOOKUP($A15,[16]HISTOAOUT22!$A$6:$BA$39,48,0)</f>
        <v>0</v>
      </c>
      <c r="F15" s="5">
        <f>MVTJUIL22!F15-MVTAOUT22!E15</f>
        <v>570000</v>
      </c>
      <c r="G15" s="6">
        <f t="shared" si="1"/>
        <v>0</v>
      </c>
      <c r="H15" s="6">
        <f>MVTJUIL22!H15+MVTJUIL22!G15+K15</f>
        <v>660402.85606563604</v>
      </c>
      <c r="I15" s="36">
        <f>VLOOKUP($A15,[16]HISTOAOUT22!$A$6:$AQ$37,22,0)</f>
        <v>0</v>
      </c>
      <c r="J15" s="36">
        <f>VLOOKUP($A15,[16]HISTOAOUT22!$A$6:$AU$39,45,0)</f>
        <v>7000</v>
      </c>
      <c r="K15" s="36">
        <f t="shared" si="2"/>
        <v>3000</v>
      </c>
      <c r="L15" s="36">
        <f t="shared" si="3"/>
        <v>500</v>
      </c>
      <c r="M15" s="36">
        <f t="shared" si="4"/>
        <v>1000</v>
      </c>
      <c r="N15" s="36">
        <f t="shared" si="5"/>
        <v>2500</v>
      </c>
      <c r="O15" s="36">
        <f>VLOOKUP($A15,[16]HISTOAOUT22!$A$6:$AU$39,7,0)</f>
        <v>0</v>
      </c>
      <c r="P15" s="36">
        <f>VLOOKUP($A15,[16]HISTOAOUT22!$A$6:$AU$39,23,0)</f>
        <v>0</v>
      </c>
      <c r="Q15" s="36">
        <f>VLOOKUP($A15,[16]HISTOAOUT22!$A$6:$AU$39,46,0)</f>
        <v>0</v>
      </c>
      <c r="R15" s="36">
        <f>VLOOKUP($A15,[16]HISTOAOUT22!$A$6:$AU$39,26,0)</f>
        <v>0</v>
      </c>
      <c r="S15" s="36">
        <f>VLOOKUP($A15,[16]HISTOAOUT22!$A$6:$BG$39,58,0)</f>
        <v>0</v>
      </c>
      <c r="T15" s="36">
        <f>VLOOKUP($A15,[16]HISTOAOUT22!$A$6:$AU$39,28,0)</f>
        <v>0</v>
      </c>
      <c r="U15" s="36">
        <f>VLOOKUP($A15,[16]HISTOAOUT22!$A$6:$AU$39,19,0)</f>
        <v>0</v>
      </c>
      <c r="V15" s="36">
        <f>VLOOKUP($A15,[16]HISTOAOUT22!$A$6:$AU$39,20,0)</f>
        <v>0</v>
      </c>
      <c r="W15" s="36">
        <f>VLOOKUP($A15,[16]HISTOAOUT22!$A$6:$AU$39,27,0)</f>
        <v>0</v>
      </c>
      <c r="X15" s="36">
        <f>VLOOKUP($A15,[16]HISTOAOUT22!$A$6:$AU$39,33,0)</f>
        <v>0</v>
      </c>
      <c r="Y15" s="36">
        <f>VLOOKUP($A15,[16]HISTOAOUT22!$A$6:$BP$39,65,0)</f>
        <v>0</v>
      </c>
      <c r="Z15" s="36"/>
      <c r="AA15" s="36">
        <f>VLOOKUP($A15,[16]HISTOAOUT22!$A$6:$AU$39,43,0)</f>
        <v>0</v>
      </c>
      <c r="AB15" s="36">
        <f>VLOOKUP($A15,[16]HISTOAOUT22!$A$6:$AU$39,44,0)</f>
        <v>0</v>
      </c>
      <c r="AC15" s="36">
        <f>VLOOKUP($A15,[16]HISTOAOUT22!$A$6:$AU$39,47,0)</f>
        <v>0</v>
      </c>
      <c r="AD15" s="36">
        <f>VLOOKUP(A15,[16]HISTOAOUT22!$A$6:$BB$36,54,0)</f>
        <v>70000</v>
      </c>
      <c r="AE15" s="36">
        <f>VLOOKUP($A15,[16]HISTOAOUT22!$A$6:$CA$36,60,0)</f>
        <v>0</v>
      </c>
      <c r="AF15" s="36">
        <f>VLOOKUP($A15,[16]HISTOAOUT22!$A$6:$CA$36,61,0)</f>
        <v>0</v>
      </c>
      <c r="AG15" s="36">
        <f>VLOOKUP($A15,[16]HISTOAOUT22!$A$6:$CA$36,62,0)</f>
        <v>0</v>
      </c>
      <c r="AH15" s="36">
        <f>VLOOKUP($A15,[16]HISTOAOUT22!$A$6:$CA$36,63,0)</f>
        <v>0</v>
      </c>
      <c r="AI15" s="36">
        <f>VLOOKUP($A15,[16]HISTOAOUT22!$A$6:$CA$36,64,0)</f>
        <v>0</v>
      </c>
      <c r="AJ15" s="36">
        <f>VLOOKUP($A15,[16]HISTOAOUT22!$A$6:$CA$36,65,0)</f>
        <v>0</v>
      </c>
    </row>
    <row r="16" spans="1:36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VLOOKUP($A16,[16]HISTOAOUT22!$A$6:$BA$39,48,0)</f>
        <v>0</v>
      </c>
      <c r="F16" s="5">
        <f>MVTJUIL22!F16-MVTAOUT22!E16</f>
        <v>570000</v>
      </c>
      <c r="G16" s="6">
        <f t="shared" si="1"/>
        <v>0</v>
      </c>
      <c r="H16" s="6">
        <f>MVTJUIL22!H16+MVTJUIL22!G16+K16</f>
        <v>1047832.1031424677</v>
      </c>
      <c r="I16" s="36">
        <f>VLOOKUP($A16,[16]HISTOAOUT22!$A$6:$AQ$37,22,0)</f>
        <v>0</v>
      </c>
      <c r="J16" s="36">
        <f>VLOOKUP($A16,[16]HISTOAOUT22!$A$6:$AU$39,45,0)</f>
        <v>52000</v>
      </c>
      <c r="K16" s="36">
        <f t="shared" si="2"/>
        <v>48000</v>
      </c>
      <c r="L16" s="36">
        <f t="shared" si="3"/>
        <v>500</v>
      </c>
      <c r="M16" s="36">
        <f t="shared" si="4"/>
        <v>1000</v>
      </c>
      <c r="N16" s="36">
        <f t="shared" si="5"/>
        <v>2500</v>
      </c>
      <c r="O16" s="36">
        <f>VLOOKUP($A16,[16]HISTOAOUT22!$A$6:$AU$39,7,0)</f>
        <v>0</v>
      </c>
      <c r="P16" s="36">
        <f>VLOOKUP($A16,[16]HISTOAOUT22!$A$6:$AU$39,23,0)</f>
        <v>0</v>
      </c>
      <c r="Q16" s="36">
        <f>VLOOKUP($A16,[16]HISTOAOUT22!$A$6:$AU$39,46,0)</f>
        <v>0</v>
      </c>
      <c r="R16" s="36">
        <f>VLOOKUP($A16,[16]HISTOAOUT22!$A$6:$AU$39,26,0)</f>
        <v>0</v>
      </c>
      <c r="S16" s="36">
        <f>VLOOKUP($A16,[16]HISTOAOUT22!$A$6:$BG$39,58,0)</f>
        <v>0</v>
      </c>
      <c r="T16" s="36">
        <f>VLOOKUP($A16,[16]HISTOAOUT22!$A$6:$AU$39,28,0)</f>
        <v>0</v>
      </c>
      <c r="U16" s="36">
        <f>VLOOKUP($A16,[16]HISTOAOUT22!$A$6:$AU$39,19,0)</f>
        <v>0</v>
      </c>
      <c r="V16" s="36">
        <f>VLOOKUP($A16,[16]HISTOAOUT22!$A$6:$AU$39,20,0)</f>
        <v>0</v>
      </c>
      <c r="W16" s="36">
        <f>VLOOKUP($A16,[16]HISTOAOUT22!$A$6:$AU$39,27,0)</f>
        <v>0</v>
      </c>
      <c r="X16" s="36">
        <f>VLOOKUP($A16,[16]HISTOAOUT22!$A$6:$AU$39,33,0)</f>
        <v>0</v>
      </c>
      <c r="Y16" s="36">
        <f>VLOOKUP($A16,[16]HISTOAOUT22!$A$6:$BP$39,65,0)</f>
        <v>0</v>
      </c>
      <c r="Z16" s="36"/>
      <c r="AA16" s="36">
        <f>VLOOKUP($A16,[16]HISTOAOUT22!$A$6:$AU$39,43,0)</f>
        <v>0</v>
      </c>
      <c r="AB16" s="36">
        <f>VLOOKUP($A16,[16]HISTOAOUT22!$A$6:$AU$39,44,0)</f>
        <v>0</v>
      </c>
      <c r="AC16" s="36">
        <f>VLOOKUP($A16,[16]HISTOAOUT22!$A$6:$AU$39,47,0)</f>
        <v>0</v>
      </c>
      <c r="AD16" s="36">
        <f>VLOOKUP(A16,[16]HISTOAOUT22!$A$6:$BB$36,54,0)</f>
        <v>0</v>
      </c>
      <c r="AE16" s="36">
        <f>VLOOKUP($A16,[16]HISTOAOUT22!$A$6:$CA$36,60,0)</f>
        <v>0</v>
      </c>
      <c r="AF16" s="36">
        <f>VLOOKUP($A16,[16]HISTOAOUT22!$A$6:$CA$36,61,0)</f>
        <v>0</v>
      </c>
      <c r="AG16" s="36">
        <f>VLOOKUP($A16,[16]HISTOAOUT22!$A$6:$CA$36,62,0)</f>
        <v>0</v>
      </c>
      <c r="AH16" s="36">
        <f>VLOOKUP($A16,[16]HISTOAOUT22!$A$6:$CA$36,63,0)</f>
        <v>0</v>
      </c>
      <c r="AI16" s="36">
        <f>VLOOKUP($A16,[16]HISTOAOUT22!$A$6:$CA$36,64,0)</f>
        <v>0</v>
      </c>
      <c r="AJ16" s="36">
        <f>VLOOKUP($A16,[16]HISTOAOUT22!$A$6:$CA$36,65,0)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VLOOKUP($A17,[16]HISTOAOUT22!$A$6:$BA$39,48,0)</f>
        <v>0</v>
      </c>
      <c r="F17" s="5">
        <f>MVTJUIL22!F17-MVTAOUT22!E17</f>
        <v>570000</v>
      </c>
      <c r="G17" s="6">
        <f t="shared" si="1"/>
        <v>0</v>
      </c>
      <c r="H17" s="6">
        <f>MVTJUIL22!H17+MVTJUIL22!G17+K17</f>
        <v>662587.12764239614</v>
      </c>
      <c r="I17" s="36">
        <f>VLOOKUP($A17,[16]HISTOAOUT22!$A$6:$AQ$37,22,0)</f>
        <v>0</v>
      </c>
      <c r="J17" s="36">
        <f>VLOOKUP($A17,[16]HISTOAOUT22!$A$6:$AU$39,45,0)</f>
        <v>7000</v>
      </c>
      <c r="K17" s="36">
        <f t="shared" si="2"/>
        <v>3000</v>
      </c>
      <c r="L17" s="36">
        <f t="shared" si="3"/>
        <v>500</v>
      </c>
      <c r="M17" s="36">
        <f t="shared" si="4"/>
        <v>1000</v>
      </c>
      <c r="N17" s="36">
        <f t="shared" si="5"/>
        <v>2500</v>
      </c>
      <c r="O17" s="36">
        <f>VLOOKUP($A17,[16]HISTOAOUT22!$A$6:$AU$39,7,0)</f>
        <v>0</v>
      </c>
      <c r="P17" s="36">
        <f>VLOOKUP($A17,[16]HISTOAOUT22!$A$6:$AU$39,23,0)</f>
        <v>0</v>
      </c>
      <c r="Q17" s="36">
        <f>VLOOKUP($A17,[16]HISTOAOUT22!$A$6:$AU$39,46,0)</f>
        <v>0</v>
      </c>
      <c r="R17" s="36">
        <f>VLOOKUP($A17,[16]HISTOAOUT22!$A$6:$AU$39,26,0)</f>
        <v>0</v>
      </c>
      <c r="S17" s="36">
        <f>VLOOKUP($A17,[16]HISTOAOUT22!$A$6:$BG$39,58,0)</f>
        <v>0</v>
      </c>
      <c r="T17" s="36">
        <f>VLOOKUP($A17,[16]HISTOAOUT22!$A$6:$AU$39,28,0)</f>
        <v>0</v>
      </c>
      <c r="U17" s="36">
        <f>VLOOKUP($A17,[16]HISTOAOUT22!$A$6:$AU$39,19,0)</f>
        <v>0</v>
      </c>
      <c r="V17" s="36">
        <f>VLOOKUP($A17,[16]HISTOAOUT22!$A$6:$AU$39,20,0)</f>
        <v>0</v>
      </c>
      <c r="W17" s="36">
        <f>VLOOKUP($A17,[16]HISTOAOUT22!$A$6:$AU$39,27,0)</f>
        <v>0</v>
      </c>
      <c r="X17" s="36">
        <f>VLOOKUP($A17,[16]HISTOAOUT22!$A$6:$AU$39,33,0)</f>
        <v>0</v>
      </c>
      <c r="Y17" s="36">
        <f>VLOOKUP($A17,[16]HISTOAOUT22!$A$6:$BP$39,65,0)</f>
        <v>0</v>
      </c>
      <c r="Z17" s="36"/>
      <c r="AA17" s="36">
        <f>VLOOKUP($A17,[16]HISTOAOUT22!$A$6:$AU$39,43,0)</f>
        <v>0</v>
      </c>
      <c r="AB17" s="36">
        <f>VLOOKUP($A17,[16]HISTOAOUT22!$A$6:$AU$39,44,0)</f>
        <v>0</v>
      </c>
      <c r="AC17" s="36">
        <f>VLOOKUP($A17,[16]HISTOAOUT22!$A$6:$AU$39,47,0)</f>
        <v>0</v>
      </c>
      <c r="AD17" s="36">
        <f>VLOOKUP(A17,[16]HISTOAOUT22!$A$6:$BB$36,54,0)</f>
        <v>0</v>
      </c>
      <c r="AE17" s="36">
        <f>VLOOKUP($A17,[16]HISTOAOUT22!$A$6:$CA$36,60,0)</f>
        <v>0</v>
      </c>
      <c r="AF17" s="36">
        <f>VLOOKUP($A17,[16]HISTOAOUT22!$A$6:$CA$36,61,0)</f>
        <v>0</v>
      </c>
      <c r="AG17" s="36">
        <f>VLOOKUP($A17,[16]HISTOAOUT22!$A$6:$CA$36,62,0)</f>
        <v>0</v>
      </c>
      <c r="AH17" s="36">
        <f>VLOOKUP($A17,[16]HISTOAOUT22!$A$6:$CA$36,63,0)</f>
        <v>0</v>
      </c>
      <c r="AI17" s="36">
        <f>VLOOKUP($A17,[16]HISTOAOUT22!$A$6:$CA$36,64,0)</f>
        <v>0</v>
      </c>
      <c r="AJ17" s="36">
        <f>VLOOKUP($A17,[16]HISTOAOUT22!$A$6:$CA$36,65,0)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VLOOKUP($A18,[16]HISTOAOUT22!$A$6:$BA$39,48,0)</f>
        <v>0</v>
      </c>
      <c r="F18" s="5">
        <f>MVTJUIL22!F18-MVTAOUT22!E18</f>
        <v>570000</v>
      </c>
      <c r="G18" s="6">
        <f t="shared" si="1"/>
        <v>0</v>
      </c>
      <c r="H18" s="6">
        <f>MVTJUIL22!H18+MVTJUIL22!G18+K18</f>
        <v>664259.86803162331</v>
      </c>
      <c r="I18" s="36">
        <f>VLOOKUP($A18,[16]HISTOAOUT22!$A$6:$AQ$37,22,0)</f>
        <v>0</v>
      </c>
      <c r="J18" s="36">
        <f>VLOOKUP($A18,[16]HISTOAOUT22!$A$6:$AU$39,45,0)</f>
        <v>7000</v>
      </c>
      <c r="K18" s="36">
        <f t="shared" si="2"/>
        <v>3000</v>
      </c>
      <c r="L18" s="36">
        <f t="shared" si="3"/>
        <v>500</v>
      </c>
      <c r="M18" s="36">
        <f t="shared" si="4"/>
        <v>1000</v>
      </c>
      <c r="N18" s="36">
        <f t="shared" si="5"/>
        <v>2500</v>
      </c>
      <c r="O18" s="36">
        <f>VLOOKUP($A18,[16]HISTOAOUT22!$A$6:$AU$39,7,0)</f>
        <v>3000</v>
      </c>
      <c r="P18" s="36">
        <f>VLOOKUP($A18,[16]HISTOAOUT22!$A$6:$AU$39,23,0)</f>
        <v>0</v>
      </c>
      <c r="Q18" s="36">
        <f>VLOOKUP($A18,[16]HISTOAOUT22!$A$6:$AU$39,46,0)</f>
        <v>0</v>
      </c>
      <c r="R18" s="36">
        <f>VLOOKUP($A18,[16]HISTOAOUT22!$A$6:$AU$39,26,0)</f>
        <v>0</v>
      </c>
      <c r="S18" s="36">
        <f>VLOOKUP($A18,[16]HISTOAOUT22!$A$6:$BG$39,58,0)</f>
        <v>0</v>
      </c>
      <c r="T18" s="36">
        <f>VLOOKUP($A18,[16]HISTOAOUT22!$A$6:$AU$39,28,0)</f>
        <v>0</v>
      </c>
      <c r="U18" s="36">
        <f>VLOOKUP($A18,[16]HISTOAOUT22!$A$6:$AU$39,19,0)</f>
        <v>0</v>
      </c>
      <c r="V18" s="36">
        <f>VLOOKUP($A18,[16]HISTOAOUT22!$A$6:$AU$39,20,0)</f>
        <v>0</v>
      </c>
      <c r="W18" s="36">
        <f>VLOOKUP($A18,[16]HISTOAOUT22!$A$6:$AU$39,27,0)</f>
        <v>0</v>
      </c>
      <c r="X18" s="36">
        <f>VLOOKUP($A18,[16]HISTOAOUT22!$A$6:$AU$39,33,0)</f>
        <v>0</v>
      </c>
      <c r="Y18" s="36">
        <f>VLOOKUP($A18,[16]HISTOAOUT22!$A$6:$BP$39,65,0)</f>
        <v>0</v>
      </c>
      <c r="Z18" s="36"/>
      <c r="AA18" s="36">
        <f>VLOOKUP($A18,[16]HISTOAOUT22!$A$6:$AU$39,43,0)</f>
        <v>0</v>
      </c>
      <c r="AB18" s="36">
        <f>VLOOKUP($A18,[16]HISTOAOUT22!$A$6:$AU$39,44,0)</f>
        <v>0</v>
      </c>
      <c r="AC18" s="36">
        <f>VLOOKUP($A18,[16]HISTOAOUT22!$A$6:$AU$39,47,0)</f>
        <v>0</v>
      </c>
      <c r="AD18" s="36">
        <f>VLOOKUP(A18,[16]HISTOAOUT22!$A$6:$BB$36,54,0)</f>
        <v>0</v>
      </c>
      <c r="AE18" s="36">
        <f>VLOOKUP($A18,[16]HISTOAOUT22!$A$6:$CA$36,60,0)</f>
        <v>0</v>
      </c>
      <c r="AF18" s="36">
        <f>VLOOKUP($A18,[16]HISTOAOUT22!$A$6:$CA$36,61,0)</f>
        <v>0</v>
      </c>
      <c r="AG18" s="36">
        <f>VLOOKUP($A18,[16]HISTOAOUT22!$A$6:$CA$36,62,0)</f>
        <v>0</v>
      </c>
      <c r="AH18" s="36">
        <f>VLOOKUP($A18,[16]HISTOAOUT22!$A$6:$CA$36,63,0)</f>
        <v>0</v>
      </c>
      <c r="AI18" s="36">
        <f>VLOOKUP($A18,[16]HISTOAOUT22!$A$6:$CA$36,64,0)</f>
        <v>0</v>
      </c>
      <c r="AJ18" s="36">
        <f>VLOOKUP($A18,[16]HISTOAOUT22!$A$6:$CA$36,65,0)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VLOOKUP($A19,[16]HISTOAOUT22!$A$6:$BA$39,48,0)</f>
        <v>0</v>
      </c>
      <c r="F19" s="5">
        <f>MVTJUIL22!F19-MVTAOUT22!E19</f>
        <v>570000</v>
      </c>
      <c r="G19" s="6">
        <f t="shared" si="1"/>
        <v>0</v>
      </c>
      <c r="H19" s="6">
        <f>MVTJUIL22!H19+MVTJUIL22!G19+K19</f>
        <v>657030.97258010204</v>
      </c>
      <c r="I19" s="36">
        <f>VLOOKUP($A19,[16]HISTOAOUT22!$A$6:$AQ$37,22,0)</f>
        <v>0</v>
      </c>
      <c r="J19" s="36">
        <f>VLOOKUP($A19,[16]HISTOAOUT22!$A$6:$AU$39,45,0)</f>
        <v>7000</v>
      </c>
      <c r="K19" s="36">
        <f t="shared" si="2"/>
        <v>3000</v>
      </c>
      <c r="L19" s="36">
        <f t="shared" si="3"/>
        <v>500</v>
      </c>
      <c r="M19" s="36">
        <f t="shared" si="4"/>
        <v>1000</v>
      </c>
      <c r="N19" s="36">
        <f t="shared" si="5"/>
        <v>2500</v>
      </c>
      <c r="O19" s="36">
        <f>VLOOKUP($A19,[16]HISTOAOUT22!$A$6:$AU$39,7,0)</f>
        <v>0</v>
      </c>
      <c r="P19" s="36">
        <f>VLOOKUP($A19,[16]HISTOAOUT22!$A$6:$AU$39,23,0)</f>
        <v>0</v>
      </c>
      <c r="Q19" s="36">
        <f>VLOOKUP($A19,[16]HISTOAOUT22!$A$6:$AU$39,46,0)</f>
        <v>0</v>
      </c>
      <c r="R19" s="36">
        <f>VLOOKUP($A19,[16]HISTOAOUT22!$A$6:$AU$39,26,0)</f>
        <v>0</v>
      </c>
      <c r="S19" s="36">
        <f>VLOOKUP($A19,[16]HISTOAOUT22!$A$6:$BG$39,58,0)</f>
        <v>0</v>
      </c>
      <c r="T19" s="36">
        <f>VLOOKUP($A19,[16]HISTOAOUT22!$A$6:$AU$39,28,0)</f>
        <v>0</v>
      </c>
      <c r="U19" s="36">
        <f>VLOOKUP($A19,[16]HISTOAOUT22!$A$6:$AU$39,19,0)</f>
        <v>0</v>
      </c>
      <c r="V19" s="36">
        <f>VLOOKUP($A19,[16]HISTOAOUT22!$A$6:$AU$39,20,0)</f>
        <v>0</v>
      </c>
      <c r="W19" s="36">
        <f>VLOOKUP($A19,[16]HISTOAOUT22!$A$6:$AU$39,27,0)</f>
        <v>0</v>
      </c>
      <c r="X19" s="36">
        <f>VLOOKUP($A19,[16]HISTOAOUT22!$A$6:$AU$39,33,0)</f>
        <v>0</v>
      </c>
      <c r="Y19" s="36">
        <f>VLOOKUP($A19,[16]HISTOAOUT22!$A$6:$BP$39,65,0)</f>
        <v>0</v>
      </c>
      <c r="Z19" s="36"/>
      <c r="AA19" s="36">
        <f>VLOOKUP($A19,[16]HISTOAOUT22!$A$6:$AU$39,43,0)</f>
        <v>0</v>
      </c>
      <c r="AB19" s="36">
        <f>VLOOKUP($A19,[16]HISTOAOUT22!$A$6:$AU$39,44,0)</f>
        <v>0</v>
      </c>
      <c r="AC19" s="36">
        <f>VLOOKUP($A19,[16]HISTOAOUT22!$A$6:$AU$39,47,0)</f>
        <v>0</v>
      </c>
      <c r="AD19" s="36">
        <f>VLOOKUP(A19,[16]HISTOAOUT22!$A$6:$BB$36,54,0)</f>
        <v>0</v>
      </c>
      <c r="AE19" s="36">
        <f>VLOOKUP($A19,[16]HISTOAOUT22!$A$6:$CA$36,60,0)</f>
        <v>0</v>
      </c>
      <c r="AF19" s="36">
        <f>VLOOKUP($A19,[16]HISTOAOUT22!$A$6:$CA$36,61,0)</f>
        <v>0</v>
      </c>
      <c r="AG19" s="36">
        <f>VLOOKUP($A19,[16]HISTOAOUT22!$A$6:$CA$36,62,0)</f>
        <v>0</v>
      </c>
      <c r="AH19" s="36">
        <f>VLOOKUP($A19,[16]HISTOAOUT22!$A$6:$CA$36,63,0)</f>
        <v>0</v>
      </c>
      <c r="AI19" s="36">
        <f>VLOOKUP($A19,[16]HISTOAOUT22!$A$6:$CA$36,64,0)</f>
        <v>0</v>
      </c>
      <c r="AJ19" s="36">
        <f>VLOOKUP($A19,[16]HISTOAOUT22!$A$6:$CA$36,65,0)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VLOOKUP($A20,[16]HISTOAOUT22!$A$6:$BA$39,48,0)</f>
        <v>0</v>
      </c>
      <c r="F20" s="5">
        <f>MVTJUIL22!F20-MVTAOUT22!E20</f>
        <v>570000</v>
      </c>
      <c r="G20" s="6">
        <f t="shared" si="1"/>
        <v>0</v>
      </c>
      <c r="H20" s="6">
        <f>MVTJUIL22!H20+MVTJUIL22!G20+K20</f>
        <v>656718.95134624699</v>
      </c>
      <c r="I20" s="36">
        <f>VLOOKUP($A20,[16]HISTOAOUT22!$A$6:$AQ$37,22,0)</f>
        <v>0</v>
      </c>
      <c r="J20" s="36">
        <f>VLOOKUP($A20,[16]HISTOAOUT22!$A$6:$AU$39,45,0)</f>
        <v>7000</v>
      </c>
      <c r="K20" s="36">
        <f t="shared" si="2"/>
        <v>3000</v>
      </c>
      <c r="L20" s="36">
        <f t="shared" si="3"/>
        <v>500</v>
      </c>
      <c r="M20" s="36">
        <f t="shared" si="4"/>
        <v>1000</v>
      </c>
      <c r="N20" s="36">
        <f t="shared" si="5"/>
        <v>2500</v>
      </c>
      <c r="O20" s="36">
        <f>VLOOKUP($A20,[16]HISTOAOUT22!$A$6:$AU$39,7,0)</f>
        <v>0</v>
      </c>
      <c r="P20" s="36">
        <f>VLOOKUP($A20,[16]HISTOAOUT22!$A$6:$AU$39,23,0)</f>
        <v>0</v>
      </c>
      <c r="Q20" s="36">
        <f>VLOOKUP($A20,[16]HISTOAOUT22!$A$6:$AU$39,46,0)</f>
        <v>0</v>
      </c>
      <c r="R20" s="36">
        <f>VLOOKUP($A20,[16]HISTOAOUT22!$A$6:$AU$39,26,0)</f>
        <v>0</v>
      </c>
      <c r="S20" s="36">
        <f>VLOOKUP($A20,[16]HISTOAOUT22!$A$6:$BG$39,58,0)</f>
        <v>0</v>
      </c>
      <c r="T20" s="36">
        <f>VLOOKUP($A20,[16]HISTOAOUT22!$A$6:$AU$39,28,0)</f>
        <v>0</v>
      </c>
      <c r="U20" s="36">
        <f>VLOOKUP($A20,[16]HISTOAOUT22!$A$6:$AU$39,19,0)</f>
        <v>0</v>
      </c>
      <c r="V20" s="36">
        <f>VLOOKUP($A20,[16]HISTOAOUT22!$A$6:$AU$39,20,0)</f>
        <v>0</v>
      </c>
      <c r="W20" s="36">
        <f>VLOOKUP($A20,[16]HISTOAOUT22!$A$6:$AU$39,27,0)</f>
        <v>0</v>
      </c>
      <c r="X20" s="36">
        <f>VLOOKUP($A20,[16]HISTOAOUT22!$A$6:$AU$39,33,0)</f>
        <v>0</v>
      </c>
      <c r="Y20" s="36">
        <f>VLOOKUP($A20,[16]HISTOAOUT22!$A$6:$BP$39,65,0)</f>
        <v>0</v>
      </c>
      <c r="Z20" s="36"/>
      <c r="AA20" s="36">
        <f>VLOOKUP($A20,[16]HISTOAOUT22!$A$6:$AU$39,43,0)</f>
        <v>0</v>
      </c>
      <c r="AB20" s="36">
        <f>VLOOKUP($A20,[16]HISTOAOUT22!$A$6:$AU$39,44,0)</f>
        <v>0</v>
      </c>
      <c r="AC20" s="36">
        <f>VLOOKUP($A20,[16]HISTOAOUT22!$A$6:$AU$39,47,0)</f>
        <v>0</v>
      </c>
      <c r="AD20" s="36">
        <f>VLOOKUP(A20,[16]HISTOAOUT22!$A$6:$BB$36,54,0)</f>
        <v>0</v>
      </c>
      <c r="AE20" s="36">
        <f>VLOOKUP($A20,[16]HISTOAOUT22!$A$6:$CA$36,60,0)</f>
        <v>0</v>
      </c>
      <c r="AF20" s="36">
        <f>VLOOKUP($A20,[16]HISTOAOUT22!$A$6:$CA$36,61,0)</f>
        <v>0</v>
      </c>
      <c r="AG20" s="36">
        <f>VLOOKUP($A20,[16]HISTOAOUT22!$A$6:$CA$36,62,0)</f>
        <v>0</v>
      </c>
      <c r="AH20" s="36">
        <f>VLOOKUP($A20,[16]HISTOAOUT22!$A$6:$CA$36,63,0)</f>
        <v>0</v>
      </c>
      <c r="AI20" s="36">
        <f>VLOOKUP($A20,[16]HISTOAOUT22!$A$6:$CA$36,64,0)</f>
        <v>0</v>
      </c>
      <c r="AJ20" s="36">
        <f>VLOOKUP($A20,[16]HISTOAOUT22!$A$6:$CA$36,65,0)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VLOOKUP($A21,[16]HISTOAOUT22!$A$6:$BA$39,48,0)</f>
        <v>0</v>
      </c>
      <c r="F21" s="5">
        <f>MVTJUIL22!F21-MVTAOUT22!E21</f>
        <v>570000</v>
      </c>
      <c r="G21" s="6">
        <f t="shared" si="1"/>
        <v>0</v>
      </c>
      <c r="H21" s="6">
        <f>MVTJUIL22!H21+MVTJUIL22!G21+K21</f>
        <v>690687.26832087687</v>
      </c>
      <c r="I21" s="36">
        <f>VLOOKUP($A21,[16]HISTOAOUT22!$A$6:$AQ$37,22,0)</f>
        <v>0</v>
      </c>
      <c r="J21" s="36">
        <f>VLOOKUP($A21,[16]HISTOAOUT22!$A$6:$AU$39,45,0)</f>
        <v>7000</v>
      </c>
      <c r="K21" s="36">
        <f t="shared" si="2"/>
        <v>3000</v>
      </c>
      <c r="L21" s="36">
        <f t="shared" si="3"/>
        <v>500</v>
      </c>
      <c r="M21" s="36">
        <f t="shared" si="4"/>
        <v>1000</v>
      </c>
      <c r="N21" s="36">
        <f t="shared" si="5"/>
        <v>2500</v>
      </c>
      <c r="O21" s="36">
        <f>VLOOKUP($A21,[16]HISTOAOUT22!$A$6:$AU$39,7,0)</f>
        <v>0</v>
      </c>
      <c r="P21" s="36">
        <f>VLOOKUP($A21,[16]HISTOAOUT22!$A$6:$AU$39,23,0)</f>
        <v>0</v>
      </c>
      <c r="Q21" s="36">
        <f>VLOOKUP($A21,[16]HISTOAOUT22!$A$6:$AU$39,46,0)</f>
        <v>0</v>
      </c>
      <c r="R21" s="36">
        <f>VLOOKUP($A21,[16]HISTOAOUT22!$A$6:$AU$39,26,0)</f>
        <v>0</v>
      </c>
      <c r="S21" s="36">
        <f>VLOOKUP($A21,[16]HISTOAOUT22!$A$6:$BG$39,58,0)</f>
        <v>0</v>
      </c>
      <c r="T21" s="36">
        <f>VLOOKUP($A21,[16]HISTOAOUT22!$A$6:$AU$39,28,0)</f>
        <v>0</v>
      </c>
      <c r="U21" s="36">
        <f>VLOOKUP($A21,[16]HISTOAOUT22!$A$6:$AU$39,19,0)</f>
        <v>0</v>
      </c>
      <c r="V21" s="36">
        <f>VLOOKUP($A21,[16]HISTOAOUT22!$A$6:$AU$39,20,0)</f>
        <v>0</v>
      </c>
      <c r="W21" s="36">
        <f>VLOOKUP($A21,[16]HISTOAOUT22!$A$6:$AU$39,27,0)</f>
        <v>0</v>
      </c>
      <c r="X21" s="36">
        <f>VLOOKUP($A21,[16]HISTOAOUT22!$A$6:$AU$39,33,0)</f>
        <v>0</v>
      </c>
      <c r="Y21" s="36">
        <f>VLOOKUP($A21,[16]HISTOAOUT22!$A$6:$BP$39,65,0)</f>
        <v>0</v>
      </c>
      <c r="Z21" s="36"/>
      <c r="AA21" s="36">
        <f>VLOOKUP($A21,[16]HISTOAOUT22!$A$6:$AU$39,43,0)</f>
        <v>0</v>
      </c>
      <c r="AB21" s="36">
        <f>VLOOKUP($A21,[16]HISTOAOUT22!$A$6:$AU$39,44,0)</f>
        <v>0</v>
      </c>
      <c r="AC21" s="36">
        <f>VLOOKUP($A21,[16]HISTOAOUT22!$A$6:$AU$39,47,0)</f>
        <v>0</v>
      </c>
      <c r="AD21" s="36">
        <f>VLOOKUP(A21,[16]HISTOAOUT22!$A$6:$BB$36,54,0)</f>
        <v>0</v>
      </c>
      <c r="AE21" s="36">
        <f>VLOOKUP($A21,[16]HISTOAOUT22!$A$6:$CA$36,60,0)</f>
        <v>0</v>
      </c>
      <c r="AF21" s="36">
        <f>VLOOKUP($A21,[16]HISTOAOUT22!$A$6:$CA$36,61,0)</f>
        <v>0</v>
      </c>
      <c r="AG21" s="36">
        <f>VLOOKUP($A21,[16]HISTOAOUT22!$A$6:$CA$36,62,0)</f>
        <v>0</v>
      </c>
      <c r="AH21" s="36">
        <f>VLOOKUP($A21,[16]HISTOAOUT22!$A$6:$CA$36,63,0)</f>
        <v>0</v>
      </c>
      <c r="AI21" s="36">
        <f>VLOOKUP($A21,[16]HISTOAOUT22!$A$6:$CA$36,64,0)</f>
        <v>0</v>
      </c>
      <c r="AJ21" s="36">
        <f>VLOOKUP($A21,[16]HISTOAOUT22!$A$6:$CA$36,65,0)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VLOOKUP($A22,[16]HISTOAOUT22!$A$6:$BA$39,48,0)</f>
        <v>0</v>
      </c>
      <c r="F22" s="5">
        <f>MVTJUIL22!F22-MVTAOUT22!E22</f>
        <v>570000</v>
      </c>
      <c r="G22" s="6">
        <f t="shared" si="1"/>
        <v>0</v>
      </c>
      <c r="H22" s="6">
        <f>MVTJUIL22!H22+MVTJUIL22!G22+K22</f>
        <v>750370.44998818706</v>
      </c>
      <c r="I22" s="36">
        <f>VLOOKUP($A22,[16]HISTOAOUT22!$A$6:$AQ$37,22,0)</f>
        <v>0</v>
      </c>
      <c r="J22" s="36">
        <f>VLOOKUP($A22,[16]HISTOAOUT22!$A$6:$AU$39,45,0)</f>
        <v>7000</v>
      </c>
      <c r="K22" s="36">
        <f t="shared" si="2"/>
        <v>3000</v>
      </c>
      <c r="L22" s="36">
        <f t="shared" si="3"/>
        <v>500</v>
      </c>
      <c r="M22" s="36">
        <f t="shared" si="4"/>
        <v>1000</v>
      </c>
      <c r="N22" s="36">
        <f t="shared" si="5"/>
        <v>2500</v>
      </c>
      <c r="O22" s="36">
        <f>VLOOKUP($A22,[16]HISTOAOUT22!$A$6:$AU$39,7,0)</f>
        <v>0</v>
      </c>
      <c r="P22" s="36">
        <f>VLOOKUP($A22,[16]HISTOAOUT22!$A$6:$AU$39,23,0)</f>
        <v>0</v>
      </c>
      <c r="Q22" s="36">
        <f>VLOOKUP($A22,[16]HISTOAOUT22!$A$6:$AU$39,46,0)</f>
        <v>0</v>
      </c>
      <c r="R22" s="36">
        <f>VLOOKUP($A22,[16]HISTOAOUT22!$A$6:$AU$39,26,0)</f>
        <v>0</v>
      </c>
      <c r="S22" s="36">
        <f>VLOOKUP($A22,[16]HISTOAOUT22!$A$6:$BG$39,58,0)</f>
        <v>0</v>
      </c>
      <c r="T22" s="36">
        <f>VLOOKUP($A22,[16]HISTOAOUT22!$A$6:$AU$39,28,0)</f>
        <v>0</v>
      </c>
      <c r="U22" s="36">
        <f>VLOOKUP($A22,[16]HISTOAOUT22!$A$6:$AU$39,19,0)</f>
        <v>0</v>
      </c>
      <c r="V22" s="36">
        <f>VLOOKUP($A22,[16]HISTOAOUT22!$A$6:$AU$39,20,0)</f>
        <v>0</v>
      </c>
      <c r="W22" s="36">
        <f>VLOOKUP($A22,[16]HISTOAOUT22!$A$6:$AU$39,27,0)</f>
        <v>0</v>
      </c>
      <c r="X22" s="36">
        <f>VLOOKUP($A22,[16]HISTOAOUT22!$A$6:$AU$39,33,0)</f>
        <v>0</v>
      </c>
      <c r="Y22" s="36">
        <f>VLOOKUP($A22,[16]HISTOAOUT22!$A$6:$BP$39,65,0)</f>
        <v>0</v>
      </c>
      <c r="Z22" s="36"/>
      <c r="AA22" s="36">
        <f>VLOOKUP($A22,[16]HISTOAOUT22!$A$6:$AU$39,43,0)</f>
        <v>0</v>
      </c>
      <c r="AB22" s="36">
        <f>VLOOKUP($A22,[16]HISTOAOUT22!$A$6:$AU$39,44,0)</f>
        <v>0</v>
      </c>
      <c r="AC22" s="36">
        <f>VLOOKUP($A22,[16]HISTOAOUT22!$A$6:$AU$39,47,0)</f>
        <v>0</v>
      </c>
      <c r="AD22" s="36">
        <f>VLOOKUP(A22,[16]HISTOAOUT22!$A$6:$BB$36,54,0)</f>
        <v>0</v>
      </c>
      <c r="AE22" s="36">
        <f>VLOOKUP($A22,[16]HISTOAOUT22!$A$6:$CA$36,60,0)</f>
        <v>0</v>
      </c>
      <c r="AF22" s="36">
        <f>VLOOKUP($A22,[16]HISTOAOUT22!$A$6:$CA$36,61,0)</f>
        <v>0</v>
      </c>
      <c r="AG22" s="36">
        <f>VLOOKUP($A22,[16]HISTOAOUT22!$A$6:$CA$36,62,0)</f>
        <v>0</v>
      </c>
      <c r="AH22" s="36">
        <f>VLOOKUP($A22,[16]HISTOAOUT22!$A$6:$CA$36,63,0)</f>
        <v>0</v>
      </c>
      <c r="AI22" s="36">
        <f>VLOOKUP($A22,[16]HISTOAOUT22!$A$6:$CA$36,64,0)</f>
        <v>0</v>
      </c>
      <c r="AJ22" s="36">
        <f>VLOOKUP($A22,[16]HISTOAOUT22!$A$6:$CA$36,65,0)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VLOOKUP($A23,[16]HISTOAOUT22!$A$6:$BA$39,48,0)</f>
        <v>0</v>
      </c>
      <c r="F23" s="5">
        <f>MVTJUIL22!F23-MVTAOUT22!E23</f>
        <v>570000</v>
      </c>
      <c r="G23" s="6">
        <f t="shared" si="1"/>
        <v>0</v>
      </c>
      <c r="H23" s="6">
        <f>MVTJUIL22!H23+MVTJUIL22!G23+K23</f>
        <v>923179.54934260424</v>
      </c>
      <c r="I23" s="36">
        <f>VLOOKUP($A23,[16]HISTOAOUT22!$A$6:$AQ$37,22,0)</f>
        <v>0</v>
      </c>
      <c r="J23" s="36">
        <f>VLOOKUP($A23,[16]HISTOAOUT22!$A$6:$AU$39,45,0)</f>
        <v>27000</v>
      </c>
      <c r="K23" s="36">
        <f t="shared" si="2"/>
        <v>23000</v>
      </c>
      <c r="L23" s="36">
        <f t="shared" si="3"/>
        <v>500</v>
      </c>
      <c r="M23" s="36">
        <f t="shared" si="4"/>
        <v>1000</v>
      </c>
      <c r="N23" s="36">
        <f t="shared" si="5"/>
        <v>2500</v>
      </c>
      <c r="O23" s="36">
        <f>VLOOKUP($A23,[16]HISTOAOUT22!$A$6:$AU$39,7,0)</f>
        <v>0</v>
      </c>
      <c r="P23" s="36">
        <f>VLOOKUP($A23,[16]HISTOAOUT22!$A$6:$AU$39,23,0)</f>
        <v>0</v>
      </c>
      <c r="Q23" s="36">
        <f>VLOOKUP($A23,[16]HISTOAOUT22!$A$6:$AU$39,46,0)</f>
        <v>0</v>
      </c>
      <c r="R23" s="36">
        <f>VLOOKUP($A23,[16]HISTOAOUT22!$A$6:$AU$39,26,0)</f>
        <v>0</v>
      </c>
      <c r="S23" s="36">
        <f>VLOOKUP($A23,[16]HISTOAOUT22!$A$6:$BG$39,58,0)</f>
        <v>0</v>
      </c>
      <c r="T23" s="36">
        <f>VLOOKUP($A23,[16]HISTOAOUT22!$A$6:$AU$39,28,0)</f>
        <v>0</v>
      </c>
      <c r="U23" s="36">
        <f>VLOOKUP($A23,[16]HISTOAOUT22!$A$6:$AU$39,19,0)</f>
        <v>0</v>
      </c>
      <c r="V23" s="36">
        <f>VLOOKUP($A23,[16]HISTOAOUT22!$A$6:$AU$39,20,0)</f>
        <v>0</v>
      </c>
      <c r="W23" s="36">
        <f>VLOOKUP($A23,[16]HISTOAOUT22!$A$6:$AU$39,27,0)</f>
        <v>0</v>
      </c>
      <c r="X23" s="36">
        <f>VLOOKUP($A23,[16]HISTOAOUT22!$A$6:$AU$39,33,0)</f>
        <v>0</v>
      </c>
      <c r="Y23" s="36">
        <f>VLOOKUP($A23,[16]HISTOAOUT22!$A$6:$BP$39,65,0)</f>
        <v>0</v>
      </c>
      <c r="Z23" s="36"/>
      <c r="AA23" s="36">
        <f>VLOOKUP($A23,[16]HISTOAOUT22!$A$6:$AU$39,43,0)</f>
        <v>0</v>
      </c>
      <c r="AB23" s="36">
        <f>VLOOKUP($A23,[16]HISTOAOUT22!$A$6:$AU$39,44,0)</f>
        <v>0</v>
      </c>
      <c r="AC23" s="36">
        <f>VLOOKUP($A23,[16]HISTOAOUT22!$A$6:$AU$39,47,0)</f>
        <v>0</v>
      </c>
      <c r="AD23" s="36">
        <f>VLOOKUP(A23,[16]HISTOAOUT22!$A$6:$BB$36,54,0)</f>
        <v>0</v>
      </c>
      <c r="AE23" s="36">
        <f>VLOOKUP($A23,[16]HISTOAOUT22!$A$6:$CA$36,60,0)</f>
        <v>0</v>
      </c>
      <c r="AF23" s="36">
        <f>VLOOKUP($A23,[16]HISTOAOUT22!$A$6:$CA$36,61,0)</f>
        <v>0</v>
      </c>
      <c r="AG23" s="36">
        <f>VLOOKUP($A23,[16]HISTOAOUT22!$A$6:$CA$36,62,0)</f>
        <v>0</v>
      </c>
      <c r="AH23" s="36">
        <f>VLOOKUP($A23,[16]HISTOAOUT22!$A$6:$CA$36,63,0)</f>
        <v>0</v>
      </c>
      <c r="AI23" s="36">
        <f>VLOOKUP($A23,[16]HISTOAOUT22!$A$6:$CA$36,64,0)</f>
        <v>0</v>
      </c>
      <c r="AJ23" s="36">
        <f>VLOOKUP($A23,[16]HISTOAOUT22!$A$6:$CA$36,65,0)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VLOOKUP($A24,[16]HISTOAOUT22!$A$6:$BA$39,48,0)</f>
        <v>0</v>
      </c>
      <c r="F24" s="5">
        <f>MVTJUIL22!F24-MVTAOUT22!E24</f>
        <v>570000</v>
      </c>
      <c r="G24" s="6">
        <f t="shared" si="1"/>
        <v>0</v>
      </c>
      <c r="H24" s="6">
        <f>MVTJUIL22!H24+MVTJUIL22!G24+K24</f>
        <v>764329.43614113715</v>
      </c>
      <c r="I24" s="36">
        <f>VLOOKUP($A24,[16]HISTOAOUT22!$A$6:$AQ$37,22,0)</f>
        <v>0</v>
      </c>
      <c r="J24" s="36">
        <f>VLOOKUP($A24,[16]HISTOAOUT22!$A$6:$AU$39,45,0)</f>
        <v>42000</v>
      </c>
      <c r="K24" s="36">
        <f t="shared" si="2"/>
        <v>38000</v>
      </c>
      <c r="L24" s="36">
        <f t="shared" si="3"/>
        <v>500</v>
      </c>
      <c r="M24" s="36">
        <f t="shared" si="4"/>
        <v>1000</v>
      </c>
      <c r="N24" s="36">
        <f t="shared" si="5"/>
        <v>2500</v>
      </c>
      <c r="O24" s="36">
        <f>VLOOKUP($A24,[16]HISTOAOUT22!$A$6:$AU$39,7,0)</f>
        <v>0</v>
      </c>
      <c r="P24" s="36">
        <f>VLOOKUP($A24,[16]HISTOAOUT22!$A$6:$AU$39,23,0)</f>
        <v>0</v>
      </c>
      <c r="Q24" s="36">
        <f>VLOOKUP($A24,[16]HISTOAOUT22!$A$6:$AU$39,46,0)</f>
        <v>0</v>
      </c>
      <c r="R24" s="36">
        <f>VLOOKUP($A24,[16]HISTOAOUT22!$A$6:$AU$39,26,0)</f>
        <v>0</v>
      </c>
      <c r="S24" s="36">
        <f>VLOOKUP($A24,[16]HISTOAOUT22!$A$6:$BG$39,58,0)</f>
        <v>0</v>
      </c>
      <c r="T24" s="36">
        <f>VLOOKUP($A24,[16]HISTOAOUT22!$A$6:$AU$39,28,0)</f>
        <v>0</v>
      </c>
      <c r="U24" s="36">
        <f>VLOOKUP($A24,[16]HISTOAOUT22!$A$6:$AU$39,19,0)</f>
        <v>0</v>
      </c>
      <c r="V24" s="36">
        <f>VLOOKUP($A24,[16]HISTOAOUT22!$A$6:$AU$39,20,0)</f>
        <v>0</v>
      </c>
      <c r="W24" s="36">
        <f>VLOOKUP($A24,[16]HISTOAOUT22!$A$6:$AU$39,27,0)</f>
        <v>0</v>
      </c>
      <c r="X24" s="36">
        <f>VLOOKUP($A24,[16]HISTOAOUT22!$A$6:$AU$39,33,0)</f>
        <v>0</v>
      </c>
      <c r="Y24" s="36">
        <f>VLOOKUP($A24,[16]HISTOAOUT22!$A$6:$BP$39,65,0)</f>
        <v>0</v>
      </c>
      <c r="Z24" s="36"/>
      <c r="AA24" s="36">
        <f>VLOOKUP($A24,[16]HISTOAOUT22!$A$6:$AU$39,43,0)</f>
        <v>0</v>
      </c>
      <c r="AB24" s="36">
        <f>VLOOKUP($A24,[16]HISTOAOUT22!$A$6:$AU$39,44,0)</f>
        <v>0</v>
      </c>
      <c r="AC24" s="36">
        <f>VLOOKUP($A24,[16]HISTOAOUT22!$A$6:$AU$39,47,0)</f>
        <v>0</v>
      </c>
      <c r="AD24" s="36">
        <f>VLOOKUP(A24,[16]HISTOAOUT22!$A$6:$BB$36,54,0)</f>
        <v>0</v>
      </c>
      <c r="AE24" s="36">
        <f>VLOOKUP($A24,[16]HISTOAOUT22!$A$6:$CA$36,60,0)</f>
        <v>0</v>
      </c>
      <c r="AF24" s="36">
        <f>VLOOKUP($A24,[16]HISTOAOUT22!$A$6:$CA$36,61,0)</f>
        <v>0</v>
      </c>
      <c r="AG24" s="36">
        <f>VLOOKUP($A24,[16]HISTOAOUT22!$A$6:$CA$36,62,0)</f>
        <v>0</v>
      </c>
      <c r="AH24" s="36">
        <f>VLOOKUP($A24,[16]HISTOAOUT22!$A$6:$CA$36,63,0)</f>
        <v>0</v>
      </c>
      <c r="AI24" s="36">
        <f>VLOOKUP($A24,[16]HISTOAOUT22!$A$6:$CA$36,64,0)</f>
        <v>0</v>
      </c>
      <c r="AJ24" s="36">
        <f>VLOOKUP($A24,[16]HISTOAOUT22!$A$6:$CA$36,65,0)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VLOOKUP($A25,[16]HISTOAOUT22!$A$6:$BA$39,48,0)</f>
        <v>0</v>
      </c>
      <c r="F25" s="5">
        <f>MVTJUIL22!F25-MVTAOUT22!E25</f>
        <v>570000</v>
      </c>
      <c r="G25" s="6">
        <f t="shared" si="1"/>
        <v>0</v>
      </c>
      <c r="H25" s="6">
        <f>MVTJUIL22!H25+MVTJUIL22!G25+K25</f>
        <v>666944.16706236335</v>
      </c>
      <c r="I25" s="36">
        <f>VLOOKUP($A25,[16]HISTOAOUT22!$A$6:$AQ$37,22,0)</f>
        <v>0</v>
      </c>
      <c r="J25" s="36">
        <f>VLOOKUP($A25,[16]HISTOAOUT22!$A$6:$AU$39,45,0)</f>
        <v>7000</v>
      </c>
      <c r="K25" s="36">
        <f t="shared" si="2"/>
        <v>3000</v>
      </c>
      <c r="L25" s="36">
        <f t="shared" si="3"/>
        <v>500</v>
      </c>
      <c r="M25" s="36">
        <f t="shared" si="4"/>
        <v>1000</v>
      </c>
      <c r="N25" s="36">
        <f t="shared" si="5"/>
        <v>2500</v>
      </c>
      <c r="O25" s="36">
        <f>VLOOKUP($A25,[16]HISTOAOUT22!$A$6:$AU$39,7,0)</f>
        <v>0</v>
      </c>
      <c r="P25" s="36">
        <f>VLOOKUP($A25,[16]HISTOAOUT22!$A$6:$AU$39,23,0)</f>
        <v>0</v>
      </c>
      <c r="Q25" s="36">
        <f>VLOOKUP($A25,[16]HISTOAOUT22!$A$6:$AU$39,46,0)</f>
        <v>0</v>
      </c>
      <c r="R25" s="36">
        <f>VLOOKUP($A25,[16]HISTOAOUT22!$A$6:$AU$39,26,0)</f>
        <v>0</v>
      </c>
      <c r="S25" s="36">
        <f>VLOOKUP($A25,[16]HISTOAOUT22!$A$6:$BG$39,58,0)</f>
        <v>0</v>
      </c>
      <c r="T25" s="36">
        <f>VLOOKUP($A25,[16]HISTOAOUT22!$A$6:$AU$39,28,0)</f>
        <v>0</v>
      </c>
      <c r="U25" s="36">
        <f>VLOOKUP($A25,[16]HISTOAOUT22!$A$6:$AU$39,19,0)</f>
        <v>0</v>
      </c>
      <c r="V25" s="36">
        <f>VLOOKUP($A25,[16]HISTOAOUT22!$A$6:$AU$39,20,0)</f>
        <v>0</v>
      </c>
      <c r="W25" s="36">
        <f>VLOOKUP($A25,[16]HISTOAOUT22!$A$6:$AU$39,27,0)</f>
        <v>0</v>
      </c>
      <c r="X25" s="36">
        <f>VLOOKUP($A25,[16]HISTOAOUT22!$A$6:$AU$39,33,0)</f>
        <v>0</v>
      </c>
      <c r="Y25" s="36">
        <f>VLOOKUP($A25,[16]HISTOAOUT22!$A$6:$BP$39,65,0)</f>
        <v>0</v>
      </c>
      <c r="Z25" s="36"/>
      <c r="AA25" s="36">
        <f>VLOOKUP($A25,[16]HISTOAOUT22!$A$6:$AU$39,43,0)</f>
        <v>0</v>
      </c>
      <c r="AB25" s="36">
        <f>VLOOKUP($A25,[16]HISTOAOUT22!$A$6:$AU$39,44,0)</f>
        <v>0</v>
      </c>
      <c r="AC25" s="36">
        <f>VLOOKUP($A25,[16]HISTOAOUT22!$A$6:$AU$39,47,0)</f>
        <v>0</v>
      </c>
      <c r="AD25" s="36">
        <f>VLOOKUP(A25,[16]HISTOAOUT22!$A$6:$BB$36,54,0)</f>
        <v>0</v>
      </c>
      <c r="AE25" s="36">
        <f>VLOOKUP($A25,[16]HISTOAOUT22!$A$6:$CA$36,60,0)</f>
        <v>0</v>
      </c>
      <c r="AF25" s="36">
        <f>VLOOKUP($A25,[16]HISTOAOUT22!$A$6:$CA$36,61,0)</f>
        <v>0</v>
      </c>
      <c r="AG25" s="36">
        <f>VLOOKUP($A25,[16]HISTOAOUT22!$A$6:$CA$36,62,0)</f>
        <v>0</v>
      </c>
      <c r="AH25" s="36">
        <f>VLOOKUP($A25,[16]HISTOAOUT22!$A$6:$CA$36,63,0)</f>
        <v>0</v>
      </c>
      <c r="AI25" s="36">
        <f>VLOOKUP($A25,[16]HISTOAOUT22!$A$6:$CA$36,64,0)</f>
        <v>0</v>
      </c>
      <c r="AJ25" s="36">
        <f>VLOOKUP($A25,[16]HISTOAOUT22!$A$6:$CA$36,65,0)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VLOOKUP($A26,[16]HISTOAOUT22!$A$6:$BA$39,48,0)</f>
        <v>0</v>
      </c>
      <c r="F26" s="5">
        <f>MVTJUIL22!F26-MVTAOUT22!E26</f>
        <v>570000</v>
      </c>
      <c r="G26" s="6">
        <f t="shared" si="1"/>
        <v>0</v>
      </c>
      <c r="H26" s="6">
        <f>MVTJUIL22!H26+MVTJUIL22!G26+K26</f>
        <v>668880.99680181697</v>
      </c>
      <c r="I26" s="36">
        <f>VLOOKUP($A26,[16]HISTOAOUT22!$A$6:$AQ$37,22,0)</f>
        <v>0</v>
      </c>
      <c r="J26" s="36">
        <f>VLOOKUP($A26,[16]HISTOAOUT22!$A$6:$AU$39,45,0)</f>
        <v>7000</v>
      </c>
      <c r="K26" s="36">
        <f t="shared" si="2"/>
        <v>3000</v>
      </c>
      <c r="L26" s="36">
        <f t="shared" si="3"/>
        <v>500</v>
      </c>
      <c r="M26" s="36">
        <f t="shared" si="4"/>
        <v>1000</v>
      </c>
      <c r="N26" s="36">
        <f t="shared" si="5"/>
        <v>2500</v>
      </c>
      <c r="O26" s="36">
        <f>VLOOKUP($A26,[16]HISTOAOUT22!$A$6:$AU$39,7,0)</f>
        <v>0</v>
      </c>
      <c r="P26" s="36">
        <f>VLOOKUP($A26,[16]HISTOAOUT22!$A$6:$AU$39,23,0)</f>
        <v>0</v>
      </c>
      <c r="Q26" s="36">
        <f>VLOOKUP($A26,[16]HISTOAOUT22!$A$6:$AU$39,46,0)</f>
        <v>0</v>
      </c>
      <c r="R26" s="36">
        <f>VLOOKUP($A26,[16]HISTOAOUT22!$A$6:$AU$39,26,0)</f>
        <v>0</v>
      </c>
      <c r="S26" s="36">
        <f>VLOOKUP($A26,[16]HISTOAOUT22!$A$6:$BG$39,58,0)</f>
        <v>0</v>
      </c>
      <c r="T26" s="36">
        <f>VLOOKUP($A26,[16]HISTOAOUT22!$A$6:$AU$39,28,0)</f>
        <v>0</v>
      </c>
      <c r="U26" s="36">
        <f>VLOOKUP($A26,[16]HISTOAOUT22!$A$6:$AU$39,19,0)</f>
        <v>0</v>
      </c>
      <c r="V26" s="36">
        <f>VLOOKUP($A26,[16]HISTOAOUT22!$A$6:$AU$39,20,0)</f>
        <v>0</v>
      </c>
      <c r="W26" s="36">
        <f>VLOOKUP($A26,[16]HISTOAOUT22!$A$6:$AU$39,27,0)</f>
        <v>0</v>
      </c>
      <c r="X26" s="36">
        <f>VLOOKUP($A26,[16]HISTOAOUT22!$A$6:$AU$39,33,0)</f>
        <v>0</v>
      </c>
      <c r="Y26" s="36">
        <f>VLOOKUP($A26,[16]HISTOAOUT22!$A$6:$BP$39,65,0)</f>
        <v>0</v>
      </c>
      <c r="Z26" s="36"/>
      <c r="AA26" s="36">
        <f>VLOOKUP($A26,[16]HISTOAOUT22!$A$6:$AU$39,43,0)</f>
        <v>0</v>
      </c>
      <c r="AB26" s="36">
        <f>VLOOKUP($A26,[16]HISTOAOUT22!$A$6:$AU$39,44,0)</f>
        <v>0</v>
      </c>
      <c r="AC26" s="36">
        <f>VLOOKUP($A26,[16]HISTOAOUT22!$A$6:$AU$39,47,0)</f>
        <v>0</v>
      </c>
      <c r="AD26" s="36">
        <f>VLOOKUP(A26,[16]HISTOAOUT22!$A$6:$BB$36,54,0)</f>
        <v>0</v>
      </c>
      <c r="AE26" s="36">
        <f>VLOOKUP($A26,[16]HISTOAOUT22!$A$6:$CA$36,60,0)</f>
        <v>0</v>
      </c>
      <c r="AF26" s="36">
        <f>VLOOKUP($A26,[16]HISTOAOUT22!$A$6:$CA$36,61,0)</f>
        <v>0</v>
      </c>
      <c r="AG26" s="36">
        <f>VLOOKUP($A26,[16]HISTOAOUT22!$A$6:$CA$36,62,0)</f>
        <v>0</v>
      </c>
      <c r="AH26" s="36">
        <f>VLOOKUP($A26,[16]HISTOAOUT22!$A$6:$CA$36,63,0)</f>
        <v>0</v>
      </c>
      <c r="AI26" s="36">
        <f>VLOOKUP($A26,[16]HISTOAOUT22!$A$6:$CA$36,64,0)</f>
        <v>0</v>
      </c>
      <c r="AJ26" s="36">
        <f>VLOOKUP($A26,[16]HISTOAOUT22!$A$6:$CA$36,65,0)</f>
        <v>0</v>
      </c>
    </row>
    <row r="27" spans="1:36" x14ac:dyDescent="0.25">
      <c r="A27" s="1" t="s">
        <v>30</v>
      </c>
      <c r="B27" s="1" t="str">
        <f>VLOOKUP(A27,[15]LISTADHERENT!A$5:H$60,3,0)</f>
        <v>NKEHE DAVID</v>
      </c>
      <c r="C27" s="5"/>
      <c r="D27" s="5"/>
      <c r="E27" s="36">
        <f>VLOOKUP($A27,[16]HISTOAOUT22!$A$6:$BA$39,48,0)</f>
        <v>0</v>
      </c>
      <c r="F27" s="5">
        <f>MVTJUIL22!F27-MVTAOUT22!E27</f>
        <v>534974.27750837663</v>
      </c>
      <c r="G27" s="6">
        <f t="shared" si="1"/>
        <v>0</v>
      </c>
      <c r="H27" s="6">
        <f>MVTJUIL22!H27+MVTJUIL22!G27+K27</f>
        <v>0</v>
      </c>
      <c r="I27" s="36">
        <f>VLOOKUP($A27,[16]HISTOAOUT22!$A$6:$AQ$37,22,0)</f>
        <v>0</v>
      </c>
      <c r="J27" s="36">
        <f>VLOOKUP($A27,[16]HISTOAOUT22!$A$6:$AU$39,45,0)</f>
        <v>0</v>
      </c>
      <c r="K27" s="36">
        <f t="shared" si="2"/>
        <v>0</v>
      </c>
      <c r="L27" s="36">
        <f t="shared" si="3"/>
        <v>0</v>
      </c>
      <c r="M27" s="36">
        <f t="shared" si="4"/>
        <v>0</v>
      </c>
      <c r="N27" s="36">
        <f t="shared" si="5"/>
        <v>0</v>
      </c>
      <c r="O27" s="36">
        <f>VLOOKUP($A27,[16]HISTOAOUT22!$A$6:$AU$39,7,0)</f>
        <v>0</v>
      </c>
      <c r="P27" s="36">
        <f>VLOOKUP($A27,[16]HISTOAOUT22!$A$6:$AU$39,23,0)</f>
        <v>0</v>
      </c>
      <c r="Q27" s="36">
        <f>VLOOKUP($A27,[16]HISTOAOUT22!$A$6:$AU$39,46,0)</f>
        <v>0</v>
      </c>
      <c r="R27" s="36">
        <f>VLOOKUP($A27,[16]HISTOAOUT22!$A$6:$AU$39,26,0)</f>
        <v>0</v>
      </c>
      <c r="S27" s="36">
        <f>VLOOKUP($A27,[16]HISTOAOUT22!$A$6:$BG$39,58,0)</f>
        <v>0</v>
      </c>
      <c r="T27" s="36">
        <f>VLOOKUP($A27,[16]HISTOAOUT22!$A$6:$AU$39,28,0)</f>
        <v>0</v>
      </c>
      <c r="U27" s="36">
        <f>VLOOKUP($A27,[16]HISTOAOUT22!$A$6:$AU$39,19,0)</f>
        <v>0</v>
      </c>
      <c r="V27" s="36">
        <f>VLOOKUP($A27,[16]HISTOAOUT22!$A$6:$AU$39,20,0)</f>
        <v>0</v>
      </c>
      <c r="W27" s="36">
        <f>VLOOKUP($A27,[16]HISTOAOUT22!$A$6:$AU$39,27,0)</f>
        <v>0</v>
      </c>
      <c r="X27" s="36">
        <f>VLOOKUP($A27,[16]HISTOAOUT22!$A$6:$AU$39,33,0)</f>
        <v>0</v>
      </c>
      <c r="Y27" s="36">
        <f>VLOOKUP($A27,[16]HISTOAOUT22!$A$6:$BP$39,65,0)</f>
        <v>0</v>
      </c>
      <c r="Z27" s="36"/>
      <c r="AA27" s="36">
        <f>VLOOKUP($A27,[16]HISTOAOUT22!$A$6:$AU$39,43,0)</f>
        <v>0</v>
      </c>
      <c r="AB27" s="36">
        <f>VLOOKUP($A27,[16]HISTOAOUT22!$A$6:$AU$39,44,0)</f>
        <v>0</v>
      </c>
      <c r="AC27" s="36">
        <f>VLOOKUP($A27,[16]HISTOAOUT22!$A$6:$AU$39,47,0)</f>
        <v>0</v>
      </c>
      <c r="AD27" s="36">
        <f>VLOOKUP(A27,[16]HISTOAOUT22!$A$6:$BB$36,54,0)</f>
        <v>0</v>
      </c>
      <c r="AE27" s="36">
        <f>VLOOKUP($A27,[16]HISTOAOUT22!$A$6:$CA$36,60,0)</f>
        <v>0</v>
      </c>
      <c r="AF27" s="36">
        <f>VLOOKUP($A27,[16]HISTOAOUT22!$A$6:$CA$36,61,0)</f>
        <v>0</v>
      </c>
      <c r="AG27" s="36">
        <f>VLOOKUP($A27,[16]HISTOAOUT22!$A$6:$CA$36,62,0)</f>
        <v>0</v>
      </c>
      <c r="AH27" s="36">
        <f>VLOOKUP($A27,[16]HISTOAOUT22!$A$6:$CA$36,63,0)</f>
        <v>0</v>
      </c>
      <c r="AI27" s="36">
        <f>VLOOKUP($A27,[16]HISTOAOUT22!$A$6:$CA$36,64,0)</f>
        <v>0</v>
      </c>
      <c r="AJ27" s="36">
        <f>VLOOKUP($A27,[16]HISTOAOUT22!$A$6:$CA$36,65,0)</f>
        <v>0</v>
      </c>
    </row>
    <row r="28" spans="1:36" x14ac:dyDescent="0.25">
      <c r="A28" s="1" t="s">
        <v>44</v>
      </c>
      <c r="B28" s="1" t="str">
        <f>VLOOKUP(A28,[15]LISTADHERENT!A$5:H$60,3,0)</f>
        <v>NKEPSEU DIEUDONNE</v>
      </c>
      <c r="C28" s="5"/>
      <c r="D28" s="5"/>
      <c r="E28" s="36">
        <f>VLOOKUP($A28,[16]HISTOAOUT22!$A$6:$BA$39,48,0)</f>
        <v>0</v>
      </c>
      <c r="F28" s="5">
        <f>MVTJUIL22!F28-MVTAOUT22!E28</f>
        <v>570000</v>
      </c>
      <c r="G28" s="6">
        <f t="shared" si="1"/>
        <v>0</v>
      </c>
      <c r="H28" s="6">
        <f>MVTJUIL22!H28+MVTJUIL22!G28+K28</f>
        <v>1082212.5623499337</v>
      </c>
      <c r="I28" s="36">
        <f>VLOOKUP($A28,[16]HISTOAOUT22!$A$6:$AQ$37,22,0)</f>
        <v>0</v>
      </c>
      <c r="J28" s="36">
        <f>VLOOKUP($A28,[16]HISTOAOUT22!$A$6:$AU$39,45,0)</f>
        <v>7000</v>
      </c>
      <c r="K28" s="36">
        <f t="shared" si="2"/>
        <v>3000</v>
      </c>
      <c r="L28" s="36">
        <f t="shared" si="3"/>
        <v>500</v>
      </c>
      <c r="M28" s="36">
        <f t="shared" si="4"/>
        <v>1000</v>
      </c>
      <c r="N28" s="36">
        <f t="shared" si="5"/>
        <v>2500</v>
      </c>
      <c r="O28" s="36">
        <f>VLOOKUP($A28,[16]HISTOAOUT22!$A$6:$AU$39,7,0)</f>
        <v>0</v>
      </c>
      <c r="P28" s="36">
        <f>VLOOKUP($A28,[16]HISTOAOUT22!$A$6:$AU$39,23,0)</f>
        <v>0</v>
      </c>
      <c r="Q28" s="36">
        <f>VLOOKUP($A28,[16]HISTOAOUT22!$A$6:$AU$39,46,0)</f>
        <v>0</v>
      </c>
      <c r="R28" s="36">
        <f>VLOOKUP($A28,[16]HISTOAOUT22!$A$6:$AU$39,26,0)</f>
        <v>0</v>
      </c>
      <c r="S28" s="36">
        <f>VLOOKUP($A28,[16]HISTOAOUT22!$A$6:$BG$39,58,0)</f>
        <v>0</v>
      </c>
      <c r="T28" s="36">
        <f>VLOOKUP($A28,[16]HISTOAOUT22!$A$6:$AU$39,28,0)</f>
        <v>0</v>
      </c>
      <c r="U28" s="36">
        <f>VLOOKUP($A28,[16]HISTOAOUT22!$A$6:$AU$39,19,0)</f>
        <v>0</v>
      </c>
      <c r="V28" s="36">
        <f>VLOOKUP($A28,[16]HISTOAOUT22!$A$6:$AU$39,20,0)</f>
        <v>0</v>
      </c>
      <c r="W28" s="36">
        <f>VLOOKUP($A28,[16]HISTOAOUT22!$A$6:$AU$39,27,0)</f>
        <v>0</v>
      </c>
      <c r="X28" s="36">
        <f>VLOOKUP($A28,[16]HISTOAOUT22!$A$6:$AU$39,33,0)</f>
        <v>0</v>
      </c>
      <c r="Y28" s="36">
        <f>VLOOKUP($A28,[16]HISTOAOUT22!$A$6:$BP$39,65,0)</f>
        <v>0</v>
      </c>
      <c r="Z28" s="36"/>
      <c r="AA28" s="36">
        <f>VLOOKUP($A28,[16]HISTOAOUT22!$A$6:$AU$39,43,0)</f>
        <v>0</v>
      </c>
      <c r="AB28" s="36">
        <f>VLOOKUP($A28,[16]HISTOAOUT22!$A$6:$AU$39,44,0)</f>
        <v>0</v>
      </c>
      <c r="AC28" s="36">
        <f>VLOOKUP($A28,[16]HISTOAOUT22!$A$6:$AU$39,47,0)</f>
        <v>0</v>
      </c>
      <c r="AD28" s="36">
        <f>VLOOKUP(A28,[16]HISTOAOUT22!$A$6:$BB$36,54,0)</f>
        <v>0</v>
      </c>
      <c r="AE28" s="36">
        <f>VLOOKUP($A28,[16]HISTOAOUT22!$A$6:$CA$36,60,0)</f>
        <v>0</v>
      </c>
      <c r="AF28" s="36">
        <f>VLOOKUP($A28,[16]HISTOAOUT22!$A$6:$CA$36,61,0)</f>
        <v>0</v>
      </c>
      <c r="AG28" s="36">
        <f>VLOOKUP($A28,[16]HISTOAOUT22!$A$6:$CA$36,62,0)</f>
        <v>0</v>
      </c>
      <c r="AH28" s="36">
        <f>VLOOKUP($A28,[16]HISTOAOUT22!$A$6:$CA$36,63,0)</f>
        <v>0</v>
      </c>
      <c r="AI28" s="36">
        <f>VLOOKUP($A28,[16]HISTOAOUT22!$A$6:$CA$36,64,0)</f>
        <v>0</v>
      </c>
      <c r="AJ28" s="36">
        <f>VLOOKUP($A28,[16]HISTOAOUT22!$A$6:$CA$36,65,0)</f>
        <v>0</v>
      </c>
    </row>
    <row r="29" spans="1:36" x14ac:dyDescent="0.25">
      <c r="A29" s="1" t="s">
        <v>45</v>
      </c>
      <c r="B29" s="1" t="str">
        <f>VLOOKUP(A29,[15]LISTADHERENT!A$5:H$60,3,0)</f>
        <v>PATEGO NJOSSU GUSTAVE</v>
      </c>
      <c r="C29" s="5"/>
      <c r="D29" s="5"/>
      <c r="E29" s="36">
        <f>VLOOKUP($A29,[16]HISTOAOUT22!$A$6:$BA$39,48,0)</f>
        <v>0</v>
      </c>
      <c r="F29" s="5">
        <f>MVTJUIL22!F29-MVTAOUT22!E29</f>
        <v>570000</v>
      </c>
      <c r="G29" s="6">
        <f t="shared" si="1"/>
        <v>0</v>
      </c>
      <c r="H29" s="6">
        <f>MVTJUIL22!H29+MVTJUIL22!G29+K29</f>
        <v>680779.4941398229</v>
      </c>
      <c r="I29" s="36">
        <f>VLOOKUP($A29,[16]HISTOAOUT22!$A$6:$AQ$37,22,0)</f>
        <v>0</v>
      </c>
      <c r="J29" s="36">
        <f>VLOOKUP($A29,[16]HISTOAOUT22!$A$6:$AU$39,45,0)</f>
        <v>7000</v>
      </c>
      <c r="K29" s="36">
        <f t="shared" si="2"/>
        <v>3000</v>
      </c>
      <c r="L29" s="36">
        <f t="shared" si="3"/>
        <v>500</v>
      </c>
      <c r="M29" s="36">
        <f t="shared" si="4"/>
        <v>1000</v>
      </c>
      <c r="N29" s="36">
        <f t="shared" si="5"/>
        <v>2500</v>
      </c>
      <c r="O29" s="36">
        <f>VLOOKUP($A29,[16]HISTOAOUT22!$A$6:$AU$39,7,0)</f>
        <v>0</v>
      </c>
      <c r="P29" s="36">
        <f>VLOOKUP($A29,[16]HISTOAOUT22!$A$6:$AU$39,23,0)</f>
        <v>0</v>
      </c>
      <c r="Q29" s="36">
        <f>VLOOKUP($A29,[16]HISTOAOUT22!$A$6:$AU$39,46,0)</f>
        <v>0</v>
      </c>
      <c r="R29" s="36">
        <f>VLOOKUP($A29,[16]HISTOAOUT22!$A$6:$AU$39,26,0)</f>
        <v>0</v>
      </c>
      <c r="S29" s="36">
        <f>VLOOKUP($A29,[16]HISTOAOUT22!$A$6:$BG$39,58,0)</f>
        <v>0</v>
      </c>
      <c r="T29" s="36">
        <f>VLOOKUP($A29,[16]HISTOAOUT22!$A$6:$AU$39,28,0)</f>
        <v>0</v>
      </c>
      <c r="U29" s="36">
        <f>VLOOKUP($A29,[16]HISTOAOUT22!$A$6:$AU$39,19,0)</f>
        <v>0</v>
      </c>
      <c r="V29" s="36">
        <f>VLOOKUP($A29,[16]HISTOAOUT22!$A$6:$AU$39,20,0)</f>
        <v>0</v>
      </c>
      <c r="W29" s="36">
        <f>VLOOKUP($A29,[16]HISTOAOUT22!$A$6:$AU$39,27,0)</f>
        <v>0</v>
      </c>
      <c r="X29" s="36">
        <f>VLOOKUP($A29,[16]HISTOAOUT22!$A$6:$AU$39,33,0)</f>
        <v>0</v>
      </c>
      <c r="Y29" s="36">
        <f>VLOOKUP($A29,[16]HISTOAOUT22!$A$6:$BP$39,65,0)</f>
        <v>0</v>
      </c>
      <c r="Z29" s="36"/>
      <c r="AA29" s="36">
        <f>VLOOKUP($A29,[16]HISTOAOUT22!$A$6:$AU$39,43,0)</f>
        <v>0</v>
      </c>
      <c r="AB29" s="36">
        <f>VLOOKUP($A29,[16]HISTOAOUT22!$A$6:$AU$39,44,0)</f>
        <v>0</v>
      </c>
      <c r="AC29" s="36">
        <f>VLOOKUP($A29,[16]HISTOAOUT22!$A$6:$AU$39,47,0)</f>
        <v>0</v>
      </c>
      <c r="AD29" s="36">
        <f>VLOOKUP(A29,[16]HISTOAOUT22!$A$6:$BB$36,54,0)</f>
        <v>0</v>
      </c>
      <c r="AE29" s="36">
        <f>VLOOKUP($A29,[16]HISTOAOUT22!$A$6:$CA$36,60,0)</f>
        <v>0</v>
      </c>
      <c r="AF29" s="36">
        <f>VLOOKUP($A29,[16]HISTOAOUT22!$A$6:$CA$36,61,0)</f>
        <v>0</v>
      </c>
      <c r="AG29" s="36">
        <f>VLOOKUP($A29,[16]HISTOAOUT22!$A$6:$CA$36,62,0)</f>
        <v>0</v>
      </c>
      <c r="AH29" s="36">
        <f>VLOOKUP($A29,[16]HISTOAOUT22!$A$6:$CA$36,63,0)</f>
        <v>0</v>
      </c>
      <c r="AI29" s="36">
        <f>VLOOKUP($A29,[16]HISTOAOUT22!$A$6:$CA$36,64,0)</f>
        <v>0</v>
      </c>
      <c r="AJ29" s="36">
        <f>VLOOKUP($A29,[16]HISTOAOUT22!$A$6:$CA$36,65,0)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VLOOKUP($A30,[16]HISTOAOUT22!$A$6:$BA$39,48,0)</f>
        <v>0</v>
      </c>
      <c r="F30" s="5">
        <f>MVTJUIL22!F30-MVTAOUT22!E30</f>
        <v>570000</v>
      </c>
      <c r="G30" s="6">
        <f t="shared" si="1"/>
        <v>0</v>
      </c>
      <c r="H30" s="6">
        <f>MVTJUIL22!H30+MVTJUIL22!G30+K30</f>
        <v>960586.52115837496</v>
      </c>
      <c r="I30" s="36">
        <f>VLOOKUP($A30,[16]HISTOAOUT22!$A$6:$AQ$37,22,0)</f>
        <v>0</v>
      </c>
      <c r="J30" s="36">
        <f>VLOOKUP($A30,[16]HISTOAOUT22!$A$6:$AU$39,45,0)</f>
        <v>7000</v>
      </c>
      <c r="K30" s="36">
        <f t="shared" si="2"/>
        <v>3000</v>
      </c>
      <c r="L30" s="36">
        <f t="shared" si="3"/>
        <v>500</v>
      </c>
      <c r="M30" s="36">
        <f t="shared" si="4"/>
        <v>1000</v>
      </c>
      <c r="N30" s="36">
        <f t="shared" si="5"/>
        <v>2500</v>
      </c>
      <c r="O30" s="36">
        <f>VLOOKUP($A30,[16]HISTOAOUT22!$A$6:$AU$39,7,0)</f>
        <v>0</v>
      </c>
      <c r="P30" s="36">
        <f>VLOOKUP($A30,[16]HISTOAOUT22!$A$6:$AU$39,23,0)</f>
        <v>0</v>
      </c>
      <c r="Q30" s="36">
        <f>VLOOKUP($A30,[16]HISTOAOUT22!$A$6:$AU$39,46,0)</f>
        <v>0</v>
      </c>
      <c r="R30" s="36">
        <f>VLOOKUP($A30,[16]HISTOAOUT22!$A$6:$AU$39,26,0)</f>
        <v>0</v>
      </c>
      <c r="S30" s="36">
        <f>VLOOKUP($A30,[16]HISTOAOUT22!$A$6:$BG$39,58,0)</f>
        <v>0</v>
      </c>
      <c r="T30" s="36">
        <f>VLOOKUP($A30,[16]HISTOAOUT22!$A$6:$AU$39,28,0)</f>
        <v>0</v>
      </c>
      <c r="U30" s="36">
        <f>VLOOKUP($A30,[16]HISTOAOUT22!$A$6:$AU$39,19,0)</f>
        <v>0</v>
      </c>
      <c r="V30" s="36">
        <f>VLOOKUP($A30,[16]HISTOAOUT22!$A$6:$AU$39,20,0)</f>
        <v>0</v>
      </c>
      <c r="W30" s="36">
        <f>VLOOKUP($A30,[16]HISTOAOUT22!$A$6:$AU$39,27,0)</f>
        <v>0</v>
      </c>
      <c r="X30" s="36">
        <f>VLOOKUP($A30,[16]HISTOAOUT22!$A$6:$AU$39,33,0)</f>
        <v>0</v>
      </c>
      <c r="Y30" s="36">
        <f>VLOOKUP($A30,[16]HISTOAOUT22!$A$6:$BP$39,65,0)</f>
        <v>0</v>
      </c>
      <c r="Z30" s="36"/>
      <c r="AA30" s="36">
        <f>VLOOKUP($A30,[16]HISTOAOUT22!$A$6:$AU$39,43,0)</f>
        <v>0</v>
      </c>
      <c r="AB30" s="36">
        <f>VLOOKUP($A30,[16]HISTOAOUT22!$A$6:$AU$39,44,0)</f>
        <v>0</v>
      </c>
      <c r="AC30" s="36">
        <f>VLOOKUP($A30,[16]HISTOAOUT22!$A$6:$AU$39,47,0)</f>
        <v>0</v>
      </c>
      <c r="AD30" s="36">
        <f>VLOOKUP(A30,[16]HISTOAOUT22!$A$6:$BB$36,54,0)</f>
        <v>0</v>
      </c>
      <c r="AE30" s="36">
        <f>VLOOKUP($A30,[16]HISTOAOUT22!$A$6:$CA$36,60,0)</f>
        <v>0</v>
      </c>
      <c r="AF30" s="36">
        <f>VLOOKUP($A30,[16]HISTOAOUT22!$A$6:$CA$36,61,0)</f>
        <v>0</v>
      </c>
      <c r="AG30" s="36">
        <f>VLOOKUP($A30,[16]HISTOAOUT22!$A$6:$CA$36,62,0)</f>
        <v>0</v>
      </c>
      <c r="AH30" s="36">
        <f>VLOOKUP($A30,[16]HISTOAOUT22!$A$6:$CA$36,63,0)</f>
        <v>0</v>
      </c>
      <c r="AI30" s="36">
        <f>VLOOKUP($A30,[16]HISTOAOUT22!$A$6:$CA$36,64,0)</f>
        <v>0</v>
      </c>
      <c r="AJ30" s="36">
        <f>VLOOKUP($A30,[16]HISTOAOUT22!$A$6:$CA$36,65,0)</f>
        <v>0</v>
      </c>
    </row>
    <row r="31" spans="1:36" x14ac:dyDescent="0.25">
      <c r="A31" s="1" t="s">
        <v>47</v>
      </c>
      <c r="B31" s="1" t="str">
        <f>VLOOKUP(A31,[15]LISTADHERENT!A$5:H$60,3,0)</f>
        <v>SIMO FONGANG ERIC</v>
      </c>
      <c r="C31" s="5"/>
      <c r="D31" s="5"/>
      <c r="E31" s="36">
        <f>VLOOKUP($A31,[16]HISTOAOUT22!$A$6:$BA$39,48,0)</f>
        <v>0</v>
      </c>
      <c r="F31" s="5">
        <f>MVTJUIL22!F31-MVTAOUT22!E31</f>
        <v>570000</v>
      </c>
      <c r="G31" s="6">
        <f t="shared" si="1"/>
        <v>0</v>
      </c>
      <c r="H31" s="6">
        <f>MVTJUIL22!H31+MVTJUIL22!G31+K31</f>
        <v>0</v>
      </c>
      <c r="I31" s="36">
        <f>VLOOKUP($A31,[16]HISTOAOUT22!$A$6:$AQ$37,22,0)</f>
        <v>0</v>
      </c>
      <c r="J31" s="36">
        <f>VLOOKUP($A31,[16]HISTOAOUT22!$A$6:$AU$39,45,0)</f>
        <v>0</v>
      </c>
      <c r="K31" s="36">
        <f t="shared" si="2"/>
        <v>0</v>
      </c>
      <c r="L31" s="36">
        <f t="shared" si="3"/>
        <v>0</v>
      </c>
      <c r="M31" s="36">
        <f t="shared" si="4"/>
        <v>0</v>
      </c>
      <c r="N31" s="36">
        <f t="shared" si="5"/>
        <v>0</v>
      </c>
      <c r="O31" s="36">
        <f>VLOOKUP($A31,[16]HISTOAOUT22!$A$6:$AU$39,7,0)</f>
        <v>0</v>
      </c>
      <c r="P31" s="36">
        <f>VLOOKUP($A31,[16]HISTOAOUT22!$A$6:$AU$39,23,0)</f>
        <v>0</v>
      </c>
      <c r="Q31" s="36">
        <f>VLOOKUP($A31,[16]HISTOAOUT22!$A$6:$AU$39,46,0)</f>
        <v>0</v>
      </c>
      <c r="R31" s="36">
        <f>VLOOKUP($A31,[16]HISTOAOUT22!$A$6:$AU$39,26,0)</f>
        <v>0</v>
      </c>
      <c r="S31" s="36">
        <f>VLOOKUP($A31,[16]HISTOAOUT22!$A$6:$BG$39,58,0)</f>
        <v>0</v>
      </c>
      <c r="T31" s="36">
        <f>VLOOKUP($A31,[16]HISTOAOUT22!$A$6:$AU$39,28,0)</f>
        <v>0</v>
      </c>
      <c r="U31" s="36">
        <f>VLOOKUP($A31,[16]HISTOAOUT22!$A$6:$AU$39,19,0)</f>
        <v>0</v>
      </c>
      <c r="V31" s="36">
        <f>VLOOKUP($A31,[16]HISTOAOUT22!$A$6:$AU$39,20,0)</f>
        <v>0</v>
      </c>
      <c r="W31" s="36">
        <f>VLOOKUP($A31,[16]HISTOAOUT22!$A$6:$AU$39,27,0)</f>
        <v>0</v>
      </c>
      <c r="X31" s="36">
        <f>VLOOKUP($A31,[16]HISTOAOUT22!$A$6:$AU$39,33,0)</f>
        <v>0</v>
      </c>
      <c r="Y31" s="36">
        <f>VLOOKUP($A31,[16]HISTOAOUT22!$A$6:$BP$39,65,0)</f>
        <v>0</v>
      </c>
      <c r="Z31" s="36"/>
      <c r="AA31" s="36">
        <f>VLOOKUP($A31,[16]HISTOAOUT22!$A$6:$AU$39,43,0)</f>
        <v>0</v>
      </c>
      <c r="AB31" s="36">
        <f>VLOOKUP($A31,[16]HISTOAOUT22!$A$6:$AU$39,44,0)</f>
        <v>0</v>
      </c>
      <c r="AC31" s="36">
        <f>VLOOKUP($A31,[16]HISTOAOUT22!$A$6:$AU$39,47,0)</f>
        <v>0</v>
      </c>
      <c r="AD31" s="36">
        <f>VLOOKUP(A31,[16]HISTOAOUT22!$A$6:$BB$36,54,0)</f>
        <v>0</v>
      </c>
      <c r="AE31" s="36">
        <f>VLOOKUP($A31,[16]HISTOAOUT22!$A$6:$CA$36,60,0)</f>
        <v>0</v>
      </c>
      <c r="AF31" s="36">
        <f>VLOOKUP($A31,[16]HISTOAOUT22!$A$6:$CA$36,61,0)</f>
        <v>0</v>
      </c>
      <c r="AG31" s="36">
        <f>VLOOKUP($A31,[16]HISTOAOUT22!$A$6:$CA$36,62,0)</f>
        <v>0</v>
      </c>
      <c r="AH31" s="36">
        <f>VLOOKUP($A31,[16]HISTOAOUT22!$A$6:$CA$36,63,0)</f>
        <v>0</v>
      </c>
      <c r="AI31" s="36">
        <f>VLOOKUP($A31,[16]HISTOAOUT22!$A$6:$CA$36,64,0)</f>
        <v>0</v>
      </c>
      <c r="AJ31" s="36">
        <f>VLOOKUP($A31,[16]HISTOAOUT22!$A$6:$CA$36,65,0)</f>
        <v>0</v>
      </c>
    </row>
    <row r="32" spans="1:36" x14ac:dyDescent="0.25">
      <c r="A32" s="1" t="s">
        <v>49</v>
      </c>
      <c r="B32" s="1" t="str">
        <f>VLOOKUP(A32,[15]LISTADHERENT!A$5:H$60,3,0)</f>
        <v>SIMO PIERRE</v>
      </c>
      <c r="C32" s="5"/>
      <c r="D32" s="5"/>
      <c r="E32" s="36">
        <f>VLOOKUP($A32,[16]HISTOAOUT22!$A$6:$BA$39,48,0)</f>
        <v>0</v>
      </c>
      <c r="F32" s="5">
        <f>MVTJUIL22!F32-MVTAOUT22!E32</f>
        <v>570000</v>
      </c>
      <c r="G32" s="6">
        <f t="shared" si="1"/>
        <v>0</v>
      </c>
      <c r="H32" s="6">
        <f>MVTJUIL22!H32+MVTJUIL22!G32+K32</f>
        <v>815766.23508830485</v>
      </c>
      <c r="I32" s="36">
        <f>VLOOKUP($A32,[16]HISTOAOUT22!$A$6:$AQ$37,22,0)</f>
        <v>0</v>
      </c>
      <c r="J32" s="36">
        <f>VLOOKUP($A32,[16]HISTOAOUT22!$A$6:$AU$39,45,0)</f>
        <v>11500</v>
      </c>
      <c r="K32" s="36">
        <f t="shared" si="2"/>
        <v>7500</v>
      </c>
      <c r="L32" s="36">
        <f t="shared" si="3"/>
        <v>500</v>
      </c>
      <c r="M32" s="36">
        <f t="shared" si="4"/>
        <v>1000</v>
      </c>
      <c r="N32" s="36">
        <f t="shared" si="5"/>
        <v>2500</v>
      </c>
      <c r="O32" s="36">
        <f>VLOOKUP($A32,[16]HISTOAOUT22!$A$6:$AU$39,7,0)</f>
        <v>0</v>
      </c>
      <c r="P32" s="36">
        <f>VLOOKUP($A32,[16]HISTOAOUT22!$A$6:$AU$39,23,0)</f>
        <v>0</v>
      </c>
      <c r="Q32" s="36">
        <f>VLOOKUP($A32,[16]HISTOAOUT22!$A$6:$AU$39,46,0)</f>
        <v>0</v>
      </c>
      <c r="R32" s="36">
        <f>VLOOKUP($A32,[16]HISTOAOUT22!$A$6:$AU$39,26,0)</f>
        <v>0</v>
      </c>
      <c r="S32" s="36">
        <f>VLOOKUP($A32,[16]HISTOAOUT22!$A$6:$BG$39,58,0)</f>
        <v>0</v>
      </c>
      <c r="T32" s="36">
        <f>VLOOKUP($A32,[16]HISTOAOUT22!$A$6:$AU$39,28,0)</f>
        <v>0</v>
      </c>
      <c r="U32" s="36">
        <f>VLOOKUP($A32,[16]HISTOAOUT22!$A$6:$AU$39,19,0)</f>
        <v>0</v>
      </c>
      <c r="V32" s="36">
        <f>VLOOKUP($A32,[16]HISTOAOUT22!$A$6:$AU$39,20,0)</f>
        <v>0</v>
      </c>
      <c r="W32" s="36">
        <f>VLOOKUP($A32,[16]HISTOAOUT22!$A$6:$AU$39,27,0)</f>
        <v>0</v>
      </c>
      <c r="X32" s="36">
        <f>VLOOKUP($A32,[16]HISTOAOUT22!$A$6:$AU$39,33,0)</f>
        <v>0</v>
      </c>
      <c r="Y32" s="36">
        <f>VLOOKUP($A32,[16]HISTOAOUT22!$A$6:$BP$39,65,0)</f>
        <v>0</v>
      </c>
      <c r="Z32" s="36"/>
      <c r="AA32" s="36">
        <f>VLOOKUP($A32,[16]HISTOAOUT22!$A$6:$AU$39,43,0)</f>
        <v>0</v>
      </c>
      <c r="AB32" s="36">
        <f>VLOOKUP($A32,[16]HISTOAOUT22!$A$6:$AU$39,44,0)</f>
        <v>0</v>
      </c>
      <c r="AC32" s="36">
        <f>VLOOKUP($A32,[16]HISTOAOUT22!$A$6:$AU$39,47,0)</f>
        <v>0</v>
      </c>
      <c r="AD32" s="36">
        <f>VLOOKUP(A32,[16]HISTOAOUT22!$A$6:$BB$36,54,0)</f>
        <v>0</v>
      </c>
      <c r="AE32" s="36">
        <f>VLOOKUP($A32,[16]HISTOAOUT22!$A$6:$CA$36,60,0)</f>
        <v>0</v>
      </c>
      <c r="AF32" s="36">
        <f>VLOOKUP($A32,[16]HISTOAOUT22!$A$6:$CA$36,61,0)</f>
        <v>0</v>
      </c>
      <c r="AG32" s="36">
        <f>VLOOKUP($A32,[16]HISTOAOUT22!$A$6:$CA$36,62,0)</f>
        <v>0</v>
      </c>
      <c r="AH32" s="36">
        <f>VLOOKUP($A32,[16]HISTOAOUT22!$A$6:$CA$36,63,0)</f>
        <v>0</v>
      </c>
      <c r="AI32" s="36">
        <f>VLOOKUP($A32,[16]HISTOAOUT22!$A$6:$CA$36,64,0)</f>
        <v>0</v>
      </c>
      <c r="AJ32" s="36">
        <f>VLOOKUP($A32,[16]HISTOAOUT22!$A$6:$CA$36,65,0)</f>
        <v>0</v>
      </c>
    </row>
    <row r="33" spans="1:36" x14ac:dyDescent="0.25">
      <c r="A33" s="1" t="s">
        <v>51</v>
      </c>
      <c r="B33" s="1" t="str">
        <f>VLOOKUP(A33,[15]LISTADHERENT!A$5:H$60,3,0)</f>
        <v>TCHOUAMOU MATHIEU</v>
      </c>
      <c r="C33" s="5"/>
      <c r="D33" s="5"/>
      <c r="E33" s="36">
        <f>VLOOKUP($A33,[16]HISTOAOUT22!$A$6:$BA$39,48,0)</f>
        <v>0</v>
      </c>
      <c r="F33" s="5">
        <f>MVTJUIL22!F33-MVTAOUT22!E33</f>
        <v>570000</v>
      </c>
      <c r="G33" s="6">
        <f t="shared" si="1"/>
        <v>0</v>
      </c>
      <c r="H33" s="6">
        <f>MVTJUIL22!H33+MVTJUIL22!G33+K33</f>
        <v>663504.06835924077</v>
      </c>
      <c r="I33" s="36">
        <f>VLOOKUP($A33,[16]HISTOAOUT22!$A$6:$AQ$37,22,0)</f>
        <v>0</v>
      </c>
      <c r="J33" s="36">
        <f>VLOOKUP($A33,[16]HISTOAOUT22!$A$6:$AU$39,45,0)</f>
        <v>7000</v>
      </c>
      <c r="K33" s="36">
        <f t="shared" si="2"/>
        <v>3000</v>
      </c>
      <c r="L33" s="36">
        <f t="shared" si="3"/>
        <v>500</v>
      </c>
      <c r="M33" s="36">
        <f t="shared" si="4"/>
        <v>1000</v>
      </c>
      <c r="N33" s="36">
        <f t="shared" si="5"/>
        <v>2500</v>
      </c>
      <c r="O33" s="36">
        <f>VLOOKUP($A33,[16]HISTOAOUT22!$A$6:$AU$39,7,0)</f>
        <v>0</v>
      </c>
      <c r="P33" s="36">
        <f>VLOOKUP($A33,[16]HISTOAOUT22!$A$6:$AU$39,23,0)</f>
        <v>0</v>
      </c>
      <c r="Q33" s="36">
        <f>VLOOKUP($A33,[16]HISTOAOUT22!$A$6:$AU$39,46,0)</f>
        <v>0</v>
      </c>
      <c r="R33" s="36">
        <f>VLOOKUP($A33,[16]HISTOAOUT22!$A$6:$AU$39,26,0)</f>
        <v>0</v>
      </c>
      <c r="S33" s="36">
        <f>VLOOKUP($A33,[16]HISTOAOUT22!$A$6:$BG$39,58,0)</f>
        <v>0</v>
      </c>
      <c r="T33" s="36">
        <f>VLOOKUP($A33,[16]HISTOAOUT22!$A$6:$AU$39,28,0)</f>
        <v>0</v>
      </c>
      <c r="U33" s="36">
        <f>VLOOKUP($A33,[16]HISTOAOUT22!$A$6:$AU$39,19,0)</f>
        <v>0</v>
      </c>
      <c r="V33" s="36">
        <f>VLOOKUP($A33,[16]HISTOAOUT22!$A$6:$AU$39,20,0)</f>
        <v>0</v>
      </c>
      <c r="W33" s="36">
        <f>VLOOKUP($A33,[16]HISTOAOUT22!$A$6:$AU$39,27,0)</f>
        <v>0</v>
      </c>
      <c r="X33" s="36">
        <f>VLOOKUP($A33,[16]HISTOAOUT22!$A$6:$AU$39,33,0)</f>
        <v>0</v>
      </c>
      <c r="Y33" s="36">
        <f>VLOOKUP($A33,[16]HISTOAOUT22!$A$6:$BP$39,65,0)</f>
        <v>0</v>
      </c>
      <c r="Z33" s="36"/>
      <c r="AA33" s="36">
        <f>VLOOKUP($A33,[16]HISTOAOUT22!$A$6:$AU$39,43,0)</f>
        <v>0</v>
      </c>
      <c r="AB33" s="36">
        <f>VLOOKUP($A33,[16]HISTOAOUT22!$A$6:$AU$39,44,0)</f>
        <v>0</v>
      </c>
      <c r="AC33" s="36">
        <f>VLOOKUP($A33,[16]HISTOAOUT22!$A$6:$AU$39,47,0)</f>
        <v>0</v>
      </c>
      <c r="AD33" s="36">
        <f>VLOOKUP(A33,[16]HISTOAOUT22!$A$6:$BB$36,54,0)</f>
        <v>0</v>
      </c>
      <c r="AE33" s="36">
        <f>VLOOKUP($A33,[16]HISTOAOUT22!$A$6:$CA$36,60,0)</f>
        <v>0</v>
      </c>
      <c r="AF33" s="36">
        <f>VLOOKUP($A33,[16]HISTOAOUT22!$A$6:$CA$36,61,0)</f>
        <v>0</v>
      </c>
      <c r="AG33" s="36">
        <f>VLOOKUP($A33,[16]HISTOAOUT22!$A$6:$CA$36,62,0)</f>
        <v>0</v>
      </c>
      <c r="AH33" s="36">
        <f>VLOOKUP($A33,[16]HISTOAOUT22!$A$6:$CA$36,63,0)</f>
        <v>0</v>
      </c>
      <c r="AI33" s="36">
        <f>VLOOKUP($A33,[16]HISTOAOUT22!$A$6:$CA$36,64,0)</f>
        <v>0</v>
      </c>
      <c r="AJ33" s="36">
        <f>VLOOKUP($A33,[16]HISTOAOUT22!$A$6:$CA$36,65,0)</f>
        <v>0</v>
      </c>
    </row>
    <row r="34" spans="1:36" x14ac:dyDescent="0.25">
      <c r="A34" s="1" t="s">
        <v>54</v>
      </c>
      <c r="B34" s="1" t="str">
        <f>VLOOKUP(A34,[15]LISTADHERENT!A$5:H$60,3,0)</f>
        <v>TIEYAM ERNEST</v>
      </c>
      <c r="C34" s="5"/>
      <c r="D34" s="5"/>
      <c r="E34" s="36">
        <f>VLOOKUP($A34,[16]HISTOAOUT22!$A$6:$BA$39,48,0)</f>
        <v>0</v>
      </c>
      <c r="F34" s="5">
        <f>MVTJUIL22!F34-MVTAOUT22!E34</f>
        <v>535508.27831700875</v>
      </c>
      <c r="G34" s="6">
        <f t="shared" si="1"/>
        <v>0</v>
      </c>
      <c r="H34" s="6">
        <f>MVTJUIL22!H34+MVTJUIL22!G34+K34</f>
        <v>0</v>
      </c>
      <c r="I34" s="36">
        <f>VLOOKUP($A34,[16]HISTOAOUT22!$A$6:$AQ$37,22,0)</f>
        <v>0</v>
      </c>
      <c r="J34" s="36">
        <f>VLOOKUP($A34,[16]HISTOAOUT22!$A$6:$AU$39,45,0)</f>
        <v>0</v>
      </c>
      <c r="K34" s="36">
        <f t="shared" si="2"/>
        <v>0</v>
      </c>
      <c r="L34" s="36">
        <f t="shared" si="3"/>
        <v>0</v>
      </c>
      <c r="M34" s="36">
        <f t="shared" si="4"/>
        <v>0</v>
      </c>
      <c r="N34" s="36">
        <f t="shared" si="5"/>
        <v>0</v>
      </c>
      <c r="O34" s="36">
        <f>VLOOKUP($A34,[16]HISTOAOUT22!$A$6:$AU$39,7,0)</f>
        <v>0</v>
      </c>
      <c r="P34" s="36">
        <f>VLOOKUP($A34,[16]HISTOAOUT22!$A$6:$AU$39,23,0)</f>
        <v>0</v>
      </c>
      <c r="Q34" s="36">
        <f>VLOOKUP($A34,[16]HISTOAOUT22!$A$6:$AU$39,46,0)</f>
        <v>0</v>
      </c>
      <c r="R34" s="36">
        <f>VLOOKUP($A34,[16]HISTOAOUT22!$A$6:$AU$39,26,0)</f>
        <v>0</v>
      </c>
      <c r="S34" s="36">
        <f>VLOOKUP($A34,[16]HISTOAOUT22!$A$6:$BG$39,58,0)</f>
        <v>0</v>
      </c>
      <c r="T34" s="36">
        <f>VLOOKUP($A34,[16]HISTOAOUT22!$A$6:$AU$39,28,0)</f>
        <v>0</v>
      </c>
      <c r="U34" s="36">
        <f>VLOOKUP($A34,[16]HISTOAOUT22!$A$6:$AU$39,19,0)</f>
        <v>0</v>
      </c>
      <c r="V34" s="36">
        <f>VLOOKUP($A34,[16]HISTOAOUT22!$A$6:$AU$39,20,0)</f>
        <v>0</v>
      </c>
      <c r="W34" s="36">
        <f>VLOOKUP($A34,[16]HISTOAOUT22!$A$6:$AU$39,27,0)</f>
        <v>0</v>
      </c>
      <c r="X34" s="36">
        <f>VLOOKUP($A34,[16]HISTOAOUT22!$A$6:$AU$39,33,0)</f>
        <v>0</v>
      </c>
      <c r="Y34" s="36">
        <f>VLOOKUP($A34,[16]HISTOAOUT22!$A$6:$BP$39,65,0)</f>
        <v>0</v>
      </c>
      <c r="Z34" s="36"/>
      <c r="AA34" s="36">
        <f>VLOOKUP($A34,[16]HISTOAOUT22!$A$6:$AU$39,43,0)</f>
        <v>0</v>
      </c>
      <c r="AB34" s="36">
        <f>VLOOKUP($A34,[16]HISTOAOUT22!$A$6:$AU$39,44,0)</f>
        <v>0</v>
      </c>
      <c r="AC34" s="36">
        <f>VLOOKUP($A34,[16]HISTOAOUT22!$A$6:$AU$39,47,0)</f>
        <v>0</v>
      </c>
      <c r="AD34" s="36">
        <f>VLOOKUP(A34,[16]HISTOAOUT22!$A$6:$BB$36,54,0)</f>
        <v>0</v>
      </c>
      <c r="AE34" s="36">
        <f>VLOOKUP($A34,[16]HISTOAOUT22!$A$6:$CA$36,60,0)</f>
        <v>0</v>
      </c>
      <c r="AF34" s="36">
        <f>VLOOKUP($A34,[16]HISTOAOUT22!$A$6:$CA$36,61,0)</f>
        <v>0</v>
      </c>
      <c r="AG34" s="36">
        <f>VLOOKUP($A34,[16]HISTOAOUT22!$A$6:$CA$36,62,0)</f>
        <v>0</v>
      </c>
      <c r="AH34" s="36">
        <f>VLOOKUP($A34,[16]HISTOAOUT22!$A$6:$CA$36,63,0)</f>
        <v>0</v>
      </c>
      <c r="AI34" s="36">
        <f>VLOOKUP($A34,[16]HISTOAOUT22!$A$6:$CA$36,64,0)</f>
        <v>0</v>
      </c>
      <c r="AJ34" s="36">
        <f>VLOOKUP($A34,[16]HISTOAOUT22!$A$6:$CA$36,65,0)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VLOOKUP($A35,[16]HISTOAOUT22!$A$6:$BA$39,48,0)</f>
        <v>0</v>
      </c>
      <c r="F35" s="5">
        <f>MVTJUIL22!F35-MVTAOUT22!E35</f>
        <v>570000</v>
      </c>
      <c r="G35" s="6">
        <f t="shared" si="1"/>
        <v>0</v>
      </c>
      <c r="H35" s="6">
        <f>MVTJUIL22!H35+MVTJUIL22!G35+K35</f>
        <v>1555629.3798302331</v>
      </c>
      <c r="I35" s="36">
        <f>VLOOKUP($A35,[16]HISTOAOUT22!$A$6:$AQ$37,22,0)</f>
        <v>0</v>
      </c>
      <c r="J35" s="36">
        <f>VLOOKUP($A35,[16]HISTOAOUT22!$A$6:$AU$39,45,0)</f>
        <v>7000</v>
      </c>
      <c r="K35" s="36">
        <f t="shared" si="2"/>
        <v>3000</v>
      </c>
      <c r="L35" s="36">
        <f t="shared" si="3"/>
        <v>500</v>
      </c>
      <c r="M35" s="36">
        <f t="shared" si="4"/>
        <v>1000</v>
      </c>
      <c r="N35" s="36">
        <f t="shared" si="5"/>
        <v>2500</v>
      </c>
      <c r="O35" s="36">
        <f>VLOOKUP($A35,[16]HISTOAOUT22!$A$6:$AU$39,7,0)</f>
        <v>0</v>
      </c>
      <c r="P35" s="36">
        <f>VLOOKUP($A35,[16]HISTOAOUT22!$A$6:$AU$39,23,0)</f>
        <v>0</v>
      </c>
      <c r="Q35" s="36">
        <f>VLOOKUP($A35,[16]HISTOAOUT22!$A$6:$AU$39,46,0)</f>
        <v>0</v>
      </c>
      <c r="R35" s="36">
        <f>VLOOKUP($A35,[16]HISTOAOUT22!$A$6:$AU$39,26,0)</f>
        <v>0</v>
      </c>
      <c r="S35" s="36">
        <f>VLOOKUP($A35,[16]HISTOAOUT22!$A$6:$BG$39,58,0)</f>
        <v>0</v>
      </c>
      <c r="T35" s="36">
        <f>VLOOKUP($A35,[16]HISTOAOUT22!$A$6:$AU$39,28,0)</f>
        <v>0</v>
      </c>
      <c r="U35" s="36">
        <f>VLOOKUP($A35,[16]HISTOAOUT22!$A$6:$AU$39,19,0)</f>
        <v>143750</v>
      </c>
      <c r="V35" s="36">
        <f>VLOOKUP($A35,[16]HISTOAOUT22!$A$6:$AU$39,20,0)</f>
        <v>0</v>
      </c>
      <c r="W35" s="36">
        <f>VLOOKUP($A35,[16]HISTOAOUT22!$A$6:$AU$39,27,0)</f>
        <v>0</v>
      </c>
      <c r="X35" s="36">
        <f>VLOOKUP($A35,[16]HISTOAOUT22!$A$6:$AU$39,33,0)</f>
        <v>0</v>
      </c>
      <c r="Y35" s="36">
        <f>VLOOKUP($A35,[16]HISTOAOUT22!$A$6:$BP$39,65,0)</f>
        <v>0</v>
      </c>
      <c r="Z35" s="36"/>
      <c r="AA35" s="36">
        <f>VLOOKUP($A35,[16]HISTOAOUT22!$A$6:$AU$39,43,0)</f>
        <v>0</v>
      </c>
      <c r="AB35" s="36">
        <f>VLOOKUP($A35,[16]HISTOAOUT22!$A$6:$AU$39,44,0)</f>
        <v>0</v>
      </c>
      <c r="AC35" s="36">
        <f>VLOOKUP($A35,[16]HISTOAOUT22!$A$6:$AU$39,47,0)</f>
        <v>0</v>
      </c>
      <c r="AD35" s="36">
        <f>VLOOKUP(A35,[16]HISTOAOUT22!$A$6:$BB$36,54,0)</f>
        <v>70000</v>
      </c>
      <c r="AE35" s="36">
        <f>VLOOKUP($A35,[16]HISTOAOUT22!$A$6:$CA$36,60,0)</f>
        <v>0</v>
      </c>
      <c r="AF35" s="36">
        <f>VLOOKUP($A35,[16]HISTOAOUT22!$A$6:$CA$36,61,0)</f>
        <v>0</v>
      </c>
      <c r="AG35" s="36">
        <f>VLOOKUP($A35,[16]HISTOAOUT22!$A$6:$CA$36,62,0)</f>
        <v>0</v>
      </c>
      <c r="AH35" s="36">
        <f>VLOOKUP($A35,[16]HISTOAOUT22!$A$6:$CA$36,63,0)</f>
        <v>0</v>
      </c>
      <c r="AI35" s="36">
        <f>VLOOKUP($A35,[16]HISTOAOUT22!$A$6:$CA$36,64,0)</f>
        <v>0</v>
      </c>
      <c r="AJ35" s="36">
        <f>VLOOKUP($A35,[16]HISTOAOUT22!$A$6:$CA$36,65,0)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VLOOKUP($A36,[16]HISTOAOUT22!$A$6:$BA$39,48,0)</f>
        <v>0</v>
      </c>
      <c r="F36" s="5">
        <f>MVTJUIL22!F36-MVTAOUT22!E36</f>
        <v>570000</v>
      </c>
      <c r="G36" s="6">
        <f t="shared" si="1"/>
        <v>0</v>
      </c>
      <c r="H36" s="6">
        <f>MVTJUIL22!H36+MVTJUIL22!G36+K36</f>
        <v>1668872.0579878136</v>
      </c>
      <c r="I36" s="36">
        <f>VLOOKUP($A36,[16]HISTOAOUT22!$A$6:$AQ$37,22,0)</f>
        <v>0</v>
      </c>
      <c r="J36" s="36">
        <f>VLOOKUP($A36,[16]HISTOAOUT22!$A$6:$AU$39,45,0)</f>
        <v>7000</v>
      </c>
      <c r="K36" s="36">
        <f t="shared" si="2"/>
        <v>3000</v>
      </c>
      <c r="L36" s="36">
        <f t="shared" si="3"/>
        <v>500</v>
      </c>
      <c r="M36" s="36">
        <f t="shared" si="4"/>
        <v>1000</v>
      </c>
      <c r="N36" s="36">
        <f t="shared" si="5"/>
        <v>2500</v>
      </c>
      <c r="O36" s="36">
        <f>VLOOKUP($A36,[16]HISTOAOUT22!$A$6:$AU$39,7,0)</f>
        <v>0</v>
      </c>
      <c r="P36" s="36">
        <f>VLOOKUP($A36,[16]HISTOAOUT22!$A$6:$AU$39,23,0)</f>
        <v>0</v>
      </c>
      <c r="Q36" s="36">
        <f>VLOOKUP($A36,[16]HISTOAOUT22!$A$6:$AU$39,46,0)</f>
        <v>0</v>
      </c>
      <c r="R36" s="36">
        <f>VLOOKUP($A36,[16]HISTOAOUT22!$A$6:$AU$39,26,0)</f>
        <v>0</v>
      </c>
      <c r="S36" s="36">
        <f>VLOOKUP($A36,[16]HISTOAOUT22!$A$6:$BG$39,58,0)</f>
        <v>0</v>
      </c>
      <c r="T36" s="36">
        <f>VLOOKUP($A36,[16]HISTOAOUT22!$A$6:$AU$39,28,0)</f>
        <v>0</v>
      </c>
      <c r="U36" s="36">
        <f>VLOOKUP($A36,[16]HISTOAOUT22!$A$6:$AU$39,19,0)</f>
        <v>0</v>
      </c>
      <c r="V36" s="36">
        <f>VLOOKUP($A36,[16]HISTOAOUT22!$A$6:$AU$39,20,0)</f>
        <v>0</v>
      </c>
      <c r="W36" s="36">
        <f>VLOOKUP($A36,[16]HISTOAOUT22!$A$6:$AU$39,27,0)</f>
        <v>0</v>
      </c>
      <c r="X36" s="36">
        <f>VLOOKUP($A36,[16]HISTOAOUT22!$A$6:$AU$39,33,0)</f>
        <v>0</v>
      </c>
      <c r="Y36" s="36">
        <f>VLOOKUP($A36,[16]HISTOAOUT22!$A$6:$BP$39,65,0)</f>
        <v>0</v>
      </c>
      <c r="Z36" s="36"/>
      <c r="AA36" s="36">
        <f>VLOOKUP($A36,[16]HISTOAOUT22!$A$6:$AU$39,43,0)</f>
        <v>0</v>
      </c>
      <c r="AB36" s="36">
        <f>VLOOKUP($A36,[16]HISTOAOUT22!$A$6:$AU$39,44,0)</f>
        <v>0</v>
      </c>
      <c r="AC36" s="36">
        <f>VLOOKUP($A36,[16]HISTOAOUT22!$A$6:$AU$39,47,0)</f>
        <v>0</v>
      </c>
      <c r="AD36" s="36">
        <f>VLOOKUP(A36,[16]HISTOAOUT22!$A$6:$BB$36,54,0)</f>
        <v>0</v>
      </c>
      <c r="AE36" s="36">
        <f>VLOOKUP($A36,[16]HISTOAOUT22!$A$6:$CA$36,60,0)</f>
        <v>0</v>
      </c>
      <c r="AF36" s="36">
        <f>VLOOKUP($A36,[16]HISTOAOUT22!$A$6:$CA$36,61,0)</f>
        <v>0</v>
      </c>
      <c r="AG36" s="36">
        <f>VLOOKUP($A36,[16]HISTOAOUT22!$A$6:$CA$36,62,0)</f>
        <v>0</v>
      </c>
      <c r="AH36" s="36">
        <f>VLOOKUP($A36,[16]HISTOAOUT22!$A$6:$CA$36,63,0)</f>
        <v>0</v>
      </c>
      <c r="AI36" s="36">
        <f>VLOOKUP($A36,[16]HISTOAOUT22!$A$6:$CA$36,64,0)</f>
        <v>0</v>
      </c>
      <c r="AJ36" s="36">
        <f>VLOOKUP($A36,[16]HISTOAOUT22!$A$6:$CA$36,65,0)</f>
        <v>0</v>
      </c>
    </row>
    <row r="37" spans="1:36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H40" si="6">SUM(C6:C39)</f>
        <v>0</v>
      </c>
      <c r="D40" s="9">
        <f t="shared" si="6"/>
        <v>0</v>
      </c>
      <c r="E40" s="9">
        <f t="shared" si="6"/>
        <v>0</v>
      </c>
      <c r="F40" s="9">
        <f t="shared" si="6"/>
        <v>17584659.561375875</v>
      </c>
      <c r="G40" s="9">
        <f t="shared" si="6"/>
        <v>0</v>
      </c>
      <c r="H40" s="9">
        <f t="shared" si="6"/>
        <v>22076208.148341149</v>
      </c>
      <c r="I40" s="9">
        <f t="shared" si="6"/>
        <v>0</v>
      </c>
      <c r="J40" s="9">
        <f t="shared" si="6"/>
        <v>304500</v>
      </c>
      <c r="K40" s="9">
        <f t="shared" si="6"/>
        <v>200500</v>
      </c>
      <c r="L40" s="9">
        <f t="shared" si="6"/>
        <v>13000</v>
      </c>
      <c r="M40" s="9">
        <f t="shared" si="6"/>
        <v>26000</v>
      </c>
      <c r="N40" s="9">
        <f t="shared" si="6"/>
        <v>65000</v>
      </c>
      <c r="O40" s="9">
        <f t="shared" si="6"/>
        <v>3000</v>
      </c>
      <c r="P40" s="9">
        <f t="shared" si="6"/>
        <v>0</v>
      </c>
      <c r="Q40" s="9">
        <f t="shared" si="6"/>
        <v>0</v>
      </c>
      <c r="R40" s="9">
        <f t="shared" si="6"/>
        <v>0</v>
      </c>
      <c r="S40" s="9">
        <f>SUM(S6:S39)+AI40</f>
        <v>0</v>
      </c>
      <c r="T40" s="9">
        <f t="shared" si="6"/>
        <v>0</v>
      </c>
      <c r="U40" s="9">
        <f t="shared" si="6"/>
        <v>143750</v>
      </c>
      <c r="V40" s="9">
        <f t="shared" si="6"/>
        <v>0</v>
      </c>
      <c r="W40" s="9">
        <f t="shared" si="6"/>
        <v>0</v>
      </c>
      <c r="X40" s="9">
        <f t="shared" si="6"/>
        <v>0</v>
      </c>
      <c r="Y40" s="9">
        <f t="shared" si="6"/>
        <v>0</v>
      </c>
      <c r="Z40" s="9">
        <f t="shared" si="6"/>
        <v>0</v>
      </c>
      <c r="AA40" s="9">
        <f t="shared" si="6"/>
        <v>0</v>
      </c>
      <c r="AB40" s="9">
        <f t="shared" si="6"/>
        <v>0</v>
      </c>
      <c r="AC40" s="9">
        <f t="shared" si="6"/>
        <v>0</v>
      </c>
      <c r="AD40" s="9">
        <f t="shared" si="6"/>
        <v>140000</v>
      </c>
      <c r="AE40" s="9">
        <f t="shared" si="6"/>
        <v>6000</v>
      </c>
      <c r="AF40" s="9">
        <f t="shared" si="6"/>
        <v>0</v>
      </c>
      <c r="AG40" s="9">
        <f t="shared" si="6"/>
        <v>0</v>
      </c>
      <c r="AH40" s="9">
        <f t="shared" si="6"/>
        <v>0</v>
      </c>
      <c r="AI40" s="9">
        <f>SUM(AI6:AI39)</f>
        <v>0</v>
      </c>
      <c r="AJ40" s="9">
        <f>SUM(AJ6:AJ39)</f>
        <v>0</v>
      </c>
    </row>
  </sheetData>
  <autoFilter ref="A5:U36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"/>
  <sheetViews>
    <sheetView workbookViewId="0">
      <pane xSplit="2" ySplit="5" topLeftCell="F33" activePane="bottomRight" state="frozen"/>
      <selection activeCell="B43" sqref="B43"/>
      <selection pane="topRight" activeCell="B43" sqref="B43"/>
      <selection pane="bottomLeft" activeCell="B43" sqref="B43"/>
      <selection pane="bottomRight" activeCell="AG5" sqref="AG5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5" bestFit="1" customWidth="1"/>
    <col min="19" max="19" width="15" customWidth="1"/>
    <col min="20" max="21" width="18.140625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04"/>
      <c r="J4" s="146">
        <v>44821</v>
      </c>
      <c r="K4" s="146"/>
      <c r="L4" s="146"/>
      <c r="M4" s="146"/>
      <c r="N4" s="146"/>
      <c r="O4" s="146"/>
      <c r="P4"/>
      <c r="Q4"/>
      <c r="AJ4" s="108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84" t="s">
        <v>10</v>
      </c>
      <c r="AF5" s="84" t="s">
        <v>11</v>
      </c>
      <c r="AG5" s="84" t="s">
        <v>307</v>
      </c>
      <c r="AH5" s="84" t="s">
        <v>273</v>
      </c>
      <c r="AI5" s="4" t="s">
        <v>65</v>
      </c>
      <c r="AJ5" s="84" t="s">
        <v>278</v>
      </c>
    </row>
    <row r="6" spans="1:36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MVTAOUT22!F6-MVTSEPT22!E6</f>
        <v>584177.00555049011</v>
      </c>
      <c r="G6" s="6">
        <f t="shared" ref="G6" si="0">$S$40/$H$40*H6</f>
        <v>0</v>
      </c>
      <c r="H6" s="6">
        <f>MVTAOUT22!H6+MVTAOUT22!G6+K6</f>
        <v>647525.25689438276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VLOOKUP($A6,[16]HISTOSEPT22!$A$6:$CA$36,60,0)</f>
        <v>40000</v>
      </c>
      <c r="AF6" s="36">
        <f>VLOOKUP($A6,[16]HISTOSEPT22!$A$6:$CA$36,61,0)</f>
        <v>0</v>
      </c>
      <c r="AG6" s="36">
        <f>VLOOKUP($A6,[16]HISTOSEPT22!$A$6:$CA$36,62,0)</f>
        <v>0</v>
      </c>
      <c r="AH6" s="36">
        <f>VLOOKUP($A6,[16]HISTOSEPT22!$A$6:$CA$36,63,0)</f>
        <v>0</v>
      </c>
      <c r="AI6" s="36">
        <f>VLOOKUP($A6,[16]HISTOSEPT22!$A$6:$CA$36,64,0)</f>
        <v>0</v>
      </c>
      <c r="AJ6" s="36">
        <f>VLOOKUP($A6,[16]HISTOSEPT22!$A$6:$CA$36,65,0)</f>
        <v>0</v>
      </c>
    </row>
    <row r="7" spans="1:36" x14ac:dyDescent="0.25">
      <c r="A7" s="1" t="s">
        <v>19</v>
      </c>
      <c r="B7" s="1" t="str">
        <f>VLOOKUP(A7,[15]LISTADHERENT!A$5:H$60,3,0)</f>
        <v>BOUTCHOUANG WILLIAM</v>
      </c>
      <c r="C7" s="5"/>
      <c r="D7" s="5"/>
      <c r="E7" s="36">
        <f>VLOOKUP($A7,[16]HISTOSEPT22!$A$6:$BA$39,48,0)</f>
        <v>0</v>
      </c>
      <c r="F7" s="5">
        <f>MVTAOUT22!F7-MVTSEPT22!E7</f>
        <v>570000</v>
      </c>
      <c r="G7" s="6">
        <f t="shared" ref="G7:G36" si="1">$S$40/$H$40*H7</f>
        <v>0</v>
      </c>
      <c r="H7" s="6">
        <f>MVTAOUT22!H7+MVTAOUT22!G7+K7</f>
        <v>659307.27446091012</v>
      </c>
      <c r="I7" s="36">
        <f>VLOOKUP($A7,[16]HISTOSEPT22!$A$6:$AQ$37,22,0)</f>
        <v>0</v>
      </c>
      <c r="J7" s="36">
        <f>VLOOKUP($A7,[16]HISTOSEPT22!$A$6:$AU$39,45,0)</f>
        <v>7000</v>
      </c>
      <c r="K7" s="36">
        <f t="shared" ref="K7:K36" si="2">IF(J7=0,0,J7-(L7+M7+N7))</f>
        <v>3000</v>
      </c>
      <c r="L7" s="36">
        <f t="shared" ref="L7:L36" si="3">IF(J7=0,0,500)</f>
        <v>500</v>
      </c>
      <c r="M7" s="36">
        <f t="shared" ref="M7:M36" si="4">IF(J7=0,0,1000)</f>
        <v>1000</v>
      </c>
      <c r="N7" s="36">
        <f t="shared" ref="N7:N36" si="5">IF(J7=0,0,2500)</f>
        <v>2500</v>
      </c>
      <c r="O7" s="36">
        <f>VLOOKUP($A7,[16]HISTOSEPT22!$A$6:$AU$39,7,0)</f>
        <v>0</v>
      </c>
      <c r="P7" s="36">
        <f>VLOOKUP($A7,[16]HISTOSEPT22!$A$6:$AU$39,23,0)</f>
        <v>0</v>
      </c>
      <c r="Q7" s="36">
        <f>VLOOKUP($A7,[16]HISTOSEPT22!$A$6:$AU$39,46,0)</f>
        <v>0</v>
      </c>
      <c r="R7" s="36">
        <f>VLOOKUP($A7,[16]HISTOSEPT22!$A$6:$AU$39,26,0)</f>
        <v>0</v>
      </c>
      <c r="S7" s="36">
        <f>VLOOKUP($A7,[16]HISTOSEPT22!$A$6:$BG$39,58,0)</f>
        <v>0</v>
      </c>
      <c r="T7" s="36">
        <f>VLOOKUP($A7,[16]HISTOSEPT22!$A$6:$AU$39,28,0)</f>
        <v>0</v>
      </c>
      <c r="U7" s="36">
        <f>VLOOKUP($A7,[16]HISTOSEPT22!$A$6:$AU$39,19,0)</f>
        <v>0</v>
      </c>
      <c r="V7" s="36">
        <f>VLOOKUP($A7,[16]HISTOSEPT22!$A$6:$AU$39,20,0)</f>
        <v>0</v>
      </c>
      <c r="W7" s="36">
        <f>VLOOKUP($A7,[16]HISTOSEPT22!$A$6:$AU$39,27,0)</f>
        <v>0</v>
      </c>
      <c r="X7" s="36">
        <f>VLOOKUP($A7,[16]HISTOSEPT22!$A$6:$AU$39,33,0)</f>
        <v>0</v>
      </c>
      <c r="Y7" s="36">
        <f>VLOOKUP($A7,[16]HISTOSEPT22!$A$6:$BP$39,65,0)</f>
        <v>0</v>
      </c>
      <c r="Z7" s="36"/>
      <c r="AA7" s="36">
        <f>VLOOKUP($A7,[16]HISTOSEPT22!$A$6:$AU$39,43,0)</f>
        <v>0</v>
      </c>
      <c r="AB7" s="36">
        <f>VLOOKUP($A7,[16]HISTOSEPT22!$A$6:$AU$39,44,0)</f>
        <v>0</v>
      </c>
      <c r="AC7" s="36">
        <f>VLOOKUP($A7,[16]HISTOSEPT22!$A$6:$AU$39,47,0)</f>
        <v>0</v>
      </c>
      <c r="AD7" s="36">
        <f>VLOOKUP(A7,[16]HISTOSEPT22!$A$6:$BB$36,54,0)</f>
        <v>0</v>
      </c>
      <c r="AE7" s="36">
        <f>VLOOKUP($A7,[16]HISTOSEPT22!$A$6:$CA$36,60,0)</f>
        <v>0</v>
      </c>
      <c r="AF7" s="36">
        <f>VLOOKUP($A7,[16]HISTOSEPT22!$A$6:$CA$36,61,0)</f>
        <v>0</v>
      </c>
      <c r="AG7" s="36">
        <f>VLOOKUP($A7,[16]HISTOSEPT22!$A$6:$CA$36,62,0)</f>
        <v>0</v>
      </c>
      <c r="AH7" s="36">
        <f>VLOOKUP($A7,[16]HISTOSEPT22!$A$6:$CA$36,63,0)</f>
        <v>0</v>
      </c>
      <c r="AI7" s="36">
        <f>VLOOKUP($A7,[16]HISTOSEPT22!$A$6:$CA$36,64,0)</f>
        <v>0</v>
      </c>
      <c r="AJ7" s="36">
        <f>VLOOKUP($A7,[16]HISTOSEPT22!$A$6:$CA$36,65,0)</f>
        <v>0</v>
      </c>
    </row>
    <row r="8" spans="1:36" x14ac:dyDescent="0.25">
      <c r="A8" s="1" t="s">
        <v>23</v>
      </c>
      <c r="B8" s="1" t="str">
        <f>VLOOKUP(A8,[15]LISTADHERENT!A$5:H$60,3,0)</f>
        <v xml:space="preserve">DJOMO JEAN PAUL </v>
      </c>
      <c r="C8" s="5"/>
      <c r="D8" s="5"/>
      <c r="E8" s="36">
        <f>VLOOKUP($A8,[16]HISTOSEPT22!$A$6:$BA$39,48,0)</f>
        <v>0</v>
      </c>
      <c r="F8" s="5">
        <f>MVTAOUT22!F8-MVTSEPT22!E8</f>
        <v>570000</v>
      </c>
      <c r="G8" s="6">
        <f t="shared" si="1"/>
        <v>0</v>
      </c>
      <c r="H8" s="6">
        <f>MVTAOUT22!H8+MVTAOUT22!G8+K8</f>
        <v>734999.88702700997</v>
      </c>
      <c r="I8" s="36">
        <f>VLOOKUP($A8,[16]HISTOSEPT22!$A$6:$AQ$37,22,0)</f>
        <v>0</v>
      </c>
      <c r="J8" s="36">
        <f>VLOOKUP($A8,[16]HISTOSEPT22!$A$6:$AU$39,45,0)</f>
        <v>7000</v>
      </c>
      <c r="K8" s="36">
        <f t="shared" si="2"/>
        <v>3000</v>
      </c>
      <c r="L8" s="36">
        <f t="shared" si="3"/>
        <v>500</v>
      </c>
      <c r="M8" s="36">
        <f t="shared" si="4"/>
        <v>1000</v>
      </c>
      <c r="N8" s="36">
        <f t="shared" si="5"/>
        <v>2500</v>
      </c>
      <c r="O8" s="36">
        <f>VLOOKUP($A8,[16]HISTOSEPT22!$A$6:$AU$39,7,0)</f>
        <v>3000</v>
      </c>
      <c r="P8" s="36">
        <f>VLOOKUP($A8,[16]HISTOSEPT22!$A$6:$AU$39,23,0)</f>
        <v>0</v>
      </c>
      <c r="Q8" s="36">
        <f>VLOOKUP($A8,[16]HISTOSEPT22!$A$6:$AU$39,46,0)</f>
        <v>0</v>
      </c>
      <c r="R8" s="36">
        <f>VLOOKUP($A8,[16]HISTOSEPT22!$A$6:$AU$39,26,0)</f>
        <v>0</v>
      </c>
      <c r="S8" s="36">
        <f>VLOOKUP($A8,[16]HISTOSEPT22!$A$6:$BG$39,58,0)</f>
        <v>0</v>
      </c>
      <c r="T8" s="36">
        <f>VLOOKUP($A8,[16]HISTOSEPT22!$A$6:$AU$39,28,0)</f>
        <v>0</v>
      </c>
      <c r="U8" s="36">
        <f>VLOOKUP($A8,[16]HISTOSEPT22!$A$6:$AU$39,19,0)</f>
        <v>0</v>
      </c>
      <c r="V8" s="36">
        <f>VLOOKUP($A8,[16]HISTOSEPT22!$A$6:$AU$39,20,0)</f>
        <v>0</v>
      </c>
      <c r="W8" s="36">
        <f>VLOOKUP($A8,[16]HISTOSEPT22!$A$6:$AU$39,27,0)</f>
        <v>0</v>
      </c>
      <c r="X8" s="36">
        <f>VLOOKUP($A8,[16]HISTOSEPT22!$A$6:$AU$39,33,0)</f>
        <v>0</v>
      </c>
      <c r="Y8" s="36">
        <f>VLOOKUP($A8,[16]HISTOSEPT22!$A$6:$BP$39,65,0)</f>
        <v>0</v>
      </c>
      <c r="Z8" s="36"/>
      <c r="AA8" s="36">
        <f>VLOOKUP($A8,[16]HISTOSEPT22!$A$6:$AU$39,43,0)</f>
        <v>0</v>
      </c>
      <c r="AB8" s="36">
        <f>VLOOKUP($A8,[16]HISTOSEPT22!$A$6:$AU$39,44,0)</f>
        <v>0</v>
      </c>
      <c r="AC8" s="36">
        <f>VLOOKUP($A8,[16]HISTOSEPT22!$A$6:$AU$39,47,0)</f>
        <v>0</v>
      </c>
      <c r="AD8" s="36">
        <f>VLOOKUP(A8,[16]HISTOSEPT22!$A$6:$BB$36,54,0)</f>
        <v>0</v>
      </c>
      <c r="AE8" s="36">
        <f>VLOOKUP($A8,[16]HISTOSEPT22!$A$6:$CA$36,60,0)</f>
        <v>0</v>
      </c>
      <c r="AF8" s="36">
        <f>VLOOKUP($A8,[16]HISTOSEPT22!$A$6:$CA$36,61,0)</f>
        <v>0</v>
      </c>
      <c r="AG8" s="36">
        <f>VLOOKUP($A8,[16]HISTOSEPT22!$A$6:$CA$36,62,0)</f>
        <v>0</v>
      </c>
      <c r="AH8" s="36">
        <f>VLOOKUP($A8,[16]HISTOSEPT22!$A$6:$CA$36,63,0)</f>
        <v>70000</v>
      </c>
      <c r="AI8" s="36">
        <f>VLOOKUP($A8,[16]HISTOSEPT22!$A$6:$CA$36,64,0)</f>
        <v>0</v>
      </c>
      <c r="AJ8" s="36">
        <f>VLOOKUP($A8,[16]HISTOSEPT22!$A$6:$CA$36,65,0)</f>
        <v>0</v>
      </c>
    </row>
    <row r="9" spans="1:36" x14ac:dyDescent="0.25">
      <c r="A9" s="1" t="s">
        <v>154</v>
      </c>
      <c r="B9" s="1" t="str">
        <f>VLOOKUP(A9,[15]LISTADHERENT!A$5:H$60,3,0)</f>
        <v>DJOMOU TCHANDA</v>
      </c>
      <c r="C9" s="5"/>
      <c r="D9" s="5"/>
      <c r="E9" s="36">
        <f>VLOOKUP($A9,[16]HISTOSEPT22!$A$6:$BA$39,48,0)</f>
        <v>0</v>
      </c>
      <c r="F9" s="5">
        <f>MVTAOUT22!F9-MVTSEPT22!E9</f>
        <v>570000</v>
      </c>
      <c r="G9" s="6">
        <f t="shared" si="1"/>
        <v>0</v>
      </c>
      <c r="H9" s="6">
        <f>MVTAOUT22!H9+MVTAOUT22!G9+K9</f>
        <v>660994.51319692063</v>
      </c>
      <c r="I9" s="36">
        <f>VLOOKUP($A9,[16]HISTOSEPT22!$A$6:$AQ$37,22,0)</f>
        <v>0</v>
      </c>
      <c r="J9" s="36">
        <f>VLOOKUP($A9,[16]HISTOSEPT22!$A$6:$AU$39,45,0)</f>
        <v>7000</v>
      </c>
      <c r="K9" s="36">
        <f t="shared" si="2"/>
        <v>3000</v>
      </c>
      <c r="L9" s="36">
        <f t="shared" si="3"/>
        <v>500</v>
      </c>
      <c r="M9" s="36">
        <f t="shared" si="4"/>
        <v>1000</v>
      </c>
      <c r="N9" s="36">
        <f t="shared" si="5"/>
        <v>2500</v>
      </c>
      <c r="O9" s="36">
        <f>VLOOKUP($A9,[16]HISTOSEPT22!$A$6:$AU$39,7,0)</f>
        <v>0</v>
      </c>
      <c r="P9" s="36">
        <f>VLOOKUP($A9,[16]HISTOSEPT22!$A$6:$AU$39,23,0)</f>
        <v>0</v>
      </c>
      <c r="Q9" s="36">
        <f>VLOOKUP($A9,[16]HISTOSEPT22!$A$6:$AU$39,46,0)</f>
        <v>0</v>
      </c>
      <c r="R9" s="36">
        <f>VLOOKUP($A9,[16]HISTOSEPT22!$A$6:$AU$39,26,0)</f>
        <v>0</v>
      </c>
      <c r="S9" s="36">
        <f>VLOOKUP($A9,[16]HISTOSEPT22!$A$6:$BG$39,58,0)</f>
        <v>0</v>
      </c>
      <c r="T9" s="36">
        <f>VLOOKUP($A9,[16]HISTOSEPT22!$A$6:$AU$39,28,0)</f>
        <v>0</v>
      </c>
      <c r="U9" s="36">
        <f>VLOOKUP($A9,[16]HISTOSEPT22!$A$6:$AU$39,19,0)</f>
        <v>0</v>
      </c>
      <c r="V9" s="36">
        <f>VLOOKUP($A9,[16]HISTOSEPT22!$A$6:$AU$39,20,0)</f>
        <v>0</v>
      </c>
      <c r="W9" s="36">
        <f>VLOOKUP($A9,[16]HISTOSEPT22!$A$6:$AU$39,27,0)</f>
        <v>0</v>
      </c>
      <c r="X9" s="36">
        <f>VLOOKUP($A9,[16]HISTOSEPT22!$A$6:$AU$39,33,0)</f>
        <v>0</v>
      </c>
      <c r="Y9" s="36">
        <f>VLOOKUP($A9,[16]HISTOSEPT22!$A$6:$BP$39,65,0)</f>
        <v>0</v>
      </c>
      <c r="Z9" s="36"/>
      <c r="AA9" s="36">
        <f>VLOOKUP($A9,[16]HISTOSEPT22!$A$6:$AU$39,43,0)</f>
        <v>0</v>
      </c>
      <c r="AB9" s="36">
        <f>VLOOKUP($A9,[16]HISTOSEPT22!$A$6:$AU$39,44,0)</f>
        <v>0</v>
      </c>
      <c r="AC9" s="36">
        <f>VLOOKUP($A9,[16]HISTOSEPT22!$A$6:$AU$39,47,0)</f>
        <v>0</v>
      </c>
      <c r="AD9" s="36">
        <f>VLOOKUP(A9,[16]HISTOSEPT22!$A$6:$BB$36,54,0)</f>
        <v>113000</v>
      </c>
      <c r="AE9" s="36">
        <f>VLOOKUP($A9,[16]HISTOSEPT22!$A$6:$CA$36,60,0)</f>
        <v>0</v>
      </c>
      <c r="AF9" s="36">
        <f>VLOOKUP($A9,[16]HISTOSEPT22!$A$6:$CA$36,61,0)</f>
        <v>0</v>
      </c>
      <c r="AG9" s="36">
        <f>VLOOKUP($A9,[16]HISTOSEPT22!$A$6:$CA$36,62,0)</f>
        <v>0</v>
      </c>
      <c r="AH9" s="36">
        <f>VLOOKUP($A9,[16]HISTOSEPT22!$A$6:$CA$36,63,0)</f>
        <v>0</v>
      </c>
      <c r="AI9" s="36">
        <f>VLOOKUP($A9,[16]HISTOSEPT22!$A$6:$CA$36,64,0)</f>
        <v>0</v>
      </c>
      <c r="AJ9" s="36">
        <f>VLOOKUP($A9,[16]HISTOSEPT22!$A$6:$CA$36,65,0)</f>
        <v>0</v>
      </c>
    </row>
    <row r="10" spans="1:36" x14ac:dyDescent="0.25">
      <c r="A10" s="1" t="s">
        <v>24</v>
      </c>
      <c r="B10" s="1" t="str">
        <f>VLOOKUP(A10,[15]LISTADHERENT!A$5:H$60,3,0)</f>
        <v>DJOUKWE NANGUEN GUY BLAISE</v>
      </c>
      <c r="C10" s="5"/>
      <c r="D10" s="5"/>
      <c r="E10" s="36">
        <f>VLOOKUP($A10,[16]HISTOSEPT22!$A$6:$BA$39,48,0)</f>
        <v>0</v>
      </c>
      <c r="F10" s="5">
        <f>MVTAOUT22!F10-MVTSEPT22!E10</f>
        <v>570000</v>
      </c>
      <c r="G10" s="6">
        <f t="shared" si="1"/>
        <v>0</v>
      </c>
      <c r="H10" s="6">
        <f>MVTAOUT22!H10+MVTAOUT22!G10+K10</f>
        <v>787522.30047141563</v>
      </c>
      <c r="I10" s="36">
        <f>VLOOKUP($A10,[16]HISTOSEPT22!$A$6:$AQ$37,22,0)</f>
        <v>0</v>
      </c>
      <c r="J10" s="36">
        <f>VLOOKUP($A10,[16]HISTOSEPT22!$A$6:$AU$39,45,0)</f>
        <v>7000</v>
      </c>
      <c r="K10" s="36">
        <f t="shared" si="2"/>
        <v>3000</v>
      </c>
      <c r="L10" s="36">
        <f t="shared" si="3"/>
        <v>500</v>
      </c>
      <c r="M10" s="36">
        <f t="shared" si="4"/>
        <v>1000</v>
      </c>
      <c r="N10" s="36">
        <f t="shared" si="5"/>
        <v>2500</v>
      </c>
      <c r="O10" s="36">
        <f>VLOOKUP($A10,[16]HISTOSEPT22!$A$6:$AU$39,7,0)</f>
        <v>0</v>
      </c>
      <c r="P10" s="36">
        <f>VLOOKUP($A10,[16]HISTOSEPT22!$A$6:$AU$39,23,0)</f>
        <v>0</v>
      </c>
      <c r="Q10" s="36">
        <f>VLOOKUP($A10,[16]HISTOSEPT22!$A$6:$AU$39,46,0)</f>
        <v>0</v>
      </c>
      <c r="R10" s="36">
        <f>VLOOKUP($A10,[16]HISTOSEPT22!$A$6:$AU$39,26,0)</f>
        <v>0</v>
      </c>
      <c r="S10" s="36">
        <f>VLOOKUP($A10,[16]HISTOSEPT22!$A$6:$BG$39,58,0)</f>
        <v>0</v>
      </c>
      <c r="T10" s="36">
        <f>VLOOKUP($A10,[16]HISTOSEPT22!$A$6:$AU$39,28,0)</f>
        <v>0</v>
      </c>
      <c r="U10" s="36">
        <f>VLOOKUP($A10,[16]HISTOSEPT22!$A$6:$AU$39,19,0)</f>
        <v>0</v>
      </c>
      <c r="V10" s="36">
        <f>VLOOKUP($A10,[16]HISTOSEPT22!$A$6:$AU$39,20,0)</f>
        <v>0</v>
      </c>
      <c r="W10" s="36">
        <f>VLOOKUP($A10,[16]HISTOSEPT22!$A$6:$AU$39,27,0)</f>
        <v>0</v>
      </c>
      <c r="X10" s="36">
        <f>VLOOKUP($A10,[16]HISTOSEPT22!$A$6:$AU$39,33,0)</f>
        <v>0</v>
      </c>
      <c r="Y10" s="36">
        <f>VLOOKUP($A10,[16]HISTOSEPT22!$A$6:$BP$39,65,0)</f>
        <v>0</v>
      </c>
      <c r="Z10" s="36"/>
      <c r="AA10" s="36">
        <f>VLOOKUP($A10,[16]HISTOSEPT22!$A$6:$AU$39,43,0)</f>
        <v>0</v>
      </c>
      <c r="AB10" s="36">
        <f>VLOOKUP($A10,[16]HISTOSEPT22!$A$6:$AU$39,44,0)</f>
        <v>0</v>
      </c>
      <c r="AC10" s="36">
        <f>VLOOKUP($A10,[16]HISTOSEPT22!$A$6:$AU$39,47,0)</f>
        <v>0</v>
      </c>
      <c r="AD10" s="36">
        <f>VLOOKUP(A10,[16]HISTOSEPT22!$A$6:$BB$36,54,0)</f>
        <v>70000</v>
      </c>
      <c r="AE10" s="36">
        <f>VLOOKUP($A10,[16]HISTOSEPT22!$A$6:$CA$36,60,0)</f>
        <v>0</v>
      </c>
      <c r="AF10" s="36">
        <f>VLOOKUP($A10,[16]HISTOSEPT22!$A$6:$CA$36,61,0)</f>
        <v>0</v>
      </c>
      <c r="AG10" s="36">
        <f>VLOOKUP($A10,[16]HISTOSEPT22!$A$6:$CA$36,62,0)</f>
        <v>0</v>
      </c>
      <c r="AH10" s="36">
        <f>VLOOKUP($A10,[16]HISTOSEPT22!$A$6:$CA$36,63,0)</f>
        <v>0</v>
      </c>
      <c r="AI10" s="36">
        <f>VLOOKUP($A10,[16]HISTOSEPT22!$A$6:$CA$36,64,0)</f>
        <v>0</v>
      </c>
      <c r="AJ10" s="36">
        <f>VLOOKUP($A10,[16]HISTOSEPT22!$A$6:$CA$36,65,0)</f>
        <v>0</v>
      </c>
    </row>
    <row r="11" spans="1:36" x14ac:dyDescent="0.25">
      <c r="A11" s="1" t="s">
        <v>25</v>
      </c>
      <c r="B11" s="1" t="str">
        <f>VLOOKUP(A11,[15]LISTADHERENT!A$5:H$60,3,0)</f>
        <v>DJUOMBESSY ANTOINE</v>
      </c>
      <c r="C11" s="5"/>
      <c r="D11" s="5"/>
      <c r="E11" s="36">
        <f>VLOOKUP($A11,[16]HISTOSEPT22!$A$6:$BA$39,48,0)</f>
        <v>0</v>
      </c>
      <c r="F11" s="5">
        <f>MVTAOUT22!F11-MVTSEPT22!E11</f>
        <v>570000</v>
      </c>
      <c r="G11" s="6">
        <f t="shared" si="1"/>
        <v>0</v>
      </c>
      <c r="H11" s="6">
        <f>MVTAOUT22!H11+MVTAOUT22!G11+K11</f>
        <v>682036.02994737832</v>
      </c>
      <c r="I11" s="36">
        <f>VLOOKUP($A11,[16]HISTOSEPT22!$A$6:$AQ$37,22,0)</f>
        <v>0</v>
      </c>
      <c r="J11" s="36">
        <f>VLOOKUP($A11,[16]HISTOSEPT22!$A$6:$AU$39,45,0)</f>
        <v>7000</v>
      </c>
      <c r="K11" s="36">
        <f t="shared" si="2"/>
        <v>3000</v>
      </c>
      <c r="L11" s="36">
        <f t="shared" si="3"/>
        <v>500</v>
      </c>
      <c r="M11" s="36">
        <f t="shared" si="4"/>
        <v>1000</v>
      </c>
      <c r="N11" s="36">
        <f t="shared" si="5"/>
        <v>2500</v>
      </c>
      <c r="O11" s="36">
        <f>VLOOKUP($A11,[16]HISTOSEPT22!$A$6:$AU$39,7,0)</f>
        <v>0</v>
      </c>
      <c r="P11" s="36">
        <f>VLOOKUP($A11,[16]HISTOSEPT22!$A$6:$AU$39,23,0)</f>
        <v>0</v>
      </c>
      <c r="Q11" s="36">
        <f>VLOOKUP($A11,[16]HISTOSEPT22!$A$6:$AU$39,46,0)</f>
        <v>0</v>
      </c>
      <c r="R11" s="36">
        <f>VLOOKUP($A11,[16]HISTOSEPT22!$A$6:$AU$39,26,0)</f>
        <v>0</v>
      </c>
      <c r="S11" s="36">
        <f>VLOOKUP($A11,[16]HISTOSEPT22!$A$6:$BG$39,58,0)</f>
        <v>0</v>
      </c>
      <c r="T11" s="36">
        <f>VLOOKUP($A11,[16]HISTOSEPT22!$A$6:$AU$39,28,0)</f>
        <v>0</v>
      </c>
      <c r="U11" s="36">
        <f>VLOOKUP($A11,[16]HISTOSEPT22!$A$6:$AU$39,19,0)</f>
        <v>0</v>
      </c>
      <c r="V11" s="36">
        <f>VLOOKUP($A11,[16]HISTOSEPT22!$A$6:$AU$39,20,0)</f>
        <v>0</v>
      </c>
      <c r="W11" s="36">
        <f>VLOOKUP($A11,[16]HISTOSEPT22!$A$6:$AU$39,27,0)</f>
        <v>0</v>
      </c>
      <c r="X11" s="36">
        <f>VLOOKUP($A11,[16]HISTOSEPT22!$A$6:$AU$39,33,0)</f>
        <v>0</v>
      </c>
      <c r="Y11" s="36">
        <f>VLOOKUP($A11,[16]HISTOSEPT22!$A$6:$BP$39,65,0)</f>
        <v>0</v>
      </c>
      <c r="Z11" s="36"/>
      <c r="AA11" s="36">
        <f>VLOOKUP($A11,[16]HISTOSEPT22!$A$6:$AU$39,43,0)</f>
        <v>0</v>
      </c>
      <c r="AB11" s="36">
        <f>VLOOKUP($A11,[16]HISTOSEPT22!$A$6:$AU$39,44,0)</f>
        <v>0</v>
      </c>
      <c r="AC11" s="36">
        <f>VLOOKUP($A11,[16]HISTOSEPT22!$A$6:$AU$39,47,0)</f>
        <v>0</v>
      </c>
      <c r="AD11" s="36">
        <f>VLOOKUP(A11,[16]HISTOSEPT22!$A$6:$BB$36,54,0)</f>
        <v>0</v>
      </c>
      <c r="AE11" s="36">
        <f>VLOOKUP($A11,[16]HISTOSEPT22!$A$6:$CA$36,60,0)</f>
        <v>0</v>
      </c>
      <c r="AF11" s="36">
        <f>VLOOKUP($A11,[16]HISTOSEPT22!$A$6:$CA$36,61,0)</f>
        <v>0</v>
      </c>
      <c r="AG11" s="36">
        <f>VLOOKUP($A11,[16]HISTOSEPT22!$A$6:$CA$36,62,0)</f>
        <v>0</v>
      </c>
      <c r="AH11" s="36">
        <f>VLOOKUP($A11,[16]HISTOSEPT22!$A$6:$CA$36,63,0)</f>
        <v>0</v>
      </c>
      <c r="AI11" s="36">
        <f>VLOOKUP($A11,[16]HISTOSEPT22!$A$6:$CA$36,64,0)</f>
        <v>0</v>
      </c>
      <c r="AJ11" s="36">
        <f>VLOOKUP($A11,[16]HISTOSEPT22!$A$6:$CA$36,65,0)</f>
        <v>0</v>
      </c>
    </row>
    <row r="12" spans="1:36" x14ac:dyDescent="0.25">
      <c r="A12" s="1" t="s">
        <v>79</v>
      </c>
      <c r="B12" s="1" t="str">
        <f>VLOOKUP(A12,[15]LISTADHERENT!A$5:H$60,3,0)</f>
        <v>DOMOU FABIEN</v>
      </c>
      <c r="C12" s="5"/>
      <c r="D12" s="5"/>
      <c r="E12" s="36">
        <f>VLOOKUP($A12,[16]HISTOSEPT22!$A$6:$BA$39,48,0)</f>
        <v>0</v>
      </c>
      <c r="F12" s="5">
        <f>MVTAOUT22!F12-MVTSEPT22!E12</f>
        <v>570000</v>
      </c>
      <c r="G12" s="6">
        <f t="shared" si="1"/>
        <v>0</v>
      </c>
      <c r="H12" s="6">
        <f>MVTAOUT22!H12+MVTAOUT22!G12+K12</f>
        <v>713134.80445871851</v>
      </c>
      <c r="I12" s="36">
        <f>VLOOKUP($A12,[16]HISTOSEPT22!$A$6:$AQ$37,22,0)</f>
        <v>0</v>
      </c>
      <c r="J12" s="36">
        <f>VLOOKUP($A12,[16]HISTOSEPT22!$A$6:$AU$39,45,0)</f>
        <v>12000</v>
      </c>
      <c r="K12" s="36">
        <f t="shared" si="2"/>
        <v>8000</v>
      </c>
      <c r="L12" s="36">
        <f t="shared" si="3"/>
        <v>500</v>
      </c>
      <c r="M12" s="36">
        <f t="shared" si="4"/>
        <v>1000</v>
      </c>
      <c r="N12" s="36">
        <f t="shared" si="5"/>
        <v>2500</v>
      </c>
      <c r="O12" s="36">
        <f>VLOOKUP($A12,[16]HISTOSEPT22!$A$6:$AU$39,7,0)</f>
        <v>0</v>
      </c>
      <c r="P12" s="36">
        <f>VLOOKUP($A12,[16]HISTOSEPT22!$A$6:$AU$39,23,0)</f>
        <v>0</v>
      </c>
      <c r="Q12" s="36">
        <f>VLOOKUP($A12,[16]HISTOSEPT22!$A$6:$AU$39,46,0)</f>
        <v>0</v>
      </c>
      <c r="R12" s="36">
        <f>VLOOKUP($A12,[16]HISTOSEPT22!$A$6:$AU$39,26,0)</f>
        <v>0</v>
      </c>
      <c r="S12" s="36">
        <f>VLOOKUP($A12,[16]HISTOSEPT22!$A$6:$BG$39,58,0)</f>
        <v>0</v>
      </c>
      <c r="T12" s="36">
        <f>VLOOKUP($A12,[16]HISTOSEPT22!$A$6:$AU$39,28,0)</f>
        <v>0</v>
      </c>
      <c r="U12" s="36">
        <f>VLOOKUP($A12,[16]HISTOSEPT22!$A$6:$AU$39,19,0)</f>
        <v>0</v>
      </c>
      <c r="V12" s="36">
        <f>VLOOKUP($A12,[16]HISTOSEPT22!$A$6:$AU$39,20,0)</f>
        <v>0</v>
      </c>
      <c r="W12" s="36">
        <f>VLOOKUP($A12,[16]HISTOSEPT22!$A$6:$AU$39,27,0)</f>
        <v>0</v>
      </c>
      <c r="X12" s="36">
        <f>VLOOKUP($A12,[16]HISTOSEPT22!$A$6:$AU$39,33,0)</f>
        <v>0</v>
      </c>
      <c r="Y12" s="36">
        <f>VLOOKUP($A12,[16]HISTOSEPT22!$A$6:$BP$39,65,0)</f>
        <v>0</v>
      </c>
      <c r="Z12" s="36"/>
      <c r="AA12" s="36">
        <f>VLOOKUP($A12,[16]HISTOSEPT22!$A$6:$AU$39,43,0)</f>
        <v>0</v>
      </c>
      <c r="AB12" s="36">
        <f>VLOOKUP($A12,[16]HISTOSEPT22!$A$6:$AU$39,44,0)</f>
        <v>0</v>
      </c>
      <c r="AC12" s="36">
        <f>VLOOKUP($A12,[16]HISTOSEPT22!$A$6:$AU$39,47,0)</f>
        <v>0</v>
      </c>
      <c r="AD12" s="36">
        <f>VLOOKUP(A12,[16]HISTOSEPT22!$A$6:$BB$36,54,0)</f>
        <v>0</v>
      </c>
      <c r="AE12" s="36">
        <f>VLOOKUP($A12,[16]HISTOSEPT22!$A$6:$CA$36,60,0)</f>
        <v>0</v>
      </c>
      <c r="AF12" s="36">
        <f>VLOOKUP($A12,[16]HISTOSEPT22!$A$6:$CA$36,61,0)</f>
        <v>0</v>
      </c>
      <c r="AG12" s="36">
        <f>VLOOKUP($A12,[16]HISTOSEPT22!$A$6:$CA$36,62,0)</f>
        <v>0</v>
      </c>
      <c r="AH12" s="36">
        <f>VLOOKUP($A12,[16]HISTOSEPT22!$A$6:$CA$36,63,0)</f>
        <v>0</v>
      </c>
      <c r="AI12" s="36">
        <f>VLOOKUP($A12,[16]HISTOSEPT22!$A$6:$CA$36,64,0)</f>
        <v>0</v>
      </c>
      <c r="AJ12" s="36">
        <f>VLOOKUP($A12,[16]HISTOSEPT22!$A$6:$CA$36,65,0)</f>
        <v>0</v>
      </c>
    </row>
    <row r="13" spans="1:36" x14ac:dyDescent="0.25">
      <c r="A13" s="1" t="s">
        <v>26</v>
      </c>
      <c r="B13" s="1" t="str">
        <f>VLOOKUP(A13,[15]LISTADHERENT!A$5:H$60,3,0)</f>
        <v>DONHOU DAVID</v>
      </c>
      <c r="C13" s="5"/>
      <c r="D13" s="5"/>
      <c r="E13" s="36">
        <f>VLOOKUP($A13,[16]HISTOSEPT22!$A$6:$BA$39,48,0)</f>
        <v>0</v>
      </c>
      <c r="F13" s="5">
        <f>MVTAOUT22!F13-MVTSEPT22!E13</f>
        <v>570000</v>
      </c>
      <c r="G13" s="6">
        <f t="shared" si="1"/>
        <v>0</v>
      </c>
      <c r="H13" s="6">
        <f>MVTAOUT22!H13+MVTAOUT22!G13+K13</f>
        <v>981114.01650523359</v>
      </c>
      <c r="I13" s="36">
        <f>VLOOKUP($A13,[16]HISTOSEPT22!$A$6:$AQ$37,22,0)</f>
        <v>0</v>
      </c>
      <c r="J13" s="36">
        <f>VLOOKUP($A13,[16]HISTOSEPT22!$A$6:$AU$39,45,0)</f>
        <v>12000</v>
      </c>
      <c r="K13" s="36">
        <f t="shared" si="2"/>
        <v>8000</v>
      </c>
      <c r="L13" s="36">
        <f t="shared" si="3"/>
        <v>500</v>
      </c>
      <c r="M13" s="36">
        <f t="shared" si="4"/>
        <v>1000</v>
      </c>
      <c r="N13" s="36">
        <f t="shared" si="5"/>
        <v>2500</v>
      </c>
      <c r="O13" s="36">
        <f>VLOOKUP($A13,[16]HISTOSEPT22!$A$6:$AU$39,7,0)</f>
        <v>0</v>
      </c>
      <c r="P13" s="36">
        <f>VLOOKUP($A13,[16]HISTOSEPT22!$A$6:$AU$39,23,0)</f>
        <v>0</v>
      </c>
      <c r="Q13" s="36">
        <f>VLOOKUP($A13,[16]HISTOSEPT22!$A$6:$AU$39,46,0)</f>
        <v>0</v>
      </c>
      <c r="R13" s="36">
        <f>VLOOKUP($A13,[16]HISTOSEPT22!$A$6:$AU$39,26,0)</f>
        <v>0</v>
      </c>
      <c r="S13" s="36">
        <f>VLOOKUP($A13,[16]HISTOSEPT22!$A$6:$BG$39,58,0)</f>
        <v>0</v>
      </c>
      <c r="T13" s="36">
        <f>VLOOKUP($A13,[16]HISTOSEPT22!$A$6:$AU$39,28,0)</f>
        <v>0</v>
      </c>
      <c r="U13" s="36">
        <f>VLOOKUP($A13,[16]HISTOSEPT22!$A$6:$AU$39,19,0)</f>
        <v>0</v>
      </c>
      <c r="V13" s="36">
        <f>VLOOKUP($A13,[16]HISTOSEPT22!$A$6:$AU$39,20,0)</f>
        <v>0</v>
      </c>
      <c r="W13" s="36">
        <f>VLOOKUP($A13,[16]HISTOSEPT22!$A$6:$AU$39,27,0)</f>
        <v>0</v>
      </c>
      <c r="X13" s="36">
        <f>VLOOKUP($A13,[16]HISTOSEPT22!$A$6:$AU$39,33,0)</f>
        <v>0</v>
      </c>
      <c r="Y13" s="36">
        <f>VLOOKUP($A13,[16]HISTOSEPT22!$A$6:$BP$39,65,0)</f>
        <v>0</v>
      </c>
      <c r="Z13" s="36"/>
      <c r="AA13" s="36">
        <f>VLOOKUP($A13,[16]HISTOSEPT22!$A$6:$AU$39,43,0)</f>
        <v>0</v>
      </c>
      <c r="AB13" s="36">
        <f>VLOOKUP($A13,[16]HISTOSEPT22!$A$6:$AU$39,44,0)</f>
        <v>0</v>
      </c>
      <c r="AC13" s="36">
        <f>VLOOKUP($A13,[16]HISTOSEPT22!$A$6:$AU$39,47,0)</f>
        <v>0</v>
      </c>
      <c r="AD13" s="36">
        <f>VLOOKUP(A13,[16]HISTOSEPT22!$A$6:$BB$36,54,0)</f>
        <v>0</v>
      </c>
      <c r="AE13" s="36">
        <f>VLOOKUP($A13,[16]HISTOSEPT22!$A$6:$CA$36,60,0)</f>
        <v>0</v>
      </c>
      <c r="AF13" s="36">
        <f>VLOOKUP($A13,[16]HISTOSEPT22!$A$6:$CA$36,61,0)</f>
        <v>0</v>
      </c>
      <c r="AG13" s="36">
        <f>VLOOKUP($A13,[16]HISTOSEPT22!$A$6:$CA$36,62,0)</f>
        <v>0</v>
      </c>
      <c r="AH13" s="36">
        <f>VLOOKUP($A13,[16]HISTOSEPT22!$A$6:$CA$36,63,0)</f>
        <v>0</v>
      </c>
      <c r="AI13" s="36">
        <f>VLOOKUP($A13,[16]HISTOSEPT22!$A$6:$CA$36,64,0)</f>
        <v>0</v>
      </c>
      <c r="AJ13" s="36">
        <f>VLOOKUP($A13,[16]HISTOSEPT22!$A$6:$CA$36,65,0)</f>
        <v>0</v>
      </c>
    </row>
    <row r="14" spans="1:36" x14ac:dyDescent="0.25">
      <c r="A14" s="1" t="s">
        <v>27</v>
      </c>
      <c r="B14" s="1" t="str">
        <f>VLOOKUP(A14,[15]LISTADHERENT!A$5:H$60,3,0)</f>
        <v>FOTSO THOMAS</v>
      </c>
      <c r="C14" s="5"/>
      <c r="D14" s="5"/>
      <c r="E14" s="36">
        <f>VLOOKUP($A14,[16]HISTOSEPT22!$A$6:$BA$39,48,0)</f>
        <v>0</v>
      </c>
      <c r="F14" s="5">
        <f>MVTAOUT22!F14-MVTSEPT22!E14</f>
        <v>540000</v>
      </c>
      <c r="G14" s="6">
        <f t="shared" si="1"/>
        <v>0</v>
      </c>
      <c r="H14" s="6">
        <f>MVTAOUT22!H14+MVTAOUT22!G14+K14</f>
        <v>0</v>
      </c>
      <c r="I14" s="36">
        <f>VLOOKUP($A14,[16]HISTOSEPT22!$A$6:$AQ$37,22,0)</f>
        <v>0</v>
      </c>
      <c r="J14" s="36">
        <f>VLOOKUP($A14,[16]HISTOSEPT22!$A$6:$AU$39,45,0)</f>
        <v>0</v>
      </c>
      <c r="K14" s="36">
        <f t="shared" si="2"/>
        <v>0</v>
      </c>
      <c r="L14" s="36">
        <f t="shared" si="3"/>
        <v>0</v>
      </c>
      <c r="M14" s="36">
        <f t="shared" si="4"/>
        <v>0</v>
      </c>
      <c r="N14" s="36">
        <f t="shared" si="5"/>
        <v>0</v>
      </c>
      <c r="O14" s="36">
        <f>VLOOKUP($A14,[16]HISTOSEPT22!$A$6:$AU$39,7,0)</f>
        <v>0</v>
      </c>
      <c r="P14" s="36">
        <f>VLOOKUP($A14,[16]HISTOSEPT22!$A$6:$AU$39,23,0)</f>
        <v>0</v>
      </c>
      <c r="Q14" s="36">
        <f>VLOOKUP($A14,[16]HISTOSEPT22!$A$6:$AU$39,46,0)</f>
        <v>0</v>
      </c>
      <c r="R14" s="36">
        <f>VLOOKUP($A14,[16]HISTOSEPT22!$A$6:$AU$39,26,0)</f>
        <v>0</v>
      </c>
      <c r="S14" s="36">
        <f>VLOOKUP($A14,[16]HISTOSEPT22!$A$6:$BG$39,58,0)</f>
        <v>0</v>
      </c>
      <c r="T14" s="36">
        <f>VLOOKUP($A14,[16]HISTOSEPT22!$A$6:$AU$39,28,0)</f>
        <v>0</v>
      </c>
      <c r="U14" s="36">
        <f>VLOOKUP($A14,[16]HISTOSEPT22!$A$6:$AU$39,19,0)</f>
        <v>0</v>
      </c>
      <c r="V14" s="36">
        <f>VLOOKUP($A14,[16]HISTOSEPT22!$A$6:$AU$39,20,0)</f>
        <v>0</v>
      </c>
      <c r="W14" s="36">
        <f>VLOOKUP($A14,[16]HISTOSEPT22!$A$6:$AU$39,27,0)</f>
        <v>0</v>
      </c>
      <c r="X14" s="36">
        <f>VLOOKUP($A14,[16]HISTOSEPT22!$A$6:$AU$39,33,0)</f>
        <v>0</v>
      </c>
      <c r="Y14" s="36">
        <f>VLOOKUP($A14,[16]HISTOSEPT22!$A$6:$BP$39,65,0)</f>
        <v>0</v>
      </c>
      <c r="Z14" s="36"/>
      <c r="AA14" s="36">
        <f>VLOOKUP($A14,[16]HISTOSEPT22!$A$6:$AU$39,43,0)</f>
        <v>0</v>
      </c>
      <c r="AB14" s="36">
        <f>VLOOKUP($A14,[16]HISTOSEPT22!$A$6:$AU$39,44,0)</f>
        <v>0</v>
      </c>
      <c r="AC14" s="36">
        <f>VLOOKUP($A14,[16]HISTOSEPT22!$A$6:$AU$39,47,0)</f>
        <v>0</v>
      </c>
      <c r="AD14" s="36">
        <f>VLOOKUP(A14,[16]HISTOSEPT22!$A$6:$BB$36,54,0)</f>
        <v>0</v>
      </c>
      <c r="AE14" s="36">
        <f>VLOOKUP($A14,[16]HISTOSEPT22!$A$6:$CA$36,60,0)</f>
        <v>0</v>
      </c>
      <c r="AF14" s="36">
        <f>VLOOKUP($A14,[16]HISTOSEPT22!$A$6:$CA$36,61,0)</f>
        <v>0</v>
      </c>
      <c r="AG14" s="36">
        <f>VLOOKUP($A14,[16]HISTOSEPT22!$A$6:$CA$36,62,0)</f>
        <v>0</v>
      </c>
      <c r="AH14" s="36">
        <f>VLOOKUP($A14,[16]HISTOSEPT22!$A$6:$CA$36,63,0)</f>
        <v>0</v>
      </c>
      <c r="AI14" s="36">
        <f>VLOOKUP($A14,[16]HISTOSEPT22!$A$6:$CA$36,64,0)</f>
        <v>0</v>
      </c>
      <c r="AJ14" s="36">
        <f>VLOOKUP($A14,[16]HISTOSEPT22!$A$6:$CA$36,65,0)</f>
        <v>0</v>
      </c>
    </row>
    <row r="15" spans="1:36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VLOOKUP($A15,[16]HISTOSEPT22!$A$6:$BA$39,48,0)</f>
        <v>0</v>
      </c>
      <c r="F15" s="5">
        <f>MVTAOUT22!F15-MVTSEPT22!E15</f>
        <v>570000</v>
      </c>
      <c r="G15" s="6">
        <f t="shared" si="1"/>
        <v>0</v>
      </c>
      <c r="H15" s="6">
        <f>MVTAOUT22!H15+MVTAOUT22!G15+K15</f>
        <v>663402.85606563604</v>
      </c>
      <c r="I15" s="36">
        <f>VLOOKUP($A15,[16]HISTOSEPT22!$A$6:$AQ$37,22,0)</f>
        <v>0</v>
      </c>
      <c r="J15" s="36">
        <f>VLOOKUP($A15,[16]HISTOSEPT22!$A$6:$AU$39,45,0)</f>
        <v>7000</v>
      </c>
      <c r="K15" s="36">
        <f t="shared" si="2"/>
        <v>3000</v>
      </c>
      <c r="L15" s="36">
        <f t="shared" si="3"/>
        <v>500</v>
      </c>
      <c r="M15" s="36">
        <f t="shared" si="4"/>
        <v>1000</v>
      </c>
      <c r="N15" s="36">
        <f t="shared" si="5"/>
        <v>2500</v>
      </c>
      <c r="O15" s="36">
        <f>VLOOKUP($A15,[16]HISTOSEPT22!$A$6:$AU$39,7,0)</f>
        <v>0</v>
      </c>
      <c r="P15" s="36">
        <f>VLOOKUP($A15,[16]HISTOSEPT22!$A$6:$AU$39,23,0)</f>
        <v>0</v>
      </c>
      <c r="Q15" s="36">
        <f>VLOOKUP($A15,[16]HISTOSEPT22!$A$6:$AU$39,46,0)</f>
        <v>0</v>
      </c>
      <c r="R15" s="36">
        <f>VLOOKUP($A15,[16]HISTOSEPT22!$A$6:$AU$39,26,0)</f>
        <v>0</v>
      </c>
      <c r="S15" s="36">
        <f>VLOOKUP($A15,[16]HISTOSEPT22!$A$6:$BG$39,58,0)</f>
        <v>0</v>
      </c>
      <c r="T15" s="36">
        <f>VLOOKUP($A15,[16]HISTOSEPT22!$A$6:$AU$39,28,0)</f>
        <v>0</v>
      </c>
      <c r="U15" s="36">
        <f>VLOOKUP($A15,[16]HISTOSEPT22!$A$6:$AU$39,19,0)</f>
        <v>0</v>
      </c>
      <c r="V15" s="36">
        <f>VLOOKUP($A15,[16]HISTOSEPT22!$A$6:$AU$39,20,0)</f>
        <v>0</v>
      </c>
      <c r="W15" s="36">
        <f>VLOOKUP($A15,[16]HISTOSEPT22!$A$6:$AU$39,27,0)</f>
        <v>0</v>
      </c>
      <c r="X15" s="36">
        <f>VLOOKUP($A15,[16]HISTOSEPT22!$A$6:$AU$39,33,0)</f>
        <v>0</v>
      </c>
      <c r="Y15" s="36">
        <f>VLOOKUP($A15,[16]HISTOSEPT22!$A$6:$BP$39,65,0)</f>
        <v>0</v>
      </c>
      <c r="Z15" s="36"/>
      <c r="AA15" s="36">
        <f>VLOOKUP($A15,[16]HISTOSEPT22!$A$6:$AU$39,43,0)</f>
        <v>0</v>
      </c>
      <c r="AB15" s="36">
        <f>VLOOKUP($A15,[16]HISTOSEPT22!$A$6:$AU$39,44,0)</f>
        <v>0</v>
      </c>
      <c r="AC15" s="36">
        <f>VLOOKUP($A15,[16]HISTOSEPT22!$A$6:$AU$39,47,0)</f>
        <v>0</v>
      </c>
      <c r="AD15" s="36">
        <f>VLOOKUP(A15,[16]HISTOSEPT22!$A$6:$BB$36,54,0)</f>
        <v>0</v>
      </c>
      <c r="AE15" s="36">
        <f>VLOOKUP($A15,[16]HISTOSEPT22!$A$6:$CA$36,60,0)</f>
        <v>0</v>
      </c>
      <c r="AF15" s="36">
        <f>VLOOKUP($A15,[16]HISTOSEPT22!$A$6:$CA$36,61,0)</f>
        <v>0</v>
      </c>
      <c r="AG15" s="36">
        <f>VLOOKUP($A15,[16]HISTOSEPT22!$A$6:$CA$36,62,0)</f>
        <v>0</v>
      </c>
      <c r="AH15" s="36">
        <f>VLOOKUP($A15,[16]HISTOSEPT22!$A$6:$CA$36,63,0)</f>
        <v>0</v>
      </c>
      <c r="AI15" s="36">
        <f>VLOOKUP($A15,[16]HISTOSEPT22!$A$6:$CA$36,64,0)</f>
        <v>0</v>
      </c>
      <c r="AJ15" s="36">
        <f>VLOOKUP($A15,[16]HISTOSEPT22!$A$6:$CA$36,65,0)</f>
        <v>0</v>
      </c>
    </row>
    <row r="16" spans="1:36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VLOOKUP($A16,[16]HISTOSEPT22!$A$6:$BA$39,48,0)</f>
        <v>0</v>
      </c>
      <c r="F16" s="5">
        <f>MVTAOUT22!F16-MVTSEPT22!E16</f>
        <v>570000</v>
      </c>
      <c r="G16" s="6">
        <f t="shared" si="1"/>
        <v>0</v>
      </c>
      <c r="H16" s="6">
        <f>MVTAOUT22!H16+MVTAOUT22!G16+K16</f>
        <v>1095832.1031424678</v>
      </c>
      <c r="I16" s="36">
        <f>VLOOKUP($A16,[16]HISTOSEPT22!$A$6:$AQ$37,22,0)</f>
        <v>0</v>
      </c>
      <c r="J16" s="36">
        <f>VLOOKUP($A16,[16]HISTOSEPT22!$A$6:$AU$39,45,0)</f>
        <v>52000</v>
      </c>
      <c r="K16" s="36">
        <f t="shared" si="2"/>
        <v>48000</v>
      </c>
      <c r="L16" s="36">
        <f t="shared" si="3"/>
        <v>500</v>
      </c>
      <c r="M16" s="36">
        <f t="shared" si="4"/>
        <v>1000</v>
      </c>
      <c r="N16" s="36">
        <f t="shared" si="5"/>
        <v>2500</v>
      </c>
      <c r="O16" s="36">
        <f>VLOOKUP($A16,[16]HISTOSEPT22!$A$6:$AU$39,7,0)</f>
        <v>0</v>
      </c>
      <c r="P16" s="36">
        <f>VLOOKUP($A16,[16]HISTOSEPT22!$A$6:$AU$39,23,0)</f>
        <v>0</v>
      </c>
      <c r="Q16" s="36">
        <f>VLOOKUP($A16,[16]HISTOSEPT22!$A$6:$AU$39,46,0)</f>
        <v>0</v>
      </c>
      <c r="R16" s="36">
        <f>VLOOKUP($A16,[16]HISTOSEPT22!$A$6:$AU$39,26,0)</f>
        <v>0</v>
      </c>
      <c r="S16" s="36">
        <f>VLOOKUP($A16,[16]HISTOSEPT22!$A$6:$BG$39,58,0)</f>
        <v>0</v>
      </c>
      <c r="T16" s="36">
        <f>VLOOKUP($A16,[16]HISTOSEPT22!$A$6:$AU$39,28,0)</f>
        <v>0</v>
      </c>
      <c r="U16" s="36">
        <f>VLOOKUP($A16,[16]HISTOSEPT22!$A$6:$AU$39,19,0)</f>
        <v>0</v>
      </c>
      <c r="V16" s="36">
        <f>VLOOKUP($A16,[16]HISTOSEPT22!$A$6:$AU$39,20,0)</f>
        <v>0</v>
      </c>
      <c r="W16" s="36">
        <f>VLOOKUP($A16,[16]HISTOSEPT22!$A$6:$AU$39,27,0)</f>
        <v>0</v>
      </c>
      <c r="X16" s="36">
        <f>VLOOKUP($A16,[16]HISTOSEPT22!$A$6:$AU$39,33,0)</f>
        <v>0</v>
      </c>
      <c r="Y16" s="36">
        <f>VLOOKUP($A16,[16]HISTOSEPT22!$A$6:$BP$39,65,0)</f>
        <v>0</v>
      </c>
      <c r="Z16" s="36"/>
      <c r="AA16" s="36">
        <f>VLOOKUP($A16,[16]HISTOSEPT22!$A$6:$AU$39,43,0)</f>
        <v>0</v>
      </c>
      <c r="AB16" s="36">
        <f>VLOOKUP($A16,[16]HISTOSEPT22!$A$6:$AU$39,44,0)</f>
        <v>0</v>
      </c>
      <c r="AC16" s="36">
        <f>VLOOKUP($A16,[16]HISTOSEPT22!$A$6:$AU$39,47,0)</f>
        <v>0</v>
      </c>
      <c r="AD16" s="36">
        <f>VLOOKUP(A16,[16]HISTOSEPT22!$A$6:$BB$36,54,0)</f>
        <v>0</v>
      </c>
      <c r="AE16" s="36">
        <f>VLOOKUP($A16,[16]HISTOSEPT22!$A$6:$CA$36,60,0)</f>
        <v>0</v>
      </c>
      <c r="AF16" s="36">
        <f>VLOOKUP($A16,[16]HISTOSEPT22!$A$6:$CA$36,61,0)</f>
        <v>0</v>
      </c>
      <c r="AG16" s="36">
        <f>VLOOKUP($A16,[16]HISTOSEPT22!$A$6:$CA$36,62,0)</f>
        <v>0</v>
      </c>
      <c r="AH16" s="36">
        <f>VLOOKUP($A16,[16]HISTOSEPT22!$A$6:$CA$36,63,0)</f>
        <v>0</v>
      </c>
      <c r="AI16" s="36">
        <f>VLOOKUP($A16,[16]HISTOSEPT22!$A$6:$CA$36,64,0)</f>
        <v>0</v>
      </c>
      <c r="AJ16" s="36">
        <f>VLOOKUP($A16,[16]HISTOSEPT22!$A$6:$CA$36,65,0)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VLOOKUP($A17,[16]HISTOSEPT22!$A$6:$BA$39,48,0)</f>
        <v>0</v>
      </c>
      <c r="F17" s="5">
        <f>MVTAOUT22!F17-MVTSEPT22!E17</f>
        <v>570000</v>
      </c>
      <c r="G17" s="6">
        <f t="shared" si="1"/>
        <v>0</v>
      </c>
      <c r="H17" s="6">
        <f>MVTAOUT22!H17+MVTAOUT22!G17+K17</f>
        <v>665587.12764239614</v>
      </c>
      <c r="I17" s="36">
        <f>VLOOKUP($A17,[16]HISTOSEPT22!$A$6:$AQ$37,22,0)</f>
        <v>0</v>
      </c>
      <c r="J17" s="36">
        <f>VLOOKUP($A17,[16]HISTOSEPT22!$A$6:$AU$39,45,0)</f>
        <v>7000</v>
      </c>
      <c r="K17" s="36">
        <f t="shared" si="2"/>
        <v>3000</v>
      </c>
      <c r="L17" s="36">
        <f t="shared" si="3"/>
        <v>500</v>
      </c>
      <c r="M17" s="36">
        <f t="shared" si="4"/>
        <v>1000</v>
      </c>
      <c r="N17" s="36">
        <f t="shared" si="5"/>
        <v>2500</v>
      </c>
      <c r="O17" s="36">
        <f>VLOOKUP($A17,[16]HISTOSEPT22!$A$6:$AU$39,7,0)</f>
        <v>0</v>
      </c>
      <c r="P17" s="36">
        <f>VLOOKUP($A17,[16]HISTOSEPT22!$A$6:$AU$39,23,0)</f>
        <v>0</v>
      </c>
      <c r="Q17" s="36">
        <f>VLOOKUP($A17,[16]HISTOSEPT22!$A$6:$AU$39,46,0)</f>
        <v>0</v>
      </c>
      <c r="R17" s="36">
        <f>VLOOKUP($A17,[16]HISTOSEPT22!$A$6:$AU$39,26,0)</f>
        <v>0</v>
      </c>
      <c r="S17" s="36">
        <f>VLOOKUP($A17,[16]HISTOSEPT22!$A$6:$BG$39,58,0)</f>
        <v>0</v>
      </c>
      <c r="T17" s="36">
        <f>VLOOKUP($A17,[16]HISTOSEPT22!$A$6:$AU$39,28,0)</f>
        <v>0</v>
      </c>
      <c r="U17" s="36">
        <f>VLOOKUP($A17,[16]HISTOSEPT22!$A$6:$AU$39,19,0)</f>
        <v>1000000</v>
      </c>
      <c r="V17" s="36" t="str">
        <f>VLOOKUP($A17,[16]HISTOSEPT22!$A$6:$AU$39,20,0)</f>
        <v>BANQUE</v>
      </c>
      <c r="W17" s="36">
        <f>VLOOKUP($A17,[16]HISTOSEPT22!$A$6:$AU$39,27,0)</f>
        <v>0</v>
      </c>
      <c r="X17" s="36">
        <f>VLOOKUP($A17,[16]HISTOSEPT22!$A$6:$AU$39,33,0)</f>
        <v>0</v>
      </c>
      <c r="Y17" s="36">
        <f>VLOOKUP($A17,[16]HISTOSEPT22!$A$6:$BP$39,65,0)</f>
        <v>0</v>
      </c>
      <c r="Z17" s="36"/>
      <c r="AA17" s="36">
        <f>VLOOKUP($A17,[16]HISTOSEPT22!$A$6:$AU$39,43,0)</f>
        <v>0</v>
      </c>
      <c r="AB17" s="36">
        <f>VLOOKUP($A17,[16]HISTOSEPT22!$A$6:$AU$39,44,0)</f>
        <v>0</v>
      </c>
      <c r="AC17" s="36">
        <f>VLOOKUP($A17,[16]HISTOSEPT22!$A$6:$AU$39,47,0)</f>
        <v>0</v>
      </c>
      <c r="AD17" s="36">
        <f>VLOOKUP(A17,[16]HISTOSEPT22!$A$6:$BB$36,54,0)</f>
        <v>70000</v>
      </c>
      <c r="AE17" s="36">
        <f>VLOOKUP($A17,[16]HISTOSEPT22!$A$6:$CA$36,60,0)</f>
        <v>0</v>
      </c>
      <c r="AF17" s="36">
        <f>VLOOKUP($A17,[16]HISTOSEPT22!$A$6:$CA$36,61,0)</f>
        <v>0</v>
      </c>
      <c r="AG17" s="36">
        <f>VLOOKUP($A17,[16]HISTOSEPT22!$A$6:$CA$36,62,0)</f>
        <v>0</v>
      </c>
      <c r="AH17" s="36">
        <f>VLOOKUP($A17,[16]HISTOSEPT22!$A$6:$CA$36,63,0)</f>
        <v>0</v>
      </c>
      <c r="AI17" s="36">
        <f>VLOOKUP($A17,[16]HISTOSEPT22!$A$6:$CA$36,64,0)</f>
        <v>0</v>
      </c>
      <c r="AJ17" s="36">
        <f>VLOOKUP($A17,[16]HISTOSEPT22!$A$6:$CA$36,65,0)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VLOOKUP($A18,[16]HISTOSEPT22!$A$6:$BA$39,48,0)</f>
        <v>0</v>
      </c>
      <c r="F18" s="5">
        <f>MVTAOUT22!F18-MVTSEPT22!E18</f>
        <v>570000</v>
      </c>
      <c r="G18" s="6">
        <f t="shared" si="1"/>
        <v>0</v>
      </c>
      <c r="H18" s="6">
        <f>MVTAOUT22!H18+MVTAOUT22!G18+K18</f>
        <v>667259.86803162331</v>
      </c>
      <c r="I18" s="36">
        <f>VLOOKUP($A18,[16]HISTOSEPT22!$A$6:$AQ$37,22,0)</f>
        <v>0</v>
      </c>
      <c r="J18" s="36">
        <f>VLOOKUP($A18,[16]HISTOSEPT22!$A$6:$AU$39,45,0)</f>
        <v>7000</v>
      </c>
      <c r="K18" s="36">
        <f t="shared" si="2"/>
        <v>3000</v>
      </c>
      <c r="L18" s="36">
        <f t="shared" si="3"/>
        <v>500</v>
      </c>
      <c r="M18" s="36">
        <f t="shared" si="4"/>
        <v>1000</v>
      </c>
      <c r="N18" s="36">
        <f t="shared" si="5"/>
        <v>2500</v>
      </c>
      <c r="O18" s="36">
        <f>VLOOKUP($A18,[16]HISTOSEPT22!$A$6:$AU$39,7,0)</f>
        <v>0</v>
      </c>
      <c r="P18" s="36">
        <f>VLOOKUP($A18,[16]HISTOSEPT22!$A$6:$AU$39,23,0)</f>
        <v>0</v>
      </c>
      <c r="Q18" s="36">
        <f>VLOOKUP($A18,[16]HISTOSEPT22!$A$6:$AU$39,46,0)</f>
        <v>0</v>
      </c>
      <c r="R18" s="36">
        <f>VLOOKUP($A18,[16]HISTOSEPT22!$A$6:$AU$39,26,0)</f>
        <v>0</v>
      </c>
      <c r="S18" s="36">
        <f>VLOOKUP($A18,[16]HISTOSEPT22!$A$6:$BG$39,58,0)</f>
        <v>0</v>
      </c>
      <c r="T18" s="36">
        <f>VLOOKUP($A18,[16]HISTOSEPT22!$A$6:$AU$39,28,0)</f>
        <v>0</v>
      </c>
      <c r="U18" s="36">
        <f>VLOOKUP($A18,[16]HISTOSEPT22!$A$6:$AU$39,19,0)</f>
        <v>0</v>
      </c>
      <c r="V18" s="36">
        <f>VLOOKUP($A18,[16]HISTOSEPT22!$A$6:$AU$39,20,0)</f>
        <v>0</v>
      </c>
      <c r="W18" s="36">
        <f>VLOOKUP($A18,[16]HISTOSEPT22!$A$6:$AU$39,27,0)</f>
        <v>0</v>
      </c>
      <c r="X18" s="36">
        <f>VLOOKUP($A18,[16]HISTOSEPT22!$A$6:$AU$39,33,0)</f>
        <v>0</v>
      </c>
      <c r="Y18" s="36">
        <f>VLOOKUP($A18,[16]HISTOSEPT22!$A$6:$BP$39,65,0)</f>
        <v>0</v>
      </c>
      <c r="Z18" s="36"/>
      <c r="AA18" s="36">
        <f>VLOOKUP($A18,[16]HISTOSEPT22!$A$6:$AU$39,43,0)</f>
        <v>0</v>
      </c>
      <c r="AB18" s="36">
        <f>VLOOKUP($A18,[16]HISTOSEPT22!$A$6:$AU$39,44,0)</f>
        <v>0</v>
      </c>
      <c r="AC18" s="36">
        <f>VLOOKUP($A18,[16]HISTOSEPT22!$A$6:$AU$39,47,0)</f>
        <v>0</v>
      </c>
      <c r="AD18" s="36">
        <f>VLOOKUP(A18,[16]HISTOSEPT22!$A$6:$BB$36,54,0)</f>
        <v>0</v>
      </c>
      <c r="AE18" s="36">
        <f>VLOOKUP($A18,[16]HISTOSEPT22!$A$6:$CA$36,60,0)</f>
        <v>0</v>
      </c>
      <c r="AF18" s="36">
        <f>VLOOKUP($A18,[16]HISTOSEPT22!$A$6:$CA$36,61,0)</f>
        <v>0</v>
      </c>
      <c r="AG18" s="36">
        <f>VLOOKUP($A18,[16]HISTOSEPT22!$A$6:$CA$36,62,0)</f>
        <v>0</v>
      </c>
      <c r="AH18" s="36">
        <f>VLOOKUP($A18,[16]HISTOSEPT22!$A$6:$CA$36,63,0)</f>
        <v>0</v>
      </c>
      <c r="AI18" s="36">
        <f>VLOOKUP($A18,[16]HISTOSEPT22!$A$6:$CA$36,64,0)</f>
        <v>0</v>
      </c>
      <c r="AJ18" s="36">
        <f>VLOOKUP($A18,[16]HISTOSEPT22!$A$6:$CA$36,65,0)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VLOOKUP($A19,[16]HISTOSEPT22!$A$6:$BA$39,48,0)</f>
        <v>0</v>
      </c>
      <c r="F19" s="5">
        <f>MVTAOUT22!F19-MVTSEPT22!E19</f>
        <v>570000</v>
      </c>
      <c r="G19" s="6">
        <f t="shared" si="1"/>
        <v>0</v>
      </c>
      <c r="H19" s="6">
        <f>MVTAOUT22!H19+MVTAOUT22!G19+K19</f>
        <v>660030.97258010204</v>
      </c>
      <c r="I19" s="36">
        <f>VLOOKUP($A19,[16]HISTOSEPT22!$A$6:$AQ$37,22,0)</f>
        <v>0</v>
      </c>
      <c r="J19" s="36">
        <f>VLOOKUP($A19,[16]HISTOSEPT22!$A$6:$AU$39,45,0)</f>
        <v>7000</v>
      </c>
      <c r="K19" s="36">
        <f t="shared" si="2"/>
        <v>3000</v>
      </c>
      <c r="L19" s="36">
        <f t="shared" si="3"/>
        <v>500</v>
      </c>
      <c r="M19" s="36">
        <f t="shared" si="4"/>
        <v>1000</v>
      </c>
      <c r="N19" s="36">
        <f t="shared" si="5"/>
        <v>2500</v>
      </c>
      <c r="O19" s="36">
        <f>VLOOKUP($A19,[16]HISTOSEPT22!$A$6:$AU$39,7,0)</f>
        <v>0</v>
      </c>
      <c r="P19" s="36">
        <f>VLOOKUP($A19,[16]HISTOSEPT22!$A$6:$AU$39,23,0)</f>
        <v>0</v>
      </c>
      <c r="Q19" s="36">
        <f>VLOOKUP($A19,[16]HISTOSEPT22!$A$6:$AU$39,46,0)</f>
        <v>0</v>
      </c>
      <c r="R19" s="36">
        <f>VLOOKUP($A19,[16]HISTOSEPT22!$A$6:$AU$39,26,0)</f>
        <v>0</v>
      </c>
      <c r="S19" s="36">
        <f>VLOOKUP($A19,[16]HISTOSEPT22!$A$6:$BG$39,58,0)</f>
        <v>0</v>
      </c>
      <c r="T19" s="36">
        <f>VLOOKUP($A19,[16]HISTOSEPT22!$A$6:$AU$39,28,0)</f>
        <v>0</v>
      </c>
      <c r="U19" s="36">
        <f>VLOOKUP($A19,[16]HISTOSEPT22!$A$6:$AU$39,19,0)</f>
        <v>0</v>
      </c>
      <c r="V19" s="36">
        <f>VLOOKUP($A19,[16]HISTOSEPT22!$A$6:$AU$39,20,0)</f>
        <v>0</v>
      </c>
      <c r="W19" s="36">
        <f>VLOOKUP($A19,[16]HISTOSEPT22!$A$6:$AU$39,27,0)</f>
        <v>0</v>
      </c>
      <c r="X19" s="36">
        <f>VLOOKUP($A19,[16]HISTOSEPT22!$A$6:$AU$39,33,0)</f>
        <v>0</v>
      </c>
      <c r="Y19" s="36">
        <f>VLOOKUP($A19,[16]HISTOSEPT22!$A$6:$BP$39,65,0)</f>
        <v>0</v>
      </c>
      <c r="Z19" s="36"/>
      <c r="AA19" s="36">
        <f>VLOOKUP($A19,[16]HISTOSEPT22!$A$6:$AU$39,43,0)</f>
        <v>0</v>
      </c>
      <c r="AB19" s="36">
        <f>VLOOKUP($A19,[16]HISTOSEPT22!$A$6:$AU$39,44,0)</f>
        <v>0</v>
      </c>
      <c r="AC19" s="36">
        <f>VLOOKUP($A19,[16]HISTOSEPT22!$A$6:$AU$39,47,0)</f>
        <v>0</v>
      </c>
      <c r="AD19" s="36">
        <f>VLOOKUP(A19,[16]HISTOSEPT22!$A$6:$BB$36,54,0)</f>
        <v>0</v>
      </c>
      <c r="AE19" s="36">
        <f>VLOOKUP($A19,[16]HISTOSEPT22!$A$6:$CA$36,60,0)</f>
        <v>0</v>
      </c>
      <c r="AF19" s="36">
        <f>VLOOKUP($A19,[16]HISTOSEPT22!$A$6:$CA$36,61,0)</f>
        <v>0</v>
      </c>
      <c r="AG19" s="36">
        <f>VLOOKUP($A19,[16]HISTOSEPT22!$A$6:$CA$36,62,0)</f>
        <v>0</v>
      </c>
      <c r="AH19" s="36">
        <f>VLOOKUP($A19,[16]HISTOSEPT22!$A$6:$CA$36,63,0)</f>
        <v>0</v>
      </c>
      <c r="AI19" s="36">
        <f>VLOOKUP($A19,[16]HISTOSEPT22!$A$6:$CA$36,64,0)</f>
        <v>0</v>
      </c>
      <c r="AJ19" s="36">
        <f>VLOOKUP($A19,[16]HISTOSEPT22!$A$6:$CA$36,65,0)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VLOOKUP($A20,[16]HISTOSEPT22!$A$6:$BA$39,48,0)</f>
        <v>0</v>
      </c>
      <c r="F20" s="5">
        <f>MVTAOUT22!F20-MVTSEPT22!E20</f>
        <v>570000</v>
      </c>
      <c r="G20" s="6">
        <f t="shared" si="1"/>
        <v>0</v>
      </c>
      <c r="H20" s="6">
        <f>MVTAOUT22!H20+MVTAOUT22!G20+K20</f>
        <v>659718.95134624699</v>
      </c>
      <c r="I20" s="36">
        <f>VLOOKUP($A20,[16]HISTOSEPT22!$A$6:$AQ$37,22,0)</f>
        <v>0</v>
      </c>
      <c r="J20" s="36">
        <f>VLOOKUP($A20,[16]HISTOSEPT22!$A$6:$AU$39,45,0)</f>
        <v>7000</v>
      </c>
      <c r="K20" s="36">
        <f t="shared" si="2"/>
        <v>3000</v>
      </c>
      <c r="L20" s="36">
        <f t="shared" si="3"/>
        <v>500</v>
      </c>
      <c r="M20" s="36">
        <f t="shared" si="4"/>
        <v>1000</v>
      </c>
      <c r="N20" s="36">
        <f t="shared" si="5"/>
        <v>2500</v>
      </c>
      <c r="O20" s="36">
        <f>VLOOKUP($A20,[16]HISTOSEPT22!$A$6:$AU$39,7,0)</f>
        <v>0</v>
      </c>
      <c r="P20" s="36">
        <f>VLOOKUP($A20,[16]HISTOSEPT22!$A$6:$AU$39,23,0)</f>
        <v>0</v>
      </c>
      <c r="Q20" s="36">
        <f>VLOOKUP($A20,[16]HISTOSEPT22!$A$6:$AU$39,46,0)</f>
        <v>0</v>
      </c>
      <c r="R20" s="36">
        <f>VLOOKUP($A20,[16]HISTOSEPT22!$A$6:$AU$39,26,0)</f>
        <v>0</v>
      </c>
      <c r="S20" s="36">
        <f>VLOOKUP($A20,[16]HISTOSEPT22!$A$6:$BG$39,58,0)</f>
        <v>0</v>
      </c>
      <c r="T20" s="36">
        <f>VLOOKUP($A20,[16]HISTOSEPT22!$A$6:$AU$39,28,0)</f>
        <v>0</v>
      </c>
      <c r="U20" s="36">
        <f>VLOOKUP($A20,[16]HISTOSEPT22!$A$6:$AU$39,19,0)</f>
        <v>0</v>
      </c>
      <c r="V20" s="36">
        <f>VLOOKUP($A20,[16]HISTOSEPT22!$A$6:$AU$39,20,0)</f>
        <v>0</v>
      </c>
      <c r="W20" s="36">
        <f>VLOOKUP($A20,[16]HISTOSEPT22!$A$6:$AU$39,27,0)</f>
        <v>0</v>
      </c>
      <c r="X20" s="36">
        <f>VLOOKUP($A20,[16]HISTOSEPT22!$A$6:$AU$39,33,0)</f>
        <v>0</v>
      </c>
      <c r="Y20" s="36">
        <f>VLOOKUP($A20,[16]HISTOSEPT22!$A$6:$BP$39,65,0)</f>
        <v>0</v>
      </c>
      <c r="Z20" s="36"/>
      <c r="AA20" s="36">
        <f>VLOOKUP($A20,[16]HISTOSEPT22!$A$6:$AU$39,43,0)</f>
        <v>0</v>
      </c>
      <c r="AB20" s="36">
        <f>VLOOKUP($A20,[16]HISTOSEPT22!$A$6:$AU$39,44,0)</f>
        <v>0</v>
      </c>
      <c r="AC20" s="36">
        <f>VLOOKUP($A20,[16]HISTOSEPT22!$A$6:$AU$39,47,0)</f>
        <v>0</v>
      </c>
      <c r="AD20" s="36">
        <f>VLOOKUP(A20,[16]HISTOSEPT22!$A$6:$BB$36,54,0)</f>
        <v>0</v>
      </c>
      <c r="AE20" s="36">
        <f>VLOOKUP($A20,[16]HISTOSEPT22!$A$6:$CA$36,60,0)</f>
        <v>0</v>
      </c>
      <c r="AF20" s="36">
        <f>VLOOKUP($A20,[16]HISTOSEPT22!$A$6:$CA$36,61,0)</f>
        <v>0</v>
      </c>
      <c r="AG20" s="36">
        <f>VLOOKUP($A20,[16]HISTOSEPT22!$A$6:$CA$36,62,0)</f>
        <v>0</v>
      </c>
      <c r="AH20" s="36">
        <f>VLOOKUP($A20,[16]HISTOSEPT22!$A$6:$CA$36,63,0)</f>
        <v>0</v>
      </c>
      <c r="AI20" s="36">
        <f>VLOOKUP($A20,[16]HISTOSEPT22!$A$6:$CA$36,64,0)</f>
        <v>0</v>
      </c>
      <c r="AJ20" s="36">
        <f>VLOOKUP($A20,[16]HISTOSEPT22!$A$6:$CA$36,65,0)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VLOOKUP($A21,[16]HISTOSEPT22!$A$6:$BA$39,48,0)</f>
        <v>0</v>
      </c>
      <c r="F21" s="5">
        <f>MVTAOUT22!F21-MVTSEPT22!E21</f>
        <v>570000</v>
      </c>
      <c r="G21" s="6">
        <f t="shared" si="1"/>
        <v>0</v>
      </c>
      <c r="H21" s="6">
        <f>MVTAOUT22!H21+MVTAOUT22!G21+K21</f>
        <v>693687.26832087687</v>
      </c>
      <c r="I21" s="36">
        <f>VLOOKUP($A21,[16]HISTOSEPT22!$A$6:$AQ$37,22,0)</f>
        <v>0</v>
      </c>
      <c r="J21" s="36">
        <f>VLOOKUP($A21,[16]HISTOSEPT22!$A$6:$AU$39,45,0)</f>
        <v>7000</v>
      </c>
      <c r="K21" s="36">
        <f t="shared" si="2"/>
        <v>3000</v>
      </c>
      <c r="L21" s="36">
        <f t="shared" si="3"/>
        <v>500</v>
      </c>
      <c r="M21" s="36">
        <f t="shared" si="4"/>
        <v>1000</v>
      </c>
      <c r="N21" s="36">
        <f t="shared" si="5"/>
        <v>2500</v>
      </c>
      <c r="O21" s="36">
        <f>VLOOKUP($A21,[16]HISTOSEPT22!$A$6:$AU$39,7,0)</f>
        <v>0</v>
      </c>
      <c r="P21" s="36">
        <f>VLOOKUP($A21,[16]HISTOSEPT22!$A$6:$AU$39,23,0)</f>
        <v>0</v>
      </c>
      <c r="Q21" s="36">
        <f>VLOOKUP($A21,[16]HISTOSEPT22!$A$6:$AU$39,46,0)</f>
        <v>0</v>
      </c>
      <c r="R21" s="36">
        <f>VLOOKUP($A21,[16]HISTOSEPT22!$A$6:$AU$39,26,0)</f>
        <v>0</v>
      </c>
      <c r="S21" s="36">
        <f>VLOOKUP($A21,[16]HISTOSEPT22!$A$6:$BG$39,58,0)</f>
        <v>0</v>
      </c>
      <c r="T21" s="36">
        <f>VLOOKUP($A21,[16]HISTOSEPT22!$A$6:$AU$39,28,0)</f>
        <v>0</v>
      </c>
      <c r="U21" s="36">
        <f>VLOOKUP($A21,[16]HISTOSEPT22!$A$6:$AU$39,19,0)</f>
        <v>0</v>
      </c>
      <c r="V21" s="36">
        <f>VLOOKUP($A21,[16]HISTOSEPT22!$A$6:$AU$39,20,0)</f>
        <v>0</v>
      </c>
      <c r="W21" s="36">
        <f>VLOOKUP($A21,[16]HISTOSEPT22!$A$6:$AU$39,27,0)</f>
        <v>0</v>
      </c>
      <c r="X21" s="36">
        <f>VLOOKUP($A21,[16]HISTOSEPT22!$A$6:$AU$39,33,0)</f>
        <v>0</v>
      </c>
      <c r="Y21" s="36">
        <f>VLOOKUP($A21,[16]HISTOSEPT22!$A$6:$BP$39,65,0)</f>
        <v>0</v>
      </c>
      <c r="Z21" s="36"/>
      <c r="AA21" s="36">
        <f>VLOOKUP($A21,[16]HISTOSEPT22!$A$6:$AU$39,43,0)</f>
        <v>0</v>
      </c>
      <c r="AB21" s="36">
        <f>VLOOKUP($A21,[16]HISTOSEPT22!$A$6:$AU$39,44,0)</f>
        <v>0</v>
      </c>
      <c r="AC21" s="36">
        <f>VLOOKUP($A21,[16]HISTOSEPT22!$A$6:$AU$39,47,0)</f>
        <v>0</v>
      </c>
      <c r="AD21" s="36">
        <f>VLOOKUP(A21,[16]HISTOSEPT22!$A$6:$BB$36,54,0)</f>
        <v>0</v>
      </c>
      <c r="AE21" s="36">
        <f>VLOOKUP($A21,[16]HISTOSEPT22!$A$6:$CA$36,60,0)</f>
        <v>0</v>
      </c>
      <c r="AF21" s="36">
        <f>VLOOKUP($A21,[16]HISTOSEPT22!$A$6:$CA$36,61,0)</f>
        <v>0</v>
      </c>
      <c r="AG21" s="36">
        <f>VLOOKUP($A21,[16]HISTOSEPT22!$A$6:$CA$36,62,0)</f>
        <v>0</v>
      </c>
      <c r="AH21" s="36">
        <f>VLOOKUP($A21,[16]HISTOSEPT22!$A$6:$CA$36,63,0)</f>
        <v>0</v>
      </c>
      <c r="AI21" s="36">
        <f>VLOOKUP($A21,[16]HISTOSEPT22!$A$6:$CA$36,64,0)</f>
        <v>0</v>
      </c>
      <c r="AJ21" s="36">
        <f>VLOOKUP($A21,[16]HISTOSEPT22!$A$6:$CA$36,65,0)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VLOOKUP($A22,[16]HISTOSEPT22!$A$6:$BA$39,48,0)</f>
        <v>0</v>
      </c>
      <c r="F22" s="5">
        <f>MVTAOUT22!F22-MVTSEPT22!E22</f>
        <v>570000</v>
      </c>
      <c r="G22" s="6">
        <f t="shared" si="1"/>
        <v>0</v>
      </c>
      <c r="H22" s="6">
        <f>MVTAOUT22!H22+MVTAOUT22!G22+K22</f>
        <v>753370.44998818706</v>
      </c>
      <c r="I22" s="36">
        <f>VLOOKUP($A22,[16]HISTOSEPT22!$A$6:$AQ$37,22,0)</f>
        <v>0</v>
      </c>
      <c r="J22" s="36">
        <f>VLOOKUP($A22,[16]HISTOSEPT22!$A$6:$AU$39,45,0)</f>
        <v>7000</v>
      </c>
      <c r="K22" s="36">
        <f t="shared" si="2"/>
        <v>3000</v>
      </c>
      <c r="L22" s="36">
        <f t="shared" si="3"/>
        <v>500</v>
      </c>
      <c r="M22" s="36">
        <f t="shared" si="4"/>
        <v>1000</v>
      </c>
      <c r="N22" s="36">
        <f t="shared" si="5"/>
        <v>2500</v>
      </c>
      <c r="O22" s="36">
        <f>VLOOKUP($A22,[16]HISTOSEPT22!$A$6:$AU$39,7,0)</f>
        <v>0</v>
      </c>
      <c r="P22" s="36">
        <f>VLOOKUP($A22,[16]HISTOSEPT22!$A$6:$AU$39,23,0)</f>
        <v>0</v>
      </c>
      <c r="Q22" s="36">
        <f>VLOOKUP($A22,[16]HISTOSEPT22!$A$6:$AU$39,46,0)</f>
        <v>0</v>
      </c>
      <c r="R22" s="36">
        <f>VLOOKUP($A22,[16]HISTOSEPT22!$A$6:$AU$39,26,0)</f>
        <v>0</v>
      </c>
      <c r="S22" s="36">
        <f>VLOOKUP($A22,[16]HISTOSEPT22!$A$6:$BG$39,58,0)</f>
        <v>0</v>
      </c>
      <c r="T22" s="36">
        <f>VLOOKUP($A22,[16]HISTOSEPT22!$A$6:$AU$39,28,0)</f>
        <v>0</v>
      </c>
      <c r="U22" s="36">
        <f>VLOOKUP($A22,[16]HISTOSEPT22!$A$6:$AU$39,19,0)</f>
        <v>0</v>
      </c>
      <c r="V22" s="36">
        <f>VLOOKUP($A22,[16]HISTOSEPT22!$A$6:$AU$39,20,0)</f>
        <v>0</v>
      </c>
      <c r="W22" s="36">
        <f>VLOOKUP($A22,[16]HISTOSEPT22!$A$6:$AU$39,27,0)</f>
        <v>0</v>
      </c>
      <c r="X22" s="36">
        <f>VLOOKUP($A22,[16]HISTOSEPT22!$A$6:$AU$39,33,0)</f>
        <v>0</v>
      </c>
      <c r="Y22" s="36">
        <f>VLOOKUP($A22,[16]HISTOSEPT22!$A$6:$BP$39,65,0)</f>
        <v>0</v>
      </c>
      <c r="Z22" s="36"/>
      <c r="AA22" s="36">
        <f>VLOOKUP($A22,[16]HISTOSEPT22!$A$6:$AU$39,43,0)</f>
        <v>0</v>
      </c>
      <c r="AB22" s="36">
        <f>VLOOKUP($A22,[16]HISTOSEPT22!$A$6:$AU$39,44,0)</f>
        <v>0</v>
      </c>
      <c r="AC22" s="36">
        <f>VLOOKUP($A22,[16]HISTOSEPT22!$A$6:$AU$39,47,0)</f>
        <v>0</v>
      </c>
      <c r="AD22" s="36">
        <f>VLOOKUP(A22,[16]HISTOSEPT22!$A$6:$BB$36,54,0)</f>
        <v>0</v>
      </c>
      <c r="AE22" s="36">
        <f>VLOOKUP($A22,[16]HISTOSEPT22!$A$6:$CA$36,60,0)</f>
        <v>0</v>
      </c>
      <c r="AF22" s="36">
        <f>VLOOKUP($A22,[16]HISTOSEPT22!$A$6:$CA$36,61,0)</f>
        <v>0</v>
      </c>
      <c r="AG22" s="36">
        <f>VLOOKUP($A22,[16]HISTOSEPT22!$A$6:$CA$36,62,0)</f>
        <v>0</v>
      </c>
      <c r="AH22" s="36">
        <f>VLOOKUP($A22,[16]HISTOSEPT22!$A$6:$CA$36,63,0)</f>
        <v>0</v>
      </c>
      <c r="AI22" s="36">
        <f>VLOOKUP($A22,[16]HISTOSEPT22!$A$6:$CA$36,64,0)</f>
        <v>0</v>
      </c>
      <c r="AJ22" s="36">
        <f>VLOOKUP($A22,[16]HISTOSEPT22!$A$6:$CA$36,65,0)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VLOOKUP($A23,[16]HISTOSEPT22!$A$6:$BA$39,48,0)</f>
        <v>0</v>
      </c>
      <c r="F23" s="5">
        <f>MVTAOUT22!F23-MVTSEPT22!E23</f>
        <v>570000</v>
      </c>
      <c r="G23" s="6">
        <f t="shared" si="1"/>
        <v>0</v>
      </c>
      <c r="H23" s="6">
        <f>MVTAOUT22!H23+MVTAOUT22!G23+K23</f>
        <v>946179.54934260424</v>
      </c>
      <c r="I23" s="36">
        <f>VLOOKUP($A23,[16]HISTOSEPT22!$A$6:$AQ$37,22,0)</f>
        <v>0</v>
      </c>
      <c r="J23" s="36">
        <f>VLOOKUP($A23,[16]HISTOSEPT22!$A$6:$AU$39,45,0)</f>
        <v>27000</v>
      </c>
      <c r="K23" s="36">
        <f t="shared" si="2"/>
        <v>23000</v>
      </c>
      <c r="L23" s="36">
        <f t="shared" si="3"/>
        <v>500</v>
      </c>
      <c r="M23" s="36">
        <f t="shared" si="4"/>
        <v>1000</v>
      </c>
      <c r="N23" s="36">
        <f t="shared" si="5"/>
        <v>2500</v>
      </c>
      <c r="O23" s="36">
        <f>VLOOKUP($A23,[16]HISTOSEPT22!$A$6:$AU$39,7,0)</f>
        <v>0</v>
      </c>
      <c r="P23" s="36">
        <f>VLOOKUP($A23,[16]HISTOSEPT22!$A$6:$AU$39,23,0)</f>
        <v>0</v>
      </c>
      <c r="Q23" s="36">
        <f>VLOOKUP($A23,[16]HISTOSEPT22!$A$6:$AU$39,46,0)</f>
        <v>0</v>
      </c>
      <c r="R23" s="36">
        <f>VLOOKUP($A23,[16]HISTOSEPT22!$A$6:$AU$39,26,0)</f>
        <v>0</v>
      </c>
      <c r="S23" s="36">
        <f>VLOOKUP($A23,[16]HISTOSEPT22!$A$6:$BG$39,58,0)</f>
        <v>0</v>
      </c>
      <c r="T23" s="36">
        <f>VLOOKUP($A23,[16]HISTOSEPT22!$A$6:$AU$39,28,0)</f>
        <v>0</v>
      </c>
      <c r="U23" s="36">
        <f>VLOOKUP($A23,[16]HISTOSEPT22!$A$6:$AU$39,19,0)</f>
        <v>0</v>
      </c>
      <c r="V23" s="36">
        <f>VLOOKUP($A23,[16]HISTOSEPT22!$A$6:$AU$39,20,0)</f>
        <v>0</v>
      </c>
      <c r="W23" s="36">
        <f>VLOOKUP($A23,[16]HISTOSEPT22!$A$6:$AU$39,27,0)</f>
        <v>0</v>
      </c>
      <c r="X23" s="36">
        <f>VLOOKUP($A23,[16]HISTOSEPT22!$A$6:$AU$39,33,0)</f>
        <v>0</v>
      </c>
      <c r="Y23" s="36">
        <f>VLOOKUP($A23,[16]HISTOSEPT22!$A$6:$BP$39,65,0)</f>
        <v>0</v>
      </c>
      <c r="Z23" s="36"/>
      <c r="AA23" s="36">
        <f>VLOOKUP($A23,[16]HISTOSEPT22!$A$6:$AU$39,43,0)</f>
        <v>0</v>
      </c>
      <c r="AB23" s="36">
        <f>VLOOKUP($A23,[16]HISTOSEPT22!$A$6:$AU$39,44,0)</f>
        <v>0</v>
      </c>
      <c r="AC23" s="36">
        <f>VLOOKUP($A23,[16]HISTOSEPT22!$A$6:$AU$39,47,0)</f>
        <v>0</v>
      </c>
      <c r="AD23" s="36">
        <f>VLOOKUP(A23,[16]HISTOSEPT22!$A$6:$BB$36,54,0)</f>
        <v>0</v>
      </c>
      <c r="AE23" s="36">
        <f>VLOOKUP($A23,[16]HISTOSEPT22!$A$6:$CA$36,60,0)</f>
        <v>0</v>
      </c>
      <c r="AF23" s="36">
        <f>VLOOKUP($A23,[16]HISTOSEPT22!$A$6:$CA$36,61,0)</f>
        <v>0</v>
      </c>
      <c r="AG23" s="36">
        <f>VLOOKUP($A23,[16]HISTOSEPT22!$A$6:$CA$36,62,0)</f>
        <v>0</v>
      </c>
      <c r="AH23" s="36">
        <f>VLOOKUP($A23,[16]HISTOSEPT22!$A$6:$CA$36,63,0)</f>
        <v>0</v>
      </c>
      <c r="AI23" s="36">
        <f>VLOOKUP($A23,[16]HISTOSEPT22!$A$6:$CA$36,64,0)</f>
        <v>0</v>
      </c>
      <c r="AJ23" s="36">
        <f>VLOOKUP($A23,[16]HISTOSEPT22!$A$6:$CA$36,65,0)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VLOOKUP($A24,[16]HISTOSEPT22!$A$6:$BA$39,48,0)</f>
        <v>0</v>
      </c>
      <c r="F24" s="5">
        <f>MVTAOUT22!F24-MVTSEPT22!E24</f>
        <v>570000</v>
      </c>
      <c r="G24" s="6">
        <f t="shared" si="1"/>
        <v>0</v>
      </c>
      <c r="H24" s="6">
        <f>MVTAOUT22!H24+MVTAOUT22!G24+K24</f>
        <v>767329.43614113715</v>
      </c>
      <c r="I24" s="36">
        <f>VLOOKUP($A24,[16]HISTOSEPT22!$A$6:$AQ$37,22,0)</f>
        <v>0</v>
      </c>
      <c r="J24" s="36">
        <f>VLOOKUP($A24,[16]HISTOSEPT22!$A$6:$AU$39,45,0)</f>
        <v>7000</v>
      </c>
      <c r="K24" s="36">
        <f t="shared" si="2"/>
        <v>3000</v>
      </c>
      <c r="L24" s="36">
        <f t="shared" si="3"/>
        <v>500</v>
      </c>
      <c r="M24" s="36">
        <f t="shared" si="4"/>
        <v>1000</v>
      </c>
      <c r="N24" s="36">
        <f t="shared" si="5"/>
        <v>2500</v>
      </c>
      <c r="O24" s="36">
        <f>VLOOKUP($A24,[16]HISTOSEPT22!$A$6:$AU$39,7,0)</f>
        <v>0</v>
      </c>
      <c r="P24" s="36">
        <f>VLOOKUP($A24,[16]HISTOSEPT22!$A$6:$AU$39,23,0)</f>
        <v>0</v>
      </c>
      <c r="Q24" s="36">
        <f>VLOOKUP($A24,[16]HISTOSEPT22!$A$6:$AU$39,46,0)</f>
        <v>0</v>
      </c>
      <c r="R24" s="36">
        <f>VLOOKUP($A24,[16]HISTOSEPT22!$A$6:$AU$39,26,0)</f>
        <v>0</v>
      </c>
      <c r="S24" s="36">
        <f>VLOOKUP($A24,[16]HISTOSEPT22!$A$6:$BG$39,58,0)</f>
        <v>0</v>
      </c>
      <c r="T24" s="36">
        <f>VLOOKUP($A24,[16]HISTOSEPT22!$A$6:$AU$39,28,0)</f>
        <v>0</v>
      </c>
      <c r="U24" s="36">
        <f>VLOOKUP($A24,[16]HISTOSEPT22!$A$6:$AU$39,19,0)</f>
        <v>0</v>
      </c>
      <c r="V24" s="36">
        <f>VLOOKUP($A24,[16]HISTOSEPT22!$A$6:$AU$39,20,0)</f>
        <v>0</v>
      </c>
      <c r="W24" s="36">
        <f>VLOOKUP($A24,[16]HISTOSEPT22!$A$6:$AU$39,27,0)</f>
        <v>0</v>
      </c>
      <c r="X24" s="36">
        <f>VLOOKUP($A24,[16]HISTOSEPT22!$A$6:$AU$39,33,0)</f>
        <v>0</v>
      </c>
      <c r="Y24" s="36">
        <f>VLOOKUP($A24,[16]HISTOSEPT22!$A$6:$BP$39,65,0)</f>
        <v>0</v>
      </c>
      <c r="Z24" s="36"/>
      <c r="AA24" s="36">
        <f>VLOOKUP($A24,[16]HISTOSEPT22!$A$6:$AU$39,43,0)</f>
        <v>0</v>
      </c>
      <c r="AB24" s="36">
        <f>VLOOKUP($A24,[16]HISTOSEPT22!$A$6:$AU$39,44,0)</f>
        <v>0</v>
      </c>
      <c r="AC24" s="36">
        <f>VLOOKUP($A24,[16]HISTOSEPT22!$A$6:$AU$39,47,0)</f>
        <v>0</v>
      </c>
      <c r="AD24" s="36">
        <f>VLOOKUP(A24,[16]HISTOSEPT22!$A$6:$BB$36,54,0)</f>
        <v>0</v>
      </c>
      <c r="AE24" s="36">
        <f>VLOOKUP($A24,[16]HISTOSEPT22!$A$6:$CA$36,60,0)</f>
        <v>0</v>
      </c>
      <c r="AF24" s="36">
        <f>VLOOKUP($A24,[16]HISTOSEPT22!$A$6:$CA$36,61,0)</f>
        <v>0</v>
      </c>
      <c r="AG24" s="36">
        <f>VLOOKUP($A24,[16]HISTOSEPT22!$A$6:$CA$36,62,0)</f>
        <v>0</v>
      </c>
      <c r="AH24" s="36">
        <f>VLOOKUP($A24,[16]HISTOSEPT22!$A$6:$CA$36,63,0)</f>
        <v>0</v>
      </c>
      <c r="AI24" s="36">
        <f>VLOOKUP($A24,[16]HISTOSEPT22!$A$6:$CA$36,64,0)</f>
        <v>0</v>
      </c>
      <c r="AJ24" s="36">
        <f>VLOOKUP($A24,[16]HISTOSEPT22!$A$6:$CA$36,65,0)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VLOOKUP($A25,[16]HISTOSEPT22!$A$6:$BA$39,48,0)</f>
        <v>0</v>
      </c>
      <c r="F25" s="5">
        <f>MVTAOUT22!F25-MVTSEPT22!E25</f>
        <v>570000</v>
      </c>
      <c r="G25" s="6">
        <f t="shared" si="1"/>
        <v>0</v>
      </c>
      <c r="H25" s="6">
        <f>MVTAOUT22!H25+MVTAOUT22!G25+K25</f>
        <v>666944.16706236335</v>
      </c>
      <c r="I25" s="36">
        <f>VLOOKUP($A25,[16]HISTOSEPT22!$A$6:$AQ$37,22,0)</f>
        <v>0</v>
      </c>
      <c r="J25" s="36">
        <f>VLOOKUP($A25,[16]HISTOSEPT22!$A$6:$AU$39,45,0)</f>
        <v>4000</v>
      </c>
      <c r="K25" s="36">
        <f>IF(J25=0,0,J25-(L25+M25+N25))</f>
        <v>0</v>
      </c>
      <c r="L25" s="36">
        <f t="shared" si="3"/>
        <v>500</v>
      </c>
      <c r="M25" s="36">
        <f t="shared" si="4"/>
        <v>1000</v>
      </c>
      <c r="N25" s="36">
        <f t="shared" si="5"/>
        <v>2500</v>
      </c>
      <c r="O25" s="36">
        <f>VLOOKUP($A25,[16]HISTOSEPT22!$A$6:$AU$39,7,0)</f>
        <v>0</v>
      </c>
      <c r="P25" s="36">
        <f>VLOOKUP($A25,[16]HISTOSEPT22!$A$6:$AU$39,23,0)</f>
        <v>0</v>
      </c>
      <c r="Q25" s="36">
        <f>VLOOKUP($A25,[16]HISTOSEPT22!$A$6:$AU$39,46,0)</f>
        <v>0</v>
      </c>
      <c r="R25" s="36">
        <f>VLOOKUP($A25,[16]HISTOSEPT22!$A$6:$AU$39,26,0)</f>
        <v>0</v>
      </c>
      <c r="S25" s="36">
        <f>VLOOKUP($A25,[16]HISTOSEPT22!$A$6:$BG$39,58,0)</f>
        <v>0</v>
      </c>
      <c r="T25" s="36">
        <f>VLOOKUP($A25,[16]HISTOSEPT22!$A$6:$AU$39,28,0)</f>
        <v>0</v>
      </c>
      <c r="U25" s="36">
        <f>VLOOKUP($A25,[16]HISTOSEPT22!$A$6:$AU$39,19,0)</f>
        <v>0</v>
      </c>
      <c r="V25" s="36">
        <f>VLOOKUP($A25,[16]HISTOSEPT22!$A$6:$AU$39,20,0)</f>
        <v>0</v>
      </c>
      <c r="W25" s="36">
        <f>VLOOKUP($A25,[16]HISTOSEPT22!$A$6:$AU$39,27,0)</f>
        <v>0</v>
      </c>
      <c r="X25" s="36">
        <f>VLOOKUP($A25,[16]HISTOSEPT22!$A$6:$AU$39,33,0)</f>
        <v>0</v>
      </c>
      <c r="Y25" s="36">
        <f>VLOOKUP($A25,[16]HISTOSEPT22!$A$6:$BP$39,65,0)</f>
        <v>0</v>
      </c>
      <c r="Z25" s="36"/>
      <c r="AA25" s="36">
        <f>VLOOKUP($A25,[16]HISTOSEPT22!$A$6:$AU$39,43,0)</f>
        <v>0</v>
      </c>
      <c r="AB25" s="36">
        <f>VLOOKUP($A25,[16]HISTOSEPT22!$A$6:$AU$39,44,0)</f>
        <v>0</v>
      </c>
      <c r="AC25" s="36">
        <f>VLOOKUP($A25,[16]HISTOSEPT22!$A$6:$AU$39,47,0)</f>
        <v>0</v>
      </c>
      <c r="AD25" s="36">
        <f>VLOOKUP(A25,[16]HISTOSEPT22!$A$6:$BB$36,54,0)</f>
        <v>0</v>
      </c>
      <c r="AE25" s="36">
        <f>VLOOKUP($A25,[16]HISTOSEPT22!$A$6:$CA$36,60,0)</f>
        <v>0</v>
      </c>
      <c r="AF25" s="36">
        <f>VLOOKUP($A25,[16]HISTOSEPT22!$A$6:$CA$36,61,0)</f>
        <v>0</v>
      </c>
      <c r="AG25" s="36">
        <f>VLOOKUP($A25,[16]HISTOSEPT22!$A$6:$CA$36,62,0)</f>
        <v>0</v>
      </c>
      <c r="AH25" s="36">
        <f>VLOOKUP($A25,[16]HISTOSEPT22!$A$6:$CA$36,63,0)</f>
        <v>0</v>
      </c>
      <c r="AI25" s="36">
        <f>VLOOKUP($A25,[16]HISTOSEPT22!$A$6:$CA$36,64,0)</f>
        <v>0</v>
      </c>
      <c r="AJ25" s="36">
        <f>VLOOKUP($A25,[16]HISTOSEPT22!$A$6:$CA$36,65,0)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VLOOKUP($A26,[16]HISTOSEPT22!$A$6:$BA$39,48,0)</f>
        <v>0</v>
      </c>
      <c r="F26" s="5">
        <f>MVTAOUT22!F26-MVTSEPT22!E26</f>
        <v>570000</v>
      </c>
      <c r="G26" s="6">
        <f t="shared" si="1"/>
        <v>0</v>
      </c>
      <c r="H26" s="6">
        <f>MVTAOUT22!H26+MVTAOUT22!G26+K26</f>
        <v>671880.99680181697</v>
      </c>
      <c r="I26" s="36">
        <f>VLOOKUP($A26,[16]HISTOSEPT22!$A$6:$AQ$37,22,0)</f>
        <v>0</v>
      </c>
      <c r="J26" s="36">
        <f>VLOOKUP($A26,[16]HISTOSEPT22!$A$6:$AU$39,45,0)</f>
        <v>7000</v>
      </c>
      <c r="K26" s="36">
        <f t="shared" si="2"/>
        <v>3000</v>
      </c>
      <c r="L26" s="36">
        <f t="shared" si="3"/>
        <v>500</v>
      </c>
      <c r="M26" s="36">
        <f t="shared" si="4"/>
        <v>1000</v>
      </c>
      <c r="N26" s="36">
        <f t="shared" si="5"/>
        <v>2500</v>
      </c>
      <c r="O26" s="36">
        <f>VLOOKUP($A26,[16]HISTOSEPT22!$A$6:$AU$39,7,0)</f>
        <v>3000</v>
      </c>
      <c r="P26" s="36">
        <f>VLOOKUP($A26,[16]HISTOSEPT22!$A$6:$AU$39,23,0)</f>
        <v>0</v>
      </c>
      <c r="Q26" s="36">
        <f>VLOOKUP($A26,[16]HISTOSEPT22!$A$6:$AU$39,46,0)</f>
        <v>0</v>
      </c>
      <c r="R26" s="36">
        <f>VLOOKUP($A26,[16]HISTOSEPT22!$A$6:$AU$39,26,0)</f>
        <v>0</v>
      </c>
      <c r="S26" s="36">
        <f>VLOOKUP($A26,[16]HISTOSEPT22!$A$6:$BG$39,58,0)</f>
        <v>0</v>
      </c>
      <c r="T26" s="36">
        <f>VLOOKUP($A26,[16]HISTOSEPT22!$A$6:$AU$39,28,0)</f>
        <v>0</v>
      </c>
      <c r="U26" s="36">
        <f>VLOOKUP($A26,[16]HISTOSEPT22!$A$6:$AU$39,19,0)</f>
        <v>0</v>
      </c>
      <c r="V26" s="36">
        <f>VLOOKUP($A26,[16]HISTOSEPT22!$A$6:$AU$39,20,0)</f>
        <v>0</v>
      </c>
      <c r="W26" s="36">
        <f>VLOOKUP($A26,[16]HISTOSEPT22!$A$6:$AU$39,27,0)</f>
        <v>0</v>
      </c>
      <c r="X26" s="36">
        <f>VLOOKUP($A26,[16]HISTOSEPT22!$A$6:$AU$39,33,0)</f>
        <v>0</v>
      </c>
      <c r="Y26" s="36">
        <f>VLOOKUP($A26,[16]HISTOSEPT22!$A$6:$BP$39,65,0)</f>
        <v>0</v>
      </c>
      <c r="Z26" s="36"/>
      <c r="AA26" s="36">
        <f>VLOOKUP($A26,[16]HISTOSEPT22!$A$6:$AU$39,43,0)</f>
        <v>0</v>
      </c>
      <c r="AB26" s="36">
        <f>VLOOKUP($A26,[16]HISTOSEPT22!$A$6:$AU$39,44,0)</f>
        <v>0</v>
      </c>
      <c r="AC26" s="36">
        <f>VLOOKUP($A26,[16]HISTOSEPT22!$A$6:$AU$39,47,0)</f>
        <v>0</v>
      </c>
      <c r="AD26" s="36">
        <f>VLOOKUP(A26,[16]HISTOSEPT22!$A$6:$BB$36,54,0)</f>
        <v>0</v>
      </c>
      <c r="AE26" s="36">
        <f>VLOOKUP($A26,[16]HISTOSEPT22!$A$6:$CA$36,60,0)</f>
        <v>0</v>
      </c>
      <c r="AF26" s="36">
        <f>VLOOKUP($A26,[16]HISTOSEPT22!$A$6:$CA$36,61,0)</f>
        <v>0</v>
      </c>
      <c r="AG26" s="36">
        <f>VLOOKUP($A26,[16]HISTOSEPT22!$A$6:$CA$36,62,0)</f>
        <v>0</v>
      </c>
      <c r="AH26" s="36">
        <f>VLOOKUP($A26,[16]HISTOSEPT22!$A$6:$CA$36,63,0)</f>
        <v>0</v>
      </c>
      <c r="AI26" s="36">
        <f>VLOOKUP($A26,[16]HISTOSEPT22!$A$6:$CA$36,64,0)</f>
        <v>0</v>
      </c>
      <c r="AJ26" s="36">
        <f>VLOOKUP($A26,[16]HISTOSEPT22!$A$6:$CA$36,65,0)</f>
        <v>0</v>
      </c>
    </row>
    <row r="27" spans="1:36" x14ac:dyDescent="0.25">
      <c r="A27" s="1" t="s">
        <v>30</v>
      </c>
      <c r="B27" s="1" t="str">
        <f>VLOOKUP(A27,[15]LISTADHERENT!A$5:H$60,3,0)</f>
        <v>NKEHE DAVID</v>
      </c>
      <c r="C27" s="5"/>
      <c r="D27" s="5"/>
      <c r="E27" s="36">
        <f>VLOOKUP($A27,[16]HISTOSEPT22!$A$6:$BA$39,48,0)</f>
        <v>0</v>
      </c>
      <c r="F27" s="5">
        <f>MVTAOUT22!F27-MVTSEPT22!E27</f>
        <v>534974.27750837663</v>
      </c>
      <c r="G27" s="6">
        <f t="shared" si="1"/>
        <v>0</v>
      </c>
      <c r="H27" s="6">
        <f>MVTAOUT22!H27+MVTAOUT22!G27+K27</f>
        <v>0</v>
      </c>
      <c r="I27" s="36">
        <f>VLOOKUP($A27,[16]HISTOSEPT22!$A$6:$AQ$37,22,0)</f>
        <v>0</v>
      </c>
      <c r="J27" s="36">
        <f>VLOOKUP($A27,[16]HISTOSEPT22!$A$6:$AU$39,45,0)</f>
        <v>0</v>
      </c>
      <c r="K27" s="36">
        <f t="shared" si="2"/>
        <v>0</v>
      </c>
      <c r="L27" s="36">
        <f t="shared" si="3"/>
        <v>0</v>
      </c>
      <c r="M27" s="36">
        <f t="shared" si="4"/>
        <v>0</v>
      </c>
      <c r="N27" s="36">
        <f t="shared" si="5"/>
        <v>0</v>
      </c>
      <c r="O27" s="36">
        <f>VLOOKUP($A27,[16]HISTOSEPT22!$A$6:$AU$39,7,0)</f>
        <v>0</v>
      </c>
      <c r="P27" s="36">
        <f>VLOOKUP($A27,[16]HISTOSEPT22!$A$6:$AU$39,23,0)</f>
        <v>0</v>
      </c>
      <c r="Q27" s="36">
        <f>VLOOKUP($A27,[16]HISTOSEPT22!$A$6:$AU$39,46,0)</f>
        <v>0</v>
      </c>
      <c r="R27" s="36">
        <f>VLOOKUP($A27,[16]HISTOSEPT22!$A$6:$AU$39,26,0)</f>
        <v>0</v>
      </c>
      <c r="S27" s="36">
        <f>VLOOKUP($A27,[16]HISTOSEPT22!$A$6:$BG$39,58,0)</f>
        <v>0</v>
      </c>
      <c r="T27" s="36">
        <f>VLOOKUP($A27,[16]HISTOSEPT22!$A$6:$AU$39,28,0)</f>
        <v>0</v>
      </c>
      <c r="U27" s="36">
        <f>VLOOKUP($A27,[16]HISTOSEPT22!$A$6:$AU$39,19,0)</f>
        <v>0</v>
      </c>
      <c r="V27" s="36">
        <f>VLOOKUP($A27,[16]HISTOSEPT22!$A$6:$AU$39,20,0)</f>
        <v>0</v>
      </c>
      <c r="W27" s="36">
        <f>VLOOKUP($A27,[16]HISTOSEPT22!$A$6:$AU$39,27,0)</f>
        <v>0</v>
      </c>
      <c r="X27" s="36">
        <f>VLOOKUP($A27,[16]HISTOSEPT22!$A$6:$AU$39,33,0)</f>
        <v>0</v>
      </c>
      <c r="Y27" s="36">
        <f>VLOOKUP($A27,[16]HISTOSEPT22!$A$6:$BP$39,65,0)</f>
        <v>0</v>
      </c>
      <c r="Z27" s="36"/>
      <c r="AA27" s="36">
        <f>VLOOKUP($A27,[16]HISTOSEPT22!$A$6:$AU$39,43,0)</f>
        <v>0</v>
      </c>
      <c r="AB27" s="36">
        <f>VLOOKUP($A27,[16]HISTOSEPT22!$A$6:$AU$39,44,0)</f>
        <v>0</v>
      </c>
      <c r="AC27" s="36">
        <f>VLOOKUP($A27,[16]HISTOSEPT22!$A$6:$AU$39,47,0)</f>
        <v>0</v>
      </c>
      <c r="AD27" s="36">
        <f>VLOOKUP(A27,[16]HISTOSEPT22!$A$6:$BB$36,54,0)</f>
        <v>0</v>
      </c>
      <c r="AE27" s="36">
        <f>VLOOKUP($A27,[16]HISTOSEPT22!$A$6:$CA$36,60,0)</f>
        <v>0</v>
      </c>
      <c r="AF27" s="36">
        <f>VLOOKUP($A27,[16]HISTOSEPT22!$A$6:$CA$36,61,0)</f>
        <v>0</v>
      </c>
      <c r="AG27" s="36">
        <f>VLOOKUP($A27,[16]HISTOSEPT22!$A$6:$CA$36,62,0)</f>
        <v>0</v>
      </c>
      <c r="AH27" s="36">
        <f>VLOOKUP($A27,[16]HISTOSEPT22!$A$6:$CA$36,63,0)</f>
        <v>0</v>
      </c>
      <c r="AI27" s="36">
        <f>VLOOKUP($A27,[16]HISTOSEPT22!$A$6:$CA$36,64,0)</f>
        <v>0</v>
      </c>
      <c r="AJ27" s="36">
        <f>VLOOKUP($A27,[16]HISTOSEPT22!$A$6:$CA$36,65,0)</f>
        <v>0</v>
      </c>
    </row>
    <row r="28" spans="1:36" x14ac:dyDescent="0.25">
      <c r="A28" s="1" t="s">
        <v>44</v>
      </c>
      <c r="B28" s="1" t="str">
        <f>VLOOKUP(A28,[15]LISTADHERENT!A$5:H$60,3,0)</f>
        <v>NKEPSEU DIEUDONNE</v>
      </c>
      <c r="C28" s="5"/>
      <c r="D28" s="5"/>
      <c r="E28" s="36">
        <f>VLOOKUP($A28,[16]HISTOSEPT22!$A$6:$BA$39,48,0)</f>
        <v>0</v>
      </c>
      <c r="F28" s="5">
        <f>MVTAOUT22!F28-MVTSEPT22!E28</f>
        <v>570000</v>
      </c>
      <c r="G28" s="6">
        <f t="shared" si="1"/>
        <v>0</v>
      </c>
      <c r="H28" s="6">
        <f>MVTAOUT22!H28+MVTAOUT22!G28+K28</f>
        <v>1085212.5623499337</v>
      </c>
      <c r="I28" s="36">
        <f>VLOOKUP($A28,[16]HISTOSEPT22!$A$6:$AQ$37,22,0)</f>
        <v>0</v>
      </c>
      <c r="J28" s="36">
        <f>VLOOKUP($A28,[16]HISTOSEPT22!$A$6:$AU$39,45,0)</f>
        <v>7000</v>
      </c>
      <c r="K28" s="36">
        <f t="shared" si="2"/>
        <v>3000</v>
      </c>
      <c r="L28" s="36">
        <f t="shared" si="3"/>
        <v>500</v>
      </c>
      <c r="M28" s="36">
        <f t="shared" si="4"/>
        <v>1000</v>
      </c>
      <c r="N28" s="36">
        <f t="shared" si="5"/>
        <v>2500</v>
      </c>
      <c r="O28" s="36">
        <f>VLOOKUP($A28,[16]HISTOSEPT22!$A$6:$AU$39,7,0)</f>
        <v>0</v>
      </c>
      <c r="P28" s="36">
        <f>VLOOKUP($A28,[16]HISTOSEPT22!$A$6:$AU$39,23,0)</f>
        <v>0</v>
      </c>
      <c r="Q28" s="36">
        <f>VLOOKUP($A28,[16]HISTOSEPT22!$A$6:$AU$39,46,0)</f>
        <v>0</v>
      </c>
      <c r="R28" s="36">
        <f>VLOOKUP($A28,[16]HISTOSEPT22!$A$6:$AU$39,26,0)</f>
        <v>0</v>
      </c>
      <c r="S28" s="36">
        <f>VLOOKUP($A28,[16]HISTOSEPT22!$A$6:$BG$39,58,0)</f>
        <v>0</v>
      </c>
      <c r="T28" s="36">
        <f>VLOOKUP($A28,[16]HISTOSEPT22!$A$6:$AU$39,28,0)</f>
        <v>0</v>
      </c>
      <c r="U28" s="36">
        <f>VLOOKUP($A28,[16]HISTOSEPT22!$A$6:$AU$39,19,0)</f>
        <v>0</v>
      </c>
      <c r="V28" s="36">
        <f>VLOOKUP($A28,[16]HISTOSEPT22!$A$6:$AU$39,20,0)</f>
        <v>0</v>
      </c>
      <c r="W28" s="36">
        <f>VLOOKUP($A28,[16]HISTOSEPT22!$A$6:$AU$39,27,0)</f>
        <v>0</v>
      </c>
      <c r="X28" s="36">
        <f>VLOOKUP($A28,[16]HISTOSEPT22!$A$6:$AU$39,33,0)</f>
        <v>0</v>
      </c>
      <c r="Y28" s="36">
        <f>VLOOKUP($A28,[16]HISTOSEPT22!$A$6:$BP$39,65,0)</f>
        <v>0</v>
      </c>
      <c r="Z28" s="36"/>
      <c r="AA28" s="36">
        <f>VLOOKUP($A28,[16]HISTOSEPT22!$A$6:$AU$39,43,0)</f>
        <v>0</v>
      </c>
      <c r="AB28" s="36">
        <f>VLOOKUP($A28,[16]HISTOSEPT22!$A$6:$AU$39,44,0)</f>
        <v>0</v>
      </c>
      <c r="AC28" s="36">
        <f>VLOOKUP($A28,[16]HISTOSEPT22!$A$6:$AU$39,47,0)</f>
        <v>0</v>
      </c>
      <c r="AD28" s="36">
        <f>VLOOKUP(A28,[16]HISTOSEPT22!$A$6:$BB$36,54,0)</f>
        <v>0</v>
      </c>
      <c r="AE28" s="36">
        <f>VLOOKUP($A28,[16]HISTOSEPT22!$A$6:$CA$36,60,0)</f>
        <v>0</v>
      </c>
      <c r="AF28" s="36">
        <f>VLOOKUP($A28,[16]HISTOSEPT22!$A$6:$CA$36,61,0)</f>
        <v>0</v>
      </c>
      <c r="AG28" s="36">
        <f>VLOOKUP($A28,[16]HISTOSEPT22!$A$6:$CA$36,62,0)</f>
        <v>0</v>
      </c>
      <c r="AH28" s="36">
        <f>VLOOKUP($A28,[16]HISTOSEPT22!$A$6:$CA$36,63,0)</f>
        <v>0</v>
      </c>
      <c r="AI28" s="36">
        <f>VLOOKUP($A28,[16]HISTOSEPT22!$A$6:$CA$36,64,0)</f>
        <v>0</v>
      </c>
      <c r="AJ28" s="36">
        <f>VLOOKUP($A28,[16]HISTOSEPT22!$A$6:$CA$36,65,0)</f>
        <v>0</v>
      </c>
    </row>
    <row r="29" spans="1:36" x14ac:dyDescent="0.25">
      <c r="A29" s="1" t="s">
        <v>45</v>
      </c>
      <c r="B29" s="1" t="str">
        <f>VLOOKUP(A29,[15]LISTADHERENT!A$5:H$60,3,0)</f>
        <v>PATEGO NJOSSU GUSTAVE</v>
      </c>
      <c r="C29" s="5"/>
      <c r="D29" s="5"/>
      <c r="E29" s="36">
        <f>VLOOKUP($A29,[16]HISTOSEPT22!$A$6:$BA$39,48,0)</f>
        <v>0</v>
      </c>
      <c r="F29" s="5">
        <f>MVTAOUT22!F29-MVTSEPT22!E29</f>
        <v>570000</v>
      </c>
      <c r="G29" s="6">
        <f t="shared" si="1"/>
        <v>0</v>
      </c>
      <c r="H29" s="6">
        <f>MVTAOUT22!H29+MVTAOUT22!G29+K29</f>
        <v>683779.4941398229</v>
      </c>
      <c r="I29" s="36">
        <f>VLOOKUP($A29,[16]HISTOSEPT22!$A$6:$AQ$37,22,0)</f>
        <v>0</v>
      </c>
      <c r="J29" s="36">
        <f>VLOOKUP($A29,[16]HISTOSEPT22!$A$6:$AU$39,45,0)</f>
        <v>7000</v>
      </c>
      <c r="K29" s="36">
        <f t="shared" si="2"/>
        <v>3000</v>
      </c>
      <c r="L29" s="36">
        <f t="shared" si="3"/>
        <v>500</v>
      </c>
      <c r="M29" s="36">
        <f t="shared" si="4"/>
        <v>1000</v>
      </c>
      <c r="N29" s="36">
        <f t="shared" si="5"/>
        <v>2500</v>
      </c>
      <c r="O29" s="36">
        <f>VLOOKUP($A29,[16]HISTOSEPT22!$A$6:$AU$39,7,0)</f>
        <v>0</v>
      </c>
      <c r="P29" s="36">
        <f>VLOOKUP($A29,[16]HISTOSEPT22!$A$6:$AU$39,23,0)</f>
        <v>0</v>
      </c>
      <c r="Q29" s="36">
        <f>VLOOKUP($A29,[16]HISTOSEPT22!$A$6:$AU$39,46,0)</f>
        <v>0</v>
      </c>
      <c r="R29" s="36">
        <f>VLOOKUP($A29,[16]HISTOSEPT22!$A$6:$AU$39,26,0)</f>
        <v>0</v>
      </c>
      <c r="S29" s="36">
        <f>VLOOKUP($A29,[16]HISTOSEPT22!$A$6:$BG$39,58,0)</f>
        <v>0</v>
      </c>
      <c r="T29" s="36">
        <f>VLOOKUP($A29,[16]HISTOSEPT22!$A$6:$AU$39,28,0)</f>
        <v>0</v>
      </c>
      <c r="U29" s="36">
        <f>VLOOKUP($A29,[16]HISTOSEPT22!$A$6:$AU$39,19,0)</f>
        <v>0</v>
      </c>
      <c r="V29" s="36">
        <f>VLOOKUP($A29,[16]HISTOSEPT22!$A$6:$AU$39,20,0)</f>
        <v>0</v>
      </c>
      <c r="W29" s="36">
        <f>VLOOKUP($A29,[16]HISTOSEPT22!$A$6:$AU$39,27,0)</f>
        <v>0</v>
      </c>
      <c r="X29" s="36">
        <f>VLOOKUP($A29,[16]HISTOSEPT22!$A$6:$AU$39,33,0)</f>
        <v>0</v>
      </c>
      <c r="Y29" s="36">
        <f>VLOOKUP($A29,[16]HISTOSEPT22!$A$6:$BP$39,65,0)</f>
        <v>0</v>
      </c>
      <c r="Z29" s="36"/>
      <c r="AA29" s="36">
        <f>VLOOKUP($A29,[16]HISTOSEPT22!$A$6:$AU$39,43,0)</f>
        <v>0</v>
      </c>
      <c r="AB29" s="36">
        <f>VLOOKUP($A29,[16]HISTOSEPT22!$A$6:$AU$39,44,0)</f>
        <v>0</v>
      </c>
      <c r="AC29" s="36">
        <f>VLOOKUP($A29,[16]HISTOSEPT22!$A$6:$AU$39,47,0)</f>
        <v>0</v>
      </c>
      <c r="AD29" s="36">
        <f>VLOOKUP(A29,[16]HISTOSEPT22!$A$6:$BB$36,54,0)</f>
        <v>0</v>
      </c>
      <c r="AE29" s="36">
        <f>VLOOKUP($A29,[16]HISTOSEPT22!$A$6:$CA$36,60,0)</f>
        <v>0</v>
      </c>
      <c r="AF29" s="36">
        <f>VLOOKUP($A29,[16]HISTOSEPT22!$A$6:$CA$36,61,0)</f>
        <v>0</v>
      </c>
      <c r="AG29" s="36">
        <f>VLOOKUP($A29,[16]HISTOSEPT22!$A$6:$CA$36,62,0)</f>
        <v>0</v>
      </c>
      <c r="AH29" s="36">
        <f>VLOOKUP($A29,[16]HISTOSEPT22!$A$6:$CA$36,63,0)</f>
        <v>0</v>
      </c>
      <c r="AI29" s="36">
        <f>VLOOKUP($A29,[16]HISTOSEPT22!$A$6:$CA$36,64,0)</f>
        <v>0</v>
      </c>
      <c r="AJ29" s="36">
        <f>VLOOKUP($A29,[16]HISTOSEPT22!$A$6:$CA$36,65,0)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VLOOKUP($A30,[16]HISTOSEPT22!$A$6:$BA$39,48,0)</f>
        <v>0</v>
      </c>
      <c r="F30" s="5">
        <f>MVTAOUT22!F30-MVTSEPT22!E30</f>
        <v>570000</v>
      </c>
      <c r="G30" s="6">
        <f t="shared" si="1"/>
        <v>0</v>
      </c>
      <c r="H30" s="6">
        <f>MVTAOUT22!H30+MVTAOUT22!G30+K30</f>
        <v>963586.52115837496</v>
      </c>
      <c r="I30" s="36">
        <f>VLOOKUP($A30,[16]HISTOSEPT22!$A$6:$AQ$37,22,0)</f>
        <v>0</v>
      </c>
      <c r="J30" s="36">
        <f>VLOOKUP($A30,[16]HISTOSEPT22!$A$6:$AU$39,45,0)</f>
        <v>7000</v>
      </c>
      <c r="K30" s="36">
        <f t="shared" si="2"/>
        <v>3000</v>
      </c>
      <c r="L30" s="36">
        <f t="shared" si="3"/>
        <v>500</v>
      </c>
      <c r="M30" s="36">
        <f t="shared" si="4"/>
        <v>1000</v>
      </c>
      <c r="N30" s="36">
        <f t="shared" si="5"/>
        <v>2500</v>
      </c>
      <c r="O30" s="36">
        <f>VLOOKUP($A30,[16]HISTOSEPT22!$A$6:$AU$39,7,0)</f>
        <v>0</v>
      </c>
      <c r="P30" s="36">
        <f>VLOOKUP($A30,[16]HISTOSEPT22!$A$6:$AU$39,23,0)</f>
        <v>0</v>
      </c>
      <c r="Q30" s="36">
        <f>VLOOKUP($A30,[16]HISTOSEPT22!$A$6:$AU$39,46,0)</f>
        <v>0</v>
      </c>
      <c r="R30" s="36">
        <f>VLOOKUP($A30,[16]HISTOSEPT22!$A$6:$AU$39,26,0)</f>
        <v>0</v>
      </c>
      <c r="S30" s="36">
        <f>VLOOKUP($A30,[16]HISTOSEPT22!$A$6:$BG$39,58,0)</f>
        <v>0</v>
      </c>
      <c r="T30" s="36">
        <f>VLOOKUP($A30,[16]HISTOSEPT22!$A$6:$AU$39,28,0)</f>
        <v>0</v>
      </c>
      <c r="U30" s="36">
        <f>VLOOKUP($A30,[16]HISTOSEPT22!$A$6:$AU$39,19,0)</f>
        <v>0</v>
      </c>
      <c r="V30" s="36">
        <f>VLOOKUP($A30,[16]HISTOSEPT22!$A$6:$AU$39,20,0)</f>
        <v>0</v>
      </c>
      <c r="W30" s="36">
        <f>VLOOKUP($A30,[16]HISTOSEPT22!$A$6:$AU$39,27,0)</f>
        <v>0</v>
      </c>
      <c r="X30" s="36">
        <f>VLOOKUP($A30,[16]HISTOSEPT22!$A$6:$AU$39,33,0)</f>
        <v>0</v>
      </c>
      <c r="Y30" s="36">
        <f>VLOOKUP($A30,[16]HISTOSEPT22!$A$6:$BP$39,65,0)</f>
        <v>0</v>
      </c>
      <c r="Z30" s="36"/>
      <c r="AA30" s="36">
        <f>VLOOKUP($A30,[16]HISTOSEPT22!$A$6:$AU$39,43,0)</f>
        <v>0</v>
      </c>
      <c r="AB30" s="36">
        <f>VLOOKUP($A30,[16]HISTOSEPT22!$A$6:$AU$39,44,0)</f>
        <v>0</v>
      </c>
      <c r="AC30" s="36">
        <f>VLOOKUP($A30,[16]HISTOSEPT22!$A$6:$AU$39,47,0)</f>
        <v>0</v>
      </c>
      <c r="AD30" s="36">
        <f>VLOOKUP(A30,[16]HISTOSEPT22!$A$6:$BB$36,54,0)</f>
        <v>70000</v>
      </c>
      <c r="AE30" s="36">
        <f>VLOOKUP($A30,[16]HISTOSEPT22!$A$6:$CA$36,60,0)</f>
        <v>0</v>
      </c>
      <c r="AF30" s="36">
        <f>VLOOKUP($A30,[16]HISTOSEPT22!$A$6:$CA$36,61,0)</f>
        <v>0</v>
      </c>
      <c r="AG30" s="36">
        <f>VLOOKUP($A30,[16]HISTOSEPT22!$A$6:$CA$36,62,0)</f>
        <v>0</v>
      </c>
      <c r="AH30" s="36">
        <f>VLOOKUP($A30,[16]HISTOSEPT22!$A$6:$CA$36,63,0)</f>
        <v>0</v>
      </c>
      <c r="AI30" s="36">
        <f>VLOOKUP($A30,[16]HISTOSEPT22!$A$6:$CA$36,64,0)</f>
        <v>0</v>
      </c>
      <c r="AJ30" s="36">
        <f>VLOOKUP($A30,[16]HISTOSEPT22!$A$6:$CA$36,65,0)</f>
        <v>0</v>
      </c>
    </row>
    <row r="31" spans="1:36" x14ac:dyDescent="0.25">
      <c r="A31" s="1" t="s">
        <v>47</v>
      </c>
      <c r="B31" s="1" t="str">
        <f>VLOOKUP(A31,[15]LISTADHERENT!A$5:H$60,3,0)</f>
        <v>SIMO FONGANG ERIC</v>
      </c>
      <c r="C31" s="5"/>
      <c r="D31" s="5"/>
      <c r="E31" s="36">
        <f>VLOOKUP($A31,[16]HISTOSEPT22!$A$6:$BA$39,48,0)</f>
        <v>0</v>
      </c>
      <c r="F31" s="5">
        <f>MVTAOUT22!F31-MVTSEPT22!E31</f>
        <v>570000</v>
      </c>
      <c r="G31" s="6">
        <f t="shared" si="1"/>
        <v>0</v>
      </c>
      <c r="H31" s="6">
        <f>MVTAOUT22!H31+MVTAOUT22!G31+K31</f>
        <v>0</v>
      </c>
      <c r="I31" s="36">
        <f>VLOOKUP($A31,[16]HISTOSEPT22!$A$6:$AQ$37,22,0)</f>
        <v>0</v>
      </c>
      <c r="J31" s="36">
        <f>VLOOKUP($A31,[16]HISTOSEPT22!$A$6:$AU$39,45,0)</f>
        <v>0</v>
      </c>
      <c r="K31" s="36">
        <f t="shared" si="2"/>
        <v>0</v>
      </c>
      <c r="L31" s="36">
        <f t="shared" si="3"/>
        <v>0</v>
      </c>
      <c r="M31" s="36">
        <f t="shared" si="4"/>
        <v>0</v>
      </c>
      <c r="N31" s="36">
        <f t="shared" si="5"/>
        <v>0</v>
      </c>
      <c r="O31" s="36">
        <f>VLOOKUP($A31,[16]HISTOSEPT22!$A$6:$AU$39,7,0)</f>
        <v>0</v>
      </c>
      <c r="P31" s="36">
        <f>VLOOKUP($A31,[16]HISTOSEPT22!$A$6:$AU$39,23,0)</f>
        <v>0</v>
      </c>
      <c r="Q31" s="36">
        <f>VLOOKUP($A31,[16]HISTOSEPT22!$A$6:$AU$39,46,0)</f>
        <v>0</v>
      </c>
      <c r="R31" s="36">
        <f>VLOOKUP($A31,[16]HISTOSEPT22!$A$6:$AU$39,26,0)</f>
        <v>0</v>
      </c>
      <c r="S31" s="36">
        <f>VLOOKUP($A31,[16]HISTOSEPT22!$A$6:$BG$39,58,0)</f>
        <v>0</v>
      </c>
      <c r="T31" s="36">
        <f>VLOOKUP($A31,[16]HISTOSEPT22!$A$6:$AU$39,28,0)</f>
        <v>0</v>
      </c>
      <c r="U31" s="36">
        <f>VLOOKUP($A31,[16]HISTOSEPT22!$A$6:$AU$39,19,0)</f>
        <v>0</v>
      </c>
      <c r="V31" s="36">
        <f>VLOOKUP($A31,[16]HISTOSEPT22!$A$6:$AU$39,20,0)</f>
        <v>0</v>
      </c>
      <c r="W31" s="36">
        <f>VLOOKUP($A31,[16]HISTOSEPT22!$A$6:$AU$39,27,0)</f>
        <v>0</v>
      </c>
      <c r="X31" s="36">
        <f>VLOOKUP($A31,[16]HISTOSEPT22!$A$6:$AU$39,33,0)</f>
        <v>0</v>
      </c>
      <c r="Y31" s="36">
        <f>VLOOKUP($A31,[16]HISTOSEPT22!$A$6:$BP$39,65,0)</f>
        <v>0</v>
      </c>
      <c r="Z31" s="36"/>
      <c r="AA31" s="36">
        <f>VLOOKUP($A31,[16]HISTOSEPT22!$A$6:$AU$39,43,0)</f>
        <v>0</v>
      </c>
      <c r="AB31" s="36">
        <f>VLOOKUP($A31,[16]HISTOSEPT22!$A$6:$AU$39,44,0)</f>
        <v>0</v>
      </c>
      <c r="AC31" s="36">
        <f>VLOOKUP($A31,[16]HISTOSEPT22!$A$6:$AU$39,47,0)</f>
        <v>0</v>
      </c>
      <c r="AD31" s="36">
        <f>VLOOKUP(A31,[16]HISTOSEPT22!$A$6:$BB$36,54,0)</f>
        <v>0</v>
      </c>
      <c r="AE31" s="36">
        <f>VLOOKUP($A31,[16]HISTOSEPT22!$A$6:$CA$36,60,0)</f>
        <v>0</v>
      </c>
      <c r="AF31" s="36">
        <f>VLOOKUP($A31,[16]HISTOSEPT22!$A$6:$CA$36,61,0)</f>
        <v>0</v>
      </c>
      <c r="AG31" s="36">
        <f>VLOOKUP($A31,[16]HISTOSEPT22!$A$6:$CA$36,62,0)</f>
        <v>0</v>
      </c>
      <c r="AH31" s="36">
        <f>VLOOKUP($A31,[16]HISTOSEPT22!$A$6:$CA$36,63,0)</f>
        <v>0</v>
      </c>
      <c r="AI31" s="36">
        <f>VLOOKUP($A31,[16]HISTOSEPT22!$A$6:$CA$36,64,0)</f>
        <v>0</v>
      </c>
      <c r="AJ31" s="36">
        <f>VLOOKUP($A31,[16]HISTOSEPT22!$A$6:$CA$36,65,0)</f>
        <v>0</v>
      </c>
    </row>
    <row r="32" spans="1:36" x14ac:dyDescent="0.25">
      <c r="A32" s="1" t="s">
        <v>49</v>
      </c>
      <c r="B32" s="1" t="str">
        <f>VLOOKUP(A32,[15]LISTADHERENT!A$5:H$60,3,0)</f>
        <v>SIMO PIERRE</v>
      </c>
      <c r="C32" s="5"/>
      <c r="D32" s="5"/>
      <c r="E32" s="36">
        <f>VLOOKUP($A32,[16]HISTOSEPT22!$A$6:$BA$39,48,0)</f>
        <v>0</v>
      </c>
      <c r="F32" s="5">
        <f>MVTAOUT22!F32-MVTSEPT22!E32</f>
        <v>570000</v>
      </c>
      <c r="G32" s="6">
        <f t="shared" si="1"/>
        <v>0</v>
      </c>
      <c r="H32" s="6">
        <f>MVTAOUT22!H32+MVTAOUT22!G32+K32</f>
        <v>823766.23508830485</v>
      </c>
      <c r="I32" s="36">
        <f>VLOOKUP($A32,[16]HISTOSEPT22!$A$6:$AQ$37,22,0)</f>
        <v>0</v>
      </c>
      <c r="J32" s="36">
        <f>VLOOKUP($A32,[16]HISTOSEPT22!$A$6:$AU$39,45,0)</f>
        <v>12000</v>
      </c>
      <c r="K32" s="36">
        <f t="shared" si="2"/>
        <v>8000</v>
      </c>
      <c r="L32" s="36">
        <f t="shared" si="3"/>
        <v>500</v>
      </c>
      <c r="M32" s="36">
        <f t="shared" si="4"/>
        <v>1000</v>
      </c>
      <c r="N32" s="36">
        <f t="shared" si="5"/>
        <v>2500</v>
      </c>
      <c r="O32" s="36">
        <f>VLOOKUP($A32,[16]HISTOSEPT22!$A$6:$AU$39,7,0)</f>
        <v>0</v>
      </c>
      <c r="P32" s="36">
        <f>VLOOKUP($A32,[16]HISTOSEPT22!$A$6:$AU$39,23,0)</f>
        <v>0</v>
      </c>
      <c r="Q32" s="36">
        <f>VLOOKUP($A32,[16]HISTOSEPT22!$A$6:$AU$39,46,0)</f>
        <v>0</v>
      </c>
      <c r="R32" s="36">
        <f>VLOOKUP($A32,[16]HISTOSEPT22!$A$6:$AU$39,26,0)</f>
        <v>0</v>
      </c>
      <c r="S32" s="36">
        <f>VLOOKUP($A32,[16]HISTOSEPT22!$A$6:$BG$39,58,0)</f>
        <v>0</v>
      </c>
      <c r="T32" s="36">
        <f>VLOOKUP($A32,[16]HISTOSEPT22!$A$6:$AU$39,28,0)</f>
        <v>0</v>
      </c>
      <c r="U32" s="36">
        <f>VLOOKUP($A32,[16]HISTOSEPT22!$A$6:$AU$39,19,0)</f>
        <v>0</v>
      </c>
      <c r="V32" s="36">
        <f>VLOOKUP($A32,[16]HISTOSEPT22!$A$6:$AU$39,20,0)</f>
        <v>0</v>
      </c>
      <c r="W32" s="36">
        <f>VLOOKUP($A32,[16]HISTOSEPT22!$A$6:$AU$39,27,0)</f>
        <v>0</v>
      </c>
      <c r="X32" s="36">
        <f>VLOOKUP($A32,[16]HISTOSEPT22!$A$6:$AU$39,33,0)</f>
        <v>0</v>
      </c>
      <c r="Y32" s="36">
        <f>VLOOKUP($A32,[16]HISTOSEPT22!$A$6:$BP$39,65,0)</f>
        <v>0</v>
      </c>
      <c r="Z32" s="36"/>
      <c r="AA32" s="36">
        <f>VLOOKUP($A32,[16]HISTOSEPT22!$A$6:$AU$39,43,0)</f>
        <v>0</v>
      </c>
      <c r="AB32" s="36">
        <f>VLOOKUP($A32,[16]HISTOSEPT22!$A$6:$AU$39,44,0)</f>
        <v>0</v>
      </c>
      <c r="AC32" s="36">
        <f>VLOOKUP($A32,[16]HISTOSEPT22!$A$6:$AU$39,47,0)</f>
        <v>0</v>
      </c>
      <c r="AD32" s="36">
        <f>VLOOKUP(A32,[16]HISTOSEPT22!$A$6:$BB$36,54,0)</f>
        <v>0</v>
      </c>
      <c r="AE32" s="36">
        <f>VLOOKUP($A32,[16]HISTOSEPT22!$A$6:$CA$36,60,0)</f>
        <v>0</v>
      </c>
      <c r="AF32" s="36">
        <f>VLOOKUP($A32,[16]HISTOSEPT22!$A$6:$CA$36,61,0)</f>
        <v>0</v>
      </c>
      <c r="AG32" s="36">
        <f>VLOOKUP($A32,[16]HISTOSEPT22!$A$6:$CA$36,62,0)</f>
        <v>0</v>
      </c>
      <c r="AH32" s="36">
        <f>VLOOKUP($A32,[16]HISTOSEPT22!$A$6:$CA$36,63,0)</f>
        <v>0</v>
      </c>
      <c r="AI32" s="36">
        <f>VLOOKUP($A32,[16]HISTOSEPT22!$A$6:$CA$36,64,0)</f>
        <v>0</v>
      </c>
      <c r="AJ32" s="36">
        <f>VLOOKUP($A32,[16]HISTOSEPT22!$A$6:$CA$36,65,0)</f>
        <v>0</v>
      </c>
    </row>
    <row r="33" spans="1:36" x14ac:dyDescent="0.25">
      <c r="A33" s="1" t="s">
        <v>51</v>
      </c>
      <c r="B33" s="1" t="str">
        <f>VLOOKUP(A33,[15]LISTADHERENT!A$5:H$60,3,0)</f>
        <v>TCHOUAMOU MATHIEU</v>
      </c>
      <c r="C33" s="5"/>
      <c r="D33" s="5"/>
      <c r="E33" s="36">
        <f>VLOOKUP($A33,[16]HISTOSEPT22!$A$6:$BA$39,48,0)</f>
        <v>0</v>
      </c>
      <c r="F33" s="5">
        <f>MVTAOUT22!F33-MVTSEPT22!E33</f>
        <v>570000</v>
      </c>
      <c r="G33" s="6">
        <f t="shared" si="1"/>
        <v>0</v>
      </c>
      <c r="H33" s="6">
        <f>MVTAOUT22!H33+MVTAOUT22!G33+K33</f>
        <v>666504.06835924077</v>
      </c>
      <c r="I33" s="36">
        <f>VLOOKUP($A33,[16]HISTOSEPT22!$A$6:$AQ$37,22,0)</f>
        <v>0</v>
      </c>
      <c r="J33" s="36">
        <f>VLOOKUP($A33,[16]HISTOSEPT22!$A$6:$AU$39,45,0)</f>
        <v>7000</v>
      </c>
      <c r="K33" s="36">
        <f t="shared" si="2"/>
        <v>3000</v>
      </c>
      <c r="L33" s="36">
        <f t="shared" si="3"/>
        <v>500</v>
      </c>
      <c r="M33" s="36">
        <f t="shared" si="4"/>
        <v>1000</v>
      </c>
      <c r="N33" s="36">
        <f t="shared" si="5"/>
        <v>2500</v>
      </c>
      <c r="O33" s="36">
        <f>VLOOKUP($A33,[16]HISTOSEPT22!$A$6:$AU$39,7,0)</f>
        <v>0</v>
      </c>
      <c r="P33" s="36">
        <f>VLOOKUP($A33,[16]HISTOSEPT22!$A$6:$AU$39,23,0)</f>
        <v>0</v>
      </c>
      <c r="Q33" s="36">
        <f>VLOOKUP($A33,[16]HISTOSEPT22!$A$6:$AU$39,46,0)</f>
        <v>0</v>
      </c>
      <c r="R33" s="36">
        <f>VLOOKUP($A33,[16]HISTOSEPT22!$A$6:$AU$39,26,0)</f>
        <v>0</v>
      </c>
      <c r="S33" s="36">
        <f>VLOOKUP($A33,[16]HISTOSEPT22!$A$6:$BG$39,58,0)</f>
        <v>0</v>
      </c>
      <c r="T33" s="36">
        <f>VLOOKUP($A33,[16]HISTOSEPT22!$A$6:$AU$39,28,0)</f>
        <v>0</v>
      </c>
      <c r="U33" s="36">
        <f>VLOOKUP($A33,[16]HISTOSEPT22!$A$6:$AU$39,19,0)</f>
        <v>0</v>
      </c>
      <c r="V33" s="36">
        <f>VLOOKUP($A33,[16]HISTOSEPT22!$A$6:$AU$39,20,0)</f>
        <v>0</v>
      </c>
      <c r="W33" s="36">
        <f>VLOOKUP($A33,[16]HISTOSEPT22!$A$6:$AU$39,27,0)</f>
        <v>0</v>
      </c>
      <c r="X33" s="36">
        <f>VLOOKUP($A33,[16]HISTOSEPT22!$A$6:$AU$39,33,0)</f>
        <v>0</v>
      </c>
      <c r="Y33" s="36">
        <f>VLOOKUP($A33,[16]HISTOSEPT22!$A$6:$BP$39,65,0)</f>
        <v>0</v>
      </c>
      <c r="Z33" s="36"/>
      <c r="AA33" s="36">
        <f>VLOOKUP($A33,[16]HISTOSEPT22!$A$6:$AU$39,43,0)</f>
        <v>0</v>
      </c>
      <c r="AB33" s="36">
        <f>VLOOKUP($A33,[16]HISTOSEPT22!$A$6:$AU$39,44,0)</f>
        <v>0</v>
      </c>
      <c r="AC33" s="36">
        <f>VLOOKUP($A33,[16]HISTOSEPT22!$A$6:$AU$39,47,0)</f>
        <v>0</v>
      </c>
      <c r="AD33" s="36">
        <f>VLOOKUP(A33,[16]HISTOSEPT22!$A$6:$BB$36,54,0)</f>
        <v>0</v>
      </c>
      <c r="AE33" s="36">
        <f>VLOOKUP($A33,[16]HISTOSEPT22!$A$6:$CA$36,60,0)</f>
        <v>0</v>
      </c>
      <c r="AF33" s="36">
        <f>VLOOKUP($A33,[16]HISTOSEPT22!$A$6:$CA$36,61,0)</f>
        <v>0</v>
      </c>
      <c r="AG33" s="36">
        <f>VLOOKUP($A33,[16]HISTOSEPT22!$A$6:$CA$36,62,0)</f>
        <v>0</v>
      </c>
      <c r="AH33" s="36">
        <f>VLOOKUP($A33,[16]HISTOSEPT22!$A$6:$CA$36,63,0)</f>
        <v>0</v>
      </c>
      <c r="AI33" s="36">
        <f>VLOOKUP($A33,[16]HISTOSEPT22!$A$6:$CA$36,64,0)</f>
        <v>0</v>
      </c>
      <c r="AJ33" s="36">
        <f>VLOOKUP($A33,[16]HISTOSEPT22!$A$6:$CA$36,65,0)</f>
        <v>0</v>
      </c>
    </row>
    <row r="34" spans="1:36" x14ac:dyDescent="0.25">
      <c r="A34" s="1" t="s">
        <v>54</v>
      </c>
      <c r="B34" s="1" t="str">
        <f>VLOOKUP(A34,[15]LISTADHERENT!A$5:H$60,3,0)</f>
        <v>TIEYAM ERNEST</v>
      </c>
      <c r="C34" s="5"/>
      <c r="D34" s="5"/>
      <c r="E34" s="36">
        <f>VLOOKUP($A34,[16]HISTOSEPT22!$A$6:$BA$39,48,0)</f>
        <v>0</v>
      </c>
      <c r="F34" s="5">
        <f>MVTAOUT22!F34-MVTSEPT22!E34</f>
        <v>535508.27831700875</v>
      </c>
      <c r="G34" s="6">
        <f t="shared" si="1"/>
        <v>0</v>
      </c>
      <c r="H34" s="6">
        <f>MVTAOUT22!H34+MVTAOUT22!G34+K34</f>
        <v>0</v>
      </c>
      <c r="I34" s="36">
        <f>VLOOKUP($A34,[16]HISTOSEPT22!$A$6:$AQ$37,22,0)</f>
        <v>0</v>
      </c>
      <c r="J34" s="36">
        <f>VLOOKUP($A34,[16]HISTOSEPT22!$A$6:$AU$39,45,0)</f>
        <v>0</v>
      </c>
      <c r="K34" s="36">
        <f t="shared" si="2"/>
        <v>0</v>
      </c>
      <c r="L34" s="36">
        <f t="shared" si="3"/>
        <v>0</v>
      </c>
      <c r="M34" s="36">
        <f t="shared" si="4"/>
        <v>0</v>
      </c>
      <c r="N34" s="36">
        <f t="shared" si="5"/>
        <v>0</v>
      </c>
      <c r="O34" s="36">
        <f>VLOOKUP($A34,[16]HISTOSEPT22!$A$6:$AU$39,7,0)</f>
        <v>0</v>
      </c>
      <c r="P34" s="36">
        <f>VLOOKUP($A34,[16]HISTOSEPT22!$A$6:$AU$39,23,0)</f>
        <v>0</v>
      </c>
      <c r="Q34" s="36">
        <f>VLOOKUP($A34,[16]HISTOSEPT22!$A$6:$AU$39,46,0)</f>
        <v>0</v>
      </c>
      <c r="R34" s="36">
        <f>VLOOKUP($A34,[16]HISTOSEPT22!$A$6:$AU$39,26,0)</f>
        <v>0</v>
      </c>
      <c r="S34" s="36">
        <f>VLOOKUP($A34,[16]HISTOSEPT22!$A$6:$BG$39,58,0)</f>
        <v>0</v>
      </c>
      <c r="T34" s="36">
        <f>VLOOKUP($A34,[16]HISTOSEPT22!$A$6:$AU$39,28,0)</f>
        <v>0</v>
      </c>
      <c r="U34" s="36">
        <f>VLOOKUP($A34,[16]HISTOSEPT22!$A$6:$AU$39,19,0)</f>
        <v>0</v>
      </c>
      <c r="V34" s="36">
        <f>VLOOKUP($A34,[16]HISTOSEPT22!$A$6:$AU$39,20,0)</f>
        <v>0</v>
      </c>
      <c r="W34" s="36">
        <f>VLOOKUP($A34,[16]HISTOSEPT22!$A$6:$AU$39,27,0)</f>
        <v>0</v>
      </c>
      <c r="X34" s="36">
        <f>VLOOKUP($A34,[16]HISTOSEPT22!$A$6:$AU$39,33,0)</f>
        <v>0</v>
      </c>
      <c r="Y34" s="36">
        <f>VLOOKUP($A34,[16]HISTOSEPT22!$A$6:$BP$39,65,0)</f>
        <v>0</v>
      </c>
      <c r="Z34" s="36"/>
      <c r="AA34" s="36">
        <f>VLOOKUP($A34,[16]HISTOSEPT22!$A$6:$AU$39,43,0)</f>
        <v>0</v>
      </c>
      <c r="AB34" s="36">
        <f>VLOOKUP($A34,[16]HISTOSEPT22!$A$6:$AU$39,44,0)</f>
        <v>0</v>
      </c>
      <c r="AC34" s="36">
        <f>VLOOKUP($A34,[16]HISTOSEPT22!$A$6:$AU$39,47,0)</f>
        <v>0</v>
      </c>
      <c r="AD34" s="36">
        <f>VLOOKUP(A34,[16]HISTOSEPT22!$A$6:$BB$36,54,0)</f>
        <v>0</v>
      </c>
      <c r="AE34" s="36">
        <f>VLOOKUP($A34,[16]HISTOSEPT22!$A$6:$CA$36,60,0)</f>
        <v>0</v>
      </c>
      <c r="AF34" s="36">
        <f>VLOOKUP($A34,[16]HISTOSEPT22!$A$6:$CA$36,61,0)</f>
        <v>0</v>
      </c>
      <c r="AG34" s="36">
        <f>VLOOKUP($A34,[16]HISTOSEPT22!$A$6:$CA$36,62,0)</f>
        <v>0</v>
      </c>
      <c r="AH34" s="36">
        <f>VLOOKUP($A34,[16]HISTOSEPT22!$A$6:$CA$36,63,0)</f>
        <v>0</v>
      </c>
      <c r="AI34" s="36">
        <f>VLOOKUP($A34,[16]HISTOSEPT22!$A$6:$CA$36,64,0)</f>
        <v>0</v>
      </c>
      <c r="AJ34" s="36">
        <f>VLOOKUP($A34,[16]HISTOSEPT22!$A$6:$CA$36,65,0)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VLOOKUP($A35,[16]HISTOSEPT22!$A$6:$BA$39,48,0)</f>
        <v>0</v>
      </c>
      <c r="F35" s="5">
        <f>MVTAOUT22!F35-MVTSEPT22!E35</f>
        <v>570000</v>
      </c>
      <c r="G35" s="6">
        <f t="shared" si="1"/>
        <v>0</v>
      </c>
      <c r="H35" s="6">
        <f>MVTAOUT22!H35+MVTAOUT22!G35+K35</f>
        <v>1558629.3798302331</v>
      </c>
      <c r="I35" s="36">
        <f>VLOOKUP($A35,[16]HISTOSEPT22!$A$6:$AQ$37,22,0)</f>
        <v>0</v>
      </c>
      <c r="J35" s="36">
        <f>VLOOKUP($A35,[16]HISTOSEPT22!$A$6:$AU$39,45,0)</f>
        <v>7000</v>
      </c>
      <c r="K35" s="36">
        <f t="shared" si="2"/>
        <v>3000</v>
      </c>
      <c r="L35" s="36">
        <f t="shared" si="3"/>
        <v>500</v>
      </c>
      <c r="M35" s="36">
        <f t="shared" si="4"/>
        <v>1000</v>
      </c>
      <c r="N35" s="36">
        <f t="shared" si="5"/>
        <v>2500</v>
      </c>
      <c r="O35" s="36">
        <f>VLOOKUP($A35,[16]HISTOSEPT22!$A$6:$AU$39,7,0)</f>
        <v>0</v>
      </c>
      <c r="P35" s="36">
        <f>VLOOKUP($A35,[16]HISTOSEPT22!$A$6:$AU$39,23,0)</f>
        <v>0</v>
      </c>
      <c r="Q35" s="36">
        <f>VLOOKUP($A35,[16]HISTOSEPT22!$A$6:$AU$39,46,0)</f>
        <v>0</v>
      </c>
      <c r="R35" s="36">
        <f>VLOOKUP($A35,[16]HISTOSEPT22!$A$6:$AU$39,26,0)</f>
        <v>0</v>
      </c>
      <c r="S35" s="36">
        <f>VLOOKUP($A35,[16]HISTOSEPT22!$A$6:$BG$39,58,0)</f>
        <v>0</v>
      </c>
      <c r="T35" s="36">
        <f>VLOOKUP($A35,[16]HISTOSEPT22!$A$6:$AU$39,28,0)</f>
        <v>0</v>
      </c>
      <c r="U35" s="36">
        <f>VLOOKUP($A35,[16]HISTOSEPT22!$A$6:$AU$39,19,0)</f>
        <v>0</v>
      </c>
      <c r="V35" s="36">
        <f>VLOOKUP($A35,[16]HISTOSEPT22!$A$6:$AU$39,20,0)</f>
        <v>0</v>
      </c>
      <c r="W35" s="36">
        <f>VLOOKUP($A35,[16]HISTOSEPT22!$A$6:$AU$39,27,0)</f>
        <v>0</v>
      </c>
      <c r="X35" s="36">
        <f>VLOOKUP($A35,[16]HISTOSEPT22!$A$6:$AU$39,33,0)</f>
        <v>0</v>
      </c>
      <c r="Y35" s="36">
        <f>VLOOKUP($A35,[16]HISTOSEPT22!$A$6:$BP$39,65,0)</f>
        <v>0</v>
      </c>
      <c r="Z35" s="36"/>
      <c r="AA35" s="36">
        <f>VLOOKUP($A35,[16]HISTOSEPT22!$A$6:$AU$39,43,0)</f>
        <v>0</v>
      </c>
      <c r="AB35" s="36">
        <f>VLOOKUP($A35,[16]HISTOSEPT22!$A$6:$AU$39,44,0)</f>
        <v>0</v>
      </c>
      <c r="AC35" s="36">
        <f>VLOOKUP($A35,[16]HISTOSEPT22!$A$6:$AU$39,47,0)</f>
        <v>0</v>
      </c>
      <c r="AD35" s="36">
        <f>VLOOKUP(A35,[16]HISTOSEPT22!$A$6:$BB$36,54,0)</f>
        <v>0</v>
      </c>
      <c r="AE35" s="36">
        <f>VLOOKUP($A35,[16]HISTOSEPT22!$A$6:$CA$36,60,0)</f>
        <v>0</v>
      </c>
      <c r="AF35" s="36">
        <f>VLOOKUP($A35,[16]HISTOSEPT22!$A$6:$CA$36,61,0)</f>
        <v>0</v>
      </c>
      <c r="AG35" s="36">
        <f>VLOOKUP($A35,[16]HISTOSEPT22!$A$6:$CA$36,62,0)</f>
        <v>0</v>
      </c>
      <c r="AH35" s="36">
        <f>VLOOKUP($A35,[16]HISTOSEPT22!$A$6:$CA$36,63,0)</f>
        <v>0</v>
      </c>
      <c r="AI35" s="36">
        <f>VLOOKUP($A35,[16]HISTOSEPT22!$A$6:$CA$36,64,0)</f>
        <v>0</v>
      </c>
      <c r="AJ35" s="36">
        <f>VLOOKUP($A35,[16]HISTOSEPT22!$A$6:$CA$36,65,0)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VLOOKUP($A36,[16]HISTOSEPT22!$A$6:$BA$39,48,0)</f>
        <v>0</v>
      </c>
      <c r="F36" s="5">
        <f>MVTAOUT22!F36-MVTSEPT22!E36</f>
        <v>570000</v>
      </c>
      <c r="G36" s="6">
        <f t="shared" si="1"/>
        <v>0</v>
      </c>
      <c r="H36" s="6">
        <f>MVTAOUT22!H36+MVTAOUT22!G36+K36</f>
        <v>1671872.0579878136</v>
      </c>
      <c r="I36" s="36">
        <f>VLOOKUP($A36,[16]HISTOSEPT22!$A$6:$AQ$37,22,0)</f>
        <v>0</v>
      </c>
      <c r="J36" s="36">
        <f>VLOOKUP($A36,[16]HISTOSEPT22!$A$6:$AU$39,45,0)</f>
        <v>7000</v>
      </c>
      <c r="K36" s="36">
        <f t="shared" si="2"/>
        <v>3000</v>
      </c>
      <c r="L36" s="36">
        <f t="shared" si="3"/>
        <v>500</v>
      </c>
      <c r="M36" s="36">
        <f t="shared" si="4"/>
        <v>1000</v>
      </c>
      <c r="N36" s="36">
        <f t="shared" si="5"/>
        <v>2500</v>
      </c>
      <c r="O36" s="36">
        <f>VLOOKUP($A36,[16]HISTOSEPT22!$A$6:$AU$39,7,0)</f>
        <v>0</v>
      </c>
      <c r="P36" s="36">
        <f>VLOOKUP($A36,[16]HISTOSEPT22!$A$6:$AU$39,23,0)</f>
        <v>0</v>
      </c>
      <c r="Q36" s="36">
        <f>VLOOKUP($A36,[16]HISTOSEPT22!$A$6:$AU$39,46,0)</f>
        <v>0</v>
      </c>
      <c r="R36" s="36">
        <f>VLOOKUP($A36,[16]HISTOSEPT22!$A$6:$AU$39,26,0)</f>
        <v>0</v>
      </c>
      <c r="S36" s="36">
        <f>VLOOKUP($A36,[16]HISTOSEPT22!$A$6:$BG$39,58,0)</f>
        <v>0</v>
      </c>
      <c r="T36" s="36">
        <f>VLOOKUP($A36,[16]HISTOSEPT22!$A$6:$AU$39,28,0)</f>
        <v>0</v>
      </c>
      <c r="U36" s="36">
        <f>VLOOKUP($A36,[16]HISTOSEPT22!$A$6:$AU$39,19,0)</f>
        <v>1000000</v>
      </c>
      <c r="V36" s="36" t="str">
        <f>VLOOKUP($A36,[16]HISTOSEPT22!$A$6:$AU$39,20,0)</f>
        <v>BANQUE</v>
      </c>
      <c r="W36" s="36">
        <f>VLOOKUP($A36,[16]HISTOSEPT22!$A$6:$AU$39,27,0)</f>
        <v>0</v>
      </c>
      <c r="X36" s="36">
        <f>VLOOKUP($A36,[16]HISTOSEPT22!$A$6:$AU$39,33,0)</f>
        <v>0</v>
      </c>
      <c r="Y36" s="36">
        <f>VLOOKUP($A36,[16]HISTOSEPT22!$A$6:$BP$39,65,0)</f>
        <v>0</v>
      </c>
      <c r="Z36" s="36"/>
      <c r="AA36" s="36">
        <f>VLOOKUP($A36,[16]HISTOSEPT22!$A$6:$AU$39,43,0)</f>
        <v>0</v>
      </c>
      <c r="AB36" s="36">
        <f>VLOOKUP($A36,[16]HISTOSEPT22!$A$6:$AU$39,44,0)</f>
        <v>0</v>
      </c>
      <c r="AC36" s="36">
        <f>VLOOKUP($A36,[16]HISTOSEPT22!$A$6:$AU$39,47,0)</f>
        <v>0</v>
      </c>
      <c r="AD36" s="36">
        <f>VLOOKUP(A36,[16]HISTOSEPT22!$A$6:$BB$36,54,0)</f>
        <v>0</v>
      </c>
      <c r="AE36" s="36">
        <f>VLOOKUP($A36,[16]HISTOSEPT22!$A$6:$CA$36,60,0)</f>
        <v>0</v>
      </c>
      <c r="AF36" s="36">
        <f>VLOOKUP($A36,[16]HISTOSEPT22!$A$6:$CA$36,61,0)</f>
        <v>0</v>
      </c>
      <c r="AG36" s="36">
        <f>VLOOKUP($A36,[16]HISTOSEPT22!$A$6:$CA$36,62,0)</f>
        <v>0</v>
      </c>
      <c r="AH36" s="36">
        <f>VLOOKUP($A36,[16]HISTOSEPT22!$A$6:$CA$36,63,0)</f>
        <v>0</v>
      </c>
      <c r="AI36" s="36">
        <f>VLOOKUP($A36,[16]HISTOSEPT22!$A$6:$CA$36,64,0)</f>
        <v>0</v>
      </c>
      <c r="AJ36" s="36">
        <f>VLOOKUP($A36,[16]HISTOSEPT22!$A$6:$CA$36,65,0)</f>
        <v>0</v>
      </c>
    </row>
    <row r="37" spans="1:36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H40" si="6">SUM(C6:C39)</f>
        <v>0</v>
      </c>
      <c r="D40" s="9">
        <f t="shared" si="6"/>
        <v>0</v>
      </c>
      <c r="E40" s="9">
        <f t="shared" si="6"/>
        <v>0</v>
      </c>
      <c r="F40" s="9">
        <f t="shared" si="6"/>
        <v>17584659.561375875</v>
      </c>
      <c r="G40" s="9">
        <f t="shared" si="6"/>
        <v>0</v>
      </c>
      <c r="H40" s="9">
        <f t="shared" si="6"/>
        <v>22231208.148341149</v>
      </c>
      <c r="I40" s="9">
        <f t="shared" si="6"/>
        <v>0</v>
      </c>
      <c r="J40" s="9">
        <f t="shared" si="6"/>
        <v>259000</v>
      </c>
      <c r="K40" s="9">
        <f t="shared" si="6"/>
        <v>155000</v>
      </c>
      <c r="L40" s="9">
        <f t="shared" si="6"/>
        <v>13000</v>
      </c>
      <c r="M40" s="9">
        <f t="shared" si="6"/>
        <v>26000</v>
      </c>
      <c r="N40" s="9">
        <f t="shared" si="6"/>
        <v>65000</v>
      </c>
      <c r="O40" s="9">
        <f t="shared" si="6"/>
        <v>6000</v>
      </c>
      <c r="P40" s="9">
        <f t="shared" si="6"/>
        <v>0</v>
      </c>
      <c r="Q40" s="9">
        <f t="shared" si="6"/>
        <v>0</v>
      </c>
      <c r="R40" s="9">
        <f t="shared" si="6"/>
        <v>0</v>
      </c>
      <c r="S40" s="9">
        <f>SUM(S6:S39)+AI40</f>
        <v>0</v>
      </c>
      <c r="T40" s="9">
        <f t="shared" si="6"/>
        <v>0</v>
      </c>
      <c r="U40" s="9">
        <f t="shared" si="6"/>
        <v>2000000</v>
      </c>
      <c r="V40" s="9">
        <f t="shared" si="6"/>
        <v>0</v>
      </c>
      <c r="W40" s="9">
        <f t="shared" si="6"/>
        <v>0</v>
      </c>
      <c r="X40" s="9">
        <f t="shared" si="6"/>
        <v>0</v>
      </c>
      <c r="Y40" s="9">
        <f t="shared" si="6"/>
        <v>0</v>
      </c>
      <c r="Z40" s="9">
        <f t="shared" si="6"/>
        <v>0</v>
      </c>
      <c r="AA40" s="9">
        <f t="shared" si="6"/>
        <v>0</v>
      </c>
      <c r="AB40" s="9">
        <f t="shared" si="6"/>
        <v>0</v>
      </c>
      <c r="AC40" s="9">
        <f t="shared" si="6"/>
        <v>0</v>
      </c>
      <c r="AD40" s="9">
        <f t="shared" si="6"/>
        <v>323000</v>
      </c>
      <c r="AE40" s="9">
        <f t="shared" si="6"/>
        <v>40000</v>
      </c>
      <c r="AF40" s="9">
        <f t="shared" si="6"/>
        <v>0</v>
      </c>
      <c r="AG40" s="9">
        <f t="shared" si="6"/>
        <v>0</v>
      </c>
      <c r="AH40" s="9">
        <f t="shared" si="6"/>
        <v>70000</v>
      </c>
      <c r="AI40" s="9">
        <f>SUM(AI6:AI39)</f>
        <v>0</v>
      </c>
      <c r="AJ40" s="9">
        <f>SUM(AJ6:AJ39)</f>
        <v>0</v>
      </c>
    </row>
  </sheetData>
  <autoFilter ref="A5:U36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"/>
  <sheetViews>
    <sheetView workbookViewId="0">
      <pane xSplit="2" ySplit="5" topLeftCell="E36" activePane="bottomRight" state="frozen"/>
      <selection activeCell="B43" sqref="B43"/>
      <selection pane="topRight" activeCell="B43" sqref="B43"/>
      <selection pane="bottomLeft" activeCell="B43" sqref="B43"/>
      <selection pane="bottomRight" activeCell="AG5" sqref="AG5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5" bestFit="1" customWidth="1"/>
    <col min="19" max="19" width="15" customWidth="1"/>
    <col min="20" max="21" width="18.140625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04"/>
      <c r="J4" s="146">
        <v>44851</v>
      </c>
      <c r="K4" s="146"/>
      <c r="L4" s="146"/>
      <c r="M4" s="146"/>
      <c r="N4" s="146"/>
      <c r="O4" s="146"/>
      <c r="P4"/>
      <c r="Q4"/>
      <c r="AJ4" s="108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84" t="s">
        <v>10</v>
      </c>
      <c r="AF5" s="84" t="s">
        <v>11</v>
      </c>
      <c r="AG5" s="84" t="s">
        <v>307</v>
      </c>
      <c r="AH5" s="84" t="s">
        <v>273</v>
      </c>
      <c r="AI5" s="4" t="s">
        <v>65</v>
      </c>
      <c r="AJ5" s="84" t="s">
        <v>278</v>
      </c>
    </row>
    <row r="6" spans="1:36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MVTSEPT22!F6-MVTOCT22!E6</f>
        <v>584177.00555049011</v>
      </c>
      <c r="G6" s="6">
        <f t="shared" ref="G6" si="0">$S$40/$H$40*H6</f>
        <v>0</v>
      </c>
      <c r="H6" s="6">
        <f>MVTSEPT22!H6+MVTSEPT22!G6+K6</f>
        <v>647525.25689438276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VLOOKUP($A6,[16]HISTOOCT22!$A$6:$CA$36,60,0)</f>
        <v>6000</v>
      </c>
      <c r="AF6" s="36">
        <f>VLOOKUP($A6,[16]HISTOOCT22!$A$6:$CA$36,61,0)</f>
        <v>0</v>
      </c>
      <c r="AG6" s="36">
        <f>VLOOKUP($A6,[16]HISTOOCT22!$A$6:$CA$36,62,0)</f>
        <v>0</v>
      </c>
      <c r="AH6" s="36">
        <f>VLOOKUP($A6,[16]HISTOOCT22!$A$6:$CA$36,63,0)</f>
        <v>0</v>
      </c>
      <c r="AI6" s="36">
        <f>VLOOKUP($A6,[16]HISTOOCT22!$A$6:$CA$36,64,0)</f>
        <v>0</v>
      </c>
      <c r="AJ6" s="36">
        <f>VLOOKUP($A6,[16]HISTOOCT22!$A$6:$CA$36,65,0)</f>
        <v>0</v>
      </c>
    </row>
    <row r="7" spans="1:36" x14ac:dyDescent="0.25">
      <c r="A7" s="1" t="s">
        <v>19</v>
      </c>
      <c r="B7" s="1" t="str">
        <f>VLOOKUP(A7,[15]LISTADHERENT!A$5:H$60,3,0)</f>
        <v>BOUTCHOUANG WILLIAM</v>
      </c>
      <c r="C7" s="5"/>
      <c r="D7" s="5"/>
      <c r="E7" s="36">
        <f>VLOOKUP($A7,[16]HISTOOCT22!$A$6:$BA$39,48,0)</f>
        <v>0</v>
      </c>
      <c r="F7" s="5">
        <f>MVTSEPT22!F7-MVTOCT22!E7</f>
        <v>570000</v>
      </c>
      <c r="G7" s="6">
        <f t="shared" ref="G7:G36" si="1">$S$40/$H$40*H7</f>
        <v>0</v>
      </c>
      <c r="H7" s="6">
        <f>MVTSEPT22!H7+MVTSEPT22!G7+K7</f>
        <v>662307.27446091012</v>
      </c>
      <c r="I7" s="36">
        <f>VLOOKUP($A7,[16]HISTOOCT22!$A$6:$AQ$37,22,0)</f>
        <v>0</v>
      </c>
      <c r="J7" s="36">
        <f>VLOOKUP($A7,[16]HISTOOCT22!$A$6:$AU$39,45,0)</f>
        <v>7000</v>
      </c>
      <c r="K7" s="36">
        <f t="shared" ref="K7:K36" si="2">IF(J7=0,0,J7-(L7+M7+N7))</f>
        <v>3000</v>
      </c>
      <c r="L7" s="36">
        <f t="shared" ref="L7:L36" si="3">IF(J7=0,0,500)</f>
        <v>500</v>
      </c>
      <c r="M7" s="36">
        <f t="shared" ref="M7:M36" si="4">IF(J7=0,0,1000)</f>
        <v>1000</v>
      </c>
      <c r="N7" s="36">
        <f t="shared" ref="N7:N36" si="5">IF(J7=0,0,2500)</f>
        <v>2500</v>
      </c>
      <c r="O7" s="36">
        <f>VLOOKUP($A7,[16]HISTOOCT22!$A$6:$AU$39,7,0)</f>
        <v>0</v>
      </c>
      <c r="P7" s="36">
        <f>VLOOKUP($A7,[16]HISTOOCT22!$A$6:$AU$39,23,0)</f>
        <v>0</v>
      </c>
      <c r="Q7" s="36">
        <f>VLOOKUP($A7,[16]HISTOOCT22!$A$6:$AU$39,46,0)</f>
        <v>0</v>
      </c>
      <c r="R7" s="36">
        <f>VLOOKUP($A7,[16]HISTOOCT22!$A$6:$AU$39,26,0)</f>
        <v>0</v>
      </c>
      <c r="S7" s="36">
        <f>VLOOKUP($A7,[16]HISTOOCT22!$A$6:$BG$39,58,0)</f>
        <v>0</v>
      </c>
      <c r="T7" s="36">
        <f>VLOOKUP($A7,[16]HISTOOCT22!$A$6:$AU$39,28,0)</f>
        <v>0</v>
      </c>
      <c r="U7" s="36">
        <f>VLOOKUP($A7,[16]HISTOOCT22!$A$6:$AU$39,19,0)</f>
        <v>0</v>
      </c>
      <c r="V7" s="36">
        <f>VLOOKUP($A7,[16]HISTOOCT22!$A$6:$AU$39,20,0)</f>
        <v>0</v>
      </c>
      <c r="W7" s="36">
        <f>VLOOKUP($A7,[16]HISTOOCT22!$A$6:$AU$39,27,0)</f>
        <v>0</v>
      </c>
      <c r="X7" s="36">
        <f>VLOOKUP($A7,[16]HISTOOCT22!$A$6:$AU$39,33,0)</f>
        <v>0</v>
      </c>
      <c r="Y7" s="36">
        <f>VLOOKUP($A7,[16]HISTOOCT22!$A$6:$BP$39,65,0)</f>
        <v>0</v>
      </c>
      <c r="Z7" s="36"/>
      <c r="AA7" s="36">
        <f>VLOOKUP($A7,[16]HISTOOCT22!$A$6:$AU$39,43,0)</f>
        <v>0</v>
      </c>
      <c r="AB7" s="36">
        <f>VLOOKUP($A7,[16]HISTOOCT22!$A$6:$AU$39,44,0)</f>
        <v>0</v>
      </c>
      <c r="AC7" s="36">
        <f>VLOOKUP($A7,[16]HISTOOCT22!$A$6:$AU$39,47,0)</f>
        <v>0</v>
      </c>
      <c r="AD7" s="36">
        <f>VLOOKUP(A7,[16]HISTOOCT22!$A$6:$BB$36,54,0)</f>
        <v>0</v>
      </c>
      <c r="AE7" s="36">
        <f>VLOOKUP($A7,[16]HISTOOCT22!$A$6:$CA$36,60,0)</f>
        <v>0</v>
      </c>
      <c r="AF7" s="36">
        <f>VLOOKUP($A7,[16]HISTOOCT22!$A$6:$CA$36,61,0)</f>
        <v>0</v>
      </c>
      <c r="AG7" s="36">
        <f>VLOOKUP($A7,[16]HISTOOCT22!$A$6:$CA$36,62,0)</f>
        <v>0</v>
      </c>
      <c r="AH7" s="36">
        <f>VLOOKUP($A7,[16]HISTOOCT22!$A$6:$CA$36,63,0)</f>
        <v>0</v>
      </c>
      <c r="AI7" s="36">
        <f>VLOOKUP($A7,[16]HISTOOCT22!$A$6:$CA$36,64,0)</f>
        <v>0</v>
      </c>
      <c r="AJ7" s="36">
        <f>VLOOKUP($A7,[16]HISTOOCT22!$A$6:$CA$36,65,0)</f>
        <v>0</v>
      </c>
    </row>
    <row r="8" spans="1:36" x14ac:dyDescent="0.25">
      <c r="A8" s="1" t="s">
        <v>23</v>
      </c>
      <c r="B8" s="1" t="str">
        <f>VLOOKUP(A8,[15]LISTADHERENT!A$5:H$60,3,0)</f>
        <v xml:space="preserve">DJOMO JEAN PAUL </v>
      </c>
      <c r="C8" s="5"/>
      <c r="D8" s="5"/>
      <c r="E8" s="36">
        <f>VLOOKUP($A8,[16]HISTOOCT22!$A$6:$BA$39,48,0)</f>
        <v>0</v>
      </c>
      <c r="F8" s="5">
        <f>MVTSEPT22!F8-MVTOCT22!E8</f>
        <v>570000</v>
      </c>
      <c r="G8" s="6">
        <f t="shared" si="1"/>
        <v>0</v>
      </c>
      <c r="H8" s="6">
        <f>MVTSEPT22!H8+MVTSEPT22!G8+K8</f>
        <v>768999.88702700997</v>
      </c>
      <c r="I8" s="36">
        <f>VLOOKUP($A8,[16]HISTOOCT22!$A$6:$AQ$37,22,0)</f>
        <v>0</v>
      </c>
      <c r="J8" s="36">
        <f>VLOOKUP($A8,[16]HISTOOCT22!$A$6:$AU$39,45,0)</f>
        <v>38000</v>
      </c>
      <c r="K8" s="36">
        <f t="shared" si="2"/>
        <v>34000</v>
      </c>
      <c r="L8" s="36">
        <f t="shared" si="3"/>
        <v>500</v>
      </c>
      <c r="M8" s="36">
        <f t="shared" si="4"/>
        <v>1000</v>
      </c>
      <c r="N8" s="36">
        <f t="shared" si="5"/>
        <v>2500</v>
      </c>
      <c r="O8" s="36">
        <f>VLOOKUP($A8,[16]HISTOOCT22!$A$6:$AU$39,7,0)</f>
        <v>0</v>
      </c>
      <c r="P8" s="36">
        <f>VLOOKUP($A8,[16]HISTOOCT22!$A$6:$AU$39,23,0)</f>
        <v>0</v>
      </c>
      <c r="Q8" s="36">
        <f>VLOOKUP($A8,[16]HISTOOCT22!$A$6:$AU$39,46,0)</f>
        <v>0</v>
      </c>
      <c r="R8" s="36">
        <f>VLOOKUP($A8,[16]HISTOOCT22!$A$6:$AU$39,26,0)</f>
        <v>0</v>
      </c>
      <c r="S8" s="36">
        <f>VLOOKUP($A8,[16]HISTOOCT22!$A$6:$BG$39,58,0)</f>
        <v>0</v>
      </c>
      <c r="T8" s="36">
        <f>VLOOKUP($A8,[16]HISTOOCT22!$A$6:$AU$39,28,0)</f>
        <v>0</v>
      </c>
      <c r="U8" s="36">
        <f>VLOOKUP($A8,[16]HISTOOCT22!$A$6:$AU$39,19,0)</f>
        <v>0</v>
      </c>
      <c r="V8" s="36">
        <f>VLOOKUP($A8,[16]HISTOOCT22!$A$6:$AU$39,20,0)</f>
        <v>0</v>
      </c>
      <c r="W8" s="36">
        <f>VLOOKUP($A8,[16]HISTOOCT22!$A$6:$AU$39,27,0)</f>
        <v>0</v>
      </c>
      <c r="X8" s="36">
        <f>VLOOKUP($A8,[16]HISTOOCT22!$A$6:$AU$39,33,0)</f>
        <v>0</v>
      </c>
      <c r="Y8" s="36">
        <f>VLOOKUP($A8,[16]HISTOOCT22!$A$6:$BP$39,65,0)</f>
        <v>0</v>
      </c>
      <c r="Z8" s="36"/>
      <c r="AA8" s="36">
        <f>VLOOKUP($A8,[16]HISTOOCT22!$A$6:$AU$39,43,0)</f>
        <v>0</v>
      </c>
      <c r="AB8" s="36">
        <f>VLOOKUP($A8,[16]HISTOOCT22!$A$6:$AU$39,44,0)</f>
        <v>0</v>
      </c>
      <c r="AC8" s="36">
        <f>VLOOKUP($A8,[16]HISTOOCT22!$A$6:$AU$39,47,0)</f>
        <v>0</v>
      </c>
      <c r="AD8" s="36">
        <f>VLOOKUP(A8,[16]HISTOOCT22!$A$6:$BB$36,54,0)</f>
        <v>0</v>
      </c>
      <c r="AE8" s="36">
        <f>VLOOKUP($A8,[16]HISTOOCT22!$A$6:$CA$36,60,0)</f>
        <v>0</v>
      </c>
      <c r="AF8" s="36">
        <f>VLOOKUP($A8,[16]HISTOOCT22!$A$6:$CA$36,61,0)</f>
        <v>0</v>
      </c>
      <c r="AG8" s="36">
        <f>VLOOKUP($A8,[16]HISTOOCT22!$A$6:$CA$36,62,0)</f>
        <v>0</v>
      </c>
      <c r="AH8" s="36">
        <f>VLOOKUP($A8,[16]HISTOOCT22!$A$6:$CA$36,63,0)</f>
        <v>0</v>
      </c>
      <c r="AI8" s="36">
        <f>VLOOKUP($A8,[16]HISTOOCT22!$A$6:$CA$36,64,0)</f>
        <v>0</v>
      </c>
      <c r="AJ8" s="36">
        <f>VLOOKUP($A8,[16]HISTOOCT22!$A$6:$CA$36,65,0)</f>
        <v>0</v>
      </c>
    </row>
    <row r="9" spans="1:36" x14ac:dyDescent="0.25">
      <c r="A9" s="1" t="s">
        <v>154</v>
      </c>
      <c r="B9" s="1" t="str">
        <f>VLOOKUP(A9,[15]LISTADHERENT!A$5:H$60,3,0)</f>
        <v>DJOMOU TCHANDA</v>
      </c>
      <c r="C9" s="5"/>
      <c r="D9" s="5"/>
      <c r="E9" s="36">
        <f>VLOOKUP($A9,[16]HISTOOCT22!$A$6:$BA$39,48,0)</f>
        <v>0</v>
      </c>
      <c r="F9" s="5">
        <f>MVTSEPT22!F9-MVTOCT22!E9</f>
        <v>570000</v>
      </c>
      <c r="G9" s="6">
        <f t="shared" si="1"/>
        <v>0</v>
      </c>
      <c r="H9" s="6">
        <f>MVTSEPT22!H9+MVTSEPT22!G9+K9</f>
        <v>663994.51319692063</v>
      </c>
      <c r="I9" s="36">
        <f>VLOOKUP($A9,[16]HISTOOCT22!$A$6:$AQ$37,22,0)</f>
        <v>0</v>
      </c>
      <c r="J9" s="36">
        <f>VLOOKUP($A9,[16]HISTOOCT22!$A$6:$AU$39,45,0)</f>
        <v>7000</v>
      </c>
      <c r="K9" s="36">
        <f t="shared" si="2"/>
        <v>3000</v>
      </c>
      <c r="L9" s="36">
        <f t="shared" si="3"/>
        <v>500</v>
      </c>
      <c r="M9" s="36">
        <f t="shared" si="4"/>
        <v>1000</v>
      </c>
      <c r="N9" s="36">
        <f t="shared" si="5"/>
        <v>2500</v>
      </c>
      <c r="O9" s="36">
        <f>VLOOKUP($A9,[16]HISTOOCT22!$A$6:$AU$39,7,0)</f>
        <v>0</v>
      </c>
      <c r="P9" s="36">
        <f>VLOOKUP($A9,[16]HISTOOCT22!$A$6:$AU$39,23,0)</f>
        <v>0</v>
      </c>
      <c r="Q9" s="36">
        <f>VLOOKUP($A9,[16]HISTOOCT22!$A$6:$AU$39,46,0)</f>
        <v>0</v>
      </c>
      <c r="R9" s="36">
        <f>VLOOKUP($A9,[16]HISTOOCT22!$A$6:$AU$39,26,0)</f>
        <v>0</v>
      </c>
      <c r="S9" s="36">
        <f>VLOOKUP($A9,[16]HISTOOCT22!$A$6:$BG$39,58,0)</f>
        <v>0</v>
      </c>
      <c r="T9" s="36">
        <f>VLOOKUP($A9,[16]HISTOOCT22!$A$6:$AU$39,28,0)</f>
        <v>0</v>
      </c>
      <c r="U9" s="36">
        <f>VLOOKUP($A9,[16]HISTOOCT22!$A$6:$AU$39,19,0)</f>
        <v>0</v>
      </c>
      <c r="V9" s="36">
        <f>VLOOKUP($A9,[16]HISTOOCT22!$A$6:$AU$39,20,0)</f>
        <v>0</v>
      </c>
      <c r="W9" s="36">
        <f>VLOOKUP($A9,[16]HISTOOCT22!$A$6:$AU$39,27,0)</f>
        <v>0</v>
      </c>
      <c r="X9" s="36">
        <f>VLOOKUP($A9,[16]HISTOOCT22!$A$6:$AU$39,33,0)</f>
        <v>0</v>
      </c>
      <c r="Y9" s="36">
        <f>VLOOKUP($A9,[16]HISTOOCT22!$A$6:$BP$39,65,0)</f>
        <v>0</v>
      </c>
      <c r="Z9" s="36"/>
      <c r="AA9" s="36">
        <f>VLOOKUP($A9,[16]HISTOOCT22!$A$6:$AU$39,43,0)</f>
        <v>0</v>
      </c>
      <c r="AB9" s="36">
        <f>VLOOKUP($A9,[16]HISTOOCT22!$A$6:$AU$39,44,0)</f>
        <v>0</v>
      </c>
      <c r="AC9" s="36">
        <f>VLOOKUP($A9,[16]HISTOOCT22!$A$6:$AU$39,47,0)</f>
        <v>0</v>
      </c>
      <c r="AD9" s="36">
        <f>VLOOKUP(A9,[16]HISTOOCT22!$A$6:$BB$36,54,0)</f>
        <v>0</v>
      </c>
      <c r="AE9" s="36">
        <f>VLOOKUP($A9,[16]HISTOOCT22!$A$6:$CA$36,60,0)</f>
        <v>0</v>
      </c>
      <c r="AF9" s="36">
        <f>VLOOKUP($A9,[16]HISTOOCT22!$A$6:$CA$36,61,0)</f>
        <v>0</v>
      </c>
      <c r="AG9" s="36">
        <f>VLOOKUP($A9,[16]HISTOOCT22!$A$6:$CA$36,62,0)</f>
        <v>0</v>
      </c>
      <c r="AH9" s="36">
        <f>VLOOKUP($A9,[16]HISTOOCT22!$A$6:$CA$36,63,0)</f>
        <v>0</v>
      </c>
      <c r="AI9" s="36">
        <f>VLOOKUP($A9,[16]HISTOOCT22!$A$6:$CA$36,64,0)</f>
        <v>0</v>
      </c>
      <c r="AJ9" s="36">
        <f>VLOOKUP($A9,[16]HISTOOCT22!$A$6:$CA$36,65,0)</f>
        <v>0</v>
      </c>
    </row>
    <row r="10" spans="1:36" x14ac:dyDescent="0.25">
      <c r="A10" s="1" t="s">
        <v>24</v>
      </c>
      <c r="B10" s="1" t="str">
        <f>VLOOKUP(A10,[15]LISTADHERENT!A$5:H$60,3,0)</f>
        <v>DJOUKWE NANGUEN GUY BLAISE</v>
      </c>
      <c r="C10" s="5"/>
      <c r="D10" s="5"/>
      <c r="E10" s="36">
        <f>VLOOKUP($A10,[16]HISTOOCT22!$A$6:$BA$39,48,0)</f>
        <v>0</v>
      </c>
      <c r="F10" s="5">
        <f>MVTSEPT22!F10-MVTOCT22!E10</f>
        <v>570000</v>
      </c>
      <c r="G10" s="6">
        <f t="shared" si="1"/>
        <v>0</v>
      </c>
      <c r="H10" s="6">
        <f>MVTSEPT22!H10+MVTSEPT22!G10+K10</f>
        <v>790522.30047141563</v>
      </c>
      <c r="I10" s="36">
        <f>VLOOKUP($A10,[16]HISTOOCT22!$A$6:$AQ$37,22,0)</f>
        <v>0</v>
      </c>
      <c r="J10" s="36">
        <f>VLOOKUP($A10,[16]HISTOOCT22!$A$6:$AU$39,45,0)</f>
        <v>7000</v>
      </c>
      <c r="K10" s="36">
        <f t="shared" si="2"/>
        <v>3000</v>
      </c>
      <c r="L10" s="36">
        <f t="shared" si="3"/>
        <v>500</v>
      </c>
      <c r="M10" s="36">
        <f t="shared" si="4"/>
        <v>1000</v>
      </c>
      <c r="N10" s="36">
        <f t="shared" si="5"/>
        <v>2500</v>
      </c>
      <c r="O10" s="36">
        <f>VLOOKUP($A10,[16]HISTOOCT22!$A$6:$AU$39,7,0)</f>
        <v>0</v>
      </c>
      <c r="P10" s="36">
        <f>VLOOKUP($A10,[16]HISTOOCT22!$A$6:$AU$39,23,0)</f>
        <v>0</v>
      </c>
      <c r="Q10" s="36">
        <f>VLOOKUP($A10,[16]HISTOOCT22!$A$6:$AU$39,46,0)</f>
        <v>0</v>
      </c>
      <c r="R10" s="36">
        <f>VLOOKUP($A10,[16]HISTOOCT22!$A$6:$AU$39,26,0)</f>
        <v>0</v>
      </c>
      <c r="S10" s="36">
        <f>VLOOKUP($A10,[16]HISTOOCT22!$A$6:$BG$39,58,0)</f>
        <v>0</v>
      </c>
      <c r="T10" s="36">
        <f>VLOOKUP($A10,[16]HISTOOCT22!$A$6:$AU$39,28,0)</f>
        <v>0</v>
      </c>
      <c r="U10" s="36">
        <f>VLOOKUP($A10,[16]HISTOOCT22!$A$6:$AU$39,19,0)</f>
        <v>0</v>
      </c>
      <c r="V10" s="36">
        <f>VLOOKUP($A10,[16]HISTOOCT22!$A$6:$AU$39,20,0)</f>
        <v>0</v>
      </c>
      <c r="W10" s="36">
        <f>VLOOKUP($A10,[16]HISTOOCT22!$A$6:$AU$39,27,0)</f>
        <v>0</v>
      </c>
      <c r="X10" s="36">
        <f>VLOOKUP($A10,[16]HISTOOCT22!$A$6:$AU$39,33,0)</f>
        <v>0</v>
      </c>
      <c r="Y10" s="36">
        <f>VLOOKUP($A10,[16]HISTOOCT22!$A$6:$BP$39,65,0)</f>
        <v>0</v>
      </c>
      <c r="Z10" s="36"/>
      <c r="AA10" s="36">
        <f>VLOOKUP($A10,[16]HISTOOCT22!$A$6:$AU$39,43,0)</f>
        <v>0</v>
      </c>
      <c r="AB10" s="36">
        <f>VLOOKUP($A10,[16]HISTOOCT22!$A$6:$AU$39,44,0)</f>
        <v>0</v>
      </c>
      <c r="AC10" s="36">
        <f>VLOOKUP($A10,[16]HISTOOCT22!$A$6:$AU$39,47,0)</f>
        <v>0</v>
      </c>
      <c r="AD10" s="36">
        <f>VLOOKUP(A10,[16]HISTOOCT22!$A$6:$BB$36,54,0)</f>
        <v>0</v>
      </c>
      <c r="AE10" s="36">
        <f>VLOOKUP($A10,[16]HISTOOCT22!$A$6:$CA$36,60,0)</f>
        <v>0</v>
      </c>
      <c r="AF10" s="36">
        <f>VLOOKUP($A10,[16]HISTOOCT22!$A$6:$CA$36,61,0)</f>
        <v>0</v>
      </c>
      <c r="AG10" s="36">
        <f>VLOOKUP($A10,[16]HISTOOCT22!$A$6:$CA$36,62,0)</f>
        <v>0</v>
      </c>
      <c r="AH10" s="36">
        <f>VLOOKUP($A10,[16]HISTOOCT22!$A$6:$CA$36,63,0)</f>
        <v>0</v>
      </c>
      <c r="AI10" s="36">
        <f>VLOOKUP($A10,[16]HISTOOCT22!$A$6:$CA$36,64,0)</f>
        <v>0</v>
      </c>
      <c r="AJ10" s="36">
        <f>VLOOKUP($A10,[16]HISTOOCT22!$A$6:$CA$36,65,0)</f>
        <v>0</v>
      </c>
    </row>
    <row r="11" spans="1:36" x14ac:dyDescent="0.25">
      <c r="A11" s="1" t="s">
        <v>25</v>
      </c>
      <c r="B11" s="1" t="str">
        <f>VLOOKUP(A11,[15]LISTADHERENT!A$5:H$60,3,0)</f>
        <v>DJUOMBESSY ANTOINE</v>
      </c>
      <c r="C11" s="5"/>
      <c r="D11" s="5"/>
      <c r="E11" s="36">
        <f>VLOOKUP($A11,[16]HISTOOCT22!$A$6:$BA$39,48,0)</f>
        <v>0</v>
      </c>
      <c r="F11" s="5">
        <f>MVTSEPT22!F11-MVTOCT22!E11</f>
        <v>570000</v>
      </c>
      <c r="G11" s="6">
        <f t="shared" si="1"/>
        <v>0</v>
      </c>
      <c r="H11" s="6">
        <f>MVTSEPT22!H11+MVTSEPT22!G11+K11</f>
        <v>685036.02994737832</v>
      </c>
      <c r="I11" s="36">
        <f>VLOOKUP($A11,[16]HISTOOCT22!$A$6:$AQ$37,22,0)</f>
        <v>0</v>
      </c>
      <c r="J11" s="36">
        <f>VLOOKUP($A11,[16]HISTOOCT22!$A$6:$AU$39,45,0)</f>
        <v>7000</v>
      </c>
      <c r="K11" s="36">
        <f t="shared" si="2"/>
        <v>3000</v>
      </c>
      <c r="L11" s="36">
        <f t="shared" si="3"/>
        <v>500</v>
      </c>
      <c r="M11" s="36">
        <f t="shared" si="4"/>
        <v>1000</v>
      </c>
      <c r="N11" s="36">
        <f t="shared" si="5"/>
        <v>2500</v>
      </c>
      <c r="O11" s="36">
        <f>VLOOKUP($A11,[16]HISTOOCT22!$A$6:$AU$39,7,0)</f>
        <v>0</v>
      </c>
      <c r="P11" s="36">
        <f>VLOOKUP($A11,[16]HISTOOCT22!$A$6:$AU$39,23,0)</f>
        <v>0</v>
      </c>
      <c r="Q11" s="36">
        <f>VLOOKUP($A11,[16]HISTOOCT22!$A$6:$AU$39,46,0)</f>
        <v>0</v>
      </c>
      <c r="R11" s="36">
        <f>VLOOKUP($A11,[16]HISTOOCT22!$A$6:$AU$39,26,0)</f>
        <v>0</v>
      </c>
      <c r="S11" s="36">
        <f>VLOOKUP($A11,[16]HISTOOCT22!$A$6:$BG$39,58,0)</f>
        <v>0</v>
      </c>
      <c r="T11" s="36">
        <f>VLOOKUP($A11,[16]HISTOOCT22!$A$6:$AU$39,28,0)</f>
        <v>0</v>
      </c>
      <c r="U11" s="36">
        <f>VLOOKUP($A11,[16]HISTOOCT22!$A$6:$AU$39,19,0)</f>
        <v>0</v>
      </c>
      <c r="V11" s="36">
        <f>VLOOKUP($A11,[16]HISTOOCT22!$A$6:$AU$39,20,0)</f>
        <v>0</v>
      </c>
      <c r="W11" s="36">
        <f>VLOOKUP($A11,[16]HISTOOCT22!$A$6:$AU$39,27,0)</f>
        <v>0</v>
      </c>
      <c r="X11" s="36">
        <f>VLOOKUP($A11,[16]HISTOOCT22!$A$6:$AU$39,33,0)</f>
        <v>0</v>
      </c>
      <c r="Y11" s="36">
        <f>VLOOKUP($A11,[16]HISTOOCT22!$A$6:$BP$39,65,0)</f>
        <v>0</v>
      </c>
      <c r="Z11" s="36"/>
      <c r="AA11" s="36">
        <f>VLOOKUP($A11,[16]HISTOOCT22!$A$6:$AU$39,43,0)</f>
        <v>0</v>
      </c>
      <c r="AB11" s="36">
        <f>VLOOKUP($A11,[16]HISTOOCT22!$A$6:$AU$39,44,0)</f>
        <v>0</v>
      </c>
      <c r="AC11" s="36">
        <f>VLOOKUP($A11,[16]HISTOOCT22!$A$6:$AU$39,47,0)</f>
        <v>0</v>
      </c>
      <c r="AD11" s="36">
        <f>VLOOKUP(A11,[16]HISTOOCT22!$A$6:$BB$36,54,0)</f>
        <v>0</v>
      </c>
      <c r="AE11" s="36">
        <f>VLOOKUP($A11,[16]HISTOOCT22!$A$6:$CA$36,60,0)</f>
        <v>0</v>
      </c>
      <c r="AF11" s="36">
        <f>VLOOKUP($A11,[16]HISTOOCT22!$A$6:$CA$36,61,0)</f>
        <v>0</v>
      </c>
      <c r="AG11" s="36">
        <f>VLOOKUP($A11,[16]HISTOOCT22!$A$6:$CA$36,62,0)</f>
        <v>0</v>
      </c>
      <c r="AH11" s="36">
        <f>VLOOKUP($A11,[16]HISTOOCT22!$A$6:$CA$36,63,0)</f>
        <v>0</v>
      </c>
      <c r="AI11" s="36">
        <f>VLOOKUP($A11,[16]HISTOOCT22!$A$6:$CA$36,64,0)</f>
        <v>0</v>
      </c>
      <c r="AJ11" s="36">
        <f>VLOOKUP($A11,[16]HISTOOCT22!$A$6:$CA$36,65,0)</f>
        <v>0</v>
      </c>
    </row>
    <row r="12" spans="1:36" x14ac:dyDescent="0.25">
      <c r="A12" s="1" t="s">
        <v>79</v>
      </c>
      <c r="B12" s="1" t="str">
        <f>VLOOKUP(A12,[15]LISTADHERENT!A$5:H$60,3,0)</f>
        <v>DOMOU FABIEN</v>
      </c>
      <c r="C12" s="5"/>
      <c r="D12" s="5"/>
      <c r="E12" s="36">
        <f>VLOOKUP($A12,[16]HISTOOCT22!$A$6:$BA$39,48,0)</f>
        <v>0</v>
      </c>
      <c r="F12" s="5">
        <f>MVTSEPT22!F12-MVTOCT22!E12</f>
        <v>570000</v>
      </c>
      <c r="G12" s="6">
        <f t="shared" si="1"/>
        <v>0</v>
      </c>
      <c r="H12" s="6">
        <f>MVTSEPT22!H12+MVTSEPT22!G12+K12</f>
        <v>721134.80445871851</v>
      </c>
      <c r="I12" s="36">
        <f>VLOOKUP($A12,[16]HISTOOCT22!$A$6:$AQ$37,22,0)</f>
        <v>0</v>
      </c>
      <c r="J12" s="36">
        <f>VLOOKUP($A12,[16]HISTOOCT22!$A$6:$AU$39,45,0)</f>
        <v>12000</v>
      </c>
      <c r="K12" s="36">
        <f t="shared" si="2"/>
        <v>8000</v>
      </c>
      <c r="L12" s="36">
        <f t="shared" si="3"/>
        <v>500</v>
      </c>
      <c r="M12" s="36">
        <f t="shared" si="4"/>
        <v>1000</v>
      </c>
      <c r="N12" s="36">
        <f t="shared" si="5"/>
        <v>2500</v>
      </c>
      <c r="O12" s="36">
        <f>VLOOKUP($A12,[16]HISTOOCT22!$A$6:$AU$39,7,0)</f>
        <v>0</v>
      </c>
      <c r="P12" s="36">
        <f>VLOOKUP($A12,[16]HISTOOCT22!$A$6:$AU$39,23,0)</f>
        <v>0</v>
      </c>
      <c r="Q12" s="36">
        <f>VLOOKUP($A12,[16]HISTOOCT22!$A$6:$AU$39,46,0)</f>
        <v>0</v>
      </c>
      <c r="R12" s="36">
        <f>VLOOKUP($A12,[16]HISTOOCT22!$A$6:$AU$39,26,0)</f>
        <v>0</v>
      </c>
      <c r="S12" s="36">
        <f>VLOOKUP($A12,[16]HISTOOCT22!$A$6:$BG$39,58,0)</f>
        <v>0</v>
      </c>
      <c r="T12" s="36">
        <f>VLOOKUP($A12,[16]HISTOOCT22!$A$6:$AU$39,28,0)</f>
        <v>0</v>
      </c>
      <c r="U12" s="36">
        <f>VLOOKUP($A12,[16]HISTOOCT22!$A$6:$AU$39,19,0)</f>
        <v>0</v>
      </c>
      <c r="V12" s="36">
        <f>VLOOKUP($A12,[16]HISTOOCT22!$A$6:$AU$39,20,0)</f>
        <v>0</v>
      </c>
      <c r="W12" s="36">
        <f>VLOOKUP($A12,[16]HISTOOCT22!$A$6:$AU$39,27,0)</f>
        <v>0</v>
      </c>
      <c r="X12" s="36">
        <f>VLOOKUP($A12,[16]HISTOOCT22!$A$6:$AU$39,33,0)</f>
        <v>0</v>
      </c>
      <c r="Y12" s="36">
        <f>VLOOKUP($A12,[16]HISTOOCT22!$A$6:$BP$39,65,0)</f>
        <v>0</v>
      </c>
      <c r="Z12" s="36"/>
      <c r="AA12" s="36">
        <f>VLOOKUP($A12,[16]HISTOOCT22!$A$6:$AU$39,43,0)</f>
        <v>0</v>
      </c>
      <c r="AB12" s="36">
        <f>VLOOKUP($A12,[16]HISTOOCT22!$A$6:$AU$39,44,0)</f>
        <v>0</v>
      </c>
      <c r="AC12" s="36">
        <f>VLOOKUP($A12,[16]HISTOOCT22!$A$6:$AU$39,47,0)</f>
        <v>0</v>
      </c>
      <c r="AD12" s="36">
        <f>VLOOKUP(A12,[16]HISTOOCT22!$A$6:$BB$36,54,0)</f>
        <v>0</v>
      </c>
      <c r="AE12" s="36">
        <f>VLOOKUP($A12,[16]HISTOOCT22!$A$6:$CA$36,60,0)</f>
        <v>0</v>
      </c>
      <c r="AF12" s="36">
        <f>VLOOKUP($A12,[16]HISTOOCT22!$A$6:$CA$36,61,0)</f>
        <v>0</v>
      </c>
      <c r="AG12" s="36">
        <f>VLOOKUP($A12,[16]HISTOOCT22!$A$6:$CA$36,62,0)</f>
        <v>0</v>
      </c>
      <c r="AH12" s="36">
        <f>VLOOKUP($A12,[16]HISTOOCT22!$A$6:$CA$36,63,0)</f>
        <v>0</v>
      </c>
      <c r="AI12" s="36">
        <f>VLOOKUP($A12,[16]HISTOOCT22!$A$6:$CA$36,64,0)</f>
        <v>0</v>
      </c>
      <c r="AJ12" s="36">
        <f>VLOOKUP($A12,[16]HISTOOCT22!$A$6:$CA$36,65,0)</f>
        <v>0</v>
      </c>
    </row>
    <row r="13" spans="1:36" x14ac:dyDescent="0.25">
      <c r="A13" s="1" t="s">
        <v>26</v>
      </c>
      <c r="B13" s="1" t="str">
        <f>VLOOKUP(A13,[15]LISTADHERENT!A$5:H$60,3,0)</f>
        <v>DONHOU DAVID</v>
      </c>
      <c r="C13" s="5"/>
      <c r="D13" s="5"/>
      <c r="E13" s="36">
        <f>VLOOKUP($A13,[16]HISTOOCT22!$A$6:$BA$39,48,0)</f>
        <v>0</v>
      </c>
      <c r="F13" s="5">
        <f>MVTSEPT22!F13-MVTOCT22!E13</f>
        <v>570000</v>
      </c>
      <c r="G13" s="6">
        <f t="shared" si="1"/>
        <v>0</v>
      </c>
      <c r="H13" s="6">
        <f>MVTSEPT22!H13+MVTSEPT22!G13+K13</f>
        <v>989114.01650523359</v>
      </c>
      <c r="I13" s="36">
        <f>VLOOKUP($A13,[16]HISTOOCT22!$A$6:$AQ$37,22,0)</f>
        <v>0</v>
      </c>
      <c r="J13" s="36">
        <f>VLOOKUP($A13,[16]HISTOOCT22!$A$6:$AU$39,45,0)</f>
        <v>12000</v>
      </c>
      <c r="K13" s="36">
        <f t="shared" si="2"/>
        <v>8000</v>
      </c>
      <c r="L13" s="36">
        <f t="shared" si="3"/>
        <v>500</v>
      </c>
      <c r="M13" s="36">
        <f t="shared" si="4"/>
        <v>1000</v>
      </c>
      <c r="N13" s="36">
        <f t="shared" si="5"/>
        <v>2500</v>
      </c>
      <c r="O13" s="36">
        <f>VLOOKUP($A13,[16]HISTOOCT22!$A$6:$AU$39,7,0)</f>
        <v>0</v>
      </c>
      <c r="P13" s="36">
        <f>VLOOKUP($A13,[16]HISTOOCT22!$A$6:$AU$39,23,0)</f>
        <v>0</v>
      </c>
      <c r="Q13" s="36">
        <f>VLOOKUP($A13,[16]HISTOOCT22!$A$6:$AU$39,46,0)</f>
        <v>0</v>
      </c>
      <c r="R13" s="36">
        <f>VLOOKUP($A13,[16]HISTOOCT22!$A$6:$AU$39,26,0)</f>
        <v>0</v>
      </c>
      <c r="S13" s="36">
        <f>VLOOKUP($A13,[16]HISTOOCT22!$A$6:$BG$39,58,0)</f>
        <v>0</v>
      </c>
      <c r="T13" s="36">
        <f>VLOOKUP($A13,[16]HISTOOCT22!$A$6:$AU$39,28,0)</f>
        <v>0</v>
      </c>
      <c r="U13" s="36">
        <f>VLOOKUP($A13,[16]HISTOOCT22!$A$6:$AU$39,19,0)</f>
        <v>0</v>
      </c>
      <c r="V13" s="36">
        <f>VLOOKUP($A13,[16]HISTOOCT22!$A$6:$AU$39,20,0)</f>
        <v>0</v>
      </c>
      <c r="W13" s="36">
        <f>VLOOKUP($A13,[16]HISTOOCT22!$A$6:$AU$39,27,0)</f>
        <v>0</v>
      </c>
      <c r="X13" s="36">
        <f>VLOOKUP($A13,[16]HISTOOCT22!$A$6:$AU$39,33,0)</f>
        <v>0</v>
      </c>
      <c r="Y13" s="36">
        <f>VLOOKUP($A13,[16]HISTOOCT22!$A$6:$BP$39,65,0)</f>
        <v>0</v>
      </c>
      <c r="Z13" s="36"/>
      <c r="AA13" s="36">
        <f>VLOOKUP($A13,[16]HISTOOCT22!$A$6:$AU$39,43,0)</f>
        <v>0</v>
      </c>
      <c r="AB13" s="36">
        <f>VLOOKUP($A13,[16]HISTOOCT22!$A$6:$AU$39,44,0)</f>
        <v>0</v>
      </c>
      <c r="AC13" s="36">
        <f>VLOOKUP($A13,[16]HISTOOCT22!$A$6:$AU$39,47,0)</f>
        <v>0</v>
      </c>
      <c r="AD13" s="36">
        <f>VLOOKUP(A13,[16]HISTOOCT22!$A$6:$BB$36,54,0)</f>
        <v>0</v>
      </c>
      <c r="AE13" s="36">
        <f>VLOOKUP($A13,[16]HISTOOCT22!$A$6:$CA$36,60,0)</f>
        <v>0</v>
      </c>
      <c r="AF13" s="36">
        <f>VLOOKUP($A13,[16]HISTOOCT22!$A$6:$CA$36,61,0)</f>
        <v>0</v>
      </c>
      <c r="AG13" s="36">
        <f>VLOOKUP($A13,[16]HISTOOCT22!$A$6:$CA$36,62,0)</f>
        <v>0</v>
      </c>
      <c r="AH13" s="36">
        <f>VLOOKUP($A13,[16]HISTOOCT22!$A$6:$CA$36,63,0)</f>
        <v>0</v>
      </c>
      <c r="AI13" s="36">
        <f>VLOOKUP($A13,[16]HISTOOCT22!$A$6:$CA$36,64,0)</f>
        <v>0</v>
      </c>
      <c r="AJ13" s="36">
        <f>VLOOKUP($A13,[16]HISTOOCT22!$A$6:$CA$36,65,0)</f>
        <v>0</v>
      </c>
    </row>
    <row r="14" spans="1:36" x14ac:dyDescent="0.25">
      <c r="A14" s="1" t="s">
        <v>27</v>
      </c>
      <c r="B14" s="1" t="str">
        <f>VLOOKUP(A14,[15]LISTADHERENT!A$5:H$60,3,0)</f>
        <v>FOTSO THOMAS</v>
      </c>
      <c r="C14" s="5"/>
      <c r="D14" s="5"/>
      <c r="E14" s="36">
        <f>VLOOKUP($A14,[16]HISTOOCT22!$A$6:$BA$39,48,0)</f>
        <v>0</v>
      </c>
      <c r="F14" s="5">
        <f>MVTSEPT22!F14-MVTOCT22!E14</f>
        <v>540000</v>
      </c>
      <c r="G14" s="6">
        <f t="shared" si="1"/>
        <v>0</v>
      </c>
      <c r="H14" s="6">
        <f>MVTSEPT22!H14+MVTSEPT22!G14+K14</f>
        <v>0</v>
      </c>
      <c r="I14" s="36">
        <f>VLOOKUP($A14,[16]HISTOOCT22!$A$6:$AQ$37,22,0)</f>
        <v>0</v>
      </c>
      <c r="J14" s="36">
        <f>VLOOKUP($A14,[16]HISTOOCT22!$A$6:$AU$39,45,0)</f>
        <v>0</v>
      </c>
      <c r="K14" s="36">
        <f t="shared" si="2"/>
        <v>0</v>
      </c>
      <c r="L14" s="36">
        <f t="shared" si="3"/>
        <v>0</v>
      </c>
      <c r="M14" s="36">
        <f t="shared" si="4"/>
        <v>0</v>
      </c>
      <c r="N14" s="36">
        <f t="shared" si="5"/>
        <v>0</v>
      </c>
      <c r="O14" s="36">
        <f>VLOOKUP($A14,[16]HISTOOCT22!$A$6:$AU$39,7,0)</f>
        <v>0</v>
      </c>
      <c r="P14" s="36">
        <f>VLOOKUP($A14,[16]HISTOOCT22!$A$6:$AU$39,23,0)</f>
        <v>0</v>
      </c>
      <c r="Q14" s="36">
        <f>VLOOKUP($A14,[16]HISTOOCT22!$A$6:$AU$39,46,0)</f>
        <v>0</v>
      </c>
      <c r="R14" s="36">
        <f>VLOOKUP($A14,[16]HISTOOCT22!$A$6:$AU$39,26,0)</f>
        <v>0</v>
      </c>
      <c r="S14" s="36">
        <f>VLOOKUP($A14,[16]HISTOOCT22!$A$6:$BG$39,58,0)</f>
        <v>0</v>
      </c>
      <c r="T14" s="36">
        <f>VLOOKUP($A14,[16]HISTOOCT22!$A$6:$AU$39,28,0)</f>
        <v>0</v>
      </c>
      <c r="U14" s="36">
        <f>VLOOKUP($A14,[16]HISTOOCT22!$A$6:$AU$39,19,0)</f>
        <v>0</v>
      </c>
      <c r="V14" s="36">
        <f>VLOOKUP($A14,[16]HISTOOCT22!$A$6:$AU$39,20,0)</f>
        <v>0</v>
      </c>
      <c r="W14" s="36">
        <f>VLOOKUP($A14,[16]HISTOOCT22!$A$6:$AU$39,27,0)</f>
        <v>0</v>
      </c>
      <c r="X14" s="36">
        <f>VLOOKUP($A14,[16]HISTOOCT22!$A$6:$AU$39,33,0)</f>
        <v>0</v>
      </c>
      <c r="Y14" s="36">
        <f>VLOOKUP($A14,[16]HISTOOCT22!$A$6:$BP$39,65,0)</f>
        <v>0</v>
      </c>
      <c r="Z14" s="36"/>
      <c r="AA14" s="36">
        <f>VLOOKUP($A14,[16]HISTOOCT22!$A$6:$AU$39,43,0)</f>
        <v>0</v>
      </c>
      <c r="AB14" s="36">
        <f>VLOOKUP($A14,[16]HISTOOCT22!$A$6:$AU$39,44,0)</f>
        <v>0</v>
      </c>
      <c r="AC14" s="36">
        <f>VLOOKUP($A14,[16]HISTOOCT22!$A$6:$AU$39,47,0)</f>
        <v>0</v>
      </c>
      <c r="AD14" s="36">
        <f>VLOOKUP(A14,[16]HISTOOCT22!$A$6:$BB$36,54,0)</f>
        <v>0</v>
      </c>
      <c r="AE14" s="36">
        <f>VLOOKUP($A14,[16]HISTOOCT22!$A$6:$CA$36,60,0)</f>
        <v>0</v>
      </c>
      <c r="AF14" s="36">
        <f>VLOOKUP($A14,[16]HISTOOCT22!$A$6:$CA$36,61,0)</f>
        <v>0</v>
      </c>
      <c r="AG14" s="36">
        <f>VLOOKUP($A14,[16]HISTOOCT22!$A$6:$CA$36,62,0)</f>
        <v>0</v>
      </c>
      <c r="AH14" s="36">
        <f>VLOOKUP($A14,[16]HISTOOCT22!$A$6:$CA$36,63,0)</f>
        <v>0</v>
      </c>
      <c r="AI14" s="36">
        <f>VLOOKUP($A14,[16]HISTOOCT22!$A$6:$CA$36,64,0)</f>
        <v>0</v>
      </c>
      <c r="AJ14" s="36">
        <f>VLOOKUP($A14,[16]HISTOOCT22!$A$6:$CA$36,65,0)</f>
        <v>0</v>
      </c>
    </row>
    <row r="15" spans="1:36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VLOOKUP($A15,[16]HISTOOCT22!$A$6:$BA$39,48,0)</f>
        <v>0</v>
      </c>
      <c r="F15" s="5">
        <f>MVTSEPT22!F15-MVTOCT22!E15</f>
        <v>570000</v>
      </c>
      <c r="G15" s="6">
        <f t="shared" si="1"/>
        <v>0</v>
      </c>
      <c r="H15" s="6">
        <f>MVTSEPT22!H15+MVTSEPT22!G15+K15</f>
        <v>666402.85606563604</v>
      </c>
      <c r="I15" s="36">
        <f>VLOOKUP($A15,[16]HISTOOCT22!$A$6:$AQ$37,22,0)</f>
        <v>0</v>
      </c>
      <c r="J15" s="36">
        <f>VLOOKUP($A15,[16]HISTOOCT22!$A$6:$AU$39,45,0)</f>
        <v>7000</v>
      </c>
      <c r="K15" s="36">
        <f t="shared" si="2"/>
        <v>3000</v>
      </c>
      <c r="L15" s="36">
        <f t="shared" si="3"/>
        <v>500</v>
      </c>
      <c r="M15" s="36">
        <f t="shared" si="4"/>
        <v>1000</v>
      </c>
      <c r="N15" s="36">
        <f t="shared" si="5"/>
        <v>2500</v>
      </c>
      <c r="O15" s="36">
        <f>VLOOKUP($A15,[16]HISTOOCT22!$A$6:$AU$39,7,0)</f>
        <v>0</v>
      </c>
      <c r="P15" s="36">
        <f>VLOOKUP($A15,[16]HISTOOCT22!$A$6:$AU$39,23,0)</f>
        <v>0</v>
      </c>
      <c r="Q15" s="36">
        <f>VLOOKUP($A15,[16]HISTOOCT22!$A$6:$AU$39,46,0)</f>
        <v>0</v>
      </c>
      <c r="R15" s="36">
        <f>VLOOKUP($A15,[16]HISTOOCT22!$A$6:$AU$39,26,0)</f>
        <v>0</v>
      </c>
      <c r="S15" s="36">
        <f>VLOOKUP($A15,[16]HISTOOCT22!$A$6:$BG$39,58,0)</f>
        <v>0</v>
      </c>
      <c r="T15" s="36">
        <f>VLOOKUP($A15,[16]HISTOOCT22!$A$6:$AU$39,28,0)</f>
        <v>0</v>
      </c>
      <c r="U15" s="36">
        <f>VLOOKUP($A15,[16]HISTOOCT22!$A$6:$AU$39,19,0)</f>
        <v>0</v>
      </c>
      <c r="V15" s="36">
        <f>VLOOKUP($A15,[16]HISTOOCT22!$A$6:$AU$39,20,0)</f>
        <v>0</v>
      </c>
      <c r="W15" s="36">
        <f>VLOOKUP($A15,[16]HISTOOCT22!$A$6:$AU$39,27,0)</f>
        <v>0</v>
      </c>
      <c r="X15" s="36">
        <f>VLOOKUP($A15,[16]HISTOOCT22!$A$6:$AU$39,33,0)</f>
        <v>0</v>
      </c>
      <c r="Y15" s="36">
        <f>VLOOKUP($A15,[16]HISTOOCT22!$A$6:$BP$39,65,0)</f>
        <v>0</v>
      </c>
      <c r="Z15" s="36"/>
      <c r="AA15" s="36">
        <f>VLOOKUP($A15,[16]HISTOOCT22!$A$6:$AU$39,43,0)</f>
        <v>0</v>
      </c>
      <c r="AB15" s="36">
        <f>VLOOKUP($A15,[16]HISTOOCT22!$A$6:$AU$39,44,0)</f>
        <v>0</v>
      </c>
      <c r="AC15" s="36">
        <f>VLOOKUP($A15,[16]HISTOOCT22!$A$6:$AU$39,47,0)</f>
        <v>0</v>
      </c>
      <c r="AD15" s="36">
        <f>VLOOKUP(A15,[16]HISTOOCT22!$A$6:$BB$36,54,0)</f>
        <v>0</v>
      </c>
      <c r="AE15" s="36">
        <f>VLOOKUP($A15,[16]HISTOOCT22!$A$6:$CA$36,60,0)</f>
        <v>0</v>
      </c>
      <c r="AF15" s="36">
        <f>VLOOKUP($A15,[16]HISTOOCT22!$A$6:$CA$36,61,0)</f>
        <v>0</v>
      </c>
      <c r="AG15" s="36">
        <f>VLOOKUP($A15,[16]HISTOOCT22!$A$6:$CA$36,62,0)</f>
        <v>0</v>
      </c>
      <c r="AH15" s="36">
        <f>VLOOKUP($A15,[16]HISTOOCT22!$A$6:$CA$36,63,0)</f>
        <v>0</v>
      </c>
      <c r="AI15" s="36">
        <f>VLOOKUP($A15,[16]HISTOOCT22!$A$6:$CA$36,64,0)</f>
        <v>0</v>
      </c>
      <c r="AJ15" s="36">
        <f>VLOOKUP($A15,[16]HISTOOCT22!$A$6:$CA$36,65,0)</f>
        <v>0</v>
      </c>
    </row>
    <row r="16" spans="1:36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VLOOKUP($A16,[16]HISTOOCT22!$A$6:$BA$39,48,0)</f>
        <v>0</v>
      </c>
      <c r="F16" s="5">
        <f>MVTSEPT22!F16-MVTOCT22!E16</f>
        <v>570000</v>
      </c>
      <c r="G16" s="6">
        <f t="shared" si="1"/>
        <v>0</v>
      </c>
      <c r="H16" s="6">
        <f>MVTSEPT22!H16+MVTSEPT22!G16+K16</f>
        <v>1143832.1031424678</v>
      </c>
      <c r="I16" s="36">
        <f>VLOOKUP($A16,[16]HISTOOCT22!$A$6:$AQ$37,22,0)</f>
        <v>0</v>
      </c>
      <c r="J16" s="36">
        <f>VLOOKUP($A16,[16]HISTOOCT22!$A$6:$AU$39,45,0)</f>
        <v>52000</v>
      </c>
      <c r="K16" s="36">
        <f t="shared" si="2"/>
        <v>48000</v>
      </c>
      <c r="L16" s="36">
        <f t="shared" si="3"/>
        <v>500</v>
      </c>
      <c r="M16" s="36">
        <f t="shared" si="4"/>
        <v>1000</v>
      </c>
      <c r="N16" s="36">
        <f t="shared" si="5"/>
        <v>2500</v>
      </c>
      <c r="O16" s="36">
        <f>VLOOKUP($A16,[16]HISTOOCT22!$A$6:$AU$39,7,0)</f>
        <v>0</v>
      </c>
      <c r="P16" s="36">
        <f>VLOOKUP($A16,[16]HISTOOCT22!$A$6:$AU$39,23,0)</f>
        <v>0</v>
      </c>
      <c r="Q16" s="36">
        <f>VLOOKUP($A16,[16]HISTOOCT22!$A$6:$AU$39,46,0)</f>
        <v>0</v>
      </c>
      <c r="R16" s="36">
        <f>VLOOKUP($A16,[16]HISTOOCT22!$A$6:$AU$39,26,0)</f>
        <v>0</v>
      </c>
      <c r="S16" s="36">
        <f>VLOOKUP($A16,[16]HISTOOCT22!$A$6:$BG$39,58,0)</f>
        <v>0</v>
      </c>
      <c r="T16" s="36">
        <f>VLOOKUP($A16,[16]HISTOOCT22!$A$6:$AU$39,28,0)</f>
        <v>0</v>
      </c>
      <c r="U16" s="36">
        <f>VLOOKUP($A16,[16]HISTOOCT22!$A$6:$AU$39,19,0)</f>
        <v>0</v>
      </c>
      <c r="V16" s="36">
        <f>VLOOKUP($A16,[16]HISTOOCT22!$A$6:$AU$39,20,0)</f>
        <v>0</v>
      </c>
      <c r="W16" s="36">
        <f>VLOOKUP($A16,[16]HISTOOCT22!$A$6:$AU$39,27,0)</f>
        <v>0</v>
      </c>
      <c r="X16" s="36">
        <f>VLOOKUP($A16,[16]HISTOOCT22!$A$6:$AU$39,33,0)</f>
        <v>0</v>
      </c>
      <c r="Y16" s="36">
        <f>VLOOKUP($A16,[16]HISTOOCT22!$A$6:$BP$39,65,0)</f>
        <v>0</v>
      </c>
      <c r="Z16" s="36"/>
      <c r="AA16" s="36">
        <f>VLOOKUP($A16,[16]HISTOOCT22!$A$6:$AU$39,43,0)</f>
        <v>0</v>
      </c>
      <c r="AB16" s="36">
        <f>VLOOKUP($A16,[16]HISTOOCT22!$A$6:$AU$39,44,0)</f>
        <v>0</v>
      </c>
      <c r="AC16" s="36">
        <f>VLOOKUP($A16,[16]HISTOOCT22!$A$6:$AU$39,47,0)</f>
        <v>0</v>
      </c>
      <c r="AD16" s="36">
        <f>VLOOKUP(A16,[16]HISTOOCT22!$A$6:$BB$36,54,0)</f>
        <v>0</v>
      </c>
      <c r="AE16" s="36">
        <f>VLOOKUP($A16,[16]HISTOOCT22!$A$6:$CA$36,60,0)</f>
        <v>0</v>
      </c>
      <c r="AF16" s="36">
        <f>VLOOKUP($A16,[16]HISTOOCT22!$A$6:$CA$36,61,0)</f>
        <v>0</v>
      </c>
      <c r="AG16" s="36">
        <f>VLOOKUP($A16,[16]HISTOOCT22!$A$6:$CA$36,62,0)</f>
        <v>0</v>
      </c>
      <c r="AH16" s="36">
        <f>VLOOKUP($A16,[16]HISTOOCT22!$A$6:$CA$36,63,0)</f>
        <v>0</v>
      </c>
      <c r="AI16" s="36">
        <f>VLOOKUP($A16,[16]HISTOOCT22!$A$6:$CA$36,64,0)</f>
        <v>0</v>
      </c>
      <c r="AJ16" s="36">
        <f>VLOOKUP($A16,[16]HISTOOCT22!$A$6:$CA$36,65,0)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VLOOKUP($A17,[16]HISTOOCT22!$A$6:$BA$39,48,0)</f>
        <v>0</v>
      </c>
      <c r="F17" s="5">
        <f>MVTSEPT22!F17-MVTOCT22!E17</f>
        <v>570000</v>
      </c>
      <c r="G17" s="6">
        <f t="shared" si="1"/>
        <v>0</v>
      </c>
      <c r="H17" s="6">
        <f>MVTSEPT22!H17+MVTSEPT22!G17+K17</f>
        <v>668587.12764239614</v>
      </c>
      <c r="I17" s="36">
        <f>VLOOKUP($A17,[16]HISTOOCT22!$A$6:$AQ$37,22,0)</f>
        <v>0</v>
      </c>
      <c r="J17" s="36">
        <f>VLOOKUP($A17,[16]HISTOOCT22!$A$6:$AU$39,45,0)</f>
        <v>7000</v>
      </c>
      <c r="K17" s="36">
        <f t="shared" si="2"/>
        <v>3000</v>
      </c>
      <c r="L17" s="36">
        <f t="shared" si="3"/>
        <v>500</v>
      </c>
      <c r="M17" s="36">
        <f t="shared" si="4"/>
        <v>1000</v>
      </c>
      <c r="N17" s="36">
        <f t="shared" si="5"/>
        <v>2500</v>
      </c>
      <c r="O17" s="36">
        <f>VLOOKUP($A17,[16]HISTOOCT22!$A$6:$AU$39,7,0)</f>
        <v>0</v>
      </c>
      <c r="P17" s="36">
        <f>VLOOKUP($A17,[16]HISTOOCT22!$A$6:$AU$39,23,0)</f>
        <v>0</v>
      </c>
      <c r="Q17" s="36">
        <f>VLOOKUP($A17,[16]HISTOOCT22!$A$6:$AU$39,46,0)</f>
        <v>0</v>
      </c>
      <c r="R17" s="36">
        <f>VLOOKUP($A17,[16]HISTOOCT22!$A$6:$AU$39,26,0)</f>
        <v>0</v>
      </c>
      <c r="S17" s="36">
        <f>VLOOKUP($A17,[16]HISTOOCT22!$A$6:$BG$39,58,0)</f>
        <v>0</v>
      </c>
      <c r="T17" s="36">
        <f>VLOOKUP($A17,[16]HISTOOCT22!$A$6:$AU$39,28,0)</f>
        <v>0</v>
      </c>
      <c r="U17" s="36">
        <f>VLOOKUP($A17,[16]HISTOOCT22!$A$6:$AU$39,19,0)</f>
        <v>0</v>
      </c>
      <c r="V17" s="36">
        <f>VLOOKUP($A17,[16]HISTOOCT22!$A$6:$AU$39,20,0)</f>
        <v>0</v>
      </c>
      <c r="W17" s="36">
        <f>VLOOKUP($A17,[16]HISTOOCT22!$A$6:$AU$39,27,0)</f>
        <v>0</v>
      </c>
      <c r="X17" s="36">
        <f>VLOOKUP($A17,[16]HISTOOCT22!$A$6:$AU$39,33,0)</f>
        <v>0</v>
      </c>
      <c r="Y17" s="36">
        <f>VLOOKUP($A17,[16]HISTOOCT22!$A$6:$BP$39,65,0)</f>
        <v>0</v>
      </c>
      <c r="Z17" s="36"/>
      <c r="AA17" s="36">
        <f>VLOOKUP($A17,[16]HISTOOCT22!$A$6:$AU$39,43,0)</f>
        <v>0</v>
      </c>
      <c r="AB17" s="36">
        <f>VLOOKUP($A17,[16]HISTOOCT22!$A$6:$AU$39,44,0)</f>
        <v>0</v>
      </c>
      <c r="AC17" s="36">
        <f>VLOOKUP($A17,[16]HISTOOCT22!$A$6:$AU$39,47,0)</f>
        <v>0</v>
      </c>
      <c r="AD17" s="36">
        <f>VLOOKUP(A17,[16]HISTOOCT22!$A$6:$BB$36,54,0)</f>
        <v>0</v>
      </c>
      <c r="AE17" s="36">
        <f>VLOOKUP($A17,[16]HISTOOCT22!$A$6:$CA$36,60,0)</f>
        <v>0</v>
      </c>
      <c r="AF17" s="36">
        <f>VLOOKUP($A17,[16]HISTOOCT22!$A$6:$CA$36,61,0)</f>
        <v>0</v>
      </c>
      <c r="AG17" s="36">
        <f>VLOOKUP($A17,[16]HISTOOCT22!$A$6:$CA$36,62,0)</f>
        <v>0</v>
      </c>
      <c r="AH17" s="36">
        <f>VLOOKUP($A17,[16]HISTOOCT22!$A$6:$CA$36,63,0)</f>
        <v>0</v>
      </c>
      <c r="AI17" s="36">
        <f>VLOOKUP($A17,[16]HISTOOCT22!$A$6:$CA$36,64,0)</f>
        <v>0</v>
      </c>
      <c r="AJ17" s="36">
        <f>VLOOKUP($A17,[16]HISTOOCT22!$A$6:$CA$36,65,0)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VLOOKUP($A18,[16]HISTOOCT22!$A$6:$BA$39,48,0)</f>
        <v>0</v>
      </c>
      <c r="F18" s="5">
        <f>MVTSEPT22!F18-MVTOCT22!E18</f>
        <v>570000</v>
      </c>
      <c r="G18" s="6">
        <f t="shared" si="1"/>
        <v>0</v>
      </c>
      <c r="H18" s="6">
        <f>MVTSEPT22!H18+MVTSEPT22!G18+K18</f>
        <v>670259.86803162331</v>
      </c>
      <c r="I18" s="36">
        <f>VLOOKUP($A18,[16]HISTOOCT22!$A$6:$AQ$37,22,0)</f>
        <v>0</v>
      </c>
      <c r="J18" s="36">
        <f>VLOOKUP($A18,[16]HISTOOCT22!$A$6:$AU$39,45,0)</f>
        <v>7000</v>
      </c>
      <c r="K18" s="36">
        <f t="shared" si="2"/>
        <v>3000</v>
      </c>
      <c r="L18" s="36">
        <f t="shared" si="3"/>
        <v>500</v>
      </c>
      <c r="M18" s="36">
        <f t="shared" si="4"/>
        <v>1000</v>
      </c>
      <c r="N18" s="36">
        <f t="shared" si="5"/>
        <v>2500</v>
      </c>
      <c r="O18" s="36">
        <f>VLOOKUP($A18,[16]HISTOOCT22!$A$6:$AU$39,7,0)</f>
        <v>0</v>
      </c>
      <c r="P18" s="36">
        <f>VLOOKUP($A18,[16]HISTOOCT22!$A$6:$AU$39,23,0)</f>
        <v>0</v>
      </c>
      <c r="Q18" s="36">
        <f>VLOOKUP($A18,[16]HISTOOCT22!$A$6:$AU$39,46,0)</f>
        <v>0</v>
      </c>
      <c r="R18" s="36">
        <f>VLOOKUP($A18,[16]HISTOOCT22!$A$6:$AU$39,26,0)</f>
        <v>0</v>
      </c>
      <c r="S18" s="36">
        <f>VLOOKUP($A18,[16]HISTOOCT22!$A$6:$BG$39,58,0)</f>
        <v>0</v>
      </c>
      <c r="T18" s="36">
        <f>VLOOKUP($A18,[16]HISTOOCT22!$A$6:$AU$39,28,0)</f>
        <v>0</v>
      </c>
      <c r="U18" s="36">
        <f>VLOOKUP($A18,[16]HISTOOCT22!$A$6:$AU$39,19,0)</f>
        <v>0</v>
      </c>
      <c r="V18" s="36">
        <f>VLOOKUP($A18,[16]HISTOOCT22!$A$6:$AU$39,20,0)</f>
        <v>0</v>
      </c>
      <c r="W18" s="36">
        <f>VLOOKUP($A18,[16]HISTOOCT22!$A$6:$AU$39,27,0)</f>
        <v>0</v>
      </c>
      <c r="X18" s="36">
        <f>VLOOKUP($A18,[16]HISTOOCT22!$A$6:$AU$39,33,0)</f>
        <v>0</v>
      </c>
      <c r="Y18" s="36">
        <f>VLOOKUP($A18,[16]HISTOOCT22!$A$6:$BP$39,65,0)</f>
        <v>0</v>
      </c>
      <c r="Z18" s="36"/>
      <c r="AA18" s="36">
        <f>VLOOKUP($A18,[16]HISTOOCT22!$A$6:$AU$39,43,0)</f>
        <v>0</v>
      </c>
      <c r="AB18" s="36">
        <f>VLOOKUP($A18,[16]HISTOOCT22!$A$6:$AU$39,44,0)</f>
        <v>0</v>
      </c>
      <c r="AC18" s="36">
        <f>VLOOKUP($A18,[16]HISTOOCT22!$A$6:$AU$39,47,0)</f>
        <v>0</v>
      </c>
      <c r="AD18" s="36">
        <f>VLOOKUP(A18,[16]HISTOOCT22!$A$6:$BB$36,54,0)</f>
        <v>0</v>
      </c>
      <c r="AE18" s="36">
        <f>VLOOKUP($A18,[16]HISTOOCT22!$A$6:$CA$36,60,0)</f>
        <v>0</v>
      </c>
      <c r="AF18" s="36">
        <f>VLOOKUP($A18,[16]HISTOOCT22!$A$6:$CA$36,61,0)</f>
        <v>0</v>
      </c>
      <c r="AG18" s="36">
        <f>VLOOKUP($A18,[16]HISTOOCT22!$A$6:$CA$36,62,0)</f>
        <v>0</v>
      </c>
      <c r="AH18" s="36">
        <f>VLOOKUP($A18,[16]HISTOOCT22!$A$6:$CA$36,63,0)</f>
        <v>0</v>
      </c>
      <c r="AI18" s="36">
        <f>VLOOKUP($A18,[16]HISTOOCT22!$A$6:$CA$36,64,0)</f>
        <v>0</v>
      </c>
      <c r="AJ18" s="36">
        <f>VLOOKUP($A18,[16]HISTOOCT22!$A$6:$CA$36,65,0)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VLOOKUP($A19,[16]HISTOOCT22!$A$6:$BA$39,48,0)</f>
        <v>0</v>
      </c>
      <c r="F19" s="5">
        <f>MVTSEPT22!F19-MVTOCT22!E19</f>
        <v>570000</v>
      </c>
      <c r="G19" s="6">
        <f t="shared" si="1"/>
        <v>0</v>
      </c>
      <c r="H19" s="6">
        <f>MVTSEPT22!H19+MVTSEPT22!G19+K19</f>
        <v>663030.97258010204</v>
      </c>
      <c r="I19" s="36">
        <f>VLOOKUP($A19,[16]HISTOOCT22!$A$6:$AQ$37,22,0)</f>
        <v>0</v>
      </c>
      <c r="J19" s="36">
        <f>VLOOKUP($A19,[16]HISTOOCT22!$A$6:$AU$39,45,0)</f>
        <v>7000</v>
      </c>
      <c r="K19" s="36">
        <f t="shared" si="2"/>
        <v>3000</v>
      </c>
      <c r="L19" s="36">
        <f t="shared" si="3"/>
        <v>500</v>
      </c>
      <c r="M19" s="36">
        <f t="shared" si="4"/>
        <v>1000</v>
      </c>
      <c r="N19" s="36">
        <f t="shared" si="5"/>
        <v>2500</v>
      </c>
      <c r="O19" s="36">
        <f>VLOOKUP($A19,[16]HISTOOCT22!$A$6:$AU$39,7,0)</f>
        <v>0</v>
      </c>
      <c r="P19" s="36">
        <f>VLOOKUP($A19,[16]HISTOOCT22!$A$6:$AU$39,23,0)</f>
        <v>0</v>
      </c>
      <c r="Q19" s="36">
        <f>VLOOKUP($A19,[16]HISTOOCT22!$A$6:$AU$39,46,0)</f>
        <v>0</v>
      </c>
      <c r="R19" s="36">
        <f>VLOOKUP($A19,[16]HISTOOCT22!$A$6:$AU$39,26,0)</f>
        <v>0</v>
      </c>
      <c r="S19" s="36">
        <f>VLOOKUP($A19,[16]HISTOOCT22!$A$6:$BG$39,58,0)</f>
        <v>0</v>
      </c>
      <c r="T19" s="36">
        <f>VLOOKUP($A19,[16]HISTOOCT22!$A$6:$AU$39,28,0)</f>
        <v>0</v>
      </c>
      <c r="U19" s="36">
        <f>VLOOKUP($A19,[16]HISTOOCT22!$A$6:$AU$39,19,0)</f>
        <v>0</v>
      </c>
      <c r="V19" s="36">
        <f>VLOOKUP($A19,[16]HISTOOCT22!$A$6:$AU$39,20,0)</f>
        <v>0</v>
      </c>
      <c r="W19" s="36">
        <f>VLOOKUP($A19,[16]HISTOOCT22!$A$6:$AU$39,27,0)</f>
        <v>0</v>
      </c>
      <c r="X19" s="36">
        <f>VLOOKUP($A19,[16]HISTOOCT22!$A$6:$AU$39,33,0)</f>
        <v>0</v>
      </c>
      <c r="Y19" s="36">
        <f>VLOOKUP($A19,[16]HISTOOCT22!$A$6:$BP$39,65,0)</f>
        <v>0</v>
      </c>
      <c r="Z19" s="36"/>
      <c r="AA19" s="36">
        <f>VLOOKUP($A19,[16]HISTOOCT22!$A$6:$AU$39,43,0)</f>
        <v>0</v>
      </c>
      <c r="AB19" s="36">
        <f>VLOOKUP($A19,[16]HISTOOCT22!$A$6:$AU$39,44,0)</f>
        <v>0</v>
      </c>
      <c r="AC19" s="36">
        <f>VLOOKUP($A19,[16]HISTOOCT22!$A$6:$AU$39,47,0)</f>
        <v>0</v>
      </c>
      <c r="AD19" s="36">
        <f>VLOOKUP(A19,[16]HISTOOCT22!$A$6:$BB$36,54,0)</f>
        <v>0</v>
      </c>
      <c r="AE19" s="36">
        <f>VLOOKUP($A19,[16]HISTOOCT22!$A$6:$CA$36,60,0)</f>
        <v>0</v>
      </c>
      <c r="AF19" s="36">
        <f>VLOOKUP($A19,[16]HISTOOCT22!$A$6:$CA$36,61,0)</f>
        <v>0</v>
      </c>
      <c r="AG19" s="36">
        <f>VLOOKUP($A19,[16]HISTOOCT22!$A$6:$CA$36,62,0)</f>
        <v>0</v>
      </c>
      <c r="AH19" s="36">
        <f>VLOOKUP($A19,[16]HISTOOCT22!$A$6:$CA$36,63,0)</f>
        <v>70000</v>
      </c>
      <c r="AI19" s="36">
        <f>VLOOKUP($A19,[16]HISTOOCT22!$A$6:$CA$36,64,0)</f>
        <v>0</v>
      </c>
      <c r="AJ19" s="36">
        <f>VLOOKUP($A19,[16]HISTOOCT22!$A$6:$CA$36,65,0)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VLOOKUP($A20,[16]HISTOOCT22!$A$6:$BA$39,48,0)</f>
        <v>0</v>
      </c>
      <c r="F20" s="5">
        <f>MVTSEPT22!F20-MVTOCT22!E20</f>
        <v>570000</v>
      </c>
      <c r="G20" s="6">
        <f t="shared" si="1"/>
        <v>0</v>
      </c>
      <c r="H20" s="6">
        <f>MVTSEPT22!H20+MVTSEPT22!G20+K20</f>
        <v>662718.95134624699</v>
      </c>
      <c r="I20" s="36">
        <f>VLOOKUP($A20,[16]HISTOOCT22!$A$6:$AQ$37,22,0)</f>
        <v>0</v>
      </c>
      <c r="J20" s="36">
        <f>VLOOKUP($A20,[16]HISTOOCT22!$A$6:$AU$39,45,0)</f>
        <v>7000</v>
      </c>
      <c r="K20" s="36">
        <f t="shared" si="2"/>
        <v>3000</v>
      </c>
      <c r="L20" s="36">
        <f t="shared" si="3"/>
        <v>500</v>
      </c>
      <c r="M20" s="36">
        <f t="shared" si="4"/>
        <v>1000</v>
      </c>
      <c r="N20" s="36">
        <f t="shared" si="5"/>
        <v>2500</v>
      </c>
      <c r="O20" s="36">
        <f>VLOOKUP($A20,[16]HISTOOCT22!$A$6:$AU$39,7,0)</f>
        <v>0</v>
      </c>
      <c r="P20" s="36">
        <f>VLOOKUP($A20,[16]HISTOOCT22!$A$6:$AU$39,23,0)</f>
        <v>0</v>
      </c>
      <c r="Q20" s="36">
        <f>VLOOKUP($A20,[16]HISTOOCT22!$A$6:$AU$39,46,0)</f>
        <v>0</v>
      </c>
      <c r="R20" s="36">
        <f>VLOOKUP($A20,[16]HISTOOCT22!$A$6:$AU$39,26,0)</f>
        <v>0</v>
      </c>
      <c r="S20" s="36">
        <f>VLOOKUP($A20,[16]HISTOOCT22!$A$6:$BG$39,58,0)</f>
        <v>0</v>
      </c>
      <c r="T20" s="36">
        <f>VLOOKUP($A20,[16]HISTOOCT22!$A$6:$AU$39,28,0)</f>
        <v>0</v>
      </c>
      <c r="U20" s="36">
        <f>VLOOKUP($A20,[16]HISTOOCT22!$A$6:$AU$39,19,0)</f>
        <v>0</v>
      </c>
      <c r="V20" s="36">
        <f>VLOOKUP($A20,[16]HISTOOCT22!$A$6:$AU$39,20,0)</f>
        <v>0</v>
      </c>
      <c r="W20" s="36">
        <f>VLOOKUP($A20,[16]HISTOOCT22!$A$6:$AU$39,27,0)</f>
        <v>0</v>
      </c>
      <c r="X20" s="36">
        <f>VLOOKUP($A20,[16]HISTOOCT22!$A$6:$AU$39,33,0)</f>
        <v>0</v>
      </c>
      <c r="Y20" s="36">
        <f>VLOOKUP($A20,[16]HISTOOCT22!$A$6:$BP$39,65,0)</f>
        <v>0</v>
      </c>
      <c r="Z20" s="36"/>
      <c r="AA20" s="36">
        <f>VLOOKUP($A20,[16]HISTOOCT22!$A$6:$AU$39,43,0)</f>
        <v>0</v>
      </c>
      <c r="AB20" s="36">
        <f>VLOOKUP($A20,[16]HISTOOCT22!$A$6:$AU$39,44,0)</f>
        <v>0</v>
      </c>
      <c r="AC20" s="36">
        <f>VLOOKUP($A20,[16]HISTOOCT22!$A$6:$AU$39,47,0)</f>
        <v>0</v>
      </c>
      <c r="AD20" s="36">
        <f>VLOOKUP(A20,[16]HISTOOCT22!$A$6:$BB$36,54,0)</f>
        <v>0</v>
      </c>
      <c r="AE20" s="36">
        <f>VLOOKUP($A20,[16]HISTOOCT22!$A$6:$CA$36,60,0)</f>
        <v>0</v>
      </c>
      <c r="AF20" s="36">
        <f>VLOOKUP($A20,[16]HISTOOCT22!$A$6:$CA$36,61,0)</f>
        <v>0</v>
      </c>
      <c r="AG20" s="36">
        <f>VLOOKUP($A20,[16]HISTOOCT22!$A$6:$CA$36,62,0)</f>
        <v>0</v>
      </c>
      <c r="AH20" s="36">
        <f>VLOOKUP($A20,[16]HISTOOCT22!$A$6:$CA$36,63,0)</f>
        <v>0</v>
      </c>
      <c r="AI20" s="36">
        <f>VLOOKUP($A20,[16]HISTOOCT22!$A$6:$CA$36,64,0)</f>
        <v>0</v>
      </c>
      <c r="AJ20" s="36">
        <f>VLOOKUP($A20,[16]HISTOOCT22!$A$6:$CA$36,65,0)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VLOOKUP($A21,[16]HISTOOCT22!$A$6:$BA$39,48,0)</f>
        <v>0</v>
      </c>
      <c r="F21" s="5">
        <f>MVTSEPT22!F21-MVTOCT22!E21</f>
        <v>570000</v>
      </c>
      <c r="G21" s="6">
        <f t="shared" si="1"/>
        <v>0</v>
      </c>
      <c r="H21" s="6">
        <f>MVTSEPT22!H21+MVTSEPT22!G21+K21</f>
        <v>696687.26832087687</v>
      </c>
      <c r="I21" s="36">
        <f>VLOOKUP($A21,[16]HISTOOCT22!$A$6:$AQ$37,22,0)</f>
        <v>0</v>
      </c>
      <c r="J21" s="36">
        <f>VLOOKUP($A21,[16]HISTOOCT22!$A$6:$AU$39,45,0)</f>
        <v>7000</v>
      </c>
      <c r="K21" s="36">
        <f t="shared" si="2"/>
        <v>3000</v>
      </c>
      <c r="L21" s="36">
        <f t="shared" si="3"/>
        <v>500</v>
      </c>
      <c r="M21" s="36">
        <f t="shared" si="4"/>
        <v>1000</v>
      </c>
      <c r="N21" s="36">
        <f t="shared" si="5"/>
        <v>2500</v>
      </c>
      <c r="O21" s="36">
        <f>VLOOKUP($A21,[16]HISTOOCT22!$A$6:$AU$39,7,0)</f>
        <v>0</v>
      </c>
      <c r="P21" s="36">
        <f>VLOOKUP($A21,[16]HISTOOCT22!$A$6:$AU$39,23,0)</f>
        <v>0</v>
      </c>
      <c r="Q21" s="36">
        <f>VLOOKUP($A21,[16]HISTOOCT22!$A$6:$AU$39,46,0)</f>
        <v>0</v>
      </c>
      <c r="R21" s="36">
        <f>VLOOKUP($A21,[16]HISTOOCT22!$A$6:$AU$39,26,0)</f>
        <v>0</v>
      </c>
      <c r="S21" s="36">
        <f>VLOOKUP($A21,[16]HISTOOCT22!$A$6:$BG$39,58,0)</f>
        <v>0</v>
      </c>
      <c r="T21" s="36">
        <f>VLOOKUP($A21,[16]HISTOOCT22!$A$6:$AU$39,28,0)</f>
        <v>0</v>
      </c>
      <c r="U21" s="36">
        <f>VLOOKUP($A21,[16]HISTOOCT22!$A$6:$AU$39,19,0)</f>
        <v>0</v>
      </c>
      <c r="V21" s="36">
        <f>VLOOKUP($A21,[16]HISTOOCT22!$A$6:$AU$39,20,0)</f>
        <v>0</v>
      </c>
      <c r="W21" s="36">
        <f>VLOOKUP($A21,[16]HISTOOCT22!$A$6:$AU$39,27,0)</f>
        <v>0</v>
      </c>
      <c r="X21" s="36">
        <f>VLOOKUP($A21,[16]HISTOOCT22!$A$6:$AU$39,33,0)</f>
        <v>0</v>
      </c>
      <c r="Y21" s="36">
        <f>VLOOKUP($A21,[16]HISTOOCT22!$A$6:$BP$39,65,0)</f>
        <v>0</v>
      </c>
      <c r="Z21" s="36"/>
      <c r="AA21" s="36">
        <f>VLOOKUP($A21,[16]HISTOOCT22!$A$6:$AU$39,43,0)</f>
        <v>0</v>
      </c>
      <c r="AB21" s="36">
        <f>VLOOKUP($A21,[16]HISTOOCT22!$A$6:$AU$39,44,0)</f>
        <v>0</v>
      </c>
      <c r="AC21" s="36">
        <f>VLOOKUP($A21,[16]HISTOOCT22!$A$6:$AU$39,47,0)</f>
        <v>0</v>
      </c>
      <c r="AD21" s="36">
        <f>VLOOKUP(A21,[16]HISTOOCT22!$A$6:$BB$36,54,0)</f>
        <v>0</v>
      </c>
      <c r="AE21" s="36">
        <f>VLOOKUP($A21,[16]HISTOOCT22!$A$6:$CA$36,60,0)</f>
        <v>0</v>
      </c>
      <c r="AF21" s="36">
        <f>VLOOKUP($A21,[16]HISTOOCT22!$A$6:$CA$36,61,0)</f>
        <v>0</v>
      </c>
      <c r="AG21" s="36">
        <f>VLOOKUP($A21,[16]HISTOOCT22!$A$6:$CA$36,62,0)</f>
        <v>0</v>
      </c>
      <c r="AH21" s="36">
        <f>VLOOKUP($A21,[16]HISTOOCT22!$A$6:$CA$36,63,0)</f>
        <v>0</v>
      </c>
      <c r="AI21" s="36">
        <f>VLOOKUP($A21,[16]HISTOOCT22!$A$6:$CA$36,64,0)</f>
        <v>0</v>
      </c>
      <c r="AJ21" s="36">
        <f>VLOOKUP($A21,[16]HISTOOCT22!$A$6:$CA$36,65,0)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VLOOKUP($A22,[16]HISTOOCT22!$A$6:$BA$39,48,0)</f>
        <v>0</v>
      </c>
      <c r="F22" s="5">
        <f>MVTSEPT22!F22-MVTOCT22!E22</f>
        <v>570000</v>
      </c>
      <c r="G22" s="6">
        <f t="shared" si="1"/>
        <v>0</v>
      </c>
      <c r="H22" s="6">
        <f>MVTSEPT22!H22+MVTSEPT22!G22+K22</f>
        <v>756370.44998818706</v>
      </c>
      <c r="I22" s="36">
        <f>VLOOKUP($A22,[16]HISTOOCT22!$A$6:$AQ$37,22,0)</f>
        <v>0</v>
      </c>
      <c r="J22" s="36">
        <f>VLOOKUP($A22,[16]HISTOOCT22!$A$6:$AU$39,45,0)</f>
        <v>7000</v>
      </c>
      <c r="K22" s="36">
        <f t="shared" si="2"/>
        <v>3000</v>
      </c>
      <c r="L22" s="36">
        <f t="shared" si="3"/>
        <v>500</v>
      </c>
      <c r="M22" s="36">
        <f t="shared" si="4"/>
        <v>1000</v>
      </c>
      <c r="N22" s="36">
        <f t="shared" si="5"/>
        <v>2500</v>
      </c>
      <c r="O22" s="36">
        <f>VLOOKUP($A22,[16]HISTOOCT22!$A$6:$AU$39,7,0)</f>
        <v>0</v>
      </c>
      <c r="P22" s="36">
        <f>VLOOKUP($A22,[16]HISTOOCT22!$A$6:$AU$39,23,0)</f>
        <v>0</v>
      </c>
      <c r="Q22" s="36">
        <f>VLOOKUP($A22,[16]HISTOOCT22!$A$6:$AU$39,46,0)</f>
        <v>0</v>
      </c>
      <c r="R22" s="36">
        <f>VLOOKUP($A22,[16]HISTOOCT22!$A$6:$AU$39,26,0)</f>
        <v>0</v>
      </c>
      <c r="S22" s="36">
        <f>VLOOKUP($A22,[16]HISTOOCT22!$A$6:$BG$39,58,0)</f>
        <v>0</v>
      </c>
      <c r="T22" s="36">
        <f>VLOOKUP($A22,[16]HISTOOCT22!$A$6:$AU$39,28,0)</f>
        <v>0</v>
      </c>
      <c r="U22" s="36">
        <f>VLOOKUP($A22,[16]HISTOOCT22!$A$6:$AU$39,19,0)</f>
        <v>0</v>
      </c>
      <c r="V22" s="36">
        <f>VLOOKUP($A22,[16]HISTOOCT22!$A$6:$AU$39,20,0)</f>
        <v>0</v>
      </c>
      <c r="W22" s="36">
        <f>VLOOKUP($A22,[16]HISTOOCT22!$A$6:$AU$39,27,0)</f>
        <v>0</v>
      </c>
      <c r="X22" s="36">
        <f>VLOOKUP($A22,[16]HISTOOCT22!$A$6:$AU$39,33,0)</f>
        <v>0</v>
      </c>
      <c r="Y22" s="36">
        <f>VLOOKUP($A22,[16]HISTOOCT22!$A$6:$BP$39,65,0)</f>
        <v>0</v>
      </c>
      <c r="Z22" s="36"/>
      <c r="AA22" s="36">
        <f>VLOOKUP($A22,[16]HISTOOCT22!$A$6:$AU$39,43,0)</f>
        <v>0</v>
      </c>
      <c r="AB22" s="36">
        <f>VLOOKUP($A22,[16]HISTOOCT22!$A$6:$AU$39,44,0)</f>
        <v>0</v>
      </c>
      <c r="AC22" s="36">
        <f>VLOOKUP($A22,[16]HISTOOCT22!$A$6:$AU$39,47,0)</f>
        <v>0</v>
      </c>
      <c r="AD22" s="36">
        <f>VLOOKUP(A22,[16]HISTOOCT22!$A$6:$BB$36,54,0)</f>
        <v>0</v>
      </c>
      <c r="AE22" s="36">
        <f>VLOOKUP($A22,[16]HISTOOCT22!$A$6:$CA$36,60,0)</f>
        <v>0</v>
      </c>
      <c r="AF22" s="36">
        <f>VLOOKUP($A22,[16]HISTOOCT22!$A$6:$CA$36,61,0)</f>
        <v>0</v>
      </c>
      <c r="AG22" s="36">
        <f>VLOOKUP($A22,[16]HISTOOCT22!$A$6:$CA$36,62,0)</f>
        <v>0</v>
      </c>
      <c r="AH22" s="36">
        <f>VLOOKUP($A22,[16]HISTOOCT22!$A$6:$CA$36,63,0)</f>
        <v>0</v>
      </c>
      <c r="AI22" s="36">
        <f>VLOOKUP($A22,[16]HISTOOCT22!$A$6:$CA$36,64,0)</f>
        <v>0</v>
      </c>
      <c r="AJ22" s="36">
        <f>VLOOKUP($A22,[16]HISTOOCT22!$A$6:$CA$36,65,0)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VLOOKUP($A23,[16]HISTOOCT22!$A$6:$BA$39,48,0)</f>
        <v>0</v>
      </c>
      <c r="F23" s="5">
        <f>MVTSEPT22!F23-MVTOCT22!E23</f>
        <v>570000</v>
      </c>
      <c r="G23" s="6">
        <f t="shared" si="1"/>
        <v>0</v>
      </c>
      <c r="H23" s="6">
        <f>MVTSEPT22!H23+MVTSEPT22!G23+K23</f>
        <v>969179.54934260424</v>
      </c>
      <c r="I23" s="36">
        <f>VLOOKUP($A23,[16]HISTOOCT22!$A$6:$AQ$37,22,0)</f>
        <v>0</v>
      </c>
      <c r="J23" s="36">
        <f>VLOOKUP($A23,[16]HISTOOCT22!$A$6:$AU$39,45,0)</f>
        <v>27000</v>
      </c>
      <c r="K23" s="36">
        <f t="shared" si="2"/>
        <v>23000</v>
      </c>
      <c r="L23" s="36">
        <f t="shared" si="3"/>
        <v>500</v>
      </c>
      <c r="M23" s="36">
        <f t="shared" si="4"/>
        <v>1000</v>
      </c>
      <c r="N23" s="36">
        <f t="shared" si="5"/>
        <v>2500</v>
      </c>
      <c r="O23" s="36">
        <f>VLOOKUP($A23,[16]HISTOOCT22!$A$6:$AU$39,7,0)</f>
        <v>0</v>
      </c>
      <c r="P23" s="36">
        <f>VLOOKUP($A23,[16]HISTOOCT22!$A$6:$AU$39,23,0)</f>
        <v>0</v>
      </c>
      <c r="Q23" s="36">
        <f>VLOOKUP($A23,[16]HISTOOCT22!$A$6:$AU$39,46,0)</f>
        <v>0</v>
      </c>
      <c r="R23" s="36">
        <f>VLOOKUP($A23,[16]HISTOOCT22!$A$6:$AU$39,26,0)</f>
        <v>0</v>
      </c>
      <c r="S23" s="36">
        <f>VLOOKUP($A23,[16]HISTOOCT22!$A$6:$BG$39,58,0)</f>
        <v>0</v>
      </c>
      <c r="T23" s="36">
        <f>VLOOKUP($A23,[16]HISTOOCT22!$A$6:$AU$39,28,0)</f>
        <v>0</v>
      </c>
      <c r="U23" s="36">
        <f>VLOOKUP($A23,[16]HISTOOCT22!$A$6:$AU$39,19,0)</f>
        <v>0</v>
      </c>
      <c r="V23" s="36">
        <f>VLOOKUP($A23,[16]HISTOOCT22!$A$6:$AU$39,20,0)</f>
        <v>0</v>
      </c>
      <c r="W23" s="36">
        <f>VLOOKUP($A23,[16]HISTOOCT22!$A$6:$AU$39,27,0)</f>
        <v>0</v>
      </c>
      <c r="X23" s="36">
        <f>VLOOKUP($A23,[16]HISTOOCT22!$A$6:$AU$39,33,0)</f>
        <v>0</v>
      </c>
      <c r="Y23" s="36">
        <f>VLOOKUP($A23,[16]HISTOOCT22!$A$6:$BP$39,65,0)</f>
        <v>0</v>
      </c>
      <c r="Z23" s="36"/>
      <c r="AA23" s="36">
        <f>VLOOKUP($A23,[16]HISTOOCT22!$A$6:$AU$39,43,0)</f>
        <v>0</v>
      </c>
      <c r="AB23" s="36">
        <f>VLOOKUP($A23,[16]HISTOOCT22!$A$6:$AU$39,44,0)</f>
        <v>0</v>
      </c>
      <c r="AC23" s="36">
        <f>VLOOKUP($A23,[16]HISTOOCT22!$A$6:$AU$39,47,0)</f>
        <v>0</v>
      </c>
      <c r="AD23" s="36">
        <f>VLOOKUP(A23,[16]HISTOOCT22!$A$6:$BB$36,54,0)</f>
        <v>0</v>
      </c>
      <c r="AE23" s="36">
        <f>VLOOKUP($A23,[16]HISTOOCT22!$A$6:$CA$36,60,0)</f>
        <v>0</v>
      </c>
      <c r="AF23" s="36">
        <f>VLOOKUP($A23,[16]HISTOOCT22!$A$6:$CA$36,61,0)</f>
        <v>0</v>
      </c>
      <c r="AG23" s="36">
        <f>VLOOKUP($A23,[16]HISTOOCT22!$A$6:$CA$36,62,0)</f>
        <v>0</v>
      </c>
      <c r="AH23" s="36">
        <f>VLOOKUP($A23,[16]HISTOOCT22!$A$6:$CA$36,63,0)</f>
        <v>0</v>
      </c>
      <c r="AI23" s="36">
        <f>VLOOKUP($A23,[16]HISTOOCT22!$A$6:$CA$36,64,0)</f>
        <v>0</v>
      </c>
      <c r="AJ23" s="36">
        <f>VLOOKUP($A23,[16]HISTOOCT22!$A$6:$CA$36,65,0)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VLOOKUP($A24,[16]HISTOOCT22!$A$6:$BA$39,48,0)</f>
        <v>0</v>
      </c>
      <c r="F24" s="5">
        <f>MVTSEPT22!F24-MVTOCT22!E24</f>
        <v>570000</v>
      </c>
      <c r="G24" s="6">
        <f t="shared" si="1"/>
        <v>0</v>
      </c>
      <c r="H24" s="6">
        <f>MVTSEPT22!H24+MVTSEPT22!G24+K24</f>
        <v>770329.43614113715</v>
      </c>
      <c r="I24" s="36">
        <f>VLOOKUP($A24,[16]HISTOOCT22!$A$6:$AQ$37,22,0)</f>
        <v>0</v>
      </c>
      <c r="J24" s="36">
        <f>VLOOKUP($A24,[16]HISTOOCT22!$A$6:$AU$39,45,0)</f>
        <v>7000</v>
      </c>
      <c r="K24" s="36">
        <f t="shared" si="2"/>
        <v>3000</v>
      </c>
      <c r="L24" s="36">
        <f t="shared" si="3"/>
        <v>500</v>
      </c>
      <c r="M24" s="36">
        <f t="shared" si="4"/>
        <v>1000</v>
      </c>
      <c r="N24" s="36">
        <f t="shared" si="5"/>
        <v>2500</v>
      </c>
      <c r="O24" s="36">
        <f>VLOOKUP($A24,[16]HISTOOCT22!$A$6:$AU$39,7,0)</f>
        <v>0</v>
      </c>
      <c r="P24" s="36">
        <f>VLOOKUP($A24,[16]HISTOOCT22!$A$6:$AU$39,23,0)</f>
        <v>0</v>
      </c>
      <c r="Q24" s="36">
        <f>VLOOKUP($A24,[16]HISTOOCT22!$A$6:$AU$39,46,0)</f>
        <v>0</v>
      </c>
      <c r="R24" s="36">
        <f>VLOOKUP($A24,[16]HISTOOCT22!$A$6:$AU$39,26,0)</f>
        <v>0</v>
      </c>
      <c r="S24" s="36">
        <f>VLOOKUP($A24,[16]HISTOOCT22!$A$6:$BG$39,58,0)</f>
        <v>0</v>
      </c>
      <c r="T24" s="36">
        <f>VLOOKUP($A24,[16]HISTOOCT22!$A$6:$AU$39,28,0)</f>
        <v>0</v>
      </c>
      <c r="U24" s="36">
        <f>VLOOKUP($A24,[16]HISTOOCT22!$A$6:$AU$39,19,0)</f>
        <v>0</v>
      </c>
      <c r="V24" s="36">
        <f>VLOOKUP($A24,[16]HISTOOCT22!$A$6:$AU$39,20,0)</f>
        <v>0</v>
      </c>
      <c r="W24" s="36">
        <f>VLOOKUP($A24,[16]HISTOOCT22!$A$6:$AU$39,27,0)</f>
        <v>0</v>
      </c>
      <c r="X24" s="36">
        <f>VLOOKUP($A24,[16]HISTOOCT22!$A$6:$AU$39,33,0)</f>
        <v>0</v>
      </c>
      <c r="Y24" s="36">
        <f>VLOOKUP($A24,[16]HISTOOCT22!$A$6:$BP$39,65,0)</f>
        <v>0</v>
      </c>
      <c r="Z24" s="36"/>
      <c r="AA24" s="36">
        <f>VLOOKUP($A24,[16]HISTOOCT22!$A$6:$AU$39,43,0)</f>
        <v>0</v>
      </c>
      <c r="AB24" s="36">
        <f>VLOOKUP($A24,[16]HISTOOCT22!$A$6:$AU$39,44,0)</f>
        <v>0</v>
      </c>
      <c r="AC24" s="36">
        <f>VLOOKUP($A24,[16]HISTOOCT22!$A$6:$AU$39,47,0)</f>
        <v>0</v>
      </c>
      <c r="AD24" s="36">
        <f>VLOOKUP(A24,[16]HISTOOCT22!$A$6:$BB$36,54,0)</f>
        <v>0</v>
      </c>
      <c r="AE24" s="36">
        <f>VLOOKUP($A24,[16]HISTOOCT22!$A$6:$CA$36,60,0)</f>
        <v>0</v>
      </c>
      <c r="AF24" s="36">
        <f>VLOOKUP($A24,[16]HISTOOCT22!$A$6:$CA$36,61,0)</f>
        <v>0</v>
      </c>
      <c r="AG24" s="36">
        <f>VLOOKUP($A24,[16]HISTOOCT22!$A$6:$CA$36,62,0)</f>
        <v>0</v>
      </c>
      <c r="AH24" s="36">
        <f>VLOOKUP($A24,[16]HISTOOCT22!$A$6:$CA$36,63,0)</f>
        <v>0</v>
      </c>
      <c r="AI24" s="36">
        <f>VLOOKUP($A24,[16]HISTOOCT22!$A$6:$CA$36,64,0)</f>
        <v>0</v>
      </c>
      <c r="AJ24" s="36">
        <f>VLOOKUP($A24,[16]HISTOOCT22!$A$6:$CA$36,65,0)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VLOOKUP($A25,[16]HISTOOCT22!$A$6:$BA$39,48,0)</f>
        <v>0</v>
      </c>
      <c r="F25" s="5">
        <f>MVTSEPT22!F25-MVTOCT22!E25</f>
        <v>570000</v>
      </c>
      <c r="G25" s="6">
        <f t="shared" si="1"/>
        <v>0</v>
      </c>
      <c r="H25" s="6">
        <f>MVTSEPT22!H25+MVTSEPT22!G25+K25</f>
        <v>705944.16706236335</v>
      </c>
      <c r="I25" s="36">
        <f>VLOOKUP($A25,[16]HISTOOCT22!$A$6:$AQ$37,22,0)</f>
        <v>0</v>
      </c>
      <c r="J25" s="36">
        <f>VLOOKUP($A25,[16]HISTOOCT22!$A$6:$AU$39,45,0)</f>
        <v>43000</v>
      </c>
      <c r="K25" s="36">
        <f t="shared" si="2"/>
        <v>39000</v>
      </c>
      <c r="L25" s="36">
        <f t="shared" si="3"/>
        <v>500</v>
      </c>
      <c r="M25" s="36">
        <f t="shared" si="4"/>
        <v>1000</v>
      </c>
      <c r="N25" s="36">
        <f t="shared" si="5"/>
        <v>2500</v>
      </c>
      <c r="O25" s="36">
        <f>VLOOKUP($A25,[16]HISTOOCT22!$A$6:$AU$39,7,0)</f>
        <v>0</v>
      </c>
      <c r="P25" s="36">
        <f>VLOOKUP($A25,[16]HISTOOCT22!$A$6:$AU$39,23,0)</f>
        <v>0</v>
      </c>
      <c r="Q25" s="36">
        <f>VLOOKUP($A25,[16]HISTOOCT22!$A$6:$AU$39,46,0)</f>
        <v>0</v>
      </c>
      <c r="R25" s="36">
        <f>VLOOKUP($A25,[16]HISTOOCT22!$A$6:$AU$39,26,0)</f>
        <v>0</v>
      </c>
      <c r="S25" s="36">
        <f>VLOOKUP($A25,[16]HISTOOCT22!$A$6:$BG$39,58,0)</f>
        <v>0</v>
      </c>
      <c r="T25" s="36">
        <f>VLOOKUP($A25,[16]HISTOOCT22!$A$6:$AU$39,28,0)</f>
        <v>0</v>
      </c>
      <c r="U25" s="36">
        <f>VLOOKUP($A25,[16]HISTOOCT22!$A$6:$AU$39,19,0)</f>
        <v>0</v>
      </c>
      <c r="V25" s="36">
        <f>VLOOKUP($A25,[16]HISTOOCT22!$A$6:$AU$39,20,0)</f>
        <v>0</v>
      </c>
      <c r="W25" s="36">
        <f>VLOOKUP($A25,[16]HISTOOCT22!$A$6:$AU$39,27,0)</f>
        <v>0</v>
      </c>
      <c r="X25" s="36">
        <f>VLOOKUP($A25,[16]HISTOOCT22!$A$6:$AU$39,33,0)</f>
        <v>0</v>
      </c>
      <c r="Y25" s="36">
        <f>VLOOKUP($A25,[16]HISTOOCT22!$A$6:$BP$39,65,0)</f>
        <v>0</v>
      </c>
      <c r="Z25" s="36"/>
      <c r="AA25" s="36">
        <f>VLOOKUP($A25,[16]HISTOOCT22!$A$6:$AU$39,43,0)</f>
        <v>0</v>
      </c>
      <c r="AB25" s="36">
        <f>VLOOKUP($A25,[16]HISTOOCT22!$A$6:$AU$39,44,0)</f>
        <v>0</v>
      </c>
      <c r="AC25" s="36">
        <f>VLOOKUP($A25,[16]HISTOOCT22!$A$6:$AU$39,47,0)</f>
        <v>0</v>
      </c>
      <c r="AD25" s="36">
        <f>VLOOKUP(A25,[16]HISTOOCT22!$A$6:$BB$36,54,0)</f>
        <v>0</v>
      </c>
      <c r="AE25" s="36">
        <f>VLOOKUP($A25,[16]HISTOOCT22!$A$6:$CA$36,60,0)</f>
        <v>0</v>
      </c>
      <c r="AF25" s="36">
        <f>VLOOKUP($A25,[16]HISTOOCT22!$A$6:$CA$36,61,0)</f>
        <v>0</v>
      </c>
      <c r="AG25" s="36">
        <f>VLOOKUP($A25,[16]HISTOOCT22!$A$6:$CA$36,62,0)</f>
        <v>0</v>
      </c>
      <c r="AH25" s="36">
        <f>VLOOKUP($A25,[16]HISTOOCT22!$A$6:$CA$36,63,0)</f>
        <v>0</v>
      </c>
      <c r="AI25" s="36">
        <f>VLOOKUP($A25,[16]HISTOOCT22!$A$6:$CA$36,64,0)</f>
        <v>0</v>
      </c>
      <c r="AJ25" s="36">
        <f>VLOOKUP($A25,[16]HISTOOCT22!$A$6:$CA$36,65,0)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VLOOKUP($A26,[16]HISTOOCT22!$A$6:$BA$39,48,0)</f>
        <v>0</v>
      </c>
      <c r="F26" s="5">
        <f>MVTSEPT22!F26-MVTOCT22!E26</f>
        <v>570000</v>
      </c>
      <c r="G26" s="6">
        <f t="shared" si="1"/>
        <v>0</v>
      </c>
      <c r="H26" s="6">
        <f>MVTSEPT22!H26+MVTSEPT22!G26+K26</f>
        <v>674880.99680181697</v>
      </c>
      <c r="I26" s="36">
        <f>VLOOKUP($A26,[16]HISTOOCT22!$A$6:$AQ$37,22,0)</f>
        <v>0</v>
      </c>
      <c r="J26" s="36">
        <f>VLOOKUP($A26,[16]HISTOOCT22!$A$6:$AU$39,45,0)</f>
        <v>7000</v>
      </c>
      <c r="K26" s="36">
        <f t="shared" si="2"/>
        <v>3000</v>
      </c>
      <c r="L26" s="36">
        <f t="shared" si="3"/>
        <v>500</v>
      </c>
      <c r="M26" s="36">
        <f t="shared" si="4"/>
        <v>1000</v>
      </c>
      <c r="N26" s="36">
        <f t="shared" si="5"/>
        <v>2500</v>
      </c>
      <c r="O26" s="36">
        <f>VLOOKUP($A26,[16]HISTOOCT22!$A$6:$AU$39,7,0)</f>
        <v>0</v>
      </c>
      <c r="P26" s="36">
        <f>VLOOKUP($A26,[16]HISTOOCT22!$A$6:$AU$39,23,0)</f>
        <v>0</v>
      </c>
      <c r="Q26" s="36">
        <f>VLOOKUP($A26,[16]HISTOOCT22!$A$6:$AU$39,46,0)</f>
        <v>0</v>
      </c>
      <c r="R26" s="36">
        <f>VLOOKUP($A26,[16]HISTOOCT22!$A$6:$AU$39,26,0)</f>
        <v>0</v>
      </c>
      <c r="S26" s="36">
        <f>VLOOKUP($A26,[16]HISTOOCT22!$A$6:$BG$39,58,0)</f>
        <v>0</v>
      </c>
      <c r="T26" s="36">
        <f>VLOOKUP($A26,[16]HISTOOCT22!$A$6:$AU$39,28,0)</f>
        <v>0</v>
      </c>
      <c r="U26" s="36">
        <f>VLOOKUP($A26,[16]HISTOOCT22!$A$6:$AU$39,19,0)</f>
        <v>0</v>
      </c>
      <c r="V26" s="36">
        <f>VLOOKUP($A26,[16]HISTOOCT22!$A$6:$AU$39,20,0)</f>
        <v>0</v>
      </c>
      <c r="W26" s="36">
        <f>VLOOKUP($A26,[16]HISTOOCT22!$A$6:$AU$39,27,0)</f>
        <v>0</v>
      </c>
      <c r="X26" s="36">
        <f>VLOOKUP($A26,[16]HISTOOCT22!$A$6:$AU$39,33,0)</f>
        <v>0</v>
      </c>
      <c r="Y26" s="36">
        <f>VLOOKUP($A26,[16]HISTOOCT22!$A$6:$BP$39,65,0)</f>
        <v>0</v>
      </c>
      <c r="Z26" s="36"/>
      <c r="AA26" s="36">
        <f>VLOOKUP($A26,[16]HISTOOCT22!$A$6:$AU$39,43,0)</f>
        <v>0</v>
      </c>
      <c r="AB26" s="36">
        <f>VLOOKUP($A26,[16]HISTOOCT22!$A$6:$AU$39,44,0)</f>
        <v>0</v>
      </c>
      <c r="AC26" s="36">
        <f>VLOOKUP($A26,[16]HISTOOCT22!$A$6:$AU$39,47,0)</f>
        <v>0</v>
      </c>
      <c r="AD26" s="36">
        <f>VLOOKUP(A26,[16]HISTOOCT22!$A$6:$BB$36,54,0)</f>
        <v>0</v>
      </c>
      <c r="AE26" s="36">
        <f>VLOOKUP($A26,[16]HISTOOCT22!$A$6:$CA$36,60,0)</f>
        <v>0</v>
      </c>
      <c r="AF26" s="36">
        <f>VLOOKUP($A26,[16]HISTOOCT22!$A$6:$CA$36,61,0)</f>
        <v>0</v>
      </c>
      <c r="AG26" s="36">
        <f>VLOOKUP($A26,[16]HISTOOCT22!$A$6:$CA$36,62,0)</f>
        <v>0</v>
      </c>
      <c r="AH26" s="36">
        <f>VLOOKUP($A26,[16]HISTOOCT22!$A$6:$CA$36,63,0)</f>
        <v>0</v>
      </c>
      <c r="AI26" s="36">
        <f>VLOOKUP($A26,[16]HISTOOCT22!$A$6:$CA$36,64,0)</f>
        <v>0</v>
      </c>
      <c r="AJ26" s="36">
        <f>VLOOKUP($A26,[16]HISTOOCT22!$A$6:$CA$36,65,0)</f>
        <v>0</v>
      </c>
    </row>
    <row r="27" spans="1:36" x14ac:dyDescent="0.25">
      <c r="A27" s="1" t="s">
        <v>30</v>
      </c>
      <c r="B27" s="1" t="str">
        <f>VLOOKUP(A27,[15]LISTADHERENT!A$5:H$60,3,0)</f>
        <v>NKEHE DAVID</v>
      </c>
      <c r="C27" s="5"/>
      <c r="D27" s="5"/>
      <c r="E27" s="36">
        <f>VLOOKUP($A27,[16]HISTOOCT22!$A$6:$BA$39,48,0)</f>
        <v>0</v>
      </c>
      <c r="F27" s="5">
        <f>MVTSEPT22!F27-MVTOCT22!E27</f>
        <v>534974.27750837663</v>
      </c>
      <c r="G27" s="6">
        <f t="shared" si="1"/>
        <v>0</v>
      </c>
      <c r="H27" s="6">
        <f>MVTSEPT22!H27+MVTSEPT22!G27+K27</f>
        <v>0</v>
      </c>
      <c r="I27" s="36">
        <f>VLOOKUP($A27,[16]HISTOOCT22!$A$6:$AQ$37,22,0)</f>
        <v>0</v>
      </c>
      <c r="J27" s="36">
        <f>VLOOKUP($A27,[16]HISTOOCT22!$A$6:$AU$39,45,0)</f>
        <v>0</v>
      </c>
      <c r="K27" s="36">
        <f t="shared" si="2"/>
        <v>0</v>
      </c>
      <c r="L27" s="36">
        <f t="shared" si="3"/>
        <v>0</v>
      </c>
      <c r="M27" s="36">
        <f t="shared" si="4"/>
        <v>0</v>
      </c>
      <c r="N27" s="36">
        <f t="shared" si="5"/>
        <v>0</v>
      </c>
      <c r="O27" s="36">
        <f>VLOOKUP($A27,[16]HISTOOCT22!$A$6:$AU$39,7,0)</f>
        <v>0</v>
      </c>
      <c r="P27" s="36">
        <f>VLOOKUP($A27,[16]HISTOOCT22!$A$6:$AU$39,23,0)</f>
        <v>0</v>
      </c>
      <c r="Q27" s="36">
        <f>VLOOKUP($A27,[16]HISTOOCT22!$A$6:$AU$39,46,0)</f>
        <v>0</v>
      </c>
      <c r="R27" s="36">
        <f>VLOOKUP($A27,[16]HISTOOCT22!$A$6:$AU$39,26,0)</f>
        <v>0</v>
      </c>
      <c r="S27" s="36">
        <f>VLOOKUP($A27,[16]HISTOOCT22!$A$6:$BG$39,58,0)</f>
        <v>0</v>
      </c>
      <c r="T27" s="36">
        <f>VLOOKUP($A27,[16]HISTOOCT22!$A$6:$AU$39,28,0)</f>
        <v>0</v>
      </c>
      <c r="U27" s="36">
        <f>VLOOKUP($A27,[16]HISTOOCT22!$A$6:$AU$39,19,0)</f>
        <v>0</v>
      </c>
      <c r="V27" s="36">
        <f>VLOOKUP($A27,[16]HISTOOCT22!$A$6:$AU$39,20,0)</f>
        <v>0</v>
      </c>
      <c r="W27" s="36">
        <f>VLOOKUP($A27,[16]HISTOOCT22!$A$6:$AU$39,27,0)</f>
        <v>0</v>
      </c>
      <c r="X27" s="36">
        <f>VLOOKUP($A27,[16]HISTOOCT22!$A$6:$AU$39,33,0)</f>
        <v>0</v>
      </c>
      <c r="Y27" s="36">
        <f>VLOOKUP($A27,[16]HISTOOCT22!$A$6:$BP$39,65,0)</f>
        <v>0</v>
      </c>
      <c r="Z27" s="36"/>
      <c r="AA27" s="36">
        <f>VLOOKUP($A27,[16]HISTOOCT22!$A$6:$AU$39,43,0)</f>
        <v>0</v>
      </c>
      <c r="AB27" s="36">
        <f>VLOOKUP($A27,[16]HISTOOCT22!$A$6:$AU$39,44,0)</f>
        <v>0</v>
      </c>
      <c r="AC27" s="36">
        <f>VLOOKUP($A27,[16]HISTOOCT22!$A$6:$AU$39,47,0)</f>
        <v>0</v>
      </c>
      <c r="AD27" s="36">
        <f>VLOOKUP(A27,[16]HISTOOCT22!$A$6:$BB$36,54,0)</f>
        <v>0</v>
      </c>
      <c r="AE27" s="36">
        <f>VLOOKUP($A27,[16]HISTOOCT22!$A$6:$CA$36,60,0)</f>
        <v>0</v>
      </c>
      <c r="AF27" s="36">
        <f>VLOOKUP($A27,[16]HISTOOCT22!$A$6:$CA$36,61,0)</f>
        <v>0</v>
      </c>
      <c r="AG27" s="36">
        <f>VLOOKUP($A27,[16]HISTOOCT22!$A$6:$CA$36,62,0)</f>
        <v>0</v>
      </c>
      <c r="AH27" s="36">
        <f>VLOOKUP($A27,[16]HISTOOCT22!$A$6:$CA$36,63,0)</f>
        <v>0</v>
      </c>
      <c r="AI27" s="36">
        <f>VLOOKUP($A27,[16]HISTOOCT22!$A$6:$CA$36,64,0)</f>
        <v>0</v>
      </c>
      <c r="AJ27" s="36">
        <f>VLOOKUP($A27,[16]HISTOOCT22!$A$6:$CA$36,65,0)</f>
        <v>0</v>
      </c>
    </row>
    <row r="28" spans="1:36" x14ac:dyDescent="0.25">
      <c r="A28" s="1" t="s">
        <v>44</v>
      </c>
      <c r="B28" s="1" t="str">
        <f>VLOOKUP(A28,[15]LISTADHERENT!A$5:H$60,3,0)</f>
        <v>NKEPSEU DIEUDONNE</v>
      </c>
      <c r="C28" s="5"/>
      <c r="D28" s="5"/>
      <c r="E28" s="36">
        <f>VLOOKUP($A28,[16]HISTOOCT22!$A$6:$BA$39,48,0)</f>
        <v>0</v>
      </c>
      <c r="F28" s="5">
        <f>MVTSEPT22!F28-MVTOCT22!E28</f>
        <v>570000</v>
      </c>
      <c r="G28" s="6">
        <f t="shared" si="1"/>
        <v>0</v>
      </c>
      <c r="H28" s="6">
        <f>MVTSEPT22!H28+MVTSEPT22!G28+K28</f>
        <v>1088212.5623499337</v>
      </c>
      <c r="I28" s="36">
        <f>VLOOKUP($A28,[16]HISTOOCT22!$A$6:$AQ$37,22,0)</f>
        <v>0</v>
      </c>
      <c r="J28" s="36">
        <f>VLOOKUP($A28,[16]HISTOOCT22!$A$6:$AU$39,45,0)</f>
        <v>7000</v>
      </c>
      <c r="K28" s="36">
        <f t="shared" si="2"/>
        <v>3000</v>
      </c>
      <c r="L28" s="36">
        <f t="shared" si="3"/>
        <v>500</v>
      </c>
      <c r="M28" s="36">
        <f t="shared" si="4"/>
        <v>1000</v>
      </c>
      <c r="N28" s="36">
        <f t="shared" si="5"/>
        <v>2500</v>
      </c>
      <c r="O28" s="36">
        <f>VLOOKUP($A28,[16]HISTOOCT22!$A$6:$AU$39,7,0)</f>
        <v>0</v>
      </c>
      <c r="P28" s="36">
        <f>VLOOKUP($A28,[16]HISTOOCT22!$A$6:$AU$39,23,0)</f>
        <v>0</v>
      </c>
      <c r="Q28" s="36">
        <f>VLOOKUP($A28,[16]HISTOOCT22!$A$6:$AU$39,46,0)</f>
        <v>0</v>
      </c>
      <c r="R28" s="36">
        <f>VLOOKUP($A28,[16]HISTOOCT22!$A$6:$AU$39,26,0)</f>
        <v>0</v>
      </c>
      <c r="S28" s="36">
        <f>VLOOKUP($A28,[16]HISTOOCT22!$A$6:$BG$39,58,0)</f>
        <v>0</v>
      </c>
      <c r="T28" s="36">
        <f>VLOOKUP($A28,[16]HISTOOCT22!$A$6:$AU$39,28,0)</f>
        <v>0</v>
      </c>
      <c r="U28" s="36">
        <f>VLOOKUP($A28,[16]HISTOOCT22!$A$6:$AU$39,19,0)</f>
        <v>0</v>
      </c>
      <c r="V28" s="36">
        <f>VLOOKUP($A28,[16]HISTOOCT22!$A$6:$AU$39,20,0)</f>
        <v>0</v>
      </c>
      <c r="W28" s="36">
        <f>VLOOKUP($A28,[16]HISTOOCT22!$A$6:$AU$39,27,0)</f>
        <v>0</v>
      </c>
      <c r="X28" s="36">
        <f>VLOOKUP($A28,[16]HISTOOCT22!$A$6:$AU$39,33,0)</f>
        <v>0</v>
      </c>
      <c r="Y28" s="36">
        <f>VLOOKUP($A28,[16]HISTOOCT22!$A$6:$BP$39,65,0)</f>
        <v>0</v>
      </c>
      <c r="Z28" s="36"/>
      <c r="AA28" s="36">
        <f>VLOOKUP($A28,[16]HISTOOCT22!$A$6:$AU$39,43,0)</f>
        <v>0</v>
      </c>
      <c r="AB28" s="36">
        <f>VLOOKUP($A28,[16]HISTOOCT22!$A$6:$AU$39,44,0)</f>
        <v>0</v>
      </c>
      <c r="AC28" s="36">
        <f>VLOOKUP($A28,[16]HISTOOCT22!$A$6:$AU$39,47,0)</f>
        <v>0</v>
      </c>
      <c r="AD28" s="36">
        <f>VLOOKUP(A28,[16]HISTOOCT22!$A$6:$BB$36,54,0)</f>
        <v>0</v>
      </c>
      <c r="AE28" s="36">
        <f>VLOOKUP($A28,[16]HISTOOCT22!$A$6:$CA$36,60,0)</f>
        <v>0</v>
      </c>
      <c r="AF28" s="36">
        <f>VLOOKUP($A28,[16]HISTOOCT22!$A$6:$CA$36,61,0)</f>
        <v>0</v>
      </c>
      <c r="AG28" s="36">
        <f>VLOOKUP($A28,[16]HISTOOCT22!$A$6:$CA$36,62,0)</f>
        <v>0</v>
      </c>
      <c r="AH28" s="36">
        <f>VLOOKUP($A28,[16]HISTOOCT22!$A$6:$CA$36,63,0)</f>
        <v>0</v>
      </c>
      <c r="AI28" s="36">
        <f>VLOOKUP($A28,[16]HISTOOCT22!$A$6:$CA$36,64,0)</f>
        <v>0</v>
      </c>
      <c r="AJ28" s="36">
        <f>VLOOKUP($A28,[16]HISTOOCT22!$A$6:$CA$36,65,0)</f>
        <v>0</v>
      </c>
    </row>
    <row r="29" spans="1:36" x14ac:dyDescent="0.25">
      <c r="A29" s="1" t="s">
        <v>45</v>
      </c>
      <c r="B29" s="1" t="str">
        <f>VLOOKUP(A29,[15]LISTADHERENT!A$5:H$60,3,0)</f>
        <v>PATEGO NJOSSU GUSTAVE</v>
      </c>
      <c r="C29" s="5"/>
      <c r="D29" s="5"/>
      <c r="E29" s="36">
        <f>VLOOKUP($A29,[16]HISTOOCT22!$A$6:$BA$39,48,0)</f>
        <v>0</v>
      </c>
      <c r="F29" s="5">
        <f>MVTSEPT22!F29-MVTOCT22!E29</f>
        <v>570000</v>
      </c>
      <c r="G29" s="6">
        <f t="shared" si="1"/>
        <v>0</v>
      </c>
      <c r="H29" s="6">
        <f>MVTSEPT22!H29+MVTSEPT22!G29+K29</f>
        <v>686779.4941398229</v>
      </c>
      <c r="I29" s="36">
        <f>VLOOKUP($A29,[16]HISTOOCT22!$A$6:$AQ$37,22,0)</f>
        <v>0</v>
      </c>
      <c r="J29" s="36">
        <f>VLOOKUP($A29,[16]HISTOOCT22!$A$6:$AU$39,45,0)</f>
        <v>7000</v>
      </c>
      <c r="K29" s="36">
        <f t="shared" si="2"/>
        <v>3000</v>
      </c>
      <c r="L29" s="36">
        <f t="shared" si="3"/>
        <v>500</v>
      </c>
      <c r="M29" s="36">
        <f t="shared" si="4"/>
        <v>1000</v>
      </c>
      <c r="N29" s="36">
        <f t="shared" si="5"/>
        <v>2500</v>
      </c>
      <c r="O29" s="36">
        <f>VLOOKUP($A29,[16]HISTOOCT22!$A$6:$AU$39,7,0)</f>
        <v>0</v>
      </c>
      <c r="P29" s="36">
        <f>VLOOKUP($A29,[16]HISTOOCT22!$A$6:$AU$39,23,0)</f>
        <v>0</v>
      </c>
      <c r="Q29" s="36">
        <f>VLOOKUP($A29,[16]HISTOOCT22!$A$6:$AU$39,46,0)</f>
        <v>0</v>
      </c>
      <c r="R29" s="36">
        <f>VLOOKUP($A29,[16]HISTOOCT22!$A$6:$AU$39,26,0)</f>
        <v>0</v>
      </c>
      <c r="S29" s="36">
        <f>VLOOKUP($A29,[16]HISTOOCT22!$A$6:$BG$39,58,0)</f>
        <v>0</v>
      </c>
      <c r="T29" s="36">
        <f>VLOOKUP($A29,[16]HISTOOCT22!$A$6:$AU$39,28,0)</f>
        <v>0</v>
      </c>
      <c r="U29" s="36">
        <f>VLOOKUP($A29,[16]HISTOOCT22!$A$6:$AU$39,19,0)</f>
        <v>0</v>
      </c>
      <c r="V29" s="36">
        <f>VLOOKUP($A29,[16]HISTOOCT22!$A$6:$AU$39,20,0)</f>
        <v>0</v>
      </c>
      <c r="W29" s="36">
        <f>VLOOKUP($A29,[16]HISTOOCT22!$A$6:$AU$39,27,0)</f>
        <v>0</v>
      </c>
      <c r="X29" s="36">
        <f>VLOOKUP($A29,[16]HISTOOCT22!$A$6:$AU$39,33,0)</f>
        <v>0</v>
      </c>
      <c r="Y29" s="36">
        <f>VLOOKUP($A29,[16]HISTOOCT22!$A$6:$BP$39,65,0)</f>
        <v>0</v>
      </c>
      <c r="Z29" s="36"/>
      <c r="AA29" s="36">
        <f>VLOOKUP($A29,[16]HISTOOCT22!$A$6:$AU$39,43,0)</f>
        <v>0</v>
      </c>
      <c r="AB29" s="36">
        <f>VLOOKUP($A29,[16]HISTOOCT22!$A$6:$AU$39,44,0)</f>
        <v>0</v>
      </c>
      <c r="AC29" s="36">
        <f>VLOOKUP($A29,[16]HISTOOCT22!$A$6:$AU$39,47,0)</f>
        <v>0</v>
      </c>
      <c r="AD29" s="36">
        <f>VLOOKUP(A29,[16]HISTOOCT22!$A$6:$BB$36,54,0)</f>
        <v>70000</v>
      </c>
      <c r="AE29" s="36">
        <f>VLOOKUP($A29,[16]HISTOOCT22!$A$6:$CA$36,60,0)</f>
        <v>0</v>
      </c>
      <c r="AF29" s="36">
        <f>VLOOKUP($A29,[16]HISTOOCT22!$A$6:$CA$36,61,0)</f>
        <v>0</v>
      </c>
      <c r="AG29" s="36">
        <f>VLOOKUP($A29,[16]HISTOOCT22!$A$6:$CA$36,62,0)</f>
        <v>0</v>
      </c>
      <c r="AH29" s="36">
        <f>VLOOKUP($A29,[16]HISTOOCT22!$A$6:$CA$36,63,0)</f>
        <v>0</v>
      </c>
      <c r="AI29" s="36">
        <f>VLOOKUP($A29,[16]HISTOOCT22!$A$6:$CA$36,64,0)</f>
        <v>0</v>
      </c>
      <c r="AJ29" s="36">
        <f>VLOOKUP($A29,[16]HISTOOCT22!$A$6:$CA$36,65,0)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VLOOKUP($A30,[16]HISTOOCT22!$A$6:$BA$39,48,0)</f>
        <v>0</v>
      </c>
      <c r="F30" s="5">
        <f>MVTSEPT22!F30-MVTOCT22!E30</f>
        <v>570000</v>
      </c>
      <c r="G30" s="6">
        <f t="shared" si="1"/>
        <v>0</v>
      </c>
      <c r="H30" s="6">
        <f>MVTSEPT22!H30+MVTSEPT22!G30+K30</f>
        <v>966586.52115837496</v>
      </c>
      <c r="I30" s="36">
        <f>VLOOKUP($A30,[16]HISTOOCT22!$A$6:$AQ$37,22,0)</f>
        <v>0</v>
      </c>
      <c r="J30" s="36">
        <f>VLOOKUP($A30,[16]HISTOOCT22!$A$6:$AU$39,45,0)</f>
        <v>7000</v>
      </c>
      <c r="K30" s="36">
        <f t="shared" si="2"/>
        <v>3000</v>
      </c>
      <c r="L30" s="36">
        <f t="shared" si="3"/>
        <v>500</v>
      </c>
      <c r="M30" s="36">
        <f t="shared" si="4"/>
        <v>1000</v>
      </c>
      <c r="N30" s="36">
        <f t="shared" si="5"/>
        <v>2500</v>
      </c>
      <c r="O30" s="36">
        <f>VLOOKUP($A30,[16]HISTOOCT22!$A$6:$AU$39,7,0)</f>
        <v>0</v>
      </c>
      <c r="P30" s="36">
        <f>VLOOKUP($A30,[16]HISTOOCT22!$A$6:$AU$39,23,0)</f>
        <v>0</v>
      </c>
      <c r="Q30" s="36">
        <f>VLOOKUP($A30,[16]HISTOOCT22!$A$6:$AU$39,46,0)</f>
        <v>0</v>
      </c>
      <c r="R30" s="36">
        <f>VLOOKUP($A30,[16]HISTOOCT22!$A$6:$AU$39,26,0)</f>
        <v>0</v>
      </c>
      <c r="S30" s="36">
        <f>VLOOKUP($A30,[16]HISTOOCT22!$A$6:$BG$39,58,0)</f>
        <v>0</v>
      </c>
      <c r="T30" s="36">
        <f>VLOOKUP($A30,[16]HISTOOCT22!$A$6:$AU$39,28,0)</f>
        <v>0</v>
      </c>
      <c r="U30" s="36">
        <f>VLOOKUP($A30,[16]HISTOOCT22!$A$6:$AU$39,19,0)</f>
        <v>0</v>
      </c>
      <c r="V30" s="36">
        <f>VLOOKUP($A30,[16]HISTOOCT22!$A$6:$AU$39,20,0)</f>
        <v>0</v>
      </c>
      <c r="W30" s="36">
        <f>VLOOKUP($A30,[16]HISTOOCT22!$A$6:$AU$39,27,0)</f>
        <v>0</v>
      </c>
      <c r="X30" s="36">
        <f>VLOOKUP($A30,[16]HISTOOCT22!$A$6:$AU$39,33,0)</f>
        <v>0</v>
      </c>
      <c r="Y30" s="36">
        <f>VLOOKUP($A30,[16]HISTOOCT22!$A$6:$BP$39,65,0)</f>
        <v>0</v>
      </c>
      <c r="Z30" s="36"/>
      <c r="AA30" s="36">
        <f>VLOOKUP($A30,[16]HISTOOCT22!$A$6:$AU$39,43,0)</f>
        <v>0</v>
      </c>
      <c r="AB30" s="36">
        <f>VLOOKUP($A30,[16]HISTOOCT22!$A$6:$AU$39,44,0)</f>
        <v>0</v>
      </c>
      <c r="AC30" s="36">
        <f>VLOOKUP($A30,[16]HISTOOCT22!$A$6:$AU$39,47,0)</f>
        <v>0</v>
      </c>
      <c r="AD30" s="36">
        <f>VLOOKUP(A30,[16]HISTOOCT22!$A$6:$BB$36,54,0)</f>
        <v>0</v>
      </c>
      <c r="AE30" s="36">
        <f>VLOOKUP($A30,[16]HISTOOCT22!$A$6:$CA$36,60,0)</f>
        <v>0</v>
      </c>
      <c r="AF30" s="36">
        <f>VLOOKUP($A30,[16]HISTOOCT22!$A$6:$CA$36,61,0)</f>
        <v>0</v>
      </c>
      <c r="AG30" s="36">
        <f>VLOOKUP($A30,[16]HISTOOCT22!$A$6:$CA$36,62,0)</f>
        <v>0</v>
      </c>
      <c r="AH30" s="36">
        <f>VLOOKUP($A30,[16]HISTOOCT22!$A$6:$CA$36,63,0)</f>
        <v>0</v>
      </c>
      <c r="AI30" s="36">
        <f>VLOOKUP($A30,[16]HISTOOCT22!$A$6:$CA$36,64,0)</f>
        <v>0</v>
      </c>
      <c r="AJ30" s="36">
        <f>VLOOKUP($A30,[16]HISTOOCT22!$A$6:$CA$36,65,0)</f>
        <v>0</v>
      </c>
    </row>
    <row r="31" spans="1:36" x14ac:dyDescent="0.25">
      <c r="A31" s="1" t="s">
        <v>47</v>
      </c>
      <c r="B31" s="1" t="str">
        <f>VLOOKUP(A31,[15]LISTADHERENT!A$5:H$60,3,0)</f>
        <v>SIMO FONGANG ERIC</v>
      </c>
      <c r="C31" s="5"/>
      <c r="D31" s="5"/>
      <c r="E31" s="36">
        <f>VLOOKUP($A31,[16]HISTOOCT22!$A$6:$BA$39,48,0)</f>
        <v>0</v>
      </c>
      <c r="F31" s="5">
        <f>MVTSEPT22!F31-MVTOCT22!E31</f>
        <v>570000</v>
      </c>
      <c r="G31" s="6">
        <f t="shared" si="1"/>
        <v>0</v>
      </c>
      <c r="H31" s="6">
        <f>MVTSEPT22!H31+MVTSEPT22!G31+K31</f>
        <v>0</v>
      </c>
      <c r="I31" s="36">
        <f>VLOOKUP($A31,[16]HISTOOCT22!$A$6:$AQ$37,22,0)</f>
        <v>0</v>
      </c>
      <c r="J31" s="36">
        <f>VLOOKUP($A31,[16]HISTOOCT22!$A$6:$AU$39,45,0)</f>
        <v>0</v>
      </c>
      <c r="K31" s="36">
        <f t="shared" si="2"/>
        <v>0</v>
      </c>
      <c r="L31" s="36">
        <f t="shared" si="3"/>
        <v>0</v>
      </c>
      <c r="M31" s="36">
        <f t="shared" si="4"/>
        <v>0</v>
      </c>
      <c r="N31" s="36">
        <f t="shared" si="5"/>
        <v>0</v>
      </c>
      <c r="O31" s="36">
        <f>VLOOKUP($A31,[16]HISTOOCT22!$A$6:$AU$39,7,0)</f>
        <v>0</v>
      </c>
      <c r="P31" s="36">
        <f>VLOOKUP($A31,[16]HISTOOCT22!$A$6:$AU$39,23,0)</f>
        <v>0</v>
      </c>
      <c r="Q31" s="36">
        <f>VLOOKUP($A31,[16]HISTOOCT22!$A$6:$AU$39,46,0)</f>
        <v>0</v>
      </c>
      <c r="R31" s="36">
        <f>VLOOKUP($A31,[16]HISTOOCT22!$A$6:$AU$39,26,0)</f>
        <v>0</v>
      </c>
      <c r="S31" s="36">
        <f>VLOOKUP($A31,[16]HISTOOCT22!$A$6:$BG$39,58,0)</f>
        <v>0</v>
      </c>
      <c r="T31" s="36">
        <f>VLOOKUP($A31,[16]HISTOOCT22!$A$6:$AU$39,28,0)</f>
        <v>0</v>
      </c>
      <c r="U31" s="36">
        <f>VLOOKUP($A31,[16]HISTOOCT22!$A$6:$AU$39,19,0)</f>
        <v>0</v>
      </c>
      <c r="V31" s="36">
        <f>VLOOKUP($A31,[16]HISTOOCT22!$A$6:$AU$39,20,0)</f>
        <v>0</v>
      </c>
      <c r="W31" s="36">
        <f>VLOOKUP($A31,[16]HISTOOCT22!$A$6:$AU$39,27,0)</f>
        <v>0</v>
      </c>
      <c r="X31" s="36">
        <f>VLOOKUP($A31,[16]HISTOOCT22!$A$6:$AU$39,33,0)</f>
        <v>0</v>
      </c>
      <c r="Y31" s="36">
        <f>VLOOKUP($A31,[16]HISTOOCT22!$A$6:$BP$39,65,0)</f>
        <v>0</v>
      </c>
      <c r="Z31" s="36"/>
      <c r="AA31" s="36">
        <f>VLOOKUP($A31,[16]HISTOOCT22!$A$6:$AU$39,43,0)</f>
        <v>0</v>
      </c>
      <c r="AB31" s="36">
        <f>VLOOKUP($A31,[16]HISTOOCT22!$A$6:$AU$39,44,0)</f>
        <v>0</v>
      </c>
      <c r="AC31" s="36">
        <f>VLOOKUP($A31,[16]HISTOOCT22!$A$6:$AU$39,47,0)</f>
        <v>0</v>
      </c>
      <c r="AD31" s="36">
        <f>VLOOKUP(A31,[16]HISTOOCT22!$A$6:$BB$36,54,0)</f>
        <v>0</v>
      </c>
      <c r="AE31" s="36">
        <f>VLOOKUP($A31,[16]HISTOOCT22!$A$6:$CA$36,60,0)</f>
        <v>0</v>
      </c>
      <c r="AF31" s="36">
        <f>VLOOKUP($A31,[16]HISTOOCT22!$A$6:$CA$36,61,0)</f>
        <v>0</v>
      </c>
      <c r="AG31" s="36">
        <f>VLOOKUP($A31,[16]HISTOOCT22!$A$6:$CA$36,62,0)</f>
        <v>0</v>
      </c>
      <c r="AH31" s="36">
        <f>VLOOKUP($A31,[16]HISTOOCT22!$A$6:$CA$36,63,0)</f>
        <v>0</v>
      </c>
      <c r="AI31" s="36">
        <f>VLOOKUP($A31,[16]HISTOOCT22!$A$6:$CA$36,64,0)</f>
        <v>0</v>
      </c>
      <c r="AJ31" s="36">
        <f>VLOOKUP($A31,[16]HISTOOCT22!$A$6:$CA$36,65,0)</f>
        <v>0</v>
      </c>
    </row>
    <row r="32" spans="1:36" x14ac:dyDescent="0.25">
      <c r="A32" s="1" t="s">
        <v>49</v>
      </c>
      <c r="B32" s="1" t="str">
        <f>VLOOKUP(A32,[15]LISTADHERENT!A$5:H$60,3,0)</f>
        <v>SIMO PIERRE</v>
      </c>
      <c r="C32" s="5"/>
      <c r="D32" s="5"/>
      <c r="E32" s="36">
        <f>VLOOKUP($A32,[16]HISTOOCT22!$A$6:$BA$39,48,0)</f>
        <v>0</v>
      </c>
      <c r="F32" s="5">
        <f>MVTSEPT22!F32-MVTOCT22!E32</f>
        <v>570000</v>
      </c>
      <c r="G32" s="6">
        <f t="shared" si="1"/>
        <v>0</v>
      </c>
      <c r="H32" s="6">
        <f>MVTSEPT22!H32+MVTSEPT22!G32+K32</f>
        <v>841766.23508830485</v>
      </c>
      <c r="I32" s="36">
        <f>VLOOKUP($A32,[16]HISTOOCT22!$A$6:$AQ$37,22,0)</f>
        <v>0</v>
      </c>
      <c r="J32" s="36">
        <f>VLOOKUP($A32,[16]HISTOOCT22!$A$6:$AU$39,45,0)</f>
        <v>22000</v>
      </c>
      <c r="K32" s="36">
        <f t="shared" si="2"/>
        <v>18000</v>
      </c>
      <c r="L32" s="36">
        <f t="shared" si="3"/>
        <v>500</v>
      </c>
      <c r="M32" s="36">
        <f t="shared" si="4"/>
        <v>1000</v>
      </c>
      <c r="N32" s="36">
        <f t="shared" si="5"/>
        <v>2500</v>
      </c>
      <c r="O32" s="36">
        <f>VLOOKUP($A32,[16]HISTOOCT22!$A$6:$AU$39,7,0)</f>
        <v>0</v>
      </c>
      <c r="P32" s="36">
        <f>VLOOKUP($A32,[16]HISTOOCT22!$A$6:$AU$39,23,0)</f>
        <v>0</v>
      </c>
      <c r="Q32" s="36">
        <f>VLOOKUP($A32,[16]HISTOOCT22!$A$6:$AU$39,46,0)</f>
        <v>0</v>
      </c>
      <c r="R32" s="36">
        <f>VLOOKUP($A32,[16]HISTOOCT22!$A$6:$AU$39,26,0)</f>
        <v>0</v>
      </c>
      <c r="S32" s="36">
        <f>VLOOKUP($A32,[16]HISTOOCT22!$A$6:$BG$39,58,0)</f>
        <v>0</v>
      </c>
      <c r="T32" s="36">
        <f>VLOOKUP($A32,[16]HISTOOCT22!$A$6:$AU$39,28,0)</f>
        <v>0</v>
      </c>
      <c r="U32" s="36">
        <f>VLOOKUP($A32,[16]HISTOOCT22!$A$6:$AU$39,19,0)</f>
        <v>0</v>
      </c>
      <c r="V32" s="36">
        <f>VLOOKUP($A32,[16]HISTOOCT22!$A$6:$AU$39,20,0)</f>
        <v>0</v>
      </c>
      <c r="W32" s="36">
        <f>VLOOKUP($A32,[16]HISTOOCT22!$A$6:$AU$39,27,0)</f>
        <v>0</v>
      </c>
      <c r="X32" s="36">
        <f>VLOOKUP($A32,[16]HISTOOCT22!$A$6:$AU$39,33,0)</f>
        <v>0</v>
      </c>
      <c r="Y32" s="36">
        <f>VLOOKUP($A32,[16]HISTOOCT22!$A$6:$BP$39,65,0)</f>
        <v>0</v>
      </c>
      <c r="Z32" s="36"/>
      <c r="AA32" s="36">
        <f>VLOOKUP($A32,[16]HISTOOCT22!$A$6:$AU$39,43,0)</f>
        <v>0</v>
      </c>
      <c r="AB32" s="36">
        <f>VLOOKUP($A32,[16]HISTOOCT22!$A$6:$AU$39,44,0)</f>
        <v>0</v>
      </c>
      <c r="AC32" s="36">
        <f>VLOOKUP($A32,[16]HISTOOCT22!$A$6:$AU$39,47,0)</f>
        <v>0</v>
      </c>
      <c r="AD32" s="36">
        <f>VLOOKUP(A32,[16]HISTOOCT22!$A$6:$BB$36,54,0)</f>
        <v>0</v>
      </c>
      <c r="AE32" s="36">
        <f>VLOOKUP($A32,[16]HISTOOCT22!$A$6:$CA$36,60,0)</f>
        <v>0</v>
      </c>
      <c r="AF32" s="36">
        <f>VLOOKUP($A32,[16]HISTOOCT22!$A$6:$CA$36,61,0)</f>
        <v>0</v>
      </c>
      <c r="AG32" s="36">
        <f>VLOOKUP($A32,[16]HISTOOCT22!$A$6:$CA$36,62,0)</f>
        <v>0</v>
      </c>
      <c r="AH32" s="36">
        <f>VLOOKUP($A32,[16]HISTOOCT22!$A$6:$CA$36,63,0)</f>
        <v>0</v>
      </c>
      <c r="AI32" s="36">
        <f>VLOOKUP($A32,[16]HISTOOCT22!$A$6:$CA$36,64,0)</f>
        <v>0</v>
      </c>
      <c r="AJ32" s="36">
        <f>VLOOKUP($A32,[16]HISTOOCT22!$A$6:$CA$36,65,0)</f>
        <v>0</v>
      </c>
    </row>
    <row r="33" spans="1:36" x14ac:dyDescent="0.25">
      <c r="A33" s="1" t="s">
        <v>51</v>
      </c>
      <c r="B33" s="1" t="str">
        <f>VLOOKUP(A33,[15]LISTADHERENT!A$5:H$60,3,0)</f>
        <v>TCHOUAMOU MATHIEU</v>
      </c>
      <c r="C33" s="5"/>
      <c r="D33" s="5"/>
      <c r="E33" s="36">
        <f>VLOOKUP($A33,[16]HISTOOCT22!$A$6:$BA$39,48,0)</f>
        <v>0</v>
      </c>
      <c r="F33" s="5">
        <f>MVTSEPT22!F33-MVTOCT22!E33</f>
        <v>570000</v>
      </c>
      <c r="G33" s="6">
        <f t="shared" si="1"/>
        <v>0</v>
      </c>
      <c r="H33" s="6">
        <f>MVTSEPT22!H33+MVTSEPT22!G33+K33</f>
        <v>669504.06835924077</v>
      </c>
      <c r="I33" s="36">
        <f>VLOOKUP($A33,[16]HISTOOCT22!$A$6:$AQ$37,22,0)</f>
        <v>0</v>
      </c>
      <c r="J33" s="36">
        <f>VLOOKUP($A33,[16]HISTOOCT22!$A$6:$AU$39,45,0)</f>
        <v>7000</v>
      </c>
      <c r="K33" s="36">
        <f t="shared" si="2"/>
        <v>3000</v>
      </c>
      <c r="L33" s="36">
        <f t="shared" si="3"/>
        <v>500</v>
      </c>
      <c r="M33" s="36">
        <f t="shared" si="4"/>
        <v>1000</v>
      </c>
      <c r="N33" s="36">
        <f t="shared" si="5"/>
        <v>2500</v>
      </c>
      <c r="O33" s="36">
        <f>VLOOKUP($A33,[16]HISTOOCT22!$A$6:$AU$39,7,0)</f>
        <v>0</v>
      </c>
      <c r="P33" s="36">
        <f>VLOOKUP($A33,[16]HISTOOCT22!$A$6:$AU$39,23,0)</f>
        <v>0</v>
      </c>
      <c r="Q33" s="36">
        <f>VLOOKUP($A33,[16]HISTOOCT22!$A$6:$AU$39,46,0)</f>
        <v>0</v>
      </c>
      <c r="R33" s="36">
        <f>VLOOKUP($A33,[16]HISTOOCT22!$A$6:$AU$39,26,0)</f>
        <v>0</v>
      </c>
      <c r="S33" s="36">
        <f>VLOOKUP($A33,[16]HISTOOCT22!$A$6:$BG$39,58,0)</f>
        <v>0</v>
      </c>
      <c r="T33" s="36">
        <f>VLOOKUP($A33,[16]HISTOOCT22!$A$6:$AU$39,28,0)</f>
        <v>0</v>
      </c>
      <c r="U33" s="36">
        <f>VLOOKUP($A33,[16]HISTOOCT22!$A$6:$AU$39,19,0)</f>
        <v>0</v>
      </c>
      <c r="V33" s="36">
        <f>VLOOKUP($A33,[16]HISTOOCT22!$A$6:$AU$39,20,0)</f>
        <v>0</v>
      </c>
      <c r="W33" s="36">
        <f>VLOOKUP($A33,[16]HISTOOCT22!$A$6:$AU$39,27,0)</f>
        <v>0</v>
      </c>
      <c r="X33" s="36">
        <f>VLOOKUP($A33,[16]HISTOOCT22!$A$6:$AU$39,33,0)</f>
        <v>0</v>
      </c>
      <c r="Y33" s="36">
        <f>VLOOKUP($A33,[16]HISTOOCT22!$A$6:$BP$39,65,0)</f>
        <v>0</v>
      </c>
      <c r="Z33" s="36"/>
      <c r="AA33" s="36">
        <f>VLOOKUP($A33,[16]HISTOOCT22!$A$6:$AU$39,43,0)</f>
        <v>0</v>
      </c>
      <c r="AB33" s="36">
        <f>VLOOKUP($A33,[16]HISTOOCT22!$A$6:$AU$39,44,0)</f>
        <v>0</v>
      </c>
      <c r="AC33" s="36">
        <f>VLOOKUP($A33,[16]HISTOOCT22!$A$6:$AU$39,47,0)</f>
        <v>0</v>
      </c>
      <c r="AD33" s="36">
        <f>VLOOKUP(A33,[16]HISTOOCT22!$A$6:$BB$36,54,0)</f>
        <v>0</v>
      </c>
      <c r="AE33" s="36">
        <f>VLOOKUP($A33,[16]HISTOOCT22!$A$6:$CA$36,60,0)</f>
        <v>0</v>
      </c>
      <c r="AF33" s="36">
        <f>VLOOKUP($A33,[16]HISTOOCT22!$A$6:$CA$36,61,0)</f>
        <v>0</v>
      </c>
      <c r="AG33" s="36">
        <f>VLOOKUP($A33,[16]HISTOOCT22!$A$6:$CA$36,62,0)</f>
        <v>0</v>
      </c>
      <c r="AH33" s="36">
        <f>VLOOKUP($A33,[16]HISTOOCT22!$A$6:$CA$36,63,0)</f>
        <v>0</v>
      </c>
      <c r="AI33" s="36">
        <f>VLOOKUP($A33,[16]HISTOOCT22!$A$6:$CA$36,64,0)</f>
        <v>0</v>
      </c>
      <c r="AJ33" s="36">
        <f>VLOOKUP($A33,[16]HISTOOCT22!$A$6:$CA$36,65,0)</f>
        <v>0</v>
      </c>
    </row>
    <row r="34" spans="1:36" x14ac:dyDescent="0.25">
      <c r="A34" s="1" t="s">
        <v>54</v>
      </c>
      <c r="B34" s="1" t="str">
        <f>VLOOKUP(A34,[15]LISTADHERENT!A$5:H$60,3,0)</f>
        <v>TIEYAM ERNEST</v>
      </c>
      <c r="C34" s="5"/>
      <c r="D34" s="5"/>
      <c r="E34" s="36">
        <f>VLOOKUP($A34,[16]HISTOOCT22!$A$6:$BA$39,48,0)</f>
        <v>0</v>
      </c>
      <c r="F34" s="5">
        <f>MVTSEPT22!F34-MVTOCT22!E34</f>
        <v>535508.27831700875</v>
      </c>
      <c r="G34" s="6">
        <f t="shared" si="1"/>
        <v>0</v>
      </c>
      <c r="H34" s="6">
        <f>MVTSEPT22!H34+MVTSEPT22!G34+K34</f>
        <v>0</v>
      </c>
      <c r="I34" s="36">
        <f>VLOOKUP($A34,[16]HISTOOCT22!$A$6:$AQ$37,22,0)</f>
        <v>0</v>
      </c>
      <c r="J34" s="36">
        <f>VLOOKUP($A34,[16]HISTOOCT22!$A$6:$AU$39,45,0)</f>
        <v>0</v>
      </c>
      <c r="K34" s="36">
        <f t="shared" si="2"/>
        <v>0</v>
      </c>
      <c r="L34" s="36">
        <f t="shared" si="3"/>
        <v>0</v>
      </c>
      <c r="M34" s="36">
        <f t="shared" si="4"/>
        <v>0</v>
      </c>
      <c r="N34" s="36">
        <f t="shared" si="5"/>
        <v>0</v>
      </c>
      <c r="O34" s="36">
        <f>VLOOKUP($A34,[16]HISTOOCT22!$A$6:$AU$39,7,0)</f>
        <v>0</v>
      </c>
      <c r="P34" s="36">
        <f>VLOOKUP($A34,[16]HISTOOCT22!$A$6:$AU$39,23,0)</f>
        <v>0</v>
      </c>
      <c r="Q34" s="36">
        <f>VLOOKUP($A34,[16]HISTOOCT22!$A$6:$AU$39,46,0)</f>
        <v>0</v>
      </c>
      <c r="R34" s="36">
        <f>VLOOKUP($A34,[16]HISTOOCT22!$A$6:$AU$39,26,0)</f>
        <v>0</v>
      </c>
      <c r="S34" s="36">
        <f>VLOOKUP($A34,[16]HISTOOCT22!$A$6:$BG$39,58,0)</f>
        <v>0</v>
      </c>
      <c r="T34" s="36">
        <f>VLOOKUP($A34,[16]HISTOOCT22!$A$6:$AU$39,28,0)</f>
        <v>0</v>
      </c>
      <c r="U34" s="36">
        <f>VLOOKUP($A34,[16]HISTOOCT22!$A$6:$AU$39,19,0)</f>
        <v>0</v>
      </c>
      <c r="V34" s="36">
        <f>VLOOKUP($A34,[16]HISTOOCT22!$A$6:$AU$39,20,0)</f>
        <v>0</v>
      </c>
      <c r="W34" s="36">
        <f>VLOOKUP($A34,[16]HISTOOCT22!$A$6:$AU$39,27,0)</f>
        <v>0</v>
      </c>
      <c r="X34" s="36">
        <f>VLOOKUP($A34,[16]HISTOOCT22!$A$6:$AU$39,33,0)</f>
        <v>0</v>
      </c>
      <c r="Y34" s="36">
        <f>VLOOKUP($A34,[16]HISTOOCT22!$A$6:$BP$39,65,0)</f>
        <v>0</v>
      </c>
      <c r="Z34" s="36"/>
      <c r="AA34" s="36">
        <f>VLOOKUP($A34,[16]HISTOOCT22!$A$6:$AU$39,43,0)</f>
        <v>0</v>
      </c>
      <c r="AB34" s="36">
        <f>VLOOKUP($A34,[16]HISTOOCT22!$A$6:$AU$39,44,0)</f>
        <v>0</v>
      </c>
      <c r="AC34" s="36">
        <f>VLOOKUP($A34,[16]HISTOOCT22!$A$6:$AU$39,47,0)</f>
        <v>0</v>
      </c>
      <c r="AD34" s="36">
        <f>VLOOKUP(A34,[16]HISTOOCT22!$A$6:$BB$36,54,0)</f>
        <v>0</v>
      </c>
      <c r="AE34" s="36">
        <f>VLOOKUP($A34,[16]HISTOOCT22!$A$6:$CA$36,60,0)</f>
        <v>0</v>
      </c>
      <c r="AF34" s="36">
        <f>VLOOKUP($A34,[16]HISTOOCT22!$A$6:$CA$36,61,0)</f>
        <v>0</v>
      </c>
      <c r="AG34" s="36">
        <f>VLOOKUP($A34,[16]HISTOOCT22!$A$6:$CA$36,62,0)</f>
        <v>0</v>
      </c>
      <c r="AH34" s="36">
        <f>VLOOKUP($A34,[16]HISTOOCT22!$A$6:$CA$36,63,0)</f>
        <v>0</v>
      </c>
      <c r="AI34" s="36">
        <f>VLOOKUP($A34,[16]HISTOOCT22!$A$6:$CA$36,64,0)</f>
        <v>0</v>
      </c>
      <c r="AJ34" s="36">
        <f>VLOOKUP($A34,[16]HISTOOCT22!$A$6:$CA$36,65,0)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VLOOKUP($A35,[16]HISTOOCT22!$A$6:$BA$39,48,0)</f>
        <v>0</v>
      </c>
      <c r="F35" s="5">
        <f>MVTSEPT22!F35-MVTOCT22!E35</f>
        <v>570000</v>
      </c>
      <c r="G35" s="6">
        <f t="shared" si="1"/>
        <v>0</v>
      </c>
      <c r="H35" s="6">
        <f>MVTSEPT22!H35+MVTSEPT22!G35+K35</f>
        <v>1561629.3798302331</v>
      </c>
      <c r="I35" s="36">
        <f>VLOOKUP($A35,[16]HISTOOCT22!$A$6:$AQ$37,22,0)</f>
        <v>0</v>
      </c>
      <c r="J35" s="36">
        <f>VLOOKUP($A35,[16]HISTOOCT22!$A$6:$AU$39,45,0)</f>
        <v>7000</v>
      </c>
      <c r="K35" s="36">
        <f t="shared" si="2"/>
        <v>3000</v>
      </c>
      <c r="L35" s="36">
        <f t="shared" si="3"/>
        <v>500</v>
      </c>
      <c r="M35" s="36">
        <f t="shared" si="4"/>
        <v>1000</v>
      </c>
      <c r="N35" s="36">
        <f t="shared" si="5"/>
        <v>2500</v>
      </c>
      <c r="O35" s="36">
        <f>VLOOKUP($A35,[16]HISTOOCT22!$A$6:$AU$39,7,0)</f>
        <v>0</v>
      </c>
      <c r="P35" s="36">
        <f>VLOOKUP($A35,[16]HISTOOCT22!$A$6:$AU$39,23,0)</f>
        <v>0</v>
      </c>
      <c r="Q35" s="36">
        <f>VLOOKUP($A35,[16]HISTOOCT22!$A$6:$AU$39,46,0)</f>
        <v>0</v>
      </c>
      <c r="R35" s="36">
        <f>VLOOKUP($A35,[16]HISTOOCT22!$A$6:$AU$39,26,0)</f>
        <v>0</v>
      </c>
      <c r="S35" s="36">
        <f>VLOOKUP($A35,[16]HISTOOCT22!$A$6:$BG$39,58,0)</f>
        <v>0</v>
      </c>
      <c r="T35" s="36">
        <f>VLOOKUP($A35,[16]HISTOOCT22!$A$6:$AU$39,28,0)</f>
        <v>0</v>
      </c>
      <c r="U35" s="36">
        <f>VLOOKUP($A35,[16]HISTOOCT22!$A$6:$AU$39,19,0)</f>
        <v>0</v>
      </c>
      <c r="V35" s="36">
        <f>VLOOKUP($A35,[16]HISTOOCT22!$A$6:$AU$39,20,0)</f>
        <v>0</v>
      </c>
      <c r="W35" s="36">
        <f>VLOOKUP($A35,[16]HISTOOCT22!$A$6:$AU$39,27,0)</f>
        <v>0</v>
      </c>
      <c r="X35" s="36">
        <f>VLOOKUP($A35,[16]HISTOOCT22!$A$6:$AU$39,33,0)</f>
        <v>0</v>
      </c>
      <c r="Y35" s="36">
        <f>VLOOKUP($A35,[16]HISTOOCT22!$A$6:$BP$39,65,0)</f>
        <v>0</v>
      </c>
      <c r="Z35" s="36"/>
      <c r="AA35" s="36">
        <f>VLOOKUP($A35,[16]HISTOOCT22!$A$6:$AU$39,43,0)</f>
        <v>0</v>
      </c>
      <c r="AB35" s="36">
        <f>VLOOKUP($A35,[16]HISTOOCT22!$A$6:$AU$39,44,0)</f>
        <v>0</v>
      </c>
      <c r="AC35" s="36">
        <f>VLOOKUP($A35,[16]HISTOOCT22!$A$6:$AU$39,47,0)</f>
        <v>0</v>
      </c>
      <c r="AD35" s="36">
        <f>VLOOKUP(A35,[16]HISTOOCT22!$A$6:$BB$36,54,0)</f>
        <v>0</v>
      </c>
      <c r="AE35" s="36">
        <f>VLOOKUP($A35,[16]HISTOOCT22!$A$6:$CA$36,60,0)</f>
        <v>0</v>
      </c>
      <c r="AF35" s="36">
        <f>VLOOKUP($A35,[16]HISTOOCT22!$A$6:$CA$36,61,0)</f>
        <v>0</v>
      </c>
      <c r="AG35" s="36">
        <f>VLOOKUP($A35,[16]HISTOOCT22!$A$6:$CA$36,62,0)</f>
        <v>0</v>
      </c>
      <c r="AH35" s="36">
        <f>VLOOKUP($A35,[16]HISTOOCT22!$A$6:$CA$36,63,0)</f>
        <v>0</v>
      </c>
      <c r="AI35" s="36">
        <f>VLOOKUP($A35,[16]HISTOOCT22!$A$6:$CA$36,64,0)</f>
        <v>0</v>
      </c>
      <c r="AJ35" s="36">
        <f>VLOOKUP($A35,[16]HISTOOCT22!$A$6:$CA$36,65,0)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VLOOKUP($A36,[16]HISTOOCT22!$A$6:$BA$39,48,0)</f>
        <v>0</v>
      </c>
      <c r="F36" s="5">
        <f>MVTSEPT22!F36-MVTOCT22!E36</f>
        <v>570000</v>
      </c>
      <c r="G36" s="6">
        <f t="shared" si="1"/>
        <v>0</v>
      </c>
      <c r="H36" s="6">
        <f>MVTSEPT22!H36+MVTSEPT22!G36+K36</f>
        <v>1674872.0579878136</v>
      </c>
      <c r="I36" s="36">
        <f>VLOOKUP($A36,[16]HISTOOCT22!$A$6:$AQ$37,22,0)</f>
        <v>0</v>
      </c>
      <c r="J36" s="36">
        <f>VLOOKUP($A36,[16]HISTOOCT22!$A$6:$AU$39,45,0)</f>
        <v>7000</v>
      </c>
      <c r="K36" s="36">
        <f t="shared" si="2"/>
        <v>3000</v>
      </c>
      <c r="L36" s="36">
        <f t="shared" si="3"/>
        <v>500</v>
      </c>
      <c r="M36" s="36">
        <f t="shared" si="4"/>
        <v>1000</v>
      </c>
      <c r="N36" s="36">
        <f t="shared" si="5"/>
        <v>2500</v>
      </c>
      <c r="O36" s="36">
        <f>VLOOKUP($A36,[16]HISTOOCT22!$A$6:$AU$39,7,0)</f>
        <v>0</v>
      </c>
      <c r="P36" s="36">
        <f>VLOOKUP($A36,[16]HISTOOCT22!$A$6:$AU$39,23,0)</f>
        <v>0</v>
      </c>
      <c r="Q36" s="36">
        <f>VLOOKUP($A36,[16]HISTOOCT22!$A$6:$AU$39,46,0)</f>
        <v>0</v>
      </c>
      <c r="R36" s="36">
        <f>VLOOKUP($A36,[16]HISTOOCT22!$A$6:$AU$39,26,0)</f>
        <v>0</v>
      </c>
      <c r="S36" s="36">
        <f>VLOOKUP($A36,[16]HISTOOCT22!$A$6:$BG$39,58,0)</f>
        <v>0</v>
      </c>
      <c r="T36" s="36">
        <f>VLOOKUP($A36,[16]HISTOOCT22!$A$6:$AU$39,28,0)</f>
        <v>0</v>
      </c>
      <c r="U36" s="36">
        <f>VLOOKUP($A36,[16]HISTOOCT22!$A$6:$AU$39,19,0)</f>
        <v>0</v>
      </c>
      <c r="V36" s="36">
        <f>VLOOKUP($A36,[16]HISTOOCT22!$A$6:$AU$39,20,0)</f>
        <v>0</v>
      </c>
      <c r="W36" s="36">
        <f>VLOOKUP($A36,[16]HISTOOCT22!$A$6:$AU$39,27,0)</f>
        <v>0</v>
      </c>
      <c r="X36" s="36">
        <f>VLOOKUP($A36,[16]HISTOOCT22!$A$6:$AU$39,33,0)</f>
        <v>0</v>
      </c>
      <c r="Y36" s="36">
        <f>VLOOKUP($A36,[16]HISTOOCT22!$A$6:$BP$39,65,0)</f>
        <v>0</v>
      </c>
      <c r="Z36" s="36"/>
      <c r="AA36" s="36">
        <f>VLOOKUP($A36,[16]HISTOOCT22!$A$6:$AU$39,43,0)</f>
        <v>0</v>
      </c>
      <c r="AB36" s="36">
        <f>VLOOKUP($A36,[16]HISTOOCT22!$A$6:$AU$39,44,0)</f>
        <v>0</v>
      </c>
      <c r="AC36" s="36">
        <f>VLOOKUP($A36,[16]HISTOOCT22!$A$6:$AU$39,47,0)</f>
        <v>0</v>
      </c>
      <c r="AD36" s="36">
        <f>VLOOKUP(A36,[16]HISTOOCT22!$A$6:$BB$36,54,0)</f>
        <v>0</v>
      </c>
      <c r="AE36" s="36">
        <f>VLOOKUP($A36,[16]HISTOOCT22!$A$6:$CA$36,60,0)</f>
        <v>0</v>
      </c>
      <c r="AF36" s="36">
        <f>VLOOKUP($A36,[16]HISTOOCT22!$A$6:$CA$36,61,0)</f>
        <v>0</v>
      </c>
      <c r="AG36" s="36">
        <f>VLOOKUP($A36,[16]HISTOOCT22!$A$6:$CA$36,62,0)</f>
        <v>0</v>
      </c>
      <c r="AH36" s="36">
        <f>VLOOKUP($A36,[16]HISTOOCT22!$A$6:$CA$36,63,0)</f>
        <v>0</v>
      </c>
      <c r="AI36" s="36">
        <f>VLOOKUP($A36,[16]HISTOOCT22!$A$6:$CA$36,64,0)</f>
        <v>0</v>
      </c>
      <c r="AJ36" s="36">
        <f>VLOOKUP($A36,[16]HISTOOCT22!$A$6:$CA$36,65,0)</f>
        <v>0</v>
      </c>
    </row>
    <row r="37" spans="1:36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H40" si="6">SUM(C6:C39)</f>
        <v>0</v>
      </c>
      <c r="D40" s="9">
        <f t="shared" si="6"/>
        <v>0</v>
      </c>
      <c r="E40" s="9">
        <f t="shared" si="6"/>
        <v>0</v>
      </c>
      <c r="F40" s="9">
        <f t="shared" si="6"/>
        <v>17584659.561375875</v>
      </c>
      <c r="G40" s="9">
        <f t="shared" si="6"/>
        <v>0</v>
      </c>
      <c r="H40" s="9">
        <f t="shared" si="6"/>
        <v>22466208.148341149</v>
      </c>
      <c r="I40" s="9">
        <f t="shared" si="6"/>
        <v>0</v>
      </c>
      <c r="J40" s="9">
        <f t="shared" si="6"/>
        <v>339000</v>
      </c>
      <c r="K40" s="9">
        <f t="shared" si="6"/>
        <v>235000</v>
      </c>
      <c r="L40" s="9">
        <f t="shared" si="6"/>
        <v>13000</v>
      </c>
      <c r="M40" s="9">
        <f t="shared" si="6"/>
        <v>26000</v>
      </c>
      <c r="N40" s="9">
        <f t="shared" si="6"/>
        <v>65000</v>
      </c>
      <c r="O40" s="9">
        <f t="shared" si="6"/>
        <v>0</v>
      </c>
      <c r="P40" s="9">
        <f t="shared" si="6"/>
        <v>0</v>
      </c>
      <c r="Q40" s="9">
        <f t="shared" si="6"/>
        <v>0</v>
      </c>
      <c r="R40" s="9">
        <f t="shared" si="6"/>
        <v>0</v>
      </c>
      <c r="S40" s="9">
        <f>SUM(S6:S39)+AI40</f>
        <v>0</v>
      </c>
      <c r="T40" s="9">
        <f t="shared" si="6"/>
        <v>0</v>
      </c>
      <c r="U40" s="9">
        <f t="shared" si="6"/>
        <v>0</v>
      </c>
      <c r="V40" s="9">
        <f t="shared" si="6"/>
        <v>0</v>
      </c>
      <c r="W40" s="9">
        <f t="shared" si="6"/>
        <v>0</v>
      </c>
      <c r="X40" s="9">
        <f t="shared" si="6"/>
        <v>0</v>
      </c>
      <c r="Y40" s="9">
        <f t="shared" si="6"/>
        <v>0</v>
      </c>
      <c r="Z40" s="9">
        <f t="shared" si="6"/>
        <v>0</v>
      </c>
      <c r="AA40" s="9">
        <f t="shared" si="6"/>
        <v>0</v>
      </c>
      <c r="AB40" s="9">
        <f t="shared" si="6"/>
        <v>0</v>
      </c>
      <c r="AC40" s="9">
        <f t="shared" si="6"/>
        <v>0</v>
      </c>
      <c r="AD40" s="9">
        <f t="shared" si="6"/>
        <v>70000</v>
      </c>
      <c r="AE40" s="9">
        <f t="shared" si="6"/>
        <v>6000</v>
      </c>
      <c r="AF40" s="9">
        <f t="shared" si="6"/>
        <v>0</v>
      </c>
      <c r="AG40" s="9">
        <f t="shared" si="6"/>
        <v>0</v>
      </c>
      <c r="AH40" s="9">
        <f t="shared" si="6"/>
        <v>70000</v>
      </c>
      <c r="AI40" s="9">
        <f>SUM(AI6:AI39)</f>
        <v>0</v>
      </c>
      <c r="AJ40" s="9">
        <f>SUM(AJ6:AJ39)</f>
        <v>0</v>
      </c>
    </row>
  </sheetData>
  <autoFilter ref="A5:U36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"/>
  <sheetViews>
    <sheetView workbookViewId="0">
      <pane xSplit="2" ySplit="5" topLeftCell="F24" activePane="bottomRight" state="frozen"/>
      <selection activeCell="B43" sqref="B43"/>
      <selection pane="topRight" activeCell="B43" sqref="B43"/>
      <selection pane="bottomLeft" activeCell="B43" sqref="B43"/>
      <selection pane="bottomRight" activeCell="H43" sqref="H4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5" bestFit="1" customWidth="1"/>
    <col min="19" max="19" width="15" customWidth="1"/>
    <col min="20" max="21" width="18.140625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04"/>
      <c r="J4" s="146">
        <v>44882</v>
      </c>
      <c r="K4" s="146"/>
      <c r="L4" s="146"/>
      <c r="M4" s="146"/>
      <c r="N4" s="146"/>
      <c r="O4" s="146"/>
      <c r="P4"/>
      <c r="Q4"/>
      <c r="AJ4" s="108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84" t="s">
        <v>10</v>
      </c>
      <c r="AF5" s="84" t="s">
        <v>11</v>
      </c>
      <c r="AG5" s="84" t="s">
        <v>307</v>
      </c>
      <c r="AH5" s="84" t="s">
        <v>273</v>
      </c>
      <c r="AI5" s="4" t="s">
        <v>65</v>
      </c>
      <c r="AJ5" s="84" t="s">
        <v>278</v>
      </c>
    </row>
    <row r="6" spans="1:36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MVTOCT22!F6-MVTNOV22!E6</f>
        <v>584177.00555049011</v>
      </c>
      <c r="G6" s="6">
        <f t="shared" ref="G6" si="0">$S$40/$H$40*H6</f>
        <v>497.25915270979579</v>
      </c>
      <c r="H6" s="6">
        <f>MVTOCT22!H6+MVTOCT22!G6+K6</f>
        <v>647525.25689438276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VLOOKUP($A6,[16]HISTONOV22!$A$6:$CA$36,60,0)</f>
        <v>6000</v>
      </c>
      <c r="AF6" s="36">
        <f>VLOOKUP($A6,[16]HISTONOV22!$A$6:$CA$36,61,0)</f>
        <v>0</v>
      </c>
      <c r="AG6" s="36">
        <f>VLOOKUP($A6,[16]HISTONOV22!$A$6:$CA$36,62,0)</f>
        <v>0</v>
      </c>
      <c r="AH6" s="36">
        <f>VLOOKUP($A6,[16]HISTONOV22!$A$6:$CA$36,63,0)</f>
        <v>0</v>
      </c>
      <c r="AI6" s="36">
        <f>VLOOKUP($A6,[16]HISTONOV22!$A$6:$CA$36,64,0)</f>
        <v>0</v>
      </c>
      <c r="AJ6" s="36">
        <f>VLOOKUP($A6,[16]HISTONOV22!$A$6:$CA$36,65,0)</f>
        <v>0</v>
      </c>
    </row>
    <row r="7" spans="1:36" x14ac:dyDescent="0.25">
      <c r="A7" s="1" t="s">
        <v>19</v>
      </c>
      <c r="B7" s="1" t="str">
        <f>VLOOKUP(A7,[15]LISTADHERENT!A$5:H$60,3,0)</f>
        <v>BOUTCHOUANG WILLIAM</v>
      </c>
      <c r="C7" s="5"/>
      <c r="D7" s="5"/>
      <c r="E7" s="36">
        <f>VLOOKUP($A7,[16]HISTONOV22!$A$6:$BA$39,48,0)</f>
        <v>0</v>
      </c>
      <c r="F7" s="5">
        <f>MVTOCT22!F7-MVTNOV22!E7</f>
        <v>570000</v>
      </c>
      <c r="G7" s="6">
        <f t="shared" ref="G7:G36" si="1">$S$40/$H$40*H7</f>
        <v>510.91463702404604</v>
      </c>
      <c r="H7" s="6">
        <f>MVTOCT22!H7+MVTOCT22!G7+K7</f>
        <v>665307.27446091012</v>
      </c>
      <c r="I7" s="36">
        <f>VLOOKUP($A7,[16]HISTONOV22!$A$6:$AQ$37,22,0)</f>
        <v>0</v>
      </c>
      <c r="J7" s="36">
        <f>VLOOKUP($A7,[16]HISTONOV22!$A$6:$AU$39,45,0)</f>
        <v>7000</v>
      </c>
      <c r="K7" s="36">
        <f t="shared" ref="K7:K36" si="2">IF(J7=0,0,J7-(L7+M7+N7))</f>
        <v>3000</v>
      </c>
      <c r="L7" s="36">
        <f t="shared" ref="L7:L36" si="3">IF(J7=0,0,500)</f>
        <v>500</v>
      </c>
      <c r="M7" s="36">
        <f t="shared" ref="M7:M36" si="4">IF(J7=0,0,1000)</f>
        <v>1000</v>
      </c>
      <c r="N7" s="36">
        <f t="shared" ref="N7:N36" si="5">IF(J7=0,0,2500)</f>
        <v>2500</v>
      </c>
      <c r="O7" s="36">
        <f>VLOOKUP($A7,[16]HISTONOV22!$A$6:$AU$39,7,0)</f>
        <v>0</v>
      </c>
      <c r="P7" s="36">
        <f>VLOOKUP($A7,[16]HISTONOV22!$A$6:$AU$39,23,0)</f>
        <v>0</v>
      </c>
      <c r="Q7" s="36">
        <f>VLOOKUP($A7,[16]HISTONOV22!$A$6:$AU$39,46,0)</f>
        <v>0</v>
      </c>
      <c r="R7" s="36">
        <f>VLOOKUP($A7,[16]HISTONOV22!$A$6:$AU$39,26,0)</f>
        <v>0</v>
      </c>
      <c r="S7" s="36">
        <f>VLOOKUP($A7,[16]HISTONOV22!$A$6:$BG$39,58,0)</f>
        <v>0</v>
      </c>
      <c r="T7" s="36">
        <f>VLOOKUP($A7,[16]HISTONOV22!$A$6:$AU$39,28,0)</f>
        <v>0</v>
      </c>
      <c r="U7" s="36">
        <f>VLOOKUP($A7,[16]HISTONOV22!$A$6:$AU$39,19,0)</f>
        <v>0</v>
      </c>
      <c r="V7" s="36">
        <f>VLOOKUP($A7,[16]HISTONOV22!$A$6:$AU$39,20,0)</f>
        <v>0</v>
      </c>
      <c r="W7" s="36">
        <f>VLOOKUP($A7,[16]HISTONOV22!$A$6:$AU$39,27,0)</f>
        <v>0</v>
      </c>
      <c r="X7" s="36">
        <f>VLOOKUP($A7,[16]HISTONOV22!$A$6:$AU$39,33,0)</f>
        <v>0</v>
      </c>
      <c r="Y7" s="36">
        <f>VLOOKUP($A7,[16]HISTONOV22!$A$6:$BP$39,65,0)</f>
        <v>0</v>
      </c>
      <c r="Z7" s="36"/>
      <c r="AA7" s="36">
        <f>VLOOKUP($A7,[16]HISTONOV22!$A$6:$AU$39,43,0)</f>
        <v>0</v>
      </c>
      <c r="AB7" s="36">
        <f>VLOOKUP($A7,[16]HISTONOV22!$A$6:$AU$39,44,0)</f>
        <v>0</v>
      </c>
      <c r="AC7" s="36">
        <f>VLOOKUP($A7,[16]HISTONOV22!$A$6:$AU$39,47,0)</f>
        <v>0</v>
      </c>
      <c r="AD7" s="36">
        <f>VLOOKUP(A7,[16]HISTONOV22!$A$6:$BB$36,54,0)</f>
        <v>0</v>
      </c>
      <c r="AE7" s="36">
        <f>VLOOKUP($A7,[16]HISTONOV22!$A$6:$CA$36,60,0)</f>
        <v>0</v>
      </c>
      <c r="AF7" s="36">
        <f>VLOOKUP($A7,[16]HISTONOV22!$A$6:$CA$36,61,0)</f>
        <v>0</v>
      </c>
      <c r="AG7" s="36">
        <f>VLOOKUP($A7,[16]HISTONOV22!$A$6:$CA$36,62,0)</f>
        <v>0</v>
      </c>
      <c r="AH7" s="36">
        <f>VLOOKUP($A7,[16]HISTONOV22!$A$6:$CA$36,63,0)</f>
        <v>0</v>
      </c>
      <c r="AI7" s="36">
        <f>VLOOKUP($A7,[16]HISTONOV22!$A$6:$CA$36,64,0)</f>
        <v>0</v>
      </c>
      <c r="AJ7" s="36">
        <f>VLOOKUP($A7,[16]HISTONOV22!$A$6:$CA$36,65,0)</f>
        <v>0</v>
      </c>
    </row>
    <row r="8" spans="1:36" x14ac:dyDescent="0.25">
      <c r="A8" s="1" t="s">
        <v>23</v>
      </c>
      <c r="B8" s="1" t="str">
        <f>VLOOKUP(A8,[15]LISTADHERENT!A$5:H$60,3,0)</f>
        <v xml:space="preserve">DJOMO JEAN PAUL </v>
      </c>
      <c r="C8" s="5"/>
      <c r="D8" s="5"/>
      <c r="E8" s="36">
        <f>VLOOKUP($A8,[16]HISTONOV22!$A$6:$BA$39,48,0)</f>
        <v>0</v>
      </c>
      <c r="F8" s="5">
        <f>MVTOCT22!F8-MVTNOV22!E8</f>
        <v>570000</v>
      </c>
      <c r="G8" s="6">
        <f t="shared" si="1"/>
        <v>591.69602560929548</v>
      </c>
      <c r="H8" s="6">
        <f>MVTOCT22!H8+MVTOCT22!G8+K8</f>
        <v>770499.88702700997</v>
      </c>
      <c r="I8" s="36">
        <f>VLOOKUP($A8,[16]HISTONOV22!$A$6:$AQ$37,22,0)</f>
        <v>0</v>
      </c>
      <c r="J8" s="36">
        <f>VLOOKUP($A8,[16]HISTONOV22!$A$6:$AU$39,45,0)</f>
        <v>5500</v>
      </c>
      <c r="K8" s="36">
        <f t="shared" si="2"/>
        <v>1500</v>
      </c>
      <c r="L8" s="36">
        <f t="shared" si="3"/>
        <v>500</v>
      </c>
      <c r="M8" s="36">
        <f t="shared" si="4"/>
        <v>1000</v>
      </c>
      <c r="N8" s="36">
        <f t="shared" si="5"/>
        <v>2500</v>
      </c>
      <c r="O8" s="36">
        <f>VLOOKUP($A8,[16]HISTONOV22!$A$6:$AU$39,7,0)</f>
        <v>0</v>
      </c>
      <c r="P8" s="36">
        <f>VLOOKUP($A8,[16]HISTONOV22!$A$6:$AU$39,23,0)</f>
        <v>0</v>
      </c>
      <c r="Q8" s="36">
        <f>VLOOKUP($A8,[16]HISTONOV22!$A$6:$AU$39,46,0)</f>
        <v>0</v>
      </c>
      <c r="R8" s="36">
        <f>VLOOKUP($A8,[16]HISTONOV22!$A$6:$AU$39,26,0)</f>
        <v>0</v>
      </c>
      <c r="S8" s="36">
        <f>VLOOKUP($A8,[16]HISTONOV22!$A$6:$BG$39,58,0)</f>
        <v>0</v>
      </c>
      <c r="T8" s="36">
        <f>VLOOKUP($A8,[16]HISTONOV22!$A$6:$AU$39,28,0)</f>
        <v>0</v>
      </c>
      <c r="U8" s="36">
        <f>VLOOKUP($A8,[16]HISTONOV22!$A$6:$AU$39,19,0)</f>
        <v>0</v>
      </c>
      <c r="V8" s="36">
        <f>VLOOKUP($A8,[16]HISTONOV22!$A$6:$AU$39,20,0)</f>
        <v>0</v>
      </c>
      <c r="W8" s="36">
        <f>VLOOKUP($A8,[16]HISTONOV22!$A$6:$AU$39,27,0)</f>
        <v>0</v>
      </c>
      <c r="X8" s="36">
        <f>VLOOKUP($A8,[16]HISTONOV22!$A$6:$AU$39,33,0)</f>
        <v>0</v>
      </c>
      <c r="Y8" s="36">
        <f>VLOOKUP($A8,[16]HISTONOV22!$A$6:$BP$39,65,0)</f>
        <v>0</v>
      </c>
      <c r="Z8" s="36"/>
      <c r="AA8" s="36">
        <f>VLOOKUP($A8,[16]HISTONOV22!$A$6:$AU$39,43,0)</f>
        <v>0</v>
      </c>
      <c r="AB8" s="36">
        <f>VLOOKUP($A8,[16]HISTONOV22!$A$6:$AU$39,44,0)</f>
        <v>0</v>
      </c>
      <c r="AC8" s="36">
        <f>VLOOKUP($A8,[16]HISTONOV22!$A$6:$AU$39,47,0)</f>
        <v>0</v>
      </c>
      <c r="AD8" s="36">
        <f>VLOOKUP(A8,[16]HISTONOV22!$A$6:$BB$36,54,0)</f>
        <v>0</v>
      </c>
      <c r="AE8" s="36">
        <f>VLOOKUP($A8,[16]HISTONOV22!$A$6:$CA$36,60,0)</f>
        <v>0</v>
      </c>
      <c r="AF8" s="36">
        <f>VLOOKUP($A8,[16]HISTONOV22!$A$6:$CA$36,61,0)</f>
        <v>0</v>
      </c>
      <c r="AG8" s="36">
        <f>VLOOKUP($A8,[16]HISTONOV22!$A$6:$CA$36,62,0)</f>
        <v>0</v>
      </c>
      <c r="AH8" s="36">
        <f>VLOOKUP($A8,[16]HISTONOV22!$A$6:$CA$36,63,0)</f>
        <v>0</v>
      </c>
      <c r="AI8" s="36">
        <f>VLOOKUP($A8,[16]HISTONOV22!$A$6:$CA$36,64,0)</f>
        <v>0</v>
      </c>
      <c r="AJ8" s="36">
        <f>VLOOKUP($A8,[16]HISTONOV22!$A$6:$CA$36,65,0)</f>
        <v>0</v>
      </c>
    </row>
    <row r="9" spans="1:36" x14ac:dyDescent="0.25">
      <c r="A9" s="1" t="s">
        <v>154</v>
      </c>
      <c r="B9" s="1" t="str">
        <f>VLOOKUP(A9,[15]LISTADHERENT!A$5:H$60,3,0)</f>
        <v>DJOMOU TCHANDA</v>
      </c>
      <c r="C9" s="5"/>
      <c r="D9" s="5"/>
      <c r="E9" s="36">
        <f>VLOOKUP($A9,[16]HISTONOV22!$A$6:$BA$39,48,0)</f>
        <v>0</v>
      </c>
      <c r="F9" s="5">
        <f>MVTOCT22!F9-MVTNOV22!E9</f>
        <v>570000</v>
      </c>
      <c r="G9" s="6">
        <f t="shared" si="1"/>
        <v>512.21033150909466</v>
      </c>
      <c r="H9" s="6">
        <f>MVTOCT22!H9+MVTOCT22!G9+K9</f>
        <v>666994.51319692063</v>
      </c>
      <c r="I9" s="36">
        <f>VLOOKUP($A9,[16]HISTONOV22!$A$6:$AQ$37,22,0)</f>
        <v>0</v>
      </c>
      <c r="J9" s="36">
        <f>VLOOKUP($A9,[16]HISTONOV22!$A$6:$AU$39,45,0)</f>
        <v>7000</v>
      </c>
      <c r="K9" s="36">
        <f t="shared" si="2"/>
        <v>3000</v>
      </c>
      <c r="L9" s="36">
        <f t="shared" si="3"/>
        <v>500</v>
      </c>
      <c r="M9" s="36">
        <f t="shared" si="4"/>
        <v>1000</v>
      </c>
      <c r="N9" s="36">
        <f t="shared" si="5"/>
        <v>2500</v>
      </c>
      <c r="O9" s="36">
        <f>VLOOKUP($A9,[16]HISTONOV22!$A$6:$AU$39,7,0)</f>
        <v>0</v>
      </c>
      <c r="P9" s="36">
        <f>VLOOKUP($A9,[16]HISTONOV22!$A$6:$AU$39,23,0)</f>
        <v>0</v>
      </c>
      <c r="Q9" s="36">
        <f>VLOOKUP($A9,[16]HISTONOV22!$A$6:$AU$39,46,0)</f>
        <v>0</v>
      </c>
      <c r="R9" s="36">
        <f>VLOOKUP($A9,[16]HISTONOV22!$A$6:$AU$39,26,0)</f>
        <v>0</v>
      </c>
      <c r="S9" s="36">
        <f>VLOOKUP($A9,[16]HISTONOV22!$A$6:$BG$39,58,0)</f>
        <v>0</v>
      </c>
      <c r="T9" s="36">
        <f>VLOOKUP($A9,[16]HISTONOV22!$A$6:$AU$39,28,0)</f>
        <v>0</v>
      </c>
      <c r="U9" s="36">
        <f>VLOOKUP($A9,[16]HISTONOV22!$A$6:$AU$39,19,0)</f>
        <v>0</v>
      </c>
      <c r="V9" s="36">
        <f>VLOOKUP($A9,[16]HISTONOV22!$A$6:$AU$39,20,0)</f>
        <v>0</v>
      </c>
      <c r="W9" s="36">
        <f>VLOOKUP($A9,[16]HISTONOV22!$A$6:$AU$39,27,0)</f>
        <v>0</v>
      </c>
      <c r="X9" s="36">
        <f>VLOOKUP($A9,[16]HISTONOV22!$A$6:$AU$39,33,0)</f>
        <v>0</v>
      </c>
      <c r="Y9" s="36">
        <f>VLOOKUP($A9,[16]HISTONOV22!$A$6:$BP$39,65,0)</f>
        <v>0</v>
      </c>
      <c r="Z9" s="36"/>
      <c r="AA9" s="36">
        <f>VLOOKUP($A9,[16]HISTONOV22!$A$6:$AU$39,43,0)</f>
        <v>0</v>
      </c>
      <c r="AB9" s="36">
        <f>VLOOKUP($A9,[16]HISTONOV22!$A$6:$AU$39,44,0)</f>
        <v>0</v>
      </c>
      <c r="AC9" s="36">
        <f>VLOOKUP($A9,[16]HISTONOV22!$A$6:$AU$39,47,0)</f>
        <v>0</v>
      </c>
      <c r="AD9" s="36">
        <f>VLOOKUP(A9,[16]HISTONOV22!$A$6:$BB$36,54,0)</f>
        <v>0</v>
      </c>
      <c r="AE9" s="36">
        <f>VLOOKUP($A9,[16]HISTONOV22!$A$6:$CA$36,60,0)</f>
        <v>0</v>
      </c>
      <c r="AF9" s="36">
        <f>VLOOKUP($A9,[16]HISTONOV22!$A$6:$CA$36,61,0)</f>
        <v>0</v>
      </c>
      <c r="AG9" s="36">
        <f>VLOOKUP($A9,[16]HISTONOV22!$A$6:$CA$36,62,0)</f>
        <v>0</v>
      </c>
      <c r="AH9" s="36">
        <f>VLOOKUP($A9,[16]HISTONOV22!$A$6:$CA$36,63,0)</f>
        <v>0</v>
      </c>
      <c r="AI9" s="36">
        <f>VLOOKUP($A9,[16]HISTONOV22!$A$6:$CA$36,64,0)</f>
        <v>0</v>
      </c>
      <c r="AJ9" s="36">
        <f>VLOOKUP($A9,[16]HISTONOV22!$A$6:$CA$36,65,0)</f>
        <v>0</v>
      </c>
    </row>
    <row r="10" spans="1:36" x14ac:dyDescent="0.25">
      <c r="A10" s="1" t="s">
        <v>24</v>
      </c>
      <c r="B10" s="1" t="str">
        <f>VLOOKUP(A10,[15]LISTADHERENT!A$5:H$60,3,0)</f>
        <v>DJOUKWE NANGUEN GUY BLAISE</v>
      </c>
      <c r="C10" s="5"/>
      <c r="D10" s="5"/>
      <c r="E10" s="36">
        <f>VLOOKUP($A10,[16]HISTONOV22!$A$6:$BA$39,48,0)</f>
        <v>0</v>
      </c>
      <c r="F10" s="5">
        <f>MVTOCT22!F10-MVTNOV22!E10</f>
        <v>570000</v>
      </c>
      <c r="G10" s="6">
        <f t="shared" si="1"/>
        <v>609.37580825994678</v>
      </c>
      <c r="H10" s="6">
        <f>MVTOCT22!H10+MVTOCT22!G10+K10</f>
        <v>793522.30047141563</v>
      </c>
      <c r="I10" s="36">
        <f>VLOOKUP($A10,[16]HISTONOV22!$A$6:$AQ$37,22,0)</f>
        <v>0</v>
      </c>
      <c r="J10" s="36">
        <f>VLOOKUP($A10,[16]HISTONOV22!$A$6:$AU$39,45,0)</f>
        <v>7000</v>
      </c>
      <c r="K10" s="36">
        <f t="shared" si="2"/>
        <v>3000</v>
      </c>
      <c r="L10" s="36">
        <f t="shared" si="3"/>
        <v>500</v>
      </c>
      <c r="M10" s="36">
        <f t="shared" si="4"/>
        <v>1000</v>
      </c>
      <c r="N10" s="36">
        <f t="shared" si="5"/>
        <v>2500</v>
      </c>
      <c r="O10" s="36">
        <f>VLOOKUP($A10,[16]HISTONOV22!$A$6:$AU$39,7,0)</f>
        <v>0</v>
      </c>
      <c r="P10" s="36">
        <f>VLOOKUP($A10,[16]HISTONOV22!$A$6:$AU$39,23,0)</f>
        <v>0</v>
      </c>
      <c r="Q10" s="36">
        <f>VLOOKUP($A10,[16]HISTONOV22!$A$6:$AU$39,46,0)</f>
        <v>0</v>
      </c>
      <c r="R10" s="36">
        <f>VLOOKUP($A10,[16]HISTONOV22!$A$6:$AU$39,26,0)</f>
        <v>0</v>
      </c>
      <c r="S10" s="36">
        <f>VLOOKUP($A10,[16]HISTONOV22!$A$6:$BG$39,58,0)</f>
        <v>0</v>
      </c>
      <c r="T10" s="36">
        <f>VLOOKUP($A10,[16]HISTONOV22!$A$6:$AU$39,28,0)</f>
        <v>0</v>
      </c>
      <c r="U10" s="36">
        <f>VLOOKUP($A10,[16]HISTONOV22!$A$6:$AU$39,19,0)</f>
        <v>0</v>
      </c>
      <c r="V10" s="36">
        <f>VLOOKUP($A10,[16]HISTONOV22!$A$6:$AU$39,20,0)</f>
        <v>0</v>
      </c>
      <c r="W10" s="36">
        <f>VLOOKUP($A10,[16]HISTONOV22!$A$6:$AU$39,27,0)</f>
        <v>0</v>
      </c>
      <c r="X10" s="36">
        <f>VLOOKUP($A10,[16]HISTONOV22!$A$6:$AU$39,33,0)</f>
        <v>0</v>
      </c>
      <c r="Y10" s="36">
        <f>VLOOKUP($A10,[16]HISTONOV22!$A$6:$BP$39,65,0)</f>
        <v>0</v>
      </c>
      <c r="Z10" s="36"/>
      <c r="AA10" s="36">
        <f>VLOOKUP($A10,[16]HISTONOV22!$A$6:$AU$39,43,0)</f>
        <v>0</v>
      </c>
      <c r="AB10" s="36">
        <f>VLOOKUP($A10,[16]HISTONOV22!$A$6:$AU$39,44,0)</f>
        <v>0</v>
      </c>
      <c r="AC10" s="36">
        <f>VLOOKUP($A10,[16]HISTONOV22!$A$6:$AU$39,47,0)</f>
        <v>0</v>
      </c>
      <c r="AD10" s="36">
        <f>VLOOKUP(A10,[16]HISTONOV22!$A$6:$BB$36,54,0)</f>
        <v>0</v>
      </c>
      <c r="AE10" s="36">
        <f>VLOOKUP($A10,[16]HISTONOV22!$A$6:$CA$36,60,0)</f>
        <v>0</v>
      </c>
      <c r="AF10" s="36">
        <f>VLOOKUP($A10,[16]HISTONOV22!$A$6:$CA$36,61,0)</f>
        <v>0</v>
      </c>
      <c r="AG10" s="36">
        <f>VLOOKUP($A10,[16]HISTONOV22!$A$6:$CA$36,62,0)</f>
        <v>0</v>
      </c>
      <c r="AH10" s="36">
        <f>VLOOKUP($A10,[16]HISTONOV22!$A$6:$CA$36,63,0)</f>
        <v>0</v>
      </c>
      <c r="AI10" s="36">
        <f>VLOOKUP($A10,[16]HISTONOV22!$A$6:$CA$36,64,0)</f>
        <v>0</v>
      </c>
      <c r="AJ10" s="36">
        <f>VLOOKUP($A10,[16]HISTONOV22!$A$6:$CA$36,65,0)</f>
        <v>0</v>
      </c>
    </row>
    <row r="11" spans="1:36" x14ac:dyDescent="0.25">
      <c r="A11" s="1" t="s">
        <v>25</v>
      </c>
      <c r="B11" s="1" t="str">
        <f>VLOOKUP(A11,[15]LISTADHERENT!A$5:H$60,3,0)</f>
        <v>DJUOMBESSY ANTOINE</v>
      </c>
      <c r="C11" s="5"/>
      <c r="D11" s="5"/>
      <c r="E11" s="36">
        <f>VLOOKUP($A11,[16]HISTONOV22!$A$6:$BA$39,48,0)</f>
        <v>0</v>
      </c>
      <c r="F11" s="5">
        <f>MVTOCT22!F11-MVTNOV22!E11</f>
        <v>570000</v>
      </c>
      <c r="G11" s="6">
        <f t="shared" si="1"/>
        <v>528.36890861424718</v>
      </c>
      <c r="H11" s="6">
        <f>MVTOCT22!H11+MVTOCT22!G11+K11</f>
        <v>688036.02994737832</v>
      </c>
      <c r="I11" s="36">
        <f>VLOOKUP($A11,[16]HISTONOV22!$A$6:$AQ$37,22,0)</f>
        <v>0</v>
      </c>
      <c r="J11" s="36">
        <f>VLOOKUP($A11,[16]HISTONOV22!$A$6:$AU$39,45,0)</f>
        <v>7000</v>
      </c>
      <c r="K11" s="36">
        <f t="shared" si="2"/>
        <v>3000</v>
      </c>
      <c r="L11" s="36">
        <f t="shared" si="3"/>
        <v>500</v>
      </c>
      <c r="M11" s="36">
        <f t="shared" si="4"/>
        <v>1000</v>
      </c>
      <c r="N11" s="36">
        <f t="shared" si="5"/>
        <v>2500</v>
      </c>
      <c r="O11" s="36">
        <f>VLOOKUP($A11,[16]HISTONOV22!$A$6:$AU$39,7,0)</f>
        <v>0</v>
      </c>
      <c r="P11" s="36">
        <f>VLOOKUP($A11,[16]HISTONOV22!$A$6:$AU$39,23,0)</f>
        <v>0</v>
      </c>
      <c r="Q11" s="36">
        <f>VLOOKUP($A11,[16]HISTONOV22!$A$6:$AU$39,46,0)</f>
        <v>0</v>
      </c>
      <c r="R11" s="36">
        <f>VLOOKUP($A11,[16]HISTONOV22!$A$6:$AU$39,26,0)</f>
        <v>0</v>
      </c>
      <c r="S11" s="36">
        <f>VLOOKUP($A11,[16]HISTONOV22!$A$6:$BG$39,58,0)</f>
        <v>0</v>
      </c>
      <c r="T11" s="36">
        <f>VLOOKUP($A11,[16]HISTONOV22!$A$6:$AU$39,28,0)</f>
        <v>0</v>
      </c>
      <c r="U11" s="36">
        <f>VLOOKUP($A11,[16]HISTONOV22!$A$6:$AU$39,19,0)</f>
        <v>0</v>
      </c>
      <c r="V11" s="36">
        <f>VLOOKUP($A11,[16]HISTONOV22!$A$6:$AU$39,20,0)</f>
        <v>0</v>
      </c>
      <c r="W11" s="36">
        <f>VLOOKUP($A11,[16]HISTONOV22!$A$6:$AU$39,27,0)</f>
        <v>0</v>
      </c>
      <c r="X11" s="36">
        <f>VLOOKUP($A11,[16]HISTONOV22!$A$6:$AU$39,33,0)</f>
        <v>0</v>
      </c>
      <c r="Y11" s="36">
        <f>VLOOKUP($A11,[16]HISTONOV22!$A$6:$BP$39,65,0)</f>
        <v>0</v>
      </c>
      <c r="Z11" s="36"/>
      <c r="AA11" s="36">
        <f>VLOOKUP($A11,[16]HISTONOV22!$A$6:$AU$39,43,0)</f>
        <v>0</v>
      </c>
      <c r="AB11" s="36">
        <f>VLOOKUP($A11,[16]HISTONOV22!$A$6:$AU$39,44,0)</f>
        <v>0</v>
      </c>
      <c r="AC11" s="36">
        <f>VLOOKUP($A11,[16]HISTONOV22!$A$6:$AU$39,47,0)</f>
        <v>0</v>
      </c>
      <c r="AD11" s="36">
        <f>VLOOKUP(A11,[16]HISTONOV22!$A$6:$BB$36,54,0)</f>
        <v>0</v>
      </c>
      <c r="AE11" s="36">
        <f>VLOOKUP($A11,[16]HISTONOV22!$A$6:$CA$36,60,0)</f>
        <v>0</v>
      </c>
      <c r="AF11" s="36">
        <f>VLOOKUP($A11,[16]HISTONOV22!$A$6:$CA$36,61,0)</f>
        <v>0</v>
      </c>
      <c r="AG11" s="36">
        <f>VLOOKUP($A11,[16]HISTONOV22!$A$6:$CA$36,62,0)</f>
        <v>0</v>
      </c>
      <c r="AH11" s="36">
        <f>VLOOKUP($A11,[16]HISTONOV22!$A$6:$CA$36,63,0)</f>
        <v>0</v>
      </c>
      <c r="AI11" s="36">
        <f>VLOOKUP($A11,[16]HISTONOV22!$A$6:$CA$36,64,0)</f>
        <v>0</v>
      </c>
      <c r="AJ11" s="36">
        <f>VLOOKUP($A11,[16]HISTONOV22!$A$6:$CA$36,65,0)</f>
        <v>0</v>
      </c>
    </row>
    <row r="12" spans="1:36" x14ac:dyDescent="0.25">
      <c r="A12" s="1" t="s">
        <v>79</v>
      </c>
      <c r="B12" s="1" t="str">
        <f>VLOOKUP(A12,[15]LISTADHERENT!A$5:H$60,3,0)</f>
        <v>DOMOU FABIEN</v>
      </c>
      <c r="C12" s="5"/>
      <c r="D12" s="5"/>
      <c r="E12" s="36">
        <f>VLOOKUP($A12,[16]HISTONOV22!$A$6:$BA$39,48,0)</f>
        <v>0</v>
      </c>
      <c r="F12" s="5">
        <f>MVTOCT22!F12-MVTNOV22!E12</f>
        <v>570000</v>
      </c>
      <c r="G12" s="6">
        <f t="shared" si="1"/>
        <v>559.93021309360802</v>
      </c>
      <c r="H12" s="6">
        <f>MVTOCT22!H12+MVTOCT22!G12+K12</f>
        <v>729134.80445871851</v>
      </c>
      <c r="I12" s="36">
        <f>VLOOKUP($A12,[16]HISTONOV22!$A$6:$AQ$37,22,0)</f>
        <v>0</v>
      </c>
      <c r="J12" s="36">
        <f>VLOOKUP($A12,[16]HISTONOV22!$A$6:$AU$39,45,0)</f>
        <v>12000</v>
      </c>
      <c r="K12" s="36">
        <f t="shared" si="2"/>
        <v>8000</v>
      </c>
      <c r="L12" s="36">
        <f t="shared" si="3"/>
        <v>500</v>
      </c>
      <c r="M12" s="36">
        <f t="shared" si="4"/>
        <v>1000</v>
      </c>
      <c r="N12" s="36">
        <f t="shared" si="5"/>
        <v>2500</v>
      </c>
      <c r="O12" s="36">
        <f>VLOOKUP($A12,[16]HISTONOV22!$A$6:$AU$39,7,0)</f>
        <v>0</v>
      </c>
      <c r="P12" s="36">
        <f>VLOOKUP($A12,[16]HISTONOV22!$A$6:$AU$39,23,0)</f>
        <v>0</v>
      </c>
      <c r="Q12" s="36">
        <f>VLOOKUP($A12,[16]HISTONOV22!$A$6:$AU$39,46,0)</f>
        <v>0</v>
      </c>
      <c r="R12" s="36">
        <f>VLOOKUP($A12,[16]HISTONOV22!$A$6:$AU$39,26,0)</f>
        <v>0</v>
      </c>
      <c r="S12" s="36">
        <f>VLOOKUP($A12,[16]HISTONOV22!$A$6:$BG$39,58,0)</f>
        <v>0</v>
      </c>
      <c r="T12" s="36">
        <f>VLOOKUP($A12,[16]HISTONOV22!$A$6:$AU$39,28,0)</f>
        <v>0</v>
      </c>
      <c r="U12" s="36">
        <f>VLOOKUP($A12,[16]HISTONOV22!$A$6:$AU$39,19,0)</f>
        <v>0</v>
      </c>
      <c r="V12" s="36">
        <f>VLOOKUP($A12,[16]HISTONOV22!$A$6:$AU$39,20,0)</f>
        <v>0</v>
      </c>
      <c r="W12" s="36">
        <f>VLOOKUP($A12,[16]HISTONOV22!$A$6:$AU$39,27,0)</f>
        <v>0</v>
      </c>
      <c r="X12" s="36">
        <f>VLOOKUP($A12,[16]HISTONOV22!$A$6:$AU$39,33,0)</f>
        <v>0</v>
      </c>
      <c r="Y12" s="36">
        <f>VLOOKUP($A12,[16]HISTONOV22!$A$6:$BP$39,65,0)</f>
        <v>0</v>
      </c>
      <c r="Z12" s="36"/>
      <c r="AA12" s="36">
        <f>VLOOKUP($A12,[16]HISTONOV22!$A$6:$AU$39,43,0)</f>
        <v>0</v>
      </c>
      <c r="AB12" s="36">
        <f>VLOOKUP($A12,[16]HISTONOV22!$A$6:$AU$39,44,0)</f>
        <v>0</v>
      </c>
      <c r="AC12" s="36">
        <f>VLOOKUP($A12,[16]HISTONOV22!$A$6:$AU$39,47,0)</f>
        <v>0</v>
      </c>
      <c r="AD12" s="36">
        <f>VLOOKUP(A12,[16]HISTONOV22!$A$6:$BB$36,54,0)</f>
        <v>0</v>
      </c>
      <c r="AE12" s="36">
        <f>VLOOKUP($A12,[16]HISTONOV22!$A$6:$CA$36,60,0)</f>
        <v>0</v>
      </c>
      <c r="AF12" s="36">
        <f>VLOOKUP($A12,[16]HISTONOV22!$A$6:$CA$36,61,0)</f>
        <v>0</v>
      </c>
      <c r="AG12" s="36">
        <f>VLOOKUP($A12,[16]HISTONOV22!$A$6:$CA$36,62,0)</f>
        <v>0</v>
      </c>
      <c r="AH12" s="36">
        <f>VLOOKUP($A12,[16]HISTONOV22!$A$6:$CA$36,63,0)</f>
        <v>0</v>
      </c>
      <c r="AI12" s="36">
        <f>VLOOKUP($A12,[16]HISTONOV22!$A$6:$CA$36,64,0)</f>
        <v>0</v>
      </c>
      <c r="AJ12" s="36">
        <f>VLOOKUP($A12,[16]HISTONOV22!$A$6:$CA$36,65,0)</f>
        <v>0</v>
      </c>
    </row>
    <row r="13" spans="1:36" x14ac:dyDescent="0.25">
      <c r="A13" s="1" t="s">
        <v>26</v>
      </c>
      <c r="B13" s="1" t="str">
        <f>VLOOKUP(A13,[15]LISTADHERENT!A$5:H$60,3,0)</f>
        <v>DONHOU DAVID</v>
      </c>
      <c r="C13" s="5"/>
      <c r="D13" s="5"/>
      <c r="E13" s="36">
        <f>VLOOKUP($A13,[16]HISTONOV22!$A$6:$BA$39,48,0)</f>
        <v>0</v>
      </c>
      <c r="F13" s="5">
        <f>MVTOCT22!F13-MVTNOV22!E13</f>
        <v>570000</v>
      </c>
      <c r="G13" s="6">
        <f t="shared" si="1"/>
        <v>765.72159266882034</v>
      </c>
      <c r="H13" s="6">
        <f>MVTOCT22!H13+MVTOCT22!G13+K13</f>
        <v>997114.01650523359</v>
      </c>
      <c r="I13" s="36">
        <f>VLOOKUP($A13,[16]HISTONOV22!$A$6:$AQ$37,22,0)</f>
        <v>0</v>
      </c>
      <c r="J13" s="36">
        <f>VLOOKUP($A13,[16]HISTONOV22!$A$6:$AU$39,45,0)</f>
        <v>12000</v>
      </c>
      <c r="K13" s="36">
        <f t="shared" si="2"/>
        <v>8000</v>
      </c>
      <c r="L13" s="36">
        <f t="shared" si="3"/>
        <v>500</v>
      </c>
      <c r="M13" s="36">
        <f t="shared" si="4"/>
        <v>1000</v>
      </c>
      <c r="N13" s="36">
        <f t="shared" si="5"/>
        <v>2500</v>
      </c>
      <c r="O13" s="36">
        <f>VLOOKUP($A13,[16]HISTONOV22!$A$6:$AU$39,7,0)</f>
        <v>0</v>
      </c>
      <c r="P13" s="36">
        <f>VLOOKUP($A13,[16]HISTONOV22!$A$6:$AU$39,23,0)</f>
        <v>0</v>
      </c>
      <c r="Q13" s="36">
        <f>VLOOKUP($A13,[16]HISTONOV22!$A$6:$AU$39,46,0)</f>
        <v>0</v>
      </c>
      <c r="R13" s="36">
        <f>VLOOKUP($A13,[16]HISTONOV22!$A$6:$AU$39,26,0)</f>
        <v>0</v>
      </c>
      <c r="S13" s="36">
        <f>VLOOKUP($A13,[16]HISTONOV22!$A$6:$BG$39,58,0)</f>
        <v>0</v>
      </c>
      <c r="T13" s="36">
        <f>VLOOKUP($A13,[16]HISTONOV22!$A$6:$AU$39,28,0)</f>
        <v>0</v>
      </c>
      <c r="U13" s="36">
        <f>VLOOKUP($A13,[16]HISTONOV22!$A$6:$AU$39,19,0)</f>
        <v>0</v>
      </c>
      <c r="V13" s="36">
        <f>VLOOKUP($A13,[16]HISTONOV22!$A$6:$AU$39,20,0)</f>
        <v>0</v>
      </c>
      <c r="W13" s="36">
        <f>VLOOKUP($A13,[16]HISTONOV22!$A$6:$AU$39,27,0)</f>
        <v>0</v>
      </c>
      <c r="X13" s="36">
        <f>VLOOKUP($A13,[16]HISTONOV22!$A$6:$AU$39,33,0)</f>
        <v>0</v>
      </c>
      <c r="Y13" s="36">
        <f>VLOOKUP($A13,[16]HISTONOV22!$A$6:$BP$39,65,0)</f>
        <v>0</v>
      </c>
      <c r="Z13" s="36"/>
      <c r="AA13" s="36">
        <f>VLOOKUP($A13,[16]HISTONOV22!$A$6:$AU$39,43,0)</f>
        <v>0</v>
      </c>
      <c r="AB13" s="36">
        <f>VLOOKUP($A13,[16]HISTONOV22!$A$6:$AU$39,44,0)</f>
        <v>0</v>
      </c>
      <c r="AC13" s="36">
        <f>VLOOKUP($A13,[16]HISTONOV22!$A$6:$AU$39,47,0)</f>
        <v>0</v>
      </c>
      <c r="AD13" s="36">
        <f>VLOOKUP(A13,[16]HISTONOV22!$A$6:$BB$36,54,0)</f>
        <v>0</v>
      </c>
      <c r="AE13" s="36">
        <f>VLOOKUP($A13,[16]HISTONOV22!$A$6:$CA$36,60,0)</f>
        <v>0</v>
      </c>
      <c r="AF13" s="36">
        <f>VLOOKUP($A13,[16]HISTONOV22!$A$6:$CA$36,61,0)</f>
        <v>0</v>
      </c>
      <c r="AG13" s="36">
        <f>VLOOKUP($A13,[16]HISTONOV22!$A$6:$CA$36,62,0)</f>
        <v>0</v>
      </c>
      <c r="AH13" s="36">
        <f>VLOOKUP($A13,[16]HISTONOV22!$A$6:$CA$36,63,0)</f>
        <v>70000</v>
      </c>
      <c r="AI13" s="36">
        <f>VLOOKUP($A13,[16]HISTONOV22!$A$6:$CA$36,64,0)</f>
        <v>0</v>
      </c>
      <c r="AJ13" s="36">
        <f>VLOOKUP($A13,[16]HISTONOV22!$A$6:$CA$36,65,0)</f>
        <v>0</v>
      </c>
    </row>
    <row r="14" spans="1:36" x14ac:dyDescent="0.25">
      <c r="A14" s="1" t="s">
        <v>27</v>
      </c>
      <c r="B14" s="1" t="str">
        <f>VLOOKUP(A14,[15]LISTADHERENT!A$5:H$60,3,0)</f>
        <v>FOTSO THOMAS</v>
      </c>
      <c r="C14" s="5"/>
      <c r="D14" s="5"/>
      <c r="E14" s="36">
        <f>VLOOKUP($A14,[16]HISTONOV22!$A$6:$BA$39,48,0)</f>
        <v>0</v>
      </c>
      <c r="F14" s="5">
        <f>MVTOCT22!F14-MVTNOV22!E14</f>
        <v>540000</v>
      </c>
      <c r="G14" s="6">
        <f t="shared" si="1"/>
        <v>0</v>
      </c>
      <c r="H14" s="6">
        <f>MVTOCT22!H14+MVTOCT22!G14+K14</f>
        <v>0</v>
      </c>
      <c r="I14" s="36">
        <f>VLOOKUP($A14,[16]HISTONOV22!$A$6:$AQ$37,22,0)</f>
        <v>0</v>
      </c>
      <c r="J14" s="36">
        <f>VLOOKUP($A14,[16]HISTONOV22!$A$6:$AU$39,45,0)</f>
        <v>0</v>
      </c>
      <c r="K14" s="36">
        <f t="shared" si="2"/>
        <v>0</v>
      </c>
      <c r="L14" s="36">
        <f t="shared" si="3"/>
        <v>0</v>
      </c>
      <c r="M14" s="36">
        <f t="shared" si="4"/>
        <v>0</v>
      </c>
      <c r="N14" s="36">
        <f t="shared" si="5"/>
        <v>0</v>
      </c>
      <c r="O14" s="36">
        <f>VLOOKUP($A14,[16]HISTONOV22!$A$6:$AU$39,7,0)</f>
        <v>0</v>
      </c>
      <c r="P14" s="36">
        <f>VLOOKUP($A14,[16]HISTONOV22!$A$6:$AU$39,23,0)</f>
        <v>0</v>
      </c>
      <c r="Q14" s="36">
        <f>VLOOKUP($A14,[16]HISTONOV22!$A$6:$AU$39,46,0)</f>
        <v>0</v>
      </c>
      <c r="R14" s="36">
        <f>VLOOKUP($A14,[16]HISTONOV22!$A$6:$AU$39,26,0)</f>
        <v>0</v>
      </c>
      <c r="S14" s="36">
        <f>VLOOKUP($A14,[16]HISTONOV22!$A$6:$BG$39,58,0)</f>
        <v>0</v>
      </c>
      <c r="T14" s="36">
        <f>VLOOKUP($A14,[16]HISTONOV22!$A$6:$AU$39,28,0)</f>
        <v>0</v>
      </c>
      <c r="U14" s="36">
        <f>VLOOKUP($A14,[16]HISTONOV22!$A$6:$AU$39,19,0)</f>
        <v>0</v>
      </c>
      <c r="V14" s="36">
        <f>VLOOKUP($A14,[16]HISTONOV22!$A$6:$AU$39,20,0)</f>
        <v>0</v>
      </c>
      <c r="W14" s="36">
        <f>VLOOKUP($A14,[16]HISTONOV22!$A$6:$AU$39,27,0)</f>
        <v>0</v>
      </c>
      <c r="X14" s="36">
        <f>VLOOKUP($A14,[16]HISTONOV22!$A$6:$AU$39,33,0)</f>
        <v>0</v>
      </c>
      <c r="Y14" s="36">
        <f>VLOOKUP($A14,[16]HISTONOV22!$A$6:$BP$39,65,0)</f>
        <v>0</v>
      </c>
      <c r="Z14" s="36"/>
      <c r="AA14" s="36">
        <f>VLOOKUP($A14,[16]HISTONOV22!$A$6:$AU$39,43,0)</f>
        <v>0</v>
      </c>
      <c r="AB14" s="36">
        <f>VLOOKUP($A14,[16]HISTONOV22!$A$6:$AU$39,44,0)</f>
        <v>0</v>
      </c>
      <c r="AC14" s="36">
        <f>VLOOKUP($A14,[16]HISTONOV22!$A$6:$AU$39,47,0)</f>
        <v>0</v>
      </c>
      <c r="AD14" s="36">
        <f>VLOOKUP(A14,[16]HISTONOV22!$A$6:$BB$36,54,0)</f>
        <v>0</v>
      </c>
      <c r="AE14" s="36">
        <f>VLOOKUP($A14,[16]HISTONOV22!$A$6:$CA$36,60,0)</f>
        <v>0</v>
      </c>
      <c r="AF14" s="36">
        <f>VLOOKUP($A14,[16]HISTONOV22!$A$6:$CA$36,61,0)</f>
        <v>0</v>
      </c>
      <c r="AG14" s="36">
        <f>VLOOKUP($A14,[16]HISTONOV22!$A$6:$CA$36,62,0)</f>
        <v>0</v>
      </c>
      <c r="AH14" s="36">
        <f>VLOOKUP($A14,[16]HISTONOV22!$A$6:$CA$36,63,0)</f>
        <v>0</v>
      </c>
      <c r="AI14" s="36">
        <f>VLOOKUP($A14,[16]HISTONOV22!$A$6:$CA$36,64,0)</f>
        <v>0</v>
      </c>
      <c r="AJ14" s="36">
        <f>VLOOKUP($A14,[16]HISTONOV22!$A$6:$CA$36,65,0)</f>
        <v>0</v>
      </c>
    </row>
    <row r="15" spans="1:36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VLOOKUP($A15,[16]HISTONOV22!$A$6:$BA$39,48,0)</f>
        <v>0</v>
      </c>
      <c r="F15" s="5">
        <f>MVTOCT22!F15-MVTNOV22!E15</f>
        <v>570000</v>
      </c>
      <c r="G15" s="6">
        <f t="shared" si="1"/>
        <v>514.05978915044727</v>
      </c>
      <c r="H15" s="6">
        <f>MVTOCT22!H15+MVTOCT22!G15+K15</f>
        <v>669402.85606563604</v>
      </c>
      <c r="I15" s="36">
        <f>VLOOKUP($A15,[16]HISTONOV22!$A$6:$AQ$37,22,0)</f>
        <v>0</v>
      </c>
      <c r="J15" s="36">
        <f>VLOOKUP($A15,[16]HISTONOV22!$A$6:$AU$39,45,0)</f>
        <v>7000</v>
      </c>
      <c r="K15" s="36">
        <f t="shared" si="2"/>
        <v>3000</v>
      </c>
      <c r="L15" s="36">
        <f t="shared" si="3"/>
        <v>500</v>
      </c>
      <c r="M15" s="36">
        <f t="shared" si="4"/>
        <v>1000</v>
      </c>
      <c r="N15" s="36">
        <f t="shared" si="5"/>
        <v>2500</v>
      </c>
      <c r="O15" s="36">
        <f>VLOOKUP($A15,[16]HISTONOV22!$A$6:$AU$39,7,0)</f>
        <v>0</v>
      </c>
      <c r="P15" s="36">
        <f>VLOOKUP($A15,[16]HISTONOV22!$A$6:$AU$39,23,0)</f>
        <v>0</v>
      </c>
      <c r="Q15" s="36">
        <f>VLOOKUP($A15,[16]HISTONOV22!$A$6:$AU$39,46,0)</f>
        <v>0</v>
      </c>
      <c r="R15" s="36">
        <f>VLOOKUP($A15,[16]HISTONOV22!$A$6:$AU$39,26,0)</f>
        <v>0</v>
      </c>
      <c r="S15" s="36">
        <f>VLOOKUP($A15,[16]HISTONOV22!$A$6:$BG$39,58,0)</f>
        <v>0</v>
      </c>
      <c r="T15" s="36">
        <f>VLOOKUP($A15,[16]HISTONOV22!$A$6:$AU$39,28,0)</f>
        <v>0</v>
      </c>
      <c r="U15" s="36">
        <f>VLOOKUP($A15,[16]HISTONOV22!$A$6:$AU$39,19,0)</f>
        <v>0</v>
      </c>
      <c r="V15" s="36">
        <f>VLOOKUP($A15,[16]HISTONOV22!$A$6:$AU$39,20,0)</f>
        <v>0</v>
      </c>
      <c r="W15" s="36">
        <f>VLOOKUP($A15,[16]HISTONOV22!$A$6:$AU$39,27,0)</f>
        <v>0</v>
      </c>
      <c r="X15" s="36">
        <f>VLOOKUP($A15,[16]HISTONOV22!$A$6:$AU$39,33,0)</f>
        <v>0</v>
      </c>
      <c r="Y15" s="36">
        <f>VLOOKUP($A15,[16]HISTONOV22!$A$6:$BP$39,65,0)</f>
        <v>0</v>
      </c>
      <c r="Z15" s="36"/>
      <c r="AA15" s="36">
        <f>VLOOKUP($A15,[16]HISTONOV22!$A$6:$AU$39,43,0)</f>
        <v>0</v>
      </c>
      <c r="AB15" s="36">
        <f>VLOOKUP($A15,[16]HISTONOV22!$A$6:$AU$39,44,0)</f>
        <v>0</v>
      </c>
      <c r="AC15" s="36">
        <f>VLOOKUP($A15,[16]HISTONOV22!$A$6:$AU$39,47,0)</f>
        <v>0</v>
      </c>
      <c r="AD15" s="36">
        <f>VLOOKUP(A15,[16]HISTONOV22!$A$6:$BB$36,54,0)</f>
        <v>0</v>
      </c>
      <c r="AE15" s="36">
        <f>VLOOKUP($A15,[16]HISTONOV22!$A$6:$CA$36,60,0)</f>
        <v>0</v>
      </c>
      <c r="AF15" s="36">
        <f>VLOOKUP($A15,[16]HISTONOV22!$A$6:$CA$36,61,0)</f>
        <v>0</v>
      </c>
      <c r="AG15" s="36">
        <f>VLOOKUP($A15,[16]HISTONOV22!$A$6:$CA$36,62,0)</f>
        <v>0</v>
      </c>
      <c r="AH15" s="36">
        <f>VLOOKUP($A15,[16]HISTONOV22!$A$6:$CA$36,63,0)</f>
        <v>0</v>
      </c>
      <c r="AI15" s="36">
        <f>VLOOKUP($A15,[16]HISTONOV22!$A$6:$CA$36,64,0)</f>
        <v>0</v>
      </c>
      <c r="AJ15" s="36">
        <f>VLOOKUP($A15,[16]HISTONOV22!$A$6:$CA$36,65,0)</f>
        <v>0</v>
      </c>
    </row>
    <row r="16" spans="1:36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VLOOKUP($A16,[16]HISTONOV22!$A$6:$BA$39,48,0)</f>
        <v>500000</v>
      </c>
      <c r="F16" s="5">
        <f>MVTOCT22!F16-MVTNOV22!E16</f>
        <v>70000</v>
      </c>
      <c r="G16" s="6">
        <f t="shared" si="1"/>
        <v>531.28405689690703</v>
      </c>
      <c r="H16" s="6">
        <f>MVTOCT22!H16+MVTOCT22!G16+K16-E16</f>
        <v>691832.10314246779</v>
      </c>
      <c r="I16" s="36">
        <f>VLOOKUP($A16,[16]HISTONOV22!$A$6:$AQ$37,22,0)</f>
        <v>0</v>
      </c>
      <c r="J16" s="36">
        <f>VLOOKUP($A16,[16]HISTONOV22!$A$6:$AU$39,45,0)</f>
        <v>52000</v>
      </c>
      <c r="K16" s="36">
        <f t="shared" si="2"/>
        <v>48000</v>
      </c>
      <c r="L16" s="36">
        <f t="shared" si="3"/>
        <v>500</v>
      </c>
      <c r="M16" s="36">
        <f t="shared" si="4"/>
        <v>1000</v>
      </c>
      <c r="N16" s="36">
        <f t="shared" si="5"/>
        <v>2500</v>
      </c>
      <c r="O16" s="36">
        <f>VLOOKUP($A16,[16]HISTONOV22!$A$6:$AU$39,7,0)</f>
        <v>0</v>
      </c>
      <c r="P16" s="36">
        <f>VLOOKUP($A16,[16]HISTONOV22!$A$6:$AU$39,23,0)</f>
        <v>0</v>
      </c>
      <c r="Q16" s="36">
        <f>VLOOKUP($A16,[16]HISTONOV22!$A$6:$AU$39,46,0)</f>
        <v>0</v>
      </c>
      <c r="R16" s="36">
        <f>VLOOKUP($A16,[16]HISTONOV22!$A$6:$AU$39,26,0)</f>
        <v>1000000</v>
      </c>
      <c r="S16" s="36">
        <f>VLOOKUP($A16,[16]HISTONOV22!$A$6:$BG$39,58,0)</f>
        <v>10000</v>
      </c>
      <c r="T16" s="36">
        <f>VLOOKUP($A16,[16]HISTONOV22!$A$6:$AU$39,28,0)</f>
        <v>0</v>
      </c>
      <c r="U16" s="36">
        <f>VLOOKUP($A16,[16]HISTONOV22!$A$6:$AU$39,19,0)</f>
        <v>0</v>
      </c>
      <c r="V16" s="36">
        <f>VLOOKUP($A16,[16]HISTONOV22!$A$6:$AU$39,20,0)</f>
        <v>0</v>
      </c>
      <c r="W16" s="36" t="str">
        <f>VLOOKUP($A16,[16]HISTONOV22!$A$6:$AU$39,27,0)</f>
        <v>BANQUE</v>
      </c>
      <c r="X16" s="36">
        <f>VLOOKUP($A16,[16]HISTONOV22!$A$6:$AU$39,33,0)</f>
        <v>0</v>
      </c>
      <c r="Y16" s="36">
        <f>VLOOKUP($A16,[16]HISTONOV22!$A$6:$BP$39,65,0)</f>
        <v>0</v>
      </c>
      <c r="Z16" s="36"/>
      <c r="AA16" s="36">
        <f>VLOOKUP($A16,[16]HISTONOV22!$A$6:$AU$39,43,0)</f>
        <v>0</v>
      </c>
      <c r="AB16" s="36">
        <f>VLOOKUP($A16,[16]HISTONOV22!$A$6:$AU$39,44,0)</f>
        <v>0</v>
      </c>
      <c r="AC16" s="36">
        <f>VLOOKUP($A16,[16]HISTONOV22!$A$6:$AU$39,47,0)</f>
        <v>0</v>
      </c>
      <c r="AD16" s="36">
        <f>VLOOKUP(A16,[16]HISTONOV22!$A$6:$BB$36,54,0)</f>
        <v>0</v>
      </c>
      <c r="AE16" s="36">
        <f>VLOOKUP($A16,[16]HISTONOV22!$A$6:$CA$36,60,0)</f>
        <v>0</v>
      </c>
      <c r="AF16" s="36">
        <f>VLOOKUP($A16,[16]HISTONOV22!$A$6:$CA$36,61,0)</f>
        <v>0</v>
      </c>
      <c r="AG16" s="36">
        <f>VLOOKUP($A16,[16]HISTONOV22!$A$6:$CA$36,62,0)</f>
        <v>0</v>
      </c>
      <c r="AH16" s="36">
        <f>VLOOKUP($A16,[16]HISTONOV22!$A$6:$CA$36,63,0)</f>
        <v>0</v>
      </c>
      <c r="AI16" s="36">
        <f>VLOOKUP($A16,[16]HISTONOV22!$A$6:$CA$36,64,0)</f>
        <v>0</v>
      </c>
      <c r="AJ16" s="36">
        <f>VLOOKUP($A16,[16]HISTONOV22!$A$6:$CA$36,65,0)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VLOOKUP($A17,[16]HISTONOV22!$A$6:$BA$39,48,0)</f>
        <v>0</v>
      </c>
      <c r="F17" s="5">
        <f>MVTOCT22!F17-MVTNOV22!E17</f>
        <v>570000</v>
      </c>
      <c r="G17" s="6">
        <f t="shared" si="1"/>
        <v>515.73717396591701</v>
      </c>
      <c r="H17" s="6">
        <f>MVTOCT22!H17+MVTOCT22!G17+K17</f>
        <v>671587.12764239614</v>
      </c>
      <c r="I17" s="36">
        <f>VLOOKUP($A17,[16]HISTONOV22!$A$6:$AQ$37,22,0)</f>
        <v>0</v>
      </c>
      <c r="J17" s="36">
        <f>VLOOKUP($A17,[16]HISTONOV22!$A$6:$AU$39,45,0)</f>
        <v>7000</v>
      </c>
      <c r="K17" s="36">
        <f t="shared" si="2"/>
        <v>3000</v>
      </c>
      <c r="L17" s="36">
        <f t="shared" si="3"/>
        <v>500</v>
      </c>
      <c r="M17" s="36">
        <f t="shared" si="4"/>
        <v>1000</v>
      </c>
      <c r="N17" s="36">
        <f t="shared" si="5"/>
        <v>2500</v>
      </c>
      <c r="O17" s="36">
        <f>VLOOKUP($A17,[16]HISTONOV22!$A$6:$AU$39,7,0)</f>
        <v>0</v>
      </c>
      <c r="P17" s="36">
        <f>VLOOKUP($A17,[16]HISTONOV22!$A$6:$AU$39,23,0)</f>
        <v>0</v>
      </c>
      <c r="Q17" s="36">
        <f>VLOOKUP($A17,[16]HISTONOV22!$A$6:$AU$39,46,0)</f>
        <v>0</v>
      </c>
      <c r="R17" s="36">
        <f>VLOOKUP($A17,[16]HISTONOV22!$A$6:$AU$39,26,0)</f>
        <v>700000</v>
      </c>
      <c r="S17" s="36">
        <f>VLOOKUP($A17,[16]HISTONOV22!$A$6:$BG$39,58,0)</f>
        <v>7000</v>
      </c>
      <c r="T17" s="36">
        <f>VLOOKUP($A17,[16]HISTONOV22!$A$6:$AU$39,28,0)</f>
        <v>0</v>
      </c>
      <c r="U17" s="36">
        <f>VLOOKUP($A17,[16]HISTONOV22!$A$6:$AU$39,19,0)</f>
        <v>0</v>
      </c>
      <c r="V17" s="36">
        <f>VLOOKUP($A17,[16]HISTONOV22!$A$6:$AU$39,20,0)</f>
        <v>0</v>
      </c>
      <c r="W17" s="36" t="str">
        <f>VLOOKUP($A17,[16]HISTONOV22!$A$6:$AU$39,27,0)</f>
        <v>BANQUE</v>
      </c>
      <c r="X17" s="36">
        <f>VLOOKUP($A17,[16]HISTONOV22!$A$6:$AU$39,33,0)</f>
        <v>0</v>
      </c>
      <c r="Y17" s="36">
        <f>VLOOKUP($A17,[16]HISTONOV22!$A$6:$BP$39,65,0)</f>
        <v>0</v>
      </c>
      <c r="Z17" s="36"/>
      <c r="AA17" s="36">
        <f>VLOOKUP($A17,[16]HISTONOV22!$A$6:$AU$39,43,0)</f>
        <v>0</v>
      </c>
      <c r="AB17" s="36">
        <f>VLOOKUP($A17,[16]HISTONOV22!$A$6:$AU$39,44,0)</f>
        <v>0</v>
      </c>
      <c r="AC17" s="36">
        <f>VLOOKUP($A17,[16]HISTONOV22!$A$6:$AU$39,47,0)</f>
        <v>0</v>
      </c>
      <c r="AD17" s="36">
        <f>VLOOKUP(A17,[16]HISTONOV22!$A$6:$BB$36,54,0)</f>
        <v>0</v>
      </c>
      <c r="AE17" s="36">
        <f>VLOOKUP($A17,[16]HISTONOV22!$A$6:$CA$36,60,0)</f>
        <v>0</v>
      </c>
      <c r="AF17" s="36">
        <f>VLOOKUP($A17,[16]HISTONOV22!$A$6:$CA$36,61,0)</f>
        <v>0</v>
      </c>
      <c r="AG17" s="36">
        <f>VLOOKUP($A17,[16]HISTONOV22!$A$6:$CA$36,62,0)</f>
        <v>0</v>
      </c>
      <c r="AH17" s="36">
        <f>VLOOKUP($A17,[16]HISTONOV22!$A$6:$CA$36,63,0)</f>
        <v>0</v>
      </c>
      <c r="AI17" s="36">
        <f>VLOOKUP($A17,[16]HISTONOV22!$A$6:$CA$36,64,0)</f>
        <v>0</v>
      </c>
      <c r="AJ17" s="36">
        <f>VLOOKUP($A17,[16]HISTONOV22!$A$6:$CA$36,65,0)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VLOOKUP($A18,[16]HISTONOV22!$A$6:$BA$39,48,0)</f>
        <v>0</v>
      </c>
      <c r="F18" s="5">
        <f>MVTOCT22!F18-MVTNOV22!E18</f>
        <v>570000</v>
      </c>
      <c r="G18" s="6">
        <f t="shared" si="1"/>
        <v>518.17364139466565</v>
      </c>
      <c r="H18" s="6">
        <f>MVTOCT22!H18+MVTOCT22!G18+K18</f>
        <v>674759.86803162331</v>
      </c>
      <c r="I18" s="36">
        <f>VLOOKUP($A18,[16]HISTONOV22!$A$6:$AQ$37,22,0)</f>
        <v>0</v>
      </c>
      <c r="J18" s="36">
        <f>VLOOKUP($A18,[16]HISTONOV22!$A$6:$AU$39,45,0)</f>
        <v>8500</v>
      </c>
      <c r="K18" s="36">
        <f t="shared" si="2"/>
        <v>4500</v>
      </c>
      <c r="L18" s="36">
        <f t="shared" si="3"/>
        <v>500</v>
      </c>
      <c r="M18" s="36">
        <f t="shared" si="4"/>
        <v>1000</v>
      </c>
      <c r="N18" s="36">
        <f t="shared" si="5"/>
        <v>2500</v>
      </c>
      <c r="O18" s="36">
        <f>VLOOKUP($A18,[16]HISTONOV22!$A$6:$AU$39,7,0)</f>
        <v>0</v>
      </c>
      <c r="P18" s="36">
        <f>VLOOKUP($A18,[16]HISTONOV22!$A$6:$AU$39,23,0)</f>
        <v>0</v>
      </c>
      <c r="Q18" s="36">
        <f>VLOOKUP($A18,[16]HISTONOV22!$A$6:$AU$39,46,0)</f>
        <v>0</v>
      </c>
      <c r="R18" s="36">
        <f>VLOOKUP($A18,[16]HISTONOV22!$A$6:$AU$39,26,0)</f>
        <v>0</v>
      </c>
      <c r="S18" s="36">
        <f>VLOOKUP($A18,[16]HISTONOV22!$A$6:$BG$39,58,0)</f>
        <v>0</v>
      </c>
      <c r="T18" s="36">
        <f>VLOOKUP($A18,[16]HISTONOV22!$A$6:$AU$39,28,0)</f>
        <v>0</v>
      </c>
      <c r="U18" s="36">
        <f>VLOOKUP($A18,[16]HISTONOV22!$A$6:$AU$39,19,0)</f>
        <v>0</v>
      </c>
      <c r="V18" s="36">
        <f>VLOOKUP($A18,[16]HISTONOV22!$A$6:$AU$39,20,0)</f>
        <v>0</v>
      </c>
      <c r="W18" s="36">
        <f>VLOOKUP($A18,[16]HISTONOV22!$A$6:$AU$39,27,0)</f>
        <v>0</v>
      </c>
      <c r="X18" s="36">
        <f>VLOOKUP($A18,[16]HISTONOV22!$A$6:$AU$39,33,0)</f>
        <v>0</v>
      </c>
      <c r="Y18" s="36">
        <f>VLOOKUP($A18,[16]HISTONOV22!$A$6:$BP$39,65,0)</f>
        <v>0</v>
      </c>
      <c r="Z18" s="36"/>
      <c r="AA18" s="36">
        <f>VLOOKUP($A18,[16]HISTONOV22!$A$6:$AU$39,43,0)</f>
        <v>0</v>
      </c>
      <c r="AB18" s="36">
        <f>VLOOKUP($A18,[16]HISTONOV22!$A$6:$AU$39,44,0)</f>
        <v>0</v>
      </c>
      <c r="AC18" s="36">
        <f>VLOOKUP($A18,[16]HISTONOV22!$A$6:$AU$39,47,0)</f>
        <v>0</v>
      </c>
      <c r="AD18" s="36">
        <f>VLOOKUP(A18,[16]HISTONOV22!$A$6:$BB$36,54,0)</f>
        <v>0</v>
      </c>
      <c r="AE18" s="36">
        <f>VLOOKUP($A18,[16]HISTONOV22!$A$6:$CA$36,60,0)</f>
        <v>0</v>
      </c>
      <c r="AF18" s="36">
        <f>VLOOKUP($A18,[16]HISTONOV22!$A$6:$CA$36,61,0)</f>
        <v>0</v>
      </c>
      <c r="AG18" s="36">
        <f>VLOOKUP($A18,[16]HISTONOV22!$A$6:$CA$36,62,0)</f>
        <v>0</v>
      </c>
      <c r="AH18" s="36">
        <f>VLOOKUP($A18,[16]HISTONOV22!$A$6:$CA$36,63,0)</f>
        <v>0</v>
      </c>
      <c r="AI18" s="36">
        <f>VLOOKUP($A18,[16]HISTONOV22!$A$6:$CA$36,64,0)</f>
        <v>0</v>
      </c>
      <c r="AJ18" s="36">
        <f>VLOOKUP($A18,[16]HISTONOV22!$A$6:$CA$36,65,0)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VLOOKUP($A19,[16]HISTONOV22!$A$6:$BA$39,48,0)</f>
        <v>0</v>
      </c>
      <c r="F19" s="5">
        <f>MVTOCT22!F19-MVTNOV22!E19</f>
        <v>570000</v>
      </c>
      <c r="G19" s="6">
        <f t="shared" si="1"/>
        <v>511.4703922007522</v>
      </c>
      <c r="H19" s="6">
        <f>MVTOCT22!H19+MVTOCT22!G19+K19</f>
        <v>666030.97258010204</v>
      </c>
      <c r="I19" s="36">
        <f>VLOOKUP($A19,[16]HISTONOV22!$A$6:$AQ$37,22,0)</f>
        <v>0</v>
      </c>
      <c r="J19" s="36">
        <f>VLOOKUP($A19,[16]HISTONOV22!$A$6:$AU$39,45,0)</f>
        <v>7000</v>
      </c>
      <c r="K19" s="36">
        <f t="shared" si="2"/>
        <v>3000</v>
      </c>
      <c r="L19" s="36">
        <f t="shared" si="3"/>
        <v>500</v>
      </c>
      <c r="M19" s="36">
        <f t="shared" si="4"/>
        <v>1000</v>
      </c>
      <c r="N19" s="36">
        <f t="shared" si="5"/>
        <v>2500</v>
      </c>
      <c r="O19" s="36">
        <f>VLOOKUP($A19,[16]HISTONOV22!$A$6:$AU$39,7,0)</f>
        <v>0</v>
      </c>
      <c r="P19" s="36">
        <f>VLOOKUP($A19,[16]HISTONOV22!$A$6:$AU$39,23,0)</f>
        <v>0</v>
      </c>
      <c r="Q19" s="36">
        <f>VLOOKUP($A19,[16]HISTONOV22!$A$6:$AU$39,46,0)</f>
        <v>0</v>
      </c>
      <c r="R19" s="36">
        <f>VLOOKUP($A19,[16]HISTONOV22!$A$6:$AU$39,26,0)</f>
        <v>0</v>
      </c>
      <c r="S19" s="36">
        <f>VLOOKUP($A19,[16]HISTONOV22!$A$6:$BG$39,58,0)</f>
        <v>0</v>
      </c>
      <c r="T19" s="36">
        <f>VLOOKUP($A19,[16]HISTONOV22!$A$6:$AU$39,28,0)</f>
        <v>0</v>
      </c>
      <c r="U19" s="36">
        <f>VLOOKUP($A19,[16]HISTONOV22!$A$6:$AU$39,19,0)</f>
        <v>0</v>
      </c>
      <c r="V19" s="36">
        <f>VLOOKUP($A19,[16]HISTONOV22!$A$6:$AU$39,20,0)</f>
        <v>0</v>
      </c>
      <c r="W19" s="36">
        <f>VLOOKUP($A19,[16]HISTONOV22!$A$6:$AU$39,27,0)</f>
        <v>0</v>
      </c>
      <c r="X19" s="36">
        <f>VLOOKUP($A19,[16]HISTONOV22!$A$6:$AU$39,33,0)</f>
        <v>0</v>
      </c>
      <c r="Y19" s="36">
        <f>VLOOKUP($A19,[16]HISTONOV22!$A$6:$BP$39,65,0)</f>
        <v>0</v>
      </c>
      <c r="Z19" s="36"/>
      <c r="AA19" s="36">
        <f>VLOOKUP($A19,[16]HISTONOV22!$A$6:$AU$39,43,0)</f>
        <v>0</v>
      </c>
      <c r="AB19" s="36">
        <f>VLOOKUP($A19,[16]HISTONOV22!$A$6:$AU$39,44,0)</f>
        <v>0</v>
      </c>
      <c r="AC19" s="36">
        <f>VLOOKUP($A19,[16]HISTONOV22!$A$6:$AU$39,47,0)</f>
        <v>0</v>
      </c>
      <c r="AD19" s="36">
        <f>VLOOKUP(A19,[16]HISTONOV22!$A$6:$BB$36,54,0)</f>
        <v>0</v>
      </c>
      <c r="AE19" s="36">
        <f>VLOOKUP($A19,[16]HISTONOV22!$A$6:$CA$36,60,0)</f>
        <v>0</v>
      </c>
      <c r="AF19" s="36">
        <f>VLOOKUP($A19,[16]HISTONOV22!$A$6:$CA$36,61,0)</f>
        <v>0</v>
      </c>
      <c r="AG19" s="36">
        <f>VLOOKUP($A19,[16]HISTONOV22!$A$6:$CA$36,62,0)</f>
        <v>0</v>
      </c>
      <c r="AH19" s="36">
        <f>VLOOKUP($A19,[16]HISTONOV22!$A$6:$CA$36,63,0)</f>
        <v>0</v>
      </c>
      <c r="AI19" s="36">
        <f>VLOOKUP($A19,[16]HISTONOV22!$A$6:$CA$36,64,0)</f>
        <v>0</v>
      </c>
      <c r="AJ19" s="36">
        <f>VLOOKUP($A19,[16]HISTONOV22!$A$6:$CA$36,65,0)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VLOOKUP($A20,[16]HISTONOV22!$A$6:$BA$39,48,0)</f>
        <v>0</v>
      </c>
      <c r="F20" s="5">
        <f>MVTOCT22!F20-MVTNOV22!E20</f>
        <v>570000</v>
      </c>
      <c r="G20" s="6">
        <f t="shared" si="1"/>
        <v>511.23077928570024</v>
      </c>
      <c r="H20" s="6">
        <f>MVTOCT22!H20+MVTOCT22!G20+K20</f>
        <v>665718.95134624699</v>
      </c>
      <c r="I20" s="36">
        <f>VLOOKUP($A20,[16]HISTONOV22!$A$6:$AQ$37,22,0)</f>
        <v>0</v>
      </c>
      <c r="J20" s="36">
        <f>VLOOKUP($A20,[16]HISTONOV22!$A$6:$AU$39,45,0)</f>
        <v>7000</v>
      </c>
      <c r="K20" s="36">
        <f t="shared" si="2"/>
        <v>3000</v>
      </c>
      <c r="L20" s="36">
        <f t="shared" si="3"/>
        <v>500</v>
      </c>
      <c r="M20" s="36">
        <f t="shared" si="4"/>
        <v>1000</v>
      </c>
      <c r="N20" s="36">
        <f t="shared" si="5"/>
        <v>2500</v>
      </c>
      <c r="O20" s="36">
        <f>VLOOKUP($A20,[16]HISTONOV22!$A$6:$AU$39,7,0)</f>
        <v>0</v>
      </c>
      <c r="P20" s="36">
        <f>VLOOKUP($A20,[16]HISTONOV22!$A$6:$AU$39,23,0)</f>
        <v>0</v>
      </c>
      <c r="Q20" s="36">
        <f>VLOOKUP($A20,[16]HISTONOV22!$A$6:$AU$39,46,0)</f>
        <v>0</v>
      </c>
      <c r="R20" s="36">
        <f>VLOOKUP($A20,[16]HISTONOV22!$A$6:$AU$39,26,0)</f>
        <v>0</v>
      </c>
      <c r="S20" s="36">
        <f>VLOOKUP($A20,[16]HISTONOV22!$A$6:$BG$39,58,0)</f>
        <v>0</v>
      </c>
      <c r="T20" s="36">
        <f>VLOOKUP($A20,[16]HISTONOV22!$A$6:$AU$39,28,0)</f>
        <v>0</v>
      </c>
      <c r="U20" s="36">
        <f>VLOOKUP($A20,[16]HISTONOV22!$A$6:$AU$39,19,0)</f>
        <v>0</v>
      </c>
      <c r="V20" s="36">
        <f>VLOOKUP($A20,[16]HISTONOV22!$A$6:$AU$39,20,0)</f>
        <v>0</v>
      </c>
      <c r="W20" s="36">
        <f>VLOOKUP($A20,[16]HISTONOV22!$A$6:$AU$39,27,0)</f>
        <v>0</v>
      </c>
      <c r="X20" s="36">
        <f>VLOOKUP($A20,[16]HISTONOV22!$A$6:$AU$39,33,0)</f>
        <v>0</v>
      </c>
      <c r="Y20" s="36">
        <f>VLOOKUP($A20,[16]HISTONOV22!$A$6:$BP$39,65,0)</f>
        <v>0</v>
      </c>
      <c r="Z20" s="36"/>
      <c r="AA20" s="36">
        <f>VLOOKUP($A20,[16]HISTONOV22!$A$6:$AU$39,43,0)</f>
        <v>0</v>
      </c>
      <c r="AB20" s="36">
        <f>VLOOKUP($A20,[16]HISTONOV22!$A$6:$AU$39,44,0)</f>
        <v>0</v>
      </c>
      <c r="AC20" s="36">
        <f>VLOOKUP($A20,[16]HISTONOV22!$A$6:$AU$39,47,0)</f>
        <v>0</v>
      </c>
      <c r="AD20" s="36">
        <f>VLOOKUP(A20,[16]HISTONOV22!$A$6:$BB$36,54,0)</f>
        <v>0</v>
      </c>
      <c r="AE20" s="36">
        <f>VLOOKUP($A20,[16]HISTONOV22!$A$6:$CA$36,60,0)</f>
        <v>0</v>
      </c>
      <c r="AF20" s="36">
        <f>VLOOKUP($A20,[16]HISTONOV22!$A$6:$CA$36,61,0)</f>
        <v>0</v>
      </c>
      <c r="AG20" s="36">
        <f>VLOOKUP($A20,[16]HISTONOV22!$A$6:$CA$36,62,0)</f>
        <v>0</v>
      </c>
      <c r="AH20" s="36">
        <f>VLOOKUP($A20,[16]HISTONOV22!$A$6:$CA$36,63,0)</f>
        <v>0</v>
      </c>
      <c r="AI20" s="36">
        <f>VLOOKUP($A20,[16]HISTONOV22!$A$6:$CA$36,64,0)</f>
        <v>0</v>
      </c>
      <c r="AJ20" s="36">
        <f>VLOOKUP($A20,[16]HISTONOV22!$A$6:$CA$36,65,0)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VLOOKUP($A21,[16]HISTONOV22!$A$6:$BA$39,48,0)</f>
        <v>0</v>
      </c>
      <c r="F21" s="5">
        <f>MVTOCT22!F21-MVTNOV22!E21</f>
        <v>570000</v>
      </c>
      <c r="G21" s="6">
        <f t="shared" si="1"/>
        <v>537.31633554460814</v>
      </c>
      <c r="H21" s="6">
        <f>MVTOCT22!H21+MVTOCT22!G21+K21</f>
        <v>699687.26832087687</v>
      </c>
      <c r="I21" s="36">
        <f>VLOOKUP($A21,[16]HISTONOV22!$A$6:$AQ$37,22,0)</f>
        <v>0</v>
      </c>
      <c r="J21" s="36">
        <f>VLOOKUP($A21,[16]HISTONOV22!$A$6:$AU$39,45,0)</f>
        <v>7000</v>
      </c>
      <c r="K21" s="36">
        <f t="shared" si="2"/>
        <v>3000</v>
      </c>
      <c r="L21" s="36">
        <f t="shared" si="3"/>
        <v>500</v>
      </c>
      <c r="M21" s="36">
        <f t="shared" si="4"/>
        <v>1000</v>
      </c>
      <c r="N21" s="36">
        <f t="shared" si="5"/>
        <v>2500</v>
      </c>
      <c r="O21" s="36">
        <f>VLOOKUP($A21,[16]HISTONOV22!$A$6:$AU$39,7,0)</f>
        <v>0</v>
      </c>
      <c r="P21" s="36">
        <f>VLOOKUP($A21,[16]HISTONOV22!$A$6:$AU$39,23,0)</f>
        <v>0</v>
      </c>
      <c r="Q21" s="36">
        <f>VLOOKUP($A21,[16]HISTONOV22!$A$6:$AU$39,46,0)</f>
        <v>0</v>
      </c>
      <c r="R21" s="36">
        <f>VLOOKUP($A21,[16]HISTONOV22!$A$6:$AU$39,26,0)</f>
        <v>0</v>
      </c>
      <c r="S21" s="36">
        <f>VLOOKUP($A21,[16]HISTONOV22!$A$6:$BG$39,58,0)</f>
        <v>0</v>
      </c>
      <c r="T21" s="36">
        <f>VLOOKUP($A21,[16]HISTONOV22!$A$6:$AU$39,28,0)</f>
        <v>0</v>
      </c>
      <c r="U21" s="36">
        <f>VLOOKUP($A21,[16]HISTONOV22!$A$6:$AU$39,19,0)</f>
        <v>0</v>
      </c>
      <c r="V21" s="36">
        <f>VLOOKUP($A21,[16]HISTONOV22!$A$6:$AU$39,20,0)</f>
        <v>0</v>
      </c>
      <c r="W21" s="36">
        <f>VLOOKUP($A21,[16]HISTONOV22!$A$6:$AU$39,27,0)</f>
        <v>0</v>
      </c>
      <c r="X21" s="36">
        <f>VLOOKUP($A21,[16]HISTONOV22!$A$6:$AU$39,33,0)</f>
        <v>0</v>
      </c>
      <c r="Y21" s="36">
        <f>VLOOKUP($A21,[16]HISTONOV22!$A$6:$BP$39,65,0)</f>
        <v>0</v>
      </c>
      <c r="Z21" s="36"/>
      <c r="AA21" s="36">
        <f>VLOOKUP($A21,[16]HISTONOV22!$A$6:$AU$39,43,0)</f>
        <v>0</v>
      </c>
      <c r="AB21" s="36">
        <f>VLOOKUP($A21,[16]HISTONOV22!$A$6:$AU$39,44,0)</f>
        <v>0</v>
      </c>
      <c r="AC21" s="36">
        <f>VLOOKUP($A21,[16]HISTONOV22!$A$6:$AU$39,47,0)</f>
        <v>0</v>
      </c>
      <c r="AD21" s="36">
        <f>VLOOKUP(A21,[16]HISTONOV22!$A$6:$BB$36,54,0)</f>
        <v>70000</v>
      </c>
      <c r="AE21" s="36">
        <f>VLOOKUP($A21,[16]HISTONOV22!$A$6:$CA$36,60,0)</f>
        <v>0</v>
      </c>
      <c r="AF21" s="36">
        <f>VLOOKUP($A21,[16]HISTONOV22!$A$6:$CA$36,61,0)</f>
        <v>0</v>
      </c>
      <c r="AG21" s="36">
        <f>VLOOKUP($A21,[16]HISTONOV22!$A$6:$CA$36,62,0)</f>
        <v>0</v>
      </c>
      <c r="AH21" s="36">
        <f>VLOOKUP($A21,[16]HISTONOV22!$A$6:$CA$36,63,0)</f>
        <v>0</v>
      </c>
      <c r="AI21" s="36">
        <f>VLOOKUP($A21,[16]HISTONOV22!$A$6:$CA$36,64,0)</f>
        <v>0</v>
      </c>
      <c r="AJ21" s="36">
        <f>VLOOKUP($A21,[16]HISTONOV22!$A$6:$CA$36,65,0)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VLOOKUP($A22,[16]HISTONOV22!$A$6:$BA$39,48,0)</f>
        <v>0</v>
      </c>
      <c r="F22" s="5">
        <f>MVTOCT22!F22-MVTNOV22!E22</f>
        <v>570000</v>
      </c>
      <c r="G22" s="6">
        <f t="shared" si="1"/>
        <v>583.14930967329497</v>
      </c>
      <c r="H22" s="6">
        <f>MVTOCT22!H22+MVTOCT22!G22+K22</f>
        <v>759370.44998818706</v>
      </c>
      <c r="I22" s="36">
        <f>VLOOKUP($A22,[16]HISTONOV22!$A$6:$AQ$37,22,0)</f>
        <v>0</v>
      </c>
      <c r="J22" s="36">
        <f>VLOOKUP($A22,[16]HISTONOV22!$A$6:$AU$39,45,0)</f>
        <v>7000</v>
      </c>
      <c r="K22" s="36">
        <f t="shared" si="2"/>
        <v>3000</v>
      </c>
      <c r="L22" s="36">
        <f t="shared" si="3"/>
        <v>500</v>
      </c>
      <c r="M22" s="36">
        <f t="shared" si="4"/>
        <v>1000</v>
      </c>
      <c r="N22" s="36">
        <f t="shared" si="5"/>
        <v>2500</v>
      </c>
      <c r="O22" s="36">
        <f>VLOOKUP($A22,[16]HISTONOV22!$A$6:$AU$39,7,0)</f>
        <v>0</v>
      </c>
      <c r="P22" s="36">
        <f>VLOOKUP($A22,[16]HISTONOV22!$A$6:$AU$39,23,0)</f>
        <v>0</v>
      </c>
      <c r="Q22" s="36">
        <f>VLOOKUP($A22,[16]HISTONOV22!$A$6:$AU$39,46,0)</f>
        <v>0</v>
      </c>
      <c r="R22" s="36">
        <f>VLOOKUP($A22,[16]HISTONOV22!$A$6:$AU$39,26,0)</f>
        <v>0</v>
      </c>
      <c r="S22" s="36">
        <f>VLOOKUP($A22,[16]HISTONOV22!$A$6:$BG$39,58,0)</f>
        <v>0</v>
      </c>
      <c r="T22" s="36">
        <f>VLOOKUP($A22,[16]HISTONOV22!$A$6:$AU$39,28,0)</f>
        <v>0</v>
      </c>
      <c r="U22" s="36">
        <f>VLOOKUP($A22,[16]HISTONOV22!$A$6:$AU$39,19,0)</f>
        <v>0</v>
      </c>
      <c r="V22" s="36">
        <f>VLOOKUP($A22,[16]HISTONOV22!$A$6:$AU$39,20,0)</f>
        <v>0</v>
      </c>
      <c r="W22" s="36">
        <f>VLOOKUP($A22,[16]HISTONOV22!$A$6:$AU$39,27,0)</f>
        <v>0</v>
      </c>
      <c r="X22" s="36">
        <f>VLOOKUP($A22,[16]HISTONOV22!$A$6:$AU$39,33,0)</f>
        <v>0</v>
      </c>
      <c r="Y22" s="36">
        <f>VLOOKUP($A22,[16]HISTONOV22!$A$6:$BP$39,65,0)</f>
        <v>0</v>
      </c>
      <c r="Z22" s="36"/>
      <c r="AA22" s="36">
        <f>VLOOKUP($A22,[16]HISTONOV22!$A$6:$AU$39,43,0)</f>
        <v>0</v>
      </c>
      <c r="AB22" s="36">
        <f>VLOOKUP($A22,[16]HISTONOV22!$A$6:$AU$39,44,0)</f>
        <v>0</v>
      </c>
      <c r="AC22" s="36">
        <f>VLOOKUP($A22,[16]HISTONOV22!$A$6:$AU$39,47,0)</f>
        <v>0</v>
      </c>
      <c r="AD22" s="36">
        <f>VLOOKUP(A22,[16]HISTONOV22!$A$6:$BB$36,54,0)</f>
        <v>0</v>
      </c>
      <c r="AE22" s="36">
        <f>VLOOKUP($A22,[16]HISTONOV22!$A$6:$CA$36,60,0)</f>
        <v>0</v>
      </c>
      <c r="AF22" s="36">
        <f>VLOOKUP($A22,[16]HISTONOV22!$A$6:$CA$36,61,0)</f>
        <v>0</v>
      </c>
      <c r="AG22" s="36">
        <f>VLOOKUP($A22,[16]HISTONOV22!$A$6:$CA$36,62,0)</f>
        <v>0</v>
      </c>
      <c r="AH22" s="36">
        <f>VLOOKUP($A22,[16]HISTONOV22!$A$6:$CA$36,63,0)</f>
        <v>0</v>
      </c>
      <c r="AI22" s="36">
        <f>VLOOKUP($A22,[16]HISTONOV22!$A$6:$CA$36,64,0)</f>
        <v>0</v>
      </c>
      <c r="AJ22" s="36">
        <f>VLOOKUP($A22,[16]HISTONOV22!$A$6:$CA$36,65,0)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VLOOKUP($A23,[16]HISTONOV22!$A$6:$BA$39,48,0)</f>
        <v>0</v>
      </c>
      <c r="F23" s="5">
        <f>MVTOCT22!F23-MVTNOV22!E23</f>
        <v>570000</v>
      </c>
      <c r="G23" s="6">
        <f t="shared" si="1"/>
        <v>754.25285008559069</v>
      </c>
      <c r="H23" s="6">
        <f>MVTOCT22!H23+MVTOCT22!G23+K23</f>
        <v>982179.54934260424</v>
      </c>
      <c r="I23" s="36">
        <f>VLOOKUP($A23,[16]HISTONOV22!$A$6:$AQ$37,22,0)</f>
        <v>0</v>
      </c>
      <c r="J23" s="36">
        <f>VLOOKUP($A23,[16]HISTONOV22!$A$6:$AU$39,45,0)</f>
        <v>17000</v>
      </c>
      <c r="K23" s="36">
        <f t="shared" si="2"/>
        <v>13000</v>
      </c>
      <c r="L23" s="36">
        <f t="shared" si="3"/>
        <v>500</v>
      </c>
      <c r="M23" s="36">
        <f t="shared" si="4"/>
        <v>1000</v>
      </c>
      <c r="N23" s="36">
        <f t="shared" si="5"/>
        <v>2500</v>
      </c>
      <c r="O23" s="36">
        <f>VLOOKUP($A23,[16]HISTONOV22!$A$6:$AU$39,7,0)</f>
        <v>0</v>
      </c>
      <c r="P23" s="36">
        <f>VLOOKUP($A23,[16]HISTONOV22!$A$6:$AU$39,23,0)</f>
        <v>0</v>
      </c>
      <c r="Q23" s="36">
        <f>VLOOKUP($A23,[16]HISTONOV22!$A$6:$AU$39,46,0)</f>
        <v>0</v>
      </c>
      <c r="R23" s="36">
        <f>VLOOKUP($A23,[16]HISTONOV22!$A$6:$AU$39,26,0)</f>
        <v>0</v>
      </c>
      <c r="S23" s="36">
        <f>VLOOKUP($A23,[16]HISTONOV22!$A$6:$BG$39,58,0)</f>
        <v>0</v>
      </c>
      <c r="T23" s="36">
        <f>VLOOKUP($A23,[16]HISTONOV22!$A$6:$AU$39,28,0)</f>
        <v>0</v>
      </c>
      <c r="U23" s="36">
        <f>VLOOKUP($A23,[16]HISTONOV22!$A$6:$AU$39,19,0)</f>
        <v>0</v>
      </c>
      <c r="V23" s="36">
        <f>VLOOKUP($A23,[16]HISTONOV22!$A$6:$AU$39,20,0)</f>
        <v>0</v>
      </c>
      <c r="W23" s="36">
        <f>VLOOKUP($A23,[16]HISTONOV22!$A$6:$AU$39,27,0)</f>
        <v>0</v>
      </c>
      <c r="X23" s="36">
        <f>VLOOKUP($A23,[16]HISTONOV22!$A$6:$AU$39,33,0)</f>
        <v>0</v>
      </c>
      <c r="Y23" s="36">
        <f>VLOOKUP($A23,[16]HISTONOV22!$A$6:$BP$39,65,0)</f>
        <v>0</v>
      </c>
      <c r="Z23" s="36"/>
      <c r="AA23" s="36">
        <f>VLOOKUP($A23,[16]HISTONOV22!$A$6:$AU$39,43,0)</f>
        <v>0</v>
      </c>
      <c r="AB23" s="36">
        <f>VLOOKUP($A23,[16]HISTONOV22!$A$6:$AU$39,44,0)</f>
        <v>0</v>
      </c>
      <c r="AC23" s="36">
        <f>VLOOKUP($A23,[16]HISTONOV22!$A$6:$AU$39,47,0)</f>
        <v>0</v>
      </c>
      <c r="AD23" s="36">
        <f>VLOOKUP(A23,[16]HISTONOV22!$A$6:$BB$36,54,0)</f>
        <v>0</v>
      </c>
      <c r="AE23" s="36">
        <f>VLOOKUP($A23,[16]HISTONOV22!$A$6:$CA$36,60,0)</f>
        <v>0</v>
      </c>
      <c r="AF23" s="36">
        <f>VLOOKUP($A23,[16]HISTONOV22!$A$6:$CA$36,61,0)</f>
        <v>0</v>
      </c>
      <c r="AG23" s="36">
        <f>VLOOKUP($A23,[16]HISTONOV22!$A$6:$CA$36,62,0)</f>
        <v>0</v>
      </c>
      <c r="AH23" s="36">
        <f>VLOOKUP($A23,[16]HISTONOV22!$A$6:$CA$36,63,0)</f>
        <v>0</v>
      </c>
      <c r="AI23" s="36">
        <f>VLOOKUP($A23,[16]HISTONOV22!$A$6:$CA$36,64,0)</f>
        <v>0</v>
      </c>
      <c r="AJ23" s="36">
        <f>VLOOKUP($A23,[16]HISTONOV22!$A$6:$CA$36,65,0)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VLOOKUP($A24,[16]HISTONOV22!$A$6:$BA$39,48,0)</f>
        <v>0</v>
      </c>
      <c r="F24" s="5">
        <f>MVTOCT22!F24-MVTNOV22!E24</f>
        <v>570000</v>
      </c>
      <c r="G24" s="6">
        <f t="shared" si="1"/>
        <v>593.86894346857696</v>
      </c>
      <c r="H24" s="6">
        <f>MVTOCT22!H24+MVTOCT22!G24+K24</f>
        <v>773329.43614113715</v>
      </c>
      <c r="I24" s="36">
        <f>VLOOKUP($A24,[16]HISTONOV22!$A$6:$AQ$37,22,0)</f>
        <v>0</v>
      </c>
      <c r="J24" s="36">
        <f>VLOOKUP($A24,[16]HISTONOV22!$A$6:$AU$39,45,0)</f>
        <v>7000</v>
      </c>
      <c r="K24" s="36">
        <f t="shared" si="2"/>
        <v>3000</v>
      </c>
      <c r="L24" s="36">
        <f t="shared" si="3"/>
        <v>500</v>
      </c>
      <c r="M24" s="36">
        <f t="shared" si="4"/>
        <v>1000</v>
      </c>
      <c r="N24" s="36">
        <f t="shared" si="5"/>
        <v>2500</v>
      </c>
      <c r="O24" s="36">
        <f>VLOOKUP($A24,[16]HISTONOV22!$A$6:$AU$39,7,0)</f>
        <v>3000</v>
      </c>
      <c r="P24" s="36">
        <f>VLOOKUP($A24,[16]HISTONOV22!$A$6:$AU$39,23,0)</f>
        <v>0</v>
      </c>
      <c r="Q24" s="36">
        <f>VLOOKUP($A24,[16]HISTONOV22!$A$6:$AU$39,46,0)</f>
        <v>0</v>
      </c>
      <c r="R24" s="36">
        <f>VLOOKUP($A24,[16]HISTONOV22!$A$6:$AU$39,26,0)</f>
        <v>0</v>
      </c>
      <c r="S24" s="36">
        <f>VLOOKUP($A24,[16]HISTONOV22!$A$6:$BG$39,58,0)</f>
        <v>0</v>
      </c>
      <c r="T24" s="36">
        <f>VLOOKUP($A24,[16]HISTONOV22!$A$6:$AU$39,28,0)</f>
        <v>0</v>
      </c>
      <c r="U24" s="36">
        <f>VLOOKUP($A24,[16]HISTONOV22!$A$6:$AU$39,19,0)</f>
        <v>0</v>
      </c>
      <c r="V24" s="36">
        <f>VLOOKUP($A24,[16]HISTONOV22!$A$6:$AU$39,20,0)</f>
        <v>0</v>
      </c>
      <c r="W24" s="36">
        <f>VLOOKUP($A24,[16]HISTONOV22!$A$6:$AU$39,27,0)</f>
        <v>0</v>
      </c>
      <c r="X24" s="36">
        <f>VLOOKUP($A24,[16]HISTONOV22!$A$6:$AU$39,33,0)</f>
        <v>0</v>
      </c>
      <c r="Y24" s="36">
        <f>VLOOKUP($A24,[16]HISTONOV22!$A$6:$BP$39,65,0)</f>
        <v>0</v>
      </c>
      <c r="Z24" s="36"/>
      <c r="AA24" s="36">
        <f>VLOOKUP($A24,[16]HISTONOV22!$A$6:$AU$39,43,0)</f>
        <v>0</v>
      </c>
      <c r="AB24" s="36">
        <f>VLOOKUP($A24,[16]HISTONOV22!$A$6:$AU$39,44,0)</f>
        <v>0</v>
      </c>
      <c r="AC24" s="36">
        <f>VLOOKUP($A24,[16]HISTONOV22!$A$6:$AU$39,47,0)</f>
        <v>0</v>
      </c>
      <c r="AD24" s="36">
        <f>VLOOKUP(A24,[16]HISTONOV22!$A$6:$BB$36,54,0)</f>
        <v>0</v>
      </c>
      <c r="AE24" s="36">
        <f>VLOOKUP($A24,[16]HISTONOV22!$A$6:$CA$36,60,0)</f>
        <v>0</v>
      </c>
      <c r="AF24" s="36">
        <f>VLOOKUP($A24,[16]HISTONOV22!$A$6:$CA$36,61,0)</f>
        <v>0</v>
      </c>
      <c r="AG24" s="36">
        <f>VLOOKUP($A24,[16]HISTONOV22!$A$6:$CA$36,62,0)</f>
        <v>0</v>
      </c>
      <c r="AH24" s="36">
        <f>VLOOKUP($A24,[16]HISTONOV22!$A$6:$CA$36,63,0)</f>
        <v>0</v>
      </c>
      <c r="AI24" s="36">
        <f>VLOOKUP($A24,[16]HISTONOV22!$A$6:$CA$36,64,0)</f>
        <v>0</v>
      </c>
      <c r="AJ24" s="36">
        <f>VLOOKUP($A24,[16]HISTONOV22!$A$6:$CA$36,65,0)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VLOOKUP($A25,[16]HISTONOV22!$A$6:$BA$39,48,0)</f>
        <v>0</v>
      </c>
      <c r="F25" s="5">
        <f>MVTOCT22!F25-MVTNOV22!E25</f>
        <v>570000</v>
      </c>
      <c r="G25" s="6">
        <f t="shared" si="1"/>
        <v>562.0876289674585</v>
      </c>
      <c r="H25" s="6">
        <f>MVTOCT22!H25+MVTOCT22!G25+K25</f>
        <v>731944.16706236335</v>
      </c>
      <c r="I25" s="36">
        <f>VLOOKUP($A25,[16]HISTONOV22!$A$6:$AQ$37,22,0)</f>
        <v>0</v>
      </c>
      <c r="J25" s="36">
        <f>VLOOKUP($A25,[16]HISTONOV22!$A$6:$AU$39,45,0)</f>
        <v>30000</v>
      </c>
      <c r="K25" s="36">
        <f t="shared" si="2"/>
        <v>26000</v>
      </c>
      <c r="L25" s="36">
        <f t="shared" si="3"/>
        <v>500</v>
      </c>
      <c r="M25" s="36">
        <f t="shared" si="4"/>
        <v>1000</v>
      </c>
      <c r="N25" s="36">
        <f t="shared" si="5"/>
        <v>2500</v>
      </c>
      <c r="O25" s="36">
        <f>VLOOKUP($A25,[16]HISTONOV22!$A$6:$AU$39,7,0)</f>
        <v>0</v>
      </c>
      <c r="P25" s="36">
        <f>VLOOKUP($A25,[16]HISTONOV22!$A$6:$AU$39,23,0)</f>
        <v>0</v>
      </c>
      <c r="Q25" s="36">
        <f>VLOOKUP($A25,[16]HISTONOV22!$A$6:$AU$39,46,0)</f>
        <v>0</v>
      </c>
      <c r="R25" s="36">
        <f>VLOOKUP($A25,[16]HISTONOV22!$A$6:$AU$39,26,0)</f>
        <v>0</v>
      </c>
      <c r="S25" s="36">
        <f>VLOOKUP($A25,[16]HISTONOV22!$A$6:$BG$39,58,0)</f>
        <v>0</v>
      </c>
      <c r="T25" s="36">
        <f>VLOOKUP($A25,[16]HISTONOV22!$A$6:$AU$39,28,0)</f>
        <v>0</v>
      </c>
      <c r="U25" s="36">
        <f>VLOOKUP($A25,[16]HISTONOV22!$A$6:$AU$39,19,0)</f>
        <v>0</v>
      </c>
      <c r="V25" s="36">
        <f>VLOOKUP($A25,[16]HISTONOV22!$A$6:$AU$39,20,0)</f>
        <v>0</v>
      </c>
      <c r="W25" s="36">
        <f>VLOOKUP($A25,[16]HISTONOV22!$A$6:$AU$39,27,0)</f>
        <v>0</v>
      </c>
      <c r="X25" s="36">
        <f>VLOOKUP($A25,[16]HISTONOV22!$A$6:$AU$39,33,0)</f>
        <v>0</v>
      </c>
      <c r="Y25" s="36">
        <f>VLOOKUP($A25,[16]HISTONOV22!$A$6:$BP$39,65,0)</f>
        <v>0</v>
      </c>
      <c r="Z25" s="36"/>
      <c r="AA25" s="36">
        <f>VLOOKUP($A25,[16]HISTONOV22!$A$6:$AU$39,43,0)</f>
        <v>0</v>
      </c>
      <c r="AB25" s="36">
        <f>VLOOKUP($A25,[16]HISTONOV22!$A$6:$AU$39,44,0)</f>
        <v>0</v>
      </c>
      <c r="AC25" s="36">
        <f>VLOOKUP($A25,[16]HISTONOV22!$A$6:$AU$39,47,0)</f>
        <v>0</v>
      </c>
      <c r="AD25" s="36">
        <f>VLOOKUP(A25,[16]HISTONOV22!$A$6:$BB$36,54,0)</f>
        <v>0</v>
      </c>
      <c r="AE25" s="36">
        <f>VLOOKUP($A25,[16]HISTONOV22!$A$6:$CA$36,60,0)</f>
        <v>0</v>
      </c>
      <c r="AF25" s="36">
        <f>VLOOKUP($A25,[16]HISTONOV22!$A$6:$CA$36,61,0)</f>
        <v>0</v>
      </c>
      <c r="AG25" s="36">
        <f>VLOOKUP($A25,[16]HISTONOV22!$A$6:$CA$36,62,0)</f>
        <v>0</v>
      </c>
      <c r="AH25" s="36">
        <f>VLOOKUP($A25,[16]HISTONOV22!$A$6:$CA$36,63,0)</f>
        <v>0</v>
      </c>
      <c r="AI25" s="36">
        <f>VLOOKUP($A25,[16]HISTONOV22!$A$6:$CA$36,64,0)</f>
        <v>0</v>
      </c>
      <c r="AJ25" s="36">
        <f>VLOOKUP($A25,[16]HISTONOV22!$A$6:$CA$36,65,0)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VLOOKUP($A26,[16]HISTONOV22!$A$6:$BA$39,48,0)</f>
        <v>0</v>
      </c>
      <c r="F26" s="5">
        <f>MVTOCT22!F26-MVTNOV22!E26</f>
        <v>570000</v>
      </c>
      <c r="G26" s="6">
        <f t="shared" si="1"/>
        <v>520.57047430772968</v>
      </c>
      <c r="H26" s="6">
        <f>MVTOCT22!H26+MVTOCT22!G26+K26</f>
        <v>677880.99680181697</v>
      </c>
      <c r="I26" s="36">
        <f>VLOOKUP($A26,[16]HISTONOV22!$A$6:$AQ$37,22,0)</f>
        <v>0</v>
      </c>
      <c r="J26" s="36">
        <f>VLOOKUP($A26,[16]HISTONOV22!$A$6:$AU$39,45,0)</f>
        <v>7000</v>
      </c>
      <c r="K26" s="36">
        <f t="shared" si="2"/>
        <v>3000</v>
      </c>
      <c r="L26" s="36">
        <f t="shared" si="3"/>
        <v>500</v>
      </c>
      <c r="M26" s="36">
        <f t="shared" si="4"/>
        <v>1000</v>
      </c>
      <c r="N26" s="36">
        <f t="shared" si="5"/>
        <v>2500</v>
      </c>
      <c r="O26" s="36">
        <f>VLOOKUP($A26,[16]HISTONOV22!$A$6:$AU$39,7,0)</f>
        <v>0</v>
      </c>
      <c r="P26" s="36">
        <f>VLOOKUP($A26,[16]HISTONOV22!$A$6:$AU$39,23,0)</f>
        <v>0</v>
      </c>
      <c r="Q26" s="36">
        <f>VLOOKUP($A26,[16]HISTONOV22!$A$6:$AU$39,46,0)</f>
        <v>0</v>
      </c>
      <c r="R26" s="36">
        <f>VLOOKUP($A26,[16]HISTONOV22!$A$6:$AU$39,26,0)</f>
        <v>0</v>
      </c>
      <c r="S26" s="36">
        <f>VLOOKUP($A26,[16]HISTONOV22!$A$6:$BG$39,58,0)</f>
        <v>0</v>
      </c>
      <c r="T26" s="36">
        <f>VLOOKUP($A26,[16]HISTONOV22!$A$6:$AU$39,28,0)</f>
        <v>0</v>
      </c>
      <c r="U26" s="36">
        <f>VLOOKUP($A26,[16]HISTONOV22!$A$6:$AU$39,19,0)</f>
        <v>0</v>
      </c>
      <c r="V26" s="36">
        <f>VLOOKUP($A26,[16]HISTONOV22!$A$6:$AU$39,20,0)</f>
        <v>0</v>
      </c>
      <c r="W26" s="36">
        <f>VLOOKUP($A26,[16]HISTONOV22!$A$6:$AU$39,27,0)</f>
        <v>0</v>
      </c>
      <c r="X26" s="36">
        <f>VLOOKUP($A26,[16]HISTONOV22!$A$6:$AU$39,33,0)</f>
        <v>0</v>
      </c>
      <c r="Y26" s="36">
        <f>VLOOKUP($A26,[16]HISTONOV22!$A$6:$BP$39,65,0)</f>
        <v>0</v>
      </c>
      <c r="Z26" s="36"/>
      <c r="AA26" s="36">
        <f>VLOOKUP($A26,[16]HISTONOV22!$A$6:$AU$39,43,0)</f>
        <v>0</v>
      </c>
      <c r="AB26" s="36">
        <f>VLOOKUP($A26,[16]HISTONOV22!$A$6:$AU$39,44,0)</f>
        <v>0</v>
      </c>
      <c r="AC26" s="36">
        <f>VLOOKUP($A26,[16]HISTONOV22!$A$6:$AU$39,47,0)</f>
        <v>0</v>
      </c>
      <c r="AD26" s="36">
        <f>VLOOKUP(A26,[16]HISTONOV22!$A$6:$BB$36,54,0)</f>
        <v>0</v>
      </c>
      <c r="AE26" s="36">
        <f>VLOOKUP($A26,[16]HISTONOV22!$A$6:$CA$36,60,0)</f>
        <v>0</v>
      </c>
      <c r="AF26" s="36">
        <f>VLOOKUP($A26,[16]HISTONOV22!$A$6:$CA$36,61,0)</f>
        <v>0</v>
      </c>
      <c r="AG26" s="36">
        <f>VLOOKUP($A26,[16]HISTONOV22!$A$6:$CA$36,62,0)</f>
        <v>0</v>
      </c>
      <c r="AH26" s="36">
        <f>VLOOKUP($A26,[16]HISTONOV22!$A$6:$CA$36,63,0)</f>
        <v>0</v>
      </c>
      <c r="AI26" s="36">
        <f>VLOOKUP($A26,[16]HISTONOV22!$A$6:$CA$36,64,0)</f>
        <v>0</v>
      </c>
      <c r="AJ26" s="36">
        <f>VLOOKUP($A26,[16]HISTONOV22!$A$6:$CA$36,65,0)</f>
        <v>0</v>
      </c>
    </row>
    <row r="27" spans="1:36" x14ac:dyDescent="0.25">
      <c r="A27" s="1" t="s">
        <v>30</v>
      </c>
      <c r="B27" s="1" t="str">
        <f>VLOOKUP(A27,[15]LISTADHERENT!A$5:H$60,3,0)</f>
        <v>NKEHE DAVID</v>
      </c>
      <c r="C27" s="5"/>
      <c r="D27" s="5"/>
      <c r="E27" s="36">
        <f>VLOOKUP($A27,[16]HISTONOV22!$A$6:$BA$39,48,0)</f>
        <v>0</v>
      </c>
      <c r="F27" s="5">
        <f>MVTOCT22!F27-MVTNOV22!E27</f>
        <v>534974.27750837663</v>
      </c>
      <c r="G27" s="6">
        <f t="shared" si="1"/>
        <v>0</v>
      </c>
      <c r="H27" s="6">
        <f>MVTOCT22!H27+MVTOCT22!G27+K27</f>
        <v>0</v>
      </c>
      <c r="I27" s="36">
        <f>VLOOKUP($A27,[16]HISTONOV22!$A$6:$AQ$37,22,0)</f>
        <v>0</v>
      </c>
      <c r="J27" s="36">
        <f>VLOOKUP($A27,[16]HISTONOV22!$A$6:$AU$39,45,0)</f>
        <v>0</v>
      </c>
      <c r="K27" s="36">
        <f t="shared" si="2"/>
        <v>0</v>
      </c>
      <c r="L27" s="36">
        <f t="shared" si="3"/>
        <v>0</v>
      </c>
      <c r="M27" s="36">
        <f t="shared" si="4"/>
        <v>0</v>
      </c>
      <c r="N27" s="36">
        <f t="shared" si="5"/>
        <v>0</v>
      </c>
      <c r="O27" s="36">
        <f>VLOOKUP($A27,[16]HISTONOV22!$A$6:$AU$39,7,0)</f>
        <v>0</v>
      </c>
      <c r="P27" s="36">
        <f>VLOOKUP($A27,[16]HISTONOV22!$A$6:$AU$39,23,0)</f>
        <v>0</v>
      </c>
      <c r="Q27" s="36">
        <f>VLOOKUP($A27,[16]HISTONOV22!$A$6:$AU$39,46,0)</f>
        <v>0</v>
      </c>
      <c r="R27" s="36">
        <f>VLOOKUP($A27,[16]HISTONOV22!$A$6:$AU$39,26,0)</f>
        <v>0</v>
      </c>
      <c r="S27" s="36">
        <f>VLOOKUP($A27,[16]HISTONOV22!$A$6:$BG$39,58,0)</f>
        <v>0</v>
      </c>
      <c r="T27" s="36">
        <f>VLOOKUP($A27,[16]HISTONOV22!$A$6:$AU$39,28,0)</f>
        <v>0</v>
      </c>
      <c r="U27" s="36">
        <f>VLOOKUP($A27,[16]HISTONOV22!$A$6:$AU$39,19,0)</f>
        <v>0</v>
      </c>
      <c r="V27" s="36">
        <f>VLOOKUP($A27,[16]HISTONOV22!$A$6:$AU$39,20,0)</f>
        <v>0</v>
      </c>
      <c r="W27" s="36">
        <f>VLOOKUP($A27,[16]HISTONOV22!$A$6:$AU$39,27,0)</f>
        <v>0</v>
      </c>
      <c r="X27" s="36">
        <f>VLOOKUP($A27,[16]HISTONOV22!$A$6:$AU$39,33,0)</f>
        <v>0</v>
      </c>
      <c r="Y27" s="36">
        <f>VLOOKUP($A27,[16]HISTONOV22!$A$6:$BP$39,65,0)</f>
        <v>0</v>
      </c>
      <c r="Z27" s="36"/>
      <c r="AA27" s="36">
        <f>VLOOKUP($A27,[16]HISTONOV22!$A$6:$AU$39,43,0)</f>
        <v>0</v>
      </c>
      <c r="AB27" s="36">
        <f>VLOOKUP($A27,[16]HISTONOV22!$A$6:$AU$39,44,0)</f>
        <v>0</v>
      </c>
      <c r="AC27" s="36">
        <f>VLOOKUP($A27,[16]HISTONOV22!$A$6:$AU$39,47,0)</f>
        <v>0</v>
      </c>
      <c r="AD27" s="36">
        <f>VLOOKUP(A27,[16]HISTONOV22!$A$6:$BB$36,54,0)</f>
        <v>0</v>
      </c>
      <c r="AE27" s="36">
        <f>VLOOKUP($A27,[16]HISTONOV22!$A$6:$CA$36,60,0)</f>
        <v>0</v>
      </c>
      <c r="AF27" s="36">
        <f>VLOOKUP($A27,[16]HISTONOV22!$A$6:$CA$36,61,0)</f>
        <v>0</v>
      </c>
      <c r="AG27" s="36">
        <f>VLOOKUP($A27,[16]HISTONOV22!$A$6:$CA$36,62,0)</f>
        <v>0</v>
      </c>
      <c r="AH27" s="36">
        <f>VLOOKUP($A27,[16]HISTONOV22!$A$6:$CA$36,63,0)</f>
        <v>0</v>
      </c>
      <c r="AI27" s="36">
        <f>VLOOKUP($A27,[16]HISTONOV22!$A$6:$CA$36,64,0)</f>
        <v>0</v>
      </c>
      <c r="AJ27" s="36">
        <f>VLOOKUP($A27,[16]HISTONOV22!$A$6:$CA$36,65,0)</f>
        <v>0</v>
      </c>
    </row>
    <row r="28" spans="1:36" x14ac:dyDescent="0.25">
      <c r="A28" s="1" t="s">
        <v>44</v>
      </c>
      <c r="B28" s="1" t="str">
        <f>VLOOKUP(A28,[15]LISTADHERENT!A$5:H$60,3,0)</f>
        <v>NKEPSEU DIEUDONNE</v>
      </c>
      <c r="C28" s="5"/>
      <c r="D28" s="5"/>
      <c r="E28" s="36">
        <f>VLOOKUP($A28,[16]HISTONOV22!$A$6:$BA$39,48,0)</f>
        <v>0</v>
      </c>
      <c r="F28" s="5">
        <f>MVTOCT22!F28-MVTNOV22!E28</f>
        <v>570000</v>
      </c>
      <c r="G28" s="6">
        <f t="shared" si="1"/>
        <v>837.98342752353631</v>
      </c>
      <c r="H28" s="6">
        <f>MVTOCT22!H28+MVTOCT22!G28+K28</f>
        <v>1091212.5623499337</v>
      </c>
      <c r="I28" s="36">
        <f>VLOOKUP($A28,[16]HISTONOV22!$A$6:$AQ$37,22,0)</f>
        <v>0</v>
      </c>
      <c r="J28" s="36">
        <f>VLOOKUP($A28,[16]HISTONOV22!$A$6:$AU$39,45,0)</f>
        <v>7000</v>
      </c>
      <c r="K28" s="36">
        <f t="shared" si="2"/>
        <v>3000</v>
      </c>
      <c r="L28" s="36">
        <f t="shared" si="3"/>
        <v>500</v>
      </c>
      <c r="M28" s="36">
        <f t="shared" si="4"/>
        <v>1000</v>
      </c>
      <c r="N28" s="36">
        <f t="shared" si="5"/>
        <v>2500</v>
      </c>
      <c r="O28" s="36">
        <f>VLOOKUP($A28,[16]HISTONOV22!$A$6:$AU$39,7,0)</f>
        <v>0</v>
      </c>
      <c r="P28" s="36">
        <f>VLOOKUP($A28,[16]HISTONOV22!$A$6:$AU$39,23,0)</f>
        <v>0</v>
      </c>
      <c r="Q28" s="36">
        <f>VLOOKUP($A28,[16]HISTONOV22!$A$6:$AU$39,46,0)</f>
        <v>0</v>
      </c>
      <c r="R28" s="36">
        <f>VLOOKUP($A28,[16]HISTONOV22!$A$6:$AU$39,26,0)</f>
        <v>0</v>
      </c>
      <c r="S28" s="36">
        <f>VLOOKUP($A28,[16]HISTONOV22!$A$6:$BG$39,58,0)</f>
        <v>0</v>
      </c>
      <c r="T28" s="36">
        <f>VLOOKUP($A28,[16]HISTONOV22!$A$6:$AU$39,28,0)</f>
        <v>0</v>
      </c>
      <c r="U28" s="36">
        <f>VLOOKUP($A28,[16]HISTONOV22!$A$6:$AU$39,19,0)</f>
        <v>0</v>
      </c>
      <c r="V28" s="36">
        <f>VLOOKUP($A28,[16]HISTONOV22!$A$6:$AU$39,20,0)</f>
        <v>0</v>
      </c>
      <c r="W28" s="36">
        <f>VLOOKUP($A28,[16]HISTONOV22!$A$6:$AU$39,27,0)</f>
        <v>0</v>
      </c>
      <c r="X28" s="36">
        <f>VLOOKUP($A28,[16]HISTONOV22!$A$6:$AU$39,33,0)</f>
        <v>0</v>
      </c>
      <c r="Y28" s="36">
        <f>VLOOKUP($A28,[16]HISTONOV22!$A$6:$BP$39,65,0)</f>
        <v>0</v>
      </c>
      <c r="Z28" s="36"/>
      <c r="AA28" s="36">
        <f>VLOOKUP($A28,[16]HISTONOV22!$A$6:$AU$39,43,0)</f>
        <v>0</v>
      </c>
      <c r="AB28" s="36">
        <f>VLOOKUP($A28,[16]HISTONOV22!$A$6:$AU$39,44,0)</f>
        <v>0</v>
      </c>
      <c r="AC28" s="36">
        <f>VLOOKUP($A28,[16]HISTONOV22!$A$6:$AU$39,47,0)</f>
        <v>0</v>
      </c>
      <c r="AD28" s="36">
        <f>VLOOKUP(A28,[16]HISTONOV22!$A$6:$BB$36,54,0)</f>
        <v>0</v>
      </c>
      <c r="AE28" s="36">
        <f>VLOOKUP($A28,[16]HISTONOV22!$A$6:$CA$36,60,0)</f>
        <v>0</v>
      </c>
      <c r="AF28" s="36">
        <f>VLOOKUP($A28,[16]HISTONOV22!$A$6:$CA$36,61,0)</f>
        <v>0</v>
      </c>
      <c r="AG28" s="36">
        <f>VLOOKUP($A28,[16]HISTONOV22!$A$6:$CA$36,62,0)</f>
        <v>0</v>
      </c>
      <c r="AH28" s="36">
        <f>VLOOKUP($A28,[16]HISTONOV22!$A$6:$CA$36,63,0)</f>
        <v>0</v>
      </c>
      <c r="AI28" s="36">
        <f>VLOOKUP($A28,[16]HISTONOV22!$A$6:$CA$36,64,0)</f>
        <v>0</v>
      </c>
      <c r="AJ28" s="36">
        <f>VLOOKUP($A28,[16]HISTONOV22!$A$6:$CA$36,65,0)</f>
        <v>0</v>
      </c>
    </row>
    <row r="29" spans="1:36" x14ac:dyDescent="0.25">
      <c r="A29" s="1" t="s">
        <v>45</v>
      </c>
      <c r="B29" s="1" t="str">
        <f>VLOOKUP(A29,[15]LISTADHERENT!A$5:H$60,3,0)</f>
        <v>PATEGO NJOSSU GUSTAVE</v>
      </c>
      <c r="C29" s="5"/>
      <c r="D29" s="5"/>
      <c r="E29" s="36">
        <f>VLOOKUP($A29,[16]HISTONOV22!$A$6:$BA$39,48,0)</f>
        <v>0</v>
      </c>
      <c r="F29" s="5">
        <f>MVTOCT22!F29-MVTNOV22!E29</f>
        <v>570000</v>
      </c>
      <c r="G29" s="6">
        <f t="shared" si="1"/>
        <v>529.7077807553477</v>
      </c>
      <c r="H29" s="6">
        <f>MVTOCT22!H29+MVTOCT22!G29+K29</f>
        <v>689779.4941398229</v>
      </c>
      <c r="I29" s="36">
        <f>VLOOKUP($A29,[16]HISTONOV22!$A$6:$AQ$37,22,0)</f>
        <v>0</v>
      </c>
      <c r="J29" s="36">
        <f>VLOOKUP($A29,[16]HISTONOV22!$A$6:$AU$39,45,0)</f>
        <v>7000</v>
      </c>
      <c r="K29" s="36">
        <f t="shared" si="2"/>
        <v>3000</v>
      </c>
      <c r="L29" s="36">
        <f t="shared" si="3"/>
        <v>500</v>
      </c>
      <c r="M29" s="36">
        <f t="shared" si="4"/>
        <v>1000</v>
      </c>
      <c r="N29" s="36">
        <f t="shared" si="5"/>
        <v>2500</v>
      </c>
      <c r="O29" s="36">
        <f>VLOOKUP($A29,[16]HISTONOV22!$A$6:$AU$39,7,0)</f>
        <v>0</v>
      </c>
      <c r="P29" s="36">
        <f>VLOOKUP($A29,[16]HISTONOV22!$A$6:$AU$39,23,0)</f>
        <v>0</v>
      </c>
      <c r="Q29" s="36">
        <f>VLOOKUP($A29,[16]HISTONOV22!$A$6:$AU$39,46,0)</f>
        <v>0</v>
      </c>
      <c r="R29" s="36">
        <f>VLOOKUP($A29,[16]HISTONOV22!$A$6:$AU$39,26,0)</f>
        <v>0</v>
      </c>
      <c r="S29" s="36">
        <f>VLOOKUP($A29,[16]HISTONOV22!$A$6:$BG$39,58,0)</f>
        <v>0</v>
      </c>
      <c r="T29" s="36">
        <f>VLOOKUP($A29,[16]HISTONOV22!$A$6:$AU$39,28,0)</f>
        <v>0</v>
      </c>
      <c r="U29" s="36">
        <f>VLOOKUP($A29,[16]HISTONOV22!$A$6:$AU$39,19,0)</f>
        <v>0</v>
      </c>
      <c r="V29" s="36">
        <f>VLOOKUP($A29,[16]HISTONOV22!$A$6:$AU$39,20,0)</f>
        <v>0</v>
      </c>
      <c r="W29" s="36">
        <f>VLOOKUP($A29,[16]HISTONOV22!$A$6:$AU$39,27,0)</f>
        <v>0</v>
      </c>
      <c r="X29" s="36">
        <f>VLOOKUP($A29,[16]HISTONOV22!$A$6:$AU$39,33,0)</f>
        <v>0</v>
      </c>
      <c r="Y29" s="36">
        <f>VLOOKUP($A29,[16]HISTONOV22!$A$6:$BP$39,65,0)</f>
        <v>0</v>
      </c>
      <c r="Z29" s="36"/>
      <c r="AA29" s="36">
        <f>VLOOKUP($A29,[16]HISTONOV22!$A$6:$AU$39,43,0)</f>
        <v>0</v>
      </c>
      <c r="AB29" s="36">
        <f>VLOOKUP($A29,[16]HISTONOV22!$A$6:$AU$39,44,0)</f>
        <v>0</v>
      </c>
      <c r="AC29" s="36">
        <f>VLOOKUP($A29,[16]HISTONOV22!$A$6:$AU$39,47,0)</f>
        <v>0</v>
      </c>
      <c r="AD29" s="36">
        <f>VLOOKUP(A29,[16]HISTONOV22!$A$6:$BB$36,54,0)</f>
        <v>0</v>
      </c>
      <c r="AE29" s="36">
        <f>VLOOKUP($A29,[16]HISTONOV22!$A$6:$CA$36,60,0)</f>
        <v>0</v>
      </c>
      <c r="AF29" s="36">
        <f>VLOOKUP($A29,[16]HISTONOV22!$A$6:$CA$36,61,0)</f>
        <v>0</v>
      </c>
      <c r="AG29" s="36">
        <f>VLOOKUP($A29,[16]HISTONOV22!$A$6:$CA$36,62,0)</f>
        <v>0</v>
      </c>
      <c r="AH29" s="36">
        <f>VLOOKUP($A29,[16]HISTONOV22!$A$6:$CA$36,63,0)</f>
        <v>0</v>
      </c>
      <c r="AI29" s="36">
        <f>VLOOKUP($A29,[16]HISTONOV22!$A$6:$CA$36,64,0)</f>
        <v>0</v>
      </c>
      <c r="AJ29" s="36">
        <f>VLOOKUP($A29,[16]HISTONOV22!$A$6:$CA$36,65,0)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VLOOKUP($A30,[16]HISTONOV22!$A$6:$BA$39,48,0)</f>
        <v>0</v>
      </c>
      <c r="F30" s="5">
        <f>MVTOCT22!F30-MVTNOV22!E30</f>
        <v>570000</v>
      </c>
      <c r="G30" s="6">
        <f t="shared" si="1"/>
        <v>744.58218711412019</v>
      </c>
      <c r="H30" s="6">
        <f>MVTOCT22!H30+MVTOCT22!G30+K30</f>
        <v>969586.52115837496</v>
      </c>
      <c r="I30" s="36">
        <f>VLOOKUP($A30,[16]HISTONOV22!$A$6:$AQ$37,22,0)</f>
        <v>0</v>
      </c>
      <c r="J30" s="36">
        <f>VLOOKUP($A30,[16]HISTONOV22!$A$6:$AU$39,45,0)</f>
        <v>7000</v>
      </c>
      <c r="K30" s="36">
        <f t="shared" si="2"/>
        <v>3000</v>
      </c>
      <c r="L30" s="36">
        <f t="shared" si="3"/>
        <v>500</v>
      </c>
      <c r="M30" s="36">
        <f t="shared" si="4"/>
        <v>1000</v>
      </c>
      <c r="N30" s="36">
        <f t="shared" si="5"/>
        <v>2500</v>
      </c>
      <c r="O30" s="36">
        <f>VLOOKUP($A30,[16]HISTONOV22!$A$6:$AU$39,7,0)</f>
        <v>0</v>
      </c>
      <c r="P30" s="36">
        <f>VLOOKUP($A30,[16]HISTONOV22!$A$6:$AU$39,23,0)</f>
        <v>0</v>
      </c>
      <c r="Q30" s="36">
        <f>VLOOKUP($A30,[16]HISTONOV22!$A$6:$AU$39,46,0)</f>
        <v>0</v>
      </c>
      <c r="R30" s="36">
        <f>VLOOKUP($A30,[16]HISTONOV22!$A$6:$AU$39,26,0)</f>
        <v>0</v>
      </c>
      <c r="S30" s="36">
        <f>VLOOKUP($A30,[16]HISTONOV22!$A$6:$BG$39,58,0)</f>
        <v>0</v>
      </c>
      <c r="T30" s="36">
        <f>VLOOKUP($A30,[16]HISTONOV22!$A$6:$AU$39,28,0)</f>
        <v>0</v>
      </c>
      <c r="U30" s="36">
        <f>VLOOKUP($A30,[16]HISTONOV22!$A$6:$AU$39,19,0)</f>
        <v>0</v>
      </c>
      <c r="V30" s="36">
        <f>VLOOKUP($A30,[16]HISTONOV22!$A$6:$AU$39,20,0)</f>
        <v>0</v>
      </c>
      <c r="W30" s="36">
        <f>VLOOKUP($A30,[16]HISTONOV22!$A$6:$AU$39,27,0)</f>
        <v>0</v>
      </c>
      <c r="X30" s="36">
        <f>VLOOKUP($A30,[16]HISTONOV22!$A$6:$AU$39,33,0)</f>
        <v>0</v>
      </c>
      <c r="Y30" s="36">
        <f>VLOOKUP($A30,[16]HISTONOV22!$A$6:$BP$39,65,0)</f>
        <v>0</v>
      </c>
      <c r="Z30" s="36"/>
      <c r="AA30" s="36">
        <f>VLOOKUP($A30,[16]HISTONOV22!$A$6:$AU$39,43,0)</f>
        <v>0</v>
      </c>
      <c r="AB30" s="36">
        <f>VLOOKUP($A30,[16]HISTONOV22!$A$6:$AU$39,44,0)</f>
        <v>0</v>
      </c>
      <c r="AC30" s="36">
        <f>VLOOKUP($A30,[16]HISTONOV22!$A$6:$AU$39,47,0)</f>
        <v>0</v>
      </c>
      <c r="AD30" s="36">
        <f>VLOOKUP(A30,[16]HISTONOV22!$A$6:$BB$36,54,0)</f>
        <v>0</v>
      </c>
      <c r="AE30" s="36">
        <f>VLOOKUP($A30,[16]HISTONOV22!$A$6:$CA$36,60,0)</f>
        <v>0</v>
      </c>
      <c r="AF30" s="36">
        <f>VLOOKUP($A30,[16]HISTONOV22!$A$6:$CA$36,61,0)</f>
        <v>0</v>
      </c>
      <c r="AG30" s="36">
        <f>VLOOKUP($A30,[16]HISTONOV22!$A$6:$CA$36,62,0)</f>
        <v>0</v>
      </c>
      <c r="AH30" s="36">
        <f>VLOOKUP($A30,[16]HISTONOV22!$A$6:$CA$36,63,0)</f>
        <v>0</v>
      </c>
      <c r="AI30" s="36">
        <f>VLOOKUP($A30,[16]HISTONOV22!$A$6:$CA$36,64,0)</f>
        <v>0</v>
      </c>
      <c r="AJ30" s="36">
        <f>VLOOKUP($A30,[16]HISTONOV22!$A$6:$CA$36,65,0)</f>
        <v>0</v>
      </c>
    </row>
    <row r="31" spans="1:36" x14ac:dyDescent="0.25">
      <c r="A31" s="1" t="s">
        <v>47</v>
      </c>
      <c r="B31" s="1" t="str">
        <f>VLOOKUP(A31,[15]LISTADHERENT!A$5:H$60,3,0)</f>
        <v>SIMO FONGANG ERIC</v>
      </c>
      <c r="C31" s="5"/>
      <c r="D31" s="5"/>
      <c r="E31" s="36">
        <f>VLOOKUP($A31,[16]HISTONOV22!$A$6:$BA$39,48,0)</f>
        <v>0</v>
      </c>
      <c r="F31" s="5">
        <f>MVTOCT22!F31-MVTNOV22!E31</f>
        <v>570000</v>
      </c>
      <c r="G31" s="6">
        <f t="shared" si="1"/>
        <v>0</v>
      </c>
      <c r="H31" s="6">
        <f>MVTOCT22!H31+MVTOCT22!G31+K31</f>
        <v>0</v>
      </c>
      <c r="I31" s="36">
        <f>VLOOKUP($A31,[16]HISTONOV22!$A$6:$AQ$37,22,0)</f>
        <v>0</v>
      </c>
      <c r="J31" s="36">
        <f>VLOOKUP($A31,[16]HISTONOV22!$A$6:$AU$39,45,0)</f>
        <v>0</v>
      </c>
      <c r="K31" s="36">
        <f t="shared" si="2"/>
        <v>0</v>
      </c>
      <c r="L31" s="36">
        <f t="shared" si="3"/>
        <v>0</v>
      </c>
      <c r="M31" s="36">
        <f t="shared" si="4"/>
        <v>0</v>
      </c>
      <c r="N31" s="36">
        <f t="shared" si="5"/>
        <v>0</v>
      </c>
      <c r="O31" s="36">
        <f>VLOOKUP($A31,[16]HISTONOV22!$A$6:$AU$39,7,0)</f>
        <v>0</v>
      </c>
      <c r="P31" s="36">
        <f>VLOOKUP($A31,[16]HISTONOV22!$A$6:$AU$39,23,0)</f>
        <v>0</v>
      </c>
      <c r="Q31" s="36">
        <f>VLOOKUP($A31,[16]HISTONOV22!$A$6:$AU$39,46,0)</f>
        <v>0</v>
      </c>
      <c r="R31" s="36">
        <f>VLOOKUP($A31,[16]HISTONOV22!$A$6:$AU$39,26,0)</f>
        <v>0</v>
      </c>
      <c r="S31" s="36">
        <f>VLOOKUP($A31,[16]HISTONOV22!$A$6:$BG$39,58,0)</f>
        <v>0</v>
      </c>
      <c r="T31" s="36">
        <f>VLOOKUP($A31,[16]HISTONOV22!$A$6:$AU$39,28,0)</f>
        <v>0</v>
      </c>
      <c r="U31" s="36">
        <f>VLOOKUP($A31,[16]HISTONOV22!$A$6:$AU$39,19,0)</f>
        <v>0</v>
      </c>
      <c r="V31" s="36">
        <f>VLOOKUP($A31,[16]HISTONOV22!$A$6:$AU$39,20,0)</f>
        <v>0</v>
      </c>
      <c r="W31" s="36">
        <f>VLOOKUP($A31,[16]HISTONOV22!$A$6:$AU$39,27,0)</f>
        <v>0</v>
      </c>
      <c r="X31" s="36">
        <f>VLOOKUP($A31,[16]HISTONOV22!$A$6:$AU$39,33,0)</f>
        <v>0</v>
      </c>
      <c r="Y31" s="36">
        <f>VLOOKUP($A31,[16]HISTONOV22!$A$6:$BP$39,65,0)</f>
        <v>0</v>
      </c>
      <c r="Z31" s="36"/>
      <c r="AA31" s="36">
        <f>VLOOKUP($A31,[16]HISTONOV22!$A$6:$AU$39,43,0)</f>
        <v>0</v>
      </c>
      <c r="AB31" s="36">
        <f>VLOOKUP($A31,[16]HISTONOV22!$A$6:$AU$39,44,0)</f>
        <v>0</v>
      </c>
      <c r="AC31" s="36">
        <f>VLOOKUP($A31,[16]HISTONOV22!$A$6:$AU$39,47,0)</f>
        <v>0</v>
      </c>
      <c r="AD31" s="36">
        <f>VLOOKUP(A31,[16]HISTONOV22!$A$6:$BB$36,54,0)</f>
        <v>0</v>
      </c>
      <c r="AE31" s="36">
        <f>VLOOKUP($A31,[16]HISTONOV22!$A$6:$CA$36,60,0)</f>
        <v>0</v>
      </c>
      <c r="AF31" s="36">
        <f>VLOOKUP($A31,[16]HISTONOV22!$A$6:$CA$36,61,0)</f>
        <v>0</v>
      </c>
      <c r="AG31" s="36">
        <f>VLOOKUP($A31,[16]HISTONOV22!$A$6:$CA$36,62,0)</f>
        <v>0</v>
      </c>
      <c r="AH31" s="36">
        <f>VLOOKUP($A31,[16]HISTONOV22!$A$6:$CA$36,63,0)</f>
        <v>0</v>
      </c>
      <c r="AI31" s="36">
        <f>VLOOKUP($A31,[16]HISTONOV22!$A$6:$CA$36,64,0)</f>
        <v>0</v>
      </c>
      <c r="AJ31" s="36">
        <f>VLOOKUP($A31,[16]HISTONOV22!$A$6:$CA$36,65,0)</f>
        <v>0</v>
      </c>
    </row>
    <row r="32" spans="1:36" x14ac:dyDescent="0.25">
      <c r="A32" s="1" t="s">
        <v>49</v>
      </c>
      <c r="B32" s="1" t="str">
        <f>VLOOKUP(A32,[15]LISTADHERENT!A$5:H$60,3,0)</f>
        <v>SIMO PIERRE</v>
      </c>
      <c r="C32" s="5"/>
      <c r="D32" s="5"/>
      <c r="E32" s="36">
        <f>VLOOKUP($A32,[16]HISTONOV22!$A$6:$BA$39,48,0)</f>
        <v>0</v>
      </c>
      <c r="F32" s="5">
        <f>MVTOCT22!F32-MVTNOV22!E32</f>
        <v>570000</v>
      </c>
      <c r="G32" s="6">
        <f t="shared" si="1"/>
        <v>652.56765440784341</v>
      </c>
      <c r="H32" s="6">
        <f>MVTOCT22!H32+MVTOCT22!G32+K32</f>
        <v>849766.23508830485</v>
      </c>
      <c r="I32" s="36">
        <f>VLOOKUP($A32,[16]HISTONOV22!$A$6:$AQ$37,22,0)</f>
        <v>0</v>
      </c>
      <c r="J32" s="36">
        <f>VLOOKUP($A32,[16]HISTONOV22!$A$6:$AU$39,45,0)</f>
        <v>12000</v>
      </c>
      <c r="K32" s="36">
        <f t="shared" si="2"/>
        <v>8000</v>
      </c>
      <c r="L32" s="36">
        <f t="shared" si="3"/>
        <v>500</v>
      </c>
      <c r="M32" s="36">
        <f t="shared" si="4"/>
        <v>1000</v>
      </c>
      <c r="N32" s="36">
        <f t="shared" si="5"/>
        <v>2500</v>
      </c>
      <c r="O32" s="36">
        <f>VLOOKUP($A32,[16]HISTONOV22!$A$6:$AU$39,7,0)</f>
        <v>0</v>
      </c>
      <c r="P32" s="36">
        <f>VLOOKUP($A32,[16]HISTONOV22!$A$6:$AU$39,23,0)</f>
        <v>0</v>
      </c>
      <c r="Q32" s="36">
        <f>VLOOKUP($A32,[16]HISTONOV22!$A$6:$AU$39,46,0)</f>
        <v>0</v>
      </c>
      <c r="R32" s="36">
        <f>VLOOKUP($A32,[16]HISTONOV22!$A$6:$AU$39,26,0)</f>
        <v>0</v>
      </c>
      <c r="S32" s="36">
        <f>VLOOKUP($A32,[16]HISTONOV22!$A$6:$BG$39,58,0)</f>
        <v>0</v>
      </c>
      <c r="T32" s="36">
        <f>VLOOKUP($A32,[16]HISTONOV22!$A$6:$AU$39,28,0)</f>
        <v>0</v>
      </c>
      <c r="U32" s="36">
        <f>VLOOKUP($A32,[16]HISTONOV22!$A$6:$AU$39,19,0)</f>
        <v>0</v>
      </c>
      <c r="V32" s="36">
        <f>VLOOKUP($A32,[16]HISTONOV22!$A$6:$AU$39,20,0)</f>
        <v>0</v>
      </c>
      <c r="W32" s="36">
        <f>VLOOKUP($A32,[16]HISTONOV22!$A$6:$AU$39,27,0)</f>
        <v>0</v>
      </c>
      <c r="X32" s="36">
        <f>VLOOKUP($A32,[16]HISTONOV22!$A$6:$AU$39,33,0)</f>
        <v>0</v>
      </c>
      <c r="Y32" s="36">
        <f>VLOOKUP($A32,[16]HISTONOV22!$A$6:$BP$39,65,0)</f>
        <v>0</v>
      </c>
      <c r="Z32" s="36"/>
      <c r="AA32" s="36">
        <f>VLOOKUP($A32,[16]HISTONOV22!$A$6:$AU$39,43,0)</f>
        <v>0</v>
      </c>
      <c r="AB32" s="36">
        <f>VLOOKUP($A32,[16]HISTONOV22!$A$6:$AU$39,44,0)</f>
        <v>0</v>
      </c>
      <c r="AC32" s="36">
        <f>VLOOKUP($A32,[16]HISTONOV22!$A$6:$AU$39,47,0)</f>
        <v>0</v>
      </c>
      <c r="AD32" s="36">
        <f>VLOOKUP(A32,[16]HISTONOV22!$A$6:$BB$36,54,0)</f>
        <v>0</v>
      </c>
      <c r="AE32" s="36">
        <f>VLOOKUP($A32,[16]HISTONOV22!$A$6:$CA$36,60,0)</f>
        <v>0</v>
      </c>
      <c r="AF32" s="36">
        <f>VLOOKUP($A32,[16]HISTONOV22!$A$6:$CA$36,61,0)</f>
        <v>0</v>
      </c>
      <c r="AG32" s="36">
        <f>VLOOKUP($A32,[16]HISTONOV22!$A$6:$CA$36,62,0)</f>
        <v>0</v>
      </c>
      <c r="AH32" s="36">
        <f>VLOOKUP($A32,[16]HISTONOV22!$A$6:$CA$36,63,0)</f>
        <v>0</v>
      </c>
      <c r="AI32" s="36">
        <f>VLOOKUP($A32,[16]HISTONOV22!$A$6:$CA$36,64,0)</f>
        <v>0</v>
      </c>
      <c r="AJ32" s="36">
        <f>VLOOKUP($A32,[16]HISTONOV22!$A$6:$CA$36,65,0)</f>
        <v>0</v>
      </c>
    </row>
    <row r="33" spans="1:36" x14ac:dyDescent="0.25">
      <c r="A33" s="1" t="s">
        <v>51</v>
      </c>
      <c r="B33" s="1" t="str">
        <f>VLOOKUP(A33,[15]LISTADHERENT!A$5:H$60,3,0)</f>
        <v>TCHOUAMOU MATHIEU</v>
      </c>
      <c r="C33" s="5"/>
      <c r="D33" s="5"/>
      <c r="E33" s="36">
        <f>VLOOKUP($A33,[16]HISTONOV22!$A$6:$BA$39,48,0)</f>
        <v>0</v>
      </c>
      <c r="F33" s="5">
        <f>MVTOCT22!F33-MVTNOV22!E33</f>
        <v>570000</v>
      </c>
      <c r="G33" s="6">
        <f t="shared" si="1"/>
        <v>516.44132744732735</v>
      </c>
      <c r="H33" s="6">
        <f>MVTOCT22!H33+MVTOCT22!G33+K33</f>
        <v>672504.06835924077</v>
      </c>
      <c r="I33" s="36">
        <f>VLOOKUP($A33,[16]HISTONOV22!$A$6:$AQ$37,22,0)</f>
        <v>0</v>
      </c>
      <c r="J33" s="36">
        <f>VLOOKUP($A33,[16]HISTONOV22!$A$6:$AU$39,45,0)</f>
        <v>7000</v>
      </c>
      <c r="K33" s="36">
        <f t="shared" si="2"/>
        <v>3000</v>
      </c>
      <c r="L33" s="36">
        <f t="shared" si="3"/>
        <v>500</v>
      </c>
      <c r="M33" s="36">
        <f t="shared" si="4"/>
        <v>1000</v>
      </c>
      <c r="N33" s="36">
        <f t="shared" si="5"/>
        <v>2500</v>
      </c>
      <c r="O33" s="36">
        <f>VLOOKUP($A33,[16]HISTONOV22!$A$6:$AU$39,7,0)</f>
        <v>0</v>
      </c>
      <c r="P33" s="36">
        <f>VLOOKUP($A33,[16]HISTONOV22!$A$6:$AU$39,23,0)</f>
        <v>0</v>
      </c>
      <c r="Q33" s="36">
        <f>VLOOKUP($A33,[16]HISTONOV22!$A$6:$AU$39,46,0)</f>
        <v>0</v>
      </c>
      <c r="R33" s="36">
        <f>VLOOKUP($A33,[16]HISTONOV22!$A$6:$AU$39,26,0)</f>
        <v>0</v>
      </c>
      <c r="S33" s="36">
        <f>VLOOKUP($A33,[16]HISTONOV22!$A$6:$BG$39,58,0)</f>
        <v>0</v>
      </c>
      <c r="T33" s="36">
        <f>VLOOKUP($A33,[16]HISTONOV22!$A$6:$AU$39,28,0)</f>
        <v>0</v>
      </c>
      <c r="U33" s="36">
        <f>VLOOKUP($A33,[16]HISTONOV22!$A$6:$AU$39,19,0)</f>
        <v>0</v>
      </c>
      <c r="V33" s="36">
        <f>VLOOKUP($A33,[16]HISTONOV22!$A$6:$AU$39,20,0)</f>
        <v>0</v>
      </c>
      <c r="W33" s="36">
        <f>VLOOKUP($A33,[16]HISTONOV22!$A$6:$AU$39,27,0)</f>
        <v>0</v>
      </c>
      <c r="X33" s="36">
        <f>VLOOKUP($A33,[16]HISTONOV22!$A$6:$AU$39,33,0)</f>
        <v>0</v>
      </c>
      <c r="Y33" s="36">
        <f>VLOOKUP($A33,[16]HISTONOV22!$A$6:$BP$39,65,0)</f>
        <v>0</v>
      </c>
      <c r="Z33" s="36"/>
      <c r="AA33" s="36">
        <f>VLOOKUP($A33,[16]HISTONOV22!$A$6:$AU$39,43,0)</f>
        <v>0</v>
      </c>
      <c r="AB33" s="36">
        <f>VLOOKUP($A33,[16]HISTONOV22!$A$6:$AU$39,44,0)</f>
        <v>0</v>
      </c>
      <c r="AC33" s="36">
        <f>VLOOKUP($A33,[16]HISTONOV22!$A$6:$AU$39,47,0)</f>
        <v>0</v>
      </c>
      <c r="AD33" s="36">
        <f>VLOOKUP(A33,[16]HISTONOV22!$A$6:$BB$36,54,0)</f>
        <v>0</v>
      </c>
      <c r="AE33" s="36">
        <f>VLOOKUP($A33,[16]HISTONOV22!$A$6:$CA$36,60,0)</f>
        <v>0</v>
      </c>
      <c r="AF33" s="36">
        <f>VLOOKUP($A33,[16]HISTONOV22!$A$6:$CA$36,61,0)</f>
        <v>0</v>
      </c>
      <c r="AG33" s="36">
        <f>VLOOKUP($A33,[16]HISTONOV22!$A$6:$CA$36,62,0)</f>
        <v>0</v>
      </c>
      <c r="AH33" s="36">
        <f>VLOOKUP($A33,[16]HISTONOV22!$A$6:$CA$36,63,0)</f>
        <v>0</v>
      </c>
      <c r="AI33" s="36">
        <f>VLOOKUP($A33,[16]HISTONOV22!$A$6:$CA$36,64,0)</f>
        <v>0</v>
      </c>
      <c r="AJ33" s="36">
        <f>VLOOKUP($A33,[16]HISTONOV22!$A$6:$CA$36,65,0)</f>
        <v>0</v>
      </c>
    </row>
    <row r="34" spans="1:36" x14ac:dyDescent="0.25">
      <c r="A34" s="1" t="s">
        <v>54</v>
      </c>
      <c r="B34" s="1" t="str">
        <f>VLOOKUP(A34,[15]LISTADHERENT!A$5:H$60,3,0)</f>
        <v>TIEYAM ERNEST</v>
      </c>
      <c r="C34" s="5"/>
      <c r="D34" s="5"/>
      <c r="E34" s="36">
        <f>VLOOKUP($A34,[16]HISTONOV22!$A$6:$BA$39,48,0)</f>
        <v>0</v>
      </c>
      <c r="F34" s="5">
        <f>MVTOCT22!F34-MVTNOV22!E34</f>
        <v>535508.27831700875</v>
      </c>
      <c r="G34" s="6">
        <f t="shared" si="1"/>
        <v>0</v>
      </c>
      <c r="H34" s="6">
        <f>MVTOCT22!H34+MVTOCT22!G34+K34</f>
        <v>0</v>
      </c>
      <c r="I34" s="36">
        <f>VLOOKUP($A34,[16]HISTONOV22!$A$6:$AQ$37,22,0)</f>
        <v>0</v>
      </c>
      <c r="J34" s="36">
        <f>VLOOKUP($A34,[16]HISTONOV22!$A$6:$AU$39,45,0)</f>
        <v>0</v>
      </c>
      <c r="K34" s="36">
        <f t="shared" si="2"/>
        <v>0</v>
      </c>
      <c r="L34" s="36">
        <f t="shared" si="3"/>
        <v>0</v>
      </c>
      <c r="M34" s="36">
        <f t="shared" si="4"/>
        <v>0</v>
      </c>
      <c r="N34" s="36">
        <f t="shared" si="5"/>
        <v>0</v>
      </c>
      <c r="O34" s="36">
        <f>VLOOKUP($A34,[16]HISTONOV22!$A$6:$AU$39,7,0)</f>
        <v>0</v>
      </c>
      <c r="P34" s="36">
        <f>VLOOKUP($A34,[16]HISTONOV22!$A$6:$AU$39,23,0)</f>
        <v>0</v>
      </c>
      <c r="Q34" s="36">
        <f>VLOOKUP($A34,[16]HISTONOV22!$A$6:$AU$39,46,0)</f>
        <v>0</v>
      </c>
      <c r="R34" s="36">
        <f>VLOOKUP($A34,[16]HISTONOV22!$A$6:$AU$39,26,0)</f>
        <v>0</v>
      </c>
      <c r="S34" s="36">
        <f>VLOOKUP($A34,[16]HISTONOV22!$A$6:$BG$39,58,0)</f>
        <v>0</v>
      </c>
      <c r="T34" s="36">
        <f>VLOOKUP($A34,[16]HISTONOV22!$A$6:$AU$39,28,0)</f>
        <v>0</v>
      </c>
      <c r="U34" s="36">
        <f>VLOOKUP($A34,[16]HISTONOV22!$A$6:$AU$39,19,0)</f>
        <v>0</v>
      </c>
      <c r="V34" s="36">
        <f>VLOOKUP($A34,[16]HISTONOV22!$A$6:$AU$39,20,0)</f>
        <v>0</v>
      </c>
      <c r="W34" s="36">
        <f>VLOOKUP($A34,[16]HISTONOV22!$A$6:$AU$39,27,0)</f>
        <v>0</v>
      </c>
      <c r="X34" s="36">
        <f>VLOOKUP($A34,[16]HISTONOV22!$A$6:$AU$39,33,0)</f>
        <v>0</v>
      </c>
      <c r="Y34" s="36">
        <f>VLOOKUP($A34,[16]HISTONOV22!$A$6:$BP$39,65,0)</f>
        <v>0</v>
      </c>
      <c r="Z34" s="36"/>
      <c r="AA34" s="36">
        <f>VLOOKUP($A34,[16]HISTONOV22!$A$6:$AU$39,43,0)</f>
        <v>0</v>
      </c>
      <c r="AB34" s="36">
        <f>VLOOKUP($A34,[16]HISTONOV22!$A$6:$AU$39,44,0)</f>
        <v>0</v>
      </c>
      <c r="AC34" s="36">
        <f>VLOOKUP($A34,[16]HISTONOV22!$A$6:$AU$39,47,0)</f>
        <v>0</v>
      </c>
      <c r="AD34" s="36">
        <f>VLOOKUP(A34,[16]HISTONOV22!$A$6:$BB$36,54,0)</f>
        <v>0</v>
      </c>
      <c r="AE34" s="36">
        <f>VLOOKUP($A34,[16]HISTONOV22!$A$6:$CA$36,60,0)</f>
        <v>0</v>
      </c>
      <c r="AF34" s="36">
        <f>VLOOKUP($A34,[16]HISTONOV22!$A$6:$CA$36,61,0)</f>
        <v>0</v>
      </c>
      <c r="AG34" s="36">
        <f>VLOOKUP($A34,[16]HISTONOV22!$A$6:$CA$36,62,0)</f>
        <v>0</v>
      </c>
      <c r="AH34" s="36">
        <f>VLOOKUP($A34,[16]HISTONOV22!$A$6:$CA$36,63,0)</f>
        <v>0</v>
      </c>
      <c r="AI34" s="36">
        <f>VLOOKUP($A34,[16]HISTONOV22!$A$6:$CA$36,64,0)</f>
        <v>0</v>
      </c>
      <c r="AJ34" s="36">
        <f>VLOOKUP($A34,[16]HISTONOV22!$A$6:$CA$36,65,0)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VLOOKUP($A35,[16]HISTONOV22!$A$6:$BA$39,48,0)</f>
        <v>0</v>
      </c>
      <c r="F35" s="5">
        <f>MVTOCT22!F35-MVTNOV22!E35</f>
        <v>570000</v>
      </c>
      <c r="G35" s="6">
        <f t="shared" si="1"/>
        <v>1201.5381198422319</v>
      </c>
      <c r="H35" s="6">
        <f>MVTOCT22!H35+MVTOCT22!G35+K35</f>
        <v>1564629.3798302331</v>
      </c>
      <c r="I35" s="36">
        <f>VLOOKUP($A35,[16]HISTONOV22!$A$6:$AQ$37,22,0)</f>
        <v>0</v>
      </c>
      <c r="J35" s="36">
        <f>VLOOKUP($A35,[16]HISTONOV22!$A$6:$AU$39,45,0)</f>
        <v>7000</v>
      </c>
      <c r="K35" s="36">
        <f t="shared" si="2"/>
        <v>3000</v>
      </c>
      <c r="L35" s="36">
        <f t="shared" si="3"/>
        <v>500</v>
      </c>
      <c r="M35" s="36">
        <f t="shared" si="4"/>
        <v>1000</v>
      </c>
      <c r="N35" s="36">
        <f t="shared" si="5"/>
        <v>2500</v>
      </c>
      <c r="O35" s="36">
        <f>VLOOKUP($A35,[16]HISTONOV22!$A$6:$AU$39,7,0)</f>
        <v>3000</v>
      </c>
      <c r="P35" s="36">
        <f>VLOOKUP($A35,[16]HISTONOV22!$A$6:$AU$39,23,0)</f>
        <v>0</v>
      </c>
      <c r="Q35" s="36">
        <f>VLOOKUP($A35,[16]HISTONOV22!$A$6:$AU$39,46,0)</f>
        <v>0</v>
      </c>
      <c r="R35" s="36">
        <f>VLOOKUP($A35,[16]HISTONOV22!$A$6:$AU$39,26,0)</f>
        <v>0</v>
      </c>
      <c r="S35" s="36">
        <f>VLOOKUP($A35,[16]HISTONOV22!$A$6:$BG$39,58,0)</f>
        <v>0</v>
      </c>
      <c r="T35" s="36">
        <f>VLOOKUP($A35,[16]HISTONOV22!$A$6:$AU$39,28,0)</f>
        <v>0</v>
      </c>
      <c r="U35" s="36">
        <f>VLOOKUP($A35,[16]HISTONOV22!$A$6:$AU$39,19,0)</f>
        <v>0</v>
      </c>
      <c r="V35" s="36">
        <f>VLOOKUP($A35,[16]HISTONOV22!$A$6:$AU$39,20,0)</f>
        <v>0</v>
      </c>
      <c r="W35" s="36">
        <f>VLOOKUP($A35,[16]HISTONOV22!$A$6:$AU$39,27,0)</f>
        <v>0</v>
      </c>
      <c r="X35" s="36">
        <f>VLOOKUP($A35,[16]HISTONOV22!$A$6:$AU$39,33,0)</f>
        <v>0</v>
      </c>
      <c r="Y35" s="36">
        <f>VLOOKUP($A35,[16]HISTONOV22!$A$6:$BP$39,65,0)</f>
        <v>0</v>
      </c>
      <c r="Z35" s="36"/>
      <c r="AA35" s="36">
        <f>VLOOKUP($A35,[16]HISTONOV22!$A$6:$AU$39,43,0)</f>
        <v>0</v>
      </c>
      <c r="AB35" s="36">
        <f>VLOOKUP($A35,[16]HISTONOV22!$A$6:$AU$39,44,0)</f>
        <v>0</v>
      </c>
      <c r="AC35" s="36">
        <f>VLOOKUP($A35,[16]HISTONOV22!$A$6:$AU$39,47,0)</f>
        <v>0</v>
      </c>
      <c r="AD35" s="36">
        <f>VLOOKUP(A35,[16]HISTONOV22!$A$6:$BB$36,54,0)</f>
        <v>0</v>
      </c>
      <c r="AE35" s="36">
        <f>VLOOKUP($A35,[16]HISTONOV22!$A$6:$CA$36,60,0)</f>
        <v>0</v>
      </c>
      <c r="AF35" s="36">
        <f>VLOOKUP($A35,[16]HISTONOV22!$A$6:$CA$36,61,0)</f>
        <v>0</v>
      </c>
      <c r="AG35" s="36">
        <f>VLOOKUP($A35,[16]HISTONOV22!$A$6:$CA$36,62,0)</f>
        <v>0</v>
      </c>
      <c r="AH35" s="36">
        <f>VLOOKUP($A35,[16]HISTONOV22!$A$6:$CA$36,63,0)</f>
        <v>0</v>
      </c>
      <c r="AI35" s="36">
        <f>VLOOKUP($A35,[16]HISTONOV22!$A$6:$CA$36,64,0)</f>
        <v>0</v>
      </c>
      <c r="AJ35" s="36">
        <f>VLOOKUP($A35,[16]HISTONOV22!$A$6:$CA$36,65,0)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VLOOKUP($A36,[16]HISTONOV22!$A$6:$BA$39,48,0)</f>
        <v>0</v>
      </c>
      <c r="F36" s="5">
        <f>MVTOCT22!F36-MVTNOV22!E36</f>
        <v>570000</v>
      </c>
      <c r="G36" s="6">
        <f t="shared" si="1"/>
        <v>1288.5014584790931</v>
      </c>
      <c r="H36" s="6">
        <f>MVTOCT22!H36+MVTOCT22!G36+K36</f>
        <v>1677872.0579878136</v>
      </c>
      <c r="I36" s="36">
        <f>VLOOKUP($A36,[16]HISTONOV22!$A$6:$AQ$37,22,0)</f>
        <v>0</v>
      </c>
      <c r="J36" s="36">
        <f>VLOOKUP($A36,[16]HISTONOV22!$A$6:$AU$39,45,0)</f>
        <v>7000</v>
      </c>
      <c r="K36" s="36">
        <f t="shared" si="2"/>
        <v>3000</v>
      </c>
      <c r="L36" s="36">
        <f t="shared" si="3"/>
        <v>500</v>
      </c>
      <c r="M36" s="36">
        <f t="shared" si="4"/>
        <v>1000</v>
      </c>
      <c r="N36" s="36">
        <f t="shared" si="5"/>
        <v>2500</v>
      </c>
      <c r="O36" s="36">
        <f>VLOOKUP($A36,[16]HISTONOV22!$A$6:$AU$39,7,0)</f>
        <v>0</v>
      </c>
      <c r="P36" s="36">
        <f>VLOOKUP($A36,[16]HISTONOV22!$A$6:$AU$39,23,0)</f>
        <v>0</v>
      </c>
      <c r="Q36" s="36">
        <f>VLOOKUP($A36,[16]HISTONOV22!$A$6:$AU$39,46,0)</f>
        <v>0</v>
      </c>
      <c r="R36" s="36">
        <f>VLOOKUP($A36,[16]HISTONOV22!$A$6:$AU$39,26,0)</f>
        <v>0</v>
      </c>
      <c r="S36" s="36">
        <f>VLOOKUP($A36,[16]HISTONOV22!$A$6:$BG$39,58,0)</f>
        <v>0</v>
      </c>
      <c r="T36" s="36">
        <f>VLOOKUP($A36,[16]HISTONOV22!$A$6:$AU$39,28,0)</f>
        <v>0</v>
      </c>
      <c r="U36" s="36">
        <f>VLOOKUP($A36,[16]HISTONOV22!$A$6:$AU$39,19,0)</f>
        <v>0</v>
      </c>
      <c r="V36" s="36">
        <f>VLOOKUP($A36,[16]HISTONOV22!$A$6:$AU$39,20,0)</f>
        <v>0</v>
      </c>
      <c r="W36" s="36">
        <f>VLOOKUP($A36,[16]HISTONOV22!$A$6:$AU$39,27,0)</f>
        <v>0</v>
      </c>
      <c r="X36" s="36">
        <f>VLOOKUP($A36,[16]HISTONOV22!$A$6:$AU$39,33,0)</f>
        <v>0</v>
      </c>
      <c r="Y36" s="36">
        <f>VLOOKUP($A36,[16]HISTONOV22!$A$6:$BP$39,65,0)</f>
        <v>0</v>
      </c>
      <c r="Z36" s="36"/>
      <c r="AA36" s="36">
        <f>VLOOKUP($A36,[16]HISTONOV22!$A$6:$AU$39,43,0)</f>
        <v>0</v>
      </c>
      <c r="AB36" s="36">
        <f>VLOOKUP($A36,[16]HISTONOV22!$A$6:$AU$39,44,0)</f>
        <v>0</v>
      </c>
      <c r="AC36" s="36">
        <f>VLOOKUP($A36,[16]HISTONOV22!$A$6:$AU$39,47,0)</f>
        <v>0</v>
      </c>
      <c r="AD36" s="36">
        <f>VLOOKUP(A36,[16]HISTONOV22!$A$6:$BB$36,54,0)</f>
        <v>0</v>
      </c>
      <c r="AE36" s="36">
        <f>VLOOKUP($A36,[16]HISTONOV22!$A$6:$CA$36,60,0)</f>
        <v>0</v>
      </c>
      <c r="AF36" s="36">
        <f>VLOOKUP($A36,[16]HISTONOV22!$A$6:$CA$36,61,0)</f>
        <v>0</v>
      </c>
      <c r="AG36" s="36">
        <f>VLOOKUP($A36,[16]HISTONOV22!$A$6:$CA$36,62,0)</f>
        <v>0</v>
      </c>
      <c r="AH36" s="36">
        <f>VLOOKUP($A36,[16]HISTONOV22!$A$6:$CA$36,63,0)</f>
        <v>0</v>
      </c>
      <c r="AI36" s="36">
        <f>VLOOKUP($A36,[16]HISTONOV22!$A$6:$CA$36,64,0)</f>
        <v>0</v>
      </c>
      <c r="AJ36" s="36">
        <f>VLOOKUP($A36,[16]HISTONOV22!$A$6:$CA$36,65,0)</f>
        <v>0</v>
      </c>
    </row>
    <row r="37" spans="1:36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H40" si="6">SUM(C6:C39)</f>
        <v>0</v>
      </c>
      <c r="D40" s="9">
        <f t="shared" si="6"/>
        <v>0</v>
      </c>
      <c r="E40" s="9">
        <f t="shared" si="6"/>
        <v>500000</v>
      </c>
      <c r="F40" s="9">
        <f t="shared" si="6"/>
        <v>17084659.561375875</v>
      </c>
      <c r="G40" s="9">
        <f t="shared" si="6"/>
        <v>17000</v>
      </c>
      <c r="H40" s="9">
        <f t="shared" si="6"/>
        <v>22137208.148341149</v>
      </c>
      <c r="I40" s="9">
        <f t="shared" si="6"/>
        <v>0</v>
      </c>
      <c r="J40" s="9">
        <f t="shared" si="6"/>
        <v>275000</v>
      </c>
      <c r="K40" s="9">
        <f t="shared" si="6"/>
        <v>171000</v>
      </c>
      <c r="L40" s="9">
        <f t="shared" si="6"/>
        <v>13000</v>
      </c>
      <c r="M40" s="9">
        <f t="shared" si="6"/>
        <v>26000</v>
      </c>
      <c r="N40" s="9">
        <f t="shared" si="6"/>
        <v>65000</v>
      </c>
      <c r="O40" s="9">
        <f t="shared" si="6"/>
        <v>6000</v>
      </c>
      <c r="P40" s="9">
        <f t="shared" si="6"/>
        <v>0</v>
      </c>
      <c r="Q40" s="9">
        <f t="shared" si="6"/>
        <v>0</v>
      </c>
      <c r="R40" s="9">
        <f t="shared" si="6"/>
        <v>1700000</v>
      </c>
      <c r="S40" s="9">
        <f>SUM(S6:S39)+AI40</f>
        <v>17000</v>
      </c>
      <c r="T40" s="9">
        <f t="shared" si="6"/>
        <v>0</v>
      </c>
      <c r="U40" s="9">
        <f t="shared" si="6"/>
        <v>0</v>
      </c>
      <c r="V40" s="9">
        <f t="shared" si="6"/>
        <v>0</v>
      </c>
      <c r="W40" s="9">
        <f t="shared" si="6"/>
        <v>0</v>
      </c>
      <c r="X40" s="9">
        <f t="shared" si="6"/>
        <v>0</v>
      </c>
      <c r="Y40" s="9">
        <f t="shared" si="6"/>
        <v>0</v>
      </c>
      <c r="Z40" s="9">
        <f t="shared" si="6"/>
        <v>0</v>
      </c>
      <c r="AA40" s="9">
        <f t="shared" si="6"/>
        <v>0</v>
      </c>
      <c r="AB40" s="9">
        <f t="shared" si="6"/>
        <v>0</v>
      </c>
      <c r="AC40" s="9">
        <f t="shared" si="6"/>
        <v>0</v>
      </c>
      <c r="AD40" s="9">
        <f t="shared" si="6"/>
        <v>70000</v>
      </c>
      <c r="AE40" s="9">
        <f t="shared" si="6"/>
        <v>6000</v>
      </c>
      <c r="AF40" s="9">
        <f t="shared" si="6"/>
        <v>0</v>
      </c>
      <c r="AG40" s="9">
        <f t="shared" si="6"/>
        <v>0</v>
      </c>
      <c r="AH40" s="9">
        <f t="shared" si="6"/>
        <v>70000</v>
      </c>
      <c r="AI40" s="9">
        <f>SUM(AI6:AI39)</f>
        <v>0</v>
      </c>
      <c r="AJ40" s="9">
        <f>SUM(AJ6:AJ39)</f>
        <v>0</v>
      </c>
    </row>
  </sheetData>
  <autoFilter ref="A5:U36">
    <sortState ref="A5:L48">
      <sortCondition ref="B5:B48"/>
    </sortState>
  </autoFilter>
  <mergeCells count="1">
    <mergeCell ref="J4:O4"/>
  </mergeCells>
  <dataValidations disablePrompts="1"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40"/>
  <sheetViews>
    <sheetView workbookViewId="0">
      <pane xSplit="2" ySplit="5" topLeftCell="C6" activePane="bottomRight" state="frozen"/>
      <selection activeCell="B43" sqref="B43"/>
      <selection pane="topRight" activeCell="B43" sqref="B43"/>
      <selection pane="bottomLeft" activeCell="B43" sqref="B43"/>
      <selection pane="bottomRight" activeCell="H8" sqref="H8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8" width="15" bestFit="1" customWidth="1"/>
    <col min="19" max="19" width="15" customWidth="1"/>
    <col min="20" max="21" width="18.140625" customWidth="1"/>
    <col min="30" max="30" width="12.42578125" bestFit="1" customWidth="1"/>
    <col min="35" max="35" width="12.42578125" bestFit="1" customWidth="1"/>
    <col min="36" max="36" width="17.5703125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J2" s="1"/>
    </row>
    <row r="3" spans="1:36" x14ac:dyDescent="0.25">
      <c r="A3" s="1" t="s">
        <v>3</v>
      </c>
      <c r="B3" s="5"/>
      <c r="C3" s="5"/>
      <c r="D3" s="5"/>
      <c r="E3" s="5"/>
      <c r="F3" s="5"/>
      <c r="G3" s="5"/>
      <c r="H3" s="5"/>
      <c r="AJ3" s="1"/>
    </row>
    <row r="4" spans="1:36" ht="26.25" x14ac:dyDescent="0.4">
      <c r="B4" s="16"/>
      <c r="C4" s="16"/>
      <c r="D4" s="16"/>
      <c r="E4" s="16"/>
      <c r="F4" s="16"/>
      <c r="G4" s="16"/>
      <c r="H4" s="16"/>
      <c r="I4" s="104"/>
      <c r="J4" s="146">
        <v>44912</v>
      </c>
      <c r="K4" s="146"/>
      <c r="L4" s="146"/>
      <c r="M4" s="146"/>
      <c r="N4" s="146"/>
      <c r="O4" s="146"/>
      <c r="P4"/>
      <c r="Q4"/>
      <c r="AJ4" s="108"/>
    </row>
    <row r="5" spans="1:36" ht="72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84" t="s">
        <v>10</v>
      </c>
      <c r="AF5" s="84" t="s">
        <v>11</v>
      </c>
      <c r="AG5" s="84" t="s">
        <v>307</v>
      </c>
      <c r="AH5" s="84" t="s">
        <v>273</v>
      </c>
      <c r="AI5" s="4" t="s">
        <v>65</v>
      </c>
      <c r="AJ5" s="84" t="s">
        <v>278</v>
      </c>
    </row>
    <row r="6" spans="1:36" x14ac:dyDescent="0.25">
      <c r="A6" s="1" t="s">
        <v>16</v>
      </c>
      <c r="B6" s="1" t="str">
        <f>VLOOKUP(A6,[15]LISTADHERENT!A$5:H$60,3,0)</f>
        <v>ASELBY</v>
      </c>
      <c r="C6" s="5"/>
      <c r="D6" s="5"/>
      <c r="E6" s="36"/>
      <c r="F6" s="5">
        <f>MVTNOV22!F6-MVTDEC22!E6</f>
        <v>584177.00555049011</v>
      </c>
      <c r="G6" s="6">
        <f t="shared" ref="G6" si="0">$S$40/$H$40*H6</f>
        <v>32425.476598106092</v>
      </c>
      <c r="H6" s="6">
        <f>MVTNOV22!H6+MVTNOV22!G6+K6</f>
        <v>648022.5160470925</v>
      </c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  <c r="AE6" s="36">
        <f>VLOOKUP($A6,[16]HISTODEC22!$A$6:$CA$36,60,0)</f>
        <v>6000</v>
      </c>
      <c r="AF6" s="36">
        <f>VLOOKUP($A6,[16]HISTODEC22!$A$6:$CA$36,61,0)</f>
        <v>0</v>
      </c>
      <c r="AG6" s="36">
        <f>VLOOKUP($A6,[16]HISTODEC22!$A$6:$CA$36,62,0)</f>
        <v>0</v>
      </c>
      <c r="AH6" s="36">
        <f>VLOOKUP($A6,[16]HISTODEC22!$A$6:$CA$36,63,0)</f>
        <v>0</v>
      </c>
      <c r="AI6" s="36">
        <f>VLOOKUP($A6,[16]HISTODEC22!$A$6:$CA$36,64,0)</f>
        <v>0</v>
      </c>
      <c r="AJ6" s="36">
        <f>VLOOKUP($A6,[16]HISTODEC22!$A$6:$CA$36,65,0)</f>
        <v>0</v>
      </c>
    </row>
    <row r="7" spans="1:36" x14ac:dyDescent="0.25">
      <c r="A7" s="1" t="s">
        <v>19</v>
      </c>
      <c r="B7" s="1" t="str">
        <f>VLOOKUP(A7,[15]LISTADHERENT!A$5:H$60,3,0)</f>
        <v>BOUTCHOUANG WILLIAM</v>
      </c>
      <c r="C7" s="5"/>
      <c r="D7" s="5"/>
      <c r="E7" s="36">
        <f>VLOOKUP($A7,[16]HISTODEC22!$A$6:$BA$39,48,0)</f>
        <v>0</v>
      </c>
      <c r="F7" s="5">
        <f>MVTNOV22!F7-MVTDEC22!E7</f>
        <v>570000</v>
      </c>
      <c r="G7" s="6">
        <f t="shared" ref="G7:G36" si="1">$S$40/$H$40*H7</f>
        <v>33466.041691376602</v>
      </c>
      <c r="H7" s="6">
        <f>MVTNOV22!H7+MVTNOV22!G7+K7</f>
        <v>668818.18909793417</v>
      </c>
      <c r="I7" s="36">
        <f>VLOOKUP($A7,[16]HISTODEC22!$A$6:$AQ$37,22,0)</f>
        <v>0</v>
      </c>
      <c r="J7" s="36">
        <f>VLOOKUP($A7,[16]HISTODEC22!$A$6:$AU$39,45,0)</f>
        <v>7000</v>
      </c>
      <c r="K7" s="36">
        <f t="shared" ref="K7:K36" si="2">IF(J7=0,0,J7-(L7+M7+N7))</f>
        <v>3000</v>
      </c>
      <c r="L7" s="36">
        <f t="shared" ref="L7:L36" si="3">IF(J7=0,0,500)</f>
        <v>500</v>
      </c>
      <c r="M7" s="36">
        <f t="shared" ref="M7:M36" si="4">IF(J7=0,0,1000)</f>
        <v>1000</v>
      </c>
      <c r="N7" s="36">
        <f t="shared" ref="N7:N36" si="5">IF(J7=0,0,2500)</f>
        <v>2500</v>
      </c>
      <c r="O7" s="36">
        <f>VLOOKUP($A7,[16]HISTODEC22!$A$6:$AU$39,7,0)</f>
        <v>0</v>
      </c>
      <c r="P7" s="36">
        <f>VLOOKUP($A7,[16]HISTODEC22!$A$6:$AU$39,23,0)</f>
        <v>0</v>
      </c>
      <c r="Q7" s="36">
        <f>VLOOKUP($A7,[16]HISTODEC22!$A$6:$AU$39,46,0)</f>
        <v>0</v>
      </c>
      <c r="R7" s="36">
        <f>VLOOKUP($A7,[16]HISTODEC22!$A$6:$AU$39,26,0)</f>
        <v>500000</v>
      </c>
      <c r="S7" s="36">
        <f>VLOOKUP($A7,[16]HISTODEC22!$A$6:$BG$39,58,0)</f>
        <v>10000</v>
      </c>
      <c r="T7" s="36">
        <f>VLOOKUP($A7,[16]HISTODEC22!$A$6:$AU$39,28,0)</f>
        <v>0</v>
      </c>
      <c r="U7" s="36">
        <f>VLOOKUP($A7,[16]HISTODEC22!$A$6:$AU$39,19,0)</f>
        <v>0</v>
      </c>
      <c r="V7" s="36">
        <f>VLOOKUP($A7,[16]HISTODEC22!$A$6:$AU$39,20,0)</f>
        <v>0</v>
      </c>
      <c r="W7" s="36" t="str">
        <f>VLOOKUP($A7,[16]HISTODEC22!$A$6:$AU$39,27,0)</f>
        <v>BANQUE</v>
      </c>
      <c r="X7" s="36">
        <f>VLOOKUP($A7,[16]HISTODEC22!$A$6:$AU$39,33,0)</f>
        <v>0</v>
      </c>
      <c r="Y7" s="36">
        <f>VLOOKUP($A7,[16]HISTODEC22!$A$6:$BP$39,65,0)</f>
        <v>0</v>
      </c>
      <c r="Z7" s="36"/>
      <c r="AA7" s="36">
        <f>VLOOKUP($A7,[16]HISTODEC22!$A$6:$AU$39,43,0)</f>
        <v>0</v>
      </c>
      <c r="AB7" s="36">
        <f>VLOOKUP($A7,[16]HISTODEC22!$A$6:$AU$39,44,0)</f>
        <v>0</v>
      </c>
      <c r="AC7" s="36">
        <f>VLOOKUP($A7,[16]HISTODEC22!$A$6:$AU$39,47,0)</f>
        <v>0</v>
      </c>
      <c r="AD7" s="36">
        <f>VLOOKUP(A7,[16]HISTODEC22!$A$6:$BB$36,54,0)</f>
        <v>0</v>
      </c>
      <c r="AE7" s="36">
        <f>VLOOKUP($A7,[16]HISTODEC22!$A$6:$CA$36,60,0)</f>
        <v>0</v>
      </c>
      <c r="AF7" s="36">
        <f>VLOOKUP($A7,[16]HISTODEC22!$A$6:$CA$36,61,0)</f>
        <v>0</v>
      </c>
      <c r="AG7" s="36">
        <f>VLOOKUP($A7,[16]HISTODEC22!$A$6:$CA$36,62,0)</f>
        <v>0</v>
      </c>
      <c r="AH7" s="36">
        <f>VLOOKUP($A7,[16]HISTODEC22!$A$6:$CA$36,63,0)</f>
        <v>0</v>
      </c>
      <c r="AI7" s="36">
        <f>VLOOKUP($A7,[16]HISTODEC22!$A$6:$CA$36,64,0)</f>
        <v>0</v>
      </c>
      <c r="AJ7" s="36">
        <f>VLOOKUP($A7,[16]HISTODEC22!$A$6:$CA$36,65,0)</f>
        <v>0</v>
      </c>
    </row>
    <row r="8" spans="1:36" x14ac:dyDescent="0.25">
      <c r="A8" s="1" t="s">
        <v>23</v>
      </c>
      <c r="B8" s="1" t="str">
        <f>VLOOKUP(A8,[15]LISTADHERENT!A$5:H$60,3,0)</f>
        <v xml:space="preserve">DJOMO JEAN PAUL </v>
      </c>
      <c r="C8" s="5"/>
      <c r="D8" s="5"/>
      <c r="E8" s="36">
        <f>VLOOKUP($A8,[16]HISTODEC22!$A$6:$BA$39,48,0)</f>
        <v>0</v>
      </c>
      <c r="F8" s="5">
        <f>MVTNOV22!F8-MVTDEC22!E8</f>
        <v>570000</v>
      </c>
      <c r="G8" s="6">
        <f t="shared" si="1"/>
        <v>38733.667256153705</v>
      </c>
      <c r="H8" s="6">
        <f>MVTNOV22!H8+MVTNOV22!G8+K8</f>
        <v>774091.58305261924</v>
      </c>
      <c r="I8" s="36">
        <f>VLOOKUP($A8,[16]HISTODEC22!$A$6:$AQ$37,22,0)</f>
        <v>0</v>
      </c>
      <c r="J8" s="36">
        <f>VLOOKUP($A8,[16]HISTODEC22!$A$6:$AU$39,45,0)</f>
        <v>7000</v>
      </c>
      <c r="K8" s="36">
        <f t="shared" si="2"/>
        <v>3000</v>
      </c>
      <c r="L8" s="36">
        <f t="shared" si="3"/>
        <v>500</v>
      </c>
      <c r="M8" s="36">
        <f t="shared" si="4"/>
        <v>1000</v>
      </c>
      <c r="N8" s="36">
        <f t="shared" si="5"/>
        <v>2500</v>
      </c>
      <c r="O8" s="36">
        <f>VLOOKUP($A8,[16]HISTODEC22!$A$6:$AU$39,7,0)</f>
        <v>0</v>
      </c>
      <c r="P8" s="36">
        <f>VLOOKUP($A8,[16]HISTODEC22!$A$6:$AU$39,23,0)</f>
        <v>0</v>
      </c>
      <c r="Q8" s="36">
        <f>VLOOKUP($A8,[16]HISTODEC22!$A$6:$AU$39,46,0)</f>
        <v>0</v>
      </c>
      <c r="R8" s="36">
        <f>VLOOKUP($A8,[16]HISTODEC22!$A$6:$AU$39,26,0)</f>
        <v>1000000</v>
      </c>
      <c r="S8" s="36">
        <f>VLOOKUP($A8,[16]HISTODEC22!$A$6:$BG$39,58,0)</f>
        <v>120000</v>
      </c>
      <c r="T8" s="36">
        <f>VLOOKUP($A8,[16]HISTODEC22!$A$6:$AU$39,28,0)</f>
        <v>0</v>
      </c>
      <c r="U8" s="36">
        <f>VLOOKUP($A8,[16]HISTODEC22!$A$6:$AU$39,19,0)</f>
        <v>1000000</v>
      </c>
      <c r="V8" s="36" t="str">
        <f>VLOOKUP($A8,[16]HISTODEC22!$A$6:$AU$39,20,0)</f>
        <v>BANQUE</v>
      </c>
      <c r="W8" s="36" t="str">
        <f>VLOOKUP($A8,[16]HISTODEC22!$A$6:$AU$39,27,0)</f>
        <v>BANQUE</v>
      </c>
      <c r="X8" s="36">
        <f>VLOOKUP($A8,[16]HISTODEC22!$A$6:$AU$39,33,0)</f>
        <v>0</v>
      </c>
      <c r="Y8" s="36">
        <f>VLOOKUP($A8,[16]HISTODEC22!$A$6:$BP$39,65,0)</f>
        <v>0</v>
      </c>
      <c r="Z8" s="36"/>
      <c r="AA8" s="36">
        <f>VLOOKUP($A8,[16]HISTODEC22!$A$6:$AU$39,43,0)</f>
        <v>0</v>
      </c>
      <c r="AB8" s="36">
        <f>VLOOKUP($A8,[16]HISTODEC22!$A$6:$AU$39,44,0)</f>
        <v>0</v>
      </c>
      <c r="AC8" s="36">
        <f>VLOOKUP($A8,[16]HISTODEC22!$A$6:$AU$39,47,0)</f>
        <v>0</v>
      </c>
      <c r="AD8" s="36">
        <f>VLOOKUP(A8,[16]HISTODEC22!$A$6:$BB$36,54,0)</f>
        <v>0</v>
      </c>
      <c r="AE8" s="36">
        <f>VLOOKUP($A8,[16]HISTODEC22!$A$6:$CA$36,60,0)</f>
        <v>0</v>
      </c>
      <c r="AF8" s="36">
        <f>VLOOKUP($A8,[16]HISTODEC22!$A$6:$CA$36,61,0)</f>
        <v>0</v>
      </c>
      <c r="AG8" s="36">
        <f>VLOOKUP($A8,[16]HISTODEC22!$A$6:$CA$36,62,0)</f>
        <v>0</v>
      </c>
      <c r="AH8" s="36">
        <f>VLOOKUP($A8,[16]HISTODEC22!$A$6:$CA$36,63,0)</f>
        <v>0</v>
      </c>
      <c r="AI8" s="36">
        <f>VLOOKUP($A8,[16]HISTODEC22!$A$6:$CA$36,64,0)</f>
        <v>0</v>
      </c>
      <c r="AJ8" s="36">
        <f>VLOOKUP($A8,[16]HISTODEC22!$A$6:$CA$36,65,0)</f>
        <v>0</v>
      </c>
    </row>
    <row r="9" spans="1:36" x14ac:dyDescent="0.25">
      <c r="A9" s="1" t="s">
        <v>154</v>
      </c>
      <c r="B9" s="1" t="str">
        <f>VLOOKUP(A9,[15]LISTADHERENT!A$5:H$60,3,0)</f>
        <v>DJOMOU TCHANDA</v>
      </c>
      <c r="C9" s="5"/>
      <c r="D9" s="5"/>
      <c r="E9" s="36">
        <f>VLOOKUP($A9,[16]HISTODEC22!$A$6:$BA$39,48,0)</f>
        <v>0</v>
      </c>
      <c r="F9" s="5">
        <f>MVTNOV22!F9-MVTDEC22!E9</f>
        <v>570000</v>
      </c>
      <c r="G9" s="6">
        <f t="shared" si="1"/>
        <v>33550.53186309951</v>
      </c>
      <c r="H9" s="6">
        <f>MVTNOV22!H9+MVTNOV22!G9+K9</f>
        <v>670506.72352842975</v>
      </c>
      <c r="I9" s="36">
        <f>VLOOKUP($A9,[16]HISTODEC22!$A$6:$AQ$37,22,0)</f>
        <v>0</v>
      </c>
      <c r="J9" s="36">
        <f>VLOOKUP($A9,[16]HISTODEC22!$A$6:$AU$39,45,0)</f>
        <v>7000</v>
      </c>
      <c r="K9" s="36">
        <f t="shared" si="2"/>
        <v>3000</v>
      </c>
      <c r="L9" s="36">
        <f t="shared" si="3"/>
        <v>500</v>
      </c>
      <c r="M9" s="36">
        <f t="shared" si="4"/>
        <v>1000</v>
      </c>
      <c r="N9" s="36">
        <f t="shared" si="5"/>
        <v>2500</v>
      </c>
      <c r="O9" s="36">
        <f>VLOOKUP($A9,[16]HISTODEC22!$A$6:$AU$39,7,0)</f>
        <v>0</v>
      </c>
      <c r="P9" s="36">
        <f>VLOOKUP($A9,[16]HISTODEC22!$A$6:$AU$39,23,0)</f>
        <v>0</v>
      </c>
      <c r="Q9" s="36">
        <f>VLOOKUP($A9,[16]HISTODEC22!$A$6:$AU$39,46,0)</f>
        <v>0</v>
      </c>
      <c r="R9" s="36">
        <f>VLOOKUP($A9,[16]HISTODEC22!$A$6:$AU$39,26,0)</f>
        <v>0</v>
      </c>
      <c r="S9" s="36">
        <f>VLOOKUP($A9,[16]HISTODEC22!$A$6:$BG$39,58,0)</f>
        <v>0</v>
      </c>
      <c r="T9" s="36">
        <f>VLOOKUP($A9,[16]HISTODEC22!$A$6:$AU$39,28,0)</f>
        <v>0</v>
      </c>
      <c r="U9" s="36">
        <f>VLOOKUP($A9,[16]HISTODEC22!$A$6:$AU$39,19,0)</f>
        <v>0</v>
      </c>
      <c r="V9" s="36">
        <f>VLOOKUP($A9,[16]HISTODEC22!$A$6:$AU$39,20,0)</f>
        <v>0</v>
      </c>
      <c r="W9" s="36">
        <f>VLOOKUP($A9,[16]HISTODEC22!$A$6:$AU$39,27,0)</f>
        <v>0</v>
      </c>
      <c r="X9" s="36">
        <f>VLOOKUP($A9,[16]HISTODEC22!$A$6:$AU$39,33,0)</f>
        <v>0</v>
      </c>
      <c r="Y9" s="36">
        <f>VLOOKUP($A9,[16]HISTODEC22!$A$6:$BP$39,65,0)</f>
        <v>0</v>
      </c>
      <c r="Z9" s="36"/>
      <c r="AA9" s="36">
        <f>VLOOKUP($A9,[16]HISTODEC22!$A$6:$AU$39,43,0)</f>
        <v>0</v>
      </c>
      <c r="AB9" s="36">
        <f>VLOOKUP($A9,[16]HISTODEC22!$A$6:$AU$39,44,0)</f>
        <v>0</v>
      </c>
      <c r="AC9" s="36">
        <f>VLOOKUP($A9,[16]HISTODEC22!$A$6:$AU$39,47,0)</f>
        <v>0</v>
      </c>
      <c r="AD9" s="36">
        <f>VLOOKUP(A9,[16]HISTODEC22!$A$6:$BB$36,54,0)</f>
        <v>0</v>
      </c>
      <c r="AE9" s="36">
        <f>VLOOKUP($A9,[16]HISTODEC22!$A$6:$CA$36,60,0)</f>
        <v>0</v>
      </c>
      <c r="AF9" s="36">
        <f>VLOOKUP($A9,[16]HISTODEC22!$A$6:$CA$36,61,0)</f>
        <v>0</v>
      </c>
      <c r="AG9" s="36">
        <f>VLOOKUP($A9,[16]HISTODEC22!$A$6:$CA$36,62,0)</f>
        <v>0</v>
      </c>
      <c r="AH9" s="36">
        <f>VLOOKUP($A9,[16]HISTODEC22!$A$6:$CA$36,63,0)</f>
        <v>0</v>
      </c>
      <c r="AI9" s="36">
        <f>VLOOKUP($A9,[16]HISTODEC22!$A$6:$CA$36,64,0)</f>
        <v>0</v>
      </c>
      <c r="AJ9" s="36">
        <f>VLOOKUP($A9,[16]HISTODEC22!$A$6:$CA$36,65,0)</f>
        <v>0</v>
      </c>
    </row>
    <row r="10" spans="1:36" x14ac:dyDescent="0.25">
      <c r="A10" s="1" t="s">
        <v>24</v>
      </c>
      <c r="B10" s="1" t="str">
        <f>VLOOKUP(A10,[15]LISTADHERENT!A$5:H$60,3,0)</f>
        <v>DJOUKWE NANGUEN GUY BLAISE</v>
      </c>
      <c r="C10" s="5"/>
      <c r="D10" s="5"/>
      <c r="E10" s="36">
        <f>VLOOKUP($A10,[16]HISTODEC22!$A$6:$BA$39,48,0)</f>
        <v>0</v>
      </c>
      <c r="F10" s="5">
        <f>MVTNOV22!F10-MVTDEC22!E10</f>
        <v>570000</v>
      </c>
      <c r="G10" s="6">
        <f t="shared" si="1"/>
        <v>39886.537696997773</v>
      </c>
      <c r="H10" s="6">
        <f>MVTNOV22!H10+MVTNOV22!G10+K10</f>
        <v>797131.67627967556</v>
      </c>
      <c r="I10" s="36">
        <f>VLOOKUP($A10,[16]HISTODEC22!$A$6:$AQ$37,22,0)</f>
        <v>0</v>
      </c>
      <c r="J10" s="36">
        <f>VLOOKUP($A10,[16]HISTODEC22!$A$6:$AU$39,45,0)</f>
        <v>7000</v>
      </c>
      <c r="K10" s="36">
        <f t="shared" si="2"/>
        <v>3000</v>
      </c>
      <c r="L10" s="36">
        <f t="shared" si="3"/>
        <v>500</v>
      </c>
      <c r="M10" s="36">
        <f t="shared" si="4"/>
        <v>1000</v>
      </c>
      <c r="N10" s="36">
        <f t="shared" si="5"/>
        <v>2500</v>
      </c>
      <c r="O10" s="36">
        <f>VLOOKUP($A10,[16]HISTODEC22!$A$6:$AU$39,7,0)</f>
        <v>0</v>
      </c>
      <c r="P10" s="36">
        <f>VLOOKUP($A10,[16]HISTODEC22!$A$6:$AU$39,23,0)</f>
        <v>0</v>
      </c>
      <c r="Q10" s="36">
        <f>VLOOKUP($A10,[16]HISTODEC22!$A$6:$AU$39,46,0)</f>
        <v>0</v>
      </c>
      <c r="R10" s="36">
        <f>VLOOKUP($A10,[16]HISTODEC22!$A$6:$AU$39,26,0)</f>
        <v>1000000</v>
      </c>
      <c r="S10" s="36">
        <f>VLOOKUP($A10,[16]HISTODEC22!$A$6:$BG$39,58,0)</f>
        <v>40000</v>
      </c>
      <c r="T10" s="36">
        <f>VLOOKUP($A10,[16]HISTODEC22!$A$6:$AU$39,28,0)</f>
        <v>0</v>
      </c>
      <c r="U10" s="36">
        <f>VLOOKUP($A10,[16]HISTODEC22!$A$6:$AU$39,19,0)</f>
        <v>1000000</v>
      </c>
      <c r="V10" s="36" t="str">
        <f>VLOOKUP($A10,[16]HISTODEC22!$A$6:$AU$39,20,0)</f>
        <v>BANQUE</v>
      </c>
      <c r="W10" s="36" t="str">
        <f>VLOOKUP($A10,[16]HISTODEC22!$A$6:$AU$39,27,0)</f>
        <v>BANQUE</v>
      </c>
      <c r="X10" s="36">
        <f>VLOOKUP($A10,[16]HISTODEC22!$A$6:$AU$39,33,0)</f>
        <v>0</v>
      </c>
      <c r="Y10" s="36">
        <f>VLOOKUP($A10,[16]HISTODEC22!$A$6:$BP$39,65,0)</f>
        <v>0</v>
      </c>
      <c r="Z10" s="36"/>
      <c r="AA10" s="36">
        <f>VLOOKUP($A10,[16]HISTODEC22!$A$6:$AU$39,43,0)</f>
        <v>0</v>
      </c>
      <c r="AB10" s="36">
        <f>VLOOKUP($A10,[16]HISTODEC22!$A$6:$AU$39,44,0)</f>
        <v>0</v>
      </c>
      <c r="AC10" s="36">
        <f>VLOOKUP($A10,[16]HISTODEC22!$A$6:$AU$39,47,0)</f>
        <v>0</v>
      </c>
      <c r="AD10" s="36">
        <f>VLOOKUP(A10,[16]HISTODEC22!$A$6:$BB$36,54,0)</f>
        <v>0</v>
      </c>
      <c r="AE10" s="36">
        <f>VLOOKUP($A10,[16]HISTODEC22!$A$6:$CA$36,60,0)</f>
        <v>0</v>
      </c>
      <c r="AF10" s="36">
        <f>VLOOKUP($A10,[16]HISTODEC22!$A$6:$CA$36,61,0)</f>
        <v>0</v>
      </c>
      <c r="AG10" s="36">
        <f>VLOOKUP($A10,[16]HISTODEC22!$A$6:$CA$36,62,0)</f>
        <v>0</v>
      </c>
      <c r="AH10" s="36">
        <f>VLOOKUP($A10,[16]HISTODEC22!$A$6:$CA$36,63,0)</f>
        <v>0</v>
      </c>
      <c r="AI10" s="36">
        <f>VLOOKUP($A10,[16]HISTODEC22!$A$6:$CA$36,64,0)</f>
        <v>0</v>
      </c>
      <c r="AJ10" s="36">
        <f>VLOOKUP($A10,[16]HISTODEC22!$A$6:$CA$36,65,0)</f>
        <v>0</v>
      </c>
    </row>
    <row r="11" spans="1:36" x14ac:dyDescent="0.25">
      <c r="A11" s="1" t="s">
        <v>25</v>
      </c>
      <c r="B11" s="1" t="str">
        <f>VLOOKUP(A11,[15]LISTADHERENT!A$5:H$60,3,0)</f>
        <v>DJUOMBESSY ANTOINE</v>
      </c>
      <c r="C11" s="5"/>
      <c r="D11" s="5"/>
      <c r="E11" s="36">
        <f>VLOOKUP($A11,[16]HISTODEC22!$A$6:$BA$39,48,0)</f>
        <v>0</v>
      </c>
      <c r="F11" s="5">
        <f>MVTNOV22!F11-MVTDEC22!E11</f>
        <v>570000</v>
      </c>
      <c r="G11" s="6">
        <f t="shared" si="1"/>
        <v>34654.244492570142</v>
      </c>
      <c r="H11" s="6">
        <f>MVTNOV22!H11+MVTNOV22!G11+K11</f>
        <v>692564.39885599259</v>
      </c>
      <c r="I11" s="36">
        <f>VLOOKUP($A11,[16]HISTODEC22!$A$6:$AQ$37,22,0)</f>
        <v>0</v>
      </c>
      <c r="J11" s="36">
        <f>VLOOKUP($A11,[16]HISTODEC22!$A$6:$AU$39,45,0)</f>
        <v>8000</v>
      </c>
      <c r="K11" s="36">
        <f t="shared" si="2"/>
        <v>4000</v>
      </c>
      <c r="L11" s="36">
        <f t="shared" si="3"/>
        <v>500</v>
      </c>
      <c r="M11" s="36">
        <f t="shared" si="4"/>
        <v>1000</v>
      </c>
      <c r="N11" s="36">
        <f t="shared" si="5"/>
        <v>2500</v>
      </c>
      <c r="O11" s="36">
        <f>VLOOKUP($A11,[16]HISTODEC22!$A$6:$AU$39,7,0)</f>
        <v>0</v>
      </c>
      <c r="P11" s="36">
        <f>VLOOKUP($A11,[16]HISTODEC22!$A$6:$AU$39,23,0)</f>
        <v>0</v>
      </c>
      <c r="Q11" s="36">
        <f>VLOOKUP($A11,[16]HISTODEC22!$A$6:$AU$39,46,0)</f>
        <v>0</v>
      </c>
      <c r="R11" s="36">
        <f>VLOOKUP($A11,[16]HISTODEC22!$A$6:$AU$39,26,0)</f>
        <v>1000000</v>
      </c>
      <c r="S11" s="36">
        <f>VLOOKUP($A11,[16]HISTODEC22!$A$6:$BG$39,58,0)</f>
        <v>60000</v>
      </c>
      <c r="T11" s="36">
        <f>VLOOKUP($A11,[16]HISTODEC22!$A$6:$AU$39,28,0)</f>
        <v>0</v>
      </c>
      <c r="U11" s="36">
        <f>VLOOKUP($A11,[16]HISTODEC22!$A$6:$AU$39,19,0)</f>
        <v>0</v>
      </c>
      <c r="V11" s="36">
        <f>VLOOKUP($A11,[16]HISTODEC22!$A$6:$AU$39,20,0)</f>
        <v>0</v>
      </c>
      <c r="W11" s="36" t="str">
        <f>VLOOKUP($A11,[16]HISTODEC22!$A$6:$AU$39,27,0)</f>
        <v>BANQUE</v>
      </c>
      <c r="X11" s="36">
        <f>VLOOKUP($A11,[16]HISTODEC22!$A$6:$AU$39,33,0)</f>
        <v>0</v>
      </c>
      <c r="Y11" s="36">
        <f>VLOOKUP($A11,[16]HISTODEC22!$A$6:$BP$39,65,0)</f>
        <v>0</v>
      </c>
      <c r="Z11" s="36"/>
      <c r="AA11" s="36">
        <f>VLOOKUP($A11,[16]HISTODEC22!$A$6:$AU$39,43,0)</f>
        <v>0</v>
      </c>
      <c r="AB11" s="36">
        <f>VLOOKUP($A11,[16]HISTODEC22!$A$6:$AU$39,44,0)</f>
        <v>0</v>
      </c>
      <c r="AC11" s="36">
        <f>VLOOKUP($A11,[16]HISTODEC22!$A$6:$AU$39,47,0)</f>
        <v>0</v>
      </c>
      <c r="AD11" s="36">
        <f>VLOOKUP(A11,[16]HISTODEC22!$A$6:$BB$36,54,0)</f>
        <v>9000</v>
      </c>
      <c r="AE11" s="36">
        <f>VLOOKUP($A11,[16]HISTODEC22!$A$6:$CA$36,60,0)</f>
        <v>0</v>
      </c>
      <c r="AF11" s="36">
        <f>VLOOKUP($A11,[16]HISTODEC22!$A$6:$CA$36,61,0)</f>
        <v>0</v>
      </c>
      <c r="AG11" s="36">
        <f>VLOOKUP($A11,[16]HISTODEC22!$A$6:$CA$36,62,0)</f>
        <v>0</v>
      </c>
      <c r="AH11" s="36">
        <f>VLOOKUP($A11,[16]HISTODEC22!$A$6:$CA$36,63,0)</f>
        <v>0</v>
      </c>
      <c r="AI11" s="36">
        <f>VLOOKUP($A11,[16]HISTODEC22!$A$6:$CA$36,64,0)</f>
        <v>0</v>
      </c>
      <c r="AJ11" s="36">
        <f>VLOOKUP($A11,[16]HISTODEC22!$A$6:$CA$36,65,0)</f>
        <v>0</v>
      </c>
    </row>
    <row r="12" spans="1:36" x14ac:dyDescent="0.25">
      <c r="A12" s="1" t="s">
        <v>79</v>
      </c>
      <c r="B12" s="1" t="str">
        <f>VLOOKUP(A12,[15]LISTADHERENT!A$5:H$60,3,0)</f>
        <v>DOMOU FABIEN</v>
      </c>
      <c r="C12" s="5"/>
      <c r="D12" s="5"/>
      <c r="E12" s="36">
        <f>VLOOKUP($A12,[16]HISTODEC22!$A$6:$BA$39,48,0)</f>
        <v>0</v>
      </c>
      <c r="F12" s="5">
        <f>MVTNOV22!F12-MVTDEC22!E12</f>
        <v>570000</v>
      </c>
      <c r="G12" s="6">
        <f t="shared" si="1"/>
        <v>36912.457149727539</v>
      </c>
      <c r="H12" s="6">
        <f>MVTNOV22!H12+MVTNOV22!G12+K12</f>
        <v>737694.73467181216</v>
      </c>
      <c r="I12" s="36">
        <f>VLOOKUP($A12,[16]HISTODEC22!$A$6:$AQ$37,22,0)</f>
        <v>0</v>
      </c>
      <c r="J12" s="36">
        <f>VLOOKUP($A12,[16]HISTODEC22!$A$6:$AU$39,45,0)</f>
        <v>12000</v>
      </c>
      <c r="K12" s="36">
        <f t="shared" si="2"/>
        <v>8000</v>
      </c>
      <c r="L12" s="36">
        <f t="shared" si="3"/>
        <v>500</v>
      </c>
      <c r="M12" s="36">
        <f t="shared" si="4"/>
        <v>1000</v>
      </c>
      <c r="N12" s="36">
        <f t="shared" si="5"/>
        <v>2500</v>
      </c>
      <c r="O12" s="36">
        <f>VLOOKUP($A12,[16]HISTODEC22!$A$6:$AU$39,7,0)</f>
        <v>0</v>
      </c>
      <c r="P12" s="36">
        <f>VLOOKUP($A12,[16]HISTODEC22!$A$6:$AU$39,23,0)</f>
        <v>0</v>
      </c>
      <c r="Q12" s="36">
        <f>VLOOKUP($A12,[16]HISTODEC22!$A$6:$AU$39,46,0)</f>
        <v>0</v>
      </c>
      <c r="R12" s="36">
        <f>VLOOKUP($A12,[16]HISTODEC22!$A$6:$AU$39,26,0)</f>
        <v>1000000</v>
      </c>
      <c r="S12" s="36">
        <f>VLOOKUP($A12,[16]HISTODEC22!$A$6:$BG$39,58,0)</f>
        <v>120000</v>
      </c>
      <c r="T12" s="36">
        <f>VLOOKUP($A12,[16]HISTODEC22!$A$6:$AU$39,28,0)</f>
        <v>0</v>
      </c>
      <c r="U12" s="36">
        <f>VLOOKUP($A12,[16]HISTODEC22!$A$6:$AU$39,19,0)</f>
        <v>1000000</v>
      </c>
      <c r="V12" s="36" t="str">
        <f>VLOOKUP($A12,[16]HISTODEC22!$A$6:$AU$39,20,0)</f>
        <v>BANQUE</v>
      </c>
      <c r="W12" s="36" t="str">
        <f>VLOOKUP($A12,[16]HISTODEC22!$A$6:$AU$39,27,0)</f>
        <v>BANQUE</v>
      </c>
      <c r="X12" s="36">
        <f>VLOOKUP($A12,[16]HISTODEC22!$A$6:$AU$39,33,0)</f>
        <v>0</v>
      </c>
      <c r="Y12" s="36">
        <f>VLOOKUP($A12,[16]HISTODEC22!$A$6:$BP$39,65,0)</f>
        <v>0</v>
      </c>
      <c r="Z12" s="36"/>
      <c r="AA12" s="36">
        <f>VLOOKUP($A12,[16]HISTODEC22!$A$6:$AU$39,43,0)</f>
        <v>0</v>
      </c>
      <c r="AB12" s="36">
        <f>VLOOKUP($A12,[16]HISTODEC22!$A$6:$AU$39,44,0)</f>
        <v>0</v>
      </c>
      <c r="AC12" s="36">
        <f>VLOOKUP($A12,[16]HISTODEC22!$A$6:$AU$39,47,0)</f>
        <v>0</v>
      </c>
      <c r="AD12" s="36">
        <f>VLOOKUP(A12,[16]HISTODEC22!$A$6:$BB$36,54,0)</f>
        <v>0</v>
      </c>
      <c r="AE12" s="36">
        <f>VLOOKUP($A12,[16]HISTODEC22!$A$6:$CA$36,60,0)</f>
        <v>0</v>
      </c>
      <c r="AF12" s="36">
        <f>VLOOKUP($A12,[16]HISTODEC22!$A$6:$CA$36,61,0)</f>
        <v>0</v>
      </c>
      <c r="AG12" s="36">
        <f>VLOOKUP($A12,[16]HISTODEC22!$A$6:$CA$36,62,0)</f>
        <v>0</v>
      </c>
      <c r="AH12" s="36">
        <f>VLOOKUP($A12,[16]HISTODEC22!$A$6:$CA$36,63,0)</f>
        <v>0</v>
      </c>
      <c r="AI12" s="36">
        <f>VLOOKUP($A12,[16]HISTODEC22!$A$6:$CA$36,64,0)</f>
        <v>0</v>
      </c>
      <c r="AJ12" s="36">
        <f>VLOOKUP($A12,[16]HISTODEC22!$A$6:$CA$36,65,0)</f>
        <v>0</v>
      </c>
    </row>
    <row r="13" spans="1:36" x14ac:dyDescent="0.25">
      <c r="A13" s="1" t="s">
        <v>26</v>
      </c>
      <c r="B13" s="1" t="str">
        <f>VLOOKUP(A13,[15]LISTADHERENT!A$5:H$60,3,0)</f>
        <v>DONHOU DAVID</v>
      </c>
      <c r="C13" s="5"/>
      <c r="D13" s="5"/>
      <c r="E13" s="36">
        <f>VLOOKUP($A13,[16]HISTODEC22!$A$6:$BA$39,48,0)</f>
        <v>0</v>
      </c>
      <c r="F13" s="5">
        <f>MVTNOV22!F13-MVTDEC22!E13</f>
        <v>570000</v>
      </c>
      <c r="G13" s="6">
        <f t="shared" si="1"/>
        <v>50331.784931115522</v>
      </c>
      <c r="H13" s="6">
        <f>MVTNOV22!H13+MVTNOV22!G13+K13</f>
        <v>1005879.7380979024</v>
      </c>
      <c r="I13" s="36">
        <f>VLOOKUP($A13,[16]HISTODEC22!$A$6:$AQ$37,22,0)</f>
        <v>0</v>
      </c>
      <c r="J13" s="36">
        <f>VLOOKUP($A13,[16]HISTODEC22!$A$6:$AU$39,45,0)</f>
        <v>12000</v>
      </c>
      <c r="K13" s="36">
        <f t="shared" si="2"/>
        <v>8000</v>
      </c>
      <c r="L13" s="36">
        <f t="shared" si="3"/>
        <v>500</v>
      </c>
      <c r="M13" s="36">
        <f t="shared" si="4"/>
        <v>1000</v>
      </c>
      <c r="N13" s="36">
        <f t="shared" si="5"/>
        <v>2500</v>
      </c>
      <c r="O13" s="36">
        <f>VLOOKUP($A13,[16]HISTODEC22!$A$6:$AU$39,7,0)</f>
        <v>0</v>
      </c>
      <c r="P13" s="36">
        <f>VLOOKUP($A13,[16]HISTODEC22!$A$6:$AU$39,23,0)</f>
        <v>0</v>
      </c>
      <c r="Q13" s="36">
        <f>VLOOKUP($A13,[16]HISTODEC22!$A$6:$AU$39,46,0)</f>
        <v>0</v>
      </c>
      <c r="R13" s="36">
        <f>VLOOKUP($A13,[16]HISTODEC22!$A$6:$AU$39,26,0)</f>
        <v>0</v>
      </c>
      <c r="S13" s="36">
        <f>VLOOKUP($A13,[16]HISTODEC22!$A$6:$BG$39,58,0)</f>
        <v>0</v>
      </c>
      <c r="T13" s="36">
        <f>VLOOKUP($A13,[16]HISTODEC22!$A$6:$AU$39,28,0)</f>
        <v>0</v>
      </c>
      <c r="U13" s="36">
        <f>VLOOKUP($A13,[16]HISTODEC22!$A$6:$AU$39,19,0)</f>
        <v>0</v>
      </c>
      <c r="V13" s="36">
        <f>VLOOKUP($A13,[16]HISTODEC22!$A$6:$AU$39,20,0)</f>
        <v>0</v>
      </c>
      <c r="W13" s="36">
        <f>VLOOKUP($A13,[16]HISTODEC22!$A$6:$AU$39,27,0)</f>
        <v>0</v>
      </c>
      <c r="X13" s="36">
        <f>VLOOKUP($A13,[16]HISTODEC22!$A$6:$AU$39,33,0)</f>
        <v>0</v>
      </c>
      <c r="Y13" s="36">
        <f>VLOOKUP($A13,[16]HISTODEC22!$A$6:$BP$39,65,0)</f>
        <v>0</v>
      </c>
      <c r="Z13" s="36"/>
      <c r="AA13" s="36">
        <f>VLOOKUP($A13,[16]HISTODEC22!$A$6:$AU$39,43,0)</f>
        <v>0</v>
      </c>
      <c r="AB13" s="36">
        <f>VLOOKUP($A13,[16]HISTODEC22!$A$6:$AU$39,44,0)</f>
        <v>0</v>
      </c>
      <c r="AC13" s="36">
        <f>VLOOKUP($A13,[16]HISTODEC22!$A$6:$AU$39,47,0)</f>
        <v>0</v>
      </c>
      <c r="AD13" s="36">
        <f>VLOOKUP(A13,[16]HISTODEC22!$A$6:$BB$36,54,0)</f>
        <v>0</v>
      </c>
      <c r="AE13" s="36">
        <f>VLOOKUP($A13,[16]HISTODEC22!$A$6:$CA$36,60,0)</f>
        <v>0</v>
      </c>
      <c r="AF13" s="36">
        <f>VLOOKUP($A13,[16]HISTODEC22!$A$6:$CA$36,61,0)</f>
        <v>0</v>
      </c>
      <c r="AG13" s="36">
        <f>VLOOKUP($A13,[16]HISTODEC22!$A$6:$CA$36,62,0)</f>
        <v>0</v>
      </c>
      <c r="AH13" s="36">
        <f>VLOOKUP($A13,[16]HISTODEC22!$A$6:$CA$36,63,0)</f>
        <v>0</v>
      </c>
      <c r="AI13" s="36">
        <f>VLOOKUP($A13,[16]HISTODEC22!$A$6:$CA$36,64,0)</f>
        <v>0</v>
      </c>
      <c r="AJ13" s="36">
        <f>VLOOKUP($A13,[16]HISTODEC22!$A$6:$CA$36,65,0)</f>
        <v>0</v>
      </c>
    </row>
    <row r="14" spans="1:36" x14ac:dyDescent="0.25">
      <c r="A14" s="1" t="s">
        <v>27</v>
      </c>
      <c r="B14" s="1" t="str">
        <f>VLOOKUP(A14,[15]LISTADHERENT!A$5:H$60,3,0)</f>
        <v>FOTSO THOMAS</v>
      </c>
      <c r="C14" s="5"/>
      <c r="D14" s="5"/>
      <c r="E14" s="36">
        <f>VLOOKUP($A14,[16]HISTODEC22!$A$6:$BA$39,48,0)</f>
        <v>0</v>
      </c>
      <c r="F14" s="5">
        <f>MVTNOV22!F14-MVTDEC22!E14</f>
        <v>540000</v>
      </c>
      <c r="G14" s="6">
        <f t="shared" si="1"/>
        <v>0</v>
      </c>
      <c r="H14" s="6">
        <f>MVTNOV22!H14+MVTNOV22!G14+K14</f>
        <v>0</v>
      </c>
      <c r="I14" s="36">
        <f>VLOOKUP($A14,[16]HISTODEC22!$A$6:$AQ$37,22,0)</f>
        <v>0</v>
      </c>
      <c r="J14" s="36">
        <f>VLOOKUP($A14,[16]HISTODEC22!$A$6:$AU$39,45,0)</f>
        <v>0</v>
      </c>
      <c r="K14" s="36">
        <f t="shared" si="2"/>
        <v>0</v>
      </c>
      <c r="L14" s="36">
        <f t="shared" si="3"/>
        <v>0</v>
      </c>
      <c r="M14" s="36">
        <f t="shared" si="4"/>
        <v>0</v>
      </c>
      <c r="N14" s="36">
        <f t="shared" si="5"/>
        <v>0</v>
      </c>
      <c r="O14" s="36">
        <f>VLOOKUP($A14,[16]HISTODEC22!$A$6:$AU$39,7,0)</f>
        <v>0</v>
      </c>
      <c r="P14" s="36">
        <f>VLOOKUP($A14,[16]HISTODEC22!$A$6:$AU$39,23,0)</f>
        <v>0</v>
      </c>
      <c r="Q14" s="36">
        <f>VLOOKUP($A14,[16]HISTODEC22!$A$6:$AU$39,46,0)</f>
        <v>0</v>
      </c>
      <c r="R14" s="36">
        <f>VLOOKUP($A14,[16]HISTODEC22!$A$6:$AU$39,26,0)</f>
        <v>0</v>
      </c>
      <c r="S14" s="36">
        <f>VLOOKUP($A14,[16]HISTODEC22!$A$6:$BG$39,58,0)</f>
        <v>0</v>
      </c>
      <c r="T14" s="36">
        <f>VLOOKUP($A14,[16]HISTODEC22!$A$6:$AU$39,28,0)</f>
        <v>0</v>
      </c>
      <c r="U14" s="36">
        <f>VLOOKUP($A14,[16]HISTODEC22!$A$6:$AU$39,19,0)</f>
        <v>0</v>
      </c>
      <c r="V14" s="36">
        <f>VLOOKUP($A14,[16]HISTODEC22!$A$6:$AU$39,20,0)</f>
        <v>0</v>
      </c>
      <c r="W14" s="36">
        <f>VLOOKUP($A14,[16]HISTODEC22!$A$6:$AU$39,27,0)</f>
        <v>0</v>
      </c>
      <c r="X14" s="36">
        <f>VLOOKUP($A14,[16]HISTODEC22!$A$6:$AU$39,33,0)</f>
        <v>0</v>
      </c>
      <c r="Y14" s="36">
        <f>VLOOKUP($A14,[16]HISTODEC22!$A$6:$BP$39,65,0)</f>
        <v>0</v>
      </c>
      <c r="Z14" s="36"/>
      <c r="AA14" s="36">
        <f>VLOOKUP($A14,[16]HISTODEC22!$A$6:$AU$39,43,0)</f>
        <v>0</v>
      </c>
      <c r="AB14" s="36">
        <f>VLOOKUP($A14,[16]HISTODEC22!$A$6:$AU$39,44,0)</f>
        <v>0</v>
      </c>
      <c r="AC14" s="36">
        <f>VLOOKUP($A14,[16]HISTODEC22!$A$6:$AU$39,47,0)</f>
        <v>0</v>
      </c>
      <c r="AD14" s="36">
        <f>VLOOKUP(A14,[16]HISTODEC22!$A$6:$BB$36,54,0)</f>
        <v>0</v>
      </c>
      <c r="AE14" s="36">
        <f>VLOOKUP($A14,[16]HISTODEC22!$A$6:$CA$36,60,0)</f>
        <v>0</v>
      </c>
      <c r="AF14" s="36">
        <f>VLOOKUP($A14,[16]HISTODEC22!$A$6:$CA$36,61,0)</f>
        <v>0</v>
      </c>
      <c r="AG14" s="36">
        <f>VLOOKUP($A14,[16]HISTODEC22!$A$6:$CA$36,62,0)</f>
        <v>0</v>
      </c>
      <c r="AH14" s="36">
        <f>VLOOKUP($A14,[16]HISTODEC22!$A$6:$CA$36,63,0)</f>
        <v>0</v>
      </c>
      <c r="AI14" s="36">
        <f>VLOOKUP($A14,[16]HISTODEC22!$A$6:$CA$36,64,0)</f>
        <v>0</v>
      </c>
      <c r="AJ14" s="36">
        <f>VLOOKUP($A14,[16]HISTODEC22!$A$6:$CA$36,65,0)</f>
        <v>0</v>
      </c>
    </row>
    <row r="15" spans="1:36" ht="14.25" customHeight="1" x14ac:dyDescent="0.25">
      <c r="A15" s="1" t="s">
        <v>28</v>
      </c>
      <c r="B15" s="1" t="str">
        <f>VLOOKUP(A15,[15]LISTADHERENT!A$5:H$60,3,0)</f>
        <v>HENGUE PAUL OMER</v>
      </c>
      <c r="C15" s="5"/>
      <c r="D15" s="5"/>
      <c r="E15" s="36">
        <f>VLOOKUP($A15,[16]HISTODEC22!$A$6:$BA$39,48,0)</f>
        <v>0</v>
      </c>
      <c r="F15" s="5">
        <f>MVTNOV22!F15-MVTDEC22!E15</f>
        <v>570000</v>
      </c>
      <c r="G15" s="6">
        <f t="shared" si="1"/>
        <v>33671.132047413994</v>
      </c>
      <c r="H15" s="6">
        <f>MVTNOV22!H15+MVTNOV22!G15+K15</f>
        <v>672916.91585478652</v>
      </c>
      <c r="I15" s="36">
        <f>VLOOKUP($A15,[16]HISTODEC22!$A$6:$AQ$37,22,0)</f>
        <v>0</v>
      </c>
      <c r="J15" s="36">
        <f>VLOOKUP($A15,[16]HISTODEC22!$A$6:$AU$39,45,0)</f>
        <v>7000</v>
      </c>
      <c r="K15" s="36">
        <f t="shared" si="2"/>
        <v>3000</v>
      </c>
      <c r="L15" s="36">
        <f t="shared" si="3"/>
        <v>500</v>
      </c>
      <c r="M15" s="36">
        <f t="shared" si="4"/>
        <v>1000</v>
      </c>
      <c r="N15" s="36">
        <f t="shared" si="5"/>
        <v>2500</v>
      </c>
      <c r="O15" s="36">
        <f>VLOOKUP($A15,[16]HISTODEC22!$A$6:$AU$39,7,0)</f>
        <v>0</v>
      </c>
      <c r="P15" s="36">
        <f>VLOOKUP($A15,[16]HISTODEC22!$A$6:$AU$39,23,0)</f>
        <v>0</v>
      </c>
      <c r="Q15" s="36">
        <f>VLOOKUP($A15,[16]HISTODEC22!$A$6:$AU$39,46,0)</f>
        <v>0</v>
      </c>
      <c r="R15" s="36">
        <f>VLOOKUP($A15,[16]HISTODEC22!$A$6:$AU$39,26,0)</f>
        <v>0</v>
      </c>
      <c r="S15" s="36">
        <f>VLOOKUP($A15,[16]HISTODEC22!$A$6:$BG$39,58,0)</f>
        <v>0</v>
      </c>
      <c r="T15" s="36">
        <f>VLOOKUP($A15,[16]HISTODEC22!$A$6:$AU$39,28,0)</f>
        <v>0</v>
      </c>
      <c r="U15" s="36">
        <f>VLOOKUP($A15,[16]HISTODEC22!$A$6:$AU$39,19,0)</f>
        <v>0</v>
      </c>
      <c r="V15" s="36">
        <f>VLOOKUP($A15,[16]HISTODEC22!$A$6:$AU$39,20,0)</f>
        <v>0</v>
      </c>
      <c r="W15" s="36">
        <f>VLOOKUP($A15,[16]HISTODEC22!$A$6:$AU$39,27,0)</f>
        <v>0</v>
      </c>
      <c r="X15" s="36">
        <f>VLOOKUP($A15,[16]HISTODEC22!$A$6:$AU$39,33,0)</f>
        <v>0</v>
      </c>
      <c r="Y15" s="36">
        <f>VLOOKUP($A15,[16]HISTODEC22!$A$6:$BP$39,65,0)</f>
        <v>0</v>
      </c>
      <c r="Z15" s="36"/>
      <c r="AA15" s="36">
        <f>VLOOKUP($A15,[16]HISTODEC22!$A$6:$AU$39,43,0)</f>
        <v>0</v>
      </c>
      <c r="AB15" s="36">
        <f>VLOOKUP($A15,[16]HISTODEC22!$A$6:$AU$39,44,0)</f>
        <v>0</v>
      </c>
      <c r="AC15" s="36">
        <f>VLOOKUP($A15,[16]HISTODEC22!$A$6:$AU$39,47,0)</f>
        <v>0</v>
      </c>
      <c r="AD15" s="36">
        <f>VLOOKUP(A15,[16]HISTODEC22!$A$6:$BB$36,54,0)</f>
        <v>0</v>
      </c>
      <c r="AE15" s="36">
        <f>VLOOKUP($A15,[16]HISTODEC22!$A$6:$CA$36,60,0)</f>
        <v>0</v>
      </c>
      <c r="AF15" s="36">
        <f>VLOOKUP($A15,[16]HISTODEC22!$A$6:$CA$36,61,0)</f>
        <v>0</v>
      </c>
      <c r="AG15" s="36">
        <f>VLOOKUP($A15,[16]HISTODEC22!$A$6:$CA$36,62,0)</f>
        <v>0</v>
      </c>
      <c r="AH15" s="36">
        <f>VLOOKUP($A15,[16]HISTODEC22!$A$6:$CA$36,63,0)</f>
        <v>0</v>
      </c>
      <c r="AI15" s="36">
        <f>VLOOKUP($A15,[16]HISTODEC22!$A$6:$CA$36,64,0)</f>
        <v>0</v>
      </c>
      <c r="AJ15" s="36">
        <f>VLOOKUP($A15,[16]HISTODEC22!$A$6:$CA$36,65,0)</f>
        <v>0</v>
      </c>
    </row>
    <row r="16" spans="1:36" x14ac:dyDescent="0.25">
      <c r="A16" s="1" t="s">
        <v>29</v>
      </c>
      <c r="B16" s="1" t="str">
        <f>VLOOKUP(A16,[15]LISTADHERENT!A$5:H$60,3,0)</f>
        <v>HOTCHO BENJAMIN</v>
      </c>
      <c r="C16" s="5"/>
      <c r="D16" s="5"/>
      <c r="E16" s="36">
        <f>VLOOKUP($A16,[16]HISTODEC22!$A$6:$BA$39,48,0)</f>
        <v>0</v>
      </c>
      <c r="F16" s="5">
        <f>MVTNOV22!F16-MVTDEC22!E16</f>
        <v>70000</v>
      </c>
      <c r="G16" s="6">
        <f t="shared" si="1"/>
        <v>37045.9900562822</v>
      </c>
      <c r="H16" s="6">
        <f>MVTNOV22!H16+MVTNOV22!G16+K16</f>
        <v>740363.38719936472</v>
      </c>
      <c r="I16" s="36">
        <f>VLOOKUP($A16,[16]HISTODEC22!$A$6:$AQ$37,22,0)</f>
        <v>0</v>
      </c>
      <c r="J16" s="36">
        <f>VLOOKUP($A16,[16]HISTODEC22!$A$6:$AU$39,45,0)</f>
        <v>52000</v>
      </c>
      <c r="K16" s="36">
        <f t="shared" si="2"/>
        <v>48000</v>
      </c>
      <c r="L16" s="36">
        <f t="shared" si="3"/>
        <v>500</v>
      </c>
      <c r="M16" s="36">
        <f t="shared" si="4"/>
        <v>1000</v>
      </c>
      <c r="N16" s="36">
        <f t="shared" si="5"/>
        <v>2500</v>
      </c>
      <c r="O16" s="36">
        <f>VLOOKUP($A16,[16]HISTODEC22!$A$6:$AU$39,7,0)</f>
        <v>0</v>
      </c>
      <c r="P16" s="36">
        <f>VLOOKUP($A16,[16]HISTODEC22!$A$6:$AU$39,23,0)</f>
        <v>0</v>
      </c>
      <c r="Q16" s="36">
        <f>VLOOKUP($A16,[16]HISTODEC22!$A$6:$AU$39,46,0)</f>
        <v>0</v>
      </c>
      <c r="R16" s="36">
        <f>VLOOKUP($A16,[16]HISTODEC22!$A$6:$AU$39,26,0)</f>
        <v>1000000</v>
      </c>
      <c r="S16" s="36">
        <f>VLOOKUP($A16,[16]HISTODEC22!$A$6:$BG$39,58,0)</f>
        <v>120000</v>
      </c>
      <c r="T16" s="36">
        <f>VLOOKUP($A16,[16]HISTODEC22!$A$6:$AU$39,28,0)</f>
        <v>0</v>
      </c>
      <c r="U16" s="36">
        <f>VLOOKUP($A16,[16]HISTODEC22!$A$6:$AU$39,19,0)</f>
        <v>1000000</v>
      </c>
      <c r="V16" s="36" t="str">
        <f>VLOOKUP($A16,[16]HISTODEC22!$A$6:$AU$39,20,0)</f>
        <v>BANQUE</v>
      </c>
      <c r="W16" s="36" t="str">
        <f>VLOOKUP($A16,[16]HISTODEC22!$A$6:$AU$39,27,0)</f>
        <v>BANQUE</v>
      </c>
      <c r="X16" s="36">
        <f>VLOOKUP($A16,[16]HISTODEC22!$A$6:$AU$39,33,0)</f>
        <v>0</v>
      </c>
      <c r="Y16" s="36">
        <f>VLOOKUP($A16,[16]HISTODEC22!$A$6:$BP$39,65,0)</f>
        <v>0</v>
      </c>
      <c r="Z16" s="36"/>
      <c r="AA16" s="36">
        <f>VLOOKUP($A16,[16]HISTODEC22!$A$6:$AU$39,43,0)</f>
        <v>0</v>
      </c>
      <c r="AB16" s="36">
        <f>VLOOKUP($A16,[16]HISTODEC22!$A$6:$AU$39,44,0)</f>
        <v>0</v>
      </c>
      <c r="AC16" s="36">
        <f>VLOOKUP($A16,[16]HISTODEC22!$A$6:$AU$39,47,0)</f>
        <v>0</v>
      </c>
      <c r="AD16" s="36">
        <f>VLOOKUP(A16,[16]HISTODEC22!$A$6:$BB$36,54,0)</f>
        <v>0</v>
      </c>
      <c r="AE16" s="36">
        <f>VLOOKUP($A16,[16]HISTODEC22!$A$6:$CA$36,60,0)</f>
        <v>0</v>
      </c>
      <c r="AF16" s="36">
        <f>VLOOKUP($A16,[16]HISTODEC22!$A$6:$CA$36,61,0)</f>
        <v>0</v>
      </c>
      <c r="AG16" s="36">
        <f>VLOOKUP($A16,[16]HISTODEC22!$A$6:$CA$36,62,0)</f>
        <v>0</v>
      </c>
      <c r="AH16" s="36">
        <f>VLOOKUP($A16,[16]HISTODEC22!$A$6:$CA$36,63,0)</f>
        <v>0</v>
      </c>
      <c r="AI16" s="36">
        <f>VLOOKUP($A16,[16]HISTODEC22!$A$6:$CA$36,64,0)</f>
        <v>0</v>
      </c>
      <c r="AJ16" s="36">
        <f>VLOOKUP($A16,[16]HISTODEC22!$A$6:$CA$36,65,0)</f>
        <v>0</v>
      </c>
    </row>
    <row r="17" spans="1:36" x14ac:dyDescent="0.25">
      <c r="A17" s="1" t="s">
        <v>33</v>
      </c>
      <c r="B17" s="1" t="str">
        <f>VLOOKUP(A17,[15]LISTADHERENT!A$5:H$60,3,0)</f>
        <v>KOUAMOU MOISE</v>
      </c>
      <c r="C17" s="5"/>
      <c r="D17" s="5"/>
      <c r="E17" s="36">
        <f>VLOOKUP($A17,[16]HISTODEC22!$A$6:$BA$39,48,0)</f>
        <v>0</v>
      </c>
      <c r="F17" s="5">
        <f>MVTNOV22!F17-MVTDEC22!E17</f>
        <v>570000</v>
      </c>
      <c r="G17" s="6">
        <f t="shared" si="1"/>
        <v>33780.511637077929</v>
      </c>
      <c r="H17" s="6">
        <f>MVTNOV22!H17+MVTNOV22!G17+K17</f>
        <v>675102.86481636204</v>
      </c>
      <c r="I17" s="36">
        <f>VLOOKUP($A17,[16]HISTODEC22!$A$6:$AQ$37,22,0)</f>
        <v>0</v>
      </c>
      <c r="J17" s="36">
        <f>VLOOKUP($A17,[16]HISTODEC22!$A$6:$AU$39,45,0)</f>
        <v>7000</v>
      </c>
      <c r="K17" s="36">
        <f t="shared" si="2"/>
        <v>3000</v>
      </c>
      <c r="L17" s="36">
        <f t="shared" si="3"/>
        <v>500</v>
      </c>
      <c r="M17" s="36">
        <f t="shared" si="4"/>
        <v>1000</v>
      </c>
      <c r="N17" s="36">
        <f t="shared" si="5"/>
        <v>2500</v>
      </c>
      <c r="O17" s="36">
        <f>VLOOKUP($A17,[16]HISTODEC22!$A$6:$AU$39,7,0)</f>
        <v>0</v>
      </c>
      <c r="P17" s="36">
        <f>VLOOKUP($A17,[16]HISTODEC22!$A$6:$AU$39,23,0)</f>
        <v>0</v>
      </c>
      <c r="Q17" s="36">
        <f>VLOOKUP($A17,[16]HISTODEC22!$A$6:$AU$39,46,0)</f>
        <v>0</v>
      </c>
      <c r="R17" s="36">
        <f>VLOOKUP($A17,[16]HISTODEC22!$A$6:$AU$39,26,0)</f>
        <v>0</v>
      </c>
      <c r="S17" s="36">
        <f>VLOOKUP($A17,[16]HISTODEC22!$A$6:$BG$39,58,0)</f>
        <v>0</v>
      </c>
      <c r="T17" s="36">
        <f>VLOOKUP($A17,[16]HISTODEC22!$A$6:$AU$39,28,0)</f>
        <v>0</v>
      </c>
      <c r="U17" s="36">
        <f>VLOOKUP($A17,[16]HISTODEC22!$A$6:$AU$39,19,0)</f>
        <v>700000</v>
      </c>
      <c r="V17" s="36" t="str">
        <f>VLOOKUP($A17,[16]HISTODEC22!$A$6:$AU$39,20,0)</f>
        <v>BANQUE</v>
      </c>
      <c r="W17" s="36">
        <f>VLOOKUP($A17,[16]HISTODEC22!$A$6:$AU$39,27,0)</f>
        <v>0</v>
      </c>
      <c r="X17" s="36">
        <f>VLOOKUP($A17,[16]HISTODEC22!$A$6:$AU$39,33,0)</f>
        <v>0</v>
      </c>
      <c r="Y17" s="36">
        <f>VLOOKUP($A17,[16]HISTODEC22!$A$6:$BP$39,65,0)</f>
        <v>0</v>
      </c>
      <c r="Z17" s="36"/>
      <c r="AA17" s="36">
        <f>VLOOKUP($A17,[16]HISTODEC22!$A$6:$AU$39,43,0)</f>
        <v>0</v>
      </c>
      <c r="AB17" s="36">
        <f>VLOOKUP($A17,[16]HISTODEC22!$A$6:$AU$39,44,0)</f>
        <v>0</v>
      </c>
      <c r="AC17" s="36">
        <f>VLOOKUP($A17,[16]HISTODEC22!$A$6:$AU$39,47,0)</f>
        <v>0</v>
      </c>
      <c r="AD17" s="36">
        <f>VLOOKUP(A17,[16]HISTODEC22!$A$6:$BB$36,54,0)</f>
        <v>0</v>
      </c>
      <c r="AE17" s="36">
        <f>VLOOKUP($A17,[16]HISTODEC22!$A$6:$CA$36,60,0)</f>
        <v>0</v>
      </c>
      <c r="AF17" s="36">
        <f>VLOOKUP($A17,[16]HISTODEC22!$A$6:$CA$36,61,0)</f>
        <v>0</v>
      </c>
      <c r="AG17" s="36">
        <f>VLOOKUP($A17,[16]HISTODEC22!$A$6:$CA$36,62,0)</f>
        <v>0</v>
      </c>
      <c r="AH17" s="36">
        <f>VLOOKUP($A17,[16]HISTODEC22!$A$6:$CA$36,63,0)</f>
        <v>0</v>
      </c>
      <c r="AI17" s="36">
        <f>VLOOKUP($A17,[16]HISTODEC22!$A$6:$CA$36,64,0)</f>
        <v>0</v>
      </c>
      <c r="AJ17" s="36">
        <f>VLOOKUP($A17,[16]HISTODEC22!$A$6:$CA$36,65,0)</f>
        <v>0</v>
      </c>
    </row>
    <row r="18" spans="1:36" x14ac:dyDescent="0.25">
      <c r="A18" s="1" t="s">
        <v>35</v>
      </c>
      <c r="B18" s="1" t="str">
        <f>VLOOKUP(A18,[15]LISTADHERENT!A$5:H$60,3,0)</f>
        <v>KOUATCHO MESSACK</v>
      </c>
      <c r="C18" s="5"/>
      <c r="D18" s="5"/>
      <c r="E18" s="36">
        <f>VLOOKUP($A18,[16]HISTODEC22!$A$6:$BA$39,48,0)</f>
        <v>0</v>
      </c>
      <c r="F18" s="5">
        <f>MVTNOV22!F18-MVTDEC22!E18</f>
        <v>570000</v>
      </c>
      <c r="G18" s="6">
        <f t="shared" si="1"/>
        <v>33939.38979379442</v>
      </c>
      <c r="H18" s="6">
        <f>MVTNOV22!H18+MVTNOV22!G18+K18</f>
        <v>678278.04167301801</v>
      </c>
      <c r="I18" s="36">
        <f>VLOOKUP($A18,[16]HISTODEC22!$A$6:$AQ$37,22,0)</f>
        <v>0</v>
      </c>
      <c r="J18" s="36">
        <f>VLOOKUP($A18,[16]HISTODEC22!$A$6:$AU$39,45,0)</f>
        <v>7000</v>
      </c>
      <c r="K18" s="36">
        <f t="shared" si="2"/>
        <v>3000</v>
      </c>
      <c r="L18" s="36">
        <f t="shared" si="3"/>
        <v>500</v>
      </c>
      <c r="M18" s="36">
        <f t="shared" si="4"/>
        <v>1000</v>
      </c>
      <c r="N18" s="36">
        <f t="shared" si="5"/>
        <v>2500</v>
      </c>
      <c r="O18" s="36">
        <f>VLOOKUP($A18,[16]HISTODEC22!$A$6:$AU$39,7,0)</f>
        <v>0</v>
      </c>
      <c r="P18" s="36">
        <f>VLOOKUP($A18,[16]HISTODEC22!$A$6:$AU$39,23,0)</f>
        <v>0</v>
      </c>
      <c r="Q18" s="36">
        <f>VLOOKUP($A18,[16]HISTODEC22!$A$6:$AU$39,46,0)</f>
        <v>0</v>
      </c>
      <c r="R18" s="36">
        <f>VLOOKUP($A18,[16]HISTODEC22!$A$6:$AU$39,26,0)</f>
        <v>1000000</v>
      </c>
      <c r="S18" s="36">
        <f>VLOOKUP($A18,[16]HISTODEC22!$A$6:$BG$39,58,0)</f>
        <v>60000</v>
      </c>
      <c r="T18" s="36">
        <f>VLOOKUP($A18,[16]HISTODEC22!$A$6:$AU$39,28,0)</f>
        <v>0</v>
      </c>
      <c r="U18" s="36">
        <f>VLOOKUP($A18,[16]HISTODEC22!$A$6:$AU$39,19,0)</f>
        <v>1000000</v>
      </c>
      <c r="V18" s="36" t="str">
        <f>VLOOKUP($A18,[16]HISTODEC22!$A$6:$AU$39,20,0)</f>
        <v>BANQUE</v>
      </c>
      <c r="W18" s="36" t="str">
        <f>VLOOKUP($A18,[16]HISTODEC22!$A$6:$AU$39,27,0)</f>
        <v>BANQUE</v>
      </c>
      <c r="X18" s="36">
        <f>VLOOKUP($A18,[16]HISTODEC22!$A$6:$AU$39,33,0)</f>
        <v>0</v>
      </c>
      <c r="Y18" s="36">
        <f>VLOOKUP($A18,[16]HISTODEC22!$A$6:$BP$39,65,0)</f>
        <v>0</v>
      </c>
      <c r="Z18" s="36"/>
      <c r="AA18" s="36">
        <f>VLOOKUP($A18,[16]HISTODEC22!$A$6:$AU$39,43,0)</f>
        <v>0</v>
      </c>
      <c r="AB18" s="36">
        <f>VLOOKUP($A18,[16]HISTODEC22!$A$6:$AU$39,44,0)</f>
        <v>0</v>
      </c>
      <c r="AC18" s="36">
        <f>VLOOKUP($A18,[16]HISTODEC22!$A$6:$AU$39,47,0)</f>
        <v>0</v>
      </c>
      <c r="AD18" s="36">
        <f>VLOOKUP(A18,[16]HISTODEC22!$A$6:$BB$36,54,0)</f>
        <v>0</v>
      </c>
      <c r="AE18" s="36">
        <f>VLOOKUP($A18,[16]HISTODEC22!$A$6:$CA$36,60,0)</f>
        <v>0</v>
      </c>
      <c r="AF18" s="36">
        <f>VLOOKUP($A18,[16]HISTODEC22!$A$6:$CA$36,61,0)</f>
        <v>0</v>
      </c>
      <c r="AG18" s="36">
        <f>VLOOKUP($A18,[16]HISTODEC22!$A$6:$CA$36,62,0)</f>
        <v>0</v>
      </c>
      <c r="AH18" s="36">
        <f>VLOOKUP($A18,[16]HISTODEC22!$A$6:$CA$36,63,0)</f>
        <v>0</v>
      </c>
      <c r="AI18" s="36">
        <f>VLOOKUP($A18,[16]HISTODEC22!$A$6:$CA$36,64,0)</f>
        <v>0</v>
      </c>
      <c r="AJ18" s="36">
        <f>VLOOKUP($A18,[16]HISTODEC22!$A$6:$CA$36,65,0)</f>
        <v>0</v>
      </c>
    </row>
    <row r="19" spans="1:36" x14ac:dyDescent="0.25">
      <c r="A19" s="1" t="s">
        <v>36</v>
      </c>
      <c r="B19" s="1" t="str">
        <f>VLOOKUP(A19,[15]LISTADHERENT!A$5:H$60,3,0)</f>
        <v>LOWE JEAN</v>
      </c>
      <c r="C19" s="5"/>
      <c r="D19" s="5"/>
      <c r="E19" s="36">
        <f>VLOOKUP($A19,[16]HISTODEC22!$A$6:$BA$39,48,0)</f>
        <v>0</v>
      </c>
      <c r="F19" s="5">
        <f>MVTNOV22!F19-MVTDEC22!E19</f>
        <v>570000</v>
      </c>
      <c r="G19" s="6">
        <f t="shared" si="1"/>
        <v>33502.281600442846</v>
      </c>
      <c r="H19" s="6">
        <f>MVTNOV22!H19+MVTNOV22!G19+K19</f>
        <v>669542.44297230279</v>
      </c>
      <c r="I19" s="36">
        <f>VLOOKUP($A19,[16]HISTODEC22!$A$6:$AQ$37,22,0)</f>
        <v>0</v>
      </c>
      <c r="J19" s="36">
        <f>VLOOKUP($A19,[16]HISTODEC22!$A$6:$AU$39,45,0)</f>
        <v>7000</v>
      </c>
      <c r="K19" s="36">
        <f t="shared" si="2"/>
        <v>3000</v>
      </c>
      <c r="L19" s="36">
        <f t="shared" si="3"/>
        <v>500</v>
      </c>
      <c r="M19" s="36">
        <f t="shared" si="4"/>
        <v>1000</v>
      </c>
      <c r="N19" s="36">
        <f t="shared" si="5"/>
        <v>2500</v>
      </c>
      <c r="O19" s="36">
        <f>VLOOKUP($A19,[16]HISTODEC22!$A$6:$AU$39,7,0)</f>
        <v>0</v>
      </c>
      <c r="P19" s="36">
        <f>VLOOKUP($A19,[16]HISTODEC22!$A$6:$AU$39,23,0)</f>
        <v>0</v>
      </c>
      <c r="Q19" s="36">
        <f>VLOOKUP($A19,[16]HISTODEC22!$A$6:$AU$39,46,0)</f>
        <v>0</v>
      </c>
      <c r="R19" s="36">
        <f>VLOOKUP($A19,[16]HISTODEC22!$A$6:$AU$39,26,0)</f>
        <v>1000000</v>
      </c>
      <c r="S19" s="36">
        <f>VLOOKUP($A19,[16]HISTODEC22!$A$6:$BG$39,58,0)</f>
        <v>40000</v>
      </c>
      <c r="T19" s="36">
        <f>VLOOKUP($A19,[16]HISTODEC22!$A$6:$AU$39,28,0)</f>
        <v>0</v>
      </c>
      <c r="U19" s="36">
        <f>VLOOKUP($A19,[16]HISTODEC22!$A$6:$AU$39,19,0)</f>
        <v>1000000</v>
      </c>
      <c r="V19" s="36" t="str">
        <f>VLOOKUP($A19,[16]HISTODEC22!$A$6:$AU$39,20,0)</f>
        <v>BANQUE</v>
      </c>
      <c r="W19" s="36" t="str">
        <f>VLOOKUP($A19,[16]HISTODEC22!$A$6:$AU$39,27,0)</f>
        <v>BANQUE</v>
      </c>
      <c r="X19" s="36">
        <f>VLOOKUP($A19,[16]HISTODEC22!$A$6:$AU$39,33,0)</f>
        <v>0</v>
      </c>
      <c r="Y19" s="36">
        <f>VLOOKUP($A19,[16]HISTODEC22!$A$6:$BP$39,65,0)</f>
        <v>0</v>
      </c>
      <c r="Z19" s="36"/>
      <c r="AA19" s="36">
        <f>VLOOKUP($A19,[16]HISTODEC22!$A$6:$AU$39,43,0)</f>
        <v>0</v>
      </c>
      <c r="AB19" s="36">
        <f>VLOOKUP($A19,[16]HISTODEC22!$A$6:$AU$39,44,0)</f>
        <v>0</v>
      </c>
      <c r="AC19" s="36">
        <f>VLOOKUP($A19,[16]HISTODEC22!$A$6:$AU$39,47,0)</f>
        <v>0</v>
      </c>
      <c r="AD19" s="36">
        <f>VLOOKUP(A19,[16]HISTODEC22!$A$6:$BB$36,54,0)</f>
        <v>0</v>
      </c>
      <c r="AE19" s="36">
        <f>VLOOKUP($A19,[16]HISTODEC22!$A$6:$CA$36,60,0)</f>
        <v>0</v>
      </c>
      <c r="AF19" s="36">
        <f>VLOOKUP($A19,[16]HISTODEC22!$A$6:$CA$36,61,0)</f>
        <v>0</v>
      </c>
      <c r="AG19" s="36">
        <f>VLOOKUP($A19,[16]HISTODEC22!$A$6:$CA$36,62,0)</f>
        <v>0</v>
      </c>
      <c r="AH19" s="36">
        <f>VLOOKUP($A19,[16]HISTODEC22!$A$6:$CA$36,63,0)</f>
        <v>0</v>
      </c>
      <c r="AI19" s="36">
        <f>VLOOKUP($A19,[16]HISTODEC22!$A$6:$CA$36,64,0)</f>
        <v>0</v>
      </c>
      <c r="AJ19" s="36">
        <f>VLOOKUP($A19,[16]HISTODEC22!$A$6:$CA$36,65,0)</f>
        <v>0</v>
      </c>
    </row>
    <row r="20" spans="1:36" x14ac:dyDescent="0.25">
      <c r="A20" s="1" t="s">
        <v>75</v>
      </c>
      <c r="B20" s="1" t="str">
        <f>VLOOKUP(A20,[15]LISTADHERENT!A$5:H$60,3,0)</f>
        <v>MBOGNING TUGMA GUY</v>
      </c>
      <c r="C20" s="5"/>
      <c r="D20" s="5"/>
      <c r="E20" s="36">
        <f>VLOOKUP($A20,[16]HISTODEC22!$A$6:$BA$39,48,0)</f>
        <v>0</v>
      </c>
      <c r="F20" s="5">
        <f>MVTNOV22!F20-MVTDEC22!E20</f>
        <v>570000</v>
      </c>
      <c r="G20" s="6">
        <f t="shared" si="1"/>
        <v>33486.656824252641</v>
      </c>
      <c r="H20" s="6">
        <f>MVTNOV22!H20+MVTNOV22!G20+K20</f>
        <v>669230.18212553265</v>
      </c>
      <c r="I20" s="36">
        <f>VLOOKUP($A20,[16]HISTODEC22!$A$6:$AQ$37,22,0)</f>
        <v>0</v>
      </c>
      <c r="J20" s="36">
        <f>VLOOKUP($A20,[16]HISTODEC22!$A$6:$AU$39,45,0)</f>
        <v>7000</v>
      </c>
      <c r="K20" s="36">
        <f t="shared" si="2"/>
        <v>3000</v>
      </c>
      <c r="L20" s="36">
        <f t="shared" si="3"/>
        <v>500</v>
      </c>
      <c r="M20" s="36">
        <f t="shared" si="4"/>
        <v>1000</v>
      </c>
      <c r="N20" s="36">
        <f t="shared" si="5"/>
        <v>2500</v>
      </c>
      <c r="O20" s="36">
        <f>VLOOKUP($A20,[16]HISTODEC22!$A$6:$AU$39,7,0)</f>
        <v>0</v>
      </c>
      <c r="P20" s="36">
        <f>VLOOKUP($A20,[16]HISTODEC22!$A$6:$AU$39,23,0)</f>
        <v>0</v>
      </c>
      <c r="Q20" s="36">
        <f>VLOOKUP($A20,[16]HISTODEC22!$A$6:$AU$39,46,0)</f>
        <v>0</v>
      </c>
      <c r="R20" s="36">
        <f>VLOOKUP($A20,[16]HISTODEC22!$A$6:$AU$39,26,0)</f>
        <v>1000000</v>
      </c>
      <c r="S20" s="36">
        <f>VLOOKUP($A20,[16]HISTODEC22!$A$6:$BG$39,58,0)</f>
        <v>60000</v>
      </c>
      <c r="T20" s="36">
        <f>VLOOKUP($A20,[16]HISTODEC22!$A$6:$AU$39,28,0)</f>
        <v>0</v>
      </c>
      <c r="U20" s="36">
        <f>VLOOKUP($A20,[16]HISTODEC22!$A$6:$AU$39,19,0)</f>
        <v>1000000</v>
      </c>
      <c r="V20" s="36" t="str">
        <f>VLOOKUP($A20,[16]HISTODEC22!$A$6:$AU$39,20,0)</f>
        <v>BANQUE</v>
      </c>
      <c r="W20" s="36" t="str">
        <f>VLOOKUP($A20,[16]HISTODEC22!$A$6:$AU$39,27,0)</f>
        <v>BANQUE</v>
      </c>
      <c r="X20" s="36">
        <f>VLOOKUP($A20,[16]HISTODEC22!$A$6:$AU$39,33,0)</f>
        <v>0</v>
      </c>
      <c r="Y20" s="36">
        <f>VLOOKUP($A20,[16]HISTODEC22!$A$6:$BP$39,65,0)</f>
        <v>0</v>
      </c>
      <c r="Z20" s="36"/>
      <c r="AA20" s="36">
        <f>VLOOKUP($A20,[16]HISTODEC22!$A$6:$AU$39,43,0)</f>
        <v>0</v>
      </c>
      <c r="AB20" s="36">
        <f>VLOOKUP($A20,[16]HISTODEC22!$A$6:$AU$39,44,0)</f>
        <v>0</v>
      </c>
      <c r="AC20" s="36">
        <f>VLOOKUP($A20,[16]HISTODEC22!$A$6:$AU$39,47,0)</f>
        <v>0</v>
      </c>
      <c r="AD20" s="36">
        <f>VLOOKUP(A20,[16]HISTODEC22!$A$6:$BB$36,54,0)</f>
        <v>0</v>
      </c>
      <c r="AE20" s="36">
        <f>VLOOKUP($A20,[16]HISTODEC22!$A$6:$CA$36,60,0)</f>
        <v>0</v>
      </c>
      <c r="AF20" s="36">
        <f>VLOOKUP($A20,[16]HISTODEC22!$A$6:$CA$36,61,0)</f>
        <v>0</v>
      </c>
      <c r="AG20" s="36">
        <f>VLOOKUP($A20,[16]HISTODEC22!$A$6:$CA$36,62,0)</f>
        <v>0</v>
      </c>
      <c r="AH20" s="36">
        <f>VLOOKUP($A20,[16]HISTODEC22!$A$6:$CA$36,63,0)</f>
        <v>0</v>
      </c>
      <c r="AI20" s="36">
        <f>VLOOKUP($A20,[16]HISTODEC22!$A$6:$CA$36,64,0)</f>
        <v>0</v>
      </c>
      <c r="AJ20" s="36">
        <f>VLOOKUP($A20,[16]HISTODEC22!$A$6:$CA$36,65,0)</f>
        <v>0</v>
      </c>
    </row>
    <row r="21" spans="1:36" x14ac:dyDescent="0.25">
      <c r="A21" s="1" t="s">
        <v>50</v>
      </c>
      <c r="B21" s="1" t="str">
        <f>VLOOKUP(A21,[15]LISTADHERENT!A$5:H$60,3,0)</f>
        <v>NANGUEN MARTIN</v>
      </c>
      <c r="C21" s="5"/>
      <c r="D21" s="5"/>
      <c r="E21" s="36">
        <f>VLOOKUP($A21,[16]HISTODEC22!$A$6:$BA$39,48,0)</f>
        <v>0</v>
      </c>
      <c r="F21" s="5">
        <f>MVTNOV22!F21-MVTDEC22!E21</f>
        <v>570000</v>
      </c>
      <c r="G21" s="6">
        <f t="shared" si="1"/>
        <v>35187.654361276233</v>
      </c>
      <c r="H21" s="6">
        <f>MVTNOV22!H21+MVTNOV22!G21+K21</f>
        <v>703224.58465642144</v>
      </c>
      <c r="I21" s="36">
        <f>VLOOKUP($A21,[16]HISTODEC22!$A$6:$AQ$37,22,0)</f>
        <v>0</v>
      </c>
      <c r="J21" s="36">
        <f>VLOOKUP($A21,[16]HISTODEC22!$A$6:$AU$39,45,0)</f>
        <v>7000</v>
      </c>
      <c r="K21" s="36">
        <f t="shared" si="2"/>
        <v>3000</v>
      </c>
      <c r="L21" s="36">
        <f t="shared" si="3"/>
        <v>500</v>
      </c>
      <c r="M21" s="36">
        <f t="shared" si="4"/>
        <v>1000</v>
      </c>
      <c r="N21" s="36">
        <f t="shared" si="5"/>
        <v>2500</v>
      </c>
      <c r="O21" s="36">
        <f>VLOOKUP($A21,[16]HISTODEC22!$A$6:$AU$39,7,0)</f>
        <v>0</v>
      </c>
      <c r="P21" s="36">
        <f>VLOOKUP($A21,[16]HISTODEC22!$A$6:$AU$39,23,0)</f>
        <v>0</v>
      </c>
      <c r="Q21" s="36">
        <f>VLOOKUP($A21,[16]HISTODEC22!$A$6:$AU$39,46,0)</f>
        <v>0</v>
      </c>
      <c r="R21" s="36">
        <f>VLOOKUP($A21,[16]HISTODEC22!$A$6:$AU$39,26,0)</f>
        <v>500000</v>
      </c>
      <c r="S21" s="36">
        <f>VLOOKUP($A21,[16]HISTODEC22!$A$6:$BG$39,58,0)</f>
        <v>60000</v>
      </c>
      <c r="T21" s="36">
        <f>VLOOKUP($A21,[16]HISTODEC22!$A$6:$AU$39,28,0)</f>
        <v>0</v>
      </c>
      <c r="U21" s="36">
        <f>VLOOKUP($A21,[16]HISTODEC22!$A$6:$AU$39,19,0)</f>
        <v>0</v>
      </c>
      <c r="V21" s="36">
        <f>VLOOKUP($A21,[16]HISTODEC22!$A$6:$AU$39,20,0)</f>
        <v>0</v>
      </c>
      <c r="W21" s="36" t="str">
        <f>VLOOKUP($A21,[16]HISTODEC22!$A$6:$AU$39,27,0)</f>
        <v>BANQUE</v>
      </c>
      <c r="X21" s="36">
        <f>VLOOKUP($A21,[16]HISTODEC22!$A$6:$AU$39,33,0)</f>
        <v>0</v>
      </c>
      <c r="Y21" s="36">
        <f>VLOOKUP($A21,[16]HISTODEC22!$A$6:$BP$39,65,0)</f>
        <v>0</v>
      </c>
      <c r="Z21" s="36"/>
      <c r="AA21" s="36">
        <f>VLOOKUP($A21,[16]HISTODEC22!$A$6:$AU$39,43,0)</f>
        <v>0</v>
      </c>
      <c r="AB21" s="36">
        <f>VLOOKUP($A21,[16]HISTODEC22!$A$6:$AU$39,44,0)</f>
        <v>0</v>
      </c>
      <c r="AC21" s="36">
        <f>VLOOKUP($A21,[16]HISTODEC22!$A$6:$AU$39,47,0)</f>
        <v>0</v>
      </c>
      <c r="AD21" s="36">
        <f>VLOOKUP(A21,[16]HISTODEC22!$A$6:$BB$36,54,0)</f>
        <v>0</v>
      </c>
      <c r="AE21" s="36">
        <f>VLOOKUP($A21,[16]HISTODEC22!$A$6:$CA$36,60,0)</f>
        <v>0</v>
      </c>
      <c r="AF21" s="36">
        <f>VLOOKUP($A21,[16]HISTODEC22!$A$6:$CA$36,61,0)</f>
        <v>0</v>
      </c>
      <c r="AG21" s="36">
        <f>VLOOKUP($A21,[16]HISTODEC22!$A$6:$CA$36,62,0)</f>
        <v>0</v>
      </c>
      <c r="AH21" s="36">
        <f>VLOOKUP($A21,[16]HISTODEC22!$A$6:$CA$36,63,0)</f>
        <v>70000</v>
      </c>
      <c r="AI21" s="36">
        <f>VLOOKUP($A21,[16]HISTODEC22!$A$6:$CA$36,64,0)</f>
        <v>0</v>
      </c>
      <c r="AJ21" s="36">
        <f>VLOOKUP($A21,[16]HISTODEC22!$A$6:$CA$36,65,0)</f>
        <v>0</v>
      </c>
    </row>
    <row r="22" spans="1:36" x14ac:dyDescent="0.25">
      <c r="A22" s="1" t="s">
        <v>37</v>
      </c>
      <c r="B22" s="1" t="str">
        <f>VLOOKUP(A22,[15]LISTADHERENT!A$5:H$60,3,0)</f>
        <v>NANKAM APPOLINAIRE</v>
      </c>
      <c r="C22" s="5"/>
      <c r="D22" s="5"/>
      <c r="E22" s="36">
        <f>VLOOKUP($A22,[16]HISTODEC22!$A$6:$BA$39,48,0)</f>
        <v>0</v>
      </c>
      <c r="F22" s="5">
        <f>MVTNOV22!F22-MVTDEC22!E22</f>
        <v>570000</v>
      </c>
      <c r="G22" s="6">
        <f t="shared" si="1"/>
        <v>38176.349535477813</v>
      </c>
      <c r="H22" s="6">
        <f>MVTNOV22!H22+MVTNOV22!G22+K22</f>
        <v>762953.5992978604</v>
      </c>
      <c r="I22" s="36">
        <f>VLOOKUP($A22,[16]HISTODEC22!$A$6:$AQ$37,22,0)</f>
        <v>0</v>
      </c>
      <c r="J22" s="36">
        <f>VLOOKUP($A22,[16]HISTODEC22!$A$6:$AU$39,45,0)</f>
        <v>7000</v>
      </c>
      <c r="K22" s="36">
        <f t="shared" si="2"/>
        <v>3000</v>
      </c>
      <c r="L22" s="36">
        <f t="shared" si="3"/>
        <v>500</v>
      </c>
      <c r="M22" s="36">
        <f t="shared" si="4"/>
        <v>1000</v>
      </c>
      <c r="N22" s="36">
        <f t="shared" si="5"/>
        <v>2500</v>
      </c>
      <c r="O22" s="36">
        <f>VLOOKUP($A22,[16]HISTODEC22!$A$6:$AU$39,7,0)</f>
        <v>0</v>
      </c>
      <c r="P22" s="36">
        <f>VLOOKUP($A22,[16]HISTODEC22!$A$6:$AU$39,23,0)</f>
        <v>0</v>
      </c>
      <c r="Q22" s="36">
        <f>VLOOKUP($A22,[16]HISTODEC22!$A$6:$AU$39,46,0)</f>
        <v>0</v>
      </c>
      <c r="R22" s="36">
        <f>VLOOKUP($A22,[16]HISTODEC22!$A$6:$AU$39,26,0)</f>
        <v>1000000</v>
      </c>
      <c r="S22" s="36">
        <f>VLOOKUP($A22,[16]HISTODEC22!$A$6:$BG$39,58,0)</f>
        <v>120000</v>
      </c>
      <c r="T22" s="36">
        <f>VLOOKUP($A22,[16]HISTODEC22!$A$6:$AU$39,28,0)</f>
        <v>0</v>
      </c>
      <c r="U22" s="36">
        <f>VLOOKUP($A22,[16]HISTODEC22!$A$6:$AU$39,19,0)</f>
        <v>1000000</v>
      </c>
      <c r="V22" s="36" t="str">
        <f>VLOOKUP($A22,[16]HISTODEC22!$A$6:$AU$39,20,0)</f>
        <v>BANQUE</v>
      </c>
      <c r="W22" s="36" t="str">
        <f>VLOOKUP($A22,[16]HISTODEC22!$A$6:$AU$39,27,0)</f>
        <v>BANQUE</v>
      </c>
      <c r="X22" s="36">
        <f>VLOOKUP($A22,[16]HISTODEC22!$A$6:$AU$39,33,0)</f>
        <v>0</v>
      </c>
      <c r="Y22" s="36">
        <f>VLOOKUP($A22,[16]HISTODEC22!$A$6:$BP$39,65,0)</f>
        <v>0</v>
      </c>
      <c r="Z22" s="36"/>
      <c r="AA22" s="36">
        <f>VLOOKUP($A22,[16]HISTODEC22!$A$6:$AU$39,43,0)</f>
        <v>0</v>
      </c>
      <c r="AB22" s="36">
        <f>VLOOKUP($A22,[16]HISTODEC22!$A$6:$AU$39,44,0)</f>
        <v>0</v>
      </c>
      <c r="AC22" s="36">
        <f>VLOOKUP($A22,[16]HISTODEC22!$A$6:$AU$39,47,0)</f>
        <v>0</v>
      </c>
      <c r="AD22" s="36">
        <f>VLOOKUP(A22,[16]HISTODEC22!$A$6:$BB$36,54,0)</f>
        <v>0</v>
      </c>
      <c r="AE22" s="36">
        <f>VLOOKUP($A22,[16]HISTODEC22!$A$6:$CA$36,60,0)</f>
        <v>0</v>
      </c>
      <c r="AF22" s="36">
        <f>VLOOKUP($A22,[16]HISTODEC22!$A$6:$CA$36,61,0)</f>
        <v>0</v>
      </c>
      <c r="AG22" s="36">
        <f>VLOOKUP($A22,[16]HISTODEC22!$A$6:$CA$36,62,0)</f>
        <v>0</v>
      </c>
      <c r="AH22" s="36">
        <f>VLOOKUP($A22,[16]HISTODEC22!$A$6:$CA$36,63,0)</f>
        <v>0</v>
      </c>
      <c r="AI22" s="36">
        <f>VLOOKUP($A22,[16]HISTODEC22!$A$6:$CA$36,64,0)</f>
        <v>0</v>
      </c>
      <c r="AJ22" s="36">
        <f>VLOOKUP($A22,[16]HISTODEC22!$A$6:$CA$36,65,0)</f>
        <v>0</v>
      </c>
    </row>
    <row r="23" spans="1:36" x14ac:dyDescent="0.25">
      <c r="A23" s="1" t="s">
        <v>38</v>
      </c>
      <c r="B23" s="1" t="str">
        <f>VLOOKUP(A23,[15]LISTADHERENT!A$5:H$60,3,0)</f>
        <v>NDJOMO ETIENNE</v>
      </c>
      <c r="C23" s="5"/>
      <c r="D23" s="5"/>
      <c r="E23" s="36">
        <f>VLOOKUP($A23,[16]HISTODEC22!$A$6:$BA$39,48,0)</f>
        <v>0</v>
      </c>
      <c r="F23" s="5">
        <f>MVTNOV22!F23-MVTDEC22!E23</f>
        <v>570000</v>
      </c>
      <c r="G23" s="6">
        <f t="shared" si="1"/>
        <v>50334.490167425865</v>
      </c>
      <c r="H23" s="6">
        <f>MVTNOV22!H23+MVTNOV22!G23+K23</f>
        <v>1005933.8021926899</v>
      </c>
      <c r="I23" s="36">
        <f>VLOOKUP($A23,[16]HISTODEC22!$A$6:$AQ$37,22,0)</f>
        <v>0</v>
      </c>
      <c r="J23" s="36">
        <f>VLOOKUP($A23,[16]HISTODEC22!$A$6:$AU$39,45,0)</f>
        <v>27000</v>
      </c>
      <c r="K23" s="36">
        <f t="shared" si="2"/>
        <v>23000</v>
      </c>
      <c r="L23" s="36">
        <f t="shared" si="3"/>
        <v>500</v>
      </c>
      <c r="M23" s="36">
        <f t="shared" si="4"/>
        <v>1000</v>
      </c>
      <c r="N23" s="36">
        <f t="shared" si="5"/>
        <v>2500</v>
      </c>
      <c r="O23" s="36">
        <f>VLOOKUP($A23,[16]HISTODEC22!$A$6:$AU$39,7,0)</f>
        <v>0</v>
      </c>
      <c r="P23" s="36">
        <f>VLOOKUP($A23,[16]HISTODEC22!$A$6:$AU$39,23,0)</f>
        <v>0</v>
      </c>
      <c r="Q23" s="36">
        <f>VLOOKUP($A23,[16]HISTODEC22!$A$6:$AU$39,46,0)</f>
        <v>0</v>
      </c>
      <c r="R23" s="36">
        <f>VLOOKUP($A23,[16]HISTODEC22!$A$6:$AU$39,26,0)</f>
        <v>600000</v>
      </c>
      <c r="S23" s="36">
        <f>VLOOKUP($A23,[16]HISTODEC22!$A$6:$BG$39,58,0)</f>
        <v>48000</v>
      </c>
      <c r="T23" s="36">
        <f>VLOOKUP($A23,[16]HISTODEC22!$A$6:$AU$39,28,0)</f>
        <v>0</v>
      </c>
      <c r="U23" s="36">
        <f>VLOOKUP($A23,[16]HISTODEC22!$A$6:$AU$39,19,0)</f>
        <v>530000</v>
      </c>
      <c r="V23" s="36" t="str">
        <f>VLOOKUP($A23,[16]HISTODEC22!$A$6:$AU$39,20,0)</f>
        <v>BANQUE</v>
      </c>
      <c r="W23" s="36" t="str">
        <f>VLOOKUP($A23,[16]HISTODEC22!$A$6:$AU$39,27,0)</f>
        <v>BANQUE</v>
      </c>
      <c r="X23" s="36">
        <f>VLOOKUP($A23,[16]HISTODEC22!$A$6:$AU$39,33,0)</f>
        <v>0</v>
      </c>
      <c r="Y23" s="36">
        <f>VLOOKUP($A23,[16]HISTODEC22!$A$6:$BP$39,65,0)</f>
        <v>0</v>
      </c>
      <c r="Z23" s="36"/>
      <c r="AA23" s="36">
        <f>VLOOKUP($A23,[16]HISTODEC22!$A$6:$AU$39,43,0)</f>
        <v>0</v>
      </c>
      <c r="AB23" s="36">
        <f>VLOOKUP($A23,[16]HISTODEC22!$A$6:$AU$39,44,0)</f>
        <v>0</v>
      </c>
      <c r="AC23" s="36">
        <f>VLOOKUP($A23,[16]HISTODEC22!$A$6:$AU$39,47,0)</f>
        <v>0</v>
      </c>
      <c r="AD23" s="36">
        <f>VLOOKUP(A23,[16]HISTODEC22!$A$6:$BB$36,54,0)</f>
        <v>0</v>
      </c>
      <c r="AE23" s="36">
        <f>VLOOKUP($A23,[16]HISTODEC22!$A$6:$CA$36,60,0)</f>
        <v>0</v>
      </c>
      <c r="AF23" s="36">
        <f>VLOOKUP($A23,[16]HISTODEC22!$A$6:$CA$36,61,0)</f>
        <v>0</v>
      </c>
      <c r="AG23" s="36">
        <f>VLOOKUP($A23,[16]HISTODEC22!$A$6:$CA$36,62,0)</f>
        <v>0</v>
      </c>
      <c r="AH23" s="36">
        <f>VLOOKUP($A23,[16]HISTODEC22!$A$6:$CA$36,63,0)</f>
        <v>0</v>
      </c>
      <c r="AI23" s="36">
        <f>VLOOKUP($A23,[16]HISTODEC22!$A$6:$CA$36,64,0)</f>
        <v>0</v>
      </c>
      <c r="AJ23" s="36">
        <f>VLOOKUP($A23,[16]HISTODEC22!$A$6:$CA$36,65,0)</f>
        <v>0</v>
      </c>
    </row>
    <row r="24" spans="1:36" x14ac:dyDescent="0.25">
      <c r="A24" s="1" t="s">
        <v>39</v>
      </c>
      <c r="B24" s="1" t="str">
        <f>VLOOKUP(A24,[15]LISTADHERENT!A$5:H$60,3,0)</f>
        <v>NGONDIEP CLAUDE</v>
      </c>
      <c r="C24" s="5"/>
      <c r="D24" s="5"/>
      <c r="E24" s="36">
        <f>VLOOKUP($A24,[16]HISTODEC22!$A$6:$BA$39,48,0)</f>
        <v>0</v>
      </c>
      <c r="F24" s="5">
        <f>MVTNOV22!F24-MVTDEC22!E24</f>
        <v>570000</v>
      </c>
      <c r="G24" s="6">
        <f t="shared" si="1"/>
        <v>40626.674963504855</v>
      </c>
      <c r="H24" s="6">
        <f>MVTNOV22!H24+MVTNOV22!G24+K24</f>
        <v>811923.3050846057</v>
      </c>
      <c r="I24" s="36">
        <f>VLOOKUP($A24,[16]HISTODEC22!$A$6:$AQ$37,22,0)</f>
        <v>0</v>
      </c>
      <c r="J24" s="36">
        <f>VLOOKUP($A24,[16]HISTODEC22!$A$6:$AU$39,45,0)</f>
        <v>42000</v>
      </c>
      <c r="K24" s="36">
        <f t="shared" si="2"/>
        <v>38000</v>
      </c>
      <c r="L24" s="36">
        <f t="shared" si="3"/>
        <v>500</v>
      </c>
      <c r="M24" s="36">
        <f t="shared" si="4"/>
        <v>1000</v>
      </c>
      <c r="N24" s="36">
        <f t="shared" si="5"/>
        <v>2500</v>
      </c>
      <c r="O24" s="36">
        <f>VLOOKUP($A24,[16]HISTODEC22!$A$6:$AU$39,7,0)</f>
        <v>0</v>
      </c>
      <c r="P24" s="36">
        <f>VLOOKUP($A24,[16]HISTODEC22!$A$6:$AU$39,23,0)</f>
        <v>0</v>
      </c>
      <c r="Q24" s="36">
        <f>VLOOKUP($A24,[16]HISTODEC22!$A$6:$AU$39,46,0)</f>
        <v>0</v>
      </c>
      <c r="R24" s="36">
        <f>VLOOKUP($A24,[16]HISTODEC22!$A$6:$AU$39,26,0)</f>
        <v>1000000</v>
      </c>
      <c r="S24" s="36">
        <f>VLOOKUP($A24,[16]HISTODEC22!$A$6:$BG$39,58,0)</f>
        <v>120000</v>
      </c>
      <c r="T24" s="36">
        <f>VLOOKUP($A24,[16]HISTODEC22!$A$6:$AU$39,28,0)</f>
        <v>0</v>
      </c>
      <c r="U24" s="36">
        <f>VLOOKUP($A24,[16]HISTODEC22!$A$6:$AU$39,19,0)</f>
        <v>1000000</v>
      </c>
      <c r="V24" s="36" t="str">
        <f>VLOOKUP($A24,[16]HISTODEC22!$A$6:$AU$39,20,0)</f>
        <v>BANQUE</v>
      </c>
      <c r="W24" s="36" t="str">
        <f>VLOOKUP($A24,[16]HISTODEC22!$A$6:$AU$39,27,0)</f>
        <v>BANQUE</v>
      </c>
      <c r="X24" s="36">
        <f>VLOOKUP($A24,[16]HISTODEC22!$A$6:$AU$39,33,0)</f>
        <v>0</v>
      </c>
      <c r="Y24" s="36">
        <f>VLOOKUP($A24,[16]HISTODEC22!$A$6:$BP$39,65,0)</f>
        <v>0</v>
      </c>
      <c r="Z24" s="36"/>
      <c r="AA24" s="36">
        <f>VLOOKUP($A24,[16]HISTODEC22!$A$6:$AU$39,43,0)</f>
        <v>0</v>
      </c>
      <c r="AB24" s="36">
        <f>VLOOKUP($A24,[16]HISTODEC22!$A$6:$AU$39,44,0)</f>
        <v>0</v>
      </c>
      <c r="AC24" s="36">
        <f>VLOOKUP($A24,[16]HISTODEC22!$A$6:$AU$39,47,0)</f>
        <v>0</v>
      </c>
      <c r="AD24" s="36">
        <f>VLOOKUP(A24,[16]HISTODEC22!$A$6:$BB$36,54,0)</f>
        <v>0</v>
      </c>
      <c r="AE24" s="36">
        <f>VLOOKUP($A24,[16]HISTODEC22!$A$6:$CA$36,60,0)</f>
        <v>0</v>
      </c>
      <c r="AF24" s="36">
        <f>VLOOKUP($A24,[16]HISTODEC22!$A$6:$CA$36,61,0)</f>
        <v>0</v>
      </c>
      <c r="AG24" s="36">
        <f>VLOOKUP($A24,[16]HISTODEC22!$A$6:$CA$36,62,0)</f>
        <v>0</v>
      </c>
      <c r="AH24" s="36">
        <f>VLOOKUP($A24,[16]HISTODEC22!$A$6:$CA$36,63,0)</f>
        <v>0</v>
      </c>
      <c r="AI24" s="36">
        <f>VLOOKUP($A24,[16]HISTODEC22!$A$6:$CA$36,64,0)</f>
        <v>0</v>
      </c>
      <c r="AJ24" s="36">
        <f>VLOOKUP($A24,[16]HISTODEC22!$A$6:$CA$36,65,0)</f>
        <v>0</v>
      </c>
    </row>
    <row r="25" spans="1:36" x14ac:dyDescent="0.25">
      <c r="A25" s="1" t="s">
        <v>41</v>
      </c>
      <c r="B25" s="1" t="str">
        <f>VLOOKUP(A25,[15]LISTADHERENT!A$5:H$60,3,0)</f>
        <v>NGUIEMEGNI MATHIEU BLAISE</v>
      </c>
      <c r="C25" s="5"/>
      <c r="D25" s="5"/>
      <c r="E25" s="36">
        <f>VLOOKUP($A25,[16]HISTODEC22!$A$6:$BA$39,48,0)</f>
        <v>0</v>
      </c>
      <c r="F25" s="5">
        <f>MVTNOV22!F25-MVTDEC22!E25</f>
        <v>570000</v>
      </c>
      <c r="G25" s="6">
        <f t="shared" si="1"/>
        <v>36802.950914010005</v>
      </c>
      <c r="H25" s="6">
        <f>MVTNOV22!H25+MVTNOV22!G25+K25</f>
        <v>735506.25469133083</v>
      </c>
      <c r="I25" s="36">
        <f>VLOOKUP($A25,[16]HISTODEC22!$A$6:$AQ$37,22,0)</f>
        <v>0</v>
      </c>
      <c r="J25" s="36">
        <f>VLOOKUP($A25,[16]HISTODEC22!$A$6:$AU$39,45,0)</f>
        <v>7000</v>
      </c>
      <c r="K25" s="36">
        <f t="shared" si="2"/>
        <v>3000</v>
      </c>
      <c r="L25" s="36">
        <f t="shared" si="3"/>
        <v>500</v>
      </c>
      <c r="M25" s="36">
        <f t="shared" si="4"/>
        <v>1000</v>
      </c>
      <c r="N25" s="36">
        <f t="shared" si="5"/>
        <v>2500</v>
      </c>
      <c r="O25" s="36">
        <f>VLOOKUP($A25,[16]HISTODEC22!$A$6:$AU$39,7,0)</f>
        <v>0</v>
      </c>
      <c r="P25" s="36">
        <f>VLOOKUP($A25,[16]HISTODEC22!$A$6:$AU$39,23,0)</f>
        <v>0</v>
      </c>
      <c r="Q25" s="36">
        <f>VLOOKUP($A25,[16]HISTODEC22!$A$6:$AU$39,46,0)</f>
        <v>0</v>
      </c>
      <c r="R25" s="36">
        <f>VLOOKUP($A25,[16]HISTODEC22!$A$6:$AU$39,26,0)</f>
        <v>1000000</v>
      </c>
      <c r="S25" s="36">
        <f>VLOOKUP($A25,[16]HISTODEC22!$A$6:$BG$39,58,0)</f>
        <v>0</v>
      </c>
      <c r="T25" s="36">
        <f>VLOOKUP($A25,[16]HISTODEC22!$A$6:$AU$39,28,0)</f>
        <v>0</v>
      </c>
      <c r="U25" s="36">
        <f>VLOOKUP($A25,[16]HISTODEC22!$A$6:$AU$39,19,0)</f>
        <v>1000000</v>
      </c>
      <c r="V25" s="36" t="str">
        <f>VLOOKUP($A25,[16]HISTODEC22!$A$6:$AU$39,20,0)</f>
        <v>BANQUE</v>
      </c>
      <c r="W25" s="36" t="str">
        <f>VLOOKUP($A25,[16]HISTODEC22!$A$6:$AU$39,27,0)</f>
        <v>BANQUE</v>
      </c>
      <c r="X25" s="36">
        <f>VLOOKUP($A25,[16]HISTODEC22!$A$6:$AU$39,33,0)</f>
        <v>0</v>
      </c>
      <c r="Y25" s="36">
        <f>VLOOKUP($A25,[16]HISTODEC22!$A$6:$BP$39,65,0)</f>
        <v>0</v>
      </c>
      <c r="Z25" s="36"/>
      <c r="AA25" s="36">
        <f>VLOOKUP($A25,[16]HISTODEC22!$A$6:$AU$39,43,0)</f>
        <v>0</v>
      </c>
      <c r="AB25" s="36">
        <f>VLOOKUP($A25,[16]HISTODEC22!$A$6:$AU$39,44,0)</f>
        <v>0</v>
      </c>
      <c r="AC25" s="36">
        <f>VLOOKUP($A25,[16]HISTODEC22!$A$6:$AU$39,47,0)</f>
        <v>0</v>
      </c>
      <c r="AD25" s="36">
        <f>VLOOKUP(A25,[16]HISTODEC22!$A$6:$BB$36,54,0)</f>
        <v>0</v>
      </c>
      <c r="AE25" s="36">
        <f>VLOOKUP($A25,[16]HISTODEC22!$A$6:$CA$36,60,0)</f>
        <v>0</v>
      </c>
      <c r="AF25" s="36">
        <f>VLOOKUP($A25,[16]HISTODEC22!$A$6:$CA$36,61,0)</f>
        <v>0</v>
      </c>
      <c r="AG25" s="36">
        <f>VLOOKUP($A25,[16]HISTODEC22!$A$6:$CA$36,62,0)</f>
        <v>0</v>
      </c>
      <c r="AH25" s="36">
        <f>VLOOKUP($A25,[16]HISTODEC22!$A$6:$CA$36,63,0)</f>
        <v>0</v>
      </c>
      <c r="AI25" s="36">
        <f>VLOOKUP($A25,[16]HISTODEC22!$A$6:$CA$36,64,0)</f>
        <v>0</v>
      </c>
      <c r="AJ25" s="36">
        <f>VLOOKUP($A25,[16]HISTODEC22!$A$6:$CA$36,65,0)</f>
        <v>0</v>
      </c>
    </row>
    <row r="26" spans="1:36" x14ac:dyDescent="0.25">
      <c r="A26" s="1" t="s">
        <v>43</v>
      </c>
      <c r="B26" s="1" t="str">
        <f>VLOOKUP(A26,[15]LISTADHERENT!A$5:H$60,3,0)</f>
        <v>NKAMGANG JUSTIN DEJOLIE</v>
      </c>
      <c r="C26" s="5"/>
      <c r="D26" s="5"/>
      <c r="E26" s="36">
        <f>VLOOKUP($A26,[16]HISTODEC22!$A$6:$BA$39,48,0)</f>
        <v>0</v>
      </c>
      <c r="F26" s="5">
        <f>MVTNOV22!F26-MVTDEC22!E26</f>
        <v>570000</v>
      </c>
      <c r="G26" s="6">
        <f t="shared" si="1"/>
        <v>34095.683446930023</v>
      </c>
      <c r="H26" s="6">
        <f>MVTNOV22!H26+MVTNOV22!G26+K26</f>
        <v>681401.56727612473</v>
      </c>
      <c r="I26" s="36">
        <f>VLOOKUP($A26,[16]HISTODEC22!$A$6:$AQ$37,22,0)</f>
        <v>0</v>
      </c>
      <c r="J26" s="36">
        <f>VLOOKUP($A26,[16]HISTODEC22!$A$6:$AU$39,45,0)</f>
        <v>7000</v>
      </c>
      <c r="K26" s="36">
        <f t="shared" si="2"/>
        <v>3000</v>
      </c>
      <c r="L26" s="36">
        <f t="shared" si="3"/>
        <v>500</v>
      </c>
      <c r="M26" s="36">
        <f t="shared" si="4"/>
        <v>1000</v>
      </c>
      <c r="N26" s="36">
        <f t="shared" si="5"/>
        <v>2500</v>
      </c>
      <c r="O26" s="36">
        <f>VLOOKUP($A26,[16]HISTODEC22!$A$6:$AU$39,7,0)</f>
        <v>0</v>
      </c>
      <c r="P26" s="36">
        <f>VLOOKUP($A26,[16]HISTODEC22!$A$6:$AU$39,23,0)</f>
        <v>0</v>
      </c>
      <c r="Q26" s="36">
        <f>VLOOKUP($A26,[16]HISTODEC22!$A$6:$AU$39,46,0)</f>
        <v>0</v>
      </c>
      <c r="R26" s="36">
        <f>VLOOKUP($A26,[16]HISTODEC22!$A$6:$AU$39,26,0)</f>
        <v>1000000</v>
      </c>
      <c r="S26" s="36">
        <f>VLOOKUP($A26,[16]HISTODEC22!$A$6:$BG$39,58,0)</f>
        <v>20000</v>
      </c>
      <c r="T26" s="36">
        <f>VLOOKUP($A26,[16]HISTODEC22!$A$6:$AU$39,28,0)</f>
        <v>0</v>
      </c>
      <c r="U26" s="36">
        <f>VLOOKUP($A26,[16]HISTODEC22!$A$6:$AU$39,19,0)</f>
        <v>1000000</v>
      </c>
      <c r="V26" s="36" t="str">
        <f>VLOOKUP($A26,[16]HISTODEC22!$A$6:$AU$39,20,0)</f>
        <v>BANQUE</v>
      </c>
      <c r="W26" s="36" t="str">
        <f>VLOOKUP($A26,[16]HISTODEC22!$A$6:$AU$39,27,0)</f>
        <v>BANQUE</v>
      </c>
      <c r="X26" s="36">
        <f>VLOOKUP($A26,[16]HISTODEC22!$A$6:$AU$39,33,0)</f>
        <v>0</v>
      </c>
      <c r="Y26" s="36">
        <f>VLOOKUP($A26,[16]HISTODEC22!$A$6:$BP$39,65,0)</f>
        <v>0</v>
      </c>
      <c r="Z26" s="36"/>
      <c r="AA26" s="36">
        <f>VLOOKUP($A26,[16]HISTODEC22!$A$6:$AU$39,43,0)</f>
        <v>0</v>
      </c>
      <c r="AB26" s="36">
        <f>VLOOKUP($A26,[16]HISTODEC22!$A$6:$AU$39,44,0)</f>
        <v>0</v>
      </c>
      <c r="AC26" s="36">
        <f>VLOOKUP($A26,[16]HISTODEC22!$A$6:$AU$39,47,0)</f>
        <v>0</v>
      </c>
      <c r="AD26" s="36">
        <f>VLOOKUP(A26,[16]HISTODEC22!$A$6:$BB$36,54,0)</f>
        <v>0</v>
      </c>
      <c r="AE26" s="36">
        <f>VLOOKUP($A26,[16]HISTODEC22!$A$6:$CA$36,60,0)</f>
        <v>0</v>
      </c>
      <c r="AF26" s="36">
        <f>VLOOKUP($A26,[16]HISTODEC22!$A$6:$CA$36,61,0)</f>
        <v>0</v>
      </c>
      <c r="AG26" s="36">
        <f>VLOOKUP($A26,[16]HISTODEC22!$A$6:$CA$36,62,0)</f>
        <v>0</v>
      </c>
      <c r="AH26" s="36">
        <f>VLOOKUP($A26,[16]HISTODEC22!$A$6:$CA$36,63,0)</f>
        <v>0</v>
      </c>
      <c r="AI26" s="36">
        <f>VLOOKUP($A26,[16]HISTODEC22!$A$6:$CA$36,64,0)</f>
        <v>0</v>
      </c>
      <c r="AJ26" s="36">
        <f>VLOOKUP($A26,[16]HISTODEC22!$A$6:$CA$36,65,0)</f>
        <v>0</v>
      </c>
    </row>
    <row r="27" spans="1:36" x14ac:dyDescent="0.25">
      <c r="A27" s="1" t="s">
        <v>30</v>
      </c>
      <c r="B27" s="1" t="str">
        <f>VLOOKUP(A27,[15]LISTADHERENT!A$5:H$60,3,0)</f>
        <v>NKEHE DAVID</v>
      </c>
      <c r="C27" s="5"/>
      <c r="D27" s="5"/>
      <c r="E27" s="36">
        <f>VLOOKUP($A27,[16]HISTODEC22!$A$6:$BA$39,48,0)</f>
        <v>0</v>
      </c>
      <c r="F27" s="5">
        <f>MVTNOV22!F27-MVTDEC22!E27</f>
        <v>534974.27750837663</v>
      </c>
      <c r="G27" s="6">
        <f t="shared" si="1"/>
        <v>0</v>
      </c>
      <c r="H27" s="6">
        <f>MVTNOV22!H27+MVTNOV22!G27+K27</f>
        <v>0</v>
      </c>
      <c r="I27" s="36">
        <f>VLOOKUP($A27,[16]HISTODEC22!$A$6:$AQ$37,22,0)</f>
        <v>0</v>
      </c>
      <c r="J27" s="36">
        <f>VLOOKUP($A27,[16]HISTODEC22!$A$6:$AU$39,45,0)</f>
        <v>0</v>
      </c>
      <c r="K27" s="36">
        <f t="shared" si="2"/>
        <v>0</v>
      </c>
      <c r="L27" s="36">
        <f t="shared" si="3"/>
        <v>0</v>
      </c>
      <c r="M27" s="36">
        <f t="shared" si="4"/>
        <v>0</v>
      </c>
      <c r="N27" s="36">
        <f t="shared" si="5"/>
        <v>0</v>
      </c>
      <c r="O27" s="36">
        <f>VLOOKUP($A27,[16]HISTODEC22!$A$6:$AU$39,7,0)</f>
        <v>0</v>
      </c>
      <c r="P27" s="36">
        <f>VLOOKUP($A27,[16]HISTODEC22!$A$6:$AU$39,23,0)</f>
        <v>0</v>
      </c>
      <c r="Q27" s="36">
        <f>VLOOKUP($A27,[16]HISTODEC22!$A$6:$AU$39,46,0)</f>
        <v>0</v>
      </c>
      <c r="R27" s="36">
        <f>VLOOKUP($A27,[16]HISTODEC22!$A$6:$AU$39,26,0)</f>
        <v>0</v>
      </c>
      <c r="S27" s="36">
        <f>VLOOKUP($A27,[16]HISTODEC22!$A$6:$BG$39,58,0)</f>
        <v>0</v>
      </c>
      <c r="T27" s="36">
        <f>VLOOKUP($A27,[16]HISTODEC22!$A$6:$AU$39,28,0)</f>
        <v>0</v>
      </c>
      <c r="U27" s="36">
        <f>VLOOKUP($A27,[16]HISTODEC22!$A$6:$AU$39,19,0)</f>
        <v>0</v>
      </c>
      <c r="V27" s="36">
        <f>VLOOKUP($A27,[16]HISTODEC22!$A$6:$AU$39,20,0)</f>
        <v>0</v>
      </c>
      <c r="W27" s="36">
        <f>VLOOKUP($A27,[16]HISTODEC22!$A$6:$AU$39,27,0)</f>
        <v>0</v>
      </c>
      <c r="X27" s="36">
        <f>VLOOKUP($A27,[16]HISTODEC22!$A$6:$AU$39,33,0)</f>
        <v>0</v>
      </c>
      <c r="Y27" s="36">
        <f>VLOOKUP($A27,[16]HISTODEC22!$A$6:$BP$39,65,0)</f>
        <v>0</v>
      </c>
      <c r="Z27" s="36"/>
      <c r="AA27" s="36">
        <f>VLOOKUP($A27,[16]HISTODEC22!$A$6:$AU$39,43,0)</f>
        <v>0</v>
      </c>
      <c r="AB27" s="36">
        <f>VLOOKUP($A27,[16]HISTODEC22!$A$6:$AU$39,44,0)</f>
        <v>0</v>
      </c>
      <c r="AC27" s="36">
        <f>VLOOKUP($A27,[16]HISTODEC22!$A$6:$AU$39,47,0)</f>
        <v>0</v>
      </c>
      <c r="AD27" s="36">
        <f>VLOOKUP(A27,[16]HISTODEC22!$A$6:$BB$36,54,0)</f>
        <v>0</v>
      </c>
      <c r="AE27" s="36">
        <f>VLOOKUP($A27,[16]HISTODEC22!$A$6:$CA$36,60,0)</f>
        <v>0</v>
      </c>
      <c r="AF27" s="36">
        <f>VLOOKUP($A27,[16]HISTODEC22!$A$6:$CA$36,61,0)</f>
        <v>0</v>
      </c>
      <c r="AG27" s="36">
        <f>VLOOKUP($A27,[16]HISTODEC22!$A$6:$CA$36,62,0)</f>
        <v>0</v>
      </c>
      <c r="AH27" s="36">
        <f>VLOOKUP($A27,[16]HISTODEC22!$A$6:$CA$36,63,0)</f>
        <v>0</v>
      </c>
      <c r="AI27" s="36">
        <f>VLOOKUP($A27,[16]HISTODEC22!$A$6:$CA$36,64,0)</f>
        <v>0</v>
      </c>
      <c r="AJ27" s="36">
        <f>VLOOKUP($A27,[16]HISTODEC22!$A$6:$CA$36,65,0)</f>
        <v>0</v>
      </c>
    </row>
    <row r="28" spans="1:36" x14ac:dyDescent="0.25">
      <c r="A28" s="1" t="s">
        <v>44</v>
      </c>
      <c r="B28" s="1" t="str">
        <f>VLOOKUP(A28,[15]LISTADHERENT!A$5:H$60,3,0)</f>
        <v>NKEPSEU DIEUDONNE</v>
      </c>
      <c r="C28" s="5"/>
      <c r="D28" s="5"/>
      <c r="E28" s="36">
        <f>VLOOKUP($A28,[16]HISTODEC22!$A$6:$BA$39,48,0)</f>
        <v>0</v>
      </c>
      <c r="F28" s="5">
        <f>MVTNOV22!F28-MVTDEC22!E28</f>
        <v>570000</v>
      </c>
      <c r="G28" s="6">
        <f t="shared" si="1"/>
        <v>54793.676093918126</v>
      </c>
      <c r="H28" s="6">
        <f>MVTNOV22!H28+MVTNOV22!G28+K28</f>
        <v>1095050.5457774573</v>
      </c>
      <c r="I28" s="36">
        <f>VLOOKUP($A28,[16]HISTODEC22!$A$6:$AQ$37,22,0)</f>
        <v>0</v>
      </c>
      <c r="J28" s="36">
        <f>VLOOKUP($A28,[16]HISTODEC22!$A$6:$AU$39,45,0)</f>
        <v>7000</v>
      </c>
      <c r="K28" s="36">
        <f t="shared" si="2"/>
        <v>3000</v>
      </c>
      <c r="L28" s="36">
        <f t="shared" si="3"/>
        <v>500</v>
      </c>
      <c r="M28" s="36">
        <f t="shared" si="4"/>
        <v>1000</v>
      </c>
      <c r="N28" s="36">
        <f t="shared" si="5"/>
        <v>2500</v>
      </c>
      <c r="O28" s="36">
        <f>VLOOKUP($A28,[16]HISTODEC22!$A$6:$AU$39,7,0)</f>
        <v>0</v>
      </c>
      <c r="P28" s="36">
        <f>VLOOKUP($A28,[16]HISTODEC22!$A$6:$AU$39,23,0)</f>
        <v>0</v>
      </c>
      <c r="Q28" s="36">
        <f>VLOOKUP($A28,[16]HISTODEC22!$A$6:$AU$39,46,0)</f>
        <v>0</v>
      </c>
      <c r="R28" s="36">
        <f>VLOOKUP($A28,[16]HISTODEC22!$A$6:$AU$39,26,0)</f>
        <v>0</v>
      </c>
      <c r="S28" s="36">
        <f>VLOOKUP($A28,[16]HISTODEC22!$A$6:$BG$39,58,0)</f>
        <v>0</v>
      </c>
      <c r="T28" s="36">
        <f>VLOOKUP($A28,[16]HISTODEC22!$A$6:$AU$39,28,0)</f>
        <v>0</v>
      </c>
      <c r="U28" s="36">
        <f>VLOOKUP($A28,[16]HISTODEC22!$A$6:$AU$39,19,0)</f>
        <v>1000000</v>
      </c>
      <c r="V28" s="36" t="str">
        <f>VLOOKUP($A28,[16]HISTODEC22!$A$6:$AU$39,20,0)</f>
        <v>BANQUE</v>
      </c>
      <c r="W28" s="36">
        <f>VLOOKUP($A28,[16]HISTODEC22!$A$6:$AU$39,27,0)</f>
        <v>0</v>
      </c>
      <c r="X28" s="36">
        <f>VLOOKUP($A28,[16]HISTODEC22!$A$6:$AU$39,33,0)</f>
        <v>0</v>
      </c>
      <c r="Y28" s="36">
        <f>VLOOKUP($A28,[16]HISTODEC22!$A$6:$BP$39,65,0)</f>
        <v>0</v>
      </c>
      <c r="Z28" s="36"/>
      <c r="AA28" s="36">
        <f>VLOOKUP($A28,[16]HISTODEC22!$A$6:$AU$39,43,0)</f>
        <v>0</v>
      </c>
      <c r="AB28" s="36">
        <f>VLOOKUP($A28,[16]HISTODEC22!$A$6:$AU$39,44,0)</f>
        <v>0</v>
      </c>
      <c r="AC28" s="36">
        <f>VLOOKUP($A28,[16]HISTODEC22!$A$6:$AU$39,47,0)</f>
        <v>0</v>
      </c>
      <c r="AD28" s="36">
        <f>VLOOKUP(A28,[16]HISTODEC22!$A$6:$BB$36,54,0)</f>
        <v>0</v>
      </c>
      <c r="AE28" s="36">
        <f>VLOOKUP($A28,[16]HISTODEC22!$A$6:$CA$36,60,0)</f>
        <v>0</v>
      </c>
      <c r="AF28" s="36">
        <f>VLOOKUP($A28,[16]HISTODEC22!$A$6:$CA$36,61,0)</f>
        <v>0</v>
      </c>
      <c r="AG28" s="36">
        <f>VLOOKUP($A28,[16]HISTODEC22!$A$6:$CA$36,62,0)</f>
        <v>0</v>
      </c>
      <c r="AH28" s="36">
        <f>VLOOKUP($A28,[16]HISTODEC22!$A$6:$CA$36,63,0)</f>
        <v>0</v>
      </c>
      <c r="AI28" s="36">
        <f>VLOOKUP($A28,[16]HISTODEC22!$A$6:$CA$36,64,0)</f>
        <v>0</v>
      </c>
      <c r="AJ28" s="36">
        <f>VLOOKUP($A28,[16]HISTODEC22!$A$6:$CA$36,65,0)</f>
        <v>0</v>
      </c>
    </row>
    <row r="29" spans="1:36" x14ac:dyDescent="0.25">
      <c r="A29" s="1" t="s">
        <v>45</v>
      </c>
      <c r="B29" s="1" t="str">
        <f>VLOOKUP(A29,[15]LISTADHERENT!A$5:H$60,3,0)</f>
        <v>PATEGO NJOSSU GUSTAVE</v>
      </c>
      <c r="C29" s="5"/>
      <c r="D29" s="5"/>
      <c r="E29" s="36">
        <f>VLOOKUP($A29,[16]HISTODEC22!$A$6:$BA$39,48,0)</f>
        <v>0</v>
      </c>
      <c r="F29" s="5">
        <f>MVTNOV22!F29-MVTDEC22!E29</f>
        <v>570000</v>
      </c>
      <c r="G29" s="6">
        <f t="shared" si="1"/>
        <v>34691.512633325859</v>
      </c>
      <c r="H29" s="6">
        <f>MVTNOV22!H29+MVTNOV22!G29+K29</f>
        <v>693309.20192057826</v>
      </c>
      <c r="I29" s="36">
        <f>VLOOKUP($A29,[16]HISTODEC22!$A$6:$AQ$37,22,0)</f>
        <v>0</v>
      </c>
      <c r="J29" s="36">
        <f>VLOOKUP($A29,[16]HISTODEC22!$A$6:$AU$39,45,0)</f>
        <v>7000</v>
      </c>
      <c r="K29" s="36">
        <f t="shared" si="2"/>
        <v>3000</v>
      </c>
      <c r="L29" s="36">
        <f t="shared" si="3"/>
        <v>500</v>
      </c>
      <c r="M29" s="36">
        <f t="shared" si="4"/>
        <v>1000</v>
      </c>
      <c r="N29" s="36">
        <f t="shared" si="5"/>
        <v>2500</v>
      </c>
      <c r="O29" s="36">
        <f>VLOOKUP($A29,[16]HISTODEC22!$A$6:$AU$39,7,0)</f>
        <v>0</v>
      </c>
      <c r="P29" s="36">
        <f>VLOOKUP($A29,[16]HISTODEC22!$A$6:$AU$39,23,0)</f>
        <v>0</v>
      </c>
      <c r="Q29" s="36">
        <f>VLOOKUP($A29,[16]HISTODEC22!$A$6:$AU$39,46,0)</f>
        <v>0</v>
      </c>
      <c r="R29" s="36">
        <f>VLOOKUP($A29,[16]HISTODEC22!$A$6:$AU$39,26,0)</f>
        <v>0</v>
      </c>
      <c r="S29" s="36">
        <f>VLOOKUP($A29,[16]HISTODEC22!$A$6:$BG$39,58,0)</f>
        <v>0</v>
      </c>
      <c r="T29" s="36">
        <f>VLOOKUP($A29,[16]HISTODEC22!$A$6:$AU$39,28,0)</f>
        <v>0</v>
      </c>
      <c r="U29" s="36">
        <f>VLOOKUP($A29,[16]HISTODEC22!$A$6:$AU$39,19,0)</f>
        <v>0</v>
      </c>
      <c r="V29" s="36">
        <f>VLOOKUP($A29,[16]HISTODEC22!$A$6:$AU$39,20,0)</f>
        <v>0</v>
      </c>
      <c r="W29" s="36">
        <f>VLOOKUP($A29,[16]HISTODEC22!$A$6:$AU$39,27,0)</f>
        <v>0</v>
      </c>
      <c r="X29" s="36">
        <f>VLOOKUP($A29,[16]HISTODEC22!$A$6:$AU$39,33,0)</f>
        <v>0</v>
      </c>
      <c r="Y29" s="36">
        <f>VLOOKUP($A29,[16]HISTODEC22!$A$6:$BP$39,65,0)</f>
        <v>0</v>
      </c>
      <c r="Z29" s="36"/>
      <c r="AA29" s="36">
        <f>VLOOKUP($A29,[16]HISTODEC22!$A$6:$AU$39,43,0)</f>
        <v>0</v>
      </c>
      <c r="AB29" s="36">
        <f>VLOOKUP($A29,[16]HISTODEC22!$A$6:$AU$39,44,0)</f>
        <v>0</v>
      </c>
      <c r="AC29" s="36">
        <f>VLOOKUP($A29,[16]HISTODEC22!$A$6:$AU$39,47,0)</f>
        <v>0</v>
      </c>
      <c r="AD29" s="36">
        <f>VLOOKUP(A29,[16]HISTODEC22!$A$6:$BB$36,54,0)</f>
        <v>0</v>
      </c>
      <c r="AE29" s="36">
        <f>VLOOKUP($A29,[16]HISTODEC22!$A$6:$CA$36,60,0)</f>
        <v>0</v>
      </c>
      <c r="AF29" s="36">
        <f>VLOOKUP($A29,[16]HISTODEC22!$A$6:$CA$36,61,0)</f>
        <v>0</v>
      </c>
      <c r="AG29" s="36">
        <f>VLOOKUP($A29,[16]HISTODEC22!$A$6:$CA$36,62,0)</f>
        <v>0</v>
      </c>
      <c r="AH29" s="36">
        <f>VLOOKUP($A29,[16]HISTODEC22!$A$6:$CA$36,63,0)</f>
        <v>0</v>
      </c>
      <c r="AI29" s="36">
        <f>VLOOKUP($A29,[16]HISTODEC22!$A$6:$CA$36,64,0)</f>
        <v>0</v>
      </c>
      <c r="AJ29" s="36">
        <f>VLOOKUP($A29,[16]HISTODEC22!$A$6:$CA$36,65,0)</f>
        <v>0</v>
      </c>
    </row>
    <row r="30" spans="1:36" x14ac:dyDescent="0.25">
      <c r="A30" s="1" t="s">
        <v>81</v>
      </c>
      <c r="B30" s="1" t="str">
        <f>VLOOKUP(A30,[15]LISTADHERENT!A$5:H$60,3,0)</f>
        <v>SIME BRICE</v>
      </c>
      <c r="C30" s="5"/>
      <c r="D30" s="5"/>
      <c r="E30" s="36">
        <f>VLOOKUP($A30,[16]HISTODEC22!$A$6:$BA$39,48,0)</f>
        <v>0</v>
      </c>
      <c r="F30" s="5">
        <f>MVTNOV22!F30-MVTDEC22!E30</f>
        <v>570000</v>
      </c>
      <c r="G30" s="6">
        <f t="shared" si="1"/>
        <v>48703.130110751255</v>
      </c>
      <c r="H30" s="6">
        <f>MVTNOV22!H30+MVTNOV22!G30+K30</f>
        <v>973331.10334548913</v>
      </c>
      <c r="I30" s="36">
        <f>VLOOKUP($A30,[16]HISTODEC22!$A$6:$AQ$37,22,0)</f>
        <v>0</v>
      </c>
      <c r="J30" s="36">
        <f>VLOOKUP($A30,[16]HISTODEC22!$A$6:$AU$39,45,0)</f>
        <v>7000</v>
      </c>
      <c r="K30" s="36">
        <f t="shared" si="2"/>
        <v>3000</v>
      </c>
      <c r="L30" s="36">
        <f t="shared" si="3"/>
        <v>500</v>
      </c>
      <c r="M30" s="36">
        <f t="shared" si="4"/>
        <v>1000</v>
      </c>
      <c r="N30" s="36">
        <f t="shared" si="5"/>
        <v>2500</v>
      </c>
      <c r="O30" s="36">
        <f>VLOOKUP($A30,[16]HISTODEC22!$A$6:$AU$39,7,0)</f>
        <v>0</v>
      </c>
      <c r="P30" s="36">
        <f>VLOOKUP($A30,[16]HISTODEC22!$A$6:$AU$39,23,0)</f>
        <v>0</v>
      </c>
      <c r="Q30" s="36">
        <f>VLOOKUP($A30,[16]HISTODEC22!$A$6:$AU$39,46,0)</f>
        <v>0</v>
      </c>
      <c r="R30" s="36">
        <f>VLOOKUP($A30,[16]HISTODEC22!$A$6:$AU$39,26,0)</f>
        <v>0</v>
      </c>
      <c r="S30" s="36">
        <f>VLOOKUP($A30,[16]HISTODEC22!$A$6:$BG$39,58,0)</f>
        <v>0</v>
      </c>
      <c r="T30" s="36">
        <f>VLOOKUP($A30,[16]HISTODEC22!$A$6:$AU$39,28,0)</f>
        <v>0</v>
      </c>
      <c r="U30" s="36">
        <f>VLOOKUP($A30,[16]HISTODEC22!$A$6:$AU$39,19,0)</f>
        <v>0</v>
      </c>
      <c r="V30" s="36">
        <f>VLOOKUP($A30,[16]HISTODEC22!$A$6:$AU$39,20,0)</f>
        <v>0</v>
      </c>
      <c r="W30" s="36">
        <f>VLOOKUP($A30,[16]HISTODEC22!$A$6:$AU$39,27,0)</f>
        <v>0</v>
      </c>
      <c r="X30" s="36">
        <f>VLOOKUP($A30,[16]HISTODEC22!$A$6:$AU$39,33,0)</f>
        <v>0</v>
      </c>
      <c r="Y30" s="36">
        <f>VLOOKUP($A30,[16]HISTODEC22!$A$6:$BP$39,65,0)</f>
        <v>0</v>
      </c>
      <c r="Z30" s="36"/>
      <c r="AA30" s="36">
        <f>VLOOKUP($A30,[16]HISTODEC22!$A$6:$AU$39,43,0)</f>
        <v>0</v>
      </c>
      <c r="AB30" s="36">
        <f>VLOOKUP($A30,[16]HISTODEC22!$A$6:$AU$39,44,0)</f>
        <v>0</v>
      </c>
      <c r="AC30" s="36">
        <f>VLOOKUP($A30,[16]HISTODEC22!$A$6:$AU$39,47,0)</f>
        <v>0</v>
      </c>
      <c r="AD30" s="36">
        <f>VLOOKUP(A30,[16]HISTODEC22!$A$6:$BB$36,54,0)</f>
        <v>0</v>
      </c>
      <c r="AE30" s="36">
        <f>VLOOKUP($A30,[16]HISTODEC22!$A$6:$CA$36,60,0)</f>
        <v>0</v>
      </c>
      <c r="AF30" s="36">
        <f>VLOOKUP($A30,[16]HISTODEC22!$A$6:$CA$36,61,0)</f>
        <v>0</v>
      </c>
      <c r="AG30" s="36">
        <f>VLOOKUP($A30,[16]HISTODEC22!$A$6:$CA$36,62,0)</f>
        <v>0</v>
      </c>
      <c r="AH30" s="36">
        <f>VLOOKUP($A30,[16]HISTODEC22!$A$6:$CA$36,63,0)</f>
        <v>0</v>
      </c>
      <c r="AI30" s="36">
        <f>VLOOKUP($A30,[16]HISTODEC22!$A$6:$CA$36,64,0)</f>
        <v>0</v>
      </c>
      <c r="AJ30" s="36">
        <f>VLOOKUP($A30,[16]HISTODEC22!$A$6:$CA$36,65,0)</f>
        <v>0</v>
      </c>
    </row>
    <row r="31" spans="1:36" x14ac:dyDescent="0.25">
      <c r="A31" s="1" t="s">
        <v>47</v>
      </c>
      <c r="B31" s="1" t="str">
        <f>VLOOKUP(A31,[15]LISTADHERENT!A$5:H$60,3,0)</f>
        <v>SIMO FONGANG ERIC</v>
      </c>
      <c r="C31" s="5"/>
      <c r="D31" s="5"/>
      <c r="E31" s="36">
        <f>VLOOKUP($A31,[16]HISTODEC22!$A$6:$BA$39,48,0)</f>
        <v>0</v>
      </c>
      <c r="F31" s="5">
        <f>MVTNOV22!F31-MVTDEC22!E31</f>
        <v>570000</v>
      </c>
      <c r="G31" s="6">
        <f t="shared" si="1"/>
        <v>0</v>
      </c>
      <c r="H31" s="6">
        <f>MVTNOV22!H31+MVTNOV22!G31+K31</f>
        <v>0</v>
      </c>
      <c r="I31" s="36">
        <f>VLOOKUP($A31,[16]HISTODEC22!$A$6:$AQ$37,22,0)</f>
        <v>0</v>
      </c>
      <c r="J31" s="36">
        <f>VLOOKUP($A31,[16]HISTODEC22!$A$6:$AU$39,45,0)</f>
        <v>0</v>
      </c>
      <c r="K31" s="36">
        <f t="shared" si="2"/>
        <v>0</v>
      </c>
      <c r="L31" s="36">
        <f t="shared" si="3"/>
        <v>0</v>
      </c>
      <c r="M31" s="36">
        <f t="shared" si="4"/>
        <v>0</v>
      </c>
      <c r="N31" s="36">
        <f t="shared" si="5"/>
        <v>0</v>
      </c>
      <c r="O31" s="36">
        <f>VLOOKUP($A31,[16]HISTODEC22!$A$6:$AU$39,7,0)</f>
        <v>0</v>
      </c>
      <c r="P31" s="36">
        <f>VLOOKUP($A31,[16]HISTODEC22!$A$6:$AU$39,23,0)</f>
        <v>0</v>
      </c>
      <c r="Q31" s="36">
        <f>VLOOKUP($A31,[16]HISTODEC22!$A$6:$AU$39,46,0)</f>
        <v>0</v>
      </c>
      <c r="R31" s="36">
        <f>VLOOKUP($A31,[16]HISTODEC22!$A$6:$AU$39,26,0)</f>
        <v>0</v>
      </c>
      <c r="S31" s="36">
        <f>VLOOKUP($A31,[16]HISTODEC22!$A$6:$BG$39,58,0)</f>
        <v>0</v>
      </c>
      <c r="T31" s="36">
        <f>VLOOKUP($A31,[16]HISTODEC22!$A$6:$AU$39,28,0)</f>
        <v>0</v>
      </c>
      <c r="U31" s="36">
        <f>VLOOKUP($A31,[16]HISTODEC22!$A$6:$AU$39,19,0)</f>
        <v>0</v>
      </c>
      <c r="V31" s="36">
        <f>VLOOKUP($A31,[16]HISTODEC22!$A$6:$AU$39,20,0)</f>
        <v>0</v>
      </c>
      <c r="W31" s="36">
        <f>VLOOKUP($A31,[16]HISTODEC22!$A$6:$AU$39,27,0)</f>
        <v>0</v>
      </c>
      <c r="X31" s="36">
        <f>VLOOKUP($A31,[16]HISTODEC22!$A$6:$AU$39,33,0)</f>
        <v>0</v>
      </c>
      <c r="Y31" s="36">
        <f>VLOOKUP($A31,[16]HISTODEC22!$A$6:$BP$39,65,0)</f>
        <v>0</v>
      </c>
      <c r="Z31" s="36"/>
      <c r="AA31" s="36">
        <f>VLOOKUP($A31,[16]HISTODEC22!$A$6:$AU$39,43,0)</f>
        <v>0</v>
      </c>
      <c r="AB31" s="36">
        <f>VLOOKUP($A31,[16]HISTODEC22!$A$6:$AU$39,44,0)</f>
        <v>0</v>
      </c>
      <c r="AC31" s="36">
        <f>VLOOKUP($A31,[16]HISTODEC22!$A$6:$AU$39,47,0)</f>
        <v>0</v>
      </c>
      <c r="AD31" s="36">
        <f>VLOOKUP(A31,[16]HISTODEC22!$A$6:$BB$36,54,0)</f>
        <v>0</v>
      </c>
      <c r="AE31" s="36">
        <f>VLOOKUP($A31,[16]HISTODEC22!$A$6:$CA$36,60,0)</f>
        <v>0</v>
      </c>
      <c r="AF31" s="36">
        <f>VLOOKUP($A31,[16]HISTODEC22!$A$6:$CA$36,61,0)</f>
        <v>0</v>
      </c>
      <c r="AG31" s="36">
        <f>VLOOKUP($A31,[16]HISTODEC22!$A$6:$CA$36,62,0)</f>
        <v>0</v>
      </c>
      <c r="AH31" s="36">
        <f>VLOOKUP($A31,[16]HISTODEC22!$A$6:$CA$36,63,0)</f>
        <v>0</v>
      </c>
      <c r="AI31" s="36">
        <f>VLOOKUP($A31,[16]HISTODEC22!$A$6:$CA$36,64,0)</f>
        <v>0</v>
      </c>
      <c r="AJ31" s="36">
        <f>VLOOKUP($A31,[16]HISTODEC22!$A$6:$CA$36,65,0)</f>
        <v>0</v>
      </c>
    </row>
    <row r="32" spans="1:36" x14ac:dyDescent="0.25">
      <c r="A32" s="1" t="s">
        <v>49</v>
      </c>
      <c r="B32" s="1" t="str">
        <f>VLOOKUP(A32,[15]LISTADHERENT!A$5:H$60,3,0)</f>
        <v>SIMO PIERRE</v>
      </c>
      <c r="C32" s="5"/>
      <c r="D32" s="5"/>
      <c r="E32" s="36">
        <f>VLOOKUP($A32,[16]HISTODEC22!$A$6:$BA$39,48,0)</f>
        <v>0</v>
      </c>
      <c r="F32" s="5">
        <f>MVTNOV22!F32-MVTDEC22!E32</f>
        <v>570000</v>
      </c>
      <c r="G32" s="6">
        <f t="shared" si="1"/>
        <v>42703.009126162149</v>
      </c>
      <c r="H32" s="6">
        <f>MVTNOV22!H32+MVTNOV22!G32+K32</f>
        <v>853418.80274271267</v>
      </c>
      <c r="I32" s="36">
        <f>VLOOKUP($A32,[16]HISTODEC22!$A$6:$AQ$37,22,0)</f>
        <v>0</v>
      </c>
      <c r="J32" s="36">
        <f>VLOOKUP($A32,[16]HISTODEC22!$A$6:$AU$39,45,0)</f>
        <v>7000</v>
      </c>
      <c r="K32" s="36">
        <f t="shared" si="2"/>
        <v>3000</v>
      </c>
      <c r="L32" s="36">
        <f t="shared" si="3"/>
        <v>500</v>
      </c>
      <c r="M32" s="36">
        <f t="shared" si="4"/>
        <v>1000</v>
      </c>
      <c r="N32" s="36">
        <f t="shared" si="5"/>
        <v>2500</v>
      </c>
      <c r="O32" s="36">
        <f>VLOOKUP($A32,[16]HISTODEC22!$A$6:$AU$39,7,0)</f>
        <v>0</v>
      </c>
      <c r="P32" s="36">
        <f>VLOOKUP($A32,[16]HISTODEC22!$A$6:$AU$39,23,0)</f>
        <v>0</v>
      </c>
      <c r="Q32" s="36">
        <f>VLOOKUP($A32,[16]HISTODEC22!$A$6:$AU$39,46,0)</f>
        <v>0</v>
      </c>
      <c r="R32" s="36">
        <f>VLOOKUP($A32,[16]HISTODEC22!$A$6:$AU$39,26,0)</f>
        <v>1000000</v>
      </c>
      <c r="S32" s="36">
        <f>VLOOKUP($A32,[16]HISTODEC22!$A$6:$BG$39,58,0)</f>
        <v>120000</v>
      </c>
      <c r="T32" s="36">
        <f>VLOOKUP($A32,[16]HISTODEC22!$A$6:$AU$39,28,0)</f>
        <v>0</v>
      </c>
      <c r="U32" s="36">
        <f>VLOOKUP($A32,[16]HISTODEC22!$A$6:$AU$39,19,0)</f>
        <v>800000</v>
      </c>
      <c r="V32" s="36" t="str">
        <f>VLOOKUP($A32,[16]HISTODEC22!$A$6:$AU$39,20,0)</f>
        <v>BANQUE</v>
      </c>
      <c r="W32" s="36" t="str">
        <f>VLOOKUP($A32,[16]HISTODEC22!$A$6:$AU$39,27,0)</f>
        <v>BANQUE</v>
      </c>
      <c r="X32" s="36">
        <f>VLOOKUP($A32,[16]HISTODEC22!$A$6:$AU$39,33,0)</f>
        <v>0</v>
      </c>
      <c r="Y32" s="36">
        <f>VLOOKUP($A32,[16]HISTODEC22!$A$6:$BP$39,65,0)</f>
        <v>0</v>
      </c>
      <c r="Z32" s="36"/>
      <c r="AA32" s="36">
        <f>VLOOKUP($A32,[16]HISTODEC22!$A$6:$AU$39,43,0)</f>
        <v>0</v>
      </c>
      <c r="AB32" s="36">
        <f>VLOOKUP($A32,[16]HISTODEC22!$A$6:$AU$39,44,0)</f>
        <v>0</v>
      </c>
      <c r="AC32" s="36">
        <f>VLOOKUP($A32,[16]HISTODEC22!$A$6:$AU$39,47,0)</f>
        <v>0</v>
      </c>
      <c r="AD32" s="36">
        <f>VLOOKUP(A32,[16]HISTODEC22!$A$6:$BB$36,54,0)</f>
        <v>0</v>
      </c>
      <c r="AE32" s="36">
        <f>VLOOKUP($A32,[16]HISTODEC22!$A$6:$CA$36,60,0)</f>
        <v>0</v>
      </c>
      <c r="AF32" s="36">
        <f>VLOOKUP($A32,[16]HISTODEC22!$A$6:$CA$36,61,0)</f>
        <v>0</v>
      </c>
      <c r="AG32" s="36">
        <f>VLOOKUP($A32,[16]HISTODEC22!$A$6:$CA$36,62,0)</f>
        <v>0</v>
      </c>
      <c r="AH32" s="36">
        <f>VLOOKUP($A32,[16]HISTODEC22!$A$6:$CA$36,63,0)</f>
        <v>0</v>
      </c>
      <c r="AI32" s="36">
        <f>VLOOKUP($A32,[16]HISTODEC22!$A$6:$CA$36,64,0)</f>
        <v>0</v>
      </c>
      <c r="AJ32" s="36">
        <f>VLOOKUP($A32,[16]HISTODEC22!$A$6:$CA$36,65,0)</f>
        <v>0</v>
      </c>
    </row>
    <row r="33" spans="1:36" x14ac:dyDescent="0.25">
      <c r="A33" s="1" t="s">
        <v>51</v>
      </c>
      <c r="B33" s="1" t="str">
        <f>VLOOKUP(A33,[15]LISTADHERENT!A$5:H$60,3,0)</f>
        <v>TCHOUAMOU MATHIEU</v>
      </c>
      <c r="C33" s="5"/>
      <c r="D33" s="5"/>
      <c r="E33" s="36">
        <f>VLOOKUP($A33,[16]HISTODEC22!$A$6:$BA$39,48,0)</f>
        <v>0</v>
      </c>
      <c r="F33" s="5">
        <f>MVTNOV22!F33-MVTDEC22!E33</f>
        <v>570000</v>
      </c>
      <c r="G33" s="6">
        <f t="shared" si="1"/>
        <v>33826.428363011517</v>
      </c>
      <c r="H33" s="6">
        <f>MVTNOV22!H33+MVTNOV22!G33+K33</f>
        <v>676020.50968668808</v>
      </c>
      <c r="I33" s="36">
        <f>VLOOKUP($A33,[16]HISTODEC22!$A$6:$AQ$37,22,0)</f>
        <v>0</v>
      </c>
      <c r="J33" s="36">
        <f>VLOOKUP($A33,[16]HISTODEC22!$A$6:$AU$39,45,0)</f>
        <v>7000</v>
      </c>
      <c r="K33" s="36">
        <f t="shared" si="2"/>
        <v>3000</v>
      </c>
      <c r="L33" s="36">
        <f t="shared" si="3"/>
        <v>500</v>
      </c>
      <c r="M33" s="36">
        <f t="shared" si="4"/>
        <v>1000</v>
      </c>
      <c r="N33" s="36">
        <f t="shared" si="5"/>
        <v>2500</v>
      </c>
      <c r="O33" s="36">
        <f>VLOOKUP($A33,[16]HISTODEC22!$A$6:$AU$39,7,0)</f>
        <v>0</v>
      </c>
      <c r="P33" s="36">
        <f>VLOOKUP($A33,[16]HISTODEC22!$A$6:$AU$39,23,0)</f>
        <v>0</v>
      </c>
      <c r="Q33" s="36">
        <f>VLOOKUP($A33,[16]HISTODEC22!$A$6:$AU$39,46,0)</f>
        <v>0</v>
      </c>
      <c r="R33" s="36">
        <f>VLOOKUP($A33,[16]HISTODEC22!$A$6:$AU$39,26,0)</f>
        <v>0</v>
      </c>
      <c r="S33" s="36">
        <f>VLOOKUP($A33,[16]HISTODEC22!$A$6:$BG$39,58,0)</f>
        <v>0</v>
      </c>
      <c r="T33" s="36">
        <f>VLOOKUP($A33,[16]HISTODEC22!$A$6:$AU$39,28,0)</f>
        <v>0</v>
      </c>
      <c r="U33" s="36">
        <f>VLOOKUP($A33,[16]HISTODEC22!$A$6:$AU$39,19,0)</f>
        <v>1000000</v>
      </c>
      <c r="V33" s="36" t="str">
        <f>VLOOKUP($A33,[16]HISTODEC22!$A$6:$AU$39,20,0)</f>
        <v>BANQUE</v>
      </c>
      <c r="W33" s="36">
        <f>VLOOKUP($A33,[16]HISTODEC22!$A$6:$AU$39,27,0)</f>
        <v>0</v>
      </c>
      <c r="X33" s="36">
        <f>VLOOKUP($A33,[16]HISTODEC22!$A$6:$AU$39,33,0)</f>
        <v>0</v>
      </c>
      <c r="Y33" s="36">
        <f>VLOOKUP($A33,[16]HISTODEC22!$A$6:$BP$39,65,0)</f>
        <v>0</v>
      </c>
      <c r="Z33" s="36"/>
      <c r="AA33" s="36">
        <f>VLOOKUP($A33,[16]HISTODEC22!$A$6:$AU$39,43,0)</f>
        <v>0</v>
      </c>
      <c r="AB33" s="36">
        <f>VLOOKUP($A33,[16]HISTODEC22!$A$6:$AU$39,44,0)</f>
        <v>0</v>
      </c>
      <c r="AC33" s="36">
        <f>VLOOKUP($A33,[16]HISTODEC22!$A$6:$AU$39,47,0)</f>
        <v>0</v>
      </c>
      <c r="AD33" s="36">
        <f>VLOOKUP(A33,[16]HISTODEC22!$A$6:$BB$36,54,0)</f>
        <v>0</v>
      </c>
      <c r="AE33" s="36">
        <f>VLOOKUP($A33,[16]HISTODEC22!$A$6:$CA$36,60,0)</f>
        <v>0</v>
      </c>
      <c r="AF33" s="36">
        <f>VLOOKUP($A33,[16]HISTODEC22!$A$6:$CA$36,61,0)</f>
        <v>0</v>
      </c>
      <c r="AG33" s="36">
        <f>VLOOKUP($A33,[16]HISTODEC22!$A$6:$CA$36,62,0)</f>
        <v>0</v>
      </c>
      <c r="AH33" s="36">
        <f>VLOOKUP($A33,[16]HISTODEC22!$A$6:$CA$36,63,0)</f>
        <v>0</v>
      </c>
      <c r="AI33" s="36">
        <f>VLOOKUP($A33,[16]HISTODEC22!$A$6:$CA$36,64,0)</f>
        <v>0</v>
      </c>
      <c r="AJ33" s="36">
        <f>VLOOKUP($A33,[16]HISTODEC22!$A$6:$CA$36,65,0)</f>
        <v>0</v>
      </c>
    </row>
    <row r="34" spans="1:36" x14ac:dyDescent="0.25">
      <c r="A34" s="1" t="s">
        <v>54</v>
      </c>
      <c r="B34" s="1" t="str">
        <f>VLOOKUP(A34,[15]LISTADHERENT!A$5:H$60,3,0)</f>
        <v>TIEYAM ERNEST</v>
      </c>
      <c r="C34" s="5"/>
      <c r="D34" s="5"/>
      <c r="E34" s="36">
        <f>VLOOKUP($A34,[16]HISTODEC22!$A$6:$BA$39,48,0)</f>
        <v>0</v>
      </c>
      <c r="F34" s="5">
        <f>MVTNOV22!F34-MVTDEC22!E34</f>
        <v>535508.27831700875</v>
      </c>
      <c r="G34" s="6">
        <f t="shared" si="1"/>
        <v>0</v>
      </c>
      <c r="H34" s="6">
        <f>MVTNOV22!H34+MVTNOV22!G34+K34</f>
        <v>0</v>
      </c>
      <c r="I34" s="36">
        <f>VLOOKUP($A34,[16]HISTODEC22!$A$6:$AQ$37,22,0)</f>
        <v>0</v>
      </c>
      <c r="J34" s="36">
        <f>VLOOKUP($A34,[16]HISTODEC22!$A$6:$AU$39,45,0)</f>
        <v>0</v>
      </c>
      <c r="K34" s="36">
        <f t="shared" si="2"/>
        <v>0</v>
      </c>
      <c r="L34" s="36">
        <f t="shared" si="3"/>
        <v>0</v>
      </c>
      <c r="M34" s="36">
        <f t="shared" si="4"/>
        <v>0</v>
      </c>
      <c r="N34" s="36">
        <f t="shared" si="5"/>
        <v>0</v>
      </c>
      <c r="O34" s="36">
        <f>VLOOKUP($A34,[16]HISTODEC22!$A$6:$AU$39,7,0)</f>
        <v>0</v>
      </c>
      <c r="P34" s="36">
        <f>VLOOKUP($A34,[16]HISTODEC22!$A$6:$AU$39,23,0)</f>
        <v>0</v>
      </c>
      <c r="Q34" s="36">
        <f>VLOOKUP($A34,[16]HISTODEC22!$A$6:$AU$39,46,0)</f>
        <v>0</v>
      </c>
      <c r="R34" s="36">
        <f>VLOOKUP($A34,[16]HISTODEC22!$A$6:$AU$39,26,0)</f>
        <v>0</v>
      </c>
      <c r="S34" s="36">
        <f>VLOOKUP($A34,[16]HISTODEC22!$A$6:$BG$39,58,0)</f>
        <v>0</v>
      </c>
      <c r="T34" s="36">
        <f>VLOOKUP($A34,[16]HISTODEC22!$A$6:$AU$39,28,0)</f>
        <v>0</v>
      </c>
      <c r="U34" s="36">
        <f>VLOOKUP($A34,[16]HISTODEC22!$A$6:$AU$39,19,0)</f>
        <v>0</v>
      </c>
      <c r="V34" s="36">
        <f>VLOOKUP($A34,[16]HISTODEC22!$A$6:$AU$39,20,0)</f>
        <v>0</v>
      </c>
      <c r="W34" s="36">
        <f>VLOOKUP($A34,[16]HISTODEC22!$A$6:$AU$39,27,0)</f>
        <v>0</v>
      </c>
      <c r="X34" s="36">
        <f>VLOOKUP($A34,[16]HISTODEC22!$A$6:$AU$39,33,0)</f>
        <v>0</v>
      </c>
      <c r="Y34" s="36">
        <f>VLOOKUP($A34,[16]HISTODEC22!$A$6:$BP$39,65,0)</f>
        <v>0</v>
      </c>
      <c r="Z34" s="36"/>
      <c r="AA34" s="36">
        <f>VLOOKUP($A34,[16]HISTODEC22!$A$6:$AU$39,43,0)</f>
        <v>0</v>
      </c>
      <c r="AB34" s="36">
        <f>VLOOKUP($A34,[16]HISTODEC22!$A$6:$AU$39,44,0)</f>
        <v>0</v>
      </c>
      <c r="AC34" s="36">
        <f>VLOOKUP($A34,[16]HISTODEC22!$A$6:$AU$39,47,0)</f>
        <v>0</v>
      </c>
      <c r="AD34" s="36">
        <f>VLOOKUP(A34,[16]HISTODEC22!$A$6:$BB$36,54,0)</f>
        <v>0</v>
      </c>
      <c r="AE34" s="36">
        <f>VLOOKUP($A34,[16]HISTODEC22!$A$6:$CA$36,60,0)</f>
        <v>0</v>
      </c>
      <c r="AF34" s="36">
        <f>VLOOKUP($A34,[16]HISTODEC22!$A$6:$CA$36,61,0)</f>
        <v>0</v>
      </c>
      <c r="AG34" s="36">
        <f>VLOOKUP($A34,[16]HISTODEC22!$A$6:$CA$36,62,0)</f>
        <v>0</v>
      </c>
      <c r="AH34" s="36">
        <f>VLOOKUP($A34,[16]HISTODEC22!$A$6:$CA$36,63,0)</f>
        <v>0</v>
      </c>
      <c r="AI34" s="36">
        <f>VLOOKUP($A34,[16]HISTODEC22!$A$6:$CA$36,64,0)</f>
        <v>0</v>
      </c>
      <c r="AJ34" s="36">
        <f>VLOOKUP($A34,[16]HISTODEC22!$A$6:$CA$36,65,0)</f>
        <v>0</v>
      </c>
    </row>
    <row r="35" spans="1:36" x14ac:dyDescent="0.25">
      <c r="A35" s="1" t="s">
        <v>55</v>
      </c>
      <c r="B35" s="1" t="str">
        <f>VLOOKUP(A35,[15]LISTADHERENT!A$5:H$60,3,0)</f>
        <v>YEPMOU JEAN JACQUES</v>
      </c>
      <c r="C35" s="5"/>
      <c r="D35" s="5"/>
      <c r="E35" s="36">
        <f>VLOOKUP($A35,[16]HISTODEC22!$A$6:$BA$39,48,0)</f>
        <v>0</v>
      </c>
      <c r="F35" s="5">
        <f>MVTNOV22!F35-MVTDEC22!E35</f>
        <v>570000</v>
      </c>
      <c r="G35" s="6">
        <f t="shared" si="1"/>
        <v>78500.497986830262</v>
      </c>
      <c r="H35" s="6">
        <f>MVTNOV22!H35+MVTNOV22!G35+K35</f>
        <v>1568830.9179500754</v>
      </c>
      <c r="I35" s="36">
        <f>VLOOKUP($A35,[16]HISTODEC22!$A$6:$AQ$37,22,0)</f>
        <v>0</v>
      </c>
      <c r="J35" s="36">
        <f>VLOOKUP($A35,[16]HISTODEC22!$A$6:$AU$39,45,0)</f>
        <v>7000</v>
      </c>
      <c r="K35" s="36">
        <f t="shared" si="2"/>
        <v>3000</v>
      </c>
      <c r="L35" s="36">
        <f t="shared" si="3"/>
        <v>500</v>
      </c>
      <c r="M35" s="36">
        <f t="shared" si="4"/>
        <v>1000</v>
      </c>
      <c r="N35" s="36">
        <f t="shared" si="5"/>
        <v>2500</v>
      </c>
      <c r="O35" s="36">
        <f>VLOOKUP($A35,[16]HISTODEC22!$A$6:$AU$39,7,0)</f>
        <v>0</v>
      </c>
      <c r="P35" s="36">
        <f>VLOOKUP($A35,[16]HISTODEC22!$A$6:$AU$39,23,0)</f>
        <v>0</v>
      </c>
      <c r="Q35" s="36">
        <f>VLOOKUP($A35,[16]HISTODEC22!$A$6:$AU$39,46,0)</f>
        <v>0</v>
      </c>
      <c r="R35" s="36">
        <f>VLOOKUP($A35,[16]HISTODEC22!$A$6:$AU$39,26,0)</f>
        <v>0</v>
      </c>
      <c r="S35" s="36">
        <f>VLOOKUP($A35,[16]HISTODEC22!$A$6:$BG$39,58,0)</f>
        <v>0</v>
      </c>
      <c r="T35" s="36">
        <f>VLOOKUP($A35,[16]HISTODEC22!$A$6:$AU$39,28,0)</f>
        <v>0</v>
      </c>
      <c r="U35" s="36">
        <f>VLOOKUP($A35,[16]HISTODEC22!$A$6:$AU$39,19,0)</f>
        <v>1011250</v>
      </c>
      <c r="V35" s="36" t="str">
        <f>VLOOKUP($A35,[16]HISTODEC22!$A$6:$AU$39,20,0)</f>
        <v>BANQUE</v>
      </c>
      <c r="W35" s="36">
        <f>VLOOKUP($A35,[16]HISTODEC22!$A$6:$AU$39,27,0)</f>
        <v>0</v>
      </c>
      <c r="X35" s="36">
        <f>VLOOKUP($A35,[16]HISTODEC22!$A$6:$AU$39,33,0)</f>
        <v>0</v>
      </c>
      <c r="Y35" s="36">
        <f>VLOOKUP($A35,[16]HISTODEC22!$A$6:$BP$39,65,0)</f>
        <v>0</v>
      </c>
      <c r="Z35" s="36"/>
      <c r="AA35" s="36">
        <f>VLOOKUP($A35,[16]HISTODEC22!$A$6:$AU$39,43,0)</f>
        <v>0</v>
      </c>
      <c r="AB35" s="36">
        <f>VLOOKUP($A35,[16]HISTODEC22!$A$6:$AU$39,44,0)</f>
        <v>0</v>
      </c>
      <c r="AC35" s="36">
        <f>VLOOKUP($A35,[16]HISTODEC22!$A$6:$AU$39,47,0)</f>
        <v>0</v>
      </c>
      <c r="AD35" s="36">
        <f>VLOOKUP(A35,[16]HISTODEC22!$A$6:$BB$36,54,0)</f>
        <v>0</v>
      </c>
      <c r="AE35" s="36">
        <f>VLOOKUP($A35,[16]HISTODEC22!$A$6:$CA$36,60,0)</f>
        <v>0</v>
      </c>
      <c r="AF35" s="36">
        <f>VLOOKUP($A35,[16]HISTODEC22!$A$6:$CA$36,61,0)</f>
        <v>0</v>
      </c>
      <c r="AG35" s="36">
        <f>VLOOKUP($A35,[16]HISTODEC22!$A$6:$CA$36,62,0)</f>
        <v>0</v>
      </c>
      <c r="AH35" s="36">
        <f>VLOOKUP($A35,[16]HISTODEC22!$A$6:$CA$36,63,0)</f>
        <v>0</v>
      </c>
      <c r="AI35" s="36">
        <f>VLOOKUP($A35,[16]HISTODEC22!$A$6:$CA$36,64,0)</f>
        <v>0</v>
      </c>
      <c r="AJ35" s="36">
        <f>VLOOKUP($A35,[16]HISTODEC22!$A$6:$CA$36,65,0)</f>
        <v>0</v>
      </c>
    </row>
    <row r="36" spans="1:36" x14ac:dyDescent="0.25">
      <c r="A36" s="1" t="s">
        <v>56</v>
      </c>
      <c r="B36" s="1" t="str">
        <f>VLOOKUP(A36,[15]LISTADHERENT!A$5:H$60,3,0)</f>
        <v>YOUMBI EMMANUEL</v>
      </c>
      <c r="C36" s="5"/>
      <c r="D36" s="5"/>
      <c r="E36" s="36">
        <f>VLOOKUP($A36,[16]HISTODEC22!$A$6:$BA$39,48,0)</f>
        <v>0</v>
      </c>
      <c r="F36" s="5">
        <f>MVTNOV22!F36-MVTDEC22!E36</f>
        <v>570000</v>
      </c>
      <c r="G36" s="6">
        <f t="shared" si="1"/>
        <v>84171.238658965027</v>
      </c>
      <c r="H36" s="6">
        <f>MVTNOV22!H36+MVTNOV22!G36+K36</f>
        <v>1682160.5594462927</v>
      </c>
      <c r="I36" s="36">
        <f>VLOOKUP($A36,[16]HISTODEC22!$A$6:$AQ$37,22,0)</f>
        <v>0</v>
      </c>
      <c r="J36" s="36">
        <f>VLOOKUP($A36,[16]HISTODEC22!$A$6:$AU$39,45,0)</f>
        <v>7000</v>
      </c>
      <c r="K36" s="36">
        <f t="shared" si="2"/>
        <v>3000</v>
      </c>
      <c r="L36" s="36">
        <f t="shared" si="3"/>
        <v>500</v>
      </c>
      <c r="M36" s="36">
        <f t="shared" si="4"/>
        <v>1000</v>
      </c>
      <c r="N36" s="36">
        <f t="shared" si="5"/>
        <v>2500</v>
      </c>
      <c r="O36" s="36">
        <f>VLOOKUP($A36,[16]HISTODEC22!$A$6:$AU$39,7,0)</f>
        <v>0</v>
      </c>
      <c r="P36" s="36">
        <f>VLOOKUP($A36,[16]HISTODEC22!$A$6:$AU$39,23,0)</f>
        <v>0</v>
      </c>
      <c r="Q36" s="36">
        <f>VLOOKUP($A36,[16]HISTODEC22!$A$6:$AU$39,46,0)</f>
        <v>0</v>
      </c>
      <c r="R36" s="36">
        <f>VLOOKUP($A36,[16]HISTODEC22!$A$6:$AU$39,26,0)</f>
        <v>0</v>
      </c>
      <c r="S36" s="36">
        <f>VLOOKUP($A36,[16]HISTODEC22!$A$6:$BG$39,58,0)</f>
        <v>0</v>
      </c>
      <c r="T36" s="36">
        <f>VLOOKUP($A36,[16]HISTODEC22!$A$6:$AU$39,28,0)</f>
        <v>0</v>
      </c>
      <c r="U36" s="36">
        <f>VLOOKUP($A36,[16]HISTODEC22!$A$6:$AU$39,19,0)</f>
        <v>0</v>
      </c>
      <c r="V36" s="36">
        <f>VLOOKUP($A36,[16]HISTODEC22!$A$6:$AU$39,20,0)</f>
        <v>0</v>
      </c>
      <c r="W36" s="36">
        <f>VLOOKUP($A36,[16]HISTODEC22!$A$6:$AU$39,27,0)</f>
        <v>0</v>
      </c>
      <c r="X36" s="36">
        <f>VLOOKUP($A36,[16]HISTODEC22!$A$6:$AU$39,33,0)</f>
        <v>0</v>
      </c>
      <c r="Y36" s="36">
        <f>VLOOKUP($A36,[16]HISTODEC22!$A$6:$BP$39,65,0)</f>
        <v>0</v>
      </c>
      <c r="Z36" s="36"/>
      <c r="AA36" s="36">
        <f>VLOOKUP($A36,[16]HISTODEC22!$A$6:$AU$39,43,0)</f>
        <v>0</v>
      </c>
      <c r="AB36" s="36">
        <f>VLOOKUP($A36,[16]HISTODEC22!$A$6:$AU$39,44,0)</f>
        <v>0</v>
      </c>
      <c r="AC36" s="36">
        <f>VLOOKUP($A36,[16]HISTODEC22!$A$6:$AU$39,47,0)</f>
        <v>0</v>
      </c>
      <c r="AD36" s="36">
        <f>VLOOKUP(A36,[16]HISTODEC22!$A$6:$BB$36,54,0)</f>
        <v>0</v>
      </c>
      <c r="AE36" s="36">
        <f>VLOOKUP($A36,[16]HISTODEC22!$A$6:$CA$36,60,0)</f>
        <v>0</v>
      </c>
      <c r="AF36" s="36">
        <f>VLOOKUP($A36,[16]HISTODEC22!$A$6:$CA$36,61,0)</f>
        <v>0</v>
      </c>
      <c r="AG36" s="36">
        <f>VLOOKUP($A36,[16]HISTODEC22!$A$6:$CA$36,62,0)</f>
        <v>0</v>
      </c>
      <c r="AH36" s="36">
        <f>VLOOKUP($A36,[16]HISTODEC22!$A$6:$CA$36,63,0)</f>
        <v>0</v>
      </c>
      <c r="AI36" s="36">
        <f>VLOOKUP($A36,[16]HISTODEC22!$A$6:$CA$36,64,0)</f>
        <v>0</v>
      </c>
      <c r="AJ36" s="36">
        <f>VLOOKUP($A36,[16]HISTODEC22!$A$6:$CA$36,65,0)</f>
        <v>0</v>
      </c>
    </row>
    <row r="37" spans="1:36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6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6" x14ac:dyDescent="0.25">
      <c r="A39" s="1"/>
      <c r="B39" s="1"/>
      <c r="C39" s="1"/>
      <c r="D39" s="1"/>
      <c r="E39" s="1"/>
      <c r="F39" s="1"/>
      <c r="G39" s="1"/>
      <c r="H39" s="1"/>
    </row>
    <row r="40" spans="1:36" ht="18" x14ac:dyDescent="0.25">
      <c r="A40" s="1" t="s">
        <v>57</v>
      </c>
      <c r="B40" s="1"/>
      <c r="C40" s="9">
        <f t="shared" ref="C40:AH40" si="6">SUM(C6:C39)</f>
        <v>0</v>
      </c>
      <c r="D40" s="9">
        <f t="shared" si="6"/>
        <v>0</v>
      </c>
      <c r="E40" s="9">
        <f t="shared" si="6"/>
        <v>0</v>
      </c>
      <c r="F40" s="9">
        <f t="shared" si="6"/>
        <v>17084659.561375875</v>
      </c>
      <c r="G40" s="9">
        <f t="shared" si="6"/>
        <v>1118000</v>
      </c>
      <c r="H40" s="9">
        <f t="shared" si="6"/>
        <v>22343208.148341153</v>
      </c>
      <c r="I40" s="9">
        <f t="shared" si="6"/>
        <v>0</v>
      </c>
      <c r="J40" s="9">
        <f t="shared" si="6"/>
        <v>293000</v>
      </c>
      <c r="K40" s="9">
        <f t="shared" si="6"/>
        <v>189000</v>
      </c>
      <c r="L40" s="9">
        <f t="shared" si="6"/>
        <v>13000</v>
      </c>
      <c r="M40" s="9">
        <f t="shared" si="6"/>
        <v>26000</v>
      </c>
      <c r="N40" s="9">
        <f t="shared" si="6"/>
        <v>65000</v>
      </c>
      <c r="O40" s="9">
        <f t="shared" si="6"/>
        <v>0</v>
      </c>
      <c r="P40" s="9">
        <f t="shared" si="6"/>
        <v>0</v>
      </c>
      <c r="Q40" s="9">
        <f t="shared" si="6"/>
        <v>0</v>
      </c>
      <c r="R40" s="9">
        <f t="shared" si="6"/>
        <v>14600000</v>
      </c>
      <c r="S40" s="9">
        <f>SUM(S6:S39)+AI40</f>
        <v>1118000</v>
      </c>
      <c r="T40" s="9">
        <f t="shared" si="6"/>
        <v>0</v>
      </c>
      <c r="U40" s="9">
        <f t="shared" si="6"/>
        <v>16041250</v>
      </c>
      <c r="V40" s="9">
        <f t="shared" si="6"/>
        <v>0</v>
      </c>
      <c r="W40" s="9">
        <f t="shared" si="6"/>
        <v>0</v>
      </c>
      <c r="X40" s="9">
        <f t="shared" si="6"/>
        <v>0</v>
      </c>
      <c r="Y40" s="9">
        <f t="shared" si="6"/>
        <v>0</v>
      </c>
      <c r="Z40" s="9">
        <f t="shared" si="6"/>
        <v>0</v>
      </c>
      <c r="AA40" s="9">
        <f t="shared" si="6"/>
        <v>0</v>
      </c>
      <c r="AB40" s="9">
        <f t="shared" si="6"/>
        <v>0</v>
      </c>
      <c r="AC40" s="9">
        <f t="shared" si="6"/>
        <v>0</v>
      </c>
      <c r="AD40" s="9">
        <f t="shared" si="6"/>
        <v>9000</v>
      </c>
      <c r="AE40" s="9">
        <f t="shared" si="6"/>
        <v>6000</v>
      </c>
      <c r="AF40" s="9">
        <f t="shared" si="6"/>
        <v>0</v>
      </c>
      <c r="AG40" s="9">
        <f t="shared" si="6"/>
        <v>0</v>
      </c>
      <c r="AH40" s="9">
        <f t="shared" si="6"/>
        <v>70000</v>
      </c>
      <c r="AI40" s="9">
        <f>SUM(AI6:AI39)</f>
        <v>0</v>
      </c>
      <c r="AJ40" s="9">
        <f>SUM(AJ6:AJ39)</f>
        <v>0</v>
      </c>
    </row>
  </sheetData>
  <autoFilter ref="A5:U36">
    <sortState ref="A5:L48">
      <sortCondition ref="B5:B48"/>
    </sortState>
  </autoFilter>
  <mergeCells count="1">
    <mergeCell ref="J4:O4"/>
  </mergeCells>
  <dataValidations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49"/>
  <sheetViews>
    <sheetView zoomScaleNormal="100" workbookViewId="0">
      <pane xSplit="2" ySplit="5" topLeftCell="AC28" activePane="bottomRight" state="frozen"/>
      <selection activeCell="B43" sqref="B43"/>
      <selection pane="topRight" activeCell="B43" sqref="B43"/>
      <selection pane="bottomLeft" activeCell="B43" sqref="B43"/>
      <selection pane="bottomRight" activeCell="AI35" sqref="AI35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4" width="16.85546875" bestFit="1" customWidth="1"/>
    <col min="5" max="6" width="18.28515625" customWidth="1"/>
    <col min="7" max="7" width="18.42578125" customWidth="1"/>
    <col min="8" max="8" width="16.85546875" bestFit="1" customWidth="1"/>
    <col min="9" max="9" width="15" bestFit="1" customWidth="1"/>
    <col min="10" max="10" width="17.5703125" style="3" bestFit="1" customWidth="1"/>
    <col min="11" max="11" width="17.5703125" style="3" customWidth="1"/>
    <col min="12" max="12" width="15.7109375" style="2" customWidth="1"/>
    <col min="13" max="15" width="12.42578125" style="2" customWidth="1"/>
    <col min="16" max="16" width="16.85546875" style="2" bestFit="1" customWidth="1"/>
    <col min="17" max="17" width="16.85546875" style="2" customWidth="1"/>
    <col min="18" max="19" width="16.85546875" bestFit="1" customWidth="1"/>
    <col min="20" max="21" width="18.140625" customWidth="1"/>
    <col min="22" max="22" width="12.7109375" customWidth="1"/>
    <col min="25" max="25" width="12.42578125" bestFit="1" customWidth="1"/>
    <col min="29" max="29" width="13" customWidth="1"/>
    <col min="30" max="30" width="15" bestFit="1" customWidth="1"/>
    <col min="31" max="31" width="12.42578125" bestFit="1" customWidth="1"/>
    <col min="34" max="34" width="12.42578125" bestFit="1" customWidth="1"/>
    <col min="35" max="35" width="16.85546875" bestFit="1" customWidth="1"/>
    <col min="36" max="36" width="12.85546875" bestFit="1" customWidth="1"/>
    <col min="37" max="37" width="12.42578125" bestFit="1" customWidth="1"/>
    <col min="38" max="38" width="17.5703125" customWidth="1"/>
  </cols>
  <sheetData>
    <row r="1" spans="1:38" x14ac:dyDescent="0.25">
      <c r="A1" s="1" t="s">
        <v>0</v>
      </c>
      <c r="B1" s="1" t="s">
        <v>1</v>
      </c>
      <c r="C1" s="1"/>
      <c r="D1" s="1"/>
      <c r="E1" s="1"/>
      <c r="F1" s="1"/>
      <c r="G1" s="1" t="s">
        <v>215</v>
      </c>
      <c r="H1" s="1"/>
    </row>
    <row r="2" spans="1:38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AL2" s="1"/>
    </row>
    <row r="3" spans="1:38" x14ac:dyDescent="0.25">
      <c r="A3" s="1" t="s">
        <v>3</v>
      </c>
      <c r="B3" s="5"/>
      <c r="C3" s="5"/>
      <c r="D3" s="5"/>
      <c r="E3" s="5"/>
      <c r="F3" s="5"/>
      <c r="G3" s="5"/>
      <c r="H3" s="5"/>
      <c r="AL3" s="1"/>
    </row>
    <row r="4" spans="1:38" x14ac:dyDescent="0.25">
      <c r="A4">
        <v>1</v>
      </c>
      <c r="B4">
        <v>2</v>
      </c>
      <c r="C4">
        <v>3</v>
      </c>
      <c r="D4">
        <v>4</v>
      </c>
      <c r="E4">
        <v>5</v>
      </c>
      <c r="F4">
        <v>6</v>
      </c>
      <c r="G4">
        <v>7</v>
      </c>
      <c r="H4">
        <v>8</v>
      </c>
      <c r="I4">
        <v>9</v>
      </c>
      <c r="J4">
        <v>10</v>
      </c>
      <c r="K4">
        <v>11</v>
      </c>
      <c r="L4">
        <v>12</v>
      </c>
      <c r="M4">
        <v>13</v>
      </c>
      <c r="N4">
        <v>14</v>
      </c>
      <c r="O4">
        <v>15</v>
      </c>
      <c r="P4">
        <v>16</v>
      </c>
      <c r="Q4">
        <v>17</v>
      </c>
      <c r="R4">
        <v>18</v>
      </c>
      <c r="S4">
        <v>19</v>
      </c>
      <c r="T4">
        <v>20</v>
      </c>
      <c r="U4">
        <v>21</v>
      </c>
      <c r="V4">
        <v>22</v>
      </c>
      <c r="W4">
        <v>23</v>
      </c>
      <c r="X4">
        <v>24</v>
      </c>
      <c r="Y4">
        <v>25</v>
      </c>
      <c r="Z4">
        <v>26</v>
      </c>
      <c r="AA4">
        <v>27</v>
      </c>
      <c r="AB4">
        <v>28</v>
      </c>
      <c r="AC4">
        <v>29</v>
      </c>
      <c r="AD4">
        <v>30</v>
      </c>
      <c r="AE4">
        <v>31</v>
      </c>
      <c r="AF4">
        <v>32</v>
      </c>
      <c r="AG4">
        <v>33</v>
      </c>
      <c r="AH4">
        <v>34</v>
      </c>
      <c r="AI4">
        <v>35</v>
      </c>
      <c r="AJ4">
        <v>36</v>
      </c>
      <c r="AK4">
        <v>37</v>
      </c>
      <c r="AL4">
        <v>38</v>
      </c>
    </row>
    <row r="5" spans="1:38" ht="57.75" x14ac:dyDescent="0.25">
      <c r="A5" s="1" t="s">
        <v>4</v>
      </c>
      <c r="B5" s="1" t="s">
        <v>5</v>
      </c>
      <c r="C5" s="4" t="s">
        <v>212</v>
      </c>
      <c r="D5" s="4" t="s">
        <v>69</v>
      </c>
      <c r="E5" s="4" t="s">
        <v>213</v>
      </c>
      <c r="F5" s="4" t="s">
        <v>214</v>
      </c>
      <c r="G5" s="4" t="s">
        <v>6</v>
      </c>
      <c r="H5" s="4" t="s">
        <v>7</v>
      </c>
      <c r="I5" s="1" t="s">
        <v>8</v>
      </c>
      <c r="J5" s="4" t="s">
        <v>60</v>
      </c>
      <c r="K5" s="1" t="s">
        <v>9</v>
      </c>
      <c r="L5" s="4" t="s">
        <v>10</v>
      </c>
      <c r="M5" s="4" t="s">
        <v>11</v>
      </c>
      <c r="N5" s="4" t="s">
        <v>12</v>
      </c>
      <c r="O5" s="4" t="s">
        <v>72</v>
      </c>
      <c r="P5" s="4" t="s">
        <v>73</v>
      </c>
      <c r="Q5" s="4" t="s">
        <v>13</v>
      </c>
      <c r="R5" s="4" t="s">
        <v>61</v>
      </c>
      <c r="S5" s="4" t="s">
        <v>63</v>
      </c>
      <c r="T5" s="4" t="s">
        <v>83</v>
      </c>
      <c r="U5" s="4" t="s">
        <v>64</v>
      </c>
      <c r="V5" s="4" t="s">
        <v>67</v>
      </c>
      <c r="W5" s="4" t="s">
        <v>209</v>
      </c>
      <c r="X5" s="4" t="s">
        <v>83</v>
      </c>
      <c r="Y5" s="4" t="s">
        <v>65</v>
      </c>
      <c r="Z5" s="4" t="s">
        <v>14</v>
      </c>
      <c r="AA5" s="4" t="s">
        <v>210</v>
      </c>
      <c r="AB5" s="4" t="s">
        <v>211</v>
      </c>
      <c r="AC5" s="84" t="s">
        <v>216</v>
      </c>
      <c r="AD5" s="4" t="s">
        <v>256</v>
      </c>
      <c r="AE5" s="84" t="s">
        <v>10</v>
      </c>
      <c r="AF5" s="84" t="s">
        <v>11</v>
      </c>
      <c r="AG5" s="84" t="s">
        <v>307</v>
      </c>
      <c r="AH5" s="84" t="s">
        <v>273</v>
      </c>
      <c r="AI5" s="4" t="s">
        <v>260</v>
      </c>
      <c r="AJ5" s="4" t="s">
        <v>259</v>
      </c>
      <c r="AK5" s="4" t="s">
        <v>65</v>
      </c>
      <c r="AL5" s="84" t="s">
        <v>278</v>
      </c>
    </row>
    <row r="6" spans="1:38" x14ac:dyDescent="0.25">
      <c r="A6" s="1" t="s">
        <v>16</v>
      </c>
      <c r="B6" s="1" t="str">
        <f>VLOOKUP(A6,[15]LISTADHERENT!A$5:H$60,3,0)</f>
        <v>ASELBY</v>
      </c>
      <c r="C6" s="5">
        <f>MVTJANV22!C6+MVTFEV22!C6+MVTMARS22!C6+MVTAVRIL22!C6+MVTMAI22!C6+MVTJUIN22!C6+MVTJUIL22!C6+MVTAOUT22!C6+MVTSEPT22!C6+MVTOCT22!C6+MVTNOV22!C6+MVTDEC22!C6</f>
        <v>584177.00555049011</v>
      </c>
      <c r="D6" s="5">
        <f>MVTJANV22!D6+MVTFEV22!D6+MVTMARS22!D6+MVTAVRIL22!D6+MVTMAI22!D6+MVTJUIN22!D6+MVTJUIL22!D6+MVTAOUT22!D6+MVTSEPT22!D6+MVTOCT22!D6+MVTNOV22!D6+MVTDEC22!D6</f>
        <v>0</v>
      </c>
      <c r="E6" s="36">
        <f>MVTJANV22!E6+MVTFEV22!E6+MVTMARS22!E6+MVTAVRIL22!E6+MVTMAI22!E6+MVTJUIN22!E6+MVTJUIL22!E6+MVTAOUT22!E6+MVTSEPT22!E6+MVTOCT22!E6+MVTNOV22!E6+MVTDEC22!E6</f>
        <v>0</v>
      </c>
      <c r="F6" s="5">
        <f>C6-E6</f>
        <v>584177.00555049011</v>
      </c>
      <c r="G6" s="6">
        <f>MVTJANV22!G6+MVTFEV22!G6+MVTMARS22!G6+MVTAVRIL22!G6+MVTMAI22!G6+MVTJUIN22!G6+MVTJUIL22!G6+MVTAOUT22!G6+MVTSEPT22!G6+MVTOCT22!G6+MVTNOV22!G6+MVTDEC22!G6</f>
        <v>96270.987094708573</v>
      </c>
      <c r="H6" s="6">
        <f>F6+D6+K6</f>
        <v>584177.00555049011</v>
      </c>
      <c r="I6" s="36">
        <f>MVTJANV22!I6+MVTFEV22!I6+MVTMARS22!I6+MVTAVRIL22!I6+MVTMAI22!I6+MVTJUIN22!I6+MVTJUIL22!I6+MVTAOUT22!I6+MVTSEPT22!I6+MVTOCT22!I6+MVTNOV22!I6+MVTDEC22!I6</f>
        <v>0</v>
      </c>
      <c r="J6" s="36">
        <f>MVTJANV22!J6+MVTFEV22!J6+MVTMARS22!J6+MVTAVRIL22!J6+MVTMAI22!J6+MVTJUIN22!J6+MVTJUIL22!J6+MVTAOUT22!J6+MVTSEPT22!J6+MVTOCT22!J6+MVTNOV22!J6+MVTDEC22!J6</f>
        <v>0</v>
      </c>
      <c r="K6" s="36">
        <f>MVTJANV22!K6+MVTFEV22!K6+MVTMARS22!K6+MVTAVRIL22!K6+MVTMAI22!K6+MVTJUIN22!K6+MVTJUIL22!K6+MVTAOUT22!K6+MVTSEPT22!K6+MVTOCT22!K6+MVTNOV22!K6+MVTDEC22!K6</f>
        <v>0</v>
      </c>
      <c r="L6" s="36">
        <f>MVTJANV22!L6+MVTFEV22!L6+MVTMARS22!L6+MVTAVRIL22!L6+MVTMAI22!L6+MVTJUIN22!L6+MVTJUIL22!L6+MVTAOUT22!L6+MVTSEPT22!L6+MVTOCT22!L6+MVTNOV22!L6+MVTDEC22!L6</f>
        <v>0</v>
      </c>
      <c r="M6" s="36">
        <f>MVTJANV22!M6+MVTFEV22!M6+MVTMARS22!M6+MVTAVRIL22!M6+MVTMAI22!M6+MVTJUIN22!M6+MVTJUIL22!M6+MVTAOUT22!M6+MVTSEPT22!M6+MVTOCT22!M6+MVTNOV22!M6+MVTDEC22!M6</f>
        <v>0</v>
      </c>
      <c r="N6" s="36">
        <f>MVTJANV22!N6+MVTFEV22!N6+MVTMARS22!N6+MVTAVRIL22!N6+MVTMAI22!N6+MVTJUIN22!N6+MVTJUIL22!N6+MVTAOUT22!N6+MVTSEPT22!N6+MVTOCT22!N6+MVTNOV22!N6+MVTDEC22!N6</f>
        <v>0</v>
      </c>
      <c r="O6" s="36">
        <f>MVTJANV22!O6+MVTFEV22!O6+MVTMARS22!O6+MVTAVRIL22!O6+MVTMAI22!O6+MVTJUIN22!O6+MVTJUIL22!O6+MVTAOUT22!O6+MVTSEPT22!O6+MVTOCT22!O6+MVTNOV22!O6+MVTDEC22!O6</f>
        <v>0</v>
      </c>
      <c r="P6" s="36">
        <f>MVTJANV22!P6+MVTFEV22!P6+MVTMARS22!P6+MVTAVRIL22!P6+MVTMAI22!P6+MVTJUIN22!P6+MVTJUIL22!P6+MVTAOUT22!P6+MVTSEPT22!P6+MVTOCT22!P6+MVTNOV22!P6+MVTDEC22!P6</f>
        <v>0</v>
      </c>
      <c r="Q6" s="36">
        <f>MVTJANV22!Q6+MVTFEV22!Q6+MVTMARS22!Q6+MVTAVRIL22!Q6+MVTMAI22!Q6+MVTJUIN22!Q6+MVTJUIL22!Q6+MVTAOUT22!Q6+MVTSEPT22!Q6+MVTOCT22!Q6+MVTNOV22!Q6+MVTDEC22!Q6</f>
        <v>0</v>
      </c>
      <c r="R6" s="36">
        <f>MVTJANV22!R6+MVTFEV22!R6+MVTMARS22!R6+MVTAVRIL22!R6+MVTMAI22!R6+MVTJUIN22!R6+MVTJUIL22!R6+MVTAOUT22!R6+MVTSEPT22!R6+MVTOCT22!R6+MVTNOV22!R6+MVTDEC22!R6</f>
        <v>0</v>
      </c>
      <c r="S6" s="36">
        <f>MVTJANV22!S6+MVTFEV22!S6+MVTMARS22!S6+MVTAVRIL22!S6+MVTMAI22!S6+MVTJUIN22!S6+MVTJUIL22!S6+MVTAOUT22!S6+MVTSEPT22!S6+MVTOCT22!S6+MVTNOV22!S6+MVTDEC22!S6</f>
        <v>0</v>
      </c>
      <c r="T6" s="36"/>
      <c r="U6" s="36">
        <f>MVTJANV22!U6+MVTFEV22!U6+MVTMARS22!U6+MVTAVRIL22!U6+MVTMAI22!U6+MVTJUIN22!U6+MVTJUIL22!U6+MVTAOUT22!U6+MVTSEPT22!U6+MVTOCT22!U6+MVTNOV22!U6+MVTDEC22!U6</f>
        <v>0</v>
      </c>
      <c r="V6" s="36"/>
      <c r="W6" s="36"/>
      <c r="X6" s="36">
        <f>MVTJANV22!X6+MVTFEV22!X6+MVTMARS22!X6+MVTAVRIL22!X6+MVTMAI22!X6+MVTJUIN22!X6+MVTJUIL22!X6+MVTAOUT22!X6+MVTSEPT22!X6+MVTOCT22!X6+MVTNOV22!X6+MVTDEC22!X6</f>
        <v>0</v>
      </c>
      <c r="Y6" s="36">
        <f>MVTJANV22!Y6+MVTFEV22!Y6+MVTMARS22!Y6+MVTAVRIL22!Y6+MVTMAI22!Y6+MVTJUIN22!Y6+MVTJUIL22!Y6+MVTAOUT22!Y6+MVTSEPT22!Y6+MVTOCT22!Y6+MVTNOV22!Y6+MVTDEC22!Y6</f>
        <v>0</v>
      </c>
      <c r="Z6" s="36">
        <f>MVTJANV22!Z6+MVTFEV22!Z6+MVTMARS22!Z6+MVTAVRIL22!Z6+MVTMAI22!Z6+MVTJUIN22!Z6+MVTJUIL22!Z6+MVTAOUT22!Z6+MVTSEPT22!Z6+MVTOCT22!Z6+MVTNOV22!Z6+MVTDEC22!Z6</f>
        <v>0</v>
      </c>
      <c r="AA6" s="36">
        <f>MVTJANV22!AA6+MVTFEV22!AA6+MVTMARS22!AA6+MVTAVRIL22!AA6+MVTMAI22!AA6+MVTJUIN22!AA6+MVTJUIL22!AA6+MVTAOUT22!AA6+MVTSEPT22!AA6+MVTOCT22!AA6+MVTNOV22!AA6+MVTDEC22!AA6</f>
        <v>0</v>
      </c>
      <c r="AB6" s="36">
        <f>MVTJANV22!AB6+MVTFEV22!AB6+MVTMARS22!AB6+MVTAVRIL22!AB6+MVTMAI22!AB6+MVTJUIN22!AB6+MVTJUIL22!AB6+MVTAOUT22!AB6+MVTSEPT22!AB6+MVTOCT22!AB6+MVTNOV22!AB6+MVTDEC22!AB6</f>
        <v>0</v>
      </c>
      <c r="AC6" s="36">
        <f>MVTJANV22!AC6+MVTFEV22!AC6+MVTMARS22!AC6+MVTAVRIL22!AC6+MVTMAI22!AC6+MVTJUIN22!AC6+MVTJUIL22!AC6+MVTAOUT22!AC6+MVTSEPT22!AC6+MVTOCT22!AC6+MVTNOV22!AC6+MVTDEC22!AC6</f>
        <v>0</v>
      </c>
      <c r="AD6" s="36">
        <f>MVTJANV22!AD6+MVTFEV22!AD6+MVTMARS22!AD6+MVTAVRIL22!AD6+MVTMAI22!AD6+MVTJUIN22!AD6+MVTJUIL22!AD6+MVTAOUT22!AD6+MVTSEPT22!AD6+MVTOCT22!AD6+MVTNOV22!AD6+MVTDEC22!AD6</f>
        <v>0</v>
      </c>
      <c r="AE6" s="36">
        <f>MVTJANV22!AE6+MVTFEV22!AE6+MVTMARS22!AE6+MVTAVRIL22!AE6+MVTMAI22!AE6+MVTJUIN22!AE6+MVTJUIL22!AE6+MVTAOUT22!AE6+MVTSEPT22!AE6+MVTOCT22!AE6+MVTNOV22!AE6+MVTDEC22!AE6</f>
        <v>234500</v>
      </c>
      <c r="AF6" s="36">
        <f>MVTJANV22!AF6+MVTFEV22!AF6+MVTMARS22!AF6+MVTAVRIL22!AF6+MVTMAI22!AF6+MVTJUIN22!AF6+MVTJUIL22!AF6+MVTAOUT22!AF6+MVTSEPT22!AF6+MVTOCT22!AF6+MVTNOV22!AF6+MVTDEC22!AF6</f>
        <v>0</v>
      </c>
      <c r="AG6" s="36">
        <f>MVTJANV22!AG6+MVTFEV22!AG6+MVTMARS22!AG6+MVTAVRIL22!AG6+MVTMAI22!AG6+MVTJUIN22!AG6+MVTJUIL22!AG6+MVTAOUT22!AG6+MVTSEPT22!AG6+MVTOCT22!AG6+MVTNOV22!AG6+MVTDEC22!AG6</f>
        <v>0</v>
      </c>
      <c r="AH6" s="36">
        <f>MVTJANV22!AH6+MVTFEV22!AH6+MVTMARS22!AH6+MVTAVRIL22!AH6+MVTMAI22!AH6+MVTJUIN22!AH6+MVTJUIL22!AH6+MVTAOUT22!AH6+MVTSEPT22!AH6+MVTOCT22!AH6+MVTNOV22!AH6+MVTDEC22!AH6</f>
        <v>280000</v>
      </c>
      <c r="AI6" s="36"/>
      <c r="AJ6" s="11"/>
      <c r="AK6" s="36">
        <f>MVTJANV22!AI6+MVTFEV22!AI6+MVTMARS22!AI6+MVTAVRIL22!AI6+MVTMAI22!AI6+MVTJUIN22!AI6+MVTJUIL22!AI6+MVTAOUT22!AI6+MVTSEPT22!AI6+MVTOCT22!AI6+MVTNOV22!AI6+MVTDEC22!AI6</f>
        <v>0</v>
      </c>
      <c r="AL6" s="36">
        <f>MVTJANV22!AJ6+MVTFEV22!AJ6+MVTMARS22!AJ6+MVTAVRIL22!AJ6+MVTMAI22!AJ6+MVTJUIN22!AJ6+MVTJUIL22!AJ6+MVTAOUT22!AJ6+MVTSEPT22!AJ6+MVTOCT22!AJ6+MVTNOV22!AJ6+MVTDEC22!AJ6</f>
        <v>450000</v>
      </c>
    </row>
    <row r="7" spans="1:38" x14ac:dyDescent="0.25">
      <c r="A7" s="1" t="s">
        <v>19</v>
      </c>
      <c r="B7" s="1" t="str">
        <f>VLOOKUP(A7,[15]LISTADHERENT!A$5:H$60,3,0)</f>
        <v>BOUTCHOUANG WILLIAM</v>
      </c>
      <c r="C7" s="5">
        <f>MVTJANV22!C7+MVTFEV22!C7+MVTMARS22!C7+MVTAVRIL22!C7+MVTMAI22!C7+MVTJUIN22!C7+MVTJUIL22!C7+MVTAOUT22!C7+MVTSEPT22!C7+MVTOCT22!C7+MVTNOV22!C7+MVTDEC22!C7</f>
        <v>570000</v>
      </c>
      <c r="D7" s="5">
        <f>MVTJANV22!D7+MVTFEV22!D7+MVTMARS22!D7+MVTAVRIL22!D7+MVTMAI22!D7+MVTJUIN22!D7+MVTJUIL22!D7+MVTAOUT22!D7+MVTSEPT22!D7+MVTOCT22!D7+MVTNOV22!D7+MVTDEC22!D7</f>
        <v>-258.93850559103885</v>
      </c>
      <c r="E7" s="36">
        <f>MVTJANV22!E7+MVTFEV22!E7+MVTMARS22!E7+MVTAVRIL22!E7+MVTMAI22!E7+MVTJUIN22!E7+MVTJUIL22!E7+MVTAOUT22!E7+MVTSEPT22!E7+MVTOCT22!E7+MVTNOV22!E7+MVTDEC22!E7</f>
        <v>0</v>
      </c>
      <c r="F7" s="5">
        <f t="shared" ref="F7:F36" si="0">C7-E7</f>
        <v>570000</v>
      </c>
      <c r="G7" s="6">
        <f>MVTJANV22!G7+MVTFEV22!G7+MVTMARS22!G7+MVTAVRIL22!G7+MVTMAI22!G7+MVTJUIN22!G7+MVTJUIL22!G7+MVTAOUT22!G7+MVTSEPT22!G7+MVTOCT22!G7+MVTNOV22!G7+MVTDEC22!G7</f>
        <v>96543.169294901774</v>
      </c>
      <c r="H7" s="6">
        <f t="shared" ref="H7:H36" si="1">F7+D7+K7</f>
        <v>605741.06149440899</v>
      </c>
      <c r="I7" s="36">
        <f>MVTJANV22!I7+MVTFEV22!I7+MVTMARS22!I7+MVTAVRIL22!I7+MVTMAI22!I7+MVTJUIN22!I7+MVTJUIL22!I7+MVTAOUT22!I7+MVTSEPT22!I7+MVTOCT22!I7+MVTNOV22!I7+MVTDEC22!I7</f>
        <v>0</v>
      </c>
      <c r="J7" s="36">
        <f>MVTJANV22!J7+MVTFEV22!J7+MVTMARS22!J7+MVTAVRIL22!J7+MVTMAI22!J7+MVTJUIN22!J7+MVTJUIL22!J7+MVTAOUT22!J7+MVTSEPT22!J7+MVTOCT22!J7+MVTNOV22!J7+MVTDEC22!J7</f>
        <v>84000</v>
      </c>
      <c r="K7" s="36">
        <f>MVTJANV22!K7+MVTFEV22!K7+MVTMARS22!K7+MVTAVRIL22!K7+MVTMAI22!K7+MVTJUIN22!K7+MVTJUIL22!K7+MVTAOUT22!K7+MVTSEPT22!K7+MVTOCT22!K7+MVTNOV22!K7+MVTDEC22!K7</f>
        <v>36000</v>
      </c>
      <c r="L7" s="36">
        <f>MVTJANV22!L7+MVTFEV22!L7+MVTMARS22!L7+MVTAVRIL22!L7+MVTMAI22!L7+MVTJUIN22!L7+MVTJUIL22!L7+MVTAOUT22!L7+MVTSEPT22!L7+MVTOCT22!L7+MVTNOV22!L7+MVTDEC22!L7</f>
        <v>6000</v>
      </c>
      <c r="M7" s="36">
        <f>MVTJANV22!M7+MVTFEV22!M7+MVTMARS22!M7+MVTAVRIL22!M7+MVTMAI22!M7+MVTJUIN22!M7+MVTJUIL22!M7+MVTAOUT22!M7+MVTSEPT22!M7+MVTOCT22!M7+MVTNOV22!M7+MVTDEC22!M7</f>
        <v>12000</v>
      </c>
      <c r="N7" s="36">
        <f>MVTJANV22!N7+MVTFEV22!N7+MVTMARS22!N7+MVTAVRIL22!N7+MVTMAI22!N7+MVTJUIN22!N7+MVTJUIL22!N7+MVTAOUT22!N7+MVTSEPT22!N7+MVTOCT22!N7+MVTNOV22!N7+MVTDEC22!N7</f>
        <v>30000</v>
      </c>
      <c r="O7" s="36">
        <f>MVTJANV22!O7+MVTFEV22!O7+MVTMARS22!O7+MVTAVRIL22!O7+MVTMAI22!O7+MVTJUIN22!O7+MVTJUIL22!O7+MVTAOUT22!O7+MVTSEPT22!O7+MVTOCT22!O7+MVTNOV22!O7+MVTDEC22!O7</f>
        <v>3000</v>
      </c>
      <c r="P7" s="36">
        <f>MVTJANV22!P7+MVTFEV22!P7+MVTMARS22!P7+MVTAVRIL22!P7+MVTMAI22!P7+MVTJUIN22!P7+MVTJUIL22!P7+MVTAOUT22!P7+MVTSEPT22!P7+MVTOCT22!P7+MVTNOV22!P7+MVTDEC22!P7</f>
        <v>0</v>
      </c>
      <c r="Q7" s="36">
        <f>MVTJANV22!Q7+MVTFEV22!Q7+MVTMARS22!Q7+MVTAVRIL22!Q7+MVTMAI22!Q7+MVTJUIN22!Q7+MVTJUIL22!Q7+MVTAOUT22!Q7+MVTSEPT22!Q7+MVTOCT22!Q7+MVTNOV22!Q7+MVTDEC22!Q7</f>
        <v>0</v>
      </c>
      <c r="R7" s="36">
        <f>MVTJANV22!R7+MVTFEV22!R7+MVTMARS22!R7+MVTAVRIL22!R7+MVTMAI22!R7+MVTJUIN22!R7+MVTJUIL22!R7+MVTAOUT22!R7+MVTSEPT22!R7+MVTOCT22!R7+MVTNOV22!R7+MVTDEC22!R7</f>
        <v>1000000</v>
      </c>
      <c r="S7" s="36">
        <f>MVTJANV22!S7+MVTFEV22!S7+MVTMARS22!S7+MVTAVRIL22!S7+MVTMAI22!S7+MVTJUIN22!S7+MVTJUIL22!S7+MVTAOUT22!S7+MVTSEPT22!S7+MVTOCT22!S7+MVTNOV22!S7+MVTDEC22!S7</f>
        <v>35000</v>
      </c>
      <c r="T7" s="36"/>
      <c r="U7" s="36">
        <f>MVTJANV22!U7+MVTFEV22!U7+MVTMARS22!U7+MVTAVRIL22!U7+MVTMAI22!U7+MVTJUIN22!U7+MVTJUIL22!U7+MVTAOUT22!U7+MVTSEPT22!U7+MVTOCT22!U7+MVTNOV22!U7+MVTDEC22!U7</f>
        <v>1025000</v>
      </c>
      <c r="V7" s="36"/>
      <c r="W7" s="36"/>
      <c r="X7" s="36">
        <f>MVTJANV22!X7+MVTFEV22!X7+MVTMARS22!X7+MVTAVRIL22!X7+MVTMAI22!X7+MVTJUIN22!X7+MVTJUIL22!X7+MVTAOUT22!X7+MVTSEPT22!X7+MVTOCT22!X7+MVTNOV22!X7+MVTDEC22!X7</f>
        <v>0</v>
      </c>
      <c r="Y7" s="36">
        <f>MVTJANV22!Y7+MVTFEV22!Y7+MVTMARS22!Y7+MVTAVRIL22!Y7+MVTMAI22!Y7+MVTJUIN22!Y7+MVTJUIL22!Y7+MVTAOUT22!Y7+MVTSEPT22!Y7+MVTOCT22!Y7+MVTNOV22!Y7+MVTDEC22!Y7</f>
        <v>0</v>
      </c>
      <c r="Z7" s="36">
        <f>MVTJANV22!Z7+MVTFEV22!Z7+MVTMARS22!Z7+MVTAVRIL22!Z7+MVTMAI22!Z7+MVTJUIN22!Z7+MVTJUIL22!Z7+MVTAOUT22!Z7+MVTSEPT22!Z7+MVTOCT22!Z7+MVTNOV22!Z7+MVTDEC22!Z7</f>
        <v>0</v>
      </c>
      <c r="AA7" s="36">
        <f>MVTJANV22!AA7+MVTFEV22!AA7+MVTMARS22!AA7+MVTAVRIL22!AA7+MVTMAI22!AA7+MVTJUIN22!AA7+MVTJUIL22!AA7+MVTAOUT22!AA7+MVTSEPT22!AA7+MVTOCT22!AA7+MVTNOV22!AA7+MVTDEC22!AA7</f>
        <v>0</v>
      </c>
      <c r="AB7" s="36">
        <f>MVTJANV22!AB7+MVTFEV22!AB7+MVTMARS22!AB7+MVTAVRIL22!AB7+MVTMAI22!AB7+MVTJUIN22!AB7+MVTJUIL22!AB7+MVTAOUT22!AB7+MVTSEPT22!AB7+MVTOCT22!AB7+MVTNOV22!AB7+MVTDEC22!AB7</f>
        <v>0</v>
      </c>
      <c r="AC7" s="36">
        <f>MVTJANV22!AC7+MVTFEV22!AC7+MVTMARS22!AC7+MVTAVRIL22!AC7+MVTMAI22!AC7+MVTJUIN22!AC7+MVTJUIL22!AC7+MVTAOUT22!AC7+MVTSEPT22!AC7+MVTOCT22!AC7+MVTNOV22!AC7+MVTDEC22!AC7</f>
        <v>0</v>
      </c>
      <c r="AD7" s="36">
        <f>MVTJANV22!AD7+MVTFEV22!AD7+MVTMARS22!AD7+MVTAVRIL22!AD7+MVTMAI22!AD7+MVTJUIN22!AD7+MVTJUIL22!AD7+MVTAOUT22!AD7+MVTSEPT22!AD7+MVTOCT22!AD7+MVTNOV22!AD7+MVTDEC22!AD7</f>
        <v>70000</v>
      </c>
      <c r="AE7" s="36">
        <f>MVTJANV22!AE7+MVTFEV22!AE7+MVTMARS22!AE7+MVTAVRIL22!AE7+MVTMAI22!AE7+MVTJUIN22!AE7+MVTJUIL22!AE7+MVTAOUT22!AE7+MVTSEPT22!AE7+MVTOCT22!AE7+MVTNOV22!AE7+MVTDEC22!AE7</f>
        <v>0</v>
      </c>
      <c r="AF7" s="36">
        <f>MVTJANV22!AF7+MVTFEV22!AF7+MVTMARS22!AF7+MVTAVRIL22!AF7+MVTMAI22!AF7+MVTJUIN22!AF7+MVTJUIL22!AF7+MVTAOUT22!AF7+MVTSEPT22!AF7+MVTOCT22!AF7+MVTNOV22!AF7+MVTDEC22!AF7</f>
        <v>0</v>
      </c>
      <c r="AG7" s="36">
        <f>MVTJANV22!AG7+MVTFEV22!AG7+MVTMARS22!AG7+MVTAVRIL22!AG7+MVTMAI22!AG7+MVTJUIN22!AG7+MVTJUIL22!AG7+MVTAOUT22!AG7+MVTSEPT22!AG7+MVTOCT22!AG7+MVTNOV22!AG7+MVTDEC22!AG7</f>
        <v>0</v>
      </c>
      <c r="AH7" s="36">
        <f>MVTJANV22!AH7+MVTFEV22!AH7+MVTMARS22!AH7+MVTAVRIL22!AH7+MVTMAI22!AH7+MVTJUIN22!AH7+MVTJUIL22!AH7+MVTAOUT22!AH7+MVTSEPT22!AH7+MVTOCT22!AH7+MVTNOV22!AH7+MVTDEC22!AH7</f>
        <v>0</v>
      </c>
      <c r="AI7" s="36">
        <f>IF(R7-U7&lt;0,0,R7-U7)</f>
        <v>0</v>
      </c>
      <c r="AJ7" s="107">
        <v>44958</v>
      </c>
      <c r="AK7" s="36">
        <f>MVTJANV22!AI7+MVTFEV22!AI7+MVTMARS22!AI7+MVTAVRIL22!AI7+MVTMAI22!AI7+MVTJUIN22!AI7+MVTJUIL22!AI7+MVTAOUT22!AI7+MVTSEPT22!AI7+MVTOCT22!AI7+MVTNOV22!AI7+MVTDEC22!AI7</f>
        <v>25000</v>
      </c>
      <c r="AL7" s="36">
        <f>MVTJANV22!AJ7+MVTFEV22!AJ7+MVTMARS22!AJ7+MVTAVRIL22!AJ7+MVTMAI22!AJ7+MVTJUIN22!AJ7+MVTJUIL22!AJ7+MVTAOUT22!AJ7+MVTSEPT22!AJ7+MVTOCT22!AJ7+MVTNOV22!AJ7+MVTDEC22!AJ7</f>
        <v>0</v>
      </c>
    </row>
    <row r="8" spans="1:38" x14ac:dyDescent="0.25">
      <c r="A8" s="1" t="s">
        <v>23</v>
      </c>
      <c r="B8" s="1" t="str">
        <f>VLOOKUP(A8,[15]LISTADHERENT!A$5:H$60,3,0)</f>
        <v xml:space="preserve">DJOMO JEAN PAUL </v>
      </c>
      <c r="C8" s="5">
        <f>MVTJANV22!C8+MVTFEV22!C8+MVTMARS22!C8+MVTAVRIL22!C8+MVTMAI22!C8+MVTJUIN22!C8+MVTJUIL22!C8+MVTAOUT22!C8+MVTSEPT22!C8+MVTOCT22!C8+MVTNOV22!C8+MVTDEC22!C8</f>
        <v>570000</v>
      </c>
      <c r="D8" s="5">
        <f>MVTJANV22!D8+MVTFEV22!D8+MVTMARS22!D8+MVTAVRIL22!D8+MVTMAI22!D8+MVTJUIN22!D8+MVTJUIL22!D8+MVTAOUT22!D8+MVTSEPT22!D8+MVTOCT22!D8+MVTNOV22!D8+MVTDEC22!D8</f>
        <v>1714.0012148400419</v>
      </c>
      <c r="E8" s="36">
        <f>MVTJANV22!E8+MVTFEV22!E8+MVTMARS22!E8+MVTAVRIL22!E8+MVTMAI22!E8+MVTJUIN22!E8+MVTJUIL22!E8+MVTAOUT22!E8+MVTSEPT22!E8+MVTOCT22!E8+MVTNOV22!E8+MVTDEC22!E8</f>
        <v>0</v>
      </c>
      <c r="F8" s="5">
        <f t="shared" si="0"/>
        <v>570000</v>
      </c>
      <c r="G8" s="6">
        <f>MVTJANV22!G8+MVTFEV22!G8+MVTMARS22!G8+MVTAVRIL22!G8+MVTMAI22!G8+MVTJUIN22!G8+MVTJUIL22!G8+MVTAOUT22!G8+MVTSEPT22!G8+MVTOCT22!G8+MVTNOV22!G8+MVTDEC22!G8</f>
        <v>107611.24909393289</v>
      </c>
      <c r="H8" s="6">
        <f t="shared" si="1"/>
        <v>705214.00121483998</v>
      </c>
      <c r="I8" s="36">
        <f>MVTJANV22!I8+MVTFEV22!I8+MVTMARS22!I8+MVTAVRIL22!I8+MVTMAI22!I8+MVTJUIN22!I8+MVTJUIL22!I8+MVTAOUT22!I8+MVTSEPT22!I8+MVTOCT22!I8+MVTNOV22!I8+MVTDEC22!I8</f>
        <v>0</v>
      </c>
      <c r="J8" s="36">
        <f>MVTJANV22!J8+MVTFEV22!J8+MVTMARS22!J8+MVTAVRIL22!J8+MVTMAI22!J8+MVTJUIN22!J8+MVTJUIL22!J8+MVTAOUT22!J8+MVTSEPT22!J8+MVTOCT22!J8+MVTNOV22!J8+MVTDEC22!J8</f>
        <v>181500</v>
      </c>
      <c r="K8" s="36">
        <f>MVTJANV22!K8+MVTFEV22!K8+MVTMARS22!K8+MVTAVRIL22!K8+MVTMAI22!K8+MVTJUIN22!K8+MVTJUIL22!K8+MVTAOUT22!K8+MVTSEPT22!K8+MVTOCT22!K8+MVTNOV22!K8+MVTDEC22!K8</f>
        <v>133500</v>
      </c>
      <c r="L8" s="36">
        <f>MVTJANV22!L8+MVTFEV22!L8+MVTMARS22!L8+MVTAVRIL22!L8+MVTMAI22!L8+MVTJUIN22!L8+MVTJUIL22!L8+MVTAOUT22!L8+MVTSEPT22!L8+MVTOCT22!L8+MVTNOV22!L8+MVTDEC22!L8</f>
        <v>6000</v>
      </c>
      <c r="M8" s="36">
        <f>MVTJANV22!M8+MVTFEV22!M8+MVTMARS22!M8+MVTAVRIL22!M8+MVTMAI22!M8+MVTJUIN22!M8+MVTJUIL22!M8+MVTAOUT22!M8+MVTSEPT22!M8+MVTOCT22!M8+MVTNOV22!M8+MVTDEC22!M8</f>
        <v>12000</v>
      </c>
      <c r="N8" s="36">
        <f>MVTJANV22!N8+MVTFEV22!N8+MVTMARS22!N8+MVTAVRIL22!N8+MVTMAI22!N8+MVTJUIN22!N8+MVTJUIL22!N8+MVTAOUT22!N8+MVTSEPT22!N8+MVTOCT22!N8+MVTNOV22!N8+MVTDEC22!N8</f>
        <v>30000</v>
      </c>
      <c r="O8" s="36">
        <f>MVTJANV22!O8+MVTFEV22!O8+MVTMARS22!O8+MVTAVRIL22!O8+MVTMAI22!O8+MVTJUIN22!O8+MVTJUIL22!O8+MVTAOUT22!O8+MVTSEPT22!O8+MVTOCT22!O8+MVTNOV22!O8+MVTDEC22!O8</f>
        <v>6000</v>
      </c>
      <c r="P8" s="36">
        <f>MVTJANV22!P8+MVTFEV22!P8+MVTMARS22!P8+MVTAVRIL22!P8+MVTMAI22!P8+MVTJUIN22!P8+MVTJUIL22!P8+MVTAOUT22!P8+MVTSEPT22!P8+MVTOCT22!P8+MVTNOV22!P8+MVTDEC22!P8</f>
        <v>0</v>
      </c>
      <c r="Q8" s="36">
        <f>MVTJANV22!Q8+MVTFEV22!Q8+MVTMARS22!Q8+MVTAVRIL22!Q8+MVTMAI22!Q8+MVTJUIN22!Q8+MVTJUIL22!Q8+MVTAOUT22!Q8+MVTSEPT22!Q8+MVTOCT22!Q8+MVTNOV22!Q8+MVTDEC22!Q8</f>
        <v>0</v>
      </c>
      <c r="R8" s="36">
        <f>MVTJANV22!R8+MVTFEV22!R8+MVTMARS22!R8+MVTAVRIL22!R8+MVTMAI22!R8+MVTJUIN22!R8+MVTJUIL22!R8+MVTAOUT22!R8+MVTSEPT22!R8+MVTOCT22!R8+MVTNOV22!R8+MVTDEC22!R8</f>
        <v>2000000</v>
      </c>
      <c r="S8" s="36">
        <f>MVTJANV22!S8+MVTFEV22!S8+MVTMARS22!S8+MVTAVRIL22!S8+MVTMAI22!S8+MVTJUIN22!S8+MVTJUIL22!S8+MVTAOUT22!S8+MVTSEPT22!S8+MVTOCT22!S8+MVTNOV22!S8+MVTDEC22!S8</f>
        <v>240000</v>
      </c>
      <c r="T8" s="36"/>
      <c r="U8" s="36">
        <f>MVTJANV22!U8+MVTFEV22!U8+MVTMARS22!U8+MVTAVRIL22!U8+MVTMAI22!U8+MVTJUIN22!U8+MVTJUIL22!U8+MVTAOUT22!U8+MVTSEPT22!U8+MVTOCT22!U8+MVTNOV22!U8+MVTDEC22!U8</f>
        <v>1000000</v>
      </c>
      <c r="V8" s="36"/>
      <c r="W8" s="36"/>
      <c r="X8" s="36">
        <f>MVTJANV22!X8+MVTFEV22!X8+MVTMARS22!X8+MVTAVRIL22!X8+MVTMAI22!X8+MVTJUIN22!X8+MVTJUIL22!X8+MVTAOUT22!X8+MVTSEPT22!X8+MVTOCT22!X8+MVTNOV22!X8+MVTDEC22!X8</f>
        <v>0</v>
      </c>
      <c r="Y8" s="36">
        <f>MVTJANV22!Y8+MVTFEV22!Y8+MVTMARS22!Y8+MVTAVRIL22!Y8+MVTMAI22!Y8+MVTJUIN22!Y8+MVTJUIL22!Y8+MVTAOUT22!Y8+MVTSEPT22!Y8+MVTOCT22!Y8+MVTNOV22!Y8+MVTDEC22!Y8</f>
        <v>0</v>
      </c>
      <c r="Z8" s="36">
        <f>MVTJANV22!Z8+MVTFEV22!Z8+MVTMARS22!Z8+MVTAVRIL22!Z8+MVTMAI22!Z8+MVTJUIN22!Z8+MVTJUIL22!Z8+MVTAOUT22!Z8+MVTSEPT22!Z8+MVTOCT22!Z8+MVTNOV22!Z8+MVTDEC22!Z8</f>
        <v>0</v>
      </c>
      <c r="AA8" s="36">
        <f>MVTJANV22!AA8+MVTFEV22!AA8+MVTMARS22!AA8+MVTAVRIL22!AA8+MVTMAI22!AA8+MVTJUIN22!AA8+MVTJUIL22!AA8+MVTAOUT22!AA8+MVTSEPT22!AA8+MVTOCT22!AA8+MVTNOV22!AA8+MVTDEC22!AA8</f>
        <v>0</v>
      </c>
      <c r="AB8" s="36">
        <f>MVTJANV22!AB8+MVTFEV22!AB8+MVTMARS22!AB8+MVTAVRIL22!AB8+MVTMAI22!AB8+MVTJUIN22!AB8+MVTJUIL22!AB8+MVTAOUT22!AB8+MVTSEPT22!AB8+MVTOCT22!AB8+MVTNOV22!AB8+MVTDEC22!AB8</f>
        <v>0</v>
      </c>
      <c r="AC8" s="36">
        <f>MVTJANV22!AC8+MVTFEV22!AC8+MVTMARS22!AC8+MVTAVRIL22!AC8+MVTMAI22!AC8+MVTJUIN22!AC8+MVTJUIL22!AC8+MVTAOUT22!AC8+MVTSEPT22!AC8+MVTOCT22!AC8+MVTNOV22!AC8+MVTDEC22!AC8</f>
        <v>0</v>
      </c>
      <c r="AD8" s="36">
        <f>MVTJANV22!AD8+MVTFEV22!AD8+MVTMARS22!AD8+MVTAVRIL22!AD8+MVTMAI22!AD8+MVTJUIN22!AD8+MVTJUIL22!AD8+MVTAOUT22!AD8+MVTSEPT22!AD8+MVTOCT22!AD8+MVTNOV22!AD8+MVTDEC22!AD8</f>
        <v>0</v>
      </c>
      <c r="AE8" s="36">
        <f>MVTJANV22!AE8+MVTFEV22!AE8+MVTMARS22!AE8+MVTAVRIL22!AE8+MVTMAI22!AE8+MVTJUIN22!AE8+MVTJUIL22!AE8+MVTAOUT22!AE8+MVTSEPT22!AE8+MVTOCT22!AE8+MVTNOV22!AE8+MVTDEC22!AE8</f>
        <v>0</v>
      </c>
      <c r="AF8" s="36">
        <f>MVTJANV22!AF8+MVTFEV22!AF8+MVTMARS22!AF8+MVTAVRIL22!AF8+MVTMAI22!AF8+MVTJUIN22!AF8+MVTJUIL22!AF8+MVTAOUT22!AF8+MVTSEPT22!AF8+MVTOCT22!AF8+MVTNOV22!AF8+MVTDEC22!AF8</f>
        <v>0</v>
      </c>
      <c r="AG8" s="36">
        <f>MVTJANV22!AG8+MVTFEV22!AG8+MVTMARS22!AG8+MVTAVRIL22!AG8+MVTMAI22!AG8+MVTJUIN22!AG8+MVTJUIL22!AG8+MVTAOUT22!AG8+MVTSEPT22!AG8+MVTOCT22!AG8+MVTNOV22!AG8+MVTDEC22!AG8</f>
        <v>0</v>
      </c>
      <c r="AH8" s="36">
        <f>MVTJANV22!AH8+MVTFEV22!AH8+MVTMARS22!AH8+MVTAVRIL22!AH8+MVTMAI22!AH8+MVTJUIN22!AH8+MVTJUIL22!AH8+MVTAOUT22!AH8+MVTSEPT22!AH8+MVTOCT22!AH8+MVTNOV22!AH8+MVTDEC22!AH8</f>
        <v>70000</v>
      </c>
      <c r="AI8" s="36">
        <f t="shared" ref="AI8:AI36" si="2">IF(R8-U8&lt;0,0,R8-U8)</f>
        <v>1000000</v>
      </c>
      <c r="AJ8" s="107">
        <v>45262</v>
      </c>
      <c r="AK8" s="36">
        <f>MVTJANV22!AI8+MVTFEV22!AI8+MVTMARS22!AI8+MVTAVRIL22!AI8+MVTMAI22!AI8+MVTJUIN22!AI8+MVTJUIL22!AI8+MVTAOUT22!AI8+MVTSEPT22!AI8+MVTOCT22!AI8+MVTNOV22!AI8+MVTDEC22!AI8</f>
        <v>0</v>
      </c>
      <c r="AL8" s="36">
        <f>MVTJANV22!AJ8+MVTFEV22!AJ8+MVTMARS22!AJ8+MVTAVRIL22!AJ8+MVTMAI22!AJ8+MVTJUIN22!AJ8+MVTJUIL22!AJ8+MVTAOUT22!AJ8+MVTSEPT22!AJ8+MVTOCT22!AJ8+MVTNOV22!AJ8+MVTDEC22!AJ8</f>
        <v>0</v>
      </c>
    </row>
    <row r="9" spans="1:38" x14ac:dyDescent="0.25">
      <c r="A9" s="1" t="s">
        <v>154</v>
      </c>
      <c r="B9" s="1" t="str">
        <f>VLOOKUP(A9,[15]LISTADHERENT!A$5:H$60,3,0)</f>
        <v>DJOMOU TCHANDA</v>
      </c>
      <c r="C9" s="5">
        <f>MVTJANV22!C9+MVTFEV22!C9+MVTMARS22!C9+MVTAVRIL22!C9+MVTMAI22!C9+MVTJUIN22!C9+MVTJUIL22!C9+MVTAOUT22!C9+MVTSEPT22!C9+MVTOCT22!C9+MVTNOV22!C9+MVTDEC22!C9</f>
        <v>570000</v>
      </c>
      <c r="D9" s="5">
        <f>MVTJANV22!D9+MVTFEV22!D9+MVTMARS22!D9+MVTAVRIL22!D9+MVTMAI22!D9+MVTJUIN22!D9+MVTJUIL22!D9+MVTAOUT22!D9+MVTSEPT22!D9+MVTOCT22!D9+MVTNOV22!D9+MVTDEC22!D9</f>
        <v>359</v>
      </c>
      <c r="E9" s="36">
        <f>MVTJANV22!E9+MVTFEV22!E9+MVTMARS22!E9+MVTAVRIL22!E9+MVTMAI22!E9+MVTJUIN22!E9+MVTJUIL22!E9+MVTAOUT22!E9+MVTSEPT22!E9+MVTOCT22!E9+MVTNOV22!E9+MVTDEC22!E9</f>
        <v>0</v>
      </c>
      <c r="F9" s="5">
        <f t="shared" si="0"/>
        <v>570000</v>
      </c>
      <c r="G9" s="6">
        <f>MVTJANV22!G9+MVTFEV22!G9+MVTMARS22!G9+MVTAVRIL22!G9+MVTMAI22!G9+MVTJUIN22!G9+MVTJUIL22!G9+MVTAOUT22!G9+MVTSEPT22!G9+MVTOCT22!G9+MVTNOV22!G9+MVTDEC22!G9</f>
        <v>96698.255391529252</v>
      </c>
      <c r="H9" s="6">
        <f t="shared" si="1"/>
        <v>607359</v>
      </c>
      <c r="I9" s="36">
        <f>MVTJANV22!I9+MVTFEV22!I9+MVTMARS22!I9+MVTAVRIL22!I9+MVTMAI22!I9+MVTJUIN22!I9+MVTJUIL22!I9+MVTAOUT22!I9+MVTSEPT22!I9+MVTOCT22!I9+MVTNOV22!I9+MVTDEC22!I9</f>
        <v>0</v>
      </c>
      <c r="J9" s="36">
        <f>MVTJANV22!J9+MVTFEV22!J9+MVTMARS22!J9+MVTAVRIL22!J9+MVTMAI22!J9+MVTJUIN22!J9+MVTJUIL22!J9+MVTAOUT22!J9+MVTSEPT22!J9+MVTOCT22!J9+MVTNOV22!J9+MVTDEC22!J9</f>
        <v>85000</v>
      </c>
      <c r="K9" s="36">
        <f>MVTJANV22!K9+MVTFEV22!K9+MVTMARS22!K9+MVTAVRIL22!K9+MVTMAI22!K9+MVTJUIN22!K9+MVTJUIL22!K9+MVTAOUT22!K9+MVTSEPT22!K9+MVTOCT22!K9+MVTNOV22!K9+MVTDEC22!K9</f>
        <v>37000</v>
      </c>
      <c r="L9" s="36">
        <f>MVTJANV22!L9+MVTFEV22!L9+MVTMARS22!L9+MVTAVRIL22!L9+MVTMAI22!L9+MVTJUIN22!L9+MVTJUIL22!L9+MVTAOUT22!L9+MVTSEPT22!L9+MVTOCT22!L9+MVTNOV22!L9+MVTDEC22!L9</f>
        <v>6000</v>
      </c>
      <c r="M9" s="36">
        <f>MVTJANV22!M9+MVTFEV22!M9+MVTMARS22!M9+MVTAVRIL22!M9+MVTMAI22!M9+MVTJUIN22!M9+MVTJUIL22!M9+MVTAOUT22!M9+MVTSEPT22!M9+MVTOCT22!M9+MVTNOV22!M9+MVTDEC22!M9</f>
        <v>12000</v>
      </c>
      <c r="N9" s="36">
        <f>MVTJANV22!N9+MVTFEV22!N9+MVTMARS22!N9+MVTAVRIL22!N9+MVTMAI22!N9+MVTJUIN22!N9+MVTJUIL22!N9+MVTAOUT22!N9+MVTSEPT22!N9+MVTOCT22!N9+MVTNOV22!N9+MVTDEC22!N9</f>
        <v>30000</v>
      </c>
      <c r="O9" s="36">
        <f>MVTJANV22!O9+MVTFEV22!O9+MVTMARS22!O9+MVTAVRIL22!O9+MVTMAI22!O9+MVTJUIN22!O9+MVTJUIL22!O9+MVTAOUT22!O9+MVTSEPT22!O9+MVTOCT22!O9+MVTNOV22!O9+MVTDEC22!O9</f>
        <v>6000</v>
      </c>
      <c r="P9" s="36">
        <f>MVTJANV22!P9+MVTFEV22!P9+MVTMARS22!P9+MVTAVRIL22!P9+MVTMAI22!P9+MVTJUIN22!P9+MVTJUIL22!P9+MVTAOUT22!P9+MVTSEPT22!P9+MVTOCT22!P9+MVTNOV22!P9+MVTDEC22!P9</f>
        <v>0</v>
      </c>
      <c r="Q9" s="36">
        <f>MVTJANV22!Q9+MVTFEV22!Q9+MVTMARS22!Q9+MVTAVRIL22!Q9+MVTMAI22!Q9+MVTJUIN22!Q9+MVTJUIL22!Q9+MVTAOUT22!Q9+MVTSEPT22!Q9+MVTOCT22!Q9+MVTNOV22!Q9+MVTDEC22!Q9</f>
        <v>0</v>
      </c>
      <c r="R9" s="36">
        <f>MVTJANV22!R9+MVTFEV22!R9+MVTMARS22!R9+MVTAVRIL22!R9+MVTMAI22!R9+MVTJUIN22!R9+MVTJUIL22!R9+MVTAOUT22!R9+MVTSEPT22!R9+MVTOCT22!R9+MVTNOV22!R9+MVTDEC22!R9</f>
        <v>0</v>
      </c>
      <c r="S9" s="36">
        <f>MVTJANV22!S9+MVTFEV22!S9+MVTMARS22!S9+MVTAVRIL22!S9+MVTMAI22!S9+MVTJUIN22!S9+MVTJUIL22!S9+MVTAOUT22!S9+MVTSEPT22!S9+MVTOCT22!S9+MVTNOV22!S9+MVTDEC22!S9</f>
        <v>0</v>
      </c>
      <c r="T9" s="36"/>
      <c r="U9" s="36">
        <f>MVTJANV22!U9+MVTFEV22!U9+MVTMARS22!U9+MVTAVRIL22!U9+MVTMAI22!U9+MVTJUIN22!U9+MVTJUIL22!U9+MVTAOUT22!U9+MVTSEPT22!U9+MVTOCT22!U9+MVTNOV22!U9+MVTDEC22!U9</f>
        <v>0</v>
      </c>
      <c r="V9" s="36"/>
      <c r="W9" s="36"/>
      <c r="X9" s="36">
        <f>MVTJANV22!X9+MVTFEV22!X9+MVTMARS22!X9+MVTAVRIL22!X9+MVTMAI22!X9+MVTJUIN22!X9+MVTJUIL22!X9+MVTAOUT22!X9+MVTSEPT22!X9+MVTOCT22!X9+MVTNOV22!X9+MVTDEC22!X9</f>
        <v>0</v>
      </c>
      <c r="Y9" s="36">
        <f>MVTJANV22!Y9+MVTFEV22!Y9+MVTMARS22!Y9+MVTAVRIL22!Y9+MVTMAI22!Y9+MVTJUIN22!Y9+MVTJUIL22!Y9+MVTAOUT22!Y9+MVTSEPT22!Y9+MVTOCT22!Y9+MVTNOV22!Y9+MVTDEC22!Y9</f>
        <v>0</v>
      </c>
      <c r="Z9" s="36">
        <f>MVTJANV22!Z9+MVTFEV22!Z9+MVTMARS22!Z9+MVTAVRIL22!Z9+MVTMAI22!Z9+MVTJUIN22!Z9+MVTJUIL22!Z9+MVTAOUT22!Z9+MVTSEPT22!Z9+MVTOCT22!Z9+MVTNOV22!Z9+MVTDEC22!Z9</f>
        <v>0</v>
      </c>
      <c r="AA9" s="36">
        <f>MVTJANV22!AA9+MVTFEV22!AA9+MVTMARS22!AA9+MVTAVRIL22!AA9+MVTMAI22!AA9+MVTJUIN22!AA9+MVTJUIL22!AA9+MVTAOUT22!AA9+MVTSEPT22!AA9+MVTOCT22!AA9+MVTNOV22!AA9+MVTDEC22!AA9</f>
        <v>0</v>
      </c>
      <c r="AB9" s="36">
        <f>MVTJANV22!AB9+MVTFEV22!AB9+MVTMARS22!AB9+MVTAVRIL22!AB9+MVTMAI22!AB9+MVTJUIN22!AB9+MVTJUIL22!AB9+MVTAOUT22!AB9+MVTSEPT22!AB9+MVTOCT22!AB9+MVTNOV22!AB9+MVTDEC22!AB9</f>
        <v>0</v>
      </c>
      <c r="AC9" s="36">
        <f>MVTJANV22!AC9+MVTFEV22!AC9+MVTMARS22!AC9+MVTAVRIL22!AC9+MVTMAI22!AC9+MVTJUIN22!AC9+MVTJUIL22!AC9+MVTAOUT22!AC9+MVTSEPT22!AC9+MVTOCT22!AC9+MVTNOV22!AC9+MVTDEC22!AC9</f>
        <v>0</v>
      </c>
      <c r="AD9" s="36">
        <f>MVTJANV22!AD9+MVTFEV22!AD9+MVTMARS22!AD9+MVTAVRIL22!AD9+MVTMAI22!AD9+MVTJUIN22!AD9+MVTJUIL22!AD9+MVTAOUT22!AD9+MVTSEPT22!AD9+MVTOCT22!AD9+MVTNOV22!AD9+MVTDEC22!AD9</f>
        <v>113000</v>
      </c>
      <c r="AE9" s="36">
        <f>MVTJANV22!AE9+MVTFEV22!AE9+MVTMARS22!AE9+MVTAVRIL22!AE9+MVTMAI22!AE9+MVTJUIN22!AE9+MVTJUIL22!AE9+MVTAOUT22!AE9+MVTSEPT22!AE9+MVTOCT22!AE9+MVTNOV22!AE9+MVTDEC22!AE9</f>
        <v>0</v>
      </c>
      <c r="AF9" s="36">
        <f>MVTJANV22!AF9+MVTFEV22!AF9+MVTMARS22!AF9+MVTAVRIL22!AF9+MVTMAI22!AF9+MVTJUIN22!AF9+MVTJUIL22!AF9+MVTAOUT22!AF9+MVTSEPT22!AF9+MVTOCT22!AF9+MVTNOV22!AF9+MVTDEC22!AF9</f>
        <v>0</v>
      </c>
      <c r="AG9" s="36">
        <f>MVTJANV22!AG9+MVTFEV22!AG9+MVTMARS22!AG9+MVTAVRIL22!AG9+MVTMAI22!AG9+MVTJUIN22!AG9+MVTJUIL22!AG9+MVTAOUT22!AG9+MVTSEPT22!AG9+MVTOCT22!AG9+MVTNOV22!AG9+MVTDEC22!AG9</f>
        <v>0</v>
      </c>
      <c r="AH9" s="36">
        <f>MVTJANV22!AH9+MVTFEV22!AH9+MVTMARS22!AH9+MVTAVRIL22!AH9+MVTMAI22!AH9+MVTJUIN22!AH9+MVTJUIL22!AH9+MVTAOUT22!AH9+MVTSEPT22!AH9+MVTOCT22!AH9+MVTNOV22!AH9+MVTDEC22!AH9</f>
        <v>0</v>
      </c>
      <c r="AI9" s="36">
        <f t="shared" si="2"/>
        <v>0</v>
      </c>
      <c r="AJ9" s="11"/>
      <c r="AK9" s="36">
        <f>MVTJANV22!AI9+MVTFEV22!AI9+MVTMARS22!AI9+MVTAVRIL22!AI9+MVTMAI22!AI9+MVTJUIN22!AI9+MVTJUIL22!AI9+MVTAOUT22!AI9+MVTSEPT22!AI9+MVTOCT22!AI9+MVTNOV22!AI9+MVTDEC22!AI9</f>
        <v>0</v>
      </c>
      <c r="AL9" s="36">
        <f>MVTJANV22!AJ9+MVTFEV22!AJ9+MVTMARS22!AJ9+MVTAVRIL22!AJ9+MVTMAI22!AJ9+MVTJUIN22!AJ9+MVTJUIL22!AJ9+MVTAOUT22!AJ9+MVTSEPT22!AJ9+MVTOCT22!AJ9+MVTNOV22!AJ9+MVTDEC22!AJ9</f>
        <v>0</v>
      </c>
    </row>
    <row r="10" spans="1:38" x14ac:dyDescent="0.25">
      <c r="A10" s="1" t="s">
        <v>24</v>
      </c>
      <c r="B10" s="1" t="str">
        <f>VLOOKUP(A10,[15]LISTADHERENT!A$5:H$60,3,0)</f>
        <v>DJOUKWE NANGUEN GUY BLAISE</v>
      </c>
      <c r="C10" s="5">
        <f>MVTJANV22!C10+MVTFEV22!C10+MVTMARS22!C10+MVTAVRIL22!C10+MVTMAI22!C10+MVTJUIN22!C10+MVTJUIL22!C10+MVTAOUT22!C10+MVTSEPT22!C10+MVTOCT22!C10+MVTNOV22!C10+MVTDEC22!C10</f>
        <v>570000</v>
      </c>
      <c r="D10" s="5">
        <f>MVTJANV22!D10+MVTFEV22!D10+MVTMARS22!D10+MVTAVRIL22!D10+MVTMAI22!D10+MVTJUIN22!D10+MVTJUIL22!D10+MVTAOUT22!D10+MVTSEPT22!D10+MVTOCT22!D10+MVTNOV22!D10+MVTDEC22!D10</f>
        <v>110412.64212220861</v>
      </c>
      <c r="E10" s="36">
        <f>MVTJANV22!E10+MVTFEV22!E10+MVTMARS22!E10+MVTAVRIL22!E10+MVTMAI22!E10+MVTJUIN22!E10+MVTJUIL22!E10+MVTAOUT22!E10+MVTSEPT22!E10+MVTOCT22!E10+MVTNOV22!E10+MVTDEC22!E10</f>
        <v>0</v>
      </c>
      <c r="F10" s="5">
        <f t="shared" si="0"/>
        <v>570000</v>
      </c>
      <c r="G10" s="6">
        <f>MVTJANV22!G10+MVTFEV22!G10+MVTMARS22!G10+MVTAVRIL22!G10+MVTMAI22!G10+MVTJUIN22!G10+MVTJUIL22!G10+MVTAOUT22!G10+MVTSEPT22!G10+MVTOCT22!G10+MVTNOV22!G10+MVTDEC22!G10</f>
        <v>115605.57185446465</v>
      </c>
      <c r="H10" s="6">
        <f t="shared" si="1"/>
        <v>721412.64212220861</v>
      </c>
      <c r="I10" s="36">
        <f>MVTJANV22!I10+MVTFEV22!I10+MVTMARS22!I10+MVTAVRIL22!I10+MVTMAI22!I10+MVTJUIN22!I10+MVTJUIL22!I10+MVTAOUT22!I10+MVTSEPT22!I10+MVTOCT22!I10+MVTNOV22!I10+MVTDEC22!I10</f>
        <v>0</v>
      </c>
      <c r="J10" s="36">
        <f>MVTJANV22!J10+MVTFEV22!J10+MVTMARS22!J10+MVTAVRIL22!J10+MVTMAI22!J10+MVTJUIN22!J10+MVTJUIL22!J10+MVTAOUT22!J10+MVTSEPT22!J10+MVTOCT22!J10+MVTNOV22!J10+MVTDEC22!J10</f>
        <v>89000</v>
      </c>
      <c r="K10" s="36">
        <f>MVTJANV22!K10+MVTFEV22!K10+MVTMARS22!K10+MVTAVRIL22!K10+MVTMAI22!K10+MVTJUIN22!K10+MVTJUIL22!K10+MVTAOUT22!K10+MVTSEPT22!K10+MVTOCT22!K10+MVTNOV22!K10+MVTDEC22!K10</f>
        <v>41000</v>
      </c>
      <c r="L10" s="36">
        <f>MVTJANV22!L10+MVTFEV22!L10+MVTMARS22!L10+MVTAVRIL22!L10+MVTMAI22!L10+MVTJUIN22!L10+MVTJUIL22!L10+MVTAOUT22!L10+MVTSEPT22!L10+MVTOCT22!L10+MVTNOV22!L10+MVTDEC22!L10</f>
        <v>6000</v>
      </c>
      <c r="M10" s="36">
        <f>MVTJANV22!M10+MVTFEV22!M10+MVTMARS22!M10+MVTAVRIL22!M10+MVTMAI22!M10+MVTJUIN22!M10+MVTJUIL22!M10+MVTAOUT22!M10+MVTSEPT22!M10+MVTOCT22!M10+MVTNOV22!M10+MVTDEC22!M10</f>
        <v>12000</v>
      </c>
      <c r="N10" s="36">
        <f>MVTJANV22!N10+MVTFEV22!N10+MVTMARS22!N10+MVTAVRIL22!N10+MVTMAI22!N10+MVTJUIN22!N10+MVTJUIL22!N10+MVTAOUT22!N10+MVTSEPT22!N10+MVTOCT22!N10+MVTNOV22!N10+MVTDEC22!N10</f>
        <v>30000</v>
      </c>
      <c r="O10" s="36">
        <f>MVTJANV22!O10+MVTFEV22!O10+MVTMARS22!O10+MVTAVRIL22!O10+MVTMAI22!O10+MVTJUIN22!O10+MVTJUIL22!O10+MVTAOUT22!O10+MVTSEPT22!O10+MVTOCT22!O10+MVTNOV22!O10+MVTDEC22!O10</f>
        <v>0</v>
      </c>
      <c r="P10" s="36">
        <f>MVTJANV22!P10+MVTFEV22!P10+MVTMARS22!P10+MVTAVRIL22!P10+MVTMAI22!P10+MVTJUIN22!P10+MVTJUIL22!P10+MVTAOUT22!P10+MVTSEPT22!P10+MVTOCT22!P10+MVTNOV22!P10+MVTDEC22!P10</f>
        <v>0</v>
      </c>
      <c r="Q10" s="36">
        <f>MVTJANV22!Q10+MVTFEV22!Q10+MVTMARS22!Q10+MVTAVRIL22!Q10+MVTMAI22!Q10+MVTJUIN22!Q10+MVTJUIL22!Q10+MVTAOUT22!Q10+MVTSEPT22!Q10+MVTOCT22!Q10+MVTNOV22!Q10+MVTDEC22!Q10</f>
        <v>0</v>
      </c>
      <c r="R10" s="36">
        <f>MVTJANV22!R10+MVTFEV22!R10+MVTMARS22!R10+MVTAVRIL22!R10+MVTMAI22!R10+MVTJUIN22!R10+MVTJUIL22!R10+MVTAOUT22!R10+MVTSEPT22!R10+MVTOCT22!R10+MVTNOV22!R10+MVTDEC22!R10</f>
        <v>2000000</v>
      </c>
      <c r="S10" s="36">
        <f>MVTJANV22!S10+MVTFEV22!S10+MVTMARS22!S10+MVTAVRIL22!S10+MVTMAI22!S10+MVTJUIN22!S10+MVTJUIL22!S10+MVTAOUT22!S10+MVTSEPT22!S10+MVTOCT22!S10+MVTNOV22!S10+MVTDEC22!S10</f>
        <v>160000</v>
      </c>
      <c r="T10" s="36"/>
      <c r="U10" s="36">
        <f>MVTJANV22!U10+MVTFEV22!U10+MVTMARS22!U10+MVTAVRIL22!U10+MVTMAI22!U10+MVTJUIN22!U10+MVTJUIL22!U10+MVTAOUT22!U10+MVTSEPT22!U10+MVTOCT22!U10+MVTNOV22!U10+MVTDEC22!U10</f>
        <v>1000000</v>
      </c>
      <c r="V10" s="36"/>
      <c r="W10" s="36"/>
      <c r="X10" s="36">
        <f>MVTJANV22!X10+MVTFEV22!X10+MVTMARS22!X10+MVTAVRIL22!X10+MVTMAI22!X10+MVTJUIN22!X10+MVTJUIL22!X10+MVTAOUT22!X10+MVTSEPT22!X10+MVTOCT22!X10+MVTNOV22!X10+MVTDEC22!X10</f>
        <v>0</v>
      </c>
      <c r="Y10" s="36">
        <f>MVTJANV22!Y10+MVTFEV22!Y10+MVTMARS22!Y10+MVTAVRIL22!Y10+MVTMAI22!Y10+MVTJUIN22!Y10+MVTJUIL22!Y10+MVTAOUT22!Y10+MVTSEPT22!Y10+MVTOCT22!Y10+MVTNOV22!Y10+MVTDEC22!Y10</f>
        <v>0</v>
      </c>
      <c r="Z10" s="36">
        <f>MVTJANV22!Z10+MVTFEV22!Z10+MVTMARS22!Z10+MVTAVRIL22!Z10+MVTMAI22!Z10+MVTJUIN22!Z10+MVTJUIL22!Z10+MVTAOUT22!Z10+MVTSEPT22!Z10+MVTOCT22!Z10+MVTNOV22!Z10+MVTDEC22!Z10</f>
        <v>0</v>
      </c>
      <c r="AA10" s="36">
        <f>MVTJANV22!AA10+MVTFEV22!AA10+MVTMARS22!AA10+MVTAVRIL22!AA10+MVTMAI22!AA10+MVTJUIN22!AA10+MVTJUIL22!AA10+MVTAOUT22!AA10+MVTSEPT22!AA10+MVTOCT22!AA10+MVTNOV22!AA10+MVTDEC22!AA10</f>
        <v>0</v>
      </c>
      <c r="AB10" s="36">
        <f>MVTJANV22!AB10+MVTFEV22!AB10+MVTMARS22!AB10+MVTAVRIL22!AB10+MVTMAI22!AB10+MVTJUIN22!AB10+MVTJUIL22!AB10+MVTAOUT22!AB10+MVTSEPT22!AB10+MVTOCT22!AB10+MVTNOV22!AB10+MVTDEC22!AB10</f>
        <v>0</v>
      </c>
      <c r="AC10" s="36">
        <f>MVTJANV22!AC10+MVTFEV22!AC10+MVTMARS22!AC10+MVTAVRIL22!AC10+MVTMAI22!AC10+MVTJUIN22!AC10+MVTJUIL22!AC10+MVTAOUT22!AC10+MVTSEPT22!AC10+MVTOCT22!AC10+MVTNOV22!AC10+MVTDEC22!AC10</f>
        <v>0</v>
      </c>
      <c r="AD10" s="36">
        <f>MVTJANV22!AD10+MVTFEV22!AD10+MVTMARS22!AD10+MVTAVRIL22!AD10+MVTMAI22!AD10+MVTJUIN22!AD10+MVTJUIL22!AD10+MVTAOUT22!AD10+MVTSEPT22!AD10+MVTOCT22!AD10+MVTNOV22!AD10+MVTDEC22!AD10</f>
        <v>70000</v>
      </c>
      <c r="AE10" s="36">
        <f>MVTJANV22!AE10+MVTFEV22!AE10+MVTMARS22!AE10+MVTAVRIL22!AE10+MVTMAI22!AE10+MVTJUIN22!AE10+MVTJUIL22!AE10+MVTAOUT22!AE10+MVTSEPT22!AE10+MVTOCT22!AE10+MVTNOV22!AE10+MVTDEC22!AE10</f>
        <v>0</v>
      </c>
      <c r="AF10" s="36">
        <f>MVTJANV22!AF10+MVTFEV22!AF10+MVTMARS22!AF10+MVTAVRIL22!AF10+MVTMAI22!AF10+MVTJUIN22!AF10+MVTJUIL22!AF10+MVTAOUT22!AF10+MVTSEPT22!AF10+MVTOCT22!AF10+MVTNOV22!AF10+MVTDEC22!AF10</f>
        <v>0</v>
      </c>
      <c r="AG10" s="36">
        <f>MVTJANV22!AG10+MVTFEV22!AG10+MVTMARS22!AG10+MVTAVRIL22!AG10+MVTMAI22!AG10+MVTJUIN22!AG10+MVTJUIL22!AG10+MVTAOUT22!AG10+MVTSEPT22!AG10+MVTOCT22!AG10+MVTNOV22!AG10+MVTDEC22!AG10</f>
        <v>0</v>
      </c>
      <c r="AH10" s="36">
        <f>MVTJANV22!AH10+MVTFEV22!AH10+MVTMARS22!AH10+MVTAVRIL22!AH10+MVTMAI22!AH10+MVTJUIN22!AH10+MVTJUIL22!AH10+MVTAOUT22!AH10+MVTSEPT22!AH10+MVTOCT22!AH10+MVTNOV22!AH10+MVTDEC22!AH10</f>
        <v>0</v>
      </c>
      <c r="AI10" s="36">
        <f t="shared" si="2"/>
        <v>1000000</v>
      </c>
      <c r="AJ10" s="107">
        <v>44987</v>
      </c>
      <c r="AK10" s="36">
        <f>MVTJANV22!AI10+MVTFEV22!AI10+MVTMARS22!AI10+MVTAVRIL22!AI10+MVTMAI22!AI10+MVTJUIN22!AI10+MVTJUIL22!AI10+MVTAOUT22!AI10+MVTSEPT22!AI10+MVTOCT22!AI10+MVTNOV22!AI10+MVTDEC22!AI10</f>
        <v>0</v>
      </c>
      <c r="AL10" s="36">
        <f>MVTJANV22!AJ10+MVTFEV22!AJ10+MVTMARS22!AJ10+MVTAVRIL22!AJ10+MVTMAI22!AJ10+MVTJUIN22!AJ10+MVTJUIL22!AJ10+MVTAOUT22!AJ10+MVTSEPT22!AJ10+MVTOCT22!AJ10+MVTNOV22!AJ10+MVTDEC22!AJ10</f>
        <v>0</v>
      </c>
    </row>
    <row r="11" spans="1:38" x14ac:dyDescent="0.25">
      <c r="A11" s="1" t="s">
        <v>25</v>
      </c>
      <c r="B11" s="1" t="str">
        <f>VLOOKUP(A11,[15]LISTADHERENT!A$5:H$60,3,0)</f>
        <v>DJUOMBESSY ANTOINE</v>
      </c>
      <c r="C11" s="5">
        <f>MVTJANV22!C11+MVTFEV22!C11+MVTMARS22!C11+MVTAVRIL22!C11+MVTMAI22!C11+MVTJUIN22!C11+MVTJUIL22!C11+MVTAOUT22!C11+MVTSEPT22!C11+MVTOCT22!C11+MVTNOV22!C11+MVTDEC22!C11</f>
        <v>570000</v>
      </c>
      <c r="D11" s="5">
        <f>MVTJANV22!D11+MVTFEV22!D11+MVTMARS22!D11+MVTAVRIL22!D11+MVTMAI22!D11+MVTJUIN22!D11+MVTJUIL22!D11+MVTAOUT22!D11+MVTSEPT22!D11+MVTOCT22!D11+MVTNOV22!D11+MVTDEC22!D11</f>
        <v>18508.84987508686</v>
      </c>
      <c r="E11" s="36">
        <f>MVTJANV22!E11+MVTFEV22!E11+MVTMARS22!E11+MVTAVRIL22!E11+MVTMAI22!E11+MVTJUIN22!E11+MVTJUIL22!E11+MVTAOUT22!E11+MVTSEPT22!E11+MVTOCT22!E11+MVTNOV22!E11+MVTDEC22!E11</f>
        <v>0</v>
      </c>
      <c r="F11" s="5">
        <f t="shared" si="0"/>
        <v>570000</v>
      </c>
      <c r="G11" s="6">
        <f>MVTJANV22!G11+MVTFEV22!G11+MVTMARS22!G11+MVTAVRIL22!G11+MVTMAI22!G11+MVTJUIN22!G11+MVTJUIL22!G11+MVTAOUT22!G11+MVTSEPT22!G11+MVTOCT22!G11+MVTNOV22!G11+MVTDEC22!G11</f>
        <v>99709.793473475802</v>
      </c>
      <c r="H11" s="6">
        <f t="shared" si="1"/>
        <v>627508.84987508692</v>
      </c>
      <c r="I11" s="36">
        <f>MVTJANV22!I11+MVTFEV22!I11+MVTMARS22!I11+MVTAVRIL22!I11+MVTMAI22!I11+MVTJUIN22!I11+MVTJUIL22!I11+MVTAOUT22!I11+MVTSEPT22!I11+MVTOCT22!I11+MVTNOV22!I11+MVTDEC22!I11</f>
        <v>0</v>
      </c>
      <c r="J11" s="36">
        <f>MVTJANV22!J11+MVTFEV22!J11+MVTMARS22!J11+MVTAVRIL22!J11+MVTMAI22!J11+MVTJUIN22!J11+MVTJUIL22!J11+MVTAOUT22!J11+MVTSEPT22!J11+MVTOCT22!J11+MVTNOV22!J11+MVTDEC22!J11</f>
        <v>87000</v>
      </c>
      <c r="K11" s="36">
        <f>MVTJANV22!K11+MVTFEV22!K11+MVTMARS22!K11+MVTAVRIL22!K11+MVTMAI22!K11+MVTJUIN22!K11+MVTJUIL22!K11+MVTAOUT22!K11+MVTSEPT22!K11+MVTOCT22!K11+MVTNOV22!K11+MVTDEC22!K11</f>
        <v>39000</v>
      </c>
      <c r="L11" s="36">
        <f>MVTJANV22!L11+MVTFEV22!L11+MVTMARS22!L11+MVTAVRIL22!L11+MVTMAI22!L11+MVTJUIN22!L11+MVTJUIL22!L11+MVTAOUT22!L11+MVTSEPT22!L11+MVTOCT22!L11+MVTNOV22!L11+MVTDEC22!L11</f>
        <v>6000</v>
      </c>
      <c r="M11" s="36">
        <f>MVTJANV22!M11+MVTFEV22!M11+MVTMARS22!M11+MVTAVRIL22!M11+MVTMAI22!M11+MVTJUIN22!M11+MVTJUIL22!M11+MVTAOUT22!M11+MVTSEPT22!M11+MVTOCT22!M11+MVTNOV22!M11+MVTDEC22!M11</f>
        <v>12000</v>
      </c>
      <c r="N11" s="36">
        <f>MVTJANV22!N11+MVTFEV22!N11+MVTMARS22!N11+MVTAVRIL22!N11+MVTMAI22!N11+MVTJUIN22!N11+MVTJUIL22!N11+MVTAOUT22!N11+MVTSEPT22!N11+MVTOCT22!N11+MVTNOV22!N11+MVTDEC22!N11</f>
        <v>30000</v>
      </c>
      <c r="O11" s="36">
        <f>MVTJANV22!O11+MVTFEV22!O11+MVTMARS22!O11+MVTAVRIL22!O11+MVTMAI22!O11+MVTJUIN22!O11+MVTJUIL22!O11+MVTAOUT22!O11+MVTSEPT22!O11+MVTOCT22!O11+MVTNOV22!O11+MVTDEC22!O11</f>
        <v>6000</v>
      </c>
      <c r="P11" s="36">
        <f>MVTJANV22!P11+MVTFEV22!P11+MVTMARS22!P11+MVTAVRIL22!P11+MVTMAI22!P11+MVTJUIN22!P11+MVTJUIL22!P11+MVTAOUT22!P11+MVTSEPT22!P11+MVTOCT22!P11+MVTNOV22!P11+MVTDEC22!P11</f>
        <v>0</v>
      </c>
      <c r="Q11" s="36">
        <f>MVTJANV22!Q11+MVTFEV22!Q11+MVTMARS22!Q11+MVTAVRIL22!Q11+MVTMAI22!Q11+MVTJUIN22!Q11+MVTJUIL22!Q11+MVTAOUT22!Q11+MVTSEPT22!Q11+MVTOCT22!Q11+MVTNOV22!Q11+MVTDEC22!Q11</f>
        <v>0</v>
      </c>
      <c r="R11" s="36">
        <f>MVTJANV22!R11+MVTFEV22!R11+MVTMARS22!R11+MVTAVRIL22!R11+MVTMAI22!R11+MVTJUIN22!R11+MVTJUIL22!R11+MVTAOUT22!R11+MVTSEPT22!R11+MVTOCT22!R11+MVTNOV22!R11+MVTDEC22!R11</f>
        <v>1700000</v>
      </c>
      <c r="S11" s="36">
        <f>MVTJANV22!S11+MVTFEV22!S11+MVTMARS22!S11+MVTAVRIL22!S11+MVTMAI22!S11+MVTJUIN22!S11+MVTJUIL22!S11+MVTAOUT22!S11+MVTSEPT22!S11+MVTOCT22!S11+MVTNOV22!S11+MVTDEC22!S11</f>
        <v>95000</v>
      </c>
      <c r="T11" s="36"/>
      <c r="U11" s="36">
        <f>MVTJANV22!U11+MVTFEV22!U11+MVTMARS22!U11+MVTAVRIL22!U11+MVTMAI22!U11+MVTJUIN22!U11+MVTJUIL22!U11+MVTAOUT22!U11+MVTSEPT22!U11+MVTOCT22!U11+MVTNOV22!U11+MVTDEC22!U11</f>
        <v>1700000</v>
      </c>
      <c r="V11" s="36"/>
      <c r="W11" s="36"/>
      <c r="X11" s="36">
        <f>MVTJANV22!X11+MVTFEV22!X11+MVTMARS22!X11+MVTAVRIL22!X11+MVTMAI22!X11+MVTJUIN22!X11+MVTJUIL22!X11+MVTAOUT22!X11+MVTSEPT22!X11+MVTOCT22!X11+MVTNOV22!X11+MVTDEC22!X11</f>
        <v>0</v>
      </c>
      <c r="Y11" s="36">
        <f>MVTJANV22!Y11+MVTFEV22!Y11+MVTMARS22!Y11+MVTAVRIL22!Y11+MVTMAI22!Y11+MVTJUIN22!Y11+MVTJUIL22!Y11+MVTAOUT22!Y11+MVTSEPT22!Y11+MVTOCT22!Y11+MVTNOV22!Y11+MVTDEC22!Y11</f>
        <v>0</v>
      </c>
      <c r="Z11" s="36">
        <f>MVTJANV22!Z11+MVTFEV22!Z11+MVTMARS22!Z11+MVTAVRIL22!Z11+MVTMAI22!Z11+MVTJUIN22!Z11+MVTJUIL22!Z11+MVTAOUT22!Z11+MVTSEPT22!Z11+MVTOCT22!Z11+MVTNOV22!Z11+MVTDEC22!Z11</f>
        <v>0</v>
      </c>
      <c r="AA11" s="36">
        <f>MVTJANV22!AA11+MVTFEV22!AA11+MVTMARS22!AA11+MVTAVRIL22!AA11+MVTMAI22!AA11+MVTJUIN22!AA11+MVTJUIL22!AA11+MVTAOUT22!AA11+MVTSEPT22!AA11+MVTOCT22!AA11+MVTNOV22!AA11+MVTDEC22!AA11</f>
        <v>0</v>
      </c>
      <c r="AB11" s="36">
        <f>MVTJANV22!AB11+MVTFEV22!AB11+MVTMARS22!AB11+MVTAVRIL22!AB11+MVTMAI22!AB11+MVTJUIN22!AB11+MVTJUIL22!AB11+MVTAOUT22!AB11+MVTSEPT22!AB11+MVTOCT22!AB11+MVTNOV22!AB11+MVTDEC22!AB11</f>
        <v>0</v>
      </c>
      <c r="AC11" s="36">
        <f>MVTJANV22!AC11+MVTFEV22!AC11+MVTMARS22!AC11+MVTAVRIL22!AC11+MVTMAI22!AC11+MVTJUIN22!AC11+MVTJUIL22!AC11+MVTAOUT22!AC11+MVTSEPT22!AC11+MVTOCT22!AC11+MVTNOV22!AC11+MVTDEC22!AC11</f>
        <v>0</v>
      </c>
      <c r="AD11" s="36">
        <f>MVTJANV22!AD11+MVTFEV22!AD11+MVTMARS22!AD11+MVTAVRIL22!AD11+MVTMAI22!AD11+MVTJUIN22!AD11+MVTJUIL22!AD11+MVTAOUT22!AD11+MVTSEPT22!AD11+MVTOCT22!AD11+MVTNOV22!AD11+MVTDEC22!AD11</f>
        <v>70000</v>
      </c>
      <c r="AE11" s="36">
        <f>MVTJANV22!AE11+MVTFEV22!AE11+MVTMARS22!AE11+MVTAVRIL22!AE11+MVTMAI22!AE11+MVTJUIN22!AE11+MVTJUIL22!AE11+MVTAOUT22!AE11+MVTSEPT22!AE11+MVTOCT22!AE11+MVTNOV22!AE11+MVTDEC22!AE11</f>
        <v>0</v>
      </c>
      <c r="AF11" s="36">
        <f>MVTJANV22!AF11+MVTFEV22!AF11+MVTMARS22!AF11+MVTAVRIL22!AF11+MVTMAI22!AF11+MVTJUIN22!AF11+MVTJUIL22!AF11+MVTAOUT22!AF11+MVTSEPT22!AF11+MVTOCT22!AF11+MVTNOV22!AF11+MVTDEC22!AF11</f>
        <v>0</v>
      </c>
      <c r="AG11" s="36">
        <f>MVTJANV22!AG11+MVTFEV22!AG11+MVTMARS22!AG11+MVTAVRIL22!AG11+MVTMAI22!AG11+MVTJUIN22!AG11+MVTJUIL22!AG11+MVTAOUT22!AG11+MVTSEPT22!AG11+MVTOCT22!AG11+MVTNOV22!AG11+MVTDEC22!AG11</f>
        <v>0</v>
      </c>
      <c r="AH11" s="36">
        <f>MVTJANV22!AH11+MVTFEV22!AH11+MVTMARS22!AH11+MVTAVRIL22!AH11+MVTMAI22!AH11+MVTJUIN22!AH11+MVTJUIL22!AH11+MVTAOUT22!AH11+MVTSEPT22!AH11+MVTOCT22!AH11+MVTNOV22!AH11+MVTDEC22!AH11</f>
        <v>0</v>
      </c>
      <c r="AI11" s="36">
        <f t="shared" si="2"/>
        <v>0</v>
      </c>
      <c r="AJ11" s="107">
        <v>45079</v>
      </c>
      <c r="AK11" s="36">
        <f>MVTJANV22!AI11+MVTFEV22!AI11+MVTMARS22!AI11+MVTAVRIL22!AI11+MVTMAI22!AI11+MVTJUIN22!AI11+MVTJUIL22!AI11+MVTAOUT22!AI11+MVTSEPT22!AI11+MVTOCT22!AI11+MVTNOV22!AI11+MVTDEC22!AI11</f>
        <v>49000</v>
      </c>
      <c r="AL11" s="36">
        <f>MVTJANV22!AJ11+MVTFEV22!AJ11+MVTMARS22!AJ11+MVTAVRIL22!AJ11+MVTMAI22!AJ11+MVTJUIN22!AJ11+MVTJUIL22!AJ11+MVTAOUT22!AJ11+MVTSEPT22!AJ11+MVTOCT22!AJ11+MVTNOV22!AJ11+MVTDEC22!AJ11</f>
        <v>0</v>
      </c>
    </row>
    <row r="12" spans="1:38" ht="14.25" customHeight="1" x14ac:dyDescent="0.25">
      <c r="A12" s="1" t="s">
        <v>79</v>
      </c>
      <c r="B12" s="1" t="str">
        <f>VLOOKUP(A12,[15]LISTADHERENT!A$5:H$60,3,0)</f>
        <v>DOMOU FABIEN</v>
      </c>
      <c r="C12" s="5">
        <f>MVTJANV22!C12+MVTFEV22!C12+MVTMARS22!C12+MVTAVRIL22!C12+MVTMAI22!C12+MVTJUIN22!C12+MVTJUIL22!C12+MVTAOUT22!C12+MVTSEPT22!C12+MVTOCT22!C12+MVTNOV22!C12+MVTDEC22!C12</f>
        <v>570000</v>
      </c>
      <c r="D12" s="5">
        <f>MVTJANV22!D12+MVTFEV22!D12+MVTMARS22!D12+MVTAVRIL22!D12+MVTMAI22!D12+MVTJUIN22!D12+MVTJUIL22!D12+MVTAOUT22!D12+MVTSEPT22!D12+MVTOCT22!D12+MVTNOV22!D12+MVTDEC22!D12</f>
        <v>6527.0543220352411</v>
      </c>
      <c r="E12" s="36">
        <f>MVTJANV22!E12+MVTFEV22!E12+MVTMARS22!E12+MVTAVRIL22!E12+MVTMAI22!E12+MVTJUIN22!E12+MVTJUIL22!E12+MVTAOUT22!E12+MVTSEPT22!E12+MVTOCT22!E12+MVTNOV22!E12+MVTDEC22!E12</f>
        <v>0</v>
      </c>
      <c r="F12" s="5">
        <f t="shared" si="0"/>
        <v>570000</v>
      </c>
      <c r="G12" s="6">
        <f>MVTJANV22!G12+MVTFEV22!G12+MVTMARS22!G12+MVTAVRIL22!G12+MVTMAI22!G12+MVTJUIN22!G12+MVTJUIL22!G12+MVTAOUT22!G12+MVTSEPT22!G12+MVTOCT22!G12+MVTNOV22!G12+MVTDEC22!G12</f>
        <v>102080.13749950443</v>
      </c>
      <c r="H12" s="6">
        <f t="shared" si="1"/>
        <v>672527.05432203528</v>
      </c>
      <c r="I12" s="36">
        <f>MVTJANV22!I12+MVTFEV22!I12+MVTMARS22!I12+MVTAVRIL22!I12+MVTMAI22!I12+MVTJUIN22!I12+MVTJUIL22!I12+MVTAOUT22!I12+MVTSEPT22!I12+MVTOCT22!I12+MVTNOV22!I12+MVTDEC22!I12</f>
        <v>0</v>
      </c>
      <c r="J12" s="36">
        <f>MVTJANV22!J12+MVTFEV22!J12+MVTMARS22!J12+MVTAVRIL22!J12+MVTMAI22!J12+MVTJUIN22!J12+MVTJUIL22!J12+MVTAOUT22!J12+MVTSEPT22!J12+MVTOCT22!J12+MVTNOV22!J12+MVTDEC22!J12</f>
        <v>144000</v>
      </c>
      <c r="K12" s="36">
        <f>MVTJANV22!K12+MVTFEV22!K12+MVTMARS22!K12+MVTAVRIL22!K12+MVTMAI22!K12+MVTJUIN22!K12+MVTJUIL22!K12+MVTAOUT22!K12+MVTSEPT22!K12+MVTOCT22!K12+MVTNOV22!K12+MVTDEC22!K12</f>
        <v>96000</v>
      </c>
      <c r="L12" s="36">
        <f>MVTJANV22!L12+MVTFEV22!L12+MVTMARS22!L12+MVTAVRIL22!L12+MVTMAI22!L12+MVTJUIN22!L12+MVTJUIL22!L12+MVTAOUT22!L12+MVTSEPT22!L12+MVTOCT22!L12+MVTNOV22!L12+MVTDEC22!L12</f>
        <v>6000</v>
      </c>
      <c r="M12" s="36">
        <f>MVTJANV22!M12+MVTFEV22!M12+MVTMARS22!M12+MVTAVRIL22!M12+MVTMAI22!M12+MVTJUIN22!M12+MVTJUIL22!M12+MVTAOUT22!M12+MVTSEPT22!M12+MVTOCT22!M12+MVTNOV22!M12+MVTDEC22!M12</f>
        <v>12000</v>
      </c>
      <c r="N12" s="36">
        <f>MVTJANV22!N12+MVTFEV22!N12+MVTMARS22!N12+MVTAVRIL22!N12+MVTMAI22!N12+MVTJUIN22!N12+MVTJUIL22!N12+MVTAOUT22!N12+MVTSEPT22!N12+MVTOCT22!N12+MVTNOV22!N12+MVTDEC22!N12</f>
        <v>30000</v>
      </c>
      <c r="O12" s="36">
        <f>MVTJANV22!O12+MVTFEV22!O12+MVTMARS22!O12+MVTAVRIL22!O12+MVTMAI22!O12+MVTJUIN22!O12+MVTJUIL22!O12+MVTAOUT22!O12+MVTSEPT22!O12+MVTOCT22!O12+MVTNOV22!O12+MVTDEC22!O12</f>
        <v>0</v>
      </c>
      <c r="P12" s="36">
        <f>MVTJANV22!P12+MVTFEV22!P12+MVTMARS22!P12+MVTAVRIL22!P12+MVTMAI22!P12+MVTJUIN22!P12+MVTJUIL22!P12+MVTAOUT22!P12+MVTSEPT22!P12+MVTOCT22!P12+MVTNOV22!P12+MVTDEC22!P12</f>
        <v>0</v>
      </c>
      <c r="Q12" s="36">
        <f>MVTJANV22!Q12+MVTFEV22!Q12+MVTMARS22!Q12+MVTAVRIL22!Q12+MVTMAI22!Q12+MVTJUIN22!Q12+MVTJUIL22!Q12+MVTAOUT22!Q12+MVTSEPT22!Q12+MVTOCT22!Q12+MVTNOV22!Q12+MVTDEC22!Q12</f>
        <v>0</v>
      </c>
      <c r="R12" s="36">
        <f>MVTJANV22!R12+MVTFEV22!R12+MVTMARS22!R12+MVTAVRIL22!R12+MVTMAI22!R12+MVTJUIN22!R12+MVTJUIL22!R12+MVTAOUT22!R12+MVTSEPT22!R12+MVTOCT22!R12+MVTNOV22!R12+MVTDEC22!R12</f>
        <v>2000000</v>
      </c>
      <c r="S12" s="36">
        <f>MVTJANV22!S12+MVTFEV22!S12+MVTMARS22!S12+MVTAVRIL22!S12+MVTMAI22!S12+MVTJUIN22!S12+MVTJUIL22!S12+MVTAOUT22!S12+MVTSEPT22!S12+MVTOCT22!S12+MVTNOV22!S12+MVTDEC22!S12</f>
        <v>240000</v>
      </c>
      <c r="T12" s="36"/>
      <c r="U12" s="36">
        <f>MVTJANV22!U12+MVTFEV22!U12+MVTMARS22!U12+MVTAVRIL22!U12+MVTMAI22!U12+MVTJUIN22!U12+MVTJUIL22!U12+MVTAOUT22!U12+MVTSEPT22!U12+MVTOCT22!U12+MVTNOV22!U12+MVTDEC22!U12</f>
        <v>1000000</v>
      </c>
      <c r="V12" s="36"/>
      <c r="W12" s="36"/>
      <c r="X12" s="36">
        <f>MVTJANV22!X12+MVTFEV22!X12+MVTMARS22!X12+MVTAVRIL22!X12+MVTMAI22!X12+MVTJUIN22!X12+MVTJUIL22!X12+MVTAOUT22!X12+MVTSEPT22!X12+MVTOCT22!X12+MVTNOV22!X12+MVTDEC22!X12</f>
        <v>0</v>
      </c>
      <c r="Y12" s="36">
        <f>MVTJANV22!Y12+MVTFEV22!Y12+MVTMARS22!Y12+MVTAVRIL22!Y12+MVTMAI22!Y12+MVTJUIN22!Y12+MVTJUIL22!Y12+MVTAOUT22!Y12+MVTSEPT22!Y12+MVTOCT22!Y12+MVTNOV22!Y12+MVTDEC22!Y12</f>
        <v>0</v>
      </c>
      <c r="Z12" s="36">
        <f>MVTJANV22!Z12+MVTFEV22!Z12+MVTMARS22!Z12+MVTAVRIL22!Z12+MVTMAI22!Z12+MVTJUIN22!Z12+MVTJUIL22!Z12+MVTAOUT22!Z12+MVTSEPT22!Z12+MVTOCT22!Z12+MVTNOV22!Z12+MVTDEC22!Z12</f>
        <v>0</v>
      </c>
      <c r="AA12" s="36">
        <f>MVTJANV22!AA12+MVTFEV22!AA12+MVTMARS22!AA12+MVTAVRIL22!AA12+MVTMAI22!AA12+MVTJUIN22!AA12+MVTJUIL22!AA12+MVTAOUT22!AA12+MVTSEPT22!AA12+MVTOCT22!AA12+MVTNOV22!AA12+MVTDEC22!AA12</f>
        <v>0</v>
      </c>
      <c r="AB12" s="36">
        <f>MVTJANV22!AB12+MVTFEV22!AB12+MVTMARS22!AB12+MVTAVRIL22!AB12+MVTMAI22!AB12+MVTJUIN22!AB12+MVTJUIL22!AB12+MVTAOUT22!AB12+MVTSEPT22!AB12+MVTOCT22!AB12+MVTNOV22!AB12+MVTDEC22!AB12</f>
        <v>0</v>
      </c>
      <c r="AC12" s="36">
        <f>MVTJANV22!AC12+MVTFEV22!AC12+MVTMARS22!AC12+MVTAVRIL22!AC12+MVTMAI22!AC12+MVTJUIN22!AC12+MVTJUIL22!AC12+MVTAOUT22!AC12+MVTSEPT22!AC12+MVTOCT22!AC12+MVTNOV22!AC12+MVTDEC22!AC12</f>
        <v>0</v>
      </c>
      <c r="AD12" s="36">
        <f>MVTJANV22!AD12+MVTFEV22!AD12+MVTMARS22!AD12+MVTAVRIL22!AD12+MVTMAI22!AD12+MVTJUIN22!AD12+MVTJUIL22!AD12+MVTAOUT22!AD12+MVTSEPT22!AD12+MVTOCT22!AD12+MVTNOV22!AD12+MVTDEC22!AD12</f>
        <v>90000</v>
      </c>
      <c r="AE12" s="36">
        <f>MVTJANV22!AE12+MVTFEV22!AE12+MVTMARS22!AE12+MVTAVRIL22!AE12+MVTMAI22!AE12+MVTJUIN22!AE12+MVTJUIL22!AE12+MVTAOUT22!AE12+MVTSEPT22!AE12+MVTOCT22!AE12+MVTNOV22!AE12+MVTDEC22!AE12</f>
        <v>0</v>
      </c>
      <c r="AF12" s="36">
        <f>MVTJANV22!AF12+MVTFEV22!AF12+MVTMARS22!AF12+MVTAVRIL22!AF12+MVTMAI22!AF12+MVTJUIN22!AF12+MVTJUIL22!AF12+MVTAOUT22!AF12+MVTSEPT22!AF12+MVTOCT22!AF12+MVTNOV22!AF12+MVTDEC22!AF12</f>
        <v>0</v>
      </c>
      <c r="AG12" s="36">
        <f>MVTJANV22!AG12+MVTFEV22!AG12+MVTMARS22!AG12+MVTAVRIL22!AG12+MVTMAI22!AG12+MVTJUIN22!AG12+MVTJUIL22!AG12+MVTAOUT22!AG12+MVTSEPT22!AG12+MVTOCT22!AG12+MVTNOV22!AG12+MVTDEC22!AG12</f>
        <v>0</v>
      </c>
      <c r="AH12" s="36">
        <f>MVTJANV22!AH12+MVTFEV22!AH12+MVTMARS22!AH12+MVTAVRIL22!AH12+MVTMAI22!AH12+MVTJUIN22!AH12+MVTJUIL22!AH12+MVTAOUT22!AH12+MVTSEPT22!AH12+MVTOCT22!AH12+MVTNOV22!AH12+MVTDEC22!AH12</f>
        <v>0</v>
      </c>
      <c r="AI12" s="36">
        <f t="shared" si="2"/>
        <v>1000000</v>
      </c>
      <c r="AJ12" s="107">
        <v>45262</v>
      </c>
      <c r="AK12" s="36">
        <f>MVTJANV22!AI12+MVTFEV22!AI12+MVTMARS22!AI12+MVTAVRIL22!AI12+MVTMAI22!AI12+MVTJUIN22!AI12+MVTJUIL22!AI12+MVTAOUT22!AI12+MVTSEPT22!AI12+MVTOCT22!AI12+MVTNOV22!AI12+MVTDEC22!AI12</f>
        <v>0</v>
      </c>
      <c r="AL12" s="36">
        <f>MVTJANV22!AJ12+MVTFEV22!AJ12+MVTMARS22!AJ12+MVTAVRIL22!AJ12+MVTMAI22!AJ12+MVTJUIN22!AJ12+MVTJUIL22!AJ12+MVTAOUT22!AJ12+MVTSEPT22!AJ12+MVTOCT22!AJ12+MVTNOV22!AJ12+MVTDEC22!AJ12</f>
        <v>0</v>
      </c>
    </row>
    <row r="13" spans="1:38" x14ac:dyDescent="0.25">
      <c r="A13" s="1" t="s">
        <v>26</v>
      </c>
      <c r="B13" s="1" t="str">
        <f>VLOOKUP(A13,[15]LISTADHERENT!A$5:H$60,3,0)</f>
        <v>DONHOU DAVID</v>
      </c>
      <c r="C13" s="5">
        <f>MVTJANV22!C13+MVTFEV22!C13+MVTMARS22!C13+MVTAVRIL22!C13+MVTMAI22!C13+MVTJUIN22!C13+MVTJUIL22!C13+MVTAOUT22!C13+MVTSEPT22!C13+MVTOCT22!C13+MVTNOV22!C13+MVTDEC22!C13</f>
        <v>570000</v>
      </c>
      <c r="D13" s="5">
        <f>MVTJANV22!D13+MVTFEV22!D13+MVTMARS22!D13+MVTAVRIL22!D13+MVTMAI22!D13+MVTJUIN22!D13+MVTJUIL22!D13+MVTAOUT22!D13+MVTSEPT22!D13+MVTOCT22!D13+MVTNOV22!D13+MVTDEC22!D13</f>
        <v>253289.50601995771</v>
      </c>
      <c r="E13" s="36">
        <f>MVTJANV22!E13+MVTFEV22!E13+MVTMARS22!E13+MVTAVRIL22!E13+MVTMAI22!E13+MVTJUIN22!E13+MVTJUIL22!E13+MVTAOUT22!E13+MVTSEPT22!E13+MVTOCT22!E13+MVTNOV22!E13+MVTDEC22!E13</f>
        <v>0</v>
      </c>
      <c r="F13" s="5">
        <f t="shared" si="0"/>
        <v>570000</v>
      </c>
      <c r="G13" s="6">
        <f>MVTJANV22!G13+MVTFEV22!G13+MVTMARS22!G13+MVTAVRIL22!G13+MVTMAI22!G13+MVTJUIN22!G13+MVTJUIL22!G13+MVTAOUT22!G13+MVTSEPT22!G13+MVTOCT22!G13+MVTNOV22!G13+MVTDEC22!G13</f>
        <v>141922.01700906034</v>
      </c>
      <c r="H13" s="6">
        <f t="shared" si="1"/>
        <v>914289.50601995771</v>
      </c>
      <c r="I13" s="36">
        <f>MVTJANV22!I13+MVTFEV22!I13+MVTMARS22!I13+MVTAVRIL22!I13+MVTMAI22!I13+MVTJUIN22!I13+MVTJUIL22!I13+MVTAOUT22!I13+MVTSEPT22!I13+MVTOCT22!I13+MVTNOV22!I13+MVTDEC22!I13</f>
        <v>0</v>
      </c>
      <c r="J13" s="36">
        <f>MVTJANV22!J13+MVTFEV22!J13+MVTMARS22!J13+MVTAVRIL22!J13+MVTMAI22!J13+MVTJUIN22!J13+MVTJUIL22!J13+MVTAOUT22!J13+MVTSEPT22!J13+MVTOCT22!J13+MVTNOV22!J13+MVTDEC22!J13</f>
        <v>139000</v>
      </c>
      <c r="K13" s="36">
        <f>MVTJANV22!K13+MVTFEV22!K13+MVTMARS22!K13+MVTAVRIL22!K13+MVTMAI22!K13+MVTJUIN22!K13+MVTJUIL22!K13+MVTAOUT22!K13+MVTSEPT22!K13+MVTOCT22!K13+MVTNOV22!K13+MVTDEC22!K13</f>
        <v>91000</v>
      </c>
      <c r="L13" s="36">
        <f>MVTJANV22!L13+MVTFEV22!L13+MVTMARS22!L13+MVTAVRIL22!L13+MVTMAI22!L13+MVTJUIN22!L13+MVTJUIL22!L13+MVTAOUT22!L13+MVTSEPT22!L13+MVTOCT22!L13+MVTNOV22!L13+MVTDEC22!L13</f>
        <v>6000</v>
      </c>
      <c r="M13" s="36">
        <f>MVTJANV22!M13+MVTFEV22!M13+MVTMARS22!M13+MVTAVRIL22!M13+MVTMAI22!M13+MVTJUIN22!M13+MVTJUIL22!M13+MVTAOUT22!M13+MVTSEPT22!M13+MVTOCT22!M13+MVTNOV22!M13+MVTDEC22!M13</f>
        <v>12000</v>
      </c>
      <c r="N13" s="36">
        <f>MVTJANV22!N13+MVTFEV22!N13+MVTMARS22!N13+MVTAVRIL22!N13+MVTMAI22!N13+MVTJUIN22!N13+MVTJUIL22!N13+MVTAOUT22!N13+MVTSEPT22!N13+MVTOCT22!N13+MVTNOV22!N13+MVTDEC22!N13</f>
        <v>30000</v>
      </c>
      <c r="O13" s="36">
        <f>MVTJANV22!O13+MVTFEV22!O13+MVTMARS22!O13+MVTAVRIL22!O13+MVTMAI22!O13+MVTJUIN22!O13+MVTJUIL22!O13+MVTAOUT22!O13+MVTSEPT22!O13+MVTOCT22!O13+MVTNOV22!O13+MVTDEC22!O13</f>
        <v>3000</v>
      </c>
      <c r="P13" s="36">
        <f>MVTJANV22!P13+MVTFEV22!P13+MVTMARS22!P13+MVTAVRIL22!P13+MVTMAI22!P13+MVTJUIN22!P13+MVTJUIL22!P13+MVTAOUT22!P13+MVTSEPT22!P13+MVTOCT22!P13+MVTNOV22!P13+MVTDEC22!P13</f>
        <v>0</v>
      </c>
      <c r="Q13" s="36">
        <f>MVTJANV22!Q13+MVTFEV22!Q13+MVTMARS22!Q13+MVTAVRIL22!Q13+MVTMAI22!Q13+MVTJUIN22!Q13+MVTJUIL22!Q13+MVTAOUT22!Q13+MVTSEPT22!Q13+MVTOCT22!Q13+MVTNOV22!Q13+MVTDEC22!Q13</f>
        <v>0</v>
      </c>
      <c r="R13" s="36">
        <f>MVTJANV22!R13+MVTFEV22!R13+MVTMARS22!R13+MVTAVRIL22!R13+MVTMAI22!R13+MVTJUIN22!R13+MVTJUIL22!R13+MVTAOUT22!R13+MVTSEPT22!R13+MVTOCT22!R13+MVTNOV22!R13+MVTDEC22!R13</f>
        <v>0</v>
      </c>
      <c r="S13" s="36">
        <f>MVTJANV22!S13+MVTFEV22!S13+MVTMARS22!S13+MVTAVRIL22!S13+MVTMAI22!S13+MVTJUIN22!S13+MVTJUIL22!S13+MVTAOUT22!S13+MVTSEPT22!S13+MVTOCT22!S13+MVTNOV22!S13+MVTDEC22!S13</f>
        <v>0</v>
      </c>
      <c r="T13" s="36"/>
      <c r="U13" s="36">
        <f>MVTJANV22!U13+MVTFEV22!U13+MVTMARS22!U13+MVTAVRIL22!U13+MVTMAI22!U13+MVTJUIN22!U13+MVTJUIL22!U13+MVTAOUT22!U13+MVTSEPT22!U13+MVTOCT22!U13+MVTNOV22!U13+MVTDEC22!U13</f>
        <v>0</v>
      </c>
      <c r="V13" s="36"/>
      <c r="W13" s="36"/>
      <c r="X13" s="36">
        <f>MVTJANV22!X13+MVTFEV22!X13+MVTMARS22!X13+MVTAVRIL22!X13+MVTMAI22!X13+MVTJUIN22!X13+MVTJUIL22!X13+MVTAOUT22!X13+MVTSEPT22!X13+MVTOCT22!X13+MVTNOV22!X13+MVTDEC22!X13</f>
        <v>0</v>
      </c>
      <c r="Y13" s="36">
        <f>MVTJANV22!Y13+MVTFEV22!Y13+MVTMARS22!Y13+MVTAVRIL22!Y13+MVTMAI22!Y13+MVTJUIN22!Y13+MVTJUIL22!Y13+MVTAOUT22!Y13+MVTSEPT22!Y13+MVTOCT22!Y13+MVTNOV22!Y13+MVTDEC22!Y13</f>
        <v>0</v>
      </c>
      <c r="Z13" s="36">
        <f>MVTJANV22!Z13+MVTFEV22!Z13+MVTMARS22!Z13+MVTAVRIL22!Z13+MVTMAI22!Z13+MVTJUIN22!Z13+MVTJUIL22!Z13+MVTAOUT22!Z13+MVTSEPT22!Z13+MVTOCT22!Z13+MVTNOV22!Z13+MVTDEC22!Z13</f>
        <v>0</v>
      </c>
      <c r="AA13" s="36">
        <f>MVTJANV22!AA13+MVTFEV22!AA13+MVTMARS22!AA13+MVTAVRIL22!AA13+MVTMAI22!AA13+MVTJUIN22!AA13+MVTJUIL22!AA13+MVTAOUT22!AA13+MVTSEPT22!AA13+MVTOCT22!AA13+MVTNOV22!AA13+MVTDEC22!AA13</f>
        <v>0</v>
      </c>
      <c r="AB13" s="36">
        <f>MVTJANV22!AB13+MVTFEV22!AB13+MVTMARS22!AB13+MVTAVRIL22!AB13+MVTMAI22!AB13+MVTJUIN22!AB13+MVTJUIL22!AB13+MVTAOUT22!AB13+MVTSEPT22!AB13+MVTOCT22!AB13+MVTNOV22!AB13+MVTDEC22!AB13</f>
        <v>0</v>
      </c>
      <c r="AC13" s="36">
        <f>MVTJANV22!AC13+MVTFEV22!AC13+MVTMARS22!AC13+MVTAVRIL22!AC13+MVTMAI22!AC13+MVTJUIN22!AC13+MVTJUIL22!AC13+MVTAOUT22!AC13+MVTSEPT22!AC13+MVTOCT22!AC13+MVTNOV22!AC13+MVTDEC22!AC13</f>
        <v>0</v>
      </c>
      <c r="AD13" s="36">
        <f>MVTJANV22!AD13+MVTFEV22!AD13+MVTMARS22!AD13+MVTAVRIL22!AD13+MVTMAI22!AD13+MVTJUIN22!AD13+MVTJUIL22!AD13+MVTAOUT22!AD13+MVTSEPT22!AD13+MVTOCT22!AD13+MVTNOV22!AD13+MVTDEC22!AD13</f>
        <v>70000</v>
      </c>
      <c r="AE13" s="36">
        <f>MVTJANV22!AE13+MVTFEV22!AE13+MVTMARS22!AE13+MVTAVRIL22!AE13+MVTMAI22!AE13+MVTJUIN22!AE13+MVTJUIL22!AE13+MVTAOUT22!AE13+MVTSEPT22!AE13+MVTOCT22!AE13+MVTNOV22!AE13+MVTDEC22!AE13</f>
        <v>0</v>
      </c>
      <c r="AF13" s="36">
        <f>MVTJANV22!AF13+MVTFEV22!AF13+MVTMARS22!AF13+MVTAVRIL22!AF13+MVTMAI22!AF13+MVTJUIN22!AF13+MVTJUIL22!AF13+MVTAOUT22!AF13+MVTSEPT22!AF13+MVTOCT22!AF13+MVTNOV22!AF13+MVTDEC22!AF13</f>
        <v>0</v>
      </c>
      <c r="AG13" s="36">
        <f>MVTJANV22!AG13+MVTFEV22!AG13+MVTMARS22!AG13+MVTAVRIL22!AG13+MVTMAI22!AG13+MVTJUIN22!AG13+MVTJUIL22!AG13+MVTAOUT22!AG13+MVTSEPT22!AG13+MVTOCT22!AG13+MVTNOV22!AG13+MVTDEC22!AG13</f>
        <v>0</v>
      </c>
      <c r="AH13" s="36">
        <f>MVTJANV22!AH13+MVTFEV22!AH13+MVTMARS22!AH13+MVTAVRIL22!AH13+MVTMAI22!AH13+MVTJUIN22!AH13+MVTJUIL22!AH13+MVTAOUT22!AH13+MVTSEPT22!AH13+MVTOCT22!AH13+MVTNOV22!AH13+MVTDEC22!AH13</f>
        <v>70000</v>
      </c>
      <c r="AI13" s="36">
        <f t="shared" si="2"/>
        <v>0</v>
      </c>
      <c r="AJ13" s="11"/>
      <c r="AK13" s="36">
        <f>MVTJANV22!AI13+MVTFEV22!AI13+MVTMARS22!AI13+MVTAVRIL22!AI13+MVTMAI22!AI13+MVTJUIN22!AI13+MVTJUIL22!AI13+MVTAOUT22!AI13+MVTSEPT22!AI13+MVTOCT22!AI13+MVTNOV22!AI13+MVTDEC22!AI13</f>
        <v>0</v>
      </c>
      <c r="AL13" s="36">
        <f>MVTJANV22!AJ13+MVTFEV22!AJ13+MVTMARS22!AJ13+MVTAVRIL22!AJ13+MVTMAI22!AJ13+MVTJUIN22!AJ13+MVTJUIL22!AJ13+MVTAOUT22!AJ13+MVTSEPT22!AJ13+MVTOCT22!AJ13+MVTNOV22!AJ13+MVTDEC22!AJ13</f>
        <v>0</v>
      </c>
    </row>
    <row r="14" spans="1:38" x14ac:dyDescent="0.25">
      <c r="A14" s="1" t="s">
        <v>27</v>
      </c>
      <c r="B14" s="1" t="str">
        <f>VLOOKUP(A14,[15]LISTADHERENT!A$5:H$60,3,0)</f>
        <v>FOTSO THOMAS</v>
      </c>
      <c r="C14" s="5">
        <f>MVTJANV22!C14+MVTFEV22!C14+MVTMARS22!C14+MVTAVRIL22!C14+MVTMAI22!C14+MVTJUIN22!C14+MVTJUIL22!C14+MVTAOUT22!C14+MVTSEPT22!C14+MVTOCT22!C14+MVTNOV22!C14+MVTDEC22!C14</f>
        <v>540000</v>
      </c>
      <c r="D14" s="5">
        <f>MVTJANV22!D14+MVTFEV22!D14+MVTMARS22!D14+MVTAVRIL22!D14+MVTMAI22!D14+MVTJUIN22!D14+MVTJUIL22!D14+MVTAOUT22!D14+MVTSEPT22!D14+MVTOCT22!D14+MVTNOV22!D14+MVTDEC22!D14</f>
        <v>-2105.0985828532721</v>
      </c>
      <c r="E14" s="36">
        <f>MVTJANV22!E14+MVTFEV22!E14+MVTMARS22!E14+MVTAVRIL22!E14+MVTMAI22!E14+MVTJUIN22!E14+MVTJUIL22!E14+MVTAOUT22!E14+MVTSEPT22!E14+MVTOCT22!E14+MVTNOV22!E14+MVTDEC22!E14</f>
        <v>0</v>
      </c>
      <c r="F14" s="5">
        <f t="shared" si="0"/>
        <v>540000</v>
      </c>
      <c r="G14" s="6">
        <f>MVTJANV22!G14+MVTFEV22!G14+MVTMARS22!G14+MVTAVRIL22!G14+MVTMAI22!G14+MVTJUIN22!G14+MVTJUIL22!G14+MVTAOUT22!G14+MVTSEPT22!G14+MVTOCT22!G14+MVTNOV22!G14+MVTDEC22!G14</f>
        <v>0</v>
      </c>
      <c r="H14" s="6"/>
      <c r="I14" s="36">
        <f>MVTJANV22!I14+MVTFEV22!I14+MVTMARS22!I14+MVTAVRIL22!I14+MVTMAI22!I14+MVTJUIN22!I14+MVTJUIL22!I14+MVTAOUT22!I14+MVTSEPT22!I14+MVTOCT22!I14+MVTNOV22!I14+MVTDEC22!I14</f>
        <v>0</v>
      </c>
      <c r="J14" s="36">
        <f>MVTJANV22!J14+MVTFEV22!J14+MVTMARS22!J14+MVTAVRIL22!J14+MVTMAI22!J14+MVTJUIN22!J14+MVTJUIL22!J14+MVTAOUT22!J14+MVTSEPT22!J14+MVTOCT22!J14+MVTNOV22!J14+MVTDEC22!J14</f>
        <v>0</v>
      </c>
      <c r="K14" s="36">
        <f>MVTJANV22!K14+MVTFEV22!K14+MVTMARS22!K14+MVTAVRIL22!K14+MVTMAI22!K14+MVTJUIN22!K14+MVTJUIL22!K14+MVTAOUT22!K14+MVTSEPT22!K14+MVTOCT22!K14+MVTNOV22!K14+MVTDEC22!K14</f>
        <v>0</v>
      </c>
      <c r="L14" s="36">
        <f>MVTJANV22!L14+MVTFEV22!L14+MVTMARS22!L14+MVTAVRIL22!L14+MVTMAI22!L14+MVTJUIN22!L14+MVTJUIL22!L14+MVTAOUT22!L14+MVTSEPT22!L14+MVTOCT22!L14+MVTNOV22!L14+MVTDEC22!L14</f>
        <v>0</v>
      </c>
      <c r="M14" s="36">
        <f>MVTJANV22!M14+MVTFEV22!M14+MVTMARS22!M14+MVTAVRIL22!M14+MVTMAI22!M14+MVTJUIN22!M14+MVTJUIL22!M14+MVTAOUT22!M14+MVTSEPT22!M14+MVTOCT22!M14+MVTNOV22!M14+MVTDEC22!M14</f>
        <v>0</v>
      </c>
      <c r="N14" s="36">
        <f>MVTJANV22!N14+MVTFEV22!N14+MVTMARS22!N14+MVTAVRIL22!N14+MVTMAI22!N14+MVTJUIN22!N14+MVTJUIL22!N14+MVTAOUT22!N14+MVTSEPT22!N14+MVTOCT22!N14+MVTNOV22!N14+MVTDEC22!N14</f>
        <v>0</v>
      </c>
      <c r="O14" s="36">
        <f>MVTJANV22!O14+MVTFEV22!O14+MVTMARS22!O14+MVTAVRIL22!O14+MVTMAI22!O14+MVTJUIN22!O14+MVTJUIL22!O14+MVTAOUT22!O14+MVTSEPT22!O14+MVTOCT22!O14+MVTNOV22!O14+MVTDEC22!O14</f>
        <v>0</v>
      </c>
      <c r="P14" s="36">
        <f>MVTJANV22!P14+MVTFEV22!P14+MVTMARS22!P14+MVTAVRIL22!P14+MVTMAI22!P14+MVTJUIN22!P14+MVTJUIL22!P14+MVTAOUT22!P14+MVTSEPT22!P14+MVTOCT22!P14+MVTNOV22!P14+MVTDEC22!P14</f>
        <v>0</v>
      </c>
      <c r="Q14" s="36">
        <f>MVTJANV22!Q14+MVTFEV22!Q14+MVTMARS22!Q14+MVTAVRIL22!Q14+MVTMAI22!Q14+MVTJUIN22!Q14+MVTJUIL22!Q14+MVTAOUT22!Q14+MVTSEPT22!Q14+MVTOCT22!Q14+MVTNOV22!Q14+MVTDEC22!Q14</f>
        <v>0</v>
      </c>
      <c r="R14" s="36">
        <f>MVTJANV22!R14+MVTFEV22!R14+MVTMARS22!R14+MVTAVRIL22!R14+MVTMAI22!R14+MVTJUIN22!R14+MVTJUIL22!R14+MVTAOUT22!R14+MVTSEPT22!R14+MVTOCT22!R14+MVTNOV22!R14+MVTDEC22!R14</f>
        <v>1155000</v>
      </c>
      <c r="S14" s="36">
        <f>MVTJANV22!S14+MVTFEV22!S14+MVTMARS22!S14+MVTAVRIL22!S14+MVTMAI22!S14+MVTJUIN22!S14+MVTJUIL22!S14+MVTAOUT22!S14+MVTSEPT22!S14+MVTOCT22!S14+MVTNOV22!S14+MVTDEC22!S14</f>
        <v>0</v>
      </c>
      <c r="T14" s="36"/>
      <c r="U14" s="36">
        <f>MVTJANV22!U14+MVTFEV22!U14+MVTMARS22!U14+MVTAVRIL22!U14+MVTMAI22!U14+MVTJUIN22!U14+MVTJUIL22!U14+MVTAOUT22!U14+MVTSEPT22!U14+MVTOCT22!U14+MVTNOV22!U14+MVTDEC22!U14</f>
        <v>0</v>
      </c>
      <c r="V14" s="36"/>
      <c r="W14" s="36"/>
      <c r="X14" s="36">
        <f>MVTJANV22!X14+MVTFEV22!X14+MVTMARS22!X14+MVTAVRIL22!X14+MVTMAI22!X14+MVTJUIN22!X14+MVTJUIL22!X14+MVTAOUT22!X14+MVTSEPT22!X14+MVTOCT22!X14+MVTNOV22!X14+MVTDEC22!X14</f>
        <v>0</v>
      </c>
      <c r="Y14" s="36">
        <f>MVTJANV22!Y14+MVTFEV22!Y14+MVTMARS22!Y14+MVTAVRIL22!Y14+MVTMAI22!Y14+MVTJUIN22!Y14+MVTJUIL22!Y14+MVTAOUT22!Y14+MVTSEPT22!Y14+MVTOCT22!Y14+MVTNOV22!Y14+MVTDEC22!Y14</f>
        <v>0</v>
      </c>
      <c r="Z14" s="36">
        <f>MVTJANV22!Z14+MVTFEV22!Z14+MVTMARS22!Z14+MVTAVRIL22!Z14+MVTMAI22!Z14+MVTJUIN22!Z14+MVTJUIL22!Z14+MVTAOUT22!Z14+MVTSEPT22!Z14+MVTOCT22!Z14+MVTNOV22!Z14+MVTDEC22!Z14</f>
        <v>0</v>
      </c>
      <c r="AA14" s="36">
        <f>MVTJANV22!AA14+MVTFEV22!AA14+MVTMARS22!AA14+MVTAVRIL22!AA14+MVTMAI22!AA14+MVTJUIN22!AA14+MVTJUIL22!AA14+MVTAOUT22!AA14+MVTSEPT22!AA14+MVTOCT22!AA14+MVTNOV22!AA14+MVTDEC22!AA14</f>
        <v>0</v>
      </c>
      <c r="AB14" s="36">
        <f>MVTJANV22!AB14+MVTFEV22!AB14+MVTMARS22!AB14+MVTAVRIL22!AB14+MVTMAI22!AB14+MVTJUIN22!AB14+MVTJUIL22!AB14+MVTAOUT22!AB14+MVTSEPT22!AB14+MVTOCT22!AB14+MVTNOV22!AB14+MVTDEC22!AB14</f>
        <v>0</v>
      </c>
      <c r="AC14" s="36">
        <f>MVTJANV22!AC14+MVTFEV22!AC14+MVTMARS22!AC14+MVTAVRIL22!AC14+MVTMAI22!AC14+MVTJUIN22!AC14+MVTJUIL22!AC14+MVTAOUT22!AC14+MVTSEPT22!AC14+MVTOCT22!AC14+MVTNOV22!AC14+MVTDEC22!AC14</f>
        <v>0</v>
      </c>
      <c r="AD14" s="36">
        <f>MVTJANV22!AD14+MVTFEV22!AD14+MVTMARS22!AD14+MVTAVRIL22!AD14+MVTMAI22!AD14+MVTJUIN22!AD14+MVTJUIL22!AD14+MVTAOUT22!AD14+MVTSEPT22!AD14+MVTOCT22!AD14+MVTNOV22!AD14+MVTDEC22!AD14</f>
        <v>0</v>
      </c>
      <c r="AE14" s="36">
        <f>MVTJANV22!AE14+MVTFEV22!AE14+MVTMARS22!AE14+MVTAVRIL22!AE14+MVTMAI22!AE14+MVTJUIN22!AE14+MVTJUIL22!AE14+MVTAOUT22!AE14+MVTSEPT22!AE14+MVTOCT22!AE14+MVTNOV22!AE14+MVTDEC22!AE14</f>
        <v>0</v>
      </c>
      <c r="AF14" s="36">
        <f>MVTJANV22!AF14+MVTFEV22!AF14+MVTMARS22!AF14+MVTAVRIL22!AF14+MVTMAI22!AF14+MVTJUIN22!AF14+MVTJUIL22!AF14+MVTAOUT22!AF14+MVTSEPT22!AF14+MVTOCT22!AF14+MVTNOV22!AF14+MVTDEC22!AF14</f>
        <v>0</v>
      </c>
      <c r="AG14" s="36">
        <f>MVTJANV22!AG14+MVTFEV22!AG14+MVTMARS22!AG14+MVTAVRIL22!AG14+MVTMAI22!AG14+MVTJUIN22!AG14+MVTJUIL22!AG14+MVTAOUT22!AG14+MVTSEPT22!AG14+MVTOCT22!AG14+MVTNOV22!AG14+MVTDEC22!AG14</f>
        <v>0</v>
      </c>
      <c r="AH14" s="36">
        <f>MVTJANV22!AH14+MVTFEV22!AH14+MVTMARS22!AH14+MVTAVRIL22!AH14+MVTMAI22!AH14+MVTJUIN22!AH14+MVTJUIL22!AH14+MVTAOUT22!AH14+MVTSEPT22!AH14+MVTOCT22!AH14+MVTNOV22!AH14+MVTDEC22!AH14</f>
        <v>0</v>
      </c>
      <c r="AI14" s="36">
        <f t="shared" si="2"/>
        <v>1155000</v>
      </c>
      <c r="AJ14" s="107">
        <v>45262</v>
      </c>
      <c r="AK14" s="36">
        <f>MVTJANV22!AI14+MVTFEV22!AI14+MVTMARS22!AI14+MVTAVRIL22!AI14+MVTMAI22!AI14+MVTJUIN22!AI14+MVTJUIL22!AI14+MVTAOUT22!AI14+MVTSEPT22!AI14+MVTOCT22!AI14+MVTNOV22!AI14+MVTDEC22!AI14-155000</f>
        <v>0</v>
      </c>
      <c r="AL14" s="36">
        <f>MVTJANV22!AJ14+MVTFEV22!AJ14+MVTMARS22!AJ14+MVTAVRIL22!AJ14+MVTMAI22!AJ14+MVTJUIN22!AJ14+MVTJUIL22!AJ14+MVTAOUT22!AJ14+MVTSEPT22!AJ14+MVTOCT22!AJ14+MVTNOV22!AJ14+MVTDEC22!AJ14</f>
        <v>0</v>
      </c>
    </row>
    <row r="15" spans="1:38" ht="14.25" customHeight="1" x14ac:dyDescent="0.25">
      <c r="A15" s="1" t="s">
        <v>28</v>
      </c>
      <c r="B15" s="1" t="str">
        <f>VLOOKUP(A15,[15]LISTADHERENT!A$5:H$60,3,0)</f>
        <v>HENGUE PAUL OMER</v>
      </c>
      <c r="C15" s="5">
        <f>MVTJANV22!C15+MVTFEV22!C15+MVTMARS22!C15+MVTAVRIL22!C15+MVTMAI22!C15+MVTJUIN22!C15+MVTJUIL22!C15+MVTAOUT22!C15+MVTSEPT22!C15+MVTOCT22!C15+MVTNOV22!C15+MVTDEC22!C15</f>
        <v>570000</v>
      </c>
      <c r="D15" s="5">
        <f>MVTJANV22!D15+MVTFEV22!D15+MVTMARS22!D15+MVTAVRIL22!D15+MVTMAI22!D15+MVTJUIN22!D15+MVTJUIL22!D15+MVTAOUT22!D15+MVTSEPT22!D15+MVTOCT22!D15+MVTNOV22!D15+MVTDEC22!D15</f>
        <v>3435.9669399686391</v>
      </c>
      <c r="E15" s="36">
        <f>MVTJANV22!E15+MVTFEV22!E15+MVTMARS22!E15+MVTAVRIL22!E15+MVTMAI22!E15+MVTJUIN22!E15+MVTJUIL22!E15+MVTAOUT22!E15+MVTSEPT22!E15+MVTOCT22!E15+MVTNOV22!E15+MVTDEC22!E15</f>
        <v>0</v>
      </c>
      <c r="F15" s="5">
        <f t="shared" si="0"/>
        <v>570000</v>
      </c>
      <c r="G15" s="6">
        <f>MVTJANV22!G15+MVTFEV22!G15+MVTMARS22!G15+MVTAVRIL22!G15+MVTMAI22!G15+MVTJUIN22!G15+MVTJUIL22!G15+MVTAOUT22!G15+MVTSEPT22!G15+MVTOCT22!G15+MVTNOV22!G15+MVTDEC22!G15</f>
        <v>97152.080962231834</v>
      </c>
      <c r="H15" s="6">
        <f t="shared" si="1"/>
        <v>609435.96693996864</v>
      </c>
      <c r="I15" s="36">
        <f>MVTJANV22!I15+MVTFEV22!I15+MVTMARS22!I15+MVTAVRIL22!I15+MVTMAI22!I15+MVTJUIN22!I15+MVTJUIL22!I15+MVTAOUT22!I15+MVTSEPT22!I15+MVTOCT22!I15+MVTNOV22!I15+MVTDEC22!I15</f>
        <v>0</v>
      </c>
      <c r="J15" s="36">
        <f>MVTJANV22!J15+MVTFEV22!J15+MVTMARS22!J15+MVTAVRIL22!J15+MVTMAI22!J15+MVTJUIN22!J15+MVTJUIL22!J15+MVTAOUT22!J15+MVTSEPT22!J15+MVTOCT22!J15+MVTNOV22!J15+MVTDEC22!J15</f>
        <v>84000</v>
      </c>
      <c r="K15" s="36">
        <f>MVTJANV22!K15+MVTFEV22!K15+MVTMARS22!K15+MVTAVRIL22!K15+MVTMAI22!K15+MVTJUIN22!K15+MVTJUIL22!K15+MVTAOUT22!K15+MVTSEPT22!K15+MVTOCT22!K15+MVTNOV22!K15+MVTDEC22!K15</f>
        <v>36000</v>
      </c>
      <c r="L15" s="36">
        <f>MVTJANV22!L15+MVTFEV22!L15+MVTMARS22!L15+MVTAVRIL22!L15+MVTMAI22!L15+MVTJUIN22!L15+MVTJUIL22!L15+MVTAOUT22!L15+MVTSEPT22!L15+MVTOCT22!L15+MVTNOV22!L15+MVTDEC22!L15</f>
        <v>6000</v>
      </c>
      <c r="M15" s="36">
        <f>MVTJANV22!M15+MVTFEV22!M15+MVTMARS22!M15+MVTAVRIL22!M15+MVTMAI22!M15+MVTJUIN22!M15+MVTJUIL22!M15+MVTAOUT22!M15+MVTSEPT22!M15+MVTOCT22!M15+MVTNOV22!M15+MVTDEC22!M15</f>
        <v>12000</v>
      </c>
      <c r="N15" s="36">
        <f>MVTJANV22!N15+MVTFEV22!N15+MVTMARS22!N15+MVTAVRIL22!N15+MVTMAI22!N15+MVTJUIN22!N15+MVTJUIL22!N15+MVTAOUT22!N15+MVTSEPT22!N15+MVTOCT22!N15+MVTNOV22!N15+MVTDEC22!N15</f>
        <v>30000</v>
      </c>
      <c r="O15" s="36">
        <f>MVTJANV22!O15+MVTFEV22!O15+MVTMARS22!O15+MVTAVRIL22!O15+MVTMAI22!O15+MVTJUIN22!O15+MVTJUIL22!O15+MVTAOUT22!O15+MVTSEPT22!O15+MVTOCT22!O15+MVTNOV22!O15+MVTDEC22!O15</f>
        <v>0</v>
      </c>
      <c r="P15" s="36">
        <f>MVTJANV22!P15+MVTFEV22!P15+MVTMARS22!P15+MVTAVRIL22!P15+MVTMAI22!P15+MVTJUIN22!P15+MVTJUIL22!P15+MVTAOUT22!P15+MVTSEPT22!P15+MVTOCT22!P15+MVTNOV22!P15+MVTDEC22!P15</f>
        <v>0</v>
      </c>
      <c r="Q15" s="36">
        <f>MVTJANV22!Q15+MVTFEV22!Q15+MVTMARS22!Q15+MVTAVRIL22!Q15+MVTMAI22!Q15+MVTJUIN22!Q15+MVTJUIL22!Q15+MVTAOUT22!Q15+MVTSEPT22!Q15+MVTOCT22!Q15+MVTNOV22!Q15+MVTDEC22!Q15</f>
        <v>0</v>
      </c>
      <c r="R15" s="36">
        <f>MVTJANV22!R15+MVTFEV22!R15+MVTMARS22!R15+MVTAVRIL22!R15+MVTMAI22!R15+MVTJUIN22!R15+MVTJUIL22!R15+MVTAOUT22!R15+MVTSEPT22!R15+MVTOCT22!R15+MVTNOV22!R15+MVTDEC22!R15</f>
        <v>0</v>
      </c>
      <c r="S15" s="36">
        <f>MVTJANV22!S15+MVTFEV22!S15+MVTMARS22!S15+MVTAVRIL22!S15+MVTMAI22!S15+MVTJUIN22!S15+MVTJUIL22!S15+MVTAOUT22!S15+MVTSEPT22!S15+MVTOCT22!S15+MVTNOV22!S15+MVTDEC22!S15</f>
        <v>0</v>
      </c>
      <c r="T15" s="36"/>
      <c r="U15" s="36">
        <f>MVTJANV22!U15+MVTFEV22!U15+MVTMARS22!U15+MVTAVRIL22!U15+MVTMAI22!U15+MVTJUIN22!U15+MVTJUIL22!U15+MVTAOUT22!U15+MVTSEPT22!U15+MVTOCT22!U15+MVTNOV22!U15+MVTDEC22!U15</f>
        <v>0</v>
      </c>
      <c r="V15" s="36"/>
      <c r="W15" s="36"/>
      <c r="X15" s="36">
        <f>MVTJANV22!X15+MVTFEV22!X15+MVTMARS22!X15+MVTAVRIL22!X15+MVTMAI22!X15+MVTJUIN22!X15+MVTJUIL22!X15+MVTAOUT22!X15+MVTSEPT22!X15+MVTOCT22!X15+MVTNOV22!X15+MVTDEC22!X15</f>
        <v>0</v>
      </c>
      <c r="Y15" s="36">
        <f>MVTJANV22!Y15+MVTFEV22!Y15+MVTMARS22!Y15+MVTAVRIL22!Y15+MVTMAI22!Y15+MVTJUIN22!Y15+MVTJUIL22!Y15+MVTAOUT22!Y15+MVTSEPT22!Y15+MVTOCT22!Y15+MVTNOV22!Y15+MVTDEC22!Y15</f>
        <v>0</v>
      </c>
      <c r="Z15" s="36">
        <f>MVTJANV22!Z15+MVTFEV22!Z15+MVTMARS22!Z15+MVTAVRIL22!Z15+MVTMAI22!Z15+MVTJUIN22!Z15+MVTJUIL22!Z15+MVTAOUT22!Z15+MVTSEPT22!Z15+MVTOCT22!Z15+MVTNOV22!Z15+MVTDEC22!Z15</f>
        <v>0</v>
      </c>
      <c r="AA15" s="36">
        <f>MVTJANV22!AA15+MVTFEV22!AA15+MVTMARS22!AA15+MVTAVRIL22!AA15+MVTMAI22!AA15+MVTJUIN22!AA15+MVTJUIL22!AA15+MVTAOUT22!AA15+MVTSEPT22!AA15+MVTOCT22!AA15+MVTNOV22!AA15+MVTDEC22!AA15</f>
        <v>0</v>
      </c>
      <c r="AB15" s="36">
        <f>MVTJANV22!AB15+MVTFEV22!AB15+MVTMARS22!AB15+MVTAVRIL22!AB15+MVTMAI22!AB15+MVTJUIN22!AB15+MVTJUIL22!AB15+MVTAOUT22!AB15+MVTSEPT22!AB15+MVTOCT22!AB15+MVTNOV22!AB15+MVTDEC22!AB15</f>
        <v>0</v>
      </c>
      <c r="AC15" s="36">
        <f>MVTJANV22!AC15+MVTFEV22!AC15+MVTMARS22!AC15+MVTAVRIL22!AC15+MVTMAI22!AC15+MVTJUIN22!AC15+MVTJUIL22!AC15+MVTAOUT22!AC15+MVTSEPT22!AC15+MVTOCT22!AC15+MVTNOV22!AC15+MVTDEC22!AC15</f>
        <v>0</v>
      </c>
      <c r="AD15" s="36">
        <f>MVTJANV22!AD15+MVTFEV22!AD15+MVTMARS22!AD15+MVTAVRIL22!AD15+MVTMAI22!AD15+MVTJUIN22!AD15+MVTJUIL22!AD15+MVTAOUT22!AD15+MVTSEPT22!AD15+MVTOCT22!AD15+MVTNOV22!AD15+MVTDEC22!AD15</f>
        <v>70000</v>
      </c>
      <c r="AE15" s="36">
        <f>MVTJANV22!AE15+MVTFEV22!AE15+MVTMARS22!AE15+MVTAVRIL22!AE15+MVTMAI22!AE15+MVTJUIN22!AE15+MVTJUIL22!AE15+MVTAOUT22!AE15+MVTSEPT22!AE15+MVTOCT22!AE15+MVTNOV22!AE15+MVTDEC22!AE15</f>
        <v>0</v>
      </c>
      <c r="AF15" s="36">
        <f>MVTJANV22!AF15+MVTFEV22!AF15+MVTMARS22!AF15+MVTAVRIL22!AF15+MVTMAI22!AF15+MVTJUIN22!AF15+MVTJUIL22!AF15+MVTAOUT22!AF15+MVTSEPT22!AF15+MVTOCT22!AF15+MVTNOV22!AF15+MVTDEC22!AF15</f>
        <v>0</v>
      </c>
      <c r="AG15" s="36">
        <f>MVTJANV22!AG15+MVTFEV22!AG15+MVTMARS22!AG15+MVTAVRIL22!AG15+MVTMAI22!AG15+MVTJUIN22!AG15+MVTJUIL22!AG15+MVTAOUT22!AG15+MVTSEPT22!AG15+MVTOCT22!AG15+MVTNOV22!AG15+MVTDEC22!AG15</f>
        <v>0</v>
      </c>
      <c r="AH15" s="36">
        <f>MVTJANV22!AH15+MVTFEV22!AH15+MVTMARS22!AH15+MVTAVRIL22!AH15+MVTMAI22!AH15+MVTJUIN22!AH15+MVTJUIL22!AH15+MVTAOUT22!AH15+MVTSEPT22!AH15+MVTOCT22!AH15+MVTNOV22!AH15+MVTDEC22!AH15</f>
        <v>0</v>
      </c>
      <c r="AI15" s="36">
        <f t="shared" si="2"/>
        <v>0</v>
      </c>
      <c r="AJ15" s="11"/>
      <c r="AK15" s="36">
        <f>MVTJANV22!AI15+MVTFEV22!AI15+MVTMARS22!AI15+MVTAVRIL22!AI15+MVTMAI22!AI15+MVTJUIN22!AI15+MVTJUIL22!AI15+MVTAOUT22!AI15+MVTSEPT22!AI15+MVTOCT22!AI15+MVTNOV22!AI15+MVTDEC22!AI15</f>
        <v>0</v>
      </c>
      <c r="AL15" s="36">
        <f>MVTJANV22!AJ15+MVTFEV22!AJ15+MVTMARS22!AJ15+MVTAVRIL22!AJ15+MVTMAI22!AJ15+MVTJUIN22!AJ15+MVTJUIL22!AJ15+MVTAOUT22!AJ15+MVTSEPT22!AJ15+MVTOCT22!AJ15+MVTNOV22!AJ15+MVTDEC22!AJ15</f>
        <v>0</v>
      </c>
    </row>
    <row r="16" spans="1:38" x14ac:dyDescent="0.25">
      <c r="A16" s="1" t="s">
        <v>29</v>
      </c>
      <c r="B16" s="1" t="str">
        <f>VLOOKUP(A16,[15]LISTADHERENT!A$5:H$60,3,0)</f>
        <v>HOTCHO BENJAMIN</v>
      </c>
      <c r="C16" s="5">
        <f>MVTJANV22!C16+MVTFEV22!C16+MVTMARS22!C16+MVTAVRIL22!C16+MVTMAI22!C16+MVTJUIN22!C16+MVTJUIL22!C16+MVTAOUT22!C16+MVTSEPT22!C16+MVTOCT22!C16+MVTNOV22!C16+MVTDEC22!C16</f>
        <v>570000</v>
      </c>
      <c r="D16" s="5">
        <f>MVTJANV22!D16+MVTFEV22!D16+MVTMARS22!D16+MVTAVRIL22!D16+MVTMAI22!D16+MVTJUIN22!D16+MVTJUIL22!D16+MVTAOUT22!D16+MVTSEPT22!D16+MVTOCT22!D16+MVTNOV22!D16+MVTDEC22!D16</f>
        <v>17580.420303784544</v>
      </c>
      <c r="E16" s="36">
        <f>MVTJANV22!E16+MVTFEV22!E16+MVTMARS22!E16+MVTAVRIL22!E16+MVTMAI22!E16+MVTJUIN22!E16+MVTJUIL22!E16+MVTAOUT22!E16+MVTSEPT22!E16+MVTOCT22!E16+MVTNOV22!E16+MVTDEC22!E16</f>
        <v>500000</v>
      </c>
      <c r="F16" s="5">
        <f t="shared" si="0"/>
        <v>70000</v>
      </c>
      <c r="G16" s="6">
        <f>MVTJANV22!G16+MVTFEV22!G16+MVTMARS22!G16+MVTAVRIL22!G16+MVTMAI22!G16+MVTJUIN22!G16+MVTJUIL22!G16+MVTAOUT22!G16+MVTSEPT22!G16+MVTOCT22!G16+MVTNOV22!G16+MVTDEC22!G16</f>
        <v>113828.95695186211</v>
      </c>
      <c r="H16" s="6">
        <f t="shared" si="1"/>
        <v>663580.42030378454</v>
      </c>
      <c r="I16" s="36">
        <f>MVTJANV22!I16+MVTFEV22!I16+MVTMARS22!I16+MVTAVRIL22!I16+MVTMAI22!I16+MVTJUIN22!I16+MVTJUIL22!I16+MVTAOUT22!I16+MVTSEPT22!I16+MVTOCT22!I16+MVTNOV22!I16+MVTDEC22!I16</f>
        <v>0</v>
      </c>
      <c r="J16" s="36">
        <f>MVTJANV22!J16+MVTFEV22!J16+MVTMARS22!J16+MVTAVRIL22!J16+MVTMAI22!J16+MVTJUIN22!J16+MVTJUIL22!J16+MVTAOUT22!J16+MVTSEPT22!J16+MVTOCT22!J16+MVTNOV22!J16+MVTDEC22!J16</f>
        <v>624000</v>
      </c>
      <c r="K16" s="36">
        <f>MVTJANV22!K16+MVTFEV22!K16+MVTMARS22!K16+MVTAVRIL22!K16+MVTMAI22!K16+MVTJUIN22!K16+MVTJUIL22!K16+MVTAOUT22!K16+MVTSEPT22!K16+MVTOCT22!K16+MVTNOV22!K16+MVTDEC22!K16</f>
        <v>576000</v>
      </c>
      <c r="L16" s="36">
        <f>MVTJANV22!L16+MVTFEV22!L16+MVTMARS22!L16+MVTAVRIL22!L16+MVTMAI22!L16+MVTJUIN22!L16+MVTJUIL22!L16+MVTAOUT22!L16+MVTSEPT22!L16+MVTOCT22!L16+MVTNOV22!L16+MVTDEC22!L16</f>
        <v>6000</v>
      </c>
      <c r="M16" s="36">
        <f>MVTJANV22!M16+MVTFEV22!M16+MVTMARS22!M16+MVTAVRIL22!M16+MVTMAI22!M16+MVTJUIN22!M16+MVTJUIL22!M16+MVTAOUT22!M16+MVTSEPT22!M16+MVTOCT22!M16+MVTNOV22!M16+MVTDEC22!M16</f>
        <v>12000</v>
      </c>
      <c r="N16" s="36">
        <f>MVTJANV22!N16+MVTFEV22!N16+MVTMARS22!N16+MVTAVRIL22!N16+MVTMAI22!N16+MVTJUIN22!N16+MVTJUIL22!N16+MVTAOUT22!N16+MVTSEPT22!N16+MVTOCT22!N16+MVTNOV22!N16+MVTDEC22!N16</f>
        <v>30000</v>
      </c>
      <c r="O16" s="36">
        <f>MVTJANV22!O16+MVTFEV22!O16+MVTMARS22!O16+MVTAVRIL22!O16+MVTMAI22!O16+MVTJUIN22!O16+MVTJUIL22!O16+MVTAOUT22!O16+MVTSEPT22!O16+MVTOCT22!O16+MVTNOV22!O16+MVTDEC22!O16</f>
        <v>0</v>
      </c>
      <c r="P16" s="36">
        <f>MVTJANV22!P16+MVTFEV22!P16+MVTMARS22!P16+MVTAVRIL22!P16+MVTMAI22!P16+MVTJUIN22!P16+MVTJUIL22!P16+MVTAOUT22!P16+MVTSEPT22!P16+MVTOCT22!P16+MVTNOV22!P16+MVTDEC22!P16</f>
        <v>0</v>
      </c>
      <c r="Q16" s="36">
        <f>MVTJANV22!Q16+MVTFEV22!Q16+MVTMARS22!Q16+MVTAVRIL22!Q16+MVTMAI22!Q16+MVTJUIN22!Q16+MVTJUIL22!Q16+MVTAOUT22!Q16+MVTSEPT22!Q16+MVTOCT22!Q16+MVTNOV22!Q16+MVTDEC22!Q16</f>
        <v>0</v>
      </c>
      <c r="R16" s="36">
        <f>MVTJANV22!R16+MVTFEV22!R16+MVTMARS22!R16+MVTAVRIL22!R16+MVTMAI22!R16+MVTJUIN22!R16+MVTJUIL22!R16+MVTAOUT22!R16+MVTSEPT22!R16+MVTOCT22!R16+MVTNOV22!R16+MVTDEC22!R16</f>
        <v>2000000</v>
      </c>
      <c r="S16" s="36">
        <f>MVTJANV22!S16+MVTFEV22!S16+MVTMARS22!S16+MVTAVRIL22!S16+MVTMAI22!S16+MVTJUIN22!S16+MVTJUIL22!S16+MVTAOUT22!S16+MVTSEPT22!S16+MVTOCT22!S16+MVTNOV22!S16+MVTDEC22!S16</f>
        <v>130000</v>
      </c>
      <c r="T16" s="36"/>
      <c r="U16" s="36">
        <f>MVTJANV22!U16+MVTFEV22!U16+MVTMARS22!U16+MVTAVRIL22!U16+MVTMAI22!U16+MVTJUIN22!U16+MVTJUIL22!U16+MVTAOUT22!U16+MVTSEPT22!U16+MVTOCT22!U16+MVTNOV22!U16+MVTDEC22!U16</f>
        <v>1000000</v>
      </c>
      <c r="V16" s="36"/>
      <c r="W16" s="36"/>
      <c r="X16" s="36">
        <f>MVTJANV22!X16+MVTFEV22!X16+MVTMARS22!X16+MVTAVRIL22!X16+MVTMAI22!X16+MVTJUIN22!X16+MVTJUIL22!X16+MVTAOUT22!X16+MVTSEPT22!X16+MVTOCT22!X16+MVTNOV22!X16+MVTDEC22!X16</f>
        <v>0</v>
      </c>
      <c r="Y16" s="36">
        <f>MVTJANV22!Y16+MVTFEV22!Y16+MVTMARS22!Y16+MVTAVRIL22!Y16+MVTMAI22!Y16+MVTJUIN22!Y16+MVTJUIL22!Y16+MVTAOUT22!Y16+MVTSEPT22!Y16+MVTOCT22!Y16+MVTNOV22!Y16+MVTDEC22!Y16</f>
        <v>0</v>
      </c>
      <c r="Z16" s="36">
        <f>MVTJANV22!Z16+MVTFEV22!Z16+MVTMARS22!Z16+MVTAVRIL22!Z16+MVTMAI22!Z16+MVTJUIN22!Z16+MVTJUIL22!Z16+MVTAOUT22!Z16+MVTSEPT22!Z16+MVTOCT22!Z16+MVTNOV22!Z16+MVTDEC22!Z16</f>
        <v>0</v>
      </c>
      <c r="AA16" s="36">
        <f>MVTJANV22!AA16+MVTFEV22!AA16+MVTMARS22!AA16+MVTAVRIL22!AA16+MVTMAI22!AA16+MVTJUIN22!AA16+MVTJUIL22!AA16+MVTAOUT22!AA16+MVTSEPT22!AA16+MVTOCT22!AA16+MVTNOV22!AA16+MVTDEC22!AA16</f>
        <v>0</v>
      </c>
      <c r="AB16" s="36">
        <f>MVTJANV22!AB16+MVTFEV22!AB16+MVTMARS22!AB16+MVTAVRIL22!AB16+MVTMAI22!AB16+MVTJUIN22!AB16+MVTJUIL22!AB16+MVTAOUT22!AB16+MVTSEPT22!AB16+MVTOCT22!AB16+MVTNOV22!AB16+MVTDEC22!AB16</f>
        <v>0</v>
      </c>
      <c r="AC16" s="36">
        <f>MVTJANV22!AC16+MVTFEV22!AC16+MVTMARS22!AC16+MVTAVRIL22!AC16+MVTMAI22!AC16+MVTJUIN22!AC16+MVTJUIL22!AC16+MVTAOUT22!AC16+MVTSEPT22!AC16+MVTOCT22!AC16+MVTNOV22!AC16+MVTDEC22!AC16</f>
        <v>0</v>
      </c>
      <c r="AD16" s="36">
        <f>MVTJANV22!AD16+MVTFEV22!AD16+MVTMARS22!AD16+MVTAVRIL22!AD16+MVTMAI22!AD16+MVTJUIN22!AD16+MVTJUIL22!AD16+MVTAOUT22!AD16+MVTSEPT22!AD16+MVTOCT22!AD16+MVTNOV22!AD16+MVTDEC22!AD16</f>
        <v>70000</v>
      </c>
      <c r="AE16" s="36">
        <f>MVTJANV22!AE16+MVTFEV22!AE16+MVTMARS22!AE16+MVTAVRIL22!AE16+MVTMAI22!AE16+MVTJUIN22!AE16+MVTJUIL22!AE16+MVTAOUT22!AE16+MVTSEPT22!AE16+MVTOCT22!AE16+MVTNOV22!AE16+MVTDEC22!AE16</f>
        <v>0</v>
      </c>
      <c r="AF16" s="36">
        <f>MVTJANV22!AF16+MVTFEV22!AF16+MVTMARS22!AF16+MVTAVRIL22!AF16+MVTMAI22!AF16+MVTJUIN22!AF16+MVTJUIL22!AF16+MVTAOUT22!AF16+MVTSEPT22!AF16+MVTOCT22!AF16+MVTNOV22!AF16+MVTDEC22!AF16</f>
        <v>0</v>
      </c>
      <c r="AG16" s="36">
        <f>MVTJANV22!AG16+MVTFEV22!AG16+MVTMARS22!AG16+MVTAVRIL22!AG16+MVTMAI22!AG16+MVTJUIN22!AG16+MVTJUIL22!AG16+MVTAOUT22!AG16+MVTSEPT22!AG16+MVTOCT22!AG16+MVTNOV22!AG16+MVTDEC22!AG16</f>
        <v>0</v>
      </c>
      <c r="AH16" s="36">
        <f>MVTJANV22!AH16+MVTFEV22!AH16+MVTMARS22!AH16+MVTAVRIL22!AH16+MVTMAI22!AH16+MVTJUIN22!AH16+MVTJUIL22!AH16+MVTAOUT22!AH16+MVTSEPT22!AH16+MVTOCT22!AH16+MVTNOV22!AH16+MVTDEC22!AH16</f>
        <v>0</v>
      </c>
      <c r="AI16" s="36">
        <f t="shared" si="2"/>
        <v>1000000</v>
      </c>
      <c r="AJ16" s="107">
        <v>45262</v>
      </c>
      <c r="AK16" s="36">
        <f>MVTJANV22!AI16+MVTFEV22!AI16+MVTMARS22!AI16+MVTAVRIL22!AI16+MVTMAI22!AI16+MVTJUIN22!AI16+MVTJUIL22!AI16+MVTAOUT22!AI16+MVTSEPT22!AI16+MVTOCT22!AI16+MVTNOV22!AI16+MVTDEC22!AI16</f>
        <v>0</v>
      </c>
      <c r="AL16" s="36">
        <f>MVTJANV22!AJ16+MVTFEV22!AJ16+MVTMARS22!AJ16+MVTAVRIL22!AJ16+MVTMAI22!AJ16+MVTJUIN22!AJ16+MVTJUIL22!AJ16+MVTAOUT22!AJ16+MVTSEPT22!AJ16+MVTOCT22!AJ16+MVTNOV22!AJ16+MVTDEC22!AJ16</f>
        <v>0</v>
      </c>
    </row>
    <row r="17" spans="1:38" x14ac:dyDescent="0.25">
      <c r="A17" s="1" t="s">
        <v>33</v>
      </c>
      <c r="B17" s="1" t="str">
        <f>VLOOKUP(A17,[15]LISTADHERENT!A$5:H$60,3,0)</f>
        <v>KOUAMOU MOISE</v>
      </c>
      <c r="C17" s="5">
        <f>MVTJANV22!C17+MVTFEV22!C17+MVTMARS22!C17+MVTAVRIL22!C17+MVTMAI22!C17+MVTJUIN22!C17+MVTJUIL22!C17+MVTAOUT22!C17+MVTSEPT22!C17+MVTOCT22!C17+MVTNOV22!C17+MVTDEC22!C17</f>
        <v>570000</v>
      </c>
      <c r="D17" s="5">
        <f>MVTJANV22!D17+MVTFEV22!D17+MVTMARS22!D17+MVTAVRIL22!D17+MVTMAI22!D17+MVTJUIN22!D17+MVTJUIL22!D17+MVTAOUT22!D17+MVTSEPT22!D17+MVTOCT22!D17+MVTNOV22!D17+MVTDEC22!D17</f>
        <v>5406.5483426781138</v>
      </c>
      <c r="E17" s="36">
        <f>MVTJANV22!E17+MVTFEV22!E17+MVTMARS22!E17+MVTAVRIL22!E17+MVTMAI22!E17+MVTJUIN22!E17+MVTJUIL22!E17+MVTAOUT22!E17+MVTSEPT22!E17+MVTOCT22!E17+MVTNOV22!E17+MVTDEC22!E17</f>
        <v>0</v>
      </c>
      <c r="F17" s="5">
        <f t="shared" si="0"/>
        <v>570000</v>
      </c>
      <c r="G17" s="6">
        <f>MVTJANV22!G17+MVTFEV22!G17+MVTMARS22!G17+MVTAVRIL22!G17+MVTMAI22!G17+MVTJUIN22!G17+MVTJUIL22!G17+MVTAOUT22!G17+MVTSEPT22!G17+MVTOCT22!G17+MVTNOV22!G17+MVTDEC22!G17</f>
        <v>97476.828110761839</v>
      </c>
      <c r="H17" s="6">
        <f t="shared" si="1"/>
        <v>611406.54834267811</v>
      </c>
      <c r="I17" s="36">
        <f>MVTJANV22!I17+MVTFEV22!I17+MVTMARS22!I17+MVTAVRIL22!I17+MVTMAI22!I17+MVTJUIN22!I17+MVTJUIL22!I17+MVTAOUT22!I17+MVTSEPT22!I17+MVTOCT22!I17+MVTNOV22!I17+MVTDEC22!I17</f>
        <v>0</v>
      </c>
      <c r="J17" s="36">
        <f>MVTJANV22!J17+MVTFEV22!J17+MVTMARS22!J17+MVTAVRIL22!J17+MVTMAI22!J17+MVTJUIN22!J17+MVTJUIL22!J17+MVTAOUT22!J17+MVTSEPT22!J17+MVTOCT22!J17+MVTNOV22!J17+MVTDEC22!J17</f>
        <v>84000</v>
      </c>
      <c r="K17" s="36">
        <f>MVTJANV22!K17+MVTFEV22!K17+MVTMARS22!K17+MVTAVRIL22!K17+MVTMAI22!K17+MVTJUIN22!K17+MVTJUIL22!K17+MVTAOUT22!K17+MVTSEPT22!K17+MVTOCT22!K17+MVTNOV22!K17+MVTDEC22!K17</f>
        <v>36000</v>
      </c>
      <c r="L17" s="36">
        <f>MVTJANV22!L17+MVTFEV22!L17+MVTMARS22!L17+MVTAVRIL22!L17+MVTMAI22!L17+MVTJUIN22!L17+MVTJUIL22!L17+MVTAOUT22!L17+MVTSEPT22!L17+MVTOCT22!L17+MVTNOV22!L17+MVTDEC22!L17</f>
        <v>6000</v>
      </c>
      <c r="M17" s="36">
        <f>MVTJANV22!M17+MVTFEV22!M17+MVTMARS22!M17+MVTAVRIL22!M17+MVTMAI22!M17+MVTJUIN22!M17+MVTJUIL22!M17+MVTAOUT22!M17+MVTSEPT22!M17+MVTOCT22!M17+MVTNOV22!M17+MVTDEC22!M17</f>
        <v>12000</v>
      </c>
      <c r="N17" s="36">
        <f>MVTJANV22!N17+MVTFEV22!N17+MVTMARS22!N17+MVTAVRIL22!N17+MVTMAI22!N17+MVTJUIN22!N17+MVTJUIL22!N17+MVTAOUT22!N17+MVTSEPT22!N17+MVTOCT22!N17+MVTNOV22!N17+MVTDEC22!N17</f>
        <v>30000</v>
      </c>
      <c r="O17" s="36">
        <f>MVTJANV22!O17+MVTFEV22!O17+MVTMARS22!O17+MVTAVRIL22!O17+MVTMAI22!O17+MVTJUIN22!O17+MVTJUIL22!O17+MVTAOUT22!O17+MVTSEPT22!O17+MVTOCT22!O17+MVTNOV22!O17+MVTDEC22!O17</f>
        <v>0</v>
      </c>
      <c r="P17" s="36">
        <f>MVTJANV22!P17+MVTFEV22!P17+MVTMARS22!P17+MVTAVRIL22!P17+MVTMAI22!P17+MVTJUIN22!P17+MVTJUIL22!P17+MVTAOUT22!P17+MVTSEPT22!P17+MVTOCT22!P17+MVTNOV22!P17+MVTDEC22!P17</f>
        <v>0</v>
      </c>
      <c r="Q17" s="36">
        <f>MVTJANV22!Q17+MVTFEV22!Q17+MVTMARS22!Q17+MVTAVRIL22!Q17+MVTMAI22!Q17+MVTJUIN22!Q17+MVTJUIL22!Q17+MVTAOUT22!Q17+MVTSEPT22!Q17+MVTOCT22!Q17+MVTNOV22!Q17+MVTDEC22!Q17</f>
        <v>0</v>
      </c>
      <c r="R17" s="36">
        <f>MVTJANV22!R17+MVTFEV22!R17+MVTMARS22!R17+MVTAVRIL22!R17+MVTMAI22!R17+MVTJUIN22!R17+MVTJUIL22!R17+MVTAOUT22!R17+MVTSEPT22!R17+MVTOCT22!R17+MVTNOV22!R17+MVTDEC22!R17</f>
        <v>1700000</v>
      </c>
      <c r="S17" s="36">
        <f>MVTJANV22!S17+MVTFEV22!S17+MVTMARS22!S17+MVTAVRIL22!S17+MVTMAI22!S17+MVTJUIN22!S17+MVTJUIL22!S17+MVTAOUT22!S17+MVTSEPT22!S17+MVTOCT22!S17+MVTNOV22!S17+MVTDEC22!S17</f>
        <v>107000</v>
      </c>
      <c r="T17" s="36"/>
      <c r="U17" s="36">
        <f>MVTJANV22!U17+MVTFEV22!U17+MVTMARS22!U17+MVTAVRIL22!U17+MVTMAI22!U17+MVTJUIN22!U17+MVTJUIL22!U17+MVTAOUT22!U17+MVTSEPT22!U17+MVTOCT22!U17+MVTNOV22!U17+MVTDEC22!U17</f>
        <v>1700000</v>
      </c>
      <c r="V17" s="36"/>
      <c r="W17" s="36"/>
      <c r="X17" s="36">
        <f>MVTJANV22!X17+MVTFEV22!X17+MVTMARS22!X17+MVTAVRIL22!X17+MVTMAI22!X17+MVTJUIN22!X17+MVTJUIL22!X17+MVTAOUT22!X17+MVTSEPT22!X17+MVTOCT22!X17+MVTNOV22!X17+MVTDEC22!X17</f>
        <v>0</v>
      </c>
      <c r="Y17" s="36">
        <f>MVTJANV22!Y17+MVTFEV22!Y17+MVTMARS22!Y17+MVTAVRIL22!Y17+MVTMAI22!Y17+MVTJUIN22!Y17+MVTJUIL22!Y17+MVTAOUT22!Y17+MVTSEPT22!Y17+MVTOCT22!Y17+MVTNOV22!Y17+MVTDEC22!Y17</f>
        <v>0</v>
      </c>
      <c r="Z17" s="36">
        <f>MVTJANV22!Z17+MVTFEV22!Z17+MVTMARS22!Z17+MVTAVRIL22!Z17+MVTMAI22!Z17+MVTJUIN22!Z17+MVTJUIL22!Z17+MVTAOUT22!Z17+MVTSEPT22!Z17+MVTOCT22!Z17+MVTNOV22!Z17+MVTDEC22!Z17</f>
        <v>0</v>
      </c>
      <c r="AA17" s="36">
        <f>MVTJANV22!AA17+MVTFEV22!AA17+MVTMARS22!AA17+MVTAVRIL22!AA17+MVTMAI22!AA17+MVTJUIN22!AA17+MVTJUIL22!AA17+MVTAOUT22!AA17+MVTSEPT22!AA17+MVTOCT22!AA17+MVTNOV22!AA17+MVTDEC22!AA17</f>
        <v>0</v>
      </c>
      <c r="AB17" s="36">
        <f>MVTJANV22!AB17+MVTFEV22!AB17+MVTMARS22!AB17+MVTAVRIL22!AB17+MVTMAI22!AB17+MVTJUIN22!AB17+MVTJUIL22!AB17+MVTAOUT22!AB17+MVTSEPT22!AB17+MVTOCT22!AB17+MVTNOV22!AB17+MVTDEC22!AB17</f>
        <v>0</v>
      </c>
      <c r="AC17" s="36">
        <f>MVTJANV22!AC17+MVTFEV22!AC17+MVTMARS22!AC17+MVTAVRIL22!AC17+MVTMAI22!AC17+MVTJUIN22!AC17+MVTJUIL22!AC17+MVTAOUT22!AC17+MVTSEPT22!AC17+MVTOCT22!AC17+MVTNOV22!AC17+MVTDEC22!AC17</f>
        <v>0</v>
      </c>
      <c r="AD17" s="36">
        <f>MVTJANV22!AD17+MVTFEV22!AD17+MVTMARS22!AD17+MVTAVRIL22!AD17+MVTMAI22!AD17+MVTJUIN22!AD17+MVTJUIL22!AD17+MVTAOUT22!AD17+MVTSEPT22!AD17+MVTOCT22!AD17+MVTNOV22!AD17+MVTDEC22!AD17</f>
        <v>70000</v>
      </c>
      <c r="AE17" s="36">
        <f>MVTJANV22!AE17+MVTFEV22!AE17+MVTMARS22!AE17+MVTAVRIL22!AE17+MVTMAI22!AE17+MVTJUIN22!AE17+MVTJUIL22!AE17+MVTAOUT22!AE17+MVTSEPT22!AE17+MVTOCT22!AE17+MVTNOV22!AE17+MVTDEC22!AE17</f>
        <v>0</v>
      </c>
      <c r="AF17" s="36">
        <f>MVTJANV22!AF17+MVTFEV22!AF17+MVTMARS22!AF17+MVTAVRIL22!AF17+MVTMAI22!AF17+MVTJUIN22!AF17+MVTJUIL22!AF17+MVTAOUT22!AF17+MVTSEPT22!AF17+MVTOCT22!AF17+MVTNOV22!AF17+MVTDEC22!AF17</f>
        <v>0</v>
      </c>
      <c r="AG17" s="36">
        <f>MVTJANV22!AG17+MVTFEV22!AG17+MVTMARS22!AG17+MVTAVRIL22!AG17+MVTMAI22!AG17+MVTJUIN22!AG17+MVTJUIL22!AG17+MVTAOUT22!AG17+MVTSEPT22!AG17+MVTOCT22!AG17+MVTNOV22!AG17+MVTDEC22!AG17</f>
        <v>0</v>
      </c>
      <c r="AH17" s="36">
        <f>MVTJANV22!AH17+MVTFEV22!AH17+MVTMARS22!AH17+MVTAVRIL22!AH17+MVTMAI22!AH17+MVTJUIN22!AH17+MVTJUIL22!AH17+MVTAOUT22!AH17+MVTSEPT22!AH17+MVTOCT22!AH17+MVTNOV22!AH17+MVTDEC22!AH17</f>
        <v>0</v>
      </c>
      <c r="AI17" s="36">
        <f t="shared" si="2"/>
        <v>0</v>
      </c>
      <c r="AJ17" s="107"/>
      <c r="AK17" s="36">
        <f>MVTJANV22!AI17+MVTFEV22!AI17+MVTMARS22!AI17+MVTAVRIL22!AI17+MVTMAI22!AI17+MVTJUIN22!AI17+MVTJUIL22!AI17+MVTAOUT22!AI17+MVTSEPT22!AI17+MVTOCT22!AI17+MVTNOV22!AI17+MVTDEC22!AI17</f>
        <v>0</v>
      </c>
      <c r="AL17" s="36">
        <f>MVTJANV22!AJ17+MVTFEV22!AJ17+MVTMARS22!AJ17+MVTAVRIL22!AJ17+MVTMAI22!AJ17+MVTJUIN22!AJ17+MVTJUIL22!AJ17+MVTAOUT22!AJ17+MVTSEPT22!AJ17+MVTOCT22!AJ17+MVTNOV22!AJ17+MVTDEC22!AJ17</f>
        <v>0</v>
      </c>
    </row>
    <row r="18" spans="1:38" x14ac:dyDescent="0.25">
      <c r="A18" s="1" t="s">
        <v>35</v>
      </c>
      <c r="B18" s="1" t="str">
        <f>VLOOKUP(A18,[15]LISTADHERENT!A$5:H$60,3,0)</f>
        <v>KOUATCHO MESSACK</v>
      </c>
      <c r="C18" s="5">
        <f>MVTJANV22!C18+MVTFEV22!C18+MVTMARS22!C18+MVTAVRIL22!C18+MVTMAI22!C18+MVTJUIN22!C18+MVTJUIL22!C18+MVTAOUT22!C18+MVTSEPT22!C18+MVTOCT22!C18+MVTNOV22!C18+MVTDEC22!C18</f>
        <v>570000</v>
      </c>
      <c r="D18" s="5">
        <f>MVTJANV22!D18+MVTFEV22!D18+MVTMARS22!D18+MVTAVRIL22!D18+MVTMAI22!D18+MVTJUIN22!D18+MVTJUIL22!D18+MVTAOUT22!D18+MVTSEPT22!D18+MVTOCT22!D18+MVTNOV22!D18+MVTDEC22!D18</f>
        <v>8241.6184045160044</v>
      </c>
      <c r="E18" s="36">
        <f>MVTJANV22!E18+MVTFEV22!E18+MVTMARS22!E18+MVTAVRIL22!E18+MVTMAI22!E18+MVTJUIN22!E18+MVTJUIL22!E18+MVTAOUT22!E18+MVTSEPT22!E18+MVTOCT22!E18+MVTNOV22!E18+MVTDEC22!E18</f>
        <v>0</v>
      </c>
      <c r="F18" s="5">
        <f t="shared" si="0"/>
        <v>570000</v>
      </c>
      <c r="G18" s="6">
        <f>MVTJANV22!G18+MVTFEV22!G18+MVTMARS22!G18+MVTAVRIL22!G18+MVTMAI22!G18+MVTJUIN22!G18+MVTJUIL22!G18+MVTAOUT22!G18+MVTSEPT22!G18+MVTOCT22!G18+MVTNOV22!G18+MVTDEC22!G18</f>
        <v>97975.813062296453</v>
      </c>
      <c r="H18" s="6">
        <f t="shared" si="1"/>
        <v>614241.61840451602</v>
      </c>
      <c r="I18" s="36">
        <f>MVTJANV22!I18+MVTFEV22!I18+MVTMARS22!I18+MVTAVRIL22!I18+MVTMAI22!I18+MVTJUIN22!I18+MVTJUIL22!I18+MVTAOUT22!I18+MVTSEPT22!I18+MVTOCT22!I18+MVTNOV22!I18+MVTDEC22!I18</f>
        <v>0</v>
      </c>
      <c r="J18" s="36">
        <f>MVTJANV22!J18+MVTFEV22!J18+MVTMARS22!J18+MVTAVRIL22!J18+MVTMAI22!J18+MVTJUIN22!J18+MVTJUIL22!J18+MVTAOUT22!J18+MVTSEPT22!J18+MVTOCT22!J18+MVTNOV22!J18+MVTDEC22!J18</f>
        <v>84000</v>
      </c>
      <c r="K18" s="36">
        <f>MVTJANV22!K18+MVTFEV22!K18+MVTMARS22!K18+MVTAVRIL22!K18+MVTMAI22!K18+MVTJUIN22!K18+MVTJUIL22!K18+MVTAOUT22!K18+MVTSEPT22!K18+MVTOCT22!K18+MVTNOV22!K18+MVTDEC22!K18</f>
        <v>36000</v>
      </c>
      <c r="L18" s="36">
        <f>MVTJANV22!L18+MVTFEV22!L18+MVTMARS22!L18+MVTAVRIL22!L18+MVTMAI22!L18+MVTJUIN22!L18+MVTJUIL22!L18+MVTAOUT22!L18+MVTSEPT22!L18+MVTOCT22!L18+MVTNOV22!L18+MVTDEC22!L18</f>
        <v>6000</v>
      </c>
      <c r="M18" s="36">
        <f>MVTJANV22!M18+MVTFEV22!M18+MVTMARS22!M18+MVTAVRIL22!M18+MVTMAI22!M18+MVTJUIN22!M18+MVTJUIL22!M18+MVTAOUT22!M18+MVTSEPT22!M18+MVTOCT22!M18+MVTNOV22!M18+MVTDEC22!M18</f>
        <v>12000</v>
      </c>
      <c r="N18" s="36">
        <f>MVTJANV22!N18+MVTFEV22!N18+MVTMARS22!N18+MVTAVRIL22!N18+MVTMAI22!N18+MVTJUIN22!N18+MVTJUIL22!N18+MVTAOUT22!N18+MVTSEPT22!N18+MVTOCT22!N18+MVTNOV22!N18+MVTDEC22!N18</f>
        <v>30000</v>
      </c>
      <c r="O18" s="36">
        <f>MVTJANV22!O18+MVTFEV22!O18+MVTMARS22!O18+MVTAVRIL22!O18+MVTMAI22!O18+MVTJUIN22!O18+MVTJUIL22!O18+MVTAOUT22!O18+MVTSEPT22!O18+MVTOCT22!O18+MVTNOV22!O18+MVTDEC22!O18</f>
        <v>9000</v>
      </c>
      <c r="P18" s="36">
        <f>MVTJANV22!P18+MVTFEV22!P18+MVTMARS22!P18+MVTAVRIL22!P18+MVTMAI22!P18+MVTJUIN22!P18+MVTJUIL22!P18+MVTAOUT22!P18+MVTSEPT22!P18+MVTOCT22!P18+MVTNOV22!P18+MVTDEC22!P18</f>
        <v>0</v>
      </c>
      <c r="Q18" s="36">
        <f>MVTJANV22!Q18+MVTFEV22!Q18+MVTMARS22!Q18+MVTAVRIL22!Q18+MVTMAI22!Q18+MVTJUIN22!Q18+MVTJUIL22!Q18+MVTAOUT22!Q18+MVTSEPT22!Q18+MVTOCT22!Q18+MVTNOV22!Q18+MVTDEC22!Q18</f>
        <v>0</v>
      </c>
      <c r="R18" s="36">
        <f>MVTJANV22!R18+MVTFEV22!R18+MVTMARS22!R18+MVTAVRIL22!R18+MVTMAI22!R18+MVTJUIN22!R18+MVTJUIL22!R18+MVTAOUT22!R18+MVTSEPT22!R18+MVTOCT22!R18+MVTNOV22!R18+MVTDEC22!R18</f>
        <v>3000000</v>
      </c>
      <c r="S18" s="36">
        <f>MVTJANV22!S18+MVTFEV22!S18+MVTMARS22!S18+MVTAVRIL22!S18+MVTMAI22!S18+MVTJUIN22!S18+MVTJUIL22!S18+MVTAOUT22!S18+MVTSEPT22!S18+MVTOCT22!S18+MVTNOV22!S18+MVTDEC22!S18</f>
        <v>180000</v>
      </c>
      <c r="T18" s="36"/>
      <c r="U18" s="36">
        <f>MVTJANV22!U18+MVTFEV22!U18+MVTMARS22!U18+MVTAVRIL22!U18+MVTMAI22!U18+MVTJUIN22!U18+MVTJUIL22!U18+MVTAOUT22!U18+MVTSEPT22!U18+MVTOCT22!U18+MVTNOV22!U18+MVTDEC22!U18</f>
        <v>2000000</v>
      </c>
      <c r="V18" s="36"/>
      <c r="W18" s="36"/>
      <c r="X18" s="36">
        <f>MVTJANV22!X18+MVTFEV22!X18+MVTMARS22!X18+MVTAVRIL22!X18+MVTMAI22!X18+MVTJUIN22!X18+MVTJUIL22!X18+MVTAOUT22!X18+MVTSEPT22!X18+MVTOCT22!X18+MVTNOV22!X18+MVTDEC22!X18</f>
        <v>0</v>
      </c>
      <c r="Y18" s="36">
        <f>MVTJANV22!Y18+MVTFEV22!Y18+MVTMARS22!Y18+MVTAVRIL22!Y18+MVTMAI22!Y18+MVTJUIN22!Y18+MVTJUIL22!Y18+MVTAOUT22!Y18+MVTSEPT22!Y18+MVTOCT22!Y18+MVTNOV22!Y18+MVTDEC22!Y18</f>
        <v>0</v>
      </c>
      <c r="Z18" s="36">
        <f>MVTJANV22!Z18+MVTFEV22!Z18+MVTMARS22!Z18+MVTAVRIL22!Z18+MVTMAI22!Z18+MVTJUIN22!Z18+MVTJUIL22!Z18+MVTAOUT22!Z18+MVTSEPT22!Z18+MVTOCT22!Z18+MVTNOV22!Z18+MVTDEC22!Z18</f>
        <v>0</v>
      </c>
      <c r="AA18" s="36">
        <f>MVTJANV22!AA18+MVTFEV22!AA18+MVTMARS22!AA18+MVTAVRIL22!AA18+MVTMAI22!AA18+MVTJUIN22!AA18+MVTJUIL22!AA18+MVTAOUT22!AA18+MVTSEPT22!AA18+MVTOCT22!AA18+MVTNOV22!AA18+MVTDEC22!AA18</f>
        <v>0</v>
      </c>
      <c r="AB18" s="36">
        <f>MVTJANV22!AB18+MVTFEV22!AB18+MVTMARS22!AB18+MVTAVRIL22!AB18+MVTMAI22!AB18+MVTJUIN22!AB18+MVTJUIL22!AB18+MVTAOUT22!AB18+MVTSEPT22!AB18+MVTOCT22!AB18+MVTNOV22!AB18+MVTDEC22!AB18</f>
        <v>0</v>
      </c>
      <c r="AC18" s="36">
        <f>MVTJANV22!AC18+MVTFEV22!AC18+MVTMARS22!AC18+MVTAVRIL22!AC18+MVTMAI22!AC18+MVTJUIN22!AC18+MVTJUIL22!AC18+MVTAOUT22!AC18+MVTSEPT22!AC18+MVTOCT22!AC18+MVTNOV22!AC18+MVTDEC22!AC18</f>
        <v>0</v>
      </c>
      <c r="AD18" s="36">
        <f>MVTJANV22!AD18+MVTFEV22!AD18+MVTMARS22!AD18+MVTAVRIL22!AD18+MVTMAI22!AD18+MVTJUIN22!AD18+MVTJUIL22!AD18+MVTAOUT22!AD18+MVTSEPT22!AD18+MVTOCT22!AD18+MVTNOV22!AD18+MVTDEC22!AD18</f>
        <v>70000</v>
      </c>
      <c r="AE18" s="36">
        <f>MVTJANV22!AE18+MVTFEV22!AE18+MVTMARS22!AE18+MVTAVRIL22!AE18+MVTMAI22!AE18+MVTJUIN22!AE18+MVTJUIL22!AE18+MVTAOUT22!AE18+MVTSEPT22!AE18+MVTOCT22!AE18+MVTNOV22!AE18+MVTDEC22!AE18</f>
        <v>0</v>
      </c>
      <c r="AF18" s="36">
        <f>MVTJANV22!AF18+MVTFEV22!AF18+MVTMARS22!AF18+MVTAVRIL22!AF18+MVTMAI22!AF18+MVTJUIN22!AF18+MVTJUIL22!AF18+MVTAOUT22!AF18+MVTSEPT22!AF18+MVTOCT22!AF18+MVTNOV22!AF18+MVTDEC22!AF18</f>
        <v>0</v>
      </c>
      <c r="AG18" s="36">
        <f>MVTJANV22!AG18+MVTFEV22!AG18+MVTMARS22!AG18+MVTAVRIL22!AG18+MVTMAI22!AG18+MVTJUIN22!AG18+MVTJUIL22!AG18+MVTAOUT22!AG18+MVTSEPT22!AG18+MVTOCT22!AG18+MVTNOV22!AG18+MVTDEC22!AG18</f>
        <v>0</v>
      </c>
      <c r="AH18" s="36">
        <f>MVTJANV22!AH18+MVTFEV22!AH18+MVTMARS22!AH18+MVTAVRIL22!AH18+MVTMAI22!AH18+MVTJUIN22!AH18+MVTJUIL22!AH18+MVTAOUT22!AH18+MVTSEPT22!AH18+MVTOCT22!AH18+MVTNOV22!AH18+MVTDEC22!AH18</f>
        <v>0</v>
      </c>
      <c r="AI18" s="36">
        <f t="shared" si="2"/>
        <v>1000000</v>
      </c>
      <c r="AJ18" s="107">
        <v>45262</v>
      </c>
      <c r="AK18" s="36">
        <f>MVTJANV22!AI18+MVTFEV22!AI18+MVTMARS22!AI18+MVTAVRIL22!AI18+MVTMAI22!AI18+MVTJUIN22!AI18+MVTJUIL22!AI18+MVTAOUT22!AI18+MVTSEPT22!AI18+MVTOCT22!AI18+MVTNOV22!AI18+MVTDEC22!AI18</f>
        <v>0</v>
      </c>
      <c r="AL18" s="36">
        <f>MVTJANV22!AJ18+MVTFEV22!AJ18+MVTMARS22!AJ18+MVTAVRIL22!AJ18+MVTMAI22!AJ18+MVTJUIN22!AJ18+MVTJUIL22!AJ18+MVTAOUT22!AJ18+MVTSEPT22!AJ18+MVTOCT22!AJ18+MVTNOV22!AJ18+MVTDEC22!AJ18</f>
        <v>0</v>
      </c>
    </row>
    <row r="19" spans="1:38" x14ac:dyDescent="0.25">
      <c r="A19" s="1" t="s">
        <v>36</v>
      </c>
      <c r="B19" s="1" t="str">
        <f>VLOOKUP(A19,[15]LISTADHERENT!A$5:H$60,3,0)</f>
        <v>LOWE JEAN</v>
      </c>
      <c r="C19" s="5">
        <f>MVTJANV22!C19+MVTFEV22!C19+MVTMARS22!C19+MVTAVRIL22!C19+MVTMAI22!C19+MVTJUIN22!C19+MVTJUIL22!C19+MVTAOUT22!C19+MVTSEPT22!C19+MVTOCT22!C19+MVTNOV22!C19+MVTDEC22!C19</f>
        <v>570000</v>
      </c>
      <c r="D19" s="5">
        <f>MVTJANV22!D19+MVTFEV22!D19+MVTMARS22!D19+MVTAVRIL22!D19+MVTMAI22!D19+MVTJUIN22!D19+MVTJUIL22!D19+MVTAOUT22!D19+MVTSEPT22!D19+MVTOCT22!D19+MVTNOV22!D19+MVTDEC22!D19</f>
        <v>393.95927050459431</v>
      </c>
      <c r="E19" s="36">
        <f>MVTJANV22!E19+MVTFEV22!E19+MVTMARS22!E19+MVTAVRIL22!E19+MVTMAI22!E19+MVTJUIN22!E19+MVTJUIL22!E19+MVTAOUT22!E19+MVTSEPT22!E19+MVTOCT22!E19+MVTNOV22!E19+MVTDEC22!E19</f>
        <v>0</v>
      </c>
      <c r="F19" s="5">
        <f t="shared" si="0"/>
        <v>570000</v>
      </c>
      <c r="G19" s="6">
        <f>MVTJANV22!G19+MVTFEV22!G19+MVTMARS22!G19+MVTAVRIL22!G19+MVTMAI22!G19+MVTJUIN22!G19+MVTJUIL22!G19+MVTAOUT22!G19+MVTSEPT22!G19+MVTOCT22!G19+MVTNOV22!G19+MVTDEC22!G19</f>
        <v>96650.765302241052</v>
      </c>
      <c r="H19" s="6">
        <f t="shared" si="1"/>
        <v>606393.95927050454</v>
      </c>
      <c r="I19" s="36">
        <f>MVTJANV22!I19+MVTFEV22!I19+MVTMARS22!I19+MVTAVRIL22!I19+MVTMAI22!I19+MVTJUIN22!I19+MVTJUIL22!I19+MVTAOUT22!I19+MVTSEPT22!I19+MVTOCT22!I19+MVTNOV22!I19+MVTDEC22!I19</f>
        <v>0</v>
      </c>
      <c r="J19" s="36">
        <f>MVTJANV22!J19+MVTFEV22!J19+MVTMARS22!J19+MVTAVRIL22!J19+MVTMAI22!J19+MVTJUIN22!J19+MVTJUIL22!J19+MVTAOUT22!J19+MVTSEPT22!J19+MVTOCT22!J19+MVTNOV22!J19+MVTDEC22!J19</f>
        <v>84000</v>
      </c>
      <c r="K19" s="36">
        <f>MVTJANV22!K19+MVTFEV22!K19+MVTMARS22!K19+MVTAVRIL22!K19+MVTMAI22!K19+MVTJUIN22!K19+MVTJUIL22!K19+MVTAOUT22!K19+MVTSEPT22!K19+MVTOCT22!K19+MVTNOV22!K19+MVTDEC22!K19</f>
        <v>36000</v>
      </c>
      <c r="L19" s="36">
        <f>MVTJANV22!L19+MVTFEV22!L19+MVTMARS22!L19+MVTAVRIL22!L19+MVTMAI22!L19+MVTJUIN22!L19+MVTJUIL22!L19+MVTAOUT22!L19+MVTSEPT22!L19+MVTOCT22!L19+MVTNOV22!L19+MVTDEC22!L19</f>
        <v>6000</v>
      </c>
      <c r="M19" s="36">
        <f>MVTJANV22!M19+MVTFEV22!M19+MVTMARS22!M19+MVTAVRIL22!M19+MVTMAI22!M19+MVTJUIN22!M19+MVTJUIL22!M19+MVTAOUT22!M19+MVTSEPT22!M19+MVTOCT22!M19+MVTNOV22!M19+MVTDEC22!M19</f>
        <v>12000</v>
      </c>
      <c r="N19" s="36">
        <f>MVTJANV22!N19+MVTFEV22!N19+MVTMARS22!N19+MVTAVRIL22!N19+MVTMAI22!N19+MVTJUIN22!N19+MVTJUIL22!N19+MVTAOUT22!N19+MVTSEPT22!N19+MVTOCT22!N19+MVTNOV22!N19+MVTDEC22!N19</f>
        <v>30000</v>
      </c>
      <c r="O19" s="36">
        <f>MVTJANV22!O19+MVTFEV22!O19+MVTMARS22!O19+MVTAVRIL22!O19+MVTMAI22!O19+MVTJUIN22!O19+MVTJUIL22!O19+MVTAOUT22!O19+MVTSEPT22!O19+MVTOCT22!O19+MVTNOV22!O19+MVTDEC22!O19</f>
        <v>0</v>
      </c>
      <c r="P19" s="36">
        <f>MVTJANV22!P19+MVTFEV22!P19+MVTMARS22!P19+MVTAVRIL22!P19+MVTMAI22!P19+MVTJUIN22!P19+MVTJUIL22!P19+MVTAOUT22!P19+MVTSEPT22!P19+MVTOCT22!P19+MVTNOV22!P19+MVTDEC22!P19</f>
        <v>0</v>
      </c>
      <c r="Q19" s="36">
        <f>MVTJANV22!Q19+MVTFEV22!Q19+MVTMARS22!Q19+MVTAVRIL22!Q19+MVTMAI22!Q19+MVTJUIN22!Q19+MVTJUIL22!Q19+MVTAOUT22!Q19+MVTSEPT22!Q19+MVTOCT22!Q19+MVTNOV22!Q19+MVTDEC22!Q19</f>
        <v>0</v>
      </c>
      <c r="R19" s="36">
        <f>MVTJANV22!R19+MVTFEV22!R19+MVTMARS22!R19+MVTAVRIL22!R19+MVTMAI22!R19+MVTJUIN22!R19+MVTJUIL22!R19+MVTAOUT22!R19+MVTSEPT22!R19+MVTOCT22!R19+MVTNOV22!R19+MVTDEC22!R19</f>
        <v>2500000</v>
      </c>
      <c r="S19" s="36">
        <f>MVTJANV22!S19+MVTFEV22!S19+MVTMARS22!S19+MVTAVRIL22!S19+MVTMAI22!S19+MVTJUIN22!S19+MVTJUIL22!S19+MVTAOUT22!S19+MVTSEPT22!S19+MVTOCT22!S19+MVTNOV22!S19+MVTDEC22!S19</f>
        <v>115000</v>
      </c>
      <c r="T19" s="36"/>
      <c r="U19" s="36">
        <f>MVTJANV22!U19+MVTFEV22!U19+MVTMARS22!U19+MVTAVRIL22!U19+MVTMAI22!U19+MVTJUIN22!U19+MVTJUIL22!U19+MVTAOUT22!U19+MVTSEPT22!U19+MVTOCT22!U19+MVTNOV22!U19+MVTDEC22!U19</f>
        <v>1500000</v>
      </c>
      <c r="V19" s="36"/>
      <c r="W19" s="36"/>
      <c r="X19" s="36">
        <f>MVTJANV22!X19+MVTFEV22!X19+MVTMARS22!X19+MVTAVRIL22!X19+MVTMAI22!X19+MVTJUIN22!X19+MVTJUIL22!X19+MVTAOUT22!X19+MVTSEPT22!X19+MVTOCT22!X19+MVTNOV22!X19+MVTDEC22!X19</f>
        <v>0</v>
      </c>
      <c r="Y19" s="36">
        <f>MVTJANV22!Y19+MVTFEV22!Y19+MVTMARS22!Y19+MVTAVRIL22!Y19+MVTMAI22!Y19+MVTJUIN22!Y19+MVTJUIL22!Y19+MVTAOUT22!Y19+MVTSEPT22!Y19+MVTOCT22!Y19+MVTNOV22!Y19+MVTDEC22!Y19</f>
        <v>0</v>
      </c>
      <c r="Z19" s="36">
        <f>MVTJANV22!Z19+MVTFEV22!Z19+MVTMARS22!Z19+MVTAVRIL22!Z19+MVTMAI22!Z19+MVTJUIN22!Z19+MVTJUIL22!Z19+MVTAOUT22!Z19+MVTSEPT22!Z19+MVTOCT22!Z19+MVTNOV22!Z19+MVTDEC22!Z19</f>
        <v>0</v>
      </c>
      <c r="AA19" s="36">
        <f>MVTJANV22!AA19+MVTFEV22!AA19+MVTMARS22!AA19+MVTAVRIL22!AA19+MVTMAI22!AA19+MVTJUIN22!AA19+MVTJUIL22!AA19+MVTAOUT22!AA19+MVTSEPT22!AA19+MVTOCT22!AA19+MVTNOV22!AA19+MVTDEC22!AA19</f>
        <v>0</v>
      </c>
      <c r="AB19" s="36">
        <f>MVTJANV22!AB19+MVTFEV22!AB19+MVTMARS22!AB19+MVTAVRIL22!AB19+MVTMAI22!AB19+MVTJUIN22!AB19+MVTJUIL22!AB19+MVTAOUT22!AB19+MVTSEPT22!AB19+MVTOCT22!AB19+MVTNOV22!AB19+MVTDEC22!AB19</f>
        <v>0</v>
      </c>
      <c r="AC19" s="36">
        <f>MVTJANV22!AC19+MVTFEV22!AC19+MVTMARS22!AC19+MVTAVRIL22!AC19+MVTMAI22!AC19+MVTJUIN22!AC19+MVTJUIL22!AC19+MVTAOUT22!AC19+MVTSEPT22!AC19+MVTOCT22!AC19+MVTNOV22!AC19+MVTDEC22!AC19</f>
        <v>0</v>
      </c>
      <c r="AD19" s="36">
        <f>MVTJANV22!AD19+MVTFEV22!AD19+MVTMARS22!AD19+MVTAVRIL22!AD19+MVTMAI22!AD19+MVTJUIN22!AD19+MVTJUIL22!AD19+MVTAOUT22!AD19+MVTSEPT22!AD19+MVTOCT22!AD19+MVTNOV22!AD19+MVTDEC22!AD19</f>
        <v>0</v>
      </c>
      <c r="AE19" s="36">
        <f>MVTJANV22!AE19+MVTFEV22!AE19+MVTMARS22!AE19+MVTAVRIL22!AE19+MVTMAI22!AE19+MVTJUIN22!AE19+MVTJUIL22!AE19+MVTAOUT22!AE19+MVTSEPT22!AE19+MVTOCT22!AE19+MVTNOV22!AE19+MVTDEC22!AE19</f>
        <v>0</v>
      </c>
      <c r="AF19" s="36">
        <f>MVTJANV22!AF19+MVTFEV22!AF19+MVTMARS22!AF19+MVTAVRIL22!AF19+MVTMAI22!AF19+MVTJUIN22!AF19+MVTJUIL22!AF19+MVTAOUT22!AF19+MVTSEPT22!AF19+MVTOCT22!AF19+MVTNOV22!AF19+MVTDEC22!AF19</f>
        <v>0</v>
      </c>
      <c r="AG19" s="36">
        <f>MVTJANV22!AG19+MVTFEV22!AG19+MVTMARS22!AG19+MVTAVRIL22!AG19+MVTMAI22!AG19+MVTJUIN22!AG19+MVTJUIL22!AG19+MVTAOUT22!AG19+MVTSEPT22!AG19+MVTOCT22!AG19+MVTNOV22!AG19+MVTDEC22!AG19</f>
        <v>0</v>
      </c>
      <c r="AH19" s="36">
        <f>MVTJANV22!AH19+MVTFEV22!AH19+MVTMARS22!AH19+MVTAVRIL22!AH19+MVTMAI22!AH19+MVTJUIN22!AH19+MVTJUIL22!AH19+MVTAOUT22!AH19+MVTSEPT22!AH19+MVTOCT22!AH19+MVTNOV22!AH19+MVTDEC22!AH19</f>
        <v>70000</v>
      </c>
      <c r="AI19" s="36">
        <f t="shared" si="2"/>
        <v>1000000</v>
      </c>
      <c r="AJ19" s="107">
        <v>45262</v>
      </c>
      <c r="AK19" s="36">
        <f>MVTJANV22!AI19+MVTFEV22!AI19+MVTMARS22!AI19+MVTAVRIL22!AI19+MVTMAI22!AI19+MVTJUIN22!AI19+MVTJUIL22!AI19+MVTAOUT22!AI19+MVTSEPT22!AI19+MVTOCT22!AI19+MVTNOV22!AI19+MVTDEC22!AI19</f>
        <v>0</v>
      </c>
      <c r="AL19" s="36">
        <f>MVTJANV22!AJ19+MVTFEV22!AJ19+MVTMARS22!AJ19+MVTAVRIL22!AJ19+MVTMAI22!AJ19+MVTJUIN22!AJ19+MVTJUIL22!AJ19+MVTAOUT22!AJ19+MVTSEPT22!AJ19+MVTOCT22!AJ19+MVTNOV22!AJ19+MVTDEC22!AJ19</f>
        <v>0</v>
      </c>
    </row>
    <row r="20" spans="1:38" x14ac:dyDescent="0.25">
      <c r="A20" s="1" t="s">
        <v>75</v>
      </c>
      <c r="B20" s="1" t="str">
        <f>VLOOKUP(A20,[15]LISTADHERENT!A$5:H$60,3,0)</f>
        <v>MBOGNING TUGMA GUY</v>
      </c>
      <c r="C20" s="5">
        <f>MVTJANV22!C20+MVTFEV22!C20+MVTMARS22!C20+MVTAVRIL22!C20+MVTMAI22!C20+MVTJUIN22!C20+MVTJUIL22!C20+MVTAOUT22!C20+MVTSEPT22!C20+MVTOCT22!C20+MVTNOV22!C20+MVTDEC22!C20</f>
        <v>570000</v>
      </c>
      <c r="D20" s="5">
        <f>MVTJANV22!D20+MVTFEV22!D20+MVTMARS22!D20+MVTAVRIL22!D20+MVTMAI22!D20+MVTJUIN22!D20+MVTJUIL22!D20+MVTAOUT22!D20+MVTSEPT22!D20+MVTOCT22!D20+MVTNOV22!D20+MVTDEC22!D20</f>
        <v>112.46348617674084</v>
      </c>
      <c r="E20" s="36">
        <f>MVTJANV22!E20+MVTFEV22!E20+MVTMARS22!E20+MVTAVRIL22!E20+MVTMAI22!E20+MVTJUIN22!E20+MVTJUIL22!E20+MVTAOUT22!E20+MVTSEPT22!E20+MVTOCT22!E20+MVTNOV22!E20+MVTDEC22!E20</f>
        <v>0</v>
      </c>
      <c r="F20" s="5">
        <f t="shared" si="0"/>
        <v>570000</v>
      </c>
      <c r="G20" s="6">
        <f>MVTJANV22!G20+MVTFEV22!G20+MVTMARS22!G20+MVTAVRIL22!G20+MVTMAI22!G20+MVTJUIN22!G20+MVTJUIL22!G20+MVTAOUT22!G20+MVTSEPT22!G20+MVTOCT22!G20+MVTNOV22!G20+MVTDEC22!G20</f>
        <v>96604.375463608667</v>
      </c>
      <c r="H20" s="6">
        <f t="shared" si="1"/>
        <v>606112.46348617668</v>
      </c>
      <c r="I20" s="36">
        <f>MVTJANV22!I20+MVTFEV22!I20+MVTMARS22!I20+MVTAVRIL22!I20+MVTMAI22!I20+MVTJUIN22!I20+MVTJUIL22!I20+MVTAOUT22!I20+MVTSEPT22!I20+MVTOCT22!I20+MVTNOV22!I20+MVTDEC22!I20</f>
        <v>0</v>
      </c>
      <c r="J20" s="36">
        <f>MVTJANV22!J20+MVTFEV22!J20+MVTMARS22!J20+MVTAVRIL22!J20+MVTMAI22!J20+MVTJUIN22!J20+MVTJUIL22!J20+MVTAOUT22!J20+MVTSEPT22!J20+MVTOCT22!J20+MVTNOV22!J20+MVTDEC22!J20</f>
        <v>84000</v>
      </c>
      <c r="K20" s="36">
        <f>MVTJANV22!K20+MVTFEV22!K20+MVTMARS22!K20+MVTAVRIL22!K20+MVTMAI22!K20+MVTJUIN22!K20+MVTJUIL22!K20+MVTAOUT22!K20+MVTSEPT22!K20+MVTOCT22!K20+MVTNOV22!K20+MVTDEC22!K20</f>
        <v>36000</v>
      </c>
      <c r="L20" s="36">
        <f>MVTJANV22!L20+MVTFEV22!L20+MVTMARS22!L20+MVTAVRIL22!L20+MVTMAI22!L20+MVTJUIN22!L20+MVTJUIL22!L20+MVTAOUT22!L20+MVTSEPT22!L20+MVTOCT22!L20+MVTNOV22!L20+MVTDEC22!L20</f>
        <v>6000</v>
      </c>
      <c r="M20" s="36">
        <f>MVTJANV22!M20+MVTFEV22!M20+MVTMARS22!M20+MVTAVRIL22!M20+MVTMAI22!M20+MVTJUIN22!M20+MVTJUIL22!M20+MVTAOUT22!M20+MVTSEPT22!M20+MVTOCT22!M20+MVTNOV22!M20+MVTDEC22!M20</f>
        <v>12000</v>
      </c>
      <c r="N20" s="36">
        <f>MVTJANV22!N20+MVTFEV22!N20+MVTMARS22!N20+MVTAVRIL22!N20+MVTMAI22!N20+MVTJUIN22!N20+MVTJUIL22!N20+MVTAOUT22!N20+MVTSEPT22!N20+MVTOCT22!N20+MVTNOV22!N20+MVTDEC22!N20</f>
        <v>30000</v>
      </c>
      <c r="O20" s="36">
        <f>MVTJANV22!O20+MVTFEV22!O20+MVTMARS22!O20+MVTAVRIL22!O20+MVTMAI22!O20+MVTJUIN22!O20+MVTJUIL22!O20+MVTAOUT22!O20+MVTSEPT22!O20+MVTOCT22!O20+MVTNOV22!O20+MVTDEC22!O20</f>
        <v>3000</v>
      </c>
      <c r="P20" s="36">
        <f>MVTJANV22!P20+MVTFEV22!P20+MVTMARS22!P20+MVTAVRIL22!P20+MVTMAI22!P20+MVTJUIN22!P20+MVTJUIL22!P20+MVTAOUT22!P20+MVTSEPT22!P20+MVTOCT22!P20+MVTNOV22!P20+MVTDEC22!P20</f>
        <v>0</v>
      </c>
      <c r="Q20" s="36">
        <f>MVTJANV22!Q20+MVTFEV22!Q20+MVTMARS22!Q20+MVTAVRIL22!Q20+MVTMAI22!Q20+MVTJUIN22!Q20+MVTJUIL22!Q20+MVTAOUT22!Q20+MVTSEPT22!Q20+MVTOCT22!Q20+MVTNOV22!Q20+MVTDEC22!Q20</f>
        <v>0</v>
      </c>
      <c r="R20" s="36">
        <f>MVTJANV22!R20+MVTFEV22!R20+MVTMARS22!R20+MVTAVRIL22!R20+MVTMAI22!R20+MVTJUIN22!R20+MVTJUIL22!R20+MVTAOUT22!R20+MVTSEPT22!R20+MVTOCT22!R20+MVTNOV22!R20+MVTDEC22!R20</f>
        <v>4050000</v>
      </c>
      <c r="S20" s="36">
        <f>MVTJANV22!S20+MVTFEV22!S20+MVTMARS22!S20+MVTAVRIL22!S20+MVTMAI22!S20+MVTJUIN22!S20+MVTJUIL22!S20+MVTAOUT22!S20+MVTSEPT22!S20+MVTOCT22!S20+MVTNOV22!S20+MVTDEC22!S20</f>
        <v>160000</v>
      </c>
      <c r="T20" s="36"/>
      <c r="U20" s="36">
        <f>MVTJANV22!U20+MVTFEV22!U20+MVTMARS22!U20+MVTAVRIL22!U20+MVTMAI22!U20+MVTJUIN22!U20+MVTJUIL22!U20+MVTAOUT22!U20+MVTSEPT22!U20+MVTOCT22!U20+MVTNOV22!U20+MVTDEC22!U20</f>
        <v>3050000</v>
      </c>
      <c r="V20" s="36"/>
      <c r="W20" s="36"/>
      <c r="X20" s="36">
        <f>MVTJANV22!X20+MVTFEV22!X20+MVTMARS22!X20+MVTAVRIL22!X20+MVTMAI22!X20+MVTJUIN22!X20+MVTJUIL22!X20+MVTAOUT22!X20+MVTSEPT22!X20+MVTOCT22!X20+MVTNOV22!X20+MVTDEC22!X20</f>
        <v>0</v>
      </c>
      <c r="Y20" s="36">
        <f>MVTJANV22!Y20+MVTFEV22!Y20+MVTMARS22!Y20+MVTAVRIL22!Y20+MVTMAI22!Y20+MVTJUIN22!Y20+MVTJUIL22!Y20+MVTAOUT22!Y20+MVTSEPT22!Y20+MVTOCT22!Y20+MVTNOV22!Y20+MVTDEC22!Y20</f>
        <v>0</v>
      </c>
      <c r="Z20" s="36">
        <f>MVTJANV22!Z20+MVTFEV22!Z20+MVTMARS22!Z20+MVTAVRIL22!Z20+MVTMAI22!Z20+MVTJUIN22!Z20+MVTJUIL22!Z20+MVTAOUT22!Z20+MVTSEPT22!Z20+MVTOCT22!Z20+MVTNOV22!Z20+MVTDEC22!Z20</f>
        <v>0</v>
      </c>
      <c r="AA20" s="36">
        <f>MVTJANV22!AA20+MVTFEV22!AA20+MVTMARS22!AA20+MVTAVRIL22!AA20+MVTMAI22!AA20+MVTJUIN22!AA20+MVTJUIL22!AA20+MVTAOUT22!AA20+MVTSEPT22!AA20+MVTOCT22!AA20+MVTNOV22!AA20+MVTDEC22!AA20</f>
        <v>0</v>
      </c>
      <c r="AB20" s="36">
        <f>MVTJANV22!AB20+MVTFEV22!AB20+MVTMARS22!AB20+MVTAVRIL22!AB20+MVTMAI22!AB20+MVTJUIN22!AB20+MVTJUIL22!AB20+MVTAOUT22!AB20+MVTSEPT22!AB20+MVTOCT22!AB20+MVTNOV22!AB20+MVTDEC22!AB20</f>
        <v>0</v>
      </c>
      <c r="AC20" s="36">
        <f>MVTJANV22!AC20+MVTFEV22!AC20+MVTMARS22!AC20+MVTAVRIL22!AC20+MVTMAI22!AC20+MVTJUIN22!AC20+MVTJUIL22!AC20+MVTAOUT22!AC20+MVTSEPT22!AC20+MVTOCT22!AC20+MVTNOV22!AC20+MVTDEC22!AC20</f>
        <v>0</v>
      </c>
      <c r="AD20" s="36">
        <f>MVTJANV22!AD20+MVTFEV22!AD20+MVTMARS22!AD20+MVTAVRIL22!AD20+MVTMAI22!AD20+MVTJUIN22!AD20+MVTJUIL22!AD20+MVTAOUT22!AD20+MVTSEPT22!AD20+MVTOCT22!AD20+MVTNOV22!AD20+MVTDEC22!AD20</f>
        <v>70000</v>
      </c>
      <c r="AE20" s="36">
        <f>MVTJANV22!AE20+MVTFEV22!AE20+MVTMARS22!AE20+MVTAVRIL22!AE20+MVTMAI22!AE20+MVTJUIN22!AE20+MVTJUIL22!AE20+MVTAOUT22!AE20+MVTSEPT22!AE20+MVTOCT22!AE20+MVTNOV22!AE20+MVTDEC22!AE20</f>
        <v>0</v>
      </c>
      <c r="AF20" s="36">
        <f>MVTJANV22!AF20+MVTFEV22!AF20+MVTMARS22!AF20+MVTAVRIL22!AF20+MVTMAI22!AF20+MVTJUIN22!AF20+MVTJUIL22!AF20+MVTAOUT22!AF20+MVTSEPT22!AF20+MVTOCT22!AF20+MVTNOV22!AF20+MVTDEC22!AF20</f>
        <v>0</v>
      </c>
      <c r="AG20" s="36">
        <f>MVTJANV22!AG20+MVTFEV22!AG20+MVTMARS22!AG20+MVTAVRIL22!AG20+MVTMAI22!AG20+MVTJUIN22!AG20+MVTJUIL22!AG20+MVTAOUT22!AG20+MVTSEPT22!AG20+MVTOCT22!AG20+MVTNOV22!AG20+MVTDEC22!AG20</f>
        <v>0</v>
      </c>
      <c r="AH20" s="36">
        <f>MVTJANV22!AH20+MVTFEV22!AH20+MVTMARS22!AH20+MVTAVRIL22!AH20+MVTMAI22!AH20+MVTJUIN22!AH20+MVTJUIL22!AH20+MVTAOUT22!AH20+MVTSEPT22!AH20+MVTOCT22!AH20+MVTNOV22!AH20+MVTDEC22!AH20</f>
        <v>0</v>
      </c>
      <c r="AI20" s="36">
        <f t="shared" si="2"/>
        <v>1000000</v>
      </c>
      <c r="AJ20" s="107">
        <v>45262</v>
      </c>
      <c r="AK20" s="36">
        <f>MVTJANV22!AI20+MVTFEV22!AI20+MVTMARS22!AI20+MVTAVRIL22!AI20+MVTMAI22!AI20+MVTJUIN22!AI20+MVTJUIL22!AI20+MVTAOUT22!AI20+MVTSEPT22!AI20+MVTOCT22!AI20+MVTNOV22!AI20+MVTDEC22!AI20</f>
        <v>155000</v>
      </c>
      <c r="AL20" s="36">
        <f>MVTJANV22!AJ20+MVTFEV22!AJ20+MVTMARS22!AJ20+MVTAVRIL22!AJ20+MVTMAI22!AJ20+MVTJUIN22!AJ20+MVTJUIL22!AJ20+MVTAOUT22!AJ20+MVTSEPT22!AJ20+MVTOCT22!AJ20+MVTNOV22!AJ20+MVTDEC22!AJ20</f>
        <v>0</v>
      </c>
    </row>
    <row r="21" spans="1:38" x14ac:dyDescent="0.25">
      <c r="A21" s="1" t="s">
        <v>50</v>
      </c>
      <c r="B21" s="1" t="str">
        <f>VLOOKUP(A21,[15]LISTADHERENT!A$5:H$60,3,0)</f>
        <v>NANGUEN MARTIN</v>
      </c>
      <c r="C21" s="5">
        <f>MVTJANV22!C21+MVTFEV22!C21+MVTMARS22!C21+MVTAVRIL22!C21+MVTMAI22!C21+MVTJUIN22!C21+MVTJUIL22!C21+MVTAOUT22!C21+MVTSEPT22!C21+MVTOCT22!C21+MVTNOV22!C21+MVTDEC22!C21</f>
        <v>570000</v>
      </c>
      <c r="D21" s="5">
        <f>MVTJANV22!D21+MVTFEV22!D21+MVTMARS22!D21+MVTAVRIL22!D21+MVTMAI22!D21+MVTJUIN22!D21+MVTJUIL22!D21+MVTAOUT22!D21+MVTSEPT22!D21+MVTOCT22!D21+MVTNOV22!D21+MVTDEC22!D21</f>
        <v>30757.615134780004</v>
      </c>
      <c r="E21" s="36">
        <f>MVTJANV22!E21+MVTFEV22!E21+MVTMARS22!E21+MVTAVRIL22!E21+MVTMAI22!E21+MVTJUIN22!E21+MVTJUIL22!E21+MVTAOUT22!E21+MVTSEPT22!E21+MVTOCT22!E21+MVTNOV22!E21+MVTDEC22!E21</f>
        <v>0</v>
      </c>
      <c r="F21" s="5">
        <f t="shared" si="0"/>
        <v>570000</v>
      </c>
      <c r="G21" s="6">
        <f>MVTJANV22!G21+MVTFEV22!G21+MVTMARS22!G21+MVTAVRIL22!G21+MVTMAI22!G21+MVTJUIN22!G21+MVTJUIL22!G21+MVTAOUT22!G21+MVTSEPT22!G21+MVTOCT22!G21+MVTNOV22!G21+MVTDEC22!G21</f>
        <v>101654.62388291775</v>
      </c>
      <c r="H21" s="6">
        <f t="shared" si="1"/>
        <v>636757.61513478006</v>
      </c>
      <c r="I21" s="36">
        <f>MVTJANV22!I21+MVTFEV22!I21+MVTMARS22!I21+MVTAVRIL22!I21+MVTMAI22!I21+MVTJUIN22!I21+MVTJUIL22!I21+MVTAOUT22!I21+MVTSEPT22!I21+MVTOCT22!I21+MVTNOV22!I21+MVTDEC22!I21</f>
        <v>0</v>
      </c>
      <c r="J21" s="36">
        <f>MVTJANV22!J21+MVTFEV22!J21+MVTMARS22!J21+MVTAVRIL22!J21+MVTMAI22!J21+MVTJUIN22!J21+MVTJUIL22!J21+MVTAOUT22!J21+MVTSEPT22!J21+MVTOCT22!J21+MVTNOV22!J21+MVTDEC22!J21</f>
        <v>84000</v>
      </c>
      <c r="K21" s="36">
        <f>MVTJANV22!K21+MVTFEV22!K21+MVTMARS22!K21+MVTAVRIL22!K21+MVTMAI22!K21+MVTJUIN22!K21+MVTJUIL22!K21+MVTAOUT22!K21+MVTSEPT22!K21+MVTOCT22!K21+MVTNOV22!K21+MVTDEC22!K21</f>
        <v>36000</v>
      </c>
      <c r="L21" s="36">
        <f>MVTJANV22!L21+MVTFEV22!L21+MVTMARS22!L21+MVTAVRIL22!L21+MVTMAI22!L21+MVTJUIN22!L21+MVTJUIL22!L21+MVTAOUT22!L21+MVTSEPT22!L21+MVTOCT22!L21+MVTNOV22!L21+MVTDEC22!L21</f>
        <v>6000</v>
      </c>
      <c r="M21" s="36">
        <f>MVTJANV22!M21+MVTFEV22!M21+MVTMARS22!M21+MVTAVRIL22!M21+MVTMAI22!M21+MVTJUIN22!M21+MVTJUIL22!M21+MVTAOUT22!M21+MVTSEPT22!M21+MVTOCT22!M21+MVTNOV22!M21+MVTDEC22!M21</f>
        <v>12000</v>
      </c>
      <c r="N21" s="36">
        <f>MVTJANV22!N21+MVTFEV22!N21+MVTMARS22!N21+MVTAVRIL22!N21+MVTMAI22!N21+MVTJUIN22!N21+MVTJUIL22!N21+MVTAOUT22!N21+MVTSEPT22!N21+MVTOCT22!N21+MVTNOV22!N21+MVTDEC22!N21</f>
        <v>30000</v>
      </c>
      <c r="O21" s="36">
        <f>MVTJANV22!O21+MVTFEV22!O21+MVTMARS22!O21+MVTAVRIL22!O21+MVTMAI22!O21+MVTJUIN22!O21+MVTJUIL22!O21+MVTAOUT22!O21+MVTSEPT22!O21+MVTOCT22!O21+MVTNOV22!O21+MVTDEC22!O21</f>
        <v>0</v>
      </c>
      <c r="P21" s="36">
        <f>MVTJANV22!P21+MVTFEV22!P21+MVTMARS22!P21+MVTAVRIL22!P21+MVTMAI22!P21+MVTJUIN22!P21+MVTJUIL22!P21+MVTAOUT22!P21+MVTSEPT22!P21+MVTOCT22!P21+MVTNOV22!P21+MVTDEC22!P21</f>
        <v>0</v>
      </c>
      <c r="Q21" s="36">
        <f>MVTJANV22!Q21+MVTFEV22!Q21+MVTMARS22!Q21+MVTAVRIL22!Q21+MVTMAI22!Q21+MVTJUIN22!Q21+MVTJUIL22!Q21+MVTAOUT22!Q21+MVTSEPT22!Q21+MVTOCT22!Q21+MVTNOV22!Q21+MVTDEC22!Q21</f>
        <v>0</v>
      </c>
      <c r="R21" s="36">
        <f>MVTJANV22!R21+MVTFEV22!R21+MVTMARS22!R21+MVTAVRIL22!R21+MVTMAI22!R21+MVTJUIN22!R21+MVTJUIL22!R21+MVTAOUT22!R21+MVTSEPT22!R21+MVTOCT22!R21+MVTNOV22!R21+MVTDEC22!R21</f>
        <v>500000</v>
      </c>
      <c r="S21" s="36">
        <f>MVTJANV22!S21+MVTFEV22!S21+MVTMARS22!S21+MVTAVRIL22!S21+MVTMAI22!S21+MVTJUIN22!S21+MVTJUIL22!S21+MVTAOUT22!S21+MVTSEPT22!S21+MVTOCT22!S21+MVTNOV22!S21+MVTDEC22!S21</f>
        <v>60000</v>
      </c>
      <c r="T21" s="36"/>
      <c r="U21" s="36">
        <f>MVTJANV22!U21+MVTFEV22!U21+MVTMARS22!U21+MVTAVRIL22!U21+MVTMAI22!U21+MVTJUIN22!U21+MVTJUIL22!U21+MVTAOUT22!U21+MVTSEPT22!U21+MVTOCT22!U21+MVTNOV22!U21+MVTDEC22!U21</f>
        <v>0</v>
      </c>
      <c r="V21" s="36"/>
      <c r="W21" s="36"/>
      <c r="X21" s="36">
        <f>MVTJANV22!X21+MVTFEV22!X21+MVTMARS22!X21+MVTAVRIL22!X21+MVTMAI22!X21+MVTJUIN22!X21+MVTJUIL22!X21+MVTAOUT22!X21+MVTSEPT22!X21+MVTOCT22!X21+MVTNOV22!X21+MVTDEC22!X21</f>
        <v>0</v>
      </c>
      <c r="Y21" s="36">
        <f>MVTJANV22!Y21+MVTFEV22!Y21+MVTMARS22!Y21+MVTAVRIL22!Y21+MVTMAI22!Y21+MVTJUIN22!Y21+MVTJUIL22!Y21+MVTAOUT22!Y21+MVTSEPT22!Y21+MVTOCT22!Y21+MVTNOV22!Y21+MVTDEC22!Y21</f>
        <v>0</v>
      </c>
      <c r="Z21" s="36">
        <f>MVTJANV22!Z21+MVTFEV22!Z21+MVTMARS22!Z21+MVTAVRIL22!Z21+MVTMAI22!Z21+MVTJUIN22!Z21+MVTJUIL22!Z21+MVTAOUT22!Z21+MVTSEPT22!Z21+MVTOCT22!Z21+MVTNOV22!Z21+MVTDEC22!Z21</f>
        <v>0</v>
      </c>
      <c r="AA21" s="36">
        <f>MVTJANV22!AA21+MVTFEV22!AA21+MVTMARS22!AA21+MVTAVRIL22!AA21+MVTMAI22!AA21+MVTJUIN22!AA21+MVTJUIL22!AA21+MVTAOUT22!AA21+MVTSEPT22!AA21+MVTOCT22!AA21+MVTNOV22!AA21+MVTDEC22!AA21</f>
        <v>0</v>
      </c>
      <c r="AB21" s="36">
        <f>MVTJANV22!AB21+MVTFEV22!AB21+MVTMARS22!AB21+MVTAVRIL22!AB21+MVTMAI22!AB21+MVTJUIN22!AB21+MVTJUIL22!AB21+MVTAOUT22!AB21+MVTSEPT22!AB21+MVTOCT22!AB21+MVTNOV22!AB21+MVTDEC22!AB21</f>
        <v>0</v>
      </c>
      <c r="AC21" s="36">
        <f>MVTJANV22!AC21+MVTFEV22!AC21+MVTMARS22!AC21+MVTAVRIL22!AC21+MVTMAI22!AC21+MVTJUIN22!AC21+MVTJUIL22!AC21+MVTAOUT22!AC21+MVTSEPT22!AC21+MVTOCT22!AC21+MVTNOV22!AC21+MVTDEC22!AC21</f>
        <v>0</v>
      </c>
      <c r="AD21" s="36">
        <f>MVTJANV22!AD21+MVTFEV22!AD21+MVTMARS22!AD21+MVTAVRIL22!AD21+MVTMAI22!AD21+MVTJUIN22!AD21+MVTJUIL22!AD21+MVTAOUT22!AD21+MVTSEPT22!AD21+MVTOCT22!AD21+MVTNOV22!AD21+MVTDEC22!AD21</f>
        <v>70000</v>
      </c>
      <c r="AE21" s="36">
        <f>MVTJANV22!AE21+MVTFEV22!AE21+MVTMARS22!AE21+MVTAVRIL22!AE21+MVTMAI22!AE21+MVTJUIN22!AE21+MVTJUIL22!AE21+MVTAOUT22!AE21+MVTSEPT22!AE21+MVTOCT22!AE21+MVTNOV22!AE21+MVTDEC22!AE21</f>
        <v>0</v>
      </c>
      <c r="AF21" s="36">
        <f>MVTJANV22!AF21+MVTFEV22!AF21+MVTMARS22!AF21+MVTAVRIL22!AF21+MVTMAI22!AF21+MVTJUIN22!AF21+MVTJUIL22!AF21+MVTAOUT22!AF21+MVTSEPT22!AF21+MVTOCT22!AF21+MVTNOV22!AF21+MVTDEC22!AF21</f>
        <v>0</v>
      </c>
      <c r="AG21" s="36">
        <f>MVTJANV22!AG21+MVTFEV22!AG21+MVTMARS22!AG21+MVTAVRIL22!AG21+MVTMAI22!AG21+MVTJUIN22!AG21+MVTJUIL22!AG21+MVTAOUT22!AG21+MVTSEPT22!AG21+MVTOCT22!AG21+MVTNOV22!AG21+MVTDEC22!AG21</f>
        <v>0</v>
      </c>
      <c r="AH21" s="36">
        <f>MVTJANV22!AH21+MVTFEV22!AH21+MVTMARS22!AH21+MVTAVRIL22!AH21+MVTMAI22!AH21+MVTJUIN22!AH21+MVTJUIL22!AH21+MVTAOUT22!AH21+MVTSEPT22!AH21+MVTOCT22!AH21+MVTNOV22!AH21+MVTDEC22!AH21</f>
        <v>70000</v>
      </c>
      <c r="AI21" s="36">
        <f t="shared" si="2"/>
        <v>500000</v>
      </c>
      <c r="AJ21" s="107">
        <v>45262</v>
      </c>
      <c r="AK21" s="36">
        <f>MVTJANV22!AI21+MVTFEV22!AI21+MVTMARS22!AI21+MVTAVRIL22!AI21+MVTMAI22!AI21+MVTJUIN22!AI21+MVTJUIL22!AI21+MVTAOUT22!AI21+MVTSEPT22!AI21+MVTOCT22!AI21+MVTNOV22!AI21+MVTDEC22!AI21</f>
        <v>0</v>
      </c>
      <c r="AL21" s="36">
        <f>MVTJANV22!AJ21+MVTFEV22!AJ21+MVTMARS22!AJ21+MVTAVRIL22!AJ21+MVTMAI22!AJ21+MVTJUIN22!AJ21+MVTJUIL22!AJ21+MVTAOUT22!AJ21+MVTSEPT22!AJ21+MVTOCT22!AJ21+MVTNOV22!AJ21+MVTDEC22!AJ21</f>
        <v>0</v>
      </c>
    </row>
    <row r="22" spans="1:38" x14ac:dyDescent="0.25">
      <c r="A22" s="1" t="s">
        <v>37</v>
      </c>
      <c r="B22" s="1" t="str">
        <f>VLOOKUP(A22,[15]LISTADHERENT!A$5:H$60,3,0)</f>
        <v>NANKAM APPOLINAIRE</v>
      </c>
      <c r="C22" s="5">
        <f>MVTJANV22!C22+MVTFEV22!C22+MVTMARS22!C22+MVTAVRIL22!C22+MVTMAI22!C22+MVTJUIN22!C22+MVTJUIL22!C22+MVTAOUT22!C22+MVTSEPT22!C22+MVTOCT22!C22+MVTNOV22!C22+MVTDEC22!C22</f>
        <v>570000</v>
      </c>
      <c r="D22" s="5">
        <f>MVTJANV22!D22+MVTFEV22!D22+MVTMARS22!D22+MVTAVRIL22!D22+MVTMAI22!D22+MVTJUIN22!D22+MVTJUIL22!D22+MVTAOUT22!D22+MVTSEPT22!D22+MVTOCT22!D22+MVTNOV22!D22+MVTDEC22!D22</f>
        <v>84601.912290623644</v>
      </c>
      <c r="E22" s="36">
        <f>MVTJANV22!E22+MVTFEV22!E22+MVTMARS22!E22+MVTAVRIL22!E22+MVTMAI22!E22+MVTJUIN22!E22+MVTJUIL22!E22+MVTAOUT22!E22+MVTSEPT22!E22+MVTOCT22!E22+MVTNOV22!E22+MVTDEC22!E22</f>
        <v>0</v>
      </c>
      <c r="F22" s="5">
        <f t="shared" si="0"/>
        <v>570000</v>
      </c>
      <c r="G22" s="6">
        <f>MVTJANV22!G22+MVTFEV22!G22+MVTMARS22!G22+MVTAVRIL22!G22+MVTMAI22!G22+MVTJUIN22!G22+MVTJUIL22!G22+MVTAOUT22!G22+MVTSEPT22!G22+MVTOCT22!G22+MVTNOV22!G22+MVTDEC22!G22</f>
        <v>110528.0365427145</v>
      </c>
      <c r="H22" s="6">
        <f t="shared" si="1"/>
        <v>690601.91229062364</v>
      </c>
      <c r="I22" s="36">
        <f>MVTJANV22!I22+MVTFEV22!I22+MVTMARS22!I22+MVTAVRIL22!I22+MVTMAI22!I22+MVTJUIN22!I22+MVTJUIL22!I22+MVTAOUT22!I22+MVTSEPT22!I22+MVTOCT22!I22+MVTNOV22!I22+MVTDEC22!I22</f>
        <v>0</v>
      </c>
      <c r="J22" s="36">
        <f>MVTJANV22!J22+MVTFEV22!J22+MVTMARS22!J22+MVTAVRIL22!J22+MVTMAI22!J22+MVTJUIN22!J22+MVTJUIL22!J22+MVTAOUT22!J22+MVTSEPT22!J22+MVTOCT22!J22+MVTNOV22!J22+MVTDEC22!J22</f>
        <v>84000</v>
      </c>
      <c r="K22" s="36">
        <f>MVTJANV22!K22+MVTFEV22!K22+MVTMARS22!K22+MVTAVRIL22!K22+MVTMAI22!K22+MVTJUIN22!K22+MVTJUIL22!K22+MVTAOUT22!K22+MVTSEPT22!K22+MVTOCT22!K22+MVTNOV22!K22+MVTDEC22!K22</f>
        <v>36000</v>
      </c>
      <c r="L22" s="36">
        <f>MVTJANV22!L22+MVTFEV22!L22+MVTMARS22!L22+MVTAVRIL22!L22+MVTMAI22!L22+MVTJUIN22!L22+MVTJUIL22!L22+MVTAOUT22!L22+MVTSEPT22!L22+MVTOCT22!L22+MVTNOV22!L22+MVTDEC22!L22</f>
        <v>6000</v>
      </c>
      <c r="M22" s="36">
        <f>MVTJANV22!M22+MVTFEV22!M22+MVTMARS22!M22+MVTAVRIL22!M22+MVTMAI22!M22+MVTJUIN22!M22+MVTJUIL22!M22+MVTAOUT22!M22+MVTSEPT22!M22+MVTOCT22!M22+MVTNOV22!M22+MVTDEC22!M22</f>
        <v>12000</v>
      </c>
      <c r="N22" s="36">
        <f>MVTJANV22!N22+MVTFEV22!N22+MVTMARS22!N22+MVTAVRIL22!N22+MVTMAI22!N22+MVTJUIN22!N22+MVTJUIL22!N22+MVTAOUT22!N22+MVTSEPT22!N22+MVTOCT22!N22+MVTNOV22!N22+MVTDEC22!N22</f>
        <v>30000</v>
      </c>
      <c r="O22" s="36">
        <f>MVTJANV22!O22+MVTFEV22!O22+MVTMARS22!O22+MVTAVRIL22!O22+MVTMAI22!O22+MVTJUIN22!O22+MVTJUIL22!O22+MVTAOUT22!O22+MVTSEPT22!O22+MVTOCT22!O22+MVTNOV22!O22+MVTDEC22!O22</f>
        <v>0</v>
      </c>
      <c r="P22" s="36">
        <f>MVTJANV22!P22+MVTFEV22!P22+MVTMARS22!P22+MVTAVRIL22!P22+MVTMAI22!P22+MVTJUIN22!P22+MVTJUIL22!P22+MVTAOUT22!P22+MVTSEPT22!P22+MVTOCT22!P22+MVTNOV22!P22+MVTDEC22!P22</f>
        <v>0</v>
      </c>
      <c r="Q22" s="36">
        <f>MVTJANV22!Q22+MVTFEV22!Q22+MVTMARS22!Q22+MVTAVRIL22!Q22+MVTMAI22!Q22+MVTJUIN22!Q22+MVTJUIL22!Q22+MVTAOUT22!Q22+MVTSEPT22!Q22+MVTOCT22!Q22+MVTNOV22!Q22+MVTDEC22!Q22</f>
        <v>0</v>
      </c>
      <c r="R22" s="36">
        <f>MVTJANV22!R22+MVTFEV22!R22+MVTMARS22!R22+MVTAVRIL22!R22+MVTMAI22!R22+MVTJUIN22!R22+MVTJUIL22!R22+MVTAOUT22!R22+MVTSEPT22!R22+MVTOCT22!R22+MVTNOV22!R22+MVTDEC22!R22</f>
        <v>3924000</v>
      </c>
      <c r="S22" s="36">
        <f>MVTJANV22!S22+MVTFEV22!S22+MVTMARS22!S22+MVTAVRIL22!S22+MVTMAI22!S22+MVTJUIN22!S22+MVTJUIL22!S22+MVTAOUT22!S22+MVTSEPT22!S22+MVTOCT22!S22+MVTNOV22!S22+MVTDEC22!S22</f>
        <v>200000</v>
      </c>
      <c r="T22" s="36"/>
      <c r="U22" s="36">
        <f>MVTJANV22!U22+MVTFEV22!U22+MVTMARS22!U22+MVTAVRIL22!U22+MVTMAI22!U22+MVTJUIN22!U22+MVTJUIL22!U22+MVTAOUT22!U22+MVTSEPT22!U22+MVTOCT22!U22+MVTNOV22!U22+MVTDEC22!U22</f>
        <v>2924000</v>
      </c>
      <c r="V22" s="36"/>
      <c r="W22" s="36"/>
      <c r="X22" s="36">
        <f>MVTJANV22!X22+MVTFEV22!X22+MVTMARS22!X22+MVTAVRIL22!X22+MVTMAI22!X22+MVTJUIN22!X22+MVTJUIL22!X22+MVTAOUT22!X22+MVTSEPT22!X22+MVTOCT22!X22+MVTNOV22!X22+MVTDEC22!X22</f>
        <v>0</v>
      </c>
      <c r="Y22" s="36">
        <f>MVTJANV22!Y22+MVTFEV22!Y22+MVTMARS22!Y22+MVTAVRIL22!Y22+MVTMAI22!Y22+MVTJUIN22!Y22+MVTJUIL22!Y22+MVTAOUT22!Y22+MVTSEPT22!Y22+MVTOCT22!Y22+MVTNOV22!Y22+MVTDEC22!Y22</f>
        <v>0</v>
      </c>
      <c r="Z22" s="36">
        <f>MVTJANV22!Z22+MVTFEV22!Z22+MVTMARS22!Z22+MVTAVRIL22!Z22+MVTMAI22!Z22+MVTJUIN22!Z22+MVTJUIL22!Z22+MVTAOUT22!Z22+MVTSEPT22!Z22+MVTOCT22!Z22+MVTNOV22!Z22+MVTDEC22!Z22</f>
        <v>0</v>
      </c>
      <c r="AA22" s="36">
        <f>MVTJANV22!AA22+MVTFEV22!AA22+MVTMARS22!AA22+MVTAVRIL22!AA22+MVTMAI22!AA22+MVTJUIN22!AA22+MVTJUIL22!AA22+MVTAOUT22!AA22+MVTSEPT22!AA22+MVTOCT22!AA22+MVTNOV22!AA22+MVTDEC22!AA22</f>
        <v>0</v>
      </c>
      <c r="AB22" s="36">
        <f>MVTJANV22!AB22+MVTFEV22!AB22+MVTMARS22!AB22+MVTAVRIL22!AB22+MVTMAI22!AB22+MVTJUIN22!AB22+MVTJUIL22!AB22+MVTAOUT22!AB22+MVTSEPT22!AB22+MVTOCT22!AB22+MVTNOV22!AB22+MVTDEC22!AB22</f>
        <v>0</v>
      </c>
      <c r="AC22" s="36">
        <f>MVTJANV22!AC22+MVTFEV22!AC22+MVTMARS22!AC22+MVTAVRIL22!AC22+MVTMAI22!AC22+MVTJUIN22!AC22+MVTJUIL22!AC22+MVTAOUT22!AC22+MVTSEPT22!AC22+MVTOCT22!AC22+MVTNOV22!AC22+MVTDEC22!AC22</f>
        <v>0</v>
      </c>
      <c r="AD22" s="36">
        <f>MVTJANV22!AD22+MVTFEV22!AD22+MVTMARS22!AD22+MVTAVRIL22!AD22+MVTMAI22!AD22+MVTJUIN22!AD22+MVTJUIL22!AD22+MVTAOUT22!AD22+MVTSEPT22!AD22+MVTOCT22!AD22+MVTNOV22!AD22+MVTDEC22!AD22</f>
        <v>70000</v>
      </c>
      <c r="AE22" s="36">
        <f>MVTJANV22!AE22+MVTFEV22!AE22+MVTMARS22!AE22+MVTAVRIL22!AE22+MVTMAI22!AE22+MVTJUIN22!AE22+MVTJUIL22!AE22+MVTAOUT22!AE22+MVTSEPT22!AE22+MVTOCT22!AE22+MVTNOV22!AE22+MVTDEC22!AE22</f>
        <v>0</v>
      </c>
      <c r="AF22" s="36">
        <f>MVTJANV22!AF22+MVTFEV22!AF22+MVTMARS22!AF22+MVTAVRIL22!AF22+MVTMAI22!AF22+MVTJUIN22!AF22+MVTJUIL22!AF22+MVTAOUT22!AF22+MVTSEPT22!AF22+MVTOCT22!AF22+MVTNOV22!AF22+MVTDEC22!AF22</f>
        <v>0</v>
      </c>
      <c r="AG22" s="36">
        <f>MVTJANV22!AG22+MVTFEV22!AG22+MVTMARS22!AG22+MVTAVRIL22!AG22+MVTMAI22!AG22+MVTJUIN22!AG22+MVTJUIL22!AG22+MVTAOUT22!AG22+MVTSEPT22!AG22+MVTOCT22!AG22+MVTNOV22!AG22+MVTDEC22!AG22</f>
        <v>0</v>
      </c>
      <c r="AH22" s="36">
        <f>MVTJANV22!AH22+MVTFEV22!AH22+MVTMARS22!AH22+MVTAVRIL22!AH22+MVTMAI22!AH22+MVTJUIN22!AH22+MVTJUIL22!AH22+MVTAOUT22!AH22+MVTSEPT22!AH22+MVTOCT22!AH22+MVTNOV22!AH22+MVTDEC22!AH22</f>
        <v>0</v>
      </c>
      <c r="AI22" s="36">
        <f t="shared" si="2"/>
        <v>1000000</v>
      </c>
      <c r="AJ22" s="107">
        <v>45262</v>
      </c>
      <c r="AK22" s="36">
        <f>MVTJANV22!AI22+MVTFEV22!AI22+MVTMARS22!AI22+MVTAVRIL22!AI22+MVTMAI22!AI22+MVTJUIN22!AI22+MVTJUIL22!AI22+MVTAOUT22!AI22+MVTSEPT22!AI22+MVTOCT22!AI22+MVTNOV22!AI22+MVTDEC22!AI22</f>
        <v>44000</v>
      </c>
      <c r="AL22" s="36">
        <f>MVTJANV22!AJ22+MVTFEV22!AJ22+MVTMARS22!AJ22+MVTAVRIL22!AJ22+MVTMAI22!AJ22+MVTJUIN22!AJ22+MVTJUIL22!AJ22+MVTAOUT22!AJ22+MVTSEPT22!AJ22+MVTOCT22!AJ22+MVTNOV22!AJ22+MVTDEC22!AJ22</f>
        <v>0</v>
      </c>
    </row>
    <row r="23" spans="1:38" x14ac:dyDescent="0.25">
      <c r="A23" s="1" t="s">
        <v>38</v>
      </c>
      <c r="B23" s="1" t="str">
        <f>VLOOKUP(A23,[15]LISTADHERENT!A$5:H$60,3,0)</f>
        <v>NDJOMO ETIENNE</v>
      </c>
      <c r="C23" s="5">
        <f>MVTJANV22!C23+MVTFEV22!C23+MVTMARS22!C23+MVTAVRIL22!C23+MVTMAI22!C23+MVTJUIN22!C23+MVTJUIL22!C23+MVTAOUT22!C23+MVTSEPT22!C23+MVTOCT22!C23+MVTNOV22!C23+MVTDEC22!C23</f>
        <v>570000</v>
      </c>
      <c r="D23" s="5">
        <f>MVTJANV22!D23+MVTFEV22!D23+MVTMARS22!D23+MVTAVRIL22!D23+MVTMAI22!D23+MVTJUIN22!D23+MVTJUIL22!D23+MVTAOUT22!D23+MVTSEPT22!D23+MVTOCT22!D23+MVTNOV22!D23+MVTDEC22!D23</f>
        <v>101446.16753987665</v>
      </c>
      <c r="E23" s="36">
        <f>MVTJANV22!E23+MVTFEV22!E23+MVTMARS22!E23+MVTAVRIL22!E23+MVTMAI22!E23+MVTJUIN22!E23+MVTJUIL22!E23+MVTAOUT22!E23+MVTSEPT22!E23+MVTOCT22!E23+MVTNOV22!E23+MVTDEC22!E23</f>
        <v>0</v>
      </c>
      <c r="F23" s="5">
        <f t="shared" si="0"/>
        <v>570000</v>
      </c>
      <c r="G23" s="6">
        <f>MVTJANV22!G23+MVTFEV22!G23+MVTMARS22!G23+MVTAVRIL22!G23+MVTMAI22!G23+MVTJUIN22!G23+MVTJUIL22!G23+MVTAOUT22!G23+MVTSEPT22!G23+MVTOCT22!G23+MVTNOV22!G23+MVTDEC22!G23</f>
        <v>128822.12482023903</v>
      </c>
      <c r="H23" s="6">
        <f t="shared" si="1"/>
        <v>927446.16753987665</v>
      </c>
      <c r="I23" s="36">
        <f>MVTJANV22!I23+MVTFEV22!I23+MVTMARS22!I23+MVTAVRIL22!I23+MVTMAI22!I23+MVTJUIN22!I23+MVTJUIL22!I23+MVTAOUT22!I23+MVTSEPT22!I23+MVTOCT22!I23+MVTNOV22!I23+MVTDEC22!I23</f>
        <v>0</v>
      </c>
      <c r="J23" s="36">
        <f>MVTJANV22!J23+MVTFEV22!J23+MVTMARS22!J23+MVTAVRIL22!J23+MVTMAI22!J23+MVTJUIN22!J23+MVTJUIL22!J23+MVTAOUT22!J23+MVTSEPT22!J23+MVTOCT22!J23+MVTNOV22!J23+MVTDEC22!J23</f>
        <v>304000</v>
      </c>
      <c r="K23" s="36">
        <f>MVTJANV22!K23+MVTFEV22!K23+MVTMARS22!K23+MVTAVRIL22!K23+MVTMAI22!K23+MVTJUIN22!K23+MVTJUIL22!K23+MVTAOUT22!K23+MVTSEPT22!K23+MVTOCT22!K23+MVTNOV22!K23+MVTDEC22!K23</f>
        <v>256000</v>
      </c>
      <c r="L23" s="36">
        <f>MVTJANV22!L23+MVTFEV22!L23+MVTMARS22!L23+MVTAVRIL22!L23+MVTMAI22!L23+MVTJUIN22!L23+MVTJUIL22!L23+MVTAOUT22!L23+MVTSEPT22!L23+MVTOCT22!L23+MVTNOV22!L23+MVTDEC22!L23</f>
        <v>6000</v>
      </c>
      <c r="M23" s="36">
        <f>MVTJANV22!M23+MVTFEV22!M23+MVTMARS22!M23+MVTAVRIL22!M23+MVTMAI22!M23+MVTJUIN22!M23+MVTJUIL22!M23+MVTAOUT22!M23+MVTSEPT22!M23+MVTOCT22!M23+MVTNOV22!M23+MVTDEC22!M23</f>
        <v>12000</v>
      </c>
      <c r="N23" s="36">
        <f>MVTJANV22!N23+MVTFEV22!N23+MVTMARS22!N23+MVTAVRIL22!N23+MVTMAI22!N23+MVTJUIN22!N23+MVTJUIL22!N23+MVTAOUT22!N23+MVTSEPT22!N23+MVTOCT22!N23+MVTNOV22!N23+MVTDEC22!N23</f>
        <v>30000</v>
      </c>
      <c r="O23" s="36">
        <f>MVTJANV22!O23+MVTFEV22!O23+MVTMARS22!O23+MVTAVRIL22!O23+MVTMAI22!O23+MVTJUIN22!O23+MVTJUIL22!O23+MVTAOUT22!O23+MVTSEPT22!O23+MVTOCT22!O23+MVTNOV22!O23+MVTDEC22!O23</f>
        <v>0</v>
      </c>
      <c r="P23" s="36">
        <f>MVTJANV22!P23+MVTFEV22!P23+MVTMARS22!P23+MVTAVRIL22!P23+MVTMAI22!P23+MVTJUIN22!P23+MVTJUIL22!P23+MVTAOUT22!P23+MVTSEPT22!P23+MVTOCT22!P23+MVTNOV22!P23+MVTDEC22!P23</f>
        <v>0</v>
      </c>
      <c r="Q23" s="36">
        <f>MVTJANV22!Q23+MVTFEV22!Q23+MVTMARS22!Q23+MVTAVRIL22!Q23+MVTMAI22!Q23+MVTJUIN22!Q23+MVTJUIL22!Q23+MVTAOUT22!Q23+MVTSEPT22!Q23+MVTOCT22!Q23+MVTNOV22!Q23+MVTDEC22!Q23</f>
        <v>0</v>
      </c>
      <c r="R23" s="36">
        <f>MVTJANV22!R23+MVTFEV22!R23+MVTMARS22!R23+MVTAVRIL22!R23+MVTMAI22!R23+MVTJUIN22!R23+MVTJUIL22!R23+MVTAOUT22!R23+MVTSEPT22!R23+MVTOCT22!R23+MVTNOV22!R23+MVTDEC22!R23</f>
        <v>1100000</v>
      </c>
      <c r="S23" s="36">
        <f>MVTJANV22!S23+MVTFEV22!S23+MVTMARS22!S23+MVTAVRIL22!S23+MVTMAI22!S23+MVTJUIN22!S23+MVTJUIL22!S23+MVTAOUT22!S23+MVTSEPT22!S23+MVTOCT22!S23+MVTNOV22!S23+MVTDEC22!S23</f>
        <v>108000</v>
      </c>
      <c r="T23" s="36"/>
      <c r="U23" s="36">
        <f>MVTJANV22!U23+MVTFEV22!U23+MVTMARS22!U23+MVTAVRIL22!U23+MVTMAI22!U23+MVTJUIN22!U23+MVTJUIL22!U23+MVTAOUT22!U23+MVTSEPT22!U23+MVTOCT22!U23+MVTNOV22!U23+MVTDEC22!U23</f>
        <v>530000</v>
      </c>
      <c r="V23" s="36"/>
      <c r="W23" s="36"/>
      <c r="X23" s="36">
        <f>MVTJANV22!X23+MVTFEV22!X23+MVTMARS22!X23+MVTAVRIL22!X23+MVTMAI22!X23+MVTJUIN22!X23+MVTJUIL22!X23+MVTAOUT22!X23+MVTSEPT22!X23+MVTOCT22!X23+MVTNOV22!X23+MVTDEC22!X23</f>
        <v>0</v>
      </c>
      <c r="Y23" s="36">
        <f>MVTJANV22!Y23+MVTFEV22!Y23+MVTMARS22!Y23+MVTAVRIL22!Y23+MVTMAI22!Y23+MVTJUIN22!Y23+MVTJUIL22!Y23+MVTAOUT22!Y23+MVTSEPT22!Y23+MVTOCT22!Y23+MVTNOV22!Y23+MVTDEC22!Y23</f>
        <v>0</v>
      </c>
      <c r="Z23" s="36">
        <f>MVTJANV22!Z23+MVTFEV22!Z23+MVTMARS22!Z23+MVTAVRIL22!Z23+MVTMAI22!Z23+MVTJUIN22!Z23+MVTJUIL22!Z23+MVTAOUT22!Z23+MVTSEPT22!Z23+MVTOCT22!Z23+MVTNOV22!Z23+MVTDEC22!Z23</f>
        <v>0</v>
      </c>
      <c r="AA23" s="36">
        <f>MVTJANV22!AA23+MVTFEV22!AA23+MVTMARS22!AA23+MVTAVRIL22!AA23+MVTMAI22!AA23+MVTJUIN22!AA23+MVTJUIL22!AA23+MVTAOUT22!AA23+MVTSEPT22!AA23+MVTOCT22!AA23+MVTNOV22!AA23+MVTDEC22!AA23</f>
        <v>0</v>
      </c>
      <c r="AB23" s="36">
        <f>MVTJANV22!AB23+MVTFEV22!AB23+MVTMARS22!AB23+MVTAVRIL22!AB23+MVTMAI22!AB23+MVTJUIN22!AB23+MVTJUIL22!AB23+MVTAOUT22!AB23+MVTSEPT22!AB23+MVTOCT22!AB23+MVTNOV22!AB23+MVTDEC22!AB23</f>
        <v>0</v>
      </c>
      <c r="AC23" s="36">
        <f>MVTJANV22!AC23+MVTFEV22!AC23+MVTMARS22!AC23+MVTAVRIL22!AC23+MVTMAI22!AC23+MVTJUIN22!AC23+MVTJUIL22!AC23+MVTAOUT22!AC23+MVTSEPT22!AC23+MVTOCT22!AC23+MVTNOV22!AC23+MVTDEC22!AC23</f>
        <v>0</v>
      </c>
      <c r="AD23" s="36">
        <f>MVTJANV22!AD23+MVTFEV22!AD23+MVTMARS22!AD23+MVTAVRIL22!AD23+MVTMAI22!AD23+MVTJUIN22!AD23+MVTJUIL22!AD23+MVTAOUT22!AD23+MVTSEPT22!AD23+MVTOCT22!AD23+MVTNOV22!AD23+MVTDEC22!AD23</f>
        <v>70000</v>
      </c>
      <c r="AE23" s="36">
        <f>MVTJANV22!AE23+MVTFEV22!AE23+MVTMARS22!AE23+MVTAVRIL22!AE23+MVTMAI22!AE23+MVTJUIN22!AE23+MVTJUIL22!AE23+MVTAOUT22!AE23+MVTSEPT22!AE23+MVTOCT22!AE23+MVTNOV22!AE23+MVTDEC22!AE23</f>
        <v>0</v>
      </c>
      <c r="AF23" s="36">
        <f>MVTJANV22!AF23+MVTFEV22!AF23+MVTMARS22!AF23+MVTAVRIL22!AF23+MVTMAI22!AF23+MVTJUIN22!AF23+MVTJUIL22!AF23+MVTAOUT22!AF23+MVTSEPT22!AF23+MVTOCT22!AF23+MVTNOV22!AF23+MVTDEC22!AF23</f>
        <v>0</v>
      </c>
      <c r="AG23" s="36">
        <f>MVTJANV22!AG23+MVTFEV22!AG23+MVTMARS22!AG23+MVTAVRIL22!AG23+MVTMAI22!AG23+MVTJUIN22!AG23+MVTJUIL22!AG23+MVTAOUT22!AG23+MVTSEPT22!AG23+MVTOCT22!AG23+MVTNOV22!AG23+MVTDEC22!AG23</f>
        <v>0</v>
      </c>
      <c r="AH23" s="36">
        <f>MVTJANV22!AH23+MVTFEV22!AH23+MVTMARS22!AH23+MVTAVRIL22!AH23+MVTMAI22!AH23+MVTJUIN22!AH23+MVTJUIL22!AH23+MVTAOUT22!AH23+MVTSEPT22!AH23+MVTOCT22!AH23+MVTNOV22!AH23+MVTDEC22!AH23</f>
        <v>0</v>
      </c>
      <c r="AI23" s="36">
        <f t="shared" si="2"/>
        <v>570000</v>
      </c>
      <c r="AJ23" s="107">
        <v>45109</v>
      </c>
      <c r="AK23" s="36">
        <f>MVTJANV22!AI23+MVTFEV22!AI23+MVTMARS22!AI23+MVTAVRIL22!AI23+MVTMAI22!AI23+MVTJUIN22!AI23+MVTJUIL22!AI23+MVTAOUT22!AI23+MVTSEPT22!AI23+MVTOCT22!AI23+MVTNOV22!AI23+MVTDEC22!AI23</f>
        <v>0</v>
      </c>
      <c r="AL23" s="36">
        <f>MVTJANV22!AJ23+MVTFEV22!AJ23+MVTMARS22!AJ23+MVTAVRIL22!AJ23+MVTMAI22!AJ23+MVTJUIN22!AJ23+MVTJUIL22!AJ23+MVTAOUT22!AJ23+MVTSEPT22!AJ23+MVTOCT22!AJ23+MVTNOV22!AJ23+MVTDEC22!AJ23</f>
        <v>0</v>
      </c>
    </row>
    <row r="24" spans="1:38" x14ac:dyDescent="0.25">
      <c r="A24" s="1" t="s">
        <v>39</v>
      </c>
      <c r="B24" s="1" t="str">
        <f>VLOOKUP(A24,[15]LISTADHERENT!A$5:H$60,3,0)</f>
        <v>NGONDIEP CLAUDE</v>
      </c>
      <c r="C24" s="5">
        <f>MVTJANV22!C24+MVTFEV22!C24+MVTMARS22!C24+MVTAVRIL22!C24+MVTMAI22!C24+MVTJUIN22!C24+MVTJUIL22!C24+MVTAOUT22!C24+MVTSEPT22!C24+MVTOCT22!C24+MVTNOV22!C24+MVTDEC22!C24</f>
        <v>570000</v>
      </c>
      <c r="D24" s="5">
        <f>MVTJANV22!D24+MVTFEV22!D24+MVTMARS22!D24+MVTAVRIL22!D24+MVTMAI22!D24+MVTJUIN22!D24+MVTJUIL22!D24+MVTAOUT22!D24+MVTSEPT22!D24+MVTOCT22!D24+MVTNOV22!D24+MVTDEC22!D24</f>
        <v>2927.3714496080356</v>
      </c>
      <c r="E24" s="36">
        <f>MVTJANV22!E24+MVTFEV22!E24+MVTMARS22!E24+MVTAVRIL22!E24+MVTMAI22!E24+MVTJUIN22!E24+MVTJUIL22!E24+MVTAOUT22!E24+MVTSEPT22!E24+MVTOCT22!E24+MVTNOV22!E24+MVTDEC22!E24</f>
        <v>0</v>
      </c>
      <c r="F24" s="5">
        <f t="shared" si="0"/>
        <v>570000</v>
      </c>
      <c r="G24" s="6">
        <f>MVTJANV22!G24+MVTFEV22!G24+MVTMARS22!G24+MVTAVRIL22!G24+MVTMAI22!G24+MVTJUIN22!G24+MVTJUIL22!G24+MVTAOUT22!G24+MVTSEPT22!G24+MVTOCT22!G24+MVTNOV22!G24+MVTDEC22!G24</f>
        <v>106622.60859850247</v>
      </c>
      <c r="H24" s="6">
        <f t="shared" si="1"/>
        <v>745927.37144960801</v>
      </c>
      <c r="I24" s="36">
        <f>MVTJANV22!I24+MVTFEV22!I24+MVTMARS22!I24+MVTAVRIL22!I24+MVTMAI22!I24+MVTJUIN22!I24+MVTJUIL22!I24+MVTAOUT22!I24+MVTSEPT22!I24+MVTOCT22!I24+MVTNOV22!I24+MVTDEC22!I24</f>
        <v>0</v>
      </c>
      <c r="J24" s="36">
        <f>MVTJANV22!J24+MVTFEV22!J24+MVTMARS22!J24+MVTAVRIL22!J24+MVTMAI22!J24+MVTJUIN22!J24+MVTJUIL22!J24+MVTAOUT22!J24+MVTSEPT22!J24+MVTOCT22!J24+MVTNOV22!J24+MVTDEC22!J24</f>
        <v>221000</v>
      </c>
      <c r="K24" s="36">
        <f>MVTJANV22!K24+MVTFEV22!K24+MVTMARS22!K24+MVTAVRIL22!K24+MVTMAI22!K24+MVTJUIN22!K24+MVTJUIL22!K24+MVTAOUT22!K24+MVTSEPT22!K24+MVTOCT22!K24+MVTNOV22!K24+MVTDEC22!K24</f>
        <v>173000</v>
      </c>
      <c r="L24" s="36">
        <f>MVTJANV22!L24+MVTFEV22!L24+MVTMARS22!L24+MVTAVRIL22!L24+MVTMAI22!L24+MVTJUIN22!L24+MVTJUIL22!L24+MVTAOUT22!L24+MVTSEPT22!L24+MVTOCT22!L24+MVTNOV22!L24+MVTDEC22!L24</f>
        <v>6000</v>
      </c>
      <c r="M24" s="36">
        <f>MVTJANV22!M24+MVTFEV22!M24+MVTMARS22!M24+MVTAVRIL22!M24+MVTMAI22!M24+MVTJUIN22!M24+MVTJUIL22!M24+MVTAOUT22!M24+MVTSEPT22!M24+MVTOCT22!M24+MVTNOV22!M24+MVTDEC22!M24</f>
        <v>12000</v>
      </c>
      <c r="N24" s="36">
        <f>MVTJANV22!N24+MVTFEV22!N24+MVTMARS22!N24+MVTAVRIL22!N24+MVTMAI22!N24+MVTJUIN22!N24+MVTJUIL22!N24+MVTAOUT22!N24+MVTSEPT22!N24+MVTOCT22!N24+MVTNOV22!N24+MVTDEC22!N24</f>
        <v>30000</v>
      </c>
      <c r="O24" s="36">
        <f>MVTJANV22!O24+MVTFEV22!O24+MVTMARS22!O24+MVTAVRIL22!O24+MVTMAI22!O24+MVTJUIN22!O24+MVTJUIL22!O24+MVTAOUT22!O24+MVTSEPT22!O24+MVTOCT22!O24+MVTNOV22!O24+MVTDEC22!O24</f>
        <v>18000</v>
      </c>
      <c r="P24" s="36">
        <f>MVTJANV22!P24+MVTFEV22!P24+MVTMARS22!P24+MVTAVRIL22!P24+MVTMAI22!P24+MVTJUIN22!P24+MVTJUIL22!P24+MVTAOUT22!P24+MVTSEPT22!P24+MVTOCT22!P24+MVTNOV22!P24+MVTDEC22!P24</f>
        <v>0</v>
      </c>
      <c r="Q24" s="36">
        <f>MVTJANV22!Q24+MVTFEV22!Q24+MVTMARS22!Q24+MVTAVRIL22!Q24+MVTMAI22!Q24+MVTJUIN22!Q24+MVTJUIL22!Q24+MVTAOUT22!Q24+MVTSEPT22!Q24+MVTOCT22!Q24+MVTNOV22!Q24+MVTDEC22!Q24</f>
        <v>0</v>
      </c>
      <c r="R24" s="36">
        <f>MVTJANV22!R24+MVTFEV22!R24+MVTMARS22!R24+MVTAVRIL22!R24+MVTMAI22!R24+MVTJUIN22!R24+MVTJUIL22!R24+MVTAOUT22!R24+MVTSEPT22!R24+MVTOCT22!R24+MVTNOV22!R24+MVTDEC22!R24</f>
        <v>2000000</v>
      </c>
      <c r="S24" s="36">
        <f>MVTJANV22!S24+MVTFEV22!S24+MVTMARS22!S24+MVTAVRIL22!S24+MVTMAI22!S24+MVTJUIN22!S24+MVTJUIL22!S24+MVTAOUT22!S24+MVTSEPT22!S24+MVTOCT22!S24+MVTNOV22!S24+MVTDEC22!S24</f>
        <v>240000</v>
      </c>
      <c r="T24" s="36"/>
      <c r="U24" s="36">
        <f>MVTJANV22!U24+MVTFEV22!U24+MVTMARS22!U24+MVTAVRIL22!U24+MVTMAI22!U24+MVTJUIN22!U24+MVTJUIL22!U24+MVTAOUT22!U24+MVTSEPT22!U24+MVTOCT22!U24+MVTNOV22!U24+MVTDEC22!U24</f>
        <v>1000000</v>
      </c>
      <c r="V24" s="36"/>
      <c r="W24" s="36"/>
      <c r="X24" s="36">
        <f>MVTJANV22!X24+MVTFEV22!X24+MVTMARS22!X24+MVTAVRIL22!X24+MVTMAI22!X24+MVTJUIN22!X24+MVTJUIL22!X24+MVTAOUT22!X24+MVTSEPT22!X24+MVTOCT22!X24+MVTNOV22!X24+MVTDEC22!X24</f>
        <v>0</v>
      </c>
      <c r="Y24" s="36">
        <f>MVTJANV22!Y24+MVTFEV22!Y24+MVTMARS22!Y24+MVTAVRIL22!Y24+MVTMAI22!Y24+MVTJUIN22!Y24+MVTJUIL22!Y24+MVTAOUT22!Y24+MVTSEPT22!Y24+MVTOCT22!Y24+MVTNOV22!Y24+MVTDEC22!Y24</f>
        <v>0</v>
      </c>
      <c r="Z24" s="36">
        <f>MVTJANV22!Z24+MVTFEV22!Z24+MVTMARS22!Z24+MVTAVRIL22!Z24+MVTMAI22!Z24+MVTJUIN22!Z24+MVTJUIL22!Z24+MVTAOUT22!Z24+MVTSEPT22!Z24+MVTOCT22!Z24+MVTNOV22!Z24+MVTDEC22!Z24</f>
        <v>0</v>
      </c>
      <c r="AA24" s="36">
        <f>MVTJANV22!AA24+MVTFEV22!AA24+MVTMARS22!AA24+MVTAVRIL22!AA24+MVTMAI22!AA24+MVTJUIN22!AA24+MVTJUIL22!AA24+MVTAOUT22!AA24+MVTSEPT22!AA24+MVTOCT22!AA24+MVTNOV22!AA24+MVTDEC22!AA24</f>
        <v>0</v>
      </c>
      <c r="AB24" s="36">
        <f>MVTJANV22!AB24+MVTFEV22!AB24+MVTMARS22!AB24+MVTAVRIL22!AB24+MVTMAI22!AB24+MVTJUIN22!AB24+MVTJUIL22!AB24+MVTAOUT22!AB24+MVTSEPT22!AB24+MVTOCT22!AB24+MVTNOV22!AB24+MVTDEC22!AB24</f>
        <v>0</v>
      </c>
      <c r="AC24" s="36">
        <f>MVTJANV22!AC24+MVTFEV22!AC24+MVTMARS22!AC24+MVTAVRIL22!AC24+MVTMAI22!AC24+MVTJUIN22!AC24+MVTJUIL22!AC24+MVTAOUT22!AC24+MVTSEPT22!AC24+MVTOCT22!AC24+MVTNOV22!AC24+MVTDEC22!AC24</f>
        <v>0</v>
      </c>
      <c r="AD24" s="36">
        <f>MVTJANV22!AD24+MVTFEV22!AD24+MVTMARS22!AD24+MVTAVRIL22!AD24+MVTMAI22!AD24+MVTJUIN22!AD24+MVTJUIL22!AD24+MVTAOUT22!AD24+MVTSEPT22!AD24+MVTOCT22!AD24+MVTNOV22!AD24+MVTDEC22!AD24</f>
        <v>90000</v>
      </c>
      <c r="AE24" s="36">
        <f>MVTJANV22!AE24+MVTFEV22!AE24+MVTMARS22!AE24+MVTAVRIL22!AE24+MVTMAI22!AE24+MVTJUIN22!AE24+MVTJUIL22!AE24+MVTAOUT22!AE24+MVTSEPT22!AE24+MVTOCT22!AE24+MVTNOV22!AE24+MVTDEC22!AE24</f>
        <v>0</v>
      </c>
      <c r="AF24" s="36">
        <f>MVTJANV22!AF24+MVTFEV22!AF24+MVTMARS22!AF24+MVTAVRIL22!AF24+MVTMAI22!AF24+MVTJUIN22!AF24+MVTJUIL22!AF24+MVTAOUT22!AF24+MVTSEPT22!AF24+MVTOCT22!AF24+MVTNOV22!AF24+MVTDEC22!AF24</f>
        <v>0</v>
      </c>
      <c r="AG24" s="36">
        <f>MVTJANV22!AG24+MVTFEV22!AG24+MVTMARS22!AG24+MVTAVRIL22!AG24+MVTMAI22!AG24+MVTJUIN22!AG24+MVTJUIL22!AG24+MVTAOUT22!AG24+MVTSEPT22!AG24+MVTOCT22!AG24+MVTNOV22!AG24+MVTDEC22!AG24</f>
        <v>0</v>
      </c>
      <c r="AH24" s="36">
        <f>MVTJANV22!AH24+MVTFEV22!AH24+MVTMARS22!AH24+MVTAVRIL22!AH24+MVTMAI22!AH24+MVTJUIN22!AH24+MVTJUIL22!AH24+MVTAOUT22!AH24+MVTSEPT22!AH24+MVTOCT22!AH24+MVTNOV22!AH24+MVTDEC22!AH24</f>
        <v>0</v>
      </c>
      <c r="AI24" s="36">
        <f t="shared" si="2"/>
        <v>1000000</v>
      </c>
      <c r="AJ24" s="107">
        <v>45262</v>
      </c>
      <c r="AK24" s="36">
        <f>MVTJANV22!AI24+MVTFEV22!AI24+MVTMARS22!AI24+MVTAVRIL22!AI24+MVTMAI22!AI24+MVTJUIN22!AI24+MVTJUIL22!AI24+MVTAOUT22!AI24+MVTSEPT22!AI24+MVTOCT22!AI24+MVTNOV22!AI24+MVTDEC22!AI24</f>
        <v>0</v>
      </c>
      <c r="AL24" s="36">
        <f>MVTJANV22!AJ24+MVTFEV22!AJ24+MVTMARS22!AJ24+MVTAVRIL22!AJ24+MVTMAI22!AJ24+MVTJUIN22!AJ24+MVTJUIL22!AJ24+MVTAOUT22!AJ24+MVTSEPT22!AJ24+MVTOCT22!AJ24+MVTNOV22!AJ24+MVTDEC22!AJ24</f>
        <v>0</v>
      </c>
    </row>
    <row r="25" spans="1:38" x14ac:dyDescent="0.25">
      <c r="A25" s="1" t="s">
        <v>41</v>
      </c>
      <c r="B25" s="1" t="str">
        <f>VLOOKUP(A25,[15]LISTADHERENT!A$5:H$60,3,0)</f>
        <v>NGUIEMEGNI MATHIEU BLAISE</v>
      </c>
      <c r="C25" s="5">
        <f>MVTJANV22!C25+MVTFEV22!C25+MVTMARS22!C25+MVTAVRIL22!C25+MVTMAI22!C25+MVTJUIN22!C25+MVTJUIL22!C25+MVTAOUT22!C25+MVTSEPT22!C25+MVTOCT22!C25+MVTNOV22!C25+MVTDEC22!C25</f>
        <v>570000</v>
      </c>
      <c r="D25" s="5">
        <f>MVTJANV22!D25+MVTFEV22!D25+MVTMARS22!D25+MVTAVRIL22!D25+MVTMAI22!D25+MVTJUIN22!D25+MVTJUIL22!D25+MVTAOUT22!D25+MVTSEPT22!D25+MVTOCT22!D25+MVTNOV22!D25+MVTDEC22!D25</f>
        <v>3871.4174531366152</v>
      </c>
      <c r="E25" s="36">
        <f>MVTJANV22!E25+MVTFEV22!E25+MVTMARS22!E25+MVTAVRIL22!E25+MVTMAI22!E25+MVTJUIN22!E25+MVTJUIL22!E25+MVTAOUT22!E25+MVTSEPT22!E25+MVTOCT22!E25+MVTNOV22!E25+MVTDEC22!E25</f>
        <v>0</v>
      </c>
      <c r="F25" s="5">
        <f t="shared" si="0"/>
        <v>570000</v>
      </c>
      <c r="G25" s="6">
        <f>MVTJANV22!G25+MVTFEV22!G25+MVTMARS22!G25+MVTAVRIL22!G25+MVTMAI22!G25+MVTJUIN22!G25+MVTJUIL22!G25+MVTAOUT22!G25+MVTSEPT22!G25+MVTOCT22!G25+MVTNOV22!G25+MVTDEC22!G25</f>
        <v>100437.7881522042</v>
      </c>
      <c r="H25" s="6">
        <f t="shared" si="1"/>
        <v>671871.41745313664</v>
      </c>
      <c r="I25" s="36">
        <f>MVTJANV22!I25+MVTFEV22!I25+MVTMARS22!I25+MVTAVRIL22!I25+MVTMAI22!I25+MVTJUIN22!I25+MVTJUIL22!I25+MVTAOUT22!I25+MVTSEPT22!I25+MVTOCT22!I25+MVTNOV22!I25+MVTDEC22!I25</f>
        <v>0</v>
      </c>
      <c r="J25" s="36">
        <f>MVTJANV22!J25+MVTFEV22!J25+MVTMARS22!J25+MVTAVRIL22!J25+MVTMAI22!J25+MVTJUIN22!J25+MVTJUIL22!J25+MVTAOUT22!J25+MVTSEPT22!J25+MVTOCT22!J25+MVTNOV22!J25+MVTDEC22!J25</f>
        <v>146000</v>
      </c>
      <c r="K25" s="36">
        <f>MVTJANV22!K25+MVTFEV22!K25+MVTMARS22!K25+MVTAVRIL22!K25+MVTMAI22!K25+MVTJUIN22!K25+MVTJUIL22!K25+MVTAOUT22!K25+MVTSEPT22!K25+MVTOCT22!K25+MVTNOV22!K25+MVTDEC22!K25</f>
        <v>98000</v>
      </c>
      <c r="L25" s="36">
        <f>MVTJANV22!L25+MVTFEV22!L25+MVTMARS22!L25+MVTAVRIL22!L25+MVTMAI22!L25+MVTJUIN22!L25+MVTJUIL22!L25+MVTAOUT22!L25+MVTSEPT22!L25+MVTOCT22!L25+MVTNOV22!L25+MVTDEC22!L25</f>
        <v>6000</v>
      </c>
      <c r="M25" s="36">
        <f>MVTJANV22!M25+MVTFEV22!M25+MVTMARS22!M25+MVTAVRIL22!M25+MVTMAI22!M25+MVTJUIN22!M25+MVTJUIL22!M25+MVTAOUT22!M25+MVTSEPT22!M25+MVTOCT22!M25+MVTNOV22!M25+MVTDEC22!M25</f>
        <v>12000</v>
      </c>
      <c r="N25" s="36">
        <f>MVTJANV22!N25+MVTFEV22!N25+MVTMARS22!N25+MVTAVRIL22!N25+MVTMAI22!N25+MVTJUIN22!N25+MVTJUIL22!N25+MVTAOUT22!N25+MVTSEPT22!N25+MVTOCT22!N25+MVTNOV22!N25+MVTDEC22!N25</f>
        <v>30000</v>
      </c>
      <c r="O25" s="36">
        <f>MVTJANV22!O25+MVTFEV22!O25+MVTMARS22!O25+MVTAVRIL22!O25+MVTMAI22!O25+MVTJUIN22!O25+MVTJUIL22!O25+MVTAOUT22!O25+MVTSEPT22!O25+MVTOCT22!O25+MVTNOV22!O25+MVTDEC22!O25</f>
        <v>0</v>
      </c>
      <c r="P25" s="36">
        <f>MVTJANV22!P25+MVTFEV22!P25+MVTMARS22!P25+MVTAVRIL22!P25+MVTMAI22!P25+MVTJUIN22!P25+MVTJUIL22!P25+MVTAOUT22!P25+MVTSEPT22!P25+MVTOCT22!P25+MVTNOV22!P25+MVTDEC22!P25</f>
        <v>0</v>
      </c>
      <c r="Q25" s="36">
        <f>MVTJANV22!Q25+MVTFEV22!Q25+MVTMARS22!Q25+MVTAVRIL22!Q25+MVTMAI22!Q25+MVTJUIN22!Q25+MVTJUIL22!Q25+MVTAOUT22!Q25+MVTSEPT22!Q25+MVTOCT22!Q25+MVTNOV22!Q25+MVTDEC22!Q25</f>
        <v>0</v>
      </c>
      <c r="R25" s="36">
        <f>MVTJANV22!R25+MVTFEV22!R25+MVTMARS22!R25+MVTAVRIL22!R25+MVTMAI22!R25+MVTJUIN22!R25+MVTJUIL22!R25+MVTAOUT22!R25+MVTSEPT22!R25+MVTOCT22!R25+MVTNOV22!R25+MVTDEC22!R25</f>
        <v>2000000</v>
      </c>
      <c r="S25" s="36">
        <f>MVTJANV22!S25+MVTFEV22!S25+MVTMARS22!S25+MVTAVRIL22!S25+MVTMAI22!S25+MVTJUIN22!S25+MVTJUIL22!S25+MVTAOUT22!S25+MVTSEPT22!S25+MVTOCT22!S25+MVTNOV22!S25+MVTDEC22!S25</f>
        <v>120000</v>
      </c>
      <c r="T25" s="36"/>
      <c r="U25" s="36">
        <f>MVTJANV22!U25+MVTFEV22!U25+MVTMARS22!U25+MVTAVRIL22!U25+MVTMAI22!U25+MVTJUIN22!U25+MVTJUIL22!U25+MVTAOUT22!U25+MVTSEPT22!U25+MVTOCT22!U25+MVTNOV22!U25+MVTDEC22!U25</f>
        <v>1000000</v>
      </c>
      <c r="V25" s="36"/>
      <c r="W25" s="36"/>
      <c r="X25" s="36">
        <f>MVTJANV22!X25+MVTFEV22!X25+MVTMARS22!X25+MVTAVRIL22!X25+MVTMAI22!X25+MVTJUIN22!X25+MVTJUIL22!X25+MVTAOUT22!X25+MVTSEPT22!X25+MVTOCT22!X25+MVTNOV22!X25+MVTDEC22!X25</f>
        <v>0</v>
      </c>
      <c r="Y25" s="36">
        <f>MVTJANV22!Y25+MVTFEV22!Y25+MVTMARS22!Y25+MVTAVRIL22!Y25+MVTMAI22!Y25+MVTJUIN22!Y25+MVTJUIL22!Y25+MVTAOUT22!Y25+MVTSEPT22!Y25+MVTOCT22!Y25+MVTNOV22!Y25+MVTDEC22!Y25</f>
        <v>0</v>
      </c>
      <c r="Z25" s="36">
        <f>MVTJANV22!Z25+MVTFEV22!Z25+MVTMARS22!Z25+MVTAVRIL22!Z25+MVTMAI22!Z25+MVTJUIN22!Z25+MVTJUIL22!Z25+MVTAOUT22!Z25+MVTSEPT22!Z25+MVTOCT22!Z25+MVTNOV22!Z25+MVTDEC22!Z25</f>
        <v>0</v>
      </c>
      <c r="AA25" s="36">
        <f>MVTJANV22!AA25+MVTFEV22!AA25+MVTMARS22!AA25+MVTAVRIL22!AA25+MVTMAI22!AA25+MVTJUIN22!AA25+MVTJUIL22!AA25+MVTAOUT22!AA25+MVTSEPT22!AA25+MVTOCT22!AA25+MVTNOV22!AA25+MVTDEC22!AA25</f>
        <v>0</v>
      </c>
      <c r="AB25" s="36">
        <f>MVTJANV22!AB25+MVTFEV22!AB25+MVTMARS22!AB25+MVTAVRIL22!AB25+MVTMAI22!AB25+MVTJUIN22!AB25+MVTJUIL22!AB25+MVTAOUT22!AB25+MVTSEPT22!AB25+MVTOCT22!AB25+MVTNOV22!AB25+MVTDEC22!AB25</f>
        <v>0</v>
      </c>
      <c r="AC25" s="36">
        <f>MVTJANV22!AC25+MVTFEV22!AC25+MVTMARS22!AC25+MVTAVRIL22!AC25+MVTMAI22!AC25+MVTJUIN22!AC25+MVTJUIL22!AC25+MVTAOUT22!AC25+MVTSEPT22!AC25+MVTOCT22!AC25+MVTNOV22!AC25+MVTDEC22!AC25</f>
        <v>0</v>
      </c>
      <c r="AD25" s="36">
        <f>MVTJANV22!AD25+MVTFEV22!AD25+MVTMARS22!AD25+MVTAVRIL22!AD25+MVTMAI22!AD25+MVTJUIN22!AD25+MVTJUIL22!AD25+MVTAOUT22!AD25+MVTSEPT22!AD25+MVTOCT22!AD25+MVTNOV22!AD25+MVTDEC22!AD25</f>
        <v>140000</v>
      </c>
      <c r="AE25" s="36">
        <f>MVTJANV22!AE25+MVTFEV22!AE25+MVTMARS22!AE25+MVTAVRIL22!AE25+MVTMAI22!AE25+MVTJUIN22!AE25+MVTJUIL22!AE25+MVTAOUT22!AE25+MVTSEPT22!AE25+MVTOCT22!AE25+MVTNOV22!AE25+MVTDEC22!AE25</f>
        <v>0</v>
      </c>
      <c r="AF25" s="36">
        <f>MVTJANV22!AF25+MVTFEV22!AF25+MVTMARS22!AF25+MVTAVRIL22!AF25+MVTMAI22!AF25+MVTJUIN22!AF25+MVTJUIL22!AF25+MVTAOUT22!AF25+MVTSEPT22!AF25+MVTOCT22!AF25+MVTNOV22!AF25+MVTDEC22!AF25</f>
        <v>0</v>
      </c>
      <c r="AG25" s="36">
        <f>MVTJANV22!AG25+MVTFEV22!AG25+MVTMARS22!AG25+MVTAVRIL22!AG25+MVTMAI22!AG25+MVTJUIN22!AG25+MVTJUIL22!AG25+MVTAOUT22!AG25+MVTSEPT22!AG25+MVTOCT22!AG25+MVTNOV22!AG25+MVTDEC22!AG25</f>
        <v>0</v>
      </c>
      <c r="AH25" s="36">
        <f>MVTJANV22!AH25+MVTFEV22!AH25+MVTMARS22!AH25+MVTAVRIL22!AH25+MVTMAI22!AH25+MVTJUIN22!AH25+MVTJUIL22!AH25+MVTAOUT22!AH25+MVTSEPT22!AH25+MVTOCT22!AH25+MVTNOV22!AH25+MVTDEC22!AH25</f>
        <v>70000</v>
      </c>
      <c r="AI25" s="36">
        <f t="shared" si="2"/>
        <v>1000000</v>
      </c>
      <c r="AJ25" s="107">
        <v>45262</v>
      </c>
      <c r="AK25" s="36">
        <f>MVTJANV22!AI25+MVTFEV22!AI25+MVTMARS22!AI25+MVTAVRIL22!AI25+MVTMAI22!AI25+MVTJUIN22!AI25+MVTJUIL22!AI25+MVTAOUT22!AI25+MVTSEPT22!AI25+MVTOCT22!AI25+MVTNOV22!AI25+MVTDEC22!AI25</f>
        <v>0</v>
      </c>
      <c r="AL25" s="36">
        <f>MVTJANV22!AJ25+MVTFEV22!AJ25+MVTMARS22!AJ25+MVTAVRIL22!AJ25+MVTMAI22!AJ25+MVTJUIN22!AJ25+MVTJUIL22!AJ25+MVTAOUT22!AJ25+MVTSEPT22!AJ25+MVTOCT22!AJ25+MVTNOV22!AJ25+MVTDEC22!AJ25</f>
        <v>0</v>
      </c>
    </row>
    <row r="26" spans="1:38" x14ac:dyDescent="0.25">
      <c r="A26" s="1" t="s">
        <v>43</v>
      </c>
      <c r="B26" s="1" t="str">
        <f>VLOOKUP(A26,[15]LISTADHERENT!A$5:H$60,3,0)</f>
        <v>NKAMGANG JUSTIN DEJOLIE</v>
      </c>
      <c r="C26" s="5">
        <f>MVTJANV22!C26+MVTFEV22!C26+MVTMARS22!C26+MVTAVRIL22!C26+MVTMAI22!C26+MVTJUIN22!C26+MVTJUIL22!C26+MVTAOUT22!C26+MVTSEPT22!C26+MVTOCT22!C26+MVTNOV22!C26+MVTDEC22!C26</f>
        <v>570000</v>
      </c>
      <c r="D26" s="5">
        <f>MVTJANV22!D26+MVTFEV22!D26+MVTMARS22!D26+MVTAVRIL22!D26+MVTMAI22!D26+MVTJUIN22!D26+MVTJUIL22!D26+MVTAOUT22!D26+MVTSEPT22!D26+MVTOCT22!D26+MVTNOV22!D26+MVTDEC22!D26</f>
        <v>11084.67996724385</v>
      </c>
      <c r="E26" s="36">
        <f>MVTJANV22!E26+MVTFEV22!E26+MVTMARS22!E26+MVTAVRIL22!E26+MVTMAI22!E26+MVTJUIN22!E26+MVTJUIL22!E26+MVTAOUT22!E26+MVTSEPT22!E26+MVTOCT22!E26+MVTNOV22!E26+MVTDEC22!E26</f>
        <v>0</v>
      </c>
      <c r="F26" s="5">
        <f t="shared" si="0"/>
        <v>570000</v>
      </c>
      <c r="G26" s="6">
        <f>MVTJANV22!G26+MVTFEV22!G26+MVTMARS22!G26+MVTAVRIL22!G26+MVTMAI22!G26+MVTJUIN22!G26+MVTJUIL22!G26+MVTAOUT22!G26+MVTSEPT22!G26+MVTOCT22!G26+MVTNOV22!G26+MVTDEC22!G26</f>
        <v>98412.570755810855</v>
      </c>
      <c r="H26" s="6">
        <f t="shared" si="1"/>
        <v>617084.67996724381</v>
      </c>
      <c r="I26" s="36">
        <f>MVTJANV22!I26+MVTFEV22!I26+MVTMARS22!I26+MVTAVRIL22!I26+MVTMAI22!I26+MVTJUIN22!I26+MVTJUIL22!I26+MVTAOUT22!I26+MVTSEPT22!I26+MVTOCT22!I26+MVTNOV22!I26+MVTDEC22!I26</f>
        <v>0</v>
      </c>
      <c r="J26" s="36">
        <f>MVTJANV22!J26+MVTFEV22!J26+MVTMARS22!J26+MVTAVRIL22!J26+MVTMAI22!J26+MVTJUIN22!J26+MVTJUIL22!J26+MVTAOUT22!J26+MVTSEPT22!J26+MVTOCT22!J26+MVTNOV22!J26+MVTDEC22!J26</f>
        <v>84000</v>
      </c>
      <c r="K26" s="36">
        <f>MVTJANV22!K26+MVTFEV22!K26+MVTMARS22!K26+MVTAVRIL22!K26+MVTMAI22!K26+MVTJUIN22!K26+MVTJUIL22!K26+MVTAOUT22!K26+MVTSEPT22!K26+MVTOCT22!K26+MVTNOV22!K26+MVTDEC22!K26</f>
        <v>36000</v>
      </c>
      <c r="L26" s="36">
        <f>MVTJANV22!L26+MVTFEV22!L26+MVTMARS22!L26+MVTAVRIL22!L26+MVTMAI22!L26+MVTJUIN22!L26+MVTJUIL22!L26+MVTAOUT22!L26+MVTSEPT22!L26+MVTOCT22!L26+MVTNOV22!L26+MVTDEC22!L26</f>
        <v>6000</v>
      </c>
      <c r="M26" s="36">
        <f>MVTJANV22!M26+MVTFEV22!M26+MVTMARS22!M26+MVTAVRIL22!M26+MVTMAI22!M26+MVTJUIN22!M26+MVTJUIL22!M26+MVTAOUT22!M26+MVTSEPT22!M26+MVTOCT22!M26+MVTNOV22!M26+MVTDEC22!M26</f>
        <v>12000</v>
      </c>
      <c r="N26" s="36">
        <f>MVTJANV22!N26+MVTFEV22!N26+MVTMARS22!N26+MVTAVRIL22!N26+MVTMAI22!N26+MVTJUIN22!N26+MVTJUIL22!N26+MVTAOUT22!N26+MVTSEPT22!N26+MVTOCT22!N26+MVTNOV22!N26+MVTDEC22!N26</f>
        <v>30000</v>
      </c>
      <c r="O26" s="36">
        <f>MVTJANV22!O26+MVTFEV22!O26+MVTMARS22!O26+MVTAVRIL22!O26+MVTMAI22!O26+MVTJUIN22!O26+MVTJUIL22!O26+MVTAOUT22!O26+MVTSEPT22!O26+MVTOCT22!O26+MVTNOV22!O26+MVTDEC22!O26</f>
        <v>15000</v>
      </c>
      <c r="P26" s="36">
        <f>MVTJANV22!P26+MVTFEV22!P26+MVTMARS22!P26+MVTAVRIL22!P26+MVTMAI22!P26+MVTJUIN22!P26+MVTJUIL22!P26+MVTAOUT22!P26+MVTSEPT22!P26+MVTOCT22!P26+MVTNOV22!P26+MVTDEC22!P26</f>
        <v>0</v>
      </c>
      <c r="Q26" s="36">
        <f>MVTJANV22!Q26+MVTFEV22!Q26+MVTMARS22!Q26+MVTAVRIL22!Q26+MVTMAI22!Q26+MVTJUIN22!Q26+MVTJUIL22!Q26+MVTAOUT22!Q26+MVTSEPT22!Q26+MVTOCT22!Q26+MVTNOV22!Q26+MVTDEC22!Q26</f>
        <v>0</v>
      </c>
      <c r="R26" s="36">
        <f>MVTJANV22!R26+MVTFEV22!R26+MVTMARS22!R26+MVTAVRIL22!R26+MVTMAI22!R26+MVTJUIN22!R26+MVTJUIL22!R26+MVTAOUT22!R26+MVTSEPT22!R26+MVTOCT22!R26+MVTNOV22!R26+MVTDEC22!R26</f>
        <v>3155000</v>
      </c>
      <c r="S26" s="36">
        <f>MVTJANV22!S26+MVTFEV22!S26+MVTMARS22!S26+MVTAVRIL22!S26+MVTMAI22!S26+MVTJUIN22!S26+MVTJUIL22!S26+MVTAOUT22!S26+MVTSEPT22!S26+MVTOCT22!S26+MVTNOV22!S26+MVTDEC22!S26</f>
        <v>80000</v>
      </c>
      <c r="T26" s="36"/>
      <c r="U26" s="36">
        <f>MVTJANV22!U26+MVTFEV22!U26+MVTMARS22!U26+MVTAVRIL22!U26+MVTMAI22!U26+MVTJUIN22!U26+MVTJUIL22!U26+MVTAOUT22!U26+MVTSEPT22!U26+MVTOCT22!U26+MVTNOV22!U26+MVTDEC22!U26</f>
        <v>2155000</v>
      </c>
      <c r="V26" s="36"/>
      <c r="W26" s="36"/>
      <c r="X26" s="36">
        <f>MVTJANV22!X26+MVTFEV22!X26+MVTMARS22!X26+MVTAVRIL22!X26+MVTMAI22!X26+MVTJUIN22!X26+MVTJUIL22!X26+MVTAOUT22!X26+MVTSEPT22!X26+MVTOCT22!X26+MVTNOV22!X26+MVTDEC22!X26</f>
        <v>0</v>
      </c>
      <c r="Y26" s="36">
        <f>MVTJANV22!Y26+MVTFEV22!Y26+MVTMARS22!Y26+MVTAVRIL22!Y26+MVTMAI22!Y26+MVTJUIN22!Y26+MVTJUIL22!Y26+MVTAOUT22!Y26+MVTSEPT22!Y26+MVTOCT22!Y26+MVTNOV22!Y26+MVTDEC22!Y26</f>
        <v>0</v>
      </c>
      <c r="Z26" s="36">
        <f>MVTJANV22!Z26+MVTFEV22!Z26+MVTMARS22!Z26+MVTAVRIL22!Z26+MVTMAI22!Z26+MVTJUIN22!Z26+MVTJUIL22!Z26+MVTAOUT22!Z26+MVTSEPT22!Z26+MVTOCT22!Z26+MVTNOV22!Z26+MVTDEC22!Z26</f>
        <v>0</v>
      </c>
      <c r="AA26" s="36">
        <f>MVTJANV22!AA26+MVTFEV22!AA26+MVTMARS22!AA26+MVTAVRIL22!AA26+MVTMAI22!AA26+MVTJUIN22!AA26+MVTJUIL22!AA26+MVTAOUT22!AA26+MVTSEPT22!AA26+MVTOCT22!AA26+MVTNOV22!AA26+MVTDEC22!AA26</f>
        <v>0</v>
      </c>
      <c r="AB26" s="36">
        <f>MVTJANV22!AB26+MVTFEV22!AB26+MVTMARS22!AB26+MVTAVRIL22!AB26+MVTMAI22!AB26+MVTJUIN22!AB26+MVTJUIL22!AB26+MVTAOUT22!AB26+MVTSEPT22!AB26+MVTOCT22!AB26+MVTNOV22!AB26+MVTDEC22!AB26</f>
        <v>0</v>
      </c>
      <c r="AC26" s="36">
        <f>MVTJANV22!AC26+MVTFEV22!AC26+MVTMARS22!AC26+MVTAVRIL22!AC26+MVTMAI22!AC26+MVTJUIN22!AC26+MVTJUIL22!AC26+MVTAOUT22!AC26+MVTSEPT22!AC26+MVTOCT22!AC26+MVTNOV22!AC26+MVTDEC22!AC26</f>
        <v>0</v>
      </c>
      <c r="AD26" s="36">
        <f>MVTJANV22!AD26+MVTFEV22!AD26+MVTMARS22!AD26+MVTAVRIL22!AD26+MVTMAI22!AD26+MVTJUIN22!AD26+MVTJUIL22!AD26+MVTAOUT22!AD26+MVTSEPT22!AD26+MVTOCT22!AD26+MVTNOV22!AD26+MVTDEC22!AD26</f>
        <v>73000</v>
      </c>
      <c r="AE26" s="36">
        <f>MVTJANV22!AE26+MVTFEV22!AE26+MVTMARS22!AE26+MVTAVRIL22!AE26+MVTMAI22!AE26+MVTJUIN22!AE26+MVTJUIL22!AE26+MVTAOUT22!AE26+MVTSEPT22!AE26+MVTOCT22!AE26+MVTNOV22!AE26+MVTDEC22!AE26</f>
        <v>0</v>
      </c>
      <c r="AF26" s="36">
        <f>MVTJANV22!AF26+MVTFEV22!AF26+MVTMARS22!AF26+MVTAVRIL22!AF26+MVTMAI22!AF26+MVTJUIN22!AF26+MVTJUIL22!AF26+MVTAOUT22!AF26+MVTSEPT22!AF26+MVTOCT22!AF26+MVTNOV22!AF26+MVTDEC22!AF26</f>
        <v>0</v>
      </c>
      <c r="AG26" s="36">
        <f>MVTJANV22!AG26+MVTFEV22!AG26+MVTMARS22!AG26+MVTAVRIL22!AG26+MVTMAI22!AG26+MVTJUIN22!AG26+MVTJUIL22!AG26+MVTAOUT22!AG26+MVTSEPT22!AG26+MVTOCT22!AG26+MVTNOV22!AG26+MVTDEC22!AG26</f>
        <v>0</v>
      </c>
      <c r="AH26" s="36">
        <f>MVTJANV22!AH26+MVTFEV22!AH26+MVTMARS22!AH26+MVTAVRIL22!AH26+MVTMAI22!AH26+MVTJUIN22!AH26+MVTJUIL22!AH26+MVTAOUT22!AH26+MVTSEPT22!AH26+MVTOCT22!AH26+MVTNOV22!AH26+MVTDEC22!AH26</f>
        <v>0</v>
      </c>
      <c r="AI26" s="36">
        <f t="shared" si="2"/>
        <v>1000000</v>
      </c>
      <c r="AJ26" s="107">
        <v>45262</v>
      </c>
      <c r="AK26" s="36">
        <f>MVTJANV22!AI26+MVTFEV22!AI26+MVTMARS22!AI26+MVTAVRIL22!AI26+MVTMAI22!AI26+MVTJUIN22!AI26+MVTJUIL22!AI26+MVTAOUT22!AI26+MVTSEPT22!AI26+MVTOCT22!AI26+MVTNOV22!AI26+MVTDEC22!AI26</f>
        <v>155000</v>
      </c>
      <c r="AL26" s="36">
        <f>MVTJANV22!AJ26+MVTFEV22!AJ26+MVTMARS22!AJ26+MVTAVRIL22!AJ26+MVTMAI22!AJ26+MVTJUIN22!AJ26+MVTJUIL22!AJ26+MVTAOUT22!AJ26+MVTSEPT22!AJ26+MVTOCT22!AJ26+MVTNOV22!AJ26+MVTDEC22!AJ26</f>
        <v>0</v>
      </c>
    </row>
    <row r="27" spans="1:38" x14ac:dyDescent="0.25">
      <c r="A27" s="1" t="s">
        <v>30</v>
      </c>
      <c r="B27" s="1" t="str">
        <f>VLOOKUP(A27,[15]LISTADHERENT!A$5:H$60,3,0)</f>
        <v>NKEHE DAVID</v>
      </c>
      <c r="C27" s="5">
        <f>MVTJANV22!C27+MVTFEV22!C27+MVTMARS22!C27+MVTAVRIL22!C27+MVTMAI22!C27+MVTJUIN22!C27+MVTJUIL22!C27+MVTAOUT22!C27+MVTSEPT22!C27+MVTOCT22!C27+MVTNOV22!C27+MVTDEC22!C27</f>
        <v>534974.27750837663</v>
      </c>
      <c r="D27" s="5">
        <f>MVTJANV22!D27+MVTFEV22!D27+MVTMARS22!D27+MVTAVRIL22!D27+MVTMAI22!D27+MVTJUIN22!D27+MVTJUIL22!D27+MVTAOUT22!D27+MVTSEPT22!D27+MVTOCT22!D27+MVTNOV22!D27+MVTDEC22!D27</f>
        <v>-5025.7224916233827</v>
      </c>
      <c r="E27" s="36">
        <f>MVTJANV22!E27+MVTFEV22!E27+MVTMARS22!E27+MVTAVRIL22!E27+MVTMAI22!E27+MVTJUIN22!E27+MVTJUIL22!E27+MVTAOUT22!E27+MVTSEPT22!E27+MVTOCT22!E27+MVTNOV22!E27+MVTDEC22!E27</f>
        <v>0</v>
      </c>
      <c r="F27" s="5">
        <f t="shared" si="0"/>
        <v>534974.27750837663</v>
      </c>
      <c r="G27" s="6">
        <f>MVTJANV22!G27+MVTFEV22!G27+MVTMARS22!G27+MVTAVRIL22!G27+MVTMAI22!G27+MVTJUIN22!G27+MVTJUIL22!G27+MVTAOUT22!G27+MVTSEPT22!G27+MVTOCT22!G27+MVTNOV22!G27+MVTDEC22!G27</f>
        <v>0</v>
      </c>
      <c r="H27" s="6"/>
      <c r="I27" s="36">
        <f>MVTJANV22!I27+MVTFEV22!I27+MVTMARS22!I27+MVTAVRIL22!I27+MVTMAI22!I27+MVTJUIN22!I27+MVTJUIL22!I27+MVTAOUT22!I27+MVTSEPT22!I27+MVTOCT22!I27+MVTNOV22!I27+MVTDEC22!I27</f>
        <v>0</v>
      </c>
      <c r="J27" s="36">
        <f>MVTJANV22!J27+MVTFEV22!J27+MVTMARS22!J27+MVTAVRIL22!J27+MVTMAI22!J27+MVTJUIN22!J27+MVTJUIL22!J27+MVTAOUT22!J27+MVTSEPT22!J27+MVTOCT22!J27+MVTNOV22!J27+MVTDEC22!J27</f>
        <v>0</v>
      </c>
      <c r="K27" s="36">
        <f>MVTJANV22!K27+MVTFEV22!K27+MVTMARS22!K27+MVTAVRIL22!K27+MVTMAI22!K27+MVTJUIN22!K27+MVTJUIL22!K27+MVTAOUT22!K27+MVTSEPT22!K27+MVTOCT22!K27+MVTNOV22!K27+MVTDEC22!K27</f>
        <v>0</v>
      </c>
      <c r="L27" s="36">
        <f>MVTJANV22!L27+MVTFEV22!L27+MVTMARS22!L27+MVTAVRIL22!L27+MVTMAI22!L27+MVTJUIN22!L27+MVTJUIL22!L27+MVTAOUT22!L27+MVTSEPT22!L27+MVTOCT22!L27+MVTNOV22!L27+MVTDEC22!L27</f>
        <v>0</v>
      </c>
      <c r="M27" s="36">
        <f>MVTJANV22!M27+MVTFEV22!M27+MVTMARS22!M27+MVTAVRIL22!M27+MVTMAI22!M27+MVTJUIN22!M27+MVTJUIL22!M27+MVTAOUT22!M27+MVTSEPT22!M27+MVTOCT22!M27+MVTNOV22!M27+MVTDEC22!M27</f>
        <v>0</v>
      </c>
      <c r="N27" s="36">
        <f>MVTJANV22!N27+MVTFEV22!N27+MVTMARS22!N27+MVTAVRIL22!N27+MVTMAI22!N27+MVTJUIN22!N27+MVTJUIL22!N27+MVTAOUT22!N27+MVTSEPT22!N27+MVTOCT22!N27+MVTNOV22!N27+MVTDEC22!N27</f>
        <v>0</v>
      </c>
      <c r="O27" s="36">
        <f>MVTJANV22!O27+MVTFEV22!O27+MVTMARS22!O27+MVTAVRIL22!O27+MVTMAI22!O27+MVTJUIN22!O27+MVTJUIL22!O27+MVTAOUT22!O27+MVTSEPT22!O27+MVTOCT22!O27+MVTNOV22!O27+MVTDEC22!O27</f>
        <v>0</v>
      </c>
      <c r="P27" s="36">
        <f>MVTJANV22!P27+MVTFEV22!P27+MVTMARS22!P27+MVTAVRIL22!P27+MVTMAI22!P27+MVTJUIN22!P27+MVTJUIL22!P27+MVTAOUT22!P27+MVTSEPT22!P27+MVTOCT22!P27+MVTNOV22!P27+MVTDEC22!P27</f>
        <v>0</v>
      </c>
      <c r="Q27" s="36">
        <f>MVTJANV22!Q27+MVTFEV22!Q27+MVTMARS22!Q27+MVTAVRIL22!Q27+MVTMAI22!Q27+MVTJUIN22!Q27+MVTJUIL22!Q27+MVTAOUT22!Q27+MVTSEPT22!Q27+MVTOCT22!Q27+MVTNOV22!Q27+MVTDEC22!Q27</f>
        <v>0</v>
      </c>
      <c r="R27" s="36">
        <f>MVTJANV22!R27+MVTFEV22!R27+MVTMARS22!R27+MVTAVRIL22!R27+MVTMAI22!R27+MVTJUIN22!R27+MVTJUIL22!R27+MVTAOUT22!R27+MVTSEPT22!R27+MVTOCT22!R27+MVTNOV22!R27+MVTDEC22!R27</f>
        <v>1155000</v>
      </c>
      <c r="S27" s="36">
        <f>MVTJANV22!S27+MVTFEV22!S27+MVTMARS22!S27+MVTAVRIL22!S27+MVTMAI22!S27+MVTJUIN22!S27+MVTJUIL22!S27+MVTAOUT22!S27+MVTSEPT22!S27+MVTOCT22!S27+MVTNOV22!S27+MVTDEC22!S27</f>
        <v>0</v>
      </c>
      <c r="T27" s="36"/>
      <c r="U27" s="36">
        <f>MVTJANV22!U27+MVTFEV22!U27+MVTMARS22!U27+MVTAVRIL22!U27+MVTMAI22!U27+MVTJUIN22!U27+MVTJUIL22!U27+MVTAOUT22!U27+MVTSEPT22!U27+MVTOCT22!U27+MVTNOV22!U27+MVTDEC22!U27</f>
        <v>0</v>
      </c>
      <c r="V27" s="36"/>
      <c r="W27" s="36"/>
      <c r="X27" s="36">
        <f>MVTJANV22!X27+MVTFEV22!X27+MVTMARS22!X27+MVTAVRIL22!X27+MVTMAI22!X27+MVTJUIN22!X27+MVTJUIL22!X27+MVTAOUT22!X27+MVTSEPT22!X27+MVTOCT22!X27+MVTNOV22!X27+MVTDEC22!X27</f>
        <v>0</v>
      </c>
      <c r="Y27" s="36">
        <f>MVTJANV22!Y27+MVTFEV22!Y27+MVTMARS22!Y27+MVTAVRIL22!Y27+MVTMAI22!Y27+MVTJUIN22!Y27+MVTJUIL22!Y27+MVTAOUT22!Y27+MVTSEPT22!Y27+MVTOCT22!Y27+MVTNOV22!Y27+MVTDEC22!Y27</f>
        <v>0</v>
      </c>
      <c r="Z27" s="36">
        <f>MVTJANV22!Z27+MVTFEV22!Z27+MVTMARS22!Z27+MVTAVRIL22!Z27+MVTMAI22!Z27+MVTJUIN22!Z27+MVTJUIL22!Z27+MVTAOUT22!Z27+MVTSEPT22!Z27+MVTOCT22!Z27+MVTNOV22!Z27+MVTDEC22!Z27</f>
        <v>0</v>
      </c>
      <c r="AA27" s="36">
        <f>MVTJANV22!AA27+MVTFEV22!AA27+MVTMARS22!AA27+MVTAVRIL22!AA27+MVTMAI22!AA27+MVTJUIN22!AA27+MVTJUIL22!AA27+MVTAOUT22!AA27+MVTSEPT22!AA27+MVTOCT22!AA27+MVTNOV22!AA27+MVTDEC22!AA27</f>
        <v>0</v>
      </c>
      <c r="AB27" s="36">
        <f>MVTJANV22!AB27+MVTFEV22!AB27+MVTMARS22!AB27+MVTAVRIL22!AB27+MVTMAI22!AB27+MVTJUIN22!AB27+MVTJUIL22!AB27+MVTAOUT22!AB27+MVTSEPT22!AB27+MVTOCT22!AB27+MVTNOV22!AB27+MVTDEC22!AB27</f>
        <v>0</v>
      </c>
      <c r="AC27" s="36">
        <f>MVTJANV22!AC27+MVTFEV22!AC27+MVTMARS22!AC27+MVTAVRIL22!AC27+MVTMAI22!AC27+MVTJUIN22!AC27+MVTJUIL22!AC27+MVTAOUT22!AC27+MVTSEPT22!AC27+MVTOCT22!AC27+MVTNOV22!AC27+MVTDEC22!AC27</f>
        <v>0</v>
      </c>
      <c r="AD27" s="36">
        <f>MVTJANV22!AD27+MVTFEV22!AD27+MVTMARS22!AD27+MVTAVRIL22!AD27+MVTMAI22!AD27+MVTJUIN22!AD27+MVTJUIL22!AD27+MVTAOUT22!AD27+MVTSEPT22!AD27+MVTOCT22!AD27+MVTNOV22!AD27+MVTDEC22!AD27</f>
        <v>0</v>
      </c>
      <c r="AE27" s="36">
        <f>MVTJANV22!AE27+MVTFEV22!AE27+MVTMARS22!AE27+MVTAVRIL22!AE27+MVTMAI22!AE27+MVTJUIN22!AE27+MVTJUIL22!AE27+MVTAOUT22!AE27+MVTSEPT22!AE27+MVTOCT22!AE27+MVTNOV22!AE27+MVTDEC22!AE27</f>
        <v>0</v>
      </c>
      <c r="AF27" s="36">
        <f>MVTJANV22!AF27+MVTFEV22!AF27+MVTMARS22!AF27+MVTAVRIL22!AF27+MVTMAI22!AF27+MVTJUIN22!AF27+MVTJUIL22!AF27+MVTAOUT22!AF27+MVTSEPT22!AF27+MVTOCT22!AF27+MVTNOV22!AF27+MVTDEC22!AF27</f>
        <v>0</v>
      </c>
      <c r="AG27" s="36">
        <f>MVTJANV22!AG27+MVTFEV22!AG27+MVTMARS22!AG27+MVTAVRIL22!AG27+MVTMAI22!AG27+MVTJUIN22!AG27+MVTJUIL22!AG27+MVTAOUT22!AG27+MVTSEPT22!AG27+MVTOCT22!AG27+MVTNOV22!AG27+MVTDEC22!AG27</f>
        <v>0</v>
      </c>
      <c r="AH27" s="36">
        <f>MVTJANV22!AH27+MVTFEV22!AH27+MVTMARS22!AH27+MVTAVRIL22!AH27+MVTMAI22!AH27+MVTJUIN22!AH27+MVTJUIL22!AH27+MVTAOUT22!AH27+MVTSEPT22!AH27+MVTOCT22!AH27+MVTNOV22!AH27+MVTDEC22!AH27</f>
        <v>0</v>
      </c>
      <c r="AI27" s="36">
        <f t="shared" si="2"/>
        <v>1155000</v>
      </c>
      <c r="AJ27" s="107">
        <v>45262</v>
      </c>
      <c r="AK27" s="36">
        <f>MVTJANV22!AI27+MVTFEV22!AI27+MVTMARS22!AI27+MVTAVRIL22!AI27+MVTMAI22!AI27+MVTJUIN22!AI27+MVTJUIL22!AI27+MVTAOUT22!AI27+MVTSEPT22!AI27+MVTOCT22!AI27+MVTNOV22!AI27+MVTDEC22!AI27</f>
        <v>0</v>
      </c>
      <c r="AL27" s="36">
        <f>MVTJANV22!AJ27+MVTFEV22!AJ27+MVTMARS22!AJ27+MVTAVRIL22!AJ27+MVTMAI22!AJ27+MVTJUIN22!AJ27+MVTJUIL22!AJ27+MVTAOUT22!AJ27+MVTSEPT22!AJ27+MVTOCT22!AJ27+MVTNOV22!AJ27+MVTDEC22!AJ27</f>
        <v>0</v>
      </c>
    </row>
    <row r="28" spans="1:38" x14ac:dyDescent="0.25">
      <c r="A28" s="1" t="s">
        <v>44</v>
      </c>
      <c r="B28" s="1" t="str">
        <f>VLOOKUP(A28,[15]LISTADHERENT!A$5:H$60,3,0)</f>
        <v>NKEPSEU DIEUDONNE</v>
      </c>
      <c r="C28" s="5">
        <f>MVTJANV22!C28+MVTFEV22!C28+MVTMARS22!C28+MVTAVRIL22!C28+MVTMAI22!C28+MVTJUIN22!C28+MVTJUIL22!C28+MVTAOUT22!C28+MVTSEPT22!C28+MVTOCT22!C28+MVTNOV22!C28+MVTDEC22!C28</f>
        <v>570000</v>
      </c>
      <c r="D28" s="5">
        <f>MVTJANV22!D28+MVTFEV22!D28+MVTMARS22!D28+MVTAVRIL22!D28+MVTMAI22!D28+MVTJUIN22!D28+MVTJUIL22!D28+MVTAOUT22!D28+MVTSEPT22!D28+MVTOCT22!D28+MVTNOV22!D28+MVTDEC22!D28</f>
        <v>12062.781121595937</v>
      </c>
      <c r="E28" s="36">
        <f>MVTJANV22!E28+MVTFEV22!E28+MVTMARS22!E28+MVTAVRIL22!E28+MVTMAI22!E28+MVTJUIN22!E28+MVTJUIL22!E28+MVTAOUT22!E28+MVTSEPT22!E28+MVTOCT22!E28+MVTNOV22!E28+MVTDEC22!E28</f>
        <v>0</v>
      </c>
      <c r="F28" s="5">
        <f t="shared" si="0"/>
        <v>570000</v>
      </c>
      <c r="G28" s="6">
        <f>MVTJANV22!G28+MVTFEV22!G28+MVTMARS22!G28+MVTAVRIL22!G28+MVTMAI22!G28+MVTJUIN22!G28+MVTJUIL22!G28+MVTAOUT22!G28+MVTSEPT22!G28+MVTOCT22!G28+MVTNOV22!G28+MVTDEC22!G28</f>
        <v>128781.44074977924</v>
      </c>
      <c r="H28" s="6">
        <f t="shared" si="1"/>
        <v>1021062.781121596</v>
      </c>
      <c r="I28" s="36">
        <f>MVTJANV22!I28+MVTFEV22!I28+MVTMARS22!I28+MVTAVRIL22!I28+MVTMAI22!I28+MVTJUIN22!I28+MVTJUIL22!I28+MVTAOUT22!I28+MVTSEPT22!I28+MVTOCT22!I28+MVTNOV22!I28+MVTDEC22!I28</f>
        <v>0</v>
      </c>
      <c r="J28" s="36">
        <f>MVTJANV22!J28+MVTFEV22!J28+MVTMARS22!J28+MVTAVRIL22!J28+MVTMAI22!J28+MVTJUIN22!J28+MVTJUIL22!J28+MVTAOUT22!J28+MVTSEPT22!J28+MVTOCT22!J28+MVTNOV22!J28+MVTDEC22!J28</f>
        <v>487000</v>
      </c>
      <c r="K28" s="36">
        <f>MVTJANV22!K28+MVTFEV22!K28+MVTMARS22!K28+MVTAVRIL22!K28+MVTMAI22!K28+MVTJUIN22!K28+MVTJUIL22!K28+MVTAOUT22!K28+MVTSEPT22!K28+MVTOCT22!K28+MVTNOV22!K28+MVTDEC22!K28</f>
        <v>439000</v>
      </c>
      <c r="L28" s="36">
        <f>MVTJANV22!L28+MVTFEV22!L28+MVTMARS22!L28+MVTAVRIL22!L28+MVTMAI22!L28+MVTJUIN22!L28+MVTJUIL22!L28+MVTAOUT22!L28+MVTSEPT22!L28+MVTOCT22!L28+MVTNOV22!L28+MVTDEC22!L28</f>
        <v>6000</v>
      </c>
      <c r="M28" s="36">
        <f>MVTJANV22!M28+MVTFEV22!M28+MVTMARS22!M28+MVTAVRIL22!M28+MVTMAI22!M28+MVTJUIN22!M28+MVTJUIL22!M28+MVTAOUT22!M28+MVTSEPT22!M28+MVTOCT22!M28+MVTNOV22!M28+MVTDEC22!M28</f>
        <v>12000</v>
      </c>
      <c r="N28" s="36">
        <f>MVTJANV22!N28+MVTFEV22!N28+MVTMARS22!N28+MVTAVRIL22!N28+MVTMAI22!N28+MVTJUIN22!N28+MVTJUIL22!N28+MVTAOUT22!N28+MVTSEPT22!N28+MVTOCT22!N28+MVTNOV22!N28+MVTDEC22!N28</f>
        <v>30000</v>
      </c>
      <c r="O28" s="36">
        <f>MVTJANV22!O28+MVTFEV22!O28+MVTMARS22!O28+MVTAVRIL22!O28+MVTMAI22!O28+MVTJUIN22!O28+MVTJUIL22!O28+MVTAOUT22!O28+MVTSEPT22!O28+MVTOCT22!O28+MVTNOV22!O28+MVTDEC22!O28</f>
        <v>0</v>
      </c>
      <c r="P28" s="36">
        <f>MVTJANV22!P28+MVTFEV22!P28+MVTMARS22!P28+MVTAVRIL22!P28+MVTMAI22!P28+MVTJUIN22!P28+MVTJUIL22!P28+MVTAOUT22!P28+MVTSEPT22!P28+MVTOCT22!P28+MVTNOV22!P28+MVTDEC22!P28</f>
        <v>0</v>
      </c>
      <c r="Q28" s="36">
        <f>MVTJANV22!Q28+MVTFEV22!Q28+MVTMARS22!Q28+MVTAVRIL22!Q28+MVTMAI22!Q28+MVTJUIN22!Q28+MVTJUIL22!Q28+MVTAOUT22!Q28+MVTSEPT22!Q28+MVTOCT22!Q28+MVTNOV22!Q28+MVTDEC22!Q28</f>
        <v>0</v>
      </c>
      <c r="R28" s="36">
        <f>MVTJANV22!R28+MVTFEV22!R28+MVTMARS22!R28+MVTAVRIL22!R28+MVTMAI22!R28+MVTJUIN22!R28+MVTJUIL22!R28+MVTAOUT22!R28+MVTSEPT22!R28+MVTOCT22!R28+MVTNOV22!R28+MVTDEC22!R28</f>
        <v>1000000</v>
      </c>
      <c r="S28" s="36">
        <f>MVTJANV22!S28+MVTFEV22!S28+MVTMARS22!S28+MVTAVRIL22!S28+MVTMAI22!S28+MVTJUIN22!S28+MVTJUIL22!S28+MVTAOUT22!S28+MVTSEPT22!S28+MVTOCT22!S28+MVTNOV22!S28+MVTDEC22!S28</f>
        <v>120000</v>
      </c>
      <c r="T28" s="36"/>
      <c r="U28" s="36">
        <f>MVTJANV22!U28+MVTFEV22!U28+MVTMARS22!U28+MVTAVRIL22!U28+MVTMAI22!U28+MVTJUIN22!U28+MVTJUIL22!U28+MVTAOUT22!U28+MVTSEPT22!U28+MVTOCT22!U28+MVTNOV22!U28+MVTDEC22!U28</f>
        <v>1000000</v>
      </c>
      <c r="V28" s="36"/>
      <c r="W28" s="36"/>
      <c r="X28" s="36">
        <f>MVTJANV22!X28+MVTFEV22!X28+MVTMARS22!X28+MVTAVRIL22!X28+MVTMAI22!X28+MVTJUIN22!X28+MVTJUIL22!X28+MVTAOUT22!X28+MVTSEPT22!X28+MVTOCT22!X28+MVTNOV22!X28+MVTDEC22!X28</f>
        <v>0</v>
      </c>
      <c r="Y28" s="36">
        <f>MVTJANV22!Y28+MVTFEV22!Y28+MVTMARS22!Y28+MVTAVRIL22!Y28+MVTMAI22!Y28+MVTJUIN22!Y28+MVTJUIL22!Y28+MVTAOUT22!Y28+MVTSEPT22!Y28+MVTOCT22!Y28+MVTNOV22!Y28+MVTDEC22!Y28</f>
        <v>0</v>
      </c>
      <c r="Z28" s="36">
        <f>MVTJANV22!Z28+MVTFEV22!Z28+MVTMARS22!Z28+MVTAVRIL22!Z28+MVTMAI22!Z28+MVTJUIN22!Z28+MVTJUIL22!Z28+MVTAOUT22!Z28+MVTSEPT22!Z28+MVTOCT22!Z28+MVTNOV22!Z28+MVTDEC22!Z28</f>
        <v>0</v>
      </c>
      <c r="AA28" s="36">
        <f>MVTJANV22!AA28+MVTFEV22!AA28+MVTMARS22!AA28+MVTAVRIL22!AA28+MVTMAI22!AA28+MVTJUIN22!AA28+MVTJUIL22!AA28+MVTAOUT22!AA28+MVTSEPT22!AA28+MVTOCT22!AA28+MVTNOV22!AA28+MVTDEC22!AA28</f>
        <v>0</v>
      </c>
      <c r="AB28" s="36">
        <f>MVTJANV22!AB28+MVTFEV22!AB28+MVTMARS22!AB28+MVTAVRIL22!AB28+MVTMAI22!AB28+MVTJUIN22!AB28+MVTJUIL22!AB28+MVTAOUT22!AB28+MVTSEPT22!AB28+MVTOCT22!AB28+MVTNOV22!AB28+MVTDEC22!AB28</f>
        <v>0</v>
      </c>
      <c r="AC28" s="36">
        <f>MVTJANV22!AC28+MVTFEV22!AC28+MVTMARS22!AC28+MVTAVRIL22!AC28+MVTMAI22!AC28+MVTJUIN22!AC28+MVTJUIL22!AC28+MVTAOUT22!AC28+MVTSEPT22!AC28+MVTOCT22!AC28+MVTNOV22!AC28+MVTDEC22!AC28</f>
        <v>0</v>
      </c>
      <c r="AD28" s="36">
        <f>MVTJANV22!AD28+MVTFEV22!AD28+MVTMARS22!AD28+MVTAVRIL22!AD28+MVTMAI22!AD28+MVTJUIN22!AD28+MVTJUIL22!AD28+MVTAOUT22!AD28+MVTSEPT22!AD28+MVTOCT22!AD28+MVTNOV22!AD28+MVTDEC22!AD28</f>
        <v>70000</v>
      </c>
      <c r="AE28" s="36">
        <f>MVTJANV22!AE28+MVTFEV22!AE28+MVTMARS22!AE28+MVTAVRIL22!AE28+MVTMAI22!AE28+MVTJUIN22!AE28+MVTJUIL22!AE28+MVTAOUT22!AE28+MVTSEPT22!AE28+MVTOCT22!AE28+MVTNOV22!AE28+MVTDEC22!AE28</f>
        <v>0</v>
      </c>
      <c r="AF28" s="36">
        <f>MVTJANV22!AF28+MVTFEV22!AF28+MVTMARS22!AF28+MVTAVRIL22!AF28+MVTMAI22!AF28+MVTJUIN22!AF28+MVTJUIL22!AF28+MVTAOUT22!AF28+MVTSEPT22!AF28+MVTOCT22!AF28+MVTNOV22!AF28+MVTDEC22!AF28</f>
        <v>0</v>
      </c>
      <c r="AG28" s="36">
        <f>MVTJANV22!AG28+MVTFEV22!AG28+MVTMARS22!AG28+MVTAVRIL22!AG28+MVTMAI22!AG28+MVTJUIN22!AG28+MVTJUIL22!AG28+MVTAOUT22!AG28+MVTSEPT22!AG28+MVTOCT22!AG28+MVTNOV22!AG28+MVTDEC22!AG28</f>
        <v>0</v>
      </c>
      <c r="AH28" s="36">
        <f>MVTJANV22!AH28+MVTFEV22!AH28+MVTMARS22!AH28+MVTAVRIL22!AH28+MVTMAI22!AH28+MVTJUIN22!AH28+MVTJUIL22!AH28+MVTAOUT22!AH28+MVTSEPT22!AH28+MVTOCT22!AH28+MVTNOV22!AH28+MVTDEC22!AH28</f>
        <v>70000</v>
      </c>
      <c r="AI28" s="36">
        <f t="shared" si="2"/>
        <v>0</v>
      </c>
      <c r="AJ28" s="107">
        <v>45262</v>
      </c>
      <c r="AK28" s="36">
        <f>MVTJANV22!AI28+MVTFEV22!AI28+MVTMARS22!AI28+MVTAVRIL22!AI28+MVTMAI22!AI28+MVTJUIN22!AI28+MVTJUIL22!AI28+MVTAOUT22!AI28+MVTSEPT22!AI28+MVTOCT22!AI28+MVTNOV22!AI28+MVTDEC22!AI28</f>
        <v>0</v>
      </c>
      <c r="AL28" s="36">
        <f>MVTJANV22!AJ28+MVTFEV22!AJ28+MVTMARS22!AJ28+MVTAVRIL22!AJ28+MVTMAI22!AJ28+MVTJUIN22!AJ28+MVTJUIL22!AJ28+MVTAOUT22!AJ28+MVTSEPT22!AJ28+MVTOCT22!AJ28+MVTNOV22!AJ28+MVTDEC22!AJ28</f>
        <v>0</v>
      </c>
    </row>
    <row r="29" spans="1:38" x14ac:dyDescent="0.25">
      <c r="A29" s="1" t="s">
        <v>45</v>
      </c>
      <c r="B29" s="1" t="str">
        <f>VLOOKUP(A29,[15]LISTADHERENT!A$5:H$60,3,0)</f>
        <v>PATEGO NJOSSU GUSTAVE</v>
      </c>
      <c r="C29" s="5">
        <f>MVTJANV22!C29+MVTFEV22!C29+MVTMARS22!C29+MVTAVRIL22!C29+MVTMAI22!C29+MVTJUIN22!C29+MVTJUIL22!C29+MVTAOUT22!C29+MVTSEPT22!C29+MVTOCT22!C29+MVTNOV22!C29+MVTDEC22!C29</f>
        <v>570000</v>
      </c>
      <c r="D29" s="5">
        <f>MVTJANV22!D29+MVTFEV22!D29+MVTMARS22!D29+MVTAVRIL22!D29+MVTMAI22!D29+MVTJUIN22!D29+MVTJUIL22!D29+MVTAOUT22!D29+MVTSEPT22!D29+MVTOCT22!D29+MVTNOV22!D29+MVTDEC22!D29</f>
        <v>21819.131591268466</v>
      </c>
      <c r="E29" s="36">
        <f>MVTJANV22!E29+MVTFEV22!E29+MVTMARS22!E29+MVTAVRIL22!E29+MVTMAI22!E29+MVTJUIN22!E29+MVTJUIL22!E29+MVTAOUT22!E29+MVTSEPT22!E29+MVTOCT22!E29+MVTNOV22!E29+MVTDEC22!E29</f>
        <v>0</v>
      </c>
      <c r="F29" s="5">
        <f t="shared" si="0"/>
        <v>570000</v>
      </c>
      <c r="G29" s="6">
        <f>MVTJANV22!G29+MVTFEV22!G29+MVTMARS22!G29+MVTAVRIL22!G29+MVTMAI22!G29+MVTJUIN22!G29+MVTJUIL22!G29+MVTAOUT22!G29+MVTSEPT22!G29+MVTOCT22!G29+MVTNOV22!G29+MVTDEC22!G29</f>
        <v>100181.58296263576</v>
      </c>
      <c r="H29" s="6">
        <f t="shared" si="1"/>
        <v>627819.13159126847</v>
      </c>
      <c r="I29" s="36">
        <f>MVTJANV22!I29+MVTFEV22!I29+MVTMARS22!I29+MVTAVRIL22!I29+MVTMAI22!I29+MVTJUIN22!I29+MVTJUIL22!I29+MVTAOUT22!I29+MVTSEPT22!I29+MVTOCT22!I29+MVTNOV22!I29+MVTDEC22!I29</f>
        <v>0</v>
      </c>
      <c r="J29" s="36">
        <f>MVTJANV22!J29+MVTFEV22!J29+MVTMARS22!J29+MVTAVRIL22!J29+MVTMAI22!J29+MVTJUIN22!J29+MVTJUIL22!J29+MVTAOUT22!J29+MVTSEPT22!J29+MVTOCT22!J29+MVTNOV22!J29+MVTDEC22!J29</f>
        <v>84000</v>
      </c>
      <c r="K29" s="36">
        <f>MVTJANV22!K29+MVTFEV22!K29+MVTMARS22!K29+MVTAVRIL22!K29+MVTMAI22!K29+MVTJUIN22!K29+MVTJUIL22!K29+MVTAOUT22!K29+MVTSEPT22!K29+MVTOCT22!K29+MVTNOV22!K29+MVTDEC22!K29</f>
        <v>36000</v>
      </c>
      <c r="L29" s="36">
        <f>MVTJANV22!L29+MVTFEV22!L29+MVTMARS22!L29+MVTAVRIL22!L29+MVTMAI22!L29+MVTJUIN22!L29+MVTJUIL22!L29+MVTAOUT22!L29+MVTSEPT22!L29+MVTOCT22!L29+MVTNOV22!L29+MVTDEC22!L29</f>
        <v>6000</v>
      </c>
      <c r="M29" s="36">
        <f>MVTJANV22!M29+MVTFEV22!M29+MVTMARS22!M29+MVTAVRIL22!M29+MVTMAI22!M29+MVTJUIN22!M29+MVTJUIL22!M29+MVTAOUT22!M29+MVTSEPT22!M29+MVTOCT22!M29+MVTNOV22!M29+MVTDEC22!M29</f>
        <v>12000</v>
      </c>
      <c r="N29" s="36">
        <f>MVTJANV22!N29+MVTFEV22!N29+MVTMARS22!N29+MVTAVRIL22!N29+MVTMAI22!N29+MVTJUIN22!N29+MVTJUIL22!N29+MVTAOUT22!N29+MVTSEPT22!N29+MVTOCT22!N29+MVTNOV22!N29+MVTDEC22!N29</f>
        <v>30000</v>
      </c>
      <c r="O29" s="36">
        <f>MVTJANV22!O29+MVTFEV22!O29+MVTMARS22!O29+MVTAVRIL22!O29+MVTMAI22!O29+MVTJUIN22!O29+MVTJUIL22!O29+MVTAOUT22!O29+MVTSEPT22!O29+MVTOCT22!O29+MVTNOV22!O29+MVTDEC22!O29</f>
        <v>0</v>
      </c>
      <c r="P29" s="36">
        <f>MVTJANV22!P29+MVTFEV22!P29+MVTMARS22!P29+MVTAVRIL22!P29+MVTMAI22!P29+MVTJUIN22!P29+MVTJUIL22!P29+MVTAOUT22!P29+MVTSEPT22!P29+MVTOCT22!P29+MVTNOV22!P29+MVTDEC22!P29</f>
        <v>0</v>
      </c>
      <c r="Q29" s="36">
        <f>MVTJANV22!Q29+MVTFEV22!Q29+MVTMARS22!Q29+MVTAVRIL22!Q29+MVTMAI22!Q29+MVTJUIN22!Q29+MVTJUIL22!Q29+MVTAOUT22!Q29+MVTSEPT22!Q29+MVTOCT22!Q29+MVTNOV22!Q29+MVTDEC22!Q29</f>
        <v>0</v>
      </c>
      <c r="R29" s="36">
        <f>MVTJANV22!R29+MVTFEV22!R29+MVTMARS22!R29+MVTAVRIL22!R29+MVTMAI22!R29+MVTJUIN22!R29+MVTJUIL22!R29+MVTAOUT22!R29+MVTSEPT22!R29+MVTOCT22!R29+MVTNOV22!R29+MVTDEC22!R29</f>
        <v>0</v>
      </c>
      <c r="S29" s="36">
        <f>MVTJANV22!S29+MVTFEV22!S29+MVTMARS22!S29+MVTAVRIL22!S29+MVTMAI22!S29+MVTJUIN22!S29+MVTJUIL22!S29+MVTAOUT22!S29+MVTSEPT22!S29+MVTOCT22!S29+MVTNOV22!S29+MVTDEC22!S29</f>
        <v>0</v>
      </c>
      <c r="T29" s="36"/>
      <c r="U29" s="36">
        <f>MVTJANV22!U29+MVTFEV22!U29+MVTMARS22!U29+MVTAVRIL22!U29+MVTMAI22!U29+MVTJUIN22!U29+MVTJUIL22!U29+MVTAOUT22!U29+MVTSEPT22!U29+MVTOCT22!U29+MVTNOV22!U29+MVTDEC22!U29</f>
        <v>0</v>
      </c>
      <c r="V29" s="36"/>
      <c r="W29" s="36"/>
      <c r="X29" s="36">
        <f>MVTJANV22!X29+MVTFEV22!X29+MVTMARS22!X29+MVTAVRIL22!X29+MVTMAI22!X29+MVTJUIN22!X29+MVTJUIL22!X29+MVTAOUT22!X29+MVTSEPT22!X29+MVTOCT22!X29+MVTNOV22!X29+MVTDEC22!X29</f>
        <v>0</v>
      </c>
      <c r="Y29" s="36">
        <f>MVTJANV22!Y29+MVTFEV22!Y29+MVTMARS22!Y29+MVTAVRIL22!Y29+MVTMAI22!Y29+MVTJUIN22!Y29+MVTJUIL22!Y29+MVTAOUT22!Y29+MVTSEPT22!Y29+MVTOCT22!Y29+MVTNOV22!Y29+MVTDEC22!Y29</f>
        <v>0</v>
      </c>
      <c r="Z29" s="36">
        <f>MVTJANV22!Z29+MVTFEV22!Z29+MVTMARS22!Z29+MVTAVRIL22!Z29+MVTMAI22!Z29+MVTJUIN22!Z29+MVTJUIL22!Z29+MVTAOUT22!Z29+MVTSEPT22!Z29+MVTOCT22!Z29+MVTNOV22!Z29+MVTDEC22!Z29</f>
        <v>0</v>
      </c>
      <c r="AA29" s="36">
        <f>MVTJANV22!AA29+MVTFEV22!AA29+MVTMARS22!AA29+MVTAVRIL22!AA29+MVTMAI22!AA29+MVTJUIN22!AA29+MVTJUIL22!AA29+MVTAOUT22!AA29+MVTSEPT22!AA29+MVTOCT22!AA29+MVTNOV22!AA29+MVTDEC22!AA29</f>
        <v>0</v>
      </c>
      <c r="AB29" s="36">
        <f>MVTJANV22!AB29+MVTFEV22!AB29+MVTMARS22!AB29+MVTAVRIL22!AB29+MVTMAI22!AB29+MVTJUIN22!AB29+MVTJUIL22!AB29+MVTAOUT22!AB29+MVTSEPT22!AB29+MVTOCT22!AB29+MVTNOV22!AB29+MVTDEC22!AB29</f>
        <v>0</v>
      </c>
      <c r="AC29" s="36">
        <f>MVTJANV22!AC29+MVTFEV22!AC29+MVTMARS22!AC29+MVTAVRIL22!AC29+MVTMAI22!AC29+MVTJUIN22!AC29+MVTJUIL22!AC29+MVTAOUT22!AC29+MVTSEPT22!AC29+MVTOCT22!AC29+MVTNOV22!AC29+MVTDEC22!AC29</f>
        <v>0</v>
      </c>
      <c r="AD29" s="36">
        <f>MVTJANV22!AD29+MVTFEV22!AD29+MVTMARS22!AD29+MVTAVRIL22!AD29+MVTMAI22!AD29+MVTJUIN22!AD29+MVTJUIL22!AD29+MVTAOUT22!AD29+MVTSEPT22!AD29+MVTOCT22!AD29+MVTNOV22!AD29+MVTDEC22!AD29</f>
        <v>70000</v>
      </c>
      <c r="AE29" s="36">
        <f>MVTJANV22!AE29+MVTFEV22!AE29+MVTMARS22!AE29+MVTAVRIL22!AE29+MVTMAI22!AE29+MVTJUIN22!AE29+MVTJUIL22!AE29+MVTAOUT22!AE29+MVTSEPT22!AE29+MVTOCT22!AE29+MVTNOV22!AE29+MVTDEC22!AE29</f>
        <v>0</v>
      </c>
      <c r="AF29" s="36">
        <f>MVTJANV22!AF29+MVTFEV22!AF29+MVTMARS22!AF29+MVTAVRIL22!AF29+MVTMAI22!AF29+MVTJUIN22!AF29+MVTJUIL22!AF29+MVTAOUT22!AF29+MVTSEPT22!AF29+MVTOCT22!AF29+MVTNOV22!AF29+MVTDEC22!AF29</f>
        <v>0</v>
      </c>
      <c r="AG29" s="36">
        <f>MVTJANV22!AG29+MVTFEV22!AG29+MVTMARS22!AG29+MVTAVRIL22!AG29+MVTMAI22!AG29+MVTJUIN22!AG29+MVTJUIL22!AG29+MVTAOUT22!AG29+MVTSEPT22!AG29+MVTOCT22!AG29+MVTNOV22!AG29+MVTDEC22!AG29</f>
        <v>0</v>
      </c>
      <c r="AH29" s="36">
        <f>MVTJANV22!AH29+MVTFEV22!AH29+MVTMARS22!AH29+MVTAVRIL22!AH29+MVTMAI22!AH29+MVTJUIN22!AH29+MVTJUIL22!AH29+MVTAOUT22!AH29+MVTSEPT22!AH29+MVTOCT22!AH29+MVTNOV22!AH29+MVTDEC22!AH29</f>
        <v>0</v>
      </c>
      <c r="AI29" s="36">
        <f t="shared" si="2"/>
        <v>0</v>
      </c>
      <c r="AJ29" s="11"/>
      <c r="AK29" s="36">
        <f>MVTJANV22!AI29+MVTFEV22!AI29+MVTMARS22!AI29+MVTAVRIL22!AI29+MVTMAI22!AI29+MVTJUIN22!AI29+MVTJUIL22!AI29+MVTAOUT22!AI29+MVTSEPT22!AI29+MVTOCT22!AI29+MVTNOV22!AI29+MVTDEC22!AI29</f>
        <v>0</v>
      </c>
      <c r="AL29" s="36">
        <f>MVTJANV22!AJ29+MVTFEV22!AJ29+MVTMARS22!AJ29+MVTAVRIL22!AJ29+MVTMAI22!AJ29+MVTJUIN22!AJ29+MVTJUIL22!AJ29+MVTAOUT22!AJ29+MVTSEPT22!AJ29+MVTOCT22!AJ29+MVTNOV22!AJ29+MVTDEC22!AJ29</f>
        <v>0</v>
      </c>
    </row>
    <row r="30" spans="1:38" x14ac:dyDescent="0.25">
      <c r="A30" s="1" t="s">
        <v>81</v>
      </c>
      <c r="B30" s="1" t="str">
        <f>VLOOKUP(A30,[15]LISTADHERENT!A$5:H$60,3,0)</f>
        <v>SIME BRICE</v>
      </c>
      <c r="C30" s="5">
        <f>MVTJANV22!C30+MVTFEV22!C30+MVTMARS22!C30+MVTAVRIL22!C30+MVTMAI22!C30+MVTJUIN22!C30+MVTJUIL22!C30+MVTAOUT22!C30+MVTSEPT22!C30+MVTOCT22!C30+MVTNOV22!C30+MVTDEC22!C30</f>
        <v>570000</v>
      </c>
      <c r="D30" s="5">
        <f>MVTJANV22!D30+MVTFEV22!D30+MVTMARS22!D30+MVTAVRIL22!D30+MVTMAI22!D30+MVTJUIN22!D30+MVTJUIL22!D30+MVTAOUT22!D30+MVTSEPT22!D30+MVTOCT22!D30+MVTNOV22!D30+MVTDEC22!D30</f>
        <v>277025.72796184535</v>
      </c>
      <c r="E30" s="36">
        <f>MVTJANV22!E30+MVTFEV22!E30+MVTMARS22!E30+MVTAVRIL22!E30+MVTMAI22!E30+MVTJUIN22!E30+MVTJUIL22!E30+MVTAOUT22!E30+MVTSEPT22!E30+MVTOCT22!E30+MVTNOV22!E30+MVTDEC22!E30</f>
        <v>0</v>
      </c>
      <c r="F30" s="5">
        <f t="shared" si="0"/>
        <v>570000</v>
      </c>
      <c r="G30" s="6">
        <f>MVTJANV22!G30+MVTFEV22!G30+MVTMARS22!G30+MVTAVRIL22!G30+MVTMAI22!G30+MVTJUIN22!G30+MVTJUIL22!G30+MVTAOUT22!G30+MVTSEPT22!G30+MVTOCT22!G30+MVTNOV22!G30+MVTDEC22!G30</f>
        <v>142008.50549439507</v>
      </c>
      <c r="H30" s="6">
        <f t="shared" si="1"/>
        <v>880025.72796184535</v>
      </c>
      <c r="I30" s="36">
        <f>MVTJANV22!I30+MVTFEV22!I30+MVTMARS22!I30+MVTAVRIL22!I30+MVTMAI22!I30+MVTJUIN22!I30+MVTJUIL22!I30+MVTAOUT22!I30+MVTSEPT22!I30+MVTOCT22!I30+MVTNOV22!I30+MVTDEC22!I30</f>
        <v>0</v>
      </c>
      <c r="J30" s="36">
        <f>MVTJANV22!J30+MVTFEV22!J30+MVTMARS22!J30+MVTAVRIL22!J30+MVTMAI22!J30+MVTJUIN22!J30+MVTJUIL22!J30+MVTAOUT22!J30+MVTSEPT22!J30+MVTOCT22!J30+MVTNOV22!J30+MVTDEC22!J30</f>
        <v>81000</v>
      </c>
      <c r="K30" s="36">
        <f>MVTJANV22!K30+MVTFEV22!K30+MVTMARS22!K30+MVTAVRIL22!K30+MVTMAI22!K30+MVTJUIN22!K30+MVTJUIL22!K30+MVTAOUT22!K30+MVTSEPT22!K30+MVTOCT22!K30+MVTNOV22!K30+MVTDEC22!K30</f>
        <v>33000</v>
      </c>
      <c r="L30" s="36">
        <f>MVTJANV22!L30+MVTFEV22!L30+MVTMARS22!L30+MVTAVRIL22!L30+MVTMAI22!L30+MVTJUIN22!L30+MVTJUIL22!L30+MVTAOUT22!L30+MVTSEPT22!L30+MVTOCT22!L30+MVTNOV22!L30+MVTDEC22!L30</f>
        <v>6000</v>
      </c>
      <c r="M30" s="36">
        <f>MVTJANV22!M30+MVTFEV22!M30+MVTMARS22!M30+MVTAVRIL22!M30+MVTMAI22!M30+MVTJUIN22!M30+MVTJUIL22!M30+MVTAOUT22!M30+MVTSEPT22!M30+MVTOCT22!M30+MVTNOV22!M30+MVTDEC22!M30</f>
        <v>12000</v>
      </c>
      <c r="N30" s="36">
        <f>MVTJANV22!N30+MVTFEV22!N30+MVTMARS22!N30+MVTAVRIL22!N30+MVTMAI22!N30+MVTJUIN22!N30+MVTJUIL22!N30+MVTAOUT22!N30+MVTSEPT22!N30+MVTOCT22!N30+MVTNOV22!N30+MVTDEC22!N30</f>
        <v>30000</v>
      </c>
      <c r="O30" s="36">
        <f>MVTJANV22!O30+MVTFEV22!O30+MVTMARS22!O30+MVTAVRIL22!O30+MVTMAI22!O30+MVTJUIN22!O30+MVTJUIL22!O30+MVTAOUT22!O30+MVTSEPT22!O30+MVTOCT22!O30+MVTNOV22!O30+MVTDEC22!O30</f>
        <v>9000</v>
      </c>
      <c r="P30" s="36">
        <f>MVTJANV22!P30+MVTFEV22!P30+MVTMARS22!P30+MVTAVRIL22!P30+MVTMAI22!P30+MVTJUIN22!P30+MVTJUIL22!P30+MVTAOUT22!P30+MVTSEPT22!P30+MVTOCT22!P30+MVTNOV22!P30+MVTDEC22!P30</f>
        <v>0</v>
      </c>
      <c r="Q30" s="36">
        <f>MVTJANV22!Q30+MVTFEV22!Q30+MVTMARS22!Q30+MVTAVRIL22!Q30+MVTMAI22!Q30+MVTJUIN22!Q30+MVTJUIL22!Q30+MVTAOUT22!Q30+MVTSEPT22!Q30+MVTOCT22!Q30+MVTNOV22!Q30+MVTDEC22!Q30</f>
        <v>0</v>
      </c>
      <c r="R30" s="36">
        <f>MVTJANV22!R30+MVTFEV22!R30+MVTMARS22!R30+MVTAVRIL22!R30+MVTMAI22!R30+MVTJUIN22!R30+MVTJUIL22!R30+MVTAOUT22!R30+MVTSEPT22!R30+MVTOCT22!R30+MVTNOV22!R30+MVTDEC22!R30</f>
        <v>0</v>
      </c>
      <c r="S30" s="36">
        <f>MVTJANV22!S30+MVTFEV22!S30+MVTMARS22!S30+MVTAVRIL22!S30+MVTMAI22!S30+MVTJUIN22!S30+MVTJUIL22!S30+MVTAOUT22!S30+MVTSEPT22!S30+MVTOCT22!S30+MVTNOV22!S30+MVTDEC22!S30</f>
        <v>0</v>
      </c>
      <c r="T30" s="36"/>
      <c r="U30" s="36">
        <f>MVTJANV22!U30+MVTFEV22!U30+MVTMARS22!U30+MVTAVRIL22!U30+MVTMAI22!U30+MVTJUIN22!U30+MVTJUIL22!U30+MVTAOUT22!U30+MVTSEPT22!U30+MVTOCT22!U30+MVTNOV22!U30+MVTDEC22!U30</f>
        <v>0</v>
      </c>
      <c r="V30" s="36"/>
      <c r="W30" s="36"/>
      <c r="X30" s="36">
        <f>MVTJANV22!X30+MVTFEV22!X30+MVTMARS22!X30+MVTAVRIL22!X30+MVTMAI22!X30+MVTJUIN22!X30+MVTJUIL22!X30+MVTAOUT22!X30+MVTSEPT22!X30+MVTOCT22!X30+MVTNOV22!X30+MVTDEC22!X30</f>
        <v>0</v>
      </c>
      <c r="Y30" s="36">
        <f>MVTJANV22!Y30+MVTFEV22!Y30+MVTMARS22!Y30+MVTAVRIL22!Y30+MVTMAI22!Y30+MVTJUIN22!Y30+MVTJUIL22!Y30+MVTAOUT22!Y30+MVTSEPT22!Y30+MVTOCT22!Y30+MVTNOV22!Y30+MVTDEC22!Y30</f>
        <v>0</v>
      </c>
      <c r="Z30" s="36">
        <f>MVTJANV22!Z30+MVTFEV22!Z30+MVTMARS22!Z30+MVTAVRIL22!Z30+MVTMAI22!Z30+MVTJUIN22!Z30+MVTJUIL22!Z30+MVTAOUT22!Z30+MVTSEPT22!Z30+MVTOCT22!Z30+MVTNOV22!Z30+MVTDEC22!Z30</f>
        <v>0</v>
      </c>
      <c r="AA30" s="36">
        <f>MVTJANV22!AA30+MVTFEV22!AA30+MVTMARS22!AA30+MVTAVRIL22!AA30+MVTMAI22!AA30+MVTJUIN22!AA30+MVTJUIL22!AA30+MVTAOUT22!AA30+MVTSEPT22!AA30+MVTOCT22!AA30+MVTNOV22!AA30+MVTDEC22!AA30</f>
        <v>0</v>
      </c>
      <c r="AB30" s="36">
        <f>MVTJANV22!AB30+MVTFEV22!AB30+MVTMARS22!AB30+MVTAVRIL22!AB30+MVTMAI22!AB30+MVTJUIN22!AB30+MVTJUIL22!AB30+MVTAOUT22!AB30+MVTSEPT22!AB30+MVTOCT22!AB30+MVTNOV22!AB30+MVTDEC22!AB30</f>
        <v>0</v>
      </c>
      <c r="AC30" s="36">
        <f>MVTJANV22!AC30+MVTFEV22!AC30+MVTMARS22!AC30+MVTAVRIL22!AC30+MVTMAI22!AC30+MVTJUIN22!AC30+MVTJUIL22!AC30+MVTAOUT22!AC30+MVTSEPT22!AC30+MVTOCT22!AC30+MVTNOV22!AC30+MVTDEC22!AC30</f>
        <v>0</v>
      </c>
      <c r="AD30" s="36">
        <f>MVTJANV22!AD30+MVTFEV22!AD30+MVTMARS22!AD30+MVTAVRIL22!AD30+MVTMAI22!AD30+MVTJUIN22!AD30+MVTJUIL22!AD30+MVTAOUT22!AD30+MVTSEPT22!AD30+MVTOCT22!AD30+MVTNOV22!AD30+MVTDEC22!AD30</f>
        <v>70000</v>
      </c>
      <c r="AE30" s="36">
        <f>MVTJANV22!AE30+MVTFEV22!AE30+MVTMARS22!AE30+MVTAVRIL22!AE30+MVTMAI22!AE30+MVTJUIN22!AE30+MVTJUIL22!AE30+MVTAOUT22!AE30+MVTSEPT22!AE30+MVTOCT22!AE30+MVTNOV22!AE30+MVTDEC22!AE30</f>
        <v>0</v>
      </c>
      <c r="AF30" s="36">
        <f>MVTJANV22!AF30+MVTFEV22!AF30+MVTMARS22!AF30+MVTAVRIL22!AF30+MVTMAI22!AF30+MVTJUIN22!AF30+MVTJUIL22!AF30+MVTAOUT22!AF30+MVTSEPT22!AF30+MVTOCT22!AF30+MVTNOV22!AF30+MVTDEC22!AF30</f>
        <v>0</v>
      </c>
      <c r="AG30" s="36">
        <f>MVTJANV22!AG30+MVTFEV22!AG30+MVTMARS22!AG30+MVTAVRIL22!AG30+MVTMAI22!AG30+MVTJUIN22!AG30+MVTJUIL22!AG30+MVTAOUT22!AG30+MVTSEPT22!AG30+MVTOCT22!AG30+MVTNOV22!AG30+MVTDEC22!AG30</f>
        <v>0</v>
      </c>
      <c r="AH30" s="36">
        <f>MVTJANV22!AH30+MVTFEV22!AH30+MVTMARS22!AH30+MVTAVRIL22!AH30+MVTMAI22!AH30+MVTJUIN22!AH30+MVTJUIL22!AH30+MVTAOUT22!AH30+MVTSEPT22!AH30+MVTOCT22!AH30+MVTNOV22!AH30+MVTDEC22!AH30</f>
        <v>70000</v>
      </c>
      <c r="AI30" s="36">
        <f t="shared" si="2"/>
        <v>0</v>
      </c>
      <c r="AJ30" s="11"/>
      <c r="AK30" s="36">
        <f>MVTJANV22!AI30+MVTFEV22!AI30+MVTMARS22!AI30+MVTAVRIL22!AI30+MVTMAI22!AI30+MVTJUIN22!AI30+MVTJUIL22!AI30+MVTAOUT22!AI30+MVTSEPT22!AI30+MVTOCT22!AI30+MVTNOV22!AI30+MVTDEC22!AI30</f>
        <v>0</v>
      </c>
      <c r="AL30" s="36">
        <f>MVTJANV22!AJ30+MVTFEV22!AJ30+MVTMARS22!AJ30+MVTAVRIL22!AJ30+MVTMAI22!AJ30+MVTJUIN22!AJ30+MVTJUIL22!AJ30+MVTAOUT22!AJ30+MVTSEPT22!AJ30+MVTOCT22!AJ30+MVTNOV22!AJ30+MVTDEC22!AJ30</f>
        <v>0</v>
      </c>
    </row>
    <row r="31" spans="1:38" x14ac:dyDescent="0.25">
      <c r="A31" s="1" t="s">
        <v>47</v>
      </c>
      <c r="B31" s="1" t="str">
        <f>VLOOKUP(A31,[15]LISTADHERENT!A$5:H$60,3,0)</f>
        <v>SIMO FONGANG ERIC</v>
      </c>
      <c r="C31" s="5">
        <f>MVTJANV22!C31+MVTFEV22!C31+MVTMARS22!C31+MVTAVRIL22!C31+MVTMAI22!C31+MVTJUIN22!C31+MVTJUIL22!C31+MVTAOUT22!C31+MVTSEPT22!C31+MVTOCT22!C31+MVTNOV22!C31+MVTDEC22!C31</f>
        <v>570000</v>
      </c>
      <c r="D31" s="5">
        <f>MVTJANV22!D31+MVTFEV22!D31+MVTMARS22!D31+MVTAVRIL22!D31+MVTMAI22!D31+MVTJUIN22!D31+MVTJUIL22!D31+MVTAOUT22!D31+MVTSEPT22!D31+MVTOCT22!D31+MVTNOV22!D31+MVTDEC22!D31</f>
        <v>23309.374243114085</v>
      </c>
      <c r="E31" s="36">
        <f>MVTJANV22!E31+MVTFEV22!E31+MVTMARS22!E31+MVTAVRIL22!E31+MVTMAI22!E31+MVTJUIN22!E31+MVTJUIL22!E31+MVTAOUT22!E31+MVTSEPT22!E31+MVTOCT22!E31+MVTNOV22!E31+MVTDEC22!E31</f>
        <v>0</v>
      </c>
      <c r="F31" s="5">
        <f t="shared" si="0"/>
        <v>570000</v>
      </c>
      <c r="G31" s="6">
        <f>MVTJANV22!G31+MVTFEV22!G31+MVTMARS22!G31+MVTAVRIL22!G31+MVTMAI22!G31+MVTJUIN22!G31+MVTJUIL22!G31+MVTAOUT22!G31+MVTSEPT22!G31+MVTOCT22!G31+MVTNOV22!G31+MVTDEC22!G31</f>
        <v>0</v>
      </c>
      <c r="H31" s="6"/>
      <c r="I31" s="36">
        <f>MVTJANV22!I31+MVTFEV22!I31+MVTMARS22!I31+MVTAVRIL22!I31+MVTMAI22!I31+MVTJUIN22!I31+MVTJUIL22!I31+MVTAOUT22!I31+MVTSEPT22!I31+MVTOCT22!I31+MVTNOV22!I31+MVTDEC22!I31</f>
        <v>0</v>
      </c>
      <c r="J31" s="36">
        <f>MVTJANV22!J31+MVTFEV22!J31+MVTMARS22!J31+MVTAVRIL22!J31+MVTMAI22!J31+MVTJUIN22!J31+MVTJUIL22!J31+MVTAOUT22!J31+MVTSEPT22!J31+MVTOCT22!J31+MVTNOV22!J31+MVTDEC22!J31</f>
        <v>0</v>
      </c>
      <c r="K31" s="36">
        <f>MVTJANV22!K31+MVTFEV22!K31+MVTMARS22!K31+MVTAVRIL22!K31+MVTMAI22!K31+MVTJUIN22!K31+MVTJUIL22!K31+MVTAOUT22!K31+MVTSEPT22!K31+MVTOCT22!K31+MVTNOV22!K31+MVTDEC22!K31</f>
        <v>0</v>
      </c>
      <c r="L31" s="36">
        <f>MVTJANV22!L31+MVTFEV22!L31+MVTMARS22!L31+MVTAVRIL22!L31+MVTMAI22!L31+MVTJUIN22!L31+MVTJUIL22!L31+MVTAOUT22!L31+MVTSEPT22!L31+MVTOCT22!L31+MVTNOV22!L31+MVTDEC22!L31</f>
        <v>0</v>
      </c>
      <c r="M31" s="36">
        <f>MVTJANV22!M31+MVTFEV22!M31+MVTMARS22!M31+MVTAVRIL22!M31+MVTMAI22!M31+MVTJUIN22!M31+MVTJUIL22!M31+MVTAOUT22!M31+MVTSEPT22!M31+MVTOCT22!M31+MVTNOV22!M31+MVTDEC22!M31</f>
        <v>0</v>
      </c>
      <c r="N31" s="36">
        <f>MVTJANV22!N31+MVTFEV22!N31+MVTMARS22!N31+MVTAVRIL22!N31+MVTMAI22!N31+MVTJUIN22!N31+MVTJUIL22!N31+MVTAOUT22!N31+MVTSEPT22!N31+MVTOCT22!N31+MVTNOV22!N31+MVTDEC22!N31</f>
        <v>0</v>
      </c>
      <c r="O31" s="36">
        <f>MVTJANV22!O31+MVTFEV22!O31+MVTMARS22!O31+MVTAVRIL22!O31+MVTMAI22!O31+MVTJUIN22!O31+MVTJUIL22!O31+MVTAOUT22!O31+MVTSEPT22!O31+MVTOCT22!O31+MVTNOV22!O31+MVTDEC22!O31</f>
        <v>0</v>
      </c>
      <c r="P31" s="36">
        <f>MVTJANV22!P31+MVTFEV22!P31+MVTMARS22!P31+MVTAVRIL22!P31+MVTMAI22!P31+MVTJUIN22!P31+MVTJUIL22!P31+MVTAOUT22!P31+MVTSEPT22!P31+MVTOCT22!P31+MVTNOV22!P31+MVTDEC22!P31</f>
        <v>0</v>
      </c>
      <c r="Q31" s="36">
        <f>MVTJANV22!Q31+MVTFEV22!Q31+MVTMARS22!Q31+MVTAVRIL22!Q31+MVTMAI22!Q31+MVTJUIN22!Q31+MVTJUIL22!Q31+MVTAOUT22!Q31+MVTSEPT22!Q31+MVTOCT22!Q31+MVTNOV22!Q31+MVTDEC22!Q31</f>
        <v>0</v>
      </c>
      <c r="R31" s="36">
        <f>MVTJANV22!R31+MVTFEV22!R31+MVTMARS22!R31+MVTAVRIL22!R31+MVTMAI22!R31+MVTJUIN22!R31+MVTJUIL22!R31+MVTAOUT22!R31+MVTSEPT22!R31+MVTOCT22!R31+MVTNOV22!R31+MVTDEC22!R31</f>
        <v>1166000</v>
      </c>
      <c r="S31" s="36">
        <f>MVTJANV22!S31+MVTFEV22!S31+MVTMARS22!S31+MVTAVRIL22!S31+MVTMAI22!S31+MVTJUIN22!S31+MVTJUIL22!S31+MVTAOUT22!S31+MVTSEPT22!S31+MVTOCT22!S31+MVTNOV22!S31+MVTDEC22!S31</f>
        <v>0</v>
      </c>
      <c r="T31" s="36"/>
      <c r="U31" s="36">
        <f>MVTJANV22!U31+MVTFEV22!U31+MVTMARS22!U31+MVTAVRIL22!U31+MVTMAI22!U31+MVTJUIN22!U31+MVTJUIL22!U31+MVTAOUT22!U31+MVTSEPT22!U31+MVTOCT22!U31+MVTNOV22!U31+MVTDEC22!U31</f>
        <v>0</v>
      </c>
      <c r="V31" s="36"/>
      <c r="W31" s="36"/>
      <c r="X31" s="36">
        <f>MVTJANV22!X31+MVTFEV22!X31+MVTMARS22!X31+MVTAVRIL22!X31+MVTMAI22!X31+MVTJUIN22!X31+MVTJUIL22!X31+MVTAOUT22!X31+MVTSEPT22!X31+MVTOCT22!X31+MVTNOV22!X31+MVTDEC22!X31</f>
        <v>0</v>
      </c>
      <c r="Y31" s="36">
        <f>MVTJANV22!Y31+MVTFEV22!Y31+MVTMARS22!Y31+MVTAVRIL22!Y31+MVTMAI22!Y31+MVTJUIN22!Y31+MVTJUIL22!Y31+MVTAOUT22!Y31+MVTSEPT22!Y31+MVTOCT22!Y31+MVTNOV22!Y31+MVTDEC22!Y31</f>
        <v>0</v>
      </c>
      <c r="Z31" s="36">
        <f>MVTJANV22!Z31+MVTFEV22!Z31+MVTMARS22!Z31+MVTAVRIL22!Z31+MVTMAI22!Z31+MVTJUIN22!Z31+MVTJUIL22!Z31+MVTAOUT22!Z31+MVTSEPT22!Z31+MVTOCT22!Z31+MVTNOV22!Z31+MVTDEC22!Z31</f>
        <v>0</v>
      </c>
      <c r="AA31" s="36">
        <f>MVTJANV22!AA31+MVTFEV22!AA31+MVTMARS22!AA31+MVTAVRIL22!AA31+MVTMAI22!AA31+MVTJUIN22!AA31+MVTJUIL22!AA31+MVTAOUT22!AA31+MVTSEPT22!AA31+MVTOCT22!AA31+MVTNOV22!AA31+MVTDEC22!AA31</f>
        <v>0</v>
      </c>
      <c r="AB31" s="36">
        <f>MVTJANV22!AB31+MVTFEV22!AB31+MVTMARS22!AB31+MVTAVRIL22!AB31+MVTMAI22!AB31+MVTJUIN22!AB31+MVTJUIL22!AB31+MVTAOUT22!AB31+MVTSEPT22!AB31+MVTOCT22!AB31+MVTNOV22!AB31+MVTDEC22!AB31</f>
        <v>0</v>
      </c>
      <c r="AC31" s="36">
        <f>MVTJANV22!AC31+MVTFEV22!AC31+MVTMARS22!AC31+MVTAVRIL22!AC31+MVTMAI22!AC31+MVTJUIN22!AC31+MVTJUIL22!AC31+MVTAOUT22!AC31+MVTSEPT22!AC31+MVTOCT22!AC31+MVTNOV22!AC31+MVTDEC22!AC31</f>
        <v>0</v>
      </c>
      <c r="AD31" s="36">
        <f>MVTJANV22!AD31+MVTFEV22!AD31+MVTMARS22!AD31+MVTAVRIL22!AD31+MVTMAI22!AD31+MVTJUIN22!AD31+MVTJUIL22!AD31+MVTAOUT22!AD31+MVTSEPT22!AD31+MVTOCT22!AD31+MVTNOV22!AD31+MVTDEC22!AD31</f>
        <v>0</v>
      </c>
      <c r="AE31" s="36">
        <f>MVTJANV22!AE31+MVTFEV22!AE31+MVTMARS22!AE31+MVTAVRIL22!AE31+MVTMAI22!AE31+MVTJUIN22!AE31+MVTJUIL22!AE31+MVTAOUT22!AE31+MVTSEPT22!AE31+MVTOCT22!AE31+MVTNOV22!AE31+MVTDEC22!AE31</f>
        <v>0</v>
      </c>
      <c r="AF31" s="36">
        <f>MVTJANV22!AF31+MVTFEV22!AF31+MVTMARS22!AF31+MVTAVRIL22!AF31+MVTMAI22!AF31+MVTJUIN22!AF31+MVTJUIL22!AF31+MVTAOUT22!AF31+MVTSEPT22!AF31+MVTOCT22!AF31+MVTNOV22!AF31+MVTDEC22!AF31</f>
        <v>0</v>
      </c>
      <c r="AG31" s="36">
        <f>MVTJANV22!AG31+MVTFEV22!AG31+MVTMARS22!AG31+MVTAVRIL22!AG31+MVTMAI22!AG31+MVTJUIN22!AG31+MVTJUIL22!AG31+MVTAOUT22!AG31+MVTSEPT22!AG31+MVTOCT22!AG31+MVTNOV22!AG31+MVTDEC22!AG31</f>
        <v>0</v>
      </c>
      <c r="AH31" s="36">
        <f>MVTJANV22!AH31+MVTFEV22!AH31+MVTMARS22!AH31+MVTAVRIL22!AH31+MVTMAI22!AH31+MVTJUIN22!AH31+MVTJUIL22!AH31+MVTAOUT22!AH31+MVTSEPT22!AH31+MVTOCT22!AH31+MVTNOV22!AH31+MVTDEC22!AH31</f>
        <v>0</v>
      </c>
      <c r="AI31" s="36">
        <f t="shared" si="2"/>
        <v>1166000</v>
      </c>
      <c r="AJ31" s="107">
        <v>45262</v>
      </c>
      <c r="AK31" s="36">
        <f>MVTJANV22!AI31+MVTFEV22!AI31+MVTMARS22!AI31+MVTAVRIL22!AI31+MVTMAI22!AI31+MVTJUIN22!AI31+MVTJUIL22!AI31+MVTAOUT22!AI31+MVTSEPT22!AI31+MVTOCT22!AI31+MVTNOV22!AI31+MVTDEC22!AI31</f>
        <v>0</v>
      </c>
      <c r="AL31" s="36">
        <f>MVTJANV22!AJ31+MVTFEV22!AJ31+MVTMARS22!AJ31+MVTAVRIL22!AJ31+MVTMAI22!AJ31+MVTJUIN22!AJ31+MVTJUIL22!AJ31+MVTAOUT22!AJ31+MVTSEPT22!AJ31+MVTOCT22!AJ31+MVTNOV22!AJ31+MVTDEC22!AJ31</f>
        <v>0</v>
      </c>
    </row>
    <row r="32" spans="1:38" x14ac:dyDescent="0.25">
      <c r="A32" s="1" t="s">
        <v>49</v>
      </c>
      <c r="B32" s="1" t="str">
        <f>VLOOKUP(A32,[15]LISTADHERENT!A$5:H$60,3,0)</f>
        <v>SIMO PIERRE</v>
      </c>
      <c r="C32" s="5">
        <f>MVTJANV22!C32+MVTFEV22!C32+MVTMARS22!C32+MVTAVRIL22!C32+MVTMAI22!C32+MVTJUIN22!C32+MVTJUIL22!C32+MVTAOUT22!C32+MVTSEPT22!C32+MVTOCT22!C32+MVTNOV22!C32+MVTDEC22!C32</f>
        <v>570000</v>
      </c>
      <c r="D32" s="5">
        <f>MVTJANV22!D32+MVTFEV22!D32+MVTMARS22!D32+MVTAVRIL22!D32+MVTMAI22!D32+MVTJUIN22!D32+MVTJUIL22!D32+MVTAOUT22!D32+MVTSEPT22!D32+MVTOCT22!D32+MVTNOV22!D32+MVTDEC22!D32</f>
        <v>38450.871244281065</v>
      </c>
      <c r="E32" s="36">
        <f>MVTJANV22!E32+MVTFEV22!E32+MVTMARS22!E32+MVTAVRIL22!E32+MVTMAI22!E32+MVTJUIN22!E32+MVTJUIL22!E32+MVTAOUT22!E32+MVTSEPT22!E32+MVTOCT22!E32+MVTNOV22!E32+MVTDEC22!E32</f>
        <v>0</v>
      </c>
      <c r="F32" s="5">
        <f t="shared" si="0"/>
        <v>570000</v>
      </c>
      <c r="G32" s="6">
        <f>MVTJANV22!G32+MVTFEV22!G32+MVTMARS22!G32+MVTAVRIL22!G32+MVTMAI22!G32+MVTJUIN22!G32+MVTJUIL22!G32+MVTAOUT22!G32+MVTSEPT22!G32+MVTOCT22!G32+MVTNOV22!G32+MVTDEC22!G32</f>
        <v>114670.94062459384</v>
      </c>
      <c r="H32" s="6">
        <f t="shared" si="1"/>
        <v>781450.87124428106</v>
      </c>
      <c r="I32" s="36">
        <f>MVTJANV22!I32+MVTFEV22!I32+MVTMARS22!I32+MVTAVRIL22!I32+MVTMAI22!I32+MVTJUIN22!I32+MVTJUIL22!I32+MVTAOUT22!I32+MVTSEPT22!I32+MVTOCT22!I32+MVTNOV22!I32+MVTDEC22!I32</f>
        <v>0</v>
      </c>
      <c r="J32" s="36">
        <f>MVTJANV22!J32+MVTFEV22!J32+MVTMARS22!J32+MVTAVRIL22!J32+MVTMAI22!J32+MVTJUIN22!J32+MVTJUIL22!J32+MVTAOUT22!J32+MVTSEPT22!J32+MVTOCT22!J32+MVTNOV22!J32+MVTDEC22!J32</f>
        <v>221000</v>
      </c>
      <c r="K32" s="36">
        <f>MVTJANV22!K32+MVTFEV22!K32+MVTMARS22!K32+MVTAVRIL22!K32+MVTMAI22!K32+MVTJUIN22!K32+MVTJUIL22!K32+MVTAOUT22!K32+MVTSEPT22!K32+MVTOCT22!K32+MVTNOV22!K32+MVTDEC22!K32</f>
        <v>173000</v>
      </c>
      <c r="L32" s="36">
        <f>MVTJANV22!L32+MVTFEV22!L32+MVTMARS22!L32+MVTAVRIL22!L32+MVTMAI22!L32+MVTJUIN22!L32+MVTJUIL22!L32+MVTAOUT22!L32+MVTSEPT22!L32+MVTOCT22!L32+MVTNOV22!L32+MVTDEC22!L32</f>
        <v>6000</v>
      </c>
      <c r="M32" s="36">
        <f>MVTJANV22!M32+MVTFEV22!M32+MVTMARS22!M32+MVTAVRIL22!M32+MVTMAI22!M32+MVTJUIN22!M32+MVTJUIL22!M32+MVTAOUT22!M32+MVTSEPT22!M32+MVTOCT22!M32+MVTNOV22!M32+MVTDEC22!M32</f>
        <v>12000</v>
      </c>
      <c r="N32" s="36">
        <f>MVTJANV22!N32+MVTFEV22!N32+MVTMARS22!N32+MVTAVRIL22!N32+MVTMAI22!N32+MVTJUIN22!N32+MVTJUIL22!N32+MVTAOUT22!N32+MVTSEPT22!N32+MVTOCT22!N32+MVTNOV22!N32+MVTDEC22!N32</f>
        <v>30000</v>
      </c>
      <c r="O32" s="36">
        <f>MVTJANV22!O32+MVTFEV22!O32+MVTMARS22!O32+MVTAVRIL22!O32+MVTMAI22!O32+MVTJUIN22!O32+MVTJUIL22!O32+MVTAOUT22!O32+MVTSEPT22!O32+MVTOCT22!O32+MVTNOV22!O32+MVTDEC22!O32</f>
        <v>0</v>
      </c>
      <c r="P32" s="36">
        <f>MVTJANV22!P32+MVTFEV22!P32+MVTMARS22!P32+MVTAVRIL22!P32+MVTMAI22!P32+MVTJUIN22!P32+MVTJUIL22!P32+MVTAOUT22!P32+MVTSEPT22!P32+MVTOCT22!P32+MVTNOV22!P32+MVTDEC22!P32</f>
        <v>0</v>
      </c>
      <c r="Q32" s="36">
        <f>MVTJANV22!Q32+MVTFEV22!Q32+MVTMARS22!Q32+MVTAVRIL22!Q32+MVTMAI22!Q32+MVTJUIN22!Q32+MVTJUIL22!Q32+MVTAOUT22!Q32+MVTSEPT22!Q32+MVTOCT22!Q32+MVTNOV22!Q32+MVTDEC22!Q32</f>
        <v>0</v>
      </c>
      <c r="R32" s="36">
        <f>MVTJANV22!R32+MVTFEV22!R32+MVTMARS22!R32+MVTAVRIL22!R32+MVTMAI22!R32+MVTJUIN22!R32+MVTJUIL22!R32+MVTAOUT22!R32+MVTSEPT22!R32+MVTOCT22!R32+MVTNOV22!R32+MVTDEC22!R32</f>
        <v>2300000</v>
      </c>
      <c r="S32" s="36">
        <f>MVTJANV22!S32+MVTFEV22!S32+MVTMARS22!S32+MVTAVRIL22!S32+MVTMAI22!S32+MVTJUIN22!S32+MVTJUIL22!S32+MVTAOUT22!S32+MVTSEPT22!S32+MVTOCT22!S32+MVTNOV22!S32+MVTDEC22!S32</f>
        <v>198000</v>
      </c>
      <c r="T32" s="36"/>
      <c r="U32" s="36">
        <f>MVTJANV22!U32+MVTFEV22!U32+MVTMARS22!U32+MVTAVRIL22!U32+MVTMAI22!U32+MVTJUIN22!U32+MVTJUIL22!U32+MVTAOUT22!U32+MVTSEPT22!U32+MVTOCT22!U32+MVTNOV22!U32+MVTDEC22!U32</f>
        <v>1300000</v>
      </c>
      <c r="V32" s="36"/>
      <c r="W32" s="36"/>
      <c r="X32" s="36">
        <f>MVTJANV22!X32+MVTFEV22!X32+MVTMARS22!X32+MVTAVRIL22!X32+MVTMAI22!X32+MVTJUIN22!X32+MVTJUIL22!X32+MVTAOUT22!X32+MVTSEPT22!X32+MVTOCT22!X32+MVTNOV22!X32+MVTDEC22!X32</f>
        <v>0</v>
      </c>
      <c r="Y32" s="36">
        <f>MVTJANV22!Y32+MVTFEV22!Y32+MVTMARS22!Y32+MVTAVRIL22!Y32+MVTMAI22!Y32+MVTJUIN22!Y32+MVTJUIL22!Y32+MVTAOUT22!Y32+MVTSEPT22!Y32+MVTOCT22!Y32+MVTNOV22!Y32+MVTDEC22!Y32</f>
        <v>0</v>
      </c>
      <c r="Z32" s="36">
        <f>MVTJANV22!Z32+MVTFEV22!Z32+MVTMARS22!Z32+MVTAVRIL22!Z32+MVTMAI22!Z32+MVTJUIN22!Z32+MVTJUIL22!Z32+MVTAOUT22!Z32+MVTSEPT22!Z32+MVTOCT22!Z32+MVTNOV22!Z32+MVTDEC22!Z32</f>
        <v>0</v>
      </c>
      <c r="AA32" s="36">
        <f>MVTJANV22!AA32+MVTFEV22!AA32+MVTMARS22!AA32+MVTAVRIL22!AA32+MVTMAI22!AA32+MVTJUIN22!AA32+MVTJUIL22!AA32+MVTAOUT22!AA32+MVTSEPT22!AA32+MVTOCT22!AA32+MVTNOV22!AA32+MVTDEC22!AA32</f>
        <v>0</v>
      </c>
      <c r="AB32" s="36">
        <f>MVTJANV22!AB32+MVTFEV22!AB32+MVTMARS22!AB32+MVTAVRIL22!AB32+MVTMAI22!AB32+MVTJUIN22!AB32+MVTJUIL22!AB32+MVTAOUT22!AB32+MVTSEPT22!AB32+MVTOCT22!AB32+MVTNOV22!AB32+MVTDEC22!AB32</f>
        <v>0</v>
      </c>
      <c r="AC32" s="36">
        <f>MVTJANV22!AC32+MVTFEV22!AC32+MVTMARS22!AC32+MVTAVRIL22!AC32+MVTMAI22!AC32+MVTJUIN22!AC32+MVTJUIL22!AC32+MVTAOUT22!AC32+MVTSEPT22!AC32+MVTOCT22!AC32+MVTNOV22!AC32+MVTDEC22!AC32</f>
        <v>0</v>
      </c>
      <c r="AD32" s="36">
        <f>MVTJANV22!AD32+MVTFEV22!AD32+MVTMARS22!AD32+MVTAVRIL22!AD32+MVTMAI22!AD32+MVTJUIN22!AD32+MVTJUIL22!AD32+MVTAOUT22!AD32+MVTSEPT22!AD32+MVTOCT22!AD32+MVTNOV22!AD32+MVTDEC22!AD32</f>
        <v>70000</v>
      </c>
      <c r="AE32" s="36">
        <f>MVTJANV22!AE32+MVTFEV22!AE32+MVTMARS22!AE32+MVTAVRIL22!AE32+MVTMAI22!AE32+MVTJUIN22!AE32+MVTJUIL22!AE32+MVTAOUT22!AE32+MVTSEPT22!AE32+MVTOCT22!AE32+MVTNOV22!AE32+MVTDEC22!AE32</f>
        <v>0</v>
      </c>
      <c r="AF32" s="36">
        <f>MVTJANV22!AF32+MVTFEV22!AF32+MVTMARS22!AF32+MVTAVRIL22!AF32+MVTMAI22!AF32+MVTJUIN22!AF32+MVTJUIL22!AF32+MVTAOUT22!AF32+MVTSEPT22!AF32+MVTOCT22!AF32+MVTNOV22!AF32+MVTDEC22!AF32</f>
        <v>0</v>
      </c>
      <c r="AG32" s="36">
        <f>MVTJANV22!AG32+MVTFEV22!AG32+MVTMARS22!AG32+MVTAVRIL22!AG32+MVTMAI22!AG32+MVTJUIN22!AG32+MVTJUIL22!AG32+MVTAOUT22!AG32+MVTSEPT22!AG32+MVTOCT22!AG32+MVTNOV22!AG32+MVTDEC22!AG32</f>
        <v>0</v>
      </c>
      <c r="AH32" s="36">
        <f>MVTJANV22!AH32+MVTFEV22!AH32+MVTMARS22!AH32+MVTAVRIL22!AH32+MVTMAI22!AH32+MVTJUIN22!AH32+MVTJUIL22!AH32+MVTAOUT22!AH32+MVTSEPT22!AH32+MVTOCT22!AH32+MVTNOV22!AH32+MVTDEC22!AH32</f>
        <v>0</v>
      </c>
      <c r="AI32" s="36">
        <f t="shared" si="2"/>
        <v>1000000</v>
      </c>
      <c r="AJ32" s="107">
        <v>45262</v>
      </c>
      <c r="AK32" s="36">
        <f>MVTJANV22!AI32+MVTFEV22!AI32+MVTMARS22!AI32+MVTAVRIL22!AI32+MVTMAI22!AI32+MVTJUIN22!AI32+MVTJUIL22!AI32+MVTAOUT22!AI32+MVTSEPT22!AI32+MVTOCT22!AI32+MVTNOV22!AI32+MVTDEC22!AI32</f>
        <v>0</v>
      </c>
      <c r="AL32" s="36">
        <f>MVTJANV22!AJ32+MVTFEV22!AJ32+MVTMARS22!AJ32+MVTAVRIL22!AJ32+MVTMAI22!AJ32+MVTJUIN22!AJ32+MVTJUIL22!AJ32+MVTAOUT22!AJ32+MVTSEPT22!AJ32+MVTOCT22!AJ32+MVTNOV22!AJ32+MVTDEC22!AJ32</f>
        <v>0</v>
      </c>
    </row>
    <row r="33" spans="1:38" x14ac:dyDescent="0.25">
      <c r="A33" s="1" t="s">
        <v>51</v>
      </c>
      <c r="B33" s="1" t="str">
        <f>VLOOKUP(A33,[15]LISTADHERENT!A$5:H$60,3,0)</f>
        <v>TCHOUAMOU MATHIEU</v>
      </c>
      <c r="C33" s="5">
        <f>MVTJANV22!C33+MVTFEV22!C33+MVTMARS22!C33+MVTAVRIL22!C33+MVTMAI22!C33+MVTJUIN22!C33+MVTJUIL22!C33+MVTAOUT22!C33+MVTSEPT22!C33+MVTOCT22!C33+MVTNOV22!C33+MVTDEC22!C33</f>
        <v>570000</v>
      </c>
      <c r="D33" s="5">
        <f>MVTJANV22!D33+MVTFEV22!D33+MVTMARS22!D33+MVTAVRIL22!D33+MVTMAI22!D33+MVTJUIN22!D33+MVTJUIL22!D33+MVTAOUT22!D33+MVTSEPT22!D33+MVTOCT22!D33+MVTNOV22!D33+MVTDEC22!D33</f>
        <v>6233.7835378004966</v>
      </c>
      <c r="E33" s="36">
        <f>MVTJANV22!E33+MVTFEV22!E33+MVTMARS22!E33+MVTAVRIL22!E33+MVTMAI22!E33+MVTJUIN22!E33+MVTJUIL22!E33+MVTAOUT22!E33+MVTSEPT22!E33+MVTOCT22!E33+MVTNOV22!E33+MVTDEC22!E33</f>
        <v>0</v>
      </c>
      <c r="F33" s="5">
        <f t="shared" si="0"/>
        <v>570000</v>
      </c>
      <c r="G33" s="6">
        <f>MVTJANV22!G33+MVTFEV22!G33+MVTMARS22!G33+MVTAVRIL22!G33+MVTMAI22!G33+MVTJUIN22!G33+MVTJUIL22!G33+MVTAOUT22!G33+MVTSEPT22!G33+MVTOCT22!G33+MVTNOV22!G33+MVTDEC22!G33</f>
        <v>97613.154511899222</v>
      </c>
      <c r="H33" s="6">
        <f t="shared" si="1"/>
        <v>612233.78353780054</v>
      </c>
      <c r="I33" s="36">
        <f>MVTJANV22!I33+MVTFEV22!I33+MVTMARS22!I33+MVTAVRIL22!I33+MVTMAI22!I33+MVTJUIN22!I33+MVTJUIL22!I33+MVTAOUT22!I33+MVTSEPT22!I33+MVTOCT22!I33+MVTNOV22!I33+MVTDEC22!I33</f>
        <v>0</v>
      </c>
      <c r="J33" s="36">
        <f>MVTJANV22!J33+MVTFEV22!J33+MVTMARS22!J33+MVTAVRIL22!J33+MVTMAI22!J33+MVTJUIN22!J33+MVTJUIL22!J33+MVTAOUT22!J33+MVTSEPT22!J33+MVTOCT22!J33+MVTNOV22!J33+MVTDEC22!J33</f>
        <v>84000</v>
      </c>
      <c r="K33" s="36">
        <f>MVTJANV22!K33+MVTFEV22!K33+MVTMARS22!K33+MVTAVRIL22!K33+MVTMAI22!K33+MVTJUIN22!K33+MVTJUIL22!K33+MVTAOUT22!K33+MVTSEPT22!K33+MVTOCT22!K33+MVTNOV22!K33+MVTDEC22!K33</f>
        <v>36000</v>
      </c>
      <c r="L33" s="36">
        <f>MVTJANV22!L33+MVTFEV22!L33+MVTMARS22!L33+MVTAVRIL22!L33+MVTMAI22!L33+MVTJUIN22!L33+MVTJUIL22!L33+MVTAOUT22!L33+MVTSEPT22!L33+MVTOCT22!L33+MVTNOV22!L33+MVTDEC22!L33</f>
        <v>6000</v>
      </c>
      <c r="M33" s="36">
        <f>MVTJANV22!M33+MVTFEV22!M33+MVTMARS22!M33+MVTAVRIL22!M33+MVTMAI22!M33+MVTJUIN22!M33+MVTJUIL22!M33+MVTAOUT22!M33+MVTSEPT22!M33+MVTOCT22!M33+MVTNOV22!M33+MVTDEC22!M33</f>
        <v>12000</v>
      </c>
      <c r="N33" s="36">
        <f>MVTJANV22!N33+MVTFEV22!N33+MVTMARS22!N33+MVTAVRIL22!N33+MVTMAI22!N33+MVTJUIN22!N33+MVTJUIL22!N33+MVTAOUT22!N33+MVTSEPT22!N33+MVTOCT22!N33+MVTNOV22!N33+MVTDEC22!N33</f>
        <v>30000</v>
      </c>
      <c r="O33" s="36">
        <f>MVTJANV22!O33+MVTFEV22!O33+MVTMARS22!O33+MVTAVRIL22!O33+MVTMAI22!O33+MVTJUIN22!O33+MVTJUIL22!O33+MVTAOUT22!O33+MVTSEPT22!O33+MVTOCT22!O33+MVTNOV22!O33+MVTDEC22!O33</f>
        <v>0</v>
      </c>
      <c r="P33" s="36">
        <f>MVTJANV22!P33+MVTFEV22!P33+MVTMARS22!P33+MVTAVRIL22!P33+MVTMAI22!P33+MVTJUIN22!P33+MVTJUIL22!P33+MVTAOUT22!P33+MVTSEPT22!P33+MVTOCT22!P33+MVTNOV22!P33+MVTDEC22!P33</f>
        <v>0</v>
      </c>
      <c r="Q33" s="36">
        <f>MVTJANV22!Q33+MVTFEV22!Q33+MVTMARS22!Q33+MVTAVRIL22!Q33+MVTMAI22!Q33+MVTJUIN22!Q33+MVTJUIL22!Q33+MVTAOUT22!Q33+MVTSEPT22!Q33+MVTOCT22!Q33+MVTNOV22!Q33+MVTDEC22!Q33</f>
        <v>0</v>
      </c>
      <c r="R33" s="36">
        <f>MVTJANV22!R33+MVTFEV22!R33+MVTMARS22!R33+MVTAVRIL22!R33+MVTMAI22!R33+MVTJUIN22!R33+MVTJUIL22!R33+MVTAOUT22!R33+MVTSEPT22!R33+MVTOCT22!R33+MVTNOV22!R33+MVTDEC22!R33</f>
        <v>1560000</v>
      </c>
      <c r="S33" s="36">
        <f>MVTJANV22!S33+MVTFEV22!S33+MVTMARS22!S33+MVTAVRIL22!S33+MVTMAI22!S33+MVTJUIN22!S33+MVTJUIL22!S33+MVTAOUT22!S33+MVTSEPT22!S33+MVTOCT22!S33+MVTNOV22!S33+MVTDEC22!S33</f>
        <v>117200</v>
      </c>
      <c r="T33" s="36"/>
      <c r="U33" s="36">
        <f>MVTJANV22!U33+MVTFEV22!U33+MVTMARS22!U33+MVTAVRIL22!U33+MVTMAI22!U33+MVTJUIN22!U33+MVTJUIL22!U33+MVTAOUT22!U33+MVTSEPT22!U33+MVTOCT22!U33+MVTNOV22!U33+MVTDEC22!U33</f>
        <v>1560000</v>
      </c>
      <c r="V33" s="36"/>
      <c r="W33" s="36"/>
      <c r="X33" s="36">
        <f>MVTJANV22!X33+MVTFEV22!X33+MVTMARS22!X33+MVTAVRIL22!X33+MVTMAI22!X33+MVTJUIN22!X33+MVTJUIL22!X33+MVTAOUT22!X33+MVTSEPT22!X33+MVTOCT22!X33+MVTNOV22!X33+MVTDEC22!X33</f>
        <v>0</v>
      </c>
      <c r="Y33" s="36">
        <f>MVTJANV22!Y33+MVTFEV22!Y33+MVTMARS22!Y33+MVTAVRIL22!Y33+MVTMAI22!Y33+MVTJUIN22!Y33+MVTJUIL22!Y33+MVTAOUT22!Y33+MVTSEPT22!Y33+MVTOCT22!Y33+MVTNOV22!Y33+MVTDEC22!Y33</f>
        <v>0</v>
      </c>
      <c r="Z33" s="36">
        <f>MVTJANV22!Z33+MVTFEV22!Z33+MVTMARS22!Z33+MVTAVRIL22!Z33+MVTMAI22!Z33+MVTJUIN22!Z33+MVTJUIL22!Z33+MVTAOUT22!Z33+MVTSEPT22!Z33+MVTOCT22!Z33+MVTNOV22!Z33+MVTDEC22!Z33</f>
        <v>0</v>
      </c>
      <c r="AA33" s="36">
        <f>MVTJANV22!AA33+MVTFEV22!AA33+MVTMARS22!AA33+MVTAVRIL22!AA33+MVTMAI22!AA33+MVTJUIN22!AA33+MVTJUIL22!AA33+MVTAOUT22!AA33+MVTSEPT22!AA33+MVTOCT22!AA33+MVTNOV22!AA33+MVTDEC22!AA33</f>
        <v>0</v>
      </c>
      <c r="AB33" s="36">
        <f>MVTJANV22!AB33+MVTFEV22!AB33+MVTMARS22!AB33+MVTAVRIL22!AB33+MVTMAI22!AB33+MVTJUIN22!AB33+MVTJUIL22!AB33+MVTAOUT22!AB33+MVTSEPT22!AB33+MVTOCT22!AB33+MVTNOV22!AB33+MVTDEC22!AB33</f>
        <v>0</v>
      </c>
      <c r="AC33" s="36">
        <f>MVTJANV22!AC33+MVTFEV22!AC33+MVTMARS22!AC33+MVTAVRIL22!AC33+MVTMAI22!AC33+MVTJUIN22!AC33+MVTJUIL22!AC33+MVTAOUT22!AC33+MVTSEPT22!AC33+MVTOCT22!AC33+MVTNOV22!AC33+MVTDEC22!AC33</f>
        <v>0</v>
      </c>
      <c r="AD33" s="36">
        <f>MVTJANV22!AD33+MVTFEV22!AD33+MVTMARS22!AD33+MVTAVRIL22!AD33+MVTMAI22!AD33+MVTJUIN22!AD33+MVTJUIL22!AD33+MVTAOUT22!AD33+MVTSEPT22!AD33+MVTOCT22!AD33+MVTNOV22!AD33+MVTDEC22!AD33</f>
        <v>70000</v>
      </c>
      <c r="AE33" s="36">
        <f>MVTJANV22!AE33+MVTFEV22!AE33+MVTMARS22!AE33+MVTAVRIL22!AE33+MVTMAI22!AE33+MVTJUIN22!AE33+MVTJUIL22!AE33+MVTAOUT22!AE33+MVTSEPT22!AE33+MVTOCT22!AE33+MVTNOV22!AE33+MVTDEC22!AE33</f>
        <v>0</v>
      </c>
      <c r="AF33" s="36">
        <f>MVTJANV22!AF33+MVTFEV22!AF33+MVTMARS22!AF33+MVTAVRIL22!AF33+MVTMAI22!AF33+MVTJUIN22!AF33+MVTJUIL22!AF33+MVTAOUT22!AF33+MVTSEPT22!AF33+MVTOCT22!AF33+MVTNOV22!AF33+MVTDEC22!AF33</f>
        <v>0</v>
      </c>
      <c r="AG33" s="36">
        <f>MVTJANV22!AG33+MVTFEV22!AG33+MVTMARS22!AG33+MVTAVRIL22!AG33+MVTMAI22!AG33+MVTJUIN22!AG33+MVTJUIL22!AG33+MVTAOUT22!AG33+MVTSEPT22!AG33+MVTOCT22!AG33+MVTNOV22!AG33+MVTDEC22!AG33</f>
        <v>0</v>
      </c>
      <c r="AH33" s="36">
        <f>MVTJANV22!AH33+MVTFEV22!AH33+MVTMARS22!AH33+MVTAVRIL22!AH33+MVTMAI22!AH33+MVTJUIN22!AH33+MVTJUIL22!AH33+MVTAOUT22!AH33+MVTSEPT22!AH33+MVTOCT22!AH33+MVTNOV22!AH33+MVTDEC22!AH33</f>
        <v>0</v>
      </c>
      <c r="AI33" s="36">
        <f t="shared" si="2"/>
        <v>0</v>
      </c>
      <c r="AJ33" s="107"/>
      <c r="AK33" s="36">
        <f>MVTJANV22!AI33+MVTFEV22!AI33+MVTMARS22!AI33+MVTAVRIL22!AI33+MVTMAI22!AI33+MVTJUIN22!AI33+MVTJUIL22!AI33+MVTAOUT22!AI33+MVTSEPT22!AI33+MVTOCT22!AI33+MVTNOV22!AI33+MVTDEC22!AI33</f>
        <v>0</v>
      </c>
      <c r="AL33" s="36">
        <f>MVTJANV22!AJ33+MVTFEV22!AJ33+MVTMARS22!AJ33+MVTAVRIL22!AJ33+MVTMAI22!AJ33+MVTJUIN22!AJ33+MVTJUIL22!AJ33+MVTAOUT22!AJ33+MVTSEPT22!AJ33+MVTOCT22!AJ33+MVTNOV22!AJ33+MVTDEC22!AJ33</f>
        <v>0</v>
      </c>
    </row>
    <row r="34" spans="1:38" x14ac:dyDescent="0.25">
      <c r="A34" s="1" t="s">
        <v>54</v>
      </c>
      <c r="B34" s="1" t="str">
        <f>VLOOKUP(A34,[15]LISTADHERENT!A$5:H$60,3,0)</f>
        <v>TIEYAM ERNEST</v>
      </c>
      <c r="C34" s="5">
        <f>MVTJANV22!C34+MVTFEV22!C34+MVTMARS22!C34+MVTAVRIL22!C34+MVTMAI22!C34+MVTJUIN22!C34+MVTJUIL22!C34+MVTAOUT22!C34+MVTSEPT22!C34+MVTOCT22!C34+MVTNOV22!C34+MVTDEC22!C34</f>
        <v>535508.27831700875</v>
      </c>
      <c r="D34" s="5">
        <f>MVTJANV22!D34+MVTFEV22!D34+MVTMARS22!D34+MVTAVRIL22!D34+MVTMAI22!D34+MVTJUIN22!D34+MVTJUIL22!D34+MVTAOUT22!D34+MVTSEPT22!D34+MVTOCT22!D34+MVTNOV22!D34+MVTDEC22!D34</f>
        <v>-4491.7216829912577</v>
      </c>
      <c r="E34" s="36">
        <f>MVTJANV22!E34+MVTFEV22!E34+MVTMARS22!E34+MVTAVRIL22!E34+MVTMAI22!E34+MVTJUIN22!E34+MVTJUIL22!E34+MVTAOUT22!E34+MVTSEPT22!E34+MVTOCT22!E34+MVTNOV22!E34+MVTDEC22!E34</f>
        <v>0</v>
      </c>
      <c r="F34" s="5">
        <f t="shared" si="0"/>
        <v>535508.27831700875</v>
      </c>
      <c r="G34" s="6">
        <f>MVTJANV22!G34+MVTFEV22!G34+MVTMARS22!G34+MVTAVRIL22!G34+MVTMAI22!G34+MVTJUIN22!G34+MVTJUIL22!G34+MVTAOUT22!G34+MVTSEPT22!G34+MVTOCT22!G34+MVTNOV22!G34+MVTDEC22!G34</f>
        <v>0</v>
      </c>
      <c r="H34" s="6"/>
      <c r="I34" s="36">
        <f>MVTJANV22!I34+MVTFEV22!I34+MVTMARS22!I34+MVTAVRIL22!I34+MVTMAI22!I34+MVTJUIN22!I34+MVTJUIL22!I34+MVTAOUT22!I34+MVTSEPT22!I34+MVTOCT22!I34+MVTNOV22!I34+MVTDEC22!I34</f>
        <v>0</v>
      </c>
      <c r="J34" s="36">
        <f>MVTJANV22!J34+MVTFEV22!J34+MVTMARS22!J34+MVTAVRIL22!J34+MVTMAI22!J34+MVTJUIN22!J34+MVTJUIL22!J34+MVTAOUT22!J34+MVTSEPT22!J34+MVTOCT22!J34+MVTNOV22!J34+MVTDEC22!J34</f>
        <v>0</v>
      </c>
      <c r="K34" s="36">
        <f>MVTJANV22!K34+MVTFEV22!K34+MVTMARS22!K34+MVTAVRIL22!K34+MVTMAI22!K34+MVTJUIN22!K34+MVTJUIL22!K34+MVTAOUT22!K34+MVTSEPT22!K34+MVTOCT22!K34+MVTNOV22!K34+MVTDEC22!K34</f>
        <v>0</v>
      </c>
      <c r="L34" s="36">
        <f>MVTJANV22!L34+MVTFEV22!L34+MVTMARS22!L34+MVTAVRIL22!L34+MVTMAI22!L34+MVTJUIN22!L34+MVTJUIL22!L34+MVTAOUT22!L34+MVTSEPT22!L34+MVTOCT22!L34+MVTNOV22!L34+MVTDEC22!L34</f>
        <v>0</v>
      </c>
      <c r="M34" s="36">
        <f>MVTJANV22!M34+MVTFEV22!M34+MVTMARS22!M34+MVTAVRIL22!M34+MVTMAI22!M34+MVTJUIN22!M34+MVTJUIL22!M34+MVTAOUT22!M34+MVTSEPT22!M34+MVTOCT22!M34+MVTNOV22!M34+MVTDEC22!M34</f>
        <v>0</v>
      </c>
      <c r="N34" s="36">
        <f>MVTJANV22!N34+MVTFEV22!N34+MVTMARS22!N34+MVTAVRIL22!N34+MVTMAI22!N34+MVTJUIN22!N34+MVTJUIL22!N34+MVTAOUT22!N34+MVTSEPT22!N34+MVTOCT22!N34+MVTNOV22!N34+MVTDEC22!N34</f>
        <v>0</v>
      </c>
      <c r="O34" s="36">
        <f>MVTJANV22!O34+MVTFEV22!O34+MVTMARS22!O34+MVTAVRIL22!O34+MVTMAI22!O34+MVTJUIN22!O34+MVTJUIL22!O34+MVTAOUT22!O34+MVTSEPT22!O34+MVTOCT22!O34+MVTNOV22!O34+MVTDEC22!O34</f>
        <v>0</v>
      </c>
      <c r="P34" s="36">
        <f>MVTJANV22!P34+MVTFEV22!P34+MVTMARS22!P34+MVTAVRIL22!P34+MVTMAI22!P34+MVTJUIN22!P34+MVTJUIL22!P34+MVTAOUT22!P34+MVTSEPT22!P34+MVTOCT22!P34+MVTNOV22!P34+MVTDEC22!P34</f>
        <v>0</v>
      </c>
      <c r="Q34" s="36">
        <f>MVTJANV22!Q34+MVTFEV22!Q34+MVTMARS22!Q34+MVTAVRIL22!Q34+MVTMAI22!Q34+MVTJUIN22!Q34+MVTJUIL22!Q34+MVTAOUT22!Q34+MVTSEPT22!Q34+MVTOCT22!Q34+MVTNOV22!Q34+MVTDEC22!Q34</f>
        <v>0</v>
      </c>
      <c r="R34" s="36">
        <f>MVTJANV22!R34+MVTFEV22!R34+MVTMARS22!R34+MVTAVRIL22!R34+MVTMAI22!R34+MVTJUIN22!R34+MVTJUIL22!R34+MVTAOUT22!R34+MVTSEPT22!R34+MVTOCT22!R34+MVTNOV22!R34+MVTDEC22!R34</f>
        <v>1112500</v>
      </c>
      <c r="S34" s="36">
        <f>MVTJANV22!S34+MVTFEV22!S34+MVTMARS22!S34+MVTAVRIL22!S34+MVTMAI22!S34+MVTJUIN22!S34+MVTJUIL22!S34+MVTAOUT22!S34+MVTSEPT22!S34+MVTOCT22!S34+MVTNOV22!S34+MVTDEC22!S34</f>
        <v>0</v>
      </c>
      <c r="T34" s="36"/>
      <c r="U34" s="36">
        <f>MVTJANV22!U34+MVTFEV22!U34+MVTMARS22!U34+MVTAVRIL22!U34+MVTMAI22!U34+MVTJUIN22!U34+MVTJUIL22!U34+MVTAOUT22!U34+MVTSEPT22!U34+MVTOCT22!U34+MVTNOV22!U34+MVTDEC22!U34</f>
        <v>0</v>
      </c>
      <c r="V34" s="36"/>
      <c r="W34" s="36"/>
      <c r="X34" s="36">
        <f>MVTJANV22!X34+MVTFEV22!X34+MVTMARS22!X34+MVTAVRIL22!X34+MVTMAI22!X34+MVTJUIN22!X34+MVTJUIL22!X34+MVTAOUT22!X34+MVTSEPT22!X34+MVTOCT22!X34+MVTNOV22!X34+MVTDEC22!X34</f>
        <v>0</v>
      </c>
      <c r="Y34" s="36">
        <f>MVTJANV22!Y34+MVTFEV22!Y34+MVTMARS22!Y34+MVTAVRIL22!Y34+MVTMAI22!Y34+MVTJUIN22!Y34+MVTJUIL22!Y34+MVTAOUT22!Y34+MVTSEPT22!Y34+MVTOCT22!Y34+MVTNOV22!Y34+MVTDEC22!Y34</f>
        <v>0</v>
      </c>
      <c r="Z34" s="36">
        <f>MVTJANV22!Z34+MVTFEV22!Z34+MVTMARS22!Z34+MVTAVRIL22!Z34+MVTMAI22!Z34+MVTJUIN22!Z34+MVTJUIL22!Z34+MVTAOUT22!Z34+MVTSEPT22!Z34+MVTOCT22!Z34+MVTNOV22!Z34+MVTDEC22!Z34</f>
        <v>0</v>
      </c>
      <c r="AA34" s="36">
        <f>MVTJANV22!AA34+MVTFEV22!AA34+MVTMARS22!AA34+MVTAVRIL22!AA34+MVTMAI22!AA34+MVTJUIN22!AA34+MVTJUIL22!AA34+MVTAOUT22!AA34+MVTSEPT22!AA34+MVTOCT22!AA34+MVTNOV22!AA34+MVTDEC22!AA34</f>
        <v>0</v>
      </c>
      <c r="AB34" s="36">
        <f>MVTJANV22!AB34+MVTFEV22!AB34+MVTMARS22!AB34+MVTAVRIL22!AB34+MVTMAI22!AB34+MVTJUIN22!AB34+MVTJUIL22!AB34+MVTAOUT22!AB34+MVTSEPT22!AB34+MVTOCT22!AB34+MVTNOV22!AB34+MVTDEC22!AB34</f>
        <v>0</v>
      </c>
      <c r="AC34" s="36">
        <f>MVTJANV22!AC34+MVTFEV22!AC34+MVTMARS22!AC34+MVTAVRIL22!AC34+MVTMAI22!AC34+MVTJUIN22!AC34+MVTJUIL22!AC34+MVTAOUT22!AC34+MVTSEPT22!AC34+MVTOCT22!AC34+MVTNOV22!AC34+MVTDEC22!AC34</f>
        <v>0</v>
      </c>
      <c r="AD34" s="36">
        <f>MVTJANV22!AD34+MVTFEV22!AD34+MVTMARS22!AD34+MVTAVRIL22!AD34+MVTMAI22!AD34+MVTJUIN22!AD34+MVTJUIL22!AD34+MVTAOUT22!AD34+MVTSEPT22!AD34+MVTOCT22!AD34+MVTNOV22!AD34+MVTDEC22!AD34</f>
        <v>0</v>
      </c>
      <c r="AE34" s="36">
        <f>MVTJANV22!AE34+MVTFEV22!AE34+MVTMARS22!AE34+MVTAVRIL22!AE34+MVTMAI22!AE34+MVTJUIN22!AE34+MVTJUIL22!AE34+MVTAOUT22!AE34+MVTSEPT22!AE34+MVTOCT22!AE34+MVTNOV22!AE34+MVTDEC22!AE34</f>
        <v>0</v>
      </c>
      <c r="AF34" s="36">
        <f>MVTJANV22!AF34+MVTFEV22!AF34+MVTMARS22!AF34+MVTAVRIL22!AF34+MVTMAI22!AF34+MVTJUIN22!AF34+MVTJUIL22!AF34+MVTAOUT22!AF34+MVTSEPT22!AF34+MVTOCT22!AF34+MVTNOV22!AF34+MVTDEC22!AF34</f>
        <v>0</v>
      </c>
      <c r="AG34" s="36">
        <f>MVTJANV22!AG34+MVTFEV22!AG34+MVTMARS22!AG34+MVTAVRIL22!AG34+MVTMAI22!AG34+MVTJUIN22!AG34+MVTJUIL22!AG34+MVTAOUT22!AG34+MVTSEPT22!AG34+MVTOCT22!AG34+MVTNOV22!AG34+MVTDEC22!AG34</f>
        <v>0</v>
      </c>
      <c r="AH34" s="36">
        <f>MVTJANV22!AH34+MVTFEV22!AH34+MVTMARS22!AH34+MVTAVRIL22!AH34+MVTMAI22!AH34+MVTJUIN22!AH34+MVTJUIL22!AH34+MVTAOUT22!AH34+MVTSEPT22!AH34+MVTOCT22!AH34+MVTNOV22!AH34+MVTDEC22!AH34</f>
        <v>0</v>
      </c>
      <c r="AI34" s="36">
        <f t="shared" si="2"/>
        <v>1112500</v>
      </c>
      <c r="AJ34" s="107">
        <v>45262</v>
      </c>
      <c r="AK34" s="36">
        <f>MVTJANV22!AI34+MVTFEV22!AI34+MVTMARS22!AI34+MVTAVRIL22!AI34+MVTMAI22!AI34+MVTJUIN22!AI34+MVTJUIL22!AI34+MVTAOUT22!AI34+MVTSEPT22!AI34+MVTOCT22!AI34+MVTNOV22!AI34+MVTDEC22!AI34</f>
        <v>0</v>
      </c>
      <c r="AL34" s="36">
        <f>MVTJANV22!AJ34+MVTFEV22!AJ34+MVTMARS22!AJ34+MVTAVRIL22!AJ34+MVTMAI22!AJ34+MVTJUIN22!AJ34+MVTJUIL22!AJ34+MVTAOUT22!AJ34+MVTSEPT22!AJ34+MVTOCT22!AJ34+MVTNOV22!AJ34+MVTDEC22!AJ34</f>
        <v>0</v>
      </c>
    </row>
    <row r="35" spans="1:38" x14ac:dyDescent="0.25">
      <c r="A35" s="1" t="s">
        <v>55</v>
      </c>
      <c r="B35" s="1" t="str">
        <f>VLOOKUP(A35,[15]LISTADHERENT!A$5:H$60,3,0)</f>
        <v>YEPMOU JEAN JACQUES</v>
      </c>
      <c r="C35" s="5">
        <f>MVTJANV22!C35+MVTFEV22!C35+MVTMARS22!C35+MVTAVRIL22!C35+MVTMAI22!C35+MVTJUIN22!C35+MVTJUIL22!C35+MVTAOUT22!C35+MVTSEPT22!C35+MVTOCT22!C35+MVTNOV22!C35+MVTDEC22!C35</f>
        <v>570000</v>
      </c>
      <c r="D35" s="5">
        <f>MVTJANV22!D35+MVTFEV22!D35+MVTMARS22!D35+MVTAVRIL22!D35+MVTMAI22!D35+MVTJUIN22!D35+MVTJUIL22!D35+MVTAOUT22!D35+MVTSEPT22!D35+MVTOCT22!D35+MVTNOV22!D35+MVTDEC22!D35</f>
        <v>811081.29717838136</v>
      </c>
      <c r="E35" s="36">
        <f>MVTJANV22!E35+MVTFEV22!E35+MVTMARS22!E35+MVTAVRIL22!E35+MVTMAI22!E35+MVTJUIN22!E35+MVTJUIL22!E35+MVTAOUT22!E35+MVTSEPT22!E35+MVTOCT22!E35+MVTNOV22!E35+MVTDEC22!E35</f>
        <v>0</v>
      </c>
      <c r="F35" s="5">
        <f t="shared" si="0"/>
        <v>570000</v>
      </c>
      <c r="G35" s="6">
        <f>MVTJANV22!G35+MVTFEV22!G35+MVTMARS22!G35+MVTAVRIL22!G35+MVTMAI22!G35+MVTJUIN22!G35+MVTJUIL22!G35+MVTAOUT22!G35+MVTSEPT22!G35+MVTOCT22!G35+MVTNOV22!G35+MVTDEC22!G35</f>
        <v>230250.11875852401</v>
      </c>
      <c r="H35" s="6">
        <f t="shared" si="1"/>
        <v>1417081.2971783814</v>
      </c>
      <c r="I35" s="36">
        <f>MVTJANV22!I35+MVTFEV22!I35+MVTMARS22!I35+MVTAVRIL22!I35+MVTMAI22!I35+MVTJUIN22!I35+MVTJUIL22!I35+MVTAOUT22!I35+MVTSEPT22!I35+MVTOCT22!I35+MVTNOV22!I35+MVTDEC22!I35</f>
        <v>0</v>
      </c>
      <c r="J35" s="36">
        <f>MVTJANV22!J35+MVTFEV22!J35+MVTMARS22!J35+MVTAVRIL22!J35+MVTMAI22!J35+MVTJUIN22!J35+MVTJUIL22!J35+MVTAOUT22!J35+MVTSEPT22!J35+MVTOCT22!J35+MVTNOV22!J35+MVTDEC22!J35</f>
        <v>84000</v>
      </c>
      <c r="K35" s="36">
        <f>MVTJANV22!K35+MVTFEV22!K35+MVTMARS22!K35+MVTAVRIL22!K35+MVTMAI22!K35+MVTJUIN22!K35+MVTJUIL22!K35+MVTAOUT22!K35+MVTSEPT22!K35+MVTOCT22!K35+MVTNOV22!K35+MVTDEC22!K35</f>
        <v>36000</v>
      </c>
      <c r="L35" s="36">
        <f>MVTJANV22!L35+MVTFEV22!L35+MVTMARS22!L35+MVTAVRIL22!L35+MVTMAI22!L35+MVTJUIN22!L35+MVTJUIL22!L35+MVTAOUT22!L35+MVTSEPT22!L35+MVTOCT22!L35+MVTNOV22!L35+MVTDEC22!L35</f>
        <v>6000</v>
      </c>
      <c r="M35" s="36">
        <f>MVTJANV22!M35+MVTFEV22!M35+MVTMARS22!M35+MVTAVRIL22!M35+MVTMAI22!M35+MVTJUIN22!M35+MVTJUIL22!M35+MVTAOUT22!M35+MVTSEPT22!M35+MVTOCT22!M35+MVTNOV22!M35+MVTDEC22!M35</f>
        <v>12000</v>
      </c>
      <c r="N35" s="36">
        <f>MVTJANV22!N35+MVTFEV22!N35+MVTMARS22!N35+MVTAVRIL22!N35+MVTMAI22!N35+MVTJUIN22!N35+MVTJUIL22!N35+MVTAOUT22!N35+MVTSEPT22!N35+MVTOCT22!N35+MVTNOV22!N35+MVTDEC22!N35</f>
        <v>30000</v>
      </c>
      <c r="O35" s="36">
        <f>MVTJANV22!O35+MVTFEV22!O35+MVTMARS22!O35+MVTAVRIL22!O35+MVTMAI22!O35+MVTJUIN22!O35+MVTJUIL22!O35+MVTAOUT22!O35+MVTSEPT22!O35+MVTOCT22!O35+MVTNOV22!O35+MVTDEC22!O35</f>
        <v>15000</v>
      </c>
      <c r="P35" s="36">
        <f>MVTJANV22!P35+MVTFEV22!P35+MVTMARS22!P35+MVTAVRIL22!P35+MVTMAI22!P35+MVTJUIN22!P35+MVTJUIL22!P35+MVTAOUT22!P35+MVTSEPT22!P35+MVTOCT22!P35+MVTNOV22!P35+MVTDEC22!P35</f>
        <v>0</v>
      </c>
      <c r="Q35" s="36">
        <f>MVTJANV22!Q35+MVTFEV22!Q35+MVTMARS22!Q35+MVTAVRIL22!Q35+MVTMAI22!Q35+MVTJUIN22!Q35+MVTJUIL22!Q35+MVTAOUT22!Q35+MVTSEPT22!Q35+MVTOCT22!Q35+MVTNOV22!Q35+MVTDEC22!Q35</f>
        <v>0</v>
      </c>
      <c r="R35" s="36">
        <f>MVTJANV22!R35+MVTFEV22!R35+MVTMARS22!R35+MVTAVRIL22!R35+MVTMAI22!R35+MVTJUIN22!R35+MVTJUIL22!R35+MVTAOUT22!R35+MVTSEPT22!R35+MVTOCT22!R35+MVTNOV22!R35+MVTDEC22!R35</f>
        <v>1155000</v>
      </c>
      <c r="S35" s="36">
        <f>MVTJANV22!S35+MVTFEV22!S35+MVTMARS22!S35+MVTAVRIL22!S35+MVTMAI22!S35+MVTJUIN22!S35+MVTJUIL22!S35+MVTAOUT22!S35+MVTSEPT22!S35+MVTOCT22!S35+MVTNOV22!S35+MVTDEC22!S35</f>
        <v>0</v>
      </c>
      <c r="T35" s="36"/>
      <c r="U35" s="36">
        <f>MVTJANV22!U35+MVTFEV22!U35+MVTMARS22!U35+MVTAVRIL22!U35+MVTMAI22!U35+MVTJUIN22!U35+MVTJUIL22!U35+MVTAOUT22!U35+MVTSEPT22!U35+MVTOCT22!U35+MVTNOV22!U35+MVTDEC22!U35</f>
        <v>1155000</v>
      </c>
      <c r="V35" s="36"/>
      <c r="W35" s="36"/>
      <c r="X35" s="36">
        <f>MVTJANV22!X35+MVTFEV22!X35+MVTMARS22!X35+MVTAVRIL22!X35+MVTMAI22!X35+MVTJUIN22!X35+MVTJUIL22!X35+MVTAOUT22!X35+MVTSEPT22!X35+MVTOCT22!X35+MVTNOV22!X35+MVTDEC22!X35</f>
        <v>0</v>
      </c>
      <c r="Y35" s="36">
        <f>MVTJANV22!Y35+MVTFEV22!Y35+MVTMARS22!Y35+MVTAVRIL22!Y35+MVTMAI22!Y35+MVTJUIN22!Y35+MVTJUIL22!Y35+MVTAOUT22!Y35+MVTSEPT22!Y35+MVTOCT22!Y35+MVTNOV22!Y35+MVTDEC22!Y35</f>
        <v>0</v>
      </c>
      <c r="Z35" s="36">
        <f>MVTJANV22!Z35+MVTFEV22!Z35+MVTMARS22!Z35+MVTAVRIL22!Z35+MVTMAI22!Z35+MVTJUIN22!Z35+MVTJUIL22!Z35+MVTAOUT22!Z35+MVTSEPT22!Z35+MVTOCT22!Z35+MVTNOV22!Z35+MVTDEC22!Z35</f>
        <v>0</v>
      </c>
      <c r="AA35" s="36">
        <f>MVTJANV22!AA35+MVTFEV22!AA35+MVTMARS22!AA35+MVTAVRIL22!AA35+MVTMAI22!AA35+MVTJUIN22!AA35+MVTJUIL22!AA35+MVTAOUT22!AA35+MVTSEPT22!AA35+MVTOCT22!AA35+MVTNOV22!AA35+MVTDEC22!AA35</f>
        <v>0</v>
      </c>
      <c r="AB35" s="36">
        <f>MVTJANV22!AB35+MVTFEV22!AB35+MVTMARS22!AB35+MVTAVRIL22!AB35+MVTMAI22!AB35+MVTJUIN22!AB35+MVTJUIL22!AB35+MVTAOUT22!AB35+MVTSEPT22!AB35+MVTOCT22!AB35+MVTNOV22!AB35+MVTDEC22!AB35</f>
        <v>0</v>
      </c>
      <c r="AC35" s="36">
        <f>MVTJANV22!AC35+MVTFEV22!AC35+MVTMARS22!AC35+MVTAVRIL22!AC35+MVTMAI22!AC35+MVTJUIN22!AC35+MVTJUIL22!AC35+MVTAOUT22!AC35+MVTSEPT22!AC35+MVTOCT22!AC35+MVTNOV22!AC35+MVTDEC22!AC35</f>
        <v>0</v>
      </c>
      <c r="AD35" s="36">
        <f>MVTJANV22!AD35+MVTFEV22!AD35+MVTMARS22!AD35+MVTAVRIL22!AD35+MVTMAI22!AD35+MVTJUIN22!AD35+MVTJUIL22!AD35+MVTAOUT22!AD35+MVTSEPT22!AD35+MVTOCT22!AD35+MVTNOV22!AD35+MVTDEC22!AD35</f>
        <v>70000</v>
      </c>
      <c r="AE35" s="36">
        <f>MVTJANV22!AE35+MVTFEV22!AE35+MVTMARS22!AE35+MVTAVRIL22!AE35+MVTMAI22!AE35+MVTJUIN22!AE35+MVTJUIL22!AE35+MVTAOUT22!AE35+MVTSEPT22!AE35+MVTOCT22!AE35+MVTNOV22!AE35+MVTDEC22!AE35</f>
        <v>0</v>
      </c>
      <c r="AF35" s="36">
        <f>MVTJANV22!AF35+MVTFEV22!AF35+MVTMARS22!AF35+MVTAVRIL22!AF35+MVTMAI22!AF35+MVTJUIN22!AF35+MVTJUIL22!AF35+MVTAOUT22!AF35+MVTSEPT22!AF35+MVTOCT22!AF35+MVTNOV22!AF35+MVTDEC22!AF35</f>
        <v>0</v>
      </c>
      <c r="AG35" s="36">
        <f>MVTJANV22!AG35+MVTFEV22!AG35+MVTMARS22!AG35+MVTAVRIL22!AG35+MVTMAI22!AG35+MVTJUIN22!AG35+MVTJUIL22!AG35+MVTAOUT22!AG35+MVTSEPT22!AG35+MVTOCT22!AG35+MVTNOV22!AG35+MVTDEC22!AG35</f>
        <v>0</v>
      </c>
      <c r="AH35" s="36">
        <f>MVTJANV22!AH35+MVTFEV22!AH35+MVTMARS22!AH35+MVTAVRIL22!AH35+MVTMAI22!AH35+MVTJUIN22!AH35+MVTJUIL22!AH35+MVTAOUT22!AH35+MVTSEPT22!AH35+MVTOCT22!AH35+MVTNOV22!AH35+MVTDEC22!AH35</f>
        <v>0</v>
      </c>
      <c r="AI35" s="36">
        <f t="shared" si="2"/>
        <v>0</v>
      </c>
      <c r="AJ35" s="107"/>
      <c r="AK35" s="36">
        <f>MVTJANV22!AI35+MVTFEV22!AI35+MVTMARS22!AI35+MVTAVRIL22!AI35+MVTMAI22!AI35+MVTJUIN22!AI35+MVTJUIL22!AI35+MVTAOUT22!AI35+MVTSEPT22!AI35+MVTOCT22!AI35+MVTNOV22!AI35+MVTDEC22!AI35</f>
        <v>155000</v>
      </c>
      <c r="AL35" s="36">
        <f>MVTJANV22!AJ35+MVTFEV22!AJ35+MVTMARS22!AJ35+MVTAVRIL22!AJ35+MVTMAI22!AJ35+MVTJUIN22!AJ35+MVTJUIL22!AJ35+MVTAOUT22!AJ35+MVTSEPT22!AJ35+MVTOCT22!AJ35+MVTNOV22!AJ35+MVTDEC22!AJ35</f>
        <v>0</v>
      </c>
    </row>
    <row r="36" spans="1:38" x14ac:dyDescent="0.25">
      <c r="A36" s="1" t="s">
        <v>56</v>
      </c>
      <c r="B36" s="1" t="str">
        <f>VLOOKUP(A36,[15]LISTADHERENT!A$5:H$60,3,0)</f>
        <v>YOUMBI EMMANUEL</v>
      </c>
      <c r="C36" s="5">
        <f>MVTJANV22!C36+MVTFEV22!C36+MVTMARS22!C36+MVTAVRIL22!C36+MVTMAI22!C36+MVTJUIN22!C36+MVTJUIL22!C36+MVTAOUT22!C36+MVTSEPT22!C36+MVTOCT22!C36+MVTNOV22!C36+MVTDEC22!C36</f>
        <v>570000</v>
      </c>
      <c r="D36" s="5">
        <f>MVTJANV22!D36+MVTFEV22!D36+MVTMARS22!D36+MVTAVRIL22!D36+MVTMAI22!D36+MVTJUIN22!D36+MVTJUIL22!D36+MVTAOUT22!D36+MVTSEPT22!D36+MVTOCT22!D36+MVTNOV22!D36+MVTDEC22!D36</f>
        <v>913245.29452405358</v>
      </c>
      <c r="E36" s="36">
        <f>MVTJANV22!E36+MVTFEV22!E36+MVTMARS22!E36+MVTAVRIL22!E36+MVTMAI22!E36+MVTJUIN22!E36+MVTJUIL22!E36+MVTAOUT22!E36+MVTSEPT22!E36+MVTOCT22!E36+MVTNOV22!E36+MVTDEC22!E36</f>
        <v>0</v>
      </c>
      <c r="F36" s="5">
        <f t="shared" si="0"/>
        <v>570000</v>
      </c>
      <c r="G36" s="6">
        <f>MVTJANV22!G36+MVTFEV22!G36+MVTMARS22!G36+MVTAVRIL22!G36+MVTMAI22!G36+MVTJUIN22!G36+MVTJUIL22!G36+MVTAOUT22!G36+MVTSEPT22!G36+MVTOCT22!G36+MVTNOV22!G36+MVTDEC22!G36</f>
        <v>247086.50358120416</v>
      </c>
      <c r="H36" s="6">
        <f t="shared" si="1"/>
        <v>1519245.2945240536</v>
      </c>
      <c r="I36" s="36">
        <f>MVTJANV22!I36+MVTFEV22!I36+MVTMARS22!I36+MVTAVRIL22!I36+MVTMAI22!I36+MVTJUIN22!I36+MVTJUIL22!I36+MVTAOUT22!I36+MVTSEPT22!I36+MVTOCT22!I36+MVTNOV22!I36+MVTDEC22!I36</f>
        <v>0</v>
      </c>
      <c r="J36" s="36">
        <f>MVTJANV22!J36+MVTFEV22!J36+MVTMARS22!J36+MVTAVRIL22!J36+MVTMAI22!J36+MVTJUIN22!J36+MVTJUIL22!J36+MVTAOUT22!J36+MVTSEPT22!J36+MVTOCT22!J36+MVTNOV22!J36+MVTDEC22!J36</f>
        <v>84000</v>
      </c>
      <c r="K36" s="36">
        <f>MVTJANV22!K36+MVTFEV22!K36+MVTMARS22!K36+MVTAVRIL22!K36+MVTMAI22!K36+MVTJUIN22!K36+MVTJUIL22!K36+MVTAOUT22!K36+MVTSEPT22!K36+MVTOCT22!K36+MVTNOV22!K36+MVTDEC22!K36</f>
        <v>36000</v>
      </c>
      <c r="L36" s="36">
        <f>MVTJANV22!L36+MVTFEV22!L36+MVTMARS22!L36+MVTAVRIL22!L36+MVTMAI22!L36+MVTJUIN22!L36+MVTJUIL22!L36+MVTAOUT22!L36+MVTSEPT22!L36+MVTOCT22!L36+MVTNOV22!L36+MVTDEC22!L36</f>
        <v>6000</v>
      </c>
      <c r="M36" s="36">
        <f>MVTJANV22!M36+MVTFEV22!M36+MVTMARS22!M36+MVTAVRIL22!M36+MVTMAI22!M36+MVTJUIN22!M36+MVTJUIL22!M36+MVTAOUT22!M36+MVTSEPT22!M36+MVTOCT22!M36+MVTNOV22!M36+MVTDEC22!M36</f>
        <v>12000</v>
      </c>
      <c r="N36" s="36">
        <f>MVTJANV22!N36+MVTFEV22!N36+MVTMARS22!N36+MVTAVRIL22!N36+MVTMAI22!N36+MVTJUIN22!N36+MVTJUIL22!N36+MVTAOUT22!N36+MVTSEPT22!N36+MVTOCT22!N36+MVTNOV22!N36+MVTDEC22!N36</f>
        <v>30000</v>
      </c>
      <c r="O36" s="36">
        <f>MVTJANV22!O36+MVTFEV22!O36+MVTMARS22!O36+MVTAVRIL22!O36+MVTMAI22!O36+MVTJUIN22!O36+MVTJUIL22!O36+MVTAOUT22!O36+MVTSEPT22!O36+MVTOCT22!O36+MVTNOV22!O36+MVTDEC22!O36</f>
        <v>3000</v>
      </c>
      <c r="P36" s="36">
        <f>MVTJANV22!P36+MVTFEV22!P36+MVTMARS22!P36+MVTAVRIL22!P36+MVTMAI22!P36+MVTJUIN22!P36+MVTJUIL22!P36+MVTAOUT22!P36+MVTSEPT22!P36+MVTOCT22!P36+MVTNOV22!P36+MVTDEC22!P36</f>
        <v>0</v>
      </c>
      <c r="Q36" s="36">
        <f>MVTJANV22!Q36+MVTFEV22!Q36+MVTMARS22!Q36+MVTAVRIL22!Q36+MVTMAI22!Q36+MVTJUIN22!Q36+MVTJUIL22!Q36+MVTAOUT22!Q36+MVTSEPT22!Q36+MVTOCT22!Q36+MVTNOV22!Q36+MVTDEC22!Q36</f>
        <v>0</v>
      </c>
      <c r="R36" s="36">
        <f>MVTJANV22!R36+MVTFEV22!R36+MVTMARS22!R36+MVTAVRIL22!R36+MVTMAI22!R36+MVTJUIN22!R36+MVTJUIL22!R36+MVTAOUT22!R36+MVTSEPT22!R36+MVTOCT22!R36+MVTNOV22!R36+MVTDEC22!R36</f>
        <v>1000000</v>
      </c>
      <c r="S36" s="36">
        <f>MVTJANV22!S36+MVTFEV22!S36+MVTMARS22!S36+MVTAVRIL22!S36+MVTMAI22!S36+MVTJUIN22!S36+MVTJUIL22!S36+MVTAOUT22!S36+MVTSEPT22!S36+MVTOCT22!S36+MVTNOV22!S36+MVTDEC22!S36</f>
        <v>30000</v>
      </c>
      <c r="T36" s="36"/>
      <c r="U36" s="36">
        <f>MVTJANV22!U36+MVTFEV22!U36+MVTMARS22!U36+MVTAVRIL22!U36+MVTMAI22!U36+MVTJUIN22!U36+MVTJUIL22!U36+MVTAOUT22!U36+MVTSEPT22!U36+MVTOCT22!U36+MVTNOV22!U36+MVTDEC22!U36</f>
        <v>1000000</v>
      </c>
      <c r="V36" s="36"/>
      <c r="W36" s="36"/>
      <c r="X36" s="36">
        <f>MVTJANV22!X36+MVTFEV22!X36+MVTMARS22!X36+MVTAVRIL22!X36+MVTMAI22!X36+MVTJUIN22!X36+MVTJUIL22!X36+MVTAOUT22!X36+MVTSEPT22!X36+MVTOCT22!X36+MVTNOV22!X36+MVTDEC22!X36</f>
        <v>0</v>
      </c>
      <c r="Y36" s="36">
        <f>MVTJANV22!Y36+MVTFEV22!Y36+MVTMARS22!Y36+MVTAVRIL22!Y36+MVTMAI22!Y36+MVTJUIN22!Y36+MVTJUIL22!Y36+MVTAOUT22!Y36+MVTSEPT22!Y36+MVTOCT22!Y36+MVTNOV22!Y36+MVTDEC22!Y36</f>
        <v>0</v>
      </c>
      <c r="Z36" s="36">
        <f>MVTJANV22!Z36+MVTFEV22!Z36+MVTMARS22!Z36+MVTAVRIL22!Z36+MVTMAI22!Z36+MVTJUIN22!Z36+MVTJUIL22!Z36+MVTAOUT22!Z36+MVTSEPT22!Z36+MVTOCT22!Z36+MVTNOV22!Z36+MVTDEC22!Z36</f>
        <v>0</v>
      </c>
      <c r="AA36" s="36">
        <f>MVTJANV22!AA36+MVTFEV22!AA36+MVTMARS22!AA36+MVTAVRIL22!AA36+MVTMAI22!AA36+MVTJUIN22!AA36+MVTJUIL22!AA36+MVTAOUT22!AA36+MVTSEPT22!AA36+MVTOCT22!AA36+MVTNOV22!AA36+MVTDEC22!AA36</f>
        <v>0</v>
      </c>
      <c r="AB36" s="36">
        <f>MVTJANV22!AB36+MVTFEV22!AB36+MVTMARS22!AB36+MVTAVRIL22!AB36+MVTMAI22!AB36+MVTJUIN22!AB36+MVTJUIL22!AB36+MVTAOUT22!AB36+MVTSEPT22!AB36+MVTOCT22!AB36+MVTNOV22!AB36+MVTDEC22!AB36</f>
        <v>0</v>
      </c>
      <c r="AC36" s="36">
        <f>MVTJANV22!AC36+MVTFEV22!AC36+MVTMARS22!AC36+MVTAVRIL22!AC36+MVTMAI22!AC36+MVTJUIN22!AC36+MVTJUIL22!AC36+MVTAOUT22!AC36+MVTSEPT22!AC36+MVTOCT22!AC36+MVTNOV22!AC36+MVTDEC22!AC36</f>
        <v>0</v>
      </c>
      <c r="AD36" s="36">
        <f>MVTJANV22!AD36+MVTFEV22!AD36+MVTMARS22!AD36+MVTAVRIL22!AD36+MVTMAI22!AD36+MVTJUIN22!AD36+MVTJUIL22!AD36+MVTAOUT22!AD36+MVTSEPT22!AD36+MVTOCT22!AD36+MVTNOV22!AD36+MVTDEC22!AD36</f>
        <v>70000</v>
      </c>
      <c r="AE36" s="36">
        <f>MVTJANV22!AE36+MVTFEV22!AE36+MVTMARS22!AE36+MVTAVRIL22!AE36+MVTMAI22!AE36+MVTJUIN22!AE36+MVTJUIL22!AE36+MVTAOUT22!AE36+MVTSEPT22!AE36+MVTOCT22!AE36+MVTNOV22!AE36+MVTDEC22!AE36</f>
        <v>0</v>
      </c>
      <c r="AF36" s="36">
        <f>MVTJANV22!AF36+MVTFEV22!AF36+MVTMARS22!AF36+MVTAVRIL22!AF36+MVTMAI22!AF36+MVTJUIN22!AF36+MVTJUIL22!AF36+MVTAOUT22!AF36+MVTSEPT22!AF36+MVTOCT22!AF36+MVTNOV22!AF36+MVTDEC22!AF36</f>
        <v>0</v>
      </c>
      <c r="AG36" s="36">
        <f>MVTJANV22!AG36+MVTFEV22!AG36+MVTMARS22!AG36+MVTAVRIL22!AG36+MVTMAI22!AG36+MVTJUIN22!AG36+MVTJUIL22!AG36+MVTAOUT22!AG36+MVTSEPT22!AG36+MVTOCT22!AG36+MVTNOV22!AG36+MVTDEC22!AG36</f>
        <v>0</v>
      </c>
      <c r="AH36" s="36">
        <f>MVTJANV22!AH36+MVTFEV22!AH36+MVTMARS22!AH36+MVTAVRIL22!AH36+MVTMAI22!AH36+MVTJUIN22!AH36+MVTJUIL22!AH36+MVTAOUT22!AH36+MVTSEPT22!AH36+MVTOCT22!AH36+MVTNOV22!AH36+MVTDEC22!AH36</f>
        <v>0</v>
      </c>
      <c r="AI36" s="36">
        <f t="shared" si="2"/>
        <v>0</v>
      </c>
      <c r="AJ36" s="107"/>
      <c r="AK36" s="36">
        <f>MVTJANV22!AI36+MVTFEV22!AI36+MVTMARS22!AI36+MVTAVRIL22!AI36+MVTMAI22!AI36+MVTJUIN22!AI36+MVTJUIL22!AI36+MVTAOUT22!AI36+MVTSEPT22!AI36+MVTOCT22!AI36+MVTNOV22!AI36+MVTDEC22!AI36</f>
        <v>0</v>
      </c>
      <c r="AL36" s="36">
        <f>MVTJANV22!AJ36+MVTFEV22!AJ36+MVTMARS22!AJ36+MVTAVRIL22!AJ36+MVTMAI22!AJ36+MVTJUIN22!AJ36+MVTJUIL22!AJ36+MVTAOUT22!AJ36+MVTSEPT22!AJ36+MVTOCT22!AJ36+MVTNOV22!AJ36+MVTDEC22!AJ36</f>
        <v>0</v>
      </c>
    </row>
    <row r="37" spans="1:38" x14ac:dyDescent="0.25">
      <c r="A37" s="15"/>
      <c r="B37" s="1"/>
      <c r="C37" s="1"/>
      <c r="D37" s="1"/>
      <c r="E37" s="1"/>
      <c r="F37" s="1"/>
      <c r="G37" s="1"/>
      <c r="H37" s="1"/>
      <c r="I37" s="6"/>
      <c r="J37" s="6"/>
      <c r="K37" s="6"/>
      <c r="L37" s="6"/>
      <c r="M37" s="6"/>
      <c r="N37" s="6"/>
      <c r="O37" s="6"/>
      <c r="P37" s="36"/>
      <c r="Q37" s="6"/>
      <c r="R37" s="6"/>
      <c r="S37" s="6"/>
      <c r="T37" s="6"/>
      <c r="U37" s="10"/>
      <c r="V37" s="2"/>
    </row>
    <row r="38" spans="1:38" x14ac:dyDescent="0.25">
      <c r="A38" s="15"/>
      <c r="B38" s="1"/>
      <c r="C38" s="1"/>
      <c r="D38" s="1"/>
      <c r="E38" s="1"/>
      <c r="F38" s="1"/>
      <c r="G38" s="1"/>
      <c r="H38" s="1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10"/>
      <c r="V38" s="2"/>
    </row>
    <row r="39" spans="1:38" x14ac:dyDescent="0.25">
      <c r="A39" s="1"/>
      <c r="B39" s="1"/>
      <c r="C39" s="1"/>
      <c r="D39" s="1"/>
      <c r="E39" s="1"/>
      <c r="F39" s="1"/>
      <c r="G39" s="1"/>
      <c r="H39" s="1"/>
    </row>
    <row r="40" spans="1:38" ht="18" x14ac:dyDescent="0.25">
      <c r="A40" s="1" t="s">
        <v>57</v>
      </c>
      <c r="B40" s="1"/>
      <c r="C40" s="9">
        <f t="shared" ref="C40:AI40" si="3">SUM(C6:C39)</f>
        <v>17584659.561375875</v>
      </c>
      <c r="D40" s="9">
        <f t="shared" si="3"/>
        <v>2752017.974276307</v>
      </c>
      <c r="E40" s="9">
        <f t="shared" si="3"/>
        <v>500000</v>
      </c>
      <c r="F40" s="9">
        <f t="shared" si="3"/>
        <v>17084659.561375875</v>
      </c>
      <c r="G40" s="9">
        <f t="shared" si="3"/>
        <v>3163199.9999999995</v>
      </c>
      <c r="H40" s="9">
        <f t="shared" si="3"/>
        <v>20298008.148341149</v>
      </c>
      <c r="I40" s="9">
        <f t="shared" si="3"/>
        <v>0</v>
      </c>
      <c r="J40" s="9">
        <f t="shared" si="3"/>
        <v>3901500</v>
      </c>
      <c r="K40" s="9">
        <f t="shared" si="3"/>
        <v>2653500</v>
      </c>
      <c r="L40" s="9">
        <f t="shared" si="3"/>
        <v>156000</v>
      </c>
      <c r="M40" s="9">
        <f t="shared" si="3"/>
        <v>312000</v>
      </c>
      <c r="N40" s="9">
        <f t="shared" si="3"/>
        <v>780000</v>
      </c>
      <c r="O40" s="9">
        <f t="shared" si="3"/>
        <v>96000</v>
      </c>
      <c r="P40" s="9">
        <f t="shared" si="3"/>
        <v>0</v>
      </c>
      <c r="Q40" s="9">
        <f t="shared" si="3"/>
        <v>0</v>
      </c>
      <c r="R40" s="9">
        <f t="shared" si="3"/>
        <v>46232500</v>
      </c>
      <c r="S40" s="9">
        <f>SUM(S6:S39)+AK40</f>
        <v>3318200</v>
      </c>
      <c r="T40" s="9">
        <f t="shared" si="3"/>
        <v>0</v>
      </c>
      <c r="U40" s="9">
        <f t="shared" si="3"/>
        <v>28599000</v>
      </c>
      <c r="V40" s="9">
        <f t="shared" si="3"/>
        <v>0</v>
      </c>
      <c r="W40" s="9">
        <f t="shared" si="3"/>
        <v>0</v>
      </c>
      <c r="X40" s="9">
        <f t="shared" si="3"/>
        <v>0</v>
      </c>
      <c r="Y40" s="9">
        <f t="shared" si="3"/>
        <v>0</v>
      </c>
      <c r="Z40" s="9">
        <f t="shared" si="3"/>
        <v>0</v>
      </c>
      <c r="AA40" s="9">
        <f t="shared" si="3"/>
        <v>0</v>
      </c>
      <c r="AB40" s="9">
        <f t="shared" si="3"/>
        <v>0</v>
      </c>
      <c r="AC40" s="9">
        <f t="shared" si="3"/>
        <v>0</v>
      </c>
      <c r="AD40" s="9">
        <f t="shared" si="3"/>
        <v>1836000</v>
      </c>
      <c r="AE40" s="9">
        <f t="shared" si="3"/>
        <v>234500</v>
      </c>
      <c r="AF40" s="9">
        <f t="shared" si="3"/>
        <v>0</v>
      </c>
      <c r="AG40" s="9">
        <f t="shared" si="3"/>
        <v>0</v>
      </c>
      <c r="AH40" s="9">
        <f t="shared" si="3"/>
        <v>770000</v>
      </c>
      <c r="AI40" s="9">
        <f t="shared" si="3"/>
        <v>17658500</v>
      </c>
      <c r="AK40" s="9">
        <f>SUM(AK6:AK39)</f>
        <v>583000</v>
      </c>
      <c r="AL40" s="9">
        <f>SUM(AL6:AL39)</f>
        <v>450000</v>
      </c>
    </row>
    <row r="42" spans="1:38" x14ac:dyDescent="0.25">
      <c r="S42" s="2">
        <f>+MVTJANV22!G40+MVTFEV22!G40+MVTMARS22!G40+MVTAVRIL22!G40+MVTMAI22!G40+MVTJUIN22!G40+MVTJUIL22!G40+MVTAOUT22!G40+MVTSEPT22!G40+MVTOCT22!G40+MVTNOV22!G40</f>
        <v>2045199.9999999995</v>
      </c>
    </row>
    <row r="43" spans="1:38" x14ac:dyDescent="0.25">
      <c r="A43" s="1" t="s">
        <v>17</v>
      </c>
      <c r="B43" s="1" t="str">
        <f>VLOOKUP(A43,[15]LISTADHERENT!A$5:H$60,3,0)</f>
        <v>BAKOP ACHILLE</v>
      </c>
      <c r="C43" s="5">
        <v>216000</v>
      </c>
    </row>
    <row r="44" spans="1:38" x14ac:dyDescent="0.25">
      <c r="A44" s="1" t="s">
        <v>305</v>
      </c>
      <c r="B44" s="1" t="str">
        <f>VLOOKUP(A44,[15]LISTADHERENT!A$5:H$60,3,0)</f>
        <v>HODIEP JULES</v>
      </c>
      <c r="C44" s="5">
        <v>80000</v>
      </c>
    </row>
    <row r="45" spans="1:38" x14ac:dyDescent="0.25">
      <c r="A45" s="1" t="s">
        <v>304</v>
      </c>
      <c r="B45" s="1" t="str">
        <f>VLOOKUP(A45,[15]LISTADHERENT!A$5:H$60,3,0)</f>
        <v>NDOMBOU JEAN CLAUDE</v>
      </c>
      <c r="C45" s="5">
        <v>480000</v>
      </c>
    </row>
    <row r="46" spans="1:38" x14ac:dyDescent="0.25">
      <c r="A46" s="1" t="s">
        <v>40</v>
      </c>
      <c r="B46" s="1" t="str">
        <f>VLOOKUP(A46,[15]LISTADHERENT!A$5:H$60,3,0)</f>
        <v>NGONGANG JEAN THEODORE</v>
      </c>
      <c r="C46" s="5">
        <f>267467-10000</f>
        <v>257467</v>
      </c>
    </row>
    <row r="47" spans="1:38" x14ac:dyDescent="0.25">
      <c r="A47" s="1" t="s">
        <v>80</v>
      </c>
      <c r="B47" s="1" t="str">
        <f>VLOOKUP(A47,[15]LISTADHERENT!A$5:H$60,3,0)</f>
        <v>NGANHOU JEAN</v>
      </c>
      <c r="C47" s="5">
        <f>130000-50000</f>
        <v>80000</v>
      </c>
    </row>
    <row r="48" spans="1:38" x14ac:dyDescent="0.25">
      <c r="A48" s="136"/>
      <c r="B48" s="1"/>
    </row>
    <row r="49" spans="1:3" ht="18" x14ac:dyDescent="0.25">
      <c r="A49" s="1" t="s">
        <v>57</v>
      </c>
      <c r="B49" s="1"/>
      <c r="C49" s="9">
        <f>SUM(C43:C48)</f>
        <v>1113467</v>
      </c>
    </row>
  </sheetData>
  <autoFilter ref="A5:U36">
    <sortState ref="A5:L48">
      <sortCondition ref="B5:B48"/>
    </sortState>
  </autoFilter>
  <dataValidations disablePrompts="1" count="1">
    <dataValidation type="list" allowBlank="1" showInputMessage="1" showErrorMessage="1" sqref="U37:U38">
      <formula1>MODET25000</formula1>
    </dataValidation>
  </dataValidations>
  <pageMargins left="0.7" right="0.7" top="0.75" bottom="0.75" header="0.3" footer="0.3"/>
  <pageSetup orientation="portrait" horizontalDpi="4294967295" verticalDpi="4294967295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A1:Z49"/>
  <sheetViews>
    <sheetView zoomScaleNormal="100" workbookViewId="0">
      <pane xSplit="2" ySplit="5" topLeftCell="C3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A35" sqref="A35:XFD35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" customWidth="1"/>
    <col min="6" max="6" width="16.85546875" bestFit="1" customWidth="1"/>
    <col min="7" max="7" width="15.28515625" customWidth="1"/>
    <col min="8" max="8" width="15" bestFit="1" customWidth="1"/>
    <col min="9" max="10" width="15.28515625" customWidth="1"/>
    <col min="11" max="11" width="16.85546875" bestFit="1" customWidth="1"/>
    <col min="12" max="15" width="16.85546875" customWidth="1"/>
    <col min="16" max="20" width="20.7109375" customWidth="1"/>
    <col min="21" max="21" width="17.5703125" style="114" bestFit="1" customWidth="1"/>
    <col min="22" max="22" width="16.5703125" customWidth="1"/>
    <col min="23" max="23" width="12.42578125" bestFit="1" customWidth="1"/>
    <col min="24" max="24" width="15" bestFit="1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V1" s="1"/>
    </row>
    <row r="2" spans="1:26" x14ac:dyDescent="0.25">
      <c r="A2" s="1" t="s">
        <v>2</v>
      </c>
      <c r="B2" s="1">
        <v>2022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V2" s="1"/>
    </row>
    <row r="3" spans="1:26" x14ac:dyDescent="0.25">
      <c r="A3" s="1" t="s">
        <v>3</v>
      </c>
      <c r="B3" s="5"/>
      <c r="C3" s="5"/>
      <c r="D3" s="5"/>
      <c r="E3" s="5"/>
      <c r="F3" s="5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V3" s="5"/>
    </row>
    <row r="4" spans="1:26" ht="27" thickBot="1" x14ac:dyDescent="0.45">
      <c r="A4" s="149" t="s">
        <v>248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</row>
    <row r="5" spans="1:26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0" t="s">
        <v>213</v>
      </c>
      <c r="F5" s="70" t="s">
        <v>214</v>
      </c>
      <c r="G5" s="70" t="s">
        <v>6</v>
      </c>
      <c r="H5" s="70" t="s">
        <v>9</v>
      </c>
      <c r="I5" s="71" t="s">
        <v>182</v>
      </c>
      <c r="J5" s="71" t="s">
        <v>183</v>
      </c>
      <c r="K5" s="71" t="s">
        <v>177</v>
      </c>
      <c r="L5" s="70" t="s">
        <v>8</v>
      </c>
      <c r="M5" s="71" t="s">
        <v>173</v>
      </c>
      <c r="N5" s="71" t="s">
        <v>138</v>
      </c>
      <c r="O5" s="71" t="s">
        <v>174</v>
      </c>
      <c r="P5" s="71" t="s">
        <v>249</v>
      </c>
      <c r="Q5" s="71" t="s">
        <v>243</v>
      </c>
      <c r="R5" s="71" t="s">
        <v>308</v>
      </c>
      <c r="S5" s="71" t="s">
        <v>311</v>
      </c>
      <c r="T5" s="71" t="s">
        <v>175</v>
      </c>
      <c r="U5" s="71" t="s">
        <v>69</v>
      </c>
      <c r="V5" s="72" t="s">
        <v>176</v>
      </c>
      <c r="W5" s="144" t="s">
        <v>309</v>
      </c>
      <c r="X5" s="145" t="s">
        <v>310</v>
      </c>
    </row>
    <row r="6" spans="1:26" x14ac:dyDescent="0.25">
      <c r="A6" s="1" t="s">
        <v>16</v>
      </c>
      <c r="B6" s="1" t="str">
        <f>VLOOKUP(A6,[15]LISTADHERENT!A$5:H$60,3,0)</f>
        <v>ASELBY</v>
      </c>
      <c r="C6" s="6">
        <f>VLOOKUP($A6,MVTRESUME22!A6:AL36,3,0)</f>
        <v>584177.00555049011</v>
      </c>
      <c r="D6" s="6">
        <f>VLOOKUP($A6,MVTRESUME22!$A$6:$AM$36,4,0)</f>
        <v>0</v>
      </c>
      <c r="E6" s="6">
        <f>VLOOKUP($A6,MVTRESUME22!$A$6:$AM$36,5,0)</f>
        <v>0</v>
      </c>
      <c r="F6" s="6">
        <f>VLOOKUP($A6,MVTRESUME22!$A$6:$AM$36,6,0)</f>
        <v>584177.00555049011</v>
      </c>
      <c r="G6" s="6">
        <f>VLOOKUP($A6,MVTRESUME22!$A$6:$AM$36,7,0)</f>
        <v>96270.987094708573</v>
      </c>
      <c r="H6" s="6">
        <f>VLOOKUP($A6,MVTRESUME22!$A$6:$AM$36,11,0)</f>
        <v>0</v>
      </c>
      <c r="I6" s="43"/>
      <c r="J6" s="43"/>
      <c r="K6" s="43">
        <f>D6+G6+H6</f>
        <v>96270.987094708573</v>
      </c>
      <c r="L6" s="43"/>
      <c r="M6" s="43"/>
      <c r="N6" s="43"/>
      <c r="O6" s="43">
        <f>M6+N6</f>
        <v>0</v>
      </c>
      <c r="P6" s="43"/>
      <c r="Q6" s="43"/>
      <c r="R6" s="43">
        <f>VLOOKUP($A6,MVTRESUME22!$A$6:$AM$36,35,0)</f>
        <v>0</v>
      </c>
      <c r="S6" s="43"/>
      <c r="T6" s="43"/>
      <c r="U6" s="43"/>
      <c r="V6" s="44">
        <f>F6+N6</f>
        <v>584177.00555049011</v>
      </c>
      <c r="W6" s="43">
        <v>0</v>
      </c>
      <c r="X6" s="11">
        <f>IF(Q6=0,70000,0)+Q6+R6+(600000-V6)</f>
        <v>85822.99444950989</v>
      </c>
      <c r="Y6" s="2"/>
      <c r="Z6" s="2"/>
    </row>
    <row r="7" spans="1:26" x14ac:dyDescent="0.25">
      <c r="A7" s="1" t="s">
        <v>19</v>
      </c>
      <c r="B7" s="1" t="str">
        <f>VLOOKUP(A7,[15]LISTADHERENT!A$5:H$60,3,0)</f>
        <v>BOUTCHOUANG WILLIAM</v>
      </c>
      <c r="C7" s="6">
        <f>VLOOKUP($A7,MVTRESUME22!A7:AL37,3,0)</f>
        <v>570000</v>
      </c>
      <c r="D7" s="6">
        <f>VLOOKUP($A7,MVTRESUME22!$A$6:$AM$36,4,0)</f>
        <v>-258.93850559103885</v>
      </c>
      <c r="E7" s="6">
        <f>VLOOKUP($A7,MVTRESUME22!$A$6:$AM$36,5,0)</f>
        <v>0</v>
      </c>
      <c r="F7" s="6">
        <f>VLOOKUP($A7,MVTRESUME22!$A$6:$AM$36,6,0)</f>
        <v>570000</v>
      </c>
      <c r="G7" s="6">
        <f>VLOOKUP($A7,MVTRESUME22!$A$6:$AM$36,7,0)</f>
        <v>96543.169294901774</v>
      </c>
      <c r="H7" s="6">
        <f>VLOOKUP($A7,MVTRESUME22!$A$6:$AM$36,11,0)</f>
        <v>36000</v>
      </c>
      <c r="I7" s="43"/>
      <c r="J7" s="43"/>
      <c r="K7" s="43">
        <f t="shared" ref="K7:K36" si="0">D7+G7+H7</f>
        <v>132284.23078931074</v>
      </c>
      <c r="L7" s="43"/>
      <c r="M7" s="43">
        <v>20000</v>
      </c>
      <c r="N7" s="43">
        <v>30000</v>
      </c>
      <c r="O7" s="43">
        <f t="shared" ref="O7:O36" si="1">M7+N7</f>
        <v>50000</v>
      </c>
      <c r="P7" s="43">
        <f>IF(Q7&lt;70000,K7-O7-(70000-Q7),K7-O7)</f>
        <v>82284.230789310735</v>
      </c>
      <c r="Q7" s="43">
        <f>VLOOKUP($A7,MVTRESUME22!$A$6:$AM$36,30,0)</f>
        <v>70000</v>
      </c>
      <c r="R7" s="43">
        <f>VLOOKUP($A7,MVTRESUME22!$A$6:$AM$36,35,0)</f>
        <v>0</v>
      </c>
      <c r="S7" s="43">
        <f>IF(Q7=0,P7-R7-Q7,P7-R7)-W7</f>
        <v>82284.230789310735</v>
      </c>
      <c r="T7" s="43">
        <v>40000</v>
      </c>
      <c r="U7" s="43"/>
      <c r="V7" s="44">
        <f t="shared" ref="V7:V36" si="2">F7+N7</f>
        <v>600000</v>
      </c>
      <c r="W7" s="43">
        <v>0</v>
      </c>
      <c r="X7" s="11"/>
      <c r="Y7" s="2"/>
      <c r="Z7" s="2"/>
    </row>
    <row r="8" spans="1:26" x14ac:dyDescent="0.25">
      <c r="A8" s="1" t="s">
        <v>23</v>
      </c>
      <c r="B8" s="1" t="str">
        <f>VLOOKUP(A8,[15]LISTADHERENT!A$5:H$60,3,0)</f>
        <v xml:space="preserve">DJOMO JEAN PAUL </v>
      </c>
      <c r="C8" s="6">
        <f>VLOOKUP($A8,MVTRESUME22!A8:AL38,3,0)</f>
        <v>570000</v>
      </c>
      <c r="D8" s="6">
        <f>VLOOKUP($A8,MVTRESUME22!$A$6:$AM$36,4,0)</f>
        <v>1714.0012148400419</v>
      </c>
      <c r="E8" s="6">
        <f>VLOOKUP($A8,MVTRESUME22!$A$6:$AM$36,5,0)</f>
        <v>0</v>
      </c>
      <c r="F8" s="6">
        <f>VLOOKUP($A8,MVTRESUME22!$A$6:$AM$36,6,0)</f>
        <v>570000</v>
      </c>
      <c r="G8" s="6">
        <f>VLOOKUP($A8,MVTRESUME22!$A$6:$AM$36,7,0)</f>
        <v>107611.24909393289</v>
      </c>
      <c r="H8" s="6">
        <f>VLOOKUP($A8,MVTRESUME22!$A$6:$AM$36,11,0)</f>
        <v>133500</v>
      </c>
      <c r="I8" s="43"/>
      <c r="J8" s="43"/>
      <c r="K8" s="43">
        <f t="shared" si="0"/>
        <v>242825.25030877293</v>
      </c>
      <c r="L8" s="43"/>
      <c r="M8" s="43">
        <v>20000</v>
      </c>
      <c r="N8" s="43">
        <v>30000</v>
      </c>
      <c r="O8" s="43">
        <f t="shared" si="1"/>
        <v>50000</v>
      </c>
      <c r="P8" s="43">
        <f>IF(Q8&lt;70000,K8-O8-(70000-Q8),K8-O8)+70000</f>
        <v>192825.25030877293</v>
      </c>
      <c r="Q8" s="43">
        <f>VLOOKUP($A8,MVTRESUME22!$A$6:$AM$36,30,0)</f>
        <v>0</v>
      </c>
      <c r="R8" s="43">
        <f>VLOOKUP($A8,MVTRESUME22!$A$6:$AM$36,35,0)</f>
        <v>1000000</v>
      </c>
      <c r="S8" s="43">
        <f>IF(Q8=0,P8-R8-Q8,P8-R8)-W8</f>
        <v>-807174.7496912271</v>
      </c>
      <c r="T8" s="43">
        <v>50000</v>
      </c>
      <c r="U8" s="43"/>
      <c r="V8" s="44">
        <f t="shared" si="2"/>
        <v>600000</v>
      </c>
      <c r="W8" s="43">
        <v>0</v>
      </c>
      <c r="X8" s="11"/>
      <c r="Y8" s="2"/>
      <c r="Z8" s="2"/>
    </row>
    <row r="9" spans="1:26" x14ac:dyDescent="0.25">
      <c r="A9" s="1" t="s">
        <v>154</v>
      </c>
      <c r="B9" s="1" t="str">
        <f>VLOOKUP(A9,[15]LISTADHERENT!A$5:H$60,3,0)</f>
        <v>DJOMOU TCHANDA</v>
      </c>
      <c r="C9" s="6">
        <f>VLOOKUP($A9,MVTRESUME22!A9:AL39,3,0)</f>
        <v>570000</v>
      </c>
      <c r="D9" s="6">
        <f>VLOOKUP($A9,MVTRESUME22!$A$6:$AM$36,4,0)</f>
        <v>359</v>
      </c>
      <c r="E9" s="6">
        <f>VLOOKUP($A9,MVTRESUME22!$A$6:$AM$36,5,0)</f>
        <v>0</v>
      </c>
      <c r="F9" s="6">
        <f>VLOOKUP($A9,MVTRESUME22!$A$6:$AM$36,6,0)</f>
        <v>570000</v>
      </c>
      <c r="G9" s="6">
        <f>VLOOKUP($A9,MVTRESUME22!$A$6:$AM$36,7,0)</f>
        <v>96698.255391529252</v>
      </c>
      <c r="H9" s="6">
        <f>VLOOKUP($A9,MVTRESUME22!$A$6:$AM$36,11,0)</f>
        <v>37000</v>
      </c>
      <c r="I9" s="43"/>
      <c r="J9" s="43"/>
      <c r="K9" s="43">
        <f t="shared" si="0"/>
        <v>134057.25539152924</v>
      </c>
      <c r="L9" s="43"/>
      <c r="M9" s="43">
        <v>20000</v>
      </c>
      <c r="N9" s="43">
        <v>30000</v>
      </c>
      <c r="O9" s="43">
        <f t="shared" si="1"/>
        <v>50000</v>
      </c>
      <c r="P9" s="43">
        <f t="shared" ref="P9:P36" si="3">IF(Q9&lt;70000,K9-O9-(70000-Q9),K9-O9)</f>
        <v>84057.255391529237</v>
      </c>
      <c r="Q9" s="43">
        <f>VLOOKUP($A9,MVTRESUME22!$A$6:$AM$36,30,0)</f>
        <v>113000</v>
      </c>
      <c r="R9" s="43">
        <f>VLOOKUP($A9,MVTRESUME22!$A$6:$AM$36,35,0)</f>
        <v>0</v>
      </c>
      <c r="S9" s="43">
        <f t="shared" ref="S9:S36" si="4">IF(Q9=0,P9-R9-Q9,P9-R9)-W9</f>
        <v>84057.255391529237</v>
      </c>
      <c r="T9" s="43">
        <v>0</v>
      </c>
      <c r="U9" s="43"/>
      <c r="V9" s="44">
        <f t="shared" si="2"/>
        <v>600000</v>
      </c>
      <c r="W9" s="43">
        <v>0</v>
      </c>
      <c r="X9" s="11"/>
      <c r="Y9" s="2"/>
      <c r="Z9" s="2"/>
    </row>
    <row r="10" spans="1:26" x14ac:dyDescent="0.25">
      <c r="A10" s="1" t="s">
        <v>24</v>
      </c>
      <c r="B10" s="1" t="str">
        <f>VLOOKUP(A10,[15]LISTADHERENT!A$5:H$60,3,0)</f>
        <v>DJOUKWE NANGUEN GUY BLAISE</v>
      </c>
      <c r="C10" s="6">
        <f>VLOOKUP($A10,MVTRESUME22!A10:AL40,3,0)</f>
        <v>570000</v>
      </c>
      <c r="D10" s="6">
        <f>VLOOKUP($A10,MVTRESUME22!$A$6:$AM$36,4,0)</f>
        <v>110412.64212220861</v>
      </c>
      <c r="E10" s="6">
        <f>VLOOKUP($A10,MVTRESUME22!$A$6:$AM$36,5,0)</f>
        <v>0</v>
      </c>
      <c r="F10" s="6">
        <f>VLOOKUP($A10,MVTRESUME22!$A$6:$AM$36,6,0)</f>
        <v>570000</v>
      </c>
      <c r="G10" s="6">
        <f>VLOOKUP($A10,MVTRESUME22!$A$6:$AM$36,7,0)</f>
        <v>115605.57185446465</v>
      </c>
      <c r="H10" s="6">
        <f>VLOOKUP($A10,MVTRESUME22!$A$6:$AM$36,11,0)</f>
        <v>41000</v>
      </c>
      <c r="I10" s="43"/>
      <c r="J10" s="43"/>
      <c r="K10" s="43">
        <f t="shared" si="0"/>
        <v>267018.21397667326</v>
      </c>
      <c r="L10" s="43"/>
      <c r="M10" s="43">
        <v>20000</v>
      </c>
      <c r="N10" s="43">
        <v>30000</v>
      </c>
      <c r="O10" s="43">
        <f t="shared" si="1"/>
        <v>50000</v>
      </c>
      <c r="P10" s="43">
        <f t="shared" si="3"/>
        <v>217018.21397667326</v>
      </c>
      <c r="Q10" s="43">
        <f>VLOOKUP($A10,MVTRESUME22!$A$6:$AM$36,30,0)</f>
        <v>70000</v>
      </c>
      <c r="R10" s="43">
        <f>VLOOKUP($A10,MVTRESUME22!$A$6:$AM$36,35,0)</f>
        <v>1000000</v>
      </c>
      <c r="S10" s="43">
        <f t="shared" si="4"/>
        <v>-782981.78602332668</v>
      </c>
      <c r="T10" s="43">
        <v>20000</v>
      </c>
      <c r="U10" s="43"/>
      <c r="V10" s="44">
        <f t="shared" si="2"/>
        <v>600000</v>
      </c>
      <c r="W10" s="43">
        <v>0</v>
      </c>
      <c r="X10" s="11"/>
      <c r="Y10" s="2"/>
      <c r="Z10" s="2"/>
    </row>
    <row r="11" spans="1:26" x14ac:dyDescent="0.25">
      <c r="A11" s="1" t="s">
        <v>25</v>
      </c>
      <c r="B11" s="1" t="str">
        <f>VLOOKUP(A11,[15]LISTADHERENT!A$5:H$60,3,0)</f>
        <v>DJUOMBESSY ANTOINE</v>
      </c>
      <c r="C11" s="6">
        <f>VLOOKUP($A11,MVTRESUME22!A11:AL41,3,0)</f>
        <v>570000</v>
      </c>
      <c r="D11" s="6">
        <f>VLOOKUP($A11,MVTRESUME22!$A$6:$AM$36,4,0)</f>
        <v>18508.84987508686</v>
      </c>
      <c r="E11" s="6">
        <f>VLOOKUP($A11,MVTRESUME22!$A$6:$AM$36,5,0)</f>
        <v>0</v>
      </c>
      <c r="F11" s="6">
        <f>VLOOKUP($A11,MVTRESUME22!$A$6:$AM$36,6,0)</f>
        <v>570000</v>
      </c>
      <c r="G11" s="6">
        <f>VLOOKUP($A11,MVTRESUME22!$A$6:$AM$36,7,0)</f>
        <v>99709.793473475802</v>
      </c>
      <c r="H11" s="6">
        <f>VLOOKUP($A11,MVTRESUME22!$A$6:$AM$36,11,0)</f>
        <v>39000</v>
      </c>
      <c r="I11" s="43"/>
      <c r="J11" s="43"/>
      <c r="K11" s="43">
        <f t="shared" si="0"/>
        <v>157218.64334856265</v>
      </c>
      <c r="L11" s="43"/>
      <c r="M11" s="43">
        <v>20000</v>
      </c>
      <c r="N11" s="43">
        <v>30000</v>
      </c>
      <c r="O11" s="43">
        <f t="shared" si="1"/>
        <v>50000</v>
      </c>
      <c r="P11" s="43">
        <f t="shared" si="3"/>
        <v>107218.64334856265</v>
      </c>
      <c r="Q11" s="43">
        <f>VLOOKUP($A11,MVTRESUME22!$A$6:$AM$36,30,0)</f>
        <v>70000</v>
      </c>
      <c r="R11" s="43">
        <f>VLOOKUP($A11,MVTRESUME22!$A$6:$AM$36,35,0)</f>
        <v>0</v>
      </c>
      <c r="S11" s="43">
        <f t="shared" si="4"/>
        <v>107218.64334856265</v>
      </c>
      <c r="T11" s="43">
        <v>60000</v>
      </c>
      <c r="U11" s="43"/>
      <c r="V11" s="44">
        <f t="shared" si="2"/>
        <v>600000</v>
      </c>
      <c r="W11" s="43">
        <v>0</v>
      </c>
      <c r="X11" s="11"/>
      <c r="Y11" s="2"/>
      <c r="Z11" s="2"/>
    </row>
    <row r="12" spans="1:26" x14ac:dyDescent="0.25">
      <c r="A12" s="1" t="s">
        <v>79</v>
      </c>
      <c r="B12" s="1" t="str">
        <f>VLOOKUP(A12,[15]LISTADHERENT!A$5:H$60,3,0)</f>
        <v>DOMOU FABIEN</v>
      </c>
      <c r="C12" s="6">
        <f>VLOOKUP($A12,MVTRESUME22!A12:AL42,3,0)</f>
        <v>570000</v>
      </c>
      <c r="D12" s="6">
        <f>VLOOKUP($A12,MVTRESUME22!$A$6:$AM$36,4,0)</f>
        <v>6527.0543220352411</v>
      </c>
      <c r="E12" s="6">
        <f>VLOOKUP($A12,MVTRESUME22!$A$6:$AM$36,5,0)</f>
        <v>0</v>
      </c>
      <c r="F12" s="6">
        <f>VLOOKUP($A12,MVTRESUME22!$A$6:$AM$36,6,0)</f>
        <v>570000</v>
      </c>
      <c r="G12" s="6">
        <f>VLOOKUP($A12,MVTRESUME22!$A$6:$AM$36,7,0)</f>
        <v>102080.13749950443</v>
      </c>
      <c r="H12" s="6">
        <f>VLOOKUP($A12,MVTRESUME22!$A$6:$AM$36,11,0)</f>
        <v>96000</v>
      </c>
      <c r="I12" s="43"/>
      <c r="J12" s="43"/>
      <c r="K12" s="43">
        <f t="shared" si="0"/>
        <v>204607.19182153966</v>
      </c>
      <c r="L12" s="43"/>
      <c r="M12" s="43">
        <v>20000</v>
      </c>
      <c r="N12" s="43">
        <v>30000</v>
      </c>
      <c r="O12" s="43">
        <f t="shared" si="1"/>
        <v>50000</v>
      </c>
      <c r="P12" s="43">
        <f t="shared" si="3"/>
        <v>154607.19182153966</v>
      </c>
      <c r="Q12" s="43">
        <f>VLOOKUP($A12,MVTRESUME22!$A$6:$AM$36,30,0)</f>
        <v>90000</v>
      </c>
      <c r="R12" s="43">
        <f>VLOOKUP($A12,MVTRESUME22!$A$6:$AM$36,35,0)</f>
        <v>1000000</v>
      </c>
      <c r="S12" s="43">
        <f t="shared" si="4"/>
        <v>-845392.80817846034</v>
      </c>
      <c r="T12" s="43">
        <v>115000</v>
      </c>
      <c r="U12" s="43"/>
      <c r="V12" s="44">
        <f t="shared" si="2"/>
        <v>600000</v>
      </c>
      <c r="W12" s="43">
        <v>0</v>
      </c>
      <c r="X12" s="11"/>
      <c r="Y12" s="2"/>
      <c r="Z12" s="2"/>
    </row>
    <row r="13" spans="1:26" x14ac:dyDescent="0.25">
      <c r="A13" s="1" t="s">
        <v>26</v>
      </c>
      <c r="B13" s="1" t="str">
        <f>VLOOKUP(A13,[15]LISTADHERENT!A$5:H$60,3,0)</f>
        <v>DONHOU DAVID</v>
      </c>
      <c r="C13" s="6">
        <f>VLOOKUP($A13,MVTRESUME22!A13:AL43,3,0)</f>
        <v>570000</v>
      </c>
      <c r="D13" s="6">
        <f>VLOOKUP($A13,MVTRESUME22!$A$6:$AM$36,4,0)</f>
        <v>253289.50601995771</v>
      </c>
      <c r="E13" s="6">
        <f>VLOOKUP($A13,MVTRESUME22!$A$6:$AM$36,5,0)</f>
        <v>0</v>
      </c>
      <c r="F13" s="6">
        <f>VLOOKUP($A13,MVTRESUME22!$A$6:$AM$36,6,0)</f>
        <v>570000</v>
      </c>
      <c r="G13" s="6">
        <f>VLOOKUP($A13,MVTRESUME22!$A$6:$AM$36,7,0)</f>
        <v>141922.01700906034</v>
      </c>
      <c r="H13" s="6">
        <f>VLOOKUP($A13,MVTRESUME22!$A$6:$AM$36,11,0)</f>
        <v>91000</v>
      </c>
      <c r="I13" s="43"/>
      <c r="J13" s="43"/>
      <c r="K13" s="43">
        <f t="shared" si="0"/>
        <v>486211.52302901808</v>
      </c>
      <c r="L13" s="43"/>
      <c r="M13" s="43">
        <v>20000</v>
      </c>
      <c r="N13" s="43">
        <v>30000</v>
      </c>
      <c r="O13" s="43">
        <f t="shared" si="1"/>
        <v>50000</v>
      </c>
      <c r="P13" s="43">
        <f t="shared" si="3"/>
        <v>436211.52302901808</v>
      </c>
      <c r="Q13" s="43">
        <f>VLOOKUP($A13,MVTRESUME22!$A$6:$AM$36,30,0)</f>
        <v>70000</v>
      </c>
      <c r="R13" s="43">
        <f>VLOOKUP($A13,MVTRESUME22!$A$6:$AM$36,35,0)</f>
        <v>0</v>
      </c>
      <c r="S13" s="43">
        <f t="shared" si="4"/>
        <v>436211.52302901808</v>
      </c>
      <c r="T13" s="43">
        <v>0</v>
      </c>
      <c r="U13" s="43"/>
      <c r="V13" s="44">
        <f t="shared" si="2"/>
        <v>600000</v>
      </c>
      <c r="W13" s="43">
        <v>0</v>
      </c>
      <c r="X13" s="11"/>
      <c r="Y13" s="2"/>
      <c r="Z13" s="2"/>
    </row>
    <row r="14" spans="1:26" x14ac:dyDescent="0.25">
      <c r="A14" s="1" t="s">
        <v>27</v>
      </c>
      <c r="B14" s="1" t="str">
        <f>VLOOKUP(A14,[15]LISTADHERENT!A$5:H$60,3,0)</f>
        <v>FOTSO THOMAS</v>
      </c>
      <c r="C14" s="6">
        <f>VLOOKUP($A14,MVTRESUME22!A14:AL44,3,0)</f>
        <v>540000</v>
      </c>
      <c r="D14" s="6">
        <f>VLOOKUP($A14,MVTRESUME22!$A$6:$AM$36,4,0)</f>
        <v>-2105.0985828532721</v>
      </c>
      <c r="E14" s="6">
        <f>VLOOKUP($A14,MVTRESUME22!$A$6:$AM$36,5,0)</f>
        <v>0</v>
      </c>
      <c r="F14" s="6">
        <f>VLOOKUP($A14,MVTRESUME22!$A$6:$AM$36,6,0)</f>
        <v>540000</v>
      </c>
      <c r="G14" s="6">
        <f>VLOOKUP($A14,MVTRESUME22!$A$6:$AM$36,7,0)</f>
        <v>0</v>
      </c>
      <c r="H14" s="6">
        <f>VLOOKUP($A14,MVTRESUME22!$A$6:$AM$36,11,0)</f>
        <v>0</v>
      </c>
      <c r="I14" s="43"/>
      <c r="J14" s="43"/>
      <c r="K14" s="43">
        <f t="shared" si="0"/>
        <v>-2105.0985828532721</v>
      </c>
      <c r="L14" s="43"/>
      <c r="M14" s="43"/>
      <c r="N14" s="43"/>
      <c r="O14" s="43">
        <f t="shared" si="1"/>
        <v>0</v>
      </c>
      <c r="P14" s="43">
        <v>0</v>
      </c>
      <c r="Q14" s="43">
        <f>VLOOKUP($A14,MVTRESUME22!$A$6:$AM$36,30,0)</f>
        <v>0</v>
      </c>
      <c r="R14" s="43">
        <f>VLOOKUP($A14,MVTRESUME22!$A$6:$AM$36,35,0)</f>
        <v>1155000</v>
      </c>
      <c r="S14" s="43">
        <f>IF(Q14=0,P14-R14-Q14,P14-R14)</f>
        <v>-1155000</v>
      </c>
      <c r="T14" s="43"/>
      <c r="U14" s="43"/>
      <c r="V14" s="44">
        <f t="shared" si="2"/>
        <v>540000</v>
      </c>
      <c r="W14" s="43">
        <v>122105.098582853</v>
      </c>
      <c r="X14" s="11">
        <f t="shared" ref="X14:X34" si="5">IF(Q14=0,70000,0)+Q14+R14+(600000-V14)</f>
        <v>1285000</v>
      </c>
      <c r="Y14" s="2"/>
      <c r="Z14" s="2"/>
    </row>
    <row r="15" spans="1:26" ht="14.25" customHeight="1" x14ac:dyDescent="0.25">
      <c r="A15" s="1" t="s">
        <v>28</v>
      </c>
      <c r="B15" s="1" t="str">
        <f>VLOOKUP(A15,[15]LISTADHERENT!A$5:H$60,3,0)</f>
        <v>HENGUE PAUL OMER</v>
      </c>
      <c r="C15" s="6">
        <f>VLOOKUP($A15,MVTRESUME22!A15:AL45,3,0)</f>
        <v>570000</v>
      </c>
      <c r="D15" s="6">
        <f>VLOOKUP($A15,MVTRESUME22!$A$6:$AM$36,4,0)</f>
        <v>3435.9669399686391</v>
      </c>
      <c r="E15" s="6">
        <f>VLOOKUP($A15,MVTRESUME22!$A$6:$AM$36,5,0)</f>
        <v>0</v>
      </c>
      <c r="F15" s="6">
        <f>VLOOKUP($A15,MVTRESUME22!$A$6:$AM$36,6,0)</f>
        <v>570000</v>
      </c>
      <c r="G15" s="6">
        <f>VLOOKUP($A15,MVTRESUME22!$A$6:$AM$36,7,0)</f>
        <v>97152.080962231834</v>
      </c>
      <c r="H15" s="6">
        <f>VLOOKUP($A15,MVTRESUME22!$A$6:$AM$36,11,0)</f>
        <v>36000</v>
      </c>
      <c r="I15" s="43"/>
      <c r="J15" s="43"/>
      <c r="K15" s="43">
        <f t="shared" si="0"/>
        <v>136588.04790220049</v>
      </c>
      <c r="L15" s="43"/>
      <c r="M15" s="43">
        <v>20000</v>
      </c>
      <c r="N15" s="43">
        <v>30000</v>
      </c>
      <c r="O15" s="43">
        <f t="shared" si="1"/>
        <v>50000</v>
      </c>
      <c r="P15" s="43">
        <f t="shared" si="3"/>
        <v>86588.047902200487</v>
      </c>
      <c r="Q15" s="43">
        <f>VLOOKUP($A15,MVTRESUME22!$A$6:$AM$36,30,0)</f>
        <v>70000</v>
      </c>
      <c r="R15" s="43">
        <f>VLOOKUP($A15,MVTRESUME22!$A$6:$AM$36,35,0)</f>
        <v>0</v>
      </c>
      <c r="S15" s="43">
        <f t="shared" si="4"/>
        <v>86588.047902200487</v>
      </c>
      <c r="T15" s="43">
        <v>0</v>
      </c>
      <c r="U15" s="43"/>
      <c r="V15" s="44">
        <f t="shared" si="2"/>
        <v>600000</v>
      </c>
      <c r="W15" s="43">
        <v>0</v>
      </c>
      <c r="X15" s="11"/>
      <c r="Y15" s="2"/>
      <c r="Z15" s="2"/>
    </row>
    <row r="16" spans="1:26" x14ac:dyDescent="0.25">
      <c r="A16" s="1" t="s">
        <v>29</v>
      </c>
      <c r="B16" s="1" t="str">
        <f>VLOOKUP(A16,[15]LISTADHERENT!A$5:H$60,3,0)</f>
        <v>HOTCHO BENJAMIN</v>
      </c>
      <c r="C16" s="6">
        <f>VLOOKUP($A16,MVTRESUME22!A16:AL46,3,0)</f>
        <v>570000</v>
      </c>
      <c r="D16" s="6">
        <f>VLOOKUP($A16,MVTRESUME22!$A$6:$AM$36,4,0)</f>
        <v>17580.420303784544</v>
      </c>
      <c r="E16" s="6">
        <f>VLOOKUP($A16,MVTRESUME22!$A$6:$AM$36,5,0)</f>
        <v>500000</v>
      </c>
      <c r="F16" s="6">
        <f>VLOOKUP($A16,MVTRESUME22!$A$6:$AM$36,6,0)</f>
        <v>70000</v>
      </c>
      <c r="G16" s="6">
        <f>VLOOKUP($A16,MVTRESUME22!$A$6:$AM$36,7,0)</f>
        <v>113828.95695186211</v>
      </c>
      <c r="H16" s="6">
        <f>VLOOKUP($A16,MVTRESUME22!$A$6:$AM$36,11,0)</f>
        <v>576000</v>
      </c>
      <c r="I16" s="43"/>
      <c r="J16" s="43"/>
      <c r="K16" s="43">
        <f t="shared" si="0"/>
        <v>707409.37725564663</v>
      </c>
      <c r="L16" s="43"/>
      <c r="M16" s="43">
        <v>20000</v>
      </c>
      <c r="N16" s="43">
        <v>30000</v>
      </c>
      <c r="O16" s="43">
        <f t="shared" si="1"/>
        <v>50000</v>
      </c>
      <c r="P16" s="43">
        <f t="shared" si="3"/>
        <v>657409.37725564663</v>
      </c>
      <c r="Q16" s="43">
        <f>VLOOKUP($A16,MVTRESUME22!$A$6:$AM$36,30,0)</f>
        <v>70000</v>
      </c>
      <c r="R16" s="43">
        <f>VLOOKUP($A16,MVTRESUME22!$A$6:$AM$36,35,0)</f>
        <v>1000000</v>
      </c>
      <c r="S16" s="43">
        <f>IF(Q16=0,P16-R16-Q16,P16-R16)-W16-500000</f>
        <v>-842590.62274435337</v>
      </c>
      <c r="T16" s="43">
        <v>100000</v>
      </c>
      <c r="U16" s="43"/>
      <c r="V16" s="44">
        <f>F16+N16+500000</f>
        <v>600000</v>
      </c>
      <c r="W16" s="43">
        <v>0</v>
      </c>
      <c r="X16" s="11"/>
      <c r="Y16" s="2"/>
      <c r="Z16" s="2"/>
    </row>
    <row r="17" spans="1:26" s="14" customFormat="1" ht="13.5" customHeight="1" x14ac:dyDescent="0.25">
      <c r="A17" s="1" t="s">
        <v>33</v>
      </c>
      <c r="B17" s="1" t="str">
        <f>VLOOKUP(A17,[15]LISTADHERENT!A$5:H$60,3,0)</f>
        <v>KOUAMOU MOISE</v>
      </c>
      <c r="C17" s="6">
        <f>VLOOKUP($A17,MVTRESUME22!A17:AL47,3,0)</f>
        <v>570000</v>
      </c>
      <c r="D17" s="6">
        <f>VLOOKUP($A17,MVTRESUME22!$A$6:$AM$36,4,0)</f>
        <v>5406.5483426781138</v>
      </c>
      <c r="E17" s="6">
        <f>VLOOKUP($A17,MVTRESUME22!$A$6:$AM$36,5,0)</f>
        <v>0</v>
      </c>
      <c r="F17" s="6">
        <f>VLOOKUP($A17,MVTRESUME22!$A$6:$AM$36,6,0)</f>
        <v>570000</v>
      </c>
      <c r="G17" s="6">
        <f>VLOOKUP($A17,MVTRESUME22!$A$6:$AM$36,7,0)</f>
        <v>97476.828110761839</v>
      </c>
      <c r="H17" s="6">
        <f>VLOOKUP($A17,MVTRESUME22!$A$6:$AM$36,11,0)</f>
        <v>36000</v>
      </c>
      <c r="I17" s="46"/>
      <c r="J17" s="43"/>
      <c r="K17" s="43">
        <f t="shared" si="0"/>
        <v>138883.37645343994</v>
      </c>
      <c r="L17" s="46"/>
      <c r="M17" s="43">
        <v>20000</v>
      </c>
      <c r="N17" s="43">
        <v>30000</v>
      </c>
      <c r="O17" s="43">
        <f t="shared" si="1"/>
        <v>50000</v>
      </c>
      <c r="P17" s="43">
        <f t="shared" si="3"/>
        <v>88883.376453439938</v>
      </c>
      <c r="Q17" s="43">
        <f>VLOOKUP($A17,MVTRESUME22!$A$6:$AM$36,30,0)</f>
        <v>70000</v>
      </c>
      <c r="R17" s="43">
        <f>VLOOKUP($A17,MVTRESUME22!$A$6:$AM$36,35,0)</f>
        <v>0</v>
      </c>
      <c r="S17" s="43">
        <f t="shared" si="4"/>
        <v>88883.376453439938</v>
      </c>
      <c r="T17" s="43"/>
      <c r="U17" s="43"/>
      <c r="V17" s="44">
        <f t="shared" si="2"/>
        <v>600000</v>
      </c>
      <c r="W17" s="43">
        <v>0</v>
      </c>
      <c r="X17" s="11"/>
      <c r="Y17" s="11"/>
      <c r="Z17" s="11"/>
    </row>
    <row r="18" spans="1:26" s="14" customFormat="1" x14ac:dyDescent="0.25">
      <c r="A18" s="1" t="s">
        <v>35</v>
      </c>
      <c r="B18" s="1" t="str">
        <f>VLOOKUP(A18,[15]LISTADHERENT!A$5:H$60,3,0)</f>
        <v>KOUATCHO MESSACK</v>
      </c>
      <c r="C18" s="6">
        <f>VLOOKUP($A18,MVTRESUME22!A18:AL48,3,0)</f>
        <v>570000</v>
      </c>
      <c r="D18" s="6">
        <f>VLOOKUP($A18,MVTRESUME22!$A$6:$AM$36,4,0)</f>
        <v>8241.6184045160044</v>
      </c>
      <c r="E18" s="6">
        <f>VLOOKUP($A18,MVTRESUME22!$A$6:$AM$36,5,0)</f>
        <v>0</v>
      </c>
      <c r="F18" s="6">
        <f>VLOOKUP($A18,MVTRESUME22!$A$6:$AM$36,6,0)</f>
        <v>570000</v>
      </c>
      <c r="G18" s="6">
        <f>VLOOKUP($A18,MVTRESUME22!$A$6:$AM$36,7,0)</f>
        <v>97975.813062296453</v>
      </c>
      <c r="H18" s="6">
        <f>VLOOKUP($A18,MVTRESUME22!$A$6:$AM$36,11,0)</f>
        <v>36000</v>
      </c>
      <c r="I18" s="46"/>
      <c r="J18" s="43"/>
      <c r="K18" s="43">
        <f t="shared" si="0"/>
        <v>142217.43146681244</v>
      </c>
      <c r="L18" s="46"/>
      <c r="M18" s="43">
        <v>20000</v>
      </c>
      <c r="N18" s="43">
        <v>30000</v>
      </c>
      <c r="O18" s="43">
        <f t="shared" si="1"/>
        <v>50000</v>
      </c>
      <c r="P18" s="43">
        <f t="shared" si="3"/>
        <v>92217.431466812443</v>
      </c>
      <c r="Q18" s="43">
        <f>VLOOKUP($A18,MVTRESUME22!$A$6:$AM$36,30,0)</f>
        <v>70000</v>
      </c>
      <c r="R18" s="43">
        <f>VLOOKUP($A18,MVTRESUME22!$A$6:$AM$36,35,0)</f>
        <v>1000000</v>
      </c>
      <c r="S18" s="43">
        <f t="shared" si="4"/>
        <v>-907782.5685331875</v>
      </c>
      <c r="T18" s="43">
        <v>50000</v>
      </c>
      <c r="U18" s="43"/>
      <c r="V18" s="44">
        <f t="shared" si="2"/>
        <v>600000</v>
      </c>
      <c r="W18" s="43">
        <v>0</v>
      </c>
      <c r="X18" s="11"/>
      <c r="Y18" s="11"/>
      <c r="Z18" s="11"/>
    </row>
    <row r="19" spans="1:26" x14ac:dyDescent="0.25">
      <c r="A19" s="1" t="s">
        <v>36</v>
      </c>
      <c r="B19" s="1" t="str">
        <f>VLOOKUP(A19,[15]LISTADHERENT!A$5:H$60,3,0)</f>
        <v>LOWE JEAN</v>
      </c>
      <c r="C19" s="6">
        <f>VLOOKUP($A19,MVTRESUME22!A19:AL49,3,0)</f>
        <v>570000</v>
      </c>
      <c r="D19" s="6">
        <f>VLOOKUP($A19,MVTRESUME22!$A$6:$AM$36,4,0)</f>
        <v>393.95927050459431</v>
      </c>
      <c r="E19" s="6">
        <f>VLOOKUP($A19,MVTRESUME22!$A$6:$AM$36,5,0)</f>
        <v>0</v>
      </c>
      <c r="F19" s="6">
        <f>VLOOKUP($A19,MVTRESUME22!$A$6:$AM$36,6,0)</f>
        <v>570000</v>
      </c>
      <c r="G19" s="6">
        <f>VLOOKUP($A19,MVTRESUME22!$A$6:$AM$36,7,0)</f>
        <v>96650.765302241052</v>
      </c>
      <c r="H19" s="6">
        <f>VLOOKUP($A19,MVTRESUME22!$A$6:$AM$36,11,0)</f>
        <v>36000</v>
      </c>
      <c r="I19" s="43"/>
      <c r="J19" s="43"/>
      <c r="K19" s="43">
        <f t="shared" si="0"/>
        <v>133044.72457274565</v>
      </c>
      <c r="L19" s="43"/>
      <c r="M19" s="43">
        <v>20000</v>
      </c>
      <c r="N19" s="43">
        <v>30000</v>
      </c>
      <c r="O19" s="43">
        <f t="shared" si="1"/>
        <v>50000</v>
      </c>
      <c r="P19" s="43">
        <f t="shared" si="3"/>
        <v>13044.724572745647</v>
      </c>
      <c r="Q19" s="43">
        <f>VLOOKUP($A19,MVTRESUME22!$A$6:$AM$36,30,0)</f>
        <v>0</v>
      </c>
      <c r="R19" s="43">
        <f>VLOOKUP($A19,MVTRESUME22!$A$6:$AM$36,35,0)</f>
        <v>1000000</v>
      </c>
      <c r="S19" s="43">
        <f t="shared" si="4"/>
        <v>-1001343.4493428314</v>
      </c>
      <c r="T19" s="43">
        <v>47000</v>
      </c>
      <c r="U19" s="43"/>
      <c r="V19" s="44">
        <f t="shared" si="2"/>
        <v>600000</v>
      </c>
      <c r="W19" s="43">
        <v>14388.173915576999</v>
      </c>
      <c r="X19" s="11">
        <f t="shared" si="5"/>
        <v>1070000</v>
      </c>
      <c r="Y19" s="2"/>
      <c r="Z19" s="2"/>
    </row>
    <row r="20" spans="1:26" x14ac:dyDescent="0.25">
      <c r="A20" s="1" t="s">
        <v>75</v>
      </c>
      <c r="B20" s="1" t="str">
        <f>VLOOKUP(A20,[15]LISTADHERENT!A$5:H$60,3,0)</f>
        <v>MBOGNING TUGMA GUY</v>
      </c>
      <c r="C20" s="6">
        <f>VLOOKUP($A20,MVTRESUME22!A20:AL50,3,0)</f>
        <v>570000</v>
      </c>
      <c r="D20" s="6">
        <f>VLOOKUP($A20,MVTRESUME22!$A$6:$AM$36,4,0)</f>
        <v>112.46348617674084</v>
      </c>
      <c r="E20" s="6">
        <f>VLOOKUP($A20,MVTRESUME22!$A$6:$AM$36,5,0)</f>
        <v>0</v>
      </c>
      <c r="F20" s="6">
        <f>VLOOKUP($A20,MVTRESUME22!$A$6:$AM$36,6,0)</f>
        <v>570000</v>
      </c>
      <c r="G20" s="6">
        <f>VLOOKUP($A20,MVTRESUME22!$A$6:$AM$36,7,0)</f>
        <v>96604.375463608667</v>
      </c>
      <c r="H20" s="6">
        <f>VLOOKUP($A20,MVTRESUME22!$A$6:$AM$36,11,0)</f>
        <v>36000</v>
      </c>
      <c r="I20" s="43"/>
      <c r="J20" s="43"/>
      <c r="K20" s="43">
        <f t="shared" si="0"/>
        <v>132716.83894978539</v>
      </c>
      <c r="L20" s="43"/>
      <c r="M20" s="43">
        <v>20000</v>
      </c>
      <c r="N20" s="43">
        <v>30000</v>
      </c>
      <c r="O20" s="43">
        <f t="shared" si="1"/>
        <v>50000</v>
      </c>
      <c r="P20" s="43">
        <f t="shared" si="3"/>
        <v>82716.838949785393</v>
      </c>
      <c r="Q20" s="43">
        <f>VLOOKUP($A20,MVTRESUME22!$A$6:$AM$36,30,0)</f>
        <v>70000</v>
      </c>
      <c r="R20" s="43">
        <f>VLOOKUP($A20,MVTRESUME22!$A$6:$AM$36,35,0)</f>
        <v>1000000</v>
      </c>
      <c r="S20" s="43">
        <f t="shared" si="4"/>
        <v>-917283.16105021467</v>
      </c>
      <c r="T20" s="43"/>
      <c r="U20" s="43"/>
      <c r="V20" s="44">
        <f t="shared" si="2"/>
        <v>600000</v>
      </c>
      <c r="W20" s="43">
        <v>0</v>
      </c>
      <c r="X20" s="11"/>
      <c r="Y20" s="2"/>
      <c r="Z20" s="2"/>
    </row>
    <row r="21" spans="1:26" x14ac:dyDescent="0.25">
      <c r="A21" s="1" t="s">
        <v>50</v>
      </c>
      <c r="B21" s="1" t="str">
        <f>VLOOKUP(A21,[15]LISTADHERENT!A$5:H$60,3,0)</f>
        <v>NANGUEN MARTIN</v>
      </c>
      <c r="C21" s="6">
        <f>VLOOKUP($A21,MVTRESUME22!A21:AL51,3,0)</f>
        <v>570000</v>
      </c>
      <c r="D21" s="6">
        <f>VLOOKUP($A21,MVTRESUME22!$A$6:$AM$36,4,0)</f>
        <v>30757.615134780004</v>
      </c>
      <c r="E21" s="6">
        <f>VLOOKUP($A21,MVTRESUME22!$A$6:$AM$36,5,0)</f>
        <v>0</v>
      </c>
      <c r="F21" s="6">
        <f>VLOOKUP($A21,MVTRESUME22!$A$6:$AM$36,6,0)</f>
        <v>570000</v>
      </c>
      <c r="G21" s="6">
        <f>VLOOKUP($A21,MVTRESUME22!$A$6:$AM$36,7,0)</f>
        <v>101654.62388291775</v>
      </c>
      <c r="H21" s="6">
        <f>VLOOKUP($A21,MVTRESUME22!$A$6:$AM$36,11,0)</f>
        <v>36000</v>
      </c>
      <c r="I21" s="43"/>
      <c r="J21" s="43"/>
      <c r="K21" s="43">
        <f t="shared" si="0"/>
        <v>168412.23901769775</v>
      </c>
      <c r="L21" s="43"/>
      <c r="M21" s="43">
        <v>20000</v>
      </c>
      <c r="N21" s="43">
        <v>30000</v>
      </c>
      <c r="O21" s="43">
        <f t="shared" si="1"/>
        <v>50000</v>
      </c>
      <c r="P21" s="43">
        <f t="shared" si="3"/>
        <v>118412.23901769775</v>
      </c>
      <c r="Q21" s="43">
        <f>VLOOKUP($A21,MVTRESUME22!$A$6:$AM$36,30,0)</f>
        <v>70000</v>
      </c>
      <c r="R21" s="43">
        <f>VLOOKUP($A21,MVTRESUME22!$A$6:$AM$36,35,0)</f>
        <v>500000</v>
      </c>
      <c r="S21" s="43">
        <f t="shared" si="4"/>
        <v>-381587.76098230225</v>
      </c>
      <c r="T21" s="43"/>
      <c r="U21" s="43"/>
      <c r="V21" s="44">
        <f t="shared" si="2"/>
        <v>600000</v>
      </c>
      <c r="W21" s="43">
        <v>0</v>
      </c>
      <c r="X21" s="11"/>
      <c r="Y21" s="2" t="s">
        <v>22</v>
      </c>
      <c r="Z21" s="2"/>
    </row>
    <row r="22" spans="1:26" x14ac:dyDescent="0.25">
      <c r="A22" s="1" t="s">
        <v>37</v>
      </c>
      <c r="B22" s="1" t="str">
        <f>VLOOKUP(A22,[15]LISTADHERENT!A$5:H$60,3,0)</f>
        <v>NANKAM APPOLINAIRE</v>
      </c>
      <c r="C22" s="6">
        <f>VLOOKUP($A22,MVTRESUME22!A22:AL52,3,0)</f>
        <v>570000</v>
      </c>
      <c r="D22" s="6">
        <f>VLOOKUP($A22,MVTRESUME22!$A$6:$AM$36,4,0)</f>
        <v>84601.912290623644</v>
      </c>
      <c r="E22" s="6">
        <f>VLOOKUP($A22,MVTRESUME22!$A$6:$AM$36,5,0)</f>
        <v>0</v>
      </c>
      <c r="F22" s="6">
        <f>VLOOKUP($A22,MVTRESUME22!$A$6:$AM$36,6,0)</f>
        <v>570000</v>
      </c>
      <c r="G22" s="6">
        <f>VLOOKUP($A22,MVTRESUME22!$A$6:$AM$36,7,0)</f>
        <v>110528.0365427145</v>
      </c>
      <c r="H22" s="6">
        <f>VLOOKUP($A22,MVTRESUME22!$A$6:$AM$36,11,0)</f>
        <v>36000</v>
      </c>
      <c r="I22" s="43"/>
      <c r="J22" s="43"/>
      <c r="K22" s="43">
        <f t="shared" si="0"/>
        <v>231129.94883333816</v>
      </c>
      <c r="L22" s="43"/>
      <c r="M22" s="43">
        <v>20000</v>
      </c>
      <c r="N22" s="43">
        <v>30000</v>
      </c>
      <c r="O22" s="43">
        <f t="shared" si="1"/>
        <v>50000</v>
      </c>
      <c r="P22" s="43">
        <f t="shared" si="3"/>
        <v>181129.94883333816</v>
      </c>
      <c r="Q22" s="43">
        <f>VLOOKUP($A22,MVTRESUME22!$A$6:$AM$36,30,0)</f>
        <v>70000</v>
      </c>
      <c r="R22" s="43">
        <f>VLOOKUP($A22,MVTRESUME22!$A$6:$AM$36,35,0)</f>
        <v>1000000</v>
      </c>
      <c r="S22" s="43">
        <f t="shared" si="4"/>
        <v>-818870.05116666178</v>
      </c>
      <c r="T22" s="43"/>
      <c r="U22" s="43"/>
      <c r="V22" s="44">
        <f t="shared" si="2"/>
        <v>600000</v>
      </c>
      <c r="W22" s="43">
        <v>0</v>
      </c>
      <c r="X22" s="11"/>
      <c r="Y22" s="2"/>
      <c r="Z22" s="2"/>
    </row>
    <row r="23" spans="1:26" x14ac:dyDescent="0.25">
      <c r="A23" s="1" t="s">
        <v>38</v>
      </c>
      <c r="B23" s="1" t="str">
        <f>VLOOKUP(A23,[15]LISTADHERENT!A$5:H$60,3,0)</f>
        <v>NDJOMO ETIENNE</v>
      </c>
      <c r="C23" s="6">
        <f>VLOOKUP($A23,MVTRESUME22!A23:AL53,3,0)</f>
        <v>570000</v>
      </c>
      <c r="D23" s="6">
        <f>VLOOKUP($A23,MVTRESUME22!$A$6:$AM$36,4,0)</f>
        <v>101446.16753987665</v>
      </c>
      <c r="E23" s="6">
        <f>VLOOKUP($A23,MVTRESUME22!$A$6:$AM$36,5,0)</f>
        <v>0</v>
      </c>
      <c r="F23" s="6">
        <f>VLOOKUP($A23,MVTRESUME22!$A$6:$AM$36,6,0)</f>
        <v>570000</v>
      </c>
      <c r="G23" s="6">
        <f>VLOOKUP($A23,MVTRESUME22!$A$6:$AM$36,7,0)</f>
        <v>128822.12482023903</v>
      </c>
      <c r="H23" s="6">
        <f>VLOOKUP($A23,MVTRESUME22!$A$6:$AM$36,11,0)</f>
        <v>256000</v>
      </c>
      <c r="I23" s="43"/>
      <c r="J23" s="43"/>
      <c r="K23" s="43">
        <f t="shared" si="0"/>
        <v>486268.29236011568</v>
      </c>
      <c r="L23" s="43"/>
      <c r="M23" s="43">
        <v>20000</v>
      </c>
      <c r="N23" s="43">
        <v>30000</v>
      </c>
      <c r="O23" s="43">
        <f t="shared" si="1"/>
        <v>50000</v>
      </c>
      <c r="P23" s="43">
        <f t="shared" si="3"/>
        <v>436268.29236011568</v>
      </c>
      <c r="Q23" s="43">
        <f>VLOOKUP($A23,MVTRESUME22!$A$6:$AM$36,30,0)</f>
        <v>70000</v>
      </c>
      <c r="R23" s="43">
        <f>VLOOKUP($A23,MVTRESUME22!$A$6:$AM$36,35,0)</f>
        <v>570000</v>
      </c>
      <c r="S23" s="43">
        <f t="shared" si="4"/>
        <v>-133731.70763988432</v>
      </c>
      <c r="T23" s="43">
        <v>100000</v>
      </c>
      <c r="U23" s="43"/>
      <c r="V23" s="44">
        <f t="shared" si="2"/>
        <v>600000</v>
      </c>
      <c r="W23" s="43">
        <v>0</v>
      </c>
      <c r="X23" s="11"/>
      <c r="Y23" s="2"/>
      <c r="Z23" s="2"/>
    </row>
    <row r="24" spans="1:26" x14ac:dyDescent="0.25">
      <c r="A24" s="1" t="s">
        <v>39</v>
      </c>
      <c r="B24" s="1" t="str">
        <f>VLOOKUP(A24,[15]LISTADHERENT!A$5:H$60,3,0)</f>
        <v>NGONDIEP CLAUDE</v>
      </c>
      <c r="C24" s="6">
        <f>VLOOKUP($A24,MVTRESUME22!A24:AL54,3,0)</f>
        <v>570000</v>
      </c>
      <c r="D24" s="6">
        <f>VLOOKUP($A24,MVTRESUME22!$A$6:$AM$36,4,0)</f>
        <v>2927.3714496080356</v>
      </c>
      <c r="E24" s="6">
        <f>VLOOKUP($A24,MVTRESUME22!$A$6:$AM$36,5,0)</f>
        <v>0</v>
      </c>
      <c r="F24" s="6">
        <f>VLOOKUP($A24,MVTRESUME22!$A$6:$AM$36,6,0)</f>
        <v>570000</v>
      </c>
      <c r="G24" s="6">
        <f>VLOOKUP($A24,MVTRESUME22!$A$6:$AM$36,7,0)</f>
        <v>106622.60859850247</v>
      </c>
      <c r="H24" s="6">
        <f>VLOOKUP($A24,MVTRESUME22!$A$6:$AM$36,11,0)</f>
        <v>173000</v>
      </c>
      <c r="I24" s="43"/>
      <c r="J24" s="43"/>
      <c r="K24" s="43">
        <f t="shared" si="0"/>
        <v>282549.98004811048</v>
      </c>
      <c r="L24" s="43"/>
      <c r="M24" s="43">
        <v>20000</v>
      </c>
      <c r="N24" s="43">
        <v>30000</v>
      </c>
      <c r="O24" s="43">
        <f t="shared" si="1"/>
        <v>50000</v>
      </c>
      <c r="P24" s="43">
        <f t="shared" si="3"/>
        <v>232549.98004811048</v>
      </c>
      <c r="Q24" s="43">
        <f>VLOOKUP($A24,MVTRESUME22!$A$6:$AM$36,30,0)</f>
        <v>90000</v>
      </c>
      <c r="R24" s="43">
        <f>VLOOKUP($A24,MVTRESUME22!$A$6:$AM$36,35,0)</f>
        <v>1000000</v>
      </c>
      <c r="S24" s="43">
        <f t="shared" si="4"/>
        <v>-767450.01995188952</v>
      </c>
      <c r="T24" s="43">
        <v>150000</v>
      </c>
      <c r="U24" s="43"/>
      <c r="V24" s="44">
        <f t="shared" si="2"/>
        <v>600000</v>
      </c>
      <c r="W24" s="43">
        <v>0</v>
      </c>
      <c r="X24" s="11"/>
      <c r="Y24" s="2"/>
      <c r="Z24" s="2"/>
    </row>
    <row r="25" spans="1:26" x14ac:dyDescent="0.25">
      <c r="A25" s="1" t="s">
        <v>41</v>
      </c>
      <c r="B25" s="1" t="str">
        <f>VLOOKUP(A25,[15]LISTADHERENT!A$5:H$60,3,0)</f>
        <v>NGUIEMEGNI MATHIEU BLAISE</v>
      </c>
      <c r="C25" s="6">
        <f>VLOOKUP($A25,MVTRESUME22!A25:AL55,3,0)</f>
        <v>570000</v>
      </c>
      <c r="D25" s="6">
        <f>VLOOKUP($A25,MVTRESUME22!$A$6:$AM$36,4,0)</f>
        <v>3871.4174531366152</v>
      </c>
      <c r="E25" s="6">
        <f>VLOOKUP($A25,MVTRESUME22!$A$6:$AM$36,5,0)</f>
        <v>0</v>
      </c>
      <c r="F25" s="6">
        <f>VLOOKUP($A25,MVTRESUME22!$A$6:$AM$36,6,0)</f>
        <v>570000</v>
      </c>
      <c r="G25" s="6">
        <f>VLOOKUP($A25,MVTRESUME22!$A$6:$AM$36,7,0)</f>
        <v>100437.7881522042</v>
      </c>
      <c r="H25" s="6">
        <f>VLOOKUP($A25,MVTRESUME22!$A$6:$AM$36,11,0)</f>
        <v>98000</v>
      </c>
      <c r="I25" s="43"/>
      <c r="J25" s="43"/>
      <c r="K25" s="43">
        <f t="shared" si="0"/>
        <v>202309.20560534083</v>
      </c>
      <c r="L25" s="43"/>
      <c r="M25" s="43">
        <v>20000</v>
      </c>
      <c r="N25" s="43">
        <v>30000</v>
      </c>
      <c r="O25" s="43">
        <f t="shared" si="1"/>
        <v>50000</v>
      </c>
      <c r="P25" s="43">
        <f t="shared" si="3"/>
        <v>152309.20560534083</v>
      </c>
      <c r="Q25" s="43">
        <f>VLOOKUP($A25,MVTRESUME22!$A$6:$AM$36,30,0)</f>
        <v>140000</v>
      </c>
      <c r="R25" s="43">
        <f>VLOOKUP($A25,MVTRESUME22!$A$6:$AM$36,35,0)</f>
        <v>1000000</v>
      </c>
      <c r="S25" s="43">
        <f t="shared" si="4"/>
        <v>-847690.79439465911</v>
      </c>
      <c r="T25" s="43">
        <v>100000</v>
      </c>
      <c r="U25" s="43"/>
      <c r="V25" s="44">
        <f t="shared" si="2"/>
        <v>600000</v>
      </c>
      <c r="W25" s="43">
        <v>0</v>
      </c>
      <c r="X25" s="11"/>
      <c r="Y25" s="2"/>
      <c r="Z25" s="2"/>
    </row>
    <row r="26" spans="1:26" x14ac:dyDescent="0.25">
      <c r="A26" s="1" t="s">
        <v>43</v>
      </c>
      <c r="B26" s="1" t="str">
        <f>VLOOKUP(A26,[15]LISTADHERENT!A$5:H$60,3,0)</f>
        <v>NKAMGANG JUSTIN DEJOLIE</v>
      </c>
      <c r="C26" s="6">
        <f>VLOOKUP($A26,MVTRESUME22!A26:AL56,3,0)</f>
        <v>570000</v>
      </c>
      <c r="D26" s="6">
        <f>VLOOKUP($A26,MVTRESUME22!$A$6:$AM$36,4,0)</f>
        <v>11084.67996724385</v>
      </c>
      <c r="E26" s="6">
        <f>VLOOKUP($A26,MVTRESUME22!$A$6:$AM$36,5,0)</f>
        <v>0</v>
      </c>
      <c r="F26" s="6">
        <f>VLOOKUP($A26,MVTRESUME22!$A$6:$AM$36,6,0)</f>
        <v>570000</v>
      </c>
      <c r="G26" s="6">
        <f>VLOOKUP($A26,MVTRESUME22!$A$6:$AM$36,7,0)</f>
        <v>98412.570755810855</v>
      </c>
      <c r="H26" s="6">
        <f>VLOOKUP($A26,MVTRESUME22!$A$6:$AM$36,11,0)</f>
        <v>36000</v>
      </c>
      <c r="I26" s="43"/>
      <c r="J26" s="43"/>
      <c r="K26" s="43">
        <f t="shared" si="0"/>
        <v>145497.25072305469</v>
      </c>
      <c r="L26" s="43"/>
      <c r="M26" s="43">
        <v>20000</v>
      </c>
      <c r="N26" s="43">
        <v>30000</v>
      </c>
      <c r="O26" s="43">
        <f t="shared" si="1"/>
        <v>50000</v>
      </c>
      <c r="P26" s="43">
        <f t="shared" si="3"/>
        <v>95497.250723054691</v>
      </c>
      <c r="Q26" s="43">
        <f>VLOOKUP($A26,MVTRESUME22!$A$6:$AM$36,30,0)</f>
        <v>73000</v>
      </c>
      <c r="R26" s="43">
        <f>VLOOKUP($A26,MVTRESUME22!$A$6:$AM$36,35,0)</f>
        <v>1000000</v>
      </c>
      <c r="S26" s="43">
        <f t="shared" si="4"/>
        <v>-904502.74927694537</v>
      </c>
      <c r="T26" s="43">
        <v>59000</v>
      </c>
      <c r="U26" s="43"/>
      <c r="V26" s="44">
        <f t="shared" si="2"/>
        <v>600000</v>
      </c>
      <c r="W26" s="43">
        <v>0</v>
      </c>
      <c r="X26" s="11"/>
      <c r="Y26" s="2"/>
      <c r="Z26" s="2"/>
    </row>
    <row r="27" spans="1:26" x14ac:dyDescent="0.25">
      <c r="A27" s="1" t="s">
        <v>30</v>
      </c>
      <c r="B27" s="1" t="str">
        <f>VLOOKUP(A27,[15]LISTADHERENT!A$5:H$60,3,0)</f>
        <v>NKEHE DAVID</v>
      </c>
      <c r="C27" s="6">
        <f>VLOOKUP($A27,MVTRESUME22!A27:AL57,3,0)</f>
        <v>534974.27750837663</v>
      </c>
      <c r="D27" s="6">
        <f>VLOOKUP($A27,MVTRESUME22!$A$6:$AM$36,4,0)</f>
        <v>-5025.7224916233827</v>
      </c>
      <c r="E27" s="6">
        <f>VLOOKUP($A27,MVTRESUME22!$A$6:$AM$36,5,0)</f>
        <v>0</v>
      </c>
      <c r="F27" s="6">
        <f>VLOOKUP($A27,MVTRESUME22!$A$6:$AM$36,6,0)</f>
        <v>534974.27750837663</v>
      </c>
      <c r="G27" s="6">
        <f>VLOOKUP($A27,MVTRESUME22!$A$6:$AM$36,7,0)</f>
        <v>0</v>
      </c>
      <c r="H27" s="6">
        <f>VLOOKUP($A27,MVTRESUME22!$A$6:$AM$36,11,0)</f>
        <v>0</v>
      </c>
      <c r="I27" s="43"/>
      <c r="J27" s="43"/>
      <c r="K27" s="43">
        <f t="shared" si="0"/>
        <v>-5025.7224916233827</v>
      </c>
      <c r="L27" s="43"/>
      <c r="M27" s="43"/>
      <c r="N27" s="43"/>
      <c r="O27" s="43">
        <f t="shared" si="1"/>
        <v>0</v>
      </c>
      <c r="P27" s="43"/>
      <c r="Q27" s="43">
        <f>VLOOKUP($A27,MVTRESUME22!$A$6:$AM$36,30,0)</f>
        <v>0</v>
      </c>
      <c r="R27" s="43">
        <f>VLOOKUP($A27,MVTRESUME22!$A$6:$AM$36,35,0)</f>
        <v>1155000</v>
      </c>
      <c r="S27" s="43">
        <f>IF(Q27=0,P27-R27-Q27,P27-R27)</f>
        <v>-1155000</v>
      </c>
      <c r="T27" s="43"/>
      <c r="U27" s="43"/>
      <c r="V27" s="44">
        <f t="shared" si="2"/>
        <v>534974.27750837663</v>
      </c>
      <c r="W27" s="43">
        <v>125025.722491623</v>
      </c>
      <c r="X27" s="11">
        <f t="shared" si="5"/>
        <v>1290025.7224916234</v>
      </c>
      <c r="Y27" s="2"/>
      <c r="Z27" s="2"/>
    </row>
    <row r="28" spans="1:26" x14ac:dyDescent="0.25">
      <c r="A28" s="1" t="s">
        <v>44</v>
      </c>
      <c r="B28" s="1" t="str">
        <f>VLOOKUP(A28,[15]LISTADHERENT!A$5:H$60,3,0)</f>
        <v>NKEPSEU DIEUDONNE</v>
      </c>
      <c r="C28" s="6">
        <f>VLOOKUP($A28,MVTRESUME22!A28:AL58,3,0)</f>
        <v>570000</v>
      </c>
      <c r="D28" s="6">
        <f>VLOOKUP($A28,MVTRESUME22!$A$6:$AM$36,4,0)</f>
        <v>12062.781121595937</v>
      </c>
      <c r="E28" s="6">
        <f>VLOOKUP($A28,MVTRESUME22!$A$6:$AM$36,5,0)</f>
        <v>0</v>
      </c>
      <c r="F28" s="6">
        <f>VLOOKUP($A28,MVTRESUME22!$A$6:$AM$36,6,0)</f>
        <v>570000</v>
      </c>
      <c r="G28" s="6">
        <f>VLOOKUP($A28,MVTRESUME22!$A$6:$AM$36,7,0)</f>
        <v>128781.44074977924</v>
      </c>
      <c r="H28" s="6">
        <f>VLOOKUP($A28,MVTRESUME22!$A$6:$AM$36,11,0)</f>
        <v>439000</v>
      </c>
      <c r="I28" s="43"/>
      <c r="J28" s="43"/>
      <c r="K28" s="43">
        <f t="shared" si="0"/>
        <v>579844.22187137511</v>
      </c>
      <c r="L28" s="43"/>
      <c r="M28" s="43">
        <v>20000</v>
      </c>
      <c r="N28" s="43">
        <v>30000</v>
      </c>
      <c r="O28" s="43">
        <f t="shared" si="1"/>
        <v>50000</v>
      </c>
      <c r="P28" s="43">
        <f t="shared" si="3"/>
        <v>529844.22187137511</v>
      </c>
      <c r="Q28" s="43">
        <f>VLOOKUP($A28,MVTRESUME22!$A$6:$AM$36,30,0)</f>
        <v>70000</v>
      </c>
      <c r="R28" s="43">
        <f>VLOOKUP($A28,MVTRESUME22!$A$6:$AM$36,35,0)</f>
        <v>0</v>
      </c>
      <c r="S28" s="43">
        <f t="shared" si="4"/>
        <v>529844.22187137511</v>
      </c>
      <c r="T28" s="43">
        <v>70000</v>
      </c>
      <c r="U28" s="43"/>
      <c r="V28" s="44">
        <f t="shared" si="2"/>
        <v>600000</v>
      </c>
      <c r="W28" s="43">
        <v>0</v>
      </c>
      <c r="X28" s="11"/>
      <c r="Y28" s="2" t="s">
        <v>20</v>
      </c>
      <c r="Z28" s="2"/>
    </row>
    <row r="29" spans="1:26" s="14" customFormat="1" x14ac:dyDescent="0.25">
      <c r="A29" s="1" t="s">
        <v>45</v>
      </c>
      <c r="B29" s="1" t="str">
        <f>VLOOKUP(A29,[15]LISTADHERENT!A$5:H$60,3,0)</f>
        <v>PATEGO NJOSSU GUSTAVE</v>
      </c>
      <c r="C29" s="6">
        <f>VLOOKUP($A29,MVTRESUME22!A29:AL59,3,0)</f>
        <v>570000</v>
      </c>
      <c r="D29" s="6">
        <f>VLOOKUP($A29,MVTRESUME22!$A$6:$AM$36,4,0)</f>
        <v>21819.131591268466</v>
      </c>
      <c r="E29" s="6">
        <f>VLOOKUP($A29,MVTRESUME22!$A$6:$AM$36,5,0)</f>
        <v>0</v>
      </c>
      <c r="F29" s="6">
        <f>VLOOKUP($A29,MVTRESUME22!$A$6:$AM$36,6,0)</f>
        <v>570000</v>
      </c>
      <c r="G29" s="6">
        <f>VLOOKUP($A29,MVTRESUME22!$A$6:$AM$36,7,0)</f>
        <v>100181.58296263576</v>
      </c>
      <c r="H29" s="6">
        <f>VLOOKUP($A29,MVTRESUME22!$A$6:$AM$36,11,0)</f>
        <v>36000</v>
      </c>
      <c r="I29" s="46"/>
      <c r="J29" s="46"/>
      <c r="K29" s="43">
        <f t="shared" si="0"/>
        <v>158000.71455390422</v>
      </c>
      <c r="L29" s="46"/>
      <c r="M29" s="43">
        <v>20000</v>
      </c>
      <c r="N29" s="43">
        <v>30000</v>
      </c>
      <c r="O29" s="43">
        <f t="shared" si="1"/>
        <v>50000</v>
      </c>
      <c r="P29" s="43">
        <f t="shared" si="3"/>
        <v>108000.71455390422</v>
      </c>
      <c r="Q29" s="43">
        <f>VLOOKUP($A29,MVTRESUME22!$A$6:$AM$36,30,0)</f>
        <v>70000</v>
      </c>
      <c r="R29" s="43">
        <f>VLOOKUP($A29,MVTRESUME22!$A$6:$AM$36,35,0)</f>
        <v>0</v>
      </c>
      <c r="S29" s="43">
        <f t="shared" si="4"/>
        <v>108000.71455390422</v>
      </c>
      <c r="T29" s="43">
        <v>50000</v>
      </c>
      <c r="U29" s="43"/>
      <c r="V29" s="44">
        <f t="shared" si="2"/>
        <v>600000</v>
      </c>
      <c r="W29" s="43">
        <v>0</v>
      </c>
      <c r="X29" s="11"/>
      <c r="Y29" s="11"/>
      <c r="Z29" s="11"/>
    </row>
    <row r="30" spans="1:26" ht="14.25" customHeight="1" x14ac:dyDescent="0.25">
      <c r="A30" s="1" t="s">
        <v>81</v>
      </c>
      <c r="B30" s="1" t="str">
        <f>VLOOKUP(A30,[15]LISTADHERENT!A$5:H$60,3,0)</f>
        <v>SIME BRICE</v>
      </c>
      <c r="C30" s="6">
        <f>VLOOKUP($A30,MVTRESUME22!A30:AL60,3,0)</f>
        <v>570000</v>
      </c>
      <c r="D30" s="6">
        <f>VLOOKUP($A30,MVTRESUME22!$A$6:$AM$36,4,0)</f>
        <v>277025.72796184535</v>
      </c>
      <c r="E30" s="6">
        <f>VLOOKUP($A30,MVTRESUME22!$A$6:$AM$36,5,0)</f>
        <v>0</v>
      </c>
      <c r="F30" s="6">
        <f>VLOOKUP($A30,MVTRESUME22!$A$6:$AM$36,6,0)</f>
        <v>570000</v>
      </c>
      <c r="G30" s="6">
        <f>VLOOKUP($A30,MVTRESUME22!$A$6:$AM$36,7,0)</f>
        <v>142008.50549439507</v>
      </c>
      <c r="H30" s="6">
        <f>VLOOKUP($A30,MVTRESUME22!$A$6:$AM$36,11,0)</f>
        <v>33000</v>
      </c>
      <c r="I30" s="43"/>
      <c r="J30" s="43"/>
      <c r="K30" s="43">
        <f t="shared" si="0"/>
        <v>452034.23345624038</v>
      </c>
      <c r="L30" s="43"/>
      <c r="M30" s="43">
        <v>20000</v>
      </c>
      <c r="N30" s="43">
        <v>30000</v>
      </c>
      <c r="O30" s="43">
        <f t="shared" si="1"/>
        <v>50000</v>
      </c>
      <c r="P30" s="43">
        <f t="shared" si="3"/>
        <v>402034.23345624038</v>
      </c>
      <c r="Q30" s="43">
        <f>VLOOKUP($A30,MVTRESUME22!$A$6:$AM$36,30,0)+100000</f>
        <v>170000</v>
      </c>
      <c r="R30" s="43">
        <f>VLOOKUP($A30,MVTRESUME22!$A$6:$AM$36,35,0)</f>
        <v>0</v>
      </c>
      <c r="S30" s="43">
        <f>IF(Q30=0,P30-R30-Q30,P30-R30)-W30-100000</f>
        <v>302034.23345624038</v>
      </c>
      <c r="T30" s="43">
        <v>50000</v>
      </c>
      <c r="U30" s="43"/>
      <c r="V30" s="44">
        <f t="shared" si="2"/>
        <v>600000</v>
      </c>
      <c r="W30" s="43">
        <v>0</v>
      </c>
      <c r="X30" s="11"/>
      <c r="Y30" s="2"/>
      <c r="Z30" s="2"/>
    </row>
    <row r="31" spans="1:26" x14ac:dyDescent="0.25">
      <c r="A31" s="1" t="s">
        <v>47</v>
      </c>
      <c r="B31" s="1" t="str">
        <f>VLOOKUP(A31,[15]LISTADHERENT!A$5:H$60,3,0)</f>
        <v>SIMO FONGANG ERIC</v>
      </c>
      <c r="C31" s="6">
        <f>VLOOKUP($A31,MVTRESUME22!A31:AL61,3,0)</f>
        <v>570000</v>
      </c>
      <c r="D31" s="6">
        <f>VLOOKUP($A31,MVTRESUME22!$A$6:$AM$36,4,0)</f>
        <v>23309.374243114085</v>
      </c>
      <c r="E31" s="6">
        <f>VLOOKUP($A31,MVTRESUME22!$A$6:$AM$36,5,0)</f>
        <v>0</v>
      </c>
      <c r="F31" s="6">
        <f>VLOOKUP($A31,MVTRESUME22!$A$6:$AM$36,6,0)</f>
        <v>570000</v>
      </c>
      <c r="G31" s="6">
        <f>VLOOKUP($A31,MVTRESUME22!$A$6:$AM$36,7,0)</f>
        <v>0</v>
      </c>
      <c r="H31" s="6">
        <f>VLOOKUP($A31,MVTRESUME22!$A$6:$AM$36,11,0)</f>
        <v>0</v>
      </c>
      <c r="I31" s="43"/>
      <c r="J31" s="43"/>
      <c r="K31" s="43">
        <f t="shared" si="0"/>
        <v>23309.374243114085</v>
      </c>
      <c r="L31" s="43"/>
      <c r="M31" s="43">
        <v>20000</v>
      </c>
      <c r="N31" s="43">
        <v>30000</v>
      </c>
      <c r="O31" s="43">
        <f t="shared" si="1"/>
        <v>50000</v>
      </c>
      <c r="P31" s="43"/>
      <c r="Q31" s="43">
        <f>VLOOKUP($A31,MVTRESUME22!$A$6:$AM$36,30,0)</f>
        <v>0</v>
      </c>
      <c r="R31" s="43">
        <f>VLOOKUP($A31,MVTRESUME22!$A$6:$AM$36,35,0)</f>
        <v>1166000</v>
      </c>
      <c r="S31" s="43">
        <f>IF(Q31=0,P31-R31-Q31,P31-R31)</f>
        <v>-1166000</v>
      </c>
      <c r="T31" s="43"/>
      <c r="U31" s="43"/>
      <c r="V31" s="44">
        <f t="shared" si="2"/>
        <v>600000</v>
      </c>
      <c r="W31" s="43">
        <v>96690.6257568859</v>
      </c>
      <c r="X31" s="11">
        <f t="shared" si="5"/>
        <v>1236000</v>
      </c>
      <c r="Y31" s="2"/>
      <c r="Z31" s="2"/>
    </row>
    <row r="32" spans="1:26" x14ac:dyDescent="0.25">
      <c r="A32" s="1" t="s">
        <v>49</v>
      </c>
      <c r="B32" s="1" t="str">
        <f>VLOOKUP(A32,[15]LISTADHERENT!A$5:H$60,3,0)</f>
        <v>SIMO PIERRE</v>
      </c>
      <c r="C32" s="6">
        <f>VLOOKUP($A32,MVTRESUME22!A32:AL62,3,0)</f>
        <v>570000</v>
      </c>
      <c r="D32" s="6">
        <f>VLOOKUP($A32,MVTRESUME22!$A$6:$AM$36,4,0)</f>
        <v>38450.871244281065</v>
      </c>
      <c r="E32" s="6">
        <f>VLOOKUP($A32,MVTRESUME22!$A$6:$AM$36,5,0)</f>
        <v>0</v>
      </c>
      <c r="F32" s="6">
        <f>VLOOKUP($A32,MVTRESUME22!$A$6:$AM$36,6,0)</f>
        <v>570000</v>
      </c>
      <c r="G32" s="6">
        <f>VLOOKUP($A32,MVTRESUME22!$A$6:$AM$36,7,0)</f>
        <v>114670.94062459384</v>
      </c>
      <c r="H32" s="6">
        <f>VLOOKUP($A32,MVTRESUME22!$A$6:$AM$36,11,0)</f>
        <v>173000</v>
      </c>
      <c r="I32" s="43"/>
      <c r="J32" s="43"/>
      <c r="K32" s="43">
        <f t="shared" si="0"/>
        <v>326121.81186887494</v>
      </c>
      <c r="L32" s="43"/>
      <c r="M32" s="43">
        <v>20000</v>
      </c>
      <c r="N32" s="43">
        <v>30000</v>
      </c>
      <c r="O32" s="43">
        <f t="shared" si="1"/>
        <v>50000</v>
      </c>
      <c r="P32" s="43">
        <f t="shared" si="3"/>
        <v>276121.81186887494</v>
      </c>
      <c r="Q32" s="43">
        <f>VLOOKUP($A32,MVTRESUME22!$A$6:$AM$36,30,0)</f>
        <v>70000</v>
      </c>
      <c r="R32" s="43">
        <f>VLOOKUP($A32,MVTRESUME22!$A$6:$AM$36,35,0)</f>
        <v>1000000</v>
      </c>
      <c r="S32" s="43">
        <f t="shared" si="4"/>
        <v>-723878.18813112506</v>
      </c>
      <c r="T32" s="43">
        <v>100000</v>
      </c>
      <c r="U32" s="43"/>
      <c r="V32" s="44">
        <f t="shared" si="2"/>
        <v>600000</v>
      </c>
      <c r="W32" s="43">
        <v>0</v>
      </c>
      <c r="X32" s="11"/>
      <c r="Y32" s="2"/>
      <c r="Z32" s="2"/>
    </row>
    <row r="33" spans="1:26" x14ac:dyDescent="0.25">
      <c r="A33" s="1" t="s">
        <v>51</v>
      </c>
      <c r="B33" s="1" t="str">
        <f>VLOOKUP(A33,[15]LISTADHERENT!A$5:H$60,3,0)</f>
        <v>TCHOUAMOU MATHIEU</v>
      </c>
      <c r="C33" s="6">
        <f>VLOOKUP($A33,MVTRESUME22!A33:AL63,3,0)</f>
        <v>570000</v>
      </c>
      <c r="D33" s="6">
        <f>VLOOKUP($A33,MVTRESUME22!$A$6:$AM$36,4,0)</f>
        <v>6233.7835378004966</v>
      </c>
      <c r="E33" s="6">
        <f>VLOOKUP($A33,MVTRESUME22!$A$6:$AM$36,5,0)</f>
        <v>0</v>
      </c>
      <c r="F33" s="6">
        <f>VLOOKUP($A33,MVTRESUME22!$A$6:$AM$36,6,0)</f>
        <v>570000</v>
      </c>
      <c r="G33" s="6">
        <f>VLOOKUP($A33,MVTRESUME22!$A$6:$AM$36,7,0)</f>
        <v>97613.154511899222</v>
      </c>
      <c r="H33" s="6">
        <f>VLOOKUP($A33,MVTRESUME22!$A$6:$AM$36,11,0)</f>
        <v>36000</v>
      </c>
      <c r="I33" s="43"/>
      <c r="J33" s="43"/>
      <c r="K33" s="43">
        <f t="shared" si="0"/>
        <v>139846.9380496997</v>
      </c>
      <c r="L33" s="43"/>
      <c r="M33" s="43">
        <v>20000</v>
      </c>
      <c r="N33" s="43">
        <v>30000</v>
      </c>
      <c r="O33" s="43">
        <f t="shared" si="1"/>
        <v>50000</v>
      </c>
      <c r="P33" s="43">
        <f t="shared" si="3"/>
        <v>89846.938049699704</v>
      </c>
      <c r="Q33" s="43">
        <f>VLOOKUP($A33,MVTRESUME22!$A$6:$AM$36,30,0)</f>
        <v>70000</v>
      </c>
      <c r="R33" s="43">
        <f>VLOOKUP($A33,MVTRESUME22!$A$6:$AM$36,35,0)</f>
        <v>0</v>
      </c>
      <c r="S33" s="43">
        <f t="shared" si="4"/>
        <v>89846.938049699704</v>
      </c>
      <c r="T33" s="43">
        <v>40000</v>
      </c>
      <c r="U33" s="43"/>
      <c r="V33" s="44">
        <f t="shared" si="2"/>
        <v>600000</v>
      </c>
      <c r="W33" s="43">
        <v>0</v>
      </c>
      <c r="X33" s="11"/>
      <c r="Y33" s="2"/>
      <c r="Z33" s="2"/>
    </row>
    <row r="34" spans="1:26" ht="14.25" customHeight="1" x14ac:dyDescent="0.25">
      <c r="A34" s="1" t="s">
        <v>54</v>
      </c>
      <c r="B34" s="1" t="str">
        <f>VLOOKUP(A34,[15]LISTADHERENT!A$5:H$60,3,0)</f>
        <v>TIEYAM ERNEST</v>
      </c>
      <c r="C34" s="6">
        <f>VLOOKUP($A34,MVTRESUME22!A34:AL64,3,0)</f>
        <v>535508.27831700875</v>
      </c>
      <c r="D34" s="6">
        <f>VLOOKUP($A34,MVTRESUME22!$A$6:$AM$36,4,0)</f>
        <v>-4491.7216829912577</v>
      </c>
      <c r="E34" s="6">
        <f>VLOOKUP($A34,MVTRESUME22!$A$6:$AM$36,5,0)</f>
        <v>0</v>
      </c>
      <c r="F34" s="6">
        <f>VLOOKUP($A34,MVTRESUME22!$A$6:$AM$36,6,0)</f>
        <v>535508.27831700875</v>
      </c>
      <c r="G34" s="6">
        <f>VLOOKUP($A34,MVTRESUME22!$A$6:$AM$36,7,0)</f>
        <v>0</v>
      </c>
      <c r="H34" s="6">
        <f>VLOOKUP($A34,MVTRESUME22!$A$6:$AM$36,11,0)</f>
        <v>0</v>
      </c>
      <c r="I34" s="43"/>
      <c r="J34" s="43"/>
      <c r="K34" s="43">
        <f t="shared" si="0"/>
        <v>-4491.7216829912577</v>
      </c>
      <c r="L34" s="43"/>
      <c r="M34" s="43"/>
      <c r="N34" s="43"/>
      <c r="O34" s="43">
        <f t="shared" si="1"/>
        <v>0</v>
      </c>
      <c r="P34" s="43"/>
      <c r="Q34" s="43">
        <f>VLOOKUP($A34,MVTRESUME22!$A$6:$AM$36,30,0)</f>
        <v>0</v>
      </c>
      <c r="R34" s="43">
        <f>VLOOKUP($A34,MVTRESUME22!$A$6:$AM$36,35,0)</f>
        <v>1112500</v>
      </c>
      <c r="S34" s="43">
        <f>IF(Q34=0,P34-R34-Q34,P34-R34)</f>
        <v>-1112500</v>
      </c>
      <c r="T34" s="43"/>
      <c r="U34" s="43"/>
      <c r="V34" s="44">
        <f t="shared" si="2"/>
        <v>535508.27831700875</v>
      </c>
      <c r="W34" s="43">
        <v>124491.721682991</v>
      </c>
      <c r="X34" s="11">
        <f t="shared" si="5"/>
        <v>1246991.7216829914</v>
      </c>
      <c r="Y34" s="2"/>
      <c r="Z34" s="2"/>
    </row>
    <row r="35" spans="1:26" s="14" customFormat="1" ht="13.5" customHeight="1" x14ac:dyDescent="0.25">
      <c r="A35" s="1" t="s">
        <v>55</v>
      </c>
      <c r="B35" s="1" t="str">
        <f>VLOOKUP(A35,[15]LISTADHERENT!A$5:H$60,3,0)</f>
        <v>YEPMOU JEAN JACQUES</v>
      </c>
      <c r="C35" s="6">
        <f>VLOOKUP($A35,MVTRESUME22!A35:AL65,3,0)</f>
        <v>570000</v>
      </c>
      <c r="D35" s="6">
        <f>VLOOKUP($A35,MVTRESUME22!$A$6:$AM$36,4,0)</f>
        <v>811081.29717838136</v>
      </c>
      <c r="E35" s="6">
        <f>VLOOKUP($A35,MVTRESUME22!$A$6:$AM$36,5,0)</f>
        <v>0</v>
      </c>
      <c r="F35" s="6">
        <f>VLOOKUP($A35,MVTRESUME22!$A$6:$AM$36,6,0)</f>
        <v>570000</v>
      </c>
      <c r="G35" s="6">
        <f>VLOOKUP($A35,MVTRESUME22!$A$6:$AM$36,7,0)</f>
        <v>230250.11875852401</v>
      </c>
      <c r="H35" s="6">
        <f>VLOOKUP($A35,MVTRESUME22!$A$6:$AM$36,11,0)</f>
        <v>36000</v>
      </c>
      <c r="I35" s="46"/>
      <c r="J35" s="46"/>
      <c r="K35" s="43">
        <f t="shared" si="0"/>
        <v>1077331.4159369054</v>
      </c>
      <c r="L35" s="46"/>
      <c r="M35" s="43">
        <v>20000</v>
      </c>
      <c r="N35" s="43">
        <v>30000</v>
      </c>
      <c r="O35" s="43">
        <f t="shared" si="1"/>
        <v>50000</v>
      </c>
      <c r="P35" s="43">
        <f>IF(Q35&lt;70000,K35-O35-(70000-Q35),K35-O35)-30000</f>
        <v>997331.41593690543</v>
      </c>
      <c r="Q35" s="43">
        <f>VLOOKUP($A35,MVTRESUME22!$A$6:$AM$36,30,0)</f>
        <v>70000</v>
      </c>
      <c r="R35" s="43">
        <f>VLOOKUP($A35,MVTRESUME22!$A$6:$AM$36,35,0)</f>
        <v>0</v>
      </c>
      <c r="S35" s="43">
        <f t="shared" si="4"/>
        <v>997331.41593690543</v>
      </c>
      <c r="T35" s="43"/>
      <c r="U35" s="43"/>
      <c r="V35" s="44">
        <f t="shared" si="2"/>
        <v>600000</v>
      </c>
      <c r="W35" s="43">
        <v>0</v>
      </c>
      <c r="X35" s="11"/>
    </row>
    <row r="36" spans="1:26" x14ac:dyDescent="0.25">
      <c r="A36" s="1" t="s">
        <v>56</v>
      </c>
      <c r="B36" s="1" t="str">
        <f>VLOOKUP(A36,[15]LISTADHERENT!A$5:H$60,3,0)</f>
        <v>YOUMBI EMMANUEL</v>
      </c>
      <c r="C36" s="6">
        <f>VLOOKUP($A36,MVTRESUME22!A36:AL66,3,0)</f>
        <v>570000</v>
      </c>
      <c r="D36" s="6">
        <f>VLOOKUP($A36,MVTRESUME22!$A$6:$AM$36,4,0)</f>
        <v>913245.29452405358</v>
      </c>
      <c r="E36" s="6">
        <f>VLOOKUP($A36,MVTRESUME22!$A$6:$AM$36,5,0)</f>
        <v>0</v>
      </c>
      <c r="F36" s="6">
        <f>VLOOKUP($A36,MVTRESUME22!$A$6:$AM$36,6,0)</f>
        <v>570000</v>
      </c>
      <c r="G36" s="6">
        <f>VLOOKUP($A36,MVTRESUME22!$A$6:$AM$36,7,0)</f>
        <v>247086.50358120416</v>
      </c>
      <c r="H36" s="6">
        <f>VLOOKUP($A36,MVTRESUME22!$A$6:$AM$36,11,0)</f>
        <v>36000</v>
      </c>
      <c r="I36" s="43"/>
      <c r="J36" s="43"/>
      <c r="K36" s="43">
        <f t="shared" si="0"/>
        <v>1196331.7981052578</v>
      </c>
      <c r="L36" s="43"/>
      <c r="M36" s="43">
        <v>20000</v>
      </c>
      <c r="N36" s="43">
        <v>30000</v>
      </c>
      <c r="O36" s="43">
        <f t="shared" si="1"/>
        <v>50000</v>
      </c>
      <c r="P36" s="43">
        <f t="shared" si="3"/>
        <v>1146331.7981052578</v>
      </c>
      <c r="Q36" s="43">
        <f>VLOOKUP($A36,MVTRESUME22!$A$6:$AM$36,30,0)</f>
        <v>70000</v>
      </c>
      <c r="R36" s="43">
        <f>VLOOKUP($A36,MVTRESUME22!$A$6:$AM$36,35,0)</f>
        <v>0</v>
      </c>
      <c r="S36" s="43">
        <f t="shared" si="4"/>
        <v>1146331.7981052578</v>
      </c>
      <c r="T36" s="43"/>
      <c r="U36" s="43"/>
      <c r="V36" s="44">
        <f t="shared" si="2"/>
        <v>600000</v>
      </c>
      <c r="W36" s="43">
        <v>0</v>
      </c>
      <c r="X36" s="11"/>
    </row>
    <row r="37" spans="1:26" x14ac:dyDescent="0.25">
      <c r="A37" s="142"/>
      <c r="B37" s="1"/>
      <c r="C37" s="139"/>
      <c r="D37" s="139"/>
      <c r="E37" s="6"/>
      <c r="F37" s="6"/>
      <c r="G37" s="139"/>
      <c r="H37" s="139"/>
      <c r="I37" s="139"/>
      <c r="J37" s="139"/>
      <c r="K37" s="139"/>
      <c r="L37" s="139"/>
      <c r="M37" s="139"/>
      <c r="N37" s="139"/>
      <c r="O37" s="139"/>
      <c r="P37" s="139"/>
      <c r="Q37" s="139"/>
      <c r="R37" s="139"/>
      <c r="S37" s="43"/>
      <c r="T37" s="139"/>
      <c r="U37" s="139"/>
      <c r="V37" s="143"/>
      <c r="W37" s="43"/>
    </row>
    <row r="38" spans="1:26" ht="18.75" thickBot="1" x14ac:dyDescent="0.3">
      <c r="A38" s="53" t="s">
        <v>57</v>
      </c>
      <c r="B38" s="68"/>
      <c r="C38" s="73">
        <f>SUM(C6:C37)</f>
        <v>17584659.561375875</v>
      </c>
      <c r="D38" s="73">
        <f t="shared" ref="D38:X38" si="6">SUM(D6:D37)</f>
        <v>2752017.974276307</v>
      </c>
      <c r="E38" s="73">
        <f t="shared" ref="E38" si="7">SUM(E6:E37)</f>
        <v>500000</v>
      </c>
      <c r="F38" s="73">
        <f t="shared" ref="F38" si="8">SUM(F6:F37)</f>
        <v>17084659.561375875</v>
      </c>
      <c r="G38" s="73">
        <f t="shared" si="6"/>
        <v>3163199.9999999995</v>
      </c>
      <c r="H38" s="73">
        <f t="shared" si="6"/>
        <v>2653500</v>
      </c>
      <c r="I38" s="73">
        <f t="shared" si="6"/>
        <v>0</v>
      </c>
      <c r="J38" s="73">
        <f t="shared" si="6"/>
        <v>0</v>
      </c>
      <c r="K38" s="73">
        <f t="shared" si="6"/>
        <v>8568717.974276308</v>
      </c>
      <c r="L38" s="73">
        <f t="shared" si="6"/>
        <v>0</v>
      </c>
      <c r="M38" s="73">
        <f t="shared" si="6"/>
        <v>540000</v>
      </c>
      <c r="N38" s="73">
        <f t="shared" si="6"/>
        <v>810000</v>
      </c>
      <c r="O38" s="73">
        <f t="shared" si="6"/>
        <v>1350000</v>
      </c>
      <c r="P38" s="73">
        <f t="shared" si="6"/>
        <v>7060760.1556959515</v>
      </c>
      <c r="Q38" s="73">
        <f t="shared" si="6"/>
        <v>1936000</v>
      </c>
      <c r="R38" s="73">
        <f t="shared" si="6"/>
        <v>17658500</v>
      </c>
      <c r="S38" s="73">
        <f t="shared" si="6"/>
        <v>-11212128.018219624</v>
      </c>
      <c r="T38" s="73">
        <f t="shared" si="6"/>
        <v>1201000</v>
      </c>
      <c r="U38" s="73">
        <f t="shared" si="6"/>
        <v>0</v>
      </c>
      <c r="V38" s="73">
        <f t="shared" si="6"/>
        <v>18394659.561375875</v>
      </c>
      <c r="W38" s="73">
        <f t="shared" si="6"/>
        <v>482701.34242992994</v>
      </c>
      <c r="X38" s="73">
        <f t="shared" si="6"/>
        <v>6213840.438624125</v>
      </c>
    </row>
    <row r="39" spans="1:26" ht="15.75" thickTop="1" x14ac:dyDescent="0.25">
      <c r="G39" t="s">
        <v>315</v>
      </c>
    </row>
    <row r="40" spans="1:26" x14ac:dyDescent="0.25">
      <c r="E40" s="6">
        <v>30000</v>
      </c>
      <c r="F40" s="6"/>
      <c r="G40" s="6"/>
      <c r="H40" s="6"/>
      <c r="I40" s="6"/>
      <c r="J40" s="6"/>
      <c r="K40" s="6"/>
      <c r="L40" s="6"/>
    </row>
    <row r="41" spans="1:26" x14ac:dyDescent="0.25">
      <c r="F41" s="6">
        <v>23000</v>
      </c>
      <c r="G41" s="6">
        <v>2000</v>
      </c>
      <c r="H41" s="6">
        <f>F41+G41</f>
        <v>25000</v>
      </c>
      <c r="I41" s="6"/>
      <c r="J41" s="6"/>
      <c r="K41" s="6"/>
      <c r="L41" s="6"/>
      <c r="O41" s="2"/>
    </row>
    <row r="42" spans="1:26" x14ac:dyDescent="0.25">
      <c r="E42" t="s">
        <v>312</v>
      </c>
      <c r="F42" s="6">
        <v>500</v>
      </c>
      <c r="G42" s="6">
        <v>500</v>
      </c>
      <c r="H42" s="6">
        <f t="shared" ref="H42:H45" si="9">F42+G42</f>
        <v>1000</v>
      </c>
      <c r="I42" s="6"/>
      <c r="J42" s="6"/>
      <c r="K42" s="6"/>
      <c r="L42" s="6"/>
    </row>
    <row r="43" spans="1:26" x14ac:dyDescent="0.25">
      <c r="A43" s="1" t="s">
        <v>17</v>
      </c>
      <c r="B43" s="1" t="str">
        <f>VLOOKUP(A43,[15]LISTADHERENT!A$5:H$60,3,0)</f>
        <v>BAKOP ACHILLE</v>
      </c>
      <c r="C43" s="6">
        <f>VLOOKUP($A43,MVTRESUME22!A43:AL73,3,0)</f>
        <v>216000</v>
      </c>
      <c r="E43" t="s">
        <v>313</v>
      </c>
      <c r="F43" s="6">
        <v>1000</v>
      </c>
      <c r="G43" s="6"/>
      <c r="H43" s="6">
        <f t="shared" si="9"/>
        <v>1000</v>
      </c>
      <c r="I43" s="6"/>
      <c r="J43" s="6"/>
      <c r="K43" s="6"/>
      <c r="L43" s="6"/>
    </row>
    <row r="44" spans="1:26" x14ac:dyDescent="0.25">
      <c r="A44" s="1" t="s">
        <v>305</v>
      </c>
      <c r="B44" s="1" t="str">
        <f>VLOOKUP(A44,[15]LISTADHERENT!A$5:H$60,3,0)</f>
        <v>HODIEP JULES</v>
      </c>
      <c r="C44" s="6">
        <f>VLOOKUP($A44,MVTRESUME22!A44:AL74,3,0)</f>
        <v>80000</v>
      </c>
      <c r="E44" t="s">
        <v>314</v>
      </c>
      <c r="F44" s="6">
        <v>3000</v>
      </c>
      <c r="G44" s="6">
        <v>6000</v>
      </c>
      <c r="H44" s="6">
        <f t="shared" si="9"/>
        <v>9000</v>
      </c>
      <c r="I44" s="6">
        <f>H44*12</f>
        <v>108000</v>
      </c>
      <c r="J44" s="6"/>
      <c r="K44" s="6"/>
      <c r="L44" s="6"/>
    </row>
    <row r="45" spans="1:26" x14ac:dyDescent="0.25">
      <c r="A45" s="1" t="s">
        <v>304</v>
      </c>
      <c r="B45" s="1" t="str">
        <f>VLOOKUP(A45,[15]LISTADHERENT!A$5:H$60,3,0)</f>
        <v>NDOMBOU JEAN CLAUDE</v>
      </c>
      <c r="C45" s="6">
        <f>VLOOKUP($A45,MVTRESUME22!A45:AL75,3,0)</f>
        <v>480000</v>
      </c>
      <c r="E45" t="s">
        <v>12</v>
      </c>
      <c r="F45" s="6">
        <v>2500</v>
      </c>
      <c r="G45" s="6">
        <v>1500</v>
      </c>
      <c r="H45" s="6">
        <f t="shared" si="9"/>
        <v>4000</v>
      </c>
      <c r="I45" s="6">
        <f>H45*26</f>
        <v>104000</v>
      </c>
      <c r="J45" s="6"/>
      <c r="K45" s="6"/>
      <c r="L45" s="6"/>
    </row>
    <row r="46" spans="1:26" x14ac:dyDescent="0.25">
      <c r="A46" s="1" t="s">
        <v>40</v>
      </c>
      <c r="B46" s="1" t="str">
        <f>VLOOKUP(A46,[15]LISTADHERENT!A$5:H$60,3,0)</f>
        <v>NGONGANG JEAN THEODORE</v>
      </c>
      <c r="C46" s="6">
        <f>VLOOKUP($A46,MVTRESUME22!A46:AL76,3,0)</f>
        <v>257467</v>
      </c>
    </row>
    <row r="47" spans="1:26" x14ac:dyDescent="0.25">
      <c r="A47" s="1" t="s">
        <v>80</v>
      </c>
      <c r="B47" s="1" t="str">
        <f>VLOOKUP(A47,[15]LISTADHERENT!A$5:H$60,3,0)</f>
        <v>NGANHOU JEAN</v>
      </c>
      <c r="C47" s="6">
        <f>VLOOKUP($A47,MVTRESUME22!A47:AL77,3,0)</f>
        <v>80000</v>
      </c>
      <c r="F47" s="6">
        <f t="shared" ref="F47" si="10">SUM(F41:F46)</f>
        <v>30000</v>
      </c>
      <c r="G47" s="6">
        <f t="shared" ref="G47" si="11">SUM(G41:G46)</f>
        <v>10000</v>
      </c>
      <c r="H47" s="6">
        <f t="shared" ref="H47" si="12">SUM(H41:H46)</f>
        <v>40000</v>
      </c>
      <c r="I47" s="6"/>
      <c r="J47" s="6"/>
      <c r="K47" s="6"/>
    </row>
    <row r="49" spans="1:21" ht="18" x14ac:dyDescent="0.25">
      <c r="A49" s="1" t="s">
        <v>57</v>
      </c>
      <c r="B49" s="1"/>
      <c r="C49" s="9">
        <f>SUM(C43:C48)</f>
        <v>1113467</v>
      </c>
      <c r="L49" s="114"/>
      <c r="M49" s="114"/>
      <c r="N49" s="2"/>
      <c r="O49" s="2"/>
      <c r="P49" s="2"/>
      <c r="Q49" s="2"/>
      <c r="R49" s="2"/>
      <c r="S49" s="2"/>
      <c r="T49" s="2"/>
      <c r="U49"/>
    </row>
  </sheetData>
  <autoFilter ref="A5:U38">
    <sortState ref="A5:L48">
      <sortCondition ref="B5:B48"/>
    </sortState>
  </autoFilter>
  <mergeCells count="1">
    <mergeCell ref="A4:V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9"/>
  <sheetViews>
    <sheetView topLeftCell="A31" workbookViewId="0">
      <selection activeCell="D8" sqref="D8"/>
    </sheetView>
  </sheetViews>
  <sheetFormatPr baseColWidth="10" defaultRowHeight="15" x14ac:dyDescent="0.25"/>
  <cols>
    <col min="2" max="2" width="40.7109375" customWidth="1"/>
    <col min="3" max="5" width="18.5703125" bestFit="1" customWidth="1"/>
    <col min="6" max="6" width="20.42578125" customWidth="1"/>
  </cols>
  <sheetData>
    <row r="1" spans="1:7" x14ac:dyDescent="0.25">
      <c r="B1" s="42" t="s">
        <v>1</v>
      </c>
    </row>
    <row r="2" spans="1:7" x14ac:dyDescent="0.25">
      <c r="B2" s="42" t="s">
        <v>2</v>
      </c>
      <c r="C2" s="42">
        <v>2022</v>
      </c>
    </row>
    <row r="3" spans="1:7" ht="21" x14ac:dyDescent="0.35">
      <c r="B3" s="151" t="s">
        <v>285</v>
      </c>
      <c r="C3" s="152"/>
      <c r="D3" s="152"/>
      <c r="E3" s="152"/>
      <c r="F3" s="152"/>
    </row>
    <row r="5" spans="1:7" ht="15.75" thickBot="1" x14ac:dyDescent="0.3"/>
    <row r="6" spans="1:7" ht="38.25" thickTop="1" x14ac:dyDescent="0.3">
      <c r="A6" s="109" t="s">
        <v>293</v>
      </c>
      <c r="B6" s="111" t="s">
        <v>279</v>
      </c>
      <c r="C6" s="110" t="s">
        <v>280</v>
      </c>
      <c r="D6" s="111" t="s">
        <v>281</v>
      </c>
      <c r="E6" s="111" t="s">
        <v>282</v>
      </c>
      <c r="F6" s="112" t="s">
        <v>234</v>
      </c>
    </row>
    <row r="7" spans="1:7" ht="18.75" x14ac:dyDescent="0.3">
      <c r="A7" s="122"/>
      <c r="B7" s="123"/>
      <c r="C7" s="124"/>
      <c r="D7" s="123"/>
      <c r="E7" s="123"/>
      <c r="F7" s="125"/>
    </row>
    <row r="8" spans="1:7" x14ac:dyDescent="0.25">
      <c r="A8" s="78">
        <v>1</v>
      </c>
      <c r="B8" s="50" t="s">
        <v>294</v>
      </c>
      <c r="C8" s="129">
        <v>21791466</v>
      </c>
      <c r="D8" s="129"/>
      <c r="E8" s="46">
        <f>MVTRESUME22!E40</f>
        <v>500000</v>
      </c>
      <c r="F8" s="44">
        <f t="shared" ref="F8:F23" si="0">C8+D8-E8</f>
        <v>21291466</v>
      </c>
      <c r="G8" s="2"/>
    </row>
    <row r="9" spans="1:7" x14ac:dyDescent="0.25">
      <c r="A9" s="78">
        <v>2</v>
      </c>
      <c r="B9" s="50" t="s">
        <v>10</v>
      </c>
      <c r="C9" s="129">
        <v>2074728</v>
      </c>
      <c r="D9" s="129">
        <f>+MVTRESUME22!L40</f>
        <v>156000</v>
      </c>
      <c r="E9" s="46">
        <f>MVTRESUME22!AE40</f>
        <v>234500</v>
      </c>
      <c r="F9" s="44">
        <f t="shared" si="0"/>
        <v>1996228</v>
      </c>
      <c r="G9" s="2"/>
    </row>
    <row r="10" spans="1:7" x14ac:dyDescent="0.25">
      <c r="A10" s="78">
        <v>3</v>
      </c>
      <c r="B10" s="50" t="s">
        <v>58</v>
      </c>
      <c r="C10" s="129">
        <v>1191460</v>
      </c>
      <c r="D10" s="129">
        <f>+MVTRESUME22!M40</f>
        <v>312000</v>
      </c>
      <c r="E10" s="46">
        <f>+MVTRESUME22!AF40</f>
        <v>0</v>
      </c>
      <c r="F10" s="44">
        <f t="shared" si="0"/>
        <v>1503460</v>
      </c>
      <c r="G10" s="2"/>
    </row>
    <row r="11" spans="1:7" x14ac:dyDescent="0.25">
      <c r="A11" s="78">
        <v>4</v>
      </c>
      <c r="B11" s="50" t="s">
        <v>283</v>
      </c>
      <c r="C11" s="129">
        <v>94762</v>
      </c>
      <c r="D11" s="129">
        <f>+MVTRESUME22!Q40</f>
        <v>0</v>
      </c>
      <c r="E11" s="46">
        <f>+MVTRESUME22!AG40</f>
        <v>0</v>
      </c>
      <c r="F11" s="44">
        <f t="shared" si="0"/>
        <v>94762</v>
      </c>
      <c r="G11" s="2"/>
    </row>
    <row r="12" spans="1:7" x14ac:dyDescent="0.25">
      <c r="A12" s="78">
        <v>5</v>
      </c>
      <c r="B12" s="50" t="s">
        <v>71</v>
      </c>
      <c r="C12" s="129">
        <v>680000</v>
      </c>
      <c r="D12" s="129">
        <f>+MVTRESUME22!P40</f>
        <v>0</v>
      </c>
      <c r="E12" s="46">
        <f>MVTRESUME22!P40</f>
        <v>0</v>
      </c>
      <c r="F12" s="44">
        <f t="shared" si="0"/>
        <v>680000</v>
      </c>
      <c r="G12" s="2"/>
    </row>
    <row r="13" spans="1:7" x14ac:dyDescent="0.25">
      <c r="A13" s="78">
        <v>6</v>
      </c>
      <c r="B13" s="50" t="s">
        <v>286</v>
      </c>
      <c r="C13" s="129">
        <v>1122025</v>
      </c>
      <c r="D13" s="129">
        <f>+MVTRESUME22!O40</f>
        <v>96000</v>
      </c>
      <c r="E13" s="46">
        <f>+MVTRESUME22!AL40</f>
        <v>450000</v>
      </c>
      <c r="F13" s="44">
        <f t="shared" si="0"/>
        <v>768025</v>
      </c>
      <c r="G13" s="2"/>
    </row>
    <row r="14" spans="1:7" x14ac:dyDescent="0.25">
      <c r="A14" s="78">
        <v>7</v>
      </c>
      <c r="B14" s="50" t="s">
        <v>12</v>
      </c>
      <c r="C14" s="129">
        <v>1310525</v>
      </c>
      <c r="D14" s="129">
        <f>+MVTRESUME22!N40</f>
        <v>780000</v>
      </c>
      <c r="E14" s="46">
        <f>+MVTRESUME22!AH40</f>
        <v>770000</v>
      </c>
      <c r="F14" s="44">
        <f t="shared" si="0"/>
        <v>1320525</v>
      </c>
      <c r="G14" s="2"/>
    </row>
    <row r="15" spans="1:7" x14ac:dyDescent="0.25">
      <c r="A15" s="78">
        <v>8</v>
      </c>
      <c r="B15" s="50" t="s">
        <v>287</v>
      </c>
      <c r="C15" s="129">
        <v>94000</v>
      </c>
      <c r="D15" s="129"/>
      <c r="E15" s="46"/>
      <c r="F15" s="44">
        <f t="shared" si="0"/>
        <v>94000</v>
      </c>
      <c r="G15" s="2"/>
    </row>
    <row r="16" spans="1:7" x14ac:dyDescent="0.25">
      <c r="A16" s="78">
        <v>9</v>
      </c>
      <c r="B16" s="50" t="s">
        <v>299</v>
      </c>
      <c r="C16" s="129"/>
      <c r="D16" s="129"/>
      <c r="E16" s="46"/>
      <c r="F16" s="44">
        <f t="shared" si="0"/>
        <v>0</v>
      </c>
      <c r="G16" s="2"/>
    </row>
    <row r="17" spans="1:8" x14ac:dyDescent="0.25">
      <c r="A17" s="78">
        <v>10</v>
      </c>
      <c r="B17" s="50" t="s">
        <v>243</v>
      </c>
      <c r="C17" s="129">
        <v>527000</v>
      </c>
      <c r="D17" s="129">
        <f>+MVTRESUME22!AD40</f>
        <v>1836000</v>
      </c>
      <c r="E17" s="46"/>
      <c r="F17" s="44">
        <f t="shared" si="0"/>
        <v>2363000</v>
      </c>
      <c r="G17" s="2"/>
    </row>
    <row r="18" spans="1:8" x14ac:dyDescent="0.25">
      <c r="A18" s="78">
        <v>11</v>
      </c>
      <c r="B18" s="50" t="s">
        <v>288</v>
      </c>
      <c r="C18" s="129">
        <v>164500</v>
      </c>
      <c r="D18" s="129"/>
      <c r="E18" s="46"/>
      <c r="F18" s="44">
        <f t="shared" si="0"/>
        <v>164500</v>
      </c>
      <c r="G18" s="2"/>
    </row>
    <row r="19" spans="1:8" x14ac:dyDescent="0.25">
      <c r="A19" s="78">
        <v>12</v>
      </c>
      <c r="B19" s="50" t="s">
        <v>289</v>
      </c>
      <c r="C19" s="129">
        <v>619900</v>
      </c>
      <c r="D19" s="129"/>
      <c r="E19" s="46"/>
      <c r="F19" s="44">
        <f t="shared" si="0"/>
        <v>619900</v>
      </c>
      <c r="G19" s="2"/>
    </row>
    <row r="20" spans="1:8" x14ac:dyDescent="0.25">
      <c r="A20" s="78">
        <v>13</v>
      </c>
      <c r="B20" s="50" t="s">
        <v>290</v>
      </c>
      <c r="C20" s="129">
        <v>75000</v>
      </c>
      <c r="D20" s="129"/>
      <c r="E20" s="46"/>
      <c r="F20" s="44">
        <f t="shared" si="0"/>
        <v>75000</v>
      </c>
      <c r="G20" s="2"/>
    </row>
    <row r="21" spans="1:8" x14ac:dyDescent="0.25">
      <c r="A21" s="78">
        <v>14</v>
      </c>
      <c r="B21" s="50" t="s">
        <v>291</v>
      </c>
      <c r="C21" s="129">
        <v>54508</v>
      </c>
      <c r="D21" s="129"/>
      <c r="E21" s="46"/>
      <c r="F21" s="44">
        <f t="shared" si="0"/>
        <v>54508</v>
      </c>
      <c r="G21" s="2"/>
    </row>
    <row r="22" spans="1:8" x14ac:dyDescent="0.25">
      <c r="A22" s="78">
        <v>15</v>
      </c>
      <c r="B22" s="50" t="s">
        <v>292</v>
      </c>
      <c r="C22" s="129">
        <v>2858226</v>
      </c>
      <c r="D22" s="129">
        <f>+MVTRESUME22!G40</f>
        <v>3163199.9999999995</v>
      </c>
      <c r="E22" s="46"/>
      <c r="F22" s="44">
        <f t="shared" si="0"/>
        <v>6021426</v>
      </c>
      <c r="G22" s="2"/>
    </row>
    <row r="23" spans="1:8" x14ac:dyDescent="0.25">
      <c r="A23" s="78"/>
      <c r="B23" s="50" t="s">
        <v>306</v>
      </c>
      <c r="C23" s="43"/>
      <c r="D23" s="129">
        <v>28000</v>
      </c>
      <c r="E23" s="46"/>
      <c r="F23" s="44">
        <f t="shared" si="0"/>
        <v>28000</v>
      </c>
      <c r="G23" s="2"/>
    </row>
    <row r="24" spans="1:8" x14ac:dyDescent="0.25">
      <c r="A24" s="137"/>
      <c r="B24" s="138"/>
      <c r="C24" s="139"/>
      <c r="D24" s="139"/>
      <c r="E24" s="140"/>
      <c r="F24" s="141"/>
      <c r="G24" s="2"/>
    </row>
    <row r="25" spans="1:8" ht="20.25" thickBot="1" x14ac:dyDescent="0.3">
      <c r="A25" s="80"/>
      <c r="B25" s="133" t="s">
        <v>57</v>
      </c>
      <c r="C25" s="134">
        <f>SUM(C8:C23)</f>
        <v>32658100</v>
      </c>
      <c r="D25" s="134">
        <f t="shared" ref="D25:F25" si="1">SUM(D8:D23)</f>
        <v>6371200</v>
      </c>
      <c r="E25" s="134">
        <f t="shared" si="1"/>
        <v>1954500</v>
      </c>
      <c r="F25" s="134">
        <f t="shared" si="1"/>
        <v>37074800</v>
      </c>
      <c r="G25" s="2"/>
      <c r="H25" s="2">
        <f>C25-32179100</f>
        <v>479000</v>
      </c>
    </row>
    <row r="26" spans="1:8" ht="15.75" thickTop="1" x14ac:dyDescent="0.25">
      <c r="A26" s="115"/>
      <c r="B26" s="15"/>
      <c r="C26" s="116"/>
      <c r="D26" s="116"/>
      <c r="E26" s="116"/>
      <c r="F26" s="116"/>
      <c r="G26" s="2"/>
    </row>
    <row r="27" spans="1:8" ht="23.25" x14ac:dyDescent="0.35">
      <c r="B27" s="153" t="s">
        <v>295</v>
      </c>
      <c r="C27" s="154"/>
      <c r="D27" s="154"/>
      <c r="E27" s="154"/>
      <c r="F27" s="154"/>
      <c r="G27" s="115"/>
    </row>
    <row r="28" spans="1:8" x14ac:dyDescent="0.25">
      <c r="A28" s="115"/>
      <c r="B28" s="15"/>
      <c r="C28" s="116"/>
      <c r="D28" s="116"/>
      <c r="E28" s="117"/>
      <c r="F28" s="116"/>
      <c r="G28" s="2"/>
    </row>
    <row r="29" spans="1:8" x14ac:dyDescent="0.25">
      <c r="A29" s="115"/>
      <c r="B29" s="15"/>
      <c r="C29" s="116"/>
      <c r="D29" s="116"/>
      <c r="E29" s="117"/>
      <c r="F29" s="116"/>
      <c r="G29" s="2"/>
    </row>
    <row r="30" spans="1:8" ht="15.75" thickBot="1" x14ac:dyDescent="0.3">
      <c r="A30" s="115"/>
      <c r="B30" s="15"/>
      <c r="C30" s="116">
        <v>2021</v>
      </c>
      <c r="D30" s="116">
        <v>2022</v>
      </c>
      <c r="E30" s="117"/>
      <c r="F30" s="116"/>
      <c r="G30" s="2"/>
    </row>
    <row r="31" spans="1:8" ht="15.75" thickTop="1" x14ac:dyDescent="0.25">
      <c r="A31" s="130">
        <v>1</v>
      </c>
      <c r="B31" s="86" t="s">
        <v>296</v>
      </c>
      <c r="C31" s="135">
        <v>7304779</v>
      </c>
      <c r="D31" s="128"/>
      <c r="E31" s="117"/>
      <c r="F31" s="116"/>
      <c r="G31" s="2"/>
    </row>
    <row r="32" spans="1:8" x14ac:dyDescent="0.25">
      <c r="A32" s="131">
        <v>2</v>
      </c>
      <c r="B32" s="78" t="s">
        <v>297</v>
      </c>
      <c r="C32" s="129">
        <v>630005</v>
      </c>
      <c r="D32" s="44"/>
      <c r="E32" s="117"/>
      <c r="F32" s="116"/>
      <c r="G32" s="2"/>
      <c r="H32" s="2"/>
    </row>
    <row r="33" spans="1:7" x14ac:dyDescent="0.25">
      <c r="A33" s="131">
        <v>3</v>
      </c>
      <c r="B33" s="78" t="s">
        <v>284</v>
      </c>
      <c r="C33" s="129">
        <v>1423702</v>
      </c>
      <c r="D33" s="44"/>
      <c r="E33" s="117"/>
      <c r="F33" s="116"/>
      <c r="G33" s="2"/>
    </row>
    <row r="34" spans="1:7" x14ac:dyDescent="0.25">
      <c r="A34" s="131">
        <v>4</v>
      </c>
      <c r="B34" s="78" t="s">
        <v>298</v>
      </c>
      <c r="C34" s="129">
        <v>744700</v>
      </c>
      <c r="D34" s="44"/>
      <c r="E34" s="117"/>
      <c r="F34" s="116"/>
      <c r="G34" s="2"/>
    </row>
    <row r="35" spans="1:7" x14ac:dyDescent="0.25">
      <c r="A35" s="131">
        <v>5</v>
      </c>
      <c r="B35" s="78" t="s">
        <v>300</v>
      </c>
      <c r="C35" s="129">
        <v>275000</v>
      </c>
      <c r="D35" s="44"/>
      <c r="E35" s="116"/>
      <c r="F35" s="116"/>
      <c r="G35" s="2"/>
    </row>
    <row r="36" spans="1:7" x14ac:dyDescent="0.25">
      <c r="A36" s="131">
        <v>6</v>
      </c>
      <c r="B36" s="78" t="s">
        <v>301</v>
      </c>
      <c r="C36" s="129">
        <v>154000</v>
      </c>
      <c r="D36" s="44"/>
      <c r="E36" s="116"/>
      <c r="F36" s="116"/>
      <c r="G36" s="2"/>
    </row>
    <row r="37" spans="1:7" x14ac:dyDescent="0.25">
      <c r="A37" s="131">
        <v>7</v>
      </c>
      <c r="B37" s="78" t="s">
        <v>302</v>
      </c>
      <c r="C37" s="129">
        <v>20515659</v>
      </c>
      <c r="D37" s="44">
        <f>+MVTRESUME22!AI40</f>
        <v>17658500</v>
      </c>
      <c r="E37" s="116"/>
      <c r="F37" s="116"/>
      <c r="G37" s="2"/>
    </row>
    <row r="38" spans="1:7" x14ac:dyDescent="0.25">
      <c r="A38" s="131">
        <v>8</v>
      </c>
      <c r="B38" s="78" t="s">
        <v>303</v>
      </c>
      <c r="C38" s="129">
        <v>1233618</v>
      </c>
      <c r="D38" s="44"/>
      <c r="E38" s="117"/>
      <c r="F38" s="116"/>
      <c r="G38" s="2"/>
    </row>
    <row r="39" spans="1:7" x14ac:dyDescent="0.25">
      <c r="A39" s="131"/>
      <c r="B39" s="78"/>
      <c r="C39" s="43"/>
      <c r="D39" s="44"/>
      <c r="E39" s="117"/>
      <c r="F39" s="116"/>
      <c r="G39" s="2"/>
    </row>
    <row r="40" spans="1:7" ht="15.75" thickBot="1" x14ac:dyDescent="0.3">
      <c r="A40" s="132"/>
      <c r="B40" s="53" t="s">
        <v>57</v>
      </c>
      <c r="C40" s="126">
        <f>SUM(C31:C38)</f>
        <v>32281463</v>
      </c>
      <c r="D40" s="127">
        <f>SUM(D31:D38)</f>
        <v>17658500</v>
      </c>
      <c r="E40" s="118"/>
      <c r="F40" s="116"/>
      <c r="G40" s="113"/>
    </row>
    <row r="41" spans="1:7" ht="15.75" thickTop="1" x14ac:dyDescent="0.25">
      <c r="A41" s="115"/>
      <c r="B41" s="115"/>
      <c r="C41" s="119"/>
      <c r="D41" s="119"/>
      <c r="E41" s="118"/>
      <c r="F41" s="116"/>
      <c r="G41" s="2"/>
    </row>
    <row r="42" spans="1:7" x14ac:dyDescent="0.25">
      <c r="A42" s="115"/>
      <c r="B42" s="115"/>
      <c r="C42" s="116"/>
      <c r="D42" s="116"/>
      <c r="E42" s="117"/>
      <c r="F42" s="116"/>
      <c r="G42" s="2"/>
    </row>
    <row r="43" spans="1:7" x14ac:dyDescent="0.25">
      <c r="A43" s="115"/>
      <c r="B43" s="15"/>
      <c r="C43" s="119"/>
      <c r="D43" s="116"/>
      <c r="E43" s="117"/>
      <c r="F43" s="116"/>
      <c r="G43" s="2"/>
    </row>
    <row r="44" spans="1:7" x14ac:dyDescent="0.25">
      <c r="A44" s="115"/>
      <c r="B44" s="15"/>
      <c r="C44" s="119"/>
      <c r="D44" s="115"/>
      <c r="E44" s="117"/>
      <c r="F44" s="116"/>
      <c r="G44" s="2"/>
    </row>
    <row r="45" spans="1:7" x14ac:dyDescent="0.25">
      <c r="A45" s="115"/>
      <c r="B45" s="15"/>
      <c r="C45" s="119"/>
      <c r="D45" s="116"/>
      <c r="E45" s="118"/>
      <c r="F45" s="116"/>
      <c r="G45" s="2"/>
    </row>
    <row r="46" spans="1:7" x14ac:dyDescent="0.25">
      <c r="A46" s="115"/>
      <c r="B46" s="15"/>
      <c r="C46" s="119"/>
      <c r="D46" s="116"/>
      <c r="E46" s="118"/>
      <c r="F46" s="116"/>
      <c r="G46" s="2"/>
    </row>
    <row r="47" spans="1:7" x14ac:dyDescent="0.25">
      <c r="A47" s="115"/>
      <c r="B47" s="15"/>
      <c r="C47" s="119"/>
      <c r="D47" s="116"/>
      <c r="E47" s="118"/>
      <c r="F47" s="116"/>
      <c r="G47" s="2"/>
    </row>
    <row r="48" spans="1:7" x14ac:dyDescent="0.25">
      <c r="A48" s="115"/>
      <c r="B48" s="15"/>
      <c r="C48" s="119"/>
      <c r="D48" s="116"/>
      <c r="E48" s="118"/>
      <c r="F48" s="116"/>
      <c r="G48" s="2"/>
    </row>
    <row r="49" spans="1:7" x14ac:dyDescent="0.25">
      <c r="A49" s="115"/>
      <c r="B49" s="15"/>
      <c r="C49" s="115"/>
      <c r="D49" s="116"/>
      <c r="E49" s="117"/>
      <c r="F49" s="116"/>
      <c r="G49" s="2"/>
    </row>
    <row r="50" spans="1:7" x14ac:dyDescent="0.25">
      <c r="A50" s="115"/>
      <c r="B50" s="15"/>
      <c r="C50" s="115"/>
      <c r="D50" s="116"/>
      <c r="E50" s="120"/>
      <c r="F50" s="116"/>
      <c r="G50" s="2"/>
    </row>
    <row r="51" spans="1:7" x14ac:dyDescent="0.25">
      <c r="A51" s="115"/>
      <c r="B51" s="15"/>
      <c r="C51" s="116"/>
      <c r="D51" s="116"/>
      <c r="E51" s="120"/>
      <c r="F51" s="116"/>
      <c r="G51" s="2"/>
    </row>
    <row r="52" spans="1:7" x14ac:dyDescent="0.25">
      <c r="A52" s="115"/>
      <c r="B52" s="15"/>
      <c r="C52" s="115"/>
      <c r="D52" s="116"/>
      <c r="E52" s="118"/>
      <c r="F52" s="116"/>
      <c r="G52" s="2"/>
    </row>
    <row r="53" spans="1:7" x14ac:dyDescent="0.25">
      <c r="A53" s="115"/>
      <c r="B53" s="15"/>
      <c r="C53" s="119"/>
      <c r="D53" s="116"/>
      <c r="E53" s="118"/>
      <c r="F53" s="116"/>
      <c r="G53" s="2"/>
    </row>
    <row r="54" spans="1:7" x14ac:dyDescent="0.25">
      <c r="A54" s="115"/>
      <c r="B54" s="15"/>
      <c r="C54" s="119"/>
      <c r="D54" s="116"/>
      <c r="E54" s="117"/>
      <c r="F54" s="116"/>
      <c r="G54" s="2"/>
    </row>
    <row r="55" spans="1:7" x14ac:dyDescent="0.25">
      <c r="A55" s="115"/>
      <c r="B55" s="15"/>
      <c r="C55" s="119"/>
      <c r="D55" s="116"/>
      <c r="E55" s="118"/>
      <c r="F55" s="116"/>
      <c r="G55" s="2"/>
    </row>
    <row r="56" spans="1:7" x14ac:dyDescent="0.25">
      <c r="A56" s="115"/>
      <c r="B56" s="115"/>
      <c r="C56" s="115"/>
      <c r="D56" s="115"/>
      <c r="E56" s="120"/>
      <c r="F56" s="116"/>
    </row>
    <row r="57" spans="1:7" x14ac:dyDescent="0.25">
      <c r="A57" s="115"/>
      <c r="B57" s="115"/>
      <c r="C57" s="115"/>
      <c r="D57" s="115"/>
      <c r="E57" s="120"/>
      <c r="F57" s="115"/>
    </row>
    <row r="58" spans="1:7" ht="18" x14ac:dyDescent="0.25">
      <c r="A58" s="115"/>
      <c r="B58" s="15"/>
      <c r="C58" s="121"/>
      <c r="D58" s="121"/>
      <c r="E58" s="121"/>
      <c r="F58" s="121"/>
    </row>
    <row r="59" spans="1:7" x14ac:dyDescent="0.25">
      <c r="A59" s="115"/>
      <c r="B59" s="115"/>
      <c r="C59" s="115"/>
      <c r="D59" s="115"/>
      <c r="E59" s="115"/>
      <c r="F59" s="115"/>
    </row>
    <row r="60" spans="1:7" x14ac:dyDescent="0.25">
      <c r="A60" s="115"/>
      <c r="B60" s="115"/>
      <c r="C60" s="115"/>
      <c r="D60" s="115"/>
      <c r="E60" s="115"/>
      <c r="F60" s="115"/>
    </row>
    <row r="61" spans="1:7" x14ac:dyDescent="0.25">
      <c r="A61" s="115"/>
      <c r="B61" s="115"/>
      <c r="C61" s="115"/>
      <c r="D61" s="115"/>
      <c r="E61" s="115"/>
      <c r="F61" s="115"/>
    </row>
    <row r="62" spans="1:7" x14ac:dyDescent="0.25">
      <c r="A62" s="115"/>
      <c r="B62" s="115"/>
      <c r="C62" s="115"/>
      <c r="D62" s="115"/>
      <c r="E62" s="115"/>
      <c r="F62" s="115"/>
    </row>
    <row r="63" spans="1:7" x14ac:dyDescent="0.25">
      <c r="A63" s="115"/>
      <c r="B63" s="115"/>
      <c r="C63" s="115"/>
      <c r="D63" s="115"/>
      <c r="E63" s="115"/>
      <c r="F63" s="115"/>
    </row>
    <row r="64" spans="1:7" x14ac:dyDescent="0.25">
      <c r="A64" s="115"/>
      <c r="B64" s="115"/>
      <c r="C64" s="115"/>
      <c r="D64" s="115"/>
      <c r="E64" s="115"/>
      <c r="F64" s="115"/>
    </row>
    <row r="65" spans="1:6" x14ac:dyDescent="0.25">
      <c r="A65" s="115"/>
      <c r="B65" s="115"/>
      <c r="C65" s="115"/>
      <c r="D65" s="115"/>
      <c r="E65" s="115"/>
      <c r="F65" s="115"/>
    </row>
    <row r="66" spans="1:6" x14ac:dyDescent="0.25">
      <c r="A66" s="115"/>
      <c r="B66" s="115"/>
      <c r="C66" s="115"/>
      <c r="D66" s="115"/>
      <c r="E66" s="115"/>
      <c r="F66" s="115"/>
    </row>
    <row r="67" spans="1:6" x14ac:dyDescent="0.25">
      <c r="A67" s="115"/>
      <c r="B67" s="115"/>
      <c r="C67" s="115"/>
      <c r="D67" s="115"/>
      <c r="E67" s="115"/>
      <c r="F67" s="115"/>
    </row>
    <row r="68" spans="1:6" x14ac:dyDescent="0.25">
      <c r="A68" s="115"/>
      <c r="B68" s="115"/>
      <c r="C68" s="115"/>
      <c r="D68" s="115"/>
      <c r="E68" s="115"/>
      <c r="F68" s="115"/>
    </row>
    <row r="69" spans="1:6" x14ac:dyDescent="0.25">
      <c r="A69" s="115"/>
      <c r="B69" s="115"/>
      <c r="C69" s="115"/>
      <c r="D69" s="115"/>
      <c r="E69" s="115"/>
      <c r="F69" s="115"/>
    </row>
    <row r="70" spans="1:6" x14ac:dyDescent="0.25">
      <c r="A70" s="115"/>
      <c r="B70" s="115"/>
      <c r="C70" s="115"/>
      <c r="D70" s="115"/>
      <c r="E70" s="115"/>
      <c r="F70" s="115"/>
    </row>
    <row r="71" spans="1:6" x14ac:dyDescent="0.25">
      <c r="A71" s="115"/>
      <c r="B71" s="115"/>
      <c r="C71" s="115"/>
      <c r="D71" s="115"/>
      <c r="E71" s="115"/>
      <c r="F71" s="115"/>
    </row>
    <row r="72" spans="1:6" x14ac:dyDescent="0.25">
      <c r="A72" s="115"/>
      <c r="B72" s="115"/>
      <c r="C72" s="115"/>
      <c r="D72" s="115"/>
      <c r="E72" s="115"/>
      <c r="F72" s="115"/>
    </row>
    <row r="73" spans="1:6" x14ac:dyDescent="0.25">
      <c r="A73" s="115"/>
      <c r="B73" s="115"/>
      <c r="C73" s="115"/>
      <c r="D73" s="115"/>
      <c r="E73" s="115"/>
      <c r="F73" s="115"/>
    </row>
    <row r="74" spans="1:6" x14ac:dyDescent="0.25">
      <c r="A74" s="115"/>
      <c r="B74" s="115"/>
      <c r="C74" s="115"/>
      <c r="D74" s="115"/>
      <c r="E74" s="115"/>
      <c r="F74" s="115"/>
    </row>
    <row r="75" spans="1:6" x14ac:dyDescent="0.25">
      <c r="A75" s="115"/>
      <c r="B75" s="115"/>
      <c r="C75" s="115"/>
      <c r="D75" s="115"/>
      <c r="E75" s="115"/>
      <c r="F75" s="115"/>
    </row>
    <row r="76" spans="1:6" x14ac:dyDescent="0.25">
      <c r="A76" s="115"/>
      <c r="B76" s="115"/>
      <c r="C76" s="115"/>
      <c r="D76" s="115"/>
      <c r="E76" s="115"/>
      <c r="F76" s="115"/>
    </row>
    <row r="77" spans="1:6" x14ac:dyDescent="0.25">
      <c r="A77" s="115"/>
      <c r="B77" s="115"/>
      <c r="C77" s="115"/>
      <c r="D77" s="115"/>
      <c r="E77" s="115"/>
      <c r="F77" s="115"/>
    </row>
    <row r="78" spans="1:6" x14ac:dyDescent="0.25">
      <c r="A78" s="115"/>
      <c r="B78" s="115"/>
      <c r="C78" s="115"/>
      <c r="D78" s="115"/>
      <c r="E78" s="115"/>
      <c r="F78" s="115"/>
    </row>
    <row r="79" spans="1:6" x14ac:dyDescent="0.25">
      <c r="A79" s="115"/>
      <c r="B79" s="115"/>
      <c r="C79" s="115"/>
      <c r="D79" s="115"/>
      <c r="E79" s="115"/>
      <c r="F79" s="115"/>
    </row>
    <row r="80" spans="1:6" x14ac:dyDescent="0.25">
      <c r="A80" s="115"/>
      <c r="B80" s="115"/>
      <c r="C80" s="115"/>
      <c r="D80" s="115"/>
      <c r="E80" s="115"/>
      <c r="F80" s="115"/>
    </row>
    <row r="81" spans="1:6" x14ac:dyDescent="0.25">
      <c r="A81" s="115"/>
      <c r="B81" s="115"/>
      <c r="C81" s="115"/>
      <c r="D81" s="115"/>
      <c r="E81" s="115"/>
      <c r="F81" s="115"/>
    </row>
    <row r="82" spans="1:6" x14ac:dyDescent="0.25">
      <c r="A82" s="115"/>
      <c r="B82" s="115"/>
      <c r="C82" s="115"/>
      <c r="D82" s="115"/>
      <c r="E82" s="115"/>
      <c r="F82" s="115"/>
    </row>
    <row r="83" spans="1:6" x14ac:dyDescent="0.25">
      <c r="A83" s="115"/>
      <c r="B83" s="115"/>
      <c r="C83" s="115"/>
      <c r="D83" s="115"/>
      <c r="E83" s="115"/>
      <c r="F83" s="115"/>
    </row>
    <row r="84" spans="1:6" x14ac:dyDescent="0.25">
      <c r="A84" s="115"/>
      <c r="B84" s="115"/>
      <c r="C84" s="115"/>
      <c r="D84" s="115"/>
      <c r="E84" s="115"/>
      <c r="F84" s="115"/>
    </row>
    <row r="85" spans="1:6" x14ac:dyDescent="0.25">
      <c r="A85" s="115"/>
      <c r="B85" s="115"/>
      <c r="C85" s="115"/>
      <c r="D85" s="115"/>
      <c r="E85" s="115"/>
      <c r="F85" s="115"/>
    </row>
    <row r="86" spans="1:6" x14ac:dyDescent="0.25">
      <c r="A86" s="115"/>
      <c r="B86" s="115"/>
      <c r="C86" s="115"/>
      <c r="D86" s="115"/>
      <c r="E86" s="115"/>
      <c r="F86" s="115"/>
    </row>
    <row r="87" spans="1:6" x14ac:dyDescent="0.25">
      <c r="A87" s="115"/>
      <c r="B87" s="115"/>
      <c r="C87" s="115"/>
      <c r="D87" s="115"/>
      <c r="E87" s="115"/>
      <c r="F87" s="115"/>
    </row>
    <row r="88" spans="1:6" x14ac:dyDescent="0.25">
      <c r="A88" s="115"/>
      <c r="B88" s="115"/>
      <c r="C88" s="115"/>
      <c r="D88" s="115"/>
      <c r="E88" s="115"/>
      <c r="F88" s="115"/>
    </row>
    <row r="89" spans="1:6" x14ac:dyDescent="0.25">
      <c r="A89" s="115"/>
      <c r="B89" s="115"/>
      <c r="C89" s="115"/>
      <c r="D89" s="115"/>
      <c r="E89" s="115"/>
      <c r="F89" s="115"/>
    </row>
    <row r="90" spans="1:6" x14ac:dyDescent="0.25">
      <c r="A90" s="115"/>
      <c r="B90" s="115"/>
      <c r="C90" s="115"/>
      <c r="D90" s="115"/>
      <c r="E90" s="115"/>
      <c r="F90" s="115"/>
    </row>
    <row r="91" spans="1:6" x14ac:dyDescent="0.25">
      <c r="A91" s="115"/>
      <c r="B91" s="115"/>
      <c r="C91" s="115"/>
      <c r="D91" s="115"/>
      <c r="E91" s="115"/>
      <c r="F91" s="115"/>
    </row>
    <row r="92" spans="1:6" x14ac:dyDescent="0.25">
      <c r="A92" s="115"/>
      <c r="B92" s="115"/>
      <c r="C92" s="115"/>
      <c r="D92" s="115"/>
      <c r="E92" s="115"/>
      <c r="F92" s="115"/>
    </row>
    <row r="93" spans="1:6" x14ac:dyDescent="0.25">
      <c r="A93" s="115"/>
      <c r="B93" s="115"/>
      <c r="C93" s="115"/>
      <c r="D93" s="115"/>
      <c r="E93" s="115"/>
      <c r="F93" s="115"/>
    </row>
    <row r="94" spans="1:6" x14ac:dyDescent="0.25">
      <c r="A94" s="115"/>
      <c r="B94" s="115"/>
      <c r="C94" s="115"/>
      <c r="D94" s="115"/>
      <c r="E94" s="115"/>
      <c r="F94" s="115"/>
    </row>
    <row r="95" spans="1:6" x14ac:dyDescent="0.25">
      <c r="A95" s="115"/>
      <c r="B95" s="115"/>
      <c r="C95" s="115"/>
      <c r="D95" s="115"/>
      <c r="E95" s="115"/>
      <c r="F95" s="115"/>
    </row>
    <row r="96" spans="1:6" x14ac:dyDescent="0.25">
      <c r="A96" s="115"/>
      <c r="B96" s="115"/>
      <c r="C96" s="115"/>
      <c r="D96" s="115"/>
      <c r="E96" s="115"/>
      <c r="F96" s="115"/>
    </row>
    <row r="97" spans="1:6" x14ac:dyDescent="0.25">
      <c r="A97" s="115"/>
      <c r="B97" s="115"/>
      <c r="C97" s="115"/>
      <c r="D97" s="115"/>
      <c r="E97" s="115"/>
      <c r="F97" s="115"/>
    </row>
    <row r="98" spans="1:6" x14ac:dyDescent="0.25">
      <c r="A98" s="115"/>
      <c r="B98" s="115"/>
      <c r="C98" s="115"/>
      <c r="D98" s="115"/>
      <c r="E98" s="115"/>
      <c r="F98" s="115"/>
    </row>
    <row r="99" spans="1:6" x14ac:dyDescent="0.25">
      <c r="A99" s="115"/>
      <c r="B99" s="115"/>
      <c r="C99" s="115"/>
      <c r="D99" s="115"/>
      <c r="E99" s="115"/>
      <c r="F99" s="115"/>
    </row>
    <row r="100" spans="1:6" x14ac:dyDescent="0.25">
      <c r="A100" s="115"/>
      <c r="B100" s="115"/>
      <c r="C100" s="115"/>
      <c r="D100" s="115"/>
      <c r="E100" s="115"/>
      <c r="F100" s="115"/>
    </row>
    <row r="101" spans="1:6" x14ac:dyDescent="0.25">
      <c r="A101" s="115"/>
      <c r="B101" s="115"/>
      <c r="C101" s="115"/>
      <c r="D101" s="115"/>
      <c r="E101" s="115"/>
      <c r="F101" s="115"/>
    </row>
    <row r="102" spans="1:6" x14ac:dyDescent="0.25">
      <c r="A102" s="115"/>
      <c r="B102" s="115"/>
      <c r="C102" s="115"/>
      <c r="D102" s="115"/>
      <c r="E102" s="115"/>
      <c r="F102" s="115"/>
    </row>
    <row r="103" spans="1:6" x14ac:dyDescent="0.25">
      <c r="A103" s="115"/>
      <c r="B103" s="115"/>
      <c r="C103" s="115"/>
      <c r="D103" s="115"/>
      <c r="E103" s="115"/>
      <c r="F103" s="115"/>
    </row>
    <row r="104" spans="1:6" x14ac:dyDescent="0.25">
      <c r="A104" s="115"/>
      <c r="B104" s="115"/>
      <c r="C104" s="115"/>
      <c r="D104" s="115"/>
      <c r="E104" s="115"/>
      <c r="F104" s="115"/>
    </row>
    <row r="105" spans="1:6" x14ac:dyDescent="0.25">
      <c r="A105" s="115"/>
      <c r="B105" s="115"/>
      <c r="C105" s="115"/>
      <c r="D105" s="115"/>
      <c r="E105" s="115"/>
      <c r="F105" s="115"/>
    </row>
    <row r="106" spans="1:6" x14ac:dyDescent="0.25">
      <c r="A106" s="115"/>
      <c r="B106" s="115"/>
      <c r="C106" s="115"/>
      <c r="D106" s="115"/>
      <c r="E106" s="115"/>
      <c r="F106" s="115"/>
    </row>
    <row r="107" spans="1:6" x14ac:dyDescent="0.25">
      <c r="A107" s="115"/>
      <c r="B107" s="115"/>
      <c r="C107" s="115"/>
      <c r="D107" s="115"/>
      <c r="E107" s="115"/>
      <c r="F107" s="115"/>
    </row>
    <row r="108" spans="1:6" x14ac:dyDescent="0.25">
      <c r="A108" s="115"/>
      <c r="B108" s="115"/>
      <c r="C108" s="115"/>
      <c r="D108" s="115"/>
      <c r="E108" s="115"/>
      <c r="F108" s="115"/>
    </row>
    <row r="109" spans="1:6" x14ac:dyDescent="0.25">
      <c r="A109" s="115"/>
      <c r="B109" s="115"/>
      <c r="C109" s="115"/>
      <c r="D109" s="115"/>
      <c r="E109" s="115"/>
      <c r="F109" s="115"/>
    </row>
  </sheetData>
  <mergeCells count="2">
    <mergeCell ref="B3:F3"/>
    <mergeCell ref="B27:F27"/>
  </mergeCells>
  <pageMargins left="0.31496062992125984" right="0.31496062992125984" top="0.74803149606299213" bottom="0.74803149606299213" header="0.31496062992125984" footer="0.31496062992125984"/>
  <pageSetup paperSize="9" scale="95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9"/>
  <sheetViews>
    <sheetView zoomScaleNormal="100"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A40" sqref="A40:XFD40"/>
    </sheetView>
  </sheetViews>
  <sheetFormatPr baseColWidth="10" defaultColWidth="11" defaultRowHeight="15" x14ac:dyDescent="0.25"/>
  <cols>
    <col min="1" max="1" width="12.42578125" customWidth="1"/>
    <col min="2" max="2" width="31.85546875" bestFit="1" customWidth="1"/>
    <col min="3" max="3" width="14.140625" customWidth="1"/>
    <col min="4" max="4" width="27" customWidth="1"/>
    <col min="5" max="5" width="14.42578125" customWidth="1"/>
    <col min="6" max="6" width="15" bestFit="1" customWidth="1"/>
    <col min="7" max="7" width="15.28515625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G1" s="1"/>
    </row>
    <row r="2" spans="1:13" x14ac:dyDescent="0.25">
      <c r="A2" s="1" t="s">
        <v>2</v>
      </c>
      <c r="B2" s="1" t="s">
        <v>153</v>
      </c>
      <c r="C2" s="1"/>
      <c r="D2" s="1"/>
      <c r="E2" s="1"/>
      <c r="G2" s="1"/>
    </row>
    <row r="3" spans="1:13" x14ac:dyDescent="0.25">
      <c r="A3" s="1" t="s">
        <v>3</v>
      </c>
      <c r="B3" s="5"/>
      <c r="C3" s="1"/>
      <c r="D3" s="1"/>
      <c r="E3" s="1"/>
      <c r="G3" s="5"/>
    </row>
    <row r="4" spans="1:13" ht="27" thickBot="1" x14ac:dyDescent="0.45">
      <c r="A4" s="155" t="s">
        <v>186</v>
      </c>
      <c r="B4" s="156"/>
      <c r="C4" s="156"/>
      <c r="D4" s="156"/>
      <c r="E4" s="156"/>
      <c r="F4" s="156"/>
      <c r="G4" s="156"/>
      <c r="H4" s="63"/>
      <c r="I4" s="63"/>
      <c r="J4" s="63"/>
      <c r="K4" s="63"/>
      <c r="L4" s="63"/>
      <c r="M4" s="63"/>
    </row>
    <row r="5" spans="1:13" ht="72.75" thickTop="1" x14ac:dyDescent="0.25">
      <c r="A5" s="71" t="s">
        <v>4</v>
      </c>
      <c r="B5" s="70" t="s">
        <v>5</v>
      </c>
      <c r="C5" s="71" t="s">
        <v>184</v>
      </c>
      <c r="D5" s="71" t="s">
        <v>185</v>
      </c>
      <c r="E5" s="71" t="s">
        <v>178</v>
      </c>
      <c r="F5" s="71" t="s">
        <v>175</v>
      </c>
      <c r="G5" s="72" t="s">
        <v>176</v>
      </c>
    </row>
    <row r="6" spans="1:13" x14ac:dyDescent="0.25">
      <c r="A6" s="42" t="s">
        <v>16</v>
      </c>
      <c r="B6" s="49" t="s">
        <v>1</v>
      </c>
      <c r="C6" s="43">
        <v>127426.99446674416</v>
      </c>
      <c r="D6" s="43">
        <v>0</v>
      </c>
      <c r="E6" s="43">
        <v>127426.99446674416</v>
      </c>
      <c r="F6" s="43"/>
      <c r="G6" s="44">
        <v>456750.01108374598</v>
      </c>
      <c r="H6" s="2"/>
      <c r="I6" s="2"/>
      <c r="J6" s="2"/>
      <c r="K6" s="2"/>
    </row>
    <row r="7" spans="1:13" x14ac:dyDescent="0.25">
      <c r="A7" s="42" t="s">
        <v>19</v>
      </c>
      <c r="B7" s="49" t="s">
        <v>102</v>
      </c>
      <c r="C7" s="43">
        <v>166439.64365881987</v>
      </c>
      <c r="D7" s="43">
        <v>70000</v>
      </c>
      <c r="E7" s="43">
        <v>96439.64365881987</v>
      </c>
      <c r="F7" s="43"/>
      <c r="G7" s="44">
        <v>540000</v>
      </c>
      <c r="H7" s="2"/>
      <c r="I7" s="2"/>
      <c r="J7" s="2"/>
      <c r="K7" s="2"/>
    </row>
    <row r="8" spans="1:13" x14ac:dyDescent="0.25">
      <c r="A8" s="42" t="s">
        <v>23</v>
      </c>
      <c r="B8" s="49" t="s">
        <v>93</v>
      </c>
      <c r="C8" s="43">
        <v>199274.29078527421</v>
      </c>
      <c r="D8" s="43">
        <v>76000</v>
      </c>
      <c r="E8" s="43">
        <v>123274.29078527421</v>
      </c>
      <c r="F8" s="43"/>
      <c r="G8" s="44">
        <v>540000</v>
      </c>
      <c r="H8" s="2"/>
      <c r="I8" s="2"/>
      <c r="J8" s="2"/>
      <c r="K8" s="2"/>
    </row>
    <row r="9" spans="1:13" x14ac:dyDescent="0.25">
      <c r="A9" s="42" t="s">
        <v>154</v>
      </c>
      <c r="B9" s="49" t="s">
        <v>179</v>
      </c>
      <c r="C9" s="43">
        <v>334083.96946564887</v>
      </c>
      <c r="D9" s="43">
        <v>6000</v>
      </c>
      <c r="E9" s="43">
        <v>328083.96946564887</v>
      </c>
      <c r="F9" s="43"/>
      <c r="G9" s="44">
        <v>0</v>
      </c>
      <c r="H9" s="2"/>
      <c r="I9" s="2"/>
      <c r="J9" s="2"/>
      <c r="K9" s="2"/>
    </row>
    <row r="10" spans="1:13" x14ac:dyDescent="0.25">
      <c r="A10" s="42" t="s">
        <v>24</v>
      </c>
      <c r="B10" s="49" t="s">
        <v>104</v>
      </c>
      <c r="C10" s="43">
        <v>650335.96677265048</v>
      </c>
      <c r="D10" s="43">
        <v>70000</v>
      </c>
      <c r="E10" s="43">
        <v>580335.96677265048</v>
      </c>
      <c r="F10" s="43"/>
      <c r="G10" s="44">
        <v>540000</v>
      </c>
      <c r="H10" s="2"/>
      <c r="I10" s="2"/>
      <c r="J10" s="2"/>
      <c r="K10" s="2"/>
    </row>
    <row r="11" spans="1:13" x14ac:dyDescent="0.25">
      <c r="A11" s="42" t="s">
        <v>25</v>
      </c>
      <c r="B11" s="49" t="s">
        <v>89</v>
      </c>
      <c r="C11" s="43">
        <v>171550.32873722402</v>
      </c>
      <c r="D11" s="43">
        <v>70000</v>
      </c>
      <c r="E11" s="43">
        <v>101550.32873722402</v>
      </c>
      <c r="F11" s="43"/>
      <c r="G11" s="44">
        <v>540000</v>
      </c>
      <c r="H11" s="2"/>
      <c r="I11" s="2"/>
      <c r="J11" s="2"/>
      <c r="K11" s="2"/>
    </row>
    <row r="12" spans="1:13" x14ac:dyDescent="0.25">
      <c r="A12" s="42" t="s">
        <v>79</v>
      </c>
      <c r="B12" s="49" t="s">
        <v>70</v>
      </c>
      <c r="C12" s="43">
        <v>162859.18874679678</v>
      </c>
      <c r="D12" s="43">
        <v>70000</v>
      </c>
      <c r="E12" s="43">
        <v>92859.188746796775</v>
      </c>
      <c r="F12" s="43"/>
      <c r="G12" s="44">
        <v>540000</v>
      </c>
      <c r="H12" s="2"/>
      <c r="I12" s="2"/>
      <c r="J12" s="2"/>
      <c r="K12" s="2"/>
    </row>
    <row r="13" spans="1:13" x14ac:dyDescent="0.25">
      <c r="A13" s="42" t="s">
        <v>26</v>
      </c>
      <c r="B13" s="49" t="s">
        <v>105</v>
      </c>
      <c r="C13" s="43">
        <v>422224.38753171783</v>
      </c>
      <c r="D13" s="43">
        <v>102000</v>
      </c>
      <c r="E13" s="43">
        <v>320224.38753171783</v>
      </c>
      <c r="F13" s="43"/>
      <c r="G13" s="44">
        <v>540000</v>
      </c>
      <c r="H13" s="2"/>
      <c r="I13" s="2"/>
      <c r="J13" s="2"/>
      <c r="K13" s="2"/>
    </row>
    <row r="14" spans="1:13" x14ac:dyDescent="0.25">
      <c r="A14" s="42" t="s">
        <v>27</v>
      </c>
      <c r="B14" s="49" t="s">
        <v>99</v>
      </c>
      <c r="C14" s="43">
        <v>146850.22711354087</v>
      </c>
      <c r="D14" s="43">
        <v>103000</v>
      </c>
      <c r="E14" s="43">
        <v>43850.227113540866</v>
      </c>
      <c r="F14" s="43"/>
      <c r="G14" s="44">
        <v>540000</v>
      </c>
      <c r="H14" s="2"/>
      <c r="I14" s="2"/>
      <c r="J14" s="2"/>
      <c r="K14" s="2"/>
    </row>
    <row r="15" spans="1:13" ht="14.25" customHeight="1" x14ac:dyDescent="0.25">
      <c r="A15" s="42" t="s">
        <v>28</v>
      </c>
      <c r="B15" s="49" t="s">
        <v>106</v>
      </c>
      <c r="C15" s="43">
        <v>274754.91857632872</v>
      </c>
      <c r="D15" s="43">
        <v>114000</v>
      </c>
      <c r="E15" s="43">
        <v>160754.91857632872</v>
      </c>
      <c r="F15" s="43"/>
      <c r="G15" s="44">
        <v>540000</v>
      </c>
      <c r="H15" s="2"/>
      <c r="I15" s="2"/>
      <c r="J15" s="2"/>
      <c r="K15" s="2"/>
    </row>
    <row r="16" spans="1:13" x14ac:dyDescent="0.25">
      <c r="A16" s="42" t="s">
        <v>29</v>
      </c>
      <c r="B16" s="49" t="s">
        <v>92</v>
      </c>
      <c r="C16" s="43">
        <v>450269.46718629025</v>
      </c>
      <c r="D16" s="43">
        <v>86000</v>
      </c>
      <c r="E16" s="43">
        <v>364269.46718629025</v>
      </c>
      <c r="F16" s="43"/>
      <c r="G16" s="44">
        <v>540000</v>
      </c>
      <c r="H16" s="2"/>
      <c r="I16" s="2"/>
      <c r="J16" s="2"/>
      <c r="K16" s="2"/>
    </row>
    <row r="17" spans="1:11" s="14" customFormat="1" ht="13.5" customHeight="1" x14ac:dyDescent="0.25">
      <c r="A17" s="45" t="s">
        <v>31</v>
      </c>
      <c r="B17" s="65" t="s">
        <v>107</v>
      </c>
      <c r="C17" s="46">
        <v>1510276.633889026</v>
      </c>
      <c r="D17" s="46">
        <v>0</v>
      </c>
      <c r="E17" s="46">
        <v>1510276.633889026</v>
      </c>
      <c r="F17" s="46"/>
      <c r="G17" s="66">
        <v>510000</v>
      </c>
      <c r="H17" s="11"/>
      <c r="I17" s="11"/>
      <c r="J17" s="11"/>
      <c r="K17" s="11"/>
    </row>
    <row r="18" spans="1:11" s="14" customFormat="1" x14ac:dyDescent="0.25">
      <c r="A18" s="45" t="s">
        <v>34</v>
      </c>
      <c r="B18" s="65" t="s">
        <v>90</v>
      </c>
      <c r="C18" s="46">
        <v>114481.75293833108</v>
      </c>
      <c r="D18" s="46">
        <v>0</v>
      </c>
      <c r="E18" s="46">
        <v>114481.75293833108</v>
      </c>
      <c r="F18" s="46"/>
      <c r="G18" s="66">
        <v>510000</v>
      </c>
      <c r="H18" s="11"/>
      <c r="I18" s="11"/>
      <c r="J18" s="11"/>
      <c r="K18" s="11"/>
    </row>
    <row r="19" spans="1:11" x14ac:dyDescent="0.25">
      <c r="A19" s="42" t="s">
        <v>33</v>
      </c>
      <c r="B19" s="49" t="s">
        <v>109</v>
      </c>
      <c r="C19" s="43">
        <v>167060.31475124208</v>
      </c>
      <c r="D19" s="43">
        <v>86000</v>
      </c>
      <c r="E19" s="43">
        <v>81060.314751242084</v>
      </c>
      <c r="F19" s="43"/>
      <c r="G19" s="44">
        <v>540000</v>
      </c>
      <c r="H19" s="2"/>
      <c r="I19" s="2"/>
      <c r="J19" s="2"/>
      <c r="K19" s="2"/>
    </row>
    <row r="20" spans="1:11" x14ac:dyDescent="0.25">
      <c r="A20" s="42" t="s">
        <v>35</v>
      </c>
      <c r="B20" s="49" t="s">
        <v>91</v>
      </c>
      <c r="C20" s="43">
        <v>185989.41875846594</v>
      </c>
      <c r="D20" s="43">
        <v>86000</v>
      </c>
      <c r="E20" s="43">
        <v>99989.418758465938</v>
      </c>
      <c r="F20" s="43"/>
      <c r="G20" s="44">
        <v>540000</v>
      </c>
      <c r="H20" s="2"/>
      <c r="I20" s="2"/>
      <c r="J20" s="2"/>
      <c r="K20" s="2"/>
    </row>
    <row r="21" spans="1:11" x14ac:dyDescent="0.25">
      <c r="A21" s="42" t="s">
        <v>36</v>
      </c>
      <c r="B21" s="49" t="s">
        <v>110</v>
      </c>
      <c r="C21" s="43">
        <v>166841.28212530815</v>
      </c>
      <c r="D21" s="43">
        <v>86000</v>
      </c>
      <c r="E21" s="43">
        <v>80841.282125308149</v>
      </c>
      <c r="F21" s="43"/>
      <c r="G21" s="44">
        <v>540000</v>
      </c>
      <c r="H21" s="2"/>
      <c r="I21" s="2"/>
      <c r="J21" s="2"/>
      <c r="K21" s="2"/>
    </row>
    <row r="22" spans="1:11" x14ac:dyDescent="0.25">
      <c r="A22" s="42" t="s">
        <v>75</v>
      </c>
      <c r="B22" s="49" t="s">
        <v>76</v>
      </c>
      <c r="C22" s="43">
        <v>165579.11400071232</v>
      </c>
      <c r="D22" s="43">
        <v>70000</v>
      </c>
      <c r="E22" s="43">
        <v>95579.114000712318</v>
      </c>
      <c r="F22" s="43"/>
      <c r="G22" s="44">
        <v>540000</v>
      </c>
      <c r="H22" s="2"/>
      <c r="I22" s="2"/>
      <c r="J22" s="2"/>
      <c r="K22" s="2"/>
    </row>
    <row r="23" spans="1:11" x14ac:dyDescent="0.25">
      <c r="A23" s="42" t="s">
        <v>50</v>
      </c>
      <c r="B23" s="49" t="s">
        <v>97</v>
      </c>
      <c r="C23" s="43">
        <v>215841.21764222972</v>
      </c>
      <c r="D23" s="43">
        <v>86000</v>
      </c>
      <c r="E23" s="43">
        <v>129841.21764222972</v>
      </c>
      <c r="F23" s="43"/>
      <c r="G23" s="44">
        <v>540000</v>
      </c>
      <c r="H23" s="2"/>
      <c r="I23" s="2"/>
      <c r="J23" s="2"/>
      <c r="K23" s="2"/>
    </row>
    <row r="24" spans="1:11" x14ac:dyDescent="0.25">
      <c r="A24" s="42" t="s">
        <v>37</v>
      </c>
      <c r="B24" s="49" t="s">
        <v>111</v>
      </c>
      <c r="C24" s="43">
        <v>168717.95690321206</v>
      </c>
      <c r="D24" s="43">
        <v>92000</v>
      </c>
      <c r="E24" s="43">
        <v>76717.956903212063</v>
      </c>
      <c r="F24" s="43"/>
      <c r="G24" s="44">
        <v>540000</v>
      </c>
      <c r="H24" s="2"/>
      <c r="I24" s="2"/>
      <c r="J24" s="2"/>
      <c r="K24" s="2"/>
    </row>
    <row r="25" spans="1:11" x14ac:dyDescent="0.25">
      <c r="A25" s="42" t="s">
        <v>38</v>
      </c>
      <c r="B25" s="49" t="s">
        <v>98</v>
      </c>
      <c r="C25" s="43">
        <v>238271.17939759284</v>
      </c>
      <c r="D25" s="43">
        <v>83000</v>
      </c>
      <c r="E25" s="43">
        <v>155271.17939759284</v>
      </c>
      <c r="F25" s="43"/>
      <c r="G25" s="44">
        <v>540000</v>
      </c>
      <c r="H25" s="2"/>
      <c r="I25" s="2"/>
      <c r="J25" s="2"/>
      <c r="K25" s="2"/>
    </row>
    <row r="26" spans="1:11" x14ac:dyDescent="0.25">
      <c r="A26" s="42" t="s">
        <v>39</v>
      </c>
      <c r="B26" s="49" t="s">
        <v>113</v>
      </c>
      <c r="C26" s="43">
        <v>281133.38837694185</v>
      </c>
      <c r="D26" s="43">
        <v>114000</v>
      </c>
      <c r="E26" s="43">
        <v>167133.38837694185</v>
      </c>
      <c r="F26" s="43"/>
      <c r="G26" s="44">
        <v>540000</v>
      </c>
      <c r="H26" s="2"/>
      <c r="I26" s="2"/>
      <c r="J26" s="2"/>
      <c r="K26" s="2"/>
    </row>
    <row r="27" spans="1:11" x14ac:dyDescent="0.25">
      <c r="A27" s="42" t="s">
        <v>41</v>
      </c>
      <c r="B27" s="49" t="s">
        <v>96</v>
      </c>
      <c r="C27" s="43">
        <v>199731.06635530284</v>
      </c>
      <c r="D27" s="43">
        <v>76000</v>
      </c>
      <c r="E27" s="43">
        <v>123731.06635530284</v>
      </c>
      <c r="F27" s="43"/>
      <c r="G27" s="44">
        <v>540000</v>
      </c>
      <c r="H27" s="2"/>
      <c r="I27" s="2"/>
      <c r="J27" s="2"/>
      <c r="K27" s="2"/>
    </row>
    <row r="28" spans="1:11" x14ac:dyDescent="0.25">
      <c r="A28" s="42" t="s">
        <v>43</v>
      </c>
      <c r="B28" s="49" t="s">
        <v>100</v>
      </c>
      <c r="C28" s="43">
        <v>247444.82959238207</v>
      </c>
      <c r="D28" s="43">
        <v>80000</v>
      </c>
      <c r="E28" s="43">
        <v>167444.82959238207</v>
      </c>
      <c r="F28" s="43"/>
      <c r="G28" s="44">
        <v>540000</v>
      </c>
      <c r="H28" s="2"/>
      <c r="I28" s="2"/>
      <c r="J28" s="2"/>
      <c r="K28" s="2"/>
    </row>
    <row r="29" spans="1:11" s="14" customFormat="1" x14ac:dyDescent="0.25">
      <c r="A29" s="45" t="s">
        <v>30</v>
      </c>
      <c r="B29" s="65" t="s">
        <v>115</v>
      </c>
      <c r="C29" s="46">
        <v>105925.31684757111</v>
      </c>
      <c r="D29" s="46">
        <v>102000</v>
      </c>
      <c r="E29" s="46">
        <v>3925.3168475711136</v>
      </c>
      <c r="F29" s="46"/>
      <c r="G29" s="66">
        <v>540000</v>
      </c>
      <c r="H29" s="11"/>
      <c r="I29" s="11"/>
      <c r="J29" s="11"/>
      <c r="K29" s="11"/>
    </row>
    <row r="30" spans="1:11" x14ac:dyDescent="0.25">
      <c r="A30" s="42" t="s">
        <v>44</v>
      </c>
      <c r="B30" s="49" t="s">
        <v>87</v>
      </c>
      <c r="C30" s="43">
        <v>178970.05187373338</v>
      </c>
      <c r="D30" s="43">
        <v>86000</v>
      </c>
      <c r="E30" s="43">
        <v>92970.051873733377</v>
      </c>
      <c r="F30" s="43"/>
      <c r="G30" s="44">
        <v>540000</v>
      </c>
      <c r="H30" s="2"/>
      <c r="I30" s="2"/>
      <c r="J30" s="2"/>
      <c r="K30" s="2"/>
    </row>
    <row r="31" spans="1:11" x14ac:dyDescent="0.25">
      <c r="A31" s="42" t="s">
        <v>45</v>
      </c>
      <c r="B31" s="49" t="s">
        <v>116</v>
      </c>
      <c r="C31" s="43">
        <v>325445.35074867232</v>
      </c>
      <c r="D31" s="43">
        <v>100000</v>
      </c>
      <c r="E31" s="43">
        <v>225445.35074867232</v>
      </c>
      <c r="F31" s="43"/>
      <c r="G31" s="44">
        <v>540000</v>
      </c>
      <c r="H31" s="2"/>
      <c r="I31" s="2"/>
      <c r="J31" s="2"/>
      <c r="K31" s="2"/>
    </row>
    <row r="32" spans="1:11" x14ac:dyDescent="0.25">
      <c r="A32" s="42" t="s">
        <v>81</v>
      </c>
      <c r="B32" s="49" t="s">
        <v>118</v>
      </c>
      <c r="C32" s="43">
        <v>366491.93223893654</v>
      </c>
      <c r="D32" s="43">
        <v>111000</v>
      </c>
      <c r="E32" s="43">
        <v>255491.93223893654</v>
      </c>
      <c r="F32" s="43"/>
      <c r="G32" s="44">
        <v>175376.91333081503</v>
      </c>
      <c r="H32" s="2"/>
      <c r="I32" s="2"/>
      <c r="J32" s="2"/>
      <c r="K32" s="2"/>
    </row>
    <row r="33" spans="1:11" x14ac:dyDescent="0.25">
      <c r="A33" s="42" t="s">
        <v>47</v>
      </c>
      <c r="B33" s="49" t="s">
        <v>143</v>
      </c>
      <c r="C33" s="43">
        <v>150110.28288166213</v>
      </c>
      <c r="D33" s="43">
        <v>70000</v>
      </c>
      <c r="E33" s="43">
        <v>80110.282881662133</v>
      </c>
      <c r="F33" s="43"/>
      <c r="G33" s="44">
        <v>540000</v>
      </c>
      <c r="H33" s="2"/>
      <c r="I33" s="2"/>
      <c r="J33" s="2"/>
      <c r="K33" s="2"/>
    </row>
    <row r="34" spans="1:11" x14ac:dyDescent="0.25">
      <c r="A34" s="42" t="s">
        <v>48</v>
      </c>
      <c r="B34" s="49" t="s">
        <v>120</v>
      </c>
      <c r="C34" s="43">
        <v>309055.2374460685</v>
      </c>
      <c r="D34" s="43">
        <v>86000</v>
      </c>
      <c r="E34" s="43">
        <v>223055.2374460685</v>
      </c>
      <c r="F34" s="43"/>
      <c r="G34" s="44">
        <v>540000</v>
      </c>
      <c r="H34" s="2"/>
      <c r="I34" s="2"/>
      <c r="J34" s="2"/>
      <c r="K34" s="2"/>
    </row>
    <row r="35" spans="1:11" x14ac:dyDescent="0.25">
      <c r="A35" s="42" t="s">
        <v>49</v>
      </c>
      <c r="B35" s="49" t="s">
        <v>121</v>
      </c>
      <c r="C35" s="43">
        <v>403105.57355654181</v>
      </c>
      <c r="D35" s="43">
        <v>73000</v>
      </c>
      <c r="E35" s="43">
        <v>330105.57355654181</v>
      </c>
      <c r="F35" s="43"/>
      <c r="G35" s="44">
        <v>540000</v>
      </c>
      <c r="H35" s="2"/>
      <c r="I35" s="2"/>
      <c r="J35" s="2"/>
      <c r="K35" s="2"/>
    </row>
    <row r="36" spans="1:11" x14ac:dyDescent="0.25">
      <c r="A36" s="42" t="s">
        <v>51</v>
      </c>
      <c r="B36" s="49" t="s">
        <v>122</v>
      </c>
      <c r="C36" s="43">
        <v>327585.88147945009</v>
      </c>
      <c r="D36" s="43">
        <v>70000</v>
      </c>
      <c r="E36" s="43">
        <v>257585.88147945009</v>
      </c>
      <c r="F36" s="43"/>
      <c r="G36" s="44">
        <v>540000</v>
      </c>
      <c r="H36" s="2"/>
      <c r="I36" s="2"/>
      <c r="J36" s="2"/>
      <c r="K36" s="2"/>
    </row>
    <row r="37" spans="1:11" s="14" customFormat="1" x14ac:dyDescent="0.25">
      <c r="A37" s="45" t="s">
        <v>54</v>
      </c>
      <c r="B37" s="65" t="s">
        <v>125</v>
      </c>
      <c r="C37" s="46">
        <v>118430.4812877801</v>
      </c>
      <c r="D37" s="46">
        <v>114000</v>
      </c>
      <c r="E37" s="46">
        <v>4430.4812877801014</v>
      </c>
      <c r="F37" s="46"/>
      <c r="G37" s="66">
        <v>540000</v>
      </c>
    </row>
    <row r="38" spans="1:11" x14ac:dyDescent="0.25">
      <c r="A38" s="42" t="s">
        <v>55</v>
      </c>
      <c r="B38" s="49" t="s">
        <v>126</v>
      </c>
      <c r="C38" s="43">
        <v>866971.13990878034</v>
      </c>
      <c r="D38" s="43">
        <v>108000</v>
      </c>
      <c r="E38" s="43">
        <v>758971.13990878034</v>
      </c>
      <c r="F38" s="43"/>
      <c r="G38" s="44">
        <v>540000</v>
      </c>
    </row>
    <row r="39" spans="1:11" x14ac:dyDescent="0.25">
      <c r="A39" s="42" t="s">
        <v>56</v>
      </c>
      <c r="B39" s="49" t="s">
        <v>127</v>
      </c>
      <c r="C39" s="43">
        <v>2904832.833662136</v>
      </c>
      <c r="D39" s="43">
        <v>86000</v>
      </c>
      <c r="E39" s="43">
        <v>2818832.833662136</v>
      </c>
      <c r="F39" s="43"/>
      <c r="G39" s="44">
        <v>540000</v>
      </c>
    </row>
    <row r="40" spans="1:11" x14ac:dyDescent="0.25">
      <c r="A40" s="42" t="s">
        <v>170</v>
      </c>
      <c r="B40" s="49" t="s">
        <v>180</v>
      </c>
      <c r="C40" s="43">
        <v>42694.656488549619</v>
      </c>
      <c r="D40" s="43">
        <v>40000</v>
      </c>
      <c r="E40" s="43">
        <v>2694.6564885496191</v>
      </c>
      <c r="F40" s="43"/>
      <c r="G40" s="44">
        <v>0</v>
      </c>
    </row>
    <row r="41" spans="1:11" x14ac:dyDescent="0.25">
      <c r="A41" s="42" t="s">
        <v>172</v>
      </c>
      <c r="B41" s="49" t="s">
        <v>181</v>
      </c>
      <c r="C41" s="43">
        <v>0</v>
      </c>
      <c r="D41" s="43">
        <v>10000</v>
      </c>
      <c r="E41" s="43"/>
      <c r="F41" s="43"/>
      <c r="G41" s="44">
        <v>0</v>
      </c>
    </row>
    <row r="42" spans="1:11" x14ac:dyDescent="0.25">
      <c r="A42" s="42"/>
      <c r="B42" s="49"/>
      <c r="C42" s="43"/>
      <c r="D42" s="43"/>
      <c r="E42" s="67"/>
      <c r="F42" s="67"/>
      <c r="G42" s="64"/>
    </row>
    <row r="43" spans="1:11" x14ac:dyDescent="0.25">
      <c r="A43" s="42"/>
      <c r="B43" s="49"/>
      <c r="C43" s="49"/>
      <c r="D43" s="49"/>
      <c r="E43" s="49"/>
      <c r="F43" s="50"/>
      <c r="G43" s="64"/>
    </row>
    <row r="44" spans="1:11" ht="16.5" thickBot="1" x14ac:dyDescent="0.3">
      <c r="A44" s="53" t="s">
        <v>57</v>
      </c>
      <c r="B44" s="68"/>
      <c r="C44" s="54">
        <v>12867056.276191665</v>
      </c>
      <c r="D44" s="54">
        <v>2682000</v>
      </c>
      <c r="E44" s="54">
        <v>10195056.276191665</v>
      </c>
      <c r="F44" s="54">
        <v>0</v>
      </c>
      <c r="G44" s="55">
        <v>16855376.913330816</v>
      </c>
    </row>
    <row r="45" spans="1:11" ht="15.75" thickTop="1" x14ac:dyDescent="0.25"/>
    <row r="46" spans="1:11" x14ac:dyDescent="0.25">
      <c r="C46" s="2"/>
      <c r="F46" s="61"/>
    </row>
    <row r="47" spans="1:11" x14ac:dyDescent="0.25">
      <c r="F47" s="61"/>
    </row>
    <row r="48" spans="1:11" x14ac:dyDescent="0.25">
      <c r="F48" s="61"/>
    </row>
    <row r="49" spans="6:6" x14ac:dyDescent="0.25">
      <c r="F49" s="61"/>
    </row>
    <row r="50" spans="6:6" x14ac:dyDescent="0.25">
      <c r="F50" s="61"/>
    </row>
    <row r="51" spans="6:6" x14ac:dyDescent="0.25">
      <c r="F51" s="61"/>
    </row>
    <row r="52" spans="6:6" x14ac:dyDescent="0.25">
      <c r="F52" s="61"/>
    </row>
    <row r="53" spans="6:6" x14ac:dyDescent="0.25">
      <c r="F53" s="61"/>
    </row>
    <row r="54" spans="6:6" x14ac:dyDescent="0.25">
      <c r="F54" s="61"/>
    </row>
    <row r="55" spans="6:6" x14ac:dyDescent="0.25">
      <c r="F55" s="61"/>
    </row>
    <row r="56" spans="6:6" x14ac:dyDescent="0.25">
      <c r="F56" s="61"/>
    </row>
    <row r="57" spans="6:6" x14ac:dyDescent="0.25">
      <c r="F57" s="61"/>
    </row>
    <row r="58" spans="6:6" x14ac:dyDescent="0.25">
      <c r="F58" s="61"/>
    </row>
    <row r="59" spans="6:6" x14ac:dyDescent="0.25">
      <c r="F59" s="61"/>
    </row>
  </sheetData>
  <autoFilter ref="A5:F39">
    <sortState ref="A5:L48">
      <sortCondition ref="B5:B48"/>
    </sortState>
  </autoFilter>
  <mergeCells count="1">
    <mergeCell ref="A4:G4"/>
  </mergeCells>
  <printOptions horizontalCentered="1"/>
  <pageMargins left="0.51181102362204722" right="0.51181102362204722" top="0.55118110236220474" bottom="0.55118110236220474" header="0.11811023622047245" footer="0.31496062992125984"/>
  <pageSetup scale="85" orientation="portrait" horizontalDpi="4294967295" verticalDpi="4294967295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O15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A5" sqref="A5:S26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49" t="s">
        <v>248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249</v>
      </c>
      <c r="O5" s="71" t="s">
        <v>243</v>
      </c>
      <c r="P5" s="71" t="s">
        <v>253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tr">
        <f>VLOOKUP(A6,[17]LISTADHERENT!A$5:H$60,3,0)</f>
        <v>ASELBY</v>
      </c>
      <c r="C6" s="6">
        <v>584177.00555049011</v>
      </c>
      <c r="D6" s="6">
        <v>0</v>
      </c>
      <c r="E6" s="43">
        <f>+[18]MVTRESUME21!G6</f>
        <v>33346.653120335119</v>
      </c>
      <c r="F6" s="43">
        <f>+[18]MVTRESUME21!K6</f>
        <v>0</v>
      </c>
      <c r="G6" s="43"/>
      <c r="H6" s="43"/>
      <c r="I6" s="43">
        <f>D6+E6+F6</f>
        <v>33346.653120335119</v>
      </c>
      <c r="J6" s="43"/>
      <c r="K6" s="43"/>
      <c r="L6" s="43"/>
      <c r="M6" s="43">
        <f>J6+K6+L6</f>
        <v>0</v>
      </c>
      <c r="N6" s="43"/>
      <c r="O6" s="43"/>
      <c r="P6" s="43"/>
      <c r="Q6" s="43"/>
      <c r="R6" s="43"/>
      <c r="S6" s="44">
        <f t="shared" ref="S6:S26" si="0">C6+L6</f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tr">
        <f>VLOOKUP(A7,[17]LISTADHERENT!A$5:H$60,3,0)</f>
        <v>BOUTCHOUANG WILLIAM</v>
      </c>
      <c r="C7" s="6">
        <v>540000</v>
      </c>
      <c r="D7" s="6">
        <f>VLOOKUP($A7,[7]MVTREPARTITION!$A$6:$Q$46,16,0)</f>
        <v>2439.6436588198703</v>
      </c>
      <c r="E7" s="43">
        <f>+[18]MVTRESUME21!G7</f>
        <v>31301.417835589087</v>
      </c>
      <c r="F7" s="43">
        <f>+[18]MVTRESUME21!K7</f>
        <v>36000</v>
      </c>
      <c r="G7" s="43"/>
      <c r="H7" s="43"/>
      <c r="I7" s="43">
        <f t="shared" ref="I7:I36" si="1">D7+E7+F7</f>
        <v>69741.061494408961</v>
      </c>
      <c r="J7" s="43"/>
      <c r="K7" s="43">
        <v>40000</v>
      </c>
      <c r="L7" s="43">
        <v>30000</v>
      </c>
      <c r="M7" s="43">
        <f t="shared" ref="M7:M37" si="2">J7+K7+L7</f>
        <v>70000</v>
      </c>
      <c r="N7" s="43">
        <f>I7-M7</f>
        <v>-258.93850559103885</v>
      </c>
      <c r="O7" s="43"/>
      <c r="P7" s="43"/>
      <c r="Q7" s="43"/>
      <c r="R7" s="43">
        <f>N7-O7-P7-Q7</f>
        <v>-258.93850559103885</v>
      </c>
      <c r="S7" s="44">
        <f t="shared" si="0"/>
        <v>570000</v>
      </c>
      <c r="T7" s="2"/>
      <c r="U7" s="2"/>
      <c r="V7" s="2"/>
      <c r="W7" s="2"/>
    </row>
    <row r="8" spans="1:23" x14ac:dyDescent="0.25">
      <c r="A8" s="42" t="s">
        <v>23</v>
      </c>
      <c r="B8" s="1" t="str">
        <f>VLOOKUP(A8,[17]LISTADHERENT!A$5:H$60,3,0)</f>
        <v xml:space="preserve">DJOMO JEAN PAUL </v>
      </c>
      <c r="C8" s="6">
        <v>540000</v>
      </c>
      <c r="D8" s="6">
        <f>VLOOKUP($A8,[7]MVTREPARTITION!$A$6:$Q$46,16,0)</f>
        <v>3774.2907852742064</v>
      </c>
      <c r="E8" s="43">
        <f>+[18]MVTRESUME21!G8</f>
        <v>31939.710429565836</v>
      </c>
      <c r="F8" s="43">
        <f>+[18]MVTRESUME21!K8</f>
        <v>91000</v>
      </c>
      <c r="G8" s="43"/>
      <c r="H8" s="43"/>
      <c r="I8" s="43">
        <f t="shared" si="1"/>
        <v>126714.00121484004</v>
      </c>
      <c r="J8" s="43"/>
      <c r="K8" s="43">
        <v>40000</v>
      </c>
      <c r="L8" s="43">
        <v>30000</v>
      </c>
      <c r="M8" s="43">
        <f t="shared" si="2"/>
        <v>70000</v>
      </c>
      <c r="N8" s="43">
        <f t="shared" ref="N8:N37" si="3">I8-M8</f>
        <v>56714.001214840042</v>
      </c>
      <c r="O8" s="43"/>
      <c r="P8" s="43"/>
      <c r="Q8" s="43">
        <v>55000</v>
      </c>
      <c r="R8" s="43">
        <f t="shared" ref="R8:R37" si="4">N8-O8-P8-Q8</f>
        <v>1714.0012148400419</v>
      </c>
      <c r="S8" s="44">
        <f t="shared" si="0"/>
        <v>570000</v>
      </c>
      <c r="T8" s="2" t="s">
        <v>254</v>
      </c>
      <c r="U8" s="2"/>
      <c r="V8" s="2"/>
      <c r="W8" s="2"/>
    </row>
    <row r="9" spans="1:23" x14ac:dyDescent="0.25">
      <c r="A9" s="42" t="s">
        <v>154</v>
      </c>
      <c r="B9" s="1" t="str">
        <f>VLOOKUP(A9,[17]LISTADHERENT!A$5:H$60,3,0)</f>
        <v>DJOMOU TCHANDA</v>
      </c>
      <c r="C9" s="6">
        <v>408859</v>
      </c>
      <c r="D9" s="6">
        <f>VLOOKUP($A9,[7]MVTREPARTITION!$A$6:$Q$46,16,0)</f>
        <v>0</v>
      </c>
      <c r="E9" s="43">
        <f>+[18]MVTRESUME21!G9</f>
        <v>0</v>
      </c>
      <c r="F9" s="43">
        <f>+[18]MVTRESUME21!K9</f>
        <v>58000</v>
      </c>
      <c r="G9" s="43"/>
      <c r="H9" s="43"/>
      <c r="I9" s="43">
        <f>D9+E9+F9+C9</f>
        <v>466859</v>
      </c>
      <c r="J9" s="43"/>
      <c r="K9" s="43">
        <v>40000</v>
      </c>
      <c r="L9" s="43"/>
      <c r="M9" s="43">
        <f t="shared" si="2"/>
        <v>40000</v>
      </c>
      <c r="N9" s="43">
        <f t="shared" si="3"/>
        <v>426859</v>
      </c>
      <c r="O9" s="43"/>
      <c r="P9" s="43"/>
      <c r="Q9" s="43"/>
      <c r="R9" s="43">
        <f>N9-O9-P9-Q9+3500+140000-570000</f>
        <v>359</v>
      </c>
      <c r="S9" s="44">
        <v>570000</v>
      </c>
      <c r="T9" s="2" t="s">
        <v>254</v>
      </c>
      <c r="U9" s="2"/>
      <c r="V9" s="2"/>
      <c r="W9" s="2"/>
    </row>
    <row r="10" spans="1:23" x14ac:dyDescent="0.25">
      <c r="A10" s="42" t="s">
        <v>24</v>
      </c>
      <c r="B10" s="1" t="str">
        <f>VLOOKUP(A10,[17]LISTADHERENT!A$5:H$60,3,0)</f>
        <v>DJOUKWE NANGUEN GUY BLAISE</v>
      </c>
      <c r="C10" s="6">
        <v>540000</v>
      </c>
      <c r="D10" s="6">
        <f>VLOOKUP($A10,[7]MVTREPARTITION!$A$6:$Q$46,16,0)</f>
        <v>213335.96677265048</v>
      </c>
      <c r="E10" s="43">
        <f>+[18]MVTRESUME21!G10</f>
        <v>44576.675349558085</v>
      </c>
      <c r="F10" s="43">
        <f>+[18]MVTRESUME21!K10</f>
        <v>72500</v>
      </c>
      <c r="G10" s="43"/>
      <c r="H10" s="43"/>
      <c r="I10" s="43">
        <f t="shared" si="1"/>
        <v>330412.64212220861</v>
      </c>
      <c r="J10" s="43"/>
      <c r="K10" s="43">
        <v>40000</v>
      </c>
      <c r="L10" s="43">
        <v>30000</v>
      </c>
      <c r="M10" s="43">
        <f t="shared" si="2"/>
        <v>70000</v>
      </c>
      <c r="N10" s="43">
        <f t="shared" si="3"/>
        <v>260412.64212220861</v>
      </c>
      <c r="O10" s="43"/>
      <c r="P10" s="43"/>
      <c r="Q10" s="43">
        <v>150000</v>
      </c>
      <c r="R10" s="43">
        <f t="shared" si="4"/>
        <v>110412.64212220861</v>
      </c>
      <c r="S10" s="44">
        <f t="shared" si="0"/>
        <v>570000</v>
      </c>
      <c r="T10" s="2" t="s">
        <v>254</v>
      </c>
      <c r="U10" s="2"/>
      <c r="V10" s="2"/>
      <c r="W10" s="2"/>
    </row>
    <row r="11" spans="1:23" x14ac:dyDescent="0.25">
      <c r="A11" s="42" t="s">
        <v>25</v>
      </c>
      <c r="B11" s="1" t="str">
        <f>VLOOKUP(A11,[17]LISTADHERENT!A$5:H$60,3,0)</f>
        <v>DJUOMBESSY ANTOINE</v>
      </c>
      <c r="C11" s="6">
        <v>540000</v>
      </c>
      <c r="D11" s="6">
        <f>VLOOKUP($A11,[7]MVTREPARTITION!$A$6:$Q$46,16,0)</f>
        <v>7550.3287372240156</v>
      </c>
      <c r="E11" s="43">
        <f>+[18]MVTRESUME21!G11</f>
        <v>31958.521137862837</v>
      </c>
      <c r="F11" s="43">
        <f>+[18]MVTRESUME21!K11</f>
        <v>49000</v>
      </c>
      <c r="G11" s="43"/>
      <c r="H11" s="43"/>
      <c r="I11" s="43">
        <f t="shared" si="1"/>
        <v>88508.84987508686</v>
      </c>
      <c r="J11" s="43"/>
      <c r="K11" s="43">
        <v>40000</v>
      </c>
      <c r="L11" s="43">
        <v>30000</v>
      </c>
      <c r="M11" s="43">
        <f t="shared" si="2"/>
        <v>70000</v>
      </c>
      <c r="N11" s="43">
        <f t="shared" si="3"/>
        <v>18508.84987508686</v>
      </c>
      <c r="O11" s="43"/>
      <c r="P11" s="43"/>
      <c r="Q11" s="43"/>
      <c r="R11" s="43">
        <f t="shared" si="4"/>
        <v>18508.84987508686</v>
      </c>
      <c r="S11" s="44">
        <f t="shared" si="0"/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tr">
        <f>VLOOKUP(A12,[17]LISTADHERENT!A$5:H$60,3,0)</f>
        <v>DOMOU FABIEN</v>
      </c>
      <c r="C12" s="6">
        <v>540000</v>
      </c>
      <c r="D12" s="6">
        <f>VLOOKUP($A12,[7]MVTREPARTITION!$A$6:$Q$46,16,0)</f>
        <v>8859.1887467967754</v>
      </c>
      <c r="E12" s="43">
        <f>+[18]MVTRESUME21!G12</f>
        <v>31667.865575238462</v>
      </c>
      <c r="F12" s="43">
        <f>+[18]MVTRESUME21!K12</f>
        <v>36000</v>
      </c>
      <c r="G12" s="43"/>
      <c r="H12" s="43"/>
      <c r="I12" s="43">
        <f t="shared" si="1"/>
        <v>76527.054322035241</v>
      </c>
      <c r="J12" s="43"/>
      <c r="K12" s="43">
        <v>40000</v>
      </c>
      <c r="L12" s="43">
        <v>30000</v>
      </c>
      <c r="M12" s="43">
        <f t="shared" si="2"/>
        <v>70000</v>
      </c>
      <c r="N12" s="43">
        <f t="shared" si="3"/>
        <v>6527.0543220352411</v>
      </c>
      <c r="O12" s="43"/>
      <c r="P12" s="43"/>
      <c r="Q12" s="43"/>
      <c r="R12" s="43">
        <f t="shared" si="4"/>
        <v>6527.0543220352411</v>
      </c>
      <c r="S12" s="44">
        <f t="shared" si="0"/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tr">
        <f>VLOOKUP(A13,[17]LISTADHERENT!A$5:H$60,3,0)</f>
        <v>DONHOU DAVID</v>
      </c>
      <c r="C13" s="6">
        <v>540000</v>
      </c>
      <c r="D13" s="6">
        <f>VLOOKUP($A13,[7]MVTREPARTITION!$A$6:$Q$46,16,0)</f>
        <v>326224.38753171783</v>
      </c>
      <c r="E13" s="43">
        <f>+[18]MVTRESUME21!G13</f>
        <v>50065.118488239867</v>
      </c>
      <c r="F13" s="43">
        <f>+[18]MVTRESUME21!K13</f>
        <v>83000</v>
      </c>
      <c r="G13" s="43"/>
      <c r="H13" s="43"/>
      <c r="I13" s="43">
        <f t="shared" si="1"/>
        <v>459289.50601995771</v>
      </c>
      <c r="J13" s="43"/>
      <c r="K13" s="43">
        <v>40000</v>
      </c>
      <c r="L13" s="43">
        <v>30000</v>
      </c>
      <c r="M13" s="43">
        <f t="shared" si="2"/>
        <v>70000</v>
      </c>
      <c r="N13" s="43">
        <f t="shared" si="3"/>
        <v>389289.50601995771</v>
      </c>
      <c r="O13" s="43">
        <v>70000</v>
      </c>
      <c r="P13" s="43"/>
      <c r="Q13" s="43">
        <v>69500</v>
      </c>
      <c r="R13" s="43">
        <f>N13-O13-P13-Q13+3500</f>
        <v>253289.50601995771</v>
      </c>
      <c r="S13" s="44">
        <f t="shared" si="0"/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tr">
        <f>VLOOKUP(A14,[17]LISTADHERENT!A$5:H$60,3,0)</f>
        <v>FOTSO THOMAS</v>
      </c>
      <c r="C14" s="6">
        <v>540000</v>
      </c>
      <c r="D14" s="6">
        <f>VLOOKUP($A14,[7]MVTREPARTITION!$A$6:$Q$46,16,0)</f>
        <v>3850.2271135408664</v>
      </c>
      <c r="E14" s="43">
        <f>+[18]MVTRESUME21!G14</f>
        <v>31044.674303605858</v>
      </c>
      <c r="F14" s="43">
        <f>+[18]MVTRESUME21!K14</f>
        <v>3000</v>
      </c>
      <c r="G14" s="43"/>
      <c r="H14" s="43"/>
      <c r="I14" s="43">
        <f t="shared" si="1"/>
        <v>37894.901417146728</v>
      </c>
      <c r="J14" s="43"/>
      <c r="K14" s="43">
        <v>40000</v>
      </c>
      <c r="L14" s="43"/>
      <c r="M14" s="43">
        <f t="shared" si="2"/>
        <v>40000</v>
      </c>
      <c r="N14" s="43">
        <f t="shared" si="3"/>
        <v>-2105.0985828532721</v>
      </c>
      <c r="O14" s="43"/>
      <c r="P14" s="43"/>
      <c r="Q14" s="43"/>
      <c r="R14" s="43">
        <f t="shared" si="4"/>
        <v>-2105.0985828532721</v>
      </c>
      <c r="S14" s="44">
        <f t="shared" si="0"/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tr">
        <f>VLOOKUP(A15,[17]LISTADHERENT!A$5:H$60,3,0)</f>
        <v>HENGUE PAUL OMER</v>
      </c>
      <c r="C15" s="6">
        <v>540000</v>
      </c>
      <c r="D15" s="6">
        <f>VLOOKUP($A15,[7]MVTREPARTITION!$A$6:$Q$46,16,0)</f>
        <v>166754.91857632878</v>
      </c>
      <c r="E15" s="43">
        <f>+[18]MVTRESUME21!G15</f>
        <v>40681.048363639871</v>
      </c>
      <c r="F15" s="43">
        <f>+[18]MVTRESUME21!K15</f>
        <v>36000</v>
      </c>
      <c r="G15" s="43"/>
      <c r="H15" s="43"/>
      <c r="I15" s="43">
        <f t="shared" si="1"/>
        <v>243435.96693996864</v>
      </c>
      <c r="J15" s="43"/>
      <c r="K15" s="43">
        <v>40000</v>
      </c>
      <c r="L15" s="43">
        <v>30000</v>
      </c>
      <c r="M15" s="43">
        <f t="shared" si="2"/>
        <v>70000</v>
      </c>
      <c r="N15" s="43">
        <f t="shared" si="3"/>
        <v>173435.96693996864</v>
      </c>
      <c r="O15" s="43"/>
      <c r="P15" s="43"/>
      <c r="Q15" s="43">
        <v>170000</v>
      </c>
      <c r="R15" s="43">
        <f t="shared" si="4"/>
        <v>3435.9669399686391</v>
      </c>
      <c r="S15" s="44">
        <f t="shared" si="0"/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tr">
        <f>VLOOKUP(A16,[17]LISTADHERENT!A$5:H$60,3,0)</f>
        <v>HOTCHO BENJAMIN</v>
      </c>
      <c r="C16" s="6">
        <v>540000</v>
      </c>
      <c r="D16" s="6">
        <f>VLOOKUP($A16,[7]MVTREPARTITION!$A$6:$Q$46,16,0)</f>
        <v>405269.46718629025</v>
      </c>
      <c r="E16" s="43">
        <f>+[18]MVTRESUME21!G16</f>
        <v>58230.953117494268</v>
      </c>
      <c r="F16" s="43">
        <f>+[18]MVTRESUME21!K16</f>
        <v>526000</v>
      </c>
      <c r="G16" s="43"/>
      <c r="H16" s="43"/>
      <c r="I16" s="43">
        <f t="shared" si="1"/>
        <v>989500.42030378454</v>
      </c>
      <c r="J16" s="43"/>
      <c r="K16" s="43">
        <v>40000</v>
      </c>
      <c r="L16" s="43">
        <v>30000</v>
      </c>
      <c r="M16" s="43">
        <f t="shared" si="2"/>
        <v>70000</v>
      </c>
      <c r="N16" s="43">
        <f t="shared" si="3"/>
        <v>919500.42030378454</v>
      </c>
      <c r="O16" s="43">
        <v>70000</v>
      </c>
      <c r="P16" s="43">
        <f>723000+28920</f>
        <v>751920</v>
      </c>
      <c r="Q16" s="43">
        <f>80000</f>
        <v>80000</v>
      </c>
      <c r="R16" s="43">
        <f t="shared" si="4"/>
        <v>17580.420303784544</v>
      </c>
      <c r="S16" s="44">
        <f t="shared" si="0"/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tr">
        <f>VLOOKUP(A17,[17]LISTADHERENT!A$5:H$60,3,0)</f>
        <v>KOUAMOU MOISE</v>
      </c>
      <c r="C17" s="6">
        <v>540000</v>
      </c>
      <c r="D17" s="6">
        <f>VLOOKUP($A17,[7]MVTREPARTITION!$A$6:$Q$46,16,0)</f>
        <v>7060.3147512420837</v>
      </c>
      <c r="E17" s="43">
        <f>+[18]MVTRESUME21!G17</f>
        <v>31846.233591436034</v>
      </c>
      <c r="F17" s="43">
        <f>+[18]MVTRESUME21!K17</f>
        <v>36500</v>
      </c>
      <c r="G17" s="46"/>
      <c r="H17" s="43"/>
      <c r="I17" s="43">
        <f t="shared" si="1"/>
        <v>75406.548342678114</v>
      </c>
      <c r="J17" s="46"/>
      <c r="K17" s="43">
        <v>40000</v>
      </c>
      <c r="L17" s="43">
        <v>30000</v>
      </c>
      <c r="M17" s="43">
        <f t="shared" si="2"/>
        <v>70000</v>
      </c>
      <c r="N17" s="43">
        <f t="shared" si="3"/>
        <v>5406.5483426781138</v>
      </c>
      <c r="O17" s="43"/>
      <c r="P17" s="43"/>
      <c r="Q17" s="43"/>
      <c r="R17" s="43">
        <f t="shared" si="4"/>
        <v>5406.5483426781138</v>
      </c>
      <c r="S17" s="44">
        <f t="shared" si="0"/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tr">
        <f>VLOOKUP(A18,[17]LISTADHERENT!A$5:H$60,3,0)</f>
        <v>KOUATCHO MESSACK</v>
      </c>
      <c r="C18" s="6">
        <v>540000</v>
      </c>
      <c r="D18" s="6">
        <f>VLOOKUP($A18,[7]MVTREPARTITION!$A$6:$Q$46,16,0)</f>
        <v>489.41875846593757</v>
      </c>
      <c r="E18" s="43">
        <f>+[18]MVTRESUME21!G18</f>
        <v>31752.199646050063</v>
      </c>
      <c r="F18" s="43">
        <f>+[18]MVTRESUME21!K18</f>
        <v>46000</v>
      </c>
      <c r="G18" s="46"/>
      <c r="H18" s="43"/>
      <c r="I18" s="43">
        <f t="shared" si="1"/>
        <v>78241.618404516004</v>
      </c>
      <c r="J18" s="46"/>
      <c r="K18" s="43">
        <v>40000</v>
      </c>
      <c r="L18" s="43">
        <v>30000</v>
      </c>
      <c r="M18" s="43">
        <f t="shared" si="2"/>
        <v>70000</v>
      </c>
      <c r="N18" s="43">
        <f t="shared" si="3"/>
        <v>8241.6184045160044</v>
      </c>
      <c r="O18" s="43"/>
      <c r="P18" s="43"/>
      <c r="Q18" s="43"/>
      <c r="R18" s="43">
        <f t="shared" si="4"/>
        <v>8241.6184045160044</v>
      </c>
      <c r="S18" s="44">
        <f t="shared" si="0"/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tr">
        <f>VLOOKUP(A19,[17]LISTADHERENT!A$5:H$60,3,0)</f>
        <v>LOWE JEAN</v>
      </c>
      <c r="C19" s="6">
        <v>540000</v>
      </c>
      <c r="D19" s="6">
        <f>VLOOKUP($A19,[7]MVTREPARTITION!$A$6:$Q$46,16,0)</f>
        <v>6841.2821253081493</v>
      </c>
      <c r="E19" s="43">
        <f>+[18]MVTRESUME21!G19</f>
        <v>31552.677145196445</v>
      </c>
      <c r="F19" s="43">
        <f>+[18]MVTRESUME21!K19</f>
        <v>36000</v>
      </c>
      <c r="G19" s="43"/>
      <c r="H19" s="43"/>
      <c r="I19" s="43">
        <f t="shared" si="1"/>
        <v>74393.959270504594</v>
      </c>
      <c r="J19" s="43"/>
      <c r="K19" s="43">
        <v>40000</v>
      </c>
      <c r="L19" s="43">
        <v>30000</v>
      </c>
      <c r="M19" s="43">
        <f t="shared" si="2"/>
        <v>70000</v>
      </c>
      <c r="N19" s="43">
        <f t="shared" si="3"/>
        <v>4393.9592705045943</v>
      </c>
      <c r="O19" s="43"/>
      <c r="P19" s="43"/>
      <c r="Q19" s="43">
        <v>4000</v>
      </c>
      <c r="R19" s="43">
        <f t="shared" si="4"/>
        <v>393.95927050459431</v>
      </c>
      <c r="S19" s="44">
        <f t="shared" si="0"/>
        <v>570000</v>
      </c>
      <c r="T19" s="2" t="s">
        <v>255</v>
      </c>
      <c r="U19" s="2"/>
      <c r="V19" s="2"/>
      <c r="W19" s="2"/>
    </row>
    <row r="20" spans="1:23" x14ac:dyDescent="0.25">
      <c r="A20" s="42" t="s">
        <v>75</v>
      </c>
      <c r="B20" s="1" t="str">
        <f>VLOOKUP(A20,[17]LISTADHERENT!A$5:H$60,3,0)</f>
        <v>MBOGNING TUGMA GUY</v>
      </c>
      <c r="C20" s="6">
        <v>540000</v>
      </c>
      <c r="D20" s="6">
        <f>VLOOKUP($A20,[7]MVTREPARTITION!$A$6:$Q$46,16,0)</f>
        <v>1579.1140007123176</v>
      </c>
      <c r="E20" s="43">
        <f>+[18]MVTRESUME21!G20</f>
        <v>31533.349485464423</v>
      </c>
      <c r="F20" s="43">
        <f>+[18]MVTRESUME21!K20</f>
        <v>41000</v>
      </c>
      <c r="G20" s="43"/>
      <c r="H20" s="43"/>
      <c r="I20" s="43">
        <f t="shared" si="1"/>
        <v>74112.463486176741</v>
      </c>
      <c r="J20" s="43"/>
      <c r="K20" s="43">
        <v>40000</v>
      </c>
      <c r="L20" s="43">
        <v>30000</v>
      </c>
      <c r="M20" s="43">
        <f t="shared" si="2"/>
        <v>70000</v>
      </c>
      <c r="N20" s="43">
        <f t="shared" si="3"/>
        <v>4112.4634861767408</v>
      </c>
      <c r="O20" s="43"/>
      <c r="P20" s="43"/>
      <c r="Q20" s="43">
        <v>4000</v>
      </c>
      <c r="R20" s="43">
        <f t="shared" si="4"/>
        <v>112.46348617674084</v>
      </c>
      <c r="S20" s="44">
        <f t="shared" si="0"/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tr">
        <f>VLOOKUP(A21,[17]LISTADHERENT!A$5:H$60,3,0)</f>
        <v>NANGUEN MARTIN</v>
      </c>
      <c r="C21" s="6">
        <v>540000</v>
      </c>
      <c r="D21" s="6">
        <f>VLOOKUP($A21,[7]MVTREPARTITION!$A$6:$Q$46,16,0)</f>
        <v>135841.21764222972</v>
      </c>
      <c r="E21" s="43">
        <f>+[18]MVTRESUME21!G21</f>
        <v>38916.397492550284</v>
      </c>
      <c r="F21" s="43">
        <f>+[18]MVTRESUME21!K21</f>
        <v>33000</v>
      </c>
      <c r="G21" s="43"/>
      <c r="H21" s="43"/>
      <c r="I21" s="43">
        <f t="shared" si="1"/>
        <v>207757.61513478</v>
      </c>
      <c r="J21" s="43"/>
      <c r="K21" s="43">
        <v>40000</v>
      </c>
      <c r="L21" s="43">
        <v>30000</v>
      </c>
      <c r="M21" s="43">
        <f t="shared" si="2"/>
        <v>70000</v>
      </c>
      <c r="N21" s="43">
        <f t="shared" si="3"/>
        <v>137757.61513478</v>
      </c>
      <c r="O21" s="43"/>
      <c r="P21" s="43"/>
      <c r="Q21" s="43">
        <f>100000+7000</f>
        <v>107000</v>
      </c>
      <c r="R21" s="43">
        <f t="shared" si="4"/>
        <v>30757.615134780004</v>
      </c>
      <c r="S21" s="44">
        <f t="shared" si="0"/>
        <v>570000</v>
      </c>
      <c r="T21" s="2" t="s">
        <v>254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tr">
        <f>VLOOKUP(A22,[17]LISTADHERENT!A$5:H$60,3,0)</f>
        <v>NANKAM APPOLINAIRE</v>
      </c>
      <c r="C22" s="6">
        <v>540000</v>
      </c>
      <c r="D22" s="6">
        <f>VLOOKUP($A22,[7]MVTREPARTITION!$A$6:$Q$46,16,0)</f>
        <v>82717.956903212063</v>
      </c>
      <c r="E22" s="43">
        <f>+[18]MVTRESUME21!G22</f>
        <v>35883.955387411595</v>
      </c>
      <c r="F22" s="43">
        <f>+[18]MVTRESUME21!K22</f>
        <v>36000</v>
      </c>
      <c r="G22" s="43"/>
      <c r="H22" s="43"/>
      <c r="I22" s="43">
        <f t="shared" si="1"/>
        <v>154601.91229062364</v>
      </c>
      <c r="J22" s="43"/>
      <c r="K22" s="43">
        <v>40000</v>
      </c>
      <c r="L22" s="43">
        <v>30000</v>
      </c>
      <c r="M22" s="43">
        <f t="shared" si="2"/>
        <v>70000</v>
      </c>
      <c r="N22" s="43">
        <f t="shared" si="3"/>
        <v>84601.912290623644</v>
      </c>
      <c r="O22" s="43"/>
      <c r="P22" s="43"/>
      <c r="Q22" s="43"/>
      <c r="R22" s="43">
        <f t="shared" si="4"/>
        <v>84601.912290623644</v>
      </c>
      <c r="S22" s="44">
        <f t="shared" si="0"/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tr">
        <f>VLOOKUP(A23,[17]LISTADHERENT!A$5:H$60,3,0)</f>
        <v>NDJOMO ETIENNE</v>
      </c>
      <c r="C23" s="6">
        <v>540000</v>
      </c>
      <c r="D23" s="6">
        <f>VLOOKUP($A23,[7]MVTREPARTITION!$A$6:$Q$46,16,0)</f>
        <v>65271.179397592845</v>
      </c>
      <c r="E23" s="43">
        <f>+[18]MVTRESUME21!G23</f>
        <v>35674.988142283801</v>
      </c>
      <c r="F23" s="43">
        <f>+[18]MVTRESUME21!K23</f>
        <v>110500</v>
      </c>
      <c r="G23" s="43"/>
      <c r="H23" s="43"/>
      <c r="I23" s="43">
        <f t="shared" si="1"/>
        <v>211446.16753987665</v>
      </c>
      <c r="J23" s="43"/>
      <c r="K23" s="43">
        <v>40000</v>
      </c>
      <c r="L23" s="43">
        <v>30000</v>
      </c>
      <c r="M23" s="43">
        <f t="shared" si="2"/>
        <v>70000</v>
      </c>
      <c r="N23" s="43">
        <f t="shared" si="3"/>
        <v>141446.16753987665</v>
      </c>
      <c r="O23" s="43"/>
      <c r="P23" s="43"/>
      <c r="Q23" s="43">
        <v>40000</v>
      </c>
      <c r="R23" s="43">
        <f t="shared" si="4"/>
        <v>101446.16753987665</v>
      </c>
      <c r="S23" s="44">
        <f t="shared" si="0"/>
        <v>570000</v>
      </c>
      <c r="T23" s="2" t="s">
        <v>254</v>
      </c>
      <c r="U23" s="2"/>
      <c r="V23" s="2"/>
      <c r="W23" s="2"/>
    </row>
    <row r="24" spans="1:23" x14ac:dyDescent="0.25">
      <c r="A24" s="45" t="s">
        <v>39</v>
      </c>
      <c r="B24" s="1" t="str">
        <f>VLOOKUP(A24,[17]LISTADHERENT!A$5:H$60,3,0)</f>
        <v>NGONDIEP CLAUDE</v>
      </c>
      <c r="C24" s="6">
        <v>540000</v>
      </c>
      <c r="D24" s="6">
        <f>VLOOKUP($A24,[7]MVTREPARTITION!$A$6:$Q$46,16,0)</f>
        <v>133.38837694184622</v>
      </c>
      <c r="E24" s="43">
        <f>+[18]MVTRESUME21!G24</f>
        <v>32293.983072666186</v>
      </c>
      <c r="F24" s="43">
        <f>+[18]MVTRESUME21!K24</f>
        <v>140500</v>
      </c>
      <c r="G24" s="43"/>
      <c r="H24" s="43"/>
      <c r="I24" s="43">
        <f t="shared" si="1"/>
        <v>172927.37144960804</v>
      </c>
      <c r="J24" s="43"/>
      <c r="K24" s="43">
        <v>40000</v>
      </c>
      <c r="L24" s="43">
        <v>30000</v>
      </c>
      <c r="M24" s="43">
        <f t="shared" si="2"/>
        <v>70000</v>
      </c>
      <c r="N24" s="43">
        <f t="shared" si="3"/>
        <v>102927.37144960804</v>
      </c>
      <c r="O24" s="43">
        <v>70000</v>
      </c>
      <c r="P24" s="43"/>
      <c r="Q24" s="43">
        <v>30000</v>
      </c>
      <c r="R24" s="43">
        <f t="shared" si="4"/>
        <v>2927.3714496080356</v>
      </c>
      <c r="S24" s="44">
        <f t="shared" si="0"/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tr">
        <f>VLOOKUP(A25,[17]LISTADHERENT!A$5:H$60,3,0)</f>
        <v>NGUIEMEGNI MATHIEU BLAISE</v>
      </c>
      <c r="C25" s="6">
        <v>540000</v>
      </c>
      <c r="D25" s="6">
        <f>VLOOKUP($A25,[7]MVTREPARTITION!$A$6:$Q$46,16,0)</f>
        <v>29731.066355302843</v>
      </c>
      <c r="E25" s="43">
        <f>+[18]MVTRESUME21!G25</f>
        <v>33140.351097833765</v>
      </c>
      <c r="F25" s="43">
        <f>+[18]MVTRESUME21!K25</f>
        <v>41000</v>
      </c>
      <c r="G25" s="43"/>
      <c r="H25" s="43"/>
      <c r="I25" s="43">
        <f t="shared" si="1"/>
        <v>103871.41745313662</v>
      </c>
      <c r="J25" s="43"/>
      <c r="K25" s="43">
        <v>40000</v>
      </c>
      <c r="L25" s="43">
        <v>30000</v>
      </c>
      <c r="M25" s="43">
        <f t="shared" si="2"/>
        <v>70000</v>
      </c>
      <c r="N25" s="43">
        <f t="shared" si="3"/>
        <v>33871.417453136615</v>
      </c>
      <c r="O25" s="43"/>
      <c r="P25" s="43"/>
      <c r="Q25" s="43">
        <v>30000</v>
      </c>
      <c r="R25" s="43">
        <f t="shared" si="4"/>
        <v>3871.4174531366152</v>
      </c>
      <c r="S25" s="44">
        <f t="shared" si="0"/>
        <v>570000</v>
      </c>
      <c r="T25" s="2" t="s">
        <v>254</v>
      </c>
      <c r="U25" s="2"/>
      <c r="V25" s="2"/>
      <c r="W25" s="2"/>
    </row>
    <row r="26" spans="1:23" x14ac:dyDescent="0.25">
      <c r="A26" s="42" t="s">
        <v>43</v>
      </c>
      <c r="B26" s="1" t="str">
        <f>VLOOKUP(A26,[17]LISTADHERENT!A$5:H$60,3,0)</f>
        <v>NKAMGANG JUSTIN DEJOLIE</v>
      </c>
      <c r="C26" s="6">
        <v>540000</v>
      </c>
      <c r="D26" s="6">
        <f>VLOOKUP($A26,[7]MVTREPARTITION!$A$6:$Q$46,16,0)</f>
        <v>3444.8295923820697</v>
      </c>
      <c r="E26" s="43">
        <f>+[18]MVTRESUME21!G26</f>
        <v>31639.85037486178</v>
      </c>
      <c r="F26" s="43">
        <f>+[18]MVTRESUME21!K26</f>
        <v>46000</v>
      </c>
      <c r="G26" s="43"/>
      <c r="H26" s="43"/>
      <c r="I26" s="43">
        <f t="shared" si="1"/>
        <v>81084.67996724385</v>
      </c>
      <c r="J26" s="43"/>
      <c r="K26" s="43">
        <v>40000</v>
      </c>
      <c r="L26" s="43">
        <v>30000</v>
      </c>
      <c r="M26" s="43">
        <f t="shared" si="2"/>
        <v>70000</v>
      </c>
      <c r="N26" s="43">
        <f t="shared" si="3"/>
        <v>11084.67996724385</v>
      </c>
      <c r="O26" s="43"/>
      <c r="P26" s="43"/>
      <c r="Q26" s="43"/>
      <c r="R26" s="43">
        <f t="shared" si="4"/>
        <v>11084.67996724385</v>
      </c>
      <c r="S26" s="44">
        <f t="shared" si="0"/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tr">
        <f>VLOOKUP(A27,[17]LISTADHERENT!A$5:H$60,3,0)</f>
        <v>NKEHE DAVID</v>
      </c>
      <c r="C27" s="6">
        <v>540000</v>
      </c>
      <c r="D27" s="6">
        <f>VLOOKUP($A27,[7]MVTREPARTITION!$A$6:$Q$46,16,0)</f>
        <v>3925.3168475711136</v>
      </c>
      <c r="E27" s="43">
        <f>+[18]MVTRESUME21!G27</f>
        <v>31048.960660805504</v>
      </c>
      <c r="F27" s="43">
        <f>+[18]MVTRESUME21!K27</f>
        <v>0</v>
      </c>
      <c r="G27" s="43"/>
      <c r="H27" s="43"/>
      <c r="I27" s="43">
        <f t="shared" si="1"/>
        <v>34974.277508376617</v>
      </c>
      <c r="J27" s="43"/>
      <c r="K27" s="43">
        <v>40000</v>
      </c>
      <c r="L27" s="43"/>
      <c r="M27" s="43">
        <f t="shared" si="2"/>
        <v>40000</v>
      </c>
      <c r="N27" s="43">
        <f t="shared" si="3"/>
        <v>-5025.7224916233827</v>
      </c>
      <c r="O27" s="43"/>
      <c r="P27" s="43"/>
      <c r="Q27" s="43"/>
      <c r="R27" s="43">
        <f t="shared" si="4"/>
        <v>-5025.7224916233827</v>
      </c>
      <c r="S27" s="44">
        <f>C27+L27+N27</f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tr">
        <f>VLOOKUP(A28,[17]LISTADHERENT!A$5:H$60,3,0)</f>
        <v>NKEPSEU DIEUDONNE</v>
      </c>
      <c r="C28" s="6">
        <v>540000</v>
      </c>
      <c r="D28" s="6">
        <f>VLOOKUP($A28,[7]MVTREPARTITION!$A$6:$Q$46,16,0)</f>
        <v>98970.051873733377</v>
      </c>
      <c r="E28" s="43">
        <f>+[18]MVTRESUME21!G28</f>
        <v>37092.729247862568</v>
      </c>
      <c r="F28" s="43">
        <f>+[18]MVTRESUME21!K28</f>
        <v>111000</v>
      </c>
      <c r="G28" s="43"/>
      <c r="H28" s="43"/>
      <c r="I28" s="43">
        <f t="shared" si="1"/>
        <v>247062.78112159594</v>
      </c>
      <c r="J28" s="43"/>
      <c r="K28" s="43">
        <v>40000</v>
      </c>
      <c r="L28" s="43">
        <v>30000</v>
      </c>
      <c r="M28" s="43">
        <f t="shared" si="2"/>
        <v>70000</v>
      </c>
      <c r="N28" s="43">
        <f t="shared" si="3"/>
        <v>177062.78112159594</v>
      </c>
      <c r="O28" s="43"/>
      <c r="P28" s="43"/>
      <c r="Q28" s="43">
        <v>165000</v>
      </c>
      <c r="R28" s="43">
        <f t="shared" si="4"/>
        <v>12062.781121595937</v>
      </c>
      <c r="S28" s="44">
        <f t="shared" ref="S28:S33" si="5">C28+L28</f>
        <v>570000</v>
      </c>
      <c r="T28" s="2" t="s">
        <v>254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tr">
        <f>VLOOKUP(A29,[17]LISTADHERENT!A$5:H$60,3,0)</f>
        <v>PATEGO NJOSSU GUSTAVE</v>
      </c>
      <c r="C29" s="6">
        <v>540000</v>
      </c>
      <c r="D29" s="6">
        <f>VLOOKUP($A29,[7]MVTREPARTITION!$A$6:$Q$46,16,0)</f>
        <v>231445.35074867232</v>
      </c>
      <c r="E29" s="43">
        <f>+[18]MVTRESUME21!G29</f>
        <v>44373.780842596141</v>
      </c>
      <c r="F29" s="43">
        <f>+[18]MVTRESUME21!K29</f>
        <v>36000</v>
      </c>
      <c r="G29" s="46"/>
      <c r="H29" s="46"/>
      <c r="I29" s="43">
        <f t="shared" si="1"/>
        <v>311819.13159126847</v>
      </c>
      <c r="J29" s="46"/>
      <c r="K29" s="43">
        <v>40000</v>
      </c>
      <c r="L29" s="43">
        <v>30000</v>
      </c>
      <c r="M29" s="43">
        <f t="shared" si="2"/>
        <v>70000</v>
      </c>
      <c r="N29" s="43">
        <f t="shared" si="3"/>
        <v>241819.13159126847</v>
      </c>
      <c r="O29" s="43">
        <v>70000</v>
      </c>
      <c r="P29" s="43"/>
      <c r="Q29" s="43">
        <v>150000</v>
      </c>
      <c r="R29" s="43">
        <f t="shared" si="4"/>
        <v>21819.131591268466</v>
      </c>
      <c r="S29" s="44">
        <f t="shared" si="5"/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tr">
        <f>VLOOKUP(A30,[17]LISTADHERENT!A$5:H$60,3,0)</f>
        <v>SIME BRICE</v>
      </c>
      <c r="C30" s="6">
        <v>540000</v>
      </c>
      <c r="D30" s="6">
        <f>VLOOKUP($A30,[7]MVTREPARTITION!$A$6:$Q$46,16,0)</f>
        <v>127818.84556975157</v>
      </c>
      <c r="E30" s="43">
        <f>+[18]MVTRESUME21!G30</f>
        <v>40706.882392093758</v>
      </c>
      <c r="F30" s="43">
        <f>+[18]MVTRESUME21!K30</f>
        <v>175000</v>
      </c>
      <c r="G30" s="43"/>
      <c r="H30" s="43"/>
      <c r="I30" s="43">
        <f t="shared" si="1"/>
        <v>343525.72796184535</v>
      </c>
      <c r="J30" s="43"/>
      <c r="K30" s="43">
        <v>40000</v>
      </c>
      <c r="L30" s="43">
        <v>30000</v>
      </c>
      <c r="M30" s="43">
        <f t="shared" si="2"/>
        <v>70000</v>
      </c>
      <c r="N30" s="43">
        <f t="shared" si="3"/>
        <v>273525.72796184535</v>
      </c>
      <c r="O30" s="43"/>
      <c r="P30" s="43"/>
      <c r="Q30" s="43"/>
      <c r="R30" s="43">
        <f>N30-O30-P30-Q30+3500</f>
        <v>277025.72796184535</v>
      </c>
      <c r="S30" s="44">
        <f t="shared" si="5"/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tr">
        <f>VLOOKUP(A31,[17]LISTADHERENT!A$5:H$60,3,0)</f>
        <v>SIMO FONGANG ERIC</v>
      </c>
      <c r="C31" s="6">
        <v>540000</v>
      </c>
      <c r="D31" s="6">
        <f>VLOOKUP($A31,[7]MVTREPARTITION!$A$6:$Q$46,16,0)</f>
        <v>59110.282881662133</v>
      </c>
      <c r="E31" s="43">
        <f>+[18]MVTRESUME21!G32</f>
        <v>34199.091361451945</v>
      </c>
      <c r="F31" s="43">
        <f>+[18]MVTRESUME21!K32</f>
        <v>0</v>
      </c>
      <c r="G31" s="43"/>
      <c r="H31" s="43"/>
      <c r="I31" s="43">
        <f t="shared" si="1"/>
        <v>93309.374243114085</v>
      </c>
      <c r="J31" s="43"/>
      <c r="K31" s="43">
        <v>40000</v>
      </c>
      <c r="L31" s="43">
        <v>30000</v>
      </c>
      <c r="M31" s="43">
        <f t="shared" si="2"/>
        <v>70000</v>
      </c>
      <c r="N31" s="43">
        <f t="shared" si="3"/>
        <v>23309.374243114085</v>
      </c>
      <c r="O31" s="43"/>
      <c r="P31" s="43"/>
      <c r="Q31" s="43"/>
      <c r="R31" s="43">
        <f t="shared" si="4"/>
        <v>23309.374243114085</v>
      </c>
      <c r="S31" s="44">
        <f t="shared" si="5"/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tr">
        <f>VLOOKUP(A32,[17]LISTADHERENT!A$5:H$60,3,0)</f>
        <v>SIMO PIERRE</v>
      </c>
      <c r="C32" s="6">
        <v>540000</v>
      </c>
      <c r="D32" s="6">
        <f>VLOOKUP($A32,[7]MVTREPARTITION!$A$6:$Q$46,16,0)</f>
        <v>71105.573556541814</v>
      </c>
      <c r="E32" s="43">
        <f>+[18]MVTRESUME21!G33</f>
        <v>36345.297687739221</v>
      </c>
      <c r="F32" s="43">
        <f>+[18]MVTRESUME21!K33</f>
        <v>171000</v>
      </c>
      <c r="G32" s="43"/>
      <c r="H32" s="43"/>
      <c r="I32" s="43">
        <f t="shared" si="1"/>
        <v>278450.87124428106</v>
      </c>
      <c r="J32" s="43"/>
      <c r="K32" s="43">
        <v>40000</v>
      </c>
      <c r="L32" s="43">
        <v>30000</v>
      </c>
      <c r="M32" s="43">
        <f t="shared" si="2"/>
        <v>70000</v>
      </c>
      <c r="N32" s="43">
        <f t="shared" si="3"/>
        <v>208450.87124428106</v>
      </c>
      <c r="O32" s="43">
        <v>70000</v>
      </c>
      <c r="P32" s="43"/>
      <c r="Q32" s="43">
        <v>100000</v>
      </c>
      <c r="R32" s="43">
        <f t="shared" si="4"/>
        <v>38450.871244281065</v>
      </c>
      <c r="S32" s="44">
        <f t="shared" si="5"/>
        <v>570000</v>
      </c>
      <c r="T32" s="2" t="s">
        <v>254</v>
      </c>
      <c r="U32" s="2"/>
      <c r="V32" s="2"/>
      <c r="W32" s="2"/>
    </row>
    <row r="33" spans="1:23" x14ac:dyDescent="0.25">
      <c r="A33" s="42" t="s">
        <v>51</v>
      </c>
      <c r="B33" s="1" t="str">
        <f>VLOOKUP(A33,[17]LISTADHERENT!A$5:H$60,3,0)</f>
        <v>TCHOUAMOU MATHIEU</v>
      </c>
      <c r="C33" s="6">
        <v>540000</v>
      </c>
      <c r="D33" s="6">
        <f>VLOOKUP($A33,[7]MVTREPARTITION!$A$6:$Q$46,16,0)</f>
        <v>3585.881479450094</v>
      </c>
      <c r="E33" s="43">
        <f>+[18]MVTRESUME21!G35</f>
        <v>31647.902058350406</v>
      </c>
      <c r="F33" s="43">
        <f>+[18]MVTRESUME21!K35</f>
        <v>41000</v>
      </c>
      <c r="G33" s="43"/>
      <c r="H33" s="43"/>
      <c r="I33" s="43">
        <f t="shared" si="1"/>
        <v>76233.783537800497</v>
      </c>
      <c r="J33" s="43"/>
      <c r="K33" s="43">
        <v>40000</v>
      </c>
      <c r="L33" s="43">
        <v>30000</v>
      </c>
      <c r="M33" s="43">
        <f t="shared" si="2"/>
        <v>70000</v>
      </c>
      <c r="N33" s="43">
        <f t="shared" si="3"/>
        <v>6233.7835378004966</v>
      </c>
      <c r="O33" s="43"/>
      <c r="P33" s="43"/>
      <c r="Q33" s="43"/>
      <c r="R33" s="43">
        <f t="shared" si="4"/>
        <v>6233.7835378004966</v>
      </c>
      <c r="S33" s="44">
        <f t="shared" si="5"/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tr">
        <f>VLOOKUP(A34,[17]LISTADHERENT!A$5:H$60,3,0)</f>
        <v>TIEYAM ERNEST</v>
      </c>
      <c r="C34" s="6">
        <v>540000</v>
      </c>
      <c r="D34" s="6">
        <f>VLOOKUP($A34,[7]MVTREPARTITION!$A$6:$Q$46,16,0)</f>
        <v>4430.4812877801014</v>
      </c>
      <c r="E34" s="43">
        <f>+[18]MVTRESUME21!G36</f>
        <v>31077.797029228641</v>
      </c>
      <c r="F34" s="43">
        <f>+[18]MVTRESUME21!K36</f>
        <v>0</v>
      </c>
      <c r="G34" s="43"/>
      <c r="H34" s="43"/>
      <c r="I34" s="43">
        <f t="shared" si="1"/>
        <v>35508.278317008742</v>
      </c>
      <c r="J34" s="43"/>
      <c r="K34" s="43">
        <v>40000</v>
      </c>
      <c r="L34" s="43"/>
      <c r="M34" s="43">
        <f t="shared" si="2"/>
        <v>40000</v>
      </c>
      <c r="N34" s="43">
        <f t="shared" si="3"/>
        <v>-4491.7216829912577</v>
      </c>
      <c r="O34" s="43"/>
      <c r="P34" s="43"/>
      <c r="Q34" s="43"/>
      <c r="R34" s="43">
        <f t="shared" si="4"/>
        <v>-4491.7216829912577</v>
      </c>
      <c r="S34" s="44">
        <f>C34+L34+N34</f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tr">
        <f>VLOOKUP(A35,[17]LISTADHERENT!A$5:H$60,3,0)</f>
        <v>YEPMOU JEAN JACQUES</v>
      </c>
      <c r="C35" s="6">
        <v>540000</v>
      </c>
      <c r="D35" s="6">
        <f>VLOOKUP($A35,[7]MVTREPARTITION!$A$6:$Q$46,16,0)</f>
        <v>764971.13990878034</v>
      </c>
      <c r="E35" s="43">
        <f>+[18]MVTRESUME21!G37</f>
        <v>75110.157269601055</v>
      </c>
      <c r="F35" s="43">
        <f>+[18]MVTRESUME21!K37</f>
        <v>41000</v>
      </c>
      <c r="G35" s="46"/>
      <c r="H35" s="46"/>
      <c r="I35" s="43">
        <f t="shared" si="1"/>
        <v>881081.29717838136</v>
      </c>
      <c r="J35" s="46"/>
      <c r="K35" s="43">
        <v>40000</v>
      </c>
      <c r="L35" s="43">
        <v>30000</v>
      </c>
      <c r="M35" s="43">
        <f t="shared" si="2"/>
        <v>70000</v>
      </c>
      <c r="N35" s="43">
        <f t="shared" si="3"/>
        <v>811081.29717838136</v>
      </c>
      <c r="O35" s="43"/>
      <c r="P35" s="43"/>
      <c r="Q35" s="43"/>
      <c r="R35" s="43">
        <f t="shared" si="4"/>
        <v>811081.29717838136</v>
      </c>
      <c r="S35" s="44">
        <f>C35+L35</f>
        <v>570000</v>
      </c>
    </row>
    <row r="36" spans="1:23" x14ac:dyDescent="0.25">
      <c r="A36" s="42" t="s">
        <v>56</v>
      </c>
      <c r="B36" s="1" t="str">
        <f>VLOOKUP(A36,[17]LISTADHERENT!A$5:H$60,3,0)</f>
        <v>YOUMBI EMMANUEL</v>
      </c>
      <c r="C36" s="6">
        <v>540000</v>
      </c>
      <c r="D36" s="6">
        <f>VLOOKUP($A36,[7]MVTREPARTITION!$A$6:$Q$46,16,0)</f>
        <v>2824832.833662136</v>
      </c>
      <c r="E36" s="43">
        <f>+[18]MVTRESUME21!G38</f>
        <v>192412.46086191741</v>
      </c>
      <c r="F36" s="43">
        <f>+[18]MVTRESUME21!K38</f>
        <v>36000</v>
      </c>
      <c r="G36" s="43"/>
      <c r="H36" s="43"/>
      <c r="I36" s="43">
        <f t="shared" si="1"/>
        <v>3053245.2945240536</v>
      </c>
      <c r="J36" s="43"/>
      <c r="K36" s="43">
        <v>40000</v>
      </c>
      <c r="L36" s="43">
        <v>30000</v>
      </c>
      <c r="M36" s="43">
        <f t="shared" si="2"/>
        <v>70000</v>
      </c>
      <c r="N36" s="43">
        <f t="shared" si="3"/>
        <v>2983245.2945240536</v>
      </c>
      <c r="O36" s="43">
        <v>70000</v>
      </c>
      <c r="P36" s="43"/>
      <c r="Q36" s="43">
        <v>2000000</v>
      </c>
      <c r="R36" s="43">
        <f t="shared" si="4"/>
        <v>913245.29452405358</v>
      </c>
      <c r="S36" s="44">
        <f>C36+L36</f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f t="shared" si="2"/>
        <v>0</v>
      </c>
      <c r="N37" s="43">
        <f t="shared" si="3"/>
        <v>0</v>
      </c>
      <c r="O37" s="43"/>
      <c r="P37" s="43"/>
      <c r="Q37" s="43"/>
      <c r="R37" s="43">
        <f t="shared" si="4"/>
        <v>0</v>
      </c>
      <c r="S37" s="44">
        <f>C37+L37</f>
        <v>0</v>
      </c>
    </row>
    <row r="38" spans="1:23" ht="18.75" thickBot="1" x14ac:dyDescent="0.3">
      <c r="A38" s="53" t="s">
        <v>57</v>
      </c>
      <c r="B38" s="68"/>
      <c r="C38" s="73">
        <f t="shared" ref="C38:Q38" si="6">SUM(C6:C37)</f>
        <v>16653036.005550491</v>
      </c>
      <c r="D38" s="73">
        <f t="shared" si="6"/>
        <v>5661363.9448281117</v>
      </c>
      <c r="E38" s="73">
        <f t="shared" si="6"/>
        <v>1273061.6825685301</v>
      </c>
      <c r="F38" s="73">
        <f t="shared" si="6"/>
        <v>2168000</v>
      </c>
      <c r="G38" s="73">
        <f t="shared" si="6"/>
        <v>0</v>
      </c>
      <c r="H38" s="73">
        <f t="shared" si="6"/>
        <v>0</v>
      </c>
      <c r="I38" s="73">
        <f t="shared" si="6"/>
        <v>9511284.627396645</v>
      </c>
      <c r="J38" s="73">
        <f t="shared" si="6"/>
        <v>0</v>
      </c>
      <c r="K38" s="73">
        <f t="shared" si="6"/>
        <v>1200000</v>
      </c>
      <c r="L38" s="73">
        <f t="shared" si="6"/>
        <v>780000</v>
      </c>
      <c r="M38" s="73">
        <f t="shared" si="6"/>
        <v>1980000</v>
      </c>
      <c r="N38" s="73">
        <f t="shared" si="6"/>
        <v>7497937.974276308</v>
      </c>
      <c r="O38" s="73">
        <f t="shared" si="6"/>
        <v>420000</v>
      </c>
      <c r="P38" s="73">
        <f t="shared" si="6"/>
        <v>751920</v>
      </c>
      <c r="Q38" s="73">
        <f t="shared" si="6"/>
        <v>3154500</v>
      </c>
      <c r="R38" s="73">
        <f>SUM(R6:R37)</f>
        <v>2752017.974276307</v>
      </c>
      <c r="S38" s="73">
        <f>SUM(S6:S37)</f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"/>
  <sheetViews>
    <sheetView zoomScaleNormal="100" workbookViewId="0">
      <pane xSplit="2" ySplit="5" topLeftCell="C3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R14" sqref="R14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85546875" customWidth="1"/>
    <col min="4" max="4" width="15" bestFit="1" customWidth="1"/>
    <col min="5" max="5" width="15.28515625" customWidth="1"/>
    <col min="6" max="6" width="15" bestFit="1" customWidth="1"/>
    <col min="7" max="8" width="15.28515625" customWidth="1"/>
    <col min="9" max="9" width="16.85546875" bestFit="1" customWidth="1"/>
    <col min="10" max="13" width="16.85546875" customWidth="1"/>
    <col min="14" max="17" width="20.7109375" customWidth="1"/>
    <col min="18" max="18" width="17.5703125" style="3" bestFit="1" customWidth="1"/>
    <col min="19" max="19" width="16.5703125" customWidth="1"/>
  </cols>
  <sheetData>
    <row r="1" spans="1:23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1"/>
    </row>
    <row r="2" spans="1:23" x14ac:dyDescent="0.25">
      <c r="A2" s="1" t="s">
        <v>2</v>
      </c>
      <c r="B2" s="1">
        <v>2021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S2" s="1"/>
    </row>
    <row r="3" spans="1:23" x14ac:dyDescent="0.25">
      <c r="A3" s="1" t="s">
        <v>3</v>
      </c>
      <c r="B3" s="5"/>
      <c r="C3" s="5"/>
      <c r="D3" s="5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S3" s="5"/>
    </row>
    <row r="4" spans="1:23" ht="27" thickBot="1" x14ac:dyDescent="0.45">
      <c r="A4" s="149" t="s">
        <v>248</v>
      </c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</row>
    <row r="5" spans="1:23" ht="58.5" thickTop="1" x14ac:dyDescent="0.25">
      <c r="A5" s="69" t="s">
        <v>4</v>
      </c>
      <c r="B5" s="70" t="s">
        <v>5</v>
      </c>
      <c r="C5" s="70" t="s">
        <v>68</v>
      </c>
      <c r="D5" s="70" t="s">
        <v>69</v>
      </c>
      <c r="E5" s="71" t="s">
        <v>6</v>
      </c>
      <c r="F5" s="70" t="s">
        <v>9</v>
      </c>
      <c r="G5" s="71" t="s">
        <v>182</v>
      </c>
      <c r="H5" s="71" t="s">
        <v>183</v>
      </c>
      <c r="I5" s="71" t="s">
        <v>177</v>
      </c>
      <c r="J5" s="70" t="s">
        <v>8</v>
      </c>
      <c r="K5" s="71" t="s">
        <v>173</v>
      </c>
      <c r="L5" s="71" t="s">
        <v>138</v>
      </c>
      <c r="M5" s="71" t="s">
        <v>174</v>
      </c>
      <c r="N5" s="71" t="s">
        <v>249</v>
      </c>
      <c r="O5" s="71" t="s">
        <v>243</v>
      </c>
      <c r="P5" s="71" t="s">
        <v>253</v>
      </c>
      <c r="Q5" s="71" t="s">
        <v>175</v>
      </c>
      <c r="R5" s="71" t="s">
        <v>69</v>
      </c>
      <c r="S5" s="72" t="s">
        <v>176</v>
      </c>
    </row>
    <row r="6" spans="1:23" x14ac:dyDescent="0.25">
      <c r="A6" s="42" t="s">
        <v>16</v>
      </c>
      <c r="B6" s="1" t="s">
        <v>1</v>
      </c>
      <c r="C6" s="6">
        <v>584177.00555049011</v>
      </c>
      <c r="D6" s="6">
        <v>0</v>
      </c>
      <c r="E6" s="43">
        <v>33346.653120335119</v>
      </c>
      <c r="F6" s="43">
        <v>0</v>
      </c>
      <c r="G6" s="43"/>
      <c r="H6" s="43"/>
      <c r="I6" s="43">
        <v>33346.653120335119</v>
      </c>
      <c r="J6" s="43"/>
      <c r="K6" s="43"/>
      <c r="L6" s="43"/>
      <c r="M6" s="43">
        <v>0</v>
      </c>
      <c r="N6" s="43"/>
      <c r="O6" s="43"/>
      <c r="P6" s="43"/>
      <c r="Q6" s="43"/>
      <c r="R6" s="43"/>
      <c r="S6" s="44">
        <v>584177.00555049011</v>
      </c>
      <c r="T6" s="2"/>
      <c r="U6" s="2"/>
      <c r="V6" s="2"/>
      <c r="W6" s="2"/>
    </row>
    <row r="7" spans="1:23" x14ac:dyDescent="0.25">
      <c r="A7" s="42" t="s">
        <v>19</v>
      </c>
      <c r="B7" s="1" t="s">
        <v>102</v>
      </c>
      <c r="C7" s="6">
        <v>540000</v>
      </c>
      <c r="D7" s="6">
        <v>2439.6436588198703</v>
      </c>
      <c r="E7" s="43">
        <v>31301.417835589087</v>
      </c>
      <c r="F7" s="43">
        <v>36000</v>
      </c>
      <c r="G7" s="43"/>
      <c r="H7" s="43"/>
      <c r="I7" s="43">
        <v>69741.061494408961</v>
      </c>
      <c r="J7" s="43"/>
      <c r="K7" s="43">
        <v>40000</v>
      </c>
      <c r="L7" s="43">
        <v>30000</v>
      </c>
      <c r="M7" s="43">
        <v>70000</v>
      </c>
      <c r="N7" s="43">
        <v>-258.93850559103885</v>
      </c>
      <c r="O7" s="43"/>
      <c r="P7" s="43"/>
      <c r="Q7" s="43"/>
      <c r="R7" s="43">
        <v>-258.93850559103885</v>
      </c>
      <c r="S7" s="44">
        <v>570000</v>
      </c>
      <c r="T7" s="2"/>
      <c r="U7" s="2"/>
      <c r="V7" s="2"/>
      <c r="W7" s="2"/>
    </row>
    <row r="8" spans="1:23" x14ac:dyDescent="0.25">
      <c r="A8" s="42" t="s">
        <v>23</v>
      </c>
      <c r="B8" s="1" t="s">
        <v>93</v>
      </c>
      <c r="C8" s="6">
        <v>540000</v>
      </c>
      <c r="D8" s="6">
        <v>3774.2907852742064</v>
      </c>
      <c r="E8" s="43">
        <v>31939.710429565836</v>
      </c>
      <c r="F8" s="43">
        <v>91000</v>
      </c>
      <c r="G8" s="43"/>
      <c r="H8" s="43"/>
      <c r="I8" s="43">
        <v>126714.00121484004</v>
      </c>
      <c r="J8" s="43"/>
      <c r="K8" s="43">
        <v>40000</v>
      </c>
      <c r="L8" s="43">
        <v>30000</v>
      </c>
      <c r="M8" s="43">
        <v>70000</v>
      </c>
      <c r="N8" s="43">
        <v>56714.001214840042</v>
      </c>
      <c r="O8" s="43"/>
      <c r="P8" s="43"/>
      <c r="Q8" s="43">
        <v>55000</v>
      </c>
      <c r="R8" s="43">
        <v>1714.0012148400419</v>
      </c>
      <c r="S8" s="44">
        <v>570000</v>
      </c>
      <c r="T8" s="2" t="s">
        <v>254</v>
      </c>
      <c r="U8" s="2"/>
      <c r="V8" s="2"/>
      <c r="W8" s="2"/>
    </row>
    <row r="9" spans="1:23" x14ac:dyDescent="0.25">
      <c r="A9" s="42" t="s">
        <v>154</v>
      </c>
      <c r="B9" s="1" t="s">
        <v>179</v>
      </c>
      <c r="C9" s="6">
        <v>408859</v>
      </c>
      <c r="D9" s="6">
        <v>0</v>
      </c>
      <c r="E9" s="43">
        <v>0</v>
      </c>
      <c r="F9" s="43">
        <v>58000</v>
      </c>
      <c r="G9" s="43"/>
      <c r="H9" s="43"/>
      <c r="I9" s="43">
        <v>466859</v>
      </c>
      <c r="J9" s="43"/>
      <c r="K9" s="43">
        <v>40000</v>
      </c>
      <c r="L9" s="43"/>
      <c r="M9" s="43">
        <v>40000</v>
      </c>
      <c r="N9" s="43">
        <v>426859</v>
      </c>
      <c r="O9" s="43"/>
      <c r="P9" s="43"/>
      <c r="Q9" s="43"/>
      <c r="R9" s="43">
        <v>359</v>
      </c>
      <c r="S9" s="44">
        <v>570000</v>
      </c>
      <c r="T9" s="2" t="s">
        <v>254</v>
      </c>
      <c r="U9" s="2"/>
      <c r="V9" s="2"/>
      <c r="W9" s="2"/>
    </row>
    <row r="10" spans="1:23" x14ac:dyDescent="0.25">
      <c r="A10" s="42" t="s">
        <v>24</v>
      </c>
      <c r="B10" s="1" t="s">
        <v>104</v>
      </c>
      <c r="C10" s="6">
        <v>540000</v>
      </c>
      <c r="D10" s="6">
        <v>213335.96677265048</v>
      </c>
      <c r="E10" s="43">
        <v>44576.675349558085</v>
      </c>
      <c r="F10" s="43">
        <v>72500</v>
      </c>
      <c r="G10" s="43"/>
      <c r="H10" s="43"/>
      <c r="I10" s="43">
        <v>330412.64212220861</v>
      </c>
      <c r="J10" s="43"/>
      <c r="K10" s="43">
        <v>40000</v>
      </c>
      <c r="L10" s="43">
        <v>30000</v>
      </c>
      <c r="M10" s="43">
        <v>70000</v>
      </c>
      <c r="N10" s="43">
        <v>260412.64212220861</v>
      </c>
      <c r="O10" s="43"/>
      <c r="P10" s="43"/>
      <c r="Q10" s="43">
        <v>150000</v>
      </c>
      <c r="R10" s="43">
        <v>110412.64212220861</v>
      </c>
      <c r="S10" s="44">
        <v>570000</v>
      </c>
      <c r="T10" s="2" t="s">
        <v>254</v>
      </c>
      <c r="U10" s="2"/>
      <c r="V10" s="2"/>
      <c r="W10" s="2"/>
    </row>
    <row r="11" spans="1:23" x14ac:dyDescent="0.25">
      <c r="A11" s="42" t="s">
        <v>25</v>
      </c>
      <c r="B11" s="1" t="s">
        <v>89</v>
      </c>
      <c r="C11" s="6">
        <v>540000</v>
      </c>
      <c r="D11" s="6">
        <v>7550.3287372240156</v>
      </c>
      <c r="E11" s="43">
        <v>31958.521137862837</v>
      </c>
      <c r="F11" s="43">
        <v>49000</v>
      </c>
      <c r="G11" s="43"/>
      <c r="H11" s="43"/>
      <c r="I11" s="43">
        <v>88508.84987508686</v>
      </c>
      <c r="J11" s="43"/>
      <c r="K11" s="43">
        <v>40000</v>
      </c>
      <c r="L11" s="43">
        <v>30000</v>
      </c>
      <c r="M11" s="43">
        <v>70000</v>
      </c>
      <c r="N11" s="43">
        <v>18508.84987508686</v>
      </c>
      <c r="O11" s="43"/>
      <c r="P11" s="43"/>
      <c r="Q11" s="43"/>
      <c r="R11" s="43">
        <v>18508.84987508686</v>
      </c>
      <c r="S11" s="44">
        <v>570000</v>
      </c>
      <c r="T11" s="2"/>
      <c r="U11" s="2"/>
      <c r="V11" s="2"/>
      <c r="W11" s="2"/>
    </row>
    <row r="12" spans="1:23" x14ac:dyDescent="0.25">
      <c r="A12" s="42" t="s">
        <v>79</v>
      </c>
      <c r="B12" s="1" t="s">
        <v>70</v>
      </c>
      <c r="C12" s="6">
        <v>540000</v>
      </c>
      <c r="D12" s="6">
        <v>8859.1887467967754</v>
      </c>
      <c r="E12" s="43">
        <v>31667.865575238462</v>
      </c>
      <c r="F12" s="43">
        <v>36000</v>
      </c>
      <c r="G12" s="43"/>
      <c r="H12" s="43"/>
      <c r="I12" s="43">
        <v>76527.054322035241</v>
      </c>
      <c r="J12" s="43"/>
      <c r="K12" s="43">
        <v>40000</v>
      </c>
      <c r="L12" s="43">
        <v>30000</v>
      </c>
      <c r="M12" s="43">
        <v>70000</v>
      </c>
      <c r="N12" s="43">
        <v>6527.0543220352411</v>
      </c>
      <c r="O12" s="43"/>
      <c r="P12" s="43"/>
      <c r="Q12" s="43"/>
      <c r="R12" s="43">
        <v>6527.0543220352411</v>
      </c>
      <c r="S12" s="44">
        <v>570000</v>
      </c>
      <c r="T12" s="2"/>
      <c r="U12" s="2"/>
      <c r="V12" s="2"/>
      <c r="W12" s="2"/>
    </row>
    <row r="13" spans="1:23" x14ac:dyDescent="0.25">
      <c r="A13" s="42" t="s">
        <v>26</v>
      </c>
      <c r="B13" s="1" t="s">
        <v>105</v>
      </c>
      <c r="C13" s="6">
        <v>540000</v>
      </c>
      <c r="D13" s="6">
        <v>326224.38753171783</v>
      </c>
      <c r="E13" s="43">
        <v>50065.118488239867</v>
      </c>
      <c r="F13" s="43">
        <v>83000</v>
      </c>
      <c r="G13" s="43"/>
      <c r="H13" s="43"/>
      <c r="I13" s="43">
        <v>459289.50601995771</v>
      </c>
      <c r="J13" s="43"/>
      <c r="K13" s="43">
        <v>40000</v>
      </c>
      <c r="L13" s="43">
        <v>30000</v>
      </c>
      <c r="M13" s="43">
        <v>70000</v>
      </c>
      <c r="N13" s="43">
        <v>389289.50601995771</v>
      </c>
      <c r="O13" s="43">
        <v>70000</v>
      </c>
      <c r="P13" s="43"/>
      <c r="Q13" s="43">
        <v>69500</v>
      </c>
      <c r="R13" s="43">
        <v>253289.50601995771</v>
      </c>
      <c r="S13" s="44">
        <v>570000</v>
      </c>
      <c r="T13" s="2" t="s">
        <v>22</v>
      </c>
      <c r="U13" s="2"/>
      <c r="V13" s="2"/>
      <c r="W13" s="2"/>
    </row>
    <row r="14" spans="1:23" x14ac:dyDescent="0.25">
      <c r="A14" s="42" t="s">
        <v>27</v>
      </c>
      <c r="B14" s="1" t="s">
        <v>99</v>
      </c>
      <c r="C14" s="6">
        <v>540000</v>
      </c>
      <c r="D14" s="6">
        <v>3850.2271135408664</v>
      </c>
      <c r="E14" s="43">
        <v>31044.674303605858</v>
      </c>
      <c r="F14" s="43">
        <v>3000</v>
      </c>
      <c r="G14" s="43"/>
      <c r="H14" s="43"/>
      <c r="I14" s="43">
        <v>37894.901417146728</v>
      </c>
      <c r="J14" s="43"/>
      <c r="K14" s="43">
        <v>40000</v>
      </c>
      <c r="L14" s="43"/>
      <c r="M14" s="43">
        <v>40000</v>
      </c>
      <c r="N14" s="43">
        <v>-2105.0985828532721</v>
      </c>
      <c r="O14" s="43"/>
      <c r="P14" s="43"/>
      <c r="Q14" s="43"/>
      <c r="R14" s="43">
        <v>-2105.0985828532721</v>
      </c>
      <c r="S14" s="44">
        <v>540000</v>
      </c>
      <c r="T14" s="2"/>
      <c r="U14" s="2"/>
      <c r="V14" s="2"/>
      <c r="W14" s="2"/>
    </row>
    <row r="15" spans="1:23" ht="14.25" customHeight="1" x14ac:dyDescent="0.25">
      <c r="A15" s="42" t="s">
        <v>28</v>
      </c>
      <c r="B15" s="1" t="s">
        <v>106</v>
      </c>
      <c r="C15" s="6">
        <v>540000</v>
      </c>
      <c r="D15" s="6">
        <v>166754.91857632878</v>
      </c>
      <c r="E15" s="43">
        <v>40681.048363639871</v>
      </c>
      <c r="F15" s="43">
        <v>36000</v>
      </c>
      <c r="G15" s="43"/>
      <c r="H15" s="43"/>
      <c r="I15" s="43">
        <v>243435.96693996864</v>
      </c>
      <c r="J15" s="43"/>
      <c r="K15" s="43">
        <v>40000</v>
      </c>
      <c r="L15" s="43">
        <v>30000</v>
      </c>
      <c r="M15" s="43">
        <v>70000</v>
      </c>
      <c r="N15" s="43">
        <v>173435.96693996864</v>
      </c>
      <c r="O15" s="43"/>
      <c r="P15" s="43"/>
      <c r="Q15" s="43">
        <v>170000</v>
      </c>
      <c r="R15" s="43">
        <v>3435.9669399686391</v>
      </c>
      <c r="S15" s="44">
        <v>570000</v>
      </c>
      <c r="T15" s="2" t="s">
        <v>22</v>
      </c>
      <c r="U15" s="2"/>
      <c r="V15" s="2"/>
      <c r="W15" s="2"/>
    </row>
    <row r="16" spans="1:23" x14ac:dyDescent="0.25">
      <c r="A16" s="42" t="s">
        <v>29</v>
      </c>
      <c r="B16" s="1" t="s">
        <v>92</v>
      </c>
      <c r="C16" s="6">
        <v>540000</v>
      </c>
      <c r="D16" s="6">
        <v>405269.46718629025</v>
      </c>
      <c r="E16" s="43">
        <v>58230.953117494268</v>
      </c>
      <c r="F16" s="43">
        <v>526000</v>
      </c>
      <c r="G16" s="43"/>
      <c r="H16" s="43"/>
      <c r="I16" s="43">
        <v>989500.42030378454</v>
      </c>
      <c r="J16" s="43"/>
      <c r="K16" s="43">
        <v>40000</v>
      </c>
      <c r="L16" s="43">
        <v>30000</v>
      </c>
      <c r="M16" s="43">
        <v>70000</v>
      </c>
      <c r="N16" s="43">
        <v>919500.42030378454</v>
      </c>
      <c r="O16" s="43">
        <v>70000</v>
      </c>
      <c r="P16" s="43">
        <v>751920</v>
      </c>
      <c r="Q16" s="43">
        <v>80000</v>
      </c>
      <c r="R16" s="43">
        <v>17580.420303784544</v>
      </c>
      <c r="S16" s="44">
        <v>570000</v>
      </c>
      <c r="T16" s="2" t="s">
        <v>22</v>
      </c>
      <c r="U16" s="2"/>
      <c r="V16" s="2"/>
      <c r="W16" s="2"/>
    </row>
    <row r="17" spans="1:23" s="14" customFormat="1" ht="13.5" customHeight="1" x14ac:dyDescent="0.25">
      <c r="A17" s="42" t="s">
        <v>33</v>
      </c>
      <c r="B17" s="1" t="s">
        <v>109</v>
      </c>
      <c r="C17" s="6">
        <v>540000</v>
      </c>
      <c r="D17" s="6">
        <v>7060.3147512420837</v>
      </c>
      <c r="E17" s="43">
        <v>31846.233591436034</v>
      </c>
      <c r="F17" s="43">
        <v>36500</v>
      </c>
      <c r="G17" s="46"/>
      <c r="H17" s="43"/>
      <c r="I17" s="43">
        <v>75406.548342678114</v>
      </c>
      <c r="J17" s="46"/>
      <c r="K17" s="43">
        <v>40000</v>
      </c>
      <c r="L17" s="43">
        <v>30000</v>
      </c>
      <c r="M17" s="43">
        <v>70000</v>
      </c>
      <c r="N17" s="43">
        <v>5406.5483426781138</v>
      </c>
      <c r="O17" s="43"/>
      <c r="P17" s="43"/>
      <c r="Q17" s="43"/>
      <c r="R17" s="43">
        <v>5406.5483426781138</v>
      </c>
      <c r="S17" s="44">
        <v>570000</v>
      </c>
      <c r="T17" s="11"/>
      <c r="U17" s="11"/>
      <c r="V17" s="11"/>
      <c r="W17" s="11"/>
    </row>
    <row r="18" spans="1:23" s="14" customFormat="1" x14ac:dyDescent="0.25">
      <c r="A18" s="42" t="s">
        <v>35</v>
      </c>
      <c r="B18" s="1" t="s">
        <v>91</v>
      </c>
      <c r="C18" s="6">
        <v>540000</v>
      </c>
      <c r="D18" s="6">
        <v>489.41875846593757</v>
      </c>
      <c r="E18" s="43">
        <v>31752.199646050063</v>
      </c>
      <c r="F18" s="43">
        <v>46000</v>
      </c>
      <c r="G18" s="46"/>
      <c r="H18" s="43"/>
      <c r="I18" s="43">
        <v>78241.618404516004</v>
      </c>
      <c r="J18" s="46"/>
      <c r="K18" s="43">
        <v>40000</v>
      </c>
      <c r="L18" s="43">
        <v>30000</v>
      </c>
      <c r="M18" s="43">
        <v>70000</v>
      </c>
      <c r="N18" s="43">
        <v>8241.6184045160044</v>
      </c>
      <c r="O18" s="43"/>
      <c r="P18" s="43"/>
      <c r="Q18" s="43"/>
      <c r="R18" s="43">
        <v>8241.6184045160044</v>
      </c>
      <c r="S18" s="44">
        <v>570000</v>
      </c>
      <c r="T18" s="11"/>
      <c r="U18" s="11"/>
      <c r="V18" s="11"/>
      <c r="W18" s="11"/>
    </row>
    <row r="19" spans="1:23" x14ac:dyDescent="0.25">
      <c r="A19" s="42" t="s">
        <v>36</v>
      </c>
      <c r="B19" s="1" t="s">
        <v>110</v>
      </c>
      <c r="C19" s="6">
        <v>540000</v>
      </c>
      <c r="D19" s="6">
        <v>6841.2821253081493</v>
      </c>
      <c r="E19" s="43">
        <v>31552.677145196445</v>
      </c>
      <c r="F19" s="43">
        <v>36000</v>
      </c>
      <c r="G19" s="43"/>
      <c r="H19" s="43"/>
      <c r="I19" s="43">
        <v>74393.959270504594</v>
      </c>
      <c r="J19" s="43"/>
      <c r="K19" s="43">
        <v>40000</v>
      </c>
      <c r="L19" s="43">
        <v>30000</v>
      </c>
      <c r="M19" s="43">
        <v>70000</v>
      </c>
      <c r="N19" s="43">
        <v>4393.9592705045943</v>
      </c>
      <c r="O19" s="43"/>
      <c r="P19" s="43"/>
      <c r="Q19" s="43">
        <v>4000</v>
      </c>
      <c r="R19" s="43">
        <v>393.95927050459431</v>
      </c>
      <c r="S19" s="44">
        <v>570000</v>
      </c>
      <c r="T19" s="2" t="s">
        <v>255</v>
      </c>
      <c r="U19" s="2"/>
      <c r="V19" s="2"/>
      <c r="W19" s="2"/>
    </row>
    <row r="20" spans="1:23" x14ac:dyDescent="0.25">
      <c r="A20" s="42" t="s">
        <v>75</v>
      </c>
      <c r="B20" s="1" t="s">
        <v>76</v>
      </c>
      <c r="C20" s="6">
        <v>540000</v>
      </c>
      <c r="D20" s="6">
        <v>1579.1140007123176</v>
      </c>
      <c r="E20" s="43">
        <v>31533.349485464423</v>
      </c>
      <c r="F20" s="43">
        <v>41000</v>
      </c>
      <c r="G20" s="43"/>
      <c r="H20" s="43"/>
      <c r="I20" s="43">
        <v>74112.463486176741</v>
      </c>
      <c r="J20" s="43"/>
      <c r="K20" s="43">
        <v>40000</v>
      </c>
      <c r="L20" s="43">
        <v>30000</v>
      </c>
      <c r="M20" s="43">
        <v>70000</v>
      </c>
      <c r="N20" s="43">
        <v>4112.4634861767408</v>
      </c>
      <c r="O20" s="43"/>
      <c r="P20" s="43"/>
      <c r="Q20" s="43">
        <v>4000</v>
      </c>
      <c r="R20" s="43">
        <v>112.46348617674084</v>
      </c>
      <c r="S20" s="44">
        <v>570000</v>
      </c>
      <c r="T20" s="2"/>
      <c r="U20" s="2"/>
      <c r="V20" s="2"/>
      <c r="W20" s="2"/>
    </row>
    <row r="21" spans="1:23" x14ac:dyDescent="0.25">
      <c r="A21" s="42" t="s">
        <v>50</v>
      </c>
      <c r="B21" s="1" t="s">
        <v>97</v>
      </c>
      <c r="C21" s="6">
        <v>540000</v>
      </c>
      <c r="D21" s="6">
        <v>135841.21764222972</v>
      </c>
      <c r="E21" s="43">
        <v>38916.397492550284</v>
      </c>
      <c r="F21" s="43">
        <v>33000</v>
      </c>
      <c r="G21" s="43"/>
      <c r="H21" s="43"/>
      <c r="I21" s="43">
        <v>207757.61513478</v>
      </c>
      <c r="J21" s="43"/>
      <c r="K21" s="43">
        <v>40000</v>
      </c>
      <c r="L21" s="43">
        <v>30000</v>
      </c>
      <c r="M21" s="43">
        <v>70000</v>
      </c>
      <c r="N21" s="43">
        <v>137757.61513478</v>
      </c>
      <c r="O21" s="43"/>
      <c r="P21" s="43"/>
      <c r="Q21" s="43">
        <v>107000</v>
      </c>
      <c r="R21" s="43">
        <v>30757.615134780004</v>
      </c>
      <c r="S21" s="44">
        <v>570000</v>
      </c>
      <c r="T21" s="2" t="s">
        <v>254</v>
      </c>
      <c r="U21" s="2">
        <v>7000</v>
      </c>
      <c r="V21" s="2" t="s">
        <v>22</v>
      </c>
      <c r="W21" s="2"/>
    </row>
    <row r="22" spans="1:23" x14ac:dyDescent="0.25">
      <c r="A22" s="42" t="s">
        <v>37</v>
      </c>
      <c r="B22" s="1" t="s">
        <v>111</v>
      </c>
      <c r="C22" s="6">
        <v>540000</v>
      </c>
      <c r="D22" s="6">
        <v>82717.956903212063</v>
      </c>
      <c r="E22" s="43">
        <v>35883.955387411595</v>
      </c>
      <c r="F22" s="43">
        <v>36000</v>
      </c>
      <c r="G22" s="43"/>
      <c r="H22" s="43"/>
      <c r="I22" s="43">
        <v>154601.91229062364</v>
      </c>
      <c r="J22" s="43"/>
      <c r="K22" s="43">
        <v>40000</v>
      </c>
      <c r="L22" s="43">
        <v>30000</v>
      </c>
      <c r="M22" s="43">
        <v>70000</v>
      </c>
      <c r="N22" s="43">
        <v>84601.912290623644</v>
      </c>
      <c r="O22" s="43"/>
      <c r="P22" s="43"/>
      <c r="Q22" s="43"/>
      <c r="R22" s="43">
        <v>84601.912290623644</v>
      </c>
      <c r="S22" s="44">
        <v>570000</v>
      </c>
      <c r="T22" s="2"/>
      <c r="U22" s="2"/>
      <c r="V22" s="2"/>
      <c r="W22" s="2"/>
    </row>
    <row r="23" spans="1:23" x14ac:dyDescent="0.25">
      <c r="A23" s="42" t="s">
        <v>38</v>
      </c>
      <c r="B23" s="1" t="s">
        <v>98</v>
      </c>
      <c r="C23" s="6">
        <v>540000</v>
      </c>
      <c r="D23" s="6">
        <v>65271.179397592845</v>
      </c>
      <c r="E23" s="43">
        <v>35674.988142283801</v>
      </c>
      <c r="F23" s="43">
        <v>110500</v>
      </c>
      <c r="G23" s="43"/>
      <c r="H23" s="43"/>
      <c r="I23" s="43">
        <v>211446.16753987665</v>
      </c>
      <c r="J23" s="43"/>
      <c r="K23" s="43">
        <v>40000</v>
      </c>
      <c r="L23" s="43">
        <v>30000</v>
      </c>
      <c r="M23" s="43">
        <v>70000</v>
      </c>
      <c r="N23" s="43">
        <v>141446.16753987665</v>
      </c>
      <c r="O23" s="43"/>
      <c r="P23" s="43"/>
      <c r="Q23" s="43">
        <v>40000</v>
      </c>
      <c r="R23" s="43">
        <v>101446.16753987665</v>
      </c>
      <c r="S23" s="44">
        <v>570000</v>
      </c>
      <c r="T23" s="2" t="s">
        <v>254</v>
      </c>
      <c r="U23" s="2"/>
      <c r="V23" s="2"/>
      <c r="W23" s="2"/>
    </row>
    <row r="24" spans="1:23" x14ac:dyDescent="0.25">
      <c r="A24" s="45" t="s">
        <v>39</v>
      </c>
      <c r="B24" s="1" t="s">
        <v>113</v>
      </c>
      <c r="C24" s="6">
        <v>540000</v>
      </c>
      <c r="D24" s="6">
        <v>133.38837694184622</v>
      </c>
      <c r="E24" s="43">
        <v>32293.983072666186</v>
      </c>
      <c r="F24" s="43">
        <v>140500</v>
      </c>
      <c r="G24" s="43"/>
      <c r="H24" s="43"/>
      <c r="I24" s="43">
        <v>172927.37144960804</v>
      </c>
      <c r="J24" s="43"/>
      <c r="K24" s="43">
        <v>40000</v>
      </c>
      <c r="L24" s="43">
        <v>30000</v>
      </c>
      <c r="M24" s="43">
        <v>70000</v>
      </c>
      <c r="N24" s="43">
        <v>102927.37144960804</v>
      </c>
      <c r="O24" s="43">
        <v>70000</v>
      </c>
      <c r="P24" s="43"/>
      <c r="Q24" s="43">
        <v>30000</v>
      </c>
      <c r="R24" s="43">
        <v>2927.3714496080356</v>
      </c>
      <c r="S24" s="44">
        <v>570000</v>
      </c>
      <c r="T24" s="2" t="s">
        <v>22</v>
      </c>
      <c r="U24" s="2"/>
      <c r="V24" s="2"/>
      <c r="W24" s="2"/>
    </row>
    <row r="25" spans="1:23" x14ac:dyDescent="0.25">
      <c r="A25" s="42" t="s">
        <v>41</v>
      </c>
      <c r="B25" s="1" t="s">
        <v>96</v>
      </c>
      <c r="C25" s="6">
        <v>540000</v>
      </c>
      <c r="D25" s="6">
        <v>29731.066355302843</v>
      </c>
      <c r="E25" s="43">
        <v>33140.351097833765</v>
      </c>
      <c r="F25" s="43">
        <v>41000</v>
      </c>
      <c r="G25" s="43"/>
      <c r="H25" s="43"/>
      <c r="I25" s="43">
        <v>103871.41745313662</v>
      </c>
      <c r="J25" s="43"/>
      <c r="K25" s="43">
        <v>40000</v>
      </c>
      <c r="L25" s="43">
        <v>30000</v>
      </c>
      <c r="M25" s="43">
        <v>70000</v>
      </c>
      <c r="N25" s="43">
        <v>33871.417453136615</v>
      </c>
      <c r="O25" s="43"/>
      <c r="P25" s="43"/>
      <c r="Q25" s="43">
        <v>30000</v>
      </c>
      <c r="R25" s="43">
        <v>3871.4174531366152</v>
      </c>
      <c r="S25" s="44">
        <v>570000</v>
      </c>
      <c r="T25" s="2" t="s">
        <v>254</v>
      </c>
      <c r="U25" s="2"/>
      <c r="V25" s="2"/>
      <c r="W25" s="2"/>
    </row>
    <row r="26" spans="1:23" x14ac:dyDescent="0.25">
      <c r="A26" s="42" t="s">
        <v>43</v>
      </c>
      <c r="B26" s="1" t="s">
        <v>100</v>
      </c>
      <c r="C26" s="6">
        <v>540000</v>
      </c>
      <c r="D26" s="6">
        <v>3444.8295923820697</v>
      </c>
      <c r="E26" s="43">
        <v>31639.85037486178</v>
      </c>
      <c r="F26" s="43">
        <v>46000</v>
      </c>
      <c r="G26" s="43"/>
      <c r="H26" s="43"/>
      <c r="I26" s="43">
        <v>81084.67996724385</v>
      </c>
      <c r="J26" s="43"/>
      <c r="K26" s="43">
        <v>40000</v>
      </c>
      <c r="L26" s="43">
        <v>30000</v>
      </c>
      <c r="M26" s="43">
        <v>70000</v>
      </c>
      <c r="N26" s="43">
        <v>11084.67996724385</v>
      </c>
      <c r="O26" s="43"/>
      <c r="P26" s="43"/>
      <c r="Q26" s="43"/>
      <c r="R26" s="43">
        <v>11084.67996724385</v>
      </c>
      <c r="S26" s="44">
        <v>570000</v>
      </c>
      <c r="T26" s="2"/>
      <c r="U26" s="2"/>
      <c r="V26" s="2"/>
      <c r="W26" s="2"/>
    </row>
    <row r="27" spans="1:23" x14ac:dyDescent="0.25">
      <c r="A27" s="45" t="s">
        <v>30</v>
      </c>
      <c r="B27" s="1" t="s">
        <v>115</v>
      </c>
      <c r="C27" s="6">
        <v>540000</v>
      </c>
      <c r="D27" s="6">
        <v>3925.3168475711136</v>
      </c>
      <c r="E27" s="43">
        <v>31048.960660805504</v>
      </c>
      <c r="F27" s="43">
        <v>0</v>
      </c>
      <c r="G27" s="43"/>
      <c r="H27" s="43"/>
      <c r="I27" s="43">
        <v>34974.277508376617</v>
      </c>
      <c r="J27" s="43"/>
      <c r="K27" s="43">
        <v>40000</v>
      </c>
      <c r="L27" s="43"/>
      <c r="M27" s="43">
        <v>40000</v>
      </c>
      <c r="N27" s="43">
        <v>-5025.7224916233827</v>
      </c>
      <c r="O27" s="43"/>
      <c r="P27" s="43"/>
      <c r="Q27" s="43"/>
      <c r="R27" s="43">
        <v>-5025.7224916233827</v>
      </c>
      <c r="S27" s="44">
        <v>534974.27750837663</v>
      </c>
      <c r="T27" s="2">
        <v>536842</v>
      </c>
      <c r="U27" s="2"/>
      <c r="V27" s="2"/>
      <c r="W27" s="2"/>
    </row>
    <row r="28" spans="1:23" x14ac:dyDescent="0.25">
      <c r="A28" s="42" t="s">
        <v>44</v>
      </c>
      <c r="B28" s="1" t="s">
        <v>87</v>
      </c>
      <c r="C28" s="6">
        <v>540000</v>
      </c>
      <c r="D28" s="6">
        <v>98970.051873733377</v>
      </c>
      <c r="E28" s="43">
        <v>37092.729247862568</v>
      </c>
      <c r="F28" s="43">
        <v>111000</v>
      </c>
      <c r="G28" s="43"/>
      <c r="H28" s="43"/>
      <c r="I28" s="43">
        <v>247062.78112159594</v>
      </c>
      <c r="J28" s="43"/>
      <c r="K28" s="43">
        <v>40000</v>
      </c>
      <c r="L28" s="43">
        <v>30000</v>
      </c>
      <c r="M28" s="43">
        <v>70000</v>
      </c>
      <c r="N28" s="43">
        <v>177062.78112159594</v>
      </c>
      <c r="O28" s="43"/>
      <c r="P28" s="43"/>
      <c r="Q28" s="43">
        <v>165000</v>
      </c>
      <c r="R28" s="43">
        <v>12062.781121595937</v>
      </c>
      <c r="S28" s="44">
        <v>570000</v>
      </c>
      <c r="T28" s="2" t="s">
        <v>254</v>
      </c>
      <c r="U28" s="2">
        <v>137000</v>
      </c>
      <c r="V28" s="2" t="s">
        <v>20</v>
      </c>
      <c r="W28" s="2"/>
    </row>
    <row r="29" spans="1:23" s="14" customFormat="1" x14ac:dyDescent="0.25">
      <c r="A29" s="42" t="s">
        <v>45</v>
      </c>
      <c r="B29" s="1" t="s">
        <v>116</v>
      </c>
      <c r="C29" s="6">
        <v>540000</v>
      </c>
      <c r="D29" s="6">
        <v>231445.35074867232</v>
      </c>
      <c r="E29" s="43">
        <v>44373.780842596141</v>
      </c>
      <c r="F29" s="43">
        <v>36000</v>
      </c>
      <c r="G29" s="46"/>
      <c r="H29" s="46"/>
      <c r="I29" s="43">
        <v>311819.13159126847</v>
      </c>
      <c r="J29" s="46"/>
      <c r="K29" s="43">
        <v>40000</v>
      </c>
      <c r="L29" s="43">
        <v>30000</v>
      </c>
      <c r="M29" s="43">
        <v>70000</v>
      </c>
      <c r="N29" s="43">
        <v>241819.13159126847</v>
      </c>
      <c r="O29" s="43">
        <v>70000</v>
      </c>
      <c r="P29" s="43"/>
      <c r="Q29" s="43">
        <v>150000</v>
      </c>
      <c r="R29" s="43">
        <v>21819.131591268466</v>
      </c>
      <c r="S29" s="44">
        <v>570000</v>
      </c>
      <c r="T29" s="11" t="s">
        <v>22</v>
      </c>
      <c r="U29" s="11"/>
      <c r="V29" s="11"/>
      <c r="W29" s="11"/>
    </row>
    <row r="30" spans="1:23" x14ac:dyDescent="0.25">
      <c r="A30" s="42" t="s">
        <v>81</v>
      </c>
      <c r="B30" s="1" t="s">
        <v>118</v>
      </c>
      <c r="C30" s="6">
        <v>540000</v>
      </c>
      <c r="D30" s="6">
        <v>127818.84556975157</v>
      </c>
      <c r="E30" s="43">
        <v>40706.882392093758</v>
      </c>
      <c r="F30" s="43">
        <v>175000</v>
      </c>
      <c r="G30" s="43"/>
      <c r="H30" s="43"/>
      <c r="I30" s="43">
        <v>343525.72796184535</v>
      </c>
      <c r="J30" s="43"/>
      <c r="K30" s="43">
        <v>40000</v>
      </c>
      <c r="L30" s="43">
        <v>30000</v>
      </c>
      <c r="M30" s="43">
        <v>70000</v>
      </c>
      <c r="N30" s="43">
        <v>273525.72796184535</v>
      </c>
      <c r="O30" s="43"/>
      <c r="P30" s="43"/>
      <c r="Q30" s="43"/>
      <c r="R30" s="43">
        <v>277025.72796184535</v>
      </c>
      <c r="S30" s="44">
        <v>570000</v>
      </c>
      <c r="T30" s="2"/>
      <c r="U30" s="2"/>
      <c r="V30" s="2"/>
      <c r="W30" s="2"/>
    </row>
    <row r="31" spans="1:23" x14ac:dyDescent="0.25">
      <c r="A31" s="1" t="s">
        <v>47</v>
      </c>
      <c r="B31" s="1" t="s">
        <v>143</v>
      </c>
      <c r="C31" s="6">
        <v>540000</v>
      </c>
      <c r="D31" s="6">
        <v>59110.282881662133</v>
      </c>
      <c r="E31" s="43">
        <v>34199.091361451945</v>
      </c>
      <c r="F31" s="43">
        <v>0</v>
      </c>
      <c r="G31" s="43"/>
      <c r="H31" s="43"/>
      <c r="I31" s="43">
        <v>93309.374243114085</v>
      </c>
      <c r="J31" s="43"/>
      <c r="K31" s="43">
        <v>40000</v>
      </c>
      <c r="L31" s="43">
        <v>30000</v>
      </c>
      <c r="M31" s="43">
        <v>70000</v>
      </c>
      <c r="N31" s="43">
        <v>23309.374243114085</v>
      </c>
      <c r="O31" s="43"/>
      <c r="P31" s="43"/>
      <c r="Q31" s="43"/>
      <c r="R31" s="43">
        <v>23309.374243114085</v>
      </c>
      <c r="S31" s="44">
        <v>570000</v>
      </c>
      <c r="T31" s="2"/>
      <c r="U31" s="2"/>
      <c r="V31" s="2"/>
      <c r="W31" s="2"/>
    </row>
    <row r="32" spans="1:23" x14ac:dyDescent="0.25">
      <c r="A32" s="42" t="s">
        <v>49</v>
      </c>
      <c r="B32" s="1" t="s">
        <v>121</v>
      </c>
      <c r="C32" s="6">
        <v>540000</v>
      </c>
      <c r="D32" s="6">
        <v>71105.573556541814</v>
      </c>
      <c r="E32" s="43">
        <v>36345.297687739221</v>
      </c>
      <c r="F32" s="43">
        <v>171000</v>
      </c>
      <c r="G32" s="43"/>
      <c r="H32" s="43"/>
      <c r="I32" s="43">
        <v>278450.87124428106</v>
      </c>
      <c r="J32" s="43"/>
      <c r="K32" s="43">
        <v>40000</v>
      </c>
      <c r="L32" s="43">
        <v>30000</v>
      </c>
      <c r="M32" s="43">
        <v>70000</v>
      </c>
      <c r="N32" s="43">
        <v>208450.87124428106</v>
      </c>
      <c r="O32" s="43">
        <v>70000</v>
      </c>
      <c r="P32" s="43"/>
      <c r="Q32" s="43">
        <v>100000</v>
      </c>
      <c r="R32" s="43">
        <v>38450.871244281065</v>
      </c>
      <c r="S32" s="44">
        <v>570000</v>
      </c>
      <c r="T32" s="2" t="s">
        <v>254</v>
      </c>
      <c r="U32" s="2"/>
      <c r="V32" s="2"/>
      <c r="W32" s="2"/>
    </row>
    <row r="33" spans="1:23" x14ac:dyDescent="0.25">
      <c r="A33" s="42" t="s">
        <v>51</v>
      </c>
      <c r="B33" s="1" t="s">
        <v>122</v>
      </c>
      <c r="C33" s="6">
        <v>540000</v>
      </c>
      <c r="D33" s="6">
        <v>3585.881479450094</v>
      </c>
      <c r="E33" s="43">
        <v>31647.902058350406</v>
      </c>
      <c r="F33" s="43">
        <v>41000</v>
      </c>
      <c r="G33" s="43"/>
      <c r="H33" s="43"/>
      <c r="I33" s="43">
        <v>76233.783537800497</v>
      </c>
      <c r="J33" s="43"/>
      <c r="K33" s="43">
        <v>40000</v>
      </c>
      <c r="L33" s="43">
        <v>30000</v>
      </c>
      <c r="M33" s="43">
        <v>70000</v>
      </c>
      <c r="N33" s="43">
        <v>6233.7835378004966</v>
      </c>
      <c r="O33" s="43"/>
      <c r="P33" s="43"/>
      <c r="Q33" s="43"/>
      <c r="R33" s="43">
        <v>6233.7835378004966</v>
      </c>
      <c r="S33" s="44">
        <v>570000</v>
      </c>
      <c r="T33" s="2"/>
      <c r="U33" s="2"/>
      <c r="V33" s="2"/>
      <c r="W33" s="2"/>
    </row>
    <row r="34" spans="1:23" ht="14.25" customHeight="1" x14ac:dyDescent="0.25">
      <c r="A34" s="45" t="s">
        <v>54</v>
      </c>
      <c r="B34" s="1" t="s">
        <v>125</v>
      </c>
      <c r="C34" s="6">
        <v>540000</v>
      </c>
      <c r="D34" s="6">
        <v>4430.4812877801014</v>
      </c>
      <c r="E34" s="43">
        <v>31077.797029228641</v>
      </c>
      <c r="F34" s="43">
        <v>0</v>
      </c>
      <c r="G34" s="43"/>
      <c r="H34" s="43"/>
      <c r="I34" s="43">
        <v>35508.278317008742</v>
      </c>
      <c r="J34" s="43"/>
      <c r="K34" s="43">
        <v>40000</v>
      </c>
      <c r="L34" s="43"/>
      <c r="M34" s="43">
        <v>40000</v>
      </c>
      <c r="N34" s="43">
        <v>-4491.7216829912577</v>
      </c>
      <c r="O34" s="43"/>
      <c r="P34" s="43"/>
      <c r="Q34" s="43"/>
      <c r="R34" s="43">
        <v>-4491.7216829912577</v>
      </c>
      <c r="S34" s="44">
        <v>535508.27831700875</v>
      </c>
      <c r="T34" s="2"/>
      <c r="U34" s="2"/>
      <c r="V34" s="2"/>
      <c r="W34" s="2"/>
    </row>
    <row r="35" spans="1:23" s="14" customFormat="1" ht="13.5" customHeight="1" x14ac:dyDescent="0.25">
      <c r="A35" s="42" t="s">
        <v>55</v>
      </c>
      <c r="B35" s="1" t="s">
        <v>126</v>
      </c>
      <c r="C35" s="6">
        <v>540000</v>
      </c>
      <c r="D35" s="6">
        <v>764971.13990878034</v>
      </c>
      <c r="E35" s="43">
        <v>75110.157269601055</v>
      </c>
      <c r="F35" s="43">
        <v>41000</v>
      </c>
      <c r="G35" s="46"/>
      <c r="H35" s="46"/>
      <c r="I35" s="43">
        <v>881081.29717838136</v>
      </c>
      <c r="J35" s="46"/>
      <c r="K35" s="43">
        <v>40000</v>
      </c>
      <c r="L35" s="43">
        <v>30000</v>
      </c>
      <c r="M35" s="43">
        <v>70000</v>
      </c>
      <c r="N35" s="43">
        <v>811081.29717838136</v>
      </c>
      <c r="O35" s="43"/>
      <c r="P35" s="43"/>
      <c r="Q35" s="43"/>
      <c r="R35" s="43">
        <v>811081.29717838136</v>
      </c>
      <c r="S35" s="44">
        <v>570000</v>
      </c>
    </row>
    <row r="36" spans="1:23" x14ac:dyDescent="0.25">
      <c r="A36" s="42" t="s">
        <v>56</v>
      </c>
      <c r="B36" s="1" t="s">
        <v>127</v>
      </c>
      <c r="C36" s="6">
        <v>540000</v>
      </c>
      <c r="D36" s="6">
        <v>2824832.833662136</v>
      </c>
      <c r="E36" s="43">
        <v>192412.46086191741</v>
      </c>
      <c r="F36" s="43">
        <v>36000</v>
      </c>
      <c r="G36" s="43"/>
      <c r="H36" s="43"/>
      <c r="I36" s="43">
        <v>3053245.2945240536</v>
      </c>
      <c r="J36" s="43"/>
      <c r="K36" s="43">
        <v>40000</v>
      </c>
      <c r="L36" s="43">
        <v>30000</v>
      </c>
      <c r="M36" s="43">
        <v>70000</v>
      </c>
      <c r="N36" s="43">
        <v>2983245.2945240536</v>
      </c>
      <c r="O36" s="43">
        <v>70000</v>
      </c>
      <c r="P36" s="43"/>
      <c r="Q36" s="43">
        <v>2000000</v>
      </c>
      <c r="R36" s="43">
        <v>913245.29452405358</v>
      </c>
      <c r="S36" s="44">
        <v>570000</v>
      </c>
      <c r="T36" t="s">
        <v>22</v>
      </c>
    </row>
    <row r="37" spans="1:23" x14ac:dyDescent="0.25">
      <c r="A37" s="42"/>
      <c r="B37" s="1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>
        <v>0</v>
      </c>
      <c r="N37" s="43">
        <v>0</v>
      </c>
      <c r="O37" s="43"/>
      <c r="P37" s="43"/>
      <c r="Q37" s="43"/>
      <c r="R37" s="43">
        <v>0</v>
      </c>
      <c r="S37" s="44">
        <v>0</v>
      </c>
    </row>
    <row r="38" spans="1:23" ht="18.75" thickBot="1" x14ac:dyDescent="0.3">
      <c r="A38" s="53" t="s">
        <v>57</v>
      </c>
      <c r="B38" s="68"/>
      <c r="C38" s="73">
        <v>16653036.005550491</v>
      </c>
      <c r="D38" s="73">
        <v>5661363.9448281117</v>
      </c>
      <c r="E38" s="73">
        <v>1273061.6825685301</v>
      </c>
      <c r="F38" s="73">
        <v>2168000</v>
      </c>
      <c r="G38" s="73">
        <v>0</v>
      </c>
      <c r="H38" s="73">
        <v>0</v>
      </c>
      <c r="I38" s="73">
        <v>9511284.627396645</v>
      </c>
      <c r="J38" s="73">
        <v>0</v>
      </c>
      <c r="K38" s="73">
        <v>1200000</v>
      </c>
      <c r="L38" s="73">
        <v>780000</v>
      </c>
      <c r="M38" s="73">
        <v>1980000</v>
      </c>
      <c r="N38" s="73">
        <v>7497937.974276308</v>
      </c>
      <c r="O38" s="73">
        <v>420000</v>
      </c>
      <c r="P38" s="73">
        <v>751920</v>
      </c>
      <c r="Q38" s="73">
        <v>3154500</v>
      </c>
      <c r="R38" s="73">
        <v>2752017.974276307</v>
      </c>
      <c r="S38" s="73">
        <v>17584659.561375875</v>
      </c>
    </row>
    <row r="39" spans="1:23" ht="15.75" thickTop="1" x14ac:dyDescent="0.25"/>
    <row r="40" spans="1:23" x14ac:dyDescent="0.25">
      <c r="E40" s="2"/>
      <c r="F40" s="2"/>
      <c r="G40" s="2"/>
      <c r="H40" s="2"/>
      <c r="I40" s="2"/>
    </row>
    <row r="41" spans="1:23" x14ac:dyDescent="0.25">
      <c r="M41" s="2"/>
    </row>
  </sheetData>
  <autoFilter ref="A5:R38">
    <sortState ref="A5:L48">
      <sortCondition ref="B5:B48"/>
    </sortState>
  </autoFilter>
  <mergeCells count="1">
    <mergeCell ref="A4:S4"/>
  </mergeCells>
  <pageMargins left="0.70866141732283472" right="0.70866141732283472" top="0.74803149606299213" bottom="0.74803149606299213" header="0.31496062992125984" footer="0.31496062992125984"/>
  <pageSetup orientation="landscape" horizontalDpi="4294967295" verticalDpi="4294967295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0"/>
  <sheetViews>
    <sheetView workbookViewId="0">
      <pane xSplit="2" ySplit="4" topLeftCell="E17" activePane="bottomRight" state="frozen"/>
      <selection activeCell="C32" sqref="C32"/>
      <selection pane="topRight" activeCell="C32" sqref="C32"/>
      <selection pane="bottomLeft" activeCell="C32" sqref="C32"/>
      <selection pane="bottomRight" activeCell="E7" sqref="E7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2.85546875" bestFit="1" customWidth="1"/>
    <col min="5" max="5" width="15.28515625" customWidth="1"/>
    <col min="6" max="6" width="23.5703125" style="2" customWidth="1"/>
    <col min="7" max="7" width="21.85546875" bestFit="1" customWidth="1"/>
    <col min="8" max="8" width="20.7109375" customWidth="1"/>
    <col min="9" max="9" width="15" bestFit="1" customWidth="1"/>
    <col min="10" max="10" width="17.5703125" style="3" bestFit="1" customWidth="1"/>
    <col min="11" max="11" width="15.7109375" style="2" customWidth="1"/>
    <col min="12" max="14" width="12.42578125" style="2" customWidth="1"/>
    <col min="15" max="15" width="15" style="2" bestFit="1" customWidth="1"/>
    <col min="16" max="16" width="16.85546875" style="2" bestFit="1" customWidth="1"/>
    <col min="17" max="17" width="15" bestFit="1" customWidth="1"/>
    <col min="18" max="18" width="15" customWidth="1"/>
    <col min="19" max="19" width="18.140625" customWidth="1"/>
    <col min="20" max="20" width="12.5703125" bestFit="1" customWidth="1"/>
    <col min="21" max="22" width="18.140625" customWidth="1"/>
    <col min="26" max="26" width="12.42578125" bestFit="1" customWidth="1"/>
  </cols>
  <sheetData>
    <row r="1" spans="1:16" x14ac:dyDescent="0.2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16" x14ac:dyDescent="0.2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16" x14ac:dyDescent="0.25">
      <c r="A3" s="1" t="s">
        <v>3</v>
      </c>
      <c r="B3" s="5"/>
      <c r="C3" s="5"/>
      <c r="D3" s="5"/>
      <c r="E3" s="1"/>
      <c r="F3" s="5"/>
      <c r="G3" s="1"/>
      <c r="H3" s="1"/>
    </row>
    <row r="4" spans="1:16" ht="26.25" x14ac:dyDescent="0.4">
      <c r="B4" s="16"/>
      <c r="C4" s="16"/>
      <c r="D4" s="16"/>
      <c r="E4" s="146" t="s">
        <v>262</v>
      </c>
      <c r="F4" s="146"/>
      <c r="G4" s="146"/>
      <c r="H4" s="146"/>
      <c r="I4" s="146"/>
      <c r="J4" s="57"/>
      <c r="K4" s="57"/>
      <c r="L4" s="57"/>
      <c r="M4"/>
      <c r="N4"/>
      <c r="O4"/>
      <c r="P4"/>
    </row>
    <row r="7" spans="1:16" x14ac:dyDescent="0.25">
      <c r="B7" t="s">
        <v>263</v>
      </c>
      <c r="E7" s="5">
        <v>1480000</v>
      </c>
    </row>
    <row r="9" spans="1:16" x14ac:dyDescent="0.25">
      <c r="B9" t="s">
        <v>264</v>
      </c>
      <c r="E9" s="5">
        <v>18</v>
      </c>
    </row>
    <row r="11" spans="1:16" x14ac:dyDescent="0.25">
      <c r="B11" t="s">
        <v>265</v>
      </c>
      <c r="E11" s="5">
        <v>14</v>
      </c>
    </row>
    <row r="13" spans="1:16" x14ac:dyDescent="0.25">
      <c r="F13" s="10" t="s">
        <v>270</v>
      </c>
      <c r="G13" s="10" t="s">
        <v>271</v>
      </c>
      <c r="H13" s="10" t="s">
        <v>57</v>
      </c>
    </row>
    <row r="14" spans="1:16" x14ac:dyDescent="0.25">
      <c r="F14" s="5"/>
      <c r="G14" s="5"/>
      <c r="H14" s="5"/>
    </row>
    <row r="15" spans="1:16" x14ac:dyDescent="0.25">
      <c r="B15" t="s">
        <v>92</v>
      </c>
      <c r="E15" s="5"/>
      <c r="F15" s="5">
        <v>100000</v>
      </c>
      <c r="H15" s="5">
        <f>F15+G15</f>
        <v>100000</v>
      </c>
    </row>
    <row r="16" spans="1:16" x14ac:dyDescent="0.25">
      <c r="B16" t="s">
        <v>87</v>
      </c>
      <c r="E16" s="5"/>
      <c r="F16" s="5">
        <v>100000</v>
      </c>
      <c r="H16" s="5">
        <f t="shared" ref="H16:H28" si="0">F16+G16</f>
        <v>100000</v>
      </c>
    </row>
    <row r="17" spans="2:8" x14ac:dyDescent="0.25">
      <c r="B17" t="s">
        <v>127</v>
      </c>
      <c r="E17" s="5"/>
      <c r="F17" s="5">
        <v>100000</v>
      </c>
      <c r="H17" s="5">
        <f t="shared" si="0"/>
        <v>100000</v>
      </c>
    </row>
    <row r="18" spans="2:8" x14ac:dyDescent="0.25">
      <c r="B18" t="s">
        <v>266</v>
      </c>
      <c r="E18" s="5"/>
      <c r="F18" s="5">
        <v>100000</v>
      </c>
      <c r="G18" s="5">
        <v>11000</v>
      </c>
      <c r="H18" s="5">
        <f t="shared" si="0"/>
        <v>111000</v>
      </c>
    </row>
    <row r="19" spans="2:8" x14ac:dyDescent="0.25">
      <c r="B19" t="s">
        <v>98</v>
      </c>
      <c r="E19" s="5"/>
      <c r="F19" s="5">
        <v>100000</v>
      </c>
      <c r="G19" s="5">
        <f>11000+3000</f>
        <v>14000</v>
      </c>
      <c r="H19" s="5">
        <f t="shared" si="0"/>
        <v>114000</v>
      </c>
    </row>
    <row r="20" spans="2:8" x14ac:dyDescent="0.25">
      <c r="B20" t="s">
        <v>89</v>
      </c>
      <c r="E20" s="5"/>
      <c r="F20" s="5">
        <v>100000</v>
      </c>
      <c r="G20" s="5">
        <v>11000</v>
      </c>
      <c r="H20" s="5">
        <f t="shared" si="0"/>
        <v>111000</v>
      </c>
    </row>
    <row r="21" spans="2:8" x14ac:dyDescent="0.25">
      <c r="B21" t="s">
        <v>91</v>
      </c>
      <c r="E21" s="5"/>
      <c r="F21" s="5">
        <v>100000</v>
      </c>
      <c r="H21" s="5">
        <f t="shared" si="0"/>
        <v>100000</v>
      </c>
    </row>
    <row r="22" spans="2:8" x14ac:dyDescent="0.25">
      <c r="B22" t="s">
        <v>97</v>
      </c>
      <c r="E22" s="5"/>
      <c r="F22" s="5">
        <v>100000</v>
      </c>
      <c r="H22" s="5">
        <f t="shared" si="0"/>
        <v>100000</v>
      </c>
    </row>
    <row r="23" spans="2:8" x14ac:dyDescent="0.25">
      <c r="B23" t="s">
        <v>113</v>
      </c>
      <c r="E23" s="5"/>
      <c r="F23" s="5">
        <v>100000</v>
      </c>
      <c r="G23" s="5">
        <v>11000</v>
      </c>
      <c r="H23" s="5">
        <f t="shared" si="0"/>
        <v>111000</v>
      </c>
    </row>
    <row r="24" spans="2:8" x14ac:dyDescent="0.25">
      <c r="B24" t="s">
        <v>267</v>
      </c>
      <c r="E24" s="5"/>
      <c r="F24" s="5">
        <v>200000</v>
      </c>
      <c r="H24" s="5">
        <f t="shared" si="0"/>
        <v>200000</v>
      </c>
    </row>
    <row r="25" spans="2:8" x14ac:dyDescent="0.25">
      <c r="B25" t="s">
        <v>268</v>
      </c>
      <c r="E25" s="5"/>
      <c r="F25" s="5">
        <v>200000</v>
      </c>
      <c r="G25" s="5">
        <v>11000</v>
      </c>
      <c r="H25" s="5">
        <f t="shared" si="0"/>
        <v>211000</v>
      </c>
    </row>
    <row r="26" spans="2:8" x14ac:dyDescent="0.25">
      <c r="B26" t="s">
        <v>269</v>
      </c>
      <c r="E26" s="5"/>
      <c r="F26" s="5">
        <v>100000</v>
      </c>
      <c r="H26" s="5">
        <f t="shared" si="0"/>
        <v>100000</v>
      </c>
    </row>
    <row r="27" spans="2:8" x14ac:dyDescent="0.25">
      <c r="B27" t="s">
        <v>272</v>
      </c>
      <c r="G27" s="5">
        <v>11000</v>
      </c>
      <c r="H27" s="5">
        <f t="shared" si="0"/>
        <v>11000</v>
      </c>
    </row>
    <row r="28" spans="2:8" x14ac:dyDescent="0.25">
      <c r="B28" t="s">
        <v>104</v>
      </c>
      <c r="G28" s="5">
        <v>11000</v>
      </c>
      <c r="H28" s="5">
        <f t="shared" si="0"/>
        <v>11000</v>
      </c>
    </row>
    <row r="30" spans="2:8" x14ac:dyDescent="0.25">
      <c r="B30" t="s">
        <v>57</v>
      </c>
      <c r="F30" s="5">
        <f>SUM(F15:F29)</f>
        <v>1400000</v>
      </c>
      <c r="G30" s="5">
        <f>SUM(G15:G29)</f>
        <v>80000</v>
      </c>
      <c r="H30" s="5">
        <f>SUM(H15:H29)</f>
        <v>1480000</v>
      </c>
    </row>
  </sheetData>
  <mergeCells count="1">
    <mergeCell ref="E4:I4"/>
  </mergeCells>
  <pageMargins left="0.7" right="0.7" top="0.75" bottom="0.75" header="0.3" footer="0.3"/>
  <pageSetup orientation="portrait" horizontalDpi="4294967295" verticalDpi="4294967295"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40"/>
  <sheetViews>
    <sheetView workbookViewId="0">
      <selection activeCell="F7" sqref="F7:G7"/>
    </sheetView>
  </sheetViews>
  <sheetFormatPr baseColWidth="10" defaultRowHeight="15" x14ac:dyDescent="0.25"/>
  <cols>
    <col min="2" max="2" width="16.140625" bestFit="1" customWidth="1"/>
    <col min="3" max="3" width="17.140625" bestFit="1" customWidth="1"/>
  </cols>
  <sheetData>
    <row r="2" spans="1:7" x14ac:dyDescent="0.25">
      <c r="B2" t="s">
        <v>158</v>
      </c>
    </row>
    <row r="4" spans="1:7" x14ac:dyDescent="0.25">
      <c r="A4" t="s">
        <v>161</v>
      </c>
      <c r="B4" t="s">
        <v>159</v>
      </c>
      <c r="C4" t="s">
        <v>160</v>
      </c>
    </row>
    <row r="6" spans="1:7" x14ac:dyDescent="0.25">
      <c r="B6" s="6">
        <v>763899.37129714503</v>
      </c>
      <c r="C6" s="6"/>
    </row>
    <row r="7" spans="1:7" x14ac:dyDescent="0.25">
      <c r="A7" s="62">
        <v>43770</v>
      </c>
      <c r="B7" s="6"/>
      <c r="C7" s="6">
        <v>50000</v>
      </c>
      <c r="F7">
        <v>-147000</v>
      </c>
      <c r="G7">
        <v>-426000</v>
      </c>
    </row>
    <row r="8" spans="1:7" x14ac:dyDescent="0.25">
      <c r="A8" s="58">
        <v>44031</v>
      </c>
      <c r="B8" s="6"/>
      <c r="C8" s="6">
        <v>75000</v>
      </c>
    </row>
    <row r="9" spans="1:7" x14ac:dyDescent="0.25">
      <c r="A9" s="58">
        <v>44216</v>
      </c>
      <c r="B9" s="6"/>
      <c r="C9" s="6">
        <v>35000</v>
      </c>
    </row>
    <row r="10" spans="1:7" x14ac:dyDescent="0.25">
      <c r="A10" s="58">
        <v>44275</v>
      </c>
      <c r="B10" s="6"/>
      <c r="C10" s="6">
        <v>35000</v>
      </c>
    </row>
    <row r="11" spans="1:7" x14ac:dyDescent="0.25">
      <c r="A11" s="58">
        <v>44304</v>
      </c>
      <c r="B11" s="6"/>
      <c r="C11" s="6">
        <v>35000</v>
      </c>
    </row>
    <row r="12" spans="1:7" x14ac:dyDescent="0.25">
      <c r="A12" s="58">
        <v>44332</v>
      </c>
      <c r="B12" s="6"/>
      <c r="C12" s="6">
        <v>35000</v>
      </c>
    </row>
    <row r="13" spans="1:7" x14ac:dyDescent="0.25">
      <c r="A13" s="58">
        <v>44367</v>
      </c>
      <c r="B13" s="6"/>
      <c r="C13" s="6">
        <v>35000</v>
      </c>
    </row>
    <row r="14" spans="1:7" x14ac:dyDescent="0.25">
      <c r="A14" s="58">
        <v>44397</v>
      </c>
      <c r="B14" s="6"/>
      <c r="C14" s="6">
        <v>35000</v>
      </c>
    </row>
    <row r="15" spans="1:7" x14ac:dyDescent="0.25">
      <c r="A15" s="58"/>
      <c r="B15" s="6"/>
      <c r="C15" s="6"/>
    </row>
    <row r="16" spans="1:7" x14ac:dyDescent="0.25">
      <c r="A16" s="58"/>
      <c r="B16" s="6"/>
      <c r="C16" s="6"/>
    </row>
    <row r="17" spans="1:6" x14ac:dyDescent="0.25">
      <c r="A17" s="58"/>
      <c r="B17" s="6"/>
      <c r="C17" s="6"/>
    </row>
    <row r="18" spans="1:6" x14ac:dyDescent="0.25">
      <c r="A18" s="58"/>
      <c r="B18" s="6"/>
      <c r="C18" s="6"/>
    </row>
    <row r="19" spans="1:6" x14ac:dyDescent="0.25">
      <c r="B19" s="6"/>
      <c r="C19" s="6"/>
    </row>
    <row r="20" spans="1:6" ht="18.75" x14ac:dyDescent="0.3">
      <c r="A20" t="s">
        <v>57</v>
      </c>
      <c r="B20" s="6"/>
      <c r="C20" s="98">
        <f>SUM(C7:C19)</f>
        <v>335000</v>
      </c>
      <c r="D20" s="99">
        <f>B6-C20</f>
        <v>428899.37129714503</v>
      </c>
      <c r="F20" t="s">
        <v>250</v>
      </c>
    </row>
    <row r="21" spans="1:6" x14ac:dyDescent="0.25">
      <c r="B21" s="6"/>
      <c r="C21" s="6"/>
    </row>
    <row r="22" spans="1:6" x14ac:dyDescent="0.25">
      <c r="B22" s="6"/>
      <c r="C22" s="6"/>
    </row>
    <row r="23" spans="1:6" x14ac:dyDescent="0.25">
      <c r="B23" s="6"/>
      <c r="C23" s="6"/>
    </row>
    <row r="24" spans="1:6" x14ac:dyDescent="0.25">
      <c r="B24" s="6"/>
      <c r="C24" s="6"/>
    </row>
    <row r="25" spans="1:6" x14ac:dyDescent="0.25">
      <c r="B25" s="6"/>
      <c r="C25" s="6"/>
    </row>
    <row r="26" spans="1:6" x14ac:dyDescent="0.25">
      <c r="B26" s="6"/>
      <c r="C26" s="6"/>
    </row>
    <row r="27" spans="1:6" x14ac:dyDescent="0.25">
      <c r="B27" s="6"/>
      <c r="C27" s="6"/>
    </row>
    <row r="28" spans="1:6" x14ac:dyDescent="0.25">
      <c r="B28" s="6"/>
      <c r="C28" s="6"/>
    </row>
    <row r="29" spans="1:6" x14ac:dyDescent="0.25">
      <c r="B29" s="6"/>
      <c r="C29" s="6"/>
    </row>
    <row r="30" spans="1:6" x14ac:dyDescent="0.25">
      <c r="B30" s="6"/>
      <c r="C30" s="6"/>
    </row>
    <row r="31" spans="1:6" x14ac:dyDescent="0.25">
      <c r="B31" s="6"/>
      <c r="C31" s="6"/>
    </row>
    <row r="32" spans="1:6" x14ac:dyDescent="0.25">
      <c r="B32" s="6"/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  <row r="36" spans="3:3" x14ac:dyDescent="0.25">
      <c r="C36" s="6"/>
    </row>
    <row r="37" spans="3:3" x14ac:dyDescent="0.25">
      <c r="C37" s="6"/>
    </row>
    <row r="38" spans="3:3" x14ac:dyDescent="0.25">
      <c r="C38" s="6"/>
    </row>
    <row r="39" spans="3:3" x14ac:dyDescent="0.25">
      <c r="C39" s="6"/>
    </row>
    <row r="40" spans="3:3" x14ac:dyDescent="0.25">
      <c r="C40" s="6"/>
    </row>
  </sheetData>
  <pageMargins left="0.7" right="0.7" top="0.75" bottom="0.75" header="0.3" footer="0.3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49"/>
  <sheetViews>
    <sheetView tabSelected="1" topLeftCell="A16" workbookViewId="0">
      <selection activeCell="H24" sqref="H24"/>
    </sheetView>
  </sheetViews>
  <sheetFormatPr baseColWidth="10" defaultRowHeight="15" x14ac:dyDescent="0.25"/>
  <cols>
    <col min="2" max="2" width="16.140625" bestFit="1" customWidth="1"/>
    <col min="3" max="3" width="17.140625" bestFit="1" customWidth="1"/>
    <col min="4" max="4" width="13.7109375" bestFit="1" customWidth="1"/>
  </cols>
  <sheetData>
    <row r="2" spans="1:7" x14ac:dyDescent="0.25">
      <c r="B2" t="s">
        <v>235</v>
      </c>
    </row>
    <row r="3" spans="1:7" x14ac:dyDescent="0.25">
      <c r="G3">
        <v>1328500</v>
      </c>
    </row>
    <row r="4" spans="1:7" x14ac:dyDescent="0.25">
      <c r="A4" t="s">
        <v>161</v>
      </c>
      <c r="B4" t="s">
        <v>159</v>
      </c>
      <c r="C4" t="s">
        <v>160</v>
      </c>
    </row>
    <row r="6" spans="1:7" x14ac:dyDescent="0.25">
      <c r="B6" s="6">
        <f>1155000+88000+1275500</f>
        <v>2518500</v>
      </c>
      <c r="C6" s="6"/>
    </row>
    <row r="7" spans="1:7" x14ac:dyDescent="0.25">
      <c r="A7" s="58">
        <v>44250</v>
      </c>
      <c r="B7" s="6"/>
      <c r="C7" s="6">
        <v>30000</v>
      </c>
    </row>
    <row r="8" spans="1:7" x14ac:dyDescent="0.25">
      <c r="A8" s="58">
        <v>44273</v>
      </c>
      <c r="B8" s="6"/>
      <c r="C8" s="6">
        <v>30000</v>
      </c>
    </row>
    <row r="9" spans="1:7" x14ac:dyDescent="0.25">
      <c r="A9" s="58">
        <v>44275</v>
      </c>
      <c r="B9" s="6"/>
      <c r="C9" s="6">
        <v>30000</v>
      </c>
    </row>
    <row r="10" spans="1:7" x14ac:dyDescent="0.25">
      <c r="A10" s="58">
        <v>44302</v>
      </c>
      <c r="B10" s="6"/>
      <c r="C10" s="6">
        <v>30000</v>
      </c>
    </row>
    <row r="11" spans="1:7" x14ac:dyDescent="0.25">
      <c r="A11" s="58">
        <v>44333</v>
      </c>
      <c r="B11" s="6"/>
      <c r="C11" s="6">
        <v>30000</v>
      </c>
    </row>
    <row r="12" spans="1:7" x14ac:dyDescent="0.25">
      <c r="A12" s="58">
        <v>44363</v>
      </c>
      <c r="B12" s="6"/>
      <c r="C12" s="6">
        <v>30000</v>
      </c>
    </row>
    <row r="13" spans="1:7" x14ac:dyDescent="0.25">
      <c r="A13" s="58">
        <v>44394</v>
      </c>
      <c r="B13" s="6"/>
      <c r="C13" s="6">
        <v>30000</v>
      </c>
    </row>
    <row r="14" spans="1:7" x14ac:dyDescent="0.25">
      <c r="A14" s="58">
        <v>44423</v>
      </c>
      <c r="B14" s="6"/>
      <c r="C14" s="6">
        <v>30000</v>
      </c>
    </row>
    <row r="15" spans="1:7" x14ac:dyDescent="0.25">
      <c r="A15" s="58">
        <v>44454</v>
      </c>
      <c r="B15" s="6"/>
      <c r="C15" s="6">
        <v>20000</v>
      </c>
    </row>
    <row r="16" spans="1:7" x14ac:dyDescent="0.25">
      <c r="A16" s="58">
        <v>44484</v>
      </c>
      <c r="B16" s="6"/>
      <c r="C16" s="6">
        <v>30000</v>
      </c>
    </row>
    <row r="17" spans="1:3" x14ac:dyDescent="0.25">
      <c r="A17" s="58">
        <v>44519</v>
      </c>
      <c r="B17" s="6"/>
      <c r="C17" s="6">
        <v>30000</v>
      </c>
    </row>
    <row r="18" spans="1:3" x14ac:dyDescent="0.25">
      <c r="A18" s="58">
        <v>44549</v>
      </c>
      <c r="B18" s="6"/>
      <c r="C18" s="6">
        <v>700000</v>
      </c>
    </row>
    <row r="19" spans="1:3" x14ac:dyDescent="0.25">
      <c r="A19" s="58">
        <v>44577</v>
      </c>
      <c r="B19" s="6"/>
      <c r="C19" s="6">
        <v>30000</v>
      </c>
    </row>
    <row r="20" spans="1:3" x14ac:dyDescent="0.25">
      <c r="A20" s="58">
        <v>44609</v>
      </c>
      <c r="B20" s="6"/>
      <c r="C20" s="6">
        <v>30000</v>
      </c>
    </row>
    <row r="21" spans="1:3" x14ac:dyDescent="0.25">
      <c r="A21" s="58">
        <v>44637</v>
      </c>
      <c r="B21" s="6"/>
      <c r="C21" s="6">
        <v>0</v>
      </c>
    </row>
    <row r="22" spans="1:3" x14ac:dyDescent="0.25">
      <c r="A22" s="58">
        <v>44668</v>
      </c>
      <c r="B22" s="6"/>
      <c r="C22" s="6">
        <v>30000</v>
      </c>
    </row>
    <row r="23" spans="1:3" x14ac:dyDescent="0.25">
      <c r="A23" s="58">
        <v>44699</v>
      </c>
      <c r="B23" s="6"/>
      <c r="C23" s="6">
        <v>20000</v>
      </c>
    </row>
    <row r="24" spans="1:3" x14ac:dyDescent="0.25">
      <c r="A24" s="58">
        <v>44731</v>
      </c>
      <c r="B24" s="6"/>
      <c r="C24" s="6">
        <v>20000</v>
      </c>
    </row>
    <row r="25" spans="1:3" x14ac:dyDescent="0.25">
      <c r="A25" s="58">
        <v>44759</v>
      </c>
      <c r="B25" s="6"/>
      <c r="C25" s="6">
        <v>20000</v>
      </c>
    </row>
    <row r="26" spans="1:3" x14ac:dyDescent="0.25">
      <c r="A26" s="58">
        <v>44792</v>
      </c>
      <c r="B26" s="6"/>
      <c r="C26" s="6">
        <v>20000</v>
      </c>
    </row>
    <row r="27" spans="1:3" x14ac:dyDescent="0.25">
      <c r="A27" s="58">
        <v>44824</v>
      </c>
      <c r="B27" s="6"/>
      <c r="C27" s="6">
        <v>20000</v>
      </c>
    </row>
    <row r="28" spans="1:3" x14ac:dyDescent="0.25">
      <c r="A28" s="58">
        <v>44854</v>
      </c>
      <c r="B28" s="6"/>
      <c r="C28" s="6">
        <v>20000</v>
      </c>
    </row>
    <row r="29" spans="1:3" x14ac:dyDescent="0.25">
      <c r="A29" s="58">
        <v>44915</v>
      </c>
      <c r="B29" s="6"/>
      <c r="C29" s="6">
        <v>520000</v>
      </c>
    </row>
    <row r="30" spans="1:3" x14ac:dyDescent="0.25">
      <c r="A30" s="58"/>
      <c r="B30" s="6"/>
      <c r="C30" s="6"/>
    </row>
    <row r="31" spans="1:3" x14ac:dyDescent="0.25">
      <c r="A31" s="58"/>
      <c r="B31" s="6"/>
      <c r="C31" s="6"/>
    </row>
    <row r="32" spans="1:3" x14ac:dyDescent="0.25">
      <c r="A32" s="58"/>
      <c r="B32" s="6"/>
      <c r="C32" s="6"/>
    </row>
    <row r="33" spans="2:4" ht="21" x14ac:dyDescent="0.35">
      <c r="B33" s="6"/>
      <c r="C33" s="98">
        <f>SUM(C7:C29)</f>
        <v>1750000</v>
      </c>
      <c r="D33" s="101">
        <f>B6-C33</f>
        <v>768500</v>
      </c>
    </row>
    <row r="34" spans="2:4" x14ac:dyDescent="0.25">
      <c r="B34" s="6"/>
      <c r="C34" s="6"/>
    </row>
    <row r="35" spans="2:4" x14ac:dyDescent="0.25">
      <c r="B35" s="6"/>
      <c r="C35" s="6"/>
    </row>
    <row r="36" spans="2:4" x14ac:dyDescent="0.25">
      <c r="B36" s="6"/>
      <c r="C36" s="6"/>
    </row>
    <row r="37" spans="2:4" x14ac:dyDescent="0.25">
      <c r="B37" s="6"/>
      <c r="C37" s="6"/>
    </row>
    <row r="38" spans="2:4" x14ac:dyDescent="0.25">
      <c r="B38" s="6"/>
      <c r="C38" s="6"/>
    </row>
    <row r="39" spans="2:4" x14ac:dyDescent="0.25">
      <c r="B39" s="6"/>
      <c r="C39" s="6"/>
    </row>
    <row r="40" spans="2:4" x14ac:dyDescent="0.25">
      <c r="B40" s="6"/>
      <c r="C40" s="6"/>
    </row>
    <row r="41" spans="2:4" x14ac:dyDescent="0.25">
      <c r="B41" s="6"/>
      <c r="C41" s="6"/>
    </row>
    <row r="42" spans="2:4" x14ac:dyDescent="0.25">
      <c r="C42" s="6"/>
    </row>
    <row r="43" spans="2:4" x14ac:dyDescent="0.25">
      <c r="C43" s="6"/>
    </row>
    <row r="44" spans="2:4" x14ac:dyDescent="0.25">
      <c r="C44" s="6"/>
    </row>
    <row r="45" spans="2:4" x14ac:dyDescent="0.25">
      <c r="C45" s="6"/>
    </row>
    <row r="46" spans="2:4" x14ac:dyDescent="0.25">
      <c r="C46" s="6"/>
    </row>
    <row r="47" spans="2:4" x14ac:dyDescent="0.25">
      <c r="C47" s="6"/>
    </row>
    <row r="48" spans="2:4" x14ac:dyDescent="0.25">
      <c r="C48" s="6"/>
    </row>
    <row r="49" spans="3:3" x14ac:dyDescent="0.25">
      <c r="C49" s="6"/>
    </row>
  </sheetData>
  <pageMargins left="0.7" right="0.7" top="0.75" bottom="0.75" header="0.3" footer="0.3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4"/>
  <sheetViews>
    <sheetView workbookViewId="0">
      <selection activeCell="E11" sqref="E11"/>
    </sheetView>
  </sheetViews>
  <sheetFormatPr baseColWidth="10" defaultRowHeight="15" x14ac:dyDescent="0.25"/>
  <cols>
    <col min="2" max="2" width="16.140625" bestFit="1" customWidth="1"/>
    <col min="3" max="3" width="17.140625" bestFit="1" customWidth="1"/>
  </cols>
  <sheetData>
    <row r="2" spans="1:4" x14ac:dyDescent="0.25">
      <c r="B2" t="s">
        <v>236</v>
      </c>
    </row>
    <row r="4" spans="1:4" x14ac:dyDescent="0.25">
      <c r="A4" t="s">
        <v>161</v>
      </c>
      <c r="B4" t="s">
        <v>159</v>
      </c>
      <c r="C4" t="s">
        <v>160</v>
      </c>
    </row>
    <row r="6" spans="1:4" x14ac:dyDescent="0.25">
      <c r="B6" s="6">
        <v>484041.967178263</v>
      </c>
      <c r="C6" s="6"/>
    </row>
    <row r="7" spans="1:4" x14ac:dyDescent="0.25">
      <c r="A7" s="58">
        <v>44278</v>
      </c>
      <c r="B7" s="6"/>
      <c r="C7" s="6">
        <v>484000</v>
      </c>
      <c r="D7" t="s">
        <v>240</v>
      </c>
    </row>
    <row r="8" spans="1:4" x14ac:dyDescent="0.25">
      <c r="A8" s="58"/>
      <c r="B8" s="6"/>
      <c r="C8" s="6"/>
    </row>
    <row r="9" spans="1:4" x14ac:dyDescent="0.25">
      <c r="A9" s="58"/>
      <c r="B9" s="6"/>
      <c r="C9" s="6"/>
    </row>
    <row r="10" spans="1:4" x14ac:dyDescent="0.25">
      <c r="B10" s="6"/>
      <c r="C10" s="6"/>
    </row>
    <row r="11" spans="1:4" x14ac:dyDescent="0.25">
      <c r="B11" s="6"/>
      <c r="C11" s="6"/>
    </row>
    <row r="12" spans="1:4" x14ac:dyDescent="0.25">
      <c r="B12" s="6"/>
      <c r="C12" s="6"/>
    </row>
    <row r="13" spans="1:4" x14ac:dyDescent="0.25">
      <c r="B13" s="6"/>
      <c r="C13" s="6"/>
    </row>
    <row r="14" spans="1:4" x14ac:dyDescent="0.25">
      <c r="B14" s="6"/>
      <c r="C14" s="6"/>
    </row>
    <row r="15" spans="1:4" x14ac:dyDescent="0.25">
      <c r="B15" s="6"/>
      <c r="C15" s="6"/>
    </row>
    <row r="16" spans="1:4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C27" s="6"/>
    </row>
    <row r="28" spans="2:3" x14ac:dyDescent="0.25">
      <c r="C28" s="6"/>
    </row>
    <row r="29" spans="2:3" x14ac:dyDescent="0.25">
      <c r="C29" s="6"/>
    </row>
    <row r="30" spans="2:3" x14ac:dyDescent="0.25">
      <c r="C30" s="6"/>
    </row>
    <row r="31" spans="2:3" x14ac:dyDescent="0.25"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35"/>
  <sheetViews>
    <sheetView workbookViewId="0">
      <selection activeCell="G13" sqref="G13"/>
    </sheetView>
  </sheetViews>
  <sheetFormatPr baseColWidth="10" defaultRowHeight="15" x14ac:dyDescent="0.25"/>
  <cols>
    <col min="2" max="2" width="16.140625" bestFit="1" customWidth="1"/>
    <col min="3" max="3" width="17.140625" bestFit="1" customWidth="1"/>
  </cols>
  <sheetData>
    <row r="2" spans="1:7" x14ac:dyDescent="0.25">
      <c r="B2" t="s">
        <v>233</v>
      </c>
    </row>
    <row r="4" spans="1:7" x14ac:dyDescent="0.25">
      <c r="A4" t="s">
        <v>161</v>
      </c>
      <c r="B4" t="s">
        <v>159</v>
      </c>
      <c r="C4" t="s">
        <v>160</v>
      </c>
    </row>
    <row r="6" spans="1:7" x14ac:dyDescent="0.25">
      <c r="A6" t="s">
        <v>261</v>
      </c>
      <c r="B6" s="6">
        <v>319855</v>
      </c>
      <c r="C6" s="6"/>
    </row>
    <row r="7" spans="1:7" x14ac:dyDescent="0.25">
      <c r="A7" s="62"/>
      <c r="B7" s="6"/>
      <c r="C7" s="6"/>
      <c r="G7" s="14">
        <v>131750</v>
      </c>
    </row>
    <row r="8" spans="1:7" x14ac:dyDescent="0.25">
      <c r="A8" s="58"/>
      <c r="B8" s="6"/>
      <c r="C8" s="6">
        <v>76050</v>
      </c>
      <c r="G8" s="11">
        <v>54400</v>
      </c>
    </row>
    <row r="9" spans="1:7" x14ac:dyDescent="0.25">
      <c r="A9" s="58"/>
      <c r="B9" s="6"/>
      <c r="C9" s="6"/>
    </row>
    <row r="10" spans="1:7" x14ac:dyDescent="0.25">
      <c r="B10" s="6"/>
      <c r="C10" s="6"/>
    </row>
    <row r="11" spans="1:7" x14ac:dyDescent="0.25">
      <c r="A11" t="s">
        <v>57</v>
      </c>
      <c r="B11" s="6"/>
      <c r="C11" s="6">
        <f>SUM(C8:C10)</f>
        <v>76050</v>
      </c>
    </row>
    <row r="12" spans="1:7" ht="21" x14ac:dyDescent="0.35">
      <c r="B12" s="6"/>
      <c r="C12" s="6"/>
      <c r="D12" s="100">
        <f>B6-C11</f>
        <v>243805</v>
      </c>
      <c r="E12" t="s">
        <v>250</v>
      </c>
    </row>
    <row r="13" spans="1:7" x14ac:dyDescent="0.25">
      <c r="B13" s="6"/>
      <c r="C13" s="6"/>
    </row>
    <row r="14" spans="1:7" x14ac:dyDescent="0.25">
      <c r="B14" s="6"/>
      <c r="C14" s="6"/>
    </row>
    <row r="15" spans="1:7" x14ac:dyDescent="0.25">
      <c r="B15" s="6"/>
      <c r="C15" s="6"/>
    </row>
    <row r="16" spans="1:7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B27" s="6"/>
      <c r="C27" s="6"/>
    </row>
    <row r="28" spans="2:3" x14ac:dyDescent="0.25">
      <c r="C28" s="6"/>
    </row>
    <row r="29" spans="2:3" x14ac:dyDescent="0.25">
      <c r="C29" s="6"/>
    </row>
    <row r="30" spans="2:3" x14ac:dyDescent="0.25">
      <c r="C30" s="6"/>
    </row>
    <row r="31" spans="2:3" x14ac:dyDescent="0.25"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</sheetData>
  <pageMargins left="0.7" right="0.7" top="0.75" bottom="0.75" header="0.3" footer="0.3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35"/>
  <sheetViews>
    <sheetView workbookViewId="0">
      <selection activeCell="F5" sqref="F5:G8"/>
    </sheetView>
  </sheetViews>
  <sheetFormatPr baseColWidth="10" defaultRowHeight="15" x14ac:dyDescent="0.25"/>
  <cols>
    <col min="2" max="2" width="16.140625" bestFit="1" customWidth="1"/>
    <col min="3" max="3" width="17.140625" bestFit="1" customWidth="1"/>
  </cols>
  <sheetData>
    <row r="2" spans="1:7" x14ac:dyDescent="0.25">
      <c r="B2" t="s">
        <v>232</v>
      </c>
    </row>
    <row r="4" spans="1:7" x14ac:dyDescent="0.25">
      <c r="A4" t="s">
        <v>161</v>
      </c>
      <c r="B4" t="s">
        <v>159</v>
      </c>
      <c r="C4" t="s">
        <v>160</v>
      </c>
    </row>
    <row r="5" spans="1:7" x14ac:dyDescent="0.25">
      <c r="F5" s="11"/>
      <c r="G5" s="11"/>
    </row>
    <row r="6" spans="1:7" x14ac:dyDescent="0.25">
      <c r="B6" s="6">
        <v>996118</v>
      </c>
      <c r="C6" s="6"/>
    </row>
    <row r="7" spans="1:7" x14ac:dyDescent="0.25">
      <c r="A7" s="62" t="s">
        <v>258</v>
      </c>
      <c r="B7" s="6"/>
      <c r="C7" s="6">
        <v>500000</v>
      </c>
    </row>
    <row r="8" spans="1:7" x14ac:dyDescent="0.25">
      <c r="A8" s="58"/>
      <c r="B8" s="6"/>
      <c r="C8" s="6"/>
      <c r="F8" s="11"/>
    </row>
    <row r="9" spans="1:7" x14ac:dyDescent="0.25">
      <c r="A9" s="58"/>
      <c r="B9" s="6"/>
      <c r="C9" s="6"/>
    </row>
    <row r="10" spans="1:7" x14ac:dyDescent="0.25">
      <c r="B10" s="6"/>
      <c r="C10" s="6"/>
    </row>
    <row r="11" spans="1:7" ht="21" x14ac:dyDescent="0.35">
      <c r="A11" t="s">
        <v>57</v>
      </c>
      <c r="B11" s="6"/>
      <c r="C11" s="6">
        <f>SUM(C7:C10)</f>
        <v>500000</v>
      </c>
      <c r="D11" s="102">
        <f>B6-C11</f>
        <v>496118</v>
      </c>
      <c r="E11" t="s">
        <v>250</v>
      </c>
    </row>
    <row r="12" spans="1:7" x14ac:dyDescent="0.25">
      <c r="B12" s="6"/>
      <c r="C12" s="6"/>
    </row>
    <row r="13" spans="1:7" x14ac:dyDescent="0.25">
      <c r="B13" s="6"/>
      <c r="C13" s="6"/>
    </row>
    <row r="14" spans="1:7" x14ac:dyDescent="0.25">
      <c r="B14" s="6"/>
      <c r="C14" s="6"/>
    </row>
    <row r="15" spans="1:7" x14ac:dyDescent="0.25">
      <c r="B15" s="6"/>
      <c r="C15" s="6"/>
    </row>
    <row r="16" spans="1:7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B27" s="6"/>
      <c r="C27" s="6"/>
    </row>
    <row r="28" spans="2:3" x14ac:dyDescent="0.25">
      <c r="C28" s="6"/>
    </row>
    <row r="29" spans="2:3" x14ac:dyDescent="0.25">
      <c r="C29" s="6"/>
    </row>
    <row r="30" spans="2:3" x14ac:dyDescent="0.25">
      <c r="C30" s="6"/>
    </row>
    <row r="31" spans="2:3" x14ac:dyDescent="0.25"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</sheetData>
  <pageMargins left="0.7" right="0.7" top="0.75" bottom="0.75" header="0.3" footer="0.3"/>
  <legacy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E35"/>
  <sheetViews>
    <sheetView workbookViewId="0">
      <selection activeCell="E7" sqref="E7"/>
    </sheetView>
  </sheetViews>
  <sheetFormatPr baseColWidth="10" defaultRowHeight="15" x14ac:dyDescent="0.25"/>
  <cols>
    <col min="2" max="2" width="16.140625" bestFit="1" customWidth="1"/>
    <col min="3" max="3" width="17.140625" bestFit="1" customWidth="1"/>
  </cols>
  <sheetData>
    <row r="2" spans="1:5" x14ac:dyDescent="0.25">
      <c r="B2" t="s">
        <v>231</v>
      </c>
    </row>
    <row r="4" spans="1:5" x14ac:dyDescent="0.25">
      <c r="A4" t="s">
        <v>161</v>
      </c>
      <c r="B4" t="s">
        <v>159</v>
      </c>
      <c r="C4" t="s">
        <v>160</v>
      </c>
    </row>
    <row r="6" spans="1:5" x14ac:dyDescent="0.25">
      <c r="B6" s="6">
        <v>51453.696796924203</v>
      </c>
      <c r="C6" s="6"/>
    </row>
    <row r="7" spans="1:5" x14ac:dyDescent="0.25">
      <c r="A7" s="62"/>
      <c r="B7" s="6"/>
      <c r="C7" s="6"/>
    </row>
    <row r="8" spans="1:5" x14ac:dyDescent="0.25">
      <c r="A8" s="58"/>
      <c r="B8" s="6"/>
      <c r="C8" s="6"/>
    </row>
    <row r="9" spans="1:5" x14ac:dyDescent="0.25">
      <c r="A9" s="58"/>
      <c r="B9" s="6"/>
      <c r="C9" s="6"/>
    </row>
    <row r="10" spans="1:5" x14ac:dyDescent="0.25">
      <c r="B10" s="6"/>
      <c r="C10" s="6"/>
    </row>
    <row r="11" spans="1:5" x14ac:dyDescent="0.25">
      <c r="B11" s="6"/>
      <c r="C11" s="6"/>
    </row>
    <row r="12" spans="1:5" ht="21" x14ac:dyDescent="0.35">
      <c r="A12" t="s">
        <v>57</v>
      </c>
      <c r="B12" s="6"/>
      <c r="C12" s="6">
        <f>SUM(C7:C11)</f>
        <v>0</v>
      </c>
      <c r="D12" s="100">
        <f>B6-C12</f>
        <v>51453.696796924203</v>
      </c>
      <c r="E12" t="s">
        <v>250</v>
      </c>
    </row>
    <row r="13" spans="1:5" x14ac:dyDescent="0.25">
      <c r="B13" s="6"/>
      <c r="C13" s="6"/>
    </row>
    <row r="14" spans="1:5" x14ac:dyDescent="0.25">
      <c r="B14" s="6"/>
      <c r="C14" s="6"/>
    </row>
    <row r="15" spans="1:5" x14ac:dyDescent="0.25">
      <c r="B15" s="6"/>
      <c r="C15" s="6"/>
    </row>
    <row r="16" spans="1:5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B27" s="6"/>
      <c r="C27" s="6"/>
    </row>
    <row r="28" spans="2:3" x14ac:dyDescent="0.25">
      <c r="C28" s="6"/>
    </row>
    <row r="29" spans="2:3" x14ac:dyDescent="0.25">
      <c r="C29" s="6"/>
    </row>
    <row r="30" spans="2:3" x14ac:dyDescent="0.25">
      <c r="C30" s="6"/>
    </row>
    <row r="31" spans="2:3" x14ac:dyDescent="0.25"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</sheetData>
  <pageMargins left="0.7" right="0.7" top="0.75" bottom="0.75" header="0.3" footer="0.3"/>
  <legacy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J73"/>
  <sheetViews>
    <sheetView workbookViewId="0">
      <pane xSplit="2" ySplit="5" topLeftCell="G6" activePane="bottomRight" state="frozen"/>
      <selection pane="topRight" activeCell="C1" sqref="C1"/>
      <selection pane="bottomLeft" activeCell="A5" sqref="A5"/>
      <selection pane="bottomRight" activeCell="A17" sqref="A17:XFD17"/>
    </sheetView>
  </sheetViews>
  <sheetFormatPr baseColWidth="10" defaultColWidth="11" defaultRowHeight="15" x14ac:dyDescent="0.25"/>
  <cols>
    <col min="1" max="1" width="13.85546875" customWidth="1"/>
    <col min="2" max="3" width="29.5703125" customWidth="1"/>
    <col min="4" max="4" width="15.28515625" customWidth="1"/>
    <col min="5" max="5" width="20.28515625" customWidth="1"/>
    <col min="6" max="6" width="16.85546875" customWidth="1"/>
    <col min="7" max="7" width="15" customWidth="1"/>
    <col min="8" max="8" width="17.5703125" style="3" customWidth="1"/>
    <col min="9" max="9" width="15.7109375" style="2" customWidth="1"/>
    <col min="10" max="10" width="15" style="2" bestFit="1" customWidth="1"/>
    <col min="11" max="12" width="12.42578125" style="2" customWidth="1"/>
    <col min="13" max="13" width="13.42578125" style="2" bestFit="1" customWidth="1"/>
    <col min="14" max="15" width="17.5703125" style="2" customWidth="1"/>
    <col min="16" max="16" width="14.85546875" customWidth="1"/>
    <col min="17" max="17" width="20.42578125" bestFit="1" customWidth="1"/>
    <col min="18" max="18" width="16.5703125" customWidth="1"/>
    <col min="20" max="21" width="16.85546875" bestFit="1" customWidth="1"/>
    <col min="22" max="26" width="16.85546875" customWidth="1"/>
    <col min="27" max="27" width="28.7109375" bestFit="1" customWidth="1"/>
  </cols>
  <sheetData>
    <row r="1" spans="1:36" x14ac:dyDescent="0.25">
      <c r="A1" s="1" t="s">
        <v>0</v>
      </c>
      <c r="B1" s="1" t="s">
        <v>1</v>
      </c>
      <c r="C1" s="1"/>
      <c r="D1" s="1"/>
      <c r="E1" s="1"/>
      <c r="F1" s="1"/>
    </row>
    <row r="2" spans="1:36" x14ac:dyDescent="0.25">
      <c r="A2" s="1" t="s">
        <v>2</v>
      </c>
      <c r="B2" s="1" t="s">
        <v>82</v>
      </c>
      <c r="C2" s="1"/>
      <c r="D2" s="1"/>
      <c r="E2" s="1"/>
      <c r="F2" s="1"/>
      <c r="AA2">
        <f>284000+40000+16008</f>
        <v>340008</v>
      </c>
    </row>
    <row r="3" spans="1:36" x14ac:dyDescent="0.25">
      <c r="A3" s="1" t="s">
        <v>3</v>
      </c>
      <c r="B3" s="5"/>
      <c r="C3" s="5" t="s">
        <v>157</v>
      </c>
      <c r="D3" s="1"/>
      <c r="E3" s="1"/>
      <c r="F3" s="1"/>
    </row>
    <row r="4" spans="1:36" x14ac:dyDescent="0.25">
      <c r="A4" s="1"/>
      <c r="B4" s="5"/>
      <c r="C4" s="5"/>
      <c r="D4" s="1"/>
      <c r="E4" s="1"/>
      <c r="F4" s="1"/>
    </row>
    <row r="5" spans="1:36" ht="43.5" x14ac:dyDescent="0.25">
      <c r="A5" s="1" t="s">
        <v>4</v>
      </c>
      <c r="B5" s="1" t="s">
        <v>5</v>
      </c>
      <c r="C5" s="1" t="s">
        <v>68</v>
      </c>
      <c r="D5" s="4" t="s">
        <v>6</v>
      </c>
      <c r="E5" s="1" t="s">
        <v>69</v>
      </c>
      <c r="F5" s="1" t="s">
        <v>8</v>
      </c>
      <c r="G5" s="1" t="s">
        <v>9</v>
      </c>
      <c r="H5" s="4" t="s">
        <v>10</v>
      </c>
      <c r="I5" s="4" t="s">
        <v>11</v>
      </c>
      <c r="J5" s="4" t="s">
        <v>12</v>
      </c>
      <c r="K5" s="4" t="s">
        <v>72</v>
      </c>
      <c r="L5" s="4" t="s">
        <v>71</v>
      </c>
      <c r="M5" s="4" t="s">
        <v>13</v>
      </c>
      <c r="N5" s="4" t="s">
        <v>61</v>
      </c>
      <c r="O5" s="4" t="s">
        <v>152</v>
      </c>
      <c r="P5" s="4" t="s">
        <v>63</v>
      </c>
      <c r="Q5" s="4" t="s">
        <v>64</v>
      </c>
      <c r="R5" s="4" t="s">
        <v>65</v>
      </c>
      <c r="S5" s="4" t="s">
        <v>14</v>
      </c>
      <c r="T5" s="4" t="s">
        <v>88</v>
      </c>
      <c r="U5" s="4" t="s">
        <v>86</v>
      </c>
      <c r="V5" s="4" t="s">
        <v>135</v>
      </c>
      <c r="W5" s="4" t="s">
        <v>138</v>
      </c>
      <c r="X5" s="4" t="s">
        <v>137</v>
      </c>
      <c r="Y5" s="4" t="s">
        <v>136</v>
      </c>
      <c r="Z5" s="4" t="s">
        <v>69</v>
      </c>
      <c r="AA5" s="4" t="s">
        <v>15</v>
      </c>
      <c r="AC5" s="4" t="s">
        <v>134</v>
      </c>
      <c r="AD5" s="4" t="s">
        <v>9</v>
      </c>
      <c r="AE5" s="4" t="s">
        <v>131</v>
      </c>
      <c r="AF5" s="4" t="s">
        <v>132</v>
      </c>
      <c r="AG5" s="4" t="s">
        <v>139</v>
      </c>
      <c r="AH5" s="4" t="s">
        <v>133</v>
      </c>
      <c r="AI5" s="4" t="s">
        <v>168</v>
      </c>
      <c r="AJ5" s="4" t="s">
        <v>161</v>
      </c>
    </row>
    <row r="6" spans="1:36" ht="15.75" customHeight="1" x14ac:dyDescent="0.25">
      <c r="A6" s="1" t="s">
        <v>16</v>
      </c>
      <c r="B6" s="1" t="s">
        <v>1</v>
      </c>
      <c r="C6" s="5">
        <v>394081.01108374598</v>
      </c>
      <c r="D6" s="5">
        <v>62668.935014227369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62668.935014227369</v>
      </c>
      <c r="V6" s="5">
        <v>0</v>
      </c>
      <c r="W6" s="5"/>
      <c r="X6" s="5"/>
      <c r="Y6" s="5">
        <f>U6-W6</f>
        <v>62668.935014227369</v>
      </c>
      <c r="Z6" s="5">
        <f>Y6-V6</f>
        <v>62668.935014227369</v>
      </c>
    </row>
    <row r="7" spans="1:36" s="14" customFormat="1" x14ac:dyDescent="0.25">
      <c r="A7" s="12" t="s">
        <v>17</v>
      </c>
      <c r="B7" s="12" t="s">
        <v>101</v>
      </c>
      <c r="C7" s="13">
        <v>480000</v>
      </c>
      <c r="D7" s="5">
        <v>0</v>
      </c>
      <c r="E7" s="5">
        <v>0.49369671277236193</v>
      </c>
      <c r="F7" s="13">
        <v>0</v>
      </c>
      <c r="G7" s="5">
        <v>2000</v>
      </c>
      <c r="H7" s="13">
        <v>1000</v>
      </c>
      <c r="I7" s="13">
        <v>2000</v>
      </c>
      <c r="J7" s="13">
        <v>5000</v>
      </c>
      <c r="K7" s="13">
        <v>1000</v>
      </c>
      <c r="L7" s="13">
        <v>0</v>
      </c>
      <c r="M7" s="13">
        <v>0</v>
      </c>
      <c r="N7" s="13">
        <v>500000</v>
      </c>
      <c r="O7" s="5">
        <v>0</v>
      </c>
      <c r="P7" s="5">
        <v>0</v>
      </c>
      <c r="Q7" s="13">
        <v>588000</v>
      </c>
      <c r="R7" s="13">
        <v>88000</v>
      </c>
      <c r="S7" s="13">
        <v>0</v>
      </c>
      <c r="T7" s="13">
        <v>0</v>
      </c>
      <c r="U7" s="13">
        <v>2000.4936967127724</v>
      </c>
      <c r="V7" s="13">
        <v>2000</v>
      </c>
      <c r="W7" s="36"/>
      <c r="X7" s="13"/>
      <c r="Y7" s="5">
        <f t="shared" ref="Y7:Y49" si="0">U7-W7</f>
        <v>2000.4936967127724</v>
      </c>
      <c r="Z7" s="5">
        <f t="shared" ref="Z7:Z49" si="1">Y7-V7</f>
        <v>0.49369671277236193</v>
      </c>
      <c r="AA7" s="35" t="s">
        <v>89</v>
      </c>
      <c r="AB7" s="14" t="s">
        <v>129</v>
      </c>
      <c r="AD7" s="11">
        <v>2000</v>
      </c>
      <c r="AE7" s="11">
        <v>-14000</v>
      </c>
      <c r="AF7" s="11">
        <v>336000</v>
      </c>
      <c r="AG7" s="11"/>
      <c r="AH7" s="7">
        <v>216000.49369671277</v>
      </c>
    </row>
    <row r="8" spans="1:36" x14ac:dyDescent="0.25">
      <c r="A8" s="1" t="s">
        <v>19</v>
      </c>
      <c r="B8" s="1" t="s">
        <v>102</v>
      </c>
      <c r="C8" s="5">
        <v>480000</v>
      </c>
      <c r="D8" s="5">
        <v>79945.737949015122</v>
      </c>
      <c r="E8" s="5">
        <v>1331.2797186755051</v>
      </c>
      <c r="F8" s="5">
        <v>0</v>
      </c>
      <c r="G8" s="5">
        <v>82000</v>
      </c>
      <c r="H8" s="5">
        <v>7000</v>
      </c>
      <c r="I8" s="5">
        <v>14000</v>
      </c>
      <c r="J8" s="5">
        <v>35000</v>
      </c>
      <c r="K8" s="5">
        <v>9000</v>
      </c>
      <c r="L8" s="5">
        <v>0</v>
      </c>
      <c r="M8" s="5">
        <v>0</v>
      </c>
      <c r="N8" s="5">
        <v>1000000</v>
      </c>
      <c r="O8" s="5">
        <v>30000</v>
      </c>
      <c r="P8" s="5">
        <v>0</v>
      </c>
      <c r="Q8" s="5">
        <v>1000000</v>
      </c>
      <c r="R8" s="5">
        <v>0</v>
      </c>
      <c r="S8" s="5">
        <v>0</v>
      </c>
      <c r="T8" s="5">
        <v>0</v>
      </c>
      <c r="U8" s="5">
        <v>163277.01766769064</v>
      </c>
      <c r="V8" s="5">
        <v>130000</v>
      </c>
      <c r="W8" s="36">
        <v>30000</v>
      </c>
      <c r="X8" s="5"/>
      <c r="Y8" s="5">
        <f t="shared" si="0"/>
        <v>133277.01766769064</v>
      </c>
      <c r="Z8" s="5">
        <f t="shared" si="1"/>
        <v>3277.0176676906412</v>
      </c>
      <c r="AA8" s="17"/>
      <c r="AD8" s="11">
        <v>161945.73794901511</v>
      </c>
    </row>
    <row r="9" spans="1:36" s="14" customFormat="1" x14ac:dyDescent="0.25">
      <c r="A9" s="12" t="s">
        <v>21</v>
      </c>
      <c r="B9" s="12" t="s">
        <v>103</v>
      </c>
      <c r="C9" s="13">
        <v>480000</v>
      </c>
      <c r="D9" s="5">
        <v>79896.677076385677</v>
      </c>
      <c r="E9" s="5">
        <v>3703.9516264695849</v>
      </c>
      <c r="F9" s="13">
        <v>0</v>
      </c>
      <c r="G9" s="5">
        <v>54000</v>
      </c>
      <c r="H9" s="13">
        <v>4500</v>
      </c>
      <c r="I9" s="13">
        <v>9000</v>
      </c>
      <c r="J9" s="13">
        <v>22500</v>
      </c>
      <c r="K9" s="13">
        <v>7000</v>
      </c>
      <c r="L9" s="13">
        <v>0</v>
      </c>
      <c r="M9" s="13">
        <v>0</v>
      </c>
      <c r="N9" s="13">
        <v>700000</v>
      </c>
      <c r="O9" s="5">
        <v>84000</v>
      </c>
      <c r="P9" s="5">
        <v>0</v>
      </c>
      <c r="Q9" s="13">
        <v>0</v>
      </c>
      <c r="R9" s="13">
        <v>108500</v>
      </c>
      <c r="S9" s="13">
        <v>0</v>
      </c>
      <c r="T9" s="13">
        <v>808500</v>
      </c>
      <c r="U9" s="13">
        <v>137600.62870285526</v>
      </c>
      <c r="V9" s="13">
        <v>107601</v>
      </c>
      <c r="W9" s="36">
        <v>30000</v>
      </c>
      <c r="X9" s="13"/>
      <c r="Y9" s="5">
        <f t="shared" si="0"/>
        <v>107600.62870285526</v>
      </c>
      <c r="Z9" s="5">
        <f t="shared" si="1"/>
        <v>-0.37129714473849162</v>
      </c>
      <c r="AA9" s="35" t="s">
        <v>94</v>
      </c>
      <c r="AB9" s="14" t="s">
        <v>129</v>
      </c>
      <c r="AC9" s="11">
        <v>108500</v>
      </c>
      <c r="AD9" s="11">
        <v>133896.67707638568</v>
      </c>
      <c r="AE9" s="11">
        <v>-147000</v>
      </c>
      <c r="AF9" s="11">
        <v>-426000</v>
      </c>
      <c r="AG9" s="11"/>
      <c r="AH9" s="7">
        <v>-763899.3712971448</v>
      </c>
      <c r="AI9" s="7">
        <f>50000+75000</f>
        <v>125000</v>
      </c>
      <c r="AJ9" s="60">
        <v>43770</v>
      </c>
    </row>
    <row r="10" spans="1:36" x14ac:dyDescent="0.25">
      <c r="A10" s="1" t="s">
        <v>77</v>
      </c>
      <c r="B10" s="1" t="s">
        <v>78</v>
      </c>
      <c r="C10" s="5">
        <v>0</v>
      </c>
      <c r="D10" s="5">
        <v>1764.4540515245424</v>
      </c>
      <c r="E10" s="5">
        <v>2994.5270055831024</v>
      </c>
      <c r="F10" s="5">
        <v>0</v>
      </c>
      <c r="G10" s="5">
        <v>12000</v>
      </c>
      <c r="H10" s="5">
        <v>1000</v>
      </c>
      <c r="I10" s="5">
        <v>2000</v>
      </c>
      <c r="J10" s="5">
        <v>5000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16758.981057107645</v>
      </c>
      <c r="V10" s="5">
        <v>16759</v>
      </c>
      <c r="W10" s="36"/>
      <c r="X10" s="5"/>
      <c r="Y10" s="5">
        <f t="shared" si="0"/>
        <v>16758.981057107645</v>
      </c>
      <c r="Z10" s="5">
        <f t="shared" si="1"/>
        <v>-1.8942892354971264E-2</v>
      </c>
      <c r="AA10" s="17"/>
      <c r="AD10" s="11">
        <v>13764.454051524543</v>
      </c>
    </row>
    <row r="11" spans="1:36" x14ac:dyDescent="0.25">
      <c r="A11" s="1" t="s">
        <v>23</v>
      </c>
      <c r="B11" s="1" t="s">
        <v>93</v>
      </c>
      <c r="C11" s="5">
        <v>480000</v>
      </c>
      <c r="D11" s="5">
        <v>81380.868527515064</v>
      </c>
      <c r="E11" s="5">
        <v>404.48981912998715</v>
      </c>
      <c r="F11" s="5">
        <v>0</v>
      </c>
      <c r="G11" s="5">
        <v>97500</v>
      </c>
      <c r="H11" s="5">
        <v>7000</v>
      </c>
      <c r="I11" s="5">
        <v>14000</v>
      </c>
      <c r="J11" s="5">
        <v>35000</v>
      </c>
      <c r="K11" s="5">
        <v>6000</v>
      </c>
      <c r="L11" s="5">
        <v>0</v>
      </c>
      <c r="M11" s="5">
        <v>0</v>
      </c>
      <c r="N11" s="5">
        <v>2800000</v>
      </c>
      <c r="O11" s="5">
        <v>218000</v>
      </c>
      <c r="P11" s="5">
        <v>110000</v>
      </c>
      <c r="Q11" s="5">
        <v>1800000</v>
      </c>
      <c r="R11" s="5">
        <v>50000</v>
      </c>
      <c r="S11" s="5">
        <v>0</v>
      </c>
      <c r="T11" s="5">
        <v>1050000</v>
      </c>
      <c r="U11" s="5">
        <v>179285.35834664505</v>
      </c>
      <c r="V11" s="5">
        <v>146000</v>
      </c>
      <c r="W11" s="36">
        <v>30000</v>
      </c>
      <c r="X11" s="5"/>
      <c r="Y11" s="5">
        <f t="shared" si="0"/>
        <v>149285.35834664505</v>
      </c>
      <c r="Z11" s="5">
        <f t="shared" si="1"/>
        <v>3285.3583466450509</v>
      </c>
      <c r="AA11" s="17" t="s">
        <v>90</v>
      </c>
      <c r="AB11" t="s">
        <v>129</v>
      </c>
      <c r="AC11" s="2">
        <v>155000</v>
      </c>
      <c r="AD11" s="11">
        <v>178880.86852751506</v>
      </c>
    </row>
    <row r="12" spans="1:36" x14ac:dyDescent="0.25">
      <c r="A12" s="1" t="s">
        <v>154</v>
      </c>
      <c r="B12" s="1" t="str">
        <f>VLOOKUP(A12,[15]LISTADHERENT!A$5:H$60,3,0)</f>
        <v>DJOMOU TCHANDA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36"/>
      <c r="X12" s="5"/>
      <c r="Y12" s="5"/>
      <c r="Z12" s="5"/>
      <c r="AA12" s="17"/>
      <c r="AD12" s="11"/>
    </row>
    <row r="13" spans="1:36" x14ac:dyDescent="0.25">
      <c r="A13" s="1" t="s">
        <v>24</v>
      </c>
      <c r="B13" s="1" t="s">
        <v>104</v>
      </c>
      <c r="C13" s="5">
        <v>480000</v>
      </c>
      <c r="D13" s="5">
        <v>79798.878874522779</v>
      </c>
      <c r="E13" s="5">
        <v>32.581814608536661</v>
      </c>
      <c r="F13" s="5">
        <v>0</v>
      </c>
      <c r="G13" s="5">
        <v>84000</v>
      </c>
      <c r="H13" s="5">
        <v>7000</v>
      </c>
      <c r="I13" s="5">
        <v>14000</v>
      </c>
      <c r="J13" s="5">
        <v>35000</v>
      </c>
      <c r="K13" s="5">
        <v>7000</v>
      </c>
      <c r="L13" s="5">
        <v>0</v>
      </c>
      <c r="M13" s="5">
        <v>0</v>
      </c>
      <c r="N13" s="5">
        <v>1800000</v>
      </c>
      <c r="O13" s="5">
        <v>160000</v>
      </c>
      <c r="P13" s="5">
        <v>40000</v>
      </c>
      <c r="Q13" s="5">
        <v>1000000</v>
      </c>
      <c r="R13" s="5">
        <v>0</v>
      </c>
      <c r="S13" s="5">
        <v>0</v>
      </c>
      <c r="T13" s="5">
        <v>800000</v>
      </c>
      <c r="U13" s="5">
        <v>163831.46068913132</v>
      </c>
      <c r="V13" s="5">
        <v>35000</v>
      </c>
      <c r="W13" s="36">
        <v>30000</v>
      </c>
      <c r="X13" s="5"/>
      <c r="Y13" s="5">
        <f t="shared" si="0"/>
        <v>133831.46068913132</v>
      </c>
      <c r="Z13" s="5">
        <f t="shared" si="1"/>
        <v>98831.460689131316</v>
      </c>
      <c r="AA13" s="17" t="s">
        <v>91</v>
      </c>
      <c r="AD13" s="11">
        <v>163798.87887452278</v>
      </c>
    </row>
    <row r="14" spans="1:36" x14ac:dyDescent="0.25">
      <c r="A14" s="1" t="s">
        <v>25</v>
      </c>
      <c r="B14" s="1" t="s">
        <v>89</v>
      </c>
      <c r="C14" s="5">
        <v>480000</v>
      </c>
      <c r="D14" s="5">
        <v>79954.051721931959</v>
      </c>
      <c r="E14" s="5">
        <v>8.234061673283577E-2</v>
      </c>
      <c r="F14" s="5">
        <v>0</v>
      </c>
      <c r="G14" s="5">
        <v>93500</v>
      </c>
      <c r="H14" s="5">
        <v>7000</v>
      </c>
      <c r="I14" s="5">
        <v>14000</v>
      </c>
      <c r="J14" s="5">
        <v>35000</v>
      </c>
      <c r="K14" s="5">
        <v>1000</v>
      </c>
      <c r="L14" s="5">
        <v>0</v>
      </c>
      <c r="M14" s="5">
        <v>0</v>
      </c>
      <c r="N14" s="5">
        <v>3000000</v>
      </c>
      <c r="O14" s="5">
        <v>160000</v>
      </c>
      <c r="P14" s="5">
        <v>50000</v>
      </c>
      <c r="Q14" s="5">
        <v>2000000</v>
      </c>
      <c r="R14" s="5">
        <v>0</v>
      </c>
      <c r="S14" s="5">
        <v>0</v>
      </c>
      <c r="T14" s="5">
        <v>1000000</v>
      </c>
      <c r="U14" s="5">
        <v>173454.13406254869</v>
      </c>
      <c r="V14" s="5">
        <v>140000</v>
      </c>
      <c r="W14" s="36">
        <v>30000</v>
      </c>
      <c r="X14" s="5"/>
      <c r="Y14" s="5">
        <f t="shared" si="0"/>
        <v>143454.13406254869</v>
      </c>
      <c r="Z14" s="5">
        <f t="shared" si="1"/>
        <v>3454.1340625486919</v>
      </c>
      <c r="AA14" s="17" t="s">
        <v>92</v>
      </c>
      <c r="AD14" s="11">
        <v>173454.05172193196</v>
      </c>
    </row>
    <row r="15" spans="1:36" x14ac:dyDescent="0.25">
      <c r="A15" s="1" t="s">
        <v>79</v>
      </c>
      <c r="B15" s="1" t="s">
        <v>70</v>
      </c>
      <c r="C15" s="5">
        <v>441596</v>
      </c>
      <c r="D15" s="5">
        <v>73699.144246646392</v>
      </c>
      <c r="E15" s="5">
        <v>0.16900408919900656</v>
      </c>
      <c r="F15" s="5">
        <v>0</v>
      </c>
      <c r="G15" s="5">
        <v>84000</v>
      </c>
      <c r="H15" s="5">
        <v>7000</v>
      </c>
      <c r="I15" s="5">
        <v>14000</v>
      </c>
      <c r="J15" s="5">
        <v>35000</v>
      </c>
      <c r="K15" s="5">
        <v>2000</v>
      </c>
      <c r="L15" s="5">
        <v>0</v>
      </c>
      <c r="M15" s="5">
        <v>0</v>
      </c>
      <c r="N15" s="5">
        <v>2000000</v>
      </c>
      <c r="O15" s="5">
        <v>160000</v>
      </c>
      <c r="P15" s="5">
        <v>50000</v>
      </c>
      <c r="Q15" s="5">
        <v>1000000</v>
      </c>
      <c r="R15" s="5">
        <v>0</v>
      </c>
      <c r="S15" s="5">
        <v>0</v>
      </c>
      <c r="T15" s="5">
        <v>1000000</v>
      </c>
      <c r="U15" s="5">
        <v>157699.31325073558</v>
      </c>
      <c r="V15" s="5">
        <v>86000</v>
      </c>
      <c r="W15" s="36">
        <f>30000+48406</f>
        <v>78406</v>
      </c>
      <c r="X15" s="5"/>
      <c r="Y15" s="5">
        <f t="shared" si="0"/>
        <v>79293.313250735577</v>
      </c>
      <c r="Z15" s="5">
        <f>Y15-V15+6707</f>
        <v>0.31325073557673022</v>
      </c>
      <c r="AA15" s="17"/>
      <c r="AD15" s="11">
        <v>157699.14424664638</v>
      </c>
    </row>
    <row r="16" spans="1:36" x14ac:dyDescent="0.25">
      <c r="A16" s="1" t="s">
        <v>26</v>
      </c>
      <c r="B16" s="1" t="s">
        <v>105</v>
      </c>
      <c r="C16" s="5">
        <v>480000</v>
      </c>
      <c r="D16" s="5">
        <v>97864.943592884913</v>
      </c>
      <c r="E16" s="5">
        <v>113997.13327318276</v>
      </c>
      <c r="F16" s="5">
        <v>0</v>
      </c>
      <c r="G16" s="5">
        <v>84000</v>
      </c>
      <c r="H16" s="5">
        <v>7000</v>
      </c>
      <c r="I16" s="5">
        <v>14000</v>
      </c>
      <c r="J16" s="5">
        <v>35000</v>
      </c>
      <c r="K16" s="5">
        <v>14000</v>
      </c>
      <c r="L16" s="5">
        <v>0</v>
      </c>
      <c r="M16" s="5">
        <v>0</v>
      </c>
      <c r="N16" s="5">
        <v>700000</v>
      </c>
      <c r="O16" s="5">
        <v>108500</v>
      </c>
      <c r="P16" s="5">
        <v>0</v>
      </c>
      <c r="Q16" s="5">
        <v>808500</v>
      </c>
      <c r="R16" s="5">
        <v>108500</v>
      </c>
      <c r="S16" s="5">
        <v>0</v>
      </c>
      <c r="T16" s="5">
        <v>0</v>
      </c>
      <c r="U16" s="5">
        <v>295862.07686606765</v>
      </c>
      <c r="V16" s="5">
        <v>28500</v>
      </c>
      <c r="W16" s="36">
        <v>30000</v>
      </c>
      <c r="X16" s="5"/>
      <c r="Y16" s="5">
        <f t="shared" si="0"/>
        <v>265862.07686606765</v>
      </c>
      <c r="Z16" s="5">
        <f t="shared" si="1"/>
        <v>237362.07686606765</v>
      </c>
      <c r="AA16" s="17"/>
      <c r="AD16" s="11">
        <v>181864.94359288493</v>
      </c>
    </row>
    <row r="17" spans="1:35" x14ac:dyDescent="0.25">
      <c r="A17" s="1" t="s">
        <v>27</v>
      </c>
      <c r="B17" s="1" t="s">
        <v>99</v>
      </c>
      <c r="C17" s="5">
        <v>480000</v>
      </c>
      <c r="D17" s="5">
        <v>80086.550029503749</v>
      </c>
      <c r="E17" s="5">
        <v>2219.5520592769026</v>
      </c>
      <c r="F17" s="5">
        <v>0</v>
      </c>
      <c r="G17" s="5">
        <v>82000</v>
      </c>
      <c r="H17" s="5">
        <v>7000</v>
      </c>
      <c r="I17" s="5">
        <v>14000</v>
      </c>
      <c r="J17" s="5">
        <v>35000</v>
      </c>
      <c r="K17" s="5">
        <v>21000</v>
      </c>
      <c r="L17" s="5">
        <v>0</v>
      </c>
      <c r="M17" s="5">
        <v>0</v>
      </c>
      <c r="N17" s="5">
        <v>2000000</v>
      </c>
      <c r="O17" s="5">
        <v>150000</v>
      </c>
      <c r="P17" s="5">
        <v>30000</v>
      </c>
      <c r="Q17" s="5">
        <v>1000000</v>
      </c>
      <c r="R17" s="5">
        <v>0</v>
      </c>
      <c r="S17" s="5">
        <v>0</v>
      </c>
      <c r="T17" s="5">
        <v>1000000</v>
      </c>
      <c r="U17" s="5">
        <v>164306.10208878067</v>
      </c>
      <c r="V17" s="5">
        <v>130000</v>
      </c>
      <c r="W17" s="36">
        <v>30000</v>
      </c>
      <c r="X17" s="5"/>
      <c r="Y17" s="5">
        <f t="shared" si="0"/>
        <v>134306.10208878067</v>
      </c>
      <c r="Z17" s="5">
        <f t="shared" si="1"/>
        <v>4306.1020887806662</v>
      </c>
      <c r="AA17" s="17" t="s">
        <v>91</v>
      </c>
      <c r="AD17" s="11">
        <v>162086.55002950376</v>
      </c>
    </row>
    <row r="18" spans="1:35" x14ac:dyDescent="0.25">
      <c r="A18" s="1" t="s">
        <v>28</v>
      </c>
      <c r="B18" s="1" t="s">
        <v>106</v>
      </c>
      <c r="C18" s="5">
        <v>480000</v>
      </c>
      <c r="D18" s="5">
        <v>80427.583632271897</v>
      </c>
      <c r="E18" s="5">
        <v>3998.5841971817717</v>
      </c>
      <c r="F18" s="5">
        <v>0</v>
      </c>
      <c r="G18" s="5">
        <v>84000</v>
      </c>
      <c r="H18" s="5">
        <v>7000</v>
      </c>
      <c r="I18" s="5">
        <v>14000</v>
      </c>
      <c r="J18" s="5">
        <v>35000</v>
      </c>
      <c r="K18" s="5">
        <v>1000</v>
      </c>
      <c r="L18" s="5">
        <v>0</v>
      </c>
      <c r="M18" s="5">
        <v>0</v>
      </c>
      <c r="N18" s="5">
        <v>1000000</v>
      </c>
      <c r="O18" s="5">
        <v>120000</v>
      </c>
      <c r="P18" s="5">
        <v>120000</v>
      </c>
      <c r="Q18" s="5">
        <v>0</v>
      </c>
      <c r="R18" s="5">
        <v>0</v>
      </c>
      <c r="S18" s="5">
        <v>0</v>
      </c>
      <c r="T18" s="5">
        <v>1000000</v>
      </c>
      <c r="U18" s="5">
        <v>168426.16782945365</v>
      </c>
      <c r="V18" s="5">
        <v>35000</v>
      </c>
      <c r="W18" s="36">
        <v>30000</v>
      </c>
      <c r="X18" s="5"/>
      <c r="Y18" s="5">
        <f t="shared" si="0"/>
        <v>138426.16782945365</v>
      </c>
      <c r="Z18" s="5">
        <f t="shared" si="1"/>
        <v>103426.16782945365</v>
      </c>
      <c r="AA18" s="17"/>
      <c r="AD18" s="11">
        <v>164427.58363227191</v>
      </c>
    </row>
    <row r="19" spans="1:35" x14ac:dyDescent="0.25">
      <c r="A19" s="1" t="s">
        <v>29</v>
      </c>
      <c r="B19" s="1" t="s">
        <v>92</v>
      </c>
      <c r="C19" s="5">
        <v>480000</v>
      </c>
      <c r="D19" s="5">
        <v>84433.275952127617</v>
      </c>
      <c r="E19" s="5">
        <v>0.44251227390486747</v>
      </c>
      <c r="F19" s="5">
        <v>0</v>
      </c>
      <c r="G19" s="5">
        <v>258500</v>
      </c>
      <c r="H19" s="5">
        <v>7000</v>
      </c>
      <c r="I19" s="5">
        <v>14000</v>
      </c>
      <c r="J19" s="5">
        <v>35000</v>
      </c>
      <c r="K19" s="5">
        <v>2000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342933.71846440155</v>
      </c>
      <c r="V19" s="5">
        <v>250000</v>
      </c>
      <c r="W19" s="36">
        <v>30000</v>
      </c>
      <c r="X19" s="5"/>
      <c r="Y19" s="5">
        <f t="shared" si="0"/>
        <v>312933.71846440155</v>
      </c>
      <c r="Z19" s="5">
        <f t="shared" si="1"/>
        <v>62933.718464401551</v>
      </c>
      <c r="AA19" s="17"/>
      <c r="AD19" s="11">
        <v>342933.27595212765</v>
      </c>
    </row>
    <row r="20" spans="1:35" x14ac:dyDescent="0.25">
      <c r="A20" s="1" t="s">
        <v>31</v>
      </c>
      <c r="B20" s="1" t="s">
        <v>107</v>
      </c>
      <c r="C20" s="5">
        <v>480000</v>
      </c>
      <c r="D20" s="5">
        <v>607034.07913233258</v>
      </c>
      <c r="E20" s="5">
        <v>2903898.728295486</v>
      </c>
      <c r="F20" s="5">
        <v>0</v>
      </c>
      <c r="G20" s="5">
        <v>1296000</v>
      </c>
      <c r="H20" s="5">
        <v>7000</v>
      </c>
      <c r="I20" s="5">
        <v>14000</v>
      </c>
      <c r="J20" s="5">
        <v>35000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4806932.807427818</v>
      </c>
      <c r="V20" s="5">
        <v>0</v>
      </c>
      <c r="W20" s="36">
        <v>30000</v>
      </c>
      <c r="X20" s="5"/>
      <c r="Y20" s="5">
        <f t="shared" si="0"/>
        <v>4776932.807427818</v>
      </c>
      <c r="Z20" s="5">
        <f t="shared" si="1"/>
        <v>4776932.807427818</v>
      </c>
      <c r="AA20" s="17"/>
      <c r="AD20" s="11">
        <v>1903034.0791323325</v>
      </c>
    </row>
    <row r="21" spans="1:35" x14ac:dyDescent="0.25">
      <c r="A21" s="1" t="s">
        <v>34</v>
      </c>
      <c r="B21" s="1" t="s">
        <v>90</v>
      </c>
      <c r="C21" s="5">
        <v>480000</v>
      </c>
      <c r="D21" s="5">
        <v>79661.668675915658</v>
      </c>
      <c r="E21" s="5">
        <v>-0.26072546625800896</v>
      </c>
      <c r="F21" s="5">
        <v>0</v>
      </c>
      <c r="G21" s="5">
        <v>81000</v>
      </c>
      <c r="H21" s="5">
        <v>7000</v>
      </c>
      <c r="I21" s="5">
        <v>14000</v>
      </c>
      <c r="J21" s="5">
        <v>35000</v>
      </c>
      <c r="K21" s="5">
        <v>7000</v>
      </c>
      <c r="L21" s="5">
        <v>0</v>
      </c>
      <c r="M21" s="5">
        <v>0</v>
      </c>
      <c r="N21" s="5">
        <v>1900000</v>
      </c>
      <c r="O21" s="5">
        <v>159000</v>
      </c>
      <c r="P21" s="5">
        <v>60000</v>
      </c>
      <c r="Q21" s="5">
        <v>900000</v>
      </c>
      <c r="R21" s="5">
        <v>139500</v>
      </c>
      <c r="S21" s="5">
        <v>0</v>
      </c>
      <c r="T21" s="5">
        <v>1139500</v>
      </c>
      <c r="U21" s="5">
        <v>160661.40795044939</v>
      </c>
      <c r="V21" s="5">
        <v>0</v>
      </c>
      <c r="W21" s="36">
        <v>30000</v>
      </c>
      <c r="X21" s="5"/>
      <c r="Y21" s="5">
        <f t="shared" si="0"/>
        <v>130661.40795044939</v>
      </c>
      <c r="Z21" s="5">
        <f>Y21-V21-80000</f>
        <v>50661.407950449386</v>
      </c>
      <c r="AA21" s="17" t="s">
        <v>155</v>
      </c>
      <c r="AB21" t="s">
        <v>129</v>
      </c>
      <c r="AC21" s="2">
        <v>139500</v>
      </c>
      <c r="AD21" s="11">
        <v>160661.66867591566</v>
      </c>
      <c r="AH21" s="2">
        <v>139500</v>
      </c>
      <c r="AI21" t="s">
        <v>169</v>
      </c>
    </row>
    <row r="22" spans="1:35" s="14" customFormat="1" x14ac:dyDescent="0.25">
      <c r="A22" s="12" t="s">
        <v>32</v>
      </c>
      <c r="B22" s="12" t="s">
        <v>108</v>
      </c>
      <c r="C22" s="13">
        <v>480000</v>
      </c>
      <c r="D22" s="5">
        <v>78414.920478625208</v>
      </c>
      <c r="E22" s="5">
        <v>643.11234311138105</v>
      </c>
      <c r="F22" s="13">
        <v>0</v>
      </c>
      <c r="G22" s="5">
        <v>30000</v>
      </c>
      <c r="H22" s="13">
        <v>2500</v>
      </c>
      <c r="I22" s="13">
        <v>5000</v>
      </c>
      <c r="J22" s="13">
        <v>12500</v>
      </c>
      <c r="K22" s="13">
        <v>4000</v>
      </c>
      <c r="L22" s="13">
        <v>0</v>
      </c>
      <c r="M22" s="13">
        <v>0</v>
      </c>
      <c r="N22" s="13">
        <v>700000</v>
      </c>
      <c r="O22" s="5">
        <v>77000</v>
      </c>
      <c r="P22" s="5">
        <v>0</v>
      </c>
      <c r="Q22" s="13">
        <v>0</v>
      </c>
      <c r="R22" s="13">
        <v>108500</v>
      </c>
      <c r="S22" s="13">
        <v>0</v>
      </c>
      <c r="T22" s="13">
        <v>808500</v>
      </c>
      <c r="U22" s="13">
        <v>109058.03282173659</v>
      </c>
      <c r="V22" s="13">
        <v>109058</v>
      </c>
      <c r="W22" s="36"/>
      <c r="X22" s="13"/>
      <c r="Y22" s="5">
        <f t="shared" si="0"/>
        <v>109058.03282173659</v>
      </c>
      <c r="Z22" s="5">
        <f t="shared" si="1"/>
        <v>3.2821736589539796E-2</v>
      </c>
      <c r="AA22" s="35" t="s">
        <v>95</v>
      </c>
      <c r="AB22" s="14" t="s">
        <v>129</v>
      </c>
      <c r="AC22" s="11">
        <v>108500</v>
      </c>
      <c r="AD22" s="11">
        <v>108414.92047862521</v>
      </c>
      <c r="AE22" s="11">
        <v>-264600</v>
      </c>
      <c r="AH22" s="7">
        <v>-484041.96717826341</v>
      </c>
      <c r="AI22" s="14">
        <v>484042</v>
      </c>
    </row>
    <row r="23" spans="1:35" x14ac:dyDescent="0.25">
      <c r="A23" s="1" t="s">
        <v>33</v>
      </c>
      <c r="B23" s="1" t="s">
        <v>109</v>
      </c>
      <c r="C23" s="5">
        <v>480000</v>
      </c>
      <c r="D23" s="5">
        <v>80181.060176583385</v>
      </c>
      <c r="E23" s="5">
        <v>2611.7018854503112</v>
      </c>
      <c r="F23" s="5">
        <v>0</v>
      </c>
      <c r="G23" s="5">
        <v>84000</v>
      </c>
      <c r="H23" s="5">
        <v>7000</v>
      </c>
      <c r="I23" s="5">
        <v>14000</v>
      </c>
      <c r="J23" s="5">
        <v>35000</v>
      </c>
      <c r="K23" s="5">
        <v>1000</v>
      </c>
      <c r="L23" s="5">
        <v>0</v>
      </c>
      <c r="M23" s="5">
        <v>0</v>
      </c>
      <c r="N23" s="5">
        <v>1500000</v>
      </c>
      <c r="O23" s="5">
        <v>135000</v>
      </c>
      <c r="P23" s="5">
        <v>25000</v>
      </c>
      <c r="Q23" s="5">
        <v>1000000</v>
      </c>
      <c r="R23" s="5">
        <v>0</v>
      </c>
      <c r="S23" s="5">
        <v>0</v>
      </c>
      <c r="T23" s="5">
        <v>500000</v>
      </c>
      <c r="U23" s="5">
        <v>166792.7620620337</v>
      </c>
      <c r="V23" s="5">
        <v>130000</v>
      </c>
      <c r="W23" s="36">
        <v>30000</v>
      </c>
      <c r="X23" s="5"/>
      <c r="Y23" s="5">
        <f t="shared" si="0"/>
        <v>136792.7620620337</v>
      </c>
      <c r="Z23" s="5">
        <f t="shared" si="1"/>
        <v>6792.7620620336966</v>
      </c>
      <c r="AA23" s="17" t="s">
        <v>96</v>
      </c>
      <c r="AD23" s="11">
        <v>164181.06017658339</v>
      </c>
    </row>
    <row r="24" spans="1:35" x14ac:dyDescent="0.25">
      <c r="A24" s="1" t="s">
        <v>35</v>
      </c>
      <c r="B24" s="1" t="s">
        <v>91</v>
      </c>
      <c r="C24" s="5">
        <v>480000</v>
      </c>
      <c r="D24" s="5">
        <v>79889.68496817023</v>
      </c>
      <c r="E24" s="5">
        <v>605.40582988600363</v>
      </c>
      <c r="F24" s="5">
        <v>0</v>
      </c>
      <c r="G24" s="5">
        <v>84000</v>
      </c>
      <c r="H24" s="5">
        <v>7000</v>
      </c>
      <c r="I24" s="5">
        <v>14000</v>
      </c>
      <c r="J24" s="5">
        <v>35000</v>
      </c>
      <c r="K24" s="5">
        <v>7000</v>
      </c>
      <c r="L24" s="5">
        <v>0</v>
      </c>
      <c r="M24" s="5">
        <v>0</v>
      </c>
      <c r="N24" s="5">
        <v>2000000</v>
      </c>
      <c r="O24" s="5">
        <v>150000</v>
      </c>
      <c r="P24" s="5">
        <v>40000</v>
      </c>
      <c r="Q24" s="5">
        <v>1000000</v>
      </c>
      <c r="R24" s="5">
        <v>0</v>
      </c>
      <c r="S24" s="5">
        <v>0</v>
      </c>
      <c r="T24" s="5">
        <v>1000000</v>
      </c>
      <c r="U24" s="5">
        <v>164495.09079805622</v>
      </c>
      <c r="V24" s="5">
        <v>120000</v>
      </c>
      <c r="W24" s="36">
        <v>30000</v>
      </c>
      <c r="X24" s="5"/>
      <c r="Y24" s="5">
        <f t="shared" si="0"/>
        <v>134495.09079805622</v>
      </c>
      <c r="Z24" s="5">
        <f t="shared" si="1"/>
        <v>14495.090798056219</v>
      </c>
      <c r="AA24" s="17" t="s">
        <v>87</v>
      </c>
      <c r="AD24" s="11">
        <v>163889.68496817024</v>
      </c>
    </row>
    <row r="25" spans="1:35" x14ac:dyDescent="0.25">
      <c r="A25" s="1" t="s">
        <v>36</v>
      </c>
      <c r="B25" s="1" t="s">
        <v>110</v>
      </c>
      <c r="C25" s="5">
        <v>480000</v>
      </c>
      <c r="D25" s="5">
        <v>79644.731049764974</v>
      </c>
      <c r="E25" s="5">
        <v>-0.14820683863945305</v>
      </c>
      <c r="F25" s="5">
        <v>0</v>
      </c>
      <c r="G25" s="5">
        <v>82000</v>
      </c>
      <c r="H25" s="5">
        <v>7000</v>
      </c>
      <c r="I25" s="5">
        <v>14000</v>
      </c>
      <c r="J25" s="5">
        <v>35000</v>
      </c>
      <c r="K25" s="5">
        <v>9000</v>
      </c>
      <c r="L25" s="5">
        <v>0</v>
      </c>
      <c r="M25" s="5">
        <v>0</v>
      </c>
      <c r="N25" s="5">
        <v>260000</v>
      </c>
      <c r="O25" s="5">
        <v>10400</v>
      </c>
      <c r="P25" s="5">
        <v>7800</v>
      </c>
      <c r="Q25" s="5">
        <v>130000</v>
      </c>
      <c r="R25" s="5">
        <v>0</v>
      </c>
      <c r="S25" s="5">
        <v>0</v>
      </c>
      <c r="T25" s="5">
        <v>130000</v>
      </c>
      <c r="U25" s="5">
        <v>161644.58284292632</v>
      </c>
      <c r="V25" s="5">
        <v>128000</v>
      </c>
      <c r="W25" s="36">
        <v>30000</v>
      </c>
      <c r="X25" s="5"/>
      <c r="Y25" s="5">
        <f t="shared" si="0"/>
        <v>131644.58284292632</v>
      </c>
      <c r="Z25" s="5">
        <f t="shared" si="1"/>
        <v>3644.5828429263202</v>
      </c>
      <c r="AA25" s="17" t="s">
        <v>94</v>
      </c>
      <c r="AD25" s="11">
        <v>161644.73104976496</v>
      </c>
    </row>
    <row r="26" spans="1:35" x14ac:dyDescent="0.25">
      <c r="A26" s="1" t="s">
        <v>75</v>
      </c>
      <c r="B26" s="1" t="s">
        <v>76</v>
      </c>
      <c r="C26" s="5">
        <v>30000</v>
      </c>
      <c r="D26" s="5">
        <v>12025.274783900029</v>
      </c>
      <c r="E26" s="5">
        <v>2994.5270055830988</v>
      </c>
      <c r="F26" s="5">
        <v>0</v>
      </c>
      <c r="G26" s="5">
        <v>104000</v>
      </c>
      <c r="H26" s="5">
        <v>7000</v>
      </c>
      <c r="I26" s="5">
        <v>14000</v>
      </c>
      <c r="J26" s="5">
        <v>35000</v>
      </c>
      <c r="K26" s="5">
        <v>0</v>
      </c>
      <c r="L26" s="5">
        <v>0</v>
      </c>
      <c r="M26" s="5">
        <v>0</v>
      </c>
      <c r="N26" s="5">
        <v>900000</v>
      </c>
      <c r="O26" s="5">
        <v>108000</v>
      </c>
      <c r="P26" s="5">
        <v>0</v>
      </c>
      <c r="Q26" s="5">
        <v>900000</v>
      </c>
      <c r="R26" s="5">
        <v>0</v>
      </c>
      <c r="S26" s="5">
        <v>0</v>
      </c>
      <c r="T26" s="5">
        <v>0</v>
      </c>
      <c r="U26" s="5">
        <v>119019.80178948313</v>
      </c>
      <c r="V26" s="5">
        <v>88500</v>
      </c>
      <c r="W26" s="36">
        <v>30000</v>
      </c>
      <c r="X26" s="5"/>
      <c r="Y26" s="5">
        <f t="shared" si="0"/>
        <v>89019.801789483128</v>
      </c>
      <c r="Z26" s="5">
        <f t="shared" si="1"/>
        <v>519.80178948312823</v>
      </c>
      <c r="AA26" s="17" t="s">
        <v>91</v>
      </c>
      <c r="AD26" s="11">
        <v>116025.27478390004</v>
      </c>
    </row>
    <row r="27" spans="1:35" x14ac:dyDescent="0.25">
      <c r="A27" s="1" t="s">
        <v>50</v>
      </c>
      <c r="B27" s="1" t="s">
        <v>97</v>
      </c>
      <c r="C27" s="5">
        <v>450000</v>
      </c>
      <c r="D27" s="5">
        <v>81837.118573991771</v>
      </c>
      <c r="E27" s="5">
        <v>12890.22827698091</v>
      </c>
      <c r="F27" s="5">
        <v>0</v>
      </c>
      <c r="G27" s="5">
        <v>94000</v>
      </c>
      <c r="H27" s="5">
        <v>7000</v>
      </c>
      <c r="I27" s="5">
        <v>14000</v>
      </c>
      <c r="J27" s="5">
        <v>35000</v>
      </c>
      <c r="K27" s="5">
        <v>0</v>
      </c>
      <c r="L27" s="5">
        <v>0</v>
      </c>
      <c r="M27" s="5">
        <v>0</v>
      </c>
      <c r="N27" s="5">
        <v>100000</v>
      </c>
      <c r="O27" s="5">
        <v>5000</v>
      </c>
      <c r="P27" s="5">
        <v>0</v>
      </c>
      <c r="Q27" s="5">
        <v>100000</v>
      </c>
      <c r="R27" s="5">
        <v>0</v>
      </c>
      <c r="S27" s="5">
        <v>0</v>
      </c>
      <c r="T27" s="5">
        <v>0</v>
      </c>
      <c r="U27" s="5">
        <v>188727.34685097268</v>
      </c>
      <c r="V27" s="5">
        <v>95000</v>
      </c>
      <c r="W27" s="36">
        <f>30000+30000</f>
        <v>60000</v>
      </c>
      <c r="X27" s="5"/>
      <c r="Y27" s="5">
        <f t="shared" si="0"/>
        <v>128727.34685097268</v>
      </c>
      <c r="Z27" s="5">
        <f t="shared" si="1"/>
        <v>33727.346850972681</v>
      </c>
      <c r="AA27" s="17" t="s">
        <v>94</v>
      </c>
      <c r="AD27" s="11">
        <v>175837.11857399176</v>
      </c>
    </row>
    <row r="28" spans="1:35" x14ac:dyDescent="0.25">
      <c r="A28" s="1" t="s">
        <v>37</v>
      </c>
      <c r="B28" s="1" t="s">
        <v>111</v>
      </c>
      <c r="C28" s="5">
        <v>480000</v>
      </c>
      <c r="D28" s="5">
        <v>80008.312869354428</v>
      </c>
      <c r="E28" s="5">
        <v>1353.7356825511233</v>
      </c>
      <c r="F28" s="5">
        <v>0</v>
      </c>
      <c r="G28" s="5">
        <v>84000</v>
      </c>
      <c r="H28" s="5">
        <v>7000</v>
      </c>
      <c r="I28" s="5">
        <v>14000</v>
      </c>
      <c r="J28" s="5">
        <v>35000</v>
      </c>
      <c r="K28" s="5">
        <v>5000</v>
      </c>
      <c r="L28" s="5">
        <v>0</v>
      </c>
      <c r="M28" s="5">
        <v>0</v>
      </c>
      <c r="N28" s="5">
        <v>2000000</v>
      </c>
      <c r="O28" s="5">
        <v>230000</v>
      </c>
      <c r="P28" s="5">
        <v>120000</v>
      </c>
      <c r="Q28" s="5">
        <v>1000000</v>
      </c>
      <c r="R28" s="5">
        <v>0</v>
      </c>
      <c r="S28" s="5">
        <v>0</v>
      </c>
      <c r="T28" s="5">
        <v>1000000</v>
      </c>
      <c r="U28" s="5">
        <v>165362.04855190555</v>
      </c>
      <c r="V28" s="5">
        <v>130000</v>
      </c>
      <c r="W28" s="36">
        <v>30000</v>
      </c>
      <c r="X28" s="5"/>
      <c r="Y28" s="5">
        <f t="shared" si="0"/>
        <v>135362.04855190555</v>
      </c>
      <c r="Z28" s="5">
        <f t="shared" si="1"/>
        <v>5362.048551905551</v>
      </c>
      <c r="AA28" s="17"/>
      <c r="AD28" s="11">
        <v>164008.31286935444</v>
      </c>
    </row>
    <row r="29" spans="1:35" x14ac:dyDescent="0.25">
      <c r="A29" s="1" t="s">
        <v>38</v>
      </c>
      <c r="B29" s="1" t="s">
        <v>98</v>
      </c>
      <c r="C29" s="5">
        <v>480000</v>
      </c>
      <c r="D29" s="5">
        <v>91731.680250305682</v>
      </c>
      <c r="E29" s="5">
        <v>57225.614111341449</v>
      </c>
      <c r="F29" s="5">
        <v>0</v>
      </c>
      <c r="G29" s="5">
        <v>151000</v>
      </c>
      <c r="H29" s="5">
        <v>7000</v>
      </c>
      <c r="I29" s="5">
        <v>14000</v>
      </c>
      <c r="J29" s="5">
        <v>35000</v>
      </c>
      <c r="K29" s="5">
        <v>0</v>
      </c>
      <c r="L29" s="5">
        <v>0</v>
      </c>
      <c r="M29" s="5">
        <v>0</v>
      </c>
      <c r="N29" s="5">
        <v>500000</v>
      </c>
      <c r="O29" s="5">
        <v>50000</v>
      </c>
      <c r="P29" s="5">
        <v>0</v>
      </c>
      <c r="Q29" s="5">
        <v>500000</v>
      </c>
      <c r="R29" s="5">
        <v>0</v>
      </c>
      <c r="S29" s="5">
        <v>0</v>
      </c>
      <c r="T29" s="5">
        <v>0</v>
      </c>
      <c r="U29" s="5">
        <v>299957.2943616471</v>
      </c>
      <c r="V29" s="5">
        <v>240000</v>
      </c>
      <c r="W29" s="36">
        <v>30000</v>
      </c>
      <c r="X29" s="5"/>
      <c r="Y29" s="5">
        <f t="shared" si="0"/>
        <v>269957.2943616471</v>
      </c>
      <c r="Z29" s="5">
        <f t="shared" si="1"/>
        <v>29957.294361647102</v>
      </c>
      <c r="AA29" s="17"/>
      <c r="AD29" s="11">
        <v>242731.68025030568</v>
      </c>
    </row>
    <row r="30" spans="1:35" x14ac:dyDescent="0.25">
      <c r="A30" s="1" t="s">
        <v>80</v>
      </c>
      <c r="B30" s="1" t="s">
        <v>112</v>
      </c>
      <c r="C30" s="5">
        <v>0</v>
      </c>
      <c r="D30" s="5">
        <v>2138.4782390296004</v>
      </c>
      <c r="E30" s="5">
        <v>0.16900408919900656</v>
      </c>
      <c r="F30" s="5">
        <v>0</v>
      </c>
      <c r="G30" s="5">
        <v>30000</v>
      </c>
      <c r="H30" s="5">
        <v>2500</v>
      </c>
      <c r="I30" s="5">
        <v>5000</v>
      </c>
      <c r="J30" s="5">
        <v>12500</v>
      </c>
      <c r="K30" s="5">
        <v>2000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32138.647243118801</v>
      </c>
      <c r="V30" s="5">
        <v>2139</v>
      </c>
      <c r="W30" s="36">
        <v>30000</v>
      </c>
      <c r="X30" s="5"/>
      <c r="Y30" s="5">
        <f t="shared" si="0"/>
        <v>2138.6472431188013</v>
      </c>
      <c r="Z30" s="5">
        <f t="shared" si="1"/>
        <v>-0.35275688119872939</v>
      </c>
      <c r="AA30" s="17"/>
      <c r="AD30" s="11">
        <v>32138.478239029602</v>
      </c>
    </row>
    <row r="31" spans="1:35" s="14" customFormat="1" x14ac:dyDescent="0.25">
      <c r="A31" s="12" t="s">
        <v>39</v>
      </c>
      <c r="B31" s="12" t="s">
        <v>113</v>
      </c>
      <c r="C31" s="13">
        <v>480000</v>
      </c>
      <c r="D31" s="5">
        <v>0</v>
      </c>
      <c r="E31" s="5">
        <v>0.28740352351451293</v>
      </c>
      <c r="F31" s="13">
        <v>0</v>
      </c>
      <c r="G31" s="5">
        <v>100000</v>
      </c>
      <c r="H31" s="13">
        <v>7000</v>
      </c>
      <c r="I31" s="13">
        <v>14000</v>
      </c>
      <c r="J31" s="13">
        <v>35000</v>
      </c>
      <c r="K31" s="13">
        <v>6000</v>
      </c>
      <c r="L31" s="13">
        <v>0</v>
      </c>
      <c r="M31" s="13">
        <v>0</v>
      </c>
      <c r="N31" s="13">
        <v>1176000</v>
      </c>
      <c r="O31" s="5">
        <v>0</v>
      </c>
      <c r="P31" s="5">
        <v>0</v>
      </c>
      <c r="Q31" s="13">
        <v>1305360</v>
      </c>
      <c r="R31" s="13">
        <v>129360</v>
      </c>
      <c r="S31" s="13">
        <v>0</v>
      </c>
      <c r="T31" s="13">
        <v>0</v>
      </c>
      <c r="U31" s="13">
        <v>100000.28740352351</v>
      </c>
      <c r="V31" s="13">
        <v>60000</v>
      </c>
      <c r="W31" s="36">
        <v>30000</v>
      </c>
      <c r="X31" s="13"/>
      <c r="Y31" s="5">
        <f t="shared" si="0"/>
        <v>70000.287403523515</v>
      </c>
      <c r="Z31" s="5">
        <f t="shared" si="1"/>
        <v>10000.287403523515</v>
      </c>
      <c r="AA31" s="35"/>
      <c r="AB31" s="14" t="s">
        <v>129</v>
      </c>
      <c r="AD31" s="11">
        <v>100000</v>
      </c>
    </row>
    <row r="32" spans="1:35" s="14" customFormat="1" x14ac:dyDescent="0.25">
      <c r="A32" s="12" t="s">
        <v>40</v>
      </c>
      <c r="B32" s="12" t="s">
        <v>114</v>
      </c>
      <c r="C32" s="13">
        <v>117045</v>
      </c>
      <c r="D32" s="5">
        <v>0</v>
      </c>
      <c r="E32" s="5">
        <v>22.240996590782743</v>
      </c>
      <c r="F32" s="13">
        <v>0</v>
      </c>
      <c r="G32" s="5">
        <v>84000</v>
      </c>
      <c r="H32" s="13">
        <v>7000</v>
      </c>
      <c r="I32" s="13">
        <v>14000</v>
      </c>
      <c r="J32" s="13">
        <v>35000</v>
      </c>
      <c r="K32" s="13">
        <v>3000</v>
      </c>
      <c r="L32" s="13">
        <v>0</v>
      </c>
      <c r="M32" s="13">
        <v>0</v>
      </c>
      <c r="N32" s="13">
        <v>0</v>
      </c>
      <c r="O32" s="5">
        <v>0</v>
      </c>
      <c r="P32" s="5">
        <v>0</v>
      </c>
      <c r="Q32" s="13">
        <v>0</v>
      </c>
      <c r="R32" s="13">
        <v>0</v>
      </c>
      <c r="S32" s="13">
        <v>0</v>
      </c>
      <c r="T32" s="13">
        <v>0</v>
      </c>
      <c r="U32" s="13">
        <v>84022.240996590786</v>
      </c>
      <c r="V32" s="13">
        <v>54022</v>
      </c>
      <c r="W32" s="36">
        <v>30000</v>
      </c>
      <c r="X32" s="13"/>
      <c r="Y32" s="5">
        <f t="shared" si="0"/>
        <v>54022.240996590786</v>
      </c>
      <c r="Z32" s="5">
        <f t="shared" si="1"/>
        <v>0.24099659078638069</v>
      </c>
      <c r="AA32" s="35"/>
      <c r="AD32" s="11">
        <v>84000</v>
      </c>
      <c r="AE32" s="11">
        <v>80000</v>
      </c>
      <c r="AH32" s="7">
        <v>281067.24099659082</v>
      </c>
    </row>
    <row r="33" spans="1:36" x14ac:dyDescent="0.25">
      <c r="A33" s="1" t="s">
        <v>41</v>
      </c>
      <c r="B33" s="1" t="s">
        <v>96</v>
      </c>
      <c r="C33" s="5">
        <v>480000</v>
      </c>
      <c r="D33" s="5">
        <v>91170.310621746714</v>
      </c>
      <c r="E33" s="5">
        <v>72138.254558185639</v>
      </c>
      <c r="F33" s="5">
        <v>0</v>
      </c>
      <c r="G33" s="5">
        <v>82000</v>
      </c>
      <c r="H33" s="5">
        <v>7000</v>
      </c>
      <c r="I33" s="5">
        <v>14000</v>
      </c>
      <c r="J33" s="5">
        <v>35000</v>
      </c>
      <c r="K33" s="5">
        <v>4000</v>
      </c>
      <c r="L33" s="5">
        <v>0</v>
      </c>
      <c r="M33" s="5">
        <v>0</v>
      </c>
      <c r="N33" s="5">
        <v>1150000</v>
      </c>
      <c r="O33" s="5">
        <v>114500</v>
      </c>
      <c r="P33" s="5">
        <v>4500</v>
      </c>
      <c r="Q33" s="5">
        <v>1000000</v>
      </c>
      <c r="R33" s="5">
        <v>0</v>
      </c>
      <c r="S33" s="5">
        <v>0</v>
      </c>
      <c r="T33" s="5">
        <v>150000</v>
      </c>
      <c r="U33" s="5">
        <v>245308.56517993234</v>
      </c>
      <c r="V33" s="5">
        <v>200000</v>
      </c>
      <c r="W33" s="36">
        <v>30000</v>
      </c>
      <c r="X33" s="5"/>
      <c r="Y33" s="5">
        <f t="shared" si="0"/>
        <v>215308.56517993234</v>
      </c>
      <c r="Z33" s="5">
        <f t="shared" si="1"/>
        <v>15308.565179932339</v>
      </c>
      <c r="AA33" s="17" t="s">
        <v>97</v>
      </c>
      <c r="AD33" s="11">
        <v>173170.3106217467</v>
      </c>
    </row>
    <row r="34" spans="1:36" s="14" customFormat="1" x14ac:dyDescent="0.25">
      <c r="A34" s="12" t="s">
        <v>42</v>
      </c>
      <c r="B34" s="12" t="s">
        <v>95</v>
      </c>
      <c r="C34" s="13">
        <v>480000</v>
      </c>
      <c r="D34" s="5">
        <v>78422.245259251824</v>
      </c>
      <c r="E34" s="5">
        <v>689.31860616087215</v>
      </c>
      <c r="F34" s="13">
        <v>0</v>
      </c>
      <c r="G34" s="5">
        <v>30000</v>
      </c>
      <c r="H34" s="13">
        <v>2500</v>
      </c>
      <c r="I34" s="13">
        <v>5000</v>
      </c>
      <c r="J34" s="13">
        <v>12500</v>
      </c>
      <c r="K34" s="13">
        <v>5000</v>
      </c>
      <c r="L34" s="13">
        <v>0</v>
      </c>
      <c r="M34" s="13">
        <v>0</v>
      </c>
      <c r="N34" s="13">
        <v>700000</v>
      </c>
      <c r="O34" s="5">
        <v>84000</v>
      </c>
      <c r="P34" s="5">
        <v>0</v>
      </c>
      <c r="Q34" s="13">
        <v>0</v>
      </c>
      <c r="R34" s="13">
        <v>108500</v>
      </c>
      <c r="S34" s="13">
        <v>0</v>
      </c>
      <c r="T34" s="13">
        <v>808500</v>
      </c>
      <c r="U34" s="13">
        <v>109111.5638654127</v>
      </c>
      <c r="V34" s="13">
        <v>79112</v>
      </c>
      <c r="W34" s="36">
        <v>30000</v>
      </c>
      <c r="X34" s="13"/>
      <c r="Y34" s="5">
        <f t="shared" si="0"/>
        <v>79111.563865412696</v>
      </c>
      <c r="Z34" s="5">
        <f t="shared" si="1"/>
        <v>-0.43613458730396815</v>
      </c>
      <c r="AA34" s="35" t="s">
        <v>94</v>
      </c>
      <c r="AB34" s="14" t="s">
        <v>129</v>
      </c>
      <c r="AC34" s="11">
        <v>108500</v>
      </c>
      <c r="AD34" s="11">
        <v>108422.24525925182</v>
      </c>
      <c r="AE34" s="11">
        <v>-285600</v>
      </c>
      <c r="AF34" s="11">
        <v>-488000</v>
      </c>
      <c r="AG34" s="11"/>
      <c r="AH34" s="7">
        <v>-992988.43613458727</v>
      </c>
    </row>
    <row r="35" spans="1:36" s="8" customFormat="1" x14ac:dyDescent="0.25">
      <c r="A35" s="1" t="s">
        <v>43</v>
      </c>
      <c r="B35" s="1" t="s">
        <v>100</v>
      </c>
      <c r="C35" s="5">
        <v>480000</v>
      </c>
      <c r="D35" s="5">
        <v>80425.990897485564</v>
      </c>
      <c r="E35" s="5">
        <v>36.350487807299942</v>
      </c>
      <c r="F35" s="5">
        <v>0</v>
      </c>
      <c r="G35" s="5">
        <v>144000</v>
      </c>
      <c r="H35" s="5">
        <v>7000</v>
      </c>
      <c r="I35" s="5">
        <v>14000</v>
      </c>
      <c r="J35" s="5">
        <v>35000</v>
      </c>
      <c r="K35" s="5">
        <v>23000</v>
      </c>
      <c r="L35" s="5">
        <v>0</v>
      </c>
      <c r="M35" s="5">
        <v>0</v>
      </c>
      <c r="N35" s="5">
        <v>3000000</v>
      </c>
      <c r="O35" s="5">
        <v>170000</v>
      </c>
      <c r="P35" s="5">
        <v>50000</v>
      </c>
      <c r="Q35" s="5">
        <v>2000000</v>
      </c>
      <c r="R35" s="5">
        <v>0</v>
      </c>
      <c r="S35" s="5">
        <v>0</v>
      </c>
      <c r="T35" s="5">
        <v>1000000</v>
      </c>
      <c r="U35" s="5">
        <v>224462.34138529288</v>
      </c>
      <c r="V35" s="5">
        <v>120000</v>
      </c>
      <c r="W35" s="36">
        <v>30000</v>
      </c>
      <c r="X35" s="5"/>
      <c r="Y35" s="5">
        <f t="shared" si="0"/>
        <v>194462.34138529288</v>
      </c>
      <c r="Z35" s="5">
        <f t="shared" si="1"/>
        <v>74462.341385292879</v>
      </c>
      <c r="AA35" s="17" t="s">
        <v>76</v>
      </c>
      <c r="AD35" s="11">
        <v>224425.99089748558</v>
      </c>
    </row>
    <row r="36" spans="1:36" x14ac:dyDescent="0.25">
      <c r="A36" s="1" t="s">
        <v>30</v>
      </c>
      <c r="B36" s="1" t="s">
        <v>115</v>
      </c>
      <c r="C36" s="5">
        <v>480000</v>
      </c>
      <c r="D36" s="5">
        <v>79900.26982663176</v>
      </c>
      <c r="E36" s="5">
        <v>0.30040658926009201</v>
      </c>
      <c r="F36" s="5">
        <v>0</v>
      </c>
      <c r="G36" s="5">
        <v>86500</v>
      </c>
      <c r="H36" s="5">
        <v>7000</v>
      </c>
      <c r="I36" s="5">
        <v>14000</v>
      </c>
      <c r="J36" s="5">
        <v>35000</v>
      </c>
      <c r="K36" s="5">
        <v>11000</v>
      </c>
      <c r="L36" s="5">
        <v>0</v>
      </c>
      <c r="M36" s="5">
        <v>0</v>
      </c>
      <c r="N36" s="5">
        <v>2000000</v>
      </c>
      <c r="O36" s="5">
        <v>240000</v>
      </c>
      <c r="P36" s="5">
        <v>120000</v>
      </c>
      <c r="Q36" s="5">
        <v>1000000</v>
      </c>
      <c r="R36" s="5">
        <v>0</v>
      </c>
      <c r="S36" s="5">
        <v>0</v>
      </c>
      <c r="T36" s="5">
        <v>1000000</v>
      </c>
      <c r="U36" s="5">
        <v>166400.57023322102</v>
      </c>
      <c r="V36" s="5">
        <v>133000</v>
      </c>
      <c r="W36" s="36">
        <v>30000</v>
      </c>
      <c r="X36" s="5"/>
      <c r="Y36" s="5">
        <f t="shared" si="0"/>
        <v>136400.57023322102</v>
      </c>
      <c r="Z36" s="5">
        <f t="shared" si="1"/>
        <v>3400.5702332210203</v>
      </c>
      <c r="AA36" s="17" t="s">
        <v>87</v>
      </c>
      <c r="AD36" s="11">
        <v>166400.26982663176</v>
      </c>
    </row>
    <row r="37" spans="1:36" x14ac:dyDescent="0.25">
      <c r="A37" s="1" t="s">
        <v>44</v>
      </c>
      <c r="B37" s="1" t="s">
        <v>87</v>
      </c>
      <c r="C37" s="5">
        <v>480000</v>
      </c>
      <c r="D37" s="5">
        <v>80218.625624560562</v>
      </c>
      <c r="E37" s="5">
        <v>109.79976263979916</v>
      </c>
      <c r="F37" s="5">
        <v>0</v>
      </c>
      <c r="G37" s="5">
        <v>94000</v>
      </c>
      <c r="H37" s="5">
        <v>7000</v>
      </c>
      <c r="I37" s="5">
        <v>14000</v>
      </c>
      <c r="J37" s="5">
        <v>35000</v>
      </c>
      <c r="K37" s="5">
        <v>7000</v>
      </c>
      <c r="L37" s="5">
        <v>0</v>
      </c>
      <c r="M37" s="5">
        <v>0</v>
      </c>
      <c r="N37" s="5">
        <v>2000000</v>
      </c>
      <c r="O37" s="5">
        <v>230000</v>
      </c>
      <c r="P37" s="5">
        <v>120000</v>
      </c>
      <c r="Q37" s="5">
        <v>1000000</v>
      </c>
      <c r="R37" s="5">
        <v>0</v>
      </c>
      <c r="S37" s="5">
        <v>0</v>
      </c>
      <c r="T37" s="5">
        <v>1000000</v>
      </c>
      <c r="U37" s="5">
        <v>174328.42538720038</v>
      </c>
      <c r="V37" s="5">
        <v>140000</v>
      </c>
      <c r="W37" s="36">
        <v>30000</v>
      </c>
      <c r="X37" s="5"/>
      <c r="Y37" s="5">
        <f t="shared" si="0"/>
        <v>144328.42538720038</v>
      </c>
      <c r="Z37" s="5">
        <f t="shared" si="1"/>
        <v>4328.4253872003756</v>
      </c>
      <c r="AA37" s="17" t="s">
        <v>98</v>
      </c>
      <c r="AD37" s="11">
        <v>174218.62562456058</v>
      </c>
    </row>
    <row r="38" spans="1:36" x14ac:dyDescent="0.25">
      <c r="A38" s="1" t="s">
        <v>45</v>
      </c>
      <c r="B38" s="1" t="s">
        <v>116</v>
      </c>
      <c r="C38" s="5">
        <v>480000</v>
      </c>
      <c r="D38" s="5">
        <v>82325.064676950074</v>
      </c>
      <c r="E38" s="5">
        <v>15968.295339537319</v>
      </c>
      <c r="F38" s="5">
        <v>0</v>
      </c>
      <c r="G38" s="5">
        <v>84000</v>
      </c>
      <c r="H38" s="5">
        <v>7000</v>
      </c>
      <c r="I38" s="5">
        <v>14000</v>
      </c>
      <c r="J38" s="5">
        <v>35000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182293.36001648739</v>
      </c>
      <c r="V38" s="5">
        <v>3500</v>
      </c>
      <c r="W38" s="36">
        <v>30000</v>
      </c>
      <c r="X38" s="5"/>
      <c r="Y38" s="5">
        <f t="shared" si="0"/>
        <v>152293.36001648739</v>
      </c>
      <c r="Z38" s="5">
        <f t="shared" si="1"/>
        <v>148793.36001648739</v>
      </c>
      <c r="AA38" s="17"/>
      <c r="AD38" s="11">
        <v>166325.06467695007</v>
      </c>
    </row>
    <row r="39" spans="1:36" x14ac:dyDescent="0.25">
      <c r="A39" s="1" t="s">
        <v>46</v>
      </c>
      <c r="B39" s="1" t="s">
        <v>117</v>
      </c>
      <c r="C39" s="5">
        <v>480000</v>
      </c>
      <c r="D39" s="5">
        <v>79309.541006732557</v>
      </c>
      <c r="E39" s="5">
        <v>0.17330693561234511</v>
      </c>
      <c r="F39" s="5">
        <v>0</v>
      </c>
      <c r="G39" s="5">
        <v>54000</v>
      </c>
      <c r="H39" s="5">
        <v>4500</v>
      </c>
      <c r="I39" s="5">
        <v>9000</v>
      </c>
      <c r="J39" s="5">
        <v>22500</v>
      </c>
      <c r="K39" s="5">
        <v>15000</v>
      </c>
      <c r="L39" s="5">
        <v>0</v>
      </c>
      <c r="M39" s="5">
        <v>0</v>
      </c>
      <c r="N39" s="5">
        <v>1000000</v>
      </c>
      <c r="O39" s="5">
        <v>40000</v>
      </c>
      <c r="P39" s="5">
        <v>0</v>
      </c>
      <c r="Q39" s="5">
        <v>1155000</v>
      </c>
      <c r="R39" s="5">
        <v>155000</v>
      </c>
      <c r="S39" s="5">
        <v>0</v>
      </c>
      <c r="T39" s="5">
        <v>0</v>
      </c>
      <c r="U39" s="5">
        <v>133309.71431366817</v>
      </c>
      <c r="V39" s="5">
        <v>103310</v>
      </c>
      <c r="W39" s="36">
        <v>30000</v>
      </c>
      <c r="X39" s="5"/>
      <c r="Y39" s="5">
        <f t="shared" si="0"/>
        <v>103309.71431366817</v>
      </c>
      <c r="Z39" s="5">
        <f t="shared" si="1"/>
        <v>-0.2856863318302203</v>
      </c>
      <c r="AA39" s="17"/>
      <c r="AD39" s="11">
        <v>133309.54100673256</v>
      </c>
    </row>
    <row r="40" spans="1:36" x14ac:dyDescent="0.25">
      <c r="A40" s="1" t="s">
        <v>81</v>
      </c>
      <c r="B40" s="1" t="s">
        <v>118</v>
      </c>
      <c r="C40" s="5">
        <v>0</v>
      </c>
      <c r="D40" s="5">
        <v>3376.913330814542</v>
      </c>
      <c r="E40" s="5">
        <v>0</v>
      </c>
      <c r="F40" s="5">
        <v>0</v>
      </c>
      <c r="G40" s="5">
        <v>104000</v>
      </c>
      <c r="H40" s="5">
        <v>7000</v>
      </c>
      <c r="I40" s="5">
        <v>14000</v>
      </c>
      <c r="J40" s="5">
        <v>35000</v>
      </c>
      <c r="K40" s="5">
        <v>3000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107376.91333081454</v>
      </c>
      <c r="V40" s="5">
        <v>0</v>
      </c>
      <c r="W40" s="36">
        <f>30000+77377</f>
        <v>107377</v>
      </c>
      <c r="X40" s="5"/>
      <c r="Y40" s="5">
        <f t="shared" si="0"/>
        <v>-8.6669185460777953E-2</v>
      </c>
      <c r="Z40" s="5">
        <f t="shared" si="1"/>
        <v>-8.6669185460777953E-2</v>
      </c>
      <c r="AA40" s="17"/>
      <c r="AD40" s="11">
        <v>107376.91333081454</v>
      </c>
    </row>
    <row r="41" spans="1:36" s="14" customFormat="1" x14ac:dyDescent="0.25">
      <c r="A41" s="12" t="s">
        <v>47</v>
      </c>
      <c r="B41" s="12" t="s">
        <v>143</v>
      </c>
      <c r="C41" s="13">
        <v>480000</v>
      </c>
      <c r="D41" s="5">
        <v>80174.992283614876</v>
      </c>
      <c r="E41" s="5">
        <v>2777.4644755606423</v>
      </c>
      <c r="F41" s="13">
        <v>0</v>
      </c>
      <c r="G41" s="5">
        <v>82000</v>
      </c>
      <c r="H41" s="13">
        <v>7000</v>
      </c>
      <c r="I41" s="13">
        <v>14000</v>
      </c>
      <c r="J41" s="13">
        <v>35000</v>
      </c>
      <c r="K41" s="13">
        <v>13000</v>
      </c>
      <c r="L41" s="13">
        <v>0</v>
      </c>
      <c r="M41" s="13">
        <v>0</v>
      </c>
      <c r="N41" s="13">
        <v>1000000</v>
      </c>
      <c r="O41" s="5">
        <v>90000</v>
      </c>
      <c r="P41" s="5">
        <v>0</v>
      </c>
      <c r="Q41" s="13">
        <v>400000</v>
      </c>
      <c r="R41" s="13">
        <v>155000</v>
      </c>
      <c r="S41" s="13">
        <v>0</v>
      </c>
      <c r="T41" s="13">
        <v>755000</v>
      </c>
      <c r="U41" s="13">
        <v>164952.45675917552</v>
      </c>
      <c r="V41" s="13">
        <v>130000</v>
      </c>
      <c r="W41" s="36">
        <v>30000</v>
      </c>
      <c r="X41" s="13"/>
      <c r="Y41" s="5">
        <f t="shared" si="0"/>
        <v>134952.45675917552</v>
      </c>
      <c r="Z41" s="5">
        <f t="shared" si="1"/>
        <v>4952.4567591755185</v>
      </c>
      <c r="AA41" s="35" t="s">
        <v>99</v>
      </c>
      <c r="AB41" s="14" t="s">
        <v>129</v>
      </c>
      <c r="AC41" s="11">
        <v>155000</v>
      </c>
      <c r="AD41" s="11">
        <v>162174.99228361488</v>
      </c>
    </row>
    <row r="42" spans="1:36" x14ac:dyDescent="0.25">
      <c r="A42" s="1" t="s">
        <v>48</v>
      </c>
      <c r="B42" s="1" t="s">
        <v>120</v>
      </c>
      <c r="C42" s="5">
        <v>480000</v>
      </c>
      <c r="D42" s="5">
        <v>79793.71388976372</v>
      </c>
      <c r="E42" s="5">
        <v>0</v>
      </c>
      <c r="F42" s="5">
        <v>0</v>
      </c>
      <c r="G42" s="5">
        <v>84000</v>
      </c>
      <c r="H42" s="5">
        <v>7000</v>
      </c>
      <c r="I42" s="5">
        <v>14000</v>
      </c>
      <c r="J42" s="5">
        <v>35000</v>
      </c>
      <c r="K42" s="5">
        <v>0</v>
      </c>
      <c r="L42" s="5">
        <v>0</v>
      </c>
      <c r="M42" s="5">
        <v>0</v>
      </c>
      <c r="N42" s="5">
        <v>184035</v>
      </c>
      <c r="O42" s="5">
        <v>20243.849999999999</v>
      </c>
      <c r="P42" s="5">
        <v>0</v>
      </c>
      <c r="Q42" s="5">
        <v>184035</v>
      </c>
      <c r="R42" s="5">
        <v>0</v>
      </c>
      <c r="S42" s="5">
        <v>0</v>
      </c>
      <c r="T42" s="5">
        <v>0</v>
      </c>
      <c r="U42" s="5">
        <v>163793.71388976372</v>
      </c>
      <c r="V42" s="5">
        <v>0</v>
      </c>
      <c r="W42" s="36">
        <v>30000</v>
      </c>
      <c r="X42" s="5"/>
      <c r="Y42" s="5">
        <f t="shared" si="0"/>
        <v>133793.71388976372</v>
      </c>
      <c r="Z42" s="5">
        <f t="shared" si="1"/>
        <v>133793.71388976372</v>
      </c>
      <c r="AA42" s="17"/>
      <c r="AD42" s="11">
        <v>163793.71388976372</v>
      </c>
    </row>
    <row r="43" spans="1:36" x14ac:dyDescent="0.25">
      <c r="A43" s="1" t="s">
        <v>49</v>
      </c>
      <c r="B43" s="1" t="s">
        <v>121</v>
      </c>
      <c r="C43" s="5">
        <v>480000</v>
      </c>
      <c r="D43" s="5">
        <v>84611.13302311454</v>
      </c>
      <c r="E43" s="5">
        <v>-0.39887899404857308</v>
      </c>
      <c r="F43" s="5">
        <v>0</v>
      </c>
      <c r="G43" s="5">
        <v>174000</v>
      </c>
      <c r="H43" s="5">
        <v>7000</v>
      </c>
      <c r="I43" s="5">
        <v>14000</v>
      </c>
      <c r="J43" s="5">
        <v>35000</v>
      </c>
      <c r="K43" s="5">
        <v>2000</v>
      </c>
      <c r="L43" s="5">
        <v>0</v>
      </c>
      <c r="M43" s="5">
        <v>0</v>
      </c>
      <c r="N43" s="5">
        <v>1000000</v>
      </c>
      <c r="O43" s="5">
        <v>110000</v>
      </c>
      <c r="P43" s="5">
        <v>60000</v>
      </c>
      <c r="Q43" s="5">
        <v>500000</v>
      </c>
      <c r="R43" s="5">
        <v>0</v>
      </c>
      <c r="S43" s="5">
        <v>0</v>
      </c>
      <c r="T43" s="5">
        <v>500000</v>
      </c>
      <c r="U43" s="5">
        <v>258610.73414412048</v>
      </c>
      <c r="V43" s="5">
        <v>200000</v>
      </c>
      <c r="W43" s="36">
        <v>30000</v>
      </c>
      <c r="X43" s="5"/>
      <c r="Y43" s="5">
        <f t="shared" si="0"/>
        <v>228610.73414412048</v>
      </c>
      <c r="Z43" s="5">
        <f t="shared" si="1"/>
        <v>28610.734144120477</v>
      </c>
      <c r="AA43" s="17"/>
      <c r="AB43" t="s">
        <v>59</v>
      </c>
      <c r="AD43" s="11">
        <v>258611.13302311453</v>
      </c>
    </row>
    <row r="44" spans="1:36" x14ac:dyDescent="0.25">
      <c r="A44" s="1" t="s">
        <v>51</v>
      </c>
      <c r="B44" s="1" t="s">
        <v>122</v>
      </c>
      <c r="C44" s="5">
        <v>480000</v>
      </c>
      <c r="D44" s="5">
        <v>95391.522236883728</v>
      </c>
      <c r="E44" s="5">
        <v>1360.775029899698</v>
      </c>
      <c r="F44" s="5">
        <v>0</v>
      </c>
      <c r="G44" s="5">
        <v>84000</v>
      </c>
      <c r="H44" s="5">
        <v>7000</v>
      </c>
      <c r="I44" s="5">
        <v>14000</v>
      </c>
      <c r="J44" s="5">
        <v>35000</v>
      </c>
      <c r="K44" s="5">
        <v>0</v>
      </c>
      <c r="L44" s="5">
        <v>0</v>
      </c>
      <c r="M44" s="5">
        <v>0</v>
      </c>
      <c r="N44" s="5">
        <v>2000000</v>
      </c>
      <c r="O44" s="5">
        <v>200000</v>
      </c>
      <c r="P44" s="5">
        <v>110000</v>
      </c>
      <c r="Q44" s="5">
        <v>1000000</v>
      </c>
      <c r="R44" s="5">
        <v>0</v>
      </c>
      <c r="S44" s="5">
        <v>0</v>
      </c>
      <c r="T44" s="5">
        <v>1000000</v>
      </c>
      <c r="U44" s="5">
        <v>180752.29726678343</v>
      </c>
      <c r="V44" s="5">
        <v>0</v>
      </c>
      <c r="W44" s="36">
        <v>30000</v>
      </c>
      <c r="X44" s="5"/>
      <c r="Y44" s="5">
        <f t="shared" si="0"/>
        <v>150752.29726678343</v>
      </c>
      <c r="Z44" s="5">
        <f t="shared" si="1"/>
        <v>150752.29726678343</v>
      </c>
      <c r="AA44" s="17" t="s">
        <v>91</v>
      </c>
      <c r="AB44" t="s">
        <v>9</v>
      </c>
      <c r="AD44" s="11">
        <v>179391.52223688373</v>
      </c>
    </row>
    <row r="45" spans="1:36" s="14" customFormat="1" x14ac:dyDescent="0.25">
      <c r="A45" s="12" t="s">
        <v>52</v>
      </c>
      <c r="B45" s="12" t="s">
        <v>123</v>
      </c>
      <c r="C45" s="13">
        <v>480000</v>
      </c>
      <c r="D45" s="5">
        <v>78500.211202080493</v>
      </c>
      <c r="E45" s="5">
        <v>1225.3544029653422</v>
      </c>
      <c r="F45" s="13">
        <v>0</v>
      </c>
      <c r="G45" s="5">
        <v>30000</v>
      </c>
      <c r="H45" s="13">
        <v>2500</v>
      </c>
      <c r="I45" s="13">
        <v>5000</v>
      </c>
      <c r="J45" s="13">
        <v>12500</v>
      </c>
      <c r="K45" s="13">
        <v>4000</v>
      </c>
      <c r="L45" s="13">
        <v>0</v>
      </c>
      <c r="M45" s="13">
        <v>0</v>
      </c>
      <c r="N45" s="13">
        <v>850000</v>
      </c>
      <c r="O45" s="5">
        <v>95000</v>
      </c>
      <c r="P45" s="5">
        <v>0</v>
      </c>
      <c r="Q45" s="13">
        <v>0</v>
      </c>
      <c r="R45" s="13">
        <v>131750</v>
      </c>
      <c r="S45" s="13">
        <v>0</v>
      </c>
      <c r="T45" s="13">
        <v>981750</v>
      </c>
      <c r="U45" s="13">
        <v>109725.56560504583</v>
      </c>
      <c r="V45" s="13">
        <v>109726</v>
      </c>
      <c r="W45" s="36"/>
      <c r="X45" s="13"/>
      <c r="Y45" s="5">
        <f t="shared" si="0"/>
        <v>109725.56560504583</v>
      </c>
      <c r="Z45" s="5">
        <f t="shared" si="1"/>
        <v>-0.43439495416532736</v>
      </c>
      <c r="AA45" s="35" t="s">
        <v>98</v>
      </c>
      <c r="AB45" s="14" t="s">
        <v>129</v>
      </c>
      <c r="AC45" s="14">
        <v>131750</v>
      </c>
      <c r="AD45" s="11">
        <v>108500.21120208049</v>
      </c>
      <c r="AE45" s="11">
        <v>54400</v>
      </c>
      <c r="AH45" s="7">
        <v>-337624.43439495418</v>
      </c>
      <c r="AI45" s="14">
        <v>76650</v>
      </c>
      <c r="AJ45" s="14" t="s">
        <v>171</v>
      </c>
    </row>
    <row r="46" spans="1:36" s="14" customFormat="1" x14ac:dyDescent="0.25">
      <c r="A46" s="12" t="s">
        <v>53</v>
      </c>
      <c r="B46" s="12" t="s">
        <v>124</v>
      </c>
      <c r="C46" s="13">
        <v>30000</v>
      </c>
      <c r="D46" s="5">
        <v>0</v>
      </c>
      <c r="E46" s="5">
        <v>21.303203075842248</v>
      </c>
      <c r="F46" s="13">
        <v>0</v>
      </c>
      <c r="G46" s="5">
        <v>30000</v>
      </c>
      <c r="H46" s="13">
        <v>2500</v>
      </c>
      <c r="I46" s="13">
        <v>5000</v>
      </c>
      <c r="J46" s="13">
        <v>12500</v>
      </c>
      <c r="K46" s="13">
        <v>5500</v>
      </c>
      <c r="L46" s="13">
        <v>0</v>
      </c>
      <c r="M46" s="13">
        <v>0</v>
      </c>
      <c r="N46" s="13">
        <v>0</v>
      </c>
      <c r="O46" s="5">
        <v>0</v>
      </c>
      <c r="P46" s="5">
        <v>0</v>
      </c>
      <c r="Q46" s="13">
        <v>0</v>
      </c>
      <c r="R46" s="13">
        <v>0</v>
      </c>
      <c r="S46" s="13">
        <v>0</v>
      </c>
      <c r="T46" s="13">
        <v>0</v>
      </c>
      <c r="U46" s="13">
        <v>30021.30320307584</v>
      </c>
      <c r="V46" s="13">
        <v>30021</v>
      </c>
      <c r="W46" s="36"/>
      <c r="X46" s="13"/>
      <c r="Y46" s="5">
        <f t="shared" si="0"/>
        <v>30021.30320307584</v>
      </c>
      <c r="Z46" s="5">
        <f t="shared" si="1"/>
        <v>0.30320307584042894</v>
      </c>
      <c r="AA46" s="35"/>
      <c r="AB46" s="14" t="s">
        <v>129</v>
      </c>
      <c r="AD46" s="11">
        <v>30000</v>
      </c>
      <c r="AE46" s="11">
        <v>100000</v>
      </c>
      <c r="AH46" s="7">
        <v>-51453.696796924167</v>
      </c>
    </row>
    <row r="47" spans="1:36" s="14" customFormat="1" x14ac:dyDescent="0.25">
      <c r="A47" s="12" t="s">
        <v>54</v>
      </c>
      <c r="B47" s="12" t="s">
        <v>125</v>
      </c>
      <c r="C47" s="13">
        <v>480000</v>
      </c>
      <c r="D47" s="5">
        <v>77674.987774544497</v>
      </c>
      <c r="E47" s="5">
        <v>0.15040472695545759</v>
      </c>
      <c r="F47" s="13">
        <v>0</v>
      </c>
      <c r="G47" s="5">
        <v>22000</v>
      </c>
      <c r="H47" s="13">
        <v>2000</v>
      </c>
      <c r="I47" s="13">
        <v>4000</v>
      </c>
      <c r="J47" s="13">
        <v>10000</v>
      </c>
      <c r="K47" s="13">
        <v>11000</v>
      </c>
      <c r="L47" s="13">
        <v>0</v>
      </c>
      <c r="M47" s="13">
        <v>0</v>
      </c>
      <c r="N47" s="13">
        <v>2000000</v>
      </c>
      <c r="O47" s="5">
        <v>30000</v>
      </c>
      <c r="P47" s="5">
        <v>0</v>
      </c>
      <c r="Q47" s="13">
        <v>1000000</v>
      </c>
      <c r="R47" s="13">
        <v>155000</v>
      </c>
      <c r="S47" s="13">
        <v>0</v>
      </c>
      <c r="T47" s="13">
        <v>1155000</v>
      </c>
      <c r="U47" s="13">
        <v>99675.138179271453</v>
      </c>
      <c r="V47" s="13">
        <v>69675</v>
      </c>
      <c r="W47" s="36">
        <v>30000</v>
      </c>
      <c r="X47" s="13"/>
      <c r="Y47" s="5">
        <f t="shared" si="0"/>
        <v>69675.138179271453</v>
      </c>
      <c r="Z47" s="5">
        <f t="shared" si="1"/>
        <v>0.13817927145282738</v>
      </c>
      <c r="AA47" s="35" t="s">
        <v>91</v>
      </c>
      <c r="AB47" s="14" t="s">
        <v>129</v>
      </c>
      <c r="AD47" s="11">
        <v>99674.987774544497</v>
      </c>
      <c r="AE47" s="11">
        <v>-7500</v>
      </c>
      <c r="AF47" s="11">
        <v>16000</v>
      </c>
      <c r="AG47" s="11">
        <v>416500</v>
      </c>
      <c r="AH47" s="7">
        <v>-150324.86182072852</v>
      </c>
      <c r="AI47" s="14">
        <v>150325</v>
      </c>
    </row>
    <row r="48" spans="1:36" x14ac:dyDescent="0.25">
      <c r="A48" s="1" t="s">
        <v>55</v>
      </c>
      <c r="B48" s="1" t="s">
        <v>126</v>
      </c>
      <c r="C48" s="5">
        <v>480000</v>
      </c>
      <c r="D48" s="5">
        <v>149658.23869144428</v>
      </c>
      <c r="E48" s="5">
        <v>440720.17653060926</v>
      </c>
      <c r="F48" s="5">
        <v>0</v>
      </c>
      <c r="G48" s="5">
        <v>84000</v>
      </c>
      <c r="H48" s="5">
        <v>7000</v>
      </c>
      <c r="I48" s="5">
        <v>14000</v>
      </c>
      <c r="J48" s="5">
        <v>35000</v>
      </c>
      <c r="K48" s="5">
        <v>17000</v>
      </c>
      <c r="L48" s="5">
        <v>0</v>
      </c>
      <c r="M48" s="5">
        <v>0</v>
      </c>
      <c r="N48" s="5">
        <v>2700000</v>
      </c>
      <c r="O48" s="5">
        <v>151500</v>
      </c>
      <c r="P48" s="5">
        <v>35000</v>
      </c>
      <c r="Q48" s="5">
        <v>2037500</v>
      </c>
      <c r="R48" s="5">
        <v>37500</v>
      </c>
      <c r="S48" s="5">
        <v>0</v>
      </c>
      <c r="T48" s="5">
        <v>700000</v>
      </c>
      <c r="U48" s="5">
        <v>674378.41522205353</v>
      </c>
      <c r="V48" s="5">
        <v>0</v>
      </c>
      <c r="W48" s="36">
        <v>30000</v>
      </c>
      <c r="X48" s="5"/>
      <c r="Y48" s="5">
        <f t="shared" si="0"/>
        <v>644378.41522205353</v>
      </c>
      <c r="Z48" s="5">
        <f t="shared" si="1"/>
        <v>644378.41522205353</v>
      </c>
      <c r="AA48" s="17" t="s">
        <v>100</v>
      </c>
      <c r="AD48" s="11">
        <v>233658.23869144428</v>
      </c>
    </row>
    <row r="49" spans="1:30" x14ac:dyDescent="0.25">
      <c r="A49" s="1" t="s">
        <v>56</v>
      </c>
      <c r="B49" s="1" t="s">
        <v>127</v>
      </c>
      <c r="C49" s="5">
        <v>480000</v>
      </c>
      <c r="D49" s="5">
        <v>317201.9797878497</v>
      </c>
      <c r="E49" s="5">
        <v>1198154.6510912008</v>
      </c>
      <c r="F49" s="5">
        <v>0</v>
      </c>
      <c r="G49" s="5">
        <v>1024000</v>
      </c>
      <c r="H49" s="5">
        <v>7000</v>
      </c>
      <c r="I49" s="5">
        <v>14000</v>
      </c>
      <c r="J49" s="5">
        <v>35000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2539356.6308790506</v>
      </c>
      <c r="V49" s="5">
        <v>0</v>
      </c>
      <c r="W49" s="36">
        <v>30000</v>
      </c>
      <c r="X49" s="5"/>
      <c r="Y49" s="5">
        <f t="shared" si="0"/>
        <v>2509356.6308790506</v>
      </c>
      <c r="Z49" s="5">
        <f t="shared" si="1"/>
        <v>2509356.6308790506</v>
      </c>
      <c r="AA49" s="17"/>
      <c r="AD49" s="11">
        <v>1341201.9797878498</v>
      </c>
    </row>
    <row r="50" spans="1:30" x14ac:dyDescent="0.25">
      <c r="A50" s="1" t="s">
        <v>172</v>
      </c>
      <c r="B50" s="1"/>
      <c r="C50" s="1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spans="1:30" x14ac:dyDescent="0.25">
      <c r="A51" s="1"/>
      <c r="B51" s="1"/>
      <c r="C51" s="1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spans="1:30" x14ac:dyDescent="0.25">
      <c r="A52" s="1"/>
      <c r="B52" s="1"/>
      <c r="C52" s="1"/>
      <c r="D52" s="5"/>
      <c r="E52" s="1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spans="1:30" ht="18" x14ac:dyDescent="0.25">
      <c r="A53" s="1"/>
      <c r="B53" s="1"/>
      <c r="C53" s="1"/>
      <c r="D53" s="5"/>
      <c r="E53" s="9"/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5"/>
      <c r="S53" s="5"/>
    </row>
    <row r="54" spans="1:30" ht="18" x14ac:dyDescent="0.25">
      <c r="A54" s="1" t="s">
        <v>57</v>
      </c>
      <c r="B54" s="1"/>
      <c r="C54" s="9">
        <f>SUM(C6:C53)</f>
        <v>17782722.011083744</v>
      </c>
      <c r="D54" s="9">
        <f>SUM(D6:D53)</f>
        <v>3692643.8500000006</v>
      </c>
      <c r="E54" s="9">
        <f t="shared" ref="E54:Z54" si="2">SUM(E6:E49)</f>
        <v>4844130.5976969898</v>
      </c>
      <c r="F54" s="9">
        <f t="shared" si="2"/>
        <v>0</v>
      </c>
      <c r="G54" s="9">
        <f t="shared" si="2"/>
        <v>5614000</v>
      </c>
      <c r="H54" s="9">
        <f t="shared" si="2"/>
        <v>249500</v>
      </c>
      <c r="I54" s="9">
        <f t="shared" si="2"/>
        <v>499000</v>
      </c>
      <c r="J54" s="9">
        <f t="shared" si="2"/>
        <v>1247500</v>
      </c>
      <c r="K54" s="9">
        <f t="shared" si="2"/>
        <v>235500</v>
      </c>
      <c r="L54" s="9">
        <f t="shared" si="2"/>
        <v>0</v>
      </c>
      <c r="M54" s="9">
        <f t="shared" si="2"/>
        <v>0</v>
      </c>
      <c r="N54" s="9">
        <f t="shared" si="2"/>
        <v>46120035</v>
      </c>
      <c r="O54" s="9">
        <f t="shared" si="2"/>
        <v>3690143.85</v>
      </c>
      <c r="P54" s="9">
        <f t="shared" si="2"/>
        <v>1152300</v>
      </c>
      <c r="Q54" s="9">
        <f t="shared" si="2"/>
        <v>27308395</v>
      </c>
      <c r="R54" s="9">
        <f t="shared" si="2"/>
        <v>1475110</v>
      </c>
      <c r="S54" s="9">
        <f t="shared" si="2"/>
        <v>0</v>
      </c>
      <c r="T54" s="9">
        <f t="shared" si="2"/>
        <v>20286750</v>
      </c>
      <c r="U54" s="9">
        <f t="shared" si="2"/>
        <v>14150774.447696989</v>
      </c>
      <c r="V54" s="9">
        <f t="shared" si="2"/>
        <v>3581923</v>
      </c>
      <c r="W54" s="9">
        <f t="shared" si="2"/>
        <v>1265783</v>
      </c>
      <c r="X54" s="9"/>
      <c r="Y54" s="9">
        <f t="shared" si="2"/>
        <v>12884991.447696989</v>
      </c>
      <c r="Z54" s="9">
        <f t="shared" si="2"/>
        <v>9229775.4476969913</v>
      </c>
    </row>
    <row r="56" spans="1:30" ht="18" x14ac:dyDescent="0.25">
      <c r="K56" s="11"/>
      <c r="U56" s="9">
        <f>E54+G54+O54</f>
        <v>14148274.447696989</v>
      </c>
      <c r="V56" s="9"/>
      <c r="W56" s="9"/>
      <c r="X56" s="9"/>
      <c r="Y56" s="9"/>
      <c r="Z56" s="9"/>
    </row>
    <row r="57" spans="1:30" ht="18" x14ac:dyDescent="0.25">
      <c r="F57" s="9"/>
    </row>
    <row r="58" spans="1:30" ht="18" x14ac:dyDescent="0.25">
      <c r="F58" s="9"/>
      <c r="U58" s="9">
        <f>U56-U54</f>
        <v>-2500</v>
      </c>
      <c r="V58" s="9"/>
      <c r="W58" s="9"/>
      <c r="X58" s="9"/>
      <c r="Y58" s="9"/>
      <c r="Z58" s="9"/>
    </row>
    <row r="59" spans="1:30" ht="18" x14ac:dyDescent="0.25">
      <c r="F59" s="9"/>
    </row>
    <row r="60" spans="1:30" ht="18" x14ac:dyDescent="0.25">
      <c r="F60" s="9"/>
    </row>
    <row r="61" spans="1:30" ht="18" x14ac:dyDescent="0.25">
      <c r="F61" s="9"/>
    </row>
    <row r="62" spans="1:30" ht="18" x14ac:dyDescent="0.25">
      <c r="F62" s="9"/>
    </row>
    <row r="63" spans="1:30" ht="18" x14ac:dyDescent="0.25">
      <c r="F63" s="9"/>
    </row>
    <row r="64" spans="1:30" ht="18" x14ac:dyDescent="0.25">
      <c r="F64" s="9"/>
    </row>
    <row r="65" spans="6:6" ht="18" x14ac:dyDescent="0.25">
      <c r="F65" s="9"/>
    </row>
    <row r="66" spans="6:6" ht="18" x14ac:dyDescent="0.25">
      <c r="F66" s="9"/>
    </row>
    <row r="67" spans="6:6" ht="18" x14ac:dyDescent="0.25">
      <c r="F67" s="9"/>
    </row>
    <row r="69" spans="6:6" ht="18" x14ac:dyDescent="0.25">
      <c r="F69" s="9"/>
    </row>
    <row r="70" spans="6:6" ht="18" x14ac:dyDescent="0.25">
      <c r="F70" s="9"/>
    </row>
    <row r="71" spans="6:6" ht="18" x14ac:dyDescent="0.25">
      <c r="F71" s="9"/>
    </row>
    <row r="72" spans="6:6" ht="18" x14ac:dyDescent="0.25">
      <c r="F72" s="9"/>
    </row>
    <row r="73" spans="6:6" ht="18" x14ac:dyDescent="0.25">
      <c r="F73" s="9"/>
    </row>
  </sheetData>
  <autoFilter ref="A5:Q49">
    <sortState ref="A5:L48">
      <sortCondition ref="B5:B48"/>
    </sortState>
  </autoFilter>
  <pageMargins left="0.7" right="0.7" top="0.75" bottom="0.75" header="0.3" footer="0.3"/>
  <pageSetup orientation="portrait" horizontalDpi="4294967295" verticalDpi="4294967295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I52"/>
  <sheetViews>
    <sheetView workbookViewId="0">
      <selection activeCell="G5" sqref="G5:I5"/>
    </sheetView>
  </sheetViews>
  <sheetFormatPr baseColWidth="10" defaultRowHeight="15" x14ac:dyDescent="0.25"/>
  <cols>
    <col min="2" max="2" width="16.140625" bestFit="1" customWidth="1"/>
    <col min="3" max="3" width="17.140625" bestFit="1" customWidth="1"/>
    <col min="4" max="4" width="13.7109375" bestFit="1" customWidth="1"/>
  </cols>
  <sheetData>
    <row r="2" spans="1:9" x14ac:dyDescent="0.25">
      <c r="B2" t="s">
        <v>230</v>
      </c>
    </row>
    <row r="4" spans="1:9" x14ac:dyDescent="0.25">
      <c r="A4" t="s">
        <v>161</v>
      </c>
      <c r="B4" t="s">
        <v>159</v>
      </c>
      <c r="C4" t="s">
        <v>160</v>
      </c>
    </row>
    <row r="5" spans="1:9" x14ac:dyDescent="0.25">
      <c r="C5" s="6"/>
      <c r="G5" s="11">
        <v>-7500</v>
      </c>
      <c r="H5" s="11">
        <v>16000</v>
      </c>
      <c r="I5" s="11">
        <v>416500</v>
      </c>
    </row>
    <row r="6" spans="1:9" x14ac:dyDescent="0.25">
      <c r="B6" s="6">
        <f>554500+1155000-42500</f>
        <v>1667000</v>
      </c>
      <c r="C6" s="6"/>
    </row>
    <row r="7" spans="1:9" x14ac:dyDescent="0.25">
      <c r="A7" s="62" t="s">
        <v>229</v>
      </c>
      <c r="B7" s="6"/>
      <c r="C7" s="6">
        <v>30000</v>
      </c>
    </row>
    <row r="8" spans="1:9" x14ac:dyDescent="0.25">
      <c r="A8" s="58" t="s">
        <v>198</v>
      </c>
      <c r="B8" s="6"/>
      <c r="C8" s="6">
        <v>30000</v>
      </c>
    </row>
    <row r="9" spans="1:9" x14ac:dyDescent="0.25">
      <c r="A9" s="58" t="s">
        <v>200</v>
      </c>
      <c r="B9" s="6"/>
      <c r="C9" s="6">
        <v>30000</v>
      </c>
    </row>
    <row r="10" spans="1:9" x14ac:dyDescent="0.25">
      <c r="A10" t="s">
        <v>201</v>
      </c>
      <c r="B10" s="6"/>
      <c r="C10" s="6">
        <v>30000</v>
      </c>
      <c r="G10" s="2"/>
    </row>
    <row r="11" spans="1:9" x14ac:dyDescent="0.25">
      <c r="A11" t="s">
        <v>202</v>
      </c>
      <c r="B11" s="6"/>
      <c r="C11" s="6">
        <v>30000</v>
      </c>
    </row>
    <row r="12" spans="1:9" x14ac:dyDescent="0.25">
      <c r="A12" t="s">
        <v>239</v>
      </c>
      <c r="B12" s="6"/>
      <c r="C12" s="6"/>
    </row>
    <row r="13" spans="1:9" x14ac:dyDescent="0.25">
      <c r="A13" t="s">
        <v>241</v>
      </c>
      <c r="B13" s="6"/>
      <c r="C13" s="6">
        <v>30000</v>
      </c>
    </row>
    <row r="14" spans="1:9" x14ac:dyDescent="0.25">
      <c r="A14" t="s">
        <v>244</v>
      </c>
      <c r="B14" s="6"/>
      <c r="C14" s="6">
        <v>120000</v>
      </c>
      <c r="D14" t="s">
        <v>247</v>
      </c>
    </row>
    <row r="15" spans="1:9" x14ac:dyDescent="0.25">
      <c r="A15" t="s">
        <v>246</v>
      </c>
      <c r="B15" s="6"/>
      <c r="C15" s="6">
        <v>60000</v>
      </c>
    </row>
    <row r="16" spans="1:9" x14ac:dyDescent="0.25">
      <c r="A16" t="s">
        <v>252</v>
      </c>
      <c r="B16" s="6"/>
      <c r="C16" s="6">
        <v>30000</v>
      </c>
    </row>
    <row r="17" spans="1:3" x14ac:dyDescent="0.25">
      <c r="A17" s="62">
        <v>44562</v>
      </c>
      <c r="B17" s="6"/>
      <c r="C17" s="6">
        <v>30000</v>
      </c>
    </row>
    <row r="18" spans="1:3" x14ac:dyDescent="0.25">
      <c r="A18" s="62">
        <v>44593</v>
      </c>
      <c r="B18" s="6"/>
      <c r="C18" s="6">
        <v>30000</v>
      </c>
    </row>
    <row r="19" spans="1:3" x14ac:dyDescent="0.25">
      <c r="A19" s="62">
        <v>44621</v>
      </c>
      <c r="B19" s="6"/>
      <c r="C19" s="6">
        <v>30000</v>
      </c>
    </row>
    <row r="20" spans="1:3" x14ac:dyDescent="0.25">
      <c r="A20" s="62">
        <v>44652</v>
      </c>
      <c r="B20" s="6"/>
      <c r="C20" s="6">
        <v>30000</v>
      </c>
    </row>
    <row r="21" spans="1:3" x14ac:dyDescent="0.25">
      <c r="A21" s="62">
        <v>44682</v>
      </c>
      <c r="B21" s="6"/>
      <c r="C21" s="6">
        <v>30000</v>
      </c>
    </row>
    <row r="22" spans="1:3" x14ac:dyDescent="0.25">
      <c r="A22" s="62">
        <v>44713</v>
      </c>
      <c r="B22" s="6"/>
      <c r="C22" s="6">
        <v>30000</v>
      </c>
    </row>
    <row r="23" spans="1:3" x14ac:dyDescent="0.25">
      <c r="A23" s="62">
        <v>44743</v>
      </c>
      <c r="B23" s="6"/>
      <c r="C23" s="6">
        <v>30000</v>
      </c>
    </row>
    <row r="24" spans="1:3" x14ac:dyDescent="0.25">
      <c r="A24" s="62"/>
      <c r="B24" s="6"/>
      <c r="C24" s="6"/>
    </row>
    <row r="25" spans="1:3" x14ac:dyDescent="0.25">
      <c r="A25" s="62"/>
      <c r="B25" s="6"/>
      <c r="C25" s="6"/>
    </row>
    <row r="27" spans="1:3" x14ac:dyDescent="0.25">
      <c r="B27" s="6"/>
      <c r="C27" s="6"/>
    </row>
    <row r="28" spans="1:3" x14ac:dyDescent="0.25">
      <c r="B28" s="6"/>
      <c r="C28" s="6"/>
    </row>
    <row r="29" spans="1:3" x14ac:dyDescent="0.25">
      <c r="B29" s="6"/>
      <c r="C29" s="6"/>
    </row>
    <row r="30" spans="1:3" x14ac:dyDescent="0.25">
      <c r="B30" s="6"/>
      <c r="C30" s="6"/>
    </row>
    <row r="31" spans="1:3" x14ac:dyDescent="0.25">
      <c r="B31" s="6"/>
      <c r="C31" s="6"/>
    </row>
    <row r="32" spans="1:3" x14ac:dyDescent="0.25">
      <c r="B32" s="6"/>
      <c r="C32" s="6"/>
    </row>
    <row r="33" spans="1:4" x14ac:dyDescent="0.25">
      <c r="B33" s="6"/>
      <c r="C33" s="6"/>
    </row>
    <row r="34" spans="1:4" x14ac:dyDescent="0.25">
      <c r="B34" s="6"/>
      <c r="C34" s="6"/>
    </row>
    <row r="35" spans="1:4" ht="21" x14ac:dyDescent="0.35">
      <c r="A35" t="s">
        <v>57</v>
      </c>
      <c r="B35" s="6"/>
      <c r="C35" s="106">
        <f>SUM(C7:C34)</f>
        <v>600000</v>
      </c>
      <c r="D35" s="101">
        <f>+B6-C35</f>
        <v>1067000</v>
      </c>
    </row>
    <row r="36" spans="1:4" x14ac:dyDescent="0.25">
      <c r="B36" s="6"/>
      <c r="C36" s="6"/>
    </row>
    <row r="37" spans="1:4" x14ac:dyDescent="0.25">
      <c r="B37" s="6"/>
      <c r="C37" s="6"/>
    </row>
    <row r="38" spans="1:4" x14ac:dyDescent="0.25">
      <c r="B38" s="6"/>
      <c r="C38" s="6"/>
    </row>
    <row r="39" spans="1:4" x14ac:dyDescent="0.25">
      <c r="B39" s="6"/>
      <c r="C39" s="6"/>
    </row>
    <row r="40" spans="1:4" x14ac:dyDescent="0.25">
      <c r="B40" s="6"/>
      <c r="C40" s="6"/>
    </row>
    <row r="41" spans="1:4" x14ac:dyDescent="0.25">
      <c r="B41" s="6"/>
      <c r="C41" s="6"/>
    </row>
    <row r="42" spans="1:4" x14ac:dyDescent="0.25">
      <c r="B42" s="6"/>
      <c r="C42" s="6"/>
    </row>
    <row r="43" spans="1:4" x14ac:dyDescent="0.25">
      <c r="B43" s="6"/>
      <c r="C43" s="6"/>
    </row>
    <row r="44" spans="1:4" x14ac:dyDescent="0.25">
      <c r="B44" s="6"/>
      <c r="C44" s="6"/>
    </row>
    <row r="45" spans="1:4" x14ac:dyDescent="0.25">
      <c r="C45" s="6"/>
    </row>
    <row r="46" spans="1:4" x14ac:dyDescent="0.25">
      <c r="C46" s="6"/>
    </row>
    <row r="47" spans="1:4" x14ac:dyDescent="0.25">
      <c r="C47" s="6"/>
    </row>
    <row r="48" spans="1:4" x14ac:dyDescent="0.25">
      <c r="C48" s="6"/>
    </row>
    <row r="49" spans="3:3" x14ac:dyDescent="0.25">
      <c r="C49" s="6"/>
    </row>
    <row r="50" spans="3:3" x14ac:dyDescent="0.25">
      <c r="C50" s="6"/>
    </row>
    <row r="51" spans="3:3" x14ac:dyDescent="0.25">
      <c r="C51" s="6"/>
    </row>
    <row r="52" spans="3:3" x14ac:dyDescent="0.25">
      <c r="C52" s="6"/>
    </row>
  </sheetData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37"/>
  <sheetViews>
    <sheetView workbookViewId="0">
      <selection activeCell="B6" sqref="B6"/>
    </sheetView>
  </sheetViews>
  <sheetFormatPr baseColWidth="10" defaultRowHeight="15" x14ac:dyDescent="0.25"/>
  <cols>
    <col min="2" max="2" width="16.140625" bestFit="1" customWidth="1"/>
    <col min="3" max="3" width="17.140625" bestFit="1" customWidth="1"/>
    <col min="4" max="4" width="13.7109375" bestFit="1" customWidth="1"/>
  </cols>
  <sheetData>
    <row r="2" spans="1:7" x14ac:dyDescent="0.25">
      <c r="B2" t="s">
        <v>237</v>
      </c>
    </row>
    <row r="4" spans="1:7" x14ac:dyDescent="0.25">
      <c r="A4" t="s">
        <v>161</v>
      </c>
      <c r="B4" t="s">
        <v>159</v>
      </c>
      <c r="C4" t="s">
        <v>160</v>
      </c>
    </row>
    <row r="6" spans="1:7" x14ac:dyDescent="0.25">
      <c r="A6" t="s">
        <v>160</v>
      </c>
      <c r="B6" s="6">
        <f>1000000+40000+536000-23000+26000</f>
        <v>1579000</v>
      </c>
    </row>
    <row r="7" spans="1:7" x14ac:dyDescent="0.25">
      <c r="B7" s="6"/>
      <c r="C7" s="6"/>
    </row>
    <row r="8" spans="1:7" x14ac:dyDescent="0.25">
      <c r="A8" s="62"/>
      <c r="B8" s="6"/>
      <c r="C8" s="6"/>
    </row>
    <row r="9" spans="1:7" x14ac:dyDescent="0.25">
      <c r="A9" s="58"/>
      <c r="B9" s="6"/>
      <c r="C9" s="6"/>
    </row>
    <row r="10" spans="1:7" x14ac:dyDescent="0.25">
      <c r="A10" s="58"/>
      <c r="B10" s="6"/>
      <c r="C10" s="6"/>
    </row>
    <row r="11" spans="1:7" x14ac:dyDescent="0.25">
      <c r="A11" s="58">
        <v>44460</v>
      </c>
      <c r="C11" s="6">
        <v>100000</v>
      </c>
      <c r="D11" t="s">
        <v>245</v>
      </c>
      <c r="G11" s="2"/>
    </row>
    <row r="12" spans="1:7" x14ac:dyDescent="0.25">
      <c r="A12" s="58"/>
      <c r="C12" s="6"/>
      <c r="G12" s="2"/>
    </row>
    <row r="13" spans="1:7" x14ac:dyDescent="0.25">
      <c r="B13" s="6"/>
      <c r="C13" s="6"/>
    </row>
    <row r="14" spans="1:7" ht="21" x14ac:dyDescent="0.35">
      <c r="A14" t="s">
        <v>57</v>
      </c>
      <c r="B14" s="6"/>
      <c r="C14" s="6">
        <f>SUM(C7:C11)</f>
        <v>100000</v>
      </c>
      <c r="D14" s="101">
        <f>B6-C11</f>
        <v>1479000</v>
      </c>
      <c r="E14" t="s">
        <v>251</v>
      </c>
    </row>
    <row r="15" spans="1:7" x14ac:dyDescent="0.25">
      <c r="B15" s="6"/>
      <c r="C15" s="6"/>
    </row>
    <row r="16" spans="1:7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B27" s="6"/>
      <c r="C27" s="6"/>
    </row>
    <row r="28" spans="2:3" x14ac:dyDescent="0.25">
      <c r="B28" s="6"/>
      <c r="C28" s="6"/>
    </row>
    <row r="29" spans="2:3" x14ac:dyDescent="0.25">
      <c r="B29" s="6"/>
      <c r="C29" s="6"/>
    </row>
    <row r="30" spans="2:3" x14ac:dyDescent="0.25">
      <c r="C30" s="6"/>
    </row>
    <row r="31" spans="2:3" x14ac:dyDescent="0.25"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  <row r="36" spans="3:3" x14ac:dyDescent="0.25">
      <c r="C36" s="6"/>
    </row>
    <row r="37" spans="3:3" x14ac:dyDescent="0.25">
      <c r="C37" s="6"/>
    </row>
  </sheetData>
  <pageMargins left="0.7" right="0.7" top="0.75" bottom="0.75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36"/>
  <sheetViews>
    <sheetView workbookViewId="0">
      <selection activeCell="C10" sqref="C10"/>
    </sheetView>
  </sheetViews>
  <sheetFormatPr baseColWidth="10" defaultRowHeight="15" x14ac:dyDescent="0.25"/>
  <cols>
    <col min="2" max="2" width="16.140625" bestFit="1" customWidth="1"/>
    <col min="3" max="3" width="17.140625" bestFit="1" customWidth="1"/>
  </cols>
  <sheetData>
    <row r="2" spans="1:7" x14ac:dyDescent="0.25">
      <c r="B2" t="s">
        <v>238</v>
      </c>
    </row>
    <row r="4" spans="1:7" x14ac:dyDescent="0.25">
      <c r="A4" t="s">
        <v>161</v>
      </c>
      <c r="B4" t="s">
        <v>159</v>
      </c>
      <c r="C4" t="s">
        <v>160</v>
      </c>
    </row>
    <row r="6" spans="1:7" x14ac:dyDescent="0.25">
      <c r="A6" t="s">
        <v>261</v>
      </c>
      <c r="B6" s="6">
        <f>1000000+80000+98500-46000</f>
        <v>1132500</v>
      </c>
      <c r="D6" t="s">
        <v>250</v>
      </c>
    </row>
    <row r="7" spans="1:7" x14ac:dyDescent="0.25">
      <c r="B7" s="6"/>
      <c r="C7" s="6"/>
    </row>
    <row r="8" spans="1:7" x14ac:dyDescent="0.25">
      <c r="A8" s="62"/>
      <c r="B8" s="6"/>
      <c r="C8" s="6"/>
    </row>
    <row r="9" spans="1:7" x14ac:dyDescent="0.25">
      <c r="A9" s="58"/>
      <c r="B9" s="6"/>
      <c r="C9" s="6"/>
    </row>
    <row r="10" spans="1:7" x14ac:dyDescent="0.25">
      <c r="A10" s="58"/>
      <c r="B10" s="6"/>
      <c r="C10" s="6"/>
    </row>
    <row r="11" spans="1:7" x14ac:dyDescent="0.25">
      <c r="B11" s="6"/>
      <c r="C11" s="6"/>
      <c r="G11" s="2"/>
    </row>
    <row r="12" spans="1:7" x14ac:dyDescent="0.25">
      <c r="B12" s="6"/>
      <c r="C12" s="6"/>
    </row>
    <row r="13" spans="1:7" x14ac:dyDescent="0.25">
      <c r="B13" s="6"/>
      <c r="C13" s="6"/>
    </row>
    <row r="14" spans="1:7" x14ac:dyDescent="0.25">
      <c r="B14" s="6"/>
      <c r="C14" s="6"/>
    </row>
    <row r="15" spans="1:7" x14ac:dyDescent="0.25">
      <c r="B15" s="6"/>
      <c r="C15" s="6"/>
    </row>
    <row r="16" spans="1:7" x14ac:dyDescent="0.25">
      <c r="B16" s="6"/>
      <c r="C16" s="6"/>
    </row>
    <row r="17" spans="2:3" x14ac:dyDescent="0.25">
      <c r="B17" s="6"/>
      <c r="C17" s="6"/>
    </row>
    <row r="18" spans="2:3" x14ac:dyDescent="0.25">
      <c r="B18" s="6"/>
      <c r="C18" s="6"/>
    </row>
    <row r="19" spans="2:3" x14ac:dyDescent="0.25">
      <c r="B19" s="6"/>
      <c r="C19" s="6"/>
    </row>
    <row r="20" spans="2:3" x14ac:dyDescent="0.25">
      <c r="B20" s="6"/>
      <c r="C20" s="6"/>
    </row>
    <row r="21" spans="2:3" x14ac:dyDescent="0.25">
      <c r="B21" s="6"/>
      <c r="C21" s="6"/>
    </row>
    <row r="22" spans="2:3" x14ac:dyDescent="0.25">
      <c r="B22" s="6"/>
      <c r="C22" s="6"/>
    </row>
    <row r="23" spans="2:3" x14ac:dyDescent="0.25">
      <c r="B23" s="6"/>
      <c r="C23" s="6"/>
    </row>
    <row r="24" spans="2:3" x14ac:dyDescent="0.25">
      <c r="B24" s="6"/>
      <c r="C24" s="6"/>
    </row>
    <row r="25" spans="2:3" x14ac:dyDescent="0.25">
      <c r="B25" s="6"/>
      <c r="C25" s="6"/>
    </row>
    <row r="26" spans="2:3" x14ac:dyDescent="0.25">
      <c r="B26" s="6"/>
      <c r="C26" s="6"/>
    </row>
    <row r="27" spans="2:3" x14ac:dyDescent="0.25">
      <c r="B27" s="6"/>
      <c r="C27" s="6"/>
    </row>
    <row r="28" spans="2:3" x14ac:dyDescent="0.25">
      <c r="B28" s="6"/>
      <c r="C28" s="6"/>
    </row>
    <row r="29" spans="2:3" x14ac:dyDescent="0.25">
      <c r="C29" s="6"/>
    </row>
    <row r="30" spans="2:3" x14ac:dyDescent="0.25">
      <c r="C30" s="6"/>
    </row>
    <row r="31" spans="2:3" x14ac:dyDescent="0.25">
      <c r="C31" s="6"/>
    </row>
    <row r="32" spans="2:3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  <row r="36" spans="3:3" x14ac:dyDescent="0.25">
      <c r="C36" s="6"/>
    </row>
  </sheetData>
  <pageMargins left="0.7" right="0.7" top="0.75" bottom="0.75" header="0.3" footer="0.3"/>
  <legacy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9"/>
  <sheetViews>
    <sheetView workbookViewId="0">
      <selection activeCell="K9" sqref="K9"/>
    </sheetView>
  </sheetViews>
  <sheetFormatPr baseColWidth="10" defaultRowHeight="15" x14ac:dyDescent="0.25"/>
  <cols>
    <col min="3" max="3" width="29.5703125" bestFit="1" customWidth="1"/>
    <col min="4" max="4" width="15.85546875" bestFit="1" customWidth="1"/>
    <col min="5" max="5" width="12.42578125" bestFit="1" customWidth="1"/>
    <col min="7" max="7" width="18.85546875" bestFit="1" customWidth="1"/>
  </cols>
  <sheetData>
    <row r="2" spans="1:7" ht="19.5" thickBot="1" x14ac:dyDescent="0.35">
      <c r="A2" s="85" t="s">
        <v>217</v>
      </c>
    </row>
    <row r="3" spans="1:7" ht="15.75" thickTop="1" x14ac:dyDescent="0.25">
      <c r="A3" s="86"/>
      <c r="B3" s="87"/>
      <c r="C3" s="87"/>
      <c r="D3" s="87"/>
      <c r="E3" s="87"/>
      <c r="F3" s="87"/>
      <c r="G3" s="88"/>
    </row>
    <row r="4" spans="1:7" x14ac:dyDescent="0.25">
      <c r="A4" s="78"/>
      <c r="B4" s="50" t="s">
        <v>218</v>
      </c>
      <c r="C4" s="50"/>
      <c r="D4" s="50" t="s">
        <v>219</v>
      </c>
      <c r="E4" s="50" t="s">
        <v>220</v>
      </c>
      <c r="F4" s="50"/>
      <c r="G4" s="51" t="s">
        <v>219</v>
      </c>
    </row>
    <row r="5" spans="1:7" x14ac:dyDescent="0.25">
      <c r="A5" s="78"/>
      <c r="B5" s="50"/>
      <c r="C5" s="50" t="s">
        <v>221</v>
      </c>
      <c r="D5" s="67">
        <v>510000</v>
      </c>
      <c r="E5" s="50"/>
      <c r="F5" s="50" t="s">
        <v>222</v>
      </c>
      <c r="G5" s="89">
        <v>1000000</v>
      </c>
    </row>
    <row r="6" spans="1:7" x14ac:dyDescent="0.25">
      <c r="A6" s="78"/>
      <c r="B6" s="50"/>
      <c r="C6" s="50" t="s">
        <v>9</v>
      </c>
      <c r="D6" s="67">
        <v>130661</v>
      </c>
      <c r="E6" s="50"/>
      <c r="F6" s="50" t="s">
        <v>9</v>
      </c>
      <c r="G6" s="89">
        <v>80000</v>
      </c>
    </row>
    <row r="7" spans="1:7" x14ac:dyDescent="0.25">
      <c r="A7" s="78"/>
      <c r="B7" s="50"/>
      <c r="C7" s="50" t="s">
        <v>131</v>
      </c>
      <c r="D7" s="67">
        <v>60000</v>
      </c>
      <c r="E7" s="50"/>
      <c r="F7" s="50" t="s">
        <v>131</v>
      </c>
      <c r="G7" s="89">
        <v>300000</v>
      </c>
    </row>
    <row r="8" spans="1:7" x14ac:dyDescent="0.25">
      <c r="A8" s="78"/>
      <c r="B8" s="50"/>
      <c r="C8" s="50" t="s">
        <v>223</v>
      </c>
      <c r="D8" s="67">
        <v>900000</v>
      </c>
      <c r="E8" s="50"/>
      <c r="F8" s="50" t="s">
        <v>223</v>
      </c>
      <c r="G8" s="89">
        <v>1000000</v>
      </c>
    </row>
    <row r="9" spans="1:7" x14ac:dyDescent="0.25">
      <c r="A9" s="78"/>
      <c r="B9" s="50"/>
      <c r="C9" s="50" t="s">
        <v>224</v>
      </c>
      <c r="D9" s="67">
        <v>15000</v>
      </c>
      <c r="E9" s="50"/>
      <c r="F9" s="50"/>
      <c r="G9" s="51"/>
    </row>
    <row r="10" spans="1:7" x14ac:dyDescent="0.25">
      <c r="A10" s="78"/>
      <c r="B10" s="50"/>
      <c r="C10" s="50" t="s">
        <v>225</v>
      </c>
      <c r="D10" s="67">
        <v>260000</v>
      </c>
      <c r="E10" s="50"/>
      <c r="F10" s="50"/>
      <c r="G10" s="51"/>
    </row>
    <row r="11" spans="1:7" x14ac:dyDescent="0.25">
      <c r="A11" s="78"/>
      <c r="B11" s="50"/>
      <c r="C11" s="50" t="s">
        <v>226</v>
      </c>
      <c r="D11" s="67">
        <v>350000</v>
      </c>
      <c r="E11" s="50"/>
      <c r="F11" s="50"/>
      <c r="G11" s="51"/>
    </row>
    <row r="12" spans="1:7" x14ac:dyDescent="0.25">
      <c r="A12" s="78"/>
      <c r="B12" s="50"/>
      <c r="C12" s="50" t="s">
        <v>227</v>
      </c>
      <c r="D12" s="67">
        <v>100000</v>
      </c>
      <c r="E12" s="50"/>
      <c r="F12" s="50"/>
      <c r="G12" s="51"/>
    </row>
    <row r="13" spans="1:7" x14ac:dyDescent="0.25">
      <c r="A13" s="78"/>
      <c r="B13" s="50"/>
      <c r="C13" s="50"/>
      <c r="D13" s="67"/>
      <c r="E13" s="50"/>
      <c r="F13" s="50"/>
      <c r="G13" s="51"/>
    </row>
    <row r="14" spans="1:7" x14ac:dyDescent="0.25">
      <c r="A14" s="78"/>
      <c r="B14" s="50"/>
      <c r="C14" s="50"/>
      <c r="D14" s="67"/>
      <c r="E14" s="50"/>
      <c r="F14" s="50"/>
      <c r="G14" s="51"/>
    </row>
    <row r="15" spans="1:7" x14ac:dyDescent="0.25">
      <c r="A15" s="78"/>
      <c r="B15" s="50"/>
      <c r="C15" s="50"/>
      <c r="D15" s="67"/>
      <c r="E15" s="50"/>
      <c r="F15" s="50"/>
      <c r="G15" s="51"/>
    </row>
    <row r="16" spans="1:7" ht="21" x14ac:dyDescent="0.35">
      <c r="A16" s="90" t="s">
        <v>57</v>
      </c>
      <c r="B16" s="91"/>
      <c r="C16" s="91"/>
      <c r="D16" s="92">
        <f>SUM(D5:D12)</f>
        <v>2325661</v>
      </c>
      <c r="E16" s="91"/>
      <c r="F16" s="91"/>
      <c r="G16" s="93">
        <f>SUM(G5:G10)</f>
        <v>2380000</v>
      </c>
    </row>
    <row r="17" spans="1:7" x14ac:dyDescent="0.25">
      <c r="A17" s="78"/>
      <c r="B17" s="50"/>
      <c r="C17" s="50"/>
      <c r="D17" s="50"/>
      <c r="E17" s="50"/>
      <c r="F17" s="50"/>
      <c r="G17" s="51"/>
    </row>
    <row r="18" spans="1:7" ht="27" thickBot="1" x14ac:dyDescent="0.45">
      <c r="A18" s="80"/>
      <c r="B18" s="97" t="s">
        <v>228</v>
      </c>
      <c r="C18" s="94"/>
      <c r="D18" s="94"/>
      <c r="E18" s="95">
        <f>D16-G16</f>
        <v>-54339</v>
      </c>
      <c r="F18" s="94"/>
      <c r="G18" s="96"/>
    </row>
    <row r="19" spans="1:7" ht="15.75" thickTop="1" x14ac:dyDescent="0.25"/>
  </sheetData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C21"/>
  <sheetViews>
    <sheetView topLeftCell="A13" workbookViewId="0">
      <selection activeCell="C7" sqref="C7"/>
    </sheetView>
  </sheetViews>
  <sheetFormatPr baseColWidth="10" defaultRowHeight="15" x14ac:dyDescent="0.25"/>
  <cols>
    <col min="2" max="2" width="37" customWidth="1"/>
  </cols>
  <sheetData>
    <row r="1" spans="2:3" ht="26.25" x14ac:dyDescent="0.4">
      <c r="B1" s="59" t="s">
        <v>167</v>
      </c>
    </row>
    <row r="4" spans="2:3" x14ac:dyDescent="0.25">
      <c r="B4" t="s">
        <v>68</v>
      </c>
      <c r="C4" s="5">
        <v>510000</v>
      </c>
    </row>
    <row r="5" spans="2:3" x14ac:dyDescent="0.25">
      <c r="B5" t="s">
        <v>69</v>
      </c>
      <c r="C5" s="5">
        <v>4776932.807427818</v>
      </c>
    </row>
    <row r="6" spans="2:3" x14ac:dyDescent="0.25">
      <c r="B6" t="s">
        <v>9</v>
      </c>
      <c r="C6" s="5">
        <v>66000</v>
      </c>
    </row>
    <row r="7" spans="2:3" x14ac:dyDescent="0.25">
      <c r="B7" t="s">
        <v>162</v>
      </c>
      <c r="C7" s="5">
        <v>200000</v>
      </c>
    </row>
    <row r="8" spans="2:3" x14ac:dyDescent="0.25">
      <c r="B8" t="s">
        <v>149</v>
      </c>
      <c r="C8" s="5">
        <v>180246.0585920836</v>
      </c>
    </row>
    <row r="10" spans="2:3" x14ac:dyDescent="0.25">
      <c r="C10" s="5">
        <f>SUM(C4:C9)</f>
        <v>5733178.8660199018</v>
      </c>
    </row>
    <row r="11" spans="2:3" x14ac:dyDescent="0.25">
      <c r="C11" s="5"/>
    </row>
    <row r="12" spans="2:3" x14ac:dyDescent="0.25">
      <c r="B12" t="s">
        <v>135</v>
      </c>
      <c r="C12" s="5">
        <v>3500000</v>
      </c>
    </row>
    <row r="14" spans="2:3" x14ac:dyDescent="0.25">
      <c r="B14" t="s">
        <v>60</v>
      </c>
      <c r="C14" s="5">
        <f>C10-C12</f>
        <v>2233178.8660199018</v>
      </c>
    </row>
    <row r="16" spans="2:3" x14ac:dyDescent="0.25">
      <c r="B16" t="s">
        <v>163</v>
      </c>
      <c r="C16" s="5">
        <v>20000</v>
      </c>
    </row>
    <row r="17" spans="2:3" x14ac:dyDescent="0.25">
      <c r="B17" t="s">
        <v>164</v>
      </c>
      <c r="C17" s="5">
        <v>8000</v>
      </c>
    </row>
    <row r="19" spans="2:3" x14ac:dyDescent="0.25">
      <c r="B19" t="s">
        <v>165</v>
      </c>
      <c r="C19" s="5">
        <f>SUM(C16:C18)</f>
        <v>28000</v>
      </c>
    </row>
    <row r="21" spans="2:3" x14ac:dyDescent="0.25">
      <c r="B21" t="s">
        <v>166</v>
      </c>
      <c r="C21" s="5">
        <f>C14-C19</f>
        <v>2205178.8660199018</v>
      </c>
    </row>
  </sheetData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2"/>
  <sheetViews>
    <sheetView workbookViewId="0">
      <selection activeCell="F5" sqref="F5"/>
    </sheetView>
  </sheetViews>
  <sheetFormatPr baseColWidth="10" defaultRowHeight="15" x14ac:dyDescent="0.25"/>
  <sheetData>
    <row r="2" spans="1:5" x14ac:dyDescent="0.25">
      <c r="A2" t="s">
        <v>195</v>
      </c>
      <c r="B2" t="s">
        <v>192</v>
      </c>
      <c r="C2" t="s">
        <v>193</v>
      </c>
      <c r="D2" t="s">
        <v>234</v>
      </c>
    </row>
    <row r="3" spans="1:5" x14ac:dyDescent="0.25">
      <c r="A3" t="s">
        <v>208</v>
      </c>
      <c r="B3" s="2"/>
      <c r="C3" s="2"/>
      <c r="D3" s="2">
        <v>216000</v>
      </c>
    </row>
    <row r="4" spans="1:5" x14ac:dyDescent="0.25">
      <c r="A4" t="s">
        <v>199</v>
      </c>
      <c r="B4" s="2">
        <v>200000</v>
      </c>
      <c r="C4" s="2"/>
      <c r="D4" s="2">
        <f>D3+B4-C4</f>
        <v>416000</v>
      </c>
    </row>
    <row r="5" spans="1:5" x14ac:dyDescent="0.25">
      <c r="A5" t="s">
        <v>200</v>
      </c>
      <c r="B5" s="2">
        <v>30000</v>
      </c>
      <c r="C5" s="2"/>
      <c r="D5" s="2">
        <f>D4+B5-C5</f>
        <v>446000</v>
      </c>
    </row>
    <row r="6" spans="1:5" x14ac:dyDescent="0.25">
      <c r="A6" t="s">
        <v>201</v>
      </c>
      <c r="B6" s="2">
        <v>30000</v>
      </c>
      <c r="C6" s="2"/>
      <c r="D6" s="2">
        <f t="shared" ref="D6:D8" si="0">D5+B6-C6</f>
        <v>476000</v>
      </c>
    </row>
    <row r="7" spans="1:5" x14ac:dyDescent="0.25">
      <c r="A7" t="s">
        <v>239</v>
      </c>
      <c r="B7" s="2">
        <v>30000</v>
      </c>
      <c r="C7" s="2"/>
      <c r="D7" s="2">
        <f t="shared" si="0"/>
        <v>506000</v>
      </c>
    </row>
    <row r="8" spans="1:5" x14ac:dyDescent="0.25">
      <c r="A8" t="s">
        <v>241</v>
      </c>
      <c r="B8" s="2">
        <v>30000</v>
      </c>
      <c r="C8" s="2"/>
      <c r="D8" s="2">
        <f t="shared" si="0"/>
        <v>536000</v>
      </c>
      <c r="E8" t="s">
        <v>20</v>
      </c>
    </row>
    <row r="9" spans="1:5" x14ac:dyDescent="0.25">
      <c r="A9" t="s">
        <v>242</v>
      </c>
      <c r="B9" s="2"/>
      <c r="C9" s="2"/>
      <c r="D9" s="2"/>
    </row>
    <row r="10" spans="1:5" x14ac:dyDescent="0.25">
      <c r="B10" s="2"/>
      <c r="C10" s="2"/>
      <c r="D10" s="2"/>
    </row>
    <row r="11" spans="1:5" x14ac:dyDescent="0.25">
      <c r="B11" s="2"/>
      <c r="C11" s="2"/>
      <c r="D11" s="2"/>
    </row>
    <row r="12" spans="1:5" x14ac:dyDescent="0.25">
      <c r="B12" s="2"/>
      <c r="C12" s="2"/>
      <c r="D12" s="2"/>
    </row>
    <row r="13" spans="1:5" x14ac:dyDescent="0.25">
      <c r="B13" s="2"/>
      <c r="C13" s="2"/>
      <c r="D13" s="2"/>
    </row>
    <row r="14" spans="1:5" x14ac:dyDescent="0.25">
      <c r="B14" s="2"/>
      <c r="C14" s="2"/>
      <c r="D14" s="2"/>
    </row>
    <row r="15" spans="1:5" x14ac:dyDescent="0.25">
      <c r="B15" s="2"/>
      <c r="C15" s="2"/>
      <c r="D15" s="2"/>
    </row>
    <row r="16" spans="1:5" x14ac:dyDescent="0.25">
      <c r="B16" s="2"/>
      <c r="C16" s="2"/>
      <c r="D16" s="2"/>
    </row>
    <row r="17" spans="2:4" x14ac:dyDescent="0.25">
      <c r="B17" s="2"/>
      <c r="C17" s="2"/>
      <c r="D17" s="2"/>
    </row>
    <row r="18" spans="2:4" x14ac:dyDescent="0.25">
      <c r="B18" s="2"/>
      <c r="C18" s="2"/>
      <c r="D18" s="2"/>
    </row>
    <row r="19" spans="2:4" x14ac:dyDescent="0.25">
      <c r="B19" s="2"/>
      <c r="C19" s="2"/>
      <c r="D19" s="2"/>
    </row>
    <row r="20" spans="2:4" x14ac:dyDescent="0.25">
      <c r="B20" s="2"/>
      <c r="C20" s="2"/>
      <c r="D20" s="2"/>
    </row>
    <row r="21" spans="2:4" x14ac:dyDescent="0.25">
      <c r="B21" s="2"/>
      <c r="C21" s="2"/>
      <c r="D21" s="2"/>
    </row>
    <row r="22" spans="2:4" x14ac:dyDescent="0.25">
      <c r="B22" s="2"/>
      <c r="C22" s="2"/>
      <c r="D22" s="2"/>
    </row>
  </sheetData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1"/>
  <sheetViews>
    <sheetView topLeftCell="A34" workbookViewId="0">
      <selection activeCell="A9" sqref="A9:XFD9"/>
    </sheetView>
  </sheetViews>
  <sheetFormatPr baseColWidth="10" defaultRowHeight="15" x14ac:dyDescent="0.25"/>
  <cols>
    <col min="1" max="1" width="30" bestFit="1" customWidth="1"/>
    <col min="2" max="2" width="13.85546875" bestFit="1" customWidth="1"/>
    <col min="3" max="3" width="19.28515625" bestFit="1" customWidth="1"/>
    <col min="4" max="4" width="30" customWidth="1"/>
    <col min="5" max="5" width="20.85546875" bestFit="1" customWidth="1"/>
    <col min="6" max="6" width="21" bestFit="1" customWidth="1"/>
    <col min="7" max="7" width="27.85546875" bestFit="1" customWidth="1"/>
  </cols>
  <sheetData>
    <row r="1" spans="1:9" x14ac:dyDescent="0.25">
      <c r="A1" s="17" t="s">
        <v>1</v>
      </c>
    </row>
    <row r="2" spans="1:9" x14ac:dyDescent="0.25">
      <c r="A2" s="17" t="s">
        <v>82</v>
      </c>
    </row>
    <row r="3" spans="1:9" ht="31.5" x14ac:dyDescent="0.5">
      <c r="B3" s="27" t="s">
        <v>128</v>
      </c>
    </row>
    <row r="4" spans="1:9" ht="15.75" thickBot="1" x14ac:dyDescent="0.3"/>
    <row r="5" spans="1:9" ht="42.75" thickTop="1" x14ac:dyDescent="0.35">
      <c r="A5" s="28" t="s">
        <v>5</v>
      </c>
      <c r="B5" s="29" t="s">
        <v>61</v>
      </c>
      <c r="C5" s="29" t="s">
        <v>63</v>
      </c>
      <c r="D5" s="29" t="s">
        <v>64</v>
      </c>
      <c r="E5" s="29" t="s">
        <v>65</v>
      </c>
      <c r="F5" s="29" t="s">
        <v>88</v>
      </c>
      <c r="G5" s="30" t="s">
        <v>15</v>
      </c>
      <c r="H5" s="33" t="s">
        <v>20</v>
      </c>
      <c r="I5" s="34" t="s">
        <v>59</v>
      </c>
    </row>
    <row r="6" spans="1:9" ht="18.75" x14ac:dyDescent="0.3">
      <c r="A6" s="24" t="s">
        <v>1</v>
      </c>
      <c r="B6" s="26"/>
      <c r="C6" s="26"/>
      <c r="D6" s="26"/>
      <c r="E6" s="26"/>
      <c r="F6" s="26"/>
      <c r="G6" s="25"/>
    </row>
    <row r="7" spans="1:9" ht="18.75" x14ac:dyDescent="0.3">
      <c r="A7" s="24" t="s">
        <v>101</v>
      </c>
      <c r="B7" s="26">
        <v>500000</v>
      </c>
      <c r="C7" s="26">
        <v>0</v>
      </c>
      <c r="D7" s="26">
        <v>0</v>
      </c>
      <c r="E7" s="26">
        <v>88000</v>
      </c>
      <c r="F7" s="26">
        <v>588000</v>
      </c>
      <c r="G7" s="25" t="s">
        <v>89</v>
      </c>
      <c r="H7" t="s">
        <v>129</v>
      </c>
    </row>
    <row r="8" spans="1:9" ht="18.75" x14ac:dyDescent="0.3">
      <c r="A8" s="24" t="s">
        <v>102</v>
      </c>
      <c r="B8" s="26">
        <v>1000000</v>
      </c>
      <c r="C8" s="26">
        <v>30000</v>
      </c>
      <c r="D8" s="26">
        <v>1000000</v>
      </c>
      <c r="E8" s="26">
        <v>0</v>
      </c>
      <c r="F8" s="26">
        <v>0</v>
      </c>
      <c r="G8" s="25"/>
    </row>
    <row r="9" spans="1:9" ht="18.75" x14ac:dyDescent="0.3">
      <c r="A9" s="24" t="s">
        <v>103</v>
      </c>
      <c r="B9" s="26">
        <v>700000</v>
      </c>
      <c r="C9" s="26">
        <v>84000</v>
      </c>
      <c r="D9" s="26">
        <v>0</v>
      </c>
      <c r="E9" s="26">
        <v>0</v>
      </c>
      <c r="F9" s="26">
        <v>700000</v>
      </c>
      <c r="G9" s="25" t="s">
        <v>94</v>
      </c>
      <c r="H9" t="s">
        <v>129</v>
      </c>
    </row>
    <row r="10" spans="1:9" ht="18.75" x14ac:dyDescent="0.3">
      <c r="A10" s="24" t="s">
        <v>78</v>
      </c>
      <c r="B10" s="26"/>
      <c r="C10" s="26"/>
      <c r="D10" s="26"/>
      <c r="E10" s="26"/>
      <c r="F10" s="26"/>
      <c r="G10" s="25"/>
    </row>
    <row r="11" spans="1:9" ht="18.75" x14ac:dyDescent="0.3">
      <c r="A11" s="24" t="s">
        <v>93</v>
      </c>
      <c r="B11" s="26">
        <v>1800000</v>
      </c>
      <c r="C11" s="26">
        <v>108000</v>
      </c>
      <c r="D11" s="26">
        <v>800000</v>
      </c>
      <c r="E11" s="26">
        <v>0</v>
      </c>
      <c r="F11" s="26">
        <v>1000000</v>
      </c>
      <c r="G11" s="25" t="s">
        <v>90</v>
      </c>
      <c r="H11" t="s">
        <v>129</v>
      </c>
    </row>
    <row r="12" spans="1:9" ht="18.75" x14ac:dyDescent="0.3">
      <c r="A12" s="24" t="s">
        <v>104</v>
      </c>
      <c r="B12" s="26">
        <v>1000000</v>
      </c>
      <c r="C12" s="26">
        <v>120000</v>
      </c>
      <c r="D12" s="26">
        <v>470000</v>
      </c>
      <c r="E12" s="26">
        <v>0</v>
      </c>
      <c r="F12" s="26">
        <v>530000</v>
      </c>
      <c r="G12" s="25" t="s">
        <v>91</v>
      </c>
      <c r="H12" s="31">
        <v>251000</v>
      </c>
      <c r="I12" s="32">
        <v>279000</v>
      </c>
    </row>
    <row r="13" spans="1:9" ht="18.75" x14ac:dyDescent="0.3">
      <c r="A13" s="24" t="s">
        <v>89</v>
      </c>
      <c r="B13" s="26">
        <v>2000000</v>
      </c>
      <c r="C13" s="26">
        <v>110000</v>
      </c>
      <c r="D13" s="26">
        <v>1000000</v>
      </c>
      <c r="E13" s="26">
        <v>0</v>
      </c>
      <c r="F13" s="26">
        <v>1000000</v>
      </c>
      <c r="G13" s="25" t="s">
        <v>92</v>
      </c>
      <c r="H13" t="s">
        <v>130</v>
      </c>
    </row>
    <row r="14" spans="1:9" ht="18.75" x14ac:dyDescent="0.3">
      <c r="A14" s="24" t="s">
        <v>70</v>
      </c>
      <c r="B14" s="26">
        <v>1000000</v>
      </c>
      <c r="C14" s="26">
        <v>110000</v>
      </c>
      <c r="D14" s="26">
        <v>0</v>
      </c>
      <c r="E14" s="26">
        <v>0</v>
      </c>
      <c r="F14" s="26">
        <v>1000000</v>
      </c>
      <c r="G14" s="25"/>
      <c r="H14" t="s">
        <v>130</v>
      </c>
    </row>
    <row r="15" spans="1:9" ht="18.75" x14ac:dyDescent="0.3">
      <c r="A15" s="24" t="s">
        <v>105</v>
      </c>
      <c r="B15" s="26">
        <v>700000</v>
      </c>
      <c r="C15" s="26">
        <v>108500</v>
      </c>
      <c r="D15" s="26">
        <v>808500</v>
      </c>
      <c r="E15" s="26">
        <v>108500</v>
      </c>
      <c r="F15" s="26">
        <v>0</v>
      </c>
      <c r="G15" s="25"/>
    </row>
    <row r="16" spans="1:9" ht="18.75" x14ac:dyDescent="0.3">
      <c r="A16" s="24" t="s">
        <v>99</v>
      </c>
      <c r="B16" s="26">
        <v>1000000</v>
      </c>
      <c r="C16" s="26">
        <v>120000</v>
      </c>
      <c r="D16" s="26">
        <v>0</v>
      </c>
      <c r="E16" s="26">
        <v>0</v>
      </c>
      <c r="F16" s="26">
        <v>1000000</v>
      </c>
      <c r="G16" s="25" t="s">
        <v>91</v>
      </c>
      <c r="H16" t="s">
        <v>130</v>
      </c>
    </row>
    <row r="17" spans="1:8" ht="18.75" x14ac:dyDescent="0.3">
      <c r="A17" s="24" t="s">
        <v>106</v>
      </c>
      <c r="B17" s="26"/>
      <c r="C17" s="26"/>
      <c r="D17" s="26"/>
      <c r="E17" s="26"/>
      <c r="F17" s="26"/>
      <c r="G17" s="25"/>
    </row>
    <row r="18" spans="1:8" ht="18.75" x14ac:dyDescent="0.3">
      <c r="A18" s="24" t="s">
        <v>92</v>
      </c>
      <c r="B18" s="26"/>
      <c r="C18" s="26"/>
      <c r="D18" s="26"/>
      <c r="E18" s="26"/>
      <c r="F18" s="26"/>
      <c r="G18" s="25"/>
    </row>
    <row r="19" spans="1:8" ht="18.75" x14ac:dyDescent="0.3">
      <c r="A19" s="24" t="s">
        <v>107</v>
      </c>
      <c r="B19" s="26"/>
      <c r="C19" s="26"/>
      <c r="D19" s="26"/>
      <c r="E19" s="26"/>
      <c r="F19" s="26"/>
      <c r="G19" s="25"/>
    </row>
    <row r="20" spans="1:8" ht="18.75" x14ac:dyDescent="0.3">
      <c r="A20" s="24" t="s">
        <v>90</v>
      </c>
      <c r="B20" s="26">
        <v>900000</v>
      </c>
      <c r="C20" s="26">
        <v>99000</v>
      </c>
      <c r="D20" s="26">
        <v>0</v>
      </c>
      <c r="E20" s="26">
        <v>0</v>
      </c>
      <c r="F20" s="26">
        <v>900000</v>
      </c>
      <c r="G20" s="25" t="s">
        <v>93</v>
      </c>
      <c r="H20" t="s">
        <v>18</v>
      </c>
    </row>
    <row r="21" spans="1:8" ht="18.75" x14ac:dyDescent="0.3">
      <c r="A21" s="24" t="s">
        <v>108</v>
      </c>
      <c r="B21" s="26">
        <v>700000</v>
      </c>
      <c r="C21" s="26">
        <v>77000</v>
      </c>
      <c r="D21" s="26">
        <v>0</v>
      </c>
      <c r="E21" s="26">
        <v>0</v>
      </c>
      <c r="F21" s="26">
        <v>700000</v>
      </c>
      <c r="G21" s="25" t="s">
        <v>95</v>
      </c>
      <c r="H21" t="s">
        <v>18</v>
      </c>
    </row>
    <row r="22" spans="1:8" ht="18.75" x14ac:dyDescent="0.3">
      <c r="A22" s="24" t="s">
        <v>109</v>
      </c>
      <c r="B22" s="26">
        <v>1000000</v>
      </c>
      <c r="C22" s="26">
        <v>110000</v>
      </c>
      <c r="D22" s="26">
        <v>0</v>
      </c>
      <c r="E22" s="26">
        <v>0</v>
      </c>
      <c r="F22" s="26">
        <v>1000000</v>
      </c>
      <c r="G22" s="25" t="s">
        <v>96</v>
      </c>
      <c r="H22" t="s">
        <v>130</v>
      </c>
    </row>
    <row r="23" spans="1:8" ht="18.75" x14ac:dyDescent="0.3">
      <c r="A23" s="24" t="s">
        <v>91</v>
      </c>
      <c r="B23" s="26">
        <v>1000000</v>
      </c>
      <c r="C23" s="26">
        <v>110000</v>
      </c>
      <c r="D23" s="26">
        <v>0</v>
      </c>
      <c r="E23" s="26">
        <v>0</v>
      </c>
      <c r="F23" s="26">
        <v>1000000</v>
      </c>
      <c r="G23" s="25" t="s">
        <v>87</v>
      </c>
      <c r="H23" t="s">
        <v>130</v>
      </c>
    </row>
    <row r="24" spans="1:8" ht="18.75" x14ac:dyDescent="0.3">
      <c r="A24" s="24" t="s">
        <v>110</v>
      </c>
      <c r="B24" s="26">
        <v>130000</v>
      </c>
      <c r="C24" s="26">
        <v>2600</v>
      </c>
      <c r="D24" s="26">
        <v>0</v>
      </c>
      <c r="E24" s="26">
        <v>0</v>
      </c>
      <c r="F24" s="26">
        <v>130000</v>
      </c>
      <c r="G24" s="25" t="s">
        <v>94</v>
      </c>
      <c r="H24" t="s">
        <v>129</v>
      </c>
    </row>
    <row r="25" spans="1:8" ht="18.75" x14ac:dyDescent="0.3">
      <c r="A25" s="24" t="s">
        <v>76</v>
      </c>
      <c r="B25" s="26">
        <v>900000</v>
      </c>
      <c r="C25" s="26">
        <v>108000</v>
      </c>
      <c r="D25" s="26">
        <v>0</v>
      </c>
      <c r="E25" s="26">
        <v>0</v>
      </c>
      <c r="F25" s="26">
        <v>900000</v>
      </c>
      <c r="G25" s="25" t="s">
        <v>91</v>
      </c>
      <c r="H25" t="s">
        <v>130</v>
      </c>
    </row>
    <row r="26" spans="1:8" ht="18.75" x14ac:dyDescent="0.3">
      <c r="A26" s="24" t="s">
        <v>97</v>
      </c>
      <c r="B26" s="26">
        <v>100000</v>
      </c>
      <c r="C26" s="26">
        <v>5000</v>
      </c>
      <c r="D26" s="26">
        <v>0</v>
      </c>
      <c r="E26" s="26">
        <v>0</v>
      </c>
      <c r="F26" s="26">
        <v>100000</v>
      </c>
      <c r="G26" s="25" t="s">
        <v>94</v>
      </c>
      <c r="H26" t="s">
        <v>130</v>
      </c>
    </row>
    <row r="27" spans="1:8" ht="18.75" x14ac:dyDescent="0.3">
      <c r="A27" s="24" t="s">
        <v>111</v>
      </c>
      <c r="B27" s="26">
        <v>1000000</v>
      </c>
      <c r="C27" s="26">
        <v>110000</v>
      </c>
      <c r="D27" s="26">
        <v>1000000</v>
      </c>
      <c r="E27" s="26">
        <v>0</v>
      </c>
      <c r="F27" s="26">
        <v>0</v>
      </c>
      <c r="G27" s="25"/>
    </row>
    <row r="28" spans="1:8" ht="18.75" x14ac:dyDescent="0.3">
      <c r="A28" s="24" t="s">
        <v>98</v>
      </c>
      <c r="B28" s="26">
        <v>500000</v>
      </c>
      <c r="C28" s="26">
        <v>50000</v>
      </c>
      <c r="D28" s="26">
        <v>500000</v>
      </c>
      <c r="E28" s="26">
        <v>0</v>
      </c>
      <c r="F28" s="26">
        <v>0</v>
      </c>
      <c r="G28" s="25"/>
    </row>
    <row r="29" spans="1:8" ht="18.75" x14ac:dyDescent="0.3">
      <c r="A29" s="24" t="s">
        <v>112</v>
      </c>
      <c r="B29" s="26"/>
      <c r="C29" s="26"/>
      <c r="D29" s="26"/>
      <c r="E29" s="26"/>
      <c r="F29" s="26"/>
      <c r="G29" s="25"/>
    </row>
    <row r="30" spans="1:8" ht="18.75" x14ac:dyDescent="0.3">
      <c r="A30" s="24" t="s">
        <v>113</v>
      </c>
      <c r="B30" s="26">
        <v>1176000</v>
      </c>
      <c r="C30" s="26">
        <v>0</v>
      </c>
      <c r="D30" s="26">
        <v>250000</v>
      </c>
      <c r="E30" s="26">
        <v>129360</v>
      </c>
      <c r="F30" s="26">
        <v>1055360</v>
      </c>
      <c r="G30" s="25"/>
      <c r="H30" t="s">
        <v>18</v>
      </c>
    </row>
    <row r="31" spans="1:8" ht="18.75" x14ac:dyDescent="0.3">
      <c r="A31" s="24" t="s">
        <v>114</v>
      </c>
      <c r="B31" s="26"/>
      <c r="C31" s="26"/>
      <c r="D31" s="26"/>
      <c r="E31" s="26"/>
      <c r="F31" s="26"/>
      <c r="G31" s="25"/>
    </row>
    <row r="32" spans="1:8" ht="18.75" x14ac:dyDescent="0.3">
      <c r="A32" s="24" t="s">
        <v>96</v>
      </c>
      <c r="B32" s="26">
        <v>1000000</v>
      </c>
      <c r="C32" s="26">
        <v>110000</v>
      </c>
      <c r="D32" s="26">
        <v>0</v>
      </c>
      <c r="E32" s="26">
        <v>0</v>
      </c>
      <c r="F32" s="26">
        <v>1000000</v>
      </c>
      <c r="G32" s="25" t="s">
        <v>97</v>
      </c>
    </row>
    <row r="33" spans="1:8" ht="18.75" x14ac:dyDescent="0.3">
      <c r="A33" s="24" t="s">
        <v>95</v>
      </c>
      <c r="B33" s="26">
        <v>700000</v>
      </c>
      <c r="C33" s="26">
        <v>84000</v>
      </c>
      <c r="D33" s="26">
        <v>0</v>
      </c>
      <c r="E33" s="26">
        <v>0</v>
      </c>
      <c r="F33" s="26">
        <v>700000</v>
      </c>
      <c r="G33" s="25" t="s">
        <v>94</v>
      </c>
      <c r="H33" t="s">
        <v>18</v>
      </c>
    </row>
    <row r="34" spans="1:8" ht="18.75" x14ac:dyDescent="0.3">
      <c r="A34" s="24" t="s">
        <v>100</v>
      </c>
      <c r="B34" s="26">
        <v>2000000</v>
      </c>
      <c r="C34" s="26">
        <v>120000</v>
      </c>
      <c r="D34" s="26">
        <v>1000000</v>
      </c>
      <c r="E34" s="26">
        <v>0</v>
      </c>
      <c r="F34" s="26">
        <v>1000000</v>
      </c>
      <c r="G34" s="25" t="s">
        <v>76</v>
      </c>
      <c r="H34" t="s">
        <v>130</v>
      </c>
    </row>
    <row r="35" spans="1:8" ht="18.75" x14ac:dyDescent="0.3">
      <c r="A35" s="24" t="s">
        <v>115</v>
      </c>
      <c r="B35" s="26">
        <v>1000000</v>
      </c>
      <c r="C35" s="26">
        <v>120000</v>
      </c>
      <c r="D35" s="26">
        <v>0</v>
      </c>
      <c r="E35" s="26">
        <v>0</v>
      </c>
      <c r="F35" s="26">
        <v>1000000</v>
      </c>
      <c r="G35" s="25" t="s">
        <v>87</v>
      </c>
      <c r="H35" t="s">
        <v>130</v>
      </c>
    </row>
    <row r="36" spans="1:8" ht="18.75" x14ac:dyDescent="0.3">
      <c r="A36" s="24" t="s">
        <v>87</v>
      </c>
      <c r="B36" s="26">
        <v>1000000</v>
      </c>
      <c r="C36" s="26">
        <v>110000</v>
      </c>
      <c r="D36" s="26">
        <v>0</v>
      </c>
      <c r="E36" s="26">
        <v>0</v>
      </c>
      <c r="F36" s="26">
        <v>1000000</v>
      </c>
      <c r="G36" s="25" t="s">
        <v>98</v>
      </c>
      <c r="H36" t="s">
        <v>130</v>
      </c>
    </row>
    <row r="37" spans="1:8" ht="18.75" x14ac:dyDescent="0.3">
      <c r="A37" s="24" t="s">
        <v>116</v>
      </c>
      <c r="B37" s="26"/>
      <c r="C37" s="26"/>
      <c r="D37" s="26"/>
      <c r="E37" s="26"/>
      <c r="F37" s="26"/>
      <c r="G37" s="25"/>
    </row>
    <row r="38" spans="1:8" ht="18.75" x14ac:dyDescent="0.3">
      <c r="A38" s="24" t="s">
        <v>117</v>
      </c>
      <c r="B38" s="26">
        <v>1000000</v>
      </c>
      <c r="C38" s="26">
        <v>40000</v>
      </c>
      <c r="D38" s="26">
        <v>1155000</v>
      </c>
      <c r="E38" s="26">
        <v>155000</v>
      </c>
      <c r="F38" s="26">
        <v>0</v>
      </c>
      <c r="G38" s="25"/>
    </row>
    <row r="39" spans="1:8" ht="18.75" x14ac:dyDescent="0.3">
      <c r="A39" s="24" t="s">
        <v>118</v>
      </c>
      <c r="B39" s="26"/>
      <c r="C39" s="26"/>
      <c r="D39" s="26"/>
      <c r="E39" s="26"/>
      <c r="F39" s="26"/>
      <c r="G39" s="25"/>
    </row>
    <row r="40" spans="1:8" ht="18.75" x14ac:dyDescent="0.3">
      <c r="A40" s="24" t="s">
        <v>119</v>
      </c>
      <c r="B40" s="26">
        <v>1000000</v>
      </c>
      <c r="C40" s="26">
        <v>90000</v>
      </c>
      <c r="D40" s="26">
        <v>0</v>
      </c>
      <c r="E40" s="26">
        <v>0</v>
      </c>
      <c r="F40" s="26">
        <v>1000000</v>
      </c>
      <c r="G40" s="25" t="s">
        <v>99</v>
      </c>
      <c r="H40" t="s">
        <v>18</v>
      </c>
    </row>
    <row r="41" spans="1:8" ht="18.75" x14ac:dyDescent="0.3">
      <c r="A41" s="24" t="s">
        <v>120</v>
      </c>
      <c r="B41" s="26">
        <v>184035</v>
      </c>
      <c r="C41" s="26">
        <v>20243.849999999999</v>
      </c>
      <c r="D41" s="26">
        <v>184035</v>
      </c>
      <c r="E41" s="26">
        <v>0</v>
      </c>
      <c r="F41" s="26">
        <v>0</v>
      </c>
      <c r="G41" s="25"/>
    </row>
    <row r="42" spans="1:8" ht="18.75" x14ac:dyDescent="0.3">
      <c r="A42" s="24" t="s">
        <v>121</v>
      </c>
      <c r="B42" s="26">
        <v>500000</v>
      </c>
      <c r="C42" s="26">
        <v>50000</v>
      </c>
      <c r="D42" s="26">
        <v>0</v>
      </c>
      <c r="E42" s="26">
        <v>0</v>
      </c>
      <c r="F42" s="26">
        <v>500000</v>
      </c>
      <c r="G42" s="25" t="s">
        <v>94</v>
      </c>
    </row>
    <row r="43" spans="1:8" ht="18.75" x14ac:dyDescent="0.3">
      <c r="A43" s="24" t="s">
        <v>122</v>
      </c>
      <c r="B43" s="26">
        <v>1000000</v>
      </c>
      <c r="C43" s="26">
        <v>90000</v>
      </c>
      <c r="D43" s="26">
        <v>0</v>
      </c>
      <c r="E43" s="26">
        <v>0</v>
      </c>
      <c r="F43" s="26">
        <v>1000000</v>
      </c>
      <c r="G43" s="25" t="s">
        <v>91</v>
      </c>
      <c r="H43" t="s">
        <v>9</v>
      </c>
    </row>
    <row r="44" spans="1:8" ht="18.75" x14ac:dyDescent="0.3">
      <c r="A44" s="24" t="s">
        <v>123</v>
      </c>
      <c r="B44" s="26">
        <v>850000</v>
      </c>
      <c r="C44" s="26">
        <v>95000</v>
      </c>
      <c r="D44" s="26">
        <v>0</v>
      </c>
      <c r="E44" s="26">
        <v>0</v>
      </c>
      <c r="F44" s="26">
        <v>850000</v>
      </c>
      <c r="G44" s="25" t="s">
        <v>98</v>
      </c>
      <c r="H44" t="s">
        <v>18</v>
      </c>
    </row>
    <row r="45" spans="1:8" ht="18.75" x14ac:dyDescent="0.3">
      <c r="A45" s="24" t="s">
        <v>124</v>
      </c>
      <c r="B45" s="26"/>
      <c r="C45" s="26"/>
      <c r="D45" s="26"/>
      <c r="E45" s="26"/>
      <c r="F45" s="26"/>
      <c r="G45" s="25"/>
    </row>
    <row r="46" spans="1:8" ht="18.75" x14ac:dyDescent="0.3">
      <c r="A46" s="24" t="s">
        <v>125</v>
      </c>
      <c r="B46" s="26">
        <v>2000000</v>
      </c>
      <c r="C46" s="26">
        <v>30000</v>
      </c>
      <c r="D46" s="26">
        <v>1000000</v>
      </c>
      <c r="E46" s="26">
        <v>155000</v>
      </c>
      <c r="F46" s="26">
        <v>1155000</v>
      </c>
      <c r="G46" s="25" t="s">
        <v>91</v>
      </c>
      <c r="H46" t="s">
        <v>18</v>
      </c>
    </row>
    <row r="47" spans="1:8" ht="18.75" x14ac:dyDescent="0.3">
      <c r="A47" s="24" t="s">
        <v>126</v>
      </c>
      <c r="B47" s="26">
        <v>2000000</v>
      </c>
      <c r="C47" s="26">
        <v>119000</v>
      </c>
      <c r="D47" s="26">
        <v>1250000</v>
      </c>
      <c r="E47" s="26">
        <v>37500</v>
      </c>
      <c r="F47" s="26">
        <v>787500</v>
      </c>
      <c r="G47" s="25" t="s">
        <v>100</v>
      </c>
      <c r="H47" t="s">
        <v>130</v>
      </c>
    </row>
    <row r="48" spans="1:8" ht="18.75" x14ac:dyDescent="0.3">
      <c r="A48" s="24" t="s">
        <v>127</v>
      </c>
      <c r="B48" s="26"/>
      <c r="C48" s="26"/>
      <c r="D48" s="26"/>
      <c r="E48" s="26"/>
      <c r="F48" s="26"/>
      <c r="G48" s="25"/>
    </row>
    <row r="49" spans="1:7" x14ac:dyDescent="0.25">
      <c r="A49" s="19"/>
      <c r="B49" s="18"/>
      <c r="C49" s="18"/>
      <c r="D49" s="18"/>
      <c r="E49" s="18"/>
      <c r="F49" s="18"/>
      <c r="G49" s="20"/>
    </row>
    <row r="50" spans="1:7" ht="19.5" thickBot="1" x14ac:dyDescent="0.35">
      <c r="A50" s="22" t="s">
        <v>57</v>
      </c>
      <c r="B50" s="23">
        <f>SUM(B6:B49)</f>
        <v>31340035</v>
      </c>
      <c r="C50" s="23">
        <f>SUM(C6:C49)</f>
        <v>2540343.85</v>
      </c>
      <c r="D50" s="23">
        <f>SUM(D6:D49)</f>
        <v>10417535</v>
      </c>
      <c r="E50" s="23">
        <f>SUM(E6:E49)</f>
        <v>673360</v>
      </c>
      <c r="F50" s="23">
        <f>SUM(F6:F49)</f>
        <v>21595860</v>
      </c>
      <c r="G50" s="21"/>
    </row>
    <row r="51" spans="1:7" ht="15.75" thickTop="1" x14ac:dyDescent="0.25"/>
  </sheetData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51"/>
  <sheetViews>
    <sheetView workbookViewId="0">
      <pane xSplit="1" ySplit="5" topLeftCell="B42" activePane="bottomRight" state="frozen"/>
      <selection pane="topRight" activeCell="C1" sqref="C1"/>
      <selection pane="bottomLeft" activeCell="A5" sqref="A5"/>
      <selection pane="bottomRight" activeCell="I5" sqref="I5"/>
    </sheetView>
  </sheetViews>
  <sheetFormatPr baseColWidth="10" defaultColWidth="11" defaultRowHeight="15" x14ac:dyDescent="0.25"/>
  <cols>
    <col min="1" max="1" width="23.28515625" customWidth="1"/>
    <col min="2" max="2" width="14.140625" customWidth="1"/>
    <col min="3" max="3" width="12.85546875" customWidth="1"/>
    <col min="4" max="4" width="12.5703125" customWidth="1"/>
    <col min="5" max="5" width="13" customWidth="1"/>
    <col min="6" max="6" width="12.7109375" customWidth="1"/>
    <col min="7" max="7" width="14.28515625" customWidth="1"/>
    <col min="8" max="8" width="14.85546875" customWidth="1"/>
    <col min="9" max="9" width="13" customWidth="1"/>
    <col min="10" max="10" width="14.28515625" customWidth="1"/>
  </cols>
  <sheetData>
    <row r="1" spans="1:10" x14ac:dyDescent="0.25">
      <c r="A1" s="1" t="s">
        <v>0</v>
      </c>
      <c r="B1" s="1" t="s">
        <v>1</v>
      </c>
      <c r="C1" s="1"/>
      <c r="D1" s="1"/>
      <c r="E1" s="1"/>
    </row>
    <row r="2" spans="1:10" ht="18" x14ac:dyDescent="0.25">
      <c r="A2" s="1" t="s">
        <v>2</v>
      </c>
      <c r="B2" s="1" t="s">
        <v>74</v>
      </c>
      <c r="C2" s="37" t="s">
        <v>141</v>
      </c>
      <c r="D2" s="1"/>
      <c r="E2" s="1"/>
    </row>
    <row r="3" spans="1:10" ht="31.5" x14ac:dyDescent="0.5">
      <c r="A3" s="1"/>
      <c r="B3" s="27" t="s">
        <v>140</v>
      </c>
      <c r="C3" s="5"/>
      <c r="D3" s="1"/>
      <c r="E3" s="1"/>
    </row>
    <row r="4" spans="1:10" ht="15.75" thickBot="1" x14ac:dyDescent="0.3">
      <c r="A4" s="5"/>
      <c r="B4" s="5"/>
      <c r="C4" s="1"/>
      <c r="D4" s="1"/>
    </row>
    <row r="5" spans="1:10" ht="44.25" thickTop="1" x14ac:dyDescent="0.25">
      <c r="A5" s="38" t="s">
        <v>5</v>
      </c>
      <c r="B5" s="40" t="s">
        <v>68</v>
      </c>
      <c r="C5" s="40" t="s">
        <v>142</v>
      </c>
      <c r="D5" s="39" t="s">
        <v>69</v>
      </c>
      <c r="E5" s="39" t="s">
        <v>9</v>
      </c>
      <c r="F5" s="40" t="s">
        <v>65</v>
      </c>
      <c r="G5" s="40" t="s">
        <v>88</v>
      </c>
      <c r="H5" s="40" t="s">
        <v>86</v>
      </c>
      <c r="I5" s="40" t="s">
        <v>138</v>
      </c>
      <c r="J5" s="41" t="s">
        <v>136</v>
      </c>
    </row>
    <row r="6" spans="1:10" ht="15.75" customHeight="1" x14ac:dyDescent="0.25">
      <c r="A6" s="42" t="s">
        <v>1</v>
      </c>
      <c r="B6" s="43">
        <f>MVTRESUME2019!C6</f>
        <v>394081.01108374598</v>
      </c>
      <c r="C6" s="43">
        <f>MVTRESUME2019!D6</f>
        <v>62668.935014227369</v>
      </c>
      <c r="D6" s="43">
        <f>MVTRESUME2019!E6</f>
        <v>0</v>
      </c>
      <c r="E6" s="43">
        <f>MVTRESUME2019!G6</f>
        <v>0</v>
      </c>
      <c r="F6" s="43">
        <v>0</v>
      </c>
      <c r="G6" s="43">
        <v>0</v>
      </c>
      <c r="H6" s="5">
        <f>C6+D6+E6</f>
        <v>62668.935014227369</v>
      </c>
      <c r="I6" s="43"/>
      <c r="J6" s="44">
        <f>H6-I6</f>
        <v>62668.935014227369</v>
      </c>
    </row>
    <row r="7" spans="1:10" s="14" customFormat="1" x14ac:dyDescent="0.25">
      <c r="A7" s="45" t="s">
        <v>101</v>
      </c>
      <c r="B7" s="43">
        <f>MVTRESUME2019!C7</f>
        <v>480000</v>
      </c>
      <c r="C7" s="43">
        <f>MVTRESUME2019!D7</f>
        <v>0</v>
      </c>
      <c r="D7" s="43">
        <f>MVTRESUME2019!E7</f>
        <v>0.49369671277236193</v>
      </c>
      <c r="E7" s="43">
        <f>MVTRESUME2019!G7</f>
        <v>2000</v>
      </c>
      <c r="F7" s="46">
        <v>88000</v>
      </c>
      <c r="G7" s="46">
        <v>0</v>
      </c>
      <c r="H7" s="5">
        <f t="shared" ref="H7:H48" si="0">C7+D7+E7</f>
        <v>2000.4936967127724</v>
      </c>
      <c r="I7" s="43"/>
      <c r="J7" s="44">
        <f t="shared" ref="J7:J48" si="1">H7-I7</f>
        <v>2000.4936967127724</v>
      </c>
    </row>
    <row r="8" spans="1:10" x14ac:dyDescent="0.25">
      <c r="A8" s="42" t="s">
        <v>102</v>
      </c>
      <c r="B8" s="43">
        <f>MVTRESUME2019!C8</f>
        <v>480000</v>
      </c>
      <c r="C8" s="43">
        <f>MVTRESUME2019!D8</f>
        <v>79945.737949015122</v>
      </c>
      <c r="D8" s="43">
        <f>MVTRESUME2019!E8</f>
        <v>1331.2797186755051</v>
      </c>
      <c r="E8" s="43">
        <f>MVTRESUME2019!G8</f>
        <v>82000</v>
      </c>
      <c r="F8" s="43">
        <v>0</v>
      </c>
      <c r="G8" s="43">
        <v>0</v>
      </c>
      <c r="H8" s="5">
        <f t="shared" si="0"/>
        <v>163277.01766769064</v>
      </c>
      <c r="I8" s="43">
        <v>30000</v>
      </c>
      <c r="J8" s="44">
        <f t="shared" si="1"/>
        <v>133277.01766769064</v>
      </c>
    </row>
    <row r="9" spans="1:10" s="14" customFormat="1" x14ac:dyDescent="0.25">
      <c r="A9" s="45" t="s">
        <v>103</v>
      </c>
      <c r="B9" s="43">
        <f>MVTRESUME2019!C9</f>
        <v>480000</v>
      </c>
      <c r="C9" s="43">
        <f>MVTRESUME2019!D9</f>
        <v>79896.677076385677</v>
      </c>
      <c r="D9" s="43">
        <f>MVTRESUME2019!E9</f>
        <v>3703.9516264695849</v>
      </c>
      <c r="E9" s="43">
        <f>MVTRESUME2019!G9</f>
        <v>54000</v>
      </c>
      <c r="F9" s="46">
        <v>108500</v>
      </c>
      <c r="G9" s="46">
        <v>808500</v>
      </c>
      <c r="H9" s="5">
        <f t="shared" si="0"/>
        <v>137600.62870285526</v>
      </c>
      <c r="I9" s="43"/>
      <c r="J9" s="44">
        <f t="shared" si="1"/>
        <v>137600.62870285526</v>
      </c>
    </row>
    <row r="10" spans="1:10" x14ac:dyDescent="0.25">
      <c r="A10" s="42" t="s">
        <v>78</v>
      </c>
      <c r="B10" s="43">
        <f>MVTRESUME2019!C10</f>
        <v>0</v>
      </c>
      <c r="C10" s="43">
        <f>MVTRESUME2019!D10</f>
        <v>1764.4540515245424</v>
      </c>
      <c r="D10" s="43">
        <f>MVTRESUME2019!E10</f>
        <v>2994.5270055831024</v>
      </c>
      <c r="E10" s="43">
        <f>MVTRESUME2019!G10</f>
        <v>12000</v>
      </c>
      <c r="F10" s="43">
        <v>0</v>
      </c>
      <c r="G10" s="43">
        <v>0</v>
      </c>
      <c r="H10" s="5">
        <f t="shared" si="0"/>
        <v>16758.981057107645</v>
      </c>
      <c r="I10" s="43"/>
      <c r="J10" s="44">
        <f t="shared" si="1"/>
        <v>16758.981057107645</v>
      </c>
    </row>
    <row r="11" spans="1:10" x14ac:dyDescent="0.25">
      <c r="A11" s="42" t="s">
        <v>93</v>
      </c>
      <c r="B11" s="43">
        <f>MVTRESUME2019!C11</f>
        <v>480000</v>
      </c>
      <c r="C11" s="43">
        <f>MVTRESUME2019!D11</f>
        <v>81380.868527515064</v>
      </c>
      <c r="D11" s="43">
        <f>MVTRESUME2019!E11</f>
        <v>404.48981912998715</v>
      </c>
      <c r="E11" s="43">
        <f>MVTRESUME2019!G11</f>
        <v>97500</v>
      </c>
      <c r="F11" s="43">
        <v>50000</v>
      </c>
      <c r="G11" s="43">
        <v>1050000</v>
      </c>
      <c r="H11" s="5">
        <f t="shared" si="0"/>
        <v>179285.35834664505</v>
      </c>
      <c r="I11" s="43">
        <v>30000</v>
      </c>
      <c r="J11" s="44">
        <f t="shared" si="1"/>
        <v>149285.35834664505</v>
      </c>
    </row>
    <row r="12" spans="1:10" x14ac:dyDescent="0.25">
      <c r="A12" s="42" t="s">
        <v>104</v>
      </c>
      <c r="B12" s="43">
        <f>MVTRESUME2019!C13</f>
        <v>480000</v>
      </c>
      <c r="C12" s="43">
        <f>MVTRESUME2019!D13</f>
        <v>79798.878874522779</v>
      </c>
      <c r="D12" s="43">
        <f>MVTRESUME2019!E13</f>
        <v>32.581814608536661</v>
      </c>
      <c r="E12" s="43">
        <f>MVTRESUME2019!G13</f>
        <v>84000</v>
      </c>
      <c r="F12" s="43">
        <v>0</v>
      </c>
      <c r="G12" s="43">
        <v>800000</v>
      </c>
      <c r="H12" s="5">
        <f t="shared" si="0"/>
        <v>163831.46068913132</v>
      </c>
      <c r="I12" s="43">
        <v>30000</v>
      </c>
      <c r="J12" s="44">
        <f t="shared" si="1"/>
        <v>133831.46068913132</v>
      </c>
    </row>
    <row r="13" spans="1:10" x14ac:dyDescent="0.25">
      <c r="A13" s="42" t="s">
        <v>89</v>
      </c>
      <c r="B13" s="43">
        <f>MVTRESUME2019!C14</f>
        <v>480000</v>
      </c>
      <c r="C13" s="43">
        <f>MVTRESUME2019!D14</f>
        <v>79954.051721931959</v>
      </c>
      <c r="D13" s="43">
        <f>MVTRESUME2019!E14</f>
        <v>8.234061673283577E-2</v>
      </c>
      <c r="E13" s="43">
        <f>MVTRESUME2019!G14</f>
        <v>93500</v>
      </c>
      <c r="F13" s="43">
        <v>0</v>
      </c>
      <c r="G13" s="43">
        <v>1000000</v>
      </c>
      <c r="H13" s="5">
        <f t="shared" si="0"/>
        <v>173454.13406254869</v>
      </c>
      <c r="I13" s="43">
        <v>30000</v>
      </c>
      <c r="J13" s="44">
        <f t="shared" si="1"/>
        <v>143454.13406254869</v>
      </c>
    </row>
    <row r="14" spans="1:10" x14ac:dyDescent="0.25">
      <c r="A14" s="42" t="s">
        <v>70</v>
      </c>
      <c r="B14" s="43">
        <f>MVTRESUME2019!C15</f>
        <v>441596</v>
      </c>
      <c r="C14" s="43">
        <f>MVTRESUME2019!D15</f>
        <v>73699.144246646392</v>
      </c>
      <c r="D14" s="43">
        <f>MVTRESUME2019!E15</f>
        <v>0.16900408919900656</v>
      </c>
      <c r="E14" s="43">
        <f>MVTRESUME2019!G15</f>
        <v>84000</v>
      </c>
      <c r="F14" s="43">
        <v>0</v>
      </c>
      <c r="G14" s="43">
        <v>1000000</v>
      </c>
      <c r="H14" s="5">
        <f t="shared" si="0"/>
        <v>157699.31325073558</v>
      </c>
      <c r="I14" s="43">
        <v>30000</v>
      </c>
      <c r="J14" s="44">
        <f t="shared" si="1"/>
        <v>127699.31325073558</v>
      </c>
    </row>
    <row r="15" spans="1:10" x14ac:dyDescent="0.25">
      <c r="A15" s="42" t="s">
        <v>105</v>
      </c>
      <c r="B15" s="43">
        <f>MVTRESUME2019!C16</f>
        <v>480000</v>
      </c>
      <c r="C15" s="43">
        <f>MVTRESUME2019!D16</f>
        <v>97864.943592884913</v>
      </c>
      <c r="D15" s="43">
        <f>MVTRESUME2019!E16</f>
        <v>113997.13327318276</v>
      </c>
      <c r="E15" s="43">
        <f>MVTRESUME2019!G16</f>
        <v>84000</v>
      </c>
      <c r="F15" s="43">
        <v>108500</v>
      </c>
      <c r="G15" s="43">
        <v>0</v>
      </c>
      <c r="H15" s="5">
        <f t="shared" si="0"/>
        <v>295862.07686606765</v>
      </c>
      <c r="I15" s="43">
        <v>30000</v>
      </c>
      <c r="J15" s="44">
        <f t="shared" si="1"/>
        <v>265862.07686606765</v>
      </c>
    </row>
    <row r="16" spans="1:10" x14ac:dyDescent="0.25">
      <c r="A16" s="42" t="s">
        <v>99</v>
      </c>
      <c r="B16" s="43">
        <f>MVTRESUME2019!C17</f>
        <v>480000</v>
      </c>
      <c r="C16" s="43">
        <f>MVTRESUME2019!D17</f>
        <v>80086.550029503749</v>
      </c>
      <c r="D16" s="43">
        <f>MVTRESUME2019!E17</f>
        <v>2219.5520592769026</v>
      </c>
      <c r="E16" s="43">
        <f>MVTRESUME2019!G17</f>
        <v>82000</v>
      </c>
      <c r="F16" s="43">
        <v>0</v>
      </c>
      <c r="G16" s="43">
        <v>1000000</v>
      </c>
      <c r="H16" s="5">
        <f t="shared" si="0"/>
        <v>164306.10208878067</v>
      </c>
      <c r="I16" s="43">
        <v>30000</v>
      </c>
      <c r="J16" s="44">
        <f t="shared" si="1"/>
        <v>134306.10208878067</v>
      </c>
    </row>
    <row r="17" spans="1:10" x14ac:dyDescent="0.25">
      <c r="A17" s="42" t="s">
        <v>106</v>
      </c>
      <c r="B17" s="43">
        <f>MVTRESUME2019!C18</f>
        <v>480000</v>
      </c>
      <c r="C17" s="43">
        <f>MVTRESUME2019!D18</f>
        <v>80427.583632271897</v>
      </c>
      <c r="D17" s="43">
        <f>MVTRESUME2019!E18</f>
        <v>3998.5841971817717</v>
      </c>
      <c r="E17" s="43">
        <f>MVTRESUME2019!G18</f>
        <v>84000</v>
      </c>
      <c r="F17" s="43">
        <v>0</v>
      </c>
      <c r="G17" s="43">
        <v>1000000</v>
      </c>
      <c r="H17" s="5">
        <f t="shared" si="0"/>
        <v>168426.16782945365</v>
      </c>
      <c r="I17" s="43">
        <v>30000</v>
      </c>
      <c r="J17" s="44">
        <f t="shared" si="1"/>
        <v>138426.16782945365</v>
      </c>
    </row>
    <row r="18" spans="1:10" x14ac:dyDescent="0.25">
      <c r="A18" s="42" t="s">
        <v>92</v>
      </c>
      <c r="B18" s="43">
        <f>MVTRESUME2019!C19</f>
        <v>480000</v>
      </c>
      <c r="C18" s="43">
        <f>MVTRESUME2019!D19</f>
        <v>84433.275952127617</v>
      </c>
      <c r="D18" s="43">
        <f>MVTRESUME2019!E19</f>
        <v>0.44251227390486747</v>
      </c>
      <c r="E18" s="43">
        <f>MVTRESUME2019!G19</f>
        <v>258500</v>
      </c>
      <c r="F18" s="43">
        <v>0</v>
      </c>
      <c r="G18" s="43">
        <v>0</v>
      </c>
      <c r="H18" s="5">
        <f t="shared" si="0"/>
        <v>342933.71846440155</v>
      </c>
      <c r="I18" s="43">
        <v>30000</v>
      </c>
      <c r="J18" s="44">
        <f t="shared" si="1"/>
        <v>312933.71846440155</v>
      </c>
    </row>
    <row r="19" spans="1:10" x14ac:dyDescent="0.25">
      <c r="A19" s="42" t="s">
        <v>107</v>
      </c>
      <c r="B19" s="43">
        <f>MVTRESUME2019!C20</f>
        <v>480000</v>
      </c>
      <c r="C19" s="43">
        <f>MVTRESUME2019!D20</f>
        <v>607034.07913233258</v>
      </c>
      <c r="D19" s="43">
        <f>MVTRESUME2019!E20</f>
        <v>2903898.728295486</v>
      </c>
      <c r="E19" s="43">
        <f>MVTRESUME2019!G20</f>
        <v>1296000</v>
      </c>
      <c r="F19" s="43">
        <v>0</v>
      </c>
      <c r="G19" s="43">
        <v>0</v>
      </c>
      <c r="H19" s="5">
        <f t="shared" si="0"/>
        <v>4806932.807427818</v>
      </c>
      <c r="I19" s="43">
        <v>30000</v>
      </c>
      <c r="J19" s="44">
        <f t="shared" si="1"/>
        <v>4776932.807427818</v>
      </c>
    </row>
    <row r="20" spans="1:10" x14ac:dyDescent="0.25">
      <c r="A20" s="42" t="s">
        <v>90</v>
      </c>
      <c r="B20" s="43">
        <f>MVTRESUME2019!C21</f>
        <v>480000</v>
      </c>
      <c r="C20" s="43">
        <f>MVTRESUME2019!D21</f>
        <v>79661.668675915658</v>
      </c>
      <c r="D20" s="43">
        <f>MVTRESUME2019!E21</f>
        <v>-0.26072546625800896</v>
      </c>
      <c r="E20" s="43">
        <f>MVTRESUME2019!G21</f>
        <v>81000</v>
      </c>
      <c r="F20" s="43">
        <v>139500</v>
      </c>
      <c r="G20" s="43">
        <v>1139500</v>
      </c>
      <c r="H20" s="5">
        <f t="shared" si="0"/>
        <v>160661.40795044939</v>
      </c>
      <c r="I20" s="43">
        <v>30000</v>
      </c>
      <c r="J20" s="44">
        <f t="shared" si="1"/>
        <v>130661.40795044939</v>
      </c>
    </row>
    <row r="21" spans="1:10" s="14" customFormat="1" x14ac:dyDescent="0.25">
      <c r="A21" s="45" t="s">
        <v>108</v>
      </c>
      <c r="B21" s="43">
        <f>MVTRESUME2019!C22</f>
        <v>480000</v>
      </c>
      <c r="C21" s="43">
        <f>MVTRESUME2019!D22</f>
        <v>78414.920478625208</v>
      </c>
      <c r="D21" s="43">
        <f>MVTRESUME2019!E22</f>
        <v>643.11234311138105</v>
      </c>
      <c r="E21" s="43">
        <f>MVTRESUME2019!G22</f>
        <v>30000</v>
      </c>
      <c r="F21" s="46">
        <v>108500</v>
      </c>
      <c r="G21" s="46">
        <v>808500</v>
      </c>
      <c r="H21" s="5">
        <f t="shared" si="0"/>
        <v>109058.03282173659</v>
      </c>
      <c r="I21" s="43"/>
      <c r="J21" s="44">
        <f t="shared" si="1"/>
        <v>109058.03282173659</v>
      </c>
    </row>
    <row r="22" spans="1:10" x14ac:dyDescent="0.25">
      <c r="A22" s="42" t="s">
        <v>109</v>
      </c>
      <c r="B22" s="43">
        <f>MVTRESUME2019!C23</f>
        <v>480000</v>
      </c>
      <c r="C22" s="43">
        <f>MVTRESUME2019!D23</f>
        <v>80181.060176583385</v>
      </c>
      <c r="D22" s="43">
        <f>MVTRESUME2019!E23</f>
        <v>2611.7018854503112</v>
      </c>
      <c r="E22" s="43">
        <f>MVTRESUME2019!G23</f>
        <v>84000</v>
      </c>
      <c r="F22" s="43">
        <v>0</v>
      </c>
      <c r="G22" s="43">
        <v>500000</v>
      </c>
      <c r="H22" s="5">
        <f t="shared" si="0"/>
        <v>166792.7620620337</v>
      </c>
      <c r="I22" s="43">
        <v>30000</v>
      </c>
      <c r="J22" s="44">
        <f t="shared" si="1"/>
        <v>136792.7620620337</v>
      </c>
    </row>
    <row r="23" spans="1:10" x14ac:dyDescent="0.25">
      <c r="A23" s="42" t="s">
        <v>91</v>
      </c>
      <c r="B23" s="43">
        <f>MVTRESUME2019!C24</f>
        <v>480000</v>
      </c>
      <c r="C23" s="43">
        <f>MVTRESUME2019!D24</f>
        <v>79889.68496817023</v>
      </c>
      <c r="D23" s="43">
        <f>MVTRESUME2019!E24</f>
        <v>605.40582988600363</v>
      </c>
      <c r="E23" s="43">
        <f>MVTRESUME2019!G24</f>
        <v>84000</v>
      </c>
      <c r="F23" s="43">
        <v>0</v>
      </c>
      <c r="G23" s="43">
        <v>1000000</v>
      </c>
      <c r="H23" s="5">
        <f t="shared" si="0"/>
        <v>164495.09079805622</v>
      </c>
      <c r="I23" s="43">
        <v>30000</v>
      </c>
      <c r="J23" s="44">
        <f t="shared" si="1"/>
        <v>134495.09079805622</v>
      </c>
    </row>
    <row r="24" spans="1:10" x14ac:dyDescent="0.25">
      <c r="A24" s="42" t="s">
        <v>110</v>
      </c>
      <c r="B24" s="43">
        <f>MVTRESUME2019!C25</f>
        <v>480000</v>
      </c>
      <c r="C24" s="43">
        <f>MVTRESUME2019!D25</f>
        <v>79644.731049764974</v>
      </c>
      <c r="D24" s="43">
        <f>MVTRESUME2019!E25</f>
        <v>-0.14820683863945305</v>
      </c>
      <c r="E24" s="43">
        <f>MVTRESUME2019!G25</f>
        <v>82000</v>
      </c>
      <c r="F24" s="43">
        <v>0</v>
      </c>
      <c r="G24" s="43">
        <v>130000</v>
      </c>
      <c r="H24" s="5">
        <f t="shared" si="0"/>
        <v>161644.58284292632</v>
      </c>
      <c r="I24" s="43">
        <v>30000</v>
      </c>
      <c r="J24" s="44">
        <f t="shared" si="1"/>
        <v>131644.58284292632</v>
      </c>
    </row>
    <row r="25" spans="1:10" x14ac:dyDescent="0.25">
      <c r="A25" s="42" t="s">
        <v>76</v>
      </c>
      <c r="B25" s="43">
        <f>MVTRESUME2019!C26</f>
        <v>30000</v>
      </c>
      <c r="C25" s="43">
        <f>MVTRESUME2019!D26</f>
        <v>12025.274783900029</v>
      </c>
      <c r="D25" s="43">
        <f>MVTRESUME2019!E26</f>
        <v>2994.5270055830988</v>
      </c>
      <c r="E25" s="43">
        <f>MVTRESUME2019!G26</f>
        <v>104000</v>
      </c>
      <c r="F25" s="43">
        <v>0</v>
      </c>
      <c r="G25" s="43">
        <v>0</v>
      </c>
      <c r="H25" s="5">
        <f t="shared" si="0"/>
        <v>119019.80178948313</v>
      </c>
      <c r="I25" s="43">
        <v>30000</v>
      </c>
      <c r="J25" s="44">
        <f t="shared" si="1"/>
        <v>89019.801789483128</v>
      </c>
    </row>
    <row r="26" spans="1:10" x14ac:dyDescent="0.25">
      <c r="A26" s="42" t="s">
        <v>97</v>
      </c>
      <c r="B26" s="43">
        <f>MVTRESUME2019!C27</f>
        <v>450000</v>
      </c>
      <c r="C26" s="43">
        <f>MVTRESUME2019!D27</f>
        <v>81837.118573991771</v>
      </c>
      <c r="D26" s="43">
        <f>MVTRESUME2019!E27</f>
        <v>12890.22827698091</v>
      </c>
      <c r="E26" s="43">
        <f>MVTRESUME2019!G27</f>
        <v>94000</v>
      </c>
      <c r="F26" s="43">
        <v>0</v>
      </c>
      <c r="G26" s="43">
        <v>0</v>
      </c>
      <c r="H26" s="5">
        <f t="shared" si="0"/>
        <v>188727.34685097268</v>
      </c>
      <c r="I26" s="43">
        <v>30000</v>
      </c>
      <c r="J26" s="44">
        <f t="shared" si="1"/>
        <v>158727.34685097268</v>
      </c>
    </row>
    <row r="27" spans="1:10" x14ac:dyDescent="0.25">
      <c r="A27" s="42" t="s">
        <v>111</v>
      </c>
      <c r="B27" s="43">
        <f>MVTRESUME2019!C28</f>
        <v>480000</v>
      </c>
      <c r="C27" s="43">
        <f>MVTRESUME2019!D28</f>
        <v>80008.312869354428</v>
      </c>
      <c r="D27" s="43">
        <f>MVTRESUME2019!E28</f>
        <v>1353.7356825511233</v>
      </c>
      <c r="E27" s="43">
        <f>MVTRESUME2019!G28</f>
        <v>84000</v>
      </c>
      <c r="F27" s="43">
        <v>0</v>
      </c>
      <c r="G27" s="43">
        <v>1000000</v>
      </c>
      <c r="H27" s="5">
        <f t="shared" si="0"/>
        <v>165362.04855190555</v>
      </c>
      <c r="I27" s="43">
        <v>30000</v>
      </c>
      <c r="J27" s="44">
        <f t="shared" si="1"/>
        <v>135362.04855190555</v>
      </c>
    </row>
    <row r="28" spans="1:10" x14ac:dyDescent="0.25">
      <c r="A28" s="42" t="s">
        <v>98</v>
      </c>
      <c r="B28" s="43">
        <f>MVTRESUME2019!C29</f>
        <v>480000</v>
      </c>
      <c r="C28" s="43">
        <f>MVTRESUME2019!D29</f>
        <v>91731.680250305682</v>
      </c>
      <c r="D28" s="43">
        <f>MVTRESUME2019!E29</f>
        <v>57225.614111341449</v>
      </c>
      <c r="E28" s="43">
        <f>MVTRESUME2019!G29</f>
        <v>151000</v>
      </c>
      <c r="F28" s="43">
        <v>0</v>
      </c>
      <c r="G28" s="43">
        <v>0</v>
      </c>
      <c r="H28" s="5">
        <f t="shared" si="0"/>
        <v>299957.2943616471</v>
      </c>
      <c r="I28" s="43">
        <v>30000</v>
      </c>
      <c r="J28" s="44">
        <f t="shared" si="1"/>
        <v>269957.2943616471</v>
      </c>
    </row>
    <row r="29" spans="1:10" x14ac:dyDescent="0.25">
      <c r="A29" s="42" t="s">
        <v>112</v>
      </c>
      <c r="B29" s="43">
        <f>MVTRESUME2019!C30</f>
        <v>0</v>
      </c>
      <c r="C29" s="43">
        <f>MVTRESUME2019!D30</f>
        <v>2138.4782390296004</v>
      </c>
      <c r="D29" s="43">
        <f>MVTRESUME2019!E30</f>
        <v>0.16900408919900656</v>
      </c>
      <c r="E29" s="43">
        <f>MVTRESUME2019!G30</f>
        <v>30000</v>
      </c>
      <c r="F29" s="43">
        <v>0</v>
      </c>
      <c r="G29" s="43">
        <v>0</v>
      </c>
      <c r="H29" s="5">
        <f t="shared" si="0"/>
        <v>32138.647243118801</v>
      </c>
      <c r="I29" s="43"/>
      <c r="J29" s="44">
        <f t="shared" si="1"/>
        <v>32138.647243118801</v>
      </c>
    </row>
    <row r="30" spans="1:10" s="8" customFormat="1" x14ac:dyDescent="0.25">
      <c r="A30" s="47" t="s">
        <v>113</v>
      </c>
      <c r="B30" s="43">
        <f>MVTRESUME2019!C31</f>
        <v>480000</v>
      </c>
      <c r="C30" s="43">
        <f>MVTRESUME2019!D31</f>
        <v>0</v>
      </c>
      <c r="D30" s="43">
        <f>MVTRESUME2019!E31</f>
        <v>0.28740352351451293</v>
      </c>
      <c r="E30" s="43">
        <f>MVTRESUME2019!G31</f>
        <v>100000</v>
      </c>
      <c r="F30" s="48">
        <v>129360</v>
      </c>
      <c r="G30" s="48">
        <v>0</v>
      </c>
      <c r="H30" s="5">
        <f t="shared" si="0"/>
        <v>100000.28740352351</v>
      </c>
      <c r="I30" s="43">
        <v>30000</v>
      </c>
      <c r="J30" s="44">
        <f t="shared" si="1"/>
        <v>70000.287403523515</v>
      </c>
    </row>
    <row r="31" spans="1:10" s="8" customFormat="1" x14ac:dyDescent="0.25">
      <c r="A31" s="47" t="s">
        <v>114</v>
      </c>
      <c r="B31" s="43">
        <f>MVTRESUME2019!C32</f>
        <v>117045</v>
      </c>
      <c r="C31" s="43">
        <f>MVTRESUME2019!D32</f>
        <v>0</v>
      </c>
      <c r="D31" s="43">
        <f>MVTRESUME2019!E32</f>
        <v>22.240996590782743</v>
      </c>
      <c r="E31" s="43">
        <f>MVTRESUME2019!G32</f>
        <v>84000</v>
      </c>
      <c r="F31" s="48">
        <v>0</v>
      </c>
      <c r="G31" s="48">
        <v>0</v>
      </c>
      <c r="H31" s="5">
        <f t="shared" si="0"/>
        <v>84022.240996590786</v>
      </c>
      <c r="I31" s="43">
        <v>30000</v>
      </c>
      <c r="J31" s="44">
        <f t="shared" si="1"/>
        <v>54022.240996590786</v>
      </c>
    </row>
    <row r="32" spans="1:10" x14ac:dyDescent="0.25">
      <c r="A32" s="42" t="s">
        <v>96</v>
      </c>
      <c r="B32" s="43">
        <f>MVTRESUME2019!C33</f>
        <v>480000</v>
      </c>
      <c r="C32" s="43">
        <f>MVTRESUME2019!D33</f>
        <v>91170.310621746714</v>
      </c>
      <c r="D32" s="43">
        <f>MVTRESUME2019!E33</f>
        <v>72138.254558185639</v>
      </c>
      <c r="E32" s="43">
        <f>MVTRESUME2019!G33</f>
        <v>82000</v>
      </c>
      <c r="F32" s="43">
        <v>0</v>
      </c>
      <c r="G32" s="43">
        <v>150000</v>
      </c>
      <c r="H32" s="5">
        <f t="shared" si="0"/>
        <v>245308.56517993234</v>
      </c>
      <c r="I32" s="43">
        <v>30000</v>
      </c>
      <c r="J32" s="44">
        <f t="shared" si="1"/>
        <v>215308.56517993234</v>
      </c>
    </row>
    <row r="33" spans="1:10" s="14" customFormat="1" x14ac:dyDescent="0.25">
      <c r="A33" s="45" t="s">
        <v>95</v>
      </c>
      <c r="B33" s="43">
        <f>MVTRESUME2019!C34</f>
        <v>480000</v>
      </c>
      <c r="C33" s="43">
        <f>MVTRESUME2019!D34</f>
        <v>78422.245259251824</v>
      </c>
      <c r="D33" s="43">
        <f>MVTRESUME2019!E34</f>
        <v>689.31860616087215</v>
      </c>
      <c r="E33" s="43">
        <f>MVTRESUME2019!G34</f>
        <v>30000</v>
      </c>
      <c r="F33" s="46">
        <v>108500</v>
      </c>
      <c r="G33" s="46">
        <v>808500</v>
      </c>
      <c r="H33" s="5">
        <f t="shared" si="0"/>
        <v>109111.5638654127</v>
      </c>
      <c r="I33" s="43"/>
      <c r="J33" s="44">
        <f t="shared" si="1"/>
        <v>109111.5638654127</v>
      </c>
    </row>
    <row r="34" spans="1:10" s="8" customFormat="1" x14ac:dyDescent="0.25">
      <c r="A34" s="42" t="s">
        <v>100</v>
      </c>
      <c r="B34" s="43">
        <f>MVTRESUME2019!C35</f>
        <v>480000</v>
      </c>
      <c r="C34" s="43">
        <f>MVTRESUME2019!D35</f>
        <v>80425.990897485564</v>
      </c>
      <c r="D34" s="43">
        <f>MVTRESUME2019!E35</f>
        <v>36.350487807299942</v>
      </c>
      <c r="E34" s="43">
        <f>MVTRESUME2019!G35</f>
        <v>144000</v>
      </c>
      <c r="F34" s="43">
        <v>0</v>
      </c>
      <c r="G34" s="43">
        <v>1000000</v>
      </c>
      <c r="H34" s="5">
        <f t="shared" si="0"/>
        <v>224462.34138529288</v>
      </c>
      <c r="I34" s="43">
        <v>30000</v>
      </c>
      <c r="J34" s="44">
        <f t="shared" si="1"/>
        <v>194462.34138529288</v>
      </c>
    </row>
    <row r="35" spans="1:10" x14ac:dyDescent="0.25">
      <c r="A35" s="42" t="s">
        <v>115</v>
      </c>
      <c r="B35" s="43">
        <f>MVTRESUME2019!C36</f>
        <v>480000</v>
      </c>
      <c r="C35" s="43">
        <f>MVTRESUME2019!D36</f>
        <v>79900.26982663176</v>
      </c>
      <c r="D35" s="43">
        <f>MVTRESUME2019!E36</f>
        <v>0.30040658926009201</v>
      </c>
      <c r="E35" s="43">
        <f>MVTRESUME2019!G36</f>
        <v>86500</v>
      </c>
      <c r="F35" s="43">
        <v>0</v>
      </c>
      <c r="G35" s="43">
        <v>1000000</v>
      </c>
      <c r="H35" s="5">
        <f t="shared" si="0"/>
        <v>166400.57023322102</v>
      </c>
      <c r="I35" s="43">
        <v>30000</v>
      </c>
      <c r="J35" s="44">
        <f t="shared" si="1"/>
        <v>136400.57023322102</v>
      </c>
    </row>
    <row r="36" spans="1:10" x14ac:dyDescent="0.25">
      <c r="A36" s="42" t="s">
        <v>87</v>
      </c>
      <c r="B36" s="43">
        <f>MVTRESUME2019!C37</f>
        <v>480000</v>
      </c>
      <c r="C36" s="43">
        <f>MVTRESUME2019!D37</f>
        <v>80218.625624560562</v>
      </c>
      <c r="D36" s="43">
        <f>MVTRESUME2019!E37</f>
        <v>109.79976263979916</v>
      </c>
      <c r="E36" s="43">
        <f>MVTRESUME2019!G37</f>
        <v>94000</v>
      </c>
      <c r="F36" s="43">
        <v>0</v>
      </c>
      <c r="G36" s="43">
        <v>1000000</v>
      </c>
      <c r="H36" s="5">
        <f t="shared" si="0"/>
        <v>174328.42538720038</v>
      </c>
      <c r="I36" s="43">
        <v>30000</v>
      </c>
      <c r="J36" s="44">
        <f t="shared" si="1"/>
        <v>144328.42538720038</v>
      </c>
    </row>
    <row r="37" spans="1:10" x14ac:dyDescent="0.25">
      <c r="A37" s="42" t="s">
        <v>116</v>
      </c>
      <c r="B37" s="43">
        <f>MVTRESUME2019!C38</f>
        <v>480000</v>
      </c>
      <c r="C37" s="43">
        <f>MVTRESUME2019!D38</f>
        <v>82325.064676950074</v>
      </c>
      <c r="D37" s="43">
        <f>MVTRESUME2019!E38</f>
        <v>15968.295339537319</v>
      </c>
      <c r="E37" s="43">
        <f>MVTRESUME2019!G38</f>
        <v>84000</v>
      </c>
      <c r="F37" s="43">
        <v>0</v>
      </c>
      <c r="G37" s="43">
        <v>0</v>
      </c>
      <c r="H37" s="5">
        <f t="shared" si="0"/>
        <v>182293.36001648739</v>
      </c>
      <c r="I37" s="43">
        <v>30000</v>
      </c>
      <c r="J37" s="44">
        <f t="shared" si="1"/>
        <v>152293.36001648739</v>
      </c>
    </row>
    <row r="38" spans="1:10" x14ac:dyDescent="0.25">
      <c r="A38" s="42" t="s">
        <v>117</v>
      </c>
      <c r="B38" s="43">
        <f>MVTRESUME2019!C39</f>
        <v>480000</v>
      </c>
      <c r="C38" s="43">
        <f>MVTRESUME2019!D39</f>
        <v>79309.541006732557</v>
      </c>
      <c r="D38" s="43">
        <f>MVTRESUME2019!E39</f>
        <v>0.17330693561234511</v>
      </c>
      <c r="E38" s="43">
        <f>MVTRESUME2019!G39</f>
        <v>54000</v>
      </c>
      <c r="F38" s="43">
        <v>155000</v>
      </c>
      <c r="G38" s="43">
        <v>0</v>
      </c>
      <c r="H38" s="5">
        <f t="shared" si="0"/>
        <v>133309.71431366817</v>
      </c>
      <c r="I38" s="43">
        <v>30000</v>
      </c>
      <c r="J38" s="44">
        <f t="shared" si="1"/>
        <v>103309.71431366817</v>
      </c>
    </row>
    <row r="39" spans="1:10" x14ac:dyDescent="0.25">
      <c r="A39" s="42" t="s">
        <v>118</v>
      </c>
      <c r="B39" s="43">
        <f>MVTRESUME2019!C40</f>
        <v>0</v>
      </c>
      <c r="C39" s="43">
        <f>MVTRESUME2019!D40</f>
        <v>3376.913330814542</v>
      </c>
      <c r="D39" s="43">
        <f>MVTRESUME2019!E40</f>
        <v>0</v>
      </c>
      <c r="E39" s="43">
        <f>MVTRESUME2019!G40</f>
        <v>104000</v>
      </c>
      <c r="F39" s="43">
        <v>0</v>
      </c>
      <c r="G39" s="43">
        <v>0</v>
      </c>
      <c r="H39" s="5">
        <f t="shared" si="0"/>
        <v>107376.91333081454</v>
      </c>
      <c r="I39" s="43">
        <v>30000</v>
      </c>
      <c r="J39" s="44">
        <f t="shared" si="1"/>
        <v>77376.913330814539</v>
      </c>
    </row>
    <row r="40" spans="1:10" s="8" customFormat="1" x14ac:dyDescent="0.25">
      <c r="A40" s="47" t="s">
        <v>143</v>
      </c>
      <c r="B40" s="43">
        <f>MVTRESUME2019!C41</f>
        <v>480000</v>
      </c>
      <c r="C40" s="43">
        <f>MVTRESUME2019!D41</f>
        <v>80174.992283614876</v>
      </c>
      <c r="D40" s="43">
        <f>MVTRESUME2019!E41</f>
        <v>2777.4644755606423</v>
      </c>
      <c r="E40" s="43">
        <f>MVTRESUME2019!G41</f>
        <v>82000</v>
      </c>
      <c r="F40" s="48">
        <v>155000</v>
      </c>
      <c r="G40" s="48">
        <v>755000</v>
      </c>
      <c r="H40" s="5">
        <f t="shared" si="0"/>
        <v>164952.45675917552</v>
      </c>
      <c r="I40" s="43">
        <v>30000</v>
      </c>
      <c r="J40" s="44">
        <f t="shared" si="1"/>
        <v>134952.45675917552</v>
      </c>
    </row>
    <row r="41" spans="1:10" x14ac:dyDescent="0.25">
      <c r="A41" s="42" t="s">
        <v>120</v>
      </c>
      <c r="B41" s="43">
        <f>MVTRESUME2019!C42</f>
        <v>480000</v>
      </c>
      <c r="C41" s="43">
        <f>MVTRESUME2019!D42</f>
        <v>79793.71388976372</v>
      </c>
      <c r="D41" s="43">
        <f>MVTRESUME2019!E42</f>
        <v>0</v>
      </c>
      <c r="E41" s="43">
        <f>MVTRESUME2019!G42</f>
        <v>84000</v>
      </c>
      <c r="F41" s="43">
        <v>0</v>
      </c>
      <c r="G41" s="43">
        <v>0</v>
      </c>
      <c r="H41" s="5">
        <f t="shared" si="0"/>
        <v>163793.71388976372</v>
      </c>
      <c r="I41" s="43">
        <v>30000</v>
      </c>
      <c r="J41" s="44">
        <f t="shared" si="1"/>
        <v>133793.71388976372</v>
      </c>
    </row>
    <row r="42" spans="1:10" x14ac:dyDescent="0.25">
      <c r="A42" s="42" t="s">
        <v>121</v>
      </c>
      <c r="B42" s="43">
        <f>MVTRESUME2019!C43</f>
        <v>480000</v>
      </c>
      <c r="C42" s="43">
        <f>MVTRESUME2019!D43</f>
        <v>84611.13302311454</v>
      </c>
      <c r="D42" s="43">
        <f>MVTRESUME2019!E43</f>
        <v>-0.39887899404857308</v>
      </c>
      <c r="E42" s="43">
        <f>MVTRESUME2019!G43</f>
        <v>174000</v>
      </c>
      <c r="F42" s="43">
        <v>0</v>
      </c>
      <c r="G42" s="43">
        <v>500000</v>
      </c>
      <c r="H42" s="5">
        <f t="shared" si="0"/>
        <v>258610.73414412048</v>
      </c>
      <c r="I42" s="43">
        <v>30000</v>
      </c>
      <c r="J42" s="44">
        <f t="shared" si="1"/>
        <v>228610.73414412048</v>
      </c>
    </row>
    <row r="43" spans="1:10" x14ac:dyDescent="0.25">
      <c r="A43" s="42" t="s">
        <v>122</v>
      </c>
      <c r="B43" s="43">
        <f>MVTRESUME2019!C44</f>
        <v>480000</v>
      </c>
      <c r="C43" s="43">
        <f>MVTRESUME2019!D44</f>
        <v>95391.522236883728</v>
      </c>
      <c r="D43" s="43">
        <f>MVTRESUME2019!E44</f>
        <v>1360.775029899698</v>
      </c>
      <c r="E43" s="43">
        <f>MVTRESUME2019!G44</f>
        <v>84000</v>
      </c>
      <c r="F43" s="43">
        <v>0</v>
      </c>
      <c r="G43" s="43">
        <v>1000000</v>
      </c>
      <c r="H43" s="5">
        <f t="shared" si="0"/>
        <v>180752.29726678343</v>
      </c>
      <c r="I43" s="43">
        <v>30000</v>
      </c>
      <c r="J43" s="44">
        <f t="shared" si="1"/>
        <v>150752.29726678343</v>
      </c>
    </row>
    <row r="44" spans="1:10" s="14" customFormat="1" x14ac:dyDescent="0.25">
      <c r="A44" s="45" t="s">
        <v>123</v>
      </c>
      <c r="B44" s="43">
        <f>MVTRESUME2019!C45</f>
        <v>480000</v>
      </c>
      <c r="C44" s="43">
        <f>MVTRESUME2019!D45</f>
        <v>78500.211202080493</v>
      </c>
      <c r="D44" s="43">
        <f>MVTRESUME2019!E45</f>
        <v>1225.3544029653422</v>
      </c>
      <c r="E44" s="43">
        <f>MVTRESUME2019!G45</f>
        <v>30000</v>
      </c>
      <c r="F44" s="46">
        <v>131750</v>
      </c>
      <c r="G44" s="46">
        <v>981750</v>
      </c>
      <c r="H44" s="5">
        <f t="shared" si="0"/>
        <v>109725.56560504583</v>
      </c>
      <c r="I44" s="43"/>
      <c r="J44" s="44">
        <f t="shared" si="1"/>
        <v>109725.56560504583</v>
      </c>
    </row>
    <row r="45" spans="1:10" s="14" customFormat="1" x14ac:dyDescent="0.25">
      <c r="A45" s="45" t="s">
        <v>124</v>
      </c>
      <c r="B45" s="43">
        <f>MVTRESUME2019!C46</f>
        <v>30000</v>
      </c>
      <c r="C45" s="43">
        <f>MVTRESUME2019!D46</f>
        <v>0</v>
      </c>
      <c r="D45" s="43">
        <f>MVTRESUME2019!E46</f>
        <v>21.303203075842248</v>
      </c>
      <c r="E45" s="43">
        <f>MVTRESUME2019!G46</f>
        <v>30000</v>
      </c>
      <c r="F45" s="46">
        <v>0</v>
      </c>
      <c r="G45" s="46">
        <v>0</v>
      </c>
      <c r="H45" s="5">
        <f t="shared" si="0"/>
        <v>30021.30320307584</v>
      </c>
      <c r="I45" s="43"/>
      <c r="J45" s="44">
        <f t="shared" si="1"/>
        <v>30021.30320307584</v>
      </c>
    </row>
    <row r="46" spans="1:10" s="14" customFormat="1" x14ac:dyDescent="0.25">
      <c r="A46" s="45" t="s">
        <v>125</v>
      </c>
      <c r="B46" s="43">
        <f>MVTRESUME2019!C47</f>
        <v>480000</v>
      </c>
      <c r="C46" s="43">
        <f>MVTRESUME2019!D47</f>
        <v>77674.987774544497</v>
      </c>
      <c r="D46" s="43">
        <f>MVTRESUME2019!E47</f>
        <v>0.15040472695545759</v>
      </c>
      <c r="E46" s="43">
        <f>MVTRESUME2019!G47</f>
        <v>22000</v>
      </c>
      <c r="F46" s="46">
        <v>155000</v>
      </c>
      <c r="G46" s="46">
        <v>1155000</v>
      </c>
      <c r="H46" s="5">
        <f t="shared" si="0"/>
        <v>99675.138179271453</v>
      </c>
      <c r="I46" s="43">
        <v>30000</v>
      </c>
      <c r="J46" s="44">
        <f t="shared" si="1"/>
        <v>69675.138179271453</v>
      </c>
    </row>
    <row r="47" spans="1:10" x14ac:dyDescent="0.25">
      <c r="A47" s="42" t="s">
        <v>126</v>
      </c>
      <c r="B47" s="43">
        <f>MVTRESUME2019!C48</f>
        <v>480000</v>
      </c>
      <c r="C47" s="43">
        <f>MVTRESUME2019!D48</f>
        <v>149658.23869144428</v>
      </c>
      <c r="D47" s="43">
        <f>MVTRESUME2019!E48</f>
        <v>440720.17653060926</v>
      </c>
      <c r="E47" s="43">
        <f>MVTRESUME2019!G48</f>
        <v>84000</v>
      </c>
      <c r="F47" s="43">
        <v>37500</v>
      </c>
      <c r="G47" s="43">
        <v>700000</v>
      </c>
      <c r="H47" s="5">
        <f t="shared" si="0"/>
        <v>674378.41522205353</v>
      </c>
      <c r="I47" s="43">
        <v>30000</v>
      </c>
      <c r="J47" s="44">
        <f t="shared" si="1"/>
        <v>644378.41522205353</v>
      </c>
    </row>
    <row r="48" spans="1:10" x14ac:dyDescent="0.25">
      <c r="A48" s="42" t="s">
        <v>127</v>
      </c>
      <c r="B48" s="43">
        <f>MVTRESUME2019!C49</f>
        <v>480000</v>
      </c>
      <c r="C48" s="43">
        <f>MVTRESUME2019!D49</f>
        <v>317201.9797878497</v>
      </c>
      <c r="D48" s="43">
        <f>MVTRESUME2019!E49</f>
        <v>1198154.6510912008</v>
      </c>
      <c r="E48" s="43">
        <f>MVTRESUME2019!G49</f>
        <v>1024000</v>
      </c>
      <c r="F48" s="43">
        <v>0</v>
      </c>
      <c r="G48" s="43">
        <v>0</v>
      </c>
      <c r="H48" s="5">
        <f t="shared" si="0"/>
        <v>2539356.6308790506</v>
      </c>
      <c r="I48" s="43">
        <v>30000</v>
      </c>
      <c r="J48" s="44">
        <f t="shared" si="1"/>
        <v>2509356.6308790506</v>
      </c>
    </row>
    <row r="49" spans="1:10" ht="18" x14ac:dyDescent="0.25">
      <c r="A49" s="42"/>
      <c r="B49" s="49"/>
      <c r="C49" s="43"/>
      <c r="D49" s="52"/>
      <c r="E49" s="43"/>
      <c r="F49" s="43"/>
      <c r="G49" s="50"/>
      <c r="H49" s="50"/>
      <c r="I49" s="50"/>
      <c r="J49" s="51"/>
    </row>
    <row r="50" spans="1:10" ht="16.5" thickBot="1" x14ac:dyDescent="0.3">
      <c r="A50" s="53"/>
      <c r="B50" s="54">
        <f t="shared" ref="B50:J50" si="2">SUM(B6:B49)</f>
        <v>17782722.011083744</v>
      </c>
      <c r="C50" s="54">
        <f t="shared" si="2"/>
        <v>3692643.8500000006</v>
      </c>
      <c r="D50" s="54">
        <f t="shared" si="2"/>
        <v>4844130.5976969898</v>
      </c>
      <c r="E50" s="54">
        <f t="shared" si="2"/>
        <v>5614000</v>
      </c>
      <c r="F50" s="54">
        <f t="shared" si="2"/>
        <v>1475110</v>
      </c>
      <c r="G50" s="54">
        <f t="shared" si="2"/>
        <v>20286750</v>
      </c>
      <c r="H50" s="54">
        <f t="shared" si="2"/>
        <v>14150774.447696989</v>
      </c>
      <c r="I50" s="54">
        <f t="shared" si="2"/>
        <v>1020000</v>
      </c>
      <c r="J50" s="55">
        <f t="shared" si="2"/>
        <v>13130774.447696989</v>
      </c>
    </row>
    <row r="51" spans="1:10" ht="15.75" thickTop="1" x14ac:dyDescent="0.25"/>
  </sheetData>
  <autoFilter ref="A5:E48">
    <sortState ref="A5:L48">
      <sortCondition ref="A5:A48"/>
    </sortState>
  </autoFilter>
  <pageMargins left="0.11811023622047245" right="0.11811023622047245" top="0.74803149606299213" bottom="0.74803149606299213" header="0.31496062992125984" footer="0.31496062992125984"/>
  <pageSetup orientation="landscape" horizontalDpi="4294967295" verticalDpi="4294967295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H45"/>
  <sheetViews>
    <sheetView workbookViewId="0">
      <pane xSplit="2" ySplit="1" topLeftCell="W27" activePane="bottomRight" state="frozen"/>
      <selection pane="topRight" activeCell="C1" sqref="C1"/>
      <selection pane="bottomLeft" activeCell="A5" sqref="A5"/>
      <selection pane="bottomRight" activeCell="D45" sqref="D45"/>
    </sheetView>
  </sheetViews>
  <sheetFormatPr baseColWidth="10" defaultColWidth="11" defaultRowHeight="15" x14ac:dyDescent="0.25"/>
  <cols>
    <col min="1" max="1" width="13.85546875" customWidth="1"/>
    <col min="2" max="3" width="29.5703125" customWidth="1"/>
    <col min="4" max="4" width="15.28515625" customWidth="1"/>
    <col min="5" max="5" width="20.28515625" customWidth="1"/>
    <col min="6" max="6" width="16.85546875" customWidth="1"/>
    <col min="7" max="7" width="15" customWidth="1"/>
    <col min="8" max="8" width="17.5703125" style="3" customWidth="1"/>
    <col min="9" max="9" width="15.7109375" style="2" customWidth="1"/>
    <col min="10" max="10" width="15" style="2" bestFit="1" customWidth="1"/>
    <col min="11" max="12" width="12.42578125" style="2" customWidth="1"/>
    <col min="13" max="13" width="13.42578125" style="2" bestFit="1" customWidth="1"/>
    <col min="14" max="15" width="17.5703125" style="2" customWidth="1"/>
    <col min="16" max="16" width="14.85546875" customWidth="1"/>
    <col min="17" max="17" width="20.42578125" bestFit="1" customWidth="1"/>
    <col min="18" max="18" width="16.5703125" customWidth="1"/>
    <col min="20" max="21" width="16.85546875" bestFit="1" customWidth="1"/>
    <col min="22" max="25" width="16.85546875" customWidth="1"/>
    <col min="26" max="26" width="28.7109375" bestFit="1" customWidth="1"/>
  </cols>
  <sheetData>
    <row r="1" spans="1:34" ht="44.25" x14ac:dyDescent="0.3">
      <c r="A1" s="1" t="s">
        <v>4</v>
      </c>
      <c r="B1" s="56" t="s">
        <v>144</v>
      </c>
      <c r="C1" t="s">
        <v>145</v>
      </c>
      <c r="D1" t="s">
        <v>149</v>
      </c>
      <c r="E1" s="1" t="s">
        <v>69</v>
      </c>
      <c r="F1" s="1" t="s">
        <v>8</v>
      </c>
      <c r="G1" s="1" t="s">
        <v>9</v>
      </c>
      <c r="H1" s="4" t="s">
        <v>10</v>
      </c>
      <c r="I1" s="4" t="s">
        <v>11</v>
      </c>
      <c r="J1" s="4" t="s">
        <v>12</v>
      </c>
      <c r="K1" s="4" t="s">
        <v>72</v>
      </c>
      <c r="L1" s="4" t="s">
        <v>71</v>
      </c>
      <c r="M1" s="4" t="s">
        <v>13</v>
      </c>
      <c r="N1" t="s">
        <v>146</v>
      </c>
      <c r="O1"/>
      <c r="P1" s="4" t="s">
        <v>63</v>
      </c>
      <c r="Q1" s="4" t="s">
        <v>64</v>
      </c>
      <c r="R1" t="s">
        <v>147</v>
      </c>
      <c r="S1" s="4" t="s">
        <v>14</v>
      </c>
      <c r="T1" t="s">
        <v>151</v>
      </c>
      <c r="U1" s="4" t="s">
        <v>86</v>
      </c>
      <c r="V1" s="4" t="s">
        <v>135</v>
      </c>
      <c r="W1" t="s">
        <v>148</v>
      </c>
      <c r="X1" s="4" t="s">
        <v>137</v>
      </c>
      <c r="Y1" s="4" t="s">
        <v>150</v>
      </c>
      <c r="Z1" s="4" t="s">
        <v>15</v>
      </c>
      <c r="AB1" s="4" t="s">
        <v>134</v>
      </c>
      <c r="AC1" s="4" t="s">
        <v>9</v>
      </c>
      <c r="AD1" s="4" t="s">
        <v>131</v>
      </c>
      <c r="AE1" s="4" t="s">
        <v>132</v>
      </c>
      <c r="AF1" s="4" t="s">
        <v>139</v>
      </c>
      <c r="AG1" s="4" t="s">
        <v>133</v>
      </c>
      <c r="AH1" s="4" t="s">
        <v>9</v>
      </c>
    </row>
    <row r="2" spans="1:34" ht="15.75" customHeight="1" x14ac:dyDescent="0.25">
      <c r="A2" s="1" t="s">
        <v>16</v>
      </c>
      <c r="B2" s="1" t="str">
        <f>VLOOKUP(A2,[15]LISTADHERENT!A$5:H$57,3,0)</f>
        <v>ASELBY</v>
      </c>
      <c r="C2" s="5">
        <f>MVTRESUME2019!C6</f>
        <v>394081.01108374598</v>
      </c>
      <c r="D2" s="5">
        <f>MVTRESUME2019!D6</f>
        <v>62668.935014227369</v>
      </c>
      <c r="E2" s="5">
        <f>MVTRESUME2019!E6</f>
        <v>0</v>
      </c>
      <c r="F2" s="5">
        <f>MVTRESUME2019!F6</f>
        <v>0</v>
      </c>
      <c r="G2" s="5">
        <f>MVTRESUME2019!G6</f>
        <v>0</v>
      </c>
      <c r="H2" s="5">
        <f>MVTRESUME2019!H6</f>
        <v>0</v>
      </c>
      <c r="I2" s="5">
        <f>MVTRESUME2019!I6</f>
        <v>0</v>
      </c>
      <c r="J2" s="5">
        <f>MVTRESUME2019!J6</f>
        <v>0</v>
      </c>
      <c r="K2" s="5">
        <f>MVTRESUME2019!K6</f>
        <v>0</v>
      </c>
      <c r="L2" s="5">
        <f>MVTRESUME2019!L6</f>
        <v>0</v>
      </c>
      <c r="M2" s="5">
        <f>MVTRESUME2019!M6</f>
        <v>0</v>
      </c>
      <c r="N2" s="5">
        <f>MVTRESUME2019!N6</f>
        <v>0</v>
      </c>
      <c r="O2" s="5">
        <f>MVTRESUME2019!O6</f>
        <v>0</v>
      </c>
      <c r="P2" s="5">
        <f>MVTRESUME2019!P6</f>
        <v>0</v>
      </c>
      <c r="Q2" s="5">
        <f>MVTRESUME2019!Q6</f>
        <v>0</v>
      </c>
      <c r="R2" s="5">
        <f>MVTRESUME2019!R6</f>
        <v>0</v>
      </c>
      <c r="S2" s="5">
        <f>MVTRESUME2019!S6</f>
        <v>0</v>
      </c>
      <c r="T2" s="5">
        <f>MVTRESUME2019!T6</f>
        <v>0</v>
      </c>
      <c r="U2" s="5">
        <f>MVTRESUME2019!U6</f>
        <v>62668.935014227369</v>
      </c>
      <c r="V2" s="5">
        <f>MVTRESUME2019!V6</f>
        <v>0</v>
      </c>
      <c r="W2" s="5">
        <f>MVTRESUME2019!W6</f>
        <v>0</v>
      </c>
      <c r="X2" s="5">
        <f>MVTRESUME2019!X6</f>
        <v>0</v>
      </c>
      <c r="Y2" s="5">
        <f>MVTRESUME2019!Y6</f>
        <v>62668.935014227369</v>
      </c>
      <c r="Z2" s="5">
        <f>MVTRESUME2019!Y6</f>
        <v>62668.935014227369</v>
      </c>
      <c r="AA2" s="5">
        <f>MVTRESUME2019!AA6</f>
        <v>0</v>
      </c>
      <c r="AB2" s="5">
        <f>MVTRESUME2019!AB6</f>
        <v>0</v>
      </c>
      <c r="AC2" s="5">
        <f>MVTRESUME2019!AC6</f>
        <v>0</v>
      </c>
      <c r="AD2" s="5">
        <f>MVTRESUME2019!AD6</f>
        <v>0</v>
      </c>
      <c r="AE2" s="5">
        <f>MVTRESUME2019!AE6</f>
        <v>0</v>
      </c>
      <c r="AF2" s="5">
        <f>MVTRESUME2019!AF6</f>
        <v>0</v>
      </c>
      <c r="AG2" s="5">
        <f>MVTRESUME2019!AG6</f>
        <v>0</v>
      </c>
    </row>
    <row r="3" spans="1:34" s="14" customFormat="1" x14ac:dyDescent="0.25">
      <c r="A3" s="12" t="s">
        <v>17</v>
      </c>
      <c r="B3" s="1" t="str">
        <f>VLOOKUP(A3,[15]LISTADHERENT!A$5:H$57,3,0)</f>
        <v>BAKOP ACHILLE</v>
      </c>
      <c r="C3" s="5">
        <f>MVTRESUME2019!C7</f>
        <v>480000</v>
      </c>
      <c r="D3" s="5">
        <f>MVTRESUME2019!D7</f>
        <v>0</v>
      </c>
      <c r="E3" s="5">
        <f>MVTRESUME2019!E7</f>
        <v>0.49369671277236193</v>
      </c>
      <c r="F3" s="5">
        <f>MVTRESUME2019!F7</f>
        <v>0</v>
      </c>
      <c r="G3" s="5">
        <f>MVTRESUME2019!G7</f>
        <v>2000</v>
      </c>
      <c r="H3" s="5">
        <f>MVTRESUME2019!H7</f>
        <v>1000</v>
      </c>
      <c r="I3" s="5">
        <f>MVTRESUME2019!I7</f>
        <v>2000</v>
      </c>
      <c r="J3" s="5">
        <f>MVTRESUME2019!J7</f>
        <v>5000</v>
      </c>
      <c r="K3" s="5">
        <f>MVTRESUME2019!K7</f>
        <v>1000</v>
      </c>
      <c r="L3" s="5">
        <f>MVTRESUME2019!L7</f>
        <v>0</v>
      </c>
      <c r="M3" s="5">
        <f>MVTRESUME2019!M7</f>
        <v>0</v>
      </c>
      <c r="N3" s="5">
        <f>MVTRESUME2019!N7</f>
        <v>500000</v>
      </c>
      <c r="O3" s="5">
        <f>MVTRESUME2019!O7</f>
        <v>0</v>
      </c>
      <c r="P3" s="5">
        <f>MVTRESUME2019!P7</f>
        <v>0</v>
      </c>
      <c r="Q3" s="5">
        <f>MVTRESUME2019!Q7</f>
        <v>588000</v>
      </c>
      <c r="R3" s="5">
        <f>MVTRESUME2019!R7</f>
        <v>88000</v>
      </c>
      <c r="S3" s="5">
        <f>MVTRESUME2019!S7</f>
        <v>0</v>
      </c>
      <c r="T3" s="5">
        <f>MVTRESUME2019!T7</f>
        <v>0</v>
      </c>
      <c r="U3" s="5">
        <f>MVTRESUME2019!U7</f>
        <v>2000.4936967127724</v>
      </c>
      <c r="V3" s="5">
        <f>MVTRESUME2019!V7</f>
        <v>2000</v>
      </c>
      <c r="W3" s="5">
        <f>MVTRESUME2019!W7</f>
        <v>0</v>
      </c>
      <c r="X3" s="5">
        <f>MVTRESUME2019!X7</f>
        <v>0</v>
      </c>
      <c r="Y3" s="5">
        <f>MVTRESUME2019!Y7</f>
        <v>2000.4936967127724</v>
      </c>
      <c r="Z3" s="35" t="s">
        <v>89</v>
      </c>
      <c r="AA3" s="14" t="s">
        <v>129</v>
      </c>
      <c r="AC3" s="11">
        <f>G3+D3</f>
        <v>2000</v>
      </c>
      <c r="AD3" s="11">
        <v>-14000</v>
      </c>
      <c r="AE3" s="11">
        <f>[19]TONTRESUME!$M$6</f>
        <v>336000</v>
      </c>
      <c r="AF3" s="11"/>
      <c r="AG3" s="7">
        <f>C3-T3+U3+AD3+AE3-Q3</f>
        <v>216000.49369671277</v>
      </c>
    </row>
    <row r="4" spans="1:34" x14ac:dyDescent="0.25">
      <c r="A4" s="1" t="s">
        <v>19</v>
      </c>
      <c r="B4" s="1" t="str">
        <f>VLOOKUP(A4,[15]LISTADHERENT!A$5:H$57,3,0)</f>
        <v>BOUTCHOUANG WILLIAM</v>
      </c>
      <c r="C4" s="5">
        <f>MVTRESUME2019!C8</f>
        <v>480000</v>
      </c>
      <c r="D4" s="5">
        <f>MVTRESUME2019!D8</f>
        <v>79945.737949015122</v>
      </c>
      <c r="E4" s="5">
        <f>MVTRESUME2019!E8</f>
        <v>1331.2797186755051</v>
      </c>
      <c r="F4" s="5">
        <f>MVTRESUME2019!F8</f>
        <v>0</v>
      </c>
      <c r="G4" s="5">
        <f>MVTRESUME2019!G8</f>
        <v>82000</v>
      </c>
      <c r="H4" s="5">
        <f>MVTRESUME2019!H8</f>
        <v>7000</v>
      </c>
      <c r="I4" s="5">
        <f>MVTRESUME2019!I8</f>
        <v>14000</v>
      </c>
      <c r="J4" s="5">
        <f>MVTRESUME2019!J8</f>
        <v>35000</v>
      </c>
      <c r="K4" s="5">
        <f>MVTRESUME2019!K8</f>
        <v>9000</v>
      </c>
      <c r="L4" s="5">
        <f>MVTRESUME2019!L8</f>
        <v>0</v>
      </c>
      <c r="M4" s="5">
        <f>MVTRESUME2019!M8</f>
        <v>0</v>
      </c>
      <c r="N4" s="5">
        <f>MVTRESUME2019!N8</f>
        <v>1000000</v>
      </c>
      <c r="O4" s="5">
        <f>MVTRESUME2019!O8</f>
        <v>30000</v>
      </c>
      <c r="P4" s="5">
        <f>MVTRESUME2019!P8</f>
        <v>0</v>
      </c>
      <c r="Q4" s="5">
        <f>MVTRESUME2019!Q8</f>
        <v>1000000</v>
      </c>
      <c r="R4" s="5">
        <f>MVTRESUME2019!R8</f>
        <v>0</v>
      </c>
      <c r="S4" s="5">
        <f>MVTRESUME2019!S8</f>
        <v>0</v>
      </c>
      <c r="T4" s="5">
        <f>MVTRESUME2019!T8</f>
        <v>0</v>
      </c>
      <c r="U4" s="5">
        <f>MVTRESUME2019!U8</f>
        <v>163277.01766769064</v>
      </c>
      <c r="V4" s="5">
        <f>MVTRESUME2019!V8</f>
        <v>130000</v>
      </c>
      <c r="W4" s="5">
        <f>MVTRESUME2019!W8</f>
        <v>30000</v>
      </c>
      <c r="X4" s="5">
        <f>MVTRESUME2019!X8</f>
        <v>0</v>
      </c>
      <c r="Y4" s="5">
        <f>MVTRESUME2019!Y8</f>
        <v>133277.01766769064</v>
      </c>
      <c r="Z4" s="17"/>
      <c r="AC4" s="11">
        <f t="shared" ref="AC4:AC44" si="0">G4+D4</f>
        <v>161945.73794901511</v>
      </c>
    </row>
    <row r="5" spans="1:34" s="14" customFormat="1" x14ac:dyDescent="0.25">
      <c r="A5" s="12" t="s">
        <v>21</v>
      </c>
      <c r="B5" s="1" t="str">
        <f>VLOOKUP(A5,[15]LISTADHERENT!A$5:H$57,3,0)</f>
        <v>CHINGUE FABRICE</v>
      </c>
      <c r="C5" s="5">
        <f>MVTRESUME2019!C9</f>
        <v>480000</v>
      </c>
      <c r="D5" s="5">
        <f>MVTRESUME2019!D9</f>
        <v>79896.677076385677</v>
      </c>
      <c r="E5" s="5">
        <f>MVTRESUME2019!E9</f>
        <v>3703.9516264695849</v>
      </c>
      <c r="F5" s="5">
        <f>MVTRESUME2019!F9</f>
        <v>0</v>
      </c>
      <c r="G5" s="5">
        <f>MVTRESUME2019!G9</f>
        <v>54000</v>
      </c>
      <c r="H5" s="5">
        <f>MVTRESUME2019!H9</f>
        <v>4500</v>
      </c>
      <c r="I5" s="5">
        <f>MVTRESUME2019!I9</f>
        <v>9000</v>
      </c>
      <c r="J5" s="5">
        <f>MVTRESUME2019!J9</f>
        <v>22500</v>
      </c>
      <c r="K5" s="5">
        <f>MVTRESUME2019!K9</f>
        <v>7000</v>
      </c>
      <c r="L5" s="5">
        <f>MVTRESUME2019!L9</f>
        <v>0</v>
      </c>
      <c r="M5" s="5">
        <f>MVTRESUME2019!M9</f>
        <v>0</v>
      </c>
      <c r="N5" s="5">
        <f>MVTRESUME2019!N9</f>
        <v>700000</v>
      </c>
      <c r="O5" s="5">
        <f>MVTRESUME2019!O9</f>
        <v>84000</v>
      </c>
      <c r="P5" s="5">
        <f>MVTRESUME2019!P9</f>
        <v>0</v>
      </c>
      <c r="Q5" s="5">
        <f>MVTRESUME2019!Q9</f>
        <v>0</v>
      </c>
      <c r="R5" s="5">
        <f>MVTRESUME2019!R9</f>
        <v>108500</v>
      </c>
      <c r="S5" s="5">
        <f>MVTRESUME2019!S9</f>
        <v>0</v>
      </c>
      <c r="T5" s="5">
        <f>MVTRESUME2019!T9</f>
        <v>808500</v>
      </c>
      <c r="U5" s="5">
        <f>MVTRESUME2019!U9</f>
        <v>137600.62870285526</v>
      </c>
      <c r="V5" s="5">
        <f>MVTRESUME2019!V9</f>
        <v>107601</v>
      </c>
      <c r="W5" s="5">
        <f>MVTRESUME2019!W9</f>
        <v>30000</v>
      </c>
      <c r="X5" s="5">
        <f>MVTRESUME2019!X9</f>
        <v>0</v>
      </c>
      <c r="Y5" s="5">
        <f>MVTRESUME2019!Y9</f>
        <v>107600.62870285526</v>
      </c>
      <c r="Z5" s="35" t="s">
        <v>94</v>
      </c>
      <c r="AA5" s="14" t="s">
        <v>129</v>
      </c>
      <c r="AB5" s="11">
        <f>35000+73500</f>
        <v>108500</v>
      </c>
      <c r="AC5" s="11">
        <f t="shared" si="0"/>
        <v>133896.67707638568</v>
      </c>
      <c r="AD5" s="11" t="e">
        <f>#REF!</f>
        <v>#REF!</v>
      </c>
      <c r="AE5" s="11">
        <v>-426000</v>
      </c>
      <c r="AF5" s="11"/>
      <c r="AG5" s="7" t="e">
        <f>C5-T5+U5+AD5+AE5</f>
        <v>#REF!</v>
      </c>
    </row>
    <row r="6" spans="1:34" x14ac:dyDescent="0.25">
      <c r="A6" s="1" t="s">
        <v>77</v>
      </c>
      <c r="B6" s="1" t="str">
        <f>VLOOKUP(A6,[15]LISTADHERENT!A$5:H$57,3,0)</f>
        <v>DJOMO DOMO</v>
      </c>
      <c r="C6" s="5">
        <f>MVTRESUME2019!C10</f>
        <v>0</v>
      </c>
      <c r="D6" s="5">
        <f>MVTRESUME2019!D10</f>
        <v>1764.4540515245424</v>
      </c>
      <c r="E6" s="5">
        <f>MVTRESUME2019!E10</f>
        <v>2994.5270055831024</v>
      </c>
      <c r="F6" s="5">
        <f>MVTRESUME2019!F10</f>
        <v>0</v>
      </c>
      <c r="G6" s="5">
        <f>MVTRESUME2019!G10</f>
        <v>12000</v>
      </c>
      <c r="H6" s="5">
        <f>MVTRESUME2019!H10</f>
        <v>1000</v>
      </c>
      <c r="I6" s="5">
        <f>MVTRESUME2019!I10</f>
        <v>2000</v>
      </c>
      <c r="J6" s="5">
        <f>MVTRESUME2019!J10</f>
        <v>5000</v>
      </c>
      <c r="K6" s="5">
        <f>MVTRESUME2019!K10</f>
        <v>0</v>
      </c>
      <c r="L6" s="5">
        <f>MVTRESUME2019!L10</f>
        <v>0</v>
      </c>
      <c r="M6" s="5">
        <f>MVTRESUME2019!M10</f>
        <v>0</v>
      </c>
      <c r="N6" s="5">
        <f>MVTRESUME2019!N10</f>
        <v>0</v>
      </c>
      <c r="O6" s="5">
        <f>MVTRESUME2019!O10</f>
        <v>0</v>
      </c>
      <c r="P6" s="5">
        <f>MVTRESUME2019!P10</f>
        <v>0</v>
      </c>
      <c r="Q6" s="5">
        <f>MVTRESUME2019!Q10</f>
        <v>0</v>
      </c>
      <c r="R6" s="5">
        <f>MVTRESUME2019!R10</f>
        <v>0</v>
      </c>
      <c r="S6" s="5">
        <f>MVTRESUME2019!S10</f>
        <v>0</v>
      </c>
      <c r="T6" s="5">
        <f>MVTRESUME2019!T10</f>
        <v>0</v>
      </c>
      <c r="U6" s="5">
        <f>MVTRESUME2019!U10</f>
        <v>16758.981057107645</v>
      </c>
      <c r="V6" s="5">
        <f>MVTRESUME2019!V10</f>
        <v>16759</v>
      </c>
      <c r="W6" s="5">
        <f>MVTRESUME2019!W10</f>
        <v>0</v>
      </c>
      <c r="X6" s="5">
        <f>MVTRESUME2019!X10</f>
        <v>0</v>
      </c>
      <c r="Y6" s="5">
        <f>MVTRESUME2019!Y10</f>
        <v>16758.981057107645</v>
      </c>
      <c r="Z6" s="17"/>
      <c r="AC6" s="11">
        <f t="shared" si="0"/>
        <v>13764.454051524543</v>
      </c>
    </row>
    <row r="7" spans="1:34" x14ac:dyDescent="0.25">
      <c r="A7" s="1" t="s">
        <v>23</v>
      </c>
      <c r="B7" s="1" t="str">
        <f>VLOOKUP(A7,[15]LISTADHERENT!A$5:H$57,3,0)</f>
        <v xml:space="preserve">DJOMO JEAN PAUL </v>
      </c>
      <c r="C7" s="5">
        <f>MVTRESUME2019!C11</f>
        <v>480000</v>
      </c>
      <c r="D7" s="5">
        <f>MVTRESUME2019!D11</f>
        <v>81380.868527515064</v>
      </c>
      <c r="E7" s="5">
        <f>MVTRESUME2019!E11</f>
        <v>404.48981912998715</v>
      </c>
      <c r="F7" s="5">
        <f>MVTRESUME2019!F11</f>
        <v>0</v>
      </c>
      <c r="G7" s="5">
        <f>MVTRESUME2019!G11</f>
        <v>97500</v>
      </c>
      <c r="H7" s="5">
        <f>MVTRESUME2019!H11</f>
        <v>7000</v>
      </c>
      <c r="I7" s="5">
        <f>MVTRESUME2019!I11</f>
        <v>14000</v>
      </c>
      <c r="J7" s="5">
        <f>MVTRESUME2019!J11</f>
        <v>35000</v>
      </c>
      <c r="K7" s="5">
        <f>MVTRESUME2019!K11</f>
        <v>6000</v>
      </c>
      <c r="L7" s="5">
        <f>MVTRESUME2019!L11</f>
        <v>0</v>
      </c>
      <c r="M7" s="5">
        <f>MVTRESUME2019!M11</f>
        <v>0</v>
      </c>
      <c r="N7" s="5">
        <f>MVTRESUME2019!N11</f>
        <v>2800000</v>
      </c>
      <c r="O7" s="5">
        <f>MVTRESUME2019!O11</f>
        <v>218000</v>
      </c>
      <c r="P7" s="5">
        <f>MVTRESUME2019!P11</f>
        <v>110000</v>
      </c>
      <c r="Q7" s="5">
        <f>MVTRESUME2019!Q11</f>
        <v>1800000</v>
      </c>
      <c r="R7" s="5">
        <f>MVTRESUME2019!R11</f>
        <v>50000</v>
      </c>
      <c r="S7" s="5">
        <f>MVTRESUME2019!S11</f>
        <v>0</v>
      </c>
      <c r="T7" s="5">
        <f>MVTRESUME2019!T11</f>
        <v>1050000</v>
      </c>
      <c r="U7" s="5">
        <f>MVTRESUME2019!U11</f>
        <v>179285.35834664505</v>
      </c>
      <c r="V7" s="5">
        <f>MVTRESUME2019!V11</f>
        <v>146000</v>
      </c>
      <c r="W7" s="5">
        <f>MVTRESUME2019!W11</f>
        <v>30000</v>
      </c>
      <c r="X7" s="5">
        <f>MVTRESUME2019!X11</f>
        <v>0</v>
      </c>
      <c r="Y7" s="5">
        <f>MVTRESUME2019!Y11</f>
        <v>149285.35834664505</v>
      </c>
      <c r="Z7" s="17" t="s">
        <v>90</v>
      </c>
      <c r="AA7" t="s">
        <v>129</v>
      </c>
      <c r="AB7" s="2">
        <f>50000+105000</f>
        <v>155000</v>
      </c>
      <c r="AC7" s="11">
        <f t="shared" si="0"/>
        <v>178880.86852751506</v>
      </c>
    </row>
    <row r="8" spans="1:34" x14ac:dyDescent="0.25">
      <c r="A8" s="1" t="s">
        <v>24</v>
      </c>
      <c r="B8" s="1" t="str">
        <f>VLOOKUP(A8,[15]LISTADHERENT!A$5:H$57,3,0)</f>
        <v>DJOUKWE NANGUEN GUY BLAISE</v>
      </c>
      <c r="C8" s="5">
        <f>MVTRESUME2019!C13</f>
        <v>480000</v>
      </c>
      <c r="D8" s="5">
        <f>MVTRESUME2019!D13</f>
        <v>79798.878874522779</v>
      </c>
      <c r="E8" s="5">
        <f>MVTRESUME2019!E13</f>
        <v>32.581814608536661</v>
      </c>
      <c r="F8" s="5">
        <f>MVTRESUME2019!F13</f>
        <v>0</v>
      </c>
      <c r="G8" s="5">
        <f>MVTRESUME2019!G13</f>
        <v>84000</v>
      </c>
      <c r="H8" s="5">
        <f>MVTRESUME2019!H13</f>
        <v>7000</v>
      </c>
      <c r="I8" s="5">
        <f>MVTRESUME2019!I13</f>
        <v>14000</v>
      </c>
      <c r="J8" s="5">
        <f>MVTRESUME2019!J13</f>
        <v>35000</v>
      </c>
      <c r="K8" s="5">
        <f>MVTRESUME2019!K13</f>
        <v>7000</v>
      </c>
      <c r="L8" s="5">
        <f>MVTRESUME2019!L13</f>
        <v>0</v>
      </c>
      <c r="M8" s="5">
        <f>MVTRESUME2019!M13</f>
        <v>0</v>
      </c>
      <c r="N8" s="5">
        <f>MVTRESUME2019!N13</f>
        <v>1800000</v>
      </c>
      <c r="O8" s="5">
        <f>MVTRESUME2019!O13</f>
        <v>160000</v>
      </c>
      <c r="P8" s="5">
        <f>MVTRESUME2019!P13</f>
        <v>40000</v>
      </c>
      <c r="Q8" s="5">
        <f>MVTRESUME2019!Q13</f>
        <v>1000000</v>
      </c>
      <c r="R8" s="5">
        <f>MVTRESUME2019!R13</f>
        <v>0</v>
      </c>
      <c r="S8" s="5">
        <f>MVTRESUME2019!S13</f>
        <v>0</v>
      </c>
      <c r="T8" s="5">
        <f>MVTRESUME2019!T13</f>
        <v>800000</v>
      </c>
      <c r="U8" s="5">
        <f>MVTRESUME2019!U13</f>
        <v>163831.46068913132</v>
      </c>
      <c r="V8" s="5">
        <f>MVTRESUME2019!V13</f>
        <v>35000</v>
      </c>
      <c r="W8" s="5">
        <f>MVTRESUME2019!W13</f>
        <v>30000</v>
      </c>
      <c r="X8" s="5">
        <f>MVTRESUME2019!X13</f>
        <v>0</v>
      </c>
      <c r="Y8" s="5">
        <f>MVTRESUME2019!Y13</f>
        <v>133831.46068913132</v>
      </c>
      <c r="Z8" s="17" t="s">
        <v>91</v>
      </c>
      <c r="AC8" s="11">
        <f t="shared" si="0"/>
        <v>163798.87887452278</v>
      </c>
    </row>
    <row r="9" spans="1:34" x14ac:dyDescent="0.25">
      <c r="A9" s="1" t="s">
        <v>25</v>
      </c>
      <c r="B9" s="1" t="str">
        <f>VLOOKUP(A9,[15]LISTADHERENT!A$5:H$57,3,0)</f>
        <v>DJUOMBESSY ANTOINE</v>
      </c>
      <c r="C9" s="5">
        <f>MVTRESUME2019!C14</f>
        <v>480000</v>
      </c>
      <c r="D9" s="5">
        <f>MVTRESUME2019!D14</f>
        <v>79954.051721931959</v>
      </c>
      <c r="E9" s="5">
        <f>MVTRESUME2019!E14</f>
        <v>8.234061673283577E-2</v>
      </c>
      <c r="F9" s="5">
        <f>MVTRESUME2019!F14</f>
        <v>0</v>
      </c>
      <c r="G9" s="5">
        <f>MVTRESUME2019!G14</f>
        <v>93500</v>
      </c>
      <c r="H9" s="5">
        <f>MVTRESUME2019!H14</f>
        <v>7000</v>
      </c>
      <c r="I9" s="5">
        <f>MVTRESUME2019!I14</f>
        <v>14000</v>
      </c>
      <c r="J9" s="5">
        <f>MVTRESUME2019!J14</f>
        <v>35000</v>
      </c>
      <c r="K9" s="5">
        <f>MVTRESUME2019!K14</f>
        <v>1000</v>
      </c>
      <c r="L9" s="5">
        <f>MVTRESUME2019!L14</f>
        <v>0</v>
      </c>
      <c r="M9" s="5">
        <f>MVTRESUME2019!M14</f>
        <v>0</v>
      </c>
      <c r="N9" s="5">
        <f>MVTRESUME2019!N14</f>
        <v>3000000</v>
      </c>
      <c r="O9" s="5">
        <f>MVTRESUME2019!O14</f>
        <v>160000</v>
      </c>
      <c r="P9" s="5">
        <f>MVTRESUME2019!P14</f>
        <v>50000</v>
      </c>
      <c r="Q9" s="5">
        <f>MVTRESUME2019!Q14</f>
        <v>2000000</v>
      </c>
      <c r="R9" s="5">
        <f>MVTRESUME2019!R14</f>
        <v>0</v>
      </c>
      <c r="S9" s="5">
        <f>MVTRESUME2019!S14</f>
        <v>0</v>
      </c>
      <c r="T9" s="5">
        <f>MVTRESUME2019!T14</f>
        <v>1000000</v>
      </c>
      <c r="U9" s="5">
        <f>MVTRESUME2019!U14</f>
        <v>173454.13406254869</v>
      </c>
      <c r="V9" s="5">
        <f>MVTRESUME2019!V14</f>
        <v>140000</v>
      </c>
      <c r="W9" s="5">
        <f>MVTRESUME2019!W14</f>
        <v>30000</v>
      </c>
      <c r="X9" s="5">
        <f>MVTRESUME2019!X14</f>
        <v>0</v>
      </c>
      <c r="Y9" s="5">
        <f>MVTRESUME2019!Y14</f>
        <v>143454.13406254869</v>
      </c>
      <c r="Z9" s="17" t="s">
        <v>92</v>
      </c>
      <c r="AC9" s="11">
        <f t="shared" si="0"/>
        <v>173454.05172193196</v>
      </c>
    </row>
    <row r="10" spans="1:34" x14ac:dyDescent="0.25">
      <c r="A10" s="1" t="s">
        <v>79</v>
      </c>
      <c r="B10" s="1" t="str">
        <f>VLOOKUP(A10,[15]LISTADHERENT!A$5:H$57,3,0)</f>
        <v>DOMOU FABIEN</v>
      </c>
      <c r="C10" s="5">
        <f>MVTRESUME2019!C15</f>
        <v>441596</v>
      </c>
      <c r="D10" s="5">
        <f>MVTRESUME2019!D15</f>
        <v>73699.144246646392</v>
      </c>
      <c r="E10" s="5">
        <f>MVTRESUME2019!E15</f>
        <v>0.16900408919900656</v>
      </c>
      <c r="F10" s="5">
        <f>MVTRESUME2019!F15</f>
        <v>0</v>
      </c>
      <c r="G10" s="5">
        <f>MVTRESUME2019!G15</f>
        <v>84000</v>
      </c>
      <c r="H10" s="5">
        <f>MVTRESUME2019!H15</f>
        <v>7000</v>
      </c>
      <c r="I10" s="5">
        <f>MVTRESUME2019!I15</f>
        <v>14000</v>
      </c>
      <c r="J10" s="5">
        <f>MVTRESUME2019!J15</f>
        <v>35000</v>
      </c>
      <c r="K10" s="5">
        <f>MVTRESUME2019!K15</f>
        <v>2000</v>
      </c>
      <c r="L10" s="5">
        <f>MVTRESUME2019!L15</f>
        <v>0</v>
      </c>
      <c r="M10" s="5">
        <f>MVTRESUME2019!M15</f>
        <v>0</v>
      </c>
      <c r="N10" s="5">
        <f>MVTRESUME2019!N15</f>
        <v>2000000</v>
      </c>
      <c r="O10" s="5">
        <f>MVTRESUME2019!O15</f>
        <v>160000</v>
      </c>
      <c r="P10" s="5">
        <f>MVTRESUME2019!P15</f>
        <v>50000</v>
      </c>
      <c r="Q10" s="5">
        <f>MVTRESUME2019!Q15</f>
        <v>1000000</v>
      </c>
      <c r="R10" s="5">
        <f>MVTRESUME2019!R15</f>
        <v>0</v>
      </c>
      <c r="S10" s="5">
        <f>MVTRESUME2019!S15</f>
        <v>0</v>
      </c>
      <c r="T10" s="5">
        <f>MVTRESUME2019!T15</f>
        <v>1000000</v>
      </c>
      <c r="U10" s="5">
        <f>MVTRESUME2019!U15</f>
        <v>157699.31325073558</v>
      </c>
      <c r="V10" s="5">
        <f>MVTRESUME2019!V15</f>
        <v>86000</v>
      </c>
      <c r="W10" s="5">
        <f>MVTRESUME2019!W15</f>
        <v>78406</v>
      </c>
      <c r="X10" s="5">
        <f>MVTRESUME2019!X15</f>
        <v>0</v>
      </c>
      <c r="Y10" s="5">
        <f>MVTRESUME2019!Y15</f>
        <v>79293.313250735577</v>
      </c>
      <c r="Z10" s="17"/>
      <c r="AC10" s="11">
        <f t="shared" si="0"/>
        <v>157699.14424664638</v>
      </c>
    </row>
    <row r="11" spans="1:34" x14ac:dyDescent="0.25">
      <c r="A11" s="1" t="s">
        <v>26</v>
      </c>
      <c r="B11" s="1" t="str">
        <f>VLOOKUP(A11,[15]LISTADHERENT!A$5:H$57,3,0)</f>
        <v>DONHOU DAVID</v>
      </c>
      <c r="C11" s="5">
        <f>MVTRESUME2019!C16</f>
        <v>480000</v>
      </c>
      <c r="D11" s="5">
        <f>MVTRESUME2019!D16</f>
        <v>97864.943592884913</v>
      </c>
      <c r="E11" s="5">
        <f>MVTRESUME2019!E16</f>
        <v>113997.13327318276</v>
      </c>
      <c r="F11" s="5">
        <f>MVTRESUME2019!F16</f>
        <v>0</v>
      </c>
      <c r="G11" s="5">
        <f>MVTRESUME2019!G16</f>
        <v>84000</v>
      </c>
      <c r="H11" s="5">
        <f>MVTRESUME2019!H16</f>
        <v>7000</v>
      </c>
      <c r="I11" s="5">
        <f>MVTRESUME2019!I16</f>
        <v>14000</v>
      </c>
      <c r="J11" s="5">
        <f>MVTRESUME2019!J16</f>
        <v>35000</v>
      </c>
      <c r="K11" s="5">
        <f>MVTRESUME2019!K16</f>
        <v>14000</v>
      </c>
      <c r="L11" s="5">
        <f>MVTRESUME2019!L16</f>
        <v>0</v>
      </c>
      <c r="M11" s="5">
        <f>MVTRESUME2019!M16</f>
        <v>0</v>
      </c>
      <c r="N11" s="5">
        <f>MVTRESUME2019!N16</f>
        <v>700000</v>
      </c>
      <c r="O11" s="5">
        <f>MVTRESUME2019!O16</f>
        <v>108500</v>
      </c>
      <c r="P11" s="5">
        <f>MVTRESUME2019!P16</f>
        <v>0</v>
      </c>
      <c r="Q11" s="5">
        <f>MVTRESUME2019!Q16</f>
        <v>808500</v>
      </c>
      <c r="R11" s="5">
        <f>MVTRESUME2019!R16</f>
        <v>108500</v>
      </c>
      <c r="S11" s="5">
        <f>MVTRESUME2019!S16</f>
        <v>0</v>
      </c>
      <c r="T11" s="5">
        <f>MVTRESUME2019!T16</f>
        <v>0</v>
      </c>
      <c r="U11" s="5">
        <f>MVTRESUME2019!U16</f>
        <v>295862.07686606765</v>
      </c>
      <c r="V11" s="5">
        <f>MVTRESUME2019!V16</f>
        <v>28500</v>
      </c>
      <c r="W11" s="5">
        <f>MVTRESUME2019!W16</f>
        <v>30000</v>
      </c>
      <c r="X11" s="5">
        <f>MVTRESUME2019!X16</f>
        <v>0</v>
      </c>
      <c r="Y11" s="5">
        <f>MVTRESUME2019!Y16</f>
        <v>265862.07686606765</v>
      </c>
      <c r="Z11" s="17"/>
      <c r="AC11" s="11">
        <f t="shared" si="0"/>
        <v>181864.94359288493</v>
      </c>
    </row>
    <row r="12" spans="1:34" x14ac:dyDescent="0.25">
      <c r="A12" s="1" t="s">
        <v>27</v>
      </c>
      <c r="B12" s="1" t="str">
        <f>VLOOKUP(A12,[15]LISTADHERENT!A$5:H$57,3,0)</f>
        <v>FOTSO THOMAS</v>
      </c>
      <c r="C12" s="5">
        <f>MVTRESUME2019!C17</f>
        <v>480000</v>
      </c>
      <c r="D12" s="5">
        <f>MVTRESUME2019!D17</f>
        <v>80086.550029503749</v>
      </c>
      <c r="E12" s="5">
        <f>MVTRESUME2019!E17</f>
        <v>2219.5520592769026</v>
      </c>
      <c r="F12" s="5">
        <f>MVTRESUME2019!F17</f>
        <v>0</v>
      </c>
      <c r="G12" s="5">
        <f>MVTRESUME2019!G17</f>
        <v>82000</v>
      </c>
      <c r="H12" s="5">
        <f>MVTRESUME2019!H17</f>
        <v>7000</v>
      </c>
      <c r="I12" s="5">
        <f>MVTRESUME2019!I17</f>
        <v>14000</v>
      </c>
      <c r="J12" s="5">
        <f>MVTRESUME2019!J17</f>
        <v>35000</v>
      </c>
      <c r="K12" s="5">
        <f>MVTRESUME2019!K17</f>
        <v>21000</v>
      </c>
      <c r="L12" s="5">
        <f>MVTRESUME2019!L17</f>
        <v>0</v>
      </c>
      <c r="M12" s="5">
        <f>MVTRESUME2019!M17</f>
        <v>0</v>
      </c>
      <c r="N12" s="5">
        <f>MVTRESUME2019!N17</f>
        <v>2000000</v>
      </c>
      <c r="O12" s="5">
        <f>MVTRESUME2019!O17</f>
        <v>150000</v>
      </c>
      <c r="P12" s="5">
        <f>MVTRESUME2019!P17</f>
        <v>30000</v>
      </c>
      <c r="Q12" s="5">
        <f>MVTRESUME2019!Q17</f>
        <v>1000000</v>
      </c>
      <c r="R12" s="5">
        <f>MVTRESUME2019!R17</f>
        <v>0</v>
      </c>
      <c r="S12" s="5">
        <f>MVTRESUME2019!S17</f>
        <v>0</v>
      </c>
      <c r="T12" s="5">
        <f>MVTRESUME2019!T17</f>
        <v>1000000</v>
      </c>
      <c r="U12" s="5">
        <f>MVTRESUME2019!U17</f>
        <v>164306.10208878067</v>
      </c>
      <c r="V12" s="5">
        <f>MVTRESUME2019!V17</f>
        <v>130000</v>
      </c>
      <c r="W12" s="5">
        <f>MVTRESUME2019!W17</f>
        <v>30000</v>
      </c>
      <c r="X12" s="5">
        <f>MVTRESUME2019!X17</f>
        <v>0</v>
      </c>
      <c r="Y12" s="5">
        <f>MVTRESUME2019!Y17</f>
        <v>134306.10208878067</v>
      </c>
      <c r="Z12" s="17" t="s">
        <v>91</v>
      </c>
      <c r="AC12" s="11">
        <f t="shared" si="0"/>
        <v>162086.55002950376</v>
      </c>
    </row>
    <row r="13" spans="1:34" x14ac:dyDescent="0.25">
      <c r="A13" s="1" t="s">
        <v>28</v>
      </c>
      <c r="B13" s="1" t="str">
        <f>VLOOKUP(A13,[15]LISTADHERENT!A$5:H$57,3,0)</f>
        <v>HENGUE PAUL OMER</v>
      </c>
      <c r="C13" s="5">
        <f>MVTRESUME2019!C18</f>
        <v>480000</v>
      </c>
      <c r="D13" s="5">
        <f>MVTRESUME2019!D18</f>
        <v>80427.583632271897</v>
      </c>
      <c r="E13" s="5">
        <f>MVTRESUME2019!E18</f>
        <v>3998.5841971817717</v>
      </c>
      <c r="F13" s="5">
        <f>MVTRESUME2019!F18</f>
        <v>0</v>
      </c>
      <c r="G13" s="5">
        <f>MVTRESUME2019!G18</f>
        <v>84000</v>
      </c>
      <c r="H13" s="5">
        <f>MVTRESUME2019!H18</f>
        <v>7000</v>
      </c>
      <c r="I13" s="5">
        <f>MVTRESUME2019!I18</f>
        <v>14000</v>
      </c>
      <c r="J13" s="5">
        <f>MVTRESUME2019!J18</f>
        <v>35000</v>
      </c>
      <c r="K13" s="5">
        <f>MVTRESUME2019!K18</f>
        <v>1000</v>
      </c>
      <c r="L13" s="5">
        <f>MVTRESUME2019!L18</f>
        <v>0</v>
      </c>
      <c r="M13" s="5">
        <f>MVTRESUME2019!M18</f>
        <v>0</v>
      </c>
      <c r="N13" s="5">
        <f>MVTRESUME2019!N18</f>
        <v>1000000</v>
      </c>
      <c r="O13" s="5">
        <f>MVTRESUME2019!O18</f>
        <v>120000</v>
      </c>
      <c r="P13" s="5">
        <f>MVTRESUME2019!P18</f>
        <v>120000</v>
      </c>
      <c r="Q13" s="5">
        <f>MVTRESUME2019!Q18</f>
        <v>0</v>
      </c>
      <c r="R13" s="5">
        <f>MVTRESUME2019!R18</f>
        <v>0</v>
      </c>
      <c r="S13" s="5">
        <f>MVTRESUME2019!S18</f>
        <v>0</v>
      </c>
      <c r="T13" s="5">
        <f>MVTRESUME2019!T18</f>
        <v>1000000</v>
      </c>
      <c r="U13" s="5">
        <f>MVTRESUME2019!U18</f>
        <v>168426.16782945365</v>
      </c>
      <c r="V13" s="5">
        <f>MVTRESUME2019!V18</f>
        <v>35000</v>
      </c>
      <c r="W13" s="5">
        <f>MVTRESUME2019!W18</f>
        <v>30000</v>
      </c>
      <c r="X13" s="5">
        <f>MVTRESUME2019!X18</f>
        <v>0</v>
      </c>
      <c r="Y13" s="5">
        <f>MVTRESUME2019!Y18</f>
        <v>138426.16782945365</v>
      </c>
      <c r="Z13" s="17"/>
      <c r="AC13" s="11">
        <f t="shared" si="0"/>
        <v>164427.58363227191</v>
      </c>
    </row>
    <row r="14" spans="1:34" x14ac:dyDescent="0.25">
      <c r="A14" s="1" t="s">
        <v>29</v>
      </c>
      <c r="B14" s="1" t="str">
        <f>VLOOKUP(A14,[15]LISTADHERENT!A$5:H$57,3,0)</f>
        <v>HOTCHO BENJAMIN</v>
      </c>
      <c r="C14" s="5">
        <f>MVTRESUME2019!C19</f>
        <v>480000</v>
      </c>
      <c r="D14" s="5">
        <f>MVTRESUME2019!D19</f>
        <v>84433.275952127617</v>
      </c>
      <c r="E14" s="5">
        <f>MVTRESUME2019!E19</f>
        <v>0.44251227390486747</v>
      </c>
      <c r="F14" s="5">
        <f>MVTRESUME2019!F19</f>
        <v>0</v>
      </c>
      <c r="G14" s="5">
        <f>MVTRESUME2019!G19</f>
        <v>258500</v>
      </c>
      <c r="H14" s="5">
        <f>MVTRESUME2019!H19</f>
        <v>7000</v>
      </c>
      <c r="I14" s="5">
        <f>MVTRESUME2019!I19</f>
        <v>14000</v>
      </c>
      <c r="J14" s="5">
        <f>MVTRESUME2019!J19</f>
        <v>35000</v>
      </c>
      <c r="K14" s="5">
        <f>MVTRESUME2019!K19</f>
        <v>2000</v>
      </c>
      <c r="L14" s="5">
        <f>MVTRESUME2019!L19</f>
        <v>0</v>
      </c>
      <c r="M14" s="5">
        <f>MVTRESUME2019!M19</f>
        <v>0</v>
      </c>
      <c r="N14" s="5">
        <f>MVTRESUME2019!N19</f>
        <v>0</v>
      </c>
      <c r="O14" s="5">
        <f>MVTRESUME2019!O19</f>
        <v>0</v>
      </c>
      <c r="P14" s="5">
        <f>MVTRESUME2019!P19</f>
        <v>0</v>
      </c>
      <c r="Q14" s="5">
        <f>MVTRESUME2019!Q19</f>
        <v>0</v>
      </c>
      <c r="R14" s="5">
        <f>MVTRESUME2019!R19</f>
        <v>0</v>
      </c>
      <c r="S14" s="5">
        <f>MVTRESUME2019!S19</f>
        <v>0</v>
      </c>
      <c r="T14" s="5">
        <f>MVTRESUME2019!T19</f>
        <v>0</v>
      </c>
      <c r="U14" s="5">
        <f>MVTRESUME2019!U19</f>
        <v>342933.71846440155</v>
      </c>
      <c r="V14" s="5">
        <f>MVTRESUME2019!V19</f>
        <v>250000</v>
      </c>
      <c r="W14" s="5">
        <f>MVTRESUME2019!W19</f>
        <v>30000</v>
      </c>
      <c r="X14" s="5">
        <f>MVTRESUME2019!X19</f>
        <v>0</v>
      </c>
      <c r="Y14" s="5">
        <f>MVTRESUME2019!Y19</f>
        <v>312933.71846440155</v>
      </c>
      <c r="Z14" s="17"/>
      <c r="AC14" s="11">
        <f t="shared" si="0"/>
        <v>342933.27595212765</v>
      </c>
    </row>
    <row r="15" spans="1:34" x14ac:dyDescent="0.25">
      <c r="A15" s="1" t="s">
        <v>31</v>
      </c>
      <c r="B15" s="1" t="str">
        <f>VLOOKUP(A15,[15]LISTADHERENT!A$5:H$57,3,0)</f>
        <v>KEPSEU FRANCIS</v>
      </c>
      <c r="C15" s="5">
        <f>MVTRESUME2019!C20</f>
        <v>480000</v>
      </c>
      <c r="D15" s="5">
        <f>MVTRESUME2019!D20</f>
        <v>607034.07913233258</v>
      </c>
      <c r="E15" s="5">
        <f>MVTRESUME2019!E20</f>
        <v>2903898.728295486</v>
      </c>
      <c r="F15" s="5">
        <f>MVTRESUME2019!F20</f>
        <v>0</v>
      </c>
      <c r="G15" s="5">
        <f>MVTRESUME2019!G20</f>
        <v>1296000</v>
      </c>
      <c r="H15" s="5">
        <f>MVTRESUME2019!H20</f>
        <v>7000</v>
      </c>
      <c r="I15" s="5">
        <f>MVTRESUME2019!I20</f>
        <v>14000</v>
      </c>
      <c r="J15" s="5">
        <f>MVTRESUME2019!J20</f>
        <v>35000</v>
      </c>
      <c r="K15" s="5">
        <f>MVTRESUME2019!K20</f>
        <v>0</v>
      </c>
      <c r="L15" s="5">
        <f>MVTRESUME2019!L20</f>
        <v>0</v>
      </c>
      <c r="M15" s="5">
        <f>MVTRESUME2019!M20</f>
        <v>0</v>
      </c>
      <c r="N15" s="5">
        <f>MVTRESUME2019!N20</f>
        <v>0</v>
      </c>
      <c r="O15" s="5">
        <f>MVTRESUME2019!O20</f>
        <v>0</v>
      </c>
      <c r="P15" s="5">
        <f>MVTRESUME2019!P20</f>
        <v>0</v>
      </c>
      <c r="Q15" s="5">
        <f>MVTRESUME2019!Q20</f>
        <v>0</v>
      </c>
      <c r="R15" s="5">
        <f>MVTRESUME2019!R20</f>
        <v>0</v>
      </c>
      <c r="S15" s="5">
        <f>MVTRESUME2019!S20</f>
        <v>0</v>
      </c>
      <c r="T15" s="5">
        <f>MVTRESUME2019!T20</f>
        <v>0</v>
      </c>
      <c r="U15" s="5">
        <f>MVTRESUME2019!U20</f>
        <v>4806932.807427818</v>
      </c>
      <c r="V15" s="5">
        <f>MVTRESUME2019!V20</f>
        <v>0</v>
      </c>
      <c r="W15" s="5">
        <f>MVTRESUME2019!W20</f>
        <v>30000</v>
      </c>
      <c r="X15" s="5">
        <f>MVTRESUME2019!X20</f>
        <v>0</v>
      </c>
      <c r="Y15" s="5">
        <f>MVTRESUME2019!Y20</f>
        <v>4776932.807427818</v>
      </c>
      <c r="Z15" s="17"/>
      <c r="AC15" s="11">
        <f t="shared" si="0"/>
        <v>1903034.0791323325</v>
      </c>
    </row>
    <row r="16" spans="1:34" x14ac:dyDescent="0.25">
      <c r="A16" s="1" t="s">
        <v>34</v>
      </c>
      <c r="B16" s="1" t="str">
        <f>VLOOKUP(A16,[15]LISTADHERENT!A$5:H$57,3,0)</f>
        <v>KOUAMO VICTOR PEGUY</v>
      </c>
      <c r="C16" s="5">
        <f>MVTRESUME2019!C21</f>
        <v>480000</v>
      </c>
      <c r="D16" s="5">
        <f>MVTRESUME2019!D21</f>
        <v>79661.668675915658</v>
      </c>
      <c r="E16" s="5">
        <f>MVTRESUME2019!E21</f>
        <v>-0.26072546625800896</v>
      </c>
      <c r="F16" s="5">
        <f>MVTRESUME2019!F21</f>
        <v>0</v>
      </c>
      <c r="G16" s="5">
        <f>MVTRESUME2019!G21</f>
        <v>81000</v>
      </c>
      <c r="H16" s="5">
        <f>MVTRESUME2019!H21</f>
        <v>7000</v>
      </c>
      <c r="I16" s="5">
        <f>MVTRESUME2019!I21</f>
        <v>14000</v>
      </c>
      <c r="J16" s="5">
        <f>MVTRESUME2019!J21</f>
        <v>35000</v>
      </c>
      <c r="K16" s="5">
        <f>MVTRESUME2019!K21</f>
        <v>7000</v>
      </c>
      <c r="L16" s="5">
        <f>MVTRESUME2019!L21</f>
        <v>0</v>
      </c>
      <c r="M16" s="5">
        <f>MVTRESUME2019!M21</f>
        <v>0</v>
      </c>
      <c r="N16" s="5">
        <f>MVTRESUME2019!N21</f>
        <v>1900000</v>
      </c>
      <c r="O16" s="5">
        <f>MVTRESUME2019!O21</f>
        <v>159000</v>
      </c>
      <c r="P16" s="5">
        <f>MVTRESUME2019!P21</f>
        <v>60000</v>
      </c>
      <c r="Q16" s="5">
        <f>MVTRESUME2019!Q21</f>
        <v>900000</v>
      </c>
      <c r="R16" s="5">
        <f>MVTRESUME2019!R21</f>
        <v>139500</v>
      </c>
      <c r="S16" s="5">
        <f>MVTRESUME2019!S21</f>
        <v>0</v>
      </c>
      <c r="T16" s="5">
        <f>MVTRESUME2019!T21</f>
        <v>1139500</v>
      </c>
      <c r="U16" s="5">
        <f>MVTRESUME2019!U21</f>
        <v>160661.40795044939</v>
      </c>
      <c r="V16" s="5">
        <f>MVTRESUME2019!V21</f>
        <v>0</v>
      </c>
      <c r="W16" s="5">
        <f>MVTRESUME2019!W21</f>
        <v>30000</v>
      </c>
      <c r="X16" s="5">
        <f>MVTRESUME2019!X21</f>
        <v>0</v>
      </c>
      <c r="Y16" s="5">
        <f>MVTRESUME2019!Y21</f>
        <v>130661.40795044939</v>
      </c>
      <c r="Z16" s="17" t="s">
        <v>93</v>
      </c>
      <c r="AA16" t="s">
        <v>129</v>
      </c>
      <c r="AB16" s="2">
        <f>45000+94500</f>
        <v>139500</v>
      </c>
      <c r="AC16" s="11">
        <f t="shared" si="0"/>
        <v>160661.66867591566</v>
      </c>
      <c r="AG16" s="2">
        <f>AB16</f>
        <v>139500</v>
      </c>
    </row>
    <row r="17" spans="1:33" s="14" customFormat="1" x14ac:dyDescent="0.25">
      <c r="A17" s="12" t="s">
        <v>32</v>
      </c>
      <c r="B17" s="1" t="str">
        <f>VLOOKUP(A17,[15]LISTADHERENT!A$5:H$57,3,0)</f>
        <v>KOUAMOU EMMANUEL</v>
      </c>
      <c r="C17" s="5">
        <f>MVTRESUME2019!C22</f>
        <v>480000</v>
      </c>
      <c r="D17" s="5">
        <f>MVTRESUME2019!D22</f>
        <v>78414.920478625208</v>
      </c>
      <c r="E17" s="5">
        <f>MVTRESUME2019!E22</f>
        <v>643.11234311138105</v>
      </c>
      <c r="F17" s="5">
        <f>MVTRESUME2019!F22</f>
        <v>0</v>
      </c>
      <c r="G17" s="5">
        <f>MVTRESUME2019!G22</f>
        <v>30000</v>
      </c>
      <c r="H17" s="5">
        <f>MVTRESUME2019!H22</f>
        <v>2500</v>
      </c>
      <c r="I17" s="5">
        <f>MVTRESUME2019!I22</f>
        <v>5000</v>
      </c>
      <c r="J17" s="5">
        <f>MVTRESUME2019!J22</f>
        <v>12500</v>
      </c>
      <c r="K17" s="5">
        <f>MVTRESUME2019!K22</f>
        <v>4000</v>
      </c>
      <c r="L17" s="5">
        <f>MVTRESUME2019!L22</f>
        <v>0</v>
      </c>
      <c r="M17" s="5">
        <f>MVTRESUME2019!M22</f>
        <v>0</v>
      </c>
      <c r="N17" s="5">
        <f>MVTRESUME2019!N22</f>
        <v>700000</v>
      </c>
      <c r="O17" s="5">
        <f>MVTRESUME2019!O22</f>
        <v>77000</v>
      </c>
      <c r="P17" s="5">
        <f>MVTRESUME2019!P22</f>
        <v>0</v>
      </c>
      <c r="Q17" s="5">
        <f>MVTRESUME2019!Q22</f>
        <v>0</v>
      </c>
      <c r="R17" s="5">
        <f>MVTRESUME2019!R22</f>
        <v>108500</v>
      </c>
      <c r="S17" s="5">
        <f>MVTRESUME2019!S22</f>
        <v>0</v>
      </c>
      <c r="T17" s="5">
        <f>MVTRESUME2019!T22</f>
        <v>808500</v>
      </c>
      <c r="U17" s="5">
        <f>MVTRESUME2019!U22</f>
        <v>109058.03282173659</v>
      </c>
      <c r="V17" s="5">
        <f>MVTRESUME2019!V22</f>
        <v>109058</v>
      </c>
      <c r="W17" s="5">
        <f>MVTRESUME2019!W22</f>
        <v>0</v>
      </c>
      <c r="X17" s="5">
        <f>MVTRESUME2019!X22</f>
        <v>0</v>
      </c>
      <c r="Y17" s="5">
        <f>MVTRESUME2019!Y22</f>
        <v>109058.03282173659</v>
      </c>
      <c r="Z17" s="35" t="s">
        <v>95</v>
      </c>
      <c r="AA17" s="14" t="s">
        <v>129</v>
      </c>
      <c r="AB17" s="11">
        <f>35000+73500</f>
        <v>108500</v>
      </c>
      <c r="AC17" s="11">
        <f t="shared" si="0"/>
        <v>108414.92047862521</v>
      </c>
      <c r="AD17" s="11" t="e">
        <f>#REF!</f>
        <v>#REF!</v>
      </c>
      <c r="AG17" s="7" t="e">
        <f>C17-T17+U17+AD17+AE17</f>
        <v>#REF!</v>
      </c>
    </row>
    <row r="18" spans="1:33" x14ac:dyDescent="0.25">
      <c r="A18" s="1" t="s">
        <v>33</v>
      </c>
      <c r="B18" s="1" t="str">
        <f>VLOOKUP(A18,[15]LISTADHERENT!A$5:H$57,3,0)</f>
        <v>KOUAMOU MOISE</v>
      </c>
      <c r="C18" s="5">
        <f>MVTRESUME2019!C23</f>
        <v>480000</v>
      </c>
      <c r="D18" s="5">
        <f>MVTRESUME2019!D23</f>
        <v>80181.060176583385</v>
      </c>
      <c r="E18" s="5">
        <f>MVTRESUME2019!E23</f>
        <v>2611.7018854503112</v>
      </c>
      <c r="F18" s="5">
        <f>MVTRESUME2019!F23</f>
        <v>0</v>
      </c>
      <c r="G18" s="5">
        <f>MVTRESUME2019!G23</f>
        <v>84000</v>
      </c>
      <c r="H18" s="5">
        <f>MVTRESUME2019!H23</f>
        <v>7000</v>
      </c>
      <c r="I18" s="5">
        <f>MVTRESUME2019!I23</f>
        <v>14000</v>
      </c>
      <c r="J18" s="5">
        <f>MVTRESUME2019!J23</f>
        <v>35000</v>
      </c>
      <c r="K18" s="5">
        <f>MVTRESUME2019!K23</f>
        <v>1000</v>
      </c>
      <c r="L18" s="5">
        <f>MVTRESUME2019!L23</f>
        <v>0</v>
      </c>
      <c r="M18" s="5">
        <f>MVTRESUME2019!M23</f>
        <v>0</v>
      </c>
      <c r="N18" s="5">
        <f>MVTRESUME2019!N23</f>
        <v>1500000</v>
      </c>
      <c r="O18" s="5">
        <f>MVTRESUME2019!O23</f>
        <v>135000</v>
      </c>
      <c r="P18" s="5">
        <f>MVTRESUME2019!P23</f>
        <v>25000</v>
      </c>
      <c r="Q18" s="5">
        <f>MVTRESUME2019!Q23</f>
        <v>1000000</v>
      </c>
      <c r="R18" s="5">
        <f>MVTRESUME2019!R23</f>
        <v>0</v>
      </c>
      <c r="S18" s="5">
        <f>MVTRESUME2019!S23</f>
        <v>0</v>
      </c>
      <c r="T18" s="5">
        <f>MVTRESUME2019!T23</f>
        <v>500000</v>
      </c>
      <c r="U18" s="5">
        <f>MVTRESUME2019!U23</f>
        <v>166792.7620620337</v>
      </c>
      <c r="V18" s="5">
        <f>MVTRESUME2019!V23</f>
        <v>130000</v>
      </c>
      <c r="W18" s="5">
        <f>MVTRESUME2019!W23</f>
        <v>30000</v>
      </c>
      <c r="X18" s="5">
        <f>MVTRESUME2019!X23</f>
        <v>0</v>
      </c>
      <c r="Y18" s="5">
        <f>MVTRESUME2019!Y23</f>
        <v>136792.7620620337</v>
      </c>
      <c r="Z18" s="17" t="s">
        <v>96</v>
      </c>
      <c r="AC18" s="11">
        <f t="shared" si="0"/>
        <v>164181.06017658339</v>
      </c>
    </row>
    <row r="19" spans="1:33" x14ac:dyDescent="0.25">
      <c r="A19" s="1" t="s">
        <v>35</v>
      </c>
      <c r="B19" s="1" t="str">
        <f>VLOOKUP(A19,[15]LISTADHERENT!A$5:H$57,3,0)</f>
        <v>KOUATCHO MESSACK</v>
      </c>
      <c r="C19" s="5">
        <f>MVTRESUME2019!C24</f>
        <v>480000</v>
      </c>
      <c r="D19" s="5">
        <f>MVTRESUME2019!D24</f>
        <v>79889.68496817023</v>
      </c>
      <c r="E19" s="5">
        <f>MVTRESUME2019!E24</f>
        <v>605.40582988600363</v>
      </c>
      <c r="F19" s="5">
        <f>MVTRESUME2019!F24</f>
        <v>0</v>
      </c>
      <c r="G19" s="5">
        <f>MVTRESUME2019!G24</f>
        <v>84000</v>
      </c>
      <c r="H19" s="5">
        <f>MVTRESUME2019!H24</f>
        <v>7000</v>
      </c>
      <c r="I19" s="5">
        <f>MVTRESUME2019!I24</f>
        <v>14000</v>
      </c>
      <c r="J19" s="5">
        <f>MVTRESUME2019!J24</f>
        <v>35000</v>
      </c>
      <c r="K19" s="5">
        <f>MVTRESUME2019!K24</f>
        <v>7000</v>
      </c>
      <c r="L19" s="5">
        <f>MVTRESUME2019!L24</f>
        <v>0</v>
      </c>
      <c r="M19" s="5">
        <f>MVTRESUME2019!M24</f>
        <v>0</v>
      </c>
      <c r="N19" s="5">
        <f>MVTRESUME2019!N24</f>
        <v>2000000</v>
      </c>
      <c r="O19" s="5">
        <f>MVTRESUME2019!O24</f>
        <v>150000</v>
      </c>
      <c r="P19" s="5">
        <f>MVTRESUME2019!P24</f>
        <v>40000</v>
      </c>
      <c r="Q19" s="5">
        <f>MVTRESUME2019!Q24</f>
        <v>1000000</v>
      </c>
      <c r="R19" s="5">
        <f>MVTRESUME2019!R24</f>
        <v>0</v>
      </c>
      <c r="S19" s="5">
        <f>MVTRESUME2019!S24</f>
        <v>0</v>
      </c>
      <c r="T19" s="5">
        <f>MVTRESUME2019!T24</f>
        <v>1000000</v>
      </c>
      <c r="U19" s="5">
        <f>MVTRESUME2019!U24</f>
        <v>164495.09079805622</v>
      </c>
      <c r="V19" s="5">
        <f>MVTRESUME2019!V24</f>
        <v>120000</v>
      </c>
      <c r="W19" s="5">
        <f>MVTRESUME2019!W24</f>
        <v>30000</v>
      </c>
      <c r="X19" s="5">
        <f>MVTRESUME2019!X24</f>
        <v>0</v>
      </c>
      <c r="Y19" s="5">
        <f>MVTRESUME2019!Y24</f>
        <v>134495.09079805622</v>
      </c>
      <c r="Z19" s="17" t="s">
        <v>87</v>
      </c>
      <c r="AC19" s="11">
        <f t="shared" si="0"/>
        <v>163889.68496817024</v>
      </c>
    </row>
    <row r="20" spans="1:33" x14ac:dyDescent="0.25">
      <c r="A20" s="1" t="s">
        <v>36</v>
      </c>
      <c r="B20" s="1" t="str">
        <f>VLOOKUP(A20,[15]LISTADHERENT!A$5:H$57,3,0)</f>
        <v>LOWE JEAN</v>
      </c>
      <c r="C20" s="5">
        <f>MVTRESUME2019!C25</f>
        <v>480000</v>
      </c>
      <c r="D20" s="5">
        <f>MVTRESUME2019!D25</f>
        <v>79644.731049764974</v>
      </c>
      <c r="E20" s="5">
        <f>MVTRESUME2019!E25</f>
        <v>-0.14820683863945305</v>
      </c>
      <c r="F20" s="5">
        <f>MVTRESUME2019!F25</f>
        <v>0</v>
      </c>
      <c r="G20" s="5">
        <f>MVTRESUME2019!G25</f>
        <v>82000</v>
      </c>
      <c r="H20" s="5">
        <f>MVTRESUME2019!H25</f>
        <v>7000</v>
      </c>
      <c r="I20" s="5">
        <f>MVTRESUME2019!I25</f>
        <v>14000</v>
      </c>
      <c r="J20" s="5">
        <f>MVTRESUME2019!J25</f>
        <v>35000</v>
      </c>
      <c r="K20" s="5">
        <f>MVTRESUME2019!K25</f>
        <v>9000</v>
      </c>
      <c r="L20" s="5">
        <f>MVTRESUME2019!L25</f>
        <v>0</v>
      </c>
      <c r="M20" s="5">
        <f>MVTRESUME2019!M25</f>
        <v>0</v>
      </c>
      <c r="N20" s="5">
        <f>MVTRESUME2019!N25</f>
        <v>260000</v>
      </c>
      <c r="O20" s="5">
        <f>MVTRESUME2019!O25</f>
        <v>10400</v>
      </c>
      <c r="P20" s="5">
        <f>MVTRESUME2019!P25</f>
        <v>7800</v>
      </c>
      <c r="Q20" s="5">
        <f>MVTRESUME2019!Q25</f>
        <v>130000</v>
      </c>
      <c r="R20" s="5">
        <f>MVTRESUME2019!R25</f>
        <v>0</v>
      </c>
      <c r="S20" s="5">
        <f>MVTRESUME2019!S25</f>
        <v>0</v>
      </c>
      <c r="T20" s="5">
        <f>MVTRESUME2019!T25</f>
        <v>130000</v>
      </c>
      <c r="U20" s="5">
        <f>MVTRESUME2019!U25</f>
        <v>161644.58284292632</v>
      </c>
      <c r="V20" s="5">
        <f>MVTRESUME2019!V25</f>
        <v>128000</v>
      </c>
      <c r="W20" s="5">
        <f>MVTRESUME2019!W25</f>
        <v>30000</v>
      </c>
      <c r="X20" s="5">
        <f>MVTRESUME2019!X25</f>
        <v>0</v>
      </c>
      <c r="Y20" s="5">
        <f>MVTRESUME2019!Y25</f>
        <v>131644.58284292632</v>
      </c>
      <c r="Z20" s="17" t="s">
        <v>94</v>
      </c>
      <c r="AC20" s="11">
        <f t="shared" si="0"/>
        <v>161644.73104976496</v>
      </c>
    </row>
    <row r="21" spans="1:33" x14ac:dyDescent="0.25">
      <c r="A21" s="1" t="s">
        <v>75</v>
      </c>
      <c r="B21" s="1" t="str">
        <f>VLOOKUP(A21,[15]LISTADHERENT!A$5:H$57,3,0)</f>
        <v>MBOGNING TUGMA GUY</v>
      </c>
      <c r="C21" s="5">
        <f>MVTRESUME2019!C26</f>
        <v>30000</v>
      </c>
      <c r="D21" s="5">
        <f>MVTRESUME2019!D26</f>
        <v>12025.274783900029</v>
      </c>
      <c r="E21" s="5">
        <f>MVTRESUME2019!E26</f>
        <v>2994.5270055830988</v>
      </c>
      <c r="F21" s="5">
        <f>MVTRESUME2019!F26</f>
        <v>0</v>
      </c>
      <c r="G21" s="5">
        <f>MVTRESUME2019!G26</f>
        <v>104000</v>
      </c>
      <c r="H21" s="5">
        <f>MVTRESUME2019!H26</f>
        <v>7000</v>
      </c>
      <c r="I21" s="5">
        <f>MVTRESUME2019!I26</f>
        <v>14000</v>
      </c>
      <c r="J21" s="5">
        <f>MVTRESUME2019!J26</f>
        <v>35000</v>
      </c>
      <c r="K21" s="5">
        <f>MVTRESUME2019!K26</f>
        <v>0</v>
      </c>
      <c r="L21" s="5">
        <f>MVTRESUME2019!L26</f>
        <v>0</v>
      </c>
      <c r="M21" s="5">
        <f>MVTRESUME2019!M26</f>
        <v>0</v>
      </c>
      <c r="N21" s="5">
        <f>MVTRESUME2019!N26</f>
        <v>900000</v>
      </c>
      <c r="O21" s="5">
        <f>MVTRESUME2019!O26</f>
        <v>108000</v>
      </c>
      <c r="P21" s="5">
        <f>MVTRESUME2019!P26</f>
        <v>0</v>
      </c>
      <c r="Q21" s="5">
        <f>MVTRESUME2019!Q26</f>
        <v>900000</v>
      </c>
      <c r="R21" s="5">
        <f>MVTRESUME2019!R26</f>
        <v>0</v>
      </c>
      <c r="S21" s="5">
        <f>MVTRESUME2019!S26</f>
        <v>0</v>
      </c>
      <c r="T21" s="5">
        <f>MVTRESUME2019!T26</f>
        <v>0</v>
      </c>
      <c r="U21" s="5">
        <f>MVTRESUME2019!U26</f>
        <v>119019.80178948313</v>
      </c>
      <c r="V21" s="5">
        <f>MVTRESUME2019!V26</f>
        <v>88500</v>
      </c>
      <c r="W21" s="5">
        <f>MVTRESUME2019!W26</f>
        <v>30000</v>
      </c>
      <c r="X21" s="5">
        <f>MVTRESUME2019!X26</f>
        <v>0</v>
      </c>
      <c r="Y21" s="5">
        <f>MVTRESUME2019!Y26</f>
        <v>89019.801789483128</v>
      </c>
      <c r="Z21" s="17" t="s">
        <v>91</v>
      </c>
      <c r="AC21" s="11">
        <f t="shared" si="0"/>
        <v>116025.27478390004</v>
      </c>
    </row>
    <row r="22" spans="1:33" x14ac:dyDescent="0.25">
      <c r="A22" s="1" t="s">
        <v>50</v>
      </c>
      <c r="B22" s="1" t="str">
        <f>VLOOKUP(A22,[15]LISTADHERENT!A$5:H$57,3,0)</f>
        <v>NANGUEN MARTIN</v>
      </c>
      <c r="C22" s="5">
        <f>MVTRESUME2019!C27</f>
        <v>450000</v>
      </c>
      <c r="D22" s="5">
        <f>MVTRESUME2019!D27</f>
        <v>81837.118573991771</v>
      </c>
      <c r="E22" s="5">
        <f>MVTRESUME2019!E27</f>
        <v>12890.22827698091</v>
      </c>
      <c r="F22" s="5">
        <f>MVTRESUME2019!F27</f>
        <v>0</v>
      </c>
      <c r="G22" s="5">
        <f>MVTRESUME2019!G27</f>
        <v>94000</v>
      </c>
      <c r="H22" s="5">
        <f>MVTRESUME2019!H27</f>
        <v>7000</v>
      </c>
      <c r="I22" s="5">
        <f>MVTRESUME2019!I27</f>
        <v>14000</v>
      </c>
      <c r="J22" s="5">
        <f>MVTRESUME2019!J27</f>
        <v>35000</v>
      </c>
      <c r="K22" s="5">
        <f>MVTRESUME2019!K27</f>
        <v>0</v>
      </c>
      <c r="L22" s="5">
        <f>MVTRESUME2019!L27</f>
        <v>0</v>
      </c>
      <c r="M22" s="5">
        <f>MVTRESUME2019!M27</f>
        <v>0</v>
      </c>
      <c r="N22" s="5">
        <f>MVTRESUME2019!N27</f>
        <v>100000</v>
      </c>
      <c r="O22" s="5">
        <f>MVTRESUME2019!O27</f>
        <v>5000</v>
      </c>
      <c r="P22" s="5">
        <f>MVTRESUME2019!P27</f>
        <v>0</v>
      </c>
      <c r="Q22" s="5">
        <f>MVTRESUME2019!Q27</f>
        <v>100000</v>
      </c>
      <c r="R22" s="5">
        <f>MVTRESUME2019!R27</f>
        <v>0</v>
      </c>
      <c r="S22" s="5">
        <f>MVTRESUME2019!S27</f>
        <v>0</v>
      </c>
      <c r="T22" s="5">
        <f>MVTRESUME2019!T27</f>
        <v>0</v>
      </c>
      <c r="U22" s="5">
        <f>MVTRESUME2019!U27</f>
        <v>188727.34685097268</v>
      </c>
      <c r="V22" s="5">
        <f>MVTRESUME2019!V27</f>
        <v>95000</v>
      </c>
      <c r="W22" s="5">
        <f>MVTRESUME2019!W27</f>
        <v>60000</v>
      </c>
      <c r="X22" s="5">
        <f>MVTRESUME2019!X27</f>
        <v>0</v>
      </c>
      <c r="Y22" s="5">
        <f>MVTRESUME2019!Y27</f>
        <v>128727.34685097268</v>
      </c>
      <c r="Z22" s="17" t="s">
        <v>94</v>
      </c>
      <c r="AC22" s="11">
        <f t="shared" si="0"/>
        <v>175837.11857399176</v>
      </c>
    </row>
    <row r="23" spans="1:33" x14ac:dyDescent="0.25">
      <c r="A23" s="1" t="s">
        <v>37</v>
      </c>
      <c r="B23" s="1" t="str">
        <f>VLOOKUP(A23,[15]LISTADHERENT!A$5:H$57,3,0)</f>
        <v>NANKAM APPOLINAIRE</v>
      </c>
      <c r="C23" s="5">
        <f>MVTRESUME2019!C28</f>
        <v>480000</v>
      </c>
      <c r="D23" s="5">
        <f>MVTRESUME2019!D28</f>
        <v>80008.312869354428</v>
      </c>
      <c r="E23" s="5">
        <f>MVTRESUME2019!E28</f>
        <v>1353.7356825511233</v>
      </c>
      <c r="F23" s="5">
        <f>MVTRESUME2019!F28</f>
        <v>0</v>
      </c>
      <c r="G23" s="5">
        <f>MVTRESUME2019!G28</f>
        <v>84000</v>
      </c>
      <c r="H23" s="5">
        <f>MVTRESUME2019!H28</f>
        <v>7000</v>
      </c>
      <c r="I23" s="5">
        <f>MVTRESUME2019!I28</f>
        <v>14000</v>
      </c>
      <c r="J23" s="5">
        <f>MVTRESUME2019!J28</f>
        <v>35000</v>
      </c>
      <c r="K23" s="5">
        <f>MVTRESUME2019!K28</f>
        <v>5000</v>
      </c>
      <c r="L23" s="5">
        <f>MVTRESUME2019!L28</f>
        <v>0</v>
      </c>
      <c r="M23" s="5">
        <f>MVTRESUME2019!M28</f>
        <v>0</v>
      </c>
      <c r="N23" s="5">
        <f>MVTRESUME2019!N28</f>
        <v>2000000</v>
      </c>
      <c r="O23" s="5">
        <f>MVTRESUME2019!O28</f>
        <v>230000</v>
      </c>
      <c r="P23" s="5">
        <f>MVTRESUME2019!P28</f>
        <v>120000</v>
      </c>
      <c r="Q23" s="5">
        <f>MVTRESUME2019!Q28</f>
        <v>1000000</v>
      </c>
      <c r="R23" s="5">
        <f>MVTRESUME2019!R28</f>
        <v>0</v>
      </c>
      <c r="S23" s="5">
        <f>MVTRESUME2019!S28</f>
        <v>0</v>
      </c>
      <c r="T23" s="5">
        <f>MVTRESUME2019!T28</f>
        <v>1000000</v>
      </c>
      <c r="U23" s="5">
        <f>MVTRESUME2019!U28</f>
        <v>165362.04855190555</v>
      </c>
      <c r="V23" s="5">
        <f>MVTRESUME2019!V28</f>
        <v>130000</v>
      </c>
      <c r="W23" s="5">
        <f>MVTRESUME2019!W28</f>
        <v>30000</v>
      </c>
      <c r="X23" s="5">
        <f>MVTRESUME2019!X28</f>
        <v>0</v>
      </c>
      <c r="Y23" s="5">
        <f>MVTRESUME2019!Y28</f>
        <v>135362.04855190555</v>
      </c>
      <c r="Z23" s="17"/>
      <c r="AC23" s="11">
        <f t="shared" si="0"/>
        <v>164008.31286935444</v>
      </c>
    </row>
    <row r="24" spans="1:33" x14ac:dyDescent="0.25">
      <c r="A24" s="1" t="s">
        <v>38</v>
      </c>
      <c r="B24" s="1" t="str">
        <f>VLOOKUP(A24,[15]LISTADHERENT!A$5:H$57,3,0)</f>
        <v>NDJOMO ETIENNE</v>
      </c>
      <c r="C24" s="5">
        <f>MVTRESUME2019!C29</f>
        <v>480000</v>
      </c>
      <c r="D24" s="5">
        <f>MVTRESUME2019!D29</f>
        <v>91731.680250305682</v>
      </c>
      <c r="E24" s="5">
        <f>MVTRESUME2019!E29</f>
        <v>57225.614111341449</v>
      </c>
      <c r="F24" s="5">
        <f>MVTRESUME2019!F29</f>
        <v>0</v>
      </c>
      <c r="G24" s="5">
        <f>MVTRESUME2019!G29</f>
        <v>151000</v>
      </c>
      <c r="H24" s="5">
        <f>MVTRESUME2019!H29</f>
        <v>7000</v>
      </c>
      <c r="I24" s="5">
        <f>MVTRESUME2019!I29</f>
        <v>14000</v>
      </c>
      <c r="J24" s="5">
        <f>MVTRESUME2019!J29</f>
        <v>35000</v>
      </c>
      <c r="K24" s="5">
        <f>MVTRESUME2019!K29</f>
        <v>0</v>
      </c>
      <c r="L24" s="5">
        <f>MVTRESUME2019!L29</f>
        <v>0</v>
      </c>
      <c r="M24" s="5">
        <f>MVTRESUME2019!M29</f>
        <v>0</v>
      </c>
      <c r="N24" s="5">
        <f>MVTRESUME2019!N29</f>
        <v>500000</v>
      </c>
      <c r="O24" s="5">
        <f>MVTRESUME2019!O29</f>
        <v>50000</v>
      </c>
      <c r="P24" s="5">
        <f>MVTRESUME2019!P29</f>
        <v>0</v>
      </c>
      <c r="Q24" s="5">
        <f>MVTRESUME2019!Q29</f>
        <v>500000</v>
      </c>
      <c r="R24" s="5">
        <f>MVTRESUME2019!R29</f>
        <v>0</v>
      </c>
      <c r="S24" s="5">
        <f>MVTRESUME2019!S29</f>
        <v>0</v>
      </c>
      <c r="T24" s="5">
        <f>MVTRESUME2019!T29</f>
        <v>0</v>
      </c>
      <c r="U24" s="5">
        <f>MVTRESUME2019!U29</f>
        <v>299957.2943616471</v>
      </c>
      <c r="V24" s="5">
        <f>MVTRESUME2019!V29</f>
        <v>240000</v>
      </c>
      <c r="W24" s="5">
        <f>MVTRESUME2019!W29</f>
        <v>30000</v>
      </c>
      <c r="X24" s="5">
        <f>MVTRESUME2019!X29</f>
        <v>0</v>
      </c>
      <c r="Y24" s="5">
        <f>MVTRESUME2019!Y29</f>
        <v>269957.2943616471</v>
      </c>
      <c r="Z24" s="17"/>
      <c r="AC24" s="11">
        <f t="shared" si="0"/>
        <v>242731.68025030568</v>
      </c>
    </row>
    <row r="25" spans="1:33" x14ac:dyDescent="0.25">
      <c r="A25" s="1" t="s">
        <v>80</v>
      </c>
      <c r="B25" s="1" t="str">
        <f>VLOOKUP(A25,[15]LISTADHERENT!A$5:H$57,3,0)</f>
        <v>NGANHOU JEAN</v>
      </c>
      <c r="C25" s="5">
        <f>MVTRESUME2019!C30</f>
        <v>0</v>
      </c>
      <c r="D25" s="5">
        <f>MVTRESUME2019!D30</f>
        <v>2138.4782390296004</v>
      </c>
      <c r="E25" s="5">
        <f>MVTRESUME2019!E30</f>
        <v>0.16900408919900656</v>
      </c>
      <c r="F25" s="5">
        <f>MVTRESUME2019!F30</f>
        <v>0</v>
      </c>
      <c r="G25" s="5">
        <f>MVTRESUME2019!G30</f>
        <v>30000</v>
      </c>
      <c r="H25" s="5">
        <f>MVTRESUME2019!H30</f>
        <v>2500</v>
      </c>
      <c r="I25" s="5">
        <f>MVTRESUME2019!I30</f>
        <v>5000</v>
      </c>
      <c r="J25" s="5">
        <f>MVTRESUME2019!J30</f>
        <v>12500</v>
      </c>
      <c r="K25" s="5">
        <f>MVTRESUME2019!K30</f>
        <v>2000</v>
      </c>
      <c r="L25" s="5">
        <f>MVTRESUME2019!L30</f>
        <v>0</v>
      </c>
      <c r="M25" s="5">
        <f>MVTRESUME2019!M30</f>
        <v>0</v>
      </c>
      <c r="N25" s="5">
        <f>MVTRESUME2019!N30</f>
        <v>0</v>
      </c>
      <c r="O25" s="5">
        <f>MVTRESUME2019!O30</f>
        <v>0</v>
      </c>
      <c r="P25" s="5">
        <f>MVTRESUME2019!P30</f>
        <v>0</v>
      </c>
      <c r="Q25" s="5">
        <f>MVTRESUME2019!Q30</f>
        <v>0</v>
      </c>
      <c r="R25" s="5">
        <f>MVTRESUME2019!R30</f>
        <v>0</v>
      </c>
      <c r="S25" s="5">
        <f>MVTRESUME2019!S30</f>
        <v>0</v>
      </c>
      <c r="T25" s="5">
        <f>MVTRESUME2019!T30</f>
        <v>0</v>
      </c>
      <c r="U25" s="5">
        <f>MVTRESUME2019!U30</f>
        <v>32138.647243118801</v>
      </c>
      <c r="V25" s="5">
        <f>MVTRESUME2019!V30</f>
        <v>2139</v>
      </c>
      <c r="W25" s="5">
        <f>MVTRESUME2019!W30</f>
        <v>30000</v>
      </c>
      <c r="X25" s="5">
        <f>MVTRESUME2019!X30</f>
        <v>0</v>
      </c>
      <c r="Y25" s="5">
        <f>MVTRESUME2019!Y30</f>
        <v>2138.6472431188013</v>
      </c>
      <c r="Z25" s="17"/>
      <c r="AC25" s="11">
        <f t="shared" si="0"/>
        <v>32138.478239029602</v>
      </c>
    </row>
    <row r="26" spans="1:33" s="14" customFormat="1" x14ac:dyDescent="0.25">
      <c r="A26" s="12" t="s">
        <v>39</v>
      </c>
      <c r="B26" s="1" t="str">
        <f>VLOOKUP(A26,[15]LISTADHERENT!A$5:H$57,3,0)</f>
        <v>NGONDIEP CLAUDE</v>
      </c>
      <c r="C26" s="5">
        <f>MVTRESUME2019!C31</f>
        <v>480000</v>
      </c>
      <c r="D26" s="5">
        <f>MVTRESUME2019!D31</f>
        <v>0</v>
      </c>
      <c r="E26" s="5">
        <f>MVTRESUME2019!E31</f>
        <v>0.28740352351451293</v>
      </c>
      <c r="F26" s="5">
        <f>MVTRESUME2019!F31</f>
        <v>0</v>
      </c>
      <c r="G26" s="5">
        <f>MVTRESUME2019!G31</f>
        <v>100000</v>
      </c>
      <c r="H26" s="5">
        <f>MVTRESUME2019!H31</f>
        <v>7000</v>
      </c>
      <c r="I26" s="5">
        <f>MVTRESUME2019!I31</f>
        <v>14000</v>
      </c>
      <c r="J26" s="5">
        <f>MVTRESUME2019!J31</f>
        <v>35000</v>
      </c>
      <c r="K26" s="5">
        <f>MVTRESUME2019!K31</f>
        <v>6000</v>
      </c>
      <c r="L26" s="5">
        <f>MVTRESUME2019!L31</f>
        <v>0</v>
      </c>
      <c r="M26" s="5">
        <f>MVTRESUME2019!M31</f>
        <v>0</v>
      </c>
      <c r="N26" s="5">
        <f>MVTRESUME2019!N31</f>
        <v>1176000</v>
      </c>
      <c r="O26" s="5">
        <f>MVTRESUME2019!O31</f>
        <v>0</v>
      </c>
      <c r="P26" s="5">
        <f>MVTRESUME2019!P31</f>
        <v>0</v>
      </c>
      <c r="Q26" s="5">
        <f>MVTRESUME2019!Q31</f>
        <v>1305360</v>
      </c>
      <c r="R26" s="5">
        <f>MVTRESUME2019!R31</f>
        <v>129360</v>
      </c>
      <c r="S26" s="5">
        <f>MVTRESUME2019!S31</f>
        <v>0</v>
      </c>
      <c r="T26" s="5">
        <f>MVTRESUME2019!T31</f>
        <v>0</v>
      </c>
      <c r="U26" s="5">
        <f>MVTRESUME2019!U31</f>
        <v>100000.28740352351</v>
      </c>
      <c r="V26" s="5">
        <f>MVTRESUME2019!V31</f>
        <v>60000</v>
      </c>
      <c r="W26" s="5">
        <f>MVTRESUME2019!W31</f>
        <v>30000</v>
      </c>
      <c r="X26" s="5">
        <f>MVTRESUME2019!X31</f>
        <v>0</v>
      </c>
      <c r="Y26" s="5">
        <f>MVTRESUME2019!Y31</f>
        <v>70000.287403523515</v>
      </c>
      <c r="Z26" s="35"/>
      <c r="AA26" s="14" t="s">
        <v>129</v>
      </c>
      <c r="AC26" s="11">
        <f t="shared" si="0"/>
        <v>100000</v>
      </c>
    </row>
    <row r="27" spans="1:33" s="14" customFormat="1" x14ac:dyDescent="0.25">
      <c r="A27" s="12" t="s">
        <v>40</v>
      </c>
      <c r="B27" s="1" t="str">
        <f>VLOOKUP(A27,[15]LISTADHERENT!A$5:H$57,3,0)</f>
        <v>NGONGANG JEAN THEODORE</v>
      </c>
      <c r="C27" s="5">
        <f>MVTRESUME2019!C32</f>
        <v>117045</v>
      </c>
      <c r="D27" s="5">
        <f>MVTRESUME2019!D32</f>
        <v>0</v>
      </c>
      <c r="E27" s="5">
        <f>MVTRESUME2019!E32</f>
        <v>22.240996590782743</v>
      </c>
      <c r="F27" s="5">
        <f>MVTRESUME2019!F32</f>
        <v>0</v>
      </c>
      <c r="G27" s="5">
        <f>MVTRESUME2019!G32</f>
        <v>84000</v>
      </c>
      <c r="H27" s="5">
        <f>MVTRESUME2019!H32</f>
        <v>7000</v>
      </c>
      <c r="I27" s="5">
        <f>MVTRESUME2019!I32</f>
        <v>14000</v>
      </c>
      <c r="J27" s="5">
        <f>MVTRESUME2019!J32</f>
        <v>35000</v>
      </c>
      <c r="K27" s="5">
        <f>MVTRESUME2019!K32</f>
        <v>3000</v>
      </c>
      <c r="L27" s="5">
        <f>MVTRESUME2019!L32</f>
        <v>0</v>
      </c>
      <c r="M27" s="5">
        <f>MVTRESUME2019!M32</f>
        <v>0</v>
      </c>
      <c r="N27" s="5">
        <f>MVTRESUME2019!N32</f>
        <v>0</v>
      </c>
      <c r="O27" s="5">
        <f>MVTRESUME2019!O32</f>
        <v>0</v>
      </c>
      <c r="P27" s="5">
        <f>MVTRESUME2019!P32</f>
        <v>0</v>
      </c>
      <c r="Q27" s="5">
        <f>MVTRESUME2019!Q32</f>
        <v>0</v>
      </c>
      <c r="R27" s="5">
        <f>MVTRESUME2019!R32</f>
        <v>0</v>
      </c>
      <c r="S27" s="5">
        <f>MVTRESUME2019!S32</f>
        <v>0</v>
      </c>
      <c r="T27" s="5">
        <f>MVTRESUME2019!T32</f>
        <v>0</v>
      </c>
      <c r="U27" s="5">
        <f>MVTRESUME2019!U32</f>
        <v>84022.240996590786</v>
      </c>
      <c r="V27" s="5">
        <f>MVTRESUME2019!V32</f>
        <v>54022</v>
      </c>
      <c r="W27" s="5">
        <f>MVTRESUME2019!W32</f>
        <v>30000</v>
      </c>
      <c r="X27" s="5">
        <f>MVTRESUME2019!X32</f>
        <v>0</v>
      </c>
      <c r="Y27" s="5">
        <f>MVTRESUME2019!Y32</f>
        <v>54022.240996590786</v>
      </c>
      <c r="Z27" s="35"/>
      <c r="AC27" s="11">
        <f t="shared" si="0"/>
        <v>84000</v>
      </c>
      <c r="AD27" s="11">
        <v>80000</v>
      </c>
      <c r="AG27" s="7">
        <f>C27-T27+U27+AD27+AE27</f>
        <v>281067.24099659082</v>
      </c>
    </row>
    <row r="28" spans="1:33" x14ac:dyDescent="0.25">
      <c r="A28" s="1" t="s">
        <v>41</v>
      </c>
      <c r="B28" s="1" t="str">
        <f>VLOOKUP(A28,[15]LISTADHERENT!A$5:H$57,3,0)</f>
        <v>NGUIEMEGNI MATHIEU BLAISE</v>
      </c>
      <c r="C28" s="5">
        <f>MVTRESUME2019!C33</f>
        <v>480000</v>
      </c>
      <c r="D28" s="5">
        <f>MVTRESUME2019!D33</f>
        <v>91170.310621746714</v>
      </c>
      <c r="E28" s="5">
        <f>MVTRESUME2019!E33</f>
        <v>72138.254558185639</v>
      </c>
      <c r="F28" s="5">
        <f>MVTRESUME2019!F33</f>
        <v>0</v>
      </c>
      <c r="G28" s="5">
        <f>MVTRESUME2019!G33</f>
        <v>82000</v>
      </c>
      <c r="H28" s="5">
        <f>MVTRESUME2019!H33</f>
        <v>7000</v>
      </c>
      <c r="I28" s="5">
        <f>MVTRESUME2019!I33</f>
        <v>14000</v>
      </c>
      <c r="J28" s="5">
        <f>MVTRESUME2019!J33</f>
        <v>35000</v>
      </c>
      <c r="K28" s="5">
        <f>MVTRESUME2019!K33</f>
        <v>4000</v>
      </c>
      <c r="L28" s="5">
        <f>MVTRESUME2019!L33</f>
        <v>0</v>
      </c>
      <c r="M28" s="5">
        <f>MVTRESUME2019!M33</f>
        <v>0</v>
      </c>
      <c r="N28" s="5">
        <f>MVTRESUME2019!N33</f>
        <v>1150000</v>
      </c>
      <c r="O28" s="5">
        <f>MVTRESUME2019!O33</f>
        <v>114500</v>
      </c>
      <c r="P28" s="5">
        <f>MVTRESUME2019!P33</f>
        <v>4500</v>
      </c>
      <c r="Q28" s="5">
        <f>MVTRESUME2019!Q33</f>
        <v>1000000</v>
      </c>
      <c r="R28" s="5">
        <f>MVTRESUME2019!R33</f>
        <v>0</v>
      </c>
      <c r="S28" s="5">
        <f>MVTRESUME2019!S33</f>
        <v>0</v>
      </c>
      <c r="T28" s="5">
        <f>MVTRESUME2019!T33</f>
        <v>150000</v>
      </c>
      <c r="U28" s="5">
        <f>MVTRESUME2019!U33</f>
        <v>245308.56517993234</v>
      </c>
      <c r="V28" s="5">
        <f>MVTRESUME2019!V33</f>
        <v>200000</v>
      </c>
      <c r="W28" s="5">
        <f>MVTRESUME2019!W33</f>
        <v>30000</v>
      </c>
      <c r="X28" s="5">
        <f>MVTRESUME2019!X33</f>
        <v>0</v>
      </c>
      <c r="Y28" s="5">
        <f>MVTRESUME2019!Y33</f>
        <v>215308.56517993234</v>
      </c>
      <c r="Z28" s="17" t="s">
        <v>97</v>
      </c>
      <c r="AC28" s="11">
        <f t="shared" si="0"/>
        <v>173170.3106217467</v>
      </c>
    </row>
    <row r="29" spans="1:33" s="14" customFormat="1" x14ac:dyDescent="0.25">
      <c r="A29" s="12" t="s">
        <v>42</v>
      </c>
      <c r="B29" s="1" t="str">
        <f>VLOOKUP(A29,[15]LISTADHERENT!A$5:H$57,3,0)</f>
        <v>NJEPDJIO MBOUKAM DELUXE</v>
      </c>
      <c r="C29" s="5">
        <f>MVTRESUME2019!C34</f>
        <v>480000</v>
      </c>
      <c r="D29" s="5">
        <f>MVTRESUME2019!D34</f>
        <v>78422.245259251824</v>
      </c>
      <c r="E29" s="5">
        <f>MVTRESUME2019!E34</f>
        <v>689.31860616087215</v>
      </c>
      <c r="F29" s="5">
        <f>MVTRESUME2019!F34</f>
        <v>0</v>
      </c>
      <c r="G29" s="5">
        <f>MVTRESUME2019!G34</f>
        <v>30000</v>
      </c>
      <c r="H29" s="5">
        <f>MVTRESUME2019!H34</f>
        <v>2500</v>
      </c>
      <c r="I29" s="5">
        <f>MVTRESUME2019!I34</f>
        <v>5000</v>
      </c>
      <c r="J29" s="5">
        <f>MVTRESUME2019!J34</f>
        <v>12500</v>
      </c>
      <c r="K29" s="5">
        <f>MVTRESUME2019!K34</f>
        <v>5000</v>
      </c>
      <c r="L29" s="5">
        <f>MVTRESUME2019!L34</f>
        <v>0</v>
      </c>
      <c r="M29" s="5">
        <f>MVTRESUME2019!M34</f>
        <v>0</v>
      </c>
      <c r="N29" s="5">
        <f>MVTRESUME2019!N34</f>
        <v>700000</v>
      </c>
      <c r="O29" s="5">
        <f>MVTRESUME2019!O34</f>
        <v>84000</v>
      </c>
      <c r="P29" s="5">
        <f>MVTRESUME2019!P34</f>
        <v>0</v>
      </c>
      <c r="Q29" s="5">
        <f>MVTRESUME2019!Q34</f>
        <v>0</v>
      </c>
      <c r="R29" s="5">
        <f>MVTRESUME2019!R34</f>
        <v>108500</v>
      </c>
      <c r="S29" s="5">
        <f>MVTRESUME2019!S34</f>
        <v>0</v>
      </c>
      <c r="T29" s="5">
        <f>MVTRESUME2019!T34</f>
        <v>808500</v>
      </c>
      <c r="U29" s="5">
        <f>MVTRESUME2019!U34</f>
        <v>109111.5638654127</v>
      </c>
      <c r="V29" s="5">
        <f>MVTRESUME2019!V34</f>
        <v>79112</v>
      </c>
      <c r="W29" s="5">
        <f>MVTRESUME2019!W34</f>
        <v>30000</v>
      </c>
      <c r="X29" s="5">
        <f>MVTRESUME2019!X34</f>
        <v>0</v>
      </c>
      <c r="Y29" s="5">
        <f>MVTRESUME2019!Y34</f>
        <v>79111.563865412696</v>
      </c>
      <c r="Z29" s="35" t="s">
        <v>94</v>
      </c>
      <c r="AA29" s="14" t="s">
        <v>129</v>
      </c>
      <c r="AB29" s="11">
        <f>35000+73500</f>
        <v>108500</v>
      </c>
      <c r="AC29" s="11">
        <f t="shared" si="0"/>
        <v>108422.24525925182</v>
      </c>
      <c r="AD29" s="11" t="e">
        <f>#REF!</f>
        <v>#REF!</v>
      </c>
      <c r="AE29" s="11">
        <v>-488000</v>
      </c>
      <c r="AF29" s="11"/>
      <c r="AG29" s="7" t="e">
        <f>C29-T29+U29+AD29+AE29</f>
        <v>#REF!</v>
      </c>
    </row>
    <row r="30" spans="1:33" s="8" customFormat="1" x14ac:dyDescent="0.25">
      <c r="A30" s="1" t="s">
        <v>43</v>
      </c>
      <c r="B30" s="1" t="str">
        <f>VLOOKUP(A30,[15]LISTADHERENT!A$5:H$57,3,0)</f>
        <v>NKAMGANG JUSTIN DEJOLIE</v>
      </c>
      <c r="C30" s="5">
        <f>MVTRESUME2019!C35</f>
        <v>480000</v>
      </c>
      <c r="D30" s="5">
        <f>MVTRESUME2019!D35</f>
        <v>80425.990897485564</v>
      </c>
      <c r="E30" s="5">
        <f>MVTRESUME2019!E35</f>
        <v>36.350487807299942</v>
      </c>
      <c r="F30" s="5">
        <f>MVTRESUME2019!F35</f>
        <v>0</v>
      </c>
      <c r="G30" s="5">
        <f>MVTRESUME2019!G35</f>
        <v>144000</v>
      </c>
      <c r="H30" s="5">
        <f>MVTRESUME2019!H35</f>
        <v>7000</v>
      </c>
      <c r="I30" s="5">
        <f>MVTRESUME2019!I35</f>
        <v>14000</v>
      </c>
      <c r="J30" s="5">
        <f>MVTRESUME2019!J35</f>
        <v>35000</v>
      </c>
      <c r="K30" s="5">
        <f>MVTRESUME2019!K35</f>
        <v>23000</v>
      </c>
      <c r="L30" s="5">
        <f>MVTRESUME2019!L35</f>
        <v>0</v>
      </c>
      <c r="M30" s="5">
        <f>MVTRESUME2019!M35</f>
        <v>0</v>
      </c>
      <c r="N30" s="5">
        <f>MVTRESUME2019!N35</f>
        <v>3000000</v>
      </c>
      <c r="O30" s="5">
        <f>MVTRESUME2019!O35</f>
        <v>170000</v>
      </c>
      <c r="P30" s="5">
        <f>MVTRESUME2019!P35</f>
        <v>50000</v>
      </c>
      <c r="Q30" s="5">
        <f>MVTRESUME2019!Q35</f>
        <v>2000000</v>
      </c>
      <c r="R30" s="5">
        <f>MVTRESUME2019!R35</f>
        <v>0</v>
      </c>
      <c r="S30" s="5">
        <f>MVTRESUME2019!S35</f>
        <v>0</v>
      </c>
      <c r="T30" s="5">
        <f>MVTRESUME2019!T35</f>
        <v>1000000</v>
      </c>
      <c r="U30" s="5">
        <f>MVTRESUME2019!U35</f>
        <v>224462.34138529288</v>
      </c>
      <c r="V30" s="5">
        <f>MVTRESUME2019!V35</f>
        <v>120000</v>
      </c>
      <c r="W30" s="5">
        <f>MVTRESUME2019!W35</f>
        <v>30000</v>
      </c>
      <c r="X30" s="5">
        <f>MVTRESUME2019!X35</f>
        <v>0</v>
      </c>
      <c r="Y30" s="5">
        <f>MVTRESUME2019!Y35</f>
        <v>194462.34138529288</v>
      </c>
      <c r="Z30" s="17" t="s">
        <v>76</v>
      </c>
      <c r="AC30" s="11">
        <f t="shared" si="0"/>
        <v>224425.99089748558</v>
      </c>
    </row>
    <row r="31" spans="1:33" x14ac:dyDescent="0.25">
      <c r="A31" s="1" t="s">
        <v>30</v>
      </c>
      <c r="B31" s="1" t="str">
        <f>VLOOKUP(A31,[15]LISTADHERENT!A$5:H$57,3,0)</f>
        <v>NKEHE DAVID</v>
      </c>
      <c r="C31" s="5">
        <f>MVTRESUME2019!C36</f>
        <v>480000</v>
      </c>
      <c r="D31" s="5">
        <f>MVTRESUME2019!D36</f>
        <v>79900.26982663176</v>
      </c>
      <c r="E31" s="5">
        <f>MVTRESUME2019!E36</f>
        <v>0.30040658926009201</v>
      </c>
      <c r="F31" s="5">
        <f>MVTRESUME2019!F36</f>
        <v>0</v>
      </c>
      <c r="G31" s="5">
        <f>MVTRESUME2019!G36</f>
        <v>86500</v>
      </c>
      <c r="H31" s="5">
        <f>MVTRESUME2019!H36</f>
        <v>7000</v>
      </c>
      <c r="I31" s="5">
        <f>MVTRESUME2019!I36</f>
        <v>14000</v>
      </c>
      <c r="J31" s="5">
        <f>MVTRESUME2019!J36</f>
        <v>35000</v>
      </c>
      <c r="K31" s="5">
        <f>MVTRESUME2019!K36</f>
        <v>11000</v>
      </c>
      <c r="L31" s="5">
        <f>MVTRESUME2019!L36</f>
        <v>0</v>
      </c>
      <c r="M31" s="5">
        <f>MVTRESUME2019!M36</f>
        <v>0</v>
      </c>
      <c r="N31" s="5">
        <f>MVTRESUME2019!N36</f>
        <v>2000000</v>
      </c>
      <c r="O31" s="5">
        <f>MVTRESUME2019!O36</f>
        <v>240000</v>
      </c>
      <c r="P31" s="5">
        <f>MVTRESUME2019!P36</f>
        <v>120000</v>
      </c>
      <c r="Q31" s="5">
        <f>MVTRESUME2019!Q36</f>
        <v>1000000</v>
      </c>
      <c r="R31" s="5">
        <f>MVTRESUME2019!R36</f>
        <v>0</v>
      </c>
      <c r="S31" s="5">
        <f>MVTRESUME2019!S36</f>
        <v>0</v>
      </c>
      <c r="T31" s="5">
        <f>MVTRESUME2019!T36</f>
        <v>1000000</v>
      </c>
      <c r="U31" s="5">
        <f>MVTRESUME2019!U36</f>
        <v>166400.57023322102</v>
      </c>
      <c r="V31" s="5">
        <f>MVTRESUME2019!V36</f>
        <v>133000</v>
      </c>
      <c r="W31" s="5">
        <f>MVTRESUME2019!W36</f>
        <v>30000</v>
      </c>
      <c r="X31" s="5">
        <f>MVTRESUME2019!X36</f>
        <v>0</v>
      </c>
      <c r="Y31" s="5">
        <f>MVTRESUME2019!Y36</f>
        <v>136400.57023322102</v>
      </c>
      <c r="Z31" s="17" t="s">
        <v>87</v>
      </c>
      <c r="AC31" s="11">
        <f t="shared" si="0"/>
        <v>166400.26982663176</v>
      </c>
    </row>
    <row r="32" spans="1:33" x14ac:dyDescent="0.25">
      <c r="A32" s="1" t="s">
        <v>44</v>
      </c>
      <c r="B32" s="1" t="str">
        <f>VLOOKUP(A32,[15]LISTADHERENT!A$5:H$57,3,0)</f>
        <v>NKEPSEU DIEUDONNE</v>
      </c>
      <c r="C32" s="5">
        <f>MVTRESUME2019!C37</f>
        <v>480000</v>
      </c>
      <c r="D32" s="5">
        <f>MVTRESUME2019!D37</f>
        <v>80218.625624560562</v>
      </c>
      <c r="E32" s="5">
        <f>MVTRESUME2019!E37</f>
        <v>109.79976263979916</v>
      </c>
      <c r="F32" s="5">
        <f>MVTRESUME2019!F37</f>
        <v>0</v>
      </c>
      <c r="G32" s="5">
        <f>MVTRESUME2019!G37</f>
        <v>94000</v>
      </c>
      <c r="H32" s="5">
        <f>MVTRESUME2019!H37</f>
        <v>7000</v>
      </c>
      <c r="I32" s="5">
        <f>MVTRESUME2019!I37</f>
        <v>14000</v>
      </c>
      <c r="J32" s="5">
        <f>MVTRESUME2019!J37</f>
        <v>35000</v>
      </c>
      <c r="K32" s="5">
        <f>MVTRESUME2019!K37</f>
        <v>7000</v>
      </c>
      <c r="L32" s="5">
        <f>MVTRESUME2019!L37</f>
        <v>0</v>
      </c>
      <c r="M32" s="5">
        <f>MVTRESUME2019!M37</f>
        <v>0</v>
      </c>
      <c r="N32" s="5">
        <f>MVTRESUME2019!N37</f>
        <v>2000000</v>
      </c>
      <c r="O32" s="5">
        <f>MVTRESUME2019!O37</f>
        <v>230000</v>
      </c>
      <c r="P32" s="5">
        <f>MVTRESUME2019!P37</f>
        <v>120000</v>
      </c>
      <c r="Q32" s="5">
        <f>MVTRESUME2019!Q37</f>
        <v>1000000</v>
      </c>
      <c r="R32" s="5">
        <f>MVTRESUME2019!R37</f>
        <v>0</v>
      </c>
      <c r="S32" s="5">
        <f>MVTRESUME2019!S37</f>
        <v>0</v>
      </c>
      <c r="T32" s="5">
        <f>MVTRESUME2019!T37</f>
        <v>1000000</v>
      </c>
      <c r="U32" s="5">
        <f>MVTRESUME2019!U37</f>
        <v>174328.42538720038</v>
      </c>
      <c r="V32" s="5">
        <f>MVTRESUME2019!V37</f>
        <v>140000</v>
      </c>
      <c r="W32" s="5">
        <f>MVTRESUME2019!W37</f>
        <v>30000</v>
      </c>
      <c r="X32" s="5">
        <f>MVTRESUME2019!X37</f>
        <v>0</v>
      </c>
      <c r="Y32" s="5">
        <f>MVTRESUME2019!Y37</f>
        <v>144328.42538720038</v>
      </c>
      <c r="Z32" s="17" t="s">
        <v>98</v>
      </c>
      <c r="AC32" s="11">
        <f t="shared" si="0"/>
        <v>174218.62562456058</v>
      </c>
    </row>
    <row r="33" spans="1:33" x14ac:dyDescent="0.25">
      <c r="A33" s="1" t="s">
        <v>45</v>
      </c>
      <c r="B33" s="1" t="str">
        <f>VLOOKUP(A33,[15]LISTADHERENT!A$5:H$57,3,0)</f>
        <v>PATEGO NJOSSU GUSTAVE</v>
      </c>
      <c r="C33" s="5">
        <f>MVTRESUME2019!C38</f>
        <v>480000</v>
      </c>
      <c r="D33" s="5">
        <f>MVTRESUME2019!D38</f>
        <v>82325.064676950074</v>
      </c>
      <c r="E33" s="5">
        <f>MVTRESUME2019!E38</f>
        <v>15968.295339537319</v>
      </c>
      <c r="F33" s="5">
        <f>MVTRESUME2019!F38</f>
        <v>0</v>
      </c>
      <c r="G33" s="5">
        <f>MVTRESUME2019!G38</f>
        <v>84000</v>
      </c>
      <c r="H33" s="5">
        <f>MVTRESUME2019!H38</f>
        <v>7000</v>
      </c>
      <c r="I33" s="5">
        <f>MVTRESUME2019!I38</f>
        <v>14000</v>
      </c>
      <c r="J33" s="5">
        <f>MVTRESUME2019!J38</f>
        <v>35000</v>
      </c>
      <c r="K33" s="5">
        <f>MVTRESUME2019!K38</f>
        <v>0</v>
      </c>
      <c r="L33" s="5">
        <f>MVTRESUME2019!L38</f>
        <v>0</v>
      </c>
      <c r="M33" s="5">
        <f>MVTRESUME2019!M38</f>
        <v>0</v>
      </c>
      <c r="N33" s="5">
        <f>MVTRESUME2019!N38</f>
        <v>0</v>
      </c>
      <c r="O33" s="5">
        <f>MVTRESUME2019!O38</f>
        <v>0</v>
      </c>
      <c r="P33" s="5">
        <f>MVTRESUME2019!P38</f>
        <v>0</v>
      </c>
      <c r="Q33" s="5">
        <f>MVTRESUME2019!Q38</f>
        <v>0</v>
      </c>
      <c r="R33" s="5">
        <f>MVTRESUME2019!R38</f>
        <v>0</v>
      </c>
      <c r="S33" s="5">
        <f>MVTRESUME2019!S38</f>
        <v>0</v>
      </c>
      <c r="T33" s="5">
        <f>MVTRESUME2019!T38</f>
        <v>0</v>
      </c>
      <c r="U33" s="5">
        <f>MVTRESUME2019!U38</f>
        <v>182293.36001648739</v>
      </c>
      <c r="V33" s="5">
        <f>MVTRESUME2019!V38</f>
        <v>3500</v>
      </c>
      <c r="W33" s="5">
        <f>MVTRESUME2019!W38</f>
        <v>30000</v>
      </c>
      <c r="X33" s="5">
        <f>MVTRESUME2019!X38</f>
        <v>0</v>
      </c>
      <c r="Y33" s="5">
        <f>MVTRESUME2019!Y38</f>
        <v>152293.36001648739</v>
      </c>
      <c r="Z33" s="17"/>
      <c r="AC33" s="11">
        <f t="shared" si="0"/>
        <v>166325.06467695007</v>
      </c>
    </row>
    <row r="34" spans="1:33" x14ac:dyDescent="0.25">
      <c r="A34" s="1" t="s">
        <v>46</v>
      </c>
      <c r="B34" s="1" t="str">
        <f>VLOOKUP(A34,[15]LISTADHERENT!A$5:H$57,3,0)</f>
        <v>SEUNOU RICHELOT</v>
      </c>
      <c r="C34" s="5">
        <f>MVTRESUME2019!C39</f>
        <v>480000</v>
      </c>
      <c r="D34" s="5">
        <f>MVTRESUME2019!D39</f>
        <v>79309.541006732557</v>
      </c>
      <c r="E34" s="5">
        <f>MVTRESUME2019!E39</f>
        <v>0.17330693561234511</v>
      </c>
      <c r="F34" s="5">
        <f>MVTRESUME2019!F39</f>
        <v>0</v>
      </c>
      <c r="G34" s="5">
        <f>MVTRESUME2019!G39</f>
        <v>54000</v>
      </c>
      <c r="H34" s="5">
        <f>MVTRESUME2019!H39</f>
        <v>4500</v>
      </c>
      <c r="I34" s="5">
        <f>MVTRESUME2019!I39</f>
        <v>9000</v>
      </c>
      <c r="J34" s="5">
        <f>MVTRESUME2019!J39</f>
        <v>22500</v>
      </c>
      <c r="K34" s="5">
        <f>MVTRESUME2019!K39</f>
        <v>15000</v>
      </c>
      <c r="L34" s="5">
        <f>MVTRESUME2019!L39</f>
        <v>0</v>
      </c>
      <c r="M34" s="5">
        <f>MVTRESUME2019!M39</f>
        <v>0</v>
      </c>
      <c r="N34" s="5">
        <f>MVTRESUME2019!N39</f>
        <v>1000000</v>
      </c>
      <c r="O34" s="5">
        <f>MVTRESUME2019!O39</f>
        <v>40000</v>
      </c>
      <c r="P34" s="5">
        <f>MVTRESUME2019!P39</f>
        <v>0</v>
      </c>
      <c r="Q34" s="5">
        <f>MVTRESUME2019!Q39</f>
        <v>1155000</v>
      </c>
      <c r="R34" s="5">
        <f>MVTRESUME2019!R39</f>
        <v>155000</v>
      </c>
      <c r="S34" s="5">
        <f>MVTRESUME2019!S39</f>
        <v>0</v>
      </c>
      <c r="T34" s="5">
        <f>MVTRESUME2019!T39</f>
        <v>0</v>
      </c>
      <c r="U34" s="5">
        <f>MVTRESUME2019!U39</f>
        <v>133309.71431366817</v>
      </c>
      <c r="V34" s="5">
        <f>MVTRESUME2019!V39</f>
        <v>103310</v>
      </c>
      <c r="W34" s="5">
        <f>MVTRESUME2019!W39</f>
        <v>30000</v>
      </c>
      <c r="X34" s="5">
        <f>MVTRESUME2019!X39</f>
        <v>0</v>
      </c>
      <c r="Y34" s="5">
        <f>MVTRESUME2019!Y39</f>
        <v>103309.71431366817</v>
      </c>
      <c r="Z34" s="17"/>
      <c r="AC34" s="11">
        <f t="shared" si="0"/>
        <v>133309.54100673256</v>
      </c>
    </row>
    <row r="35" spans="1:33" x14ac:dyDescent="0.25">
      <c r="A35" s="1" t="s">
        <v>81</v>
      </c>
      <c r="B35" s="1" t="str">
        <f>VLOOKUP(A35,[15]LISTADHERENT!A$5:H$57,3,0)</f>
        <v>SIME BRICE</v>
      </c>
      <c r="C35" s="5">
        <f>MVTRESUME2019!C40</f>
        <v>0</v>
      </c>
      <c r="D35" s="5">
        <f>MVTRESUME2019!D40</f>
        <v>3376.913330814542</v>
      </c>
      <c r="E35" s="5">
        <f>MVTRESUME2019!E40</f>
        <v>0</v>
      </c>
      <c r="F35" s="5">
        <f>MVTRESUME2019!F40</f>
        <v>0</v>
      </c>
      <c r="G35" s="5">
        <f>MVTRESUME2019!G40</f>
        <v>104000</v>
      </c>
      <c r="H35" s="5">
        <f>MVTRESUME2019!H40</f>
        <v>7000</v>
      </c>
      <c r="I35" s="5">
        <f>MVTRESUME2019!I40</f>
        <v>14000</v>
      </c>
      <c r="J35" s="5">
        <f>MVTRESUME2019!J40</f>
        <v>35000</v>
      </c>
      <c r="K35" s="5">
        <f>MVTRESUME2019!K40</f>
        <v>3000</v>
      </c>
      <c r="L35" s="5">
        <f>MVTRESUME2019!L40</f>
        <v>0</v>
      </c>
      <c r="M35" s="5">
        <f>MVTRESUME2019!M40</f>
        <v>0</v>
      </c>
      <c r="N35" s="5">
        <f>MVTRESUME2019!N40</f>
        <v>0</v>
      </c>
      <c r="O35" s="5">
        <f>MVTRESUME2019!O40</f>
        <v>0</v>
      </c>
      <c r="P35" s="5">
        <f>MVTRESUME2019!P40</f>
        <v>0</v>
      </c>
      <c r="Q35" s="5">
        <f>MVTRESUME2019!Q40</f>
        <v>0</v>
      </c>
      <c r="R35" s="5">
        <f>MVTRESUME2019!R40</f>
        <v>0</v>
      </c>
      <c r="S35" s="5">
        <f>MVTRESUME2019!S40</f>
        <v>0</v>
      </c>
      <c r="T35" s="5">
        <f>MVTRESUME2019!T40</f>
        <v>0</v>
      </c>
      <c r="U35" s="5">
        <f>MVTRESUME2019!U40</f>
        <v>107376.91333081454</v>
      </c>
      <c r="V35" s="5">
        <f>MVTRESUME2019!V40</f>
        <v>0</v>
      </c>
      <c r="W35" s="5">
        <f>MVTRESUME2019!W40</f>
        <v>107377</v>
      </c>
      <c r="X35" s="5">
        <f>MVTRESUME2019!X40</f>
        <v>0</v>
      </c>
      <c r="Y35" s="5">
        <f>MVTRESUME2019!Y40</f>
        <v>-8.6669185460777953E-2</v>
      </c>
      <c r="Z35" s="17"/>
      <c r="AC35" s="11">
        <f t="shared" si="0"/>
        <v>107376.91333081454</v>
      </c>
    </row>
    <row r="36" spans="1:33" s="14" customFormat="1" x14ac:dyDescent="0.25">
      <c r="A36" s="12" t="s">
        <v>47</v>
      </c>
      <c r="B36" s="1" t="str">
        <f>VLOOKUP(A36,[15]LISTADHERENT!A$5:H$57,3,0)</f>
        <v>SIMO FONGANG ERIC</v>
      </c>
      <c r="C36" s="5">
        <f>MVTRESUME2019!C41</f>
        <v>480000</v>
      </c>
      <c r="D36" s="5">
        <f>MVTRESUME2019!D41</f>
        <v>80174.992283614876</v>
      </c>
      <c r="E36" s="5">
        <f>MVTRESUME2019!E41</f>
        <v>2777.4644755606423</v>
      </c>
      <c r="F36" s="5">
        <f>MVTRESUME2019!F41</f>
        <v>0</v>
      </c>
      <c r="G36" s="5">
        <f>MVTRESUME2019!G41</f>
        <v>82000</v>
      </c>
      <c r="H36" s="5">
        <f>MVTRESUME2019!H41</f>
        <v>7000</v>
      </c>
      <c r="I36" s="5">
        <f>MVTRESUME2019!I41</f>
        <v>14000</v>
      </c>
      <c r="J36" s="5">
        <f>MVTRESUME2019!J41</f>
        <v>35000</v>
      </c>
      <c r="K36" s="5">
        <f>MVTRESUME2019!K41</f>
        <v>13000</v>
      </c>
      <c r="L36" s="5">
        <f>MVTRESUME2019!L41</f>
        <v>0</v>
      </c>
      <c r="M36" s="5">
        <f>MVTRESUME2019!M41</f>
        <v>0</v>
      </c>
      <c r="N36" s="5">
        <f>MVTRESUME2019!N41</f>
        <v>1000000</v>
      </c>
      <c r="O36" s="5">
        <f>MVTRESUME2019!O41</f>
        <v>90000</v>
      </c>
      <c r="P36" s="5">
        <f>MVTRESUME2019!P41</f>
        <v>0</v>
      </c>
      <c r="Q36" s="5">
        <f>MVTRESUME2019!Q41</f>
        <v>400000</v>
      </c>
      <c r="R36" s="5">
        <f>MVTRESUME2019!R41</f>
        <v>155000</v>
      </c>
      <c r="S36" s="5">
        <f>MVTRESUME2019!S41</f>
        <v>0</v>
      </c>
      <c r="T36" s="5">
        <f>MVTRESUME2019!T41</f>
        <v>755000</v>
      </c>
      <c r="U36" s="5">
        <f>MVTRESUME2019!U41</f>
        <v>164952.45675917552</v>
      </c>
      <c r="V36" s="5">
        <f>MVTRESUME2019!V41</f>
        <v>130000</v>
      </c>
      <c r="W36" s="5">
        <f>MVTRESUME2019!W41</f>
        <v>30000</v>
      </c>
      <c r="X36" s="5">
        <f>MVTRESUME2019!X41</f>
        <v>0</v>
      </c>
      <c r="Y36" s="5">
        <f>MVTRESUME2019!Y41</f>
        <v>134952.45675917552</v>
      </c>
      <c r="Z36" s="35" t="s">
        <v>99</v>
      </c>
      <c r="AA36" s="14" t="s">
        <v>129</v>
      </c>
      <c r="AB36" s="11">
        <f>50000+105000</f>
        <v>155000</v>
      </c>
      <c r="AC36" s="11">
        <f t="shared" si="0"/>
        <v>162174.99228361488</v>
      </c>
    </row>
    <row r="37" spans="1:33" x14ac:dyDescent="0.25">
      <c r="A37" s="1" t="s">
        <v>48</v>
      </c>
      <c r="B37" s="1" t="str">
        <f>VLOOKUP(A37,[15]LISTADHERENT!A$5:H$57,3,0)</f>
        <v>SIME MATHIEU</v>
      </c>
      <c r="C37" s="5">
        <f>MVTRESUME2019!C42</f>
        <v>480000</v>
      </c>
      <c r="D37" s="5">
        <f>MVTRESUME2019!D42</f>
        <v>79793.71388976372</v>
      </c>
      <c r="E37" s="5">
        <f>MVTRESUME2019!E42</f>
        <v>0</v>
      </c>
      <c r="F37" s="5">
        <f>MVTRESUME2019!F42</f>
        <v>0</v>
      </c>
      <c r="G37" s="5">
        <f>MVTRESUME2019!G42</f>
        <v>84000</v>
      </c>
      <c r="H37" s="5">
        <f>MVTRESUME2019!H42</f>
        <v>7000</v>
      </c>
      <c r="I37" s="5">
        <f>MVTRESUME2019!I42</f>
        <v>14000</v>
      </c>
      <c r="J37" s="5">
        <f>MVTRESUME2019!J42</f>
        <v>35000</v>
      </c>
      <c r="K37" s="5">
        <f>MVTRESUME2019!K42</f>
        <v>0</v>
      </c>
      <c r="L37" s="5">
        <f>MVTRESUME2019!L42</f>
        <v>0</v>
      </c>
      <c r="M37" s="5">
        <f>MVTRESUME2019!M42</f>
        <v>0</v>
      </c>
      <c r="N37" s="5">
        <f>MVTRESUME2019!N42</f>
        <v>184035</v>
      </c>
      <c r="O37" s="5">
        <f>MVTRESUME2019!O42</f>
        <v>20243.849999999999</v>
      </c>
      <c r="P37" s="5">
        <f>MVTRESUME2019!P42</f>
        <v>0</v>
      </c>
      <c r="Q37" s="5">
        <f>MVTRESUME2019!Q42</f>
        <v>184035</v>
      </c>
      <c r="R37" s="5">
        <f>MVTRESUME2019!R42</f>
        <v>0</v>
      </c>
      <c r="S37" s="5">
        <f>MVTRESUME2019!S42</f>
        <v>0</v>
      </c>
      <c r="T37" s="5">
        <f>MVTRESUME2019!T42</f>
        <v>0</v>
      </c>
      <c r="U37" s="5">
        <f>MVTRESUME2019!U42</f>
        <v>163793.71388976372</v>
      </c>
      <c r="V37" s="5">
        <f>MVTRESUME2019!V42</f>
        <v>0</v>
      </c>
      <c r="W37" s="5">
        <f>MVTRESUME2019!W42</f>
        <v>30000</v>
      </c>
      <c r="X37" s="5">
        <f>MVTRESUME2019!X42</f>
        <v>0</v>
      </c>
      <c r="Y37" s="5">
        <f>MVTRESUME2019!Y42</f>
        <v>133793.71388976372</v>
      </c>
      <c r="Z37" s="17"/>
      <c r="AC37" s="11">
        <f t="shared" si="0"/>
        <v>163793.71388976372</v>
      </c>
    </row>
    <row r="38" spans="1:33" x14ac:dyDescent="0.25">
      <c r="A38" s="1" t="s">
        <v>49</v>
      </c>
      <c r="B38" s="1" t="str">
        <f>VLOOKUP(A38,[15]LISTADHERENT!A$5:H$57,3,0)</f>
        <v>SIMO PIERRE</v>
      </c>
      <c r="C38" s="5">
        <f>MVTRESUME2019!C43</f>
        <v>480000</v>
      </c>
      <c r="D38" s="5">
        <f>MVTRESUME2019!D43</f>
        <v>84611.13302311454</v>
      </c>
      <c r="E38" s="5">
        <f>MVTRESUME2019!E43</f>
        <v>-0.39887899404857308</v>
      </c>
      <c r="F38" s="5">
        <f>MVTRESUME2019!F43</f>
        <v>0</v>
      </c>
      <c r="G38" s="5">
        <f>MVTRESUME2019!G43</f>
        <v>174000</v>
      </c>
      <c r="H38" s="5">
        <f>MVTRESUME2019!H43</f>
        <v>7000</v>
      </c>
      <c r="I38" s="5">
        <f>MVTRESUME2019!I43</f>
        <v>14000</v>
      </c>
      <c r="J38" s="5">
        <f>MVTRESUME2019!J43</f>
        <v>35000</v>
      </c>
      <c r="K38" s="5">
        <f>MVTRESUME2019!K43</f>
        <v>2000</v>
      </c>
      <c r="L38" s="5">
        <f>MVTRESUME2019!L43</f>
        <v>0</v>
      </c>
      <c r="M38" s="5">
        <f>MVTRESUME2019!M43</f>
        <v>0</v>
      </c>
      <c r="N38" s="5">
        <f>MVTRESUME2019!N43</f>
        <v>1000000</v>
      </c>
      <c r="O38" s="5">
        <f>MVTRESUME2019!O43</f>
        <v>110000</v>
      </c>
      <c r="P38" s="5">
        <f>MVTRESUME2019!P43</f>
        <v>60000</v>
      </c>
      <c r="Q38" s="5">
        <f>MVTRESUME2019!Q43</f>
        <v>500000</v>
      </c>
      <c r="R38" s="5">
        <f>MVTRESUME2019!R43</f>
        <v>0</v>
      </c>
      <c r="S38" s="5">
        <f>MVTRESUME2019!S43</f>
        <v>0</v>
      </c>
      <c r="T38" s="5">
        <f>MVTRESUME2019!T43</f>
        <v>500000</v>
      </c>
      <c r="U38" s="5">
        <f>MVTRESUME2019!U43</f>
        <v>258610.73414412048</v>
      </c>
      <c r="V38" s="5">
        <f>MVTRESUME2019!V43</f>
        <v>200000</v>
      </c>
      <c r="W38" s="5">
        <f>MVTRESUME2019!W43</f>
        <v>30000</v>
      </c>
      <c r="X38" s="5">
        <f>MVTRESUME2019!X43</f>
        <v>0</v>
      </c>
      <c r="Y38" s="5">
        <f>MVTRESUME2019!Y43</f>
        <v>228610.73414412048</v>
      </c>
      <c r="Z38" s="17"/>
      <c r="AA38" t="s">
        <v>59</v>
      </c>
      <c r="AC38" s="11">
        <f t="shared" si="0"/>
        <v>258611.13302311453</v>
      </c>
    </row>
    <row r="39" spans="1:33" x14ac:dyDescent="0.25">
      <c r="A39" s="1" t="s">
        <v>51</v>
      </c>
      <c r="B39" s="1" t="str">
        <f>VLOOKUP(A39,[15]LISTADHERENT!A$5:H$57,3,0)</f>
        <v>TCHOUAMOU MATHIEU</v>
      </c>
      <c r="C39" s="5">
        <f>MVTRESUME2019!C44</f>
        <v>480000</v>
      </c>
      <c r="D39" s="5">
        <f>MVTRESUME2019!D44</f>
        <v>95391.522236883728</v>
      </c>
      <c r="E39" s="5">
        <f>MVTRESUME2019!E44</f>
        <v>1360.775029899698</v>
      </c>
      <c r="F39" s="5">
        <f>MVTRESUME2019!F44</f>
        <v>0</v>
      </c>
      <c r="G39" s="5">
        <f>MVTRESUME2019!G44</f>
        <v>84000</v>
      </c>
      <c r="H39" s="5">
        <f>MVTRESUME2019!H44</f>
        <v>7000</v>
      </c>
      <c r="I39" s="5">
        <f>MVTRESUME2019!I44</f>
        <v>14000</v>
      </c>
      <c r="J39" s="5">
        <f>MVTRESUME2019!J44</f>
        <v>35000</v>
      </c>
      <c r="K39" s="5">
        <f>MVTRESUME2019!K44</f>
        <v>0</v>
      </c>
      <c r="L39" s="5">
        <f>MVTRESUME2019!L44</f>
        <v>0</v>
      </c>
      <c r="M39" s="5">
        <f>MVTRESUME2019!M44</f>
        <v>0</v>
      </c>
      <c r="N39" s="5">
        <f>MVTRESUME2019!N44</f>
        <v>2000000</v>
      </c>
      <c r="O39" s="5">
        <f>MVTRESUME2019!O44</f>
        <v>200000</v>
      </c>
      <c r="P39" s="5">
        <f>MVTRESUME2019!P44</f>
        <v>110000</v>
      </c>
      <c r="Q39" s="5">
        <f>MVTRESUME2019!Q44</f>
        <v>1000000</v>
      </c>
      <c r="R39" s="5">
        <f>MVTRESUME2019!R44</f>
        <v>0</v>
      </c>
      <c r="S39" s="5">
        <f>MVTRESUME2019!S44</f>
        <v>0</v>
      </c>
      <c r="T39" s="5">
        <f>MVTRESUME2019!T44</f>
        <v>1000000</v>
      </c>
      <c r="U39" s="5">
        <f>MVTRESUME2019!U44</f>
        <v>180752.29726678343</v>
      </c>
      <c r="V39" s="5">
        <f>MVTRESUME2019!V44</f>
        <v>0</v>
      </c>
      <c r="W39" s="5">
        <f>MVTRESUME2019!W44</f>
        <v>30000</v>
      </c>
      <c r="X39" s="5">
        <f>MVTRESUME2019!X44</f>
        <v>0</v>
      </c>
      <c r="Y39" s="5">
        <f>MVTRESUME2019!Y44</f>
        <v>150752.29726678343</v>
      </c>
      <c r="Z39" s="17" t="s">
        <v>91</v>
      </c>
      <c r="AA39" t="s">
        <v>9</v>
      </c>
      <c r="AC39" s="11">
        <f t="shared" si="0"/>
        <v>179391.52223688373</v>
      </c>
    </row>
    <row r="40" spans="1:33" s="14" customFormat="1" x14ac:dyDescent="0.25">
      <c r="A40" s="12" t="s">
        <v>52</v>
      </c>
      <c r="B40" s="1" t="str">
        <f>VLOOKUP(A40,[15]LISTADHERENT!A$5:H$57,3,0)</f>
        <v>TCHOUANTE FRANCOIS</v>
      </c>
      <c r="C40" s="5">
        <f>MVTRESUME2019!C45</f>
        <v>480000</v>
      </c>
      <c r="D40" s="5">
        <f>MVTRESUME2019!D45</f>
        <v>78500.211202080493</v>
      </c>
      <c r="E40" s="5">
        <f>MVTRESUME2019!E45</f>
        <v>1225.3544029653422</v>
      </c>
      <c r="F40" s="5">
        <f>MVTRESUME2019!F45</f>
        <v>0</v>
      </c>
      <c r="G40" s="5">
        <f>MVTRESUME2019!G45</f>
        <v>30000</v>
      </c>
      <c r="H40" s="5">
        <f>MVTRESUME2019!H45</f>
        <v>2500</v>
      </c>
      <c r="I40" s="5">
        <f>MVTRESUME2019!I45</f>
        <v>5000</v>
      </c>
      <c r="J40" s="5">
        <f>MVTRESUME2019!J45</f>
        <v>12500</v>
      </c>
      <c r="K40" s="5">
        <f>MVTRESUME2019!K45</f>
        <v>4000</v>
      </c>
      <c r="L40" s="5">
        <f>MVTRESUME2019!L45</f>
        <v>0</v>
      </c>
      <c r="M40" s="5">
        <f>MVTRESUME2019!M45</f>
        <v>0</v>
      </c>
      <c r="N40" s="5">
        <f>MVTRESUME2019!N45</f>
        <v>850000</v>
      </c>
      <c r="O40" s="5">
        <f>MVTRESUME2019!O45</f>
        <v>95000</v>
      </c>
      <c r="P40" s="5">
        <f>MVTRESUME2019!P45</f>
        <v>0</v>
      </c>
      <c r="Q40" s="5">
        <f>MVTRESUME2019!Q45</f>
        <v>0</v>
      </c>
      <c r="R40" s="5">
        <f>MVTRESUME2019!R45</f>
        <v>131750</v>
      </c>
      <c r="S40" s="5">
        <f>MVTRESUME2019!S45</f>
        <v>0</v>
      </c>
      <c r="T40" s="5">
        <f>MVTRESUME2019!T45</f>
        <v>981750</v>
      </c>
      <c r="U40" s="5">
        <f>MVTRESUME2019!U45</f>
        <v>109725.56560504583</v>
      </c>
      <c r="V40" s="5">
        <f>MVTRESUME2019!V45</f>
        <v>109726</v>
      </c>
      <c r="W40" s="5">
        <f>MVTRESUME2019!W45</f>
        <v>0</v>
      </c>
      <c r="X40" s="5">
        <f>MVTRESUME2019!X45</f>
        <v>0</v>
      </c>
      <c r="Y40" s="5">
        <f>MVTRESUME2019!Y45</f>
        <v>109725.56560504583</v>
      </c>
      <c r="Z40" s="35" t="s">
        <v>98</v>
      </c>
      <c r="AA40" s="14" t="s">
        <v>129</v>
      </c>
      <c r="AB40" s="14">
        <f>42500+89250</f>
        <v>131750</v>
      </c>
      <c r="AC40" s="11">
        <f t="shared" si="0"/>
        <v>108500.21120208049</v>
      </c>
      <c r="AD40" s="11" t="e">
        <f>#REF!</f>
        <v>#REF!</v>
      </c>
      <c r="AG40" s="7" t="e">
        <f>C40-T40+U40+AD40+AE40</f>
        <v>#REF!</v>
      </c>
    </row>
    <row r="41" spans="1:33" s="14" customFormat="1" x14ac:dyDescent="0.25">
      <c r="A41" s="12" t="s">
        <v>53</v>
      </c>
      <c r="B41" s="1" t="str">
        <f>VLOOKUP(A41,[15]LISTADHERENT!A$5:H$57,3,0)</f>
        <v>TCHOUTOU NANA CLAUDE</v>
      </c>
      <c r="C41" s="5">
        <f>MVTRESUME2019!C46</f>
        <v>30000</v>
      </c>
      <c r="D41" s="5">
        <f>MVTRESUME2019!D46</f>
        <v>0</v>
      </c>
      <c r="E41" s="5">
        <f>MVTRESUME2019!E46</f>
        <v>21.303203075842248</v>
      </c>
      <c r="F41" s="5">
        <f>MVTRESUME2019!F46</f>
        <v>0</v>
      </c>
      <c r="G41" s="5">
        <f>MVTRESUME2019!G46</f>
        <v>30000</v>
      </c>
      <c r="H41" s="5">
        <f>MVTRESUME2019!H46</f>
        <v>2500</v>
      </c>
      <c r="I41" s="5">
        <f>MVTRESUME2019!I46</f>
        <v>5000</v>
      </c>
      <c r="J41" s="5">
        <f>MVTRESUME2019!J46</f>
        <v>12500</v>
      </c>
      <c r="K41" s="5">
        <f>MVTRESUME2019!K46</f>
        <v>5500</v>
      </c>
      <c r="L41" s="5">
        <f>MVTRESUME2019!L46</f>
        <v>0</v>
      </c>
      <c r="M41" s="5">
        <f>MVTRESUME2019!M46</f>
        <v>0</v>
      </c>
      <c r="N41" s="5">
        <f>MVTRESUME2019!N46</f>
        <v>0</v>
      </c>
      <c r="O41" s="5">
        <f>MVTRESUME2019!O46</f>
        <v>0</v>
      </c>
      <c r="P41" s="5">
        <f>MVTRESUME2019!P46</f>
        <v>0</v>
      </c>
      <c r="Q41" s="5">
        <f>MVTRESUME2019!Q46</f>
        <v>0</v>
      </c>
      <c r="R41" s="5">
        <f>MVTRESUME2019!R46</f>
        <v>0</v>
      </c>
      <c r="S41" s="5">
        <f>MVTRESUME2019!S46</f>
        <v>0</v>
      </c>
      <c r="T41" s="5">
        <f>MVTRESUME2019!T46</f>
        <v>0</v>
      </c>
      <c r="U41" s="5">
        <f>MVTRESUME2019!U46</f>
        <v>30021.30320307584</v>
      </c>
      <c r="V41" s="5">
        <f>MVTRESUME2019!V46</f>
        <v>30021</v>
      </c>
      <c r="W41" s="5">
        <f>MVTRESUME2019!W46</f>
        <v>0</v>
      </c>
      <c r="X41" s="5">
        <f>MVTRESUME2019!X46</f>
        <v>0</v>
      </c>
      <c r="Y41" s="5">
        <f>MVTRESUME2019!Y46</f>
        <v>30021.30320307584</v>
      </c>
      <c r="Z41" s="35"/>
      <c r="AA41" s="14" t="s">
        <v>129</v>
      </c>
      <c r="AC41" s="11">
        <f t="shared" si="0"/>
        <v>30000</v>
      </c>
      <c r="AD41" s="11" t="e">
        <f>+#REF!</f>
        <v>#REF!</v>
      </c>
      <c r="AG41" s="7" t="e">
        <f>C41-T41+U41+AD41+AE41-211475</f>
        <v>#REF!</v>
      </c>
    </row>
    <row r="42" spans="1:33" s="14" customFormat="1" x14ac:dyDescent="0.25">
      <c r="A42" s="12" t="s">
        <v>54</v>
      </c>
      <c r="B42" s="1" t="str">
        <f>VLOOKUP(A42,[15]LISTADHERENT!A$5:H$57,3,0)</f>
        <v>TIEYAM ERNEST</v>
      </c>
      <c r="C42" s="5">
        <f>MVTRESUME2019!C47</f>
        <v>480000</v>
      </c>
      <c r="D42" s="5">
        <f>MVTRESUME2019!D47</f>
        <v>77674.987774544497</v>
      </c>
      <c r="E42" s="5">
        <f>MVTRESUME2019!E47</f>
        <v>0.15040472695545759</v>
      </c>
      <c r="F42" s="5">
        <f>MVTRESUME2019!F47</f>
        <v>0</v>
      </c>
      <c r="G42" s="5">
        <f>MVTRESUME2019!G47</f>
        <v>22000</v>
      </c>
      <c r="H42" s="5">
        <f>MVTRESUME2019!H47</f>
        <v>2000</v>
      </c>
      <c r="I42" s="5">
        <f>MVTRESUME2019!I47</f>
        <v>4000</v>
      </c>
      <c r="J42" s="5">
        <f>MVTRESUME2019!J47</f>
        <v>10000</v>
      </c>
      <c r="K42" s="5">
        <f>MVTRESUME2019!K47</f>
        <v>11000</v>
      </c>
      <c r="L42" s="5">
        <f>MVTRESUME2019!L47</f>
        <v>0</v>
      </c>
      <c r="M42" s="5">
        <f>MVTRESUME2019!M47</f>
        <v>0</v>
      </c>
      <c r="N42" s="5">
        <f>MVTRESUME2019!N47</f>
        <v>2000000</v>
      </c>
      <c r="O42" s="5">
        <f>MVTRESUME2019!O47</f>
        <v>30000</v>
      </c>
      <c r="P42" s="5">
        <f>MVTRESUME2019!P47</f>
        <v>0</v>
      </c>
      <c r="Q42" s="5">
        <f>MVTRESUME2019!Q47</f>
        <v>1000000</v>
      </c>
      <c r="R42" s="5">
        <f>MVTRESUME2019!R47</f>
        <v>155000</v>
      </c>
      <c r="S42" s="5">
        <f>MVTRESUME2019!S47</f>
        <v>0</v>
      </c>
      <c r="T42" s="5">
        <f>MVTRESUME2019!T47</f>
        <v>1155000</v>
      </c>
      <c r="U42" s="5">
        <f>MVTRESUME2019!U47</f>
        <v>99675.138179271453</v>
      </c>
      <c r="V42" s="5">
        <f>MVTRESUME2019!V47</f>
        <v>69675</v>
      </c>
      <c r="W42" s="5">
        <f>MVTRESUME2019!W47</f>
        <v>30000</v>
      </c>
      <c r="X42" s="5">
        <f>MVTRESUME2019!X47</f>
        <v>0</v>
      </c>
      <c r="Y42" s="5">
        <f>MVTRESUME2019!Y47</f>
        <v>69675.138179271453</v>
      </c>
      <c r="Z42" s="35" t="s">
        <v>91</v>
      </c>
      <c r="AA42" s="14" t="s">
        <v>129</v>
      </c>
      <c r="AC42" s="11">
        <f t="shared" si="0"/>
        <v>99674.987774544497</v>
      </c>
      <c r="AD42" s="11" t="e">
        <f>#REF!</f>
        <v>#REF!</v>
      </c>
      <c r="AE42" s="11">
        <f>[19]TONTRESUME!$M$32</f>
        <v>16000</v>
      </c>
      <c r="AF42" s="11" t="e">
        <f>[14]TONTRESUME!$I$28</f>
        <v>#REF!</v>
      </c>
      <c r="AG42" s="7" t="e">
        <f>C42-T42+U42+AD42+AE42+AF42</f>
        <v>#REF!</v>
      </c>
    </row>
    <row r="43" spans="1:33" x14ac:dyDescent="0.25">
      <c r="A43" s="1" t="s">
        <v>55</v>
      </c>
      <c r="B43" s="1" t="str">
        <f>VLOOKUP(A43,[15]LISTADHERENT!A$5:H$57,3,0)</f>
        <v>YEPMOU JEAN JACQUES</v>
      </c>
      <c r="C43" s="5">
        <f>MVTRESUME2019!C48</f>
        <v>480000</v>
      </c>
      <c r="D43" s="5">
        <f>MVTRESUME2019!D48</f>
        <v>149658.23869144428</v>
      </c>
      <c r="E43" s="5">
        <f>MVTRESUME2019!E48</f>
        <v>440720.17653060926</v>
      </c>
      <c r="F43" s="5">
        <f>MVTRESUME2019!F48</f>
        <v>0</v>
      </c>
      <c r="G43" s="5">
        <f>MVTRESUME2019!G48</f>
        <v>84000</v>
      </c>
      <c r="H43" s="5">
        <f>MVTRESUME2019!H48</f>
        <v>7000</v>
      </c>
      <c r="I43" s="5">
        <f>MVTRESUME2019!I48</f>
        <v>14000</v>
      </c>
      <c r="J43" s="5">
        <f>MVTRESUME2019!J48</f>
        <v>35000</v>
      </c>
      <c r="K43" s="5">
        <f>MVTRESUME2019!K48</f>
        <v>17000</v>
      </c>
      <c r="L43" s="5">
        <f>MVTRESUME2019!L48</f>
        <v>0</v>
      </c>
      <c r="M43" s="5">
        <f>MVTRESUME2019!M48</f>
        <v>0</v>
      </c>
      <c r="N43" s="5">
        <f>MVTRESUME2019!N48</f>
        <v>2700000</v>
      </c>
      <c r="O43" s="5">
        <f>MVTRESUME2019!O48</f>
        <v>151500</v>
      </c>
      <c r="P43" s="5">
        <f>MVTRESUME2019!P48</f>
        <v>35000</v>
      </c>
      <c r="Q43" s="5">
        <f>MVTRESUME2019!Q48</f>
        <v>2037500</v>
      </c>
      <c r="R43" s="5">
        <f>MVTRESUME2019!R48</f>
        <v>37500</v>
      </c>
      <c r="S43" s="5">
        <f>MVTRESUME2019!S48</f>
        <v>0</v>
      </c>
      <c r="T43" s="5">
        <f>MVTRESUME2019!T48</f>
        <v>700000</v>
      </c>
      <c r="U43" s="5">
        <f>MVTRESUME2019!U48</f>
        <v>674378.41522205353</v>
      </c>
      <c r="V43" s="5">
        <f>MVTRESUME2019!V48</f>
        <v>0</v>
      </c>
      <c r="W43" s="5">
        <f>MVTRESUME2019!W48</f>
        <v>30000</v>
      </c>
      <c r="X43" s="5">
        <f>MVTRESUME2019!X48</f>
        <v>0</v>
      </c>
      <c r="Y43" s="5">
        <f>MVTRESUME2019!Y48</f>
        <v>644378.41522205353</v>
      </c>
      <c r="Z43" s="17" t="s">
        <v>100</v>
      </c>
      <c r="AC43" s="11">
        <f t="shared" si="0"/>
        <v>233658.23869144428</v>
      </c>
    </row>
    <row r="44" spans="1:33" x14ac:dyDescent="0.25">
      <c r="A44" s="1" t="s">
        <v>56</v>
      </c>
      <c r="B44" s="1" t="str">
        <f>VLOOKUP(A44,[15]LISTADHERENT!A$5:H$57,3,0)</f>
        <v>YOUMBI EMMANUEL</v>
      </c>
      <c r="C44" s="5">
        <f>MVTRESUME2019!C49</f>
        <v>480000</v>
      </c>
      <c r="D44" s="5">
        <f>MVTRESUME2019!D49</f>
        <v>317201.9797878497</v>
      </c>
      <c r="E44" s="5">
        <f>MVTRESUME2019!E49</f>
        <v>1198154.6510912008</v>
      </c>
      <c r="F44" s="5">
        <f>MVTRESUME2019!F49</f>
        <v>0</v>
      </c>
      <c r="G44" s="5">
        <f>MVTRESUME2019!G49</f>
        <v>1024000</v>
      </c>
      <c r="H44" s="5">
        <f>MVTRESUME2019!H49</f>
        <v>7000</v>
      </c>
      <c r="I44" s="5">
        <f>MVTRESUME2019!I49</f>
        <v>14000</v>
      </c>
      <c r="J44" s="5">
        <f>MVTRESUME2019!J49</f>
        <v>35000</v>
      </c>
      <c r="K44" s="5">
        <f>MVTRESUME2019!K49</f>
        <v>0</v>
      </c>
      <c r="L44" s="5">
        <f>MVTRESUME2019!L49</f>
        <v>0</v>
      </c>
      <c r="M44" s="5">
        <f>MVTRESUME2019!M49</f>
        <v>0</v>
      </c>
      <c r="N44" s="5">
        <f>MVTRESUME2019!N49</f>
        <v>0</v>
      </c>
      <c r="O44" s="5">
        <f>MVTRESUME2019!O49</f>
        <v>0</v>
      </c>
      <c r="P44" s="5">
        <f>MVTRESUME2019!P49</f>
        <v>0</v>
      </c>
      <c r="Q44" s="5">
        <f>MVTRESUME2019!Q49</f>
        <v>0</v>
      </c>
      <c r="R44" s="5">
        <f>MVTRESUME2019!R49</f>
        <v>0</v>
      </c>
      <c r="S44" s="5">
        <f>MVTRESUME2019!S49</f>
        <v>0</v>
      </c>
      <c r="T44" s="5">
        <f>MVTRESUME2019!T49</f>
        <v>0</v>
      </c>
      <c r="U44" s="5">
        <f>MVTRESUME2019!U49</f>
        <v>2539356.6308790506</v>
      </c>
      <c r="V44" s="5">
        <f>MVTRESUME2019!V49</f>
        <v>0</v>
      </c>
      <c r="W44" s="5">
        <f>MVTRESUME2019!W49</f>
        <v>30000</v>
      </c>
      <c r="X44" s="5">
        <f>MVTRESUME2019!X49</f>
        <v>0</v>
      </c>
      <c r="Y44" s="5">
        <f>MVTRESUME2019!Y49</f>
        <v>2509356.6308790506</v>
      </c>
      <c r="Z44" s="17"/>
      <c r="AC44" s="11">
        <f t="shared" si="0"/>
        <v>1341201.9797878498</v>
      </c>
    </row>
    <row r="45" spans="1:33" ht="18" x14ac:dyDescent="0.25">
      <c r="A45" s="1" t="s">
        <v>57</v>
      </c>
      <c r="B45" s="1"/>
      <c r="C45" s="9">
        <f>SUM(C2:C44)</f>
        <v>17782722.011083744</v>
      </c>
      <c r="D45" s="9">
        <f>SUM(D2:D44)</f>
        <v>3692643.8500000006</v>
      </c>
      <c r="E45" s="9">
        <f t="shared" ref="E45:Y45" si="1">SUM(E2:E44)</f>
        <v>4844130.5976969898</v>
      </c>
      <c r="F45" s="9">
        <f t="shared" si="1"/>
        <v>0</v>
      </c>
      <c r="G45" s="9">
        <f t="shared" si="1"/>
        <v>5614000</v>
      </c>
      <c r="H45" s="9">
        <f t="shared" si="1"/>
        <v>249500</v>
      </c>
      <c r="I45" s="9">
        <f t="shared" si="1"/>
        <v>499000</v>
      </c>
      <c r="J45" s="9">
        <f t="shared" si="1"/>
        <v>1247500</v>
      </c>
      <c r="K45" s="9">
        <f t="shared" si="1"/>
        <v>235500</v>
      </c>
      <c r="L45" s="9">
        <f t="shared" si="1"/>
        <v>0</v>
      </c>
      <c r="M45" s="9">
        <f t="shared" si="1"/>
        <v>0</v>
      </c>
      <c r="N45" s="9">
        <f t="shared" si="1"/>
        <v>46120035</v>
      </c>
      <c r="O45" s="9">
        <f t="shared" si="1"/>
        <v>3690143.85</v>
      </c>
      <c r="P45" s="9">
        <f t="shared" si="1"/>
        <v>1152300</v>
      </c>
      <c r="Q45" s="9">
        <f t="shared" si="1"/>
        <v>27308395</v>
      </c>
      <c r="R45" s="9">
        <f t="shared" si="1"/>
        <v>1475110</v>
      </c>
      <c r="S45" s="9">
        <f t="shared" si="1"/>
        <v>0</v>
      </c>
      <c r="T45" s="9">
        <f t="shared" si="1"/>
        <v>20286750</v>
      </c>
      <c r="U45" s="9">
        <f t="shared" si="1"/>
        <v>14150774.447696989</v>
      </c>
      <c r="V45" s="9">
        <f t="shared" si="1"/>
        <v>3581923</v>
      </c>
      <c r="W45" s="9">
        <f t="shared" si="1"/>
        <v>1265783</v>
      </c>
      <c r="X45" s="9"/>
      <c r="Y45" s="9">
        <f t="shared" si="1"/>
        <v>12884991.447696989</v>
      </c>
    </row>
  </sheetData>
  <autoFilter ref="A1:Q44">
    <sortState ref="A5:L48">
      <sortCondition ref="B5:B48"/>
    </sortState>
  </autoFilter>
  <pageMargins left="0.7" right="0.7" top="0.75" bottom="0.75" header="0.3" footer="0.3"/>
  <pageSetup orientation="portrait" horizontalDpi="4294967295" verticalDpi="4294967295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4"/>
  <sheetViews>
    <sheetView workbookViewId="0">
      <pane xSplit="2" ySplit="5" topLeftCell="C6" activePane="bottomRight" state="frozen"/>
      <selection activeCell="A18" sqref="A18:XFD18"/>
      <selection pane="topRight" activeCell="A18" sqref="A18:XFD18"/>
      <selection pane="bottomLeft" activeCell="A18" sqref="A18:XFD18"/>
      <selection pane="bottomRight" activeCell="F3" sqref="F3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15.28515625" customWidth="1"/>
    <col min="4" max="4" width="16.85546875" customWidth="1"/>
    <col min="5" max="5" width="20.7109375" customWidth="1"/>
    <col min="6" max="6" width="15" bestFit="1" customWidth="1"/>
    <col min="7" max="7" width="17.5703125" style="3" bestFit="1" customWidth="1"/>
    <col min="8" max="8" width="15.7109375" style="2" customWidth="1"/>
    <col min="9" max="11" width="12.42578125" style="2" customWidth="1"/>
    <col min="12" max="12" width="12.42578125" style="2" bestFit="1" customWidth="1"/>
    <col min="13" max="13" width="16.85546875" style="2" bestFit="1" customWidth="1"/>
    <col min="14" max="14" width="15" bestFit="1" customWidth="1"/>
    <col min="15" max="15" width="15" customWidth="1"/>
    <col min="16" max="16" width="18.140625" customWidth="1"/>
  </cols>
  <sheetData>
    <row r="1" spans="1:28" x14ac:dyDescent="0.25">
      <c r="A1" s="1" t="s">
        <v>0</v>
      </c>
      <c r="B1" s="1" t="s">
        <v>1</v>
      </c>
      <c r="C1" s="1"/>
      <c r="D1" s="1"/>
      <c r="E1" s="1"/>
    </row>
    <row r="2" spans="1:28" x14ac:dyDescent="0.25">
      <c r="A2" s="1" t="s">
        <v>2</v>
      </c>
      <c r="B2" s="1" t="s">
        <v>153</v>
      </c>
      <c r="C2" s="1"/>
      <c r="D2" s="1"/>
      <c r="E2" s="1"/>
    </row>
    <row r="3" spans="1:28" x14ac:dyDescent="0.25">
      <c r="A3" s="1" t="s">
        <v>3</v>
      </c>
      <c r="B3" s="5">
        <v>30000</v>
      </c>
      <c r="C3" s="1"/>
      <c r="D3" s="1"/>
      <c r="E3" s="1"/>
    </row>
    <row r="4" spans="1:28" ht="26.25" x14ac:dyDescent="0.4">
      <c r="B4" s="16"/>
      <c r="C4" s="146" t="s">
        <v>156</v>
      </c>
      <c r="D4" s="146"/>
      <c r="E4" s="146"/>
      <c r="F4" s="146"/>
      <c r="G4" s="57"/>
      <c r="H4" s="57"/>
      <c r="I4" s="57"/>
      <c r="J4"/>
      <c r="K4"/>
      <c r="L4"/>
      <c r="M4"/>
    </row>
    <row r="5" spans="1:28" ht="43.5" x14ac:dyDescent="0.25">
      <c r="A5" s="1" t="s">
        <v>4</v>
      </c>
      <c r="B5" s="1" t="s">
        <v>5</v>
      </c>
      <c r="C5" s="4" t="s">
        <v>6</v>
      </c>
      <c r="D5" s="1" t="s">
        <v>8</v>
      </c>
      <c r="E5" s="4" t="s">
        <v>60</v>
      </c>
      <c r="F5" s="1" t="s">
        <v>9</v>
      </c>
      <c r="G5" s="4" t="s">
        <v>10</v>
      </c>
      <c r="H5" s="4" t="s">
        <v>11</v>
      </c>
      <c r="I5" s="4" t="s">
        <v>12</v>
      </c>
      <c r="J5" s="4" t="s">
        <v>72</v>
      </c>
      <c r="K5" s="4" t="s">
        <v>73</v>
      </c>
      <c r="L5" s="4" t="s">
        <v>13</v>
      </c>
      <c r="M5" s="4" t="s">
        <v>61</v>
      </c>
      <c r="N5" s="4" t="s">
        <v>63</v>
      </c>
      <c r="O5" s="4" t="s">
        <v>83</v>
      </c>
      <c r="P5" s="4" t="s">
        <v>64</v>
      </c>
      <c r="Q5" s="4" t="s">
        <v>65</v>
      </c>
      <c r="R5" s="4" t="s">
        <v>14</v>
      </c>
      <c r="S5" s="4" t="s">
        <v>15</v>
      </c>
    </row>
    <row r="6" spans="1:28" x14ac:dyDescent="0.25">
      <c r="A6" s="1" t="s">
        <v>16</v>
      </c>
      <c r="B6" s="1" t="str">
        <f>VLOOKUP(A6,[15]LISTADHERENT!A$5:H$60,3,0)</f>
        <v>ASELBY</v>
      </c>
      <c r="C6" s="5" t="e">
        <f>#REF!+#REF!+#REF!+#REF!+#REF!+#REF!+#REF!+#REF!+#REF!+#REF!+#REF!+#REF!+#REF!+#REF!</f>
        <v>#REF!</v>
      </c>
      <c r="D6" s="5" t="e">
        <f>#REF!+#REF!+#REF!+#REF!+#REF!+#REF!+#REF!+#REF!+#REF!+#REF!+#REF!+#REF!+#REF!+#REF!</f>
        <v>#REF!</v>
      </c>
      <c r="E6" s="5" t="e">
        <f>#REF!+#REF!+#REF!+#REF!+#REF!+#REF!+#REF!+#REF!+#REF!+#REF!+#REF!+#REF!+#REF!+#REF!</f>
        <v>#REF!</v>
      </c>
      <c r="F6" s="5" t="e">
        <f>#REF!+#REF!+#REF!+#REF!+#REF!+#REF!+#REF!+#REF!+#REF!+#REF!+#REF!+#REF!+#REF!+#REF!</f>
        <v>#REF!</v>
      </c>
      <c r="G6" s="5" t="e">
        <f>#REF!+#REF!+#REF!+#REF!+#REF!+#REF!+#REF!+#REF!+#REF!+#REF!+#REF!+#REF!+#REF!+#REF!</f>
        <v>#REF!</v>
      </c>
      <c r="H6" s="5" t="e">
        <f>#REF!+#REF!+#REF!+#REF!+#REF!+#REF!+#REF!+#REF!+#REF!+#REF!+#REF!+#REF!+#REF!+#REF!</f>
        <v>#REF!</v>
      </c>
      <c r="I6" s="5" t="e">
        <f>#REF!+#REF!+#REF!+#REF!+#REF!+#REF!+#REF!+#REF!+#REF!+#REF!+#REF!+#REF!+#REF!+#REF!</f>
        <v>#REF!</v>
      </c>
      <c r="J6" s="5" t="e">
        <f>#REF!+#REF!+#REF!+#REF!+#REF!+#REF!+#REF!+#REF!+#REF!+#REF!+#REF!+#REF!+#REF!+#REF!</f>
        <v>#REF!</v>
      </c>
      <c r="K6" s="5" t="e">
        <f>#REF!+#REF!+#REF!+#REF!+#REF!+#REF!+#REF!+#REF!+#REF!+#REF!+#REF!+#REF!+#REF!+#REF!</f>
        <v>#REF!</v>
      </c>
      <c r="L6" s="5" t="e">
        <f>#REF!+#REF!+#REF!+#REF!+#REF!+#REF!+#REF!+#REF!+#REF!+#REF!+#REF!+#REF!+#REF!+#REF!</f>
        <v>#REF!</v>
      </c>
      <c r="M6" s="5" t="e">
        <f>#REF!+#REF!+#REF!+#REF!+#REF!+#REF!+#REF!+#REF!+#REF!+#REF!+#REF!+#REF!+#REF!+#REF!</f>
        <v>#REF!</v>
      </c>
      <c r="N6" s="5" t="e">
        <f>#REF!+#REF!+#REF!+#REF!+#REF!+#REF!+#REF!+#REF!+#REF!+#REF!+#REF!+#REF!+#REF!+#REF!</f>
        <v>#REF!</v>
      </c>
      <c r="O6" s="5" t="e">
        <f>#REF!+#REF!+#REF!+#REF!+#REF!+#REF!+#REF!+#REF!+#REF!+#REF!+#REF!+#REF!+#REF!+#REF!</f>
        <v>#REF!</v>
      </c>
      <c r="P6" s="5" t="e">
        <f>#REF!+#REF!+#REF!+#REF!+#REF!+#REF!+#REF!+#REF!+#REF!+#REF!+#REF!+#REF!+#REF!+#REF!</f>
        <v>#REF!</v>
      </c>
      <c r="Q6" s="5" t="e">
        <f>#REF!+#REF!+#REF!+#REF!+#REF!+#REF!+#REF!+#REF!+#REF!+#REF!+#REF!+#REF!+#REF!+#REF!</f>
        <v>#REF!</v>
      </c>
      <c r="R6" s="5" t="e">
        <f>#REF!+#REF!+#REF!+#REF!+#REF!+#REF!+#REF!+#REF!+#REF!+#REF!+#REF!+#REF!+#REF!+#REF!</f>
        <v>#REF!</v>
      </c>
      <c r="S6" s="5"/>
      <c r="T6" s="2"/>
      <c r="U6" s="2"/>
      <c r="V6" s="2"/>
      <c r="W6" s="2"/>
      <c r="X6" s="2"/>
      <c r="Y6" s="2"/>
      <c r="Z6" s="2"/>
      <c r="AA6" s="2"/>
      <c r="AB6" s="2"/>
    </row>
    <row r="7" spans="1:28" x14ac:dyDescent="0.25">
      <c r="A7" s="1" t="s">
        <v>19</v>
      </c>
      <c r="B7" s="1" t="str">
        <f>VLOOKUP(A7,[15]LISTADHERENT!A$5:H$60,3,0)</f>
        <v>BOUTCHOUANG WILLIAM</v>
      </c>
      <c r="C7" s="5" t="e">
        <f>#REF!+#REF!+#REF!+#REF!+#REF!+#REF!+#REF!+#REF!+#REF!+#REF!+#REF!+#REF!+#REF!+#REF!</f>
        <v>#REF!</v>
      </c>
      <c r="D7" s="5" t="e">
        <f>#REF!+#REF!+#REF!+#REF!+#REF!+#REF!+#REF!+#REF!+#REF!+#REF!+#REF!+#REF!+#REF!+#REF!</f>
        <v>#REF!</v>
      </c>
      <c r="E7" s="5" t="e">
        <f>#REF!+#REF!+#REF!+#REF!+#REF!+#REF!+#REF!+#REF!+#REF!+#REF!+#REF!+#REF!+#REF!+#REF!</f>
        <v>#REF!</v>
      </c>
      <c r="F7" s="5" t="e">
        <f>#REF!+#REF!+#REF!+#REF!+#REF!+#REF!+#REF!+#REF!+#REF!+#REF!+#REF!+#REF!+#REF!+#REF!</f>
        <v>#REF!</v>
      </c>
      <c r="G7" s="5" t="e">
        <f>#REF!+#REF!+#REF!+#REF!+#REF!+#REF!+#REF!+#REF!+#REF!+#REF!+#REF!+#REF!+#REF!+#REF!</f>
        <v>#REF!</v>
      </c>
      <c r="H7" s="5" t="e">
        <f>#REF!+#REF!+#REF!+#REF!+#REF!+#REF!+#REF!+#REF!+#REF!+#REF!+#REF!+#REF!+#REF!+#REF!</f>
        <v>#REF!</v>
      </c>
      <c r="I7" s="5" t="e">
        <f>#REF!+#REF!+#REF!+#REF!+#REF!+#REF!+#REF!+#REF!+#REF!+#REF!+#REF!+#REF!+#REF!+#REF!</f>
        <v>#REF!</v>
      </c>
      <c r="J7" s="5" t="e">
        <f>#REF!+#REF!+#REF!+#REF!+#REF!+#REF!+#REF!+#REF!+#REF!+#REF!+#REF!+#REF!+#REF!+#REF!</f>
        <v>#REF!</v>
      </c>
      <c r="K7" s="5" t="e">
        <f>#REF!+#REF!+#REF!+#REF!+#REF!+#REF!+#REF!+#REF!+#REF!+#REF!+#REF!+#REF!+#REF!+#REF!</f>
        <v>#REF!</v>
      </c>
      <c r="L7" s="5" t="e">
        <f>#REF!+#REF!+#REF!+#REF!+#REF!+#REF!+#REF!+#REF!+#REF!+#REF!+#REF!+#REF!+#REF!+#REF!</f>
        <v>#REF!</v>
      </c>
      <c r="M7" s="5" t="e">
        <f>#REF!+#REF!+#REF!+#REF!+#REF!+#REF!+#REF!+#REF!+#REF!+#REF!+#REF!+#REF!+#REF!+#REF!</f>
        <v>#REF!</v>
      </c>
      <c r="N7" s="5" t="e">
        <f>#REF!+#REF!+#REF!+#REF!+#REF!+#REF!+#REF!+#REF!+#REF!+#REF!+#REF!+#REF!+#REF!+#REF!</f>
        <v>#REF!</v>
      </c>
      <c r="O7" s="5" t="e">
        <f>#REF!+#REF!+#REF!+#REF!+#REF!+#REF!+#REF!+#REF!+#REF!+#REF!+#REF!+#REF!+#REF!+#REF!</f>
        <v>#REF!</v>
      </c>
      <c r="P7" s="5" t="e">
        <f>#REF!+#REF!+#REF!+#REF!+#REF!+#REF!+#REF!+#REF!+#REF!+#REF!+#REF!+#REF!+#REF!+#REF!</f>
        <v>#REF!</v>
      </c>
      <c r="Q7" s="5" t="e">
        <f>#REF!+#REF!+#REF!+#REF!+#REF!+#REF!+#REF!+#REF!+#REF!+#REF!+#REF!+#REF!+#REF!+#REF!</f>
        <v>#REF!</v>
      </c>
      <c r="R7" s="5" t="e">
        <f>#REF!+#REF!+#REF!+#REF!+#REF!+#REF!+#REF!+#REF!+#REF!+#REF!+#REF!+#REF!+#REF!+#REF!</f>
        <v>#REF!</v>
      </c>
      <c r="S7" s="5"/>
      <c r="T7" s="2"/>
      <c r="U7" s="2"/>
      <c r="V7" s="2"/>
      <c r="W7" s="2"/>
      <c r="X7" s="2"/>
      <c r="Y7" s="2"/>
      <c r="Z7" s="2"/>
      <c r="AA7" s="2"/>
      <c r="AB7" s="2"/>
    </row>
    <row r="8" spans="1:28" x14ac:dyDescent="0.25">
      <c r="A8" s="1" t="s">
        <v>23</v>
      </c>
      <c r="B8" s="1" t="str">
        <f>VLOOKUP(A8,[15]LISTADHERENT!A$5:H$60,3,0)</f>
        <v xml:space="preserve">DJOMO JEAN PAUL </v>
      </c>
      <c r="C8" s="5" t="e">
        <f>#REF!+#REF!+#REF!+#REF!+#REF!+#REF!+#REF!+#REF!+#REF!+#REF!+#REF!+#REF!+#REF!+#REF!</f>
        <v>#REF!</v>
      </c>
      <c r="D8" s="5" t="e">
        <f>#REF!+#REF!+#REF!+#REF!+#REF!+#REF!+#REF!+#REF!+#REF!+#REF!+#REF!+#REF!+#REF!+#REF!</f>
        <v>#REF!</v>
      </c>
      <c r="E8" s="5" t="e">
        <f>#REF!+#REF!+#REF!+#REF!+#REF!+#REF!+#REF!+#REF!+#REF!+#REF!+#REF!+#REF!+#REF!+#REF!</f>
        <v>#REF!</v>
      </c>
      <c r="F8" s="5" t="e">
        <f>#REF!+#REF!+#REF!+#REF!+#REF!+#REF!+#REF!+#REF!+#REF!+#REF!+#REF!+#REF!+#REF!+#REF!</f>
        <v>#REF!</v>
      </c>
      <c r="G8" s="5" t="e">
        <f>#REF!+#REF!+#REF!+#REF!+#REF!+#REF!+#REF!+#REF!+#REF!+#REF!+#REF!+#REF!+#REF!+#REF!</f>
        <v>#REF!</v>
      </c>
      <c r="H8" s="5" t="e">
        <f>#REF!+#REF!+#REF!+#REF!+#REF!+#REF!+#REF!+#REF!+#REF!+#REF!+#REF!+#REF!+#REF!+#REF!</f>
        <v>#REF!</v>
      </c>
      <c r="I8" s="5" t="e">
        <f>#REF!+#REF!+#REF!+#REF!+#REF!+#REF!+#REF!+#REF!+#REF!+#REF!+#REF!+#REF!+#REF!+#REF!</f>
        <v>#REF!</v>
      </c>
      <c r="J8" s="5" t="e">
        <f>#REF!+#REF!+#REF!+#REF!+#REF!+#REF!+#REF!+#REF!+#REF!+#REF!+#REF!+#REF!+#REF!+#REF!</f>
        <v>#REF!</v>
      </c>
      <c r="K8" s="5" t="e">
        <f>#REF!+#REF!+#REF!+#REF!+#REF!+#REF!+#REF!+#REF!+#REF!+#REF!+#REF!+#REF!+#REF!+#REF!</f>
        <v>#REF!</v>
      </c>
      <c r="L8" s="5" t="e">
        <f>#REF!+#REF!+#REF!+#REF!+#REF!+#REF!+#REF!+#REF!+#REF!+#REF!+#REF!+#REF!+#REF!+#REF!</f>
        <v>#REF!</v>
      </c>
      <c r="M8" s="5" t="e">
        <f>#REF!+#REF!+#REF!+#REF!+#REF!+#REF!+#REF!+#REF!+#REF!+#REF!+#REF!+#REF!+#REF!+#REF!</f>
        <v>#REF!</v>
      </c>
      <c r="N8" s="5" t="e">
        <f>#REF!+#REF!+#REF!+#REF!+#REF!+#REF!+#REF!+#REF!+#REF!+#REF!+#REF!+#REF!+#REF!+#REF!</f>
        <v>#REF!</v>
      </c>
      <c r="O8" s="5" t="e">
        <f>#REF!+#REF!+#REF!+#REF!+#REF!+#REF!+#REF!+#REF!+#REF!+#REF!+#REF!+#REF!+#REF!+#REF!</f>
        <v>#REF!</v>
      </c>
      <c r="P8" s="5" t="e">
        <f>#REF!+#REF!+#REF!+#REF!+#REF!+#REF!+#REF!+#REF!+#REF!+#REF!+#REF!+#REF!+#REF!+#REF!</f>
        <v>#REF!</v>
      </c>
      <c r="Q8" s="5" t="e">
        <f>#REF!+#REF!+#REF!+#REF!+#REF!+#REF!+#REF!+#REF!+#REF!+#REF!+#REF!+#REF!+#REF!+#REF!</f>
        <v>#REF!</v>
      </c>
      <c r="R8" s="5" t="e">
        <f>#REF!+#REF!+#REF!+#REF!+#REF!+#REF!+#REF!+#REF!+#REF!+#REF!+#REF!+#REF!+#REF!+#REF!</f>
        <v>#REF!</v>
      </c>
      <c r="S8" s="5"/>
      <c r="T8" s="2"/>
      <c r="U8" s="2"/>
      <c r="V8" s="2"/>
      <c r="W8" s="2"/>
      <c r="X8" s="2"/>
      <c r="Y8" s="2"/>
      <c r="Z8" s="2"/>
      <c r="AA8" s="2"/>
      <c r="AB8" s="2"/>
    </row>
    <row r="9" spans="1:28" x14ac:dyDescent="0.25">
      <c r="A9" s="1" t="s">
        <v>154</v>
      </c>
      <c r="B9" s="1" t="str">
        <f>VLOOKUP(A9,[15]LISTADHERENT!A$5:H$60,3,0)</f>
        <v>DJOMOU TCHANDA</v>
      </c>
      <c r="C9" s="5" t="e">
        <f>#REF!+#REF!+#REF!+#REF!+#REF!+#REF!+#REF!+#REF!+#REF!+#REF!+#REF!+#REF!+#REF!+#REF!</f>
        <v>#REF!</v>
      </c>
      <c r="D9" s="5" t="e">
        <f>#REF!+#REF!+#REF!+#REF!+#REF!+#REF!+#REF!+#REF!+#REF!+#REF!+#REF!+#REF!+#REF!+#REF!</f>
        <v>#REF!</v>
      </c>
      <c r="E9" s="5" t="e">
        <f>#REF!+#REF!+#REF!+#REF!+#REF!+#REF!+#REF!+#REF!+#REF!+#REF!+#REF!+#REF!+#REF!+#REF!</f>
        <v>#REF!</v>
      </c>
      <c r="F9" s="5" t="e">
        <f>#REF!+#REF!+#REF!+#REF!+#REF!+#REF!+#REF!+#REF!+#REF!+#REF!+#REF!+#REF!+#REF!+#REF!</f>
        <v>#REF!</v>
      </c>
      <c r="G9" s="5" t="e">
        <f>#REF!+#REF!+#REF!+#REF!+#REF!+#REF!+#REF!+#REF!+#REF!+#REF!+#REF!+#REF!+#REF!+#REF!</f>
        <v>#REF!</v>
      </c>
      <c r="H9" s="5" t="e">
        <f>#REF!+#REF!+#REF!+#REF!+#REF!+#REF!+#REF!+#REF!+#REF!+#REF!+#REF!+#REF!+#REF!+#REF!</f>
        <v>#REF!</v>
      </c>
      <c r="I9" s="5" t="e">
        <f>#REF!+#REF!+#REF!+#REF!+#REF!+#REF!+#REF!+#REF!+#REF!+#REF!+#REF!+#REF!+#REF!+#REF!</f>
        <v>#REF!</v>
      </c>
      <c r="J9" s="5" t="e">
        <f>#REF!+#REF!+#REF!+#REF!+#REF!+#REF!+#REF!+#REF!+#REF!+#REF!+#REF!+#REF!+#REF!+#REF!</f>
        <v>#REF!</v>
      </c>
      <c r="K9" s="5" t="e">
        <f>#REF!+#REF!+#REF!+#REF!+#REF!+#REF!+#REF!+#REF!+#REF!+#REF!+#REF!+#REF!+#REF!+#REF!</f>
        <v>#REF!</v>
      </c>
      <c r="L9" s="5" t="e">
        <f>#REF!+#REF!+#REF!+#REF!+#REF!+#REF!+#REF!+#REF!+#REF!+#REF!+#REF!+#REF!+#REF!+#REF!</f>
        <v>#REF!</v>
      </c>
      <c r="M9" s="5" t="e">
        <f>#REF!+#REF!+#REF!+#REF!+#REF!+#REF!+#REF!+#REF!+#REF!+#REF!+#REF!+#REF!+#REF!+#REF!</f>
        <v>#REF!</v>
      </c>
      <c r="N9" s="5" t="e">
        <f>#REF!+#REF!+#REF!+#REF!+#REF!+#REF!+#REF!+#REF!+#REF!+#REF!+#REF!+#REF!+#REF!+#REF!</f>
        <v>#REF!</v>
      </c>
      <c r="O9" s="5" t="e">
        <f>#REF!+#REF!+#REF!+#REF!+#REF!+#REF!+#REF!+#REF!+#REF!+#REF!+#REF!+#REF!+#REF!+#REF!</f>
        <v>#REF!</v>
      </c>
      <c r="P9" s="5" t="e">
        <f>#REF!+#REF!+#REF!+#REF!+#REF!+#REF!+#REF!+#REF!+#REF!+#REF!+#REF!+#REF!+#REF!+#REF!</f>
        <v>#REF!</v>
      </c>
      <c r="Q9" s="5" t="e">
        <f>#REF!+#REF!+#REF!+#REF!+#REF!+#REF!+#REF!+#REF!+#REF!+#REF!+#REF!+#REF!+#REF!+#REF!</f>
        <v>#REF!</v>
      </c>
      <c r="R9" s="5" t="e">
        <f>#REF!+#REF!+#REF!+#REF!+#REF!+#REF!+#REF!+#REF!+#REF!+#REF!+#REF!+#REF!+#REF!+#REF!</f>
        <v>#REF!</v>
      </c>
      <c r="S9" s="5"/>
      <c r="T9" s="2"/>
      <c r="U9" s="2"/>
      <c r="V9" s="2"/>
      <c r="W9" s="2"/>
      <c r="X9" s="2"/>
      <c r="Y9" s="2"/>
      <c r="Z9" s="2"/>
      <c r="AA9" s="2"/>
      <c r="AB9" s="2"/>
    </row>
    <row r="10" spans="1:28" x14ac:dyDescent="0.25">
      <c r="A10" s="1" t="s">
        <v>24</v>
      </c>
      <c r="B10" s="1" t="str">
        <f>VLOOKUP(A10,[15]LISTADHERENT!A$5:H$60,3,0)</f>
        <v>DJOUKWE NANGUEN GUY BLAISE</v>
      </c>
      <c r="C10" s="5" t="e">
        <f>#REF!+#REF!+#REF!+#REF!+#REF!+#REF!+#REF!+#REF!+#REF!+#REF!+#REF!+#REF!+#REF!+#REF!</f>
        <v>#REF!</v>
      </c>
      <c r="D10" s="5" t="e">
        <f>#REF!+#REF!+#REF!+#REF!+#REF!+#REF!+#REF!+#REF!+#REF!+#REF!+#REF!+#REF!+#REF!+#REF!</f>
        <v>#REF!</v>
      </c>
      <c r="E10" s="5" t="e">
        <f>#REF!+#REF!+#REF!+#REF!+#REF!+#REF!+#REF!+#REF!+#REF!+#REF!+#REF!+#REF!+#REF!+#REF!</f>
        <v>#REF!</v>
      </c>
      <c r="F10" s="5" t="e">
        <f>#REF!+#REF!+#REF!+#REF!+#REF!+#REF!+#REF!+#REF!+#REF!+#REF!+#REF!+#REF!+#REF!+#REF!</f>
        <v>#REF!</v>
      </c>
      <c r="G10" s="5" t="e">
        <f>#REF!+#REF!+#REF!+#REF!+#REF!+#REF!+#REF!+#REF!+#REF!+#REF!+#REF!+#REF!+#REF!+#REF!</f>
        <v>#REF!</v>
      </c>
      <c r="H10" s="5" t="e">
        <f>#REF!+#REF!+#REF!+#REF!+#REF!+#REF!+#REF!+#REF!+#REF!+#REF!+#REF!+#REF!+#REF!+#REF!</f>
        <v>#REF!</v>
      </c>
      <c r="I10" s="5" t="e">
        <f>#REF!+#REF!+#REF!+#REF!+#REF!+#REF!+#REF!+#REF!+#REF!+#REF!+#REF!+#REF!+#REF!+#REF!</f>
        <v>#REF!</v>
      </c>
      <c r="J10" s="5" t="e">
        <f>#REF!+#REF!+#REF!+#REF!+#REF!+#REF!+#REF!+#REF!+#REF!+#REF!+#REF!+#REF!+#REF!+#REF!</f>
        <v>#REF!</v>
      </c>
      <c r="K10" s="5" t="e">
        <f>#REF!+#REF!+#REF!+#REF!+#REF!+#REF!+#REF!+#REF!+#REF!+#REF!+#REF!+#REF!+#REF!+#REF!</f>
        <v>#REF!</v>
      </c>
      <c r="L10" s="5" t="e">
        <f>#REF!+#REF!+#REF!+#REF!+#REF!+#REF!+#REF!+#REF!+#REF!+#REF!+#REF!+#REF!+#REF!+#REF!</f>
        <v>#REF!</v>
      </c>
      <c r="M10" s="5" t="e">
        <f>#REF!+#REF!+#REF!+#REF!+#REF!+#REF!+#REF!+#REF!+#REF!+#REF!+#REF!+#REF!+#REF!+#REF!</f>
        <v>#REF!</v>
      </c>
      <c r="N10" s="5" t="e">
        <f>#REF!+#REF!+#REF!+#REF!+#REF!+#REF!+#REF!+#REF!+#REF!+#REF!+#REF!+#REF!+#REF!+#REF!</f>
        <v>#REF!</v>
      </c>
      <c r="O10" s="5" t="e">
        <f>#REF!+#REF!+#REF!+#REF!+#REF!+#REF!+#REF!+#REF!+#REF!+#REF!+#REF!+#REF!+#REF!+#REF!</f>
        <v>#REF!</v>
      </c>
      <c r="P10" s="5" t="e">
        <f>#REF!+#REF!+#REF!+#REF!+#REF!+#REF!+#REF!+#REF!+#REF!+#REF!+#REF!+#REF!+#REF!+#REF!</f>
        <v>#REF!</v>
      </c>
      <c r="Q10" s="5" t="e">
        <f>#REF!+#REF!+#REF!+#REF!+#REF!+#REF!+#REF!+#REF!+#REF!+#REF!+#REF!+#REF!+#REF!+#REF!</f>
        <v>#REF!</v>
      </c>
      <c r="R10" s="5" t="e">
        <f>#REF!+#REF!+#REF!+#REF!+#REF!+#REF!+#REF!+#REF!+#REF!+#REF!+#REF!+#REF!+#REF!+#REF!</f>
        <v>#REF!</v>
      </c>
      <c r="S10" s="5"/>
      <c r="T10" s="2"/>
      <c r="U10" s="2"/>
      <c r="V10" s="2"/>
      <c r="W10" s="2"/>
      <c r="X10" s="2"/>
      <c r="Y10" s="2"/>
      <c r="Z10" s="2"/>
      <c r="AA10" s="2"/>
      <c r="AB10" s="2"/>
    </row>
    <row r="11" spans="1:28" x14ac:dyDescent="0.25">
      <c r="A11" s="1" t="s">
        <v>25</v>
      </c>
      <c r="B11" s="1" t="str">
        <f>VLOOKUP(A11,[15]LISTADHERENT!A$5:H$60,3,0)</f>
        <v>DJUOMBESSY ANTOINE</v>
      </c>
      <c r="C11" s="5" t="e">
        <f>#REF!+#REF!+#REF!+#REF!+#REF!+#REF!+#REF!+#REF!+#REF!+#REF!+#REF!+#REF!+#REF!+#REF!</f>
        <v>#REF!</v>
      </c>
      <c r="D11" s="5" t="e">
        <f>#REF!+#REF!+#REF!+#REF!+#REF!+#REF!+#REF!+#REF!+#REF!+#REF!+#REF!+#REF!+#REF!+#REF!</f>
        <v>#REF!</v>
      </c>
      <c r="E11" s="5" t="e">
        <f>#REF!+#REF!+#REF!+#REF!+#REF!+#REF!+#REF!+#REF!+#REF!+#REF!+#REF!+#REF!+#REF!+#REF!</f>
        <v>#REF!</v>
      </c>
      <c r="F11" s="5" t="e">
        <f>#REF!+#REF!+#REF!+#REF!+#REF!+#REF!+#REF!+#REF!+#REF!+#REF!+#REF!+#REF!+#REF!+#REF!</f>
        <v>#REF!</v>
      </c>
      <c r="G11" s="5" t="e">
        <f>#REF!+#REF!+#REF!+#REF!+#REF!+#REF!+#REF!+#REF!+#REF!+#REF!+#REF!+#REF!+#REF!+#REF!</f>
        <v>#REF!</v>
      </c>
      <c r="H11" s="5" t="e">
        <f>#REF!+#REF!+#REF!+#REF!+#REF!+#REF!+#REF!+#REF!+#REF!+#REF!+#REF!+#REF!+#REF!+#REF!</f>
        <v>#REF!</v>
      </c>
      <c r="I11" s="5" t="e">
        <f>#REF!+#REF!+#REF!+#REF!+#REF!+#REF!+#REF!+#REF!+#REF!+#REF!+#REF!+#REF!+#REF!+#REF!</f>
        <v>#REF!</v>
      </c>
      <c r="J11" s="5" t="e">
        <f>#REF!+#REF!+#REF!+#REF!+#REF!+#REF!+#REF!+#REF!+#REF!+#REF!+#REF!+#REF!+#REF!+#REF!</f>
        <v>#REF!</v>
      </c>
      <c r="K11" s="5" t="e">
        <f>#REF!+#REF!+#REF!+#REF!+#REF!+#REF!+#REF!+#REF!+#REF!+#REF!+#REF!+#REF!+#REF!+#REF!</f>
        <v>#REF!</v>
      </c>
      <c r="L11" s="5" t="e">
        <f>#REF!+#REF!+#REF!+#REF!+#REF!+#REF!+#REF!+#REF!+#REF!+#REF!+#REF!+#REF!+#REF!+#REF!</f>
        <v>#REF!</v>
      </c>
      <c r="M11" s="5" t="e">
        <f>#REF!+#REF!+#REF!+#REF!+#REF!+#REF!+#REF!+#REF!+#REF!+#REF!+#REF!+#REF!+#REF!+#REF!</f>
        <v>#REF!</v>
      </c>
      <c r="N11" s="5" t="e">
        <f>#REF!+#REF!+#REF!+#REF!+#REF!+#REF!+#REF!+#REF!+#REF!+#REF!+#REF!+#REF!+#REF!+#REF!</f>
        <v>#REF!</v>
      </c>
      <c r="O11" s="5" t="e">
        <f>#REF!+#REF!+#REF!+#REF!+#REF!+#REF!+#REF!+#REF!+#REF!+#REF!+#REF!+#REF!+#REF!+#REF!</f>
        <v>#REF!</v>
      </c>
      <c r="P11" s="5" t="e">
        <f>#REF!+#REF!+#REF!+#REF!+#REF!+#REF!+#REF!+#REF!+#REF!+#REF!+#REF!+#REF!+#REF!+#REF!</f>
        <v>#REF!</v>
      </c>
      <c r="Q11" s="5" t="e">
        <f>#REF!+#REF!+#REF!+#REF!+#REF!+#REF!+#REF!+#REF!+#REF!+#REF!+#REF!+#REF!+#REF!+#REF!</f>
        <v>#REF!</v>
      </c>
      <c r="R11" s="5" t="e">
        <f>#REF!+#REF!+#REF!+#REF!+#REF!+#REF!+#REF!+#REF!+#REF!+#REF!+#REF!+#REF!+#REF!+#REF!</f>
        <v>#REF!</v>
      </c>
      <c r="S11" s="5"/>
      <c r="T11" s="2"/>
      <c r="U11" s="2"/>
      <c r="V11" s="2"/>
      <c r="W11" s="2"/>
      <c r="X11" s="2"/>
      <c r="Y11" s="2"/>
      <c r="Z11" s="2"/>
      <c r="AA11" s="2"/>
      <c r="AB11" s="2"/>
    </row>
    <row r="12" spans="1:28" x14ac:dyDescent="0.25">
      <c r="A12" s="1" t="s">
        <v>79</v>
      </c>
      <c r="B12" s="1" t="str">
        <f>VLOOKUP(A12,[15]LISTADHERENT!A$5:H$60,3,0)</f>
        <v>DOMOU FABIEN</v>
      </c>
      <c r="C12" s="5" t="e">
        <f>#REF!+#REF!+#REF!+#REF!+#REF!+#REF!+#REF!+#REF!+#REF!+#REF!+#REF!+#REF!+#REF!+#REF!</f>
        <v>#REF!</v>
      </c>
      <c r="D12" s="5" t="e">
        <f>#REF!+#REF!+#REF!+#REF!+#REF!+#REF!+#REF!+#REF!+#REF!+#REF!+#REF!+#REF!+#REF!+#REF!</f>
        <v>#REF!</v>
      </c>
      <c r="E12" s="5" t="e">
        <f>#REF!+#REF!+#REF!+#REF!+#REF!+#REF!+#REF!+#REF!+#REF!+#REF!+#REF!+#REF!+#REF!+#REF!</f>
        <v>#REF!</v>
      </c>
      <c r="F12" s="5" t="e">
        <f>#REF!+#REF!+#REF!+#REF!+#REF!+#REF!+#REF!+#REF!+#REF!+#REF!+#REF!+#REF!+#REF!+#REF!</f>
        <v>#REF!</v>
      </c>
      <c r="G12" s="5" t="e">
        <f>#REF!+#REF!+#REF!+#REF!+#REF!+#REF!+#REF!+#REF!+#REF!+#REF!+#REF!+#REF!+#REF!+#REF!</f>
        <v>#REF!</v>
      </c>
      <c r="H12" s="5" t="e">
        <f>#REF!+#REF!+#REF!+#REF!+#REF!+#REF!+#REF!+#REF!+#REF!+#REF!+#REF!+#REF!+#REF!+#REF!</f>
        <v>#REF!</v>
      </c>
      <c r="I12" s="5" t="e">
        <f>#REF!+#REF!+#REF!+#REF!+#REF!+#REF!+#REF!+#REF!+#REF!+#REF!+#REF!+#REF!+#REF!+#REF!</f>
        <v>#REF!</v>
      </c>
      <c r="J12" s="5" t="e">
        <f>#REF!+#REF!+#REF!+#REF!+#REF!+#REF!+#REF!+#REF!+#REF!+#REF!+#REF!+#REF!+#REF!+#REF!</f>
        <v>#REF!</v>
      </c>
      <c r="K12" s="5" t="e">
        <f>#REF!+#REF!+#REF!+#REF!+#REF!+#REF!+#REF!+#REF!+#REF!+#REF!+#REF!+#REF!+#REF!+#REF!</f>
        <v>#REF!</v>
      </c>
      <c r="L12" s="5" t="e">
        <f>#REF!+#REF!+#REF!+#REF!+#REF!+#REF!+#REF!+#REF!+#REF!+#REF!+#REF!+#REF!+#REF!+#REF!</f>
        <v>#REF!</v>
      </c>
      <c r="M12" s="5" t="e">
        <f>#REF!+#REF!+#REF!+#REF!+#REF!+#REF!+#REF!+#REF!+#REF!+#REF!+#REF!+#REF!+#REF!+#REF!</f>
        <v>#REF!</v>
      </c>
      <c r="N12" s="5" t="e">
        <f>#REF!+#REF!+#REF!+#REF!+#REF!+#REF!+#REF!+#REF!+#REF!+#REF!+#REF!+#REF!+#REF!+#REF!</f>
        <v>#REF!</v>
      </c>
      <c r="O12" s="5" t="e">
        <f>#REF!+#REF!+#REF!+#REF!+#REF!+#REF!+#REF!+#REF!+#REF!+#REF!+#REF!+#REF!+#REF!+#REF!</f>
        <v>#REF!</v>
      </c>
      <c r="P12" s="5" t="e">
        <f>#REF!+#REF!+#REF!+#REF!+#REF!+#REF!+#REF!+#REF!+#REF!+#REF!+#REF!+#REF!+#REF!+#REF!</f>
        <v>#REF!</v>
      </c>
      <c r="Q12" s="5" t="e">
        <f>#REF!+#REF!+#REF!+#REF!+#REF!+#REF!+#REF!+#REF!+#REF!+#REF!+#REF!+#REF!+#REF!+#REF!</f>
        <v>#REF!</v>
      </c>
      <c r="R12" s="5" t="e">
        <f>#REF!+#REF!+#REF!+#REF!+#REF!+#REF!+#REF!+#REF!+#REF!+#REF!+#REF!+#REF!+#REF!+#REF!</f>
        <v>#REF!</v>
      </c>
      <c r="V12" s="2"/>
      <c r="W12" s="2"/>
      <c r="X12" s="2"/>
      <c r="Y12" s="2"/>
      <c r="Z12" s="2"/>
      <c r="AA12" s="2"/>
      <c r="AB12" s="2"/>
    </row>
    <row r="13" spans="1:28" x14ac:dyDescent="0.25">
      <c r="A13" s="1" t="s">
        <v>26</v>
      </c>
      <c r="B13" s="1" t="str">
        <f>VLOOKUP(A13,[15]LISTADHERENT!A$5:H$60,3,0)</f>
        <v>DONHOU DAVID</v>
      </c>
      <c r="C13" s="5" t="e">
        <f>#REF!+#REF!+#REF!+#REF!+#REF!+#REF!+#REF!+#REF!+#REF!+#REF!+#REF!+#REF!+#REF!+#REF!</f>
        <v>#REF!</v>
      </c>
      <c r="D13" s="5" t="e">
        <f>#REF!+#REF!+#REF!+#REF!+#REF!+#REF!+#REF!+#REF!+#REF!+#REF!+#REF!+#REF!+#REF!+#REF!</f>
        <v>#REF!</v>
      </c>
      <c r="E13" s="5" t="e">
        <f>#REF!+#REF!+#REF!+#REF!+#REF!+#REF!+#REF!+#REF!+#REF!+#REF!+#REF!+#REF!+#REF!+#REF!</f>
        <v>#REF!</v>
      </c>
      <c r="F13" s="5" t="e">
        <f>#REF!+#REF!+#REF!+#REF!+#REF!+#REF!+#REF!+#REF!+#REF!+#REF!+#REF!+#REF!+#REF!+#REF!</f>
        <v>#REF!</v>
      </c>
      <c r="G13" s="5" t="e">
        <f>#REF!+#REF!+#REF!+#REF!+#REF!+#REF!+#REF!+#REF!+#REF!+#REF!+#REF!+#REF!+#REF!+#REF!</f>
        <v>#REF!</v>
      </c>
      <c r="H13" s="5" t="e">
        <f>#REF!+#REF!+#REF!+#REF!+#REF!+#REF!+#REF!+#REF!+#REF!+#REF!+#REF!+#REF!+#REF!+#REF!</f>
        <v>#REF!</v>
      </c>
      <c r="I13" s="5" t="e">
        <f>#REF!+#REF!+#REF!+#REF!+#REF!+#REF!+#REF!+#REF!+#REF!+#REF!+#REF!+#REF!+#REF!+#REF!</f>
        <v>#REF!</v>
      </c>
      <c r="J13" s="5" t="e">
        <f>#REF!+#REF!+#REF!+#REF!+#REF!+#REF!+#REF!+#REF!+#REF!+#REF!+#REF!+#REF!+#REF!+#REF!</f>
        <v>#REF!</v>
      </c>
      <c r="K13" s="5" t="e">
        <f>#REF!+#REF!+#REF!+#REF!+#REF!+#REF!+#REF!+#REF!+#REF!+#REF!+#REF!+#REF!+#REF!+#REF!</f>
        <v>#REF!</v>
      </c>
      <c r="L13" s="5" t="e">
        <f>#REF!+#REF!+#REF!+#REF!+#REF!+#REF!+#REF!+#REF!+#REF!+#REF!+#REF!+#REF!+#REF!+#REF!</f>
        <v>#REF!</v>
      </c>
      <c r="M13" s="5" t="e">
        <f>#REF!+#REF!+#REF!+#REF!+#REF!+#REF!+#REF!+#REF!+#REF!+#REF!+#REF!+#REF!+#REF!+#REF!</f>
        <v>#REF!</v>
      </c>
      <c r="N13" s="5" t="e">
        <f>#REF!+#REF!+#REF!+#REF!+#REF!+#REF!+#REF!+#REF!+#REF!+#REF!+#REF!+#REF!+#REF!+#REF!</f>
        <v>#REF!</v>
      </c>
      <c r="O13" s="5" t="e">
        <f>#REF!+#REF!+#REF!+#REF!+#REF!+#REF!+#REF!+#REF!+#REF!+#REF!+#REF!+#REF!+#REF!+#REF!</f>
        <v>#REF!</v>
      </c>
      <c r="P13" s="5" t="e">
        <f>#REF!+#REF!+#REF!+#REF!+#REF!+#REF!+#REF!+#REF!+#REF!+#REF!+#REF!+#REF!+#REF!+#REF!</f>
        <v>#REF!</v>
      </c>
      <c r="Q13" s="5" t="e">
        <f>#REF!+#REF!+#REF!+#REF!+#REF!+#REF!+#REF!+#REF!+#REF!+#REF!+#REF!+#REF!+#REF!+#REF!</f>
        <v>#REF!</v>
      </c>
      <c r="R13" s="5" t="e">
        <f>#REF!+#REF!+#REF!+#REF!+#REF!+#REF!+#REF!+#REF!+#REF!+#REF!+#REF!+#REF!+#REF!+#REF!</f>
        <v>#REF!</v>
      </c>
      <c r="S13" s="5"/>
      <c r="T13" s="2"/>
      <c r="U13" s="2"/>
      <c r="V13" s="2"/>
      <c r="W13" s="2"/>
      <c r="X13" s="2"/>
      <c r="Y13" s="2"/>
      <c r="Z13" s="2"/>
      <c r="AA13" s="2"/>
      <c r="AB13" s="2"/>
    </row>
    <row r="14" spans="1:28" x14ac:dyDescent="0.25">
      <c r="A14" s="1" t="s">
        <v>27</v>
      </c>
      <c r="B14" s="1" t="str">
        <f>VLOOKUP(A14,[15]LISTADHERENT!A$5:H$60,3,0)</f>
        <v>FOTSO THOMAS</v>
      </c>
      <c r="C14" s="5" t="e">
        <f>#REF!+#REF!+#REF!+#REF!+#REF!+#REF!+#REF!+#REF!+#REF!+#REF!+#REF!+#REF!+#REF!+#REF!</f>
        <v>#REF!</v>
      </c>
      <c r="D14" s="5" t="e">
        <f>#REF!+#REF!+#REF!+#REF!+#REF!+#REF!+#REF!+#REF!+#REF!+#REF!+#REF!+#REF!+#REF!+#REF!</f>
        <v>#REF!</v>
      </c>
      <c r="E14" s="5" t="e">
        <f>#REF!+#REF!+#REF!+#REF!+#REF!+#REF!+#REF!+#REF!+#REF!+#REF!+#REF!+#REF!+#REF!+#REF!</f>
        <v>#REF!</v>
      </c>
      <c r="F14" s="5" t="e">
        <f>#REF!+#REF!+#REF!+#REF!+#REF!+#REF!+#REF!+#REF!+#REF!+#REF!+#REF!+#REF!+#REF!+#REF!</f>
        <v>#REF!</v>
      </c>
      <c r="G14" s="5" t="e">
        <f>#REF!+#REF!+#REF!+#REF!+#REF!+#REF!+#REF!+#REF!+#REF!+#REF!+#REF!+#REF!+#REF!+#REF!</f>
        <v>#REF!</v>
      </c>
      <c r="H14" s="5" t="e">
        <f>#REF!+#REF!+#REF!+#REF!+#REF!+#REF!+#REF!+#REF!+#REF!+#REF!+#REF!+#REF!+#REF!+#REF!</f>
        <v>#REF!</v>
      </c>
      <c r="I14" s="5" t="e">
        <f>#REF!+#REF!+#REF!+#REF!+#REF!+#REF!+#REF!+#REF!+#REF!+#REF!+#REF!+#REF!+#REF!+#REF!</f>
        <v>#REF!</v>
      </c>
      <c r="J14" s="5" t="e">
        <f>#REF!+#REF!+#REF!+#REF!+#REF!+#REF!+#REF!+#REF!+#REF!+#REF!+#REF!+#REF!+#REF!+#REF!</f>
        <v>#REF!</v>
      </c>
      <c r="K14" s="5" t="e">
        <f>#REF!+#REF!+#REF!+#REF!+#REF!+#REF!+#REF!+#REF!+#REF!+#REF!+#REF!+#REF!+#REF!+#REF!</f>
        <v>#REF!</v>
      </c>
      <c r="L14" s="5" t="e">
        <f>#REF!+#REF!+#REF!+#REF!+#REF!+#REF!+#REF!+#REF!+#REF!+#REF!+#REF!+#REF!+#REF!+#REF!</f>
        <v>#REF!</v>
      </c>
      <c r="M14" s="5" t="e">
        <f>#REF!+#REF!+#REF!+#REF!+#REF!+#REF!+#REF!+#REF!+#REF!+#REF!+#REF!+#REF!+#REF!+#REF!</f>
        <v>#REF!</v>
      </c>
      <c r="N14" s="5" t="e">
        <f>#REF!+#REF!+#REF!+#REF!+#REF!+#REF!+#REF!+#REF!+#REF!+#REF!+#REF!+#REF!+#REF!+#REF!</f>
        <v>#REF!</v>
      </c>
      <c r="O14" s="5" t="e">
        <f>#REF!+#REF!+#REF!+#REF!+#REF!+#REF!+#REF!+#REF!+#REF!+#REF!+#REF!+#REF!+#REF!+#REF!</f>
        <v>#REF!</v>
      </c>
      <c r="P14" s="5" t="e">
        <f>#REF!+#REF!+#REF!+#REF!+#REF!+#REF!+#REF!+#REF!+#REF!+#REF!+#REF!+#REF!+#REF!+#REF!</f>
        <v>#REF!</v>
      </c>
      <c r="Q14" s="5" t="e">
        <f>#REF!+#REF!+#REF!+#REF!+#REF!+#REF!+#REF!+#REF!+#REF!+#REF!+#REF!+#REF!+#REF!+#REF!</f>
        <v>#REF!</v>
      </c>
      <c r="R14" s="5" t="e">
        <f>#REF!+#REF!+#REF!+#REF!+#REF!+#REF!+#REF!+#REF!+#REF!+#REF!+#REF!+#REF!+#REF!+#REF!</f>
        <v>#REF!</v>
      </c>
      <c r="S14" s="5"/>
      <c r="T14" s="2"/>
      <c r="U14" s="2"/>
      <c r="V14" s="2"/>
      <c r="W14" s="2"/>
      <c r="X14" s="2"/>
      <c r="Y14" s="2"/>
      <c r="Z14" s="2"/>
      <c r="AA14" s="2"/>
      <c r="AB14" s="2"/>
    </row>
    <row r="15" spans="1:28" ht="14.25" customHeight="1" x14ac:dyDescent="0.25">
      <c r="A15" s="1" t="s">
        <v>28</v>
      </c>
      <c r="B15" s="1" t="str">
        <f>VLOOKUP(A15,[15]LISTADHERENT!A$5:H$60,3,0)</f>
        <v>HENGUE PAUL OMER</v>
      </c>
      <c r="C15" s="5" t="e">
        <f>#REF!+#REF!+#REF!+#REF!+#REF!+#REF!+#REF!+#REF!+#REF!+#REF!+#REF!+#REF!+#REF!+#REF!</f>
        <v>#REF!</v>
      </c>
      <c r="D15" s="5" t="e">
        <f>#REF!+#REF!+#REF!+#REF!+#REF!+#REF!+#REF!+#REF!+#REF!+#REF!+#REF!+#REF!+#REF!+#REF!</f>
        <v>#REF!</v>
      </c>
      <c r="E15" s="5" t="e">
        <f>#REF!+#REF!+#REF!+#REF!+#REF!+#REF!+#REF!+#REF!+#REF!+#REF!+#REF!+#REF!+#REF!+#REF!</f>
        <v>#REF!</v>
      </c>
      <c r="F15" s="5" t="e">
        <f>#REF!+#REF!+#REF!+#REF!+#REF!+#REF!+#REF!+#REF!+#REF!+#REF!+#REF!+#REF!+#REF!+#REF!</f>
        <v>#REF!</v>
      </c>
      <c r="G15" s="5" t="e">
        <f>#REF!+#REF!+#REF!+#REF!+#REF!+#REF!+#REF!+#REF!+#REF!+#REF!+#REF!+#REF!+#REF!+#REF!</f>
        <v>#REF!</v>
      </c>
      <c r="H15" s="5" t="e">
        <f>#REF!+#REF!+#REF!+#REF!+#REF!+#REF!+#REF!+#REF!+#REF!+#REF!+#REF!+#REF!+#REF!+#REF!</f>
        <v>#REF!</v>
      </c>
      <c r="I15" s="5" t="e">
        <f>#REF!+#REF!+#REF!+#REF!+#REF!+#REF!+#REF!+#REF!+#REF!+#REF!+#REF!+#REF!+#REF!+#REF!</f>
        <v>#REF!</v>
      </c>
      <c r="J15" s="5" t="e">
        <f>#REF!+#REF!+#REF!+#REF!+#REF!+#REF!+#REF!+#REF!+#REF!+#REF!+#REF!+#REF!+#REF!+#REF!</f>
        <v>#REF!</v>
      </c>
      <c r="K15" s="5" t="e">
        <f>#REF!+#REF!+#REF!+#REF!+#REF!+#REF!+#REF!+#REF!+#REF!+#REF!+#REF!+#REF!+#REF!+#REF!</f>
        <v>#REF!</v>
      </c>
      <c r="L15" s="5" t="e">
        <f>#REF!+#REF!+#REF!+#REF!+#REF!+#REF!+#REF!+#REF!+#REF!+#REF!+#REF!+#REF!+#REF!+#REF!</f>
        <v>#REF!</v>
      </c>
      <c r="M15" s="5" t="e">
        <f>#REF!+#REF!+#REF!+#REF!+#REF!+#REF!+#REF!+#REF!+#REF!+#REF!+#REF!+#REF!+#REF!+#REF!</f>
        <v>#REF!</v>
      </c>
      <c r="N15" s="5" t="e">
        <f>#REF!+#REF!+#REF!+#REF!+#REF!+#REF!+#REF!+#REF!+#REF!+#REF!+#REF!+#REF!+#REF!+#REF!</f>
        <v>#REF!</v>
      </c>
      <c r="O15" s="5" t="e">
        <f>#REF!+#REF!+#REF!+#REF!+#REF!+#REF!+#REF!+#REF!+#REF!+#REF!+#REF!+#REF!+#REF!+#REF!</f>
        <v>#REF!</v>
      </c>
      <c r="P15" s="5" t="e">
        <f>#REF!+#REF!+#REF!+#REF!+#REF!+#REF!+#REF!+#REF!+#REF!+#REF!+#REF!+#REF!+#REF!+#REF!</f>
        <v>#REF!</v>
      </c>
      <c r="Q15" s="5" t="e">
        <f>#REF!+#REF!+#REF!+#REF!+#REF!+#REF!+#REF!+#REF!+#REF!+#REF!+#REF!+#REF!+#REF!+#REF!</f>
        <v>#REF!</v>
      </c>
      <c r="R15" s="5" t="e">
        <f>#REF!+#REF!+#REF!+#REF!+#REF!+#REF!+#REF!+#REF!+#REF!+#REF!+#REF!+#REF!+#REF!+#REF!</f>
        <v>#REF!</v>
      </c>
      <c r="S15" s="5"/>
      <c r="T15" s="2"/>
      <c r="U15" s="2"/>
      <c r="V15" s="2"/>
      <c r="W15" s="2"/>
      <c r="X15" s="2"/>
      <c r="Y15" s="2"/>
      <c r="Z15" s="2"/>
      <c r="AA15" s="2"/>
      <c r="AB15" s="2"/>
    </row>
    <row r="16" spans="1:28" x14ac:dyDescent="0.25">
      <c r="A16" s="1" t="s">
        <v>29</v>
      </c>
      <c r="B16" s="1" t="str">
        <f>VLOOKUP(A16,[15]LISTADHERENT!A$5:H$60,3,0)</f>
        <v>HOTCHO BENJAMIN</v>
      </c>
      <c r="C16" s="5" t="e">
        <f>#REF!+#REF!+#REF!+#REF!+#REF!+#REF!+#REF!+#REF!+#REF!+#REF!+#REF!+#REF!+#REF!+#REF!</f>
        <v>#REF!</v>
      </c>
      <c r="D16" s="5" t="e">
        <f>#REF!+#REF!+#REF!+#REF!+#REF!+#REF!+#REF!+#REF!+#REF!+#REF!+#REF!+#REF!+#REF!+#REF!</f>
        <v>#REF!</v>
      </c>
      <c r="E16" s="5" t="e">
        <f>#REF!+#REF!+#REF!+#REF!+#REF!+#REF!+#REF!+#REF!+#REF!+#REF!+#REF!+#REF!+#REF!+#REF!</f>
        <v>#REF!</v>
      </c>
      <c r="F16" s="5" t="e">
        <f>#REF!+#REF!+#REF!+#REF!+#REF!+#REF!+#REF!+#REF!+#REF!+#REF!+#REF!+#REF!+#REF!+#REF!</f>
        <v>#REF!</v>
      </c>
      <c r="G16" s="5" t="e">
        <f>#REF!+#REF!+#REF!+#REF!+#REF!+#REF!+#REF!+#REF!+#REF!+#REF!+#REF!+#REF!+#REF!+#REF!</f>
        <v>#REF!</v>
      </c>
      <c r="H16" s="5" t="e">
        <f>#REF!+#REF!+#REF!+#REF!+#REF!+#REF!+#REF!+#REF!+#REF!+#REF!+#REF!+#REF!+#REF!+#REF!</f>
        <v>#REF!</v>
      </c>
      <c r="I16" s="5" t="e">
        <f>#REF!+#REF!+#REF!+#REF!+#REF!+#REF!+#REF!+#REF!+#REF!+#REF!+#REF!+#REF!+#REF!+#REF!</f>
        <v>#REF!</v>
      </c>
      <c r="J16" s="5" t="e">
        <f>#REF!+#REF!+#REF!+#REF!+#REF!+#REF!+#REF!+#REF!+#REF!+#REF!+#REF!+#REF!+#REF!+#REF!</f>
        <v>#REF!</v>
      </c>
      <c r="K16" s="5" t="e">
        <f>#REF!+#REF!+#REF!+#REF!+#REF!+#REF!+#REF!+#REF!+#REF!+#REF!+#REF!+#REF!+#REF!+#REF!</f>
        <v>#REF!</v>
      </c>
      <c r="L16" s="5" t="e">
        <f>#REF!+#REF!+#REF!+#REF!+#REF!+#REF!+#REF!+#REF!+#REF!+#REF!+#REF!+#REF!+#REF!+#REF!</f>
        <v>#REF!</v>
      </c>
      <c r="M16" s="5" t="e">
        <f>#REF!+#REF!+#REF!+#REF!+#REF!+#REF!+#REF!+#REF!+#REF!+#REF!+#REF!+#REF!+#REF!+#REF!</f>
        <v>#REF!</v>
      </c>
      <c r="N16" s="5" t="e">
        <f>#REF!+#REF!+#REF!+#REF!+#REF!+#REF!+#REF!+#REF!+#REF!+#REF!+#REF!+#REF!+#REF!+#REF!</f>
        <v>#REF!</v>
      </c>
      <c r="O16" s="5" t="e">
        <f>#REF!+#REF!+#REF!+#REF!+#REF!+#REF!+#REF!+#REF!+#REF!+#REF!+#REF!+#REF!+#REF!+#REF!</f>
        <v>#REF!</v>
      </c>
      <c r="P16" s="5" t="e">
        <f>#REF!+#REF!+#REF!+#REF!+#REF!+#REF!+#REF!+#REF!+#REF!+#REF!+#REF!+#REF!+#REF!+#REF!</f>
        <v>#REF!</v>
      </c>
      <c r="Q16" s="5" t="e">
        <f>#REF!+#REF!+#REF!+#REF!+#REF!+#REF!+#REF!+#REF!+#REF!+#REF!+#REF!+#REF!+#REF!+#REF!</f>
        <v>#REF!</v>
      </c>
      <c r="R16" s="5" t="e">
        <f>#REF!+#REF!+#REF!+#REF!+#REF!+#REF!+#REF!+#REF!+#REF!+#REF!+#REF!+#REF!+#REF!+#REF!</f>
        <v>#REF!</v>
      </c>
      <c r="S16" s="5"/>
      <c r="T16" s="2"/>
      <c r="U16" s="2"/>
      <c r="V16" s="2"/>
      <c r="W16" s="2"/>
      <c r="X16" s="2"/>
      <c r="Y16" s="2"/>
      <c r="Z16" s="2"/>
      <c r="AA16" s="2"/>
      <c r="AB16" s="2"/>
    </row>
    <row r="17" spans="1:28" x14ac:dyDescent="0.25">
      <c r="A17" s="1" t="s">
        <v>31</v>
      </c>
      <c r="B17" s="1" t="str">
        <f>VLOOKUP(A17,[15]LISTADHERENT!A$5:H$60,3,0)</f>
        <v>KEPSEU FRANCIS</v>
      </c>
      <c r="C17" s="5" t="e">
        <f>#REF!+#REF!+#REF!+#REF!+#REF!+#REF!+#REF!+#REF!+#REF!+#REF!+#REF!+#REF!+#REF!+#REF!</f>
        <v>#REF!</v>
      </c>
      <c r="D17" s="5" t="e">
        <f>#REF!+#REF!+#REF!+#REF!+#REF!+#REF!+#REF!+#REF!+#REF!+#REF!+#REF!+#REF!+#REF!+#REF!</f>
        <v>#REF!</v>
      </c>
      <c r="E17" s="5" t="e">
        <f>#REF!+#REF!+#REF!+#REF!+#REF!+#REF!+#REF!+#REF!+#REF!+#REF!+#REF!+#REF!+#REF!+#REF!</f>
        <v>#REF!</v>
      </c>
      <c r="F17" s="5" t="e">
        <f>#REF!+#REF!+#REF!+#REF!+#REF!+#REF!+#REF!+#REF!+#REF!+#REF!+#REF!+#REF!+#REF!+#REF!</f>
        <v>#REF!</v>
      </c>
      <c r="G17" s="5" t="e">
        <f>#REF!+#REF!+#REF!+#REF!+#REF!+#REF!+#REF!+#REF!+#REF!+#REF!+#REF!+#REF!+#REF!+#REF!</f>
        <v>#REF!</v>
      </c>
      <c r="H17" s="5" t="e">
        <f>#REF!+#REF!+#REF!+#REF!+#REF!+#REF!+#REF!+#REF!+#REF!+#REF!+#REF!+#REF!+#REF!+#REF!</f>
        <v>#REF!</v>
      </c>
      <c r="I17" s="5" t="e">
        <f>#REF!+#REF!+#REF!+#REF!+#REF!+#REF!+#REF!+#REF!+#REF!+#REF!+#REF!+#REF!+#REF!+#REF!</f>
        <v>#REF!</v>
      </c>
      <c r="J17" s="5" t="e">
        <f>#REF!+#REF!+#REF!+#REF!+#REF!+#REF!+#REF!+#REF!+#REF!+#REF!+#REF!+#REF!+#REF!+#REF!</f>
        <v>#REF!</v>
      </c>
      <c r="K17" s="5" t="e">
        <f>#REF!+#REF!+#REF!+#REF!+#REF!+#REF!+#REF!+#REF!+#REF!+#REF!+#REF!+#REF!+#REF!+#REF!</f>
        <v>#REF!</v>
      </c>
      <c r="L17" s="5" t="e">
        <f>#REF!+#REF!+#REF!+#REF!+#REF!+#REF!+#REF!+#REF!+#REF!+#REF!+#REF!+#REF!+#REF!+#REF!</f>
        <v>#REF!</v>
      </c>
      <c r="M17" s="5" t="e">
        <f>#REF!+#REF!+#REF!+#REF!+#REF!+#REF!+#REF!+#REF!+#REF!+#REF!+#REF!+#REF!+#REF!+#REF!</f>
        <v>#REF!</v>
      </c>
      <c r="N17" s="5" t="e">
        <f>#REF!+#REF!+#REF!+#REF!+#REF!+#REF!+#REF!+#REF!+#REF!+#REF!+#REF!+#REF!+#REF!+#REF!</f>
        <v>#REF!</v>
      </c>
      <c r="O17" s="5" t="e">
        <f>#REF!+#REF!+#REF!+#REF!+#REF!+#REF!+#REF!+#REF!+#REF!+#REF!+#REF!+#REF!+#REF!+#REF!</f>
        <v>#REF!</v>
      </c>
      <c r="P17" s="5" t="e">
        <f>#REF!+#REF!+#REF!+#REF!+#REF!+#REF!+#REF!+#REF!+#REF!+#REF!+#REF!+#REF!+#REF!+#REF!</f>
        <v>#REF!</v>
      </c>
      <c r="Q17" s="5" t="e">
        <f>#REF!+#REF!+#REF!+#REF!+#REF!+#REF!+#REF!+#REF!+#REF!+#REF!+#REF!+#REF!+#REF!+#REF!</f>
        <v>#REF!</v>
      </c>
      <c r="R17" s="5" t="e">
        <f>#REF!+#REF!+#REF!+#REF!+#REF!+#REF!+#REF!+#REF!+#REF!+#REF!+#REF!+#REF!+#REF!+#REF!</f>
        <v>#REF!</v>
      </c>
      <c r="S17" s="5"/>
      <c r="T17" s="2"/>
      <c r="U17" s="2"/>
      <c r="V17" s="2"/>
      <c r="W17" s="2"/>
      <c r="X17" s="2"/>
      <c r="Y17" s="2"/>
      <c r="Z17" s="2"/>
      <c r="AA17" s="2"/>
      <c r="AB17" s="2"/>
    </row>
    <row r="18" spans="1:28" x14ac:dyDescent="0.25">
      <c r="A18" s="1" t="s">
        <v>34</v>
      </c>
      <c r="B18" s="1" t="str">
        <f>VLOOKUP(A18,[15]LISTADHERENT!A$5:H$60,3,0)</f>
        <v>KOUAMO VICTOR PEGUY</v>
      </c>
      <c r="C18" s="5" t="e">
        <f>#REF!+#REF!+#REF!+#REF!+#REF!+#REF!+#REF!+#REF!+#REF!+#REF!+#REF!+#REF!+#REF!+#REF!</f>
        <v>#REF!</v>
      </c>
      <c r="D18" s="5" t="e">
        <f>#REF!+#REF!+#REF!+#REF!+#REF!+#REF!+#REF!+#REF!+#REF!+#REF!+#REF!+#REF!+#REF!+#REF!</f>
        <v>#REF!</v>
      </c>
      <c r="E18" s="5" t="e">
        <f>#REF!+#REF!+#REF!+#REF!+#REF!+#REF!+#REF!+#REF!+#REF!+#REF!+#REF!+#REF!+#REF!+#REF!</f>
        <v>#REF!</v>
      </c>
      <c r="F18" s="5" t="e">
        <f>#REF!+#REF!+#REF!+#REF!+#REF!+#REF!+#REF!+#REF!+#REF!+#REF!+#REF!+#REF!+#REF!+#REF!</f>
        <v>#REF!</v>
      </c>
      <c r="G18" s="5" t="e">
        <f>#REF!+#REF!+#REF!+#REF!+#REF!+#REF!+#REF!+#REF!+#REF!+#REF!+#REF!+#REF!+#REF!+#REF!</f>
        <v>#REF!</v>
      </c>
      <c r="H18" s="5" t="e">
        <f>#REF!+#REF!+#REF!+#REF!+#REF!+#REF!+#REF!+#REF!+#REF!+#REF!+#REF!+#REF!+#REF!+#REF!</f>
        <v>#REF!</v>
      </c>
      <c r="I18" s="5" t="e">
        <f>#REF!+#REF!+#REF!+#REF!+#REF!+#REF!+#REF!+#REF!+#REF!+#REF!+#REF!+#REF!+#REF!+#REF!</f>
        <v>#REF!</v>
      </c>
      <c r="J18" s="5" t="e">
        <f>#REF!+#REF!+#REF!+#REF!+#REF!+#REF!+#REF!+#REF!+#REF!+#REF!+#REF!+#REF!+#REF!+#REF!</f>
        <v>#REF!</v>
      </c>
      <c r="K18" s="5" t="e">
        <f>#REF!+#REF!+#REF!+#REF!+#REF!+#REF!+#REF!+#REF!+#REF!+#REF!+#REF!+#REF!+#REF!+#REF!</f>
        <v>#REF!</v>
      </c>
      <c r="L18" s="5" t="e">
        <f>#REF!+#REF!+#REF!+#REF!+#REF!+#REF!+#REF!+#REF!+#REF!+#REF!+#REF!+#REF!+#REF!+#REF!</f>
        <v>#REF!</v>
      </c>
      <c r="M18" s="5" t="e">
        <f>#REF!+#REF!+#REF!+#REF!+#REF!+#REF!+#REF!+#REF!+#REF!+#REF!+#REF!+#REF!+#REF!+#REF!</f>
        <v>#REF!</v>
      </c>
      <c r="N18" s="5" t="e">
        <f>#REF!+#REF!+#REF!+#REF!+#REF!+#REF!+#REF!+#REF!+#REF!+#REF!+#REF!+#REF!+#REF!+#REF!</f>
        <v>#REF!</v>
      </c>
      <c r="O18" s="5" t="e">
        <f>#REF!+#REF!+#REF!+#REF!+#REF!+#REF!+#REF!+#REF!+#REF!+#REF!+#REF!+#REF!+#REF!+#REF!</f>
        <v>#REF!</v>
      </c>
      <c r="P18" s="5" t="e">
        <f>#REF!+#REF!+#REF!+#REF!+#REF!+#REF!+#REF!+#REF!+#REF!+#REF!+#REF!+#REF!+#REF!+#REF!</f>
        <v>#REF!</v>
      </c>
      <c r="Q18" s="5" t="e">
        <f>#REF!+#REF!+#REF!+#REF!+#REF!+#REF!+#REF!+#REF!+#REF!+#REF!+#REF!+#REF!+#REF!+#REF!</f>
        <v>#REF!</v>
      </c>
      <c r="R18" s="5" t="e">
        <f>#REF!+#REF!+#REF!+#REF!+#REF!+#REF!+#REF!+#REF!+#REF!+#REF!+#REF!+#REF!+#REF!+#REF!</f>
        <v>#REF!</v>
      </c>
      <c r="S18" s="5"/>
      <c r="T18" s="2"/>
      <c r="U18" s="2"/>
      <c r="V18" s="2"/>
      <c r="W18" s="2"/>
      <c r="X18" s="2"/>
      <c r="Y18" s="2"/>
      <c r="Z18" s="2"/>
      <c r="AA18" s="2"/>
      <c r="AB18" s="2"/>
    </row>
    <row r="19" spans="1:28" x14ac:dyDescent="0.25">
      <c r="A19" s="1" t="s">
        <v>33</v>
      </c>
      <c r="B19" s="1" t="str">
        <f>VLOOKUP(A19,[15]LISTADHERENT!A$5:H$60,3,0)</f>
        <v>KOUAMOU MOISE</v>
      </c>
      <c r="C19" s="5" t="e">
        <f>#REF!+#REF!+#REF!+#REF!+#REF!+#REF!+#REF!+#REF!+#REF!+#REF!+#REF!+#REF!+#REF!+#REF!</f>
        <v>#REF!</v>
      </c>
      <c r="D19" s="5" t="e">
        <f>#REF!+#REF!+#REF!+#REF!+#REF!+#REF!+#REF!+#REF!+#REF!+#REF!+#REF!+#REF!+#REF!+#REF!</f>
        <v>#REF!</v>
      </c>
      <c r="E19" s="5" t="e">
        <f>#REF!+#REF!+#REF!+#REF!+#REF!+#REF!+#REF!+#REF!+#REF!+#REF!+#REF!+#REF!+#REF!+#REF!</f>
        <v>#REF!</v>
      </c>
      <c r="F19" s="5" t="e">
        <f>#REF!+#REF!+#REF!+#REF!+#REF!+#REF!+#REF!+#REF!+#REF!+#REF!+#REF!+#REF!+#REF!+#REF!</f>
        <v>#REF!</v>
      </c>
      <c r="G19" s="5" t="e">
        <f>#REF!+#REF!+#REF!+#REF!+#REF!+#REF!+#REF!+#REF!+#REF!+#REF!+#REF!+#REF!+#REF!+#REF!</f>
        <v>#REF!</v>
      </c>
      <c r="H19" s="5" t="e">
        <f>#REF!+#REF!+#REF!+#REF!+#REF!+#REF!+#REF!+#REF!+#REF!+#REF!+#REF!+#REF!+#REF!+#REF!</f>
        <v>#REF!</v>
      </c>
      <c r="I19" s="5" t="e">
        <f>#REF!+#REF!+#REF!+#REF!+#REF!+#REF!+#REF!+#REF!+#REF!+#REF!+#REF!+#REF!+#REF!+#REF!</f>
        <v>#REF!</v>
      </c>
      <c r="J19" s="5" t="e">
        <f>#REF!+#REF!+#REF!+#REF!+#REF!+#REF!+#REF!+#REF!+#REF!+#REF!+#REF!+#REF!+#REF!+#REF!</f>
        <v>#REF!</v>
      </c>
      <c r="K19" s="5" t="e">
        <f>#REF!+#REF!+#REF!+#REF!+#REF!+#REF!+#REF!+#REF!+#REF!+#REF!+#REF!+#REF!+#REF!+#REF!</f>
        <v>#REF!</v>
      </c>
      <c r="L19" s="5" t="e">
        <f>#REF!+#REF!+#REF!+#REF!+#REF!+#REF!+#REF!+#REF!+#REF!+#REF!+#REF!+#REF!+#REF!+#REF!</f>
        <v>#REF!</v>
      </c>
      <c r="M19" s="5" t="e">
        <f>#REF!+#REF!+#REF!+#REF!+#REF!+#REF!+#REF!+#REF!+#REF!+#REF!+#REF!+#REF!+#REF!+#REF!</f>
        <v>#REF!</v>
      </c>
      <c r="N19" s="5" t="e">
        <f>#REF!+#REF!+#REF!+#REF!+#REF!+#REF!+#REF!+#REF!+#REF!+#REF!+#REF!+#REF!+#REF!+#REF!</f>
        <v>#REF!</v>
      </c>
      <c r="O19" s="5" t="e">
        <f>#REF!+#REF!+#REF!+#REF!+#REF!+#REF!+#REF!+#REF!+#REF!+#REF!+#REF!+#REF!+#REF!+#REF!</f>
        <v>#REF!</v>
      </c>
      <c r="P19" s="5" t="e">
        <f>#REF!+#REF!+#REF!+#REF!+#REF!+#REF!+#REF!+#REF!+#REF!+#REF!+#REF!+#REF!+#REF!+#REF!</f>
        <v>#REF!</v>
      </c>
      <c r="Q19" s="5" t="e">
        <f>#REF!+#REF!+#REF!+#REF!+#REF!+#REF!+#REF!+#REF!+#REF!+#REF!+#REF!+#REF!+#REF!+#REF!</f>
        <v>#REF!</v>
      </c>
      <c r="R19" s="5" t="e">
        <f>#REF!+#REF!+#REF!+#REF!+#REF!+#REF!+#REF!+#REF!+#REF!+#REF!+#REF!+#REF!+#REF!+#REF!</f>
        <v>#REF!</v>
      </c>
      <c r="S19" s="5"/>
      <c r="T19" s="2"/>
      <c r="U19" s="2"/>
      <c r="V19" s="2"/>
      <c r="W19" s="2"/>
      <c r="X19" s="2"/>
      <c r="Y19" s="2"/>
      <c r="Z19" s="2"/>
      <c r="AA19" s="2"/>
      <c r="AB19" s="2"/>
    </row>
    <row r="20" spans="1:28" x14ac:dyDescent="0.25">
      <c r="A20" s="1" t="s">
        <v>35</v>
      </c>
      <c r="B20" s="1" t="str">
        <f>VLOOKUP(A20,[15]LISTADHERENT!A$5:H$60,3,0)</f>
        <v>KOUATCHO MESSACK</v>
      </c>
      <c r="C20" s="5" t="e">
        <f>#REF!+#REF!+#REF!+#REF!+#REF!+#REF!+#REF!+#REF!+#REF!+#REF!+#REF!+#REF!+#REF!+#REF!</f>
        <v>#REF!</v>
      </c>
      <c r="D20" s="5" t="e">
        <f>#REF!+#REF!+#REF!+#REF!+#REF!+#REF!+#REF!+#REF!+#REF!+#REF!+#REF!+#REF!+#REF!+#REF!</f>
        <v>#REF!</v>
      </c>
      <c r="E20" s="5" t="e">
        <f>#REF!+#REF!+#REF!+#REF!+#REF!+#REF!+#REF!+#REF!+#REF!+#REF!+#REF!+#REF!+#REF!+#REF!</f>
        <v>#REF!</v>
      </c>
      <c r="F20" s="5" t="e">
        <f>#REF!+#REF!+#REF!+#REF!+#REF!+#REF!+#REF!+#REF!+#REF!+#REF!+#REF!+#REF!+#REF!+#REF!</f>
        <v>#REF!</v>
      </c>
      <c r="G20" s="5" t="e">
        <f>#REF!+#REF!+#REF!+#REF!+#REF!+#REF!+#REF!+#REF!+#REF!+#REF!+#REF!+#REF!+#REF!+#REF!</f>
        <v>#REF!</v>
      </c>
      <c r="H20" s="5" t="e">
        <f>#REF!+#REF!+#REF!+#REF!+#REF!+#REF!+#REF!+#REF!+#REF!+#REF!+#REF!+#REF!+#REF!+#REF!</f>
        <v>#REF!</v>
      </c>
      <c r="I20" s="5" t="e">
        <f>#REF!+#REF!+#REF!+#REF!+#REF!+#REF!+#REF!+#REF!+#REF!+#REF!+#REF!+#REF!+#REF!+#REF!</f>
        <v>#REF!</v>
      </c>
      <c r="J20" s="5" t="e">
        <f>#REF!+#REF!+#REF!+#REF!+#REF!+#REF!+#REF!+#REF!+#REF!+#REF!+#REF!+#REF!+#REF!+#REF!</f>
        <v>#REF!</v>
      </c>
      <c r="K20" s="5" t="e">
        <f>#REF!+#REF!+#REF!+#REF!+#REF!+#REF!+#REF!+#REF!+#REF!+#REF!+#REF!+#REF!+#REF!+#REF!</f>
        <v>#REF!</v>
      </c>
      <c r="L20" s="5" t="e">
        <f>#REF!+#REF!+#REF!+#REF!+#REF!+#REF!+#REF!+#REF!+#REF!+#REF!+#REF!+#REF!+#REF!+#REF!</f>
        <v>#REF!</v>
      </c>
      <c r="M20" s="5" t="e">
        <f>#REF!+#REF!+#REF!+#REF!+#REF!+#REF!+#REF!+#REF!+#REF!+#REF!+#REF!+#REF!+#REF!+#REF!</f>
        <v>#REF!</v>
      </c>
      <c r="N20" s="5" t="e">
        <f>#REF!+#REF!+#REF!+#REF!+#REF!+#REF!+#REF!+#REF!+#REF!+#REF!+#REF!+#REF!+#REF!+#REF!</f>
        <v>#REF!</v>
      </c>
      <c r="O20" s="5" t="e">
        <f>#REF!+#REF!+#REF!+#REF!+#REF!+#REF!+#REF!+#REF!+#REF!+#REF!+#REF!+#REF!+#REF!+#REF!</f>
        <v>#REF!</v>
      </c>
      <c r="P20" s="5" t="e">
        <f>#REF!+#REF!+#REF!+#REF!+#REF!+#REF!+#REF!+#REF!+#REF!+#REF!+#REF!+#REF!+#REF!+#REF!</f>
        <v>#REF!</v>
      </c>
      <c r="Q20" s="5" t="e">
        <f>#REF!+#REF!+#REF!+#REF!+#REF!+#REF!+#REF!+#REF!+#REF!+#REF!+#REF!+#REF!+#REF!+#REF!</f>
        <v>#REF!</v>
      </c>
      <c r="R20" s="5" t="e">
        <f>#REF!+#REF!+#REF!+#REF!+#REF!+#REF!+#REF!+#REF!+#REF!+#REF!+#REF!+#REF!+#REF!+#REF!</f>
        <v>#REF!</v>
      </c>
      <c r="S20" s="5"/>
      <c r="T20" s="2"/>
      <c r="U20" s="2"/>
      <c r="V20" s="2"/>
      <c r="W20" s="2"/>
      <c r="X20" s="2"/>
      <c r="Y20" s="2"/>
      <c r="Z20" s="2"/>
      <c r="AA20" s="2"/>
      <c r="AB20" s="2"/>
    </row>
    <row r="21" spans="1:28" x14ac:dyDescent="0.25">
      <c r="A21" s="1" t="s">
        <v>36</v>
      </c>
      <c r="B21" s="1" t="str">
        <f>VLOOKUP(A21,[15]LISTADHERENT!A$5:H$60,3,0)</f>
        <v>LOWE JEAN</v>
      </c>
      <c r="C21" s="5" t="e">
        <f>#REF!+#REF!+#REF!+#REF!+#REF!+#REF!+#REF!+#REF!+#REF!+#REF!+#REF!+#REF!+#REF!+#REF!</f>
        <v>#REF!</v>
      </c>
      <c r="D21" s="5" t="e">
        <f>#REF!+#REF!+#REF!+#REF!+#REF!+#REF!+#REF!+#REF!+#REF!+#REF!+#REF!+#REF!+#REF!+#REF!</f>
        <v>#REF!</v>
      </c>
      <c r="E21" s="5" t="e">
        <f>#REF!+#REF!+#REF!+#REF!+#REF!+#REF!+#REF!+#REF!+#REF!+#REF!+#REF!+#REF!+#REF!+#REF!</f>
        <v>#REF!</v>
      </c>
      <c r="F21" s="5" t="e">
        <f>#REF!+#REF!+#REF!+#REF!+#REF!+#REF!+#REF!+#REF!+#REF!+#REF!+#REF!+#REF!+#REF!+#REF!</f>
        <v>#REF!</v>
      </c>
      <c r="G21" s="5" t="e">
        <f>#REF!+#REF!+#REF!+#REF!+#REF!+#REF!+#REF!+#REF!+#REF!+#REF!+#REF!+#REF!+#REF!+#REF!</f>
        <v>#REF!</v>
      </c>
      <c r="H21" s="5" t="e">
        <f>#REF!+#REF!+#REF!+#REF!+#REF!+#REF!+#REF!+#REF!+#REF!+#REF!+#REF!+#REF!+#REF!+#REF!</f>
        <v>#REF!</v>
      </c>
      <c r="I21" s="5" t="e">
        <f>#REF!+#REF!+#REF!+#REF!+#REF!+#REF!+#REF!+#REF!+#REF!+#REF!+#REF!+#REF!+#REF!+#REF!</f>
        <v>#REF!</v>
      </c>
      <c r="J21" s="5" t="e">
        <f>#REF!+#REF!+#REF!+#REF!+#REF!+#REF!+#REF!+#REF!+#REF!+#REF!+#REF!+#REF!+#REF!+#REF!</f>
        <v>#REF!</v>
      </c>
      <c r="K21" s="5" t="e">
        <f>#REF!+#REF!+#REF!+#REF!+#REF!+#REF!+#REF!+#REF!+#REF!+#REF!+#REF!+#REF!+#REF!+#REF!</f>
        <v>#REF!</v>
      </c>
      <c r="L21" s="5" t="e">
        <f>#REF!+#REF!+#REF!+#REF!+#REF!+#REF!+#REF!+#REF!+#REF!+#REF!+#REF!+#REF!+#REF!+#REF!</f>
        <v>#REF!</v>
      </c>
      <c r="M21" s="5" t="e">
        <f>#REF!+#REF!+#REF!+#REF!+#REF!+#REF!+#REF!+#REF!+#REF!+#REF!+#REF!+#REF!+#REF!+#REF!</f>
        <v>#REF!</v>
      </c>
      <c r="N21" s="5" t="e">
        <f>#REF!+#REF!+#REF!+#REF!+#REF!+#REF!+#REF!+#REF!+#REF!+#REF!+#REF!+#REF!+#REF!+#REF!</f>
        <v>#REF!</v>
      </c>
      <c r="O21" s="5" t="e">
        <f>#REF!+#REF!+#REF!+#REF!+#REF!+#REF!+#REF!+#REF!+#REF!+#REF!+#REF!+#REF!+#REF!+#REF!</f>
        <v>#REF!</v>
      </c>
      <c r="P21" s="5" t="e">
        <f>#REF!+#REF!+#REF!+#REF!+#REF!+#REF!+#REF!+#REF!+#REF!+#REF!+#REF!+#REF!+#REF!+#REF!</f>
        <v>#REF!</v>
      </c>
      <c r="Q21" s="5" t="e">
        <f>#REF!+#REF!+#REF!+#REF!+#REF!+#REF!+#REF!+#REF!+#REF!+#REF!+#REF!+#REF!+#REF!+#REF!</f>
        <v>#REF!</v>
      </c>
      <c r="R21" s="5" t="e">
        <f>#REF!+#REF!+#REF!+#REF!+#REF!+#REF!+#REF!+#REF!+#REF!+#REF!+#REF!+#REF!+#REF!+#REF!</f>
        <v>#REF!</v>
      </c>
      <c r="S21" s="5"/>
      <c r="T21" s="2"/>
      <c r="U21" s="2"/>
      <c r="V21" s="2"/>
      <c r="W21" s="2"/>
      <c r="X21" s="2"/>
      <c r="Y21" s="2"/>
      <c r="Z21" s="2"/>
      <c r="AA21" s="2"/>
      <c r="AB21" s="2"/>
    </row>
    <row r="22" spans="1:28" x14ac:dyDescent="0.25">
      <c r="A22" s="1" t="s">
        <v>75</v>
      </c>
      <c r="B22" s="1" t="str">
        <f>VLOOKUP(A22,[15]LISTADHERENT!A$5:H$60,3,0)</f>
        <v>MBOGNING TUGMA GUY</v>
      </c>
      <c r="C22" s="5" t="e">
        <f>#REF!+#REF!+#REF!+#REF!+#REF!+#REF!+#REF!+#REF!+#REF!+#REF!+#REF!+#REF!+#REF!+#REF!</f>
        <v>#REF!</v>
      </c>
      <c r="D22" s="5" t="e">
        <f>#REF!+#REF!+#REF!+#REF!+#REF!+#REF!+#REF!+#REF!+#REF!+#REF!+#REF!+#REF!+#REF!+#REF!</f>
        <v>#REF!</v>
      </c>
      <c r="E22" s="5" t="e">
        <f>#REF!+#REF!+#REF!+#REF!+#REF!+#REF!+#REF!+#REF!+#REF!+#REF!+#REF!+#REF!+#REF!+#REF!</f>
        <v>#REF!</v>
      </c>
      <c r="F22" s="5" t="e">
        <f>#REF!+#REF!+#REF!+#REF!+#REF!+#REF!+#REF!+#REF!+#REF!+#REF!+#REF!+#REF!+#REF!+#REF!</f>
        <v>#REF!</v>
      </c>
      <c r="G22" s="5" t="e">
        <f>#REF!+#REF!+#REF!+#REF!+#REF!+#REF!+#REF!+#REF!+#REF!+#REF!+#REF!+#REF!+#REF!+#REF!</f>
        <v>#REF!</v>
      </c>
      <c r="H22" s="5" t="e">
        <f>#REF!+#REF!+#REF!+#REF!+#REF!+#REF!+#REF!+#REF!+#REF!+#REF!+#REF!+#REF!+#REF!+#REF!</f>
        <v>#REF!</v>
      </c>
      <c r="I22" s="5" t="e">
        <f>#REF!+#REF!+#REF!+#REF!+#REF!+#REF!+#REF!+#REF!+#REF!+#REF!+#REF!+#REF!+#REF!+#REF!</f>
        <v>#REF!</v>
      </c>
      <c r="J22" s="5" t="e">
        <f>#REF!+#REF!+#REF!+#REF!+#REF!+#REF!+#REF!+#REF!+#REF!+#REF!+#REF!+#REF!+#REF!+#REF!</f>
        <v>#REF!</v>
      </c>
      <c r="K22" s="5" t="e">
        <f>#REF!+#REF!+#REF!+#REF!+#REF!+#REF!+#REF!+#REF!+#REF!+#REF!+#REF!+#REF!+#REF!+#REF!</f>
        <v>#REF!</v>
      </c>
      <c r="L22" s="5" t="e">
        <f>#REF!+#REF!+#REF!+#REF!+#REF!+#REF!+#REF!+#REF!+#REF!+#REF!+#REF!+#REF!+#REF!+#REF!</f>
        <v>#REF!</v>
      </c>
      <c r="M22" s="5" t="e">
        <f>#REF!+#REF!+#REF!+#REF!+#REF!+#REF!+#REF!+#REF!+#REF!+#REF!+#REF!+#REF!+#REF!+#REF!</f>
        <v>#REF!</v>
      </c>
      <c r="N22" s="5" t="e">
        <f>#REF!+#REF!+#REF!+#REF!+#REF!+#REF!+#REF!+#REF!+#REF!+#REF!+#REF!+#REF!+#REF!+#REF!</f>
        <v>#REF!</v>
      </c>
      <c r="O22" s="5" t="e">
        <f>#REF!+#REF!+#REF!+#REF!+#REF!+#REF!+#REF!+#REF!+#REF!+#REF!+#REF!+#REF!+#REF!+#REF!</f>
        <v>#REF!</v>
      </c>
      <c r="P22" s="5" t="e">
        <f>#REF!+#REF!+#REF!+#REF!+#REF!+#REF!+#REF!+#REF!+#REF!+#REF!+#REF!+#REF!+#REF!+#REF!</f>
        <v>#REF!</v>
      </c>
      <c r="Q22" s="5" t="e">
        <f>#REF!+#REF!+#REF!+#REF!+#REF!+#REF!+#REF!+#REF!+#REF!+#REF!+#REF!+#REF!+#REF!+#REF!</f>
        <v>#REF!</v>
      </c>
      <c r="R22" s="5" t="e">
        <f>#REF!+#REF!+#REF!+#REF!+#REF!+#REF!+#REF!+#REF!+#REF!+#REF!+#REF!+#REF!+#REF!+#REF!</f>
        <v>#REF!</v>
      </c>
      <c r="V22" s="2"/>
      <c r="W22" s="2"/>
      <c r="X22" s="2"/>
      <c r="Y22" s="2"/>
      <c r="Z22" s="2"/>
      <c r="AA22" s="2"/>
      <c r="AB22" s="2"/>
    </row>
    <row r="23" spans="1:28" x14ac:dyDescent="0.25">
      <c r="A23" s="1" t="s">
        <v>50</v>
      </c>
      <c r="B23" s="1" t="str">
        <f>VLOOKUP(A23,[15]LISTADHERENT!A$5:H$60,3,0)</f>
        <v>NANGUEN MARTIN</v>
      </c>
      <c r="C23" s="5" t="e">
        <f>#REF!+#REF!+#REF!+#REF!+#REF!+#REF!+#REF!+#REF!+#REF!+#REF!+#REF!+#REF!+#REF!+#REF!</f>
        <v>#REF!</v>
      </c>
      <c r="D23" s="5" t="e">
        <f>#REF!+#REF!+#REF!+#REF!+#REF!+#REF!+#REF!+#REF!+#REF!+#REF!+#REF!+#REF!+#REF!+#REF!</f>
        <v>#REF!</v>
      </c>
      <c r="E23" s="5" t="e">
        <f>#REF!+#REF!+#REF!+#REF!+#REF!+#REF!+#REF!+#REF!+#REF!+#REF!+#REF!+#REF!+#REF!+#REF!</f>
        <v>#REF!</v>
      </c>
      <c r="F23" s="5" t="e">
        <f>#REF!+#REF!+#REF!+#REF!+#REF!+#REF!+#REF!+#REF!+#REF!+#REF!+#REF!+#REF!+#REF!+#REF!</f>
        <v>#REF!</v>
      </c>
      <c r="G23" s="5" t="e">
        <f>#REF!+#REF!+#REF!+#REF!+#REF!+#REF!+#REF!+#REF!+#REF!+#REF!+#REF!+#REF!+#REF!+#REF!</f>
        <v>#REF!</v>
      </c>
      <c r="H23" s="5" t="e">
        <f>#REF!+#REF!+#REF!+#REF!+#REF!+#REF!+#REF!+#REF!+#REF!+#REF!+#REF!+#REF!+#REF!+#REF!</f>
        <v>#REF!</v>
      </c>
      <c r="I23" s="5" t="e">
        <f>#REF!+#REF!+#REF!+#REF!+#REF!+#REF!+#REF!+#REF!+#REF!+#REF!+#REF!+#REF!+#REF!+#REF!</f>
        <v>#REF!</v>
      </c>
      <c r="J23" s="5" t="e">
        <f>#REF!+#REF!+#REF!+#REF!+#REF!+#REF!+#REF!+#REF!+#REF!+#REF!+#REF!+#REF!+#REF!+#REF!</f>
        <v>#REF!</v>
      </c>
      <c r="K23" s="5" t="e">
        <f>#REF!+#REF!+#REF!+#REF!+#REF!+#REF!+#REF!+#REF!+#REF!+#REF!+#REF!+#REF!+#REF!+#REF!</f>
        <v>#REF!</v>
      </c>
      <c r="L23" s="5" t="e">
        <f>#REF!+#REF!+#REF!+#REF!+#REF!+#REF!+#REF!+#REF!+#REF!+#REF!+#REF!+#REF!+#REF!+#REF!</f>
        <v>#REF!</v>
      </c>
      <c r="M23" s="5" t="e">
        <f>#REF!+#REF!+#REF!+#REF!+#REF!+#REF!+#REF!+#REF!+#REF!+#REF!+#REF!+#REF!+#REF!+#REF!</f>
        <v>#REF!</v>
      </c>
      <c r="N23" s="5" t="e">
        <f>#REF!+#REF!+#REF!+#REF!+#REF!+#REF!+#REF!+#REF!+#REF!+#REF!+#REF!+#REF!+#REF!+#REF!</f>
        <v>#REF!</v>
      </c>
      <c r="O23" s="5" t="e">
        <f>#REF!+#REF!+#REF!+#REF!+#REF!+#REF!+#REF!+#REF!+#REF!+#REF!+#REF!+#REF!+#REF!+#REF!</f>
        <v>#REF!</v>
      </c>
      <c r="P23" s="5" t="e">
        <f>#REF!+#REF!+#REF!+#REF!+#REF!+#REF!+#REF!+#REF!+#REF!+#REF!+#REF!+#REF!+#REF!+#REF!</f>
        <v>#REF!</v>
      </c>
      <c r="Q23" s="5" t="e">
        <f>#REF!+#REF!+#REF!+#REF!+#REF!+#REF!+#REF!+#REF!+#REF!+#REF!+#REF!+#REF!+#REF!+#REF!</f>
        <v>#REF!</v>
      </c>
      <c r="R23" s="5" t="e">
        <f>#REF!+#REF!+#REF!+#REF!+#REF!+#REF!+#REF!+#REF!+#REF!+#REF!+#REF!+#REF!+#REF!+#REF!</f>
        <v>#REF!</v>
      </c>
      <c r="S23" s="5"/>
      <c r="T23" s="2"/>
      <c r="U23" s="2"/>
      <c r="V23" s="2"/>
      <c r="W23" s="2"/>
      <c r="X23" s="2"/>
      <c r="Y23" s="2"/>
      <c r="Z23" s="2"/>
      <c r="AA23" s="2"/>
      <c r="AB23" s="2"/>
    </row>
    <row r="24" spans="1:28" x14ac:dyDescent="0.25">
      <c r="A24" s="1" t="s">
        <v>37</v>
      </c>
      <c r="B24" s="1" t="str">
        <f>VLOOKUP(A24,[15]LISTADHERENT!A$5:H$60,3,0)</f>
        <v>NANKAM APPOLINAIRE</v>
      </c>
      <c r="C24" s="5" t="e">
        <f>#REF!+#REF!+#REF!+#REF!+#REF!+#REF!+#REF!+#REF!+#REF!+#REF!+#REF!+#REF!+#REF!+#REF!</f>
        <v>#REF!</v>
      </c>
      <c r="D24" s="5" t="e">
        <f>#REF!+#REF!+#REF!+#REF!+#REF!+#REF!+#REF!+#REF!+#REF!+#REF!+#REF!+#REF!+#REF!+#REF!</f>
        <v>#REF!</v>
      </c>
      <c r="E24" s="5" t="e">
        <f>#REF!+#REF!+#REF!+#REF!+#REF!+#REF!+#REF!+#REF!+#REF!+#REF!+#REF!+#REF!+#REF!+#REF!</f>
        <v>#REF!</v>
      </c>
      <c r="F24" s="5" t="e">
        <f>#REF!+#REF!+#REF!+#REF!+#REF!+#REF!+#REF!+#REF!+#REF!+#REF!+#REF!+#REF!+#REF!+#REF!</f>
        <v>#REF!</v>
      </c>
      <c r="G24" s="5" t="e">
        <f>#REF!+#REF!+#REF!+#REF!+#REF!+#REF!+#REF!+#REF!+#REF!+#REF!+#REF!+#REF!+#REF!+#REF!</f>
        <v>#REF!</v>
      </c>
      <c r="H24" s="5" t="e">
        <f>#REF!+#REF!+#REF!+#REF!+#REF!+#REF!+#REF!+#REF!+#REF!+#REF!+#REF!+#REF!+#REF!+#REF!</f>
        <v>#REF!</v>
      </c>
      <c r="I24" s="5" t="e">
        <f>#REF!+#REF!+#REF!+#REF!+#REF!+#REF!+#REF!+#REF!+#REF!+#REF!+#REF!+#REF!+#REF!+#REF!</f>
        <v>#REF!</v>
      </c>
      <c r="J24" s="5" t="e">
        <f>#REF!+#REF!+#REF!+#REF!+#REF!+#REF!+#REF!+#REF!+#REF!+#REF!+#REF!+#REF!+#REF!+#REF!</f>
        <v>#REF!</v>
      </c>
      <c r="K24" s="5" t="e">
        <f>#REF!+#REF!+#REF!+#REF!+#REF!+#REF!+#REF!+#REF!+#REF!+#REF!+#REF!+#REF!+#REF!+#REF!</f>
        <v>#REF!</v>
      </c>
      <c r="L24" s="5" t="e">
        <f>#REF!+#REF!+#REF!+#REF!+#REF!+#REF!+#REF!+#REF!+#REF!+#REF!+#REF!+#REF!+#REF!+#REF!</f>
        <v>#REF!</v>
      </c>
      <c r="M24" s="5" t="e">
        <f>#REF!+#REF!+#REF!+#REF!+#REF!+#REF!+#REF!+#REF!+#REF!+#REF!+#REF!+#REF!+#REF!+#REF!</f>
        <v>#REF!</v>
      </c>
      <c r="N24" s="5" t="e">
        <f>#REF!+#REF!+#REF!+#REF!+#REF!+#REF!+#REF!+#REF!+#REF!+#REF!+#REF!+#REF!+#REF!+#REF!</f>
        <v>#REF!</v>
      </c>
      <c r="O24" s="5" t="e">
        <f>#REF!+#REF!+#REF!+#REF!+#REF!+#REF!+#REF!+#REF!+#REF!+#REF!+#REF!+#REF!+#REF!+#REF!</f>
        <v>#REF!</v>
      </c>
      <c r="P24" s="5" t="e">
        <f>#REF!+#REF!+#REF!+#REF!+#REF!+#REF!+#REF!+#REF!+#REF!+#REF!+#REF!+#REF!+#REF!+#REF!</f>
        <v>#REF!</v>
      </c>
      <c r="Q24" s="5" t="e">
        <f>#REF!+#REF!+#REF!+#REF!+#REF!+#REF!+#REF!+#REF!+#REF!+#REF!+#REF!+#REF!+#REF!+#REF!</f>
        <v>#REF!</v>
      </c>
      <c r="R24" s="5" t="e">
        <f>#REF!+#REF!+#REF!+#REF!+#REF!+#REF!+#REF!+#REF!+#REF!+#REF!+#REF!+#REF!+#REF!+#REF!</f>
        <v>#REF!</v>
      </c>
      <c r="S24" s="5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1" t="s">
        <v>38</v>
      </c>
      <c r="B25" s="1" t="str">
        <f>VLOOKUP(A25,[15]LISTADHERENT!A$5:H$60,3,0)</f>
        <v>NDJOMO ETIENNE</v>
      </c>
      <c r="C25" s="5" t="e">
        <f>#REF!+#REF!+#REF!+#REF!+#REF!+#REF!+#REF!+#REF!+#REF!+#REF!+#REF!+#REF!+#REF!+#REF!</f>
        <v>#REF!</v>
      </c>
      <c r="D25" s="5" t="e">
        <f>#REF!+#REF!+#REF!+#REF!+#REF!+#REF!+#REF!+#REF!+#REF!+#REF!+#REF!+#REF!+#REF!+#REF!</f>
        <v>#REF!</v>
      </c>
      <c r="E25" s="5" t="e">
        <f>#REF!+#REF!+#REF!+#REF!+#REF!+#REF!+#REF!+#REF!+#REF!+#REF!+#REF!+#REF!+#REF!+#REF!</f>
        <v>#REF!</v>
      </c>
      <c r="F25" s="5" t="e">
        <f>#REF!+#REF!+#REF!+#REF!+#REF!+#REF!+#REF!+#REF!+#REF!+#REF!+#REF!+#REF!+#REF!+#REF!</f>
        <v>#REF!</v>
      </c>
      <c r="G25" s="5" t="e">
        <f>#REF!+#REF!+#REF!+#REF!+#REF!+#REF!+#REF!+#REF!+#REF!+#REF!+#REF!+#REF!+#REF!+#REF!</f>
        <v>#REF!</v>
      </c>
      <c r="H25" s="5" t="e">
        <f>#REF!+#REF!+#REF!+#REF!+#REF!+#REF!+#REF!+#REF!+#REF!+#REF!+#REF!+#REF!+#REF!+#REF!</f>
        <v>#REF!</v>
      </c>
      <c r="I25" s="5" t="e">
        <f>#REF!+#REF!+#REF!+#REF!+#REF!+#REF!+#REF!+#REF!+#REF!+#REF!+#REF!+#REF!+#REF!+#REF!</f>
        <v>#REF!</v>
      </c>
      <c r="J25" s="5" t="e">
        <f>#REF!+#REF!+#REF!+#REF!+#REF!+#REF!+#REF!+#REF!+#REF!+#REF!+#REF!+#REF!+#REF!+#REF!</f>
        <v>#REF!</v>
      </c>
      <c r="K25" s="5" t="e">
        <f>#REF!+#REF!+#REF!+#REF!+#REF!+#REF!+#REF!+#REF!+#REF!+#REF!+#REF!+#REF!+#REF!+#REF!</f>
        <v>#REF!</v>
      </c>
      <c r="L25" s="5" t="e">
        <f>#REF!+#REF!+#REF!+#REF!+#REF!+#REF!+#REF!+#REF!+#REF!+#REF!+#REF!+#REF!+#REF!+#REF!</f>
        <v>#REF!</v>
      </c>
      <c r="M25" s="5" t="e">
        <f>#REF!+#REF!+#REF!+#REF!+#REF!+#REF!+#REF!+#REF!+#REF!+#REF!+#REF!+#REF!+#REF!+#REF!</f>
        <v>#REF!</v>
      </c>
      <c r="N25" s="5" t="e">
        <f>#REF!+#REF!+#REF!+#REF!+#REF!+#REF!+#REF!+#REF!+#REF!+#REF!+#REF!+#REF!+#REF!+#REF!</f>
        <v>#REF!</v>
      </c>
      <c r="O25" s="5" t="e">
        <f>#REF!+#REF!+#REF!+#REF!+#REF!+#REF!+#REF!+#REF!+#REF!+#REF!+#REF!+#REF!+#REF!+#REF!</f>
        <v>#REF!</v>
      </c>
      <c r="P25" s="5" t="e">
        <f>#REF!+#REF!+#REF!+#REF!+#REF!+#REF!+#REF!+#REF!+#REF!+#REF!+#REF!+#REF!+#REF!+#REF!</f>
        <v>#REF!</v>
      </c>
      <c r="Q25" s="5" t="e">
        <f>#REF!+#REF!+#REF!+#REF!+#REF!+#REF!+#REF!+#REF!+#REF!+#REF!+#REF!+#REF!+#REF!+#REF!</f>
        <v>#REF!</v>
      </c>
      <c r="R25" s="5" t="e">
        <f>#REF!+#REF!+#REF!+#REF!+#REF!+#REF!+#REF!+#REF!+#REF!+#REF!+#REF!+#REF!+#REF!+#REF!</f>
        <v>#REF!</v>
      </c>
      <c r="S25" s="5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A26" s="1" t="s">
        <v>39</v>
      </c>
      <c r="B26" s="1" t="str">
        <f>VLOOKUP(A26,[15]LISTADHERENT!A$5:H$60,3,0)</f>
        <v>NGONDIEP CLAUDE</v>
      </c>
      <c r="C26" s="5" t="e">
        <f>#REF!+#REF!+#REF!+#REF!+#REF!+#REF!+#REF!+#REF!+#REF!+#REF!+#REF!+#REF!+#REF!+#REF!</f>
        <v>#REF!</v>
      </c>
      <c r="D26" s="5" t="e">
        <f>#REF!+#REF!+#REF!+#REF!+#REF!+#REF!+#REF!+#REF!+#REF!+#REF!+#REF!+#REF!+#REF!+#REF!</f>
        <v>#REF!</v>
      </c>
      <c r="E26" s="5" t="e">
        <f>#REF!+#REF!+#REF!+#REF!+#REF!+#REF!+#REF!+#REF!+#REF!+#REF!+#REF!+#REF!+#REF!+#REF!</f>
        <v>#REF!</v>
      </c>
      <c r="F26" s="5" t="e">
        <f>#REF!+#REF!+#REF!+#REF!+#REF!+#REF!+#REF!+#REF!+#REF!+#REF!+#REF!+#REF!+#REF!+#REF!</f>
        <v>#REF!</v>
      </c>
      <c r="G26" s="5" t="e">
        <f>#REF!+#REF!+#REF!+#REF!+#REF!+#REF!+#REF!+#REF!+#REF!+#REF!+#REF!+#REF!+#REF!+#REF!</f>
        <v>#REF!</v>
      </c>
      <c r="H26" s="5" t="e">
        <f>#REF!+#REF!+#REF!+#REF!+#REF!+#REF!+#REF!+#REF!+#REF!+#REF!+#REF!+#REF!+#REF!+#REF!</f>
        <v>#REF!</v>
      </c>
      <c r="I26" s="5" t="e">
        <f>#REF!+#REF!+#REF!+#REF!+#REF!+#REF!+#REF!+#REF!+#REF!+#REF!+#REF!+#REF!+#REF!+#REF!</f>
        <v>#REF!</v>
      </c>
      <c r="J26" s="5" t="e">
        <f>#REF!+#REF!+#REF!+#REF!+#REF!+#REF!+#REF!+#REF!+#REF!+#REF!+#REF!+#REF!+#REF!+#REF!</f>
        <v>#REF!</v>
      </c>
      <c r="K26" s="5" t="e">
        <f>#REF!+#REF!+#REF!+#REF!+#REF!+#REF!+#REF!+#REF!+#REF!+#REF!+#REF!+#REF!+#REF!+#REF!</f>
        <v>#REF!</v>
      </c>
      <c r="L26" s="5" t="e">
        <f>#REF!+#REF!+#REF!+#REF!+#REF!+#REF!+#REF!+#REF!+#REF!+#REF!+#REF!+#REF!+#REF!+#REF!</f>
        <v>#REF!</v>
      </c>
      <c r="M26" s="5" t="e">
        <f>#REF!+#REF!+#REF!+#REF!+#REF!+#REF!+#REF!+#REF!+#REF!+#REF!+#REF!+#REF!+#REF!+#REF!</f>
        <v>#REF!</v>
      </c>
      <c r="N26" s="5" t="e">
        <f>#REF!+#REF!+#REF!+#REF!+#REF!+#REF!+#REF!+#REF!+#REF!+#REF!+#REF!+#REF!+#REF!+#REF!</f>
        <v>#REF!</v>
      </c>
      <c r="O26" s="5" t="e">
        <f>#REF!+#REF!+#REF!+#REF!+#REF!+#REF!+#REF!+#REF!+#REF!+#REF!+#REF!+#REF!+#REF!+#REF!</f>
        <v>#REF!</v>
      </c>
      <c r="P26" s="5" t="e">
        <f>#REF!+#REF!+#REF!+#REF!+#REF!+#REF!+#REF!+#REF!+#REF!+#REF!+#REF!+#REF!+#REF!+#REF!</f>
        <v>#REF!</v>
      </c>
      <c r="Q26" s="5" t="e">
        <f>#REF!+#REF!+#REF!+#REF!+#REF!+#REF!+#REF!+#REF!+#REF!+#REF!+#REF!+#REF!+#REF!+#REF!</f>
        <v>#REF!</v>
      </c>
      <c r="R26" s="5" t="e">
        <f>#REF!+#REF!+#REF!+#REF!+#REF!+#REF!+#REF!+#REF!+#REF!+#REF!+#REF!+#REF!+#REF!+#REF!</f>
        <v>#REF!</v>
      </c>
      <c r="S26" s="5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5">
      <c r="A27" s="1" t="s">
        <v>41</v>
      </c>
      <c r="B27" s="1" t="str">
        <f>VLOOKUP(A27,[15]LISTADHERENT!A$5:H$60,3,0)</f>
        <v>NGUIEMEGNI MATHIEU BLAISE</v>
      </c>
      <c r="C27" s="5" t="e">
        <f>#REF!+#REF!+#REF!+#REF!+#REF!+#REF!+#REF!+#REF!+#REF!+#REF!+#REF!+#REF!+#REF!+#REF!</f>
        <v>#REF!</v>
      </c>
      <c r="D27" s="5" t="e">
        <f>#REF!+#REF!+#REF!+#REF!+#REF!+#REF!+#REF!+#REF!+#REF!+#REF!+#REF!+#REF!+#REF!+#REF!</f>
        <v>#REF!</v>
      </c>
      <c r="E27" s="5" t="e">
        <f>#REF!+#REF!+#REF!+#REF!+#REF!+#REF!+#REF!+#REF!+#REF!+#REF!+#REF!+#REF!+#REF!+#REF!</f>
        <v>#REF!</v>
      </c>
      <c r="F27" s="5" t="e">
        <f>#REF!+#REF!+#REF!+#REF!+#REF!+#REF!+#REF!+#REF!+#REF!+#REF!+#REF!+#REF!+#REF!+#REF!</f>
        <v>#REF!</v>
      </c>
      <c r="G27" s="5" t="e">
        <f>#REF!+#REF!+#REF!+#REF!+#REF!+#REF!+#REF!+#REF!+#REF!+#REF!+#REF!+#REF!+#REF!+#REF!</f>
        <v>#REF!</v>
      </c>
      <c r="H27" s="5" t="e">
        <f>#REF!+#REF!+#REF!+#REF!+#REF!+#REF!+#REF!+#REF!+#REF!+#REF!+#REF!+#REF!+#REF!+#REF!</f>
        <v>#REF!</v>
      </c>
      <c r="I27" s="5" t="e">
        <f>#REF!+#REF!+#REF!+#REF!+#REF!+#REF!+#REF!+#REF!+#REF!+#REF!+#REF!+#REF!+#REF!+#REF!</f>
        <v>#REF!</v>
      </c>
      <c r="J27" s="5" t="e">
        <f>#REF!+#REF!+#REF!+#REF!+#REF!+#REF!+#REF!+#REF!+#REF!+#REF!+#REF!+#REF!+#REF!+#REF!</f>
        <v>#REF!</v>
      </c>
      <c r="K27" s="5" t="e">
        <f>#REF!+#REF!+#REF!+#REF!+#REF!+#REF!+#REF!+#REF!+#REF!+#REF!+#REF!+#REF!+#REF!+#REF!</f>
        <v>#REF!</v>
      </c>
      <c r="L27" s="5" t="e">
        <f>#REF!+#REF!+#REF!+#REF!+#REF!+#REF!+#REF!+#REF!+#REF!+#REF!+#REF!+#REF!+#REF!+#REF!</f>
        <v>#REF!</v>
      </c>
      <c r="M27" s="5" t="e">
        <f>#REF!+#REF!+#REF!+#REF!+#REF!+#REF!+#REF!+#REF!+#REF!+#REF!+#REF!+#REF!+#REF!+#REF!</f>
        <v>#REF!</v>
      </c>
      <c r="N27" s="5" t="e">
        <f>#REF!+#REF!+#REF!+#REF!+#REF!+#REF!+#REF!+#REF!+#REF!+#REF!+#REF!+#REF!+#REF!+#REF!</f>
        <v>#REF!</v>
      </c>
      <c r="O27" s="5" t="e">
        <f>#REF!+#REF!+#REF!+#REF!+#REF!+#REF!+#REF!+#REF!+#REF!+#REF!+#REF!+#REF!+#REF!+#REF!</f>
        <v>#REF!</v>
      </c>
      <c r="P27" s="5" t="e">
        <f>#REF!+#REF!+#REF!+#REF!+#REF!+#REF!+#REF!+#REF!+#REF!+#REF!+#REF!+#REF!+#REF!+#REF!</f>
        <v>#REF!</v>
      </c>
      <c r="Q27" s="5" t="e">
        <f>#REF!+#REF!+#REF!+#REF!+#REF!+#REF!+#REF!+#REF!+#REF!+#REF!+#REF!+#REF!+#REF!+#REF!</f>
        <v>#REF!</v>
      </c>
      <c r="R27" s="5" t="e">
        <f>#REF!+#REF!+#REF!+#REF!+#REF!+#REF!+#REF!+#REF!+#REF!+#REF!+#REF!+#REF!+#REF!+#REF!</f>
        <v>#REF!</v>
      </c>
      <c r="S27" s="5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A28" s="1" t="s">
        <v>43</v>
      </c>
      <c r="B28" s="1" t="str">
        <f>VLOOKUP(A28,[15]LISTADHERENT!A$5:H$60,3,0)</f>
        <v>NKAMGANG JUSTIN DEJOLIE</v>
      </c>
      <c r="C28" s="5" t="e">
        <f>#REF!+#REF!+#REF!+#REF!+#REF!+#REF!+#REF!+#REF!+#REF!+#REF!+#REF!+#REF!+#REF!+#REF!</f>
        <v>#REF!</v>
      </c>
      <c r="D28" s="5" t="e">
        <f>#REF!+#REF!+#REF!+#REF!+#REF!+#REF!+#REF!+#REF!+#REF!+#REF!+#REF!+#REF!+#REF!+#REF!</f>
        <v>#REF!</v>
      </c>
      <c r="E28" s="5" t="e">
        <f>#REF!+#REF!+#REF!+#REF!+#REF!+#REF!+#REF!+#REF!+#REF!+#REF!+#REF!+#REF!+#REF!+#REF!</f>
        <v>#REF!</v>
      </c>
      <c r="F28" s="5" t="e">
        <f>#REF!+#REF!+#REF!+#REF!+#REF!+#REF!+#REF!+#REF!+#REF!+#REF!+#REF!+#REF!+#REF!+#REF!</f>
        <v>#REF!</v>
      </c>
      <c r="G28" s="5" t="e">
        <f>#REF!+#REF!+#REF!+#REF!+#REF!+#REF!+#REF!+#REF!+#REF!+#REF!+#REF!+#REF!+#REF!+#REF!</f>
        <v>#REF!</v>
      </c>
      <c r="H28" s="5" t="e">
        <f>#REF!+#REF!+#REF!+#REF!+#REF!+#REF!+#REF!+#REF!+#REF!+#REF!+#REF!+#REF!+#REF!+#REF!</f>
        <v>#REF!</v>
      </c>
      <c r="I28" s="5" t="e">
        <f>#REF!+#REF!+#REF!+#REF!+#REF!+#REF!+#REF!+#REF!+#REF!+#REF!+#REF!+#REF!+#REF!+#REF!</f>
        <v>#REF!</v>
      </c>
      <c r="J28" s="5" t="e">
        <f>#REF!+#REF!+#REF!+#REF!+#REF!+#REF!+#REF!+#REF!+#REF!+#REF!+#REF!+#REF!+#REF!+#REF!</f>
        <v>#REF!</v>
      </c>
      <c r="K28" s="5" t="e">
        <f>#REF!+#REF!+#REF!+#REF!+#REF!+#REF!+#REF!+#REF!+#REF!+#REF!+#REF!+#REF!+#REF!+#REF!</f>
        <v>#REF!</v>
      </c>
      <c r="L28" s="5" t="e">
        <f>#REF!+#REF!+#REF!+#REF!+#REF!+#REF!+#REF!+#REF!+#REF!+#REF!+#REF!+#REF!+#REF!+#REF!</f>
        <v>#REF!</v>
      </c>
      <c r="M28" s="5" t="e">
        <f>#REF!+#REF!+#REF!+#REF!+#REF!+#REF!+#REF!+#REF!+#REF!+#REF!+#REF!+#REF!+#REF!+#REF!</f>
        <v>#REF!</v>
      </c>
      <c r="N28" s="5" t="e">
        <f>#REF!+#REF!+#REF!+#REF!+#REF!+#REF!+#REF!+#REF!+#REF!+#REF!+#REF!+#REF!+#REF!+#REF!</f>
        <v>#REF!</v>
      </c>
      <c r="O28" s="5" t="e">
        <f>#REF!+#REF!+#REF!+#REF!+#REF!+#REF!+#REF!+#REF!+#REF!+#REF!+#REF!+#REF!+#REF!+#REF!</f>
        <v>#REF!</v>
      </c>
      <c r="P28" s="5" t="e">
        <f>#REF!+#REF!+#REF!+#REF!+#REF!+#REF!+#REF!+#REF!+#REF!+#REF!+#REF!+#REF!+#REF!+#REF!</f>
        <v>#REF!</v>
      </c>
      <c r="Q28" s="5" t="e">
        <f>#REF!+#REF!+#REF!+#REF!+#REF!+#REF!+#REF!+#REF!+#REF!+#REF!+#REF!+#REF!+#REF!+#REF!</f>
        <v>#REF!</v>
      </c>
      <c r="R28" s="5" t="e">
        <f>#REF!+#REF!+#REF!+#REF!+#REF!+#REF!+#REF!+#REF!+#REF!+#REF!+#REF!+#REF!+#REF!+#REF!</f>
        <v>#REF!</v>
      </c>
      <c r="S28" s="5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5">
      <c r="A29" s="1" t="s">
        <v>30</v>
      </c>
      <c r="B29" s="1" t="str">
        <f>VLOOKUP(A29,[15]LISTADHERENT!A$5:H$60,3,0)</f>
        <v>NKEHE DAVID</v>
      </c>
      <c r="C29" s="5" t="e">
        <f>#REF!+#REF!+#REF!+#REF!+#REF!+#REF!+#REF!+#REF!+#REF!+#REF!+#REF!+#REF!+#REF!+#REF!</f>
        <v>#REF!</v>
      </c>
      <c r="D29" s="5" t="e">
        <f>#REF!+#REF!+#REF!+#REF!+#REF!+#REF!+#REF!+#REF!+#REF!+#REF!+#REF!+#REF!+#REF!+#REF!</f>
        <v>#REF!</v>
      </c>
      <c r="E29" s="5" t="e">
        <f>#REF!+#REF!+#REF!+#REF!+#REF!+#REF!+#REF!+#REF!+#REF!+#REF!+#REF!+#REF!+#REF!+#REF!</f>
        <v>#REF!</v>
      </c>
      <c r="F29" s="5" t="e">
        <f>#REF!+#REF!+#REF!+#REF!+#REF!+#REF!+#REF!+#REF!+#REF!+#REF!+#REF!+#REF!+#REF!+#REF!</f>
        <v>#REF!</v>
      </c>
      <c r="G29" s="5" t="e">
        <f>#REF!+#REF!+#REF!+#REF!+#REF!+#REF!+#REF!+#REF!+#REF!+#REF!+#REF!+#REF!+#REF!+#REF!</f>
        <v>#REF!</v>
      </c>
      <c r="H29" s="5" t="e">
        <f>#REF!+#REF!+#REF!+#REF!+#REF!+#REF!+#REF!+#REF!+#REF!+#REF!+#REF!+#REF!+#REF!+#REF!</f>
        <v>#REF!</v>
      </c>
      <c r="I29" s="5" t="e">
        <f>#REF!+#REF!+#REF!+#REF!+#REF!+#REF!+#REF!+#REF!+#REF!+#REF!+#REF!+#REF!+#REF!+#REF!</f>
        <v>#REF!</v>
      </c>
      <c r="J29" s="5" t="e">
        <f>#REF!+#REF!+#REF!+#REF!+#REF!+#REF!+#REF!+#REF!+#REF!+#REF!+#REF!+#REF!+#REF!+#REF!</f>
        <v>#REF!</v>
      </c>
      <c r="K29" s="5" t="e">
        <f>#REF!+#REF!+#REF!+#REF!+#REF!+#REF!+#REF!+#REF!+#REF!+#REF!+#REF!+#REF!+#REF!+#REF!</f>
        <v>#REF!</v>
      </c>
      <c r="L29" s="5" t="e">
        <f>#REF!+#REF!+#REF!+#REF!+#REF!+#REF!+#REF!+#REF!+#REF!+#REF!+#REF!+#REF!+#REF!+#REF!</f>
        <v>#REF!</v>
      </c>
      <c r="M29" s="5" t="e">
        <f>#REF!+#REF!+#REF!+#REF!+#REF!+#REF!+#REF!+#REF!+#REF!+#REF!+#REF!+#REF!+#REF!+#REF!</f>
        <v>#REF!</v>
      </c>
      <c r="N29" s="5" t="e">
        <f>#REF!+#REF!+#REF!+#REF!+#REF!+#REF!+#REF!+#REF!+#REF!+#REF!+#REF!+#REF!+#REF!+#REF!</f>
        <v>#REF!</v>
      </c>
      <c r="O29" s="5" t="e">
        <f>#REF!+#REF!+#REF!+#REF!+#REF!+#REF!+#REF!+#REF!+#REF!+#REF!+#REF!+#REF!+#REF!+#REF!</f>
        <v>#REF!</v>
      </c>
      <c r="P29" s="5" t="e">
        <f>#REF!+#REF!+#REF!+#REF!+#REF!+#REF!+#REF!+#REF!+#REF!+#REF!+#REF!+#REF!+#REF!+#REF!</f>
        <v>#REF!</v>
      </c>
      <c r="Q29" s="5" t="e">
        <f>#REF!+#REF!+#REF!+#REF!+#REF!+#REF!+#REF!+#REF!+#REF!+#REF!+#REF!+#REF!+#REF!+#REF!</f>
        <v>#REF!</v>
      </c>
      <c r="R29" s="5" t="e">
        <f>#REF!+#REF!+#REF!+#REF!+#REF!+#REF!+#REF!+#REF!+#REF!+#REF!+#REF!+#REF!+#REF!+#REF!</f>
        <v>#REF!</v>
      </c>
      <c r="S29" s="5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5">
      <c r="A30" s="1" t="s">
        <v>44</v>
      </c>
      <c r="B30" s="1" t="str">
        <f>VLOOKUP(A30,[15]LISTADHERENT!A$5:H$60,3,0)</f>
        <v>NKEPSEU DIEUDONNE</v>
      </c>
      <c r="C30" s="5" t="e">
        <f>#REF!+#REF!+#REF!+#REF!+#REF!+#REF!+#REF!+#REF!+#REF!+#REF!+#REF!+#REF!+#REF!+#REF!</f>
        <v>#REF!</v>
      </c>
      <c r="D30" s="5" t="e">
        <f>#REF!+#REF!+#REF!+#REF!+#REF!+#REF!+#REF!+#REF!+#REF!+#REF!+#REF!+#REF!+#REF!+#REF!</f>
        <v>#REF!</v>
      </c>
      <c r="E30" s="5" t="e">
        <f>#REF!+#REF!+#REF!+#REF!+#REF!+#REF!+#REF!+#REF!+#REF!+#REF!+#REF!+#REF!+#REF!+#REF!</f>
        <v>#REF!</v>
      </c>
      <c r="F30" s="5" t="e">
        <f>#REF!+#REF!+#REF!+#REF!+#REF!+#REF!+#REF!+#REF!+#REF!+#REF!+#REF!+#REF!+#REF!+#REF!</f>
        <v>#REF!</v>
      </c>
      <c r="G30" s="5" t="e">
        <f>#REF!+#REF!+#REF!+#REF!+#REF!+#REF!+#REF!+#REF!+#REF!+#REF!+#REF!+#REF!+#REF!+#REF!</f>
        <v>#REF!</v>
      </c>
      <c r="H30" s="5" t="e">
        <f>#REF!+#REF!+#REF!+#REF!+#REF!+#REF!+#REF!+#REF!+#REF!+#REF!+#REF!+#REF!+#REF!+#REF!</f>
        <v>#REF!</v>
      </c>
      <c r="I30" s="5" t="e">
        <f>#REF!+#REF!+#REF!+#REF!+#REF!+#REF!+#REF!+#REF!+#REF!+#REF!+#REF!+#REF!+#REF!+#REF!</f>
        <v>#REF!</v>
      </c>
      <c r="J30" s="5" t="e">
        <f>#REF!+#REF!+#REF!+#REF!+#REF!+#REF!+#REF!+#REF!+#REF!+#REF!+#REF!+#REF!+#REF!+#REF!</f>
        <v>#REF!</v>
      </c>
      <c r="K30" s="5" t="e">
        <f>#REF!+#REF!+#REF!+#REF!+#REF!+#REF!+#REF!+#REF!+#REF!+#REF!+#REF!+#REF!+#REF!+#REF!</f>
        <v>#REF!</v>
      </c>
      <c r="L30" s="5" t="e">
        <f>#REF!+#REF!+#REF!+#REF!+#REF!+#REF!+#REF!+#REF!+#REF!+#REF!+#REF!+#REF!+#REF!+#REF!</f>
        <v>#REF!</v>
      </c>
      <c r="M30" s="5" t="e">
        <f>#REF!+#REF!+#REF!+#REF!+#REF!+#REF!+#REF!+#REF!+#REF!+#REF!+#REF!+#REF!+#REF!+#REF!</f>
        <v>#REF!</v>
      </c>
      <c r="N30" s="5" t="e">
        <f>#REF!+#REF!+#REF!+#REF!+#REF!+#REF!+#REF!+#REF!+#REF!+#REF!+#REF!+#REF!+#REF!+#REF!</f>
        <v>#REF!</v>
      </c>
      <c r="O30" s="5" t="e">
        <f>#REF!+#REF!+#REF!+#REF!+#REF!+#REF!+#REF!+#REF!+#REF!+#REF!+#REF!+#REF!+#REF!+#REF!</f>
        <v>#REF!</v>
      </c>
      <c r="P30" s="5" t="e">
        <f>#REF!+#REF!+#REF!+#REF!+#REF!+#REF!+#REF!+#REF!+#REF!+#REF!+#REF!+#REF!+#REF!+#REF!</f>
        <v>#REF!</v>
      </c>
      <c r="Q30" s="5" t="e">
        <f>#REF!+#REF!+#REF!+#REF!+#REF!+#REF!+#REF!+#REF!+#REF!+#REF!+#REF!+#REF!+#REF!+#REF!</f>
        <v>#REF!</v>
      </c>
      <c r="R30" s="5" t="e">
        <f>#REF!+#REF!+#REF!+#REF!+#REF!+#REF!+#REF!+#REF!+#REF!+#REF!+#REF!+#REF!+#REF!+#REF!</f>
        <v>#REF!</v>
      </c>
      <c r="S30" s="5"/>
      <c r="T30" s="7"/>
      <c r="U30" s="7"/>
      <c r="V30" s="2"/>
      <c r="W30" s="2"/>
      <c r="X30" s="2"/>
      <c r="Y30" s="2"/>
      <c r="Z30" s="2"/>
      <c r="AA30" s="2"/>
      <c r="AB30" s="2"/>
    </row>
    <row r="31" spans="1:28" x14ac:dyDescent="0.25">
      <c r="A31" s="1" t="s">
        <v>45</v>
      </c>
      <c r="B31" s="1" t="str">
        <f>VLOOKUP(A31,[15]LISTADHERENT!A$5:H$60,3,0)</f>
        <v>PATEGO NJOSSU GUSTAVE</v>
      </c>
      <c r="C31" s="5" t="e">
        <f>#REF!+#REF!+#REF!+#REF!+#REF!+#REF!+#REF!+#REF!+#REF!+#REF!+#REF!+#REF!+#REF!+#REF!</f>
        <v>#REF!</v>
      </c>
      <c r="D31" s="5" t="e">
        <f>#REF!+#REF!+#REF!+#REF!+#REF!+#REF!+#REF!+#REF!+#REF!+#REF!+#REF!+#REF!+#REF!+#REF!</f>
        <v>#REF!</v>
      </c>
      <c r="E31" s="5" t="e">
        <f>#REF!+#REF!+#REF!+#REF!+#REF!+#REF!+#REF!+#REF!+#REF!+#REF!+#REF!+#REF!+#REF!+#REF!</f>
        <v>#REF!</v>
      </c>
      <c r="F31" s="5" t="e">
        <f>#REF!+#REF!+#REF!+#REF!+#REF!+#REF!+#REF!+#REF!+#REF!+#REF!+#REF!+#REF!+#REF!+#REF!</f>
        <v>#REF!</v>
      </c>
      <c r="G31" s="5" t="e">
        <f>#REF!+#REF!+#REF!+#REF!+#REF!+#REF!+#REF!+#REF!+#REF!+#REF!+#REF!+#REF!+#REF!+#REF!</f>
        <v>#REF!</v>
      </c>
      <c r="H31" s="5" t="e">
        <f>#REF!+#REF!+#REF!+#REF!+#REF!+#REF!+#REF!+#REF!+#REF!+#REF!+#REF!+#REF!+#REF!+#REF!</f>
        <v>#REF!</v>
      </c>
      <c r="I31" s="5" t="e">
        <f>#REF!+#REF!+#REF!+#REF!+#REF!+#REF!+#REF!+#REF!+#REF!+#REF!+#REF!+#REF!+#REF!+#REF!</f>
        <v>#REF!</v>
      </c>
      <c r="J31" s="5" t="e">
        <f>#REF!+#REF!+#REF!+#REF!+#REF!+#REF!+#REF!+#REF!+#REF!+#REF!+#REF!+#REF!+#REF!+#REF!</f>
        <v>#REF!</v>
      </c>
      <c r="K31" s="5" t="e">
        <f>#REF!+#REF!+#REF!+#REF!+#REF!+#REF!+#REF!+#REF!+#REF!+#REF!+#REF!+#REF!+#REF!+#REF!</f>
        <v>#REF!</v>
      </c>
      <c r="L31" s="5" t="e">
        <f>#REF!+#REF!+#REF!+#REF!+#REF!+#REF!+#REF!+#REF!+#REF!+#REF!+#REF!+#REF!+#REF!+#REF!</f>
        <v>#REF!</v>
      </c>
      <c r="M31" s="5" t="e">
        <f>#REF!+#REF!+#REF!+#REF!+#REF!+#REF!+#REF!+#REF!+#REF!+#REF!+#REF!+#REF!+#REF!+#REF!</f>
        <v>#REF!</v>
      </c>
      <c r="N31" s="5" t="e">
        <f>#REF!+#REF!+#REF!+#REF!+#REF!+#REF!+#REF!+#REF!+#REF!+#REF!+#REF!+#REF!+#REF!+#REF!</f>
        <v>#REF!</v>
      </c>
      <c r="O31" s="5" t="e">
        <f>#REF!+#REF!+#REF!+#REF!+#REF!+#REF!+#REF!+#REF!+#REF!+#REF!+#REF!+#REF!+#REF!+#REF!</f>
        <v>#REF!</v>
      </c>
      <c r="P31" s="5" t="e">
        <f>#REF!+#REF!+#REF!+#REF!+#REF!+#REF!+#REF!+#REF!+#REF!+#REF!+#REF!+#REF!+#REF!+#REF!</f>
        <v>#REF!</v>
      </c>
      <c r="Q31" s="5" t="e">
        <f>#REF!+#REF!+#REF!+#REF!+#REF!+#REF!+#REF!+#REF!+#REF!+#REF!+#REF!+#REF!+#REF!+#REF!</f>
        <v>#REF!</v>
      </c>
      <c r="R31" s="5" t="e">
        <f>#REF!+#REF!+#REF!+#REF!+#REF!+#REF!+#REF!+#REF!+#REF!+#REF!+#REF!+#REF!+#REF!+#REF!</f>
        <v>#REF!</v>
      </c>
      <c r="S31" s="5"/>
      <c r="T31" s="2"/>
      <c r="U31" s="2"/>
      <c r="V31" s="2"/>
      <c r="W31" s="2"/>
      <c r="X31" s="2"/>
      <c r="Y31" s="2"/>
      <c r="Z31" s="2"/>
      <c r="AA31" s="2"/>
      <c r="AB31" s="2"/>
    </row>
    <row r="32" spans="1:28" x14ac:dyDescent="0.25">
      <c r="A32" s="1" t="s">
        <v>81</v>
      </c>
      <c r="B32" s="1" t="str">
        <f>VLOOKUP(A32,[15]LISTADHERENT!A$5:H$60,3,0)</f>
        <v>SIME BRICE</v>
      </c>
      <c r="C32" s="5" t="e">
        <f>#REF!+#REF!+#REF!+#REF!+#REF!+#REF!+#REF!+#REF!+#REF!+#REF!+#REF!+#REF!+#REF!+#REF!</f>
        <v>#REF!</v>
      </c>
      <c r="D32" s="5" t="e">
        <f>#REF!+#REF!+#REF!+#REF!+#REF!+#REF!+#REF!+#REF!+#REF!+#REF!+#REF!+#REF!+#REF!+#REF!</f>
        <v>#REF!</v>
      </c>
      <c r="E32" s="5" t="e">
        <f>#REF!+#REF!+#REF!+#REF!+#REF!+#REF!+#REF!+#REF!+#REF!+#REF!+#REF!+#REF!+#REF!+#REF!</f>
        <v>#REF!</v>
      </c>
      <c r="F32" s="5" t="e">
        <f>#REF!+#REF!+#REF!+#REF!+#REF!+#REF!+#REF!+#REF!+#REF!+#REF!+#REF!+#REF!+#REF!+#REF!</f>
        <v>#REF!</v>
      </c>
      <c r="G32" s="5" t="e">
        <f>#REF!+#REF!+#REF!+#REF!+#REF!+#REF!+#REF!+#REF!+#REF!+#REF!+#REF!+#REF!+#REF!+#REF!</f>
        <v>#REF!</v>
      </c>
      <c r="H32" s="5" t="e">
        <f>#REF!+#REF!+#REF!+#REF!+#REF!+#REF!+#REF!+#REF!+#REF!+#REF!+#REF!+#REF!+#REF!+#REF!</f>
        <v>#REF!</v>
      </c>
      <c r="I32" s="5" t="e">
        <f>#REF!+#REF!+#REF!+#REF!+#REF!+#REF!+#REF!+#REF!+#REF!+#REF!+#REF!+#REF!+#REF!+#REF!</f>
        <v>#REF!</v>
      </c>
      <c r="J32" s="5" t="e">
        <f>#REF!+#REF!+#REF!+#REF!+#REF!+#REF!+#REF!+#REF!+#REF!+#REF!+#REF!+#REF!+#REF!+#REF!</f>
        <v>#REF!</v>
      </c>
      <c r="K32" s="5" t="e">
        <f>#REF!+#REF!+#REF!+#REF!+#REF!+#REF!+#REF!+#REF!+#REF!+#REF!+#REF!+#REF!+#REF!+#REF!</f>
        <v>#REF!</v>
      </c>
      <c r="L32" s="5" t="e">
        <f>#REF!+#REF!+#REF!+#REF!+#REF!+#REF!+#REF!+#REF!+#REF!+#REF!+#REF!+#REF!+#REF!+#REF!</f>
        <v>#REF!</v>
      </c>
      <c r="M32" s="5" t="e">
        <f>#REF!+#REF!+#REF!+#REF!+#REF!+#REF!+#REF!+#REF!+#REF!+#REF!+#REF!+#REF!+#REF!+#REF!</f>
        <v>#REF!</v>
      </c>
      <c r="N32" s="5" t="e">
        <f>#REF!+#REF!+#REF!+#REF!+#REF!+#REF!+#REF!+#REF!+#REF!+#REF!+#REF!+#REF!+#REF!+#REF!</f>
        <v>#REF!</v>
      </c>
      <c r="O32" s="5" t="e">
        <f>#REF!+#REF!+#REF!+#REF!+#REF!+#REF!+#REF!+#REF!+#REF!+#REF!+#REF!+#REF!+#REF!+#REF!</f>
        <v>#REF!</v>
      </c>
      <c r="P32" s="5" t="e">
        <f>#REF!+#REF!+#REF!+#REF!+#REF!+#REF!+#REF!+#REF!+#REF!+#REF!+#REF!+#REF!+#REF!+#REF!</f>
        <v>#REF!</v>
      </c>
      <c r="Q32" s="5" t="e">
        <f>#REF!+#REF!+#REF!+#REF!+#REF!+#REF!+#REF!+#REF!+#REF!+#REF!+#REF!+#REF!+#REF!+#REF!</f>
        <v>#REF!</v>
      </c>
      <c r="R32" s="5" t="e">
        <f>#REF!+#REF!+#REF!+#REF!+#REF!+#REF!+#REF!+#REF!+#REF!+#REF!+#REF!+#REF!+#REF!+#REF!</f>
        <v>#REF!</v>
      </c>
      <c r="V32" s="2"/>
      <c r="W32" s="2"/>
      <c r="X32" s="2"/>
      <c r="Y32" s="2"/>
      <c r="Z32" s="2"/>
      <c r="AA32" s="2"/>
      <c r="AB32" s="2"/>
    </row>
    <row r="33" spans="1:28" x14ac:dyDescent="0.25">
      <c r="A33" s="1" t="s">
        <v>47</v>
      </c>
      <c r="B33" s="1" t="str">
        <f>VLOOKUP(A33,[15]LISTADHERENT!A$5:H$60,3,0)</f>
        <v>SIMO FONGANG ERIC</v>
      </c>
      <c r="C33" s="5" t="e">
        <f>#REF!+#REF!+#REF!+#REF!+#REF!+#REF!+#REF!+#REF!+#REF!+#REF!+#REF!+#REF!+#REF!+#REF!</f>
        <v>#REF!</v>
      </c>
      <c r="D33" s="5" t="e">
        <f>#REF!+#REF!+#REF!+#REF!+#REF!+#REF!+#REF!+#REF!+#REF!+#REF!+#REF!+#REF!+#REF!+#REF!</f>
        <v>#REF!</v>
      </c>
      <c r="E33" s="5" t="e">
        <f>#REF!+#REF!+#REF!+#REF!+#REF!+#REF!+#REF!+#REF!+#REF!+#REF!+#REF!+#REF!+#REF!+#REF!</f>
        <v>#REF!</v>
      </c>
      <c r="F33" s="5" t="e">
        <f>#REF!+#REF!+#REF!+#REF!+#REF!+#REF!+#REF!+#REF!+#REF!+#REF!+#REF!+#REF!+#REF!+#REF!</f>
        <v>#REF!</v>
      </c>
      <c r="G33" s="5" t="e">
        <f>#REF!+#REF!+#REF!+#REF!+#REF!+#REF!+#REF!+#REF!+#REF!+#REF!+#REF!+#REF!+#REF!+#REF!</f>
        <v>#REF!</v>
      </c>
      <c r="H33" s="5" t="e">
        <f>#REF!+#REF!+#REF!+#REF!+#REF!+#REF!+#REF!+#REF!+#REF!+#REF!+#REF!+#REF!+#REF!+#REF!</f>
        <v>#REF!</v>
      </c>
      <c r="I33" s="5" t="e">
        <f>#REF!+#REF!+#REF!+#REF!+#REF!+#REF!+#REF!+#REF!+#REF!+#REF!+#REF!+#REF!+#REF!+#REF!</f>
        <v>#REF!</v>
      </c>
      <c r="J33" s="5" t="e">
        <f>#REF!+#REF!+#REF!+#REF!+#REF!+#REF!+#REF!+#REF!+#REF!+#REF!+#REF!+#REF!+#REF!+#REF!</f>
        <v>#REF!</v>
      </c>
      <c r="K33" s="5" t="e">
        <f>#REF!+#REF!+#REF!+#REF!+#REF!+#REF!+#REF!+#REF!+#REF!+#REF!+#REF!+#REF!+#REF!+#REF!</f>
        <v>#REF!</v>
      </c>
      <c r="L33" s="5" t="e">
        <f>#REF!+#REF!+#REF!+#REF!+#REF!+#REF!+#REF!+#REF!+#REF!+#REF!+#REF!+#REF!+#REF!+#REF!</f>
        <v>#REF!</v>
      </c>
      <c r="M33" s="5" t="e">
        <f>#REF!+#REF!+#REF!+#REF!+#REF!+#REF!+#REF!+#REF!+#REF!+#REF!+#REF!+#REF!+#REF!+#REF!</f>
        <v>#REF!</v>
      </c>
      <c r="N33" s="5" t="e">
        <f>#REF!+#REF!+#REF!+#REF!+#REF!+#REF!+#REF!+#REF!+#REF!+#REF!+#REF!+#REF!+#REF!+#REF!</f>
        <v>#REF!</v>
      </c>
      <c r="O33" s="5" t="e">
        <f>#REF!+#REF!+#REF!+#REF!+#REF!+#REF!+#REF!+#REF!+#REF!+#REF!+#REF!+#REF!+#REF!+#REF!</f>
        <v>#REF!</v>
      </c>
      <c r="P33" s="5" t="e">
        <f>#REF!+#REF!+#REF!+#REF!+#REF!+#REF!+#REF!+#REF!+#REF!+#REF!+#REF!+#REF!+#REF!+#REF!</f>
        <v>#REF!</v>
      </c>
      <c r="Q33" s="5" t="e">
        <f>#REF!+#REF!+#REF!+#REF!+#REF!+#REF!+#REF!+#REF!+#REF!+#REF!+#REF!+#REF!+#REF!+#REF!</f>
        <v>#REF!</v>
      </c>
      <c r="R33" s="5" t="e">
        <f>#REF!+#REF!+#REF!+#REF!+#REF!+#REF!+#REF!+#REF!+#REF!+#REF!+#REF!+#REF!+#REF!+#REF!</f>
        <v>#REF!</v>
      </c>
      <c r="S33" s="5"/>
      <c r="T33" s="2"/>
      <c r="U33" s="2"/>
      <c r="V33" s="2"/>
      <c r="W33" s="2"/>
      <c r="X33" s="2"/>
      <c r="Y33" s="2"/>
      <c r="Z33" s="2"/>
      <c r="AA33" s="2"/>
      <c r="AB33" s="2"/>
    </row>
    <row r="34" spans="1:28" x14ac:dyDescent="0.25">
      <c r="A34" s="1" t="s">
        <v>48</v>
      </c>
      <c r="B34" s="1" t="str">
        <f>VLOOKUP(A34,[15]LISTADHERENT!A$5:H$60,3,0)</f>
        <v>SIME MATHIEU</v>
      </c>
      <c r="C34" s="5" t="e">
        <f>#REF!+#REF!+#REF!+#REF!+#REF!+#REF!+#REF!+#REF!+#REF!+#REF!+#REF!+#REF!+#REF!+#REF!</f>
        <v>#REF!</v>
      </c>
      <c r="D34" s="5" t="e">
        <f>#REF!+#REF!+#REF!+#REF!+#REF!+#REF!+#REF!+#REF!+#REF!+#REF!+#REF!+#REF!+#REF!+#REF!</f>
        <v>#REF!</v>
      </c>
      <c r="E34" s="5" t="e">
        <f>#REF!+#REF!+#REF!+#REF!+#REF!+#REF!+#REF!+#REF!+#REF!+#REF!+#REF!+#REF!+#REF!+#REF!</f>
        <v>#REF!</v>
      </c>
      <c r="F34" s="5" t="e">
        <f>#REF!+#REF!+#REF!+#REF!+#REF!+#REF!+#REF!+#REF!+#REF!+#REF!+#REF!+#REF!+#REF!+#REF!</f>
        <v>#REF!</v>
      </c>
      <c r="G34" s="5" t="e">
        <f>#REF!+#REF!+#REF!+#REF!+#REF!+#REF!+#REF!+#REF!+#REF!+#REF!+#REF!+#REF!+#REF!+#REF!</f>
        <v>#REF!</v>
      </c>
      <c r="H34" s="5" t="e">
        <f>#REF!+#REF!+#REF!+#REF!+#REF!+#REF!+#REF!+#REF!+#REF!+#REF!+#REF!+#REF!+#REF!+#REF!</f>
        <v>#REF!</v>
      </c>
      <c r="I34" s="5" t="e">
        <f>#REF!+#REF!+#REF!+#REF!+#REF!+#REF!+#REF!+#REF!+#REF!+#REF!+#REF!+#REF!+#REF!+#REF!</f>
        <v>#REF!</v>
      </c>
      <c r="J34" s="5" t="e">
        <f>#REF!+#REF!+#REF!+#REF!+#REF!+#REF!+#REF!+#REF!+#REF!+#REF!+#REF!+#REF!+#REF!+#REF!</f>
        <v>#REF!</v>
      </c>
      <c r="K34" s="5" t="e">
        <f>#REF!+#REF!+#REF!+#REF!+#REF!+#REF!+#REF!+#REF!+#REF!+#REF!+#REF!+#REF!+#REF!+#REF!</f>
        <v>#REF!</v>
      </c>
      <c r="L34" s="5" t="e">
        <f>#REF!+#REF!+#REF!+#REF!+#REF!+#REF!+#REF!+#REF!+#REF!+#REF!+#REF!+#REF!+#REF!+#REF!</f>
        <v>#REF!</v>
      </c>
      <c r="M34" s="5" t="e">
        <f>#REF!+#REF!+#REF!+#REF!+#REF!+#REF!+#REF!+#REF!+#REF!+#REF!+#REF!+#REF!+#REF!+#REF!</f>
        <v>#REF!</v>
      </c>
      <c r="N34" s="5" t="e">
        <f>#REF!+#REF!+#REF!+#REF!+#REF!+#REF!+#REF!+#REF!+#REF!+#REF!+#REF!+#REF!+#REF!+#REF!</f>
        <v>#REF!</v>
      </c>
      <c r="O34" s="5" t="e">
        <f>#REF!+#REF!+#REF!+#REF!+#REF!+#REF!+#REF!+#REF!+#REF!+#REF!+#REF!+#REF!+#REF!+#REF!</f>
        <v>#REF!</v>
      </c>
      <c r="P34" s="5" t="e">
        <f>#REF!+#REF!+#REF!+#REF!+#REF!+#REF!+#REF!+#REF!+#REF!+#REF!+#REF!+#REF!+#REF!+#REF!</f>
        <v>#REF!</v>
      </c>
      <c r="Q34" s="5" t="e">
        <f>#REF!+#REF!+#REF!+#REF!+#REF!+#REF!+#REF!+#REF!+#REF!+#REF!+#REF!+#REF!+#REF!+#REF!</f>
        <v>#REF!</v>
      </c>
      <c r="R34" s="5" t="e">
        <f>#REF!+#REF!+#REF!+#REF!+#REF!+#REF!+#REF!+#REF!+#REF!+#REF!+#REF!+#REF!+#REF!+#REF!</f>
        <v>#REF!</v>
      </c>
      <c r="S34" s="5"/>
      <c r="T34" s="2"/>
      <c r="U34" s="2"/>
      <c r="V34" s="2"/>
      <c r="W34" s="2"/>
      <c r="X34" s="2"/>
      <c r="Y34" s="2"/>
      <c r="Z34" s="2"/>
      <c r="AA34" s="2"/>
      <c r="AB34" s="2"/>
    </row>
    <row r="35" spans="1:28" x14ac:dyDescent="0.25">
      <c r="A35" s="1" t="s">
        <v>49</v>
      </c>
      <c r="B35" s="1" t="str">
        <f>VLOOKUP(A35,[15]LISTADHERENT!A$5:H$60,3,0)</f>
        <v>SIMO PIERRE</v>
      </c>
      <c r="C35" s="5" t="e">
        <f>#REF!+#REF!+#REF!+#REF!+#REF!+#REF!+#REF!+#REF!+#REF!+#REF!+#REF!+#REF!+#REF!+#REF!</f>
        <v>#REF!</v>
      </c>
      <c r="D35" s="5" t="e">
        <f>#REF!+#REF!+#REF!+#REF!+#REF!+#REF!+#REF!+#REF!+#REF!+#REF!+#REF!+#REF!+#REF!+#REF!</f>
        <v>#REF!</v>
      </c>
      <c r="E35" s="5" t="e">
        <f>#REF!+#REF!+#REF!+#REF!+#REF!+#REF!+#REF!+#REF!+#REF!+#REF!+#REF!+#REF!+#REF!+#REF!</f>
        <v>#REF!</v>
      </c>
      <c r="F35" s="5" t="e">
        <f>#REF!+#REF!+#REF!+#REF!+#REF!+#REF!+#REF!+#REF!+#REF!+#REF!+#REF!+#REF!+#REF!+#REF!</f>
        <v>#REF!</v>
      </c>
      <c r="G35" s="5" t="e">
        <f>#REF!+#REF!+#REF!+#REF!+#REF!+#REF!+#REF!+#REF!+#REF!+#REF!+#REF!+#REF!+#REF!+#REF!</f>
        <v>#REF!</v>
      </c>
      <c r="H35" s="5" t="e">
        <f>#REF!+#REF!+#REF!+#REF!+#REF!+#REF!+#REF!+#REF!+#REF!+#REF!+#REF!+#REF!+#REF!+#REF!</f>
        <v>#REF!</v>
      </c>
      <c r="I35" s="5" t="e">
        <f>#REF!+#REF!+#REF!+#REF!+#REF!+#REF!+#REF!+#REF!+#REF!+#REF!+#REF!+#REF!+#REF!+#REF!</f>
        <v>#REF!</v>
      </c>
      <c r="J35" s="5" t="e">
        <f>#REF!+#REF!+#REF!+#REF!+#REF!+#REF!+#REF!+#REF!+#REF!+#REF!+#REF!+#REF!+#REF!+#REF!</f>
        <v>#REF!</v>
      </c>
      <c r="K35" s="5" t="e">
        <f>#REF!+#REF!+#REF!+#REF!+#REF!+#REF!+#REF!+#REF!+#REF!+#REF!+#REF!+#REF!+#REF!+#REF!</f>
        <v>#REF!</v>
      </c>
      <c r="L35" s="5" t="e">
        <f>#REF!+#REF!+#REF!+#REF!+#REF!+#REF!+#REF!+#REF!+#REF!+#REF!+#REF!+#REF!+#REF!+#REF!</f>
        <v>#REF!</v>
      </c>
      <c r="M35" s="5" t="e">
        <f>#REF!+#REF!+#REF!+#REF!+#REF!+#REF!+#REF!+#REF!+#REF!+#REF!+#REF!+#REF!+#REF!+#REF!</f>
        <v>#REF!</v>
      </c>
      <c r="N35" s="5" t="e">
        <f>#REF!+#REF!+#REF!+#REF!+#REF!+#REF!+#REF!+#REF!+#REF!+#REF!+#REF!+#REF!+#REF!+#REF!</f>
        <v>#REF!</v>
      </c>
      <c r="O35" s="5" t="e">
        <f>#REF!+#REF!+#REF!+#REF!+#REF!+#REF!+#REF!+#REF!+#REF!+#REF!+#REF!+#REF!+#REF!+#REF!</f>
        <v>#REF!</v>
      </c>
      <c r="P35" s="5" t="e">
        <f>#REF!+#REF!+#REF!+#REF!+#REF!+#REF!+#REF!+#REF!+#REF!+#REF!+#REF!+#REF!+#REF!+#REF!</f>
        <v>#REF!</v>
      </c>
      <c r="Q35" s="5" t="e">
        <f>#REF!+#REF!+#REF!+#REF!+#REF!+#REF!+#REF!+#REF!+#REF!+#REF!+#REF!+#REF!+#REF!+#REF!</f>
        <v>#REF!</v>
      </c>
      <c r="R35" s="5" t="e">
        <f>#REF!+#REF!+#REF!+#REF!+#REF!+#REF!+#REF!+#REF!+#REF!+#REF!+#REF!+#REF!+#REF!+#REF!</f>
        <v>#REF!</v>
      </c>
      <c r="S35" s="5"/>
      <c r="T35" s="2"/>
      <c r="U35" s="2"/>
      <c r="V35" s="2"/>
      <c r="W35" s="2"/>
      <c r="X35" s="2"/>
      <c r="Y35" s="2"/>
      <c r="Z35" s="2"/>
      <c r="AA35" s="2"/>
      <c r="AB35" s="2"/>
    </row>
    <row r="36" spans="1:28" x14ac:dyDescent="0.25">
      <c r="A36" s="1" t="s">
        <v>51</v>
      </c>
      <c r="B36" s="1" t="str">
        <f>VLOOKUP(A36,[15]LISTADHERENT!A$5:H$60,3,0)</f>
        <v>TCHOUAMOU MATHIEU</v>
      </c>
      <c r="C36" s="5" t="e">
        <f>#REF!+#REF!+#REF!+#REF!+#REF!+#REF!+#REF!+#REF!+#REF!+#REF!+#REF!+#REF!+#REF!+#REF!</f>
        <v>#REF!</v>
      </c>
      <c r="D36" s="5" t="e">
        <f>#REF!+#REF!+#REF!+#REF!+#REF!+#REF!+#REF!+#REF!+#REF!+#REF!+#REF!+#REF!+#REF!+#REF!</f>
        <v>#REF!</v>
      </c>
      <c r="E36" s="5" t="e">
        <f>#REF!+#REF!+#REF!+#REF!+#REF!+#REF!+#REF!+#REF!+#REF!+#REF!+#REF!+#REF!+#REF!+#REF!</f>
        <v>#REF!</v>
      </c>
      <c r="F36" s="5" t="e">
        <f>#REF!+#REF!+#REF!+#REF!+#REF!+#REF!+#REF!+#REF!+#REF!+#REF!+#REF!+#REF!+#REF!+#REF!</f>
        <v>#REF!</v>
      </c>
      <c r="G36" s="5" t="e">
        <f>#REF!+#REF!+#REF!+#REF!+#REF!+#REF!+#REF!+#REF!+#REF!+#REF!+#REF!+#REF!+#REF!+#REF!</f>
        <v>#REF!</v>
      </c>
      <c r="H36" s="5" t="e">
        <f>#REF!+#REF!+#REF!+#REF!+#REF!+#REF!+#REF!+#REF!+#REF!+#REF!+#REF!+#REF!+#REF!+#REF!</f>
        <v>#REF!</v>
      </c>
      <c r="I36" s="5" t="e">
        <f>#REF!+#REF!+#REF!+#REF!+#REF!+#REF!+#REF!+#REF!+#REF!+#REF!+#REF!+#REF!+#REF!+#REF!</f>
        <v>#REF!</v>
      </c>
      <c r="J36" s="5" t="e">
        <f>#REF!+#REF!+#REF!+#REF!+#REF!+#REF!+#REF!+#REF!+#REF!+#REF!+#REF!+#REF!+#REF!+#REF!</f>
        <v>#REF!</v>
      </c>
      <c r="K36" s="5" t="e">
        <f>#REF!+#REF!+#REF!+#REF!+#REF!+#REF!+#REF!+#REF!+#REF!+#REF!+#REF!+#REF!+#REF!+#REF!</f>
        <v>#REF!</v>
      </c>
      <c r="L36" s="5" t="e">
        <f>#REF!+#REF!+#REF!+#REF!+#REF!+#REF!+#REF!+#REF!+#REF!+#REF!+#REF!+#REF!+#REF!+#REF!</f>
        <v>#REF!</v>
      </c>
      <c r="M36" s="5" t="e">
        <f>#REF!+#REF!+#REF!+#REF!+#REF!+#REF!+#REF!+#REF!+#REF!+#REF!+#REF!+#REF!+#REF!+#REF!</f>
        <v>#REF!</v>
      </c>
      <c r="N36" s="5" t="e">
        <f>#REF!+#REF!+#REF!+#REF!+#REF!+#REF!+#REF!+#REF!+#REF!+#REF!+#REF!+#REF!+#REF!+#REF!</f>
        <v>#REF!</v>
      </c>
      <c r="O36" s="5" t="e">
        <f>#REF!+#REF!+#REF!+#REF!+#REF!+#REF!+#REF!+#REF!+#REF!+#REF!+#REF!+#REF!+#REF!+#REF!</f>
        <v>#REF!</v>
      </c>
      <c r="P36" s="5" t="e">
        <f>#REF!+#REF!+#REF!+#REF!+#REF!+#REF!+#REF!+#REF!+#REF!+#REF!+#REF!+#REF!+#REF!+#REF!</f>
        <v>#REF!</v>
      </c>
      <c r="Q36" s="5" t="e">
        <f>#REF!+#REF!+#REF!+#REF!+#REF!+#REF!+#REF!+#REF!+#REF!+#REF!+#REF!+#REF!+#REF!+#REF!</f>
        <v>#REF!</v>
      </c>
      <c r="R36" s="5" t="e">
        <f>#REF!+#REF!+#REF!+#REF!+#REF!+#REF!+#REF!+#REF!+#REF!+#REF!+#REF!+#REF!+#REF!+#REF!</f>
        <v>#REF!</v>
      </c>
      <c r="S36" s="5"/>
      <c r="T36" s="2"/>
      <c r="U36" s="2"/>
      <c r="V36" s="2"/>
      <c r="W36" s="2"/>
      <c r="X36" s="2"/>
      <c r="Y36" s="2"/>
      <c r="Z36" s="2"/>
      <c r="AA36" s="2"/>
      <c r="AB36" s="2"/>
    </row>
    <row r="37" spans="1:28" x14ac:dyDescent="0.25">
      <c r="A37" s="1" t="s">
        <v>54</v>
      </c>
      <c r="B37" s="1" t="str">
        <f>VLOOKUP(A37,[15]LISTADHERENT!A$5:H$60,3,0)</f>
        <v>TIEYAM ERNEST</v>
      </c>
      <c r="C37" s="5" t="e">
        <f>#REF!+#REF!+#REF!+#REF!+#REF!+#REF!+#REF!+#REF!+#REF!+#REF!+#REF!+#REF!+#REF!+#REF!</f>
        <v>#REF!</v>
      </c>
      <c r="D37" s="5" t="e">
        <f>#REF!+#REF!+#REF!+#REF!+#REF!+#REF!+#REF!+#REF!+#REF!+#REF!+#REF!+#REF!+#REF!+#REF!</f>
        <v>#REF!</v>
      </c>
      <c r="E37" s="5" t="e">
        <f>#REF!+#REF!+#REF!+#REF!+#REF!+#REF!+#REF!+#REF!+#REF!+#REF!+#REF!+#REF!+#REF!+#REF!</f>
        <v>#REF!</v>
      </c>
      <c r="F37" s="5" t="e">
        <f>#REF!+#REF!+#REF!+#REF!+#REF!+#REF!+#REF!+#REF!+#REF!+#REF!+#REF!+#REF!+#REF!+#REF!</f>
        <v>#REF!</v>
      </c>
      <c r="G37" s="5" t="e">
        <f>#REF!+#REF!+#REF!+#REF!+#REF!+#REF!+#REF!+#REF!+#REF!+#REF!+#REF!+#REF!+#REF!+#REF!</f>
        <v>#REF!</v>
      </c>
      <c r="H37" s="5" t="e">
        <f>#REF!+#REF!+#REF!+#REF!+#REF!+#REF!+#REF!+#REF!+#REF!+#REF!+#REF!+#REF!+#REF!+#REF!</f>
        <v>#REF!</v>
      </c>
      <c r="I37" s="5" t="e">
        <f>#REF!+#REF!+#REF!+#REF!+#REF!+#REF!+#REF!+#REF!+#REF!+#REF!+#REF!+#REF!+#REF!+#REF!</f>
        <v>#REF!</v>
      </c>
      <c r="J37" s="5" t="e">
        <f>#REF!+#REF!+#REF!+#REF!+#REF!+#REF!+#REF!+#REF!+#REF!+#REF!+#REF!+#REF!+#REF!+#REF!</f>
        <v>#REF!</v>
      </c>
      <c r="K37" s="5" t="e">
        <f>#REF!+#REF!+#REF!+#REF!+#REF!+#REF!+#REF!+#REF!+#REF!+#REF!+#REF!+#REF!+#REF!+#REF!</f>
        <v>#REF!</v>
      </c>
      <c r="L37" s="5" t="e">
        <f>#REF!+#REF!+#REF!+#REF!+#REF!+#REF!+#REF!+#REF!+#REF!+#REF!+#REF!+#REF!+#REF!+#REF!</f>
        <v>#REF!</v>
      </c>
      <c r="M37" s="5" t="e">
        <f>#REF!+#REF!+#REF!+#REF!+#REF!+#REF!+#REF!+#REF!+#REF!+#REF!+#REF!+#REF!+#REF!+#REF!</f>
        <v>#REF!</v>
      </c>
      <c r="N37" s="5" t="e">
        <f>#REF!+#REF!+#REF!+#REF!+#REF!+#REF!+#REF!+#REF!+#REF!+#REF!+#REF!+#REF!+#REF!+#REF!</f>
        <v>#REF!</v>
      </c>
      <c r="O37" s="5" t="e">
        <f>#REF!+#REF!+#REF!+#REF!+#REF!+#REF!+#REF!+#REF!+#REF!+#REF!+#REF!+#REF!+#REF!+#REF!</f>
        <v>#REF!</v>
      </c>
      <c r="P37" s="5" t="e">
        <f>#REF!+#REF!+#REF!+#REF!+#REF!+#REF!+#REF!+#REF!+#REF!+#REF!+#REF!+#REF!+#REF!+#REF!</f>
        <v>#REF!</v>
      </c>
      <c r="Q37" s="5" t="e">
        <f>#REF!+#REF!+#REF!+#REF!+#REF!+#REF!+#REF!+#REF!+#REF!+#REF!+#REF!+#REF!+#REF!+#REF!</f>
        <v>#REF!</v>
      </c>
      <c r="R37" s="5" t="e">
        <f>#REF!+#REF!+#REF!+#REF!+#REF!+#REF!+#REF!+#REF!+#REF!+#REF!+#REF!+#REF!+#REF!+#REF!</f>
        <v>#REF!</v>
      </c>
      <c r="S37" s="5"/>
      <c r="T37" s="2"/>
      <c r="U37" s="2"/>
    </row>
    <row r="38" spans="1:28" x14ac:dyDescent="0.25">
      <c r="A38" s="1" t="s">
        <v>55</v>
      </c>
      <c r="B38" s="1" t="str">
        <f>VLOOKUP(A38,[15]LISTADHERENT!A$5:H$60,3,0)</f>
        <v>YEPMOU JEAN JACQUES</v>
      </c>
      <c r="C38" s="5" t="e">
        <f>#REF!+#REF!+#REF!+#REF!+#REF!+#REF!+#REF!+#REF!+#REF!+#REF!+#REF!+#REF!+#REF!+#REF!</f>
        <v>#REF!</v>
      </c>
      <c r="D38" s="5" t="e">
        <f>#REF!+#REF!+#REF!+#REF!+#REF!+#REF!+#REF!+#REF!+#REF!+#REF!+#REF!+#REF!+#REF!+#REF!</f>
        <v>#REF!</v>
      </c>
      <c r="E38" s="5" t="e">
        <f>#REF!+#REF!+#REF!+#REF!+#REF!+#REF!+#REF!+#REF!+#REF!+#REF!+#REF!+#REF!+#REF!+#REF!</f>
        <v>#REF!</v>
      </c>
      <c r="F38" s="5" t="e">
        <f>#REF!+#REF!+#REF!+#REF!+#REF!+#REF!+#REF!+#REF!+#REF!+#REF!+#REF!+#REF!+#REF!+#REF!</f>
        <v>#REF!</v>
      </c>
      <c r="G38" s="5" t="e">
        <f>#REF!+#REF!+#REF!+#REF!+#REF!+#REF!+#REF!+#REF!+#REF!+#REF!+#REF!+#REF!+#REF!+#REF!</f>
        <v>#REF!</v>
      </c>
      <c r="H38" s="5" t="e">
        <f>#REF!+#REF!+#REF!+#REF!+#REF!+#REF!+#REF!+#REF!+#REF!+#REF!+#REF!+#REF!+#REF!+#REF!</f>
        <v>#REF!</v>
      </c>
      <c r="I38" s="5" t="e">
        <f>#REF!+#REF!+#REF!+#REF!+#REF!+#REF!+#REF!+#REF!+#REF!+#REF!+#REF!+#REF!+#REF!+#REF!</f>
        <v>#REF!</v>
      </c>
      <c r="J38" s="5" t="e">
        <f>#REF!+#REF!+#REF!+#REF!+#REF!+#REF!+#REF!+#REF!+#REF!+#REF!+#REF!+#REF!+#REF!+#REF!</f>
        <v>#REF!</v>
      </c>
      <c r="K38" s="5" t="e">
        <f>#REF!+#REF!+#REF!+#REF!+#REF!+#REF!+#REF!+#REF!+#REF!+#REF!+#REF!+#REF!+#REF!+#REF!</f>
        <v>#REF!</v>
      </c>
      <c r="L38" s="5" t="e">
        <f>#REF!+#REF!+#REF!+#REF!+#REF!+#REF!+#REF!+#REF!+#REF!+#REF!+#REF!+#REF!+#REF!+#REF!</f>
        <v>#REF!</v>
      </c>
      <c r="M38" s="5" t="e">
        <f>#REF!+#REF!+#REF!+#REF!+#REF!+#REF!+#REF!+#REF!+#REF!+#REF!+#REF!+#REF!+#REF!+#REF!</f>
        <v>#REF!</v>
      </c>
      <c r="N38" s="5" t="e">
        <f>#REF!+#REF!+#REF!+#REF!+#REF!+#REF!+#REF!+#REF!+#REF!+#REF!+#REF!+#REF!+#REF!+#REF!</f>
        <v>#REF!</v>
      </c>
      <c r="O38" s="5" t="e">
        <f>#REF!+#REF!+#REF!+#REF!+#REF!+#REF!+#REF!+#REF!+#REF!+#REF!+#REF!+#REF!+#REF!+#REF!</f>
        <v>#REF!</v>
      </c>
      <c r="P38" s="5" t="e">
        <f>#REF!+#REF!+#REF!+#REF!+#REF!+#REF!+#REF!+#REF!+#REF!+#REF!+#REF!+#REF!+#REF!+#REF!</f>
        <v>#REF!</v>
      </c>
      <c r="Q38" s="5" t="e">
        <f>#REF!+#REF!+#REF!+#REF!+#REF!+#REF!+#REF!+#REF!+#REF!+#REF!+#REF!+#REF!+#REF!+#REF!</f>
        <v>#REF!</v>
      </c>
      <c r="R38" s="5" t="e">
        <f>#REF!+#REF!+#REF!+#REF!+#REF!+#REF!+#REF!+#REF!+#REF!+#REF!+#REF!+#REF!+#REF!+#REF!</f>
        <v>#REF!</v>
      </c>
      <c r="S38" s="5"/>
      <c r="T38" s="2"/>
      <c r="U38" s="2"/>
    </row>
    <row r="39" spans="1:28" x14ac:dyDescent="0.25">
      <c r="A39" s="1" t="s">
        <v>56</v>
      </c>
      <c r="B39" s="1" t="str">
        <f>VLOOKUP(A39,[15]LISTADHERENT!A$5:H$60,3,0)</f>
        <v>YOUMBI EMMANUEL</v>
      </c>
      <c r="C39" s="5" t="e">
        <f>#REF!+#REF!+#REF!+#REF!+#REF!+#REF!+#REF!+#REF!+#REF!+#REF!+#REF!+#REF!+#REF!+#REF!</f>
        <v>#REF!</v>
      </c>
      <c r="D39" s="5" t="e">
        <f>#REF!+#REF!+#REF!+#REF!+#REF!+#REF!+#REF!+#REF!+#REF!+#REF!+#REF!+#REF!+#REF!+#REF!</f>
        <v>#REF!</v>
      </c>
      <c r="E39" s="5" t="e">
        <f>#REF!+#REF!+#REF!+#REF!+#REF!+#REF!+#REF!+#REF!+#REF!+#REF!+#REF!+#REF!+#REF!+#REF!</f>
        <v>#REF!</v>
      </c>
      <c r="F39" s="5" t="e">
        <f>#REF!+#REF!+#REF!+#REF!+#REF!+#REF!+#REF!+#REF!+#REF!+#REF!+#REF!+#REF!+#REF!+#REF!</f>
        <v>#REF!</v>
      </c>
      <c r="G39" s="5" t="e">
        <f>#REF!+#REF!+#REF!+#REF!+#REF!+#REF!+#REF!+#REF!+#REF!+#REF!+#REF!+#REF!+#REF!+#REF!</f>
        <v>#REF!</v>
      </c>
      <c r="H39" s="5" t="e">
        <f>#REF!+#REF!+#REF!+#REF!+#REF!+#REF!+#REF!+#REF!+#REF!+#REF!+#REF!+#REF!+#REF!+#REF!</f>
        <v>#REF!</v>
      </c>
      <c r="I39" s="5" t="e">
        <f>#REF!+#REF!+#REF!+#REF!+#REF!+#REF!+#REF!+#REF!+#REF!+#REF!+#REF!+#REF!+#REF!+#REF!</f>
        <v>#REF!</v>
      </c>
      <c r="J39" s="5" t="e">
        <f>#REF!+#REF!+#REF!+#REF!+#REF!+#REF!+#REF!+#REF!+#REF!+#REF!+#REF!+#REF!+#REF!+#REF!</f>
        <v>#REF!</v>
      </c>
      <c r="K39" s="5" t="e">
        <f>#REF!+#REF!+#REF!+#REF!+#REF!+#REF!+#REF!+#REF!+#REF!+#REF!+#REF!+#REF!+#REF!+#REF!</f>
        <v>#REF!</v>
      </c>
      <c r="L39" s="5" t="e">
        <f>#REF!+#REF!+#REF!+#REF!+#REF!+#REF!+#REF!+#REF!+#REF!+#REF!+#REF!+#REF!+#REF!+#REF!</f>
        <v>#REF!</v>
      </c>
      <c r="M39" s="5" t="e">
        <f>#REF!+#REF!+#REF!+#REF!+#REF!+#REF!+#REF!+#REF!+#REF!+#REF!+#REF!+#REF!+#REF!+#REF!</f>
        <v>#REF!</v>
      </c>
      <c r="N39" s="5" t="e">
        <f>#REF!+#REF!+#REF!+#REF!+#REF!+#REF!+#REF!+#REF!+#REF!+#REF!+#REF!+#REF!+#REF!+#REF!</f>
        <v>#REF!</v>
      </c>
      <c r="O39" s="5" t="e">
        <f>#REF!+#REF!+#REF!+#REF!+#REF!+#REF!+#REF!+#REF!+#REF!+#REF!+#REF!+#REF!+#REF!+#REF!</f>
        <v>#REF!</v>
      </c>
      <c r="P39" s="5" t="e">
        <f>#REF!+#REF!+#REF!+#REF!+#REF!+#REF!+#REF!+#REF!+#REF!+#REF!+#REF!+#REF!+#REF!+#REF!</f>
        <v>#REF!</v>
      </c>
      <c r="Q39" s="5" t="e">
        <f>#REF!+#REF!+#REF!+#REF!+#REF!+#REF!+#REF!+#REF!+#REF!+#REF!+#REF!+#REF!+#REF!+#REF!</f>
        <v>#REF!</v>
      </c>
      <c r="R39" s="5" t="e">
        <f>#REF!+#REF!+#REF!+#REF!+#REF!+#REF!+#REF!+#REF!+#REF!+#REF!+#REF!+#REF!+#REF!+#REF!</f>
        <v>#REF!</v>
      </c>
      <c r="S39" s="5"/>
      <c r="T39" s="2"/>
      <c r="U39" s="2"/>
    </row>
    <row r="40" spans="1:28" x14ac:dyDescent="0.25">
      <c r="A40" s="15"/>
      <c r="B40" s="1"/>
      <c r="C40" s="5"/>
      <c r="D40" s="5"/>
      <c r="E40" s="6"/>
      <c r="F40" s="6"/>
      <c r="G40" s="6"/>
      <c r="H40" s="6"/>
      <c r="I40" s="6"/>
      <c r="J40" s="6"/>
      <c r="K40" s="6"/>
      <c r="N40" s="6"/>
      <c r="O40" s="6"/>
      <c r="P40" s="6"/>
      <c r="Q40" s="2"/>
    </row>
    <row r="41" spans="1:28" x14ac:dyDescent="0.25">
      <c r="A41" s="15"/>
      <c r="B41" s="1"/>
      <c r="C41" s="5"/>
      <c r="D41" s="5"/>
      <c r="E41" s="6"/>
      <c r="F41" s="6"/>
      <c r="G41" s="6"/>
      <c r="H41" s="6"/>
      <c r="I41" s="6"/>
      <c r="J41" s="6"/>
      <c r="K41" s="6"/>
      <c r="M41" s="6"/>
      <c r="N41" s="6"/>
      <c r="O41" s="6"/>
      <c r="P41" s="6"/>
      <c r="Q41" s="2"/>
    </row>
    <row r="42" spans="1:28" x14ac:dyDescent="0.25">
      <c r="A42" s="15"/>
      <c r="B42" s="1"/>
      <c r="C42" s="5"/>
      <c r="D42" s="5"/>
      <c r="E42" s="6"/>
      <c r="F42" s="6"/>
      <c r="G42" s="6"/>
      <c r="H42" s="6"/>
      <c r="I42" s="6"/>
      <c r="J42" s="6"/>
      <c r="K42" s="6"/>
      <c r="M42" s="6"/>
      <c r="N42" s="6"/>
      <c r="O42" s="6"/>
      <c r="P42" s="6"/>
      <c r="Q42" s="2"/>
    </row>
    <row r="43" spans="1:28" x14ac:dyDescent="0.25">
      <c r="A43" s="1"/>
      <c r="B43" s="1"/>
      <c r="C43" s="1"/>
      <c r="D43" s="1"/>
      <c r="E43" s="1"/>
    </row>
    <row r="44" spans="1:28" ht="18" x14ac:dyDescent="0.25">
      <c r="A44" s="1" t="s">
        <v>57</v>
      </c>
      <c r="B44" s="1"/>
      <c r="C44" s="9" t="e">
        <f t="shared" ref="C44:L44" si="0">SUM(C6:C40)</f>
        <v>#REF!</v>
      </c>
      <c r="D44" s="9" t="e">
        <f t="shared" si="0"/>
        <v>#REF!</v>
      </c>
      <c r="E44" s="9" t="e">
        <f t="shared" si="0"/>
        <v>#REF!</v>
      </c>
      <c r="F44" s="9" t="e">
        <f t="shared" si="0"/>
        <v>#REF!</v>
      </c>
      <c r="G44" s="9" t="e">
        <f t="shared" si="0"/>
        <v>#REF!</v>
      </c>
      <c r="H44" s="9" t="e">
        <f t="shared" si="0"/>
        <v>#REF!</v>
      </c>
      <c r="I44" s="9" t="e">
        <f t="shared" si="0"/>
        <v>#REF!</v>
      </c>
      <c r="J44" s="9" t="e">
        <f t="shared" si="0"/>
        <v>#REF!</v>
      </c>
      <c r="K44" s="9" t="e">
        <f t="shared" si="0"/>
        <v>#REF!</v>
      </c>
      <c r="L44" s="9" t="e">
        <f t="shared" si="0"/>
        <v>#REF!</v>
      </c>
      <c r="M44" s="9" t="e">
        <f>SUM(M6:M38)</f>
        <v>#REF!</v>
      </c>
      <c r="N44" s="9" t="e">
        <f>SUM(N6:N40)</f>
        <v>#REF!</v>
      </c>
      <c r="O44" s="9"/>
      <c r="P44" s="9" t="e">
        <f>SUM(P6:P40)</f>
        <v>#REF!</v>
      </c>
      <c r="Q44" s="9" t="e">
        <f>SUM(Q6:Q37)</f>
        <v>#REF!</v>
      </c>
      <c r="R44" s="9" t="e">
        <f>SUM(R6:R37)</f>
        <v>#REF!</v>
      </c>
    </row>
  </sheetData>
  <autoFilter ref="A5:P39">
    <sortState ref="A5:L48">
      <sortCondition ref="B5:B48"/>
    </sortState>
  </autoFilter>
  <mergeCells count="1">
    <mergeCell ref="C4:F4"/>
  </mergeCells>
  <pageMargins left="0.7" right="0.7" top="0.75" bottom="0.75" header="0.3" footer="0.3"/>
  <pageSetup orientation="portrait" horizontalDpi="4294967295" verticalDpi="4294967295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20"/>
  <sheetViews>
    <sheetView workbookViewId="0">
      <pane xSplit="1" ySplit="4" topLeftCell="AF8" activePane="bottomRight" state="frozen"/>
      <selection pane="topRight" activeCell="B1" sqref="B1"/>
      <selection pane="bottomLeft" activeCell="A5" sqref="A5"/>
      <selection pane="bottomRight" activeCell="AQ17" sqref="AQ17"/>
    </sheetView>
  </sheetViews>
  <sheetFormatPr baseColWidth="10" defaultRowHeight="15" x14ac:dyDescent="0.25"/>
  <cols>
    <col min="2" max="2" width="12.42578125" bestFit="1" customWidth="1"/>
    <col min="3" max="3" width="11.5703125" bestFit="1" customWidth="1"/>
    <col min="4" max="4" width="12.42578125" bestFit="1" customWidth="1"/>
    <col min="5" max="5" width="11.5703125" bestFit="1" customWidth="1"/>
    <col min="6" max="6" width="14.7109375" bestFit="1" customWidth="1"/>
    <col min="7" max="7" width="14.42578125" bestFit="1" customWidth="1"/>
    <col min="8" max="10" width="12.42578125" bestFit="1" customWidth="1"/>
    <col min="12" max="12" width="13.28515625" bestFit="1" customWidth="1"/>
    <col min="13" max="16" width="12.42578125" bestFit="1" customWidth="1"/>
    <col min="19" max="19" width="12.42578125" bestFit="1" customWidth="1"/>
    <col min="20" max="20" width="13.85546875" bestFit="1" customWidth="1"/>
    <col min="21" max="21" width="12.42578125" bestFit="1" customWidth="1"/>
    <col min="22" max="22" width="13.85546875" bestFit="1" customWidth="1"/>
    <col min="24" max="24" width="13.28515625" bestFit="1" customWidth="1"/>
    <col min="25" max="28" width="12.42578125" bestFit="1" customWidth="1"/>
    <col min="30" max="30" width="13.28515625" bestFit="1" customWidth="1"/>
    <col min="31" max="31" width="12.42578125" bestFit="1" customWidth="1"/>
    <col min="32" max="32" width="13.85546875" bestFit="1" customWidth="1"/>
    <col min="33" max="33" width="12.42578125" bestFit="1" customWidth="1"/>
    <col min="34" max="34" width="13.85546875" bestFit="1" customWidth="1"/>
    <col min="36" max="36" width="13.28515625" bestFit="1" customWidth="1"/>
    <col min="37" max="37" width="12.42578125" bestFit="1" customWidth="1"/>
    <col min="38" max="40" width="13.85546875" bestFit="1" customWidth="1"/>
    <col min="42" max="42" width="15.5703125" customWidth="1"/>
    <col min="43" max="43" width="13.85546875" bestFit="1" customWidth="1"/>
  </cols>
  <sheetData>
    <row r="1" spans="1:43" ht="15.75" thickBot="1" x14ac:dyDescent="0.3"/>
    <row r="2" spans="1:43" ht="15.75" thickTop="1" x14ac:dyDescent="0.25">
      <c r="A2" s="74"/>
      <c r="B2" s="157" t="s">
        <v>187</v>
      </c>
      <c r="C2" s="157"/>
      <c r="D2" s="157"/>
      <c r="E2" s="157"/>
      <c r="F2" s="157"/>
      <c r="G2" s="158"/>
      <c r="H2" s="157" t="s">
        <v>188</v>
      </c>
      <c r="I2" s="157"/>
      <c r="J2" s="157"/>
      <c r="K2" s="157"/>
      <c r="L2" s="157"/>
      <c r="M2" s="158"/>
      <c r="N2" s="157" t="s">
        <v>131</v>
      </c>
      <c r="O2" s="157"/>
      <c r="P2" s="157"/>
      <c r="Q2" s="157"/>
      <c r="R2" s="157"/>
      <c r="S2" s="158"/>
      <c r="T2" s="157" t="s">
        <v>189</v>
      </c>
      <c r="U2" s="157"/>
      <c r="V2" s="157"/>
      <c r="W2" s="157"/>
      <c r="X2" s="157"/>
      <c r="Y2" s="158"/>
      <c r="Z2" s="157" t="s">
        <v>139</v>
      </c>
      <c r="AA2" s="157"/>
      <c r="AB2" s="157"/>
      <c r="AC2" s="157"/>
      <c r="AD2" s="157"/>
      <c r="AE2" s="158"/>
      <c r="AF2" s="157" t="s">
        <v>190</v>
      </c>
      <c r="AG2" s="157"/>
      <c r="AH2" s="157"/>
      <c r="AI2" s="157"/>
      <c r="AJ2" s="157"/>
      <c r="AK2" s="158"/>
      <c r="AL2" s="157" t="s">
        <v>191</v>
      </c>
      <c r="AM2" s="157"/>
      <c r="AN2" s="157"/>
      <c r="AO2" s="157"/>
      <c r="AP2" s="157"/>
      <c r="AQ2" s="158"/>
    </row>
    <row r="3" spans="1:43" x14ac:dyDescent="0.25">
      <c r="A3" s="75"/>
      <c r="B3" s="159" t="s">
        <v>192</v>
      </c>
      <c r="C3" s="159"/>
      <c r="D3" s="159" t="s">
        <v>193</v>
      </c>
      <c r="E3" s="159"/>
      <c r="F3" s="159" t="s">
        <v>194</v>
      </c>
      <c r="G3" s="160"/>
      <c r="H3" s="159" t="s">
        <v>192</v>
      </c>
      <c r="I3" s="159"/>
      <c r="J3" s="159" t="s">
        <v>193</v>
      </c>
      <c r="K3" s="159"/>
      <c r="L3" s="159" t="s">
        <v>194</v>
      </c>
      <c r="M3" s="160"/>
      <c r="N3" s="159" t="s">
        <v>192</v>
      </c>
      <c r="O3" s="159"/>
      <c r="P3" s="159" t="s">
        <v>193</v>
      </c>
      <c r="Q3" s="159"/>
      <c r="R3" s="159" t="s">
        <v>194</v>
      </c>
      <c r="S3" s="160"/>
      <c r="T3" s="159" t="s">
        <v>192</v>
      </c>
      <c r="U3" s="159"/>
      <c r="V3" s="159" t="s">
        <v>193</v>
      </c>
      <c r="W3" s="159"/>
      <c r="X3" s="159" t="s">
        <v>194</v>
      </c>
      <c r="Y3" s="160"/>
      <c r="Z3" s="159" t="s">
        <v>192</v>
      </c>
      <c r="AA3" s="159"/>
      <c r="AB3" s="159" t="s">
        <v>193</v>
      </c>
      <c r="AC3" s="159"/>
      <c r="AD3" s="159" t="s">
        <v>194</v>
      </c>
      <c r="AE3" s="160"/>
      <c r="AF3" s="159" t="s">
        <v>192</v>
      </c>
      <c r="AG3" s="159"/>
      <c r="AH3" s="159" t="s">
        <v>193</v>
      </c>
      <c r="AI3" s="159"/>
      <c r="AJ3" s="159" t="s">
        <v>194</v>
      </c>
      <c r="AK3" s="160"/>
      <c r="AL3" s="159" t="s">
        <v>192</v>
      </c>
      <c r="AM3" s="159"/>
      <c r="AN3" s="159" t="s">
        <v>193</v>
      </c>
      <c r="AO3" s="159"/>
      <c r="AP3" s="159" t="s">
        <v>194</v>
      </c>
      <c r="AQ3" s="160"/>
    </row>
    <row r="4" spans="1:43" x14ac:dyDescent="0.25">
      <c r="A4" s="75" t="s">
        <v>195</v>
      </c>
      <c r="B4" s="76" t="s">
        <v>22</v>
      </c>
      <c r="C4" s="76" t="s">
        <v>20</v>
      </c>
      <c r="D4" s="76" t="s">
        <v>22</v>
      </c>
      <c r="E4" s="76" t="s">
        <v>20</v>
      </c>
      <c r="F4" s="76" t="s">
        <v>22</v>
      </c>
      <c r="G4" s="77" t="s">
        <v>20</v>
      </c>
      <c r="H4" s="76" t="s">
        <v>22</v>
      </c>
      <c r="I4" s="76" t="s">
        <v>20</v>
      </c>
      <c r="J4" s="76" t="s">
        <v>22</v>
      </c>
      <c r="K4" s="76" t="s">
        <v>20</v>
      </c>
      <c r="L4" s="76" t="s">
        <v>22</v>
      </c>
      <c r="M4" s="77" t="s">
        <v>20</v>
      </c>
      <c r="N4" s="76" t="s">
        <v>22</v>
      </c>
      <c r="O4" s="76" t="s">
        <v>20</v>
      </c>
      <c r="P4" s="76" t="s">
        <v>22</v>
      </c>
      <c r="Q4" s="76" t="s">
        <v>20</v>
      </c>
      <c r="R4" s="76" t="s">
        <v>22</v>
      </c>
      <c r="S4" s="77" t="s">
        <v>20</v>
      </c>
      <c r="T4" s="76" t="s">
        <v>22</v>
      </c>
      <c r="U4" s="76" t="s">
        <v>20</v>
      </c>
      <c r="V4" s="76" t="s">
        <v>22</v>
      </c>
      <c r="W4" s="76" t="s">
        <v>20</v>
      </c>
      <c r="X4" s="76" t="s">
        <v>22</v>
      </c>
      <c r="Y4" s="77" t="s">
        <v>20</v>
      </c>
      <c r="Z4" s="76" t="s">
        <v>22</v>
      </c>
      <c r="AA4" s="76" t="s">
        <v>20</v>
      </c>
      <c r="AB4" s="76" t="s">
        <v>22</v>
      </c>
      <c r="AC4" s="76" t="s">
        <v>20</v>
      </c>
      <c r="AD4" s="76" t="s">
        <v>22</v>
      </c>
      <c r="AE4" s="77" t="s">
        <v>20</v>
      </c>
      <c r="AF4" s="76" t="s">
        <v>22</v>
      </c>
      <c r="AG4" s="76" t="s">
        <v>20</v>
      </c>
      <c r="AH4" s="76" t="s">
        <v>22</v>
      </c>
      <c r="AI4" s="76" t="s">
        <v>20</v>
      </c>
      <c r="AJ4" s="76" t="s">
        <v>22</v>
      </c>
      <c r="AK4" s="77" t="s">
        <v>20</v>
      </c>
      <c r="AL4" s="76" t="s">
        <v>22</v>
      </c>
      <c r="AM4" s="76" t="s">
        <v>20</v>
      </c>
      <c r="AN4" s="76" t="s">
        <v>22</v>
      </c>
      <c r="AO4" s="76" t="s">
        <v>20</v>
      </c>
      <c r="AP4" s="76" t="s">
        <v>22</v>
      </c>
      <c r="AQ4" s="77" t="s">
        <v>20</v>
      </c>
    </row>
    <row r="5" spans="1:43" ht="18.75" x14ac:dyDescent="0.3">
      <c r="A5" s="78" t="s">
        <v>208</v>
      </c>
      <c r="B5" s="50"/>
      <c r="C5" s="50"/>
      <c r="D5" s="50"/>
      <c r="E5" s="50"/>
      <c r="F5" s="50"/>
      <c r="G5" s="51"/>
      <c r="H5" s="50"/>
      <c r="I5" s="50"/>
      <c r="J5" s="50"/>
      <c r="K5" s="50"/>
      <c r="L5" s="50"/>
      <c r="M5" s="51"/>
      <c r="N5" s="50"/>
      <c r="O5" s="50"/>
      <c r="P5" s="50"/>
      <c r="Q5" s="50"/>
      <c r="R5" s="50"/>
      <c r="S5" s="51"/>
      <c r="T5" s="50"/>
      <c r="U5" s="50"/>
      <c r="V5" s="50"/>
      <c r="W5" s="50"/>
      <c r="X5" s="50"/>
      <c r="Y5" s="51"/>
      <c r="Z5" s="50"/>
      <c r="AA5" s="50"/>
      <c r="AB5" s="50"/>
      <c r="AC5" s="50"/>
      <c r="AD5" s="50"/>
      <c r="AE5" s="51"/>
      <c r="AF5" s="50"/>
      <c r="AG5" s="50"/>
      <c r="AH5" s="50"/>
      <c r="AI5" s="50"/>
      <c r="AJ5" s="50"/>
      <c r="AK5" s="51"/>
      <c r="AL5" s="50"/>
      <c r="AM5" s="50"/>
      <c r="AN5" s="50"/>
      <c r="AO5" s="50"/>
      <c r="AP5" s="26">
        <v>0</v>
      </c>
      <c r="AQ5" s="82">
        <v>0</v>
      </c>
    </row>
    <row r="6" spans="1:43" ht="18.75" x14ac:dyDescent="0.3">
      <c r="A6" s="78" t="s">
        <v>196</v>
      </c>
      <c r="B6" s="26">
        <f>[20]TONTJANV!$E$60</f>
        <v>180000</v>
      </c>
      <c r="C6" s="26">
        <f>[20]TONTJANV!$E$59</f>
        <v>90000</v>
      </c>
      <c r="D6" s="26">
        <f>[20]TONTJANV!$K$60</f>
        <v>113500</v>
      </c>
      <c r="E6" s="26">
        <f>[20]TONTJANV!$K$59</f>
        <v>0</v>
      </c>
      <c r="F6" s="26">
        <f>B6-D6</f>
        <v>66500</v>
      </c>
      <c r="G6" s="79">
        <f>C6-E6</f>
        <v>90000</v>
      </c>
      <c r="H6" s="26">
        <f>[21]TONTJANV!$E$49</f>
        <v>380000</v>
      </c>
      <c r="I6" s="26">
        <f>[21]TONTJANV!$E$48</f>
        <v>180000</v>
      </c>
      <c r="J6" s="26">
        <f>[21]TONTJANV!$K$49</f>
        <v>225000</v>
      </c>
      <c r="K6" s="26">
        <f>[21]TONTJANV!$K$48</f>
        <v>0</v>
      </c>
      <c r="L6" s="26">
        <f>H6-J6</f>
        <v>155000</v>
      </c>
      <c r="M6" s="79">
        <f>I6-K6</f>
        <v>180000</v>
      </c>
      <c r="N6" s="26">
        <f>[22]TONTJANV!$E$38</f>
        <v>360000</v>
      </c>
      <c r="O6" s="26">
        <f>[22]TONTJANV!$E$37</f>
        <v>120000</v>
      </c>
      <c r="P6" s="26">
        <f>[22]TONTJANV!$K$38</f>
        <v>345000</v>
      </c>
      <c r="Q6" s="26">
        <f>[22]TONTJANV!$K$37</f>
        <v>0</v>
      </c>
      <c r="R6" s="26">
        <f>N6-P6</f>
        <v>15000</v>
      </c>
      <c r="S6" s="79">
        <f>O6-Q6</f>
        <v>120000</v>
      </c>
      <c r="T6" s="26">
        <f>[23]TONTJANV!$E$44</f>
        <v>950000</v>
      </c>
      <c r="U6" s="26">
        <f>[23]TONTJANV!$E$43</f>
        <v>300000</v>
      </c>
      <c r="V6" s="26">
        <f>[23]TONTJANV!$K$44</f>
        <v>557500</v>
      </c>
      <c r="W6" s="26">
        <f>[23]TONTJANV!$K$43</f>
        <v>0</v>
      </c>
      <c r="X6" s="26">
        <f>T6-V6</f>
        <v>392500</v>
      </c>
      <c r="Y6" s="79">
        <f>U6-W6</f>
        <v>300000</v>
      </c>
      <c r="Z6" s="26">
        <f>[24]TONTJANV!$E$32</f>
        <v>1100000</v>
      </c>
      <c r="AA6" s="26">
        <f>[24]TONTJANV!$E$31</f>
        <v>200000</v>
      </c>
      <c r="AB6" s="26">
        <f>[24]TONTJANV!$K$32</f>
        <v>1110000</v>
      </c>
      <c r="AC6" s="26">
        <f>[24]TONTJANV!$K$31</f>
        <v>0</v>
      </c>
      <c r="AD6" s="26">
        <f>Z6-AB6</f>
        <v>-10000</v>
      </c>
      <c r="AE6" s="79">
        <f>AA6-AC6</f>
        <v>200000</v>
      </c>
      <c r="AF6" s="26">
        <f>[25]TONTJANV!$E$35</f>
        <v>1950000</v>
      </c>
      <c r="AG6" s="26">
        <f>[25]TONTJANV!$E$34</f>
        <v>600000</v>
      </c>
      <c r="AH6" s="26">
        <f>[25]TONTJANV!$K$35</f>
        <v>1685000</v>
      </c>
      <c r="AI6" s="26">
        <f>[25]TONTJANV!$K$34</f>
        <v>0</v>
      </c>
      <c r="AJ6" s="26">
        <f>AF6-AH6</f>
        <v>265000</v>
      </c>
      <c r="AK6" s="79">
        <f>AG6-AI6</f>
        <v>600000</v>
      </c>
      <c r="AL6" s="26">
        <f>B6+H6+N6+T6+Z6+AF6</f>
        <v>4920000</v>
      </c>
      <c r="AM6" s="26">
        <f t="shared" ref="AM6:AO17" si="0">C6+I6+O6+U6+AA6+AG6</f>
        <v>1490000</v>
      </c>
      <c r="AN6" s="26">
        <f t="shared" si="0"/>
        <v>4036000</v>
      </c>
      <c r="AO6" s="26">
        <f t="shared" si="0"/>
        <v>0</v>
      </c>
      <c r="AP6" s="26">
        <f>AP5+AL6-AN6</f>
        <v>884000</v>
      </c>
      <c r="AQ6" s="79">
        <f>AQ5+AM6-AO6</f>
        <v>1490000</v>
      </c>
    </row>
    <row r="7" spans="1:43" ht="18.75" x14ac:dyDescent="0.3">
      <c r="A7" s="78" t="s">
        <v>197</v>
      </c>
      <c r="B7" s="26">
        <f>[20]TONTFEV!$E$60</f>
        <v>220000</v>
      </c>
      <c r="C7" s="26">
        <f>[20]TONTFEV!$E$59</f>
        <v>60000</v>
      </c>
      <c r="D7" s="26">
        <f>[20]TONTFEV!$K$60</f>
        <v>116000</v>
      </c>
      <c r="E7" s="26">
        <f>[20]TONTFEV!$K$59</f>
        <v>0</v>
      </c>
      <c r="F7" s="26">
        <f t="shared" ref="F7:G17" si="1">B7-D7</f>
        <v>104000</v>
      </c>
      <c r="G7" s="79">
        <f t="shared" si="1"/>
        <v>60000</v>
      </c>
      <c r="H7" s="26">
        <f>[21]TONTFEV!$E$49</f>
        <v>500000</v>
      </c>
      <c r="I7" s="26">
        <f>[21]TONTFEV!$E$48</f>
        <v>80000</v>
      </c>
      <c r="J7" s="26">
        <f>[21]TONTFEV!$K$49</f>
        <v>476000</v>
      </c>
      <c r="K7" s="26">
        <f>[21]TONTFEV!$K$48</f>
        <v>0</v>
      </c>
      <c r="L7" s="26">
        <f t="shared" ref="L7:M17" si="2">H7-J7</f>
        <v>24000</v>
      </c>
      <c r="M7" s="79">
        <f t="shared" si="2"/>
        <v>80000</v>
      </c>
      <c r="N7" s="26">
        <f>[22]TONTFEV!$E$38</f>
        <v>390000</v>
      </c>
      <c r="O7" s="26">
        <f>[22]TONTFEV!$E$37</f>
        <v>90000</v>
      </c>
      <c r="P7" s="26">
        <f>[22]TONTFEV!$K$38</f>
        <v>357000</v>
      </c>
      <c r="Q7" s="26">
        <f>[22]TONTFEV!$K$37</f>
        <v>0</v>
      </c>
      <c r="R7" s="26">
        <f t="shared" ref="R7:S17" si="3">N7-P7</f>
        <v>33000</v>
      </c>
      <c r="S7" s="79">
        <f t="shared" si="3"/>
        <v>90000</v>
      </c>
      <c r="T7" s="26">
        <f>[23]TONTFEV!$E$44</f>
        <v>1100000</v>
      </c>
      <c r="U7" s="26">
        <f>[23]TONTFEV!$E$43</f>
        <v>150000</v>
      </c>
      <c r="V7" s="26">
        <f>[23]TONTFEV!$K$44</f>
        <v>595000</v>
      </c>
      <c r="W7" s="26">
        <f>[23]TONTFEV!$K$43</f>
        <v>0</v>
      </c>
      <c r="X7" s="26">
        <f t="shared" ref="X7:Y17" si="4">T7-V7</f>
        <v>505000</v>
      </c>
      <c r="Y7" s="79">
        <f t="shared" si="4"/>
        <v>150000</v>
      </c>
      <c r="Z7" s="26">
        <f>[21]TONTFEV!$E$49</f>
        <v>500000</v>
      </c>
      <c r="AA7" s="26">
        <f>[21]TONTFEV!$E$48</f>
        <v>80000</v>
      </c>
      <c r="AB7" s="26">
        <f>[21]TONTFEV!$K$49</f>
        <v>476000</v>
      </c>
      <c r="AC7" s="26">
        <f>[21]TONTFEV!$K$48</f>
        <v>0</v>
      </c>
      <c r="AD7" s="26">
        <f t="shared" ref="AD7:AE17" si="5">Z7-AB7</f>
        <v>24000</v>
      </c>
      <c r="AE7" s="79">
        <f t="shared" si="5"/>
        <v>80000</v>
      </c>
      <c r="AF7" s="26">
        <f>[25]TONTFEV!$E$35</f>
        <v>2250000</v>
      </c>
      <c r="AG7" s="26">
        <f>[25]TONTFEV!$E$34</f>
        <v>300000</v>
      </c>
      <c r="AH7" s="26">
        <f>[25]TONTFEV!$K$35</f>
        <v>1685000</v>
      </c>
      <c r="AI7" s="26">
        <f>[25]TONTFEV!$K$34</f>
        <v>0</v>
      </c>
      <c r="AJ7" s="26">
        <f t="shared" ref="AJ7:AK17" si="6">AF7-AH7</f>
        <v>565000</v>
      </c>
      <c r="AK7" s="79">
        <f t="shared" si="6"/>
        <v>300000</v>
      </c>
      <c r="AL7" s="26">
        <f t="shared" ref="AL7:AL17" si="7">B7+H7+N7+T7+Z7+AF7</f>
        <v>4960000</v>
      </c>
      <c r="AM7" s="26">
        <f t="shared" si="0"/>
        <v>760000</v>
      </c>
      <c r="AN7" s="26">
        <f t="shared" si="0"/>
        <v>3705000</v>
      </c>
      <c r="AO7" s="26">
        <f t="shared" si="0"/>
        <v>0</v>
      </c>
      <c r="AP7" s="26">
        <f t="shared" ref="AP7:AP17" si="8">AP6+AL7-AN7</f>
        <v>2139000</v>
      </c>
      <c r="AQ7" s="79">
        <f t="shared" ref="AQ7:AQ17" si="9">AQ6+AM7-AO7</f>
        <v>2250000</v>
      </c>
    </row>
    <row r="8" spans="1:43" ht="18.75" x14ac:dyDescent="0.3">
      <c r="A8" s="78" t="s">
        <v>198</v>
      </c>
      <c r="B8" s="26">
        <f>[20]TONTMARS!$E$60</f>
        <v>230000</v>
      </c>
      <c r="C8" s="26">
        <f>[20]TONTMARS!$E$59</f>
        <v>40000</v>
      </c>
      <c r="D8" s="26">
        <f>[20]TONTMARS!$K$60</f>
        <v>238000</v>
      </c>
      <c r="E8" s="26">
        <f>[20]TONTMARS!$K$59</f>
        <v>0</v>
      </c>
      <c r="F8" s="26">
        <f t="shared" si="1"/>
        <v>-8000</v>
      </c>
      <c r="G8" s="79">
        <f t="shared" si="1"/>
        <v>40000</v>
      </c>
      <c r="H8" s="26">
        <f>[21]TONTMARS!$E$49</f>
        <v>520000</v>
      </c>
      <c r="I8" s="26">
        <f>[21]TONTMARS!$E$48</f>
        <v>40000</v>
      </c>
      <c r="J8" s="26">
        <f>[21]TONTMARS!$K$49</f>
        <v>714000</v>
      </c>
      <c r="K8" s="26">
        <f>[21]TONTMARS!$K$48</f>
        <v>0</v>
      </c>
      <c r="L8" s="26">
        <f t="shared" si="2"/>
        <v>-194000</v>
      </c>
      <c r="M8" s="79">
        <f t="shared" si="2"/>
        <v>40000</v>
      </c>
      <c r="N8" s="26">
        <f>[22]TONTMARS!$E$38</f>
        <v>420000</v>
      </c>
      <c r="O8" s="26">
        <f>[22]TONTMARS!$E$37</f>
        <v>60000</v>
      </c>
      <c r="P8" s="26">
        <f>[22]TONTMARS!$K$38</f>
        <v>661000</v>
      </c>
      <c r="Q8" s="26">
        <f>[22]TONTMARS!$K$37</f>
        <v>0</v>
      </c>
      <c r="R8" s="26">
        <f t="shared" si="3"/>
        <v>-241000</v>
      </c>
      <c r="S8" s="79">
        <f t="shared" si="3"/>
        <v>60000</v>
      </c>
      <c r="T8" s="26">
        <f>[23]TONTMARS!$E$44</f>
        <v>1200000</v>
      </c>
      <c r="U8" s="26">
        <f>[23]TONTMARS!$E$43</f>
        <v>50000</v>
      </c>
      <c r="V8" s="26">
        <f>[23]TONTMARS!$K$44</f>
        <v>1190000</v>
      </c>
      <c r="W8" s="26">
        <f>[23]TONTMARS!$K$43</f>
        <v>0</v>
      </c>
      <c r="X8" s="26">
        <f t="shared" si="4"/>
        <v>10000</v>
      </c>
      <c r="Y8" s="79">
        <f t="shared" si="4"/>
        <v>50000</v>
      </c>
      <c r="Z8" s="26">
        <f>[21]TONTMARS!$E$49</f>
        <v>520000</v>
      </c>
      <c r="AA8" s="26">
        <f>[21]TONTMARS!$E$48</f>
        <v>40000</v>
      </c>
      <c r="AB8" s="26">
        <f>[21]TONTMARS!$K$49</f>
        <v>714000</v>
      </c>
      <c r="AC8" s="26">
        <f>[21]TONTMARS!$K$48</f>
        <v>0</v>
      </c>
      <c r="AD8" s="26">
        <f t="shared" si="5"/>
        <v>-194000</v>
      </c>
      <c r="AE8" s="79">
        <f t="shared" si="5"/>
        <v>40000</v>
      </c>
      <c r="AF8" s="26">
        <f>[25]TONTMARS!$E$35</f>
        <v>2400000</v>
      </c>
      <c r="AG8" s="26">
        <f>[25]TONTMARS!$E$34</f>
        <v>150000</v>
      </c>
      <c r="AH8" s="26">
        <f>[25]TONTMARS!$K$35</f>
        <v>3565000</v>
      </c>
      <c r="AI8" s="26">
        <f>[25]TONTMARS!$K$34</f>
        <v>0</v>
      </c>
      <c r="AJ8" s="26">
        <f t="shared" si="6"/>
        <v>-1165000</v>
      </c>
      <c r="AK8" s="79">
        <f t="shared" si="6"/>
        <v>150000</v>
      </c>
      <c r="AL8" s="26">
        <f t="shared" si="7"/>
        <v>5290000</v>
      </c>
      <c r="AM8" s="26">
        <f t="shared" si="0"/>
        <v>380000</v>
      </c>
      <c r="AN8" s="26">
        <f t="shared" si="0"/>
        <v>7082000</v>
      </c>
      <c r="AO8" s="26">
        <f t="shared" si="0"/>
        <v>0</v>
      </c>
      <c r="AP8" s="26">
        <f t="shared" si="8"/>
        <v>347000</v>
      </c>
      <c r="AQ8" s="79">
        <f t="shared" si="9"/>
        <v>2630000</v>
      </c>
    </row>
    <row r="9" spans="1:43" ht="18.75" x14ac:dyDescent="0.3">
      <c r="A9" s="78" t="s">
        <v>199</v>
      </c>
      <c r="B9" s="26">
        <f>[20]TONTAVRIL!$E$60</f>
        <v>200000</v>
      </c>
      <c r="C9" s="26">
        <f>[20]TONTAVRIL!$E$59</f>
        <v>70000</v>
      </c>
      <c r="D9" s="26">
        <f>[20]TONTAVRIL!$K$60</f>
        <v>119000</v>
      </c>
      <c r="E9" s="26">
        <f>[20]TONTAVRIL!$K$59</f>
        <v>0</v>
      </c>
      <c r="F9" s="26">
        <f t="shared" si="1"/>
        <v>81000</v>
      </c>
      <c r="G9" s="79">
        <f t="shared" si="1"/>
        <v>70000</v>
      </c>
      <c r="H9" s="26">
        <f>[21]TONTAVRIL!$E$49</f>
        <v>460000</v>
      </c>
      <c r="I9" s="26">
        <f>[21]TONTAVRIL!$E$48</f>
        <v>80000</v>
      </c>
      <c r="J9" s="26">
        <f>[21]TONTAVRIL!$K$49</f>
        <v>238000</v>
      </c>
      <c r="K9" s="26">
        <f>[21]TONTAVRIL!$K$48</f>
        <v>0</v>
      </c>
      <c r="L9" s="26">
        <f t="shared" si="2"/>
        <v>222000</v>
      </c>
      <c r="M9" s="79">
        <f t="shared" si="2"/>
        <v>80000</v>
      </c>
      <c r="N9" s="26">
        <f>[22]TONTAVRIL!$E$38</f>
        <v>420000</v>
      </c>
      <c r="O9" s="26">
        <f>[22]TONTAVRIL!$E$37</f>
        <v>60000</v>
      </c>
      <c r="P9" s="26">
        <f>[22]TONTAVRIL!$K$38</f>
        <v>342000</v>
      </c>
      <c r="Q9" s="26">
        <f>[22]TONTAVRIL!$K$37</f>
        <v>0</v>
      </c>
      <c r="R9" s="26">
        <f t="shared" si="3"/>
        <v>78000</v>
      </c>
      <c r="S9" s="79">
        <f t="shared" si="3"/>
        <v>60000</v>
      </c>
      <c r="T9" s="26">
        <f>[23]TONTAVRIL!$E$44</f>
        <v>1100000</v>
      </c>
      <c r="U9" s="26">
        <f>[23]TONTAVRIL!$E$43</f>
        <v>150000</v>
      </c>
      <c r="V9" s="26">
        <f>[23]TONTAVRIL!$K$44</f>
        <v>595000</v>
      </c>
      <c r="W9" s="26">
        <f>[23]TONTAVRIL!$K$43</f>
        <v>0</v>
      </c>
      <c r="X9" s="26">
        <f t="shared" si="4"/>
        <v>505000</v>
      </c>
      <c r="Y9" s="79">
        <f t="shared" si="4"/>
        <v>150000</v>
      </c>
      <c r="Z9" s="26">
        <f>[21]TONTAVRIL!$E$49</f>
        <v>460000</v>
      </c>
      <c r="AA9" s="26">
        <f>[21]TONTAVRIL!$E$48</f>
        <v>80000</v>
      </c>
      <c r="AB9" s="26">
        <f>[21]TONTAVRIL!$K$49</f>
        <v>238000</v>
      </c>
      <c r="AC9" s="26">
        <f>[21]TONTAVRIL!$K$48</f>
        <v>0</v>
      </c>
      <c r="AD9" s="26">
        <f t="shared" si="5"/>
        <v>222000</v>
      </c>
      <c r="AE9" s="79">
        <f t="shared" si="5"/>
        <v>80000</v>
      </c>
      <c r="AF9" s="26">
        <f>[25]TONTAVRIL!$E$35</f>
        <v>2100000</v>
      </c>
      <c r="AG9" s="26">
        <f>[25]TONTAVRIL!$E$34</f>
        <v>450000</v>
      </c>
      <c r="AH9" s="26">
        <f>[25]TONTAVRIL!$K$35</f>
        <v>1785000</v>
      </c>
      <c r="AI9" s="26">
        <f>[25]TONTAVRIL!$K$34</f>
        <v>0</v>
      </c>
      <c r="AJ9" s="26">
        <f t="shared" si="6"/>
        <v>315000</v>
      </c>
      <c r="AK9" s="79">
        <f t="shared" si="6"/>
        <v>450000</v>
      </c>
      <c r="AL9" s="26">
        <f t="shared" si="7"/>
        <v>4740000</v>
      </c>
      <c r="AM9" s="26">
        <f t="shared" si="0"/>
        <v>890000</v>
      </c>
      <c r="AN9" s="26">
        <f t="shared" si="0"/>
        <v>3317000</v>
      </c>
      <c r="AO9" s="26">
        <f t="shared" si="0"/>
        <v>0</v>
      </c>
      <c r="AP9" s="26">
        <f t="shared" si="8"/>
        <v>1770000</v>
      </c>
      <c r="AQ9" s="79">
        <f t="shared" si="9"/>
        <v>3520000</v>
      </c>
    </row>
    <row r="10" spans="1:43" ht="18.75" x14ac:dyDescent="0.3">
      <c r="A10" s="78" t="s">
        <v>200</v>
      </c>
      <c r="B10" s="26">
        <f>[20]TONTMAI!$E$60</f>
        <v>230000</v>
      </c>
      <c r="C10" s="26">
        <f>[20]TONTMAI!$E$59</f>
        <v>40000</v>
      </c>
      <c r="D10" s="26">
        <f>[20]TONTMAI!$K$60</f>
        <v>238000</v>
      </c>
      <c r="E10" s="26">
        <f>[20]TONTMAI!$K$59</f>
        <v>0</v>
      </c>
      <c r="F10" s="26">
        <f t="shared" si="1"/>
        <v>-8000</v>
      </c>
      <c r="G10" s="79">
        <f t="shared" si="1"/>
        <v>40000</v>
      </c>
      <c r="H10" s="26">
        <f>[21]TONTMAI!$E$49</f>
        <v>500000</v>
      </c>
      <c r="I10" s="26">
        <f>[21]TONTMAI!$E$48</f>
        <v>60000</v>
      </c>
      <c r="J10" s="26">
        <f>[21]TONTMAI!$K$49</f>
        <v>475000</v>
      </c>
      <c r="K10" s="26">
        <f>[21]TONTMAI!$K$48</f>
        <v>0</v>
      </c>
      <c r="L10" s="26">
        <f t="shared" si="2"/>
        <v>25000</v>
      </c>
      <c r="M10" s="79">
        <f t="shared" si="2"/>
        <v>60000</v>
      </c>
      <c r="N10" s="26">
        <f>[22]TONTMAI!$E$38</f>
        <v>360000</v>
      </c>
      <c r="O10" s="26">
        <f>[22]TONTMAI!$E$37</f>
        <v>90000</v>
      </c>
      <c r="P10" s="26">
        <f>[22]TONTMAI!$K$38</f>
        <v>342000</v>
      </c>
      <c r="Q10" s="26">
        <f>[22]TONTMAI!$K$37</f>
        <v>0</v>
      </c>
      <c r="R10" s="26">
        <f t="shared" si="3"/>
        <v>18000</v>
      </c>
      <c r="S10" s="79">
        <f t="shared" si="3"/>
        <v>90000</v>
      </c>
      <c r="T10" s="26">
        <f>[23]TONTMAI!$E$44</f>
        <v>1100000</v>
      </c>
      <c r="U10" s="26">
        <f>[23]TONTMAI!$E$43</f>
        <v>100000</v>
      </c>
      <c r="V10" s="26">
        <f>[23]TONTMAI!$K$44</f>
        <v>0</v>
      </c>
      <c r="W10" s="26">
        <f>[23]TONTMAI!$K$43</f>
        <v>0</v>
      </c>
      <c r="X10" s="26">
        <f t="shared" si="4"/>
        <v>1100000</v>
      </c>
      <c r="Y10" s="79">
        <f t="shared" si="4"/>
        <v>100000</v>
      </c>
      <c r="Z10" s="26">
        <f>[21]TONTMAI!$E$49</f>
        <v>500000</v>
      </c>
      <c r="AA10" s="26">
        <f>[21]TONTMAI!$E$48</f>
        <v>60000</v>
      </c>
      <c r="AB10" s="26">
        <f>[21]TONTMAI!$K$49</f>
        <v>475000</v>
      </c>
      <c r="AC10" s="26">
        <f>[21]TONTMAI!$K$48</f>
        <v>0</v>
      </c>
      <c r="AD10" s="26">
        <f t="shared" si="5"/>
        <v>25000</v>
      </c>
      <c r="AE10" s="79">
        <f t="shared" si="5"/>
        <v>60000</v>
      </c>
      <c r="AF10" s="26">
        <f>[25]TONTMAI!$E$35</f>
        <v>2100000</v>
      </c>
      <c r="AG10" s="26">
        <f>[25]TONTMAI!$E$34</f>
        <v>450000</v>
      </c>
      <c r="AH10" s="26">
        <f>[25]TONTMAI!$K$35</f>
        <v>3570000</v>
      </c>
      <c r="AI10" s="26">
        <f>[25]TONTMAI!$K$34</f>
        <v>0</v>
      </c>
      <c r="AJ10" s="26">
        <f t="shared" si="6"/>
        <v>-1470000</v>
      </c>
      <c r="AK10" s="79">
        <f t="shared" si="6"/>
        <v>450000</v>
      </c>
      <c r="AL10" s="26">
        <f t="shared" si="7"/>
        <v>4790000</v>
      </c>
      <c r="AM10" s="26">
        <f t="shared" si="0"/>
        <v>800000</v>
      </c>
      <c r="AN10" s="26">
        <f t="shared" si="0"/>
        <v>5100000</v>
      </c>
      <c r="AO10" s="26">
        <f t="shared" si="0"/>
        <v>0</v>
      </c>
      <c r="AP10" s="26">
        <f t="shared" si="8"/>
        <v>1460000</v>
      </c>
      <c r="AQ10" s="79">
        <f t="shared" si="9"/>
        <v>4320000</v>
      </c>
    </row>
    <row r="11" spans="1:43" ht="18.75" x14ac:dyDescent="0.3">
      <c r="A11" s="78" t="s">
        <v>201</v>
      </c>
      <c r="B11" s="26">
        <f>[20]TONTJUIN!$E$60</f>
        <v>220000</v>
      </c>
      <c r="C11" s="26">
        <f>[20]TONTJUIN!$E$59</f>
        <v>60000</v>
      </c>
      <c r="D11" s="26">
        <f>[20]TONTJUIN!$K$60</f>
        <v>0</v>
      </c>
      <c r="E11" s="26">
        <f>[20]TONTJUIN!$K$59</f>
        <v>0</v>
      </c>
      <c r="F11" s="26">
        <f t="shared" si="1"/>
        <v>220000</v>
      </c>
      <c r="G11" s="79">
        <f t="shared" si="1"/>
        <v>60000</v>
      </c>
      <c r="H11" s="26">
        <f>[21]TONTJUIN!$E$49</f>
        <v>420000</v>
      </c>
      <c r="I11" s="26">
        <f>[21]TONTJUIN!$E$48</f>
        <v>120000</v>
      </c>
      <c r="J11" s="26">
        <f>[21]TONTJUIN!$K$49</f>
        <v>476000</v>
      </c>
      <c r="K11" s="26">
        <f>[21]TONTJUIN!$K$48</f>
        <v>0</v>
      </c>
      <c r="L11" s="26">
        <f t="shared" si="2"/>
        <v>-56000</v>
      </c>
      <c r="M11" s="79">
        <f t="shared" si="2"/>
        <v>120000</v>
      </c>
      <c r="N11" s="26">
        <f>[22]TONTJUIN!$E$38</f>
        <v>390000</v>
      </c>
      <c r="O11" s="26">
        <f>[22]TONTJUIN!$E$37</f>
        <v>90000</v>
      </c>
      <c r="P11" s="26">
        <f>[22]TONTJUIN!$K$38</f>
        <v>357000</v>
      </c>
      <c r="Q11" s="26">
        <f>[22]TONTJUIN!$K$37</f>
        <v>0</v>
      </c>
      <c r="R11" s="26">
        <f t="shared" si="3"/>
        <v>33000</v>
      </c>
      <c r="S11" s="79">
        <f t="shared" si="3"/>
        <v>90000</v>
      </c>
      <c r="T11" s="26">
        <f>[23]TONTJUIN!$E$44</f>
        <v>1100000</v>
      </c>
      <c r="U11" s="26">
        <f>[23]TONTJUIN!$E$43</f>
        <v>100000</v>
      </c>
      <c r="V11" s="26">
        <f>[23]TONTJUIN!$K$44</f>
        <v>595000</v>
      </c>
      <c r="W11" s="26">
        <f>[23]TONTJUIN!$K$43</f>
        <v>0</v>
      </c>
      <c r="X11" s="26">
        <f t="shared" si="4"/>
        <v>505000</v>
      </c>
      <c r="Y11" s="79">
        <f t="shared" si="4"/>
        <v>100000</v>
      </c>
      <c r="Z11" s="26">
        <f>[21]TONTJUIN!$E$49</f>
        <v>420000</v>
      </c>
      <c r="AA11" s="26">
        <f>[21]TONTJUIN!$E$48</f>
        <v>120000</v>
      </c>
      <c r="AB11" s="26">
        <f>[21]TONTJUIN!$K$49</f>
        <v>476000</v>
      </c>
      <c r="AC11" s="26">
        <f>[21]TONTJUIN!$K$48</f>
        <v>0</v>
      </c>
      <c r="AD11" s="26">
        <f t="shared" si="5"/>
        <v>-56000</v>
      </c>
      <c r="AE11" s="79">
        <f t="shared" si="5"/>
        <v>120000</v>
      </c>
      <c r="AF11" s="26">
        <f>[25]TONTJUIN!$E$35</f>
        <v>1950000</v>
      </c>
      <c r="AG11" s="26">
        <f>[25]TONTJUIN!$E$34</f>
        <v>600000</v>
      </c>
      <c r="AH11" s="26">
        <f>[25]TONTJUIN!$K$35</f>
        <v>0</v>
      </c>
      <c r="AI11" s="26">
        <f>[25]TONTJUIN!$K$34</f>
        <v>0</v>
      </c>
      <c r="AJ11" s="26">
        <f t="shared" si="6"/>
        <v>1950000</v>
      </c>
      <c r="AK11" s="79">
        <f t="shared" si="6"/>
        <v>600000</v>
      </c>
      <c r="AL11" s="26">
        <f t="shared" si="7"/>
        <v>4500000</v>
      </c>
      <c r="AM11" s="26">
        <f t="shared" si="0"/>
        <v>1090000</v>
      </c>
      <c r="AN11" s="26">
        <f t="shared" si="0"/>
        <v>1904000</v>
      </c>
      <c r="AO11" s="26">
        <f t="shared" si="0"/>
        <v>0</v>
      </c>
      <c r="AP11" s="26">
        <f t="shared" si="8"/>
        <v>4056000</v>
      </c>
      <c r="AQ11" s="79">
        <f t="shared" si="9"/>
        <v>5410000</v>
      </c>
    </row>
    <row r="12" spans="1:43" ht="18.75" x14ac:dyDescent="0.3">
      <c r="A12" s="78" t="s">
        <v>202</v>
      </c>
      <c r="B12" s="26">
        <f>[20]TONTJUIL!$E$60</f>
        <v>190000</v>
      </c>
      <c r="C12" s="26">
        <f>[20]TONTJUIL!$E$59</f>
        <v>80000</v>
      </c>
      <c r="D12" s="26">
        <f>[20]TONTJUIL!$K$60</f>
        <v>238000</v>
      </c>
      <c r="E12" s="26">
        <f>[20]TONTJUIL!$K$59</f>
        <v>0</v>
      </c>
      <c r="F12" s="26">
        <f t="shared" si="1"/>
        <v>-48000</v>
      </c>
      <c r="G12" s="79">
        <f t="shared" si="1"/>
        <v>80000</v>
      </c>
      <c r="H12" s="26">
        <f>[21]TONTJUIL!$E$49</f>
        <v>420000</v>
      </c>
      <c r="I12" s="26">
        <f>[21]TONTJUIL!$E$48</f>
        <v>140000</v>
      </c>
      <c r="J12" s="26">
        <f>[21]TONTJUIL!$K$49</f>
        <v>476000</v>
      </c>
      <c r="K12" s="26">
        <f>[21]TONTJUIL!$K$48</f>
        <v>0</v>
      </c>
      <c r="L12" s="26">
        <f t="shared" si="2"/>
        <v>-56000</v>
      </c>
      <c r="M12" s="79">
        <f t="shared" si="2"/>
        <v>140000</v>
      </c>
      <c r="N12" s="26">
        <f>[22]TONTJUIL!$E$38</f>
        <v>270000</v>
      </c>
      <c r="O12" s="26">
        <f>[22]TONTJUIL!$E$37</f>
        <v>150000</v>
      </c>
      <c r="P12" s="26">
        <f>[22]TONTJUIL!$K$38</f>
        <v>0</v>
      </c>
      <c r="Q12" s="26">
        <f>[22]TONTJUIL!$K$37</f>
        <v>0</v>
      </c>
      <c r="R12" s="26">
        <f t="shared" si="3"/>
        <v>270000</v>
      </c>
      <c r="S12" s="79">
        <f t="shared" si="3"/>
        <v>150000</v>
      </c>
      <c r="T12" s="26">
        <f>[23]TONTJUIL!$E$44</f>
        <v>1050000</v>
      </c>
      <c r="U12" s="26">
        <f>[23]TONTJUIL!$E$43</f>
        <v>150000</v>
      </c>
      <c r="V12" s="26">
        <f>[23]TONTJUIL!$K$44</f>
        <v>1710000</v>
      </c>
      <c r="W12" s="26">
        <f>[23]TONTJUIL!$K$43</f>
        <v>0</v>
      </c>
      <c r="X12" s="26">
        <f t="shared" si="4"/>
        <v>-660000</v>
      </c>
      <c r="Y12" s="79">
        <f t="shared" si="4"/>
        <v>150000</v>
      </c>
      <c r="Z12" s="26">
        <f>[21]TONTJUIL!$E$49</f>
        <v>420000</v>
      </c>
      <c r="AA12" s="26">
        <f>[21]TONTJUIL!$E$48</f>
        <v>140000</v>
      </c>
      <c r="AB12" s="26">
        <f>[21]TONTJUIL!$K$49</f>
        <v>476000</v>
      </c>
      <c r="AC12" s="26">
        <f>[21]TONTJUIL!$K$48</f>
        <v>0</v>
      </c>
      <c r="AD12" s="26">
        <f t="shared" si="5"/>
        <v>-56000</v>
      </c>
      <c r="AE12" s="79">
        <f t="shared" si="5"/>
        <v>140000</v>
      </c>
      <c r="AF12" s="26">
        <f>[25]TONTJUIL!$E$35</f>
        <v>2400000</v>
      </c>
      <c r="AG12" s="26">
        <f>[25]TONTJUIL!$E$34</f>
        <v>150000</v>
      </c>
      <c r="AH12" s="26">
        <f>[25]TONTJUIL!$K$35</f>
        <v>3530000</v>
      </c>
      <c r="AI12" s="26">
        <f>[25]TONTJUIL!$K$34</f>
        <v>0</v>
      </c>
      <c r="AJ12" s="26">
        <f t="shared" si="6"/>
        <v>-1130000</v>
      </c>
      <c r="AK12" s="79">
        <f t="shared" si="6"/>
        <v>150000</v>
      </c>
      <c r="AL12" s="26">
        <f t="shared" si="7"/>
        <v>4750000</v>
      </c>
      <c r="AM12" s="26">
        <f t="shared" si="0"/>
        <v>810000</v>
      </c>
      <c r="AN12" s="26">
        <f t="shared" si="0"/>
        <v>6430000</v>
      </c>
      <c r="AO12" s="26">
        <f t="shared" si="0"/>
        <v>0</v>
      </c>
      <c r="AP12" s="26">
        <f t="shared" si="8"/>
        <v>2376000</v>
      </c>
      <c r="AQ12" s="79">
        <f t="shared" si="9"/>
        <v>6220000</v>
      </c>
    </row>
    <row r="13" spans="1:43" ht="18.75" x14ac:dyDescent="0.3">
      <c r="A13" s="78" t="s">
        <v>203</v>
      </c>
      <c r="B13" s="26">
        <f>[20]TONTAOUT!$E$60</f>
        <v>200000</v>
      </c>
      <c r="C13" s="26">
        <f>[20]TONTAOUT!$E$59</f>
        <v>70000</v>
      </c>
      <c r="D13" s="26">
        <f>[20]TONTAOUT!$K$60</f>
        <v>0</v>
      </c>
      <c r="E13" s="26">
        <f>[20]TONTAOUT!$K$59</f>
        <v>0</v>
      </c>
      <c r="F13" s="26">
        <f t="shared" si="1"/>
        <v>200000</v>
      </c>
      <c r="G13" s="79">
        <f t="shared" si="1"/>
        <v>70000</v>
      </c>
      <c r="H13" s="26">
        <f>[21]TONTAOUT!$E$49</f>
        <v>380000</v>
      </c>
      <c r="I13" s="26">
        <f>[21]TONTAOUT!$E$48</f>
        <v>180000</v>
      </c>
      <c r="J13" s="26">
        <f>[21]TONTAOUT!$K$49</f>
        <v>0</v>
      </c>
      <c r="K13" s="26">
        <f>[21]TONTAOUT!$K$48</f>
        <v>0</v>
      </c>
      <c r="L13" s="26">
        <f t="shared" si="2"/>
        <v>380000</v>
      </c>
      <c r="M13" s="79">
        <f t="shared" si="2"/>
        <v>180000</v>
      </c>
      <c r="N13" s="26">
        <f>[22]TONTAOUT!$E$38</f>
        <v>270000</v>
      </c>
      <c r="O13" s="26">
        <f>[22]TONTAOUT!$E$37</f>
        <v>180000</v>
      </c>
      <c r="P13" s="26">
        <f>[22]TONTAOUT!$K$38</f>
        <v>357000</v>
      </c>
      <c r="Q13" s="26">
        <f>[22]TONTAOUT!$K$37</f>
        <v>0</v>
      </c>
      <c r="R13" s="26">
        <f t="shared" si="3"/>
        <v>-87000</v>
      </c>
      <c r="S13" s="79">
        <f t="shared" si="3"/>
        <v>180000</v>
      </c>
      <c r="T13" s="26">
        <f>[23]TONTAOUT!$E$44</f>
        <v>1050000</v>
      </c>
      <c r="U13" s="26">
        <f>[23]TONTAOUT!$E$43</f>
        <v>150000</v>
      </c>
      <c r="V13" s="26">
        <f>[23]TONTAOUT!$K$44</f>
        <v>0</v>
      </c>
      <c r="W13" s="26">
        <f>[23]TONTAOUT!$K$43</f>
        <v>0</v>
      </c>
      <c r="X13" s="26">
        <f t="shared" si="4"/>
        <v>1050000</v>
      </c>
      <c r="Y13" s="79">
        <f t="shared" si="4"/>
        <v>150000</v>
      </c>
      <c r="Z13" s="26">
        <f>[21]TONTAOUT!$E$49</f>
        <v>380000</v>
      </c>
      <c r="AA13" s="26">
        <f>[21]TONTAOUT!$E$48</f>
        <v>180000</v>
      </c>
      <c r="AB13" s="26">
        <f>[21]TONTAOUT!$K$49</f>
        <v>0</v>
      </c>
      <c r="AC13" s="26">
        <f>[21]TONTAOUT!$K$48</f>
        <v>0</v>
      </c>
      <c r="AD13" s="26">
        <f t="shared" si="5"/>
        <v>380000</v>
      </c>
      <c r="AE13" s="79">
        <f t="shared" si="5"/>
        <v>180000</v>
      </c>
      <c r="AF13" s="26">
        <f>[25]TONTAOUT!$E$35</f>
        <v>2250000</v>
      </c>
      <c r="AG13" s="26">
        <f>[25]TONTAOUT!$E$34</f>
        <v>300000</v>
      </c>
      <c r="AH13" s="26">
        <f>[25]TONTAOUT!$K$35</f>
        <v>1785000</v>
      </c>
      <c r="AI13" s="26">
        <f>[25]TONTAOUT!$K$34</f>
        <v>0</v>
      </c>
      <c r="AJ13" s="26">
        <f t="shared" si="6"/>
        <v>465000</v>
      </c>
      <c r="AK13" s="79">
        <f t="shared" si="6"/>
        <v>300000</v>
      </c>
      <c r="AL13" s="26">
        <f t="shared" si="7"/>
        <v>4530000</v>
      </c>
      <c r="AM13" s="26">
        <f t="shared" si="0"/>
        <v>1060000</v>
      </c>
      <c r="AN13" s="26">
        <f t="shared" si="0"/>
        <v>2142000</v>
      </c>
      <c r="AO13" s="26">
        <f t="shared" si="0"/>
        <v>0</v>
      </c>
      <c r="AP13" s="26">
        <f t="shared" si="8"/>
        <v>4764000</v>
      </c>
      <c r="AQ13" s="79">
        <f t="shared" si="9"/>
        <v>7280000</v>
      </c>
    </row>
    <row r="14" spans="1:43" ht="18.75" x14ac:dyDescent="0.3">
      <c r="A14" s="78" t="s">
        <v>204</v>
      </c>
      <c r="B14" s="26">
        <f>[20]TONTSEPT!$E$60</f>
        <v>170000</v>
      </c>
      <c r="C14" s="26">
        <f>[20]TONTSEPT!$E$59</f>
        <v>80000</v>
      </c>
      <c r="D14" s="26">
        <f>[20]TONTSEPT!$K$60</f>
        <v>0</v>
      </c>
      <c r="E14" s="26">
        <f>[20]TONTSEPT!$K$59</f>
        <v>0</v>
      </c>
      <c r="F14" s="26">
        <f t="shared" si="1"/>
        <v>170000</v>
      </c>
      <c r="G14" s="79">
        <f t="shared" si="1"/>
        <v>80000</v>
      </c>
      <c r="H14" s="26">
        <f>[21]TONTSEPT!$E$49</f>
        <v>380000</v>
      </c>
      <c r="I14" s="26">
        <f>[21]TONTSEPT!$E$48</f>
        <v>140000</v>
      </c>
      <c r="J14" s="26">
        <f>[21]TONTSEPT!$K$49</f>
        <v>238000</v>
      </c>
      <c r="K14" s="26">
        <f>[21]TONTSEPT!$K$48</f>
        <v>0</v>
      </c>
      <c r="L14" s="26">
        <f t="shared" si="2"/>
        <v>142000</v>
      </c>
      <c r="M14" s="79">
        <f t="shared" si="2"/>
        <v>140000</v>
      </c>
      <c r="N14" s="26">
        <f>[22]TONTSEPT!$E$38</f>
        <v>330000</v>
      </c>
      <c r="O14" s="26">
        <f>[22]TONTSEPT!$E$37</f>
        <v>120000</v>
      </c>
      <c r="P14" s="26">
        <f>[22]TONTSEPT!$K$38</f>
        <v>0</v>
      </c>
      <c r="Q14" s="26">
        <f>[22]TONTSEPT!$K$37</f>
        <v>0</v>
      </c>
      <c r="R14" s="26">
        <f t="shared" si="3"/>
        <v>330000</v>
      </c>
      <c r="S14" s="79">
        <f t="shared" si="3"/>
        <v>120000</v>
      </c>
      <c r="T14" s="26">
        <f>[23]TONTSEPT!$E$44</f>
        <v>1000000</v>
      </c>
      <c r="U14" s="26">
        <f>[23]TONTSEPT!$E$43</f>
        <v>250000</v>
      </c>
      <c r="V14" s="26">
        <f>[23]TONTSEPT!$K$44</f>
        <v>595000</v>
      </c>
      <c r="W14" s="26">
        <f>[23]TONTSEPT!$K$43</f>
        <v>0</v>
      </c>
      <c r="X14" s="26">
        <f t="shared" si="4"/>
        <v>405000</v>
      </c>
      <c r="Y14" s="79">
        <f t="shared" si="4"/>
        <v>250000</v>
      </c>
      <c r="Z14" s="26">
        <f>[21]TONTSEPT!$E$49</f>
        <v>380000</v>
      </c>
      <c r="AA14" s="26">
        <f>[21]TONTSEPT!$E$48</f>
        <v>140000</v>
      </c>
      <c r="AB14" s="26">
        <f>[21]TONTSEPT!$K$49</f>
        <v>238000</v>
      </c>
      <c r="AC14" s="26">
        <f>[21]TONTSEPT!$K$48</f>
        <v>0</v>
      </c>
      <c r="AD14" s="26">
        <f t="shared" si="5"/>
        <v>142000</v>
      </c>
      <c r="AE14" s="79">
        <f t="shared" si="5"/>
        <v>140000</v>
      </c>
      <c r="AF14" s="26">
        <f>[25]TONTSEPT!$E$35</f>
        <v>2250000</v>
      </c>
      <c r="AG14" s="26">
        <f>[25]TONTSEPT!$E$34</f>
        <v>300000</v>
      </c>
      <c r="AH14" s="26">
        <f>[25]TONTSEPT!$K$35</f>
        <v>0</v>
      </c>
      <c r="AI14" s="26">
        <f>[25]TONTSEPT!$K$34</f>
        <v>0</v>
      </c>
      <c r="AJ14" s="26">
        <f t="shared" si="6"/>
        <v>2250000</v>
      </c>
      <c r="AK14" s="79">
        <f t="shared" si="6"/>
        <v>300000</v>
      </c>
      <c r="AL14" s="26">
        <f t="shared" si="7"/>
        <v>4510000</v>
      </c>
      <c r="AM14" s="26">
        <f t="shared" si="0"/>
        <v>1030000</v>
      </c>
      <c r="AN14" s="26">
        <f t="shared" si="0"/>
        <v>1071000</v>
      </c>
      <c r="AO14" s="26">
        <f t="shared" si="0"/>
        <v>0</v>
      </c>
      <c r="AP14" s="26">
        <f t="shared" si="8"/>
        <v>8203000</v>
      </c>
      <c r="AQ14" s="79">
        <f t="shared" si="9"/>
        <v>8310000</v>
      </c>
    </row>
    <row r="15" spans="1:43" ht="18.75" x14ac:dyDescent="0.3">
      <c r="A15" s="78" t="s">
        <v>205</v>
      </c>
      <c r="B15" s="26">
        <f>[20]TONTOCT!$E$60</f>
        <v>170000</v>
      </c>
      <c r="C15" s="26">
        <f>[20]TONTOCT!$E$59</f>
        <v>80000</v>
      </c>
      <c r="D15" s="26">
        <f>[20]TONTOCT!$K$60</f>
        <v>0</v>
      </c>
      <c r="E15" s="26">
        <f>[20]TONTOCT!$K$59</f>
        <v>0</v>
      </c>
      <c r="F15" s="26">
        <f t="shared" si="1"/>
        <v>170000</v>
      </c>
      <c r="G15" s="79">
        <f t="shared" si="1"/>
        <v>80000</v>
      </c>
      <c r="H15" s="26">
        <f>[21]TONTOCT!$E$49</f>
        <v>400000</v>
      </c>
      <c r="I15" s="26">
        <f>[21]TONTOCT!$E$48</f>
        <v>140000</v>
      </c>
      <c r="J15" s="26">
        <f>[21]TONTOCT!$K$49</f>
        <v>1428000</v>
      </c>
      <c r="K15" s="26">
        <f>[21]TONTOCT!$K$48</f>
        <v>0</v>
      </c>
      <c r="L15" s="26">
        <f t="shared" si="2"/>
        <v>-1028000</v>
      </c>
      <c r="M15" s="79">
        <f t="shared" si="2"/>
        <v>140000</v>
      </c>
      <c r="N15" s="26">
        <f>[22]TONTOCT!$E$38</f>
        <v>300000</v>
      </c>
      <c r="O15" s="26">
        <f>[22]TONTOCT!$E$37</f>
        <v>120000</v>
      </c>
      <c r="P15" s="26">
        <f>[22]TONTOCT!$K$38</f>
        <v>357000</v>
      </c>
      <c r="Q15" s="26">
        <f>[22]TONTOCT!$K$37</f>
        <v>0</v>
      </c>
      <c r="R15" s="26">
        <f t="shared" si="3"/>
        <v>-57000</v>
      </c>
      <c r="S15" s="79">
        <f t="shared" si="3"/>
        <v>120000</v>
      </c>
      <c r="T15" s="26">
        <f>[23]TONTOCT!$E$44</f>
        <v>1050000</v>
      </c>
      <c r="U15" s="26">
        <f>[23]TONTOCT!$E$43</f>
        <v>200000</v>
      </c>
      <c r="V15" s="26">
        <f>[23]TONTOCT!$K$44</f>
        <v>2380000</v>
      </c>
      <c r="W15" s="26">
        <f>[23]TONTOCT!$K$43</f>
        <v>0</v>
      </c>
      <c r="X15" s="26">
        <f t="shared" si="4"/>
        <v>-1330000</v>
      </c>
      <c r="Y15" s="79">
        <f t="shared" si="4"/>
        <v>200000</v>
      </c>
      <c r="Z15" s="26">
        <f>[21]TONTOCT!$E$49</f>
        <v>400000</v>
      </c>
      <c r="AA15" s="26">
        <f>[21]TONTOCT!$E$48</f>
        <v>140000</v>
      </c>
      <c r="AB15" s="26">
        <f>[21]TONTOCT!$K$49</f>
        <v>1428000</v>
      </c>
      <c r="AC15" s="26">
        <f>[21]TONTOCT!$K$48</f>
        <v>0</v>
      </c>
      <c r="AD15" s="26">
        <f t="shared" si="5"/>
        <v>-1028000</v>
      </c>
      <c r="AE15" s="79">
        <f t="shared" si="5"/>
        <v>140000</v>
      </c>
      <c r="AF15" s="26">
        <f>[25]TONTOCT!$E$35</f>
        <v>2250000</v>
      </c>
      <c r="AG15" s="26">
        <f>[25]TONTOCT!$E$34</f>
        <v>300000</v>
      </c>
      <c r="AH15" s="26">
        <f>[25]TONTOCT!$K$35</f>
        <v>3570000</v>
      </c>
      <c r="AI15" s="26">
        <f>[25]TONTOCT!$K$34</f>
        <v>0</v>
      </c>
      <c r="AJ15" s="26">
        <f t="shared" si="6"/>
        <v>-1320000</v>
      </c>
      <c r="AK15" s="79">
        <f t="shared" si="6"/>
        <v>300000</v>
      </c>
      <c r="AL15" s="26">
        <f t="shared" si="7"/>
        <v>4570000</v>
      </c>
      <c r="AM15" s="26">
        <f t="shared" si="0"/>
        <v>980000</v>
      </c>
      <c r="AN15" s="26">
        <f t="shared" si="0"/>
        <v>9163000</v>
      </c>
      <c r="AO15" s="26">
        <f t="shared" si="0"/>
        <v>0</v>
      </c>
      <c r="AP15" s="26">
        <f t="shared" si="8"/>
        <v>3610000</v>
      </c>
      <c r="AQ15" s="79">
        <f t="shared" si="9"/>
        <v>9290000</v>
      </c>
    </row>
    <row r="16" spans="1:43" ht="18.75" x14ac:dyDescent="0.3">
      <c r="A16" s="78" t="s">
        <v>206</v>
      </c>
      <c r="B16" s="26">
        <f>[20]TONTNOV20!$E$60</f>
        <v>180000</v>
      </c>
      <c r="C16" s="26">
        <f>[20]TONTNOV20!$E$59</f>
        <v>60000</v>
      </c>
      <c r="D16" s="26">
        <f>[20]TONTNOV20!$K$60</f>
        <v>476000</v>
      </c>
      <c r="E16" s="26">
        <f>[20]TONTNOV20!$K$59</f>
        <v>0</v>
      </c>
      <c r="F16" s="26">
        <f t="shared" si="1"/>
        <v>-296000</v>
      </c>
      <c r="G16" s="79">
        <f t="shared" si="1"/>
        <v>60000</v>
      </c>
      <c r="H16" s="26">
        <f>[21]TONTNOV20!$E$49</f>
        <v>360000</v>
      </c>
      <c r="I16" s="26">
        <f>[21]TONTNOV20!$E$48</f>
        <v>160000</v>
      </c>
      <c r="J16" s="26">
        <f>[21]TONTNOV20!$K$49</f>
        <v>237000</v>
      </c>
      <c r="K16" s="26">
        <f>[21]TONTNOV20!$K$48</f>
        <v>0</v>
      </c>
      <c r="L16" s="26">
        <f t="shared" si="2"/>
        <v>123000</v>
      </c>
      <c r="M16" s="79">
        <f t="shared" si="2"/>
        <v>160000</v>
      </c>
      <c r="N16" s="26">
        <f>[22]TONTNOV20!$E$38</f>
        <v>330000</v>
      </c>
      <c r="O16" s="26">
        <f>[22]TONTNOV20!$E$37</f>
        <v>120000</v>
      </c>
      <c r="P16" s="26">
        <f>[22]TONTNOV20!$K$38</f>
        <v>714000</v>
      </c>
      <c r="Q16" s="26">
        <f>[22]TONTNOV20!$K$37</f>
        <v>0</v>
      </c>
      <c r="R16" s="26">
        <f t="shared" si="3"/>
        <v>-384000</v>
      </c>
      <c r="S16" s="79">
        <f t="shared" si="3"/>
        <v>120000</v>
      </c>
      <c r="T16" s="26">
        <f>[23]TONTNOV20!$E$44</f>
        <v>1050000</v>
      </c>
      <c r="U16" s="26">
        <f>[23]TONTNOV20!$E$43</f>
        <v>200000</v>
      </c>
      <c r="V16" s="26">
        <f>[23]TONTNOV20!$K$44</f>
        <v>1780000</v>
      </c>
      <c r="W16" s="26">
        <f>[23]TONTNOV20!$K$43</f>
        <v>0</v>
      </c>
      <c r="X16" s="26">
        <f t="shared" si="4"/>
        <v>-730000</v>
      </c>
      <c r="Y16" s="79">
        <f t="shared" si="4"/>
        <v>200000</v>
      </c>
      <c r="Z16" s="26">
        <f>[21]TONTNOV20!$E$49</f>
        <v>360000</v>
      </c>
      <c r="AA16" s="26">
        <f>[21]TONTNOV20!$E$48</f>
        <v>160000</v>
      </c>
      <c r="AB16" s="26">
        <f>[21]TONTNOV20!$K$49</f>
        <v>237000</v>
      </c>
      <c r="AC16" s="26">
        <f>[21]TONTNOV20!$K$48</f>
        <v>0</v>
      </c>
      <c r="AD16" s="26">
        <f t="shared" si="5"/>
        <v>123000</v>
      </c>
      <c r="AE16" s="79">
        <f t="shared" si="5"/>
        <v>160000</v>
      </c>
      <c r="AF16" s="26">
        <f>[25]TONTNOV20!$E$35</f>
        <v>2400000</v>
      </c>
      <c r="AG16" s="26">
        <f>[25]TONTNOV20!$E$34</f>
        <v>150000</v>
      </c>
      <c r="AH16" s="26">
        <f>[25]TONTNOV20!$K$35</f>
        <v>0</v>
      </c>
      <c r="AI16" s="26">
        <f>[25]TONTNOV20!$K$34</f>
        <v>0</v>
      </c>
      <c r="AJ16" s="26">
        <f t="shared" si="6"/>
        <v>2400000</v>
      </c>
      <c r="AK16" s="79">
        <f t="shared" si="6"/>
        <v>150000</v>
      </c>
      <c r="AL16" s="26">
        <f t="shared" si="7"/>
        <v>4680000</v>
      </c>
      <c r="AM16" s="26">
        <f t="shared" si="0"/>
        <v>850000</v>
      </c>
      <c r="AN16" s="26">
        <f t="shared" si="0"/>
        <v>3444000</v>
      </c>
      <c r="AO16" s="26">
        <f t="shared" si="0"/>
        <v>0</v>
      </c>
      <c r="AP16" s="26">
        <f t="shared" si="8"/>
        <v>4846000</v>
      </c>
      <c r="AQ16" s="79">
        <f t="shared" si="9"/>
        <v>10140000</v>
      </c>
    </row>
    <row r="17" spans="1:43" ht="18.75" x14ac:dyDescent="0.3">
      <c r="A17" s="78" t="s">
        <v>207</v>
      </c>
      <c r="B17" s="26">
        <f>[20]TONTDEC20!$E$60</f>
        <v>160000</v>
      </c>
      <c r="C17" s="26">
        <f>[20]TONTDEC20!$E$59</f>
        <v>60000</v>
      </c>
      <c r="D17" s="26">
        <f>[20]TONTDEC20!$K$60</f>
        <v>714000</v>
      </c>
      <c r="E17" s="26">
        <f>[20]TONTDEC20!$K$59</f>
        <v>0</v>
      </c>
      <c r="F17" s="26">
        <f t="shared" si="1"/>
        <v>-554000</v>
      </c>
      <c r="G17" s="79">
        <f t="shared" si="1"/>
        <v>60000</v>
      </c>
      <c r="H17" s="26">
        <f>[21]TONTDEC20!$E$49</f>
        <v>360000</v>
      </c>
      <c r="I17" s="26">
        <f>[21]TONTDEC20!$E$48</f>
        <v>80000</v>
      </c>
      <c r="J17" s="26">
        <f>[21]TONTDEC20!$K$49</f>
        <v>1426000</v>
      </c>
      <c r="K17" s="26">
        <f>[21]TONTDEC20!$K$48</f>
        <v>0</v>
      </c>
      <c r="L17" s="26">
        <f t="shared" si="2"/>
        <v>-1066000</v>
      </c>
      <c r="M17" s="79">
        <f t="shared" si="2"/>
        <v>80000</v>
      </c>
      <c r="N17" s="26">
        <f>[22]TONTDEC20!$E$38</f>
        <v>300000</v>
      </c>
      <c r="O17" s="26">
        <f>[22]TONTDEC20!$E$37</f>
        <v>60000</v>
      </c>
      <c r="P17" s="26">
        <f>[22]TONTDEC20!$K$38</f>
        <v>1071000</v>
      </c>
      <c r="Q17" s="26">
        <f>[22]TONTDEC20!$K$37</f>
        <v>0</v>
      </c>
      <c r="R17" s="26">
        <f t="shared" si="3"/>
        <v>-771000</v>
      </c>
      <c r="S17" s="79">
        <f t="shared" si="3"/>
        <v>60000</v>
      </c>
      <c r="T17" s="26">
        <f>[23]TONTDEC20!$E$44</f>
        <v>1000000</v>
      </c>
      <c r="U17" s="26">
        <f>[23]TONTDEC20!$E$43</f>
        <v>100000</v>
      </c>
      <c r="V17" s="26">
        <f>[23]TONTDEC20!$K$44</f>
        <v>2975000</v>
      </c>
      <c r="W17" s="26">
        <f>[23]TONTDEC20!$K$43</f>
        <v>0</v>
      </c>
      <c r="X17" s="26">
        <f t="shared" si="4"/>
        <v>-1975000</v>
      </c>
      <c r="Y17" s="79">
        <f t="shared" si="4"/>
        <v>100000</v>
      </c>
      <c r="Z17" s="26">
        <f>[21]TONTDEC20!$E$49</f>
        <v>360000</v>
      </c>
      <c r="AA17" s="26">
        <f>[21]TONTDEC20!$E$48</f>
        <v>80000</v>
      </c>
      <c r="AB17" s="26">
        <f>[21]TONTDEC20!$K$49</f>
        <v>1426000</v>
      </c>
      <c r="AC17" s="26">
        <f>[21]TONTDEC20!$K$48</f>
        <v>0</v>
      </c>
      <c r="AD17" s="26">
        <f t="shared" si="5"/>
        <v>-1066000</v>
      </c>
      <c r="AE17" s="79">
        <f t="shared" si="5"/>
        <v>80000</v>
      </c>
      <c r="AF17" s="26">
        <f>[25]TONTDEC20!$E$35</f>
        <v>1650000</v>
      </c>
      <c r="AG17" s="26">
        <f>[25]TONTDEC20!$E$34</f>
        <v>600000</v>
      </c>
      <c r="AH17" s="26">
        <f>[25]TONTDEC20!$K$35</f>
        <v>5355000</v>
      </c>
      <c r="AI17" s="26">
        <f>[25]TONTDEC20!$K$34</f>
        <v>0</v>
      </c>
      <c r="AJ17" s="26">
        <f t="shared" si="6"/>
        <v>-3705000</v>
      </c>
      <c r="AK17" s="79">
        <f t="shared" si="6"/>
        <v>600000</v>
      </c>
      <c r="AL17" s="26">
        <f t="shared" si="7"/>
        <v>3830000</v>
      </c>
      <c r="AM17" s="26">
        <f t="shared" si="0"/>
        <v>980000</v>
      </c>
      <c r="AN17" s="26">
        <f t="shared" si="0"/>
        <v>12967000</v>
      </c>
      <c r="AO17" s="26">
        <f t="shared" si="0"/>
        <v>0</v>
      </c>
      <c r="AP17" s="26">
        <f t="shared" si="8"/>
        <v>-4291000</v>
      </c>
      <c r="AQ17" s="79">
        <f t="shared" si="9"/>
        <v>11120000</v>
      </c>
    </row>
    <row r="18" spans="1:43" x14ac:dyDescent="0.25">
      <c r="A18" s="78"/>
      <c r="B18" s="50"/>
      <c r="C18" s="50"/>
      <c r="D18" s="50"/>
      <c r="E18" s="50"/>
      <c r="F18" s="50"/>
      <c r="G18" s="51"/>
      <c r="H18" s="50"/>
      <c r="I18" s="50"/>
      <c r="J18" s="50"/>
      <c r="K18" s="50"/>
      <c r="L18" s="50"/>
      <c r="M18" s="51"/>
      <c r="N18" s="50"/>
      <c r="O18" s="50"/>
      <c r="P18" s="50"/>
      <c r="Q18" s="50"/>
      <c r="R18" s="50"/>
      <c r="S18" s="51"/>
      <c r="T18" s="50"/>
      <c r="U18" s="50"/>
      <c r="V18" s="50"/>
      <c r="W18" s="50"/>
      <c r="X18" s="50"/>
      <c r="Y18" s="51"/>
      <c r="Z18" s="50"/>
      <c r="AA18" s="50"/>
      <c r="AB18" s="50"/>
      <c r="AC18" s="50"/>
      <c r="AD18" s="50"/>
      <c r="AE18" s="51"/>
      <c r="AF18" s="50"/>
      <c r="AG18" s="50"/>
      <c r="AH18" s="50"/>
      <c r="AI18" s="50"/>
      <c r="AJ18" s="50"/>
      <c r="AK18" s="51"/>
      <c r="AL18" s="50"/>
      <c r="AM18" s="50"/>
      <c r="AN18" s="50"/>
      <c r="AO18" s="50"/>
      <c r="AP18" s="50"/>
      <c r="AQ18" s="51"/>
    </row>
    <row r="19" spans="1:43" ht="19.5" thickBot="1" x14ac:dyDescent="0.35">
      <c r="A19" s="80" t="s">
        <v>191</v>
      </c>
      <c r="B19" s="23">
        <f t="shared" ref="B19:AO19" si="10">SUM(B6:B18)</f>
        <v>2350000</v>
      </c>
      <c r="C19" s="23">
        <f t="shared" si="10"/>
        <v>790000</v>
      </c>
      <c r="D19" s="23">
        <f t="shared" si="10"/>
        <v>2252500</v>
      </c>
      <c r="E19" s="23">
        <f t="shared" si="10"/>
        <v>0</v>
      </c>
      <c r="F19" s="23">
        <f t="shared" si="10"/>
        <v>97500</v>
      </c>
      <c r="G19" s="81">
        <f t="shared" si="10"/>
        <v>790000</v>
      </c>
      <c r="H19" s="23">
        <f t="shared" si="10"/>
        <v>5080000</v>
      </c>
      <c r="I19" s="23">
        <f t="shared" si="10"/>
        <v>1400000</v>
      </c>
      <c r="J19" s="23">
        <f t="shared" si="10"/>
        <v>6409000</v>
      </c>
      <c r="K19" s="23">
        <f t="shared" si="10"/>
        <v>0</v>
      </c>
      <c r="L19" s="23">
        <f t="shared" si="10"/>
        <v>-1329000</v>
      </c>
      <c r="M19" s="81">
        <f t="shared" si="10"/>
        <v>1400000</v>
      </c>
      <c r="N19" s="23">
        <f t="shared" si="10"/>
        <v>4140000</v>
      </c>
      <c r="O19" s="23">
        <f t="shared" si="10"/>
        <v>1260000</v>
      </c>
      <c r="P19" s="23">
        <f t="shared" si="10"/>
        <v>4903000</v>
      </c>
      <c r="Q19" s="23">
        <f t="shared" si="10"/>
        <v>0</v>
      </c>
      <c r="R19" s="23">
        <f t="shared" si="10"/>
        <v>-763000</v>
      </c>
      <c r="S19" s="81">
        <f t="shared" si="10"/>
        <v>1260000</v>
      </c>
      <c r="T19" s="23">
        <f t="shared" si="10"/>
        <v>12750000</v>
      </c>
      <c r="U19" s="23">
        <f t="shared" si="10"/>
        <v>1900000</v>
      </c>
      <c r="V19" s="23">
        <f t="shared" si="10"/>
        <v>12972500</v>
      </c>
      <c r="W19" s="23">
        <f t="shared" si="10"/>
        <v>0</v>
      </c>
      <c r="X19" s="23">
        <f t="shared" si="10"/>
        <v>-222500</v>
      </c>
      <c r="Y19" s="81">
        <f t="shared" si="10"/>
        <v>1900000</v>
      </c>
      <c r="Z19" s="23">
        <f t="shared" si="10"/>
        <v>5800000</v>
      </c>
      <c r="AA19" s="23">
        <f t="shared" si="10"/>
        <v>1420000</v>
      </c>
      <c r="AB19" s="23">
        <f t="shared" si="10"/>
        <v>7294000</v>
      </c>
      <c r="AC19" s="23">
        <f t="shared" si="10"/>
        <v>0</v>
      </c>
      <c r="AD19" s="23">
        <f t="shared" si="10"/>
        <v>-1494000</v>
      </c>
      <c r="AE19" s="81">
        <f t="shared" si="10"/>
        <v>1420000</v>
      </c>
      <c r="AF19" s="23">
        <f t="shared" si="10"/>
        <v>25950000</v>
      </c>
      <c r="AG19" s="23">
        <f t="shared" si="10"/>
        <v>4350000</v>
      </c>
      <c r="AH19" s="23">
        <f t="shared" si="10"/>
        <v>26530000</v>
      </c>
      <c r="AI19" s="23">
        <f t="shared" si="10"/>
        <v>0</v>
      </c>
      <c r="AJ19" s="23">
        <f t="shared" si="10"/>
        <v>-580000</v>
      </c>
      <c r="AK19" s="81">
        <f t="shared" si="10"/>
        <v>4350000</v>
      </c>
      <c r="AL19" s="23">
        <f t="shared" si="10"/>
        <v>56070000</v>
      </c>
      <c r="AM19" s="23">
        <f t="shared" si="10"/>
        <v>11120000</v>
      </c>
      <c r="AN19" s="23">
        <f t="shared" si="10"/>
        <v>60361000</v>
      </c>
      <c r="AO19" s="23">
        <f t="shared" si="10"/>
        <v>0</v>
      </c>
      <c r="AP19" s="23"/>
      <c r="AQ19" s="81"/>
    </row>
    <row r="20" spans="1:43" ht="15.75" thickTop="1" x14ac:dyDescent="0.25"/>
  </sheetData>
  <mergeCells count="28">
    <mergeCell ref="AP3:AQ3"/>
    <mergeCell ref="T3:U3"/>
    <mergeCell ref="V3:W3"/>
    <mergeCell ref="X3:Y3"/>
    <mergeCell ref="Z3:AA3"/>
    <mergeCell ref="AB3:AC3"/>
    <mergeCell ref="AD3:AE3"/>
    <mergeCell ref="AF3:AG3"/>
    <mergeCell ref="AH3:AI3"/>
    <mergeCell ref="AJ3:AK3"/>
    <mergeCell ref="AL3:AM3"/>
    <mergeCell ref="AN3:AO3"/>
    <mergeCell ref="AL2:AQ2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B2:G2"/>
    <mergeCell ref="H2:M2"/>
    <mergeCell ref="N2:S2"/>
    <mergeCell ref="T2:Y2"/>
    <mergeCell ref="Z2:AE2"/>
    <mergeCell ref="AF2:AK2"/>
  </mergeCells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58"/>
  <sheetViews>
    <sheetView workbookViewId="0">
      <pane xSplit="2" ySplit="5" topLeftCell="G6" activePane="bottomRight" state="frozen"/>
      <selection activeCell="C32" sqref="C32"/>
      <selection pane="topRight" activeCell="C32" sqref="C32"/>
      <selection pane="bottomLeft" activeCell="C32" sqref="C32"/>
      <selection pane="bottomRight" activeCell="I5" sqref="I5"/>
    </sheetView>
  </sheetViews>
  <sheetFormatPr baseColWidth="10" defaultColWidth="11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2.85546875" bestFit="1" customWidth="1"/>
    <col min="5" max="5" width="15.28515625" customWidth="1"/>
    <col min="6" max="6" width="23.5703125" style="2" customWidth="1"/>
    <col min="7" max="7" width="16.85546875" customWidth="1"/>
    <col min="8" max="8" width="20.7109375" customWidth="1"/>
    <col min="9" max="9" width="15" bestFit="1" customWidth="1"/>
    <col min="10" max="10" width="17.5703125" style="3" bestFit="1" customWidth="1"/>
    <col min="11" max="11" width="15.7109375" style="2" customWidth="1"/>
    <col min="12" max="14" width="12.42578125" style="2" customWidth="1"/>
    <col min="15" max="15" width="15" style="2" bestFit="1" customWidth="1"/>
    <col min="16" max="16" width="16.85546875" style="2" bestFit="1" customWidth="1"/>
    <col min="17" max="17" width="15" bestFit="1" customWidth="1"/>
    <col min="18" max="18" width="15" customWidth="1"/>
    <col min="19" max="19" width="18.140625" customWidth="1"/>
    <col min="20" max="20" width="12.5703125" bestFit="1" customWidth="1"/>
    <col min="21" max="22" width="18.140625" customWidth="1"/>
    <col min="26" max="26" width="12.42578125" bestFit="1" customWidth="1"/>
  </cols>
  <sheetData>
    <row r="1" spans="1:34" x14ac:dyDescent="0.25">
      <c r="A1" s="1" t="s">
        <v>0</v>
      </c>
      <c r="B1" s="1" t="s">
        <v>1</v>
      </c>
      <c r="C1" s="1"/>
      <c r="D1" s="1"/>
      <c r="E1" s="1"/>
      <c r="F1" s="5"/>
      <c r="G1" s="1"/>
      <c r="H1" s="1"/>
    </row>
    <row r="2" spans="1:34" x14ac:dyDescent="0.25">
      <c r="A2" s="1" t="s">
        <v>2</v>
      </c>
      <c r="B2" s="1" t="s">
        <v>153</v>
      </c>
      <c r="C2" s="1"/>
      <c r="D2" s="1"/>
      <c r="E2" s="1"/>
      <c r="F2" s="5"/>
      <c r="G2" s="1"/>
      <c r="H2" s="1"/>
    </row>
    <row r="3" spans="1:34" x14ac:dyDescent="0.25">
      <c r="A3" s="1" t="s">
        <v>3</v>
      </c>
      <c r="B3" s="5">
        <v>30000</v>
      </c>
      <c r="C3" s="5"/>
      <c r="D3" s="5"/>
      <c r="E3" s="1"/>
      <c r="F3" s="5"/>
      <c r="G3" s="1"/>
      <c r="H3" s="1"/>
    </row>
    <row r="4" spans="1:34" ht="26.25" x14ac:dyDescent="0.4">
      <c r="B4" s="16"/>
      <c r="C4" s="16"/>
      <c r="D4" s="16"/>
      <c r="E4" s="146">
        <v>44185</v>
      </c>
      <c r="F4" s="146"/>
      <c r="G4" s="146"/>
      <c r="H4" s="146"/>
      <c r="I4" s="146"/>
      <c r="J4" s="57"/>
      <c r="K4" s="57"/>
      <c r="L4" s="57"/>
      <c r="M4"/>
      <c r="N4"/>
      <c r="O4"/>
      <c r="P4"/>
    </row>
    <row r="5" spans="1:34" ht="57.75" x14ac:dyDescent="0.25">
      <c r="A5" s="1" t="s">
        <v>4</v>
      </c>
      <c r="B5" s="1" t="s">
        <v>5</v>
      </c>
      <c r="C5" s="1" t="s">
        <v>68</v>
      </c>
      <c r="D5" s="1" t="s">
        <v>69</v>
      </c>
      <c r="E5" s="4" t="s">
        <v>6</v>
      </c>
      <c r="F5" s="4" t="s">
        <v>7</v>
      </c>
      <c r="G5" s="1" t="s">
        <v>8</v>
      </c>
      <c r="H5" s="4" t="s">
        <v>60</v>
      </c>
      <c r="I5" s="1" t="s">
        <v>9</v>
      </c>
      <c r="J5" s="4" t="s">
        <v>10</v>
      </c>
      <c r="K5" s="4" t="s">
        <v>11</v>
      </c>
      <c r="L5" s="4" t="s">
        <v>12</v>
      </c>
      <c r="M5" s="4" t="s">
        <v>72</v>
      </c>
      <c r="N5" s="4" t="s">
        <v>73</v>
      </c>
      <c r="O5" s="4" t="s">
        <v>13</v>
      </c>
      <c r="P5" s="4" t="s">
        <v>61</v>
      </c>
      <c r="Q5" s="4" t="s">
        <v>63</v>
      </c>
      <c r="R5" s="4" t="s">
        <v>83</v>
      </c>
      <c r="S5" s="4" t="s">
        <v>64</v>
      </c>
      <c r="T5" s="4" t="s">
        <v>67</v>
      </c>
      <c r="U5" s="4" t="s">
        <v>209</v>
      </c>
      <c r="V5" s="4" t="s">
        <v>83</v>
      </c>
      <c r="W5" s="4" t="s">
        <v>65</v>
      </c>
      <c r="X5" s="4" t="s">
        <v>14</v>
      </c>
      <c r="Y5" s="4" t="s">
        <v>210</v>
      </c>
      <c r="Z5" s="4" t="s">
        <v>211</v>
      </c>
    </row>
    <row r="6" spans="1:34" x14ac:dyDescent="0.25">
      <c r="A6" s="1" t="s">
        <v>16</v>
      </c>
      <c r="B6" s="1" t="str">
        <f>VLOOKUP(A6,[15]LISTADHERENT!A$5:H$60,3,0)</f>
        <v>ASELBY</v>
      </c>
      <c r="C6" s="1"/>
      <c r="D6" s="1"/>
      <c r="E6" s="5" t="e">
        <f t="shared" ref="E6:E38" si="0">$Q$42/$F$42*F6</f>
        <v>#REF!</v>
      </c>
      <c r="F6" s="5" t="e">
        <f>+#REF!+#REF!+I6</f>
        <v>#REF!</v>
      </c>
      <c r="G6" s="6" t="e">
        <f>VLOOKUP($A6,#REF!,25,0)</f>
        <v>#REF!</v>
      </c>
      <c r="H6" s="6" t="e">
        <f>VLOOKUP($A6,[26]TONTJANV21!$A$6:$T$41,4,0)</f>
        <v>#N/A</v>
      </c>
      <c r="I6" s="6"/>
      <c r="J6" s="6"/>
      <c r="K6" s="6"/>
      <c r="L6" s="6"/>
      <c r="M6" s="6" t="e">
        <f>VLOOKUP($A6,#REF!,5,0)</f>
        <v>#REF!</v>
      </c>
      <c r="N6" s="6" t="e">
        <f>VLOOKUP($A6,#REF!,27,0)</f>
        <v>#REF!</v>
      </c>
      <c r="O6" s="6" t="e">
        <f>VLOOKUP($A6,#REF!,26,0)</f>
        <v>#REF!</v>
      </c>
      <c r="P6" s="6" t="e">
        <f>VLOOKUP($A6,#REF!,20,0)</f>
        <v>#REF!</v>
      </c>
      <c r="Q6" s="6" t="e">
        <f>(P6*12/100)</f>
        <v>#REF!</v>
      </c>
      <c r="R6" s="6" t="e">
        <f>VLOOKUP($A6,#REF!,23,0)</f>
        <v>#REF!</v>
      </c>
      <c r="S6" s="6" t="e">
        <f>VLOOKUP($A6,#REF!,17,0)</f>
        <v>#REF!</v>
      </c>
      <c r="T6" s="6" t="e">
        <f>VLOOKUP($A6,#REF!,18,0)</f>
        <v>#REF!</v>
      </c>
      <c r="U6" s="6" t="e">
        <f>VLOOKUP($A6,#REF!,21,0)</f>
        <v>#REF!</v>
      </c>
      <c r="V6" s="6" t="e">
        <f>VLOOKUP($A6,#REF!,22,0)</f>
        <v>#REF!</v>
      </c>
      <c r="W6" s="6"/>
      <c r="X6" s="6"/>
      <c r="Y6" s="6" t="e">
        <f>VLOOKUP($A6,#REF!,40,0)</f>
        <v>#REF!</v>
      </c>
      <c r="Z6" s="6" t="e">
        <f>VLOOKUP($A6,#REF!,41,0)</f>
        <v>#REF!</v>
      </c>
      <c r="AA6" s="2"/>
      <c r="AB6" s="2"/>
      <c r="AC6" s="2"/>
      <c r="AD6" s="2"/>
      <c r="AE6" s="2"/>
      <c r="AF6" s="2"/>
      <c r="AG6" s="2"/>
      <c r="AH6" s="2"/>
    </row>
    <row r="7" spans="1:34" x14ac:dyDescent="0.25">
      <c r="A7" s="1" t="s">
        <v>19</v>
      </c>
      <c r="B7" s="1" t="str">
        <f>VLOOKUP(A7,[15]LISTADHERENT!A$5:H$60,3,0)</f>
        <v>BOUTCHOUANG WILLIAM</v>
      </c>
      <c r="C7" s="1"/>
      <c r="D7" s="1"/>
      <c r="E7" s="5" t="e">
        <f t="shared" si="0"/>
        <v>#REF!</v>
      </c>
      <c r="F7" s="5" t="e">
        <f>+#REF!+#REF!+I7</f>
        <v>#REF!</v>
      </c>
      <c r="G7" s="6" t="e">
        <f>VLOOKUP($A7,#REF!,25,0)</f>
        <v>#REF!</v>
      </c>
      <c r="H7" s="6">
        <f>VLOOKUP($A7,[26]TONTJANV21!$A$6:$T$41,4,0)</f>
        <v>23000</v>
      </c>
      <c r="I7" s="6">
        <f t="shared" ref="I7:I38" si="1">H7-(J7+K7+L7)</f>
        <v>19000</v>
      </c>
      <c r="J7" s="6">
        <f t="shared" ref="J7:J38" si="2">IF(H7=0,0,500)</f>
        <v>500</v>
      </c>
      <c r="K7" s="6">
        <f t="shared" ref="K7:K38" si="3">IF(H7=0,0,1000)</f>
        <v>1000</v>
      </c>
      <c r="L7" s="6">
        <f t="shared" ref="L7:L38" si="4">IF(H7=0,0,2500)</f>
        <v>2500</v>
      </c>
      <c r="M7" s="6" t="e">
        <f>VLOOKUP($A7,#REF!,5,0)</f>
        <v>#REF!</v>
      </c>
      <c r="N7" s="6" t="e">
        <f>VLOOKUP($A7,#REF!,27,0)</f>
        <v>#REF!</v>
      </c>
      <c r="O7" s="6" t="e">
        <f>VLOOKUP($A7,#REF!,26,0)</f>
        <v>#REF!</v>
      </c>
      <c r="P7" s="6" t="e">
        <f>VLOOKUP($A7,#REF!,20,0)</f>
        <v>#REF!</v>
      </c>
      <c r="Q7" s="6" t="e">
        <f>(P7*12/100)</f>
        <v>#REF!</v>
      </c>
      <c r="R7" s="6" t="e">
        <f>VLOOKUP($A7,#REF!,23,0)</f>
        <v>#REF!</v>
      </c>
      <c r="S7" s="6" t="e">
        <f>VLOOKUP($A7,#REF!,17,0)</f>
        <v>#REF!</v>
      </c>
      <c r="T7" s="6" t="e">
        <f>VLOOKUP($A7,#REF!,18,0)</f>
        <v>#REF!</v>
      </c>
      <c r="U7" s="6" t="e">
        <f>VLOOKUP($A7,#REF!,21,0)</f>
        <v>#REF!</v>
      </c>
      <c r="V7" s="6" t="e">
        <f>VLOOKUP($A7,#REF!,22,0)</f>
        <v>#REF!</v>
      </c>
      <c r="W7" s="2"/>
      <c r="X7" s="2"/>
      <c r="Y7" s="6" t="e">
        <f>VLOOKUP(A7,#REF!,40,0)</f>
        <v>#REF!</v>
      </c>
      <c r="Z7" s="6" t="e">
        <f>VLOOKUP($A7,#REF!,41,0)</f>
        <v>#REF!</v>
      </c>
      <c r="AA7" s="2"/>
      <c r="AB7" s="2"/>
      <c r="AC7" s="2"/>
      <c r="AD7" s="2"/>
      <c r="AE7" s="2"/>
      <c r="AF7" s="2"/>
      <c r="AG7" s="2"/>
      <c r="AH7" s="2"/>
    </row>
    <row r="8" spans="1:34" x14ac:dyDescent="0.25">
      <c r="A8" s="1" t="s">
        <v>23</v>
      </c>
      <c r="B8" s="1" t="str">
        <f>VLOOKUP(A8,[15]LISTADHERENT!A$5:H$60,3,0)</f>
        <v xml:space="preserve">DJOMO JEAN PAUL </v>
      </c>
      <c r="C8" s="1"/>
      <c r="D8" s="1"/>
      <c r="E8" s="5" t="e">
        <f t="shared" si="0"/>
        <v>#REF!</v>
      </c>
      <c r="F8" s="5" t="e">
        <f>+#REF!+#REF!+I8</f>
        <v>#REF!</v>
      </c>
      <c r="G8" s="6" t="e">
        <f>VLOOKUP($A8,#REF!,25,0)</f>
        <v>#REF!</v>
      </c>
      <c r="H8" s="6">
        <f>VLOOKUP($A8,[26]TONTJANV21!$A$6:$T$41,4,0)</f>
        <v>23000</v>
      </c>
      <c r="I8" s="6">
        <f t="shared" si="1"/>
        <v>19000</v>
      </c>
      <c r="J8" s="6">
        <f t="shared" si="2"/>
        <v>500</v>
      </c>
      <c r="K8" s="6">
        <f t="shared" si="3"/>
        <v>1000</v>
      </c>
      <c r="L8" s="6">
        <f t="shared" si="4"/>
        <v>2500</v>
      </c>
      <c r="M8" s="6" t="e">
        <f>VLOOKUP($A8,#REF!,5,0)</f>
        <v>#REF!</v>
      </c>
      <c r="N8" s="6" t="e">
        <f>VLOOKUP($A8,#REF!,27,0)</f>
        <v>#REF!</v>
      </c>
      <c r="O8" s="6" t="e">
        <f>VLOOKUP($A8,#REF!,26,0)</f>
        <v>#REF!</v>
      </c>
      <c r="P8" s="6" t="e">
        <f>VLOOKUP($A8,#REF!,20,0)</f>
        <v>#REF!</v>
      </c>
      <c r="Q8" s="6" t="e">
        <f t="shared" ref="Q8:Q38" si="5">(P8*12/100)</f>
        <v>#REF!</v>
      </c>
      <c r="R8" s="6" t="e">
        <f>VLOOKUP($A8,#REF!,23,0)</f>
        <v>#REF!</v>
      </c>
      <c r="S8" s="6" t="e">
        <f>VLOOKUP($A8,#REF!,17,0)</f>
        <v>#REF!</v>
      </c>
      <c r="T8" s="6" t="e">
        <f>VLOOKUP($A8,#REF!,18,0)</f>
        <v>#REF!</v>
      </c>
      <c r="U8" s="6" t="e">
        <f>VLOOKUP($A8,#REF!,21,0)</f>
        <v>#REF!</v>
      </c>
      <c r="V8" s="6" t="e">
        <f>VLOOKUP($A8,#REF!,22,0)</f>
        <v>#REF!</v>
      </c>
      <c r="W8" s="2"/>
      <c r="X8" s="2"/>
      <c r="Y8" s="6" t="e">
        <f>VLOOKUP(A8,#REF!,40,0)</f>
        <v>#REF!</v>
      </c>
      <c r="Z8" s="6" t="e">
        <f>VLOOKUP($A8,#REF!,41,0)</f>
        <v>#REF!</v>
      </c>
      <c r="AA8" s="2"/>
      <c r="AB8" s="2"/>
      <c r="AC8" s="2"/>
      <c r="AD8" s="2"/>
      <c r="AE8" s="2"/>
      <c r="AF8" s="2"/>
      <c r="AG8" s="2"/>
      <c r="AH8" s="2"/>
    </row>
    <row r="9" spans="1:34" x14ac:dyDescent="0.25">
      <c r="A9" s="1" t="s">
        <v>154</v>
      </c>
      <c r="B9" s="1" t="str">
        <f>VLOOKUP(A9,[15]LISTADHERENT!A$5:H$60,3,0)</f>
        <v>DJOMOU TCHANDA</v>
      </c>
      <c r="C9" s="1"/>
      <c r="D9" s="1"/>
      <c r="E9" s="5" t="e">
        <f t="shared" si="0"/>
        <v>#REF!</v>
      </c>
      <c r="F9" s="5" t="e">
        <f>+#REF!+#REF!+I9</f>
        <v>#REF!</v>
      </c>
      <c r="G9" s="6" t="e">
        <f>VLOOKUP($A9,#REF!,25,0)</f>
        <v>#REF!</v>
      </c>
      <c r="H9" s="6">
        <f>VLOOKUP($A9,[26]TONTJANV21!$A$6:$T$41,4,0)</f>
        <v>23000</v>
      </c>
      <c r="I9" s="6">
        <f t="shared" si="1"/>
        <v>19000</v>
      </c>
      <c r="J9" s="6">
        <f t="shared" si="2"/>
        <v>500</v>
      </c>
      <c r="K9" s="6">
        <f t="shared" si="3"/>
        <v>1000</v>
      </c>
      <c r="L9" s="6">
        <f t="shared" si="4"/>
        <v>2500</v>
      </c>
      <c r="M9" s="6" t="e">
        <f>VLOOKUP($A9,#REF!,5,0)</f>
        <v>#REF!</v>
      </c>
      <c r="N9" s="6" t="e">
        <f>VLOOKUP($A9,#REF!,27,0)</f>
        <v>#REF!</v>
      </c>
      <c r="O9" s="6" t="e">
        <f>VLOOKUP($A9,#REF!,26,0)</f>
        <v>#REF!</v>
      </c>
      <c r="P9" s="6" t="e">
        <f>VLOOKUP($A9,#REF!,20,0)</f>
        <v>#REF!</v>
      </c>
      <c r="Q9" s="6" t="e">
        <f t="shared" si="5"/>
        <v>#REF!</v>
      </c>
      <c r="R9" s="6" t="e">
        <f>VLOOKUP($A9,#REF!,23,0)</f>
        <v>#REF!</v>
      </c>
      <c r="S9" s="6" t="e">
        <f>VLOOKUP($A9,#REF!,17,0)</f>
        <v>#REF!</v>
      </c>
      <c r="T9" s="6" t="e">
        <f>VLOOKUP($A9,#REF!,18,0)</f>
        <v>#REF!</v>
      </c>
      <c r="U9" s="6" t="e">
        <f>VLOOKUP($A9,#REF!,21,0)</f>
        <v>#REF!</v>
      </c>
      <c r="V9" s="6" t="e">
        <f>VLOOKUP($A9,#REF!,22,0)</f>
        <v>#REF!</v>
      </c>
      <c r="W9" s="2"/>
      <c r="X9" s="2"/>
      <c r="Y9" s="6" t="e">
        <f>VLOOKUP(A9,#REF!,40,0)</f>
        <v>#REF!</v>
      </c>
      <c r="Z9" s="6" t="e">
        <f>VLOOKUP($A9,#REF!,41,0)</f>
        <v>#REF!</v>
      </c>
      <c r="AA9" s="2"/>
      <c r="AB9" s="2"/>
      <c r="AC9" s="2"/>
      <c r="AD9" s="2"/>
      <c r="AE9" s="2"/>
      <c r="AF9" s="2"/>
      <c r="AG9" s="2"/>
      <c r="AH9" s="2"/>
    </row>
    <row r="10" spans="1:34" x14ac:dyDescent="0.25">
      <c r="A10" s="1" t="s">
        <v>24</v>
      </c>
      <c r="B10" s="1" t="str">
        <f>VLOOKUP(A10,[15]LISTADHERENT!A$5:H$60,3,0)</f>
        <v>DJOUKWE NANGUEN GUY BLAISE</v>
      </c>
      <c r="C10" s="1"/>
      <c r="D10" s="1"/>
      <c r="E10" s="5" t="e">
        <f t="shared" si="0"/>
        <v>#REF!</v>
      </c>
      <c r="F10" s="5" t="e">
        <f>+#REF!+#REF!+I10</f>
        <v>#REF!</v>
      </c>
      <c r="G10" s="6" t="e">
        <f>VLOOKUP($A10,#REF!,25,0)</f>
        <v>#REF!</v>
      </c>
      <c r="H10" s="6">
        <f>VLOOKUP($A10,[26]TONTJANV21!$A$6:$T$41,4,0)</f>
        <v>23000</v>
      </c>
      <c r="I10" s="6">
        <f t="shared" si="1"/>
        <v>19000</v>
      </c>
      <c r="J10" s="6">
        <f t="shared" si="2"/>
        <v>500</v>
      </c>
      <c r="K10" s="6">
        <f t="shared" si="3"/>
        <v>1000</v>
      </c>
      <c r="L10" s="6">
        <f t="shared" si="4"/>
        <v>2500</v>
      </c>
      <c r="M10" s="6" t="e">
        <f>VLOOKUP($A10,#REF!,5,0)</f>
        <v>#REF!</v>
      </c>
      <c r="N10" s="6" t="e">
        <f>VLOOKUP($A10,#REF!,27,0)</f>
        <v>#REF!</v>
      </c>
      <c r="O10" s="6" t="e">
        <f>VLOOKUP($A10,#REF!,26,0)</f>
        <v>#REF!</v>
      </c>
      <c r="P10" s="6" t="e">
        <f>VLOOKUP($A10,#REF!,20,0)</f>
        <v>#REF!</v>
      </c>
      <c r="Q10" s="6" t="e">
        <f t="shared" si="5"/>
        <v>#REF!</v>
      </c>
      <c r="R10" s="6" t="e">
        <f>VLOOKUP($A10,#REF!,23,0)</f>
        <v>#REF!</v>
      </c>
      <c r="S10" s="6" t="e">
        <f>VLOOKUP($A10,#REF!,17,0)</f>
        <v>#REF!</v>
      </c>
      <c r="T10" s="6" t="e">
        <f>VLOOKUP($A10,#REF!,18,0)</f>
        <v>#REF!</v>
      </c>
      <c r="U10" s="6" t="e">
        <f>VLOOKUP($A10,#REF!,21,0)</f>
        <v>#REF!</v>
      </c>
      <c r="V10" s="6" t="e">
        <f>VLOOKUP($A10,#REF!,22,0)</f>
        <v>#REF!</v>
      </c>
      <c r="W10" s="2"/>
      <c r="X10" s="2"/>
      <c r="Y10" s="6" t="e">
        <f>VLOOKUP(A10,#REF!,40,0)</f>
        <v>#REF!</v>
      </c>
      <c r="Z10" s="6" t="e">
        <f>VLOOKUP($A10,#REF!,41,0)</f>
        <v>#REF!</v>
      </c>
      <c r="AA10" s="2"/>
      <c r="AB10" s="2"/>
      <c r="AC10" s="2"/>
      <c r="AD10" s="2"/>
      <c r="AE10" s="2"/>
      <c r="AF10" s="2"/>
      <c r="AG10" s="2"/>
      <c r="AH10" s="2"/>
    </row>
    <row r="11" spans="1:34" x14ac:dyDescent="0.25">
      <c r="A11" s="1" t="s">
        <v>25</v>
      </c>
      <c r="B11" s="1" t="str">
        <f>VLOOKUP(A11,[15]LISTADHERENT!A$5:H$60,3,0)</f>
        <v>DJUOMBESSY ANTOINE</v>
      </c>
      <c r="C11" s="1"/>
      <c r="D11" s="1"/>
      <c r="E11" s="5" t="e">
        <f t="shared" si="0"/>
        <v>#REF!</v>
      </c>
      <c r="F11" s="5" t="e">
        <f>+#REF!+#REF!+I11</f>
        <v>#REF!</v>
      </c>
      <c r="G11" s="6" t="e">
        <f>VLOOKUP($A11,#REF!,25,0)</f>
        <v>#REF!</v>
      </c>
      <c r="H11" s="6">
        <f>VLOOKUP($A11,[26]TONTJANV21!$A$6:$T$41,4,0)</f>
        <v>23000</v>
      </c>
      <c r="I11" s="6">
        <f t="shared" si="1"/>
        <v>19000</v>
      </c>
      <c r="J11" s="6">
        <f t="shared" si="2"/>
        <v>500</v>
      </c>
      <c r="K11" s="6">
        <f t="shared" si="3"/>
        <v>1000</v>
      </c>
      <c r="L11" s="6">
        <f t="shared" si="4"/>
        <v>2500</v>
      </c>
      <c r="M11" s="6" t="e">
        <f>VLOOKUP($A11,#REF!,5,0)</f>
        <v>#REF!</v>
      </c>
      <c r="N11" s="6" t="e">
        <f>VLOOKUP($A11,#REF!,27,0)</f>
        <v>#REF!</v>
      </c>
      <c r="O11" s="6" t="e">
        <f>VLOOKUP($A11,#REF!,26,0)</f>
        <v>#REF!</v>
      </c>
      <c r="P11" s="6" t="e">
        <f>VLOOKUP($A11,#REF!,20,0)</f>
        <v>#REF!</v>
      </c>
      <c r="Q11" s="6" t="e">
        <f t="shared" si="5"/>
        <v>#REF!</v>
      </c>
      <c r="R11" s="6" t="e">
        <f>VLOOKUP($A11,#REF!,23,0)</f>
        <v>#REF!</v>
      </c>
      <c r="S11" s="6" t="e">
        <f>VLOOKUP($A11,#REF!,17,0)</f>
        <v>#REF!</v>
      </c>
      <c r="T11" s="6" t="e">
        <f>VLOOKUP($A11,#REF!,18,0)</f>
        <v>#REF!</v>
      </c>
      <c r="U11" s="6" t="e">
        <f>VLOOKUP($A11,#REF!,21,0)</f>
        <v>#REF!</v>
      </c>
      <c r="V11" s="6" t="e">
        <f>VLOOKUP($A11,#REF!,22,0)</f>
        <v>#REF!</v>
      </c>
      <c r="W11" s="2"/>
      <c r="X11" s="2"/>
      <c r="Y11" s="6" t="e">
        <f>VLOOKUP(A11,#REF!,40,0)</f>
        <v>#REF!</v>
      </c>
      <c r="Z11" s="6" t="e">
        <f>VLOOKUP($A11,#REF!,41,0)</f>
        <v>#REF!</v>
      </c>
      <c r="AA11" s="2"/>
      <c r="AB11" s="2"/>
      <c r="AC11" s="2"/>
      <c r="AD11" s="2"/>
      <c r="AE11" s="2"/>
      <c r="AF11" s="2"/>
      <c r="AG11" s="2"/>
      <c r="AH11" s="2"/>
    </row>
    <row r="12" spans="1:34" x14ac:dyDescent="0.25">
      <c r="A12" s="1" t="s">
        <v>79</v>
      </c>
      <c r="B12" s="1" t="str">
        <f>VLOOKUP(A12,[15]LISTADHERENT!A$5:H$60,3,0)</f>
        <v>DOMOU FABIEN</v>
      </c>
      <c r="C12" s="1"/>
      <c r="D12" s="1"/>
      <c r="E12" s="5" t="e">
        <f t="shared" si="0"/>
        <v>#REF!</v>
      </c>
      <c r="F12" s="5" t="e">
        <f>+#REF!+#REF!+I12</f>
        <v>#REF!</v>
      </c>
      <c r="G12" s="6" t="e">
        <f>VLOOKUP($A12,#REF!,25,0)</f>
        <v>#REF!</v>
      </c>
      <c r="H12" s="6">
        <f>VLOOKUP($A12,[26]TONTJANV21!$A$6:$T$41,4,0)</f>
        <v>23000</v>
      </c>
      <c r="I12" s="6">
        <f t="shared" si="1"/>
        <v>19000</v>
      </c>
      <c r="J12" s="6">
        <f t="shared" si="2"/>
        <v>500</v>
      </c>
      <c r="K12" s="6">
        <f t="shared" si="3"/>
        <v>1000</v>
      </c>
      <c r="L12" s="6">
        <f t="shared" si="4"/>
        <v>2500</v>
      </c>
      <c r="M12" s="6" t="e">
        <f>VLOOKUP($A12,#REF!,5,0)</f>
        <v>#REF!</v>
      </c>
      <c r="N12" s="6" t="e">
        <f>VLOOKUP($A12,#REF!,27,0)</f>
        <v>#REF!</v>
      </c>
      <c r="O12" s="6" t="e">
        <f>VLOOKUP($A12,#REF!,26,0)</f>
        <v>#REF!</v>
      </c>
      <c r="P12" s="6" t="e">
        <f>VLOOKUP($A12,#REF!,20,0)</f>
        <v>#REF!</v>
      </c>
      <c r="Q12" s="6" t="e">
        <f t="shared" si="5"/>
        <v>#REF!</v>
      </c>
      <c r="R12" s="6" t="e">
        <f>VLOOKUP($A12,#REF!,23,0)</f>
        <v>#REF!</v>
      </c>
      <c r="S12" s="6" t="e">
        <f>VLOOKUP($A12,#REF!,17,0)</f>
        <v>#REF!</v>
      </c>
      <c r="T12" s="6" t="e">
        <f>VLOOKUP($A12,#REF!,18,0)</f>
        <v>#REF!</v>
      </c>
      <c r="U12" s="6" t="e">
        <f>VLOOKUP($A12,#REF!,21,0)</f>
        <v>#REF!</v>
      </c>
      <c r="V12" s="6" t="e">
        <f>VLOOKUP($A12,#REF!,22,0)</f>
        <v>#REF!</v>
      </c>
      <c r="W12" s="2"/>
      <c r="Y12" s="6" t="e">
        <f>VLOOKUP(A12,#REF!,40,0)</f>
        <v>#REF!</v>
      </c>
      <c r="Z12" s="6" t="e">
        <f>VLOOKUP($A12,#REF!,41,0)</f>
        <v>#REF!</v>
      </c>
      <c r="AB12" s="2"/>
      <c r="AC12" s="2"/>
      <c r="AD12" s="2"/>
      <c r="AE12" s="2"/>
      <c r="AF12" s="2"/>
      <c r="AG12" s="2"/>
      <c r="AH12" s="2"/>
    </row>
    <row r="13" spans="1:34" x14ac:dyDescent="0.25">
      <c r="A13" s="1" t="s">
        <v>26</v>
      </c>
      <c r="B13" s="1" t="str">
        <f>VLOOKUP(A13,[15]LISTADHERENT!A$5:H$60,3,0)</f>
        <v>DONHOU DAVID</v>
      </c>
      <c r="C13" s="1"/>
      <c r="D13" s="1"/>
      <c r="E13" s="5" t="e">
        <f t="shared" si="0"/>
        <v>#REF!</v>
      </c>
      <c r="F13" s="5" t="e">
        <f>+#REF!+#REF!+I13</f>
        <v>#REF!</v>
      </c>
      <c r="G13" s="6" t="e">
        <f>VLOOKUP($A13,#REF!,25,0)</f>
        <v>#REF!</v>
      </c>
      <c r="H13" s="6">
        <f>VLOOKUP($A13,[26]TONTJANV21!$A$6:$T$41,4,0)</f>
        <v>23000</v>
      </c>
      <c r="I13" s="6">
        <f t="shared" si="1"/>
        <v>19000</v>
      </c>
      <c r="J13" s="6">
        <f t="shared" si="2"/>
        <v>500</v>
      </c>
      <c r="K13" s="6">
        <f t="shared" si="3"/>
        <v>1000</v>
      </c>
      <c r="L13" s="6">
        <f t="shared" si="4"/>
        <v>2500</v>
      </c>
      <c r="M13" s="6" t="e">
        <f>VLOOKUP($A13,#REF!,5,0)</f>
        <v>#REF!</v>
      </c>
      <c r="N13" s="6" t="e">
        <f>VLOOKUP($A13,#REF!,27,0)</f>
        <v>#REF!</v>
      </c>
      <c r="O13" s="6" t="e">
        <f>VLOOKUP($A13,#REF!,26,0)</f>
        <v>#REF!</v>
      </c>
      <c r="P13" s="6" t="e">
        <f>VLOOKUP($A13,#REF!,20,0)</f>
        <v>#REF!</v>
      </c>
      <c r="Q13" s="6" t="e">
        <f t="shared" si="5"/>
        <v>#REF!</v>
      </c>
      <c r="R13" s="6" t="e">
        <f>VLOOKUP($A13,#REF!,23,0)</f>
        <v>#REF!</v>
      </c>
      <c r="S13" s="6" t="e">
        <f>VLOOKUP($A13,#REF!,17,0)</f>
        <v>#REF!</v>
      </c>
      <c r="T13" s="6" t="e">
        <f>VLOOKUP($A13,#REF!,18,0)</f>
        <v>#REF!</v>
      </c>
      <c r="U13" s="6" t="e">
        <f>VLOOKUP($A13,#REF!,21,0)</f>
        <v>#REF!</v>
      </c>
      <c r="V13" s="6" t="e">
        <f>VLOOKUP($A13,#REF!,22,0)</f>
        <v>#REF!</v>
      </c>
      <c r="W13" s="2"/>
      <c r="X13" s="2"/>
      <c r="Y13" s="6" t="e">
        <f>VLOOKUP(A13,#REF!,40,0)</f>
        <v>#REF!</v>
      </c>
      <c r="Z13" s="6" t="e">
        <f>VLOOKUP($A13,#REF!,41,0)</f>
        <v>#REF!</v>
      </c>
      <c r="AA13" s="2"/>
      <c r="AB13" s="2"/>
      <c r="AC13" s="2"/>
      <c r="AD13" s="2"/>
      <c r="AE13" s="2"/>
      <c r="AF13" s="2"/>
      <c r="AG13" s="2"/>
      <c r="AH13" s="2"/>
    </row>
    <row r="14" spans="1:34" x14ac:dyDescent="0.25">
      <c r="A14" s="1" t="s">
        <v>27</v>
      </c>
      <c r="B14" s="1" t="str">
        <f>VLOOKUP(A14,[15]LISTADHERENT!A$5:H$60,3,0)</f>
        <v>FOTSO THOMAS</v>
      </c>
      <c r="C14" s="1"/>
      <c r="D14" s="1"/>
      <c r="E14" s="5" t="e">
        <f t="shared" si="0"/>
        <v>#REF!</v>
      </c>
      <c r="F14" s="5" t="e">
        <f>+#REF!+#REF!+I14</f>
        <v>#REF!</v>
      </c>
      <c r="G14" s="6" t="e">
        <f>VLOOKUP($A14,#REF!,25,0)</f>
        <v>#REF!</v>
      </c>
      <c r="H14" s="6">
        <f>VLOOKUP($A14,[26]TONTJANV21!$A$6:$T$41,4,0)</f>
        <v>0</v>
      </c>
      <c r="I14" s="6">
        <f t="shared" si="1"/>
        <v>0</v>
      </c>
      <c r="J14" s="6">
        <f t="shared" si="2"/>
        <v>0</v>
      </c>
      <c r="K14" s="6">
        <f t="shared" si="3"/>
        <v>0</v>
      </c>
      <c r="L14" s="6">
        <f t="shared" si="4"/>
        <v>0</v>
      </c>
      <c r="M14" s="6" t="e">
        <f>VLOOKUP($A14,#REF!,5,0)</f>
        <v>#REF!</v>
      </c>
      <c r="N14" s="6" t="e">
        <f>VLOOKUP($A14,#REF!,27,0)</f>
        <v>#REF!</v>
      </c>
      <c r="O14" s="6" t="e">
        <f>VLOOKUP($A14,#REF!,26,0)</f>
        <v>#REF!</v>
      </c>
      <c r="P14" s="6" t="e">
        <f>VLOOKUP($A14,#REF!,20,0)</f>
        <v>#REF!</v>
      </c>
      <c r="Q14" s="6" t="e">
        <f t="shared" si="5"/>
        <v>#REF!</v>
      </c>
      <c r="R14" s="6" t="e">
        <f>VLOOKUP($A14,#REF!,23,0)</f>
        <v>#REF!</v>
      </c>
      <c r="S14" s="6" t="e">
        <f>VLOOKUP($A14,#REF!,17,0)</f>
        <v>#REF!</v>
      </c>
      <c r="T14" s="6" t="e">
        <f>VLOOKUP($A14,#REF!,18,0)</f>
        <v>#REF!</v>
      </c>
      <c r="U14" s="6" t="e">
        <f>VLOOKUP($A14,#REF!,21,0)</f>
        <v>#REF!</v>
      </c>
      <c r="V14" s="6" t="e">
        <f>VLOOKUP($A14,#REF!,22,0)</f>
        <v>#REF!</v>
      </c>
      <c r="W14" s="2"/>
      <c r="X14" s="2"/>
      <c r="Y14" s="6" t="e">
        <f>VLOOKUP(A14,#REF!,40,0)</f>
        <v>#REF!</v>
      </c>
      <c r="Z14" s="6" t="e">
        <f>VLOOKUP($A14,#REF!,41,0)</f>
        <v>#REF!</v>
      </c>
      <c r="AA14" s="2"/>
      <c r="AB14" s="2"/>
      <c r="AC14" s="2"/>
      <c r="AD14" s="2"/>
      <c r="AE14" s="2"/>
      <c r="AF14" s="2"/>
      <c r="AG14" s="2"/>
      <c r="AH14" s="2"/>
    </row>
    <row r="15" spans="1:34" ht="14.25" customHeight="1" x14ac:dyDescent="0.25">
      <c r="A15" s="1" t="s">
        <v>28</v>
      </c>
      <c r="B15" s="1" t="str">
        <f>VLOOKUP(A15,[15]LISTADHERENT!A$5:H$60,3,0)</f>
        <v>HENGUE PAUL OMER</v>
      </c>
      <c r="C15" s="1"/>
      <c r="D15" s="1"/>
      <c r="E15" s="5" t="e">
        <f t="shared" si="0"/>
        <v>#REF!</v>
      </c>
      <c r="F15" s="5" t="e">
        <f>+#REF!+#REF!+I15</f>
        <v>#REF!</v>
      </c>
      <c r="G15" s="6" t="e">
        <f>VLOOKUP($A15,#REF!,25,0)</f>
        <v>#REF!</v>
      </c>
      <c r="H15" s="6">
        <f>VLOOKUP($A15,[26]TONTJANV21!$A$6:$T$41,4,0)</f>
        <v>23000</v>
      </c>
      <c r="I15" s="6">
        <f t="shared" si="1"/>
        <v>19000</v>
      </c>
      <c r="J15" s="6">
        <f t="shared" si="2"/>
        <v>500</v>
      </c>
      <c r="K15" s="6">
        <f t="shared" si="3"/>
        <v>1000</v>
      </c>
      <c r="L15" s="6">
        <f t="shared" si="4"/>
        <v>2500</v>
      </c>
      <c r="M15" s="6" t="e">
        <f>VLOOKUP($A15,#REF!,5,0)</f>
        <v>#REF!</v>
      </c>
      <c r="N15" s="6" t="e">
        <f>VLOOKUP($A15,#REF!,27,0)</f>
        <v>#REF!</v>
      </c>
      <c r="O15" s="6" t="e">
        <f>VLOOKUP($A15,#REF!,26,0)</f>
        <v>#REF!</v>
      </c>
      <c r="P15" s="6" t="e">
        <f>VLOOKUP($A15,#REF!,20,0)</f>
        <v>#REF!</v>
      </c>
      <c r="Q15" s="6" t="e">
        <f t="shared" si="5"/>
        <v>#REF!</v>
      </c>
      <c r="R15" s="6" t="e">
        <f>VLOOKUP($A15,#REF!,23,0)</f>
        <v>#REF!</v>
      </c>
      <c r="S15" s="6" t="e">
        <f>VLOOKUP($A15,#REF!,17,0)</f>
        <v>#REF!</v>
      </c>
      <c r="T15" s="6" t="e">
        <f>VLOOKUP($A15,#REF!,18,0)</f>
        <v>#REF!</v>
      </c>
      <c r="U15" s="6" t="e">
        <f>VLOOKUP($A15,#REF!,21,0)</f>
        <v>#REF!</v>
      </c>
      <c r="V15" s="6" t="e">
        <f>VLOOKUP($A15,#REF!,22,0)</f>
        <v>#REF!</v>
      </c>
      <c r="W15" s="2"/>
      <c r="X15" s="2"/>
      <c r="Y15" s="6" t="e">
        <f>VLOOKUP(A15,#REF!,40,0)</f>
        <v>#REF!</v>
      </c>
      <c r="Z15" s="6" t="e">
        <f>VLOOKUP($A15,#REF!,41,0)</f>
        <v>#REF!</v>
      </c>
      <c r="AA15" s="2"/>
      <c r="AB15" s="2"/>
      <c r="AC15" s="2"/>
      <c r="AD15" s="2"/>
      <c r="AE15" s="2"/>
      <c r="AF15" s="2"/>
      <c r="AG15" s="2"/>
      <c r="AH15" s="2"/>
    </row>
    <row r="16" spans="1:34" x14ac:dyDescent="0.25">
      <c r="A16" s="1" t="s">
        <v>29</v>
      </c>
      <c r="B16" s="1" t="str">
        <f>VLOOKUP(A16,[15]LISTADHERENT!A$5:H$60,3,0)</f>
        <v>HOTCHO BENJAMIN</v>
      </c>
      <c r="C16" s="1"/>
      <c r="D16" s="1"/>
      <c r="E16" s="5" t="e">
        <f t="shared" si="0"/>
        <v>#REF!</v>
      </c>
      <c r="F16" s="5" t="e">
        <f>+#REF!+#REF!+I16</f>
        <v>#REF!</v>
      </c>
      <c r="G16" s="6" t="e">
        <f>VLOOKUP($A16,#REF!,25,0)</f>
        <v>#REF!</v>
      </c>
      <c r="H16" s="6">
        <f>VLOOKUP($A16,[26]TONTJANV21!$A$6:$T$41,4,0)</f>
        <v>23000</v>
      </c>
      <c r="I16" s="6">
        <f t="shared" si="1"/>
        <v>19000</v>
      </c>
      <c r="J16" s="6">
        <f t="shared" si="2"/>
        <v>500</v>
      </c>
      <c r="K16" s="6">
        <f t="shared" si="3"/>
        <v>1000</v>
      </c>
      <c r="L16" s="6">
        <f t="shared" si="4"/>
        <v>2500</v>
      </c>
      <c r="M16" s="6" t="e">
        <f>VLOOKUP($A16,#REF!,5,0)</f>
        <v>#REF!</v>
      </c>
      <c r="N16" s="6" t="e">
        <f>VLOOKUP($A16,#REF!,27,0)</f>
        <v>#REF!</v>
      </c>
      <c r="O16" s="6" t="e">
        <f>VLOOKUP($A16,#REF!,26,0)</f>
        <v>#REF!</v>
      </c>
      <c r="P16" s="6" t="e">
        <f>VLOOKUP($A16,#REF!,20,0)</f>
        <v>#REF!</v>
      </c>
      <c r="Q16" s="6" t="e">
        <f t="shared" si="5"/>
        <v>#REF!</v>
      </c>
      <c r="R16" s="6" t="e">
        <f>VLOOKUP($A16,#REF!,23,0)</f>
        <v>#REF!</v>
      </c>
      <c r="S16" s="6" t="e">
        <f>VLOOKUP($A16,#REF!,17,0)</f>
        <v>#REF!</v>
      </c>
      <c r="T16" s="6" t="e">
        <f>VLOOKUP($A16,#REF!,18,0)</f>
        <v>#REF!</v>
      </c>
      <c r="U16" s="6" t="e">
        <f>VLOOKUP($A16,#REF!,21,0)</f>
        <v>#REF!</v>
      </c>
      <c r="V16" s="6" t="e">
        <f>VLOOKUP($A16,#REF!,22,0)</f>
        <v>#REF!</v>
      </c>
      <c r="W16" s="2"/>
      <c r="X16" s="2"/>
      <c r="Y16" s="6" t="e">
        <f>VLOOKUP(A16,#REF!,40,0)</f>
        <v>#REF!</v>
      </c>
      <c r="Z16" s="6" t="e">
        <f>VLOOKUP($A16,#REF!,41,0)</f>
        <v>#REF!</v>
      </c>
      <c r="AA16" s="2"/>
      <c r="AB16" s="2"/>
      <c r="AC16" s="2"/>
      <c r="AD16" s="2"/>
      <c r="AE16" s="2"/>
      <c r="AF16" s="2"/>
      <c r="AG16" s="2"/>
      <c r="AH16" s="2"/>
    </row>
    <row r="17" spans="1:34" x14ac:dyDescent="0.25">
      <c r="A17" s="1" t="s">
        <v>33</v>
      </c>
      <c r="B17" s="1" t="str">
        <f>VLOOKUP(A17,[15]LISTADHERENT!A$5:H$60,3,0)</f>
        <v>KOUAMOU MOISE</v>
      </c>
      <c r="C17" s="1"/>
      <c r="D17" s="1"/>
      <c r="E17" s="5" t="e">
        <f t="shared" si="0"/>
        <v>#REF!</v>
      </c>
      <c r="F17" s="5" t="e">
        <f>+#REF!+#REF!+I17</f>
        <v>#REF!</v>
      </c>
      <c r="G17" s="6" t="e">
        <f>VLOOKUP($A17,#REF!,25,0)</f>
        <v>#REF!</v>
      </c>
      <c r="H17" s="6">
        <f>VLOOKUP($A17,[26]TONTJANV21!$A$6:$T$41,4,0)</f>
        <v>23000</v>
      </c>
      <c r="I17" s="6">
        <f t="shared" si="1"/>
        <v>19000</v>
      </c>
      <c r="J17" s="6">
        <f t="shared" si="2"/>
        <v>500</v>
      </c>
      <c r="K17" s="6">
        <f t="shared" si="3"/>
        <v>1000</v>
      </c>
      <c r="L17" s="6">
        <f t="shared" si="4"/>
        <v>2500</v>
      </c>
      <c r="M17" s="6" t="e">
        <f>VLOOKUP($A17,#REF!,5,0)</f>
        <v>#REF!</v>
      </c>
      <c r="N17" s="6" t="e">
        <f>VLOOKUP($A17,#REF!,27,0)</f>
        <v>#REF!</v>
      </c>
      <c r="O17" s="6" t="e">
        <f>VLOOKUP($A17,#REF!,26,0)</f>
        <v>#REF!</v>
      </c>
      <c r="P17" s="6" t="e">
        <f>VLOOKUP($A17,#REF!,20,0)</f>
        <v>#REF!</v>
      </c>
      <c r="Q17" s="6" t="e">
        <f t="shared" si="5"/>
        <v>#REF!</v>
      </c>
      <c r="R17" s="6" t="e">
        <f>VLOOKUP($A17,#REF!,23,0)</f>
        <v>#REF!</v>
      </c>
      <c r="S17" s="6" t="e">
        <f>VLOOKUP($A17,#REF!,17,0)</f>
        <v>#REF!</v>
      </c>
      <c r="T17" s="6" t="e">
        <f>VLOOKUP($A17,#REF!,18,0)</f>
        <v>#REF!</v>
      </c>
      <c r="U17" s="6" t="e">
        <f>VLOOKUP($A17,#REF!,21,0)</f>
        <v>#REF!</v>
      </c>
      <c r="V17" s="6" t="e">
        <f>VLOOKUP($A17,#REF!,22,0)</f>
        <v>#REF!</v>
      </c>
      <c r="W17" s="2"/>
      <c r="X17" s="2"/>
      <c r="Y17" s="6" t="e">
        <f>VLOOKUP(A17,#REF!,40,0)</f>
        <v>#REF!</v>
      </c>
      <c r="Z17" s="6" t="e">
        <f>VLOOKUP($A17,#REF!,41,0)</f>
        <v>#REF!</v>
      </c>
      <c r="AA17" s="2"/>
      <c r="AB17" s="2"/>
      <c r="AC17" s="2"/>
      <c r="AD17" s="2"/>
      <c r="AE17" s="2"/>
      <c r="AF17" s="2"/>
      <c r="AG17" s="2"/>
      <c r="AH17" s="2"/>
    </row>
    <row r="18" spans="1:34" x14ac:dyDescent="0.25">
      <c r="A18" s="1" t="s">
        <v>35</v>
      </c>
      <c r="B18" s="1" t="str">
        <f>VLOOKUP(A18,[15]LISTADHERENT!A$5:H$60,3,0)</f>
        <v>KOUATCHO MESSACK</v>
      </c>
      <c r="C18" s="1"/>
      <c r="D18" s="1"/>
      <c r="E18" s="5" t="e">
        <f t="shared" si="0"/>
        <v>#REF!</v>
      </c>
      <c r="F18" s="5" t="e">
        <f>+#REF!+#REF!+I18</f>
        <v>#REF!</v>
      </c>
      <c r="G18" s="6" t="e">
        <f>VLOOKUP($A18,#REF!,25,0)</f>
        <v>#REF!</v>
      </c>
      <c r="H18" s="6">
        <f>VLOOKUP($A18,[26]TONTJANV21!$A$6:$T$41,4,0)</f>
        <v>23000</v>
      </c>
      <c r="I18" s="6">
        <f t="shared" si="1"/>
        <v>19000</v>
      </c>
      <c r="J18" s="6">
        <f t="shared" si="2"/>
        <v>500</v>
      </c>
      <c r="K18" s="6">
        <f t="shared" si="3"/>
        <v>1000</v>
      </c>
      <c r="L18" s="6">
        <f t="shared" si="4"/>
        <v>2500</v>
      </c>
      <c r="M18" s="6" t="e">
        <f>VLOOKUP($A18,#REF!,5,0)</f>
        <v>#REF!</v>
      </c>
      <c r="N18" s="6" t="e">
        <f>VLOOKUP($A18,#REF!,27,0)</f>
        <v>#REF!</v>
      </c>
      <c r="O18" s="6" t="e">
        <f>VLOOKUP($A18,#REF!,26,0)</f>
        <v>#REF!</v>
      </c>
      <c r="P18" s="6" t="e">
        <f>VLOOKUP($A18,#REF!,20,0)</f>
        <v>#REF!</v>
      </c>
      <c r="Q18" s="6" t="e">
        <f t="shared" si="5"/>
        <v>#REF!</v>
      </c>
      <c r="R18" s="6" t="e">
        <f>VLOOKUP($A18,#REF!,23,0)</f>
        <v>#REF!</v>
      </c>
      <c r="S18" s="6" t="e">
        <f>VLOOKUP($A18,#REF!,17,0)</f>
        <v>#REF!</v>
      </c>
      <c r="T18" s="6" t="e">
        <f>VLOOKUP($A18,#REF!,18,0)</f>
        <v>#REF!</v>
      </c>
      <c r="U18" s="6" t="e">
        <f>VLOOKUP($A18,#REF!,21,0)</f>
        <v>#REF!</v>
      </c>
      <c r="V18" s="6" t="e">
        <f>VLOOKUP($A18,#REF!,22,0)</f>
        <v>#REF!</v>
      </c>
      <c r="W18" s="2"/>
      <c r="X18" s="2"/>
      <c r="Y18" s="6" t="e">
        <f>VLOOKUP(A18,#REF!,40,0)</f>
        <v>#REF!</v>
      </c>
      <c r="Z18" s="6" t="e">
        <f>VLOOKUP($A18,#REF!,41,0)</f>
        <v>#REF!</v>
      </c>
      <c r="AA18" s="2"/>
      <c r="AB18" s="2"/>
      <c r="AC18" s="2"/>
      <c r="AD18" s="2"/>
      <c r="AE18" s="2"/>
      <c r="AF18" s="2"/>
      <c r="AG18" s="2"/>
      <c r="AH18" s="2"/>
    </row>
    <row r="19" spans="1:34" x14ac:dyDescent="0.25">
      <c r="A19" s="1" t="s">
        <v>36</v>
      </c>
      <c r="B19" s="1" t="str">
        <f>VLOOKUP(A19,[15]LISTADHERENT!A$5:H$60,3,0)</f>
        <v>LOWE JEAN</v>
      </c>
      <c r="C19" s="1"/>
      <c r="D19" s="1"/>
      <c r="E19" s="5" t="e">
        <f t="shared" si="0"/>
        <v>#REF!</v>
      </c>
      <c r="F19" s="5" t="e">
        <f>+#REF!+#REF!+I19</f>
        <v>#REF!</v>
      </c>
      <c r="G19" s="6" t="e">
        <f>VLOOKUP($A19,#REF!,25,0)</f>
        <v>#REF!</v>
      </c>
      <c r="H19" s="6">
        <f>VLOOKUP($A19,[26]TONTJANV21!$A$6:$T$41,4,0)</f>
        <v>23000</v>
      </c>
      <c r="I19" s="6">
        <f t="shared" si="1"/>
        <v>19000</v>
      </c>
      <c r="J19" s="6">
        <f t="shared" si="2"/>
        <v>500</v>
      </c>
      <c r="K19" s="6">
        <f t="shared" si="3"/>
        <v>1000</v>
      </c>
      <c r="L19" s="6">
        <f t="shared" si="4"/>
        <v>2500</v>
      </c>
      <c r="M19" s="6" t="e">
        <f>VLOOKUP($A19,#REF!,5,0)</f>
        <v>#REF!</v>
      </c>
      <c r="N19" s="6" t="e">
        <f>VLOOKUP($A19,#REF!,27,0)</f>
        <v>#REF!</v>
      </c>
      <c r="O19" s="6" t="e">
        <f>VLOOKUP($A19,#REF!,26,0)</f>
        <v>#REF!</v>
      </c>
      <c r="P19" s="6" t="e">
        <f>VLOOKUP($A19,#REF!,20,0)</f>
        <v>#REF!</v>
      </c>
      <c r="Q19" s="6" t="e">
        <f t="shared" si="5"/>
        <v>#REF!</v>
      </c>
      <c r="R19" s="6" t="e">
        <f>VLOOKUP($A19,#REF!,23,0)</f>
        <v>#REF!</v>
      </c>
      <c r="S19" s="6" t="e">
        <f>VLOOKUP($A19,#REF!,17,0)</f>
        <v>#REF!</v>
      </c>
      <c r="T19" s="6" t="e">
        <f>VLOOKUP($A19,#REF!,18,0)</f>
        <v>#REF!</v>
      </c>
      <c r="U19" s="6" t="e">
        <f>VLOOKUP($A19,#REF!,21,0)</f>
        <v>#REF!</v>
      </c>
      <c r="V19" s="6" t="e">
        <f>VLOOKUP($A19,#REF!,22,0)</f>
        <v>#REF!</v>
      </c>
      <c r="W19" s="2"/>
      <c r="X19" s="2"/>
      <c r="Y19" s="6" t="e">
        <f>VLOOKUP(A19,#REF!,40,0)</f>
        <v>#REF!</v>
      </c>
      <c r="Z19" s="6" t="e">
        <f>VLOOKUP($A19,#REF!,41,0)</f>
        <v>#REF!</v>
      </c>
      <c r="AA19" s="2"/>
      <c r="AB19" s="2"/>
      <c r="AC19" s="2"/>
      <c r="AD19" s="2"/>
      <c r="AE19" s="2"/>
      <c r="AF19" s="2"/>
      <c r="AG19" s="2"/>
      <c r="AH19" s="2"/>
    </row>
    <row r="20" spans="1:34" x14ac:dyDescent="0.25">
      <c r="A20" s="1" t="s">
        <v>75</v>
      </c>
      <c r="B20" s="1" t="str">
        <f>VLOOKUP(A20,[15]LISTADHERENT!A$5:H$60,3,0)</f>
        <v>MBOGNING TUGMA GUY</v>
      </c>
      <c r="C20" s="1"/>
      <c r="D20" s="1"/>
      <c r="E20" s="5" t="e">
        <f t="shared" si="0"/>
        <v>#REF!</v>
      </c>
      <c r="F20" s="5" t="e">
        <f>+#REF!+#REF!+I20</f>
        <v>#REF!</v>
      </c>
      <c r="G20" s="6" t="e">
        <f>VLOOKUP($A20,#REF!,25,0)</f>
        <v>#REF!</v>
      </c>
      <c r="H20" s="6">
        <f>VLOOKUP($A20,[26]TONTJANV21!$A$6:$T$41,4,0)</f>
        <v>23000</v>
      </c>
      <c r="I20" s="6">
        <f t="shared" si="1"/>
        <v>19000</v>
      </c>
      <c r="J20" s="6">
        <f t="shared" si="2"/>
        <v>500</v>
      </c>
      <c r="K20" s="6">
        <f t="shared" si="3"/>
        <v>1000</v>
      </c>
      <c r="L20" s="6">
        <f t="shared" si="4"/>
        <v>2500</v>
      </c>
      <c r="M20" s="6" t="e">
        <f>VLOOKUP($A20,#REF!,5,0)</f>
        <v>#REF!</v>
      </c>
      <c r="N20" s="6" t="e">
        <f>VLOOKUP($A20,#REF!,27,0)</f>
        <v>#REF!</v>
      </c>
      <c r="O20" s="6" t="e">
        <f>VLOOKUP($A20,#REF!,26,0)</f>
        <v>#REF!</v>
      </c>
      <c r="P20" s="6" t="e">
        <f>VLOOKUP($A20,#REF!,20,0)</f>
        <v>#REF!</v>
      </c>
      <c r="Q20" s="6" t="e">
        <f t="shared" si="5"/>
        <v>#REF!</v>
      </c>
      <c r="R20" s="6" t="e">
        <f>VLOOKUP($A20,#REF!,23,0)</f>
        <v>#REF!</v>
      </c>
      <c r="S20" s="6" t="e">
        <f>VLOOKUP($A20,#REF!,17,0)</f>
        <v>#REF!</v>
      </c>
      <c r="T20" s="6" t="e">
        <f>VLOOKUP($A20,#REF!,18,0)</f>
        <v>#REF!</v>
      </c>
      <c r="U20" s="6" t="e">
        <f>VLOOKUP($A20,#REF!,21,0)</f>
        <v>#REF!</v>
      </c>
      <c r="V20" s="6" t="e">
        <f>VLOOKUP($A20,#REF!,22,0)</f>
        <v>#REF!</v>
      </c>
      <c r="W20" s="2"/>
      <c r="Y20" s="6" t="e">
        <f>VLOOKUP(A20,#REF!,40,0)</f>
        <v>#REF!</v>
      </c>
      <c r="Z20" s="6" t="e">
        <f>VLOOKUP($A20,#REF!,41,0)</f>
        <v>#REF!</v>
      </c>
      <c r="AB20" s="2"/>
      <c r="AC20" s="2"/>
      <c r="AD20" s="2"/>
      <c r="AE20" s="2"/>
      <c r="AF20" s="2"/>
      <c r="AG20" s="2"/>
      <c r="AH20" s="2"/>
    </row>
    <row r="21" spans="1:34" x14ac:dyDescent="0.25">
      <c r="A21" s="1" t="s">
        <v>50</v>
      </c>
      <c r="B21" s="1" t="str">
        <f>VLOOKUP(A21,[15]LISTADHERENT!A$5:H$60,3,0)</f>
        <v>NANGUEN MARTIN</v>
      </c>
      <c r="C21" s="1"/>
      <c r="D21" s="1"/>
      <c r="E21" s="5" t="e">
        <f t="shared" si="0"/>
        <v>#REF!</v>
      </c>
      <c r="F21" s="5" t="e">
        <f>+#REF!+#REF!+I21</f>
        <v>#REF!</v>
      </c>
      <c r="G21" s="6" t="e">
        <f>VLOOKUP($A21,#REF!,25,0)</f>
        <v>#REF!</v>
      </c>
      <c r="H21" s="6">
        <f>VLOOKUP($A21,[26]TONTJANV21!$A$6:$T$41,4,0)</f>
        <v>23000</v>
      </c>
      <c r="I21" s="6">
        <f t="shared" si="1"/>
        <v>19000</v>
      </c>
      <c r="J21" s="6">
        <f t="shared" si="2"/>
        <v>500</v>
      </c>
      <c r="K21" s="6">
        <f t="shared" si="3"/>
        <v>1000</v>
      </c>
      <c r="L21" s="6">
        <f t="shared" si="4"/>
        <v>2500</v>
      </c>
      <c r="M21" s="6" t="e">
        <f>VLOOKUP($A21,#REF!,5,0)</f>
        <v>#REF!</v>
      </c>
      <c r="N21" s="6" t="e">
        <f>VLOOKUP($A21,#REF!,27,0)</f>
        <v>#REF!</v>
      </c>
      <c r="O21" s="6" t="e">
        <f>VLOOKUP($A21,#REF!,26,0)</f>
        <v>#REF!</v>
      </c>
      <c r="P21" s="6" t="e">
        <f>VLOOKUP($A21,#REF!,20,0)</f>
        <v>#REF!</v>
      </c>
      <c r="Q21" s="6" t="e">
        <f t="shared" si="5"/>
        <v>#REF!</v>
      </c>
      <c r="R21" s="6" t="e">
        <f>VLOOKUP($A21,#REF!,23,0)</f>
        <v>#REF!</v>
      </c>
      <c r="S21" s="6" t="e">
        <f>VLOOKUP($A21,#REF!,17,0)</f>
        <v>#REF!</v>
      </c>
      <c r="T21" s="6" t="e">
        <f>VLOOKUP($A21,#REF!,18,0)</f>
        <v>#REF!</v>
      </c>
      <c r="U21" s="6" t="e">
        <f>VLOOKUP($A21,#REF!,21,0)</f>
        <v>#REF!</v>
      </c>
      <c r="V21" s="6" t="e">
        <f>VLOOKUP($A21,#REF!,22,0)</f>
        <v>#REF!</v>
      </c>
      <c r="W21" s="2"/>
      <c r="X21" s="2"/>
      <c r="Y21" s="6" t="e">
        <f>VLOOKUP(A21,#REF!,40,0)</f>
        <v>#REF!</v>
      </c>
      <c r="Z21" s="6" t="e">
        <f>VLOOKUP($A21,#REF!,41,0)</f>
        <v>#REF!</v>
      </c>
      <c r="AA21" s="2"/>
      <c r="AB21" s="2"/>
      <c r="AC21" s="2"/>
      <c r="AD21" s="2"/>
      <c r="AE21" s="2"/>
      <c r="AF21" s="2"/>
      <c r="AG21" s="2"/>
      <c r="AH21" s="2"/>
    </row>
    <row r="22" spans="1:34" x14ac:dyDescent="0.25">
      <c r="A22" s="1" t="s">
        <v>37</v>
      </c>
      <c r="B22" s="1" t="str">
        <f>VLOOKUP(A22,[15]LISTADHERENT!A$5:H$60,3,0)</f>
        <v>NANKAM APPOLINAIRE</v>
      </c>
      <c r="C22" s="1"/>
      <c r="D22" s="1"/>
      <c r="E22" s="5" t="e">
        <f t="shared" si="0"/>
        <v>#REF!</v>
      </c>
      <c r="F22" s="5" t="e">
        <f>+#REF!+#REF!+I22</f>
        <v>#REF!</v>
      </c>
      <c r="G22" s="6" t="e">
        <f>VLOOKUP($A22,#REF!,25,0)</f>
        <v>#REF!</v>
      </c>
      <c r="H22" s="6">
        <f>VLOOKUP($A22,[26]TONTJANV21!$A$6:$T$41,4,0)</f>
        <v>23000</v>
      </c>
      <c r="I22" s="6">
        <f t="shared" si="1"/>
        <v>19000</v>
      </c>
      <c r="J22" s="6">
        <f t="shared" si="2"/>
        <v>500</v>
      </c>
      <c r="K22" s="6">
        <f t="shared" si="3"/>
        <v>1000</v>
      </c>
      <c r="L22" s="6">
        <f t="shared" si="4"/>
        <v>2500</v>
      </c>
      <c r="M22" s="6" t="e">
        <f>VLOOKUP($A22,#REF!,5,0)</f>
        <v>#REF!</v>
      </c>
      <c r="N22" s="6" t="e">
        <f>VLOOKUP($A22,#REF!,27,0)</f>
        <v>#REF!</v>
      </c>
      <c r="O22" s="6" t="e">
        <f>VLOOKUP($A22,#REF!,26,0)</f>
        <v>#REF!</v>
      </c>
      <c r="P22" s="6" t="e">
        <f>VLOOKUP($A22,#REF!,20,0)</f>
        <v>#REF!</v>
      </c>
      <c r="Q22" s="6" t="e">
        <f t="shared" si="5"/>
        <v>#REF!</v>
      </c>
      <c r="R22" s="6" t="e">
        <f>VLOOKUP($A22,#REF!,23,0)</f>
        <v>#REF!</v>
      </c>
      <c r="S22" s="6" t="e">
        <f>VLOOKUP($A22,#REF!,17,0)</f>
        <v>#REF!</v>
      </c>
      <c r="T22" s="6" t="e">
        <f>VLOOKUP($A22,#REF!,18,0)</f>
        <v>#REF!</v>
      </c>
      <c r="U22" s="6" t="e">
        <f>VLOOKUP($A22,#REF!,21,0)</f>
        <v>#REF!</v>
      </c>
      <c r="V22" s="6" t="e">
        <f>VLOOKUP($A22,#REF!,22,0)</f>
        <v>#REF!</v>
      </c>
      <c r="W22" s="2"/>
      <c r="X22" s="2"/>
      <c r="Y22" s="6" t="e">
        <f>VLOOKUP(A22,#REF!,40,0)</f>
        <v>#REF!</v>
      </c>
      <c r="Z22" s="6" t="e">
        <f>VLOOKUP($A22,#REF!,41,0)</f>
        <v>#REF!</v>
      </c>
      <c r="AA22" s="2"/>
      <c r="AB22" s="2"/>
      <c r="AC22" s="2"/>
      <c r="AD22" s="2"/>
      <c r="AE22" s="2"/>
      <c r="AF22" s="2"/>
      <c r="AG22" s="2"/>
      <c r="AH22" s="2"/>
    </row>
    <row r="23" spans="1:34" x14ac:dyDescent="0.25">
      <c r="A23" s="1" t="s">
        <v>38</v>
      </c>
      <c r="B23" s="1" t="str">
        <f>VLOOKUP(A23,[15]LISTADHERENT!A$5:H$60,3,0)</f>
        <v>NDJOMO ETIENNE</v>
      </c>
      <c r="C23" s="1"/>
      <c r="D23" s="1"/>
      <c r="E23" s="5" t="e">
        <f t="shared" si="0"/>
        <v>#REF!</v>
      </c>
      <c r="F23" s="5" t="e">
        <f>+#REF!+#REF!+I23</f>
        <v>#REF!</v>
      </c>
      <c r="G23" s="6" t="e">
        <f>VLOOKUP($A23,#REF!,25,0)</f>
        <v>#REF!</v>
      </c>
      <c r="H23" s="6">
        <f>VLOOKUP($A23,[26]TONTJANV21!$A$6:$T$41,4,0)</f>
        <v>23000</v>
      </c>
      <c r="I23" s="6">
        <f t="shared" si="1"/>
        <v>19000</v>
      </c>
      <c r="J23" s="6">
        <f t="shared" si="2"/>
        <v>500</v>
      </c>
      <c r="K23" s="6">
        <f t="shared" si="3"/>
        <v>1000</v>
      </c>
      <c r="L23" s="6">
        <f t="shared" si="4"/>
        <v>2500</v>
      </c>
      <c r="M23" s="6" t="e">
        <f>VLOOKUP($A23,#REF!,5,0)</f>
        <v>#REF!</v>
      </c>
      <c r="N23" s="6" t="e">
        <f>VLOOKUP($A23,#REF!,27,0)</f>
        <v>#REF!</v>
      </c>
      <c r="O23" s="6" t="e">
        <f>VLOOKUP($A23,#REF!,26,0)</f>
        <v>#REF!</v>
      </c>
      <c r="P23" s="6" t="e">
        <f>VLOOKUP($A23,#REF!,20,0)</f>
        <v>#REF!</v>
      </c>
      <c r="Q23" s="6" t="e">
        <f t="shared" si="5"/>
        <v>#REF!</v>
      </c>
      <c r="R23" s="6" t="e">
        <f>VLOOKUP($A23,#REF!,23,0)</f>
        <v>#REF!</v>
      </c>
      <c r="S23" s="6" t="e">
        <f>VLOOKUP($A23,#REF!,17,0)</f>
        <v>#REF!</v>
      </c>
      <c r="T23" s="6" t="e">
        <f>VLOOKUP($A23,#REF!,18,0)</f>
        <v>#REF!</v>
      </c>
      <c r="U23" s="6" t="e">
        <f>VLOOKUP($A23,#REF!,21,0)</f>
        <v>#REF!</v>
      </c>
      <c r="V23" s="6" t="e">
        <f>VLOOKUP($A23,#REF!,22,0)</f>
        <v>#REF!</v>
      </c>
      <c r="W23" s="2"/>
      <c r="X23" s="2"/>
      <c r="Y23" s="6" t="e">
        <f>VLOOKUP(A23,#REF!,40,0)</f>
        <v>#REF!</v>
      </c>
      <c r="Z23" s="6" t="e">
        <f>VLOOKUP($A23,#REF!,41,0)</f>
        <v>#REF!</v>
      </c>
      <c r="AA23" s="2"/>
      <c r="AB23" s="2"/>
      <c r="AC23" s="2"/>
      <c r="AD23" s="2"/>
      <c r="AE23" s="2"/>
      <c r="AF23" s="2"/>
      <c r="AG23" s="2"/>
      <c r="AH23" s="2"/>
    </row>
    <row r="24" spans="1:34" x14ac:dyDescent="0.25">
      <c r="A24" s="1" t="s">
        <v>39</v>
      </c>
      <c r="B24" s="1" t="str">
        <f>VLOOKUP(A24,[15]LISTADHERENT!A$5:H$60,3,0)</f>
        <v>NGONDIEP CLAUDE</v>
      </c>
      <c r="C24" s="1"/>
      <c r="D24" s="1"/>
      <c r="E24" s="5" t="e">
        <f t="shared" si="0"/>
        <v>#REF!</v>
      </c>
      <c r="F24" s="5" t="e">
        <f>+#REF!+#REF!+I24</f>
        <v>#REF!</v>
      </c>
      <c r="G24" s="6" t="e">
        <f>VLOOKUP($A24,#REF!,25,0)</f>
        <v>#REF!</v>
      </c>
      <c r="H24" s="6">
        <f>VLOOKUP($A24,[26]TONTJANV21!$A$6:$T$41,4,0)</f>
        <v>23000</v>
      </c>
      <c r="I24" s="6">
        <f t="shared" si="1"/>
        <v>19000</v>
      </c>
      <c r="J24" s="6">
        <f t="shared" si="2"/>
        <v>500</v>
      </c>
      <c r="K24" s="6">
        <f t="shared" si="3"/>
        <v>1000</v>
      </c>
      <c r="L24" s="6">
        <f t="shared" si="4"/>
        <v>2500</v>
      </c>
      <c r="M24" s="6" t="e">
        <f>VLOOKUP($A24,#REF!,5,0)</f>
        <v>#REF!</v>
      </c>
      <c r="N24" s="6" t="e">
        <f>VLOOKUP($A24,#REF!,27,0)</f>
        <v>#REF!</v>
      </c>
      <c r="O24" s="6" t="e">
        <f>VLOOKUP($A24,#REF!,26,0)</f>
        <v>#REF!</v>
      </c>
      <c r="P24" s="6" t="e">
        <f>VLOOKUP($A24,#REF!,20,0)</f>
        <v>#REF!</v>
      </c>
      <c r="Q24" s="6" t="e">
        <f t="shared" si="5"/>
        <v>#REF!</v>
      </c>
      <c r="R24" s="6" t="e">
        <f>VLOOKUP($A24,#REF!,23,0)</f>
        <v>#REF!</v>
      </c>
      <c r="S24" s="6" t="e">
        <f>VLOOKUP($A24,#REF!,17,0)</f>
        <v>#REF!</v>
      </c>
      <c r="T24" s="6" t="e">
        <f>VLOOKUP($A24,#REF!,18,0)</f>
        <v>#REF!</v>
      </c>
      <c r="U24" s="6" t="e">
        <f>VLOOKUP($A24,#REF!,21,0)</f>
        <v>#REF!</v>
      </c>
      <c r="V24" s="6" t="e">
        <f>VLOOKUP($A24,#REF!,22,0)</f>
        <v>#REF!</v>
      </c>
      <c r="W24" s="2"/>
      <c r="X24" s="2"/>
      <c r="Y24" s="6" t="e">
        <f>VLOOKUP(A24,#REF!,40,0)</f>
        <v>#REF!</v>
      </c>
      <c r="Z24" s="6" t="e">
        <f>VLOOKUP($A24,#REF!,41,0)</f>
        <v>#REF!</v>
      </c>
      <c r="AA24" s="2"/>
      <c r="AB24" s="2"/>
      <c r="AC24" s="2"/>
      <c r="AD24" s="2"/>
      <c r="AE24" s="2"/>
      <c r="AF24" s="2"/>
      <c r="AG24" s="2"/>
      <c r="AH24" s="2"/>
    </row>
    <row r="25" spans="1:34" x14ac:dyDescent="0.25">
      <c r="A25" s="1" t="s">
        <v>41</v>
      </c>
      <c r="B25" s="1" t="str">
        <f>VLOOKUP(A25,[15]LISTADHERENT!A$5:H$60,3,0)</f>
        <v>NGUIEMEGNI MATHIEU BLAISE</v>
      </c>
      <c r="C25" s="1"/>
      <c r="D25" s="1"/>
      <c r="E25" s="5" t="e">
        <f t="shared" si="0"/>
        <v>#REF!</v>
      </c>
      <c r="F25" s="5" t="e">
        <f>+#REF!+#REF!+I25</f>
        <v>#REF!</v>
      </c>
      <c r="G25" s="6" t="e">
        <f>VLOOKUP($A25,#REF!,25,0)</f>
        <v>#REF!</v>
      </c>
      <c r="H25" s="6">
        <f>VLOOKUP($A25,[26]TONTJANV21!$A$6:$T$41,4,0)</f>
        <v>23000</v>
      </c>
      <c r="I25" s="6">
        <f t="shared" si="1"/>
        <v>19000</v>
      </c>
      <c r="J25" s="6">
        <f t="shared" si="2"/>
        <v>500</v>
      </c>
      <c r="K25" s="6">
        <f t="shared" si="3"/>
        <v>1000</v>
      </c>
      <c r="L25" s="6">
        <f t="shared" si="4"/>
        <v>2500</v>
      </c>
      <c r="M25" s="6" t="e">
        <f>VLOOKUP($A25,#REF!,5,0)</f>
        <v>#REF!</v>
      </c>
      <c r="N25" s="6" t="e">
        <f>VLOOKUP($A25,#REF!,27,0)</f>
        <v>#REF!</v>
      </c>
      <c r="O25" s="6" t="e">
        <f>VLOOKUP($A25,#REF!,26,0)</f>
        <v>#REF!</v>
      </c>
      <c r="P25" s="6" t="e">
        <f>VLOOKUP($A25,#REF!,20,0)</f>
        <v>#REF!</v>
      </c>
      <c r="Q25" s="6" t="e">
        <f t="shared" si="5"/>
        <v>#REF!</v>
      </c>
      <c r="R25" s="6" t="e">
        <f>VLOOKUP($A25,#REF!,23,0)</f>
        <v>#REF!</v>
      </c>
      <c r="S25" s="6" t="e">
        <f>VLOOKUP($A25,#REF!,17,0)</f>
        <v>#REF!</v>
      </c>
      <c r="T25" s="6" t="e">
        <f>VLOOKUP($A25,#REF!,18,0)</f>
        <v>#REF!</v>
      </c>
      <c r="U25" s="6" t="e">
        <f>VLOOKUP($A25,#REF!,21,0)</f>
        <v>#REF!</v>
      </c>
      <c r="V25" s="6" t="e">
        <f>VLOOKUP($A25,#REF!,22,0)</f>
        <v>#REF!</v>
      </c>
      <c r="W25" s="2"/>
      <c r="X25" s="2"/>
      <c r="Y25" s="6" t="e">
        <f>VLOOKUP(A25,#REF!,40,0)</f>
        <v>#REF!</v>
      </c>
      <c r="Z25" s="6" t="e">
        <f>VLOOKUP($A25,#REF!,41,0)</f>
        <v>#REF!</v>
      </c>
      <c r="AA25" s="2"/>
      <c r="AB25" s="2"/>
      <c r="AC25" s="2"/>
      <c r="AD25" s="2"/>
      <c r="AE25" s="2"/>
      <c r="AF25" s="2"/>
      <c r="AG25" s="2"/>
      <c r="AH25" s="2"/>
    </row>
    <row r="26" spans="1:34" x14ac:dyDescent="0.25">
      <c r="A26" s="1" t="s">
        <v>43</v>
      </c>
      <c r="B26" s="1" t="str">
        <f>VLOOKUP(A26,[15]LISTADHERENT!A$5:H$60,3,0)</f>
        <v>NKAMGANG JUSTIN DEJOLIE</v>
      </c>
      <c r="C26" s="1"/>
      <c r="D26" s="1"/>
      <c r="E26" s="5" t="e">
        <f t="shared" si="0"/>
        <v>#REF!</v>
      </c>
      <c r="F26" s="5" t="e">
        <f>+#REF!+#REF!+I26</f>
        <v>#REF!</v>
      </c>
      <c r="G26" s="6" t="e">
        <f>VLOOKUP($A26,#REF!,25,0)</f>
        <v>#REF!</v>
      </c>
      <c r="H26" s="6">
        <f>VLOOKUP($A26,[26]TONTJANV21!$A$6:$T$41,4,0)</f>
        <v>23000</v>
      </c>
      <c r="I26" s="6">
        <f t="shared" si="1"/>
        <v>19000</v>
      </c>
      <c r="J26" s="6">
        <f t="shared" si="2"/>
        <v>500</v>
      </c>
      <c r="K26" s="6">
        <f t="shared" si="3"/>
        <v>1000</v>
      </c>
      <c r="L26" s="6">
        <f t="shared" si="4"/>
        <v>2500</v>
      </c>
      <c r="M26" s="6" t="e">
        <f>VLOOKUP($A26,#REF!,5,0)</f>
        <v>#REF!</v>
      </c>
      <c r="N26" s="6" t="e">
        <f>VLOOKUP($A26,#REF!,27,0)</f>
        <v>#REF!</v>
      </c>
      <c r="O26" s="6" t="e">
        <f>VLOOKUP($A26,#REF!,26,0)</f>
        <v>#REF!</v>
      </c>
      <c r="P26" s="6" t="e">
        <f>VLOOKUP($A26,#REF!,20,0)</f>
        <v>#REF!</v>
      </c>
      <c r="Q26" s="6" t="e">
        <f t="shared" si="5"/>
        <v>#REF!</v>
      </c>
      <c r="R26" s="6" t="e">
        <f>VLOOKUP($A26,#REF!,23,0)</f>
        <v>#REF!</v>
      </c>
      <c r="S26" s="6" t="e">
        <f>VLOOKUP($A26,#REF!,17,0)</f>
        <v>#REF!</v>
      </c>
      <c r="T26" s="6" t="e">
        <f>VLOOKUP($A26,#REF!,18,0)</f>
        <v>#REF!</v>
      </c>
      <c r="U26" s="6" t="e">
        <f>VLOOKUP($A26,#REF!,21,0)</f>
        <v>#REF!</v>
      </c>
      <c r="V26" s="6" t="e">
        <f>VLOOKUP($A26,#REF!,22,0)</f>
        <v>#REF!</v>
      </c>
      <c r="W26" s="2"/>
      <c r="X26" s="2"/>
      <c r="Y26" s="6" t="e">
        <f>VLOOKUP(A26,#REF!,40,0)</f>
        <v>#REF!</v>
      </c>
      <c r="Z26" s="6" t="e">
        <f>VLOOKUP($A26,#REF!,41,0)</f>
        <v>#REF!</v>
      </c>
      <c r="AA26" s="2"/>
      <c r="AB26" s="2"/>
      <c r="AC26" s="2"/>
      <c r="AD26" s="2"/>
      <c r="AE26" s="2"/>
      <c r="AF26" s="2"/>
      <c r="AG26" s="2"/>
      <c r="AH26" s="2"/>
    </row>
    <row r="27" spans="1:34" x14ac:dyDescent="0.25">
      <c r="A27" s="1" t="s">
        <v>30</v>
      </c>
      <c r="B27" s="1" t="str">
        <f>VLOOKUP(A27,[15]LISTADHERENT!A$5:H$60,3,0)</f>
        <v>NKEHE DAVID</v>
      </c>
      <c r="C27" s="1"/>
      <c r="D27" s="1"/>
      <c r="E27" s="5" t="e">
        <f t="shared" si="0"/>
        <v>#REF!</v>
      </c>
      <c r="F27" s="5" t="e">
        <f>+#REF!+#REF!+I27</f>
        <v>#REF!</v>
      </c>
      <c r="G27" s="6" t="e">
        <f>VLOOKUP($A27,#REF!,25,0)</f>
        <v>#REF!</v>
      </c>
      <c r="H27" s="6" t="e">
        <f>VLOOKUP($A27,[26]TONTJANV21!$A$6:$T$41,4,0)</f>
        <v>#N/A</v>
      </c>
      <c r="I27" s="6" t="e">
        <f t="shared" si="1"/>
        <v>#N/A</v>
      </c>
      <c r="J27" s="6" t="e">
        <f t="shared" si="2"/>
        <v>#N/A</v>
      </c>
      <c r="K27" s="6" t="e">
        <f t="shared" si="3"/>
        <v>#N/A</v>
      </c>
      <c r="L27" s="6" t="e">
        <f t="shared" si="4"/>
        <v>#N/A</v>
      </c>
      <c r="M27" s="6" t="e">
        <f>VLOOKUP($A27,#REF!,5,0)</f>
        <v>#REF!</v>
      </c>
      <c r="N27" s="6" t="e">
        <f>VLOOKUP($A27,#REF!,27,0)</f>
        <v>#REF!</v>
      </c>
      <c r="O27" s="6" t="e">
        <f>VLOOKUP($A27,#REF!,26,0)</f>
        <v>#REF!</v>
      </c>
      <c r="P27" s="6" t="e">
        <f>VLOOKUP($A27,#REF!,20,0)</f>
        <v>#REF!</v>
      </c>
      <c r="Q27" s="6" t="e">
        <f t="shared" si="5"/>
        <v>#REF!</v>
      </c>
      <c r="R27" s="6" t="e">
        <f>VLOOKUP($A27,#REF!,23,0)</f>
        <v>#REF!</v>
      </c>
      <c r="S27" s="6" t="e">
        <f>VLOOKUP($A27,#REF!,17,0)</f>
        <v>#REF!</v>
      </c>
      <c r="T27" s="6" t="e">
        <f>VLOOKUP($A27,#REF!,18,0)</f>
        <v>#REF!</v>
      </c>
      <c r="U27" s="6" t="e">
        <f>VLOOKUP($A27,#REF!,21,0)</f>
        <v>#REF!</v>
      </c>
      <c r="V27" s="6" t="e">
        <f>VLOOKUP($A27,#REF!,22,0)</f>
        <v>#REF!</v>
      </c>
      <c r="W27" s="2"/>
      <c r="X27" s="2"/>
      <c r="Y27" s="6" t="e">
        <f>VLOOKUP(A27,#REF!,40,0)</f>
        <v>#REF!</v>
      </c>
      <c r="Z27" s="6" t="e">
        <f>VLOOKUP($A27,#REF!,41,0)</f>
        <v>#REF!</v>
      </c>
      <c r="AA27" s="2"/>
      <c r="AB27" s="2"/>
      <c r="AC27" s="2"/>
      <c r="AD27" s="2"/>
      <c r="AE27" s="2"/>
      <c r="AF27" s="2"/>
      <c r="AG27" s="2"/>
      <c r="AH27" s="2"/>
    </row>
    <row r="28" spans="1:34" x14ac:dyDescent="0.25">
      <c r="A28" s="1" t="s">
        <v>44</v>
      </c>
      <c r="B28" s="1" t="str">
        <f>VLOOKUP(A28,[15]LISTADHERENT!A$5:H$60,3,0)</f>
        <v>NKEPSEU DIEUDONNE</v>
      </c>
      <c r="C28" s="1"/>
      <c r="D28" s="1"/>
      <c r="E28" s="5" t="e">
        <f t="shared" si="0"/>
        <v>#REF!</v>
      </c>
      <c r="F28" s="5" t="e">
        <f>+#REF!+#REF!+I28</f>
        <v>#REF!</v>
      </c>
      <c r="G28" s="6" t="e">
        <f>VLOOKUP($A28,#REF!,25,0)</f>
        <v>#REF!</v>
      </c>
      <c r="H28" s="6">
        <f>VLOOKUP($A28,[26]TONTJANV21!$A$6:$T$41,4,0)</f>
        <v>23000</v>
      </c>
      <c r="I28" s="6">
        <f t="shared" si="1"/>
        <v>19000</v>
      </c>
      <c r="J28" s="6">
        <f t="shared" si="2"/>
        <v>500</v>
      </c>
      <c r="K28" s="6">
        <f t="shared" si="3"/>
        <v>1000</v>
      </c>
      <c r="L28" s="6">
        <f t="shared" si="4"/>
        <v>2500</v>
      </c>
      <c r="M28" s="6" t="e">
        <f>VLOOKUP($A28,#REF!,5,0)</f>
        <v>#REF!</v>
      </c>
      <c r="N28" s="6" t="e">
        <f>VLOOKUP($A28,#REF!,27,0)</f>
        <v>#REF!</v>
      </c>
      <c r="O28" s="6" t="e">
        <f>VLOOKUP($A28,#REF!,26,0)</f>
        <v>#REF!</v>
      </c>
      <c r="P28" s="6" t="e">
        <f>VLOOKUP($A28,#REF!,20,0)</f>
        <v>#REF!</v>
      </c>
      <c r="Q28" s="6" t="e">
        <f t="shared" si="5"/>
        <v>#REF!</v>
      </c>
      <c r="R28" s="6" t="e">
        <f>VLOOKUP($A28,#REF!,23,0)</f>
        <v>#REF!</v>
      </c>
      <c r="S28" s="6" t="e">
        <f>VLOOKUP($A28,#REF!,17,0)</f>
        <v>#REF!</v>
      </c>
      <c r="T28" s="6" t="e">
        <f>VLOOKUP($A28,#REF!,18,0)</f>
        <v>#REF!</v>
      </c>
      <c r="U28" s="6" t="e">
        <f>VLOOKUP($A28,#REF!,21,0)</f>
        <v>#REF!</v>
      </c>
      <c r="V28" s="6" t="e">
        <f>VLOOKUP($A28,#REF!,22,0)</f>
        <v>#REF!</v>
      </c>
      <c r="W28" s="7"/>
      <c r="X28" s="7"/>
      <c r="Y28" s="6" t="e">
        <f>VLOOKUP(A28,#REF!,40,0)</f>
        <v>#REF!</v>
      </c>
      <c r="Z28" s="6" t="e">
        <f>VLOOKUP($A28,#REF!,41,0)</f>
        <v>#REF!</v>
      </c>
      <c r="AA28" s="7"/>
      <c r="AB28" s="2"/>
      <c r="AC28" s="2"/>
      <c r="AD28" s="2"/>
      <c r="AE28" s="2"/>
      <c r="AF28" s="2"/>
      <c r="AG28" s="2"/>
      <c r="AH28" s="2"/>
    </row>
    <row r="29" spans="1:34" x14ac:dyDescent="0.25">
      <c r="A29" s="1" t="s">
        <v>45</v>
      </c>
      <c r="B29" s="1" t="str">
        <f>VLOOKUP(A29,[15]LISTADHERENT!A$5:H$60,3,0)</f>
        <v>PATEGO NJOSSU GUSTAVE</v>
      </c>
      <c r="C29" s="1"/>
      <c r="D29" s="1"/>
      <c r="E29" s="5" t="e">
        <f t="shared" si="0"/>
        <v>#REF!</v>
      </c>
      <c r="F29" s="5" t="e">
        <f>+#REF!+#REF!+I29</f>
        <v>#REF!</v>
      </c>
      <c r="G29" s="6" t="e">
        <f>VLOOKUP($A29,#REF!,25,0)</f>
        <v>#REF!</v>
      </c>
      <c r="H29" s="6">
        <f>VLOOKUP($A29,[26]TONTJANV21!$A$6:$T$41,4,0)</f>
        <v>23000</v>
      </c>
      <c r="I29" s="6">
        <f t="shared" si="1"/>
        <v>19000</v>
      </c>
      <c r="J29" s="6">
        <f t="shared" si="2"/>
        <v>500</v>
      </c>
      <c r="K29" s="6">
        <f t="shared" si="3"/>
        <v>1000</v>
      </c>
      <c r="L29" s="6">
        <f t="shared" si="4"/>
        <v>2500</v>
      </c>
      <c r="M29" s="6" t="e">
        <f>VLOOKUP($A29,#REF!,5,0)</f>
        <v>#REF!</v>
      </c>
      <c r="N29" s="6" t="e">
        <f>VLOOKUP($A29,#REF!,27,0)</f>
        <v>#REF!</v>
      </c>
      <c r="O29" s="6" t="e">
        <f>VLOOKUP($A29,#REF!,26,0)</f>
        <v>#REF!</v>
      </c>
      <c r="P29" s="6" t="e">
        <f>VLOOKUP($A29,#REF!,20,0)</f>
        <v>#REF!</v>
      </c>
      <c r="Q29" s="6" t="e">
        <f t="shared" si="5"/>
        <v>#REF!</v>
      </c>
      <c r="R29" s="6" t="e">
        <f>VLOOKUP($A29,#REF!,23,0)</f>
        <v>#REF!</v>
      </c>
      <c r="S29" s="6" t="e">
        <f>VLOOKUP($A29,#REF!,17,0)</f>
        <v>#REF!</v>
      </c>
      <c r="T29" s="6" t="e">
        <f>VLOOKUP($A29,#REF!,18,0)</f>
        <v>#REF!</v>
      </c>
      <c r="U29" s="6" t="e">
        <f>VLOOKUP($A29,#REF!,21,0)</f>
        <v>#REF!</v>
      </c>
      <c r="V29" s="6" t="e">
        <f>VLOOKUP($A29,#REF!,22,0)</f>
        <v>#REF!</v>
      </c>
      <c r="W29" s="2"/>
      <c r="X29" s="2"/>
      <c r="Y29" s="6" t="e">
        <f>VLOOKUP(A29,#REF!,40,0)</f>
        <v>#REF!</v>
      </c>
      <c r="Z29" s="6" t="e">
        <f>VLOOKUP($A29,#REF!,41,0)</f>
        <v>#REF!</v>
      </c>
      <c r="AA29" s="2"/>
      <c r="AB29" s="2"/>
      <c r="AC29" s="2"/>
      <c r="AD29" s="2"/>
      <c r="AE29" s="2"/>
      <c r="AF29" s="2"/>
      <c r="AG29" s="2"/>
      <c r="AH29" s="2"/>
    </row>
    <row r="30" spans="1:34" x14ac:dyDescent="0.25">
      <c r="A30" s="1" t="s">
        <v>81</v>
      </c>
      <c r="B30" s="1" t="str">
        <f>VLOOKUP(A30,[15]LISTADHERENT!A$5:H$60,3,0)</f>
        <v>SIME BRICE</v>
      </c>
      <c r="C30" s="1"/>
      <c r="D30" s="1"/>
      <c r="E30" s="5" t="e">
        <f t="shared" si="0"/>
        <v>#REF!</v>
      </c>
      <c r="F30" s="5" t="e">
        <f>+#REF!+#REF!+I30</f>
        <v>#REF!</v>
      </c>
      <c r="G30" s="6" t="e">
        <f>VLOOKUP($A30,#REF!,25,0)</f>
        <v>#REF!</v>
      </c>
      <c r="H30" s="6">
        <f>VLOOKUP($A30,[26]TONTJANV21!$A$6:$T$41,4,0)</f>
        <v>23000</v>
      </c>
      <c r="I30" s="6">
        <f t="shared" si="1"/>
        <v>19000</v>
      </c>
      <c r="J30" s="6">
        <f t="shared" si="2"/>
        <v>500</v>
      </c>
      <c r="K30" s="6">
        <f t="shared" si="3"/>
        <v>1000</v>
      </c>
      <c r="L30" s="6">
        <f t="shared" si="4"/>
        <v>2500</v>
      </c>
      <c r="M30" s="6" t="e">
        <f>VLOOKUP($A30,#REF!,5,0)</f>
        <v>#REF!</v>
      </c>
      <c r="N30" s="6" t="e">
        <f>VLOOKUP($A30,#REF!,27,0)</f>
        <v>#REF!</v>
      </c>
      <c r="O30" s="6" t="e">
        <f>VLOOKUP($A30,#REF!,26,0)</f>
        <v>#REF!</v>
      </c>
      <c r="P30" s="6" t="e">
        <f>VLOOKUP($A30,#REF!,20,0)</f>
        <v>#REF!</v>
      </c>
      <c r="Q30" s="6" t="e">
        <f t="shared" si="5"/>
        <v>#REF!</v>
      </c>
      <c r="R30" s="6" t="e">
        <f>VLOOKUP($A30,#REF!,23,0)</f>
        <v>#REF!</v>
      </c>
      <c r="S30" s="6" t="e">
        <f>VLOOKUP($A30,#REF!,17,0)</f>
        <v>#REF!</v>
      </c>
      <c r="T30" s="6" t="e">
        <f>VLOOKUP($A30,#REF!,18,0)</f>
        <v>#REF!</v>
      </c>
      <c r="U30" s="6" t="e">
        <f>VLOOKUP($A30,#REF!,21,0)</f>
        <v>#REF!</v>
      </c>
      <c r="V30" s="6" t="e">
        <f>VLOOKUP($A30,#REF!,22,0)</f>
        <v>#REF!</v>
      </c>
      <c r="W30" s="2"/>
      <c r="Y30" s="6" t="e">
        <f>VLOOKUP(A30,#REF!,40,0)</f>
        <v>#REF!</v>
      </c>
      <c r="Z30" s="6" t="e">
        <f>VLOOKUP($A30,#REF!,41,0)</f>
        <v>#REF!</v>
      </c>
      <c r="AB30" s="2"/>
      <c r="AC30" s="2"/>
      <c r="AD30" s="2"/>
      <c r="AE30" s="2"/>
      <c r="AF30" s="2"/>
      <c r="AG30" s="2"/>
      <c r="AH30" s="2"/>
    </row>
    <row r="31" spans="1:34" x14ac:dyDescent="0.25">
      <c r="A31" s="1" t="s">
        <v>48</v>
      </c>
      <c r="B31" s="1" t="str">
        <f>VLOOKUP(A31,[15]LISTADHERENT!A$5:H$60,3,0)</f>
        <v>SIME MATHIEU</v>
      </c>
      <c r="C31" s="1"/>
      <c r="D31" s="1"/>
      <c r="E31" s="5" t="e">
        <f t="shared" si="0"/>
        <v>#REF!</v>
      </c>
      <c r="F31" s="5" t="e">
        <f>+#REF!+#REF!+I31</f>
        <v>#REF!</v>
      </c>
      <c r="G31" s="6" t="e">
        <f>VLOOKUP($A31,#REF!,25,0)</f>
        <v>#REF!</v>
      </c>
      <c r="H31" s="6">
        <f>VLOOKUP($A31,[26]TONTJANV21!$A$6:$T$41,4,0)</f>
        <v>23000</v>
      </c>
      <c r="I31" s="6">
        <f t="shared" si="1"/>
        <v>19000</v>
      </c>
      <c r="J31" s="6">
        <f t="shared" si="2"/>
        <v>500</v>
      </c>
      <c r="K31" s="6">
        <f t="shared" si="3"/>
        <v>1000</v>
      </c>
      <c r="L31" s="6">
        <f t="shared" si="4"/>
        <v>2500</v>
      </c>
      <c r="M31" s="6" t="e">
        <f>VLOOKUP($A31,#REF!,5,0)</f>
        <v>#REF!</v>
      </c>
      <c r="N31" s="6" t="e">
        <f>VLOOKUP($A31,#REF!,27,0)</f>
        <v>#REF!</v>
      </c>
      <c r="O31" s="6" t="e">
        <f>VLOOKUP($A31,#REF!,26,0)</f>
        <v>#REF!</v>
      </c>
      <c r="P31" s="6" t="e">
        <f>VLOOKUP($A31,#REF!,20,0)</f>
        <v>#REF!</v>
      </c>
      <c r="Q31" s="6" t="e">
        <f t="shared" si="5"/>
        <v>#REF!</v>
      </c>
      <c r="R31" s="6" t="e">
        <f>VLOOKUP($A31,#REF!,23,0)</f>
        <v>#REF!</v>
      </c>
      <c r="S31" s="6" t="e">
        <f>VLOOKUP($A31,#REF!,17,0)</f>
        <v>#REF!</v>
      </c>
      <c r="T31" s="6" t="e">
        <f>VLOOKUP($A31,#REF!,18,0)</f>
        <v>#REF!</v>
      </c>
      <c r="U31" s="6" t="e">
        <f>VLOOKUP($A31,#REF!,21,0)</f>
        <v>#REF!</v>
      </c>
      <c r="V31" s="6" t="e">
        <f>VLOOKUP($A31,#REF!,22,0)</f>
        <v>#REF!</v>
      </c>
      <c r="W31" s="2"/>
      <c r="X31" s="2"/>
      <c r="Y31" s="6" t="e">
        <f>VLOOKUP(A31,#REF!,40,0)</f>
        <v>#REF!</v>
      </c>
      <c r="Z31" s="6" t="e">
        <f>VLOOKUP($A31,#REF!,41,0)</f>
        <v>#REF!</v>
      </c>
      <c r="AA31" s="2"/>
      <c r="AB31" s="2"/>
      <c r="AC31" s="2"/>
      <c r="AD31" s="2"/>
      <c r="AE31" s="2"/>
      <c r="AF31" s="2"/>
      <c r="AG31" s="2"/>
      <c r="AH31" s="2"/>
    </row>
    <row r="32" spans="1:34" x14ac:dyDescent="0.25">
      <c r="A32" s="1" t="s">
        <v>47</v>
      </c>
      <c r="B32" s="1" t="str">
        <f>VLOOKUP(A32,[15]LISTADHERENT!A$5:H$60,3,0)</f>
        <v>SIMO FONGANG ERIC</v>
      </c>
      <c r="C32" s="1"/>
      <c r="D32" s="1"/>
      <c r="E32" s="5" t="e">
        <f t="shared" si="0"/>
        <v>#REF!</v>
      </c>
      <c r="F32" s="5" t="e">
        <f>+#REF!+#REF!+I32</f>
        <v>#REF!</v>
      </c>
      <c r="G32" s="6" t="e">
        <f>VLOOKUP($A32,#REF!,25,0)</f>
        <v>#REF!</v>
      </c>
      <c r="H32" s="6">
        <f>VLOOKUP($A32,[26]TONTJANV21!$A$6:$T$41,4,0)</f>
        <v>23000</v>
      </c>
      <c r="I32" s="6">
        <f t="shared" si="1"/>
        <v>19000</v>
      </c>
      <c r="J32" s="6">
        <f t="shared" si="2"/>
        <v>500</v>
      </c>
      <c r="K32" s="6">
        <f t="shared" si="3"/>
        <v>1000</v>
      </c>
      <c r="L32" s="6">
        <f t="shared" si="4"/>
        <v>2500</v>
      </c>
      <c r="M32" s="6" t="e">
        <f>VLOOKUP($A32,#REF!,5,0)</f>
        <v>#REF!</v>
      </c>
      <c r="N32" s="6" t="e">
        <f>VLOOKUP($A32,#REF!,27,0)</f>
        <v>#REF!</v>
      </c>
      <c r="O32" s="6" t="e">
        <f>VLOOKUP($A32,#REF!,26,0)</f>
        <v>#REF!</v>
      </c>
      <c r="P32" s="6" t="e">
        <f>VLOOKUP($A32,#REF!,20,0)</f>
        <v>#REF!</v>
      </c>
      <c r="Q32" s="6" t="e">
        <f t="shared" si="5"/>
        <v>#REF!</v>
      </c>
      <c r="R32" s="6" t="e">
        <f>VLOOKUP($A32,#REF!,23,0)</f>
        <v>#REF!</v>
      </c>
      <c r="S32" s="6" t="e">
        <f>VLOOKUP($A32,#REF!,17,0)</f>
        <v>#REF!</v>
      </c>
      <c r="T32" s="6" t="e">
        <f>VLOOKUP($A32,#REF!,18,0)</f>
        <v>#REF!</v>
      </c>
      <c r="U32" s="6" t="e">
        <f>VLOOKUP($A32,#REF!,21,0)</f>
        <v>#REF!</v>
      </c>
      <c r="V32" s="6" t="e">
        <f>VLOOKUP($A32,#REF!,22,0)</f>
        <v>#REF!</v>
      </c>
      <c r="W32" s="2"/>
      <c r="X32" s="2"/>
      <c r="Y32" s="6" t="e">
        <f>VLOOKUP(A32,#REF!,40,0)</f>
        <v>#REF!</v>
      </c>
      <c r="Z32" s="6" t="e">
        <f>VLOOKUP($A32,#REF!,41,0)</f>
        <v>#REF!</v>
      </c>
      <c r="AA32" s="2"/>
      <c r="AB32" s="2"/>
      <c r="AC32" s="2"/>
      <c r="AD32" s="2"/>
      <c r="AE32" s="2"/>
      <c r="AF32" s="2"/>
      <c r="AG32" s="2"/>
      <c r="AH32" s="2"/>
    </row>
    <row r="33" spans="1:34" x14ac:dyDescent="0.25">
      <c r="A33" s="1" t="s">
        <v>49</v>
      </c>
      <c r="B33" s="1" t="str">
        <f>VLOOKUP(A33,[15]LISTADHERENT!A$5:H$60,3,0)</f>
        <v>SIMO PIERRE</v>
      </c>
      <c r="C33" s="1"/>
      <c r="D33" s="1"/>
      <c r="E33" s="5" t="e">
        <f t="shared" si="0"/>
        <v>#REF!</v>
      </c>
      <c r="F33" s="5" t="e">
        <f>+#REF!+#REF!+I33</f>
        <v>#REF!</v>
      </c>
      <c r="G33" s="6" t="e">
        <f>VLOOKUP($A33,#REF!,25,0)</f>
        <v>#REF!</v>
      </c>
      <c r="H33" s="6">
        <f>VLOOKUP($A33,[26]TONTJANV21!$A$6:$T$41,4,0)</f>
        <v>23000</v>
      </c>
      <c r="I33" s="6">
        <f t="shared" si="1"/>
        <v>19000</v>
      </c>
      <c r="J33" s="6">
        <f t="shared" si="2"/>
        <v>500</v>
      </c>
      <c r="K33" s="6">
        <f t="shared" si="3"/>
        <v>1000</v>
      </c>
      <c r="L33" s="6">
        <f t="shared" si="4"/>
        <v>2500</v>
      </c>
      <c r="M33" s="6" t="e">
        <f>VLOOKUP($A33,#REF!,5,0)</f>
        <v>#REF!</v>
      </c>
      <c r="N33" s="6" t="e">
        <f>VLOOKUP($A33,#REF!,27,0)</f>
        <v>#REF!</v>
      </c>
      <c r="O33" s="6" t="e">
        <f>VLOOKUP($A33,#REF!,26,0)</f>
        <v>#REF!</v>
      </c>
      <c r="P33" s="6" t="e">
        <f>VLOOKUP($A33,#REF!,20,0)</f>
        <v>#REF!</v>
      </c>
      <c r="Q33" s="6" t="e">
        <f t="shared" si="5"/>
        <v>#REF!</v>
      </c>
      <c r="R33" s="6" t="e">
        <f>VLOOKUP($A33,#REF!,23,0)</f>
        <v>#REF!</v>
      </c>
      <c r="S33" s="6" t="e">
        <f>VLOOKUP($A33,#REF!,17,0)</f>
        <v>#REF!</v>
      </c>
      <c r="T33" s="6" t="e">
        <f>VLOOKUP($A33,#REF!,18,0)</f>
        <v>#REF!</v>
      </c>
      <c r="U33" s="6" t="e">
        <f>VLOOKUP($A33,#REF!,21,0)</f>
        <v>#REF!</v>
      </c>
      <c r="V33" s="6" t="e">
        <f>VLOOKUP($A33,#REF!,22,0)</f>
        <v>#REF!</v>
      </c>
      <c r="W33" s="2"/>
      <c r="X33" s="2"/>
      <c r="Y33" s="6" t="e">
        <f>VLOOKUP(A33,#REF!,40,0)</f>
        <v>#REF!</v>
      </c>
      <c r="Z33" s="6" t="e">
        <f>VLOOKUP($A33,#REF!,41,0)</f>
        <v>#REF!</v>
      </c>
      <c r="AA33" s="2"/>
      <c r="AB33" s="2"/>
      <c r="AC33" s="2"/>
      <c r="AD33" s="2"/>
      <c r="AE33" s="2"/>
      <c r="AF33" s="2"/>
      <c r="AG33" s="2"/>
      <c r="AH33" s="2"/>
    </row>
    <row r="34" spans="1:34" x14ac:dyDescent="0.25">
      <c r="A34" s="1" t="s">
        <v>170</v>
      </c>
      <c r="B34" s="1" t="str">
        <f>VLOOKUP(A34,[15]LISTADHERENT!A$5:H$60,3,0)</f>
        <v>TCHEMHOU EMMANUEL</v>
      </c>
      <c r="C34" s="1"/>
      <c r="D34" s="1"/>
      <c r="E34" s="5" t="e">
        <f t="shared" si="0"/>
        <v>#REF!</v>
      </c>
      <c r="F34" s="5">
        <v>0</v>
      </c>
      <c r="G34" s="6" t="e">
        <f>VLOOKUP($A34,#REF!,25,0)</f>
        <v>#REF!</v>
      </c>
      <c r="H34" s="6" t="e">
        <f>VLOOKUP($A34,[26]TONTJANV21!$A$6:$T$41,4,0)</f>
        <v>#N/A</v>
      </c>
      <c r="I34" s="6" t="e">
        <f t="shared" si="1"/>
        <v>#N/A</v>
      </c>
      <c r="J34" s="6" t="e">
        <f t="shared" si="2"/>
        <v>#N/A</v>
      </c>
      <c r="K34" s="6" t="e">
        <f t="shared" si="3"/>
        <v>#N/A</v>
      </c>
      <c r="L34" s="6" t="e">
        <f t="shared" si="4"/>
        <v>#N/A</v>
      </c>
      <c r="M34" s="6" t="e">
        <f>VLOOKUP($A34,#REF!,5,0)</f>
        <v>#REF!</v>
      </c>
      <c r="N34" s="6" t="e">
        <f>VLOOKUP($A34,#REF!,27,0)</f>
        <v>#REF!</v>
      </c>
      <c r="O34" s="6" t="e">
        <f>VLOOKUP($A34,#REF!,26,0)</f>
        <v>#REF!</v>
      </c>
      <c r="P34" s="6" t="e">
        <f>VLOOKUP($A34,#REF!,20,0)</f>
        <v>#REF!</v>
      </c>
      <c r="Q34" s="6" t="e">
        <f t="shared" si="5"/>
        <v>#REF!</v>
      </c>
      <c r="R34" s="6" t="e">
        <f>VLOOKUP($A34,#REF!,23,0)</f>
        <v>#REF!</v>
      </c>
      <c r="S34" s="6" t="e">
        <f>VLOOKUP($A34,#REF!,17,0)</f>
        <v>#REF!</v>
      </c>
      <c r="T34" s="6" t="e">
        <f>VLOOKUP($A34,#REF!,18,0)</f>
        <v>#REF!</v>
      </c>
      <c r="U34" s="6" t="e">
        <f>VLOOKUP($A34,#REF!,21,0)</f>
        <v>#REF!</v>
      </c>
      <c r="V34" s="6" t="e">
        <f>VLOOKUP($A34,#REF!,22,0)</f>
        <v>#REF!</v>
      </c>
      <c r="W34" s="2"/>
      <c r="X34" s="2"/>
      <c r="Y34" s="6" t="e">
        <f>VLOOKUP(A34,#REF!,40,0)</f>
        <v>#REF!</v>
      </c>
      <c r="Z34" s="6" t="e">
        <f>VLOOKUP($A34,#REF!,41,0)</f>
        <v>#REF!</v>
      </c>
      <c r="AA34" s="2"/>
      <c r="AB34" s="2"/>
      <c r="AC34" s="2"/>
      <c r="AD34" s="2"/>
      <c r="AE34" s="2"/>
      <c r="AF34" s="2"/>
      <c r="AG34" s="2"/>
      <c r="AH34" s="2"/>
    </row>
    <row r="35" spans="1:34" x14ac:dyDescent="0.25">
      <c r="A35" s="1" t="s">
        <v>51</v>
      </c>
      <c r="B35" s="1" t="str">
        <f>VLOOKUP(A35,[15]LISTADHERENT!A$5:H$60,3,0)</f>
        <v>TCHOUAMOU MATHIEU</v>
      </c>
      <c r="C35" s="1"/>
      <c r="D35" s="1"/>
      <c r="E35" s="5" t="e">
        <f t="shared" si="0"/>
        <v>#REF!</v>
      </c>
      <c r="F35" s="5" t="e">
        <f>+#REF!+#REF!+I35</f>
        <v>#REF!</v>
      </c>
      <c r="G35" s="6" t="e">
        <f>VLOOKUP($A35,#REF!,25,0)</f>
        <v>#REF!</v>
      </c>
      <c r="H35" s="6">
        <f>VLOOKUP($A35,[26]TONTJANV21!$A$6:$T$41,4,0)</f>
        <v>23000</v>
      </c>
      <c r="I35" s="6">
        <f t="shared" si="1"/>
        <v>19000</v>
      </c>
      <c r="J35" s="6">
        <f t="shared" si="2"/>
        <v>500</v>
      </c>
      <c r="K35" s="6">
        <f t="shared" si="3"/>
        <v>1000</v>
      </c>
      <c r="L35" s="6">
        <f t="shared" si="4"/>
        <v>2500</v>
      </c>
      <c r="M35" s="6" t="e">
        <f>VLOOKUP($A35,#REF!,5,0)</f>
        <v>#REF!</v>
      </c>
      <c r="N35" s="6" t="e">
        <f>VLOOKUP($A35,#REF!,27,0)</f>
        <v>#REF!</v>
      </c>
      <c r="O35" s="6" t="e">
        <f>VLOOKUP($A35,#REF!,26,0)</f>
        <v>#REF!</v>
      </c>
      <c r="P35" s="6" t="e">
        <f>VLOOKUP($A35,#REF!,20,0)</f>
        <v>#REF!</v>
      </c>
      <c r="Q35" s="6" t="e">
        <f t="shared" si="5"/>
        <v>#REF!</v>
      </c>
      <c r="R35" s="6" t="e">
        <f>VLOOKUP($A35,#REF!,23,0)</f>
        <v>#REF!</v>
      </c>
      <c r="S35" s="6" t="e">
        <f>VLOOKUP($A35,#REF!,17,0)</f>
        <v>#REF!</v>
      </c>
      <c r="T35" s="6" t="e">
        <f>VLOOKUP($A35,#REF!,18,0)</f>
        <v>#REF!</v>
      </c>
      <c r="U35" s="6" t="e">
        <f>VLOOKUP($A35,#REF!,21,0)</f>
        <v>#REF!</v>
      </c>
      <c r="V35" s="6" t="e">
        <f>VLOOKUP($A35,#REF!,22,0)</f>
        <v>#REF!</v>
      </c>
      <c r="W35" s="2"/>
      <c r="X35" s="2"/>
      <c r="Y35" s="6" t="e">
        <f>VLOOKUP(A35,#REF!,40,0)</f>
        <v>#REF!</v>
      </c>
      <c r="Z35" s="6" t="e">
        <f>VLOOKUP($A35,#REF!,41,0)</f>
        <v>#REF!</v>
      </c>
      <c r="AA35" s="2"/>
    </row>
    <row r="36" spans="1:34" x14ac:dyDescent="0.25">
      <c r="A36" s="1" t="s">
        <v>54</v>
      </c>
      <c r="B36" s="1" t="str">
        <f>VLOOKUP(A36,[15]LISTADHERENT!A$5:H$60,3,0)</f>
        <v>TIEYAM ERNEST</v>
      </c>
      <c r="C36" s="1"/>
      <c r="D36" s="1"/>
      <c r="E36" s="5" t="e">
        <f t="shared" si="0"/>
        <v>#REF!</v>
      </c>
      <c r="F36" s="5" t="e">
        <f>+#REF!+#REF!+I36</f>
        <v>#REF!</v>
      </c>
      <c r="G36" s="6" t="e">
        <f>VLOOKUP($A36,#REF!,25,0)</f>
        <v>#REF!</v>
      </c>
      <c r="H36" s="6" t="e">
        <f>VLOOKUP($A36,[26]TONTJANV21!$A$6:$T$41,4,0)</f>
        <v>#N/A</v>
      </c>
      <c r="I36" s="6" t="e">
        <f t="shared" si="1"/>
        <v>#N/A</v>
      </c>
      <c r="J36" s="6" t="e">
        <f t="shared" si="2"/>
        <v>#N/A</v>
      </c>
      <c r="K36" s="6" t="e">
        <f t="shared" si="3"/>
        <v>#N/A</v>
      </c>
      <c r="L36" s="6" t="e">
        <f t="shared" si="4"/>
        <v>#N/A</v>
      </c>
      <c r="M36" s="6" t="e">
        <f>VLOOKUP($A36,#REF!,5,0)</f>
        <v>#REF!</v>
      </c>
      <c r="N36" s="6" t="e">
        <f>VLOOKUP($A36,#REF!,27,0)</f>
        <v>#REF!</v>
      </c>
      <c r="O36" s="6" t="e">
        <f>VLOOKUP($A36,#REF!,26,0)</f>
        <v>#REF!</v>
      </c>
      <c r="P36" s="6" t="e">
        <f>VLOOKUP($A36,#REF!,20,0)</f>
        <v>#REF!</v>
      </c>
      <c r="Q36" s="6" t="e">
        <f t="shared" si="5"/>
        <v>#REF!</v>
      </c>
      <c r="R36" s="6" t="e">
        <f>VLOOKUP($A36,#REF!,23,0)</f>
        <v>#REF!</v>
      </c>
      <c r="S36" s="6" t="e">
        <f>VLOOKUP($A36,#REF!,17,0)</f>
        <v>#REF!</v>
      </c>
      <c r="T36" s="6" t="e">
        <f>VLOOKUP($A36,#REF!,18,0)</f>
        <v>#REF!</v>
      </c>
      <c r="U36" s="6" t="e">
        <f>VLOOKUP($A36,#REF!,21,0)</f>
        <v>#REF!</v>
      </c>
      <c r="V36" s="6" t="e">
        <f>VLOOKUP($A36,#REF!,22,0)</f>
        <v>#REF!</v>
      </c>
      <c r="W36" s="2"/>
      <c r="X36" s="2"/>
      <c r="Y36" s="6" t="e">
        <f>VLOOKUP(A36,#REF!,40,0)</f>
        <v>#REF!</v>
      </c>
      <c r="Z36" s="6" t="e">
        <f>VLOOKUP($A36,#REF!,41,0)</f>
        <v>#REF!</v>
      </c>
      <c r="AA36" s="2"/>
    </row>
    <row r="37" spans="1:34" x14ac:dyDescent="0.25">
      <c r="A37" s="1" t="s">
        <v>55</v>
      </c>
      <c r="B37" s="1" t="str">
        <f>VLOOKUP(A37,[15]LISTADHERENT!A$5:H$60,3,0)</f>
        <v>YEPMOU JEAN JACQUES</v>
      </c>
      <c r="C37" s="1"/>
      <c r="D37" s="1"/>
      <c r="E37" s="5" t="e">
        <f t="shared" si="0"/>
        <v>#REF!</v>
      </c>
      <c r="F37" s="5" t="e">
        <f>+#REF!+#REF!+I37</f>
        <v>#REF!</v>
      </c>
      <c r="G37" s="6" t="e">
        <f>VLOOKUP($A37,#REF!,25,0)</f>
        <v>#REF!</v>
      </c>
      <c r="H37" s="6">
        <f>VLOOKUP($A37,[26]TONTJANV21!$A$6:$T$41,4,0)</f>
        <v>23000</v>
      </c>
      <c r="I37" s="6">
        <f t="shared" si="1"/>
        <v>19000</v>
      </c>
      <c r="J37" s="6">
        <f t="shared" si="2"/>
        <v>500</v>
      </c>
      <c r="K37" s="6">
        <f t="shared" si="3"/>
        <v>1000</v>
      </c>
      <c r="L37" s="6">
        <f t="shared" si="4"/>
        <v>2500</v>
      </c>
      <c r="M37" s="6" t="e">
        <f>VLOOKUP($A37,#REF!,5,0)</f>
        <v>#REF!</v>
      </c>
      <c r="N37" s="6" t="e">
        <f>VLOOKUP($A37,#REF!,27,0)</f>
        <v>#REF!</v>
      </c>
      <c r="O37" s="6" t="e">
        <f>VLOOKUP($A37,#REF!,26,0)</f>
        <v>#REF!</v>
      </c>
      <c r="P37" s="6" t="e">
        <f>VLOOKUP($A37,#REF!,20,0)</f>
        <v>#REF!</v>
      </c>
      <c r="Q37" s="6" t="e">
        <f t="shared" si="5"/>
        <v>#REF!</v>
      </c>
      <c r="R37" s="6" t="e">
        <f>VLOOKUP($A37,#REF!,23,0)</f>
        <v>#REF!</v>
      </c>
      <c r="S37" s="6" t="e">
        <f>VLOOKUP($A37,#REF!,17,0)</f>
        <v>#REF!</v>
      </c>
      <c r="T37" s="6" t="e">
        <f>VLOOKUP($A37,#REF!,18,0)</f>
        <v>#REF!</v>
      </c>
      <c r="U37" s="6" t="e">
        <f>VLOOKUP($A37,#REF!,21,0)</f>
        <v>#REF!</v>
      </c>
      <c r="V37" s="6" t="e">
        <f>VLOOKUP($A37,#REF!,22,0)</f>
        <v>#REF!</v>
      </c>
      <c r="W37" s="2"/>
      <c r="X37" s="2"/>
      <c r="Y37" s="6" t="e">
        <f>VLOOKUP(A37,#REF!,40,0)</f>
        <v>#REF!</v>
      </c>
      <c r="Z37" s="6" t="e">
        <f>VLOOKUP($A37,#REF!,41,0)</f>
        <v>#REF!</v>
      </c>
      <c r="AA37" s="2"/>
    </row>
    <row r="38" spans="1:34" x14ac:dyDescent="0.25">
      <c r="A38" s="1" t="s">
        <v>56</v>
      </c>
      <c r="B38" s="1" t="str">
        <f>VLOOKUP(A38,[15]LISTADHERENT!A$5:H$60,3,0)</f>
        <v>YOUMBI EMMANUEL</v>
      </c>
      <c r="C38" s="1"/>
      <c r="D38" s="1"/>
      <c r="E38" s="5" t="e">
        <f t="shared" si="0"/>
        <v>#REF!</v>
      </c>
      <c r="F38" s="5" t="e">
        <f>+#REF!+#REF!+I38</f>
        <v>#REF!</v>
      </c>
      <c r="G38" s="6" t="e">
        <f>VLOOKUP($A38,#REF!,25,0)</f>
        <v>#REF!</v>
      </c>
      <c r="H38" s="6">
        <f>VLOOKUP($A38,[26]TONTJANV21!$A$6:$T$41,4,0)</f>
        <v>23000</v>
      </c>
      <c r="I38" s="6">
        <f t="shared" si="1"/>
        <v>19000</v>
      </c>
      <c r="J38" s="6">
        <f t="shared" si="2"/>
        <v>500</v>
      </c>
      <c r="K38" s="6">
        <f t="shared" si="3"/>
        <v>1000</v>
      </c>
      <c r="L38" s="6">
        <f t="shared" si="4"/>
        <v>2500</v>
      </c>
      <c r="M38" s="6" t="e">
        <f>VLOOKUP($A38,#REF!,5,0)</f>
        <v>#REF!</v>
      </c>
      <c r="N38" s="6" t="e">
        <f>VLOOKUP($A38,#REF!,27,0)</f>
        <v>#REF!</v>
      </c>
      <c r="O38" s="6" t="e">
        <f>VLOOKUP($A38,#REF!,26,0)</f>
        <v>#REF!</v>
      </c>
      <c r="P38" s="6" t="e">
        <f>VLOOKUP($A38,#REF!,20,0)</f>
        <v>#REF!</v>
      </c>
      <c r="Q38" s="6" t="e">
        <f t="shared" si="5"/>
        <v>#REF!</v>
      </c>
      <c r="R38" s="6" t="e">
        <f>VLOOKUP($A38,#REF!,23,0)</f>
        <v>#REF!</v>
      </c>
      <c r="S38" s="6" t="e">
        <f>VLOOKUP($A38,#REF!,17,0)</f>
        <v>#REF!</v>
      </c>
      <c r="T38" s="6" t="e">
        <f>VLOOKUP($A38,#REF!,18,0)</f>
        <v>#REF!</v>
      </c>
      <c r="U38" s="6" t="e">
        <f>VLOOKUP($A38,#REF!,21,0)</f>
        <v>#REF!</v>
      </c>
      <c r="V38" s="6" t="e">
        <f>VLOOKUP($A38,#REF!,22,0)</f>
        <v>#REF!</v>
      </c>
      <c r="W38" s="2"/>
      <c r="X38" s="2"/>
      <c r="Y38" s="6" t="e">
        <f>VLOOKUP(A38,#REF!,40,0)</f>
        <v>#REF!</v>
      </c>
      <c r="Z38" s="6" t="e">
        <f>VLOOKUP($A38,#REF!,41,0)</f>
        <v>#REF!</v>
      </c>
    </row>
    <row r="39" spans="1:34" x14ac:dyDescent="0.25">
      <c r="A39" s="15"/>
      <c r="B39" s="1"/>
      <c r="C39" s="1"/>
      <c r="D39" s="1"/>
      <c r="E39" s="5"/>
      <c r="F39" s="5"/>
      <c r="G39" s="5"/>
      <c r="H39" s="6"/>
      <c r="I39" s="6"/>
      <c r="J39" s="6"/>
      <c r="K39" s="6"/>
      <c r="L39" s="6"/>
      <c r="M39" s="6"/>
      <c r="N39" s="6"/>
      <c r="P39" s="6"/>
      <c r="Q39" s="6"/>
      <c r="R39" s="6"/>
      <c r="S39" s="6"/>
      <c r="T39" s="10"/>
      <c r="U39" s="10"/>
      <c r="V39" s="10"/>
      <c r="W39" s="2"/>
    </row>
    <row r="40" spans="1:34" x14ac:dyDescent="0.25">
      <c r="A40" s="15"/>
      <c r="B40" s="1"/>
      <c r="C40" s="1"/>
      <c r="D40" s="1"/>
      <c r="E40" s="5"/>
      <c r="F40" s="5"/>
      <c r="G40" s="5"/>
      <c r="H40" s="6"/>
      <c r="I40" s="6"/>
      <c r="J40" s="6"/>
      <c r="K40" s="6"/>
      <c r="L40" s="6"/>
      <c r="M40" s="6"/>
      <c r="N40" s="6"/>
      <c r="P40" s="6"/>
      <c r="Q40" s="6"/>
      <c r="R40" s="6"/>
      <c r="S40" s="6"/>
      <c r="T40" s="10"/>
      <c r="U40" s="10"/>
      <c r="V40" s="10"/>
      <c r="W40" s="2"/>
    </row>
    <row r="41" spans="1:34" x14ac:dyDescent="0.25">
      <c r="A41" s="1"/>
      <c r="B41" s="1"/>
      <c r="C41" s="1"/>
      <c r="D41" s="1"/>
      <c r="E41" s="1"/>
      <c r="F41" s="5"/>
      <c r="G41" s="1"/>
      <c r="H41" s="1"/>
    </row>
    <row r="42" spans="1:34" ht="18" x14ac:dyDescent="0.25">
      <c r="A42" s="1" t="s">
        <v>57</v>
      </c>
      <c r="B42" s="1"/>
      <c r="C42" s="1"/>
      <c r="D42" s="1"/>
      <c r="E42" s="9" t="e">
        <f t="shared" ref="E42:O42" si="6">SUM(E6:E38)</f>
        <v>#REF!</v>
      </c>
      <c r="F42" s="9" t="e">
        <f t="shared" si="6"/>
        <v>#REF!</v>
      </c>
      <c r="G42" s="9" t="e">
        <f t="shared" si="6"/>
        <v>#REF!</v>
      </c>
      <c r="H42" s="9" t="e">
        <f t="shared" si="6"/>
        <v>#N/A</v>
      </c>
      <c r="I42" s="9" t="e">
        <f t="shared" si="6"/>
        <v>#N/A</v>
      </c>
      <c r="J42" s="9" t="e">
        <f t="shared" si="6"/>
        <v>#N/A</v>
      </c>
      <c r="K42" s="9" t="e">
        <f t="shared" si="6"/>
        <v>#N/A</v>
      </c>
      <c r="L42" s="9" t="e">
        <f t="shared" si="6"/>
        <v>#N/A</v>
      </c>
      <c r="M42" s="9" t="e">
        <f t="shared" si="6"/>
        <v>#REF!</v>
      </c>
      <c r="N42" s="9" t="e">
        <f t="shared" si="6"/>
        <v>#REF!</v>
      </c>
      <c r="O42" s="9" t="e">
        <f t="shared" si="6"/>
        <v>#REF!</v>
      </c>
      <c r="P42" s="9" t="e">
        <f>SUM(P6:P36)</f>
        <v>#REF!</v>
      </c>
      <c r="Q42" s="9" t="e">
        <f>SUM(Q6:Q38)</f>
        <v>#REF!</v>
      </c>
      <c r="R42" s="9"/>
      <c r="S42" s="9" t="e">
        <f>SUM(S6:S38)</f>
        <v>#REF!</v>
      </c>
      <c r="T42" s="9"/>
      <c r="U42" s="9"/>
      <c r="V42" s="9"/>
      <c r="W42" s="9">
        <f>SUM(W6:W35)</f>
        <v>0</v>
      </c>
      <c r="X42" s="9">
        <f>SUM(X6:X35)</f>
        <v>0</v>
      </c>
      <c r="Z42" s="9" t="e">
        <f>SUM(Z6:Z35)</f>
        <v>#REF!</v>
      </c>
    </row>
    <row r="45" spans="1:34" ht="18" x14ac:dyDescent="0.25">
      <c r="E45" s="4"/>
      <c r="F45" s="9" t="s">
        <v>59</v>
      </c>
      <c r="G45" s="9">
        <f>[3]TONTDEC20!$E$51</f>
        <v>600000</v>
      </c>
    </row>
    <row r="46" spans="1:34" ht="18" x14ac:dyDescent="0.25">
      <c r="E46" s="4"/>
      <c r="F46" s="9" t="s">
        <v>84</v>
      </c>
      <c r="G46" s="9" t="e">
        <f>+M42</f>
        <v>#REF!</v>
      </c>
    </row>
    <row r="47" spans="1:34" ht="18" x14ac:dyDescent="0.25">
      <c r="E47" s="4"/>
      <c r="F47" s="9" t="s">
        <v>8</v>
      </c>
      <c r="G47" s="9" t="e">
        <f>+G42</f>
        <v>#REF!</v>
      </c>
    </row>
    <row r="48" spans="1:34" ht="18" x14ac:dyDescent="0.25">
      <c r="E48" s="4"/>
      <c r="F48" s="9" t="s">
        <v>9</v>
      </c>
      <c r="G48" s="9" t="e">
        <f>+I42</f>
        <v>#N/A</v>
      </c>
    </row>
    <row r="49" spans="5:8" ht="18" x14ac:dyDescent="0.25">
      <c r="E49" s="4"/>
      <c r="F49" s="9" t="s">
        <v>10</v>
      </c>
      <c r="G49" s="9" t="e">
        <f>+J42</f>
        <v>#N/A</v>
      </c>
    </row>
    <row r="50" spans="5:8" ht="18" x14ac:dyDescent="0.25">
      <c r="E50" s="4"/>
      <c r="F50" s="9" t="s">
        <v>58</v>
      </c>
      <c r="G50" s="9" t="e">
        <f>+K42</f>
        <v>#N/A</v>
      </c>
    </row>
    <row r="51" spans="5:8" ht="18" x14ac:dyDescent="0.25">
      <c r="E51" s="4"/>
      <c r="F51" s="9" t="s">
        <v>12</v>
      </c>
      <c r="G51" s="9" t="e">
        <f>+L42</f>
        <v>#N/A</v>
      </c>
    </row>
    <row r="52" spans="5:8" ht="18" x14ac:dyDescent="0.25">
      <c r="E52" s="4"/>
      <c r="F52" s="9" t="s">
        <v>71</v>
      </c>
      <c r="G52" s="9">
        <f>+N41</f>
        <v>0</v>
      </c>
    </row>
    <row r="53" spans="5:8" ht="18" x14ac:dyDescent="0.25">
      <c r="E53" s="4"/>
      <c r="F53" s="9" t="s">
        <v>13</v>
      </c>
      <c r="G53" s="9" t="e">
        <f>+O42</f>
        <v>#REF!</v>
      </c>
    </row>
    <row r="54" spans="5:8" ht="18" x14ac:dyDescent="0.25">
      <c r="E54" s="4"/>
      <c r="F54" s="9" t="s">
        <v>85</v>
      </c>
      <c r="G54" s="9" t="e">
        <f>+P42</f>
        <v>#REF!</v>
      </c>
    </row>
    <row r="55" spans="5:8" ht="18" x14ac:dyDescent="0.25">
      <c r="E55" s="4"/>
      <c r="F55" s="9" t="s">
        <v>62</v>
      </c>
      <c r="G55" s="9" t="e">
        <f>+Q42</f>
        <v>#REF!</v>
      </c>
    </row>
    <row r="56" spans="5:8" ht="18" x14ac:dyDescent="0.25">
      <c r="E56" s="4"/>
      <c r="F56" s="9" t="s">
        <v>66</v>
      </c>
      <c r="G56" s="9" t="e">
        <f>+S42</f>
        <v>#REF!</v>
      </c>
    </row>
    <row r="57" spans="5:8" ht="18" x14ac:dyDescent="0.25">
      <c r="E57" s="4"/>
      <c r="F57" s="9" t="s">
        <v>65</v>
      </c>
      <c r="G57" s="9">
        <f>+W43</f>
        <v>0</v>
      </c>
    </row>
    <row r="58" spans="5:8" ht="18" x14ac:dyDescent="0.25">
      <c r="E58" s="4"/>
      <c r="F58" s="9" t="s">
        <v>14</v>
      </c>
      <c r="G58" s="9">
        <f>X42</f>
        <v>0</v>
      </c>
      <c r="H58" s="9"/>
    </row>
  </sheetData>
  <autoFilter ref="A5:U37">
    <sortState ref="A5:L48">
      <sortCondition ref="B5:B48"/>
    </sortState>
  </autoFilter>
  <sortState ref="A6:Y38">
    <sortCondition ref="B6:B38"/>
  </sortState>
  <mergeCells count="1">
    <mergeCell ref="E4:I4"/>
  </mergeCells>
  <dataValidations disablePrompts="1" count="1">
    <dataValidation type="list" allowBlank="1" showInputMessage="1" showErrorMessage="1" sqref="T39:V40">
      <formula1>MODET25000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42</vt:i4>
      </vt:variant>
      <vt:variant>
        <vt:lpstr>Plages nommées</vt:lpstr>
      </vt:variant>
      <vt:variant>
        <vt:i4>8</vt:i4>
      </vt:variant>
    </vt:vector>
  </HeadingPairs>
  <TitlesOfParts>
    <vt:vector size="50" baseType="lpstr">
      <vt:lpstr>TAF</vt:lpstr>
      <vt:lpstr>MODEVERSEMENT</vt:lpstr>
      <vt:lpstr>MODET25000</vt:lpstr>
      <vt:lpstr>MVTDEC21</vt:lpstr>
      <vt:lpstr>MVTJANV22</vt:lpstr>
      <vt:lpstr>MVTFEV22</vt:lpstr>
      <vt:lpstr>MVTMARS22</vt:lpstr>
      <vt:lpstr>MVTAVRIL22</vt:lpstr>
      <vt:lpstr>MVTMAI22</vt:lpstr>
      <vt:lpstr>MVTJUIN22</vt:lpstr>
      <vt:lpstr>MVTJUIL22</vt:lpstr>
      <vt:lpstr>MVTAOUT22</vt:lpstr>
      <vt:lpstr>MVTSEPT22</vt:lpstr>
      <vt:lpstr>MVTOCT22</vt:lpstr>
      <vt:lpstr>MVTNOV22</vt:lpstr>
      <vt:lpstr>MVTDEC22</vt:lpstr>
      <vt:lpstr>MVTRESUME22</vt:lpstr>
      <vt:lpstr>MVTREPARTITION2022</vt:lpstr>
      <vt:lpstr>BILAN 2022</vt:lpstr>
      <vt:lpstr>MVTREPARTITIONEDIT (2)</vt:lpstr>
      <vt:lpstr>MVTREPARTITION2021 (2)</vt:lpstr>
      <vt:lpstr>MVTREPARTITION2021DEF</vt:lpstr>
      <vt:lpstr>PARTAGE INTERET T100</vt:lpstr>
      <vt:lpstr>CPTECHINGUE</vt:lpstr>
      <vt:lpstr>CPTEKEHEPDAVID)</vt:lpstr>
      <vt:lpstr>CPTEKOUAMOEMMANUEL</vt:lpstr>
      <vt:lpstr>CPTETCHOUANTE</vt:lpstr>
      <vt:lpstr>CPTENJEPDJIO</vt:lpstr>
      <vt:lpstr>CPTETCHOUTOU</vt:lpstr>
      <vt:lpstr>MVTRESUME2019</vt:lpstr>
      <vt:lpstr>CPTETYAMERNEST</vt:lpstr>
      <vt:lpstr>CPTEFOGANGERIC</vt:lpstr>
      <vt:lpstr>CPTEFOTSOTHOMAS</vt:lpstr>
      <vt:lpstr>VP KOUAMOPEGUY</vt:lpstr>
      <vt:lpstr>SITUATION KEPSEU</vt:lpstr>
      <vt:lpstr>BAKOPACHILLE</vt:lpstr>
      <vt:lpstr>Feuil1</vt:lpstr>
      <vt:lpstr>MVTRESUMEEDIT2019</vt:lpstr>
      <vt:lpstr>MVTRESUMETAB</vt:lpstr>
      <vt:lpstr>MVTRESUME20BACKUP</vt:lpstr>
      <vt:lpstr>GESTTRESORERIE</vt:lpstr>
      <vt:lpstr>MVTJANV212</vt:lpstr>
      <vt:lpstr>'MVTREPARTITION2021 (2)'!Impression_des_titres</vt:lpstr>
      <vt:lpstr>MVTREPARTITION2021DEF!Impression_des_titres</vt:lpstr>
      <vt:lpstr>MVTREPARTITION2022!Impression_des_titres</vt:lpstr>
      <vt:lpstr>'MVTREPARTITIONEDIT (2)'!Impression_des_titres</vt:lpstr>
      <vt:lpstr>MVTRESUMEEDIT2019!Impression_des_titres</vt:lpstr>
      <vt:lpstr>MODEPAIDOK</vt:lpstr>
      <vt:lpstr>MODET25000!MODEVERSEMENTS</vt:lpstr>
      <vt:lpstr>MODEVERSEMENT!MODEVERSEMENTS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ASELBY</dc:creator>
  <cp:lastModifiedBy>DJUOMBESSY</cp:lastModifiedBy>
  <cp:lastPrinted>2020-12-03T08:08:57Z</cp:lastPrinted>
  <dcterms:created xsi:type="dcterms:W3CDTF">2017-07-22T11:02:10Z</dcterms:created>
  <dcterms:modified xsi:type="dcterms:W3CDTF">2023-01-15T10:54:46Z</dcterms:modified>
</cp:coreProperties>
</file>