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15480" windowHeight="6810" firstSheet="11" activeTab="16"/>
  </bookViews>
  <sheets>
    <sheet name="TAF" sheetId="130" r:id="rId1"/>
    <sheet name="MODEVERSEMENT" sheetId="24" r:id="rId2"/>
    <sheet name="MODET25000" sheetId="9" r:id="rId3"/>
    <sheet name="MVTDEC21" sheetId="127" r:id="rId4"/>
    <sheet name="MVTDEC22" sheetId="136" r:id="rId5"/>
    <sheet name="MVTJANV23" sheetId="133" r:id="rId6"/>
    <sheet name="MVTFEV23" sheetId="137" r:id="rId7"/>
    <sheet name="MVTMARS23" sheetId="138" r:id="rId8"/>
    <sheet name="MVTAVRIL23" sheetId="140" r:id="rId9"/>
    <sheet name="MVTMAI23" sheetId="141" r:id="rId10"/>
    <sheet name="MVTJUIN23" sheetId="139" r:id="rId11"/>
    <sheet name="MVTJUIL23" sheetId="142" r:id="rId12"/>
    <sheet name="MVTAOUT23" sheetId="143" r:id="rId13"/>
    <sheet name="MVTSEPT23" sheetId="144" r:id="rId14"/>
    <sheet name="MVTOCT23" sheetId="145" r:id="rId15"/>
    <sheet name="MVTNOV23" sheetId="146" r:id="rId16"/>
    <sheet name="MVTDEC23" sheetId="147" r:id="rId17"/>
    <sheet name="MVTRESUME23" sheetId="148" r:id="rId18"/>
    <sheet name="MVTREPARTITION2022" sheetId="132" r:id="rId19"/>
    <sheet name="BILAN 2022" sheetId="131" r:id="rId20"/>
    <sheet name="MVTREPARTITIONEDIT (2)" sheetId="84" r:id="rId21"/>
    <sheet name="MVTREPARTITION2021 (2)" sheetId="125" r:id="rId22"/>
    <sheet name="MVTREPARTITION2021DEF" sheetId="126" r:id="rId23"/>
    <sheet name="PARTAGE INTERET T100" sheetId="129" r:id="rId24"/>
    <sheet name="CPTECHINGUE" sheetId="74" r:id="rId25"/>
    <sheet name="CPTEKEHEPDAVID)" sheetId="92" r:id="rId26"/>
    <sheet name="CPTEKOUAMOEMMANUEL" sheetId="94" r:id="rId27"/>
    <sheet name="CPTETCHOUANTE" sheetId="96" r:id="rId28"/>
    <sheet name="CPTENJEPDJIO" sheetId="95" r:id="rId29"/>
    <sheet name="CPTETCHOUTOU" sheetId="97" r:id="rId30"/>
    <sheet name="MVTRESUME2019" sheetId="26" r:id="rId31"/>
    <sheet name="CPTETYAMERNEST" sheetId="98" r:id="rId32"/>
    <sheet name="CPTEFOGANGERIC" sheetId="99" r:id="rId33"/>
    <sheet name="CPTEFOTSOTHOMAS" sheetId="100" r:id="rId34"/>
    <sheet name="VP KOUAMOPEGUY" sheetId="93" r:id="rId35"/>
    <sheet name="SITUATION KEPSEU" sheetId="75" r:id="rId36"/>
    <sheet name="BAKOPACHILLE" sheetId="111" r:id="rId37"/>
    <sheet name="Feuil1" sheetId="54" r:id="rId38"/>
    <sheet name="MVTRESUMEEDIT2019" sheetId="55" r:id="rId39"/>
    <sheet name="MVTRESUMETAB" sheetId="56" r:id="rId40"/>
    <sheet name="MVTRESUME20BACKUP" sheetId="73" r:id="rId41"/>
    <sheet name="GESTTRESORERIE" sheetId="85" r:id="rId42"/>
    <sheet name="MVTJANV212" sheetId="87" r:id="rId43"/>
    <sheet name="MVTREPARTITION2022 (2)" sheetId="135" r:id="rId44"/>
  </sheets>
  <externalReferences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xlnm._FilterDatabase" localSheetId="12" hidden="1">MVTAOUT23!$A$5:$U$36</definedName>
    <definedName name="_xlnm._FilterDatabase" localSheetId="8" hidden="1">MVTAVRIL23!$A$5:$U$36</definedName>
    <definedName name="_xlnm._FilterDatabase" localSheetId="3" hidden="1">MVTDEC21!$A$5:$U$36</definedName>
    <definedName name="_xlnm._FilterDatabase" localSheetId="4" hidden="1">MVTDEC22!$A$5:$U$34</definedName>
    <definedName name="_xlnm._FilterDatabase" localSheetId="16" hidden="1">MVTDEC23!$A$5:$U$36</definedName>
    <definedName name="_xlnm._FilterDatabase" localSheetId="6" hidden="1">MVTFEV23!$A$5:$U$36</definedName>
    <definedName name="_xlnm._FilterDatabase" localSheetId="42" hidden="1">MVTJANV212!$A$5:$U$37</definedName>
    <definedName name="_xlnm._FilterDatabase" localSheetId="5" hidden="1">MVTJANV23!$A$5:$U$36</definedName>
    <definedName name="_xlnm._FilterDatabase" localSheetId="11" hidden="1">MVTJUIL23!$A$5:$U$36</definedName>
    <definedName name="_xlnm._FilterDatabase" localSheetId="10" hidden="1">MVTJUIN23!$A$5:$U$36</definedName>
    <definedName name="_xlnm._FilterDatabase" localSheetId="9" hidden="1">MVTMAI23!$A$5:$U$36</definedName>
    <definedName name="_xlnm._FilterDatabase" localSheetId="7" hidden="1">MVTMARS23!$A$5:$U$36</definedName>
    <definedName name="_xlnm._FilterDatabase" localSheetId="15" hidden="1">MVTNOV23!$A$5:$U$36</definedName>
    <definedName name="_xlnm._FilterDatabase" localSheetId="14" hidden="1">MVTOCT23!$A$5:$U$36</definedName>
    <definedName name="_xlnm._FilterDatabase" localSheetId="21" hidden="1">'MVTREPARTITION2021 (2)'!$A$5:$R$38</definedName>
    <definedName name="_xlnm._FilterDatabase" localSheetId="22" hidden="1">MVTREPARTITION2021DEF!$A$5:$R$38</definedName>
    <definedName name="_xlnm._FilterDatabase" localSheetId="18" hidden="1">MVTREPARTITION2022!$A$5:$U$39</definedName>
    <definedName name="_xlnm._FilterDatabase" localSheetId="43" hidden="1">'MVTREPARTITION2022 (2)'!$A$5:$U$38</definedName>
    <definedName name="_xlnm._FilterDatabase" localSheetId="20" hidden="1">'MVTREPARTITIONEDIT (2)'!$A$5:$F$39</definedName>
    <definedName name="_xlnm._FilterDatabase" localSheetId="30" hidden="1">MVTRESUME2019!$A$5:$Q$49</definedName>
    <definedName name="_xlnm._FilterDatabase" localSheetId="40" hidden="1">MVTRESUME20BACKUP!$A$5:$P$39</definedName>
    <definedName name="_xlnm._FilterDatabase" localSheetId="17" hidden="1">MVTRESUME23!$A$5:$U$36</definedName>
    <definedName name="_xlnm._FilterDatabase" localSheetId="38" hidden="1">MVTRESUMEEDIT2019!$A$5:$E$48</definedName>
    <definedName name="_xlnm._FilterDatabase" localSheetId="39" hidden="1">MVTRESUMETAB!$A$1:$Q$44</definedName>
    <definedName name="_xlnm._FilterDatabase" localSheetId="13" hidden="1">MVTSEPT23!$A$5:$U$36</definedName>
    <definedName name="BANQUE" localSheetId="19">#REF!</definedName>
    <definedName name="BANQUE" localSheetId="32">#REF!</definedName>
    <definedName name="BANQUE" localSheetId="33">#REF!</definedName>
    <definedName name="BANQUE" localSheetId="25">#REF!</definedName>
    <definedName name="BANQUE" localSheetId="26">#REF!</definedName>
    <definedName name="BANQUE" localSheetId="28">#REF!</definedName>
    <definedName name="BANQUE" localSheetId="27">#REF!</definedName>
    <definedName name="BANQUE" localSheetId="29">#REF!</definedName>
    <definedName name="BANQUE" localSheetId="31">#REF!</definedName>
    <definedName name="BANQUE" localSheetId="2">#REF!</definedName>
    <definedName name="BANQUE" localSheetId="1">#REF!</definedName>
    <definedName name="BANQUE" localSheetId="12">#REF!</definedName>
    <definedName name="BANQUE" localSheetId="8">#REF!</definedName>
    <definedName name="BANQUE" localSheetId="3">#REF!</definedName>
    <definedName name="BANQUE" localSheetId="4">#REF!</definedName>
    <definedName name="BANQUE" localSheetId="16">#REF!</definedName>
    <definedName name="BANQUE" localSheetId="6">#REF!</definedName>
    <definedName name="BANQUE" localSheetId="42">#REF!</definedName>
    <definedName name="BANQUE" localSheetId="5">#REF!</definedName>
    <definedName name="BANQUE" localSheetId="11">#REF!</definedName>
    <definedName name="BANQUE" localSheetId="10">#REF!</definedName>
    <definedName name="BANQUE" localSheetId="9">#REF!</definedName>
    <definedName name="BANQUE" localSheetId="7">#REF!</definedName>
    <definedName name="BANQUE" localSheetId="15">#REF!</definedName>
    <definedName name="BANQUE" localSheetId="14">#REF!</definedName>
    <definedName name="BANQUE" localSheetId="21">#REF!</definedName>
    <definedName name="BANQUE" localSheetId="22">#REF!</definedName>
    <definedName name="BANQUE" localSheetId="18">#REF!</definedName>
    <definedName name="BANQUE" localSheetId="43">#REF!</definedName>
    <definedName name="BANQUE" localSheetId="20">#REF!</definedName>
    <definedName name="BANQUE" localSheetId="30">#REF!</definedName>
    <definedName name="BANQUE" localSheetId="40">#REF!</definedName>
    <definedName name="BANQUE" localSheetId="17">#REF!</definedName>
    <definedName name="BANQUE" localSheetId="38">#REF!</definedName>
    <definedName name="BANQUE" localSheetId="39">#REF!</definedName>
    <definedName name="BANQUE" localSheetId="13">#REF!</definedName>
    <definedName name="BANQUE" localSheetId="23">#REF!</definedName>
    <definedName name="BANQUE" localSheetId="34">#REF!</definedName>
    <definedName name="BANQUE">#REF!</definedName>
    <definedName name="ECHEC" localSheetId="2">#REF!</definedName>
    <definedName name="_xlnm.Print_Titles" localSheetId="21">'MVTREPARTITION2021 (2)'!$A:$B,'MVTREPARTITION2021 (2)'!$1:$5</definedName>
    <definedName name="_xlnm.Print_Titles" localSheetId="22">MVTREPARTITION2021DEF!$A:$B,MVTREPARTITION2021DEF!$1:$5</definedName>
    <definedName name="_xlnm.Print_Titles" localSheetId="18">MVTREPARTITION2022!$A:$B,MVTREPARTITION2022!$1:$5</definedName>
    <definedName name="_xlnm.Print_Titles" localSheetId="43">'MVTREPARTITION2022 (2)'!$A:$B,'MVTREPARTITION2022 (2)'!$1:$5</definedName>
    <definedName name="_xlnm.Print_Titles" localSheetId="20">'MVTREPARTITIONEDIT (2)'!$1:$5</definedName>
    <definedName name="_xlnm.Print_Titles" localSheetId="38">MVTRESUMEEDIT2019!$1:$5</definedName>
    <definedName name="MODEET30000" localSheetId="41">[1]MODEVERSEMENT!$A$1:$A$3</definedName>
    <definedName name="MODEET30000" localSheetId="12">[2]MODEVERSEMENT!$A$1:$A$3</definedName>
    <definedName name="MODEET30000" localSheetId="8">[2]MODEVERSEMENT!$A$1:$A$3</definedName>
    <definedName name="MODEET30000" localSheetId="3">[2]MODEVERSEMENT!$A$1:$A$3</definedName>
    <definedName name="MODEET30000" localSheetId="4">[2]MODEVERSEMENT!$A$1:$A$3</definedName>
    <definedName name="MODEET30000" localSheetId="16">[2]MODEVERSEMENT!$A$1:$A$3</definedName>
    <definedName name="MODEET30000" localSheetId="6">[2]MODEVERSEMENT!$A$1:$A$3</definedName>
    <definedName name="MODEET30000" localSheetId="5">[2]MODEVERSEMENT!$A$1:$A$3</definedName>
    <definedName name="MODEET30000" localSheetId="11">[2]MODEVERSEMENT!$A$1:$A$3</definedName>
    <definedName name="MODEET30000" localSheetId="10">[2]MODEVERSEMENT!$A$1:$A$3</definedName>
    <definedName name="MODEET30000" localSheetId="9">[2]MODEVERSEMENT!$A$1:$A$3</definedName>
    <definedName name="MODEET30000" localSheetId="7">[2]MODEVERSEMENT!$A$1:$A$3</definedName>
    <definedName name="MODEET30000" localSheetId="15">[2]MODEVERSEMENT!$A$1:$A$3</definedName>
    <definedName name="MODEET30000" localSheetId="14">[2]MODEVERSEMENT!$A$1:$A$3</definedName>
    <definedName name="MODEET30000" localSheetId="17">[2]MODEVERSEMENT!$A$1:$A$3</definedName>
    <definedName name="MODEET30000" localSheetId="13">[2]MODEVERSEMENT!$A$1:$A$3</definedName>
    <definedName name="MODEET30000">[3]MODEVERSEMENT!$A$1:$A$3</definedName>
    <definedName name="MODEPAID" localSheetId="19">[4]Feuil2!$A$1:$A$3</definedName>
    <definedName name="MODEPAID" localSheetId="2">[5]Feuil2!$A$1:$A$3</definedName>
    <definedName name="MODEPAID" localSheetId="1">#REF!</definedName>
    <definedName name="MODEPAID" localSheetId="34">[6]Feuil2!$A$1:$A$3</definedName>
    <definedName name="MODEPAID">[5]Feuil2!$A$1:$A$3</definedName>
    <definedName name="MODEPAID30000" localSheetId="12">MVTAOUT23!#REF!</definedName>
    <definedName name="MODEPAID30000" localSheetId="8">MVTAVRIL23!#REF!</definedName>
    <definedName name="MODEPAID30000" localSheetId="3">MVTDEC21!#REF!</definedName>
    <definedName name="MODEPAID30000" localSheetId="4">MVTDEC22!#REF!</definedName>
    <definedName name="MODEPAID30000" localSheetId="16">MVTDEC23!#REF!</definedName>
    <definedName name="MODEPAID30000" localSheetId="6">MVTFEV23!#REF!</definedName>
    <definedName name="MODEPAID30000" localSheetId="42">MVTJANV212!#REF!</definedName>
    <definedName name="MODEPAID30000" localSheetId="5">MVTJANV23!#REF!</definedName>
    <definedName name="MODEPAID30000" localSheetId="11">MVTJUIL23!#REF!</definedName>
    <definedName name="MODEPAID30000" localSheetId="10">MVTJUIN23!#REF!</definedName>
    <definedName name="MODEPAID30000" localSheetId="9">MVTMAI23!#REF!</definedName>
    <definedName name="MODEPAID30000" localSheetId="7">MVTMARS23!#REF!</definedName>
    <definedName name="MODEPAID30000" localSheetId="15">MVTNOV23!#REF!</definedName>
    <definedName name="MODEPAID30000" localSheetId="14">MVTOCT23!#REF!</definedName>
    <definedName name="MODEPAID30000" localSheetId="21">'MVTREPARTITION2021 (2)'!#REF!</definedName>
    <definedName name="MODEPAID30000" localSheetId="22">MVTREPARTITION2021DEF!#REF!</definedName>
    <definedName name="MODEPAID30000" localSheetId="18">MVTREPARTITION2022!#REF!</definedName>
    <definedName name="MODEPAID30000" localSheetId="43">'MVTREPARTITION2022 (2)'!#REF!</definedName>
    <definedName name="MODEPAID30000" localSheetId="20">'MVTREPARTITIONEDIT (2)'!#REF!</definedName>
    <definedName name="MODEPAID30000" localSheetId="40">MVTRESUME20BACKUP!#REF!</definedName>
    <definedName name="MODEPAID30000" localSheetId="17">MVTRESUME23!#REF!</definedName>
    <definedName name="MODEPAID30000" localSheetId="13">MVTSEPT23!#REF!</definedName>
    <definedName name="MODEPAID30000" localSheetId="23">'PARTAGE INTERET T100'!#REF!</definedName>
    <definedName name="MODEPAIDOK" localSheetId="19">[7]MODEVERSEMENT!$A$1:$A$4</definedName>
    <definedName name="MODEPAIDOK" localSheetId="41">[8]MODEVERSEMENT!$A$1:$A$4</definedName>
    <definedName name="MODEPAIDOK" localSheetId="12">[9]MODEVERSEMENT!$A$1:$A$4</definedName>
    <definedName name="MODEPAIDOK" localSheetId="8">[9]MODEVERSEMENT!$A$1:$A$4</definedName>
    <definedName name="MODEPAIDOK" localSheetId="3">[9]MODEVERSEMENT!$A$1:$A$4</definedName>
    <definedName name="MODEPAIDOK" localSheetId="4">[9]MODEVERSEMENT!$A$1:$A$4</definedName>
    <definedName name="MODEPAIDOK" localSheetId="16">[9]MODEVERSEMENT!$A$1:$A$4</definedName>
    <definedName name="MODEPAIDOK" localSheetId="6">[9]MODEVERSEMENT!$A$1:$A$4</definedName>
    <definedName name="MODEPAIDOK" localSheetId="5">[9]MODEVERSEMENT!$A$1:$A$4</definedName>
    <definedName name="MODEPAIDOK" localSheetId="11">[9]MODEVERSEMENT!$A$1:$A$4</definedName>
    <definedName name="MODEPAIDOK" localSheetId="10">[9]MODEVERSEMENT!$A$1:$A$4</definedName>
    <definedName name="MODEPAIDOK" localSheetId="9">[9]MODEVERSEMENT!$A$1:$A$4</definedName>
    <definedName name="MODEPAIDOK" localSheetId="7">[9]MODEVERSEMENT!$A$1:$A$4</definedName>
    <definedName name="MODEPAIDOK" localSheetId="15">[9]MODEVERSEMENT!$A$1:$A$4</definedName>
    <definedName name="MODEPAIDOK" localSheetId="14">[9]MODEVERSEMENT!$A$1:$A$4</definedName>
    <definedName name="MODEPAIDOK" localSheetId="17">[9]MODEVERSEMENT!$A$1:$A$4</definedName>
    <definedName name="MODEPAIDOK" localSheetId="13">[9]MODEVERSEMENT!$A$1:$A$4</definedName>
    <definedName name="MODEPAIDOK">MODEVERSEMENT!$A$1:$A$4</definedName>
    <definedName name="MODEPAIDS" localSheetId="41">[1]MODEVERSEMENT!$A$1:$A$3</definedName>
    <definedName name="MODEPAIDS" localSheetId="12">[2]MODEVERSEMENT!$A$1:$A$3</definedName>
    <definedName name="MODEPAIDS" localSheetId="8">[2]MODEVERSEMENT!$A$1:$A$3</definedName>
    <definedName name="MODEPAIDS" localSheetId="3">[2]MODEVERSEMENT!$A$1:$A$3</definedName>
    <definedName name="MODEPAIDS" localSheetId="4">[2]MODEVERSEMENT!$A$1:$A$3</definedName>
    <definedName name="MODEPAIDS" localSheetId="16">[2]MODEVERSEMENT!$A$1:$A$3</definedName>
    <definedName name="MODEPAIDS" localSheetId="6">[2]MODEVERSEMENT!$A$1:$A$3</definedName>
    <definedName name="MODEPAIDS" localSheetId="5">[2]MODEVERSEMENT!$A$1:$A$3</definedName>
    <definedName name="MODEPAIDS" localSheetId="11">[2]MODEVERSEMENT!$A$1:$A$3</definedName>
    <definedName name="MODEPAIDS" localSheetId="10">[2]MODEVERSEMENT!$A$1:$A$3</definedName>
    <definedName name="MODEPAIDS" localSheetId="9">[2]MODEVERSEMENT!$A$1:$A$3</definedName>
    <definedName name="MODEPAIDS" localSheetId="7">[2]MODEVERSEMENT!$A$1:$A$3</definedName>
    <definedName name="MODEPAIDS" localSheetId="15">[2]MODEVERSEMENT!$A$1:$A$3</definedName>
    <definedName name="MODEPAIDS" localSheetId="14">[2]MODEVERSEMENT!$A$1:$A$3</definedName>
    <definedName name="MODEPAIDS" localSheetId="17">[2]MODEVERSEMENT!$A$1:$A$3</definedName>
    <definedName name="MODEPAIDS" localSheetId="13">[2]MODEVERSEMENT!$A$1:$A$3</definedName>
    <definedName name="MODEPAIDS">[3]MODEVERSEMENT!$A$1:$A$3</definedName>
    <definedName name="MODET25000">[10]MODEVERSEMENT!$A$1:$A$3</definedName>
    <definedName name="MODET3000" localSheetId="41">[1]MODEVERSEMENT!$A$1:$A$3</definedName>
    <definedName name="MODET3000" localSheetId="12">[2]MODEVERSEMENT!$A$1:$A$3</definedName>
    <definedName name="MODET3000" localSheetId="8">[2]MODEVERSEMENT!$A$1:$A$3</definedName>
    <definedName name="MODET3000" localSheetId="3">[2]MODEVERSEMENT!$A$1:$A$3</definedName>
    <definedName name="MODET3000" localSheetId="4">[2]MODEVERSEMENT!$A$1:$A$3</definedName>
    <definedName name="MODET3000" localSheetId="16">[2]MODEVERSEMENT!$A$1:$A$3</definedName>
    <definedName name="MODET3000" localSheetId="6">[2]MODEVERSEMENT!$A$1:$A$3</definedName>
    <definedName name="MODET3000" localSheetId="5">[2]MODEVERSEMENT!$A$1:$A$3</definedName>
    <definedName name="MODET3000" localSheetId="11">[2]MODEVERSEMENT!$A$1:$A$3</definedName>
    <definedName name="MODET3000" localSheetId="10">[2]MODEVERSEMENT!$A$1:$A$3</definedName>
    <definedName name="MODET3000" localSheetId="9">[2]MODEVERSEMENT!$A$1:$A$3</definedName>
    <definedName name="MODET3000" localSheetId="7">[2]MODEVERSEMENT!$A$1:$A$3</definedName>
    <definedName name="MODET3000" localSheetId="15">[2]MODEVERSEMENT!$A$1:$A$3</definedName>
    <definedName name="MODET3000" localSheetId="14">[2]MODEVERSEMENT!$A$1:$A$3</definedName>
    <definedName name="MODET3000" localSheetId="17">[2]MODEVERSEMENT!$A$1:$A$3</definedName>
    <definedName name="MODET3000" localSheetId="13">[2]MODEVERSEMENT!$A$1:$A$3</definedName>
    <definedName name="MODET3000">[3]MODEVERSEMENT!$A$1:$A$3</definedName>
    <definedName name="MODET30000" localSheetId="12">MVTAOUT23!#REF!</definedName>
    <definedName name="MODET30000" localSheetId="8">MVTAVRIL23!#REF!</definedName>
    <definedName name="MODET30000" localSheetId="3">MVTDEC21!#REF!</definedName>
    <definedName name="MODET30000" localSheetId="4">MVTDEC22!#REF!</definedName>
    <definedName name="MODET30000" localSheetId="16">MVTDEC23!#REF!</definedName>
    <definedName name="MODET30000" localSheetId="6">MVTFEV23!#REF!</definedName>
    <definedName name="MODET30000" localSheetId="42">MVTJANV212!#REF!</definedName>
    <definedName name="MODET30000" localSheetId="5">MVTJANV23!#REF!</definedName>
    <definedName name="MODET30000" localSheetId="11">MVTJUIL23!#REF!</definedName>
    <definedName name="MODET30000" localSheetId="10">MVTJUIN23!#REF!</definedName>
    <definedName name="MODET30000" localSheetId="9">MVTMAI23!#REF!</definedName>
    <definedName name="MODET30000" localSheetId="7">MVTMARS23!#REF!</definedName>
    <definedName name="MODET30000" localSheetId="15">MVTNOV23!#REF!</definedName>
    <definedName name="MODET30000" localSheetId="14">MVTOCT23!#REF!</definedName>
    <definedName name="MODET30000" localSheetId="21">'MVTREPARTITION2021 (2)'!#REF!</definedName>
    <definedName name="MODET30000" localSheetId="22">MVTREPARTITION2021DEF!#REF!</definedName>
    <definedName name="MODET30000" localSheetId="18">MVTREPARTITION2022!#REF!</definedName>
    <definedName name="MODET30000" localSheetId="43">'MVTREPARTITION2022 (2)'!#REF!</definedName>
    <definedName name="MODET30000" localSheetId="20">'MVTREPARTITIONEDIT (2)'!#REF!</definedName>
    <definedName name="MODET30000" localSheetId="40">MVTRESUME20BACKUP!#REF!</definedName>
    <definedName name="MODET30000" localSheetId="17">MVTRESUME23!#REF!</definedName>
    <definedName name="MODET30000" localSheetId="13">MVTSEPT23!#REF!</definedName>
    <definedName name="MODET30000" localSheetId="23">'PARTAGE INTERET T100'!#REF!</definedName>
    <definedName name="MODET30000B" localSheetId="1">#REF!</definedName>
    <definedName name="MODEVERSEMENT" localSheetId="19">#REF!</definedName>
    <definedName name="MODEVERSEMENT" localSheetId="32">#REF!</definedName>
    <definedName name="MODEVERSEMENT" localSheetId="33">#REF!</definedName>
    <definedName name="MODEVERSEMENT" localSheetId="25">#REF!</definedName>
    <definedName name="MODEVERSEMENT" localSheetId="26">#REF!</definedName>
    <definedName name="MODEVERSEMENT" localSheetId="28">#REF!</definedName>
    <definedName name="MODEVERSEMENT" localSheetId="27">#REF!</definedName>
    <definedName name="MODEVERSEMENT" localSheetId="29">#REF!</definedName>
    <definedName name="MODEVERSEMENT" localSheetId="31">#REF!</definedName>
    <definedName name="MODEVERSEMENT" localSheetId="2">#REF!</definedName>
    <definedName name="MODEVERSEMENT" localSheetId="1">#REF!</definedName>
    <definedName name="MODEVERSEMENT" localSheetId="12">#REF!</definedName>
    <definedName name="MODEVERSEMENT" localSheetId="8">#REF!</definedName>
    <definedName name="MODEVERSEMENT" localSheetId="3">#REF!</definedName>
    <definedName name="MODEVERSEMENT" localSheetId="4">#REF!</definedName>
    <definedName name="MODEVERSEMENT" localSheetId="16">#REF!</definedName>
    <definedName name="MODEVERSEMENT" localSheetId="6">#REF!</definedName>
    <definedName name="MODEVERSEMENT" localSheetId="42">#REF!</definedName>
    <definedName name="MODEVERSEMENT" localSheetId="5">#REF!</definedName>
    <definedName name="MODEVERSEMENT" localSheetId="11">#REF!</definedName>
    <definedName name="MODEVERSEMENT" localSheetId="10">#REF!</definedName>
    <definedName name="MODEVERSEMENT" localSheetId="9">#REF!</definedName>
    <definedName name="MODEVERSEMENT" localSheetId="7">#REF!</definedName>
    <definedName name="MODEVERSEMENT" localSheetId="15">#REF!</definedName>
    <definedName name="MODEVERSEMENT" localSheetId="14">#REF!</definedName>
    <definedName name="MODEVERSEMENT" localSheetId="21">#REF!</definedName>
    <definedName name="MODEVERSEMENT" localSheetId="22">#REF!</definedName>
    <definedName name="MODEVERSEMENT" localSheetId="18">#REF!</definedName>
    <definedName name="MODEVERSEMENT" localSheetId="43">#REF!</definedName>
    <definedName name="MODEVERSEMENT" localSheetId="20">#REF!</definedName>
    <definedName name="MODEVERSEMENT" localSheetId="30">#REF!</definedName>
    <definedName name="MODEVERSEMENT" localSheetId="40">#REF!</definedName>
    <definedName name="MODEVERSEMENT" localSheetId="17">#REF!</definedName>
    <definedName name="MODEVERSEMENT" localSheetId="38">#REF!</definedName>
    <definedName name="MODEVERSEMENT" localSheetId="39">#REF!</definedName>
    <definedName name="MODEVERSEMENT" localSheetId="13">#REF!</definedName>
    <definedName name="MODEVERSEMENT" localSheetId="23">#REF!</definedName>
    <definedName name="MODEVERSEMENT" localSheetId="34">#REF!</definedName>
    <definedName name="MODEVERSEMENT">#REF!</definedName>
    <definedName name="MODEVERSEMENTS" localSheetId="2">MODET25000!$A$1:$A$3</definedName>
    <definedName name="MODEVERSEMENTS" localSheetId="1">MODEVERSEMENT!$A$1:$A$3</definedName>
    <definedName name="MODEVERSEMENTS">[11]MODEVERSEMENT!$A$1:$A$3</definedName>
    <definedName name="MODPAID" localSheetId="12">MVTAOUT23!#REF!</definedName>
    <definedName name="MODPAID" localSheetId="8">MVTAVRIL23!#REF!</definedName>
    <definedName name="MODPAID" localSheetId="3">MVTDEC21!#REF!</definedName>
    <definedName name="MODPAID" localSheetId="4">MVTDEC22!#REF!</definedName>
    <definedName name="MODPAID" localSheetId="16">MVTDEC23!#REF!</definedName>
    <definedName name="MODPAID" localSheetId="6">MVTFEV23!#REF!</definedName>
    <definedName name="MODPAID" localSheetId="42">MVTJANV212!#REF!</definedName>
    <definedName name="MODPAID" localSheetId="5">MVTJANV23!#REF!</definedName>
    <definedName name="MODPAID" localSheetId="11">MVTJUIL23!#REF!</definedName>
    <definedName name="MODPAID" localSheetId="10">MVTJUIN23!#REF!</definedName>
    <definedName name="MODPAID" localSheetId="9">MVTMAI23!#REF!</definedName>
    <definedName name="MODPAID" localSheetId="7">MVTMARS23!#REF!</definedName>
    <definedName name="MODPAID" localSheetId="15">MVTNOV23!#REF!</definedName>
    <definedName name="MODPAID" localSheetId="14">MVTOCT23!#REF!</definedName>
    <definedName name="MODPAID" localSheetId="21">'MVTREPARTITION2021 (2)'!#REF!</definedName>
    <definedName name="MODPAID" localSheetId="22">MVTREPARTITION2021DEF!#REF!</definedName>
    <definedName name="MODPAID" localSheetId="18">MVTREPARTITION2022!#REF!</definedName>
    <definedName name="MODPAID" localSheetId="43">'MVTREPARTITION2022 (2)'!#REF!</definedName>
    <definedName name="MODPAID" localSheetId="20">'MVTREPARTITIONEDIT (2)'!#REF!</definedName>
    <definedName name="MODPAID" localSheetId="30">MVTRESUME2019!#REF!</definedName>
    <definedName name="MODPAID" localSheetId="40">MVTRESUME20BACKUP!#REF!</definedName>
    <definedName name="MODPAID" localSheetId="17">MVTRESUME23!#REF!</definedName>
    <definedName name="MODPAID" localSheetId="38">MVTRESUMEEDIT2019!#REF!</definedName>
    <definedName name="MODPAID" localSheetId="39">MVTRESUMETAB!#REF!</definedName>
    <definedName name="MODPAID" localSheetId="13">MVTSEPT23!#REF!</definedName>
    <definedName name="MODPAID" localSheetId="23">'PARTAGE INTERET T100'!#REF!</definedName>
    <definedName name="VALMODEPAID" localSheetId="41">[12]MODEPAID!$A$1:$A$3</definedName>
    <definedName name="VALMODEPAID" localSheetId="12">[13]MODEPAID!$A$1:$A$3</definedName>
    <definedName name="VALMODEPAID" localSheetId="8">[13]MODEPAID!$A$1:$A$3</definedName>
    <definedName name="VALMODEPAID" localSheetId="3">[13]MODEPAID!$A$1:$A$3</definedName>
    <definedName name="VALMODEPAID" localSheetId="4">[13]MODEPAID!$A$1:$A$3</definedName>
    <definedName name="VALMODEPAID" localSheetId="16">[13]MODEPAID!$A$1:$A$3</definedName>
    <definedName name="VALMODEPAID" localSheetId="6">[13]MODEPAID!$A$1:$A$3</definedName>
    <definedName name="VALMODEPAID" localSheetId="5">[13]MODEPAID!$A$1:$A$3</definedName>
    <definedName name="VALMODEPAID" localSheetId="11">[13]MODEPAID!$A$1:$A$3</definedName>
    <definedName name="VALMODEPAID" localSheetId="10">[13]MODEPAID!$A$1:$A$3</definedName>
    <definedName name="VALMODEPAID" localSheetId="9">[13]MODEPAID!$A$1:$A$3</definedName>
    <definedName name="VALMODEPAID" localSheetId="7">[13]MODEPAID!$A$1:$A$3</definedName>
    <definedName name="VALMODEPAID" localSheetId="15">[13]MODEPAID!$A$1:$A$3</definedName>
    <definedName name="VALMODEPAID" localSheetId="14">[13]MODEPAID!$A$1:$A$3</definedName>
    <definedName name="VALMODEPAID" localSheetId="17">[13]MODEPAID!$A$1:$A$3</definedName>
    <definedName name="VALMODEPAID" localSheetId="13">[13]MODEPAID!$A$1:$A$3</definedName>
    <definedName name="VALMODEPAID">[14]MODEPAID!$A$1:$A$3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7" i="148" l="1"/>
  <c r="S37" i="148"/>
  <c r="S20" i="147"/>
  <c r="S25" i="147"/>
  <c r="S12" i="147"/>
  <c r="R20" i="147"/>
  <c r="AM9" i="148"/>
  <c r="S20" i="148" l="1"/>
  <c r="R20" i="148"/>
  <c r="S25" i="148"/>
  <c r="S12" i="148"/>
  <c r="D12" i="97" l="1"/>
  <c r="C7" i="97"/>
  <c r="K33" i="147"/>
  <c r="AK7" i="147" l="1"/>
  <c r="AP7" i="148" s="1"/>
  <c r="AP37" i="148"/>
  <c r="AK9" i="147"/>
  <c r="AP9" i="148" s="1"/>
  <c r="AK10" i="147"/>
  <c r="AP10" i="148" s="1"/>
  <c r="AK11" i="147"/>
  <c r="AP11" i="148" s="1"/>
  <c r="AK12" i="147"/>
  <c r="AP12" i="148" s="1"/>
  <c r="AK13" i="147"/>
  <c r="AP13" i="148" s="1"/>
  <c r="AK14" i="147"/>
  <c r="AP14" i="148" s="1"/>
  <c r="AK15" i="147"/>
  <c r="AP15" i="148" s="1"/>
  <c r="AK16" i="147"/>
  <c r="AP16" i="148" s="1"/>
  <c r="AK17" i="147"/>
  <c r="AP17" i="148" s="1"/>
  <c r="AK18" i="147"/>
  <c r="AP18" i="148" s="1"/>
  <c r="AK19" i="147"/>
  <c r="AP19" i="148" s="1"/>
  <c r="AK20" i="147"/>
  <c r="AP20" i="148" s="1"/>
  <c r="AK21" i="147"/>
  <c r="AP21" i="148" s="1"/>
  <c r="AK22" i="147"/>
  <c r="AP22" i="148" s="1"/>
  <c r="AK23" i="147"/>
  <c r="AP23" i="148" s="1"/>
  <c r="AK24" i="147"/>
  <c r="AP24" i="148" s="1"/>
  <c r="AK25" i="147"/>
  <c r="AP25" i="148" s="1"/>
  <c r="AK26" i="147"/>
  <c r="AP26" i="148" s="1"/>
  <c r="AK27" i="147"/>
  <c r="AP27" i="148" s="1"/>
  <c r="AK28" i="147"/>
  <c r="AP28" i="148" s="1"/>
  <c r="AK29" i="147"/>
  <c r="AP29" i="148" s="1"/>
  <c r="AK30" i="147"/>
  <c r="AP30" i="148" s="1"/>
  <c r="AK31" i="147"/>
  <c r="AP31" i="148" s="1"/>
  <c r="AK32" i="147"/>
  <c r="AP32" i="148" s="1"/>
  <c r="AK33" i="147"/>
  <c r="AP33" i="148" s="1"/>
  <c r="AK34" i="147"/>
  <c r="AP34" i="148" s="1"/>
  <c r="AK35" i="147"/>
  <c r="AP35" i="148" s="1"/>
  <c r="AK36" i="147"/>
  <c r="AP36" i="148" s="1"/>
  <c r="AK8" i="147"/>
  <c r="AP8" i="148" s="1"/>
  <c r="AK6" i="147"/>
  <c r="AP6" i="148" s="1"/>
  <c r="AP40" i="148" l="1"/>
  <c r="F37" i="144" l="1"/>
  <c r="S26" i="144"/>
  <c r="D37" i="148"/>
  <c r="E37" i="148"/>
  <c r="I37" i="148"/>
  <c r="J37" i="148"/>
  <c r="K37" i="148"/>
  <c r="L37" i="148"/>
  <c r="M37" i="148"/>
  <c r="N37" i="148"/>
  <c r="O37" i="148"/>
  <c r="P37" i="148"/>
  <c r="Q37" i="148"/>
  <c r="T37" i="148"/>
  <c r="U37" i="148"/>
  <c r="V37" i="148"/>
  <c r="W37" i="148"/>
  <c r="X37" i="148"/>
  <c r="Y37" i="148"/>
  <c r="Z37" i="148"/>
  <c r="AA37" i="148"/>
  <c r="AB37" i="148"/>
  <c r="AC37" i="148"/>
  <c r="AD37" i="148"/>
  <c r="AE37" i="148"/>
  <c r="AF37" i="148"/>
  <c r="AG37" i="148"/>
  <c r="AH37" i="148"/>
  <c r="AI37" i="148"/>
  <c r="AJ37" i="148"/>
  <c r="AK37" i="148"/>
  <c r="AL37" i="148"/>
  <c r="AM37" i="148"/>
  <c r="AN37" i="148"/>
  <c r="AO37" i="148"/>
  <c r="C37" i="148"/>
  <c r="H37" i="142"/>
  <c r="S36" i="140"/>
  <c r="B37" i="133" l="1"/>
  <c r="F37" i="136"/>
  <c r="B36" i="136"/>
  <c r="B37" i="136"/>
  <c r="C39" i="136"/>
  <c r="B6" i="99"/>
  <c r="H37" i="136" l="1"/>
  <c r="F37" i="133"/>
  <c r="E39" i="136" l="1"/>
  <c r="K39" i="136"/>
  <c r="Z39" i="136"/>
  <c r="D8" i="136"/>
  <c r="F8" i="136" s="1"/>
  <c r="H8" i="136" s="1"/>
  <c r="D9" i="136"/>
  <c r="F9" i="136" s="1"/>
  <c r="H9" i="136" s="1"/>
  <c r="D10" i="136"/>
  <c r="F10" i="136" s="1"/>
  <c r="H10" i="136" s="1"/>
  <c r="D11" i="136"/>
  <c r="F11" i="136" s="1"/>
  <c r="H11" i="136" s="1"/>
  <c r="D12" i="136"/>
  <c r="F12" i="136" s="1"/>
  <c r="H12" i="136" s="1"/>
  <c r="D13" i="136"/>
  <c r="F13" i="136" s="1"/>
  <c r="H13" i="136" s="1"/>
  <c r="D14" i="136"/>
  <c r="F14" i="136" s="1"/>
  <c r="H14" i="136" s="1"/>
  <c r="D15" i="136"/>
  <c r="F15" i="136" s="1"/>
  <c r="H15" i="136" s="1"/>
  <c r="D16" i="136"/>
  <c r="F16" i="136" s="1"/>
  <c r="H16" i="136" s="1"/>
  <c r="D17" i="136"/>
  <c r="F17" i="136" s="1"/>
  <c r="H17" i="136" s="1"/>
  <c r="D18" i="136"/>
  <c r="F18" i="136" s="1"/>
  <c r="H18" i="136" s="1"/>
  <c r="D19" i="136"/>
  <c r="F19" i="136" s="1"/>
  <c r="H19" i="136" s="1"/>
  <c r="D20" i="136"/>
  <c r="F20" i="136" s="1"/>
  <c r="H20" i="136" s="1"/>
  <c r="D21" i="136"/>
  <c r="F21" i="136" s="1"/>
  <c r="H21" i="136" s="1"/>
  <c r="D22" i="136"/>
  <c r="F22" i="136" s="1"/>
  <c r="H22" i="136" s="1"/>
  <c r="D23" i="136"/>
  <c r="F23" i="136" s="1"/>
  <c r="H23" i="136" s="1"/>
  <c r="D24" i="136"/>
  <c r="F24" i="136" s="1"/>
  <c r="H24" i="136" s="1"/>
  <c r="D25" i="136"/>
  <c r="F25" i="136" s="1"/>
  <c r="H25" i="136" s="1"/>
  <c r="D26" i="136"/>
  <c r="F26" i="136" s="1"/>
  <c r="H26" i="136" s="1"/>
  <c r="D27" i="136"/>
  <c r="F27" i="136" s="1"/>
  <c r="H27" i="136" s="1"/>
  <c r="D28" i="136"/>
  <c r="F28" i="136" s="1"/>
  <c r="H28" i="136" s="1"/>
  <c r="D29" i="136"/>
  <c r="F29" i="136" s="1"/>
  <c r="H29" i="136" s="1"/>
  <c r="D30" i="136"/>
  <c r="F30" i="136" s="1"/>
  <c r="H30" i="136" s="1"/>
  <c r="D31" i="136"/>
  <c r="F31" i="136" s="1"/>
  <c r="H31" i="136" s="1"/>
  <c r="D32" i="136"/>
  <c r="F32" i="136" s="1"/>
  <c r="H32" i="136" s="1"/>
  <c r="D33" i="136"/>
  <c r="F33" i="136" s="1"/>
  <c r="H33" i="136" s="1"/>
  <c r="D34" i="136"/>
  <c r="F34" i="136" s="1"/>
  <c r="H34" i="136" s="1"/>
  <c r="D35" i="136"/>
  <c r="F35" i="136" s="1"/>
  <c r="H35" i="136" s="1"/>
  <c r="D36" i="136"/>
  <c r="F36" i="136" s="1"/>
  <c r="H36" i="136" s="1"/>
  <c r="D7" i="136"/>
  <c r="F7" i="136" s="1"/>
  <c r="H7" i="136" s="1"/>
  <c r="D6" i="136"/>
  <c r="F6" i="136" s="1"/>
  <c r="U7" i="132"/>
  <c r="U8" i="132"/>
  <c r="U9" i="132"/>
  <c r="U10" i="132"/>
  <c r="U11" i="132"/>
  <c r="U12" i="132"/>
  <c r="U13" i="132"/>
  <c r="U14" i="132"/>
  <c r="U15" i="132"/>
  <c r="U16" i="132"/>
  <c r="U17" i="132"/>
  <c r="U18" i="132"/>
  <c r="U19" i="132"/>
  <c r="U20" i="132"/>
  <c r="U21" i="132"/>
  <c r="U22" i="132"/>
  <c r="U23" i="132"/>
  <c r="U24" i="132"/>
  <c r="U25" i="132"/>
  <c r="U26" i="132"/>
  <c r="U29" i="132"/>
  <c r="U31" i="132"/>
  <c r="U32" i="132"/>
  <c r="U33" i="132"/>
  <c r="U36" i="132"/>
  <c r="U37" i="132"/>
  <c r="U6" i="132"/>
  <c r="B6" i="132"/>
  <c r="H6" i="136" l="1"/>
  <c r="F6" i="133"/>
  <c r="D39" i="136"/>
  <c r="D42" i="136" s="1"/>
  <c r="AO40" i="148" l="1"/>
  <c r="C7" i="148" l="1"/>
  <c r="C8" i="133"/>
  <c r="C8" i="148" s="1"/>
  <c r="C9" i="133"/>
  <c r="C9" i="148" s="1"/>
  <c r="C10" i="133"/>
  <c r="C10" i="148" s="1"/>
  <c r="C11" i="133"/>
  <c r="C11" i="148" s="1"/>
  <c r="C12" i="133"/>
  <c r="C12" i="148" s="1"/>
  <c r="C13" i="133"/>
  <c r="C13" i="148" s="1"/>
  <c r="C14" i="133"/>
  <c r="C14" i="148" s="1"/>
  <c r="C15" i="133"/>
  <c r="C15" i="148" s="1"/>
  <c r="C16" i="133"/>
  <c r="C16" i="148" s="1"/>
  <c r="C17" i="133"/>
  <c r="C17" i="148" s="1"/>
  <c r="C18" i="133"/>
  <c r="C18" i="148" s="1"/>
  <c r="C19" i="133"/>
  <c r="C19" i="148" s="1"/>
  <c r="C20" i="133"/>
  <c r="C20" i="148" s="1"/>
  <c r="C21" i="133"/>
  <c r="C21" i="148" s="1"/>
  <c r="C22" i="133"/>
  <c r="C22" i="148" s="1"/>
  <c r="C23" i="133"/>
  <c r="C23" i="148" s="1"/>
  <c r="C24" i="133"/>
  <c r="C24" i="148" s="1"/>
  <c r="C25" i="133"/>
  <c r="C25" i="148" s="1"/>
  <c r="C26" i="133"/>
  <c r="C26" i="148" s="1"/>
  <c r="C27" i="133"/>
  <c r="C27" i="148" s="1"/>
  <c r="C28" i="133"/>
  <c r="C28" i="148" s="1"/>
  <c r="C29" i="133"/>
  <c r="C29" i="148" s="1"/>
  <c r="C30" i="133"/>
  <c r="C30" i="148" s="1"/>
  <c r="C31" i="133"/>
  <c r="C31" i="148" s="1"/>
  <c r="C32" i="133"/>
  <c r="C32" i="148" s="1"/>
  <c r="C33" i="133"/>
  <c r="C33" i="148" s="1"/>
  <c r="C34" i="133"/>
  <c r="C34" i="148" s="1"/>
  <c r="C35" i="133"/>
  <c r="C35" i="148" s="1"/>
  <c r="C36" i="133"/>
  <c r="C36" i="148" s="1"/>
  <c r="C6" i="133"/>
  <c r="C6" i="148" s="1"/>
  <c r="D7" i="148"/>
  <c r="D27" i="148"/>
  <c r="D29" i="148"/>
  <c r="D33" i="148"/>
  <c r="D34" i="148"/>
  <c r="F11" i="131" l="1"/>
  <c r="F25" i="131" s="1"/>
  <c r="D25" i="131"/>
  <c r="C10" i="100" l="1"/>
  <c r="H6" i="99" l="1"/>
  <c r="C14" i="99"/>
  <c r="D14" i="99" l="1"/>
  <c r="S6" i="148"/>
  <c r="AM6" i="148" s="1"/>
  <c r="Z36" i="148"/>
  <c r="Z35" i="148"/>
  <c r="Z34" i="148"/>
  <c r="Z33" i="148"/>
  <c r="Z32" i="148"/>
  <c r="Z31" i="148"/>
  <c r="Z30" i="148"/>
  <c r="Z29" i="148"/>
  <c r="Z28" i="148"/>
  <c r="Z27" i="148"/>
  <c r="Z26" i="148"/>
  <c r="Z25" i="148"/>
  <c r="Z24" i="148"/>
  <c r="Z23" i="148"/>
  <c r="Z22" i="148"/>
  <c r="Z21" i="148"/>
  <c r="Z20" i="148"/>
  <c r="Z19" i="148"/>
  <c r="Z18" i="148"/>
  <c r="Z17" i="148"/>
  <c r="Z16" i="148"/>
  <c r="Z15" i="148"/>
  <c r="Z14" i="148"/>
  <c r="Z13" i="148"/>
  <c r="Z12" i="148"/>
  <c r="Z11" i="148"/>
  <c r="Z10" i="148"/>
  <c r="Z9" i="148"/>
  <c r="Z8" i="148"/>
  <c r="Z7" i="148"/>
  <c r="AD6" i="148"/>
  <c r="AC6" i="148"/>
  <c r="AB6" i="148"/>
  <c r="AA6" i="148"/>
  <c r="Z6" i="148"/>
  <c r="Y6" i="148"/>
  <c r="X6" i="148"/>
  <c r="U6" i="148"/>
  <c r="R6" i="148"/>
  <c r="Q6" i="148"/>
  <c r="P6" i="148"/>
  <c r="O6" i="148"/>
  <c r="N6" i="148"/>
  <c r="M6" i="148"/>
  <c r="L6" i="148"/>
  <c r="K6" i="148"/>
  <c r="J6" i="148"/>
  <c r="I6" i="148"/>
  <c r="E6" i="148"/>
  <c r="AJ6" i="146"/>
  <c r="AI6" i="146"/>
  <c r="AH6" i="146"/>
  <c r="AG6" i="146"/>
  <c r="AF6" i="146"/>
  <c r="AE6" i="146"/>
  <c r="AJ36" i="146"/>
  <c r="AI36" i="146"/>
  <c r="AH36" i="146"/>
  <c r="AG36" i="146"/>
  <c r="AF36" i="146"/>
  <c r="AE36" i="146"/>
  <c r="AD36" i="146"/>
  <c r="AC36" i="146"/>
  <c r="Y36" i="146"/>
  <c r="X36" i="146"/>
  <c r="W36" i="146"/>
  <c r="V36" i="146"/>
  <c r="U36" i="146"/>
  <c r="T36" i="146"/>
  <c r="S36" i="146"/>
  <c r="R36" i="146"/>
  <c r="Q36" i="146"/>
  <c r="P36" i="146"/>
  <c r="I36" i="146"/>
  <c r="AJ35" i="146"/>
  <c r="AI35" i="146"/>
  <c r="AH35" i="146"/>
  <c r="AG35" i="146"/>
  <c r="AF35" i="146"/>
  <c r="AE35" i="146"/>
  <c r="AD35" i="146"/>
  <c r="AC35" i="146"/>
  <c r="Y35" i="146"/>
  <c r="X35" i="146"/>
  <c r="W35" i="146"/>
  <c r="V35" i="146"/>
  <c r="U35" i="146"/>
  <c r="T35" i="146"/>
  <c r="S35" i="146"/>
  <c r="R35" i="146"/>
  <c r="Q35" i="146"/>
  <c r="P35" i="146"/>
  <c r="I35" i="146"/>
  <c r="AJ34" i="146"/>
  <c r="AI34" i="146"/>
  <c r="AH34" i="146"/>
  <c r="AG34" i="146"/>
  <c r="AF34" i="146"/>
  <c r="AE34" i="146"/>
  <c r="AD34" i="146"/>
  <c r="AC34" i="146"/>
  <c r="Y34" i="146"/>
  <c r="X34" i="146"/>
  <c r="W34" i="146"/>
  <c r="V34" i="146"/>
  <c r="U34" i="146"/>
  <c r="T34" i="146"/>
  <c r="S34" i="146"/>
  <c r="R34" i="146"/>
  <c r="Q34" i="146"/>
  <c r="P34" i="146"/>
  <c r="I34" i="146"/>
  <c r="AJ33" i="146"/>
  <c r="AI33" i="146"/>
  <c r="AH33" i="146"/>
  <c r="AG33" i="146"/>
  <c r="AF33" i="146"/>
  <c r="AE33" i="146"/>
  <c r="AD33" i="146"/>
  <c r="AC33" i="146"/>
  <c r="Y33" i="146"/>
  <c r="X33" i="146"/>
  <c r="W33" i="146"/>
  <c r="V33" i="146"/>
  <c r="U33" i="146"/>
  <c r="T33" i="146"/>
  <c r="S33" i="146"/>
  <c r="R33" i="146"/>
  <c r="Q33" i="146"/>
  <c r="P33" i="146"/>
  <c r="I33" i="146"/>
  <c r="AJ32" i="146"/>
  <c r="AI32" i="146"/>
  <c r="AH32" i="146"/>
  <c r="AG32" i="146"/>
  <c r="AF32" i="146"/>
  <c r="AE32" i="146"/>
  <c r="AD32" i="146"/>
  <c r="AC32" i="146"/>
  <c r="Y32" i="146"/>
  <c r="X32" i="146"/>
  <c r="W32" i="146"/>
  <c r="V32" i="146"/>
  <c r="U32" i="146"/>
  <c r="T32" i="146"/>
  <c r="S32" i="146"/>
  <c r="R32" i="146"/>
  <c r="Q32" i="146"/>
  <c r="P32" i="146"/>
  <c r="I32" i="146"/>
  <c r="AJ31" i="146"/>
  <c r="AI31" i="146"/>
  <c r="AH31" i="146"/>
  <c r="AG31" i="146"/>
  <c r="AF31" i="146"/>
  <c r="AE31" i="146"/>
  <c r="AD31" i="146"/>
  <c r="AC31" i="146"/>
  <c r="Y31" i="146"/>
  <c r="X31" i="146"/>
  <c r="W31" i="146"/>
  <c r="V31" i="146"/>
  <c r="U31" i="146"/>
  <c r="T31" i="146"/>
  <c r="S31" i="146"/>
  <c r="R31" i="146"/>
  <c r="Q31" i="146"/>
  <c r="P31" i="146"/>
  <c r="I31" i="146"/>
  <c r="AJ30" i="146"/>
  <c r="AI30" i="146"/>
  <c r="AH30" i="146"/>
  <c r="AG30" i="146"/>
  <c r="AF30" i="146"/>
  <c r="AE30" i="146"/>
  <c r="AD30" i="146"/>
  <c r="AC30" i="146"/>
  <c r="Y30" i="146"/>
  <c r="X30" i="146"/>
  <c r="W30" i="146"/>
  <c r="V30" i="146"/>
  <c r="U30" i="146"/>
  <c r="T30" i="146"/>
  <c r="S30" i="146"/>
  <c r="R30" i="146"/>
  <c r="Q30" i="146"/>
  <c r="P30" i="146"/>
  <c r="I30" i="146"/>
  <c r="AJ29" i="146"/>
  <c r="AI29" i="146"/>
  <c r="AH29" i="146"/>
  <c r="AG29" i="146"/>
  <c r="AF29" i="146"/>
  <c r="AE29" i="146"/>
  <c r="AD29" i="146"/>
  <c r="AC29" i="146"/>
  <c r="Y29" i="146"/>
  <c r="X29" i="146"/>
  <c r="W29" i="146"/>
  <c r="V29" i="146"/>
  <c r="U29" i="146"/>
  <c r="T29" i="146"/>
  <c r="S29" i="146"/>
  <c r="R29" i="146"/>
  <c r="Q29" i="146"/>
  <c r="P29" i="146"/>
  <c r="I29" i="146"/>
  <c r="AJ28" i="146"/>
  <c r="AI28" i="146"/>
  <c r="AH28" i="146"/>
  <c r="AG28" i="146"/>
  <c r="AF28" i="146"/>
  <c r="AE28" i="146"/>
  <c r="AD28" i="146"/>
  <c r="AC28" i="146"/>
  <c r="Y28" i="146"/>
  <c r="X28" i="146"/>
  <c r="W28" i="146"/>
  <c r="V28" i="146"/>
  <c r="U28" i="146"/>
  <c r="T28" i="146"/>
  <c r="S28" i="146"/>
  <c r="R28" i="146"/>
  <c r="Q28" i="146"/>
  <c r="P28" i="146"/>
  <c r="I28" i="146"/>
  <c r="AJ27" i="146"/>
  <c r="AI27" i="146"/>
  <c r="AH27" i="146"/>
  <c r="AG27" i="146"/>
  <c r="AF27" i="146"/>
  <c r="AE27" i="146"/>
  <c r="AD27" i="146"/>
  <c r="AC27" i="146"/>
  <c r="Y27" i="146"/>
  <c r="X27" i="146"/>
  <c r="W27" i="146"/>
  <c r="V27" i="146"/>
  <c r="U27" i="146"/>
  <c r="T27" i="146"/>
  <c r="S27" i="146"/>
  <c r="R27" i="146"/>
  <c r="Q27" i="146"/>
  <c r="P27" i="146"/>
  <c r="I27" i="146"/>
  <c r="AJ26" i="146"/>
  <c r="AI26" i="146"/>
  <c r="AH26" i="146"/>
  <c r="AG26" i="146"/>
  <c r="AF26" i="146"/>
  <c r="AE26" i="146"/>
  <c r="AD26" i="146"/>
  <c r="AC26" i="146"/>
  <c r="Y26" i="146"/>
  <c r="X26" i="146"/>
  <c r="W26" i="146"/>
  <c r="V26" i="146"/>
  <c r="U26" i="146"/>
  <c r="T26" i="146"/>
  <c r="S26" i="146"/>
  <c r="R26" i="146"/>
  <c r="Q26" i="146"/>
  <c r="P26" i="146"/>
  <c r="I26" i="146"/>
  <c r="AJ25" i="146"/>
  <c r="AI25" i="146"/>
  <c r="AH25" i="146"/>
  <c r="AG25" i="146"/>
  <c r="AF25" i="146"/>
  <c r="AE25" i="146"/>
  <c r="AD25" i="146"/>
  <c r="AC25" i="146"/>
  <c r="Y25" i="146"/>
  <c r="X25" i="146"/>
  <c r="W25" i="146"/>
  <c r="V25" i="146"/>
  <c r="U25" i="146"/>
  <c r="T25" i="146"/>
  <c r="S25" i="146"/>
  <c r="R25" i="146"/>
  <c r="Q25" i="146"/>
  <c r="P25" i="146"/>
  <c r="I25" i="146"/>
  <c r="AJ24" i="146"/>
  <c r="AI24" i="146"/>
  <c r="AH24" i="146"/>
  <c r="AG24" i="146"/>
  <c r="AF24" i="146"/>
  <c r="AE24" i="146"/>
  <c r="AD24" i="146"/>
  <c r="AC24" i="146"/>
  <c r="Y24" i="146"/>
  <c r="X24" i="146"/>
  <c r="W24" i="146"/>
  <c r="V24" i="146"/>
  <c r="U24" i="146"/>
  <c r="T24" i="146"/>
  <c r="S24" i="146"/>
  <c r="R24" i="146"/>
  <c r="Q24" i="146"/>
  <c r="P24" i="146"/>
  <c r="I24" i="146"/>
  <c r="AJ23" i="146"/>
  <c r="AI23" i="146"/>
  <c r="AH23" i="146"/>
  <c r="AG23" i="146"/>
  <c r="AF23" i="146"/>
  <c r="AE23" i="146"/>
  <c r="AD23" i="146"/>
  <c r="AC23" i="146"/>
  <c r="Y23" i="146"/>
  <c r="X23" i="146"/>
  <c r="W23" i="146"/>
  <c r="V23" i="146"/>
  <c r="U23" i="146"/>
  <c r="T23" i="146"/>
  <c r="S23" i="146"/>
  <c r="R23" i="146"/>
  <c r="Q23" i="146"/>
  <c r="P23" i="146"/>
  <c r="I23" i="146"/>
  <c r="AJ22" i="146"/>
  <c r="AI22" i="146"/>
  <c r="AH22" i="146"/>
  <c r="AG22" i="146"/>
  <c r="AF22" i="146"/>
  <c r="AE22" i="146"/>
  <c r="AD22" i="146"/>
  <c r="AC22" i="146"/>
  <c r="Y22" i="146"/>
  <c r="X22" i="146"/>
  <c r="W22" i="146"/>
  <c r="V22" i="146"/>
  <c r="U22" i="146"/>
  <c r="T22" i="146"/>
  <c r="S22" i="146"/>
  <c r="R22" i="146"/>
  <c r="Q22" i="146"/>
  <c r="P22" i="146"/>
  <c r="I22" i="146"/>
  <c r="AJ21" i="146"/>
  <c r="AI21" i="146"/>
  <c r="AH21" i="146"/>
  <c r="AG21" i="146"/>
  <c r="AF21" i="146"/>
  <c r="AE21" i="146"/>
  <c r="AD21" i="146"/>
  <c r="AC21" i="146"/>
  <c r="Y21" i="146"/>
  <c r="X21" i="146"/>
  <c r="W21" i="146"/>
  <c r="V21" i="146"/>
  <c r="U21" i="146"/>
  <c r="T21" i="146"/>
  <c r="S21" i="146"/>
  <c r="R21" i="146"/>
  <c r="Q21" i="146"/>
  <c r="P21" i="146"/>
  <c r="I21" i="146"/>
  <c r="AJ20" i="146"/>
  <c r="AI20" i="146"/>
  <c r="AH20" i="146"/>
  <c r="AG20" i="146"/>
  <c r="AF20" i="146"/>
  <c r="AE20" i="146"/>
  <c r="AD20" i="146"/>
  <c r="AC20" i="146"/>
  <c r="Y20" i="146"/>
  <c r="X20" i="146"/>
  <c r="W20" i="146"/>
  <c r="V20" i="146"/>
  <c r="U20" i="146"/>
  <c r="T20" i="146"/>
  <c r="S20" i="146"/>
  <c r="R20" i="146"/>
  <c r="Q20" i="146"/>
  <c r="P20" i="146"/>
  <c r="I20" i="146"/>
  <c r="AJ19" i="146"/>
  <c r="AI19" i="146"/>
  <c r="AH19" i="146"/>
  <c r="AG19" i="146"/>
  <c r="AF19" i="146"/>
  <c r="AE19" i="146"/>
  <c r="AD19" i="146"/>
  <c r="AC19" i="146"/>
  <c r="Y19" i="146"/>
  <c r="X19" i="146"/>
  <c r="W19" i="146"/>
  <c r="V19" i="146"/>
  <c r="U19" i="146"/>
  <c r="T19" i="146"/>
  <c r="S19" i="146"/>
  <c r="R19" i="146"/>
  <c r="Q19" i="146"/>
  <c r="P19" i="146"/>
  <c r="I19" i="146"/>
  <c r="AJ18" i="146"/>
  <c r="AI18" i="146"/>
  <c r="AH18" i="146"/>
  <c r="AG18" i="146"/>
  <c r="AF18" i="146"/>
  <c r="AE18" i="146"/>
  <c r="AD18" i="146"/>
  <c r="AC18" i="146"/>
  <c r="Y18" i="146"/>
  <c r="X18" i="146"/>
  <c r="W18" i="146"/>
  <c r="V18" i="146"/>
  <c r="U18" i="146"/>
  <c r="T18" i="146"/>
  <c r="S18" i="146"/>
  <c r="R18" i="146"/>
  <c r="Q18" i="146"/>
  <c r="P18" i="146"/>
  <c r="I18" i="146"/>
  <c r="AJ17" i="146"/>
  <c r="AI17" i="146"/>
  <c r="AH17" i="146"/>
  <c r="AG17" i="146"/>
  <c r="AF17" i="146"/>
  <c r="AE17" i="146"/>
  <c r="AD17" i="146"/>
  <c r="AC17" i="146"/>
  <c r="Y17" i="146"/>
  <c r="X17" i="146"/>
  <c r="W17" i="146"/>
  <c r="V17" i="146"/>
  <c r="U17" i="146"/>
  <c r="T17" i="146"/>
  <c r="S17" i="146"/>
  <c r="R17" i="146"/>
  <c r="Q17" i="146"/>
  <c r="P17" i="146"/>
  <c r="I17" i="146"/>
  <c r="AJ16" i="146"/>
  <c r="AI16" i="146"/>
  <c r="AH16" i="146"/>
  <c r="AG16" i="146"/>
  <c r="AF16" i="146"/>
  <c r="AE16" i="146"/>
  <c r="AD16" i="146"/>
  <c r="AC16" i="146"/>
  <c r="Y16" i="146"/>
  <c r="X16" i="146"/>
  <c r="W16" i="146"/>
  <c r="V16" i="146"/>
  <c r="U16" i="146"/>
  <c r="T16" i="146"/>
  <c r="S16" i="146"/>
  <c r="R16" i="146"/>
  <c r="Q16" i="146"/>
  <c r="P16" i="146"/>
  <c r="I16" i="146"/>
  <c r="AJ15" i="146"/>
  <c r="AI15" i="146"/>
  <c r="AH15" i="146"/>
  <c r="AG15" i="146"/>
  <c r="AF15" i="146"/>
  <c r="AE15" i="146"/>
  <c r="AD15" i="146"/>
  <c r="AC15" i="146"/>
  <c r="Y15" i="146"/>
  <c r="X15" i="146"/>
  <c r="W15" i="146"/>
  <c r="V15" i="146"/>
  <c r="U15" i="146"/>
  <c r="T15" i="146"/>
  <c r="S15" i="146"/>
  <c r="R15" i="146"/>
  <c r="Q15" i="146"/>
  <c r="P15" i="146"/>
  <c r="I15" i="146"/>
  <c r="AJ14" i="146"/>
  <c r="AI14" i="146"/>
  <c r="AH14" i="146"/>
  <c r="AG14" i="146"/>
  <c r="AF14" i="146"/>
  <c r="AE14" i="146"/>
  <c r="AD14" i="146"/>
  <c r="AC14" i="146"/>
  <c r="Y14" i="146"/>
  <c r="X14" i="146"/>
  <c r="W14" i="146"/>
  <c r="V14" i="146"/>
  <c r="U14" i="146"/>
  <c r="T14" i="146"/>
  <c r="S14" i="146"/>
  <c r="R14" i="146"/>
  <c r="Q14" i="146"/>
  <c r="P14" i="146"/>
  <c r="I14" i="146"/>
  <c r="AJ13" i="146"/>
  <c r="AI13" i="146"/>
  <c r="AH13" i="146"/>
  <c r="AG13" i="146"/>
  <c r="AF13" i="146"/>
  <c r="AE13" i="146"/>
  <c r="AD13" i="146"/>
  <c r="AC13" i="146"/>
  <c r="Y13" i="146"/>
  <c r="X13" i="146"/>
  <c r="W13" i="146"/>
  <c r="V13" i="146"/>
  <c r="U13" i="146"/>
  <c r="T13" i="146"/>
  <c r="S13" i="146"/>
  <c r="R13" i="146"/>
  <c r="Q13" i="146"/>
  <c r="P13" i="146"/>
  <c r="I13" i="146"/>
  <c r="AJ12" i="146"/>
  <c r="AI12" i="146"/>
  <c r="AH12" i="146"/>
  <c r="AG12" i="146"/>
  <c r="AF12" i="146"/>
  <c r="AE12" i="146"/>
  <c r="AD12" i="146"/>
  <c r="AC12" i="146"/>
  <c r="Y12" i="146"/>
  <c r="X12" i="146"/>
  <c r="W12" i="146"/>
  <c r="V12" i="146"/>
  <c r="U12" i="146"/>
  <c r="T12" i="146"/>
  <c r="S12" i="146"/>
  <c r="R12" i="146"/>
  <c r="Q12" i="146"/>
  <c r="P12" i="146"/>
  <c r="I12" i="146"/>
  <c r="AJ11" i="146"/>
  <c r="AI11" i="146"/>
  <c r="AH11" i="146"/>
  <c r="AG11" i="146"/>
  <c r="AF11" i="146"/>
  <c r="AE11" i="146"/>
  <c r="AD11" i="146"/>
  <c r="AC11" i="146"/>
  <c r="Y11" i="146"/>
  <c r="X11" i="146"/>
  <c r="W11" i="146"/>
  <c r="V11" i="146"/>
  <c r="U11" i="146"/>
  <c r="T11" i="146"/>
  <c r="S11" i="146"/>
  <c r="R11" i="146"/>
  <c r="Q11" i="146"/>
  <c r="P11" i="146"/>
  <c r="I11" i="146"/>
  <c r="AJ10" i="146"/>
  <c r="AI10" i="146"/>
  <c r="AH10" i="146"/>
  <c r="AG10" i="146"/>
  <c r="AF10" i="146"/>
  <c r="AE10" i="146"/>
  <c r="AD10" i="146"/>
  <c r="AC10" i="146"/>
  <c r="Y10" i="146"/>
  <c r="X10" i="146"/>
  <c r="W10" i="146"/>
  <c r="V10" i="146"/>
  <c r="U10" i="146"/>
  <c r="T10" i="146"/>
  <c r="S10" i="146"/>
  <c r="R10" i="146"/>
  <c r="Q10" i="146"/>
  <c r="P10" i="146"/>
  <c r="I10" i="146"/>
  <c r="AJ9" i="146"/>
  <c r="AI9" i="146"/>
  <c r="AH9" i="146"/>
  <c r="AG9" i="146"/>
  <c r="AF9" i="146"/>
  <c r="AE9" i="146"/>
  <c r="AD9" i="146"/>
  <c r="AC9" i="146"/>
  <c r="Y9" i="146"/>
  <c r="X9" i="146"/>
  <c r="W9" i="146"/>
  <c r="V9" i="146"/>
  <c r="U9" i="146"/>
  <c r="T9" i="146"/>
  <c r="S9" i="146"/>
  <c r="R9" i="146"/>
  <c r="Q9" i="146"/>
  <c r="P9" i="146"/>
  <c r="I9" i="146"/>
  <c r="AJ8" i="146"/>
  <c r="AI8" i="146"/>
  <c r="AH8" i="146"/>
  <c r="AG8" i="146"/>
  <c r="AF8" i="146"/>
  <c r="AE8" i="146"/>
  <c r="AD8" i="146"/>
  <c r="AC8" i="146"/>
  <c r="Y8" i="146"/>
  <c r="X8" i="146"/>
  <c r="W8" i="146"/>
  <c r="V8" i="146"/>
  <c r="U8" i="146"/>
  <c r="T8" i="146"/>
  <c r="S8" i="146"/>
  <c r="R8" i="146"/>
  <c r="Q8" i="146"/>
  <c r="P8" i="146"/>
  <c r="I8" i="146"/>
  <c r="AJ7" i="146"/>
  <c r="AI7" i="146"/>
  <c r="AH7" i="146"/>
  <c r="AG7" i="146"/>
  <c r="AF7" i="146"/>
  <c r="AE7" i="146"/>
  <c r="AD7" i="146"/>
  <c r="AC7" i="146"/>
  <c r="Y7" i="146"/>
  <c r="X7" i="146"/>
  <c r="W7" i="146"/>
  <c r="V7" i="146"/>
  <c r="U7" i="146"/>
  <c r="T7" i="146"/>
  <c r="S7" i="146"/>
  <c r="R7" i="146"/>
  <c r="Q7" i="146"/>
  <c r="P7" i="146"/>
  <c r="I7" i="146"/>
  <c r="E36" i="146"/>
  <c r="E35" i="146"/>
  <c r="E34" i="146"/>
  <c r="E33" i="146"/>
  <c r="E32" i="146"/>
  <c r="E31" i="146"/>
  <c r="E30" i="146"/>
  <c r="E29" i="146"/>
  <c r="E28" i="146"/>
  <c r="E27" i="146"/>
  <c r="E26" i="146"/>
  <c r="E25" i="146"/>
  <c r="E24" i="146"/>
  <c r="E23" i="146"/>
  <c r="E22" i="146"/>
  <c r="E21" i="146"/>
  <c r="E20" i="146"/>
  <c r="E19" i="146"/>
  <c r="E18" i="146"/>
  <c r="E17" i="146"/>
  <c r="E16" i="146"/>
  <c r="E15" i="146"/>
  <c r="E14" i="146"/>
  <c r="E13" i="146"/>
  <c r="E12" i="146"/>
  <c r="E11" i="146"/>
  <c r="E10" i="146"/>
  <c r="E9" i="146"/>
  <c r="E8" i="146"/>
  <c r="E7" i="146"/>
  <c r="AJ6" i="147"/>
  <c r="AI6" i="147"/>
  <c r="AH6" i="147"/>
  <c r="AG6" i="147"/>
  <c r="AF6" i="147"/>
  <c r="AE6" i="147"/>
  <c r="AJ36" i="147"/>
  <c r="AI36" i="147"/>
  <c r="AH36" i="147"/>
  <c r="AG36" i="147"/>
  <c r="AF36" i="147"/>
  <c r="AE36" i="147"/>
  <c r="AD36" i="147"/>
  <c r="AC36" i="147"/>
  <c r="Y36" i="147"/>
  <c r="X36" i="147"/>
  <c r="W36" i="147"/>
  <c r="V36" i="147"/>
  <c r="U36" i="147"/>
  <c r="T36" i="147"/>
  <c r="S36" i="147"/>
  <c r="R36" i="147"/>
  <c r="Q36" i="147"/>
  <c r="P36" i="147"/>
  <c r="I36" i="147"/>
  <c r="AJ35" i="147"/>
  <c r="AI35" i="147"/>
  <c r="AH35" i="147"/>
  <c r="AG35" i="147"/>
  <c r="AF35" i="147"/>
  <c r="AE35" i="147"/>
  <c r="AD35" i="147"/>
  <c r="AC35" i="147"/>
  <c r="Y35" i="147"/>
  <c r="X35" i="147"/>
  <c r="W35" i="147"/>
  <c r="V35" i="147"/>
  <c r="U35" i="147"/>
  <c r="T35" i="147"/>
  <c r="S35" i="147"/>
  <c r="R35" i="147"/>
  <c r="Q35" i="147"/>
  <c r="P35" i="147"/>
  <c r="I35" i="147"/>
  <c r="AJ34" i="147"/>
  <c r="AI34" i="147"/>
  <c r="AH34" i="147"/>
  <c r="AG34" i="147"/>
  <c r="AF34" i="147"/>
  <c r="AE34" i="147"/>
  <c r="AD34" i="147"/>
  <c r="AC34" i="147"/>
  <c r="Y34" i="147"/>
  <c r="X34" i="147"/>
  <c r="W34" i="147"/>
  <c r="V34" i="147"/>
  <c r="U34" i="147"/>
  <c r="T34" i="147"/>
  <c r="S34" i="147"/>
  <c r="R34" i="147"/>
  <c r="Q34" i="147"/>
  <c r="P34" i="147"/>
  <c r="I34" i="147"/>
  <c r="AJ33" i="147"/>
  <c r="AI33" i="147"/>
  <c r="AH33" i="147"/>
  <c r="AG33" i="147"/>
  <c r="AF33" i="147"/>
  <c r="AE33" i="147"/>
  <c r="AD33" i="147"/>
  <c r="AC33" i="147"/>
  <c r="Y33" i="147"/>
  <c r="X33" i="147"/>
  <c r="W33" i="147"/>
  <c r="V33" i="147"/>
  <c r="U33" i="147"/>
  <c r="T33" i="147"/>
  <c r="S33" i="147"/>
  <c r="R33" i="147"/>
  <c r="Q33" i="147"/>
  <c r="P33" i="147"/>
  <c r="I33" i="147"/>
  <c r="AJ32" i="147"/>
  <c r="AI32" i="147"/>
  <c r="AH32" i="147"/>
  <c r="AG32" i="147"/>
  <c r="AF32" i="147"/>
  <c r="AE32" i="147"/>
  <c r="AD32" i="147"/>
  <c r="AC32" i="147"/>
  <c r="Y32" i="147"/>
  <c r="X32" i="147"/>
  <c r="W32" i="147"/>
  <c r="V32" i="147"/>
  <c r="U32" i="147"/>
  <c r="T32" i="147"/>
  <c r="S32" i="147"/>
  <c r="R32" i="147"/>
  <c r="Q32" i="147"/>
  <c r="P32" i="147"/>
  <c r="I32" i="147"/>
  <c r="AJ31" i="147"/>
  <c r="AI31" i="147"/>
  <c r="AH31" i="147"/>
  <c r="AG31" i="147"/>
  <c r="AF31" i="147"/>
  <c r="AE31" i="147"/>
  <c r="AD31" i="147"/>
  <c r="AC31" i="147"/>
  <c r="Y31" i="147"/>
  <c r="X31" i="147"/>
  <c r="W31" i="147"/>
  <c r="V31" i="147"/>
  <c r="U31" i="147"/>
  <c r="T31" i="147"/>
  <c r="S31" i="147"/>
  <c r="R31" i="147"/>
  <c r="Q31" i="147"/>
  <c r="P31" i="147"/>
  <c r="I31" i="147"/>
  <c r="AJ30" i="147"/>
  <c r="AI30" i="147"/>
  <c r="AH30" i="147"/>
  <c r="AG30" i="147"/>
  <c r="AF30" i="147"/>
  <c r="AE30" i="147"/>
  <c r="AD30" i="147"/>
  <c r="AC30" i="147"/>
  <c r="Y30" i="147"/>
  <c r="X30" i="147"/>
  <c r="W30" i="147"/>
  <c r="V30" i="147"/>
  <c r="U30" i="147"/>
  <c r="T30" i="147"/>
  <c r="S30" i="147"/>
  <c r="R30" i="147"/>
  <c r="Q30" i="147"/>
  <c r="P30" i="147"/>
  <c r="I30" i="147"/>
  <c r="AJ29" i="147"/>
  <c r="AI29" i="147"/>
  <c r="AH29" i="147"/>
  <c r="AG29" i="147"/>
  <c r="AF29" i="147"/>
  <c r="AE29" i="147"/>
  <c r="AD29" i="147"/>
  <c r="AC29" i="147"/>
  <c r="Y29" i="147"/>
  <c r="X29" i="147"/>
  <c r="W29" i="147"/>
  <c r="V29" i="147"/>
  <c r="U29" i="147"/>
  <c r="T29" i="147"/>
  <c r="S29" i="147"/>
  <c r="R29" i="147"/>
  <c r="Q29" i="147"/>
  <c r="P29" i="147"/>
  <c r="I29" i="147"/>
  <c r="AJ28" i="147"/>
  <c r="AI28" i="147"/>
  <c r="AH28" i="147"/>
  <c r="AG28" i="147"/>
  <c r="AF28" i="147"/>
  <c r="AE28" i="147"/>
  <c r="AD28" i="147"/>
  <c r="AC28" i="147"/>
  <c r="Y28" i="147"/>
  <c r="X28" i="147"/>
  <c r="W28" i="147"/>
  <c r="V28" i="147"/>
  <c r="U28" i="147"/>
  <c r="T28" i="147"/>
  <c r="S28" i="147"/>
  <c r="R28" i="147"/>
  <c r="Q28" i="147"/>
  <c r="P28" i="147"/>
  <c r="I28" i="147"/>
  <c r="AJ27" i="147"/>
  <c r="AI27" i="147"/>
  <c r="AH27" i="147"/>
  <c r="AG27" i="147"/>
  <c r="AF27" i="147"/>
  <c r="AE27" i="147"/>
  <c r="AD27" i="147"/>
  <c r="AC27" i="147"/>
  <c r="Y27" i="147"/>
  <c r="X27" i="147"/>
  <c r="W27" i="147"/>
  <c r="V27" i="147"/>
  <c r="U27" i="147"/>
  <c r="T27" i="147"/>
  <c r="S27" i="147"/>
  <c r="R27" i="147"/>
  <c r="Q27" i="147"/>
  <c r="P27" i="147"/>
  <c r="I27" i="147"/>
  <c r="AJ26" i="147"/>
  <c r="AI26" i="147"/>
  <c r="AH26" i="147"/>
  <c r="AG26" i="147"/>
  <c r="AF26" i="147"/>
  <c r="AE26" i="147"/>
  <c r="AD26" i="147"/>
  <c r="AC26" i="147"/>
  <c r="Y26" i="147"/>
  <c r="X26" i="147"/>
  <c r="W26" i="147"/>
  <c r="V26" i="147"/>
  <c r="U26" i="147"/>
  <c r="T26" i="147"/>
  <c r="S26" i="147"/>
  <c r="R26" i="147"/>
  <c r="Q26" i="147"/>
  <c r="P26" i="147"/>
  <c r="I26" i="147"/>
  <c r="AJ25" i="147"/>
  <c r="AI25" i="147"/>
  <c r="AH25" i="147"/>
  <c r="AG25" i="147"/>
  <c r="AF25" i="147"/>
  <c r="AE25" i="147"/>
  <c r="AD25" i="147"/>
  <c r="AC25" i="147"/>
  <c r="Y25" i="147"/>
  <c r="X25" i="147"/>
  <c r="W25" i="147"/>
  <c r="V25" i="147"/>
  <c r="U25" i="147"/>
  <c r="T25" i="147"/>
  <c r="R25" i="147"/>
  <c r="Q25" i="147"/>
  <c r="P25" i="147"/>
  <c r="I25" i="147"/>
  <c r="AJ24" i="147"/>
  <c r="AI24" i="147"/>
  <c r="AH24" i="147"/>
  <c r="AG24" i="147"/>
  <c r="AF24" i="147"/>
  <c r="AE24" i="147"/>
  <c r="AD24" i="147"/>
  <c r="AC24" i="147"/>
  <c r="Y24" i="147"/>
  <c r="X24" i="147"/>
  <c r="W24" i="147"/>
  <c r="V24" i="147"/>
  <c r="U24" i="147"/>
  <c r="T24" i="147"/>
  <c r="S24" i="147"/>
  <c r="R24" i="147"/>
  <c r="Q24" i="147"/>
  <c r="P24" i="147"/>
  <c r="I24" i="147"/>
  <c r="AJ23" i="147"/>
  <c r="AI23" i="147"/>
  <c r="AH23" i="147"/>
  <c r="AG23" i="147"/>
  <c r="AF23" i="147"/>
  <c r="AE23" i="147"/>
  <c r="AD23" i="147"/>
  <c r="AC23" i="147"/>
  <c r="Y23" i="147"/>
  <c r="X23" i="147"/>
  <c r="W23" i="147"/>
  <c r="V23" i="147"/>
  <c r="U23" i="147"/>
  <c r="T23" i="147"/>
  <c r="S23" i="147"/>
  <c r="R23" i="147"/>
  <c r="Q23" i="147"/>
  <c r="P23" i="147"/>
  <c r="I23" i="147"/>
  <c r="AJ22" i="147"/>
  <c r="AI22" i="147"/>
  <c r="AH22" i="147"/>
  <c r="AG22" i="147"/>
  <c r="AF22" i="147"/>
  <c r="AE22" i="147"/>
  <c r="AD22" i="147"/>
  <c r="AC22" i="147"/>
  <c r="Y22" i="147"/>
  <c r="X22" i="147"/>
  <c r="W22" i="147"/>
  <c r="V22" i="147"/>
  <c r="U22" i="147"/>
  <c r="T22" i="147"/>
  <c r="S22" i="147"/>
  <c r="R22" i="147"/>
  <c r="Q22" i="147"/>
  <c r="P22" i="147"/>
  <c r="I22" i="147"/>
  <c r="AJ21" i="147"/>
  <c r="AI21" i="147"/>
  <c r="AH21" i="147"/>
  <c r="AG21" i="147"/>
  <c r="AF21" i="147"/>
  <c r="AE21" i="147"/>
  <c r="AD21" i="147"/>
  <c r="AC21" i="147"/>
  <c r="Y21" i="147"/>
  <c r="X21" i="147"/>
  <c r="W21" i="147"/>
  <c r="V21" i="147"/>
  <c r="U21" i="147"/>
  <c r="T21" i="147"/>
  <c r="S21" i="147"/>
  <c r="R21" i="147"/>
  <c r="Q21" i="147"/>
  <c r="P21" i="147"/>
  <c r="I21" i="147"/>
  <c r="AJ20" i="147"/>
  <c r="AI20" i="147"/>
  <c r="AH20" i="147"/>
  <c r="AG20" i="147"/>
  <c r="AF20" i="147"/>
  <c r="AE20" i="147"/>
  <c r="AD20" i="147"/>
  <c r="AC20" i="147"/>
  <c r="Y20" i="147"/>
  <c r="X20" i="147"/>
  <c r="W20" i="147"/>
  <c r="V20" i="147"/>
  <c r="U20" i="147"/>
  <c r="T20" i="147"/>
  <c r="Q20" i="147"/>
  <c r="P20" i="147"/>
  <c r="I20" i="147"/>
  <c r="AJ19" i="147"/>
  <c r="AI19" i="147"/>
  <c r="AH19" i="147"/>
  <c r="AG19" i="147"/>
  <c r="AF19" i="147"/>
  <c r="AE19" i="147"/>
  <c r="AD19" i="147"/>
  <c r="AC19" i="147"/>
  <c r="Y19" i="147"/>
  <c r="X19" i="147"/>
  <c r="W19" i="147"/>
  <c r="V19" i="147"/>
  <c r="U19" i="147"/>
  <c r="T19" i="147"/>
  <c r="S19" i="147"/>
  <c r="R19" i="147"/>
  <c r="Q19" i="147"/>
  <c r="P19" i="147"/>
  <c r="I19" i="147"/>
  <c r="AJ18" i="147"/>
  <c r="AI18" i="147"/>
  <c r="AH18" i="147"/>
  <c r="AG18" i="147"/>
  <c r="AF18" i="147"/>
  <c r="AE18" i="147"/>
  <c r="AD18" i="147"/>
  <c r="AC18" i="147"/>
  <c r="Y18" i="147"/>
  <c r="X18" i="147"/>
  <c r="W18" i="147"/>
  <c r="V18" i="147"/>
  <c r="U18" i="147"/>
  <c r="T18" i="147"/>
  <c r="S18" i="147"/>
  <c r="R18" i="147"/>
  <c r="Q18" i="147"/>
  <c r="P18" i="147"/>
  <c r="I18" i="147"/>
  <c r="AJ17" i="147"/>
  <c r="AI17" i="147"/>
  <c r="AH17" i="147"/>
  <c r="AG17" i="147"/>
  <c r="AF17" i="147"/>
  <c r="AE17" i="147"/>
  <c r="AD17" i="147"/>
  <c r="AC17" i="147"/>
  <c r="Y17" i="147"/>
  <c r="X17" i="147"/>
  <c r="W17" i="147"/>
  <c r="V17" i="147"/>
  <c r="U17" i="147"/>
  <c r="T17" i="147"/>
  <c r="S17" i="147"/>
  <c r="R17" i="147"/>
  <c r="Q17" i="147"/>
  <c r="P17" i="147"/>
  <c r="I17" i="147"/>
  <c r="AJ16" i="147"/>
  <c r="AI16" i="147"/>
  <c r="AH16" i="147"/>
  <c r="AG16" i="147"/>
  <c r="AF16" i="147"/>
  <c r="AE16" i="147"/>
  <c r="AD16" i="147"/>
  <c r="AC16" i="147"/>
  <c r="Y16" i="147"/>
  <c r="X16" i="147"/>
  <c r="W16" i="147"/>
  <c r="V16" i="147"/>
  <c r="U16" i="147"/>
  <c r="T16" i="147"/>
  <c r="S16" i="147"/>
  <c r="R16" i="147"/>
  <c r="Q16" i="147"/>
  <c r="P16" i="147"/>
  <c r="I16" i="147"/>
  <c r="AJ15" i="147"/>
  <c r="AI15" i="147"/>
  <c r="AH15" i="147"/>
  <c r="AG15" i="147"/>
  <c r="AF15" i="147"/>
  <c r="AE15" i="147"/>
  <c r="AD15" i="147"/>
  <c r="AC15" i="147"/>
  <c r="Y15" i="147"/>
  <c r="X15" i="147"/>
  <c r="W15" i="147"/>
  <c r="V15" i="147"/>
  <c r="U15" i="147"/>
  <c r="T15" i="147"/>
  <c r="S15" i="147"/>
  <c r="R15" i="147"/>
  <c r="Q15" i="147"/>
  <c r="P15" i="147"/>
  <c r="I15" i="147"/>
  <c r="AJ14" i="147"/>
  <c r="AI14" i="147"/>
  <c r="AH14" i="147"/>
  <c r="AG14" i="147"/>
  <c r="AF14" i="147"/>
  <c r="AE14" i="147"/>
  <c r="AD14" i="147"/>
  <c r="AC14" i="147"/>
  <c r="Y14" i="147"/>
  <c r="X14" i="147"/>
  <c r="W14" i="147"/>
  <c r="V14" i="147"/>
  <c r="U14" i="147"/>
  <c r="T14" i="147"/>
  <c r="S14" i="147"/>
  <c r="R14" i="147"/>
  <c r="Q14" i="147"/>
  <c r="P14" i="147"/>
  <c r="I14" i="147"/>
  <c r="AJ13" i="147"/>
  <c r="AI13" i="147"/>
  <c r="AH13" i="147"/>
  <c r="AG13" i="147"/>
  <c r="AF13" i="147"/>
  <c r="AE13" i="147"/>
  <c r="AD13" i="147"/>
  <c r="AC13" i="147"/>
  <c r="Y13" i="147"/>
  <c r="X13" i="147"/>
  <c r="W13" i="147"/>
  <c r="V13" i="147"/>
  <c r="U13" i="147"/>
  <c r="T13" i="147"/>
  <c r="S13" i="147"/>
  <c r="R13" i="147"/>
  <c r="Q13" i="147"/>
  <c r="P13" i="147"/>
  <c r="I13" i="147"/>
  <c r="AJ12" i="147"/>
  <c r="AI12" i="147"/>
  <c r="AH12" i="147"/>
  <c r="AG12" i="147"/>
  <c r="AF12" i="147"/>
  <c r="AE12" i="147"/>
  <c r="AD12" i="147"/>
  <c r="AC12" i="147"/>
  <c r="Y12" i="147"/>
  <c r="X12" i="147"/>
  <c r="W12" i="147"/>
  <c r="V12" i="147"/>
  <c r="U12" i="147"/>
  <c r="T12" i="147"/>
  <c r="R12" i="147"/>
  <c r="Q12" i="147"/>
  <c r="P12" i="147"/>
  <c r="I12" i="147"/>
  <c r="AJ11" i="147"/>
  <c r="AI11" i="147"/>
  <c r="AH11" i="147"/>
  <c r="AG11" i="147"/>
  <c r="AF11" i="147"/>
  <c r="AE11" i="147"/>
  <c r="AD11" i="147"/>
  <c r="AC11" i="147"/>
  <c r="Y11" i="147"/>
  <c r="X11" i="147"/>
  <c r="W11" i="147"/>
  <c r="V11" i="147"/>
  <c r="U11" i="147"/>
  <c r="T11" i="147"/>
  <c r="S11" i="147"/>
  <c r="R11" i="147"/>
  <c r="Q11" i="147"/>
  <c r="P11" i="147"/>
  <c r="I11" i="147"/>
  <c r="AJ10" i="147"/>
  <c r="AI10" i="147"/>
  <c r="AH10" i="147"/>
  <c r="AG10" i="147"/>
  <c r="AF10" i="147"/>
  <c r="AE10" i="147"/>
  <c r="AD10" i="147"/>
  <c r="AC10" i="147"/>
  <c r="Y10" i="147"/>
  <c r="X10" i="147"/>
  <c r="W10" i="147"/>
  <c r="V10" i="147"/>
  <c r="U10" i="147"/>
  <c r="T10" i="147"/>
  <c r="S10" i="147"/>
  <c r="R10" i="147"/>
  <c r="Q10" i="147"/>
  <c r="P10" i="147"/>
  <c r="I10" i="147"/>
  <c r="AJ9" i="147"/>
  <c r="AI9" i="147"/>
  <c r="AH9" i="147"/>
  <c r="AG9" i="147"/>
  <c r="AF9" i="147"/>
  <c r="AE9" i="147"/>
  <c r="AD9" i="147"/>
  <c r="AC9" i="147"/>
  <c r="Y9" i="147"/>
  <c r="X9" i="147"/>
  <c r="W9" i="147"/>
  <c r="V9" i="147"/>
  <c r="U9" i="147"/>
  <c r="T9" i="147"/>
  <c r="S9" i="147"/>
  <c r="R9" i="147"/>
  <c r="Q9" i="147"/>
  <c r="P9" i="147"/>
  <c r="I9" i="147"/>
  <c r="AJ8" i="147"/>
  <c r="AI8" i="147"/>
  <c r="AH8" i="147"/>
  <c r="AG8" i="147"/>
  <c r="AF8" i="147"/>
  <c r="AE8" i="147"/>
  <c r="AD8" i="147"/>
  <c r="AC8" i="147"/>
  <c r="Y8" i="147"/>
  <c r="X8" i="147"/>
  <c r="W8" i="147"/>
  <c r="V8" i="147"/>
  <c r="U8" i="147"/>
  <c r="T8" i="147"/>
  <c r="S8" i="147"/>
  <c r="R8" i="147"/>
  <c r="Q8" i="147"/>
  <c r="P8" i="147"/>
  <c r="I8" i="147"/>
  <c r="AJ7" i="147"/>
  <c r="AI7" i="147"/>
  <c r="AH7" i="147"/>
  <c r="AG7" i="147"/>
  <c r="AF7" i="147"/>
  <c r="AE7" i="147"/>
  <c r="AD7" i="147"/>
  <c r="AC7" i="147"/>
  <c r="Y7" i="147"/>
  <c r="X7" i="147"/>
  <c r="W7" i="147"/>
  <c r="V7" i="147"/>
  <c r="U7" i="147"/>
  <c r="T7" i="147"/>
  <c r="S7" i="147"/>
  <c r="R7" i="147"/>
  <c r="Q7" i="147"/>
  <c r="P7" i="147"/>
  <c r="I7" i="147"/>
  <c r="E36" i="147"/>
  <c r="E35" i="147"/>
  <c r="E34" i="147"/>
  <c r="E33" i="147"/>
  <c r="E32" i="147"/>
  <c r="E31" i="147"/>
  <c r="E30" i="147"/>
  <c r="E29" i="147"/>
  <c r="E28" i="147"/>
  <c r="E27" i="147"/>
  <c r="E26" i="147"/>
  <c r="E25" i="147"/>
  <c r="E24" i="147"/>
  <c r="E23" i="147"/>
  <c r="E22" i="147"/>
  <c r="E21" i="147"/>
  <c r="E20" i="147"/>
  <c r="E19" i="147"/>
  <c r="E18" i="147"/>
  <c r="E17" i="147"/>
  <c r="E16" i="147"/>
  <c r="E15" i="147"/>
  <c r="E14" i="147"/>
  <c r="E13" i="147"/>
  <c r="E12" i="147"/>
  <c r="E11" i="147"/>
  <c r="E10" i="147"/>
  <c r="E9" i="147"/>
  <c r="E8" i="147"/>
  <c r="E7" i="147"/>
  <c r="AJ6" i="145"/>
  <c r="AI6" i="145"/>
  <c r="AH6" i="145"/>
  <c r="AG6" i="145"/>
  <c r="AF6" i="145"/>
  <c r="AE6" i="145"/>
  <c r="AJ36" i="145"/>
  <c r="AI36" i="145"/>
  <c r="AH36" i="145"/>
  <c r="AG36" i="145"/>
  <c r="AF36" i="145"/>
  <c r="AE36" i="145"/>
  <c r="AD36" i="145"/>
  <c r="AC36" i="145"/>
  <c r="Y36" i="145"/>
  <c r="X36" i="145"/>
  <c r="W36" i="145"/>
  <c r="V36" i="145"/>
  <c r="U36" i="145"/>
  <c r="T36" i="145"/>
  <c r="S36" i="145"/>
  <c r="R36" i="145"/>
  <c r="Q36" i="145"/>
  <c r="P36" i="145"/>
  <c r="I36" i="145"/>
  <c r="AJ35" i="145"/>
  <c r="AI35" i="145"/>
  <c r="AH35" i="145"/>
  <c r="AG35" i="145"/>
  <c r="AF35" i="145"/>
  <c r="AE35" i="145"/>
  <c r="AD35" i="145"/>
  <c r="AC35" i="145"/>
  <c r="Y35" i="145"/>
  <c r="X35" i="145"/>
  <c r="W35" i="145"/>
  <c r="V35" i="145"/>
  <c r="U35" i="145"/>
  <c r="T35" i="145"/>
  <c r="S35" i="145"/>
  <c r="R35" i="145"/>
  <c r="Q35" i="145"/>
  <c r="P35" i="145"/>
  <c r="I35" i="145"/>
  <c r="AJ34" i="145"/>
  <c r="AI34" i="145"/>
  <c r="AH34" i="145"/>
  <c r="AG34" i="145"/>
  <c r="AF34" i="145"/>
  <c r="AE34" i="145"/>
  <c r="AD34" i="145"/>
  <c r="AC34" i="145"/>
  <c r="Y34" i="145"/>
  <c r="X34" i="145"/>
  <c r="W34" i="145"/>
  <c r="V34" i="145"/>
  <c r="U34" i="145"/>
  <c r="T34" i="145"/>
  <c r="S34" i="145"/>
  <c r="R34" i="145"/>
  <c r="Q34" i="145"/>
  <c r="P34" i="145"/>
  <c r="I34" i="145"/>
  <c r="AJ33" i="145"/>
  <c r="AI33" i="145"/>
  <c r="AH33" i="145"/>
  <c r="AG33" i="145"/>
  <c r="AF33" i="145"/>
  <c r="AE33" i="145"/>
  <c r="AD33" i="145"/>
  <c r="AC33" i="145"/>
  <c r="Y33" i="145"/>
  <c r="X33" i="145"/>
  <c r="W33" i="145"/>
  <c r="V33" i="145"/>
  <c r="U33" i="145"/>
  <c r="T33" i="145"/>
  <c r="S33" i="145"/>
  <c r="R33" i="145"/>
  <c r="Q33" i="145"/>
  <c r="P33" i="145"/>
  <c r="I33" i="145"/>
  <c r="AJ32" i="145"/>
  <c r="AI32" i="145"/>
  <c r="AH32" i="145"/>
  <c r="AG32" i="145"/>
  <c r="AF32" i="145"/>
  <c r="AE32" i="145"/>
  <c r="AD32" i="145"/>
  <c r="AC32" i="145"/>
  <c r="Y32" i="145"/>
  <c r="X32" i="145"/>
  <c r="W32" i="145"/>
  <c r="V32" i="145"/>
  <c r="U32" i="145"/>
  <c r="T32" i="145"/>
  <c r="S32" i="145"/>
  <c r="R32" i="145"/>
  <c r="Q32" i="145"/>
  <c r="P32" i="145"/>
  <c r="I32" i="145"/>
  <c r="AJ31" i="145"/>
  <c r="AI31" i="145"/>
  <c r="AH31" i="145"/>
  <c r="AG31" i="145"/>
  <c r="AF31" i="145"/>
  <c r="AE31" i="145"/>
  <c r="AD31" i="145"/>
  <c r="AC31" i="145"/>
  <c r="Y31" i="145"/>
  <c r="X31" i="145"/>
  <c r="W31" i="145"/>
  <c r="V31" i="145"/>
  <c r="U31" i="145"/>
  <c r="T31" i="145"/>
  <c r="S31" i="145"/>
  <c r="R31" i="145"/>
  <c r="Q31" i="145"/>
  <c r="P31" i="145"/>
  <c r="I31" i="145"/>
  <c r="AJ30" i="145"/>
  <c r="AI30" i="145"/>
  <c r="AH30" i="145"/>
  <c r="AG30" i="145"/>
  <c r="AF30" i="145"/>
  <c r="AE30" i="145"/>
  <c r="AD30" i="145"/>
  <c r="AC30" i="145"/>
  <c r="Y30" i="145"/>
  <c r="X30" i="145"/>
  <c r="W30" i="145"/>
  <c r="V30" i="145"/>
  <c r="U30" i="145"/>
  <c r="T30" i="145"/>
  <c r="S30" i="145"/>
  <c r="R30" i="145"/>
  <c r="Q30" i="145"/>
  <c r="P30" i="145"/>
  <c r="I30" i="145"/>
  <c r="AJ29" i="145"/>
  <c r="AI29" i="145"/>
  <c r="AH29" i="145"/>
  <c r="AG29" i="145"/>
  <c r="AF29" i="145"/>
  <c r="AE29" i="145"/>
  <c r="AD29" i="145"/>
  <c r="AC29" i="145"/>
  <c r="Y29" i="145"/>
  <c r="X29" i="145"/>
  <c r="W29" i="145"/>
  <c r="V29" i="145"/>
  <c r="U29" i="145"/>
  <c r="T29" i="145"/>
  <c r="S29" i="145"/>
  <c r="R29" i="145"/>
  <c r="Q29" i="145"/>
  <c r="P29" i="145"/>
  <c r="I29" i="145"/>
  <c r="AJ28" i="145"/>
  <c r="AI28" i="145"/>
  <c r="AH28" i="145"/>
  <c r="AG28" i="145"/>
  <c r="AF28" i="145"/>
  <c r="AE28" i="145"/>
  <c r="AD28" i="145"/>
  <c r="AC28" i="145"/>
  <c r="Y28" i="145"/>
  <c r="X28" i="145"/>
  <c r="W28" i="145"/>
  <c r="V28" i="145"/>
  <c r="U28" i="145"/>
  <c r="T28" i="145"/>
  <c r="S28" i="145"/>
  <c r="R28" i="145"/>
  <c r="Q28" i="145"/>
  <c r="P28" i="145"/>
  <c r="I28" i="145"/>
  <c r="AJ27" i="145"/>
  <c r="AI27" i="145"/>
  <c r="AH27" i="145"/>
  <c r="AG27" i="145"/>
  <c r="AF27" i="145"/>
  <c r="AE27" i="145"/>
  <c r="AD27" i="145"/>
  <c r="AC27" i="145"/>
  <c r="Y27" i="145"/>
  <c r="X27" i="145"/>
  <c r="W27" i="145"/>
  <c r="V27" i="145"/>
  <c r="U27" i="145"/>
  <c r="T27" i="145"/>
  <c r="S27" i="145"/>
  <c r="R27" i="145"/>
  <c r="Q27" i="145"/>
  <c r="P27" i="145"/>
  <c r="I27" i="145"/>
  <c r="AJ26" i="145"/>
  <c r="AI26" i="145"/>
  <c r="AH26" i="145"/>
  <c r="AG26" i="145"/>
  <c r="AF26" i="145"/>
  <c r="AE26" i="145"/>
  <c r="AD26" i="145"/>
  <c r="AC26" i="145"/>
  <c r="Y26" i="145"/>
  <c r="X26" i="145"/>
  <c r="W26" i="145"/>
  <c r="V26" i="145"/>
  <c r="U26" i="145"/>
  <c r="T26" i="145"/>
  <c r="S26" i="145"/>
  <c r="R26" i="145"/>
  <c r="Q26" i="145"/>
  <c r="P26" i="145"/>
  <c r="I26" i="145"/>
  <c r="AJ25" i="145"/>
  <c r="AI25" i="145"/>
  <c r="AH25" i="145"/>
  <c r="AG25" i="145"/>
  <c r="AF25" i="145"/>
  <c r="AE25" i="145"/>
  <c r="AD25" i="145"/>
  <c r="AC25" i="145"/>
  <c r="Y25" i="145"/>
  <c r="X25" i="145"/>
  <c r="W25" i="145"/>
  <c r="V25" i="145"/>
  <c r="U25" i="145"/>
  <c r="T25" i="145"/>
  <c r="S25" i="145"/>
  <c r="R25" i="145"/>
  <c r="Q25" i="145"/>
  <c r="P25" i="145"/>
  <c r="I25" i="145"/>
  <c r="AJ24" i="145"/>
  <c r="AI24" i="145"/>
  <c r="AH24" i="145"/>
  <c r="AG24" i="145"/>
  <c r="AF24" i="145"/>
  <c r="AE24" i="145"/>
  <c r="AD24" i="145"/>
  <c r="AC24" i="145"/>
  <c r="Y24" i="145"/>
  <c r="X24" i="145"/>
  <c r="W24" i="145"/>
  <c r="V24" i="145"/>
  <c r="U24" i="145"/>
  <c r="T24" i="145"/>
  <c r="S24" i="145"/>
  <c r="R24" i="145"/>
  <c r="Q24" i="145"/>
  <c r="P24" i="145"/>
  <c r="I24" i="145"/>
  <c r="AJ23" i="145"/>
  <c r="AI23" i="145"/>
  <c r="AH23" i="145"/>
  <c r="AG23" i="145"/>
  <c r="AF23" i="145"/>
  <c r="AE23" i="145"/>
  <c r="AD23" i="145"/>
  <c r="AC23" i="145"/>
  <c r="Y23" i="145"/>
  <c r="X23" i="145"/>
  <c r="W23" i="145"/>
  <c r="V23" i="145"/>
  <c r="U23" i="145"/>
  <c r="T23" i="145"/>
  <c r="S23" i="145"/>
  <c r="R23" i="145"/>
  <c r="Q23" i="145"/>
  <c r="P23" i="145"/>
  <c r="I23" i="145"/>
  <c r="AJ22" i="145"/>
  <c r="AI22" i="145"/>
  <c r="AH22" i="145"/>
  <c r="AG22" i="145"/>
  <c r="AF22" i="145"/>
  <c r="AE22" i="145"/>
  <c r="AD22" i="145"/>
  <c r="AC22" i="145"/>
  <c r="Y22" i="145"/>
  <c r="X22" i="145"/>
  <c r="W22" i="145"/>
  <c r="V22" i="145"/>
  <c r="U22" i="145"/>
  <c r="T22" i="145"/>
  <c r="S22" i="145"/>
  <c r="R22" i="145"/>
  <c r="Q22" i="145"/>
  <c r="P22" i="145"/>
  <c r="I22" i="145"/>
  <c r="AJ21" i="145"/>
  <c r="AI21" i="145"/>
  <c r="AH21" i="145"/>
  <c r="AG21" i="145"/>
  <c r="AF21" i="145"/>
  <c r="AE21" i="145"/>
  <c r="AD21" i="145"/>
  <c r="AC21" i="145"/>
  <c r="Y21" i="145"/>
  <c r="X21" i="145"/>
  <c r="W21" i="145"/>
  <c r="V21" i="145"/>
  <c r="U21" i="145"/>
  <c r="T21" i="145"/>
  <c r="S21" i="145"/>
  <c r="R21" i="145"/>
  <c r="Q21" i="145"/>
  <c r="P21" i="145"/>
  <c r="I21" i="145"/>
  <c r="AJ20" i="145"/>
  <c r="AI20" i="145"/>
  <c r="AH20" i="145"/>
  <c r="AG20" i="145"/>
  <c r="AF20" i="145"/>
  <c r="AE20" i="145"/>
  <c r="AD20" i="145"/>
  <c r="AC20" i="145"/>
  <c r="Y20" i="145"/>
  <c r="X20" i="145"/>
  <c r="W20" i="145"/>
  <c r="V20" i="145"/>
  <c r="U20" i="145"/>
  <c r="T20" i="145"/>
  <c r="S20" i="145"/>
  <c r="R20" i="145"/>
  <c r="Q20" i="145"/>
  <c r="P20" i="145"/>
  <c r="I20" i="145"/>
  <c r="AJ19" i="145"/>
  <c r="AI19" i="145"/>
  <c r="AH19" i="145"/>
  <c r="AG19" i="145"/>
  <c r="AF19" i="145"/>
  <c r="AE19" i="145"/>
  <c r="AD19" i="145"/>
  <c r="AC19" i="145"/>
  <c r="Y19" i="145"/>
  <c r="X19" i="145"/>
  <c r="W19" i="145"/>
  <c r="V19" i="145"/>
  <c r="U19" i="145"/>
  <c r="T19" i="145"/>
  <c r="S19" i="145"/>
  <c r="R19" i="145"/>
  <c r="Q19" i="145"/>
  <c r="P19" i="145"/>
  <c r="I19" i="145"/>
  <c r="AJ18" i="145"/>
  <c r="AI18" i="145"/>
  <c r="AH18" i="145"/>
  <c r="AG18" i="145"/>
  <c r="AF18" i="145"/>
  <c r="AE18" i="145"/>
  <c r="AD18" i="145"/>
  <c r="AC18" i="145"/>
  <c r="Y18" i="145"/>
  <c r="X18" i="145"/>
  <c r="W18" i="145"/>
  <c r="V18" i="145"/>
  <c r="U18" i="145"/>
  <c r="T18" i="145"/>
  <c r="S18" i="145"/>
  <c r="R18" i="145"/>
  <c r="Q18" i="145"/>
  <c r="P18" i="145"/>
  <c r="I18" i="145"/>
  <c r="AJ17" i="145"/>
  <c r="AI17" i="145"/>
  <c r="AH17" i="145"/>
  <c r="AG17" i="145"/>
  <c r="AF17" i="145"/>
  <c r="AE17" i="145"/>
  <c r="AD17" i="145"/>
  <c r="AC17" i="145"/>
  <c r="Y17" i="145"/>
  <c r="X17" i="145"/>
  <c r="W17" i="145"/>
  <c r="V17" i="145"/>
  <c r="U17" i="145"/>
  <c r="T17" i="145"/>
  <c r="S17" i="145"/>
  <c r="R17" i="145"/>
  <c r="Q17" i="145"/>
  <c r="P17" i="145"/>
  <c r="I17" i="145"/>
  <c r="AJ16" i="145"/>
  <c r="AI16" i="145"/>
  <c r="AH16" i="145"/>
  <c r="AG16" i="145"/>
  <c r="AF16" i="145"/>
  <c r="AE16" i="145"/>
  <c r="AD16" i="145"/>
  <c r="AC16" i="145"/>
  <c r="Y16" i="145"/>
  <c r="X16" i="145"/>
  <c r="W16" i="145"/>
  <c r="V16" i="145"/>
  <c r="U16" i="145"/>
  <c r="T16" i="145"/>
  <c r="S16" i="145"/>
  <c r="R16" i="145"/>
  <c r="Q16" i="145"/>
  <c r="P16" i="145"/>
  <c r="I16" i="145"/>
  <c r="AJ15" i="145"/>
  <c r="AI15" i="145"/>
  <c r="AH15" i="145"/>
  <c r="AG15" i="145"/>
  <c r="AF15" i="145"/>
  <c r="AE15" i="145"/>
  <c r="AD15" i="145"/>
  <c r="AC15" i="145"/>
  <c r="Y15" i="145"/>
  <c r="X15" i="145"/>
  <c r="W15" i="145"/>
  <c r="V15" i="145"/>
  <c r="U15" i="145"/>
  <c r="T15" i="145"/>
  <c r="S15" i="145"/>
  <c r="R15" i="145"/>
  <c r="Q15" i="145"/>
  <c r="P15" i="145"/>
  <c r="I15" i="145"/>
  <c r="AJ14" i="145"/>
  <c r="AI14" i="145"/>
  <c r="AH14" i="145"/>
  <c r="AG14" i="145"/>
  <c r="AF14" i="145"/>
  <c r="AE14" i="145"/>
  <c r="AD14" i="145"/>
  <c r="AC14" i="145"/>
  <c r="Y14" i="145"/>
  <c r="X14" i="145"/>
  <c r="W14" i="145"/>
  <c r="V14" i="145"/>
  <c r="U14" i="145"/>
  <c r="T14" i="145"/>
  <c r="S14" i="145"/>
  <c r="R14" i="145"/>
  <c r="Q14" i="145"/>
  <c r="P14" i="145"/>
  <c r="I14" i="145"/>
  <c r="AJ13" i="145"/>
  <c r="AI13" i="145"/>
  <c r="AH13" i="145"/>
  <c r="AG13" i="145"/>
  <c r="AF13" i="145"/>
  <c r="AE13" i="145"/>
  <c r="AD13" i="145"/>
  <c r="AC13" i="145"/>
  <c r="Y13" i="145"/>
  <c r="X13" i="145"/>
  <c r="W13" i="145"/>
  <c r="V13" i="145"/>
  <c r="U13" i="145"/>
  <c r="T13" i="145"/>
  <c r="S13" i="145"/>
  <c r="R13" i="145"/>
  <c r="Q13" i="145"/>
  <c r="P13" i="145"/>
  <c r="I13" i="145"/>
  <c r="AJ12" i="145"/>
  <c r="AI12" i="145"/>
  <c r="AH12" i="145"/>
  <c r="AG12" i="145"/>
  <c r="AF12" i="145"/>
  <c r="AE12" i="145"/>
  <c r="AD12" i="145"/>
  <c r="AC12" i="145"/>
  <c r="Y12" i="145"/>
  <c r="X12" i="145"/>
  <c r="W12" i="145"/>
  <c r="V12" i="145"/>
  <c r="U12" i="145"/>
  <c r="T12" i="145"/>
  <c r="S12" i="145"/>
  <c r="R12" i="145"/>
  <c r="Q12" i="145"/>
  <c r="P12" i="145"/>
  <c r="I12" i="145"/>
  <c r="AJ11" i="145"/>
  <c r="AI11" i="145"/>
  <c r="AH11" i="145"/>
  <c r="AG11" i="145"/>
  <c r="AF11" i="145"/>
  <c r="AE11" i="145"/>
  <c r="AD11" i="145"/>
  <c r="AC11" i="145"/>
  <c r="Y11" i="145"/>
  <c r="X11" i="145"/>
  <c r="W11" i="145"/>
  <c r="V11" i="145"/>
  <c r="U11" i="145"/>
  <c r="T11" i="145"/>
  <c r="S11" i="145"/>
  <c r="R11" i="145"/>
  <c r="Q11" i="145"/>
  <c r="P11" i="145"/>
  <c r="I11" i="145"/>
  <c r="AJ10" i="145"/>
  <c r="AI10" i="145"/>
  <c r="AH10" i="145"/>
  <c r="AG10" i="145"/>
  <c r="AF10" i="145"/>
  <c r="AE10" i="145"/>
  <c r="AD10" i="145"/>
  <c r="AC10" i="145"/>
  <c r="Y10" i="145"/>
  <c r="X10" i="145"/>
  <c r="W10" i="145"/>
  <c r="V10" i="145"/>
  <c r="U10" i="145"/>
  <c r="T10" i="145"/>
  <c r="S10" i="145"/>
  <c r="R10" i="145"/>
  <c r="Q10" i="145"/>
  <c r="P10" i="145"/>
  <c r="I10" i="145"/>
  <c r="AJ9" i="145"/>
  <c r="AI9" i="145"/>
  <c r="AH9" i="145"/>
  <c r="AG9" i="145"/>
  <c r="AF9" i="145"/>
  <c r="AE9" i="145"/>
  <c r="AD9" i="145"/>
  <c r="AC9" i="145"/>
  <c r="Y9" i="145"/>
  <c r="X9" i="145"/>
  <c r="W9" i="145"/>
  <c r="V9" i="145"/>
  <c r="U9" i="145"/>
  <c r="T9" i="145"/>
  <c r="S9" i="145"/>
  <c r="R9" i="145"/>
  <c r="Q9" i="145"/>
  <c r="P9" i="145"/>
  <c r="I9" i="145"/>
  <c r="AJ8" i="145"/>
  <c r="AI8" i="145"/>
  <c r="AH8" i="145"/>
  <c r="AG8" i="145"/>
  <c r="AF8" i="145"/>
  <c r="AE8" i="145"/>
  <c r="AD8" i="145"/>
  <c r="AC8" i="145"/>
  <c r="Y8" i="145"/>
  <c r="X8" i="145"/>
  <c r="W8" i="145"/>
  <c r="V8" i="145"/>
  <c r="U8" i="145"/>
  <c r="T8" i="145"/>
  <c r="S8" i="145"/>
  <c r="R8" i="145"/>
  <c r="Q8" i="145"/>
  <c r="P8" i="145"/>
  <c r="I8" i="145"/>
  <c r="AJ7" i="145"/>
  <c r="AI7" i="145"/>
  <c r="AH7" i="145"/>
  <c r="AG7" i="145"/>
  <c r="AF7" i="145"/>
  <c r="AE7" i="145"/>
  <c r="AD7" i="145"/>
  <c r="AC7" i="145"/>
  <c r="Y7" i="145"/>
  <c r="X7" i="145"/>
  <c r="W7" i="145"/>
  <c r="V7" i="145"/>
  <c r="U7" i="145"/>
  <c r="T7" i="145"/>
  <c r="S7" i="145"/>
  <c r="R7" i="145"/>
  <c r="Q7" i="145"/>
  <c r="P7" i="145"/>
  <c r="I7" i="145"/>
  <c r="E36" i="145"/>
  <c r="E35" i="145"/>
  <c r="E34" i="145"/>
  <c r="E33" i="145"/>
  <c r="E32" i="145"/>
  <c r="E31" i="145"/>
  <c r="E30" i="145"/>
  <c r="E29" i="145"/>
  <c r="E28" i="145"/>
  <c r="E27" i="145"/>
  <c r="E26" i="145"/>
  <c r="E25" i="145"/>
  <c r="E24" i="145"/>
  <c r="E23" i="145"/>
  <c r="E22" i="145"/>
  <c r="E21" i="145"/>
  <c r="E20" i="145"/>
  <c r="E19" i="145"/>
  <c r="E18" i="145"/>
  <c r="E17" i="145"/>
  <c r="E16" i="145"/>
  <c r="E15" i="145"/>
  <c r="E14" i="145"/>
  <c r="E13" i="145"/>
  <c r="E12" i="145"/>
  <c r="E11" i="145"/>
  <c r="E10" i="145"/>
  <c r="E9" i="145"/>
  <c r="E8" i="145"/>
  <c r="E7" i="145"/>
  <c r="AJ6" i="144"/>
  <c r="AI6" i="144"/>
  <c r="AH6" i="144"/>
  <c r="AG6" i="144"/>
  <c r="AF6" i="144"/>
  <c r="AE6" i="144"/>
  <c r="AJ36" i="144"/>
  <c r="AI36" i="144"/>
  <c r="AH36" i="144"/>
  <c r="AG36" i="144"/>
  <c r="AF36" i="144"/>
  <c r="AE36" i="144"/>
  <c r="AD36" i="144"/>
  <c r="AC36" i="144"/>
  <c r="Y36" i="144"/>
  <c r="X36" i="144"/>
  <c r="W36" i="144"/>
  <c r="V36" i="144"/>
  <c r="U36" i="144"/>
  <c r="T36" i="144"/>
  <c r="S36" i="144"/>
  <c r="R36" i="144"/>
  <c r="Q36" i="144"/>
  <c r="P36" i="144"/>
  <c r="I36" i="144"/>
  <c r="AJ35" i="144"/>
  <c r="AI35" i="144"/>
  <c r="AH35" i="144"/>
  <c r="AG35" i="144"/>
  <c r="AF35" i="144"/>
  <c r="AE35" i="144"/>
  <c r="AD35" i="144"/>
  <c r="AC35" i="144"/>
  <c r="Y35" i="144"/>
  <c r="X35" i="144"/>
  <c r="W35" i="144"/>
  <c r="V35" i="144"/>
  <c r="U35" i="144"/>
  <c r="T35" i="144"/>
  <c r="S35" i="144"/>
  <c r="R35" i="144"/>
  <c r="Q35" i="144"/>
  <c r="P35" i="144"/>
  <c r="I35" i="144"/>
  <c r="AJ34" i="144"/>
  <c r="AI34" i="144"/>
  <c r="AH34" i="144"/>
  <c r="AG34" i="144"/>
  <c r="AF34" i="144"/>
  <c r="AE34" i="144"/>
  <c r="AD34" i="144"/>
  <c r="AC34" i="144"/>
  <c r="Y34" i="144"/>
  <c r="X34" i="144"/>
  <c r="W34" i="144"/>
  <c r="V34" i="144"/>
  <c r="U34" i="144"/>
  <c r="T34" i="144"/>
  <c r="S34" i="144"/>
  <c r="R34" i="144"/>
  <c r="Q34" i="144"/>
  <c r="P34" i="144"/>
  <c r="I34" i="144"/>
  <c r="AJ33" i="144"/>
  <c r="AI33" i="144"/>
  <c r="AH33" i="144"/>
  <c r="AG33" i="144"/>
  <c r="AF33" i="144"/>
  <c r="AE33" i="144"/>
  <c r="AD33" i="144"/>
  <c r="AC33" i="144"/>
  <c r="Y33" i="144"/>
  <c r="X33" i="144"/>
  <c r="W33" i="144"/>
  <c r="V33" i="144"/>
  <c r="U33" i="144"/>
  <c r="T33" i="144"/>
  <c r="S33" i="144"/>
  <c r="R33" i="144"/>
  <c r="Q33" i="144"/>
  <c r="P33" i="144"/>
  <c r="I33" i="144"/>
  <c r="AJ32" i="144"/>
  <c r="AI32" i="144"/>
  <c r="AH32" i="144"/>
  <c r="AG32" i="144"/>
  <c r="AF32" i="144"/>
  <c r="AE32" i="144"/>
  <c r="AD32" i="144"/>
  <c r="AC32" i="144"/>
  <c r="Y32" i="144"/>
  <c r="X32" i="144"/>
  <c r="W32" i="144"/>
  <c r="V32" i="144"/>
  <c r="U32" i="144"/>
  <c r="T32" i="144"/>
  <c r="S32" i="144"/>
  <c r="R32" i="144"/>
  <c r="Q32" i="144"/>
  <c r="P32" i="144"/>
  <c r="I32" i="144"/>
  <c r="AJ31" i="144"/>
  <c r="AI31" i="144"/>
  <c r="AH31" i="144"/>
  <c r="AG31" i="144"/>
  <c r="AF31" i="144"/>
  <c r="AE31" i="144"/>
  <c r="AD31" i="144"/>
  <c r="AC31" i="144"/>
  <c r="Y31" i="144"/>
  <c r="X31" i="144"/>
  <c r="W31" i="144"/>
  <c r="V31" i="144"/>
  <c r="U31" i="144"/>
  <c r="T31" i="144"/>
  <c r="S31" i="144"/>
  <c r="R31" i="144"/>
  <c r="Q31" i="144"/>
  <c r="P31" i="144"/>
  <c r="I31" i="144"/>
  <c r="AJ30" i="144"/>
  <c r="AI30" i="144"/>
  <c r="AH30" i="144"/>
  <c r="AG30" i="144"/>
  <c r="AF30" i="144"/>
  <c r="AE30" i="144"/>
  <c r="AD30" i="144"/>
  <c r="AC30" i="144"/>
  <c r="Y30" i="144"/>
  <c r="X30" i="144"/>
  <c r="W30" i="144"/>
  <c r="V30" i="144"/>
  <c r="U30" i="144"/>
  <c r="T30" i="144"/>
  <c r="S30" i="144"/>
  <c r="R30" i="144"/>
  <c r="Q30" i="144"/>
  <c r="P30" i="144"/>
  <c r="I30" i="144"/>
  <c r="AJ29" i="144"/>
  <c r="AI29" i="144"/>
  <c r="AH29" i="144"/>
  <c r="AG29" i="144"/>
  <c r="AF29" i="144"/>
  <c r="AE29" i="144"/>
  <c r="AD29" i="144"/>
  <c r="AC29" i="144"/>
  <c r="Y29" i="144"/>
  <c r="X29" i="144"/>
  <c r="W29" i="144"/>
  <c r="V29" i="144"/>
  <c r="U29" i="144"/>
  <c r="T29" i="144"/>
  <c r="S29" i="144"/>
  <c r="R29" i="144"/>
  <c r="Q29" i="144"/>
  <c r="P29" i="144"/>
  <c r="I29" i="144"/>
  <c r="AJ28" i="144"/>
  <c r="AI28" i="144"/>
  <c r="AH28" i="144"/>
  <c r="AG28" i="144"/>
  <c r="AF28" i="144"/>
  <c r="AE28" i="144"/>
  <c r="AD28" i="144"/>
  <c r="AC28" i="144"/>
  <c r="Y28" i="144"/>
  <c r="X28" i="144"/>
  <c r="W28" i="144"/>
  <c r="V28" i="144"/>
  <c r="U28" i="144"/>
  <c r="T28" i="144"/>
  <c r="S28" i="144"/>
  <c r="R28" i="144"/>
  <c r="Q28" i="144"/>
  <c r="P28" i="144"/>
  <c r="I28" i="144"/>
  <c r="AJ27" i="144"/>
  <c r="AI27" i="144"/>
  <c r="AH27" i="144"/>
  <c r="AG27" i="144"/>
  <c r="AF27" i="144"/>
  <c r="AE27" i="144"/>
  <c r="AD27" i="144"/>
  <c r="AC27" i="144"/>
  <c r="Y27" i="144"/>
  <c r="X27" i="144"/>
  <c r="W27" i="144"/>
  <c r="V27" i="144"/>
  <c r="U27" i="144"/>
  <c r="T27" i="144"/>
  <c r="S27" i="144"/>
  <c r="R27" i="144"/>
  <c r="Q27" i="144"/>
  <c r="P27" i="144"/>
  <c r="I27" i="144"/>
  <c r="AJ26" i="144"/>
  <c r="AI26" i="144"/>
  <c r="AH26" i="144"/>
  <c r="AG26" i="144"/>
  <c r="AF26" i="144"/>
  <c r="AE26" i="144"/>
  <c r="AD26" i="144"/>
  <c r="AC26" i="144"/>
  <c r="Y26" i="144"/>
  <c r="X26" i="144"/>
  <c r="W26" i="144"/>
  <c r="V26" i="144"/>
  <c r="U26" i="144"/>
  <c r="T26" i="144"/>
  <c r="R26" i="144"/>
  <c r="Q26" i="144"/>
  <c r="P26" i="144"/>
  <c r="I26" i="144"/>
  <c r="AJ25" i="144"/>
  <c r="AI25" i="144"/>
  <c r="AH25" i="144"/>
  <c r="AG25" i="144"/>
  <c r="AF25" i="144"/>
  <c r="AE25" i="144"/>
  <c r="AD25" i="144"/>
  <c r="AC25" i="144"/>
  <c r="Y25" i="144"/>
  <c r="X25" i="144"/>
  <c r="W25" i="144"/>
  <c r="V25" i="144"/>
  <c r="U25" i="144"/>
  <c r="T25" i="144"/>
  <c r="S25" i="144"/>
  <c r="R25" i="144"/>
  <c r="Q25" i="144"/>
  <c r="P25" i="144"/>
  <c r="I25" i="144"/>
  <c r="AJ24" i="144"/>
  <c r="AI24" i="144"/>
  <c r="AH24" i="144"/>
  <c r="AG24" i="144"/>
  <c r="AF24" i="144"/>
  <c r="AE24" i="144"/>
  <c r="AD24" i="144"/>
  <c r="AC24" i="144"/>
  <c r="Y24" i="144"/>
  <c r="X24" i="144"/>
  <c r="W24" i="144"/>
  <c r="V24" i="144"/>
  <c r="U24" i="144"/>
  <c r="T24" i="144"/>
  <c r="S24" i="144"/>
  <c r="R24" i="144"/>
  <c r="Q24" i="144"/>
  <c r="P24" i="144"/>
  <c r="I24" i="144"/>
  <c r="AJ23" i="144"/>
  <c r="AI23" i="144"/>
  <c r="AH23" i="144"/>
  <c r="AG23" i="144"/>
  <c r="AF23" i="144"/>
  <c r="AE23" i="144"/>
  <c r="AD23" i="144"/>
  <c r="AC23" i="144"/>
  <c r="Y23" i="144"/>
  <c r="X23" i="144"/>
  <c r="W23" i="144"/>
  <c r="V23" i="144"/>
  <c r="U23" i="144"/>
  <c r="T23" i="144"/>
  <c r="S23" i="144"/>
  <c r="R23" i="144"/>
  <c r="Q23" i="144"/>
  <c r="P23" i="144"/>
  <c r="I23" i="144"/>
  <c r="AJ22" i="144"/>
  <c r="AI22" i="144"/>
  <c r="AH22" i="144"/>
  <c r="AG22" i="144"/>
  <c r="AF22" i="144"/>
  <c r="AE22" i="144"/>
  <c r="AD22" i="144"/>
  <c r="AC22" i="144"/>
  <c r="Y22" i="144"/>
  <c r="X22" i="144"/>
  <c r="W22" i="144"/>
  <c r="V22" i="144"/>
  <c r="U22" i="144"/>
  <c r="T22" i="144"/>
  <c r="S22" i="144"/>
  <c r="R22" i="144"/>
  <c r="Q22" i="144"/>
  <c r="P22" i="144"/>
  <c r="I22" i="144"/>
  <c r="AJ21" i="144"/>
  <c r="AI21" i="144"/>
  <c r="AH21" i="144"/>
  <c r="AG21" i="144"/>
  <c r="AF21" i="144"/>
  <c r="AE21" i="144"/>
  <c r="AD21" i="144"/>
  <c r="AC21" i="144"/>
  <c r="Y21" i="144"/>
  <c r="X21" i="144"/>
  <c r="W21" i="144"/>
  <c r="V21" i="144"/>
  <c r="U21" i="144"/>
  <c r="T21" i="144"/>
  <c r="S21" i="144"/>
  <c r="R21" i="144"/>
  <c r="Q21" i="144"/>
  <c r="P21" i="144"/>
  <c r="I21" i="144"/>
  <c r="AJ20" i="144"/>
  <c r="AI20" i="144"/>
  <c r="AH20" i="144"/>
  <c r="AG20" i="144"/>
  <c r="AF20" i="144"/>
  <c r="AE20" i="144"/>
  <c r="AD20" i="144"/>
  <c r="AC20" i="144"/>
  <c r="Y20" i="144"/>
  <c r="X20" i="144"/>
  <c r="W20" i="144"/>
  <c r="V20" i="144"/>
  <c r="U20" i="144"/>
  <c r="T20" i="144"/>
  <c r="S20" i="144"/>
  <c r="R20" i="144"/>
  <c r="Q20" i="144"/>
  <c r="P20" i="144"/>
  <c r="I20" i="144"/>
  <c r="AJ19" i="144"/>
  <c r="AI19" i="144"/>
  <c r="AH19" i="144"/>
  <c r="AG19" i="144"/>
  <c r="AF19" i="144"/>
  <c r="AE19" i="144"/>
  <c r="AD19" i="144"/>
  <c r="AC19" i="144"/>
  <c r="Y19" i="144"/>
  <c r="X19" i="144"/>
  <c r="W19" i="144"/>
  <c r="V19" i="144"/>
  <c r="U19" i="144"/>
  <c r="T19" i="144"/>
  <c r="S19" i="144"/>
  <c r="R19" i="144"/>
  <c r="Q19" i="144"/>
  <c r="P19" i="144"/>
  <c r="I19" i="144"/>
  <c r="AJ18" i="144"/>
  <c r="AI18" i="144"/>
  <c r="AH18" i="144"/>
  <c r="AG18" i="144"/>
  <c r="AF18" i="144"/>
  <c r="AE18" i="144"/>
  <c r="AD18" i="144"/>
  <c r="AC18" i="144"/>
  <c r="Y18" i="144"/>
  <c r="X18" i="144"/>
  <c r="W18" i="144"/>
  <c r="V18" i="144"/>
  <c r="U18" i="144"/>
  <c r="T18" i="144"/>
  <c r="S18" i="144"/>
  <c r="R18" i="144"/>
  <c r="Q18" i="144"/>
  <c r="P18" i="144"/>
  <c r="I18" i="144"/>
  <c r="AJ17" i="144"/>
  <c r="AI17" i="144"/>
  <c r="AH17" i="144"/>
  <c r="AG17" i="144"/>
  <c r="AF17" i="144"/>
  <c r="AE17" i="144"/>
  <c r="AD17" i="144"/>
  <c r="AC17" i="144"/>
  <c r="Y17" i="144"/>
  <c r="X17" i="144"/>
  <c r="W17" i="144"/>
  <c r="V17" i="144"/>
  <c r="U17" i="144"/>
  <c r="T17" i="144"/>
  <c r="S17" i="144"/>
  <c r="R17" i="144"/>
  <c r="Q17" i="144"/>
  <c r="P17" i="144"/>
  <c r="I17" i="144"/>
  <c r="AJ16" i="144"/>
  <c r="AI16" i="144"/>
  <c r="AH16" i="144"/>
  <c r="AG16" i="144"/>
  <c r="AF16" i="144"/>
  <c r="AE16" i="144"/>
  <c r="AD16" i="144"/>
  <c r="AC16" i="144"/>
  <c r="Y16" i="144"/>
  <c r="X16" i="144"/>
  <c r="W16" i="144"/>
  <c r="V16" i="144"/>
  <c r="U16" i="144"/>
  <c r="T16" i="144"/>
  <c r="S16" i="144"/>
  <c r="R16" i="144"/>
  <c r="Q16" i="144"/>
  <c r="P16" i="144"/>
  <c r="I16" i="144"/>
  <c r="AJ15" i="144"/>
  <c r="AI15" i="144"/>
  <c r="AH15" i="144"/>
  <c r="AG15" i="144"/>
  <c r="AF15" i="144"/>
  <c r="AE15" i="144"/>
  <c r="AD15" i="144"/>
  <c r="AC15" i="144"/>
  <c r="Y15" i="144"/>
  <c r="X15" i="144"/>
  <c r="W15" i="144"/>
  <c r="V15" i="144"/>
  <c r="U15" i="144"/>
  <c r="T15" i="144"/>
  <c r="S15" i="144"/>
  <c r="R15" i="144"/>
  <c r="Q15" i="144"/>
  <c r="P15" i="144"/>
  <c r="I15" i="144"/>
  <c r="AJ14" i="144"/>
  <c r="AI14" i="144"/>
  <c r="AH14" i="144"/>
  <c r="AG14" i="144"/>
  <c r="AF14" i="144"/>
  <c r="AE14" i="144"/>
  <c r="AD14" i="144"/>
  <c r="AC14" i="144"/>
  <c r="Y14" i="144"/>
  <c r="X14" i="144"/>
  <c r="W14" i="144"/>
  <c r="V14" i="144"/>
  <c r="U14" i="144"/>
  <c r="T14" i="144"/>
  <c r="S14" i="144"/>
  <c r="R14" i="144"/>
  <c r="Q14" i="144"/>
  <c r="P14" i="144"/>
  <c r="I14" i="144"/>
  <c r="AJ13" i="144"/>
  <c r="AI13" i="144"/>
  <c r="AH13" i="144"/>
  <c r="AG13" i="144"/>
  <c r="AF13" i="144"/>
  <c r="AE13" i="144"/>
  <c r="AD13" i="144"/>
  <c r="AC13" i="144"/>
  <c r="Y13" i="144"/>
  <c r="X13" i="144"/>
  <c r="W13" i="144"/>
  <c r="V13" i="144"/>
  <c r="U13" i="144"/>
  <c r="T13" i="144"/>
  <c r="S13" i="144"/>
  <c r="R13" i="144"/>
  <c r="Q13" i="144"/>
  <c r="P13" i="144"/>
  <c r="I13" i="144"/>
  <c r="AJ12" i="144"/>
  <c r="AI12" i="144"/>
  <c r="AH12" i="144"/>
  <c r="AG12" i="144"/>
  <c r="AF12" i="144"/>
  <c r="AE12" i="144"/>
  <c r="AD12" i="144"/>
  <c r="AC12" i="144"/>
  <c r="Y12" i="144"/>
  <c r="X12" i="144"/>
  <c r="W12" i="144"/>
  <c r="V12" i="144"/>
  <c r="U12" i="144"/>
  <c r="T12" i="144"/>
  <c r="S12" i="144"/>
  <c r="R12" i="144"/>
  <c r="Q12" i="144"/>
  <c r="P12" i="144"/>
  <c r="I12" i="144"/>
  <c r="AJ11" i="144"/>
  <c r="AI11" i="144"/>
  <c r="AH11" i="144"/>
  <c r="AG11" i="144"/>
  <c r="AF11" i="144"/>
  <c r="AE11" i="144"/>
  <c r="AD11" i="144"/>
  <c r="AC11" i="144"/>
  <c r="Y11" i="144"/>
  <c r="X11" i="144"/>
  <c r="W11" i="144"/>
  <c r="V11" i="144"/>
  <c r="U11" i="144"/>
  <c r="T11" i="144"/>
  <c r="S11" i="144"/>
  <c r="R11" i="144"/>
  <c r="Q11" i="144"/>
  <c r="P11" i="144"/>
  <c r="I11" i="144"/>
  <c r="AJ10" i="144"/>
  <c r="AI10" i="144"/>
  <c r="AH10" i="144"/>
  <c r="AG10" i="144"/>
  <c r="AF10" i="144"/>
  <c r="AE10" i="144"/>
  <c r="AD10" i="144"/>
  <c r="AC10" i="144"/>
  <c r="Y10" i="144"/>
  <c r="X10" i="144"/>
  <c r="W10" i="144"/>
  <c r="V10" i="144"/>
  <c r="U10" i="144"/>
  <c r="T10" i="144"/>
  <c r="S10" i="144"/>
  <c r="R10" i="144"/>
  <c r="Q10" i="144"/>
  <c r="P10" i="144"/>
  <c r="I10" i="144"/>
  <c r="AJ9" i="144"/>
  <c r="AI9" i="144"/>
  <c r="AH9" i="144"/>
  <c r="AG9" i="144"/>
  <c r="AF9" i="144"/>
  <c r="AE9" i="144"/>
  <c r="AD9" i="144"/>
  <c r="AC9" i="144"/>
  <c r="Y9" i="144"/>
  <c r="X9" i="144"/>
  <c r="W9" i="144"/>
  <c r="V9" i="144"/>
  <c r="U9" i="144"/>
  <c r="T9" i="144"/>
  <c r="S9" i="144"/>
  <c r="R9" i="144"/>
  <c r="Q9" i="144"/>
  <c r="P9" i="144"/>
  <c r="I9" i="144"/>
  <c r="AJ8" i="144"/>
  <c r="AI8" i="144"/>
  <c r="AH8" i="144"/>
  <c r="AG8" i="144"/>
  <c r="AF8" i="144"/>
  <c r="AE8" i="144"/>
  <c r="AD8" i="144"/>
  <c r="AC8" i="144"/>
  <c r="Y8" i="144"/>
  <c r="X8" i="144"/>
  <c r="W8" i="144"/>
  <c r="V8" i="144"/>
  <c r="U8" i="144"/>
  <c r="T8" i="144"/>
  <c r="S8" i="144"/>
  <c r="R8" i="144"/>
  <c r="Q8" i="144"/>
  <c r="P8" i="144"/>
  <c r="I8" i="144"/>
  <c r="AJ7" i="144"/>
  <c r="AI7" i="144"/>
  <c r="AH7" i="144"/>
  <c r="AG7" i="144"/>
  <c r="AF7" i="144"/>
  <c r="AE7" i="144"/>
  <c r="AD7" i="144"/>
  <c r="AC7" i="144"/>
  <c r="Y7" i="144"/>
  <c r="X7" i="144"/>
  <c r="W7" i="144"/>
  <c r="V7" i="144"/>
  <c r="U7" i="144"/>
  <c r="T7" i="144"/>
  <c r="S7" i="144"/>
  <c r="R7" i="144"/>
  <c r="Q7" i="144"/>
  <c r="P7" i="144"/>
  <c r="I7" i="144"/>
  <c r="E36" i="144"/>
  <c r="E35" i="144"/>
  <c r="E34" i="144"/>
  <c r="E33" i="144"/>
  <c r="E32" i="144"/>
  <c r="E31" i="144"/>
  <c r="E30" i="144"/>
  <c r="E29" i="144"/>
  <c r="E28" i="144"/>
  <c r="E27" i="144"/>
  <c r="E26" i="144"/>
  <c r="E25" i="144"/>
  <c r="E24" i="144"/>
  <c r="E23" i="144"/>
  <c r="E22" i="144"/>
  <c r="E21" i="144"/>
  <c r="E20" i="144"/>
  <c r="E19" i="144"/>
  <c r="E18" i="144"/>
  <c r="E17" i="144"/>
  <c r="E16" i="144"/>
  <c r="E15" i="144"/>
  <c r="E14" i="144"/>
  <c r="E13" i="144"/>
  <c r="E12" i="144"/>
  <c r="E11" i="144"/>
  <c r="E10" i="144"/>
  <c r="E9" i="144"/>
  <c r="E8" i="144"/>
  <c r="E7" i="144"/>
  <c r="AJ6" i="143"/>
  <c r="AI6" i="143"/>
  <c r="AH6" i="143"/>
  <c r="AG6" i="143"/>
  <c r="AF6" i="143"/>
  <c r="AJ36" i="143"/>
  <c r="AI36" i="143"/>
  <c r="AH36" i="143"/>
  <c r="AG36" i="143"/>
  <c r="AF36" i="143"/>
  <c r="AE36" i="143"/>
  <c r="AD36" i="143"/>
  <c r="AC36" i="143"/>
  <c r="Y36" i="143"/>
  <c r="X36" i="143"/>
  <c r="W36" i="143"/>
  <c r="V36" i="143"/>
  <c r="U36" i="143"/>
  <c r="T36" i="143"/>
  <c r="S36" i="143"/>
  <c r="R36" i="143"/>
  <c r="Q36" i="143"/>
  <c r="P36" i="143"/>
  <c r="I36" i="143"/>
  <c r="AJ35" i="143"/>
  <c r="AI35" i="143"/>
  <c r="AH35" i="143"/>
  <c r="AG35" i="143"/>
  <c r="AF35" i="143"/>
  <c r="AE35" i="143"/>
  <c r="AD35" i="143"/>
  <c r="AC35" i="143"/>
  <c r="Y35" i="143"/>
  <c r="X35" i="143"/>
  <c r="W35" i="143"/>
  <c r="V35" i="143"/>
  <c r="U35" i="143"/>
  <c r="T35" i="143"/>
  <c r="S35" i="143"/>
  <c r="R35" i="143"/>
  <c r="Q35" i="143"/>
  <c r="P35" i="143"/>
  <c r="I35" i="143"/>
  <c r="AJ34" i="143"/>
  <c r="AI34" i="143"/>
  <c r="AH34" i="143"/>
  <c r="AG34" i="143"/>
  <c r="AF34" i="143"/>
  <c r="AE34" i="143"/>
  <c r="AD34" i="143"/>
  <c r="AC34" i="143"/>
  <c r="Y34" i="143"/>
  <c r="X34" i="143"/>
  <c r="W34" i="143"/>
  <c r="V34" i="143"/>
  <c r="U34" i="143"/>
  <c r="T34" i="143"/>
  <c r="S34" i="143"/>
  <c r="R34" i="143"/>
  <c r="Q34" i="143"/>
  <c r="P34" i="143"/>
  <c r="I34" i="143"/>
  <c r="AJ33" i="143"/>
  <c r="AI33" i="143"/>
  <c r="AH33" i="143"/>
  <c r="AG33" i="143"/>
  <c r="AF33" i="143"/>
  <c r="AE33" i="143"/>
  <c r="AD33" i="143"/>
  <c r="AC33" i="143"/>
  <c r="Y33" i="143"/>
  <c r="X33" i="143"/>
  <c r="W33" i="143"/>
  <c r="V33" i="143"/>
  <c r="U33" i="143"/>
  <c r="T33" i="143"/>
  <c r="S33" i="143"/>
  <c r="R33" i="143"/>
  <c r="Q33" i="143"/>
  <c r="P33" i="143"/>
  <c r="I33" i="143"/>
  <c r="AJ32" i="143"/>
  <c r="AI32" i="143"/>
  <c r="AH32" i="143"/>
  <c r="AG32" i="143"/>
  <c r="AF32" i="143"/>
  <c r="AE32" i="143"/>
  <c r="AD32" i="143"/>
  <c r="AC32" i="143"/>
  <c r="Y32" i="143"/>
  <c r="X32" i="143"/>
  <c r="W32" i="143"/>
  <c r="V32" i="143"/>
  <c r="U32" i="143"/>
  <c r="T32" i="143"/>
  <c r="S32" i="143"/>
  <c r="R32" i="143"/>
  <c r="Q32" i="143"/>
  <c r="P32" i="143"/>
  <c r="I32" i="143"/>
  <c r="AJ31" i="143"/>
  <c r="AI31" i="143"/>
  <c r="AH31" i="143"/>
  <c r="AG31" i="143"/>
  <c r="AF31" i="143"/>
  <c r="AE31" i="143"/>
  <c r="AD31" i="143"/>
  <c r="AC31" i="143"/>
  <c r="Y31" i="143"/>
  <c r="X31" i="143"/>
  <c r="W31" i="143"/>
  <c r="V31" i="143"/>
  <c r="U31" i="143"/>
  <c r="T31" i="143"/>
  <c r="S31" i="143"/>
  <c r="R31" i="143"/>
  <c r="Q31" i="143"/>
  <c r="P31" i="143"/>
  <c r="I31" i="143"/>
  <c r="AJ30" i="143"/>
  <c r="AI30" i="143"/>
  <c r="AH30" i="143"/>
  <c r="AG30" i="143"/>
  <c r="AF30" i="143"/>
  <c r="AE30" i="143"/>
  <c r="AD30" i="143"/>
  <c r="AC30" i="143"/>
  <c r="Y30" i="143"/>
  <c r="X30" i="143"/>
  <c r="W30" i="143"/>
  <c r="V30" i="143"/>
  <c r="U30" i="143"/>
  <c r="T30" i="143"/>
  <c r="S30" i="143"/>
  <c r="R30" i="143"/>
  <c r="Q30" i="143"/>
  <c r="P30" i="143"/>
  <c r="I30" i="143"/>
  <c r="AJ29" i="143"/>
  <c r="AI29" i="143"/>
  <c r="AH29" i="143"/>
  <c r="AG29" i="143"/>
  <c r="AF29" i="143"/>
  <c r="AE29" i="143"/>
  <c r="AD29" i="143"/>
  <c r="AC29" i="143"/>
  <c r="Y29" i="143"/>
  <c r="X29" i="143"/>
  <c r="W29" i="143"/>
  <c r="V29" i="143"/>
  <c r="U29" i="143"/>
  <c r="T29" i="143"/>
  <c r="S29" i="143"/>
  <c r="R29" i="143"/>
  <c r="Q29" i="143"/>
  <c r="P29" i="143"/>
  <c r="I29" i="143"/>
  <c r="AJ28" i="143"/>
  <c r="AI28" i="143"/>
  <c r="AH28" i="143"/>
  <c r="AG28" i="143"/>
  <c r="AF28" i="143"/>
  <c r="AE28" i="143"/>
  <c r="AD28" i="143"/>
  <c r="AC28" i="143"/>
  <c r="Y28" i="143"/>
  <c r="X28" i="143"/>
  <c r="W28" i="143"/>
  <c r="V28" i="143"/>
  <c r="U28" i="143"/>
  <c r="T28" i="143"/>
  <c r="S28" i="143"/>
  <c r="R28" i="143"/>
  <c r="Q28" i="143"/>
  <c r="P28" i="143"/>
  <c r="I28" i="143"/>
  <c r="AJ27" i="143"/>
  <c r="AI27" i="143"/>
  <c r="AH27" i="143"/>
  <c r="AG27" i="143"/>
  <c r="AF27" i="143"/>
  <c r="AE27" i="143"/>
  <c r="AD27" i="143"/>
  <c r="AC27" i="143"/>
  <c r="Y27" i="143"/>
  <c r="X27" i="143"/>
  <c r="W27" i="143"/>
  <c r="V27" i="143"/>
  <c r="U27" i="143"/>
  <c r="T27" i="143"/>
  <c r="S27" i="143"/>
  <c r="R27" i="143"/>
  <c r="Q27" i="143"/>
  <c r="P27" i="143"/>
  <c r="I27" i="143"/>
  <c r="AJ26" i="143"/>
  <c r="AI26" i="143"/>
  <c r="AH26" i="143"/>
  <c r="AG26" i="143"/>
  <c r="AF26" i="143"/>
  <c r="AE26" i="143"/>
  <c r="AD26" i="143"/>
  <c r="AC26" i="143"/>
  <c r="Y26" i="143"/>
  <c r="X26" i="143"/>
  <c r="W26" i="143"/>
  <c r="V26" i="143"/>
  <c r="U26" i="143"/>
  <c r="T26" i="143"/>
  <c r="S26" i="143"/>
  <c r="R26" i="143"/>
  <c r="Q26" i="143"/>
  <c r="P26" i="143"/>
  <c r="I26" i="143"/>
  <c r="AJ25" i="143"/>
  <c r="AI25" i="143"/>
  <c r="AH25" i="143"/>
  <c r="AG25" i="143"/>
  <c r="AF25" i="143"/>
  <c r="AE25" i="143"/>
  <c r="AD25" i="143"/>
  <c r="AC25" i="143"/>
  <c r="Y25" i="143"/>
  <c r="X25" i="143"/>
  <c r="W25" i="143"/>
  <c r="V25" i="143"/>
  <c r="U25" i="143"/>
  <c r="T25" i="143"/>
  <c r="S25" i="143"/>
  <c r="R25" i="143"/>
  <c r="Q25" i="143"/>
  <c r="P25" i="143"/>
  <c r="I25" i="143"/>
  <c r="AJ24" i="143"/>
  <c r="AI24" i="143"/>
  <c r="AH24" i="143"/>
  <c r="AG24" i="143"/>
  <c r="AF24" i="143"/>
  <c r="AE24" i="143"/>
  <c r="AD24" i="143"/>
  <c r="AC24" i="143"/>
  <c r="Y24" i="143"/>
  <c r="X24" i="143"/>
  <c r="W24" i="143"/>
  <c r="V24" i="143"/>
  <c r="U24" i="143"/>
  <c r="T24" i="143"/>
  <c r="S24" i="143"/>
  <c r="R24" i="143"/>
  <c r="Q24" i="143"/>
  <c r="P24" i="143"/>
  <c r="I24" i="143"/>
  <c r="AJ23" i="143"/>
  <c r="AI23" i="143"/>
  <c r="AH23" i="143"/>
  <c r="AG23" i="143"/>
  <c r="AF23" i="143"/>
  <c r="AE23" i="143"/>
  <c r="AD23" i="143"/>
  <c r="AC23" i="143"/>
  <c r="Y23" i="143"/>
  <c r="X23" i="143"/>
  <c r="W23" i="143"/>
  <c r="V23" i="143"/>
  <c r="U23" i="143"/>
  <c r="T23" i="143"/>
  <c r="S23" i="143"/>
  <c r="R23" i="143"/>
  <c r="Q23" i="143"/>
  <c r="P23" i="143"/>
  <c r="I23" i="143"/>
  <c r="AJ22" i="143"/>
  <c r="AI22" i="143"/>
  <c r="AH22" i="143"/>
  <c r="AG22" i="143"/>
  <c r="AF22" i="143"/>
  <c r="AE22" i="143"/>
  <c r="AD22" i="143"/>
  <c r="AC22" i="143"/>
  <c r="Y22" i="143"/>
  <c r="X22" i="143"/>
  <c r="W22" i="143"/>
  <c r="V22" i="143"/>
  <c r="U22" i="143"/>
  <c r="T22" i="143"/>
  <c r="S22" i="143"/>
  <c r="R22" i="143"/>
  <c r="Q22" i="143"/>
  <c r="P22" i="143"/>
  <c r="I22" i="143"/>
  <c r="AJ21" i="143"/>
  <c r="AI21" i="143"/>
  <c r="AH21" i="143"/>
  <c r="AG21" i="143"/>
  <c r="AF21" i="143"/>
  <c r="AE21" i="143"/>
  <c r="AD21" i="143"/>
  <c r="AC21" i="143"/>
  <c r="Y21" i="143"/>
  <c r="X21" i="143"/>
  <c r="W21" i="143"/>
  <c r="V21" i="143"/>
  <c r="U21" i="143"/>
  <c r="T21" i="143"/>
  <c r="S21" i="143"/>
  <c r="R21" i="143"/>
  <c r="Q21" i="143"/>
  <c r="P21" i="143"/>
  <c r="I21" i="143"/>
  <c r="AJ20" i="143"/>
  <c r="AI20" i="143"/>
  <c r="AH20" i="143"/>
  <c r="AG20" i="143"/>
  <c r="AF20" i="143"/>
  <c r="AE20" i="143"/>
  <c r="AD20" i="143"/>
  <c r="AC20" i="143"/>
  <c r="Y20" i="143"/>
  <c r="X20" i="143"/>
  <c r="W20" i="143"/>
  <c r="V20" i="143"/>
  <c r="U20" i="143"/>
  <c r="T20" i="143"/>
  <c r="S20" i="143"/>
  <c r="R20" i="143"/>
  <c r="Q20" i="143"/>
  <c r="P20" i="143"/>
  <c r="I20" i="143"/>
  <c r="AJ19" i="143"/>
  <c r="AI19" i="143"/>
  <c r="AH19" i="143"/>
  <c r="AG19" i="143"/>
  <c r="AF19" i="143"/>
  <c r="AE19" i="143"/>
  <c r="AD19" i="143"/>
  <c r="AC19" i="143"/>
  <c r="Y19" i="143"/>
  <c r="X19" i="143"/>
  <c r="W19" i="143"/>
  <c r="V19" i="143"/>
  <c r="U19" i="143"/>
  <c r="T19" i="143"/>
  <c r="S19" i="143"/>
  <c r="R19" i="143"/>
  <c r="Q19" i="143"/>
  <c r="P19" i="143"/>
  <c r="I19" i="143"/>
  <c r="AJ18" i="143"/>
  <c r="AI18" i="143"/>
  <c r="AH18" i="143"/>
  <c r="AG18" i="143"/>
  <c r="AF18" i="143"/>
  <c r="AE18" i="143"/>
  <c r="AD18" i="143"/>
  <c r="AC18" i="143"/>
  <c r="Y18" i="143"/>
  <c r="X18" i="143"/>
  <c r="W18" i="143"/>
  <c r="V18" i="143"/>
  <c r="U18" i="143"/>
  <c r="T18" i="143"/>
  <c r="S18" i="143"/>
  <c r="R18" i="143"/>
  <c r="Q18" i="143"/>
  <c r="P18" i="143"/>
  <c r="I18" i="143"/>
  <c r="AJ17" i="143"/>
  <c r="AI17" i="143"/>
  <c r="AH17" i="143"/>
  <c r="AG17" i="143"/>
  <c r="AF17" i="143"/>
  <c r="AE17" i="143"/>
  <c r="AD17" i="143"/>
  <c r="AC17" i="143"/>
  <c r="Y17" i="143"/>
  <c r="X17" i="143"/>
  <c r="W17" i="143"/>
  <c r="V17" i="143"/>
  <c r="U17" i="143"/>
  <c r="T17" i="143"/>
  <c r="S17" i="143"/>
  <c r="R17" i="143"/>
  <c r="Q17" i="143"/>
  <c r="P17" i="143"/>
  <c r="I17" i="143"/>
  <c r="AJ16" i="143"/>
  <c r="AI16" i="143"/>
  <c r="AH16" i="143"/>
  <c r="AG16" i="143"/>
  <c r="AF16" i="143"/>
  <c r="AE16" i="143"/>
  <c r="AD16" i="143"/>
  <c r="AC16" i="143"/>
  <c r="Y16" i="143"/>
  <c r="X16" i="143"/>
  <c r="W16" i="143"/>
  <c r="V16" i="143"/>
  <c r="U16" i="143"/>
  <c r="T16" i="143"/>
  <c r="S16" i="143"/>
  <c r="R16" i="143"/>
  <c r="Q16" i="143"/>
  <c r="P16" i="143"/>
  <c r="I16" i="143"/>
  <c r="AJ15" i="143"/>
  <c r="AI15" i="143"/>
  <c r="AH15" i="143"/>
  <c r="AG15" i="143"/>
  <c r="AF15" i="143"/>
  <c r="AE15" i="143"/>
  <c r="AD15" i="143"/>
  <c r="AC15" i="143"/>
  <c r="Y15" i="143"/>
  <c r="X15" i="143"/>
  <c r="W15" i="143"/>
  <c r="V15" i="143"/>
  <c r="U15" i="143"/>
  <c r="T15" i="143"/>
  <c r="S15" i="143"/>
  <c r="R15" i="143"/>
  <c r="Q15" i="143"/>
  <c r="P15" i="143"/>
  <c r="I15" i="143"/>
  <c r="AJ14" i="143"/>
  <c r="AI14" i="143"/>
  <c r="AH14" i="143"/>
  <c r="AG14" i="143"/>
  <c r="AF14" i="143"/>
  <c r="AE14" i="143"/>
  <c r="AD14" i="143"/>
  <c r="AC14" i="143"/>
  <c r="Y14" i="143"/>
  <c r="X14" i="143"/>
  <c r="W14" i="143"/>
  <c r="V14" i="143"/>
  <c r="U14" i="143"/>
  <c r="T14" i="143"/>
  <c r="S14" i="143"/>
  <c r="R14" i="143"/>
  <c r="Q14" i="143"/>
  <c r="P14" i="143"/>
  <c r="I14" i="143"/>
  <c r="AJ13" i="143"/>
  <c r="AI13" i="143"/>
  <c r="AH13" i="143"/>
  <c r="AG13" i="143"/>
  <c r="AF13" i="143"/>
  <c r="AE13" i="143"/>
  <c r="AD13" i="143"/>
  <c r="AC13" i="143"/>
  <c r="Y13" i="143"/>
  <c r="X13" i="143"/>
  <c r="W13" i="143"/>
  <c r="V13" i="143"/>
  <c r="U13" i="143"/>
  <c r="T13" i="143"/>
  <c r="S13" i="143"/>
  <c r="R13" i="143"/>
  <c r="Q13" i="143"/>
  <c r="P13" i="143"/>
  <c r="I13" i="143"/>
  <c r="AJ12" i="143"/>
  <c r="AI12" i="143"/>
  <c r="AH12" i="143"/>
  <c r="AG12" i="143"/>
  <c r="AF12" i="143"/>
  <c r="AE12" i="143"/>
  <c r="AD12" i="143"/>
  <c r="AC12" i="143"/>
  <c r="Y12" i="143"/>
  <c r="X12" i="143"/>
  <c r="W12" i="143"/>
  <c r="V12" i="143"/>
  <c r="U12" i="143"/>
  <c r="T12" i="143"/>
  <c r="S12" i="143"/>
  <c r="R12" i="143"/>
  <c r="Q12" i="143"/>
  <c r="P12" i="143"/>
  <c r="I12" i="143"/>
  <c r="AJ11" i="143"/>
  <c r="AI11" i="143"/>
  <c r="AH11" i="143"/>
  <c r="AG11" i="143"/>
  <c r="AF11" i="143"/>
  <c r="AE11" i="143"/>
  <c r="AD11" i="143"/>
  <c r="AC11" i="143"/>
  <c r="Y11" i="143"/>
  <c r="X11" i="143"/>
  <c r="W11" i="143"/>
  <c r="V11" i="143"/>
  <c r="U11" i="143"/>
  <c r="T11" i="143"/>
  <c r="S11" i="143"/>
  <c r="R11" i="143"/>
  <c r="Q11" i="143"/>
  <c r="P11" i="143"/>
  <c r="I11" i="143"/>
  <c r="AJ10" i="143"/>
  <c r="AI10" i="143"/>
  <c r="AH10" i="143"/>
  <c r="AG10" i="143"/>
  <c r="AF10" i="143"/>
  <c r="AE10" i="143"/>
  <c r="AD10" i="143"/>
  <c r="AC10" i="143"/>
  <c r="Y10" i="143"/>
  <c r="X10" i="143"/>
  <c r="W10" i="143"/>
  <c r="V10" i="143"/>
  <c r="U10" i="143"/>
  <c r="T10" i="143"/>
  <c r="S10" i="143"/>
  <c r="R10" i="143"/>
  <c r="Q10" i="143"/>
  <c r="P10" i="143"/>
  <c r="I10" i="143"/>
  <c r="AJ9" i="143"/>
  <c r="AI9" i="143"/>
  <c r="AH9" i="143"/>
  <c r="AG9" i="143"/>
  <c r="AF9" i="143"/>
  <c r="AE9" i="143"/>
  <c r="AD9" i="143"/>
  <c r="AC9" i="143"/>
  <c r="Y9" i="143"/>
  <c r="X9" i="143"/>
  <c r="W9" i="143"/>
  <c r="V9" i="143"/>
  <c r="U9" i="143"/>
  <c r="T9" i="143"/>
  <c r="S9" i="143"/>
  <c r="R9" i="143"/>
  <c r="Q9" i="143"/>
  <c r="P9" i="143"/>
  <c r="I9" i="143"/>
  <c r="AJ8" i="143"/>
  <c r="AI8" i="143"/>
  <c r="AH8" i="143"/>
  <c r="AG8" i="143"/>
  <c r="AF8" i="143"/>
  <c r="AE8" i="143"/>
  <c r="AD8" i="143"/>
  <c r="AC8" i="143"/>
  <c r="Y8" i="143"/>
  <c r="X8" i="143"/>
  <c r="W8" i="143"/>
  <c r="V8" i="143"/>
  <c r="U8" i="143"/>
  <c r="T8" i="143"/>
  <c r="S8" i="143"/>
  <c r="R8" i="143"/>
  <c r="Q8" i="143"/>
  <c r="P8" i="143"/>
  <c r="I8" i="143"/>
  <c r="AJ7" i="143"/>
  <c r="AI7" i="143"/>
  <c r="AH7" i="143"/>
  <c r="AG7" i="143"/>
  <c r="AF7" i="143"/>
  <c r="AE7" i="143"/>
  <c r="AD7" i="143"/>
  <c r="AC7" i="143"/>
  <c r="Y7" i="143"/>
  <c r="X7" i="143"/>
  <c r="W7" i="143"/>
  <c r="V7" i="143"/>
  <c r="U7" i="143"/>
  <c r="T7" i="143"/>
  <c r="S7" i="143"/>
  <c r="R7" i="143"/>
  <c r="Q7" i="143"/>
  <c r="P7" i="143"/>
  <c r="I7" i="143"/>
  <c r="E36" i="143"/>
  <c r="E35" i="143"/>
  <c r="E34" i="143"/>
  <c r="E33" i="143"/>
  <c r="E32" i="143"/>
  <c r="E31" i="143"/>
  <c r="E30" i="143"/>
  <c r="E29" i="143"/>
  <c r="E28" i="143"/>
  <c r="E27" i="143"/>
  <c r="E26" i="143"/>
  <c r="E25" i="143"/>
  <c r="E24" i="143"/>
  <c r="E23" i="143"/>
  <c r="E22" i="143"/>
  <c r="E21" i="143"/>
  <c r="E20" i="143"/>
  <c r="E19" i="143"/>
  <c r="E18" i="143"/>
  <c r="E17" i="143"/>
  <c r="E16" i="143"/>
  <c r="E15" i="143"/>
  <c r="E14" i="143"/>
  <c r="E13" i="143"/>
  <c r="E12" i="143"/>
  <c r="E11" i="143"/>
  <c r="E10" i="143"/>
  <c r="E9" i="143"/>
  <c r="E8" i="143"/>
  <c r="E7" i="143"/>
  <c r="AJ6" i="142"/>
  <c r="AI6" i="142"/>
  <c r="AH6" i="142"/>
  <c r="AG6" i="142"/>
  <c r="AF6" i="142"/>
  <c r="AE6" i="142"/>
  <c r="AJ36" i="142"/>
  <c r="AI36" i="142"/>
  <c r="AH36" i="142"/>
  <c r="AG36" i="142"/>
  <c r="AF36" i="142"/>
  <c r="AE36" i="142"/>
  <c r="AD36" i="142"/>
  <c r="AC36" i="142"/>
  <c r="Y36" i="142"/>
  <c r="X36" i="142"/>
  <c r="W36" i="142"/>
  <c r="V36" i="142"/>
  <c r="U36" i="142"/>
  <c r="T36" i="142"/>
  <c r="S36" i="142"/>
  <c r="R36" i="142"/>
  <c r="Q36" i="142"/>
  <c r="P36" i="142"/>
  <c r="I36" i="142"/>
  <c r="AJ35" i="142"/>
  <c r="AI35" i="142"/>
  <c r="AH35" i="142"/>
  <c r="AG35" i="142"/>
  <c r="AF35" i="142"/>
  <c r="AE35" i="142"/>
  <c r="AD35" i="142"/>
  <c r="AC35" i="142"/>
  <c r="Y35" i="142"/>
  <c r="X35" i="142"/>
  <c r="W35" i="142"/>
  <c r="V35" i="142"/>
  <c r="U35" i="142"/>
  <c r="T35" i="142"/>
  <c r="S35" i="142"/>
  <c r="R35" i="142"/>
  <c r="Q35" i="142"/>
  <c r="P35" i="142"/>
  <c r="I35" i="142"/>
  <c r="AJ34" i="142"/>
  <c r="AI34" i="142"/>
  <c r="AH34" i="142"/>
  <c r="AG34" i="142"/>
  <c r="AF34" i="142"/>
  <c r="AE34" i="142"/>
  <c r="AD34" i="142"/>
  <c r="AC34" i="142"/>
  <c r="Y34" i="142"/>
  <c r="X34" i="142"/>
  <c r="W34" i="142"/>
  <c r="V34" i="142"/>
  <c r="U34" i="142"/>
  <c r="T34" i="142"/>
  <c r="S34" i="142"/>
  <c r="R34" i="142"/>
  <c r="Q34" i="142"/>
  <c r="P34" i="142"/>
  <c r="I34" i="142"/>
  <c r="AJ33" i="142"/>
  <c r="AI33" i="142"/>
  <c r="AH33" i="142"/>
  <c r="AG33" i="142"/>
  <c r="AF33" i="142"/>
  <c r="AE33" i="142"/>
  <c r="AD33" i="142"/>
  <c r="AC33" i="142"/>
  <c r="Y33" i="142"/>
  <c r="X33" i="142"/>
  <c r="W33" i="142"/>
  <c r="V33" i="142"/>
  <c r="U33" i="142"/>
  <c r="T33" i="142"/>
  <c r="S33" i="142"/>
  <c r="R33" i="142"/>
  <c r="Q33" i="142"/>
  <c r="P33" i="142"/>
  <c r="I33" i="142"/>
  <c r="AJ32" i="142"/>
  <c r="AI32" i="142"/>
  <c r="AH32" i="142"/>
  <c r="AG32" i="142"/>
  <c r="AF32" i="142"/>
  <c r="AE32" i="142"/>
  <c r="AD32" i="142"/>
  <c r="AC32" i="142"/>
  <c r="Y32" i="142"/>
  <c r="X32" i="142"/>
  <c r="W32" i="142"/>
  <c r="V32" i="142"/>
  <c r="U32" i="142"/>
  <c r="T32" i="142"/>
  <c r="S32" i="142"/>
  <c r="R32" i="142"/>
  <c r="Q32" i="142"/>
  <c r="P32" i="142"/>
  <c r="I32" i="142"/>
  <c r="AJ31" i="142"/>
  <c r="AI31" i="142"/>
  <c r="AH31" i="142"/>
  <c r="AG31" i="142"/>
  <c r="AF31" i="142"/>
  <c r="AE31" i="142"/>
  <c r="AD31" i="142"/>
  <c r="AC31" i="142"/>
  <c r="Y31" i="142"/>
  <c r="X31" i="142"/>
  <c r="W31" i="142"/>
  <c r="V31" i="142"/>
  <c r="U31" i="142"/>
  <c r="T31" i="142"/>
  <c r="S31" i="142"/>
  <c r="R31" i="142"/>
  <c r="Q31" i="142"/>
  <c r="P31" i="142"/>
  <c r="I31" i="142"/>
  <c r="AJ30" i="142"/>
  <c r="AI30" i="142"/>
  <c r="AH30" i="142"/>
  <c r="AG30" i="142"/>
  <c r="AF30" i="142"/>
  <c r="AE30" i="142"/>
  <c r="AD30" i="142"/>
  <c r="AC30" i="142"/>
  <c r="Y30" i="142"/>
  <c r="X30" i="142"/>
  <c r="W30" i="142"/>
  <c r="V30" i="142"/>
  <c r="U30" i="142"/>
  <c r="T30" i="142"/>
  <c r="S30" i="142"/>
  <c r="R30" i="142"/>
  <c r="Q30" i="142"/>
  <c r="P30" i="142"/>
  <c r="I30" i="142"/>
  <c r="AJ29" i="142"/>
  <c r="AI29" i="142"/>
  <c r="AH29" i="142"/>
  <c r="AG29" i="142"/>
  <c r="AF29" i="142"/>
  <c r="AE29" i="142"/>
  <c r="AD29" i="142"/>
  <c r="AC29" i="142"/>
  <c r="Y29" i="142"/>
  <c r="X29" i="142"/>
  <c r="W29" i="142"/>
  <c r="V29" i="142"/>
  <c r="U29" i="142"/>
  <c r="T29" i="142"/>
  <c r="S29" i="142"/>
  <c r="R29" i="142"/>
  <c r="Q29" i="142"/>
  <c r="P29" i="142"/>
  <c r="I29" i="142"/>
  <c r="AJ28" i="142"/>
  <c r="AI28" i="142"/>
  <c r="AH28" i="142"/>
  <c r="AG28" i="142"/>
  <c r="AF28" i="142"/>
  <c r="AE28" i="142"/>
  <c r="AD28" i="142"/>
  <c r="AC28" i="142"/>
  <c r="Y28" i="142"/>
  <c r="X28" i="142"/>
  <c r="W28" i="142"/>
  <c r="V28" i="142"/>
  <c r="U28" i="142"/>
  <c r="T28" i="142"/>
  <c r="S28" i="142"/>
  <c r="R28" i="142"/>
  <c r="Q28" i="142"/>
  <c r="P28" i="142"/>
  <c r="I28" i="142"/>
  <c r="AJ27" i="142"/>
  <c r="AI27" i="142"/>
  <c r="AH27" i="142"/>
  <c r="AG27" i="142"/>
  <c r="AF27" i="142"/>
  <c r="AE27" i="142"/>
  <c r="AD27" i="142"/>
  <c r="AC27" i="142"/>
  <c r="Y27" i="142"/>
  <c r="X27" i="142"/>
  <c r="W27" i="142"/>
  <c r="V27" i="142"/>
  <c r="U27" i="142"/>
  <c r="T27" i="142"/>
  <c r="S27" i="142"/>
  <c r="R27" i="142"/>
  <c r="Q27" i="142"/>
  <c r="P27" i="142"/>
  <c r="I27" i="142"/>
  <c r="AJ26" i="142"/>
  <c r="AI26" i="142"/>
  <c r="AH26" i="142"/>
  <c r="AG26" i="142"/>
  <c r="AF26" i="142"/>
  <c r="AE26" i="142"/>
  <c r="AD26" i="142"/>
  <c r="AC26" i="142"/>
  <c r="Y26" i="142"/>
  <c r="X26" i="142"/>
  <c r="W26" i="142"/>
  <c r="V26" i="142"/>
  <c r="U26" i="142"/>
  <c r="T26" i="142"/>
  <c r="S26" i="142"/>
  <c r="R26" i="142"/>
  <c r="Q26" i="142"/>
  <c r="P26" i="142"/>
  <c r="I26" i="142"/>
  <c r="AJ25" i="142"/>
  <c r="AI25" i="142"/>
  <c r="AH25" i="142"/>
  <c r="AG25" i="142"/>
  <c r="AF25" i="142"/>
  <c r="AE25" i="142"/>
  <c r="AD25" i="142"/>
  <c r="AC25" i="142"/>
  <c r="Y25" i="142"/>
  <c r="X25" i="142"/>
  <c r="W25" i="142"/>
  <c r="V25" i="142"/>
  <c r="U25" i="142"/>
  <c r="T25" i="142"/>
  <c r="S25" i="142"/>
  <c r="R25" i="142"/>
  <c r="Q25" i="142"/>
  <c r="P25" i="142"/>
  <c r="I25" i="142"/>
  <c r="AJ24" i="142"/>
  <c r="AI24" i="142"/>
  <c r="AH24" i="142"/>
  <c r="AG24" i="142"/>
  <c r="AF24" i="142"/>
  <c r="AE24" i="142"/>
  <c r="AD24" i="142"/>
  <c r="AC24" i="142"/>
  <c r="Y24" i="142"/>
  <c r="X24" i="142"/>
  <c r="W24" i="142"/>
  <c r="V24" i="142"/>
  <c r="U24" i="142"/>
  <c r="T24" i="142"/>
  <c r="S24" i="142"/>
  <c r="R24" i="142"/>
  <c r="Q24" i="142"/>
  <c r="P24" i="142"/>
  <c r="I24" i="142"/>
  <c r="AJ23" i="142"/>
  <c r="AI23" i="142"/>
  <c r="AH23" i="142"/>
  <c r="AG23" i="142"/>
  <c r="AF23" i="142"/>
  <c r="AE23" i="142"/>
  <c r="AD23" i="142"/>
  <c r="AC23" i="142"/>
  <c r="Y23" i="142"/>
  <c r="X23" i="142"/>
  <c r="W23" i="142"/>
  <c r="V23" i="142"/>
  <c r="U23" i="142"/>
  <c r="T23" i="142"/>
  <c r="S23" i="142"/>
  <c r="R23" i="142"/>
  <c r="Q23" i="142"/>
  <c r="P23" i="142"/>
  <c r="I23" i="142"/>
  <c r="AJ22" i="142"/>
  <c r="AI22" i="142"/>
  <c r="AH22" i="142"/>
  <c r="AG22" i="142"/>
  <c r="AF22" i="142"/>
  <c r="AE22" i="142"/>
  <c r="AD22" i="142"/>
  <c r="AC22" i="142"/>
  <c r="Y22" i="142"/>
  <c r="X22" i="142"/>
  <c r="W22" i="142"/>
  <c r="V22" i="142"/>
  <c r="U22" i="142"/>
  <c r="T22" i="142"/>
  <c r="S22" i="142"/>
  <c r="R22" i="142"/>
  <c r="Q22" i="142"/>
  <c r="P22" i="142"/>
  <c r="I22" i="142"/>
  <c r="AJ21" i="142"/>
  <c r="AI21" i="142"/>
  <c r="AH21" i="142"/>
  <c r="AG21" i="142"/>
  <c r="AF21" i="142"/>
  <c r="AE21" i="142"/>
  <c r="AD21" i="142"/>
  <c r="AC21" i="142"/>
  <c r="Y21" i="142"/>
  <c r="X21" i="142"/>
  <c r="W21" i="142"/>
  <c r="V21" i="142"/>
  <c r="U21" i="142"/>
  <c r="T21" i="142"/>
  <c r="S21" i="142"/>
  <c r="R21" i="142"/>
  <c r="Q21" i="142"/>
  <c r="P21" i="142"/>
  <c r="I21" i="142"/>
  <c r="AJ20" i="142"/>
  <c r="AI20" i="142"/>
  <c r="AH20" i="142"/>
  <c r="AG20" i="142"/>
  <c r="AF20" i="142"/>
  <c r="AE20" i="142"/>
  <c r="AD20" i="142"/>
  <c r="AC20" i="142"/>
  <c r="Y20" i="142"/>
  <c r="X20" i="142"/>
  <c r="W20" i="142"/>
  <c r="V20" i="142"/>
  <c r="U20" i="142"/>
  <c r="T20" i="142"/>
  <c r="S20" i="142"/>
  <c r="R20" i="142"/>
  <c r="Q20" i="142"/>
  <c r="P20" i="142"/>
  <c r="I20" i="142"/>
  <c r="AJ19" i="142"/>
  <c r="AI19" i="142"/>
  <c r="AH19" i="142"/>
  <c r="AG19" i="142"/>
  <c r="AF19" i="142"/>
  <c r="AE19" i="142"/>
  <c r="AD19" i="142"/>
  <c r="AC19" i="142"/>
  <c r="Y19" i="142"/>
  <c r="X19" i="142"/>
  <c r="W19" i="142"/>
  <c r="V19" i="142"/>
  <c r="U19" i="142"/>
  <c r="T19" i="142"/>
  <c r="S19" i="142"/>
  <c r="R19" i="142"/>
  <c r="Q19" i="142"/>
  <c r="P19" i="142"/>
  <c r="I19" i="142"/>
  <c r="AJ18" i="142"/>
  <c r="AI18" i="142"/>
  <c r="AH18" i="142"/>
  <c r="AG18" i="142"/>
  <c r="AF18" i="142"/>
  <c r="AE18" i="142"/>
  <c r="AD18" i="142"/>
  <c r="AC18" i="142"/>
  <c r="Y18" i="142"/>
  <c r="X18" i="142"/>
  <c r="W18" i="142"/>
  <c r="V18" i="142"/>
  <c r="U18" i="142"/>
  <c r="T18" i="142"/>
  <c r="S18" i="142"/>
  <c r="R18" i="142"/>
  <c r="Q18" i="142"/>
  <c r="P18" i="142"/>
  <c r="I18" i="142"/>
  <c r="AJ17" i="142"/>
  <c r="AI17" i="142"/>
  <c r="AH17" i="142"/>
  <c r="AG17" i="142"/>
  <c r="AF17" i="142"/>
  <c r="AE17" i="142"/>
  <c r="AD17" i="142"/>
  <c r="AC17" i="142"/>
  <c r="Y17" i="142"/>
  <c r="X17" i="142"/>
  <c r="W17" i="142"/>
  <c r="V17" i="142"/>
  <c r="U17" i="142"/>
  <c r="T17" i="142"/>
  <c r="S17" i="142"/>
  <c r="R17" i="142"/>
  <c r="Q17" i="142"/>
  <c r="P17" i="142"/>
  <c r="I17" i="142"/>
  <c r="AJ16" i="142"/>
  <c r="AI16" i="142"/>
  <c r="AH16" i="142"/>
  <c r="AG16" i="142"/>
  <c r="AF16" i="142"/>
  <c r="AE16" i="142"/>
  <c r="AD16" i="142"/>
  <c r="AC16" i="142"/>
  <c r="Y16" i="142"/>
  <c r="X16" i="142"/>
  <c r="W16" i="142"/>
  <c r="V16" i="142"/>
  <c r="U16" i="142"/>
  <c r="T16" i="142"/>
  <c r="S16" i="142"/>
  <c r="R16" i="142"/>
  <c r="Q16" i="142"/>
  <c r="P16" i="142"/>
  <c r="I16" i="142"/>
  <c r="AJ15" i="142"/>
  <c r="AI15" i="142"/>
  <c r="AH15" i="142"/>
  <c r="AG15" i="142"/>
  <c r="AF15" i="142"/>
  <c r="AE15" i="142"/>
  <c r="AD15" i="142"/>
  <c r="AC15" i="142"/>
  <c r="Y15" i="142"/>
  <c r="X15" i="142"/>
  <c r="W15" i="142"/>
  <c r="V15" i="142"/>
  <c r="U15" i="142"/>
  <c r="T15" i="142"/>
  <c r="S15" i="142"/>
  <c r="R15" i="142"/>
  <c r="Q15" i="142"/>
  <c r="P15" i="142"/>
  <c r="I15" i="142"/>
  <c r="AJ14" i="142"/>
  <c r="AI14" i="142"/>
  <c r="AH14" i="142"/>
  <c r="AG14" i="142"/>
  <c r="AF14" i="142"/>
  <c r="AE14" i="142"/>
  <c r="AD14" i="142"/>
  <c r="AC14" i="142"/>
  <c r="Y14" i="142"/>
  <c r="X14" i="142"/>
  <c r="W14" i="142"/>
  <c r="V14" i="142"/>
  <c r="U14" i="142"/>
  <c r="T14" i="142"/>
  <c r="S14" i="142"/>
  <c r="R14" i="142"/>
  <c r="Q14" i="142"/>
  <c r="P14" i="142"/>
  <c r="I14" i="142"/>
  <c r="AJ13" i="142"/>
  <c r="AI13" i="142"/>
  <c r="AH13" i="142"/>
  <c r="AG13" i="142"/>
  <c r="AF13" i="142"/>
  <c r="AE13" i="142"/>
  <c r="AD13" i="142"/>
  <c r="AC13" i="142"/>
  <c r="Y13" i="142"/>
  <c r="X13" i="142"/>
  <c r="W13" i="142"/>
  <c r="V13" i="142"/>
  <c r="U13" i="142"/>
  <c r="T13" i="142"/>
  <c r="S13" i="142"/>
  <c r="R13" i="142"/>
  <c r="Q13" i="142"/>
  <c r="P13" i="142"/>
  <c r="I13" i="142"/>
  <c r="AJ12" i="142"/>
  <c r="AI12" i="142"/>
  <c r="AH12" i="142"/>
  <c r="AG12" i="142"/>
  <c r="AF12" i="142"/>
  <c r="AE12" i="142"/>
  <c r="AD12" i="142"/>
  <c r="AC12" i="142"/>
  <c r="Y12" i="142"/>
  <c r="X12" i="142"/>
  <c r="W12" i="142"/>
  <c r="V12" i="142"/>
  <c r="U12" i="142"/>
  <c r="T12" i="142"/>
  <c r="S12" i="142"/>
  <c r="R12" i="142"/>
  <c r="Q12" i="142"/>
  <c r="P12" i="142"/>
  <c r="I12" i="142"/>
  <c r="AJ11" i="142"/>
  <c r="AI11" i="142"/>
  <c r="AH11" i="142"/>
  <c r="AG11" i="142"/>
  <c r="AF11" i="142"/>
  <c r="AE11" i="142"/>
  <c r="AD11" i="142"/>
  <c r="AC11" i="142"/>
  <c r="Y11" i="142"/>
  <c r="X11" i="142"/>
  <c r="W11" i="142"/>
  <c r="V11" i="142"/>
  <c r="U11" i="142"/>
  <c r="T11" i="142"/>
  <c r="S11" i="142"/>
  <c r="R11" i="142"/>
  <c r="Q11" i="142"/>
  <c r="P11" i="142"/>
  <c r="I11" i="142"/>
  <c r="AJ10" i="142"/>
  <c r="AI10" i="142"/>
  <c r="AH10" i="142"/>
  <c r="AG10" i="142"/>
  <c r="AF10" i="142"/>
  <c r="AE10" i="142"/>
  <c r="AD10" i="142"/>
  <c r="AC10" i="142"/>
  <c r="Y10" i="142"/>
  <c r="X10" i="142"/>
  <c r="W10" i="142"/>
  <c r="V10" i="142"/>
  <c r="U10" i="142"/>
  <c r="T10" i="142"/>
  <c r="S10" i="142"/>
  <c r="R10" i="142"/>
  <c r="Q10" i="142"/>
  <c r="P10" i="142"/>
  <c r="I10" i="142"/>
  <c r="AJ9" i="142"/>
  <c r="AI9" i="142"/>
  <c r="AH9" i="142"/>
  <c r="AG9" i="142"/>
  <c r="AF9" i="142"/>
  <c r="AE9" i="142"/>
  <c r="AD9" i="142"/>
  <c r="AC9" i="142"/>
  <c r="Y9" i="142"/>
  <c r="X9" i="142"/>
  <c r="W9" i="142"/>
  <c r="V9" i="142"/>
  <c r="U9" i="142"/>
  <c r="T9" i="142"/>
  <c r="S9" i="142"/>
  <c r="R9" i="142"/>
  <c r="Q9" i="142"/>
  <c r="P9" i="142"/>
  <c r="I9" i="142"/>
  <c r="AJ8" i="142"/>
  <c r="AI8" i="142"/>
  <c r="AH8" i="142"/>
  <c r="AG8" i="142"/>
  <c r="AF8" i="142"/>
  <c r="AE8" i="142"/>
  <c r="AD8" i="142"/>
  <c r="AC8" i="142"/>
  <c r="Y8" i="142"/>
  <c r="X8" i="142"/>
  <c r="W8" i="142"/>
  <c r="V8" i="142"/>
  <c r="U8" i="142"/>
  <c r="T8" i="142"/>
  <c r="S8" i="142"/>
  <c r="R8" i="142"/>
  <c r="Q8" i="142"/>
  <c r="P8" i="142"/>
  <c r="I8" i="142"/>
  <c r="AJ7" i="142"/>
  <c r="AI7" i="142"/>
  <c r="AH7" i="142"/>
  <c r="AG7" i="142"/>
  <c r="AF7" i="142"/>
  <c r="AE7" i="142"/>
  <c r="AD7" i="142"/>
  <c r="AC7" i="142"/>
  <c r="Y7" i="142"/>
  <c r="X7" i="142"/>
  <c r="W7" i="142"/>
  <c r="V7" i="142"/>
  <c r="U7" i="142"/>
  <c r="T7" i="142"/>
  <c r="S7" i="142"/>
  <c r="R7" i="142"/>
  <c r="Q7" i="142"/>
  <c r="P7" i="142"/>
  <c r="I7" i="142"/>
  <c r="E36" i="142"/>
  <c r="E35" i="142"/>
  <c r="E34" i="142"/>
  <c r="E33" i="142"/>
  <c r="E32" i="142"/>
  <c r="E31" i="142"/>
  <c r="E30" i="142"/>
  <c r="E29" i="142"/>
  <c r="E28" i="142"/>
  <c r="E27" i="142"/>
  <c r="E26" i="142"/>
  <c r="E25" i="142"/>
  <c r="E24" i="142"/>
  <c r="E23" i="142"/>
  <c r="E22" i="142"/>
  <c r="E21" i="142"/>
  <c r="E20" i="142"/>
  <c r="E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AJ6" i="139"/>
  <c r="AI6" i="139"/>
  <c r="AH6" i="139"/>
  <c r="AG6" i="139"/>
  <c r="AF6" i="139"/>
  <c r="AE6" i="139"/>
  <c r="AJ36" i="139"/>
  <c r="AI36" i="139"/>
  <c r="AH36" i="139"/>
  <c r="AG36" i="139"/>
  <c r="AF36" i="139"/>
  <c r="AE36" i="139"/>
  <c r="AD36" i="139"/>
  <c r="AC36" i="139"/>
  <c r="Y36" i="139"/>
  <c r="X36" i="139"/>
  <c r="W36" i="139"/>
  <c r="V36" i="139"/>
  <c r="U36" i="139"/>
  <c r="T36" i="139"/>
  <c r="S36" i="139"/>
  <c r="R36" i="139"/>
  <c r="Q36" i="139"/>
  <c r="P36" i="139"/>
  <c r="I36" i="139"/>
  <c r="AJ35" i="139"/>
  <c r="AI35" i="139"/>
  <c r="AH35" i="139"/>
  <c r="AG35" i="139"/>
  <c r="AF35" i="139"/>
  <c r="AE35" i="139"/>
  <c r="AD35" i="139"/>
  <c r="AC35" i="139"/>
  <c r="Y35" i="139"/>
  <c r="X35" i="139"/>
  <c r="W35" i="139"/>
  <c r="V35" i="139"/>
  <c r="U35" i="139"/>
  <c r="T35" i="139"/>
  <c r="S35" i="139"/>
  <c r="R35" i="139"/>
  <c r="Q35" i="139"/>
  <c r="P35" i="139"/>
  <c r="I35" i="139"/>
  <c r="AJ34" i="139"/>
  <c r="AI34" i="139"/>
  <c r="AH34" i="139"/>
  <c r="AG34" i="139"/>
  <c r="AF34" i="139"/>
  <c r="AE34" i="139"/>
  <c r="AD34" i="139"/>
  <c r="AC34" i="139"/>
  <c r="Y34" i="139"/>
  <c r="X34" i="139"/>
  <c r="W34" i="139"/>
  <c r="V34" i="139"/>
  <c r="U34" i="139"/>
  <c r="T34" i="139"/>
  <c r="S34" i="139"/>
  <c r="R34" i="139"/>
  <c r="Q34" i="139"/>
  <c r="P34" i="139"/>
  <c r="I34" i="139"/>
  <c r="AJ33" i="139"/>
  <c r="AI33" i="139"/>
  <c r="AH33" i="139"/>
  <c r="AG33" i="139"/>
  <c r="AF33" i="139"/>
  <c r="AE33" i="139"/>
  <c r="AD33" i="139"/>
  <c r="AC33" i="139"/>
  <c r="Y33" i="139"/>
  <c r="X33" i="139"/>
  <c r="W33" i="139"/>
  <c r="V33" i="139"/>
  <c r="U33" i="139"/>
  <c r="T33" i="139"/>
  <c r="S33" i="139"/>
  <c r="R33" i="139"/>
  <c r="Q33" i="139"/>
  <c r="P33" i="139"/>
  <c r="I33" i="139"/>
  <c r="AJ32" i="139"/>
  <c r="AI32" i="139"/>
  <c r="AH32" i="139"/>
  <c r="AG32" i="139"/>
  <c r="AF32" i="139"/>
  <c r="AE32" i="139"/>
  <c r="AD32" i="139"/>
  <c r="AC32" i="139"/>
  <c r="Y32" i="139"/>
  <c r="X32" i="139"/>
  <c r="W32" i="139"/>
  <c r="V32" i="139"/>
  <c r="U32" i="139"/>
  <c r="T32" i="139"/>
  <c r="S32" i="139"/>
  <c r="R32" i="139"/>
  <c r="Q32" i="139"/>
  <c r="P32" i="139"/>
  <c r="I32" i="139"/>
  <c r="AJ31" i="139"/>
  <c r="AI31" i="139"/>
  <c r="AH31" i="139"/>
  <c r="AG31" i="139"/>
  <c r="AF31" i="139"/>
  <c r="AE31" i="139"/>
  <c r="AD31" i="139"/>
  <c r="AC31" i="139"/>
  <c r="Y31" i="139"/>
  <c r="X31" i="139"/>
  <c r="W31" i="139"/>
  <c r="V31" i="139"/>
  <c r="U31" i="139"/>
  <c r="T31" i="139"/>
  <c r="S31" i="139"/>
  <c r="R31" i="139"/>
  <c r="Q31" i="139"/>
  <c r="P31" i="139"/>
  <c r="I31" i="139"/>
  <c r="AJ30" i="139"/>
  <c r="AI30" i="139"/>
  <c r="AH30" i="139"/>
  <c r="AG30" i="139"/>
  <c r="AF30" i="139"/>
  <c r="AE30" i="139"/>
  <c r="AD30" i="139"/>
  <c r="AC30" i="139"/>
  <c r="Y30" i="139"/>
  <c r="X30" i="139"/>
  <c r="W30" i="139"/>
  <c r="V30" i="139"/>
  <c r="U30" i="139"/>
  <c r="T30" i="139"/>
  <c r="S30" i="139"/>
  <c r="R30" i="139"/>
  <c r="Q30" i="139"/>
  <c r="P30" i="139"/>
  <c r="I30" i="139"/>
  <c r="AJ29" i="139"/>
  <c r="AI29" i="139"/>
  <c r="AH29" i="139"/>
  <c r="AG29" i="139"/>
  <c r="AF29" i="139"/>
  <c r="AE29" i="139"/>
  <c r="AD29" i="139"/>
  <c r="AC29" i="139"/>
  <c r="Y29" i="139"/>
  <c r="X29" i="139"/>
  <c r="W29" i="139"/>
  <c r="V29" i="139"/>
  <c r="U29" i="139"/>
  <c r="T29" i="139"/>
  <c r="S29" i="139"/>
  <c r="R29" i="139"/>
  <c r="Q29" i="139"/>
  <c r="P29" i="139"/>
  <c r="I29" i="139"/>
  <c r="AJ28" i="139"/>
  <c r="AI28" i="139"/>
  <c r="AH28" i="139"/>
  <c r="AG28" i="139"/>
  <c r="AF28" i="139"/>
  <c r="AE28" i="139"/>
  <c r="AD28" i="139"/>
  <c r="AC28" i="139"/>
  <c r="Y28" i="139"/>
  <c r="X28" i="139"/>
  <c r="W28" i="139"/>
  <c r="V28" i="139"/>
  <c r="U28" i="139"/>
  <c r="T28" i="139"/>
  <c r="S28" i="139"/>
  <c r="R28" i="139"/>
  <c r="Q28" i="139"/>
  <c r="P28" i="139"/>
  <c r="I28" i="139"/>
  <c r="AJ27" i="139"/>
  <c r="AI27" i="139"/>
  <c r="AH27" i="139"/>
  <c r="AG27" i="139"/>
  <c r="AF27" i="139"/>
  <c r="AE27" i="139"/>
  <c r="AD27" i="139"/>
  <c r="AC27" i="139"/>
  <c r="Y27" i="139"/>
  <c r="X27" i="139"/>
  <c r="W27" i="139"/>
  <c r="V27" i="139"/>
  <c r="U27" i="139"/>
  <c r="T27" i="139"/>
  <c r="S27" i="139"/>
  <c r="R27" i="139"/>
  <c r="Q27" i="139"/>
  <c r="P27" i="139"/>
  <c r="I27" i="139"/>
  <c r="AJ26" i="139"/>
  <c r="AI26" i="139"/>
  <c r="AH26" i="139"/>
  <c r="AG26" i="139"/>
  <c r="AF26" i="139"/>
  <c r="AE26" i="139"/>
  <c r="AD26" i="139"/>
  <c r="AC26" i="139"/>
  <c r="Y26" i="139"/>
  <c r="X26" i="139"/>
  <c r="W26" i="139"/>
  <c r="V26" i="139"/>
  <c r="U26" i="139"/>
  <c r="T26" i="139"/>
  <c r="S26" i="139"/>
  <c r="R26" i="139"/>
  <c r="Q26" i="139"/>
  <c r="P26" i="139"/>
  <c r="I26" i="139"/>
  <c r="AJ25" i="139"/>
  <c r="AI25" i="139"/>
  <c r="AH25" i="139"/>
  <c r="AG25" i="139"/>
  <c r="AF25" i="139"/>
  <c r="AE25" i="139"/>
  <c r="AD25" i="139"/>
  <c r="AC25" i="139"/>
  <c r="Y25" i="139"/>
  <c r="X25" i="139"/>
  <c r="W25" i="139"/>
  <c r="V25" i="139"/>
  <c r="U25" i="139"/>
  <c r="T25" i="139"/>
  <c r="S25" i="139"/>
  <c r="R25" i="139"/>
  <c r="Q25" i="139"/>
  <c r="P25" i="139"/>
  <c r="I25" i="139"/>
  <c r="AJ24" i="139"/>
  <c r="AI24" i="139"/>
  <c r="AH24" i="139"/>
  <c r="AG24" i="139"/>
  <c r="AF24" i="139"/>
  <c r="AE24" i="139"/>
  <c r="AD24" i="139"/>
  <c r="AC24" i="139"/>
  <c r="Y24" i="139"/>
  <c r="X24" i="139"/>
  <c r="W24" i="139"/>
  <c r="V24" i="139"/>
  <c r="U24" i="139"/>
  <c r="T24" i="139"/>
  <c r="S24" i="139"/>
  <c r="R24" i="139"/>
  <c r="Q24" i="139"/>
  <c r="P24" i="139"/>
  <c r="I24" i="139"/>
  <c r="AJ23" i="139"/>
  <c r="AI23" i="139"/>
  <c r="AH23" i="139"/>
  <c r="AG23" i="139"/>
  <c r="AF23" i="139"/>
  <c r="AE23" i="139"/>
  <c r="AD23" i="139"/>
  <c r="AC23" i="139"/>
  <c r="Y23" i="139"/>
  <c r="X23" i="139"/>
  <c r="W23" i="139"/>
  <c r="V23" i="139"/>
  <c r="U23" i="139"/>
  <c r="T23" i="139"/>
  <c r="S23" i="139"/>
  <c r="R23" i="139"/>
  <c r="Q23" i="139"/>
  <c r="P23" i="139"/>
  <c r="I23" i="139"/>
  <c r="AJ22" i="139"/>
  <c r="AI22" i="139"/>
  <c r="AH22" i="139"/>
  <c r="AG22" i="139"/>
  <c r="AF22" i="139"/>
  <c r="AE22" i="139"/>
  <c r="AD22" i="139"/>
  <c r="AC22" i="139"/>
  <c r="Y22" i="139"/>
  <c r="X22" i="139"/>
  <c r="W22" i="139"/>
  <c r="V22" i="139"/>
  <c r="U22" i="139"/>
  <c r="T22" i="139"/>
  <c r="S22" i="139"/>
  <c r="R22" i="139"/>
  <c r="Q22" i="139"/>
  <c r="P22" i="139"/>
  <c r="I22" i="139"/>
  <c r="AJ21" i="139"/>
  <c r="AI21" i="139"/>
  <c r="AH21" i="139"/>
  <c r="AG21" i="139"/>
  <c r="AF21" i="139"/>
  <c r="AE21" i="139"/>
  <c r="AD21" i="139"/>
  <c r="AC21" i="139"/>
  <c r="Y21" i="139"/>
  <c r="X21" i="139"/>
  <c r="W21" i="139"/>
  <c r="V21" i="139"/>
  <c r="U21" i="139"/>
  <c r="T21" i="139"/>
  <c r="S21" i="139"/>
  <c r="R21" i="139"/>
  <c r="Q21" i="139"/>
  <c r="P21" i="139"/>
  <c r="I21" i="139"/>
  <c r="AJ20" i="139"/>
  <c r="AI20" i="139"/>
  <c r="AH20" i="139"/>
  <c r="AG20" i="139"/>
  <c r="AF20" i="139"/>
  <c r="AE20" i="139"/>
  <c r="AD20" i="139"/>
  <c r="AC20" i="139"/>
  <c r="Y20" i="139"/>
  <c r="X20" i="139"/>
  <c r="W20" i="139"/>
  <c r="V20" i="139"/>
  <c r="U20" i="139"/>
  <c r="T20" i="139"/>
  <c r="S20" i="139"/>
  <c r="R20" i="139"/>
  <c r="Q20" i="139"/>
  <c r="P20" i="139"/>
  <c r="I20" i="139"/>
  <c r="AJ19" i="139"/>
  <c r="AI19" i="139"/>
  <c r="AH19" i="139"/>
  <c r="AG19" i="139"/>
  <c r="AF19" i="139"/>
  <c r="AE19" i="139"/>
  <c r="AD19" i="139"/>
  <c r="AC19" i="139"/>
  <c r="Y19" i="139"/>
  <c r="X19" i="139"/>
  <c r="W19" i="139"/>
  <c r="V19" i="139"/>
  <c r="U19" i="139"/>
  <c r="T19" i="139"/>
  <c r="S19" i="139"/>
  <c r="R19" i="139"/>
  <c r="Q19" i="139"/>
  <c r="P19" i="139"/>
  <c r="I19" i="139"/>
  <c r="AJ18" i="139"/>
  <c r="AI18" i="139"/>
  <c r="AH18" i="139"/>
  <c r="AG18" i="139"/>
  <c r="AF18" i="139"/>
  <c r="AE18" i="139"/>
  <c r="AD18" i="139"/>
  <c r="AC18" i="139"/>
  <c r="Y18" i="139"/>
  <c r="X18" i="139"/>
  <c r="W18" i="139"/>
  <c r="V18" i="139"/>
  <c r="U18" i="139"/>
  <c r="T18" i="139"/>
  <c r="S18" i="139"/>
  <c r="R18" i="139"/>
  <c r="Q18" i="139"/>
  <c r="P18" i="139"/>
  <c r="I18" i="139"/>
  <c r="AJ17" i="139"/>
  <c r="AI17" i="139"/>
  <c r="AH17" i="139"/>
  <c r="AG17" i="139"/>
  <c r="AF17" i="139"/>
  <c r="AE17" i="139"/>
  <c r="AD17" i="139"/>
  <c r="AC17" i="139"/>
  <c r="Y17" i="139"/>
  <c r="X17" i="139"/>
  <c r="W17" i="139"/>
  <c r="V17" i="139"/>
  <c r="U17" i="139"/>
  <c r="T17" i="139"/>
  <c r="S17" i="139"/>
  <c r="R17" i="139"/>
  <c r="Q17" i="139"/>
  <c r="P17" i="139"/>
  <c r="I17" i="139"/>
  <c r="AJ16" i="139"/>
  <c r="AI16" i="139"/>
  <c r="AH16" i="139"/>
  <c r="AG16" i="139"/>
  <c r="AF16" i="139"/>
  <c r="AE16" i="139"/>
  <c r="AD16" i="139"/>
  <c r="AC16" i="139"/>
  <c r="Y16" i="139"/>
  <c r="X16" i="139"/>
  <c r="W16" i="139"/>
  <c r="V16" i="139"/>
  <c r="U16" i="139"/>
  <c r="T16" i="139"/>
  <c r="S16" i="139"/>
  <c r="R16" i="139"/>
  <c r="Q16" i="139"/>
  <c r="P16" i="139"/>
  <c r="I16" i="139"/>
  <c r="AJ15" i="139"/>
  <c r="AI15" i="139"/>
  <c r="AH15" i="139"/>
  <c r="AG15" i="139"/>
  <c r="AF15" i="139"/>
  <c r="AE15" i="139"/>
  <c r="AD15" i="139"/>
  <c r="AC15" i="139"/>
  <c r="Y15" i="139"/>
  <c r="X15" i="139"/>
  <c r="W15" i="139"/>
  <c r="V15" i="139"/>
  <c r="U15" i="139"/>
  <c r="T15" i="139"/>
  <c r="S15" i="139"/>
  <c r="R15" i="139"/>
  <c r="Q15" i="139"/>
  <c r="P15" i="139"/>
  <c r="I15" i="139"/>
  <c r="AJ14" i="139"/>
  <c r="AI14" i="139"/>
  <c r="AH14" i="139"/>
  <c r="AG14" i="139"/>
  <c r="AF14" i="139"/>
  <c r="AE14" i="139"/>
  <c r="AD14" i="139"/>
  <c r="AC14" i="139"/>
  <c r="Y14" i="139"/>
  <c r="X14" i="139"/>
  <c r="W14" i="139"/>
  <c r="V14" i="139"/>
  <c r="U14" i="139"/>
  <c r="T14" i="139"/>
  <c r="S14" i="139"/>
  <c r="R14" i="139"/>
  <c r="Q14" i="139"/>
  <c r="P14" i="139"/>
  <c r="I14" i="139"/>
  <c r="AJ13" i="139"/>
  <c r="AI13" i="139"/>
  <c r="AH13" i="139"/>
  <c r="AG13" i="139"/>
  <c r="AF13" i="139"/>
  <c r="AE13" i="139"/>
  <c r="AD13" i="139"/>
  <c r="AC13" i="139"/>
  <c r="Y13" i="139"/>
  <c r="X13" i="139"/>
  <c r="W13" i="139"/>
  <c r="V13" i="139"/>
  <c r="U13" i="139"/>
  <c r="T13" i="139"/>
  <c r="S13" i="139"/>
  <c r="R13" i="139"/>
  <c r="Q13" i="139"/>
  <c r="P13" i="139"/>
  <c r="I13" i="139"/>
  <c r="AJ12" i="139"/>
  <c r="AI12" i="139"/>
  <c r="AH12" i="139"/>
  <c r="AG12" i="139"/>
  <c r="AF12" i="139"/>
  <c r="AE12" i="139"/>
  <c r="AD12" i="139"/>
  <c r="AC12" i="139"/>
  <c r="Y12" i="139"/>
  <c r="X12" i="139"/>
  <c r="W12" i="139"/>
  <c r="V12" i="139"/>
  <c r="U12" i="139"/>
  <c r="T12" i="139"/>
  <c r="S12" i="139"/>
  <c r="R12" i="139"/>
  <c r="Q12" i="139"/>
  <c r="P12" i="139"/>
  <c r="I12" i="139"/>
  <c r="AJ11" i="139"/>
  <c r="AI11" i="139"/>
  <c r="AH11" i="139"/>
  <c r="AG11" i="139"/>
  <c r="AF11" i="139"/>
  <c r="AE11" i="139"/>
  <c r="AD11" i="139"/>
  <c r="AC11" i="139"/>
  <c r="Y11" i="139"/>
  <c r="X11" i="139"/>
  <c r="W11" i="139"/>
  <c r="V11" i="139"/>
  <c r="U11" i="139"/>
  <c r="T11" i="139"/>
  <c r="S11" i="139"/>
  <c r="R11" i="139"/>
  <c r="Q11" i="139"/>
  <c r="P11" i="139"/>
  <c r="I11" i="139"/>
  <c r="AJ10" i="139"/>
  <c r="AI10" i="139"/>
  <c r="AH10" i="139"/>
  <c r="AG10" i="139"/>
  <c r="AF10" i="139"/>
  <c r="AE10" i="139"/>
  <c r="AD10" i="139"/>
  <c r="AC10" i="139"/>
  <c r="Y10" i="139"/>
  <c r="X10" i="139"/>
  <c r="W10" i="139"/>
  <c r="V10" i="139"/>
  <c r="U10" i="139"/>
  <c r="T10" i="139"/>
  <c r="S10" i="139"/>
  <c r="R10" i="139"/>
  <c r="Q10" i="139"/>
  <c r="P10" i="139"/>
  <c r="I10" i="139"/>
  <c r="AJ9" i="139"/>
  <c r="AI9" i="139"/>
  <c r="AH9" i="139"/>
  <c r="AG9" i="139"/>
  <c r="AF9" i="139"/>
  <c r="AE9" i="139"/>
  <c r="AD9" i="139"/>
  <c r="AC9" i="139"/>
  <c r="Y9" i="139"/>
  <c r="X9" i="139"/>
  <c r="W9" i="139"/>
  <c r="V9" i="139"/>
  <c r="U9" i="139"/>
  <c r="T9" i="139"/>
  <c r="S9" i="139"/>
  <c r="R9" i="139"/>
  <c r="Q9" i="139"/>
  <c r="P9" i="139"/>
  <c r="I9" i="139"/>
  <c r="AJ8" i="139"/>
  <c r="AI8" i="139"/>
  <c r="AH8" i="139"/>
  <c r="AG8" i="139"/>
  <c r="AF8" i="139"/>
  <c r="AE8" i="139"/>
  <c r="AD8" i="139"/>
  <c r="AC8" i="139"/>
  <c r="Y8" i="139"/>
  <c r="X8" i="139"/>
  <c r="W8" i="139"/>
  <c r="V8" i="139"/>
  <c r="U8" i="139"/>
  <c r="T8" i="139"/>
  <c r="S8" i="139"/>
  <c r="R8" i="139"/>
  <c r="Q8" i="139"/>
  <c r="P8" i="139"/>
  <c r="I8" i="139"/>
  <c r="AJ7" i="139"/>
  <c r="AI7" i="139"/>
  <c r="AH7" i="139"/>
  <c r="AG7" i="139"/>
  <c r="AF7" i="139"/>
  <c r="AE7" i="139"/>
  <c r="AD7" i="139"/>
  <c r="AC7" i="139"/>
  <c r="Y7" i="139"/>
  <c r="X7" i="139"/>
  <c r="W7" i="139"/>
  <c r="V7" i="139"/>
  <c r="U7" i="139"/>
  <c r="T7" i="139"/>
  <c r="S7" i="139"/>
  <c r="R7" i="139"/>
  <c r="Q7" i="139"/>
  <c r="P7" i="139"/>
  <c r="I7" i="139"/>
  <c r="E36" i="139"/>
  <c r="E35" i="139"/>
  <c r="E34" i="139"/>
  <c r="E33" i="139"/>
  <c r="E32" i="139"/>
  <c r="E31" i="139"/>
  <c r="E30" i="139"/>
  <c r="E29" i="139"/>
  <c r="E28" i="139"/>
  <c r="E27" i="139"/>
  <c r="E26" i="139"/>
  <c r="E25" i="139"/>
  <c r="E24" i="139"/>
  <c r="E23" i="139"/>
  <c r="E22" i="139"/>
  <c r="E21" i="139"/>
  <c r="E20" i="139"/>
  <c r="E19" i="139"/>
  <c r="E18" i="139"/>
  <c r="E17" i="139"/>
  <c r="E16" i="139"/>
  <c r="E15" i="139"/>
  <c r="E14" i="139"/>
  <c r="E13" i="139"/>
  <c r="E12" i="139"/>
  <c r="E11" i="139"/>
  <c r="E10" i="139"/>
  <c r="E9" i="139"/>
  <c r="E8" i="139"/>
  <c r="E7" i="139"/>
  <c r="AJ6" i="141"/>
  <c r="AI6" i="141"/>
  <c r="AH6" i="141"/>
  <c r="AG6" i="141"/>
  <c r="AF6" i="141"/>
  <c r="AE6" i="141"/>
  <c r="AJ36" i="141"/>
  <c r="AI36" i="141"/>
  <c r="AH36" i="141"/>
  <c r="AG36" i="141"/>
  <c r="AF36" i="141"/>
  <c r="AE36" i="141"/>
  <c r="AD36" i="141"/>
  <c r="AC36" i="141"/>
  <c r="Y36" i="141"/>
  <c r="X36" i="141"/>
  <c r="W36" i="141"/>
  <c r="V36" i="141"/>
  <c r="U36" i="141"/>
  <c r="T36" i="141"/>
  <c r="S36" i="141"/>
  <c r="R36" i="141"/>
  <c r="Q36" i="141"/>
  <c r="P36" i="141"/>
  <c r="I36" i="141"/>
  <c r="E36" i="141"/>
  <c r="AJ35" i="141"/>
  <c r="AI35" i="141"/>
  <c r="AH35" i="141"/>
  <c r="AG35" i="141"/>
  <c r="AF35" i="141"/>
  <c r="AE35" i="141"/>
  <c r="AD35" i="141"/>
  <c r="AC35" i="141"/>
  <c r="Y35" i="141"/>
  <c r="X35" i="141"/>
  <c r="W35" i="141"/>
  <c r="V35" i="141"/>
  <c r="U35" i="141"/>
  <c r="T35" i="141"/>
  <c r="S35" i="141"/>
  <c r="R35" i="141"/>
  <c r="Q35" i="141"/>
  <c r="P35" i="141"/>
  <c r="I35" i="141"/>
  <c r="E35" i="141"/>
  <c r="AJ34" i="141"/>
  <c r="AI34" i="141"/>
  <c r="AH34" i="141"/>
  <c r="AG34" i="141"/>
  <c r="AF34" i="141"/>
  <c r="AE34" i="141"/>
  <c r="AD34" i="141"/>
  <c r="AC34" i="141"/>
  <c r="Y34" i="141"/>
  <c r="X34" i="141"/>
  <c r="W34" i="141"/>
  <c r="V34" i="141"/>
  <c r="U34" i="141"/>
  <c r="T34" i="141"/>
  <c r="S34" i="141"/>
  <c r="R34" i="141"/>
  <c r="Q34" i="141"/>
  <c r="P34" i="141"/>
  <c r="I34" i="141"/>
  <c r="E34" i="141"/>
  <c r="AJ33" i="141"/>
  <c r="AI33" i="141"/>
  <c r="AH33" i="141"/>
  <c r="AG33" i="141"/>
  <c r="AF33" i="141"/>
  <c r="AE33" i="141"/>
  <c r="AD33" i="141"/>
  <c r="AC33" i="141"/>
  <c r="Y33" i="141"/>
  <c r="X33" i="141"/>
  <c r="W33" i="141"/>
  <c r="V33" i="141"/>
  <c r="U33" i="141"/>
  <c r="T33" i="141"/>
  <c r="S33" i="141"/>
  <c r="R33" i="141"/>
  <c r="Q33" i="141"/>
  <c r="P33" i="141"/>
  <c r="I33" i="141"/>
  <c r="E33" i="141"/>
  <c r="AJ32" i="141"/>
  <c r="AI32" i="141"/>
  <c r="AH32" i="141"/>
  <c r="AG32" i="141"/>
  <c r="AF32" i="141"/>
  <c r="AE32" i="141"/>
  <c r="AD32" i="141"/>
  <c r="AC32" i="141"/>
  <c r="Y32" i="141"/>
  <c r="X32" i="141"/>
  <c r="W32" i="141"/>
  <c r="V32" i="141"/>
  <c r="U32" i="141"/>
  <c r="T32" i="141"/>
  <c r="S32" i="141"/>
  <c r="R32" i="141"/>
  <c r="Q32" i="141"/>
  <c r="P32" i="141"/>
  <c r="I32" i="141"/>
  <c r="E32" i="141"/>
  <c r="AJ31" i="141"/>
  <c r="AI31" i="141"/>
  <c r="AH31" i="141"/>
  <c r="AG31" i="141"/>
  <c r="AF31" i="141"/>
  <c r="AE31" i="141"/>
  <c r="AD31" i="141"/>
  <c r="AC31" i="141"/>
  <c r="Y31" i="141"/>
  <c r="X31" i="141"/>
  <c r="W31" i="141"/>
  <c r="V31" i="141"/>
  <c r="U31" i="141"/>
  <c r="T31" i="141"/>
  <c r="S31" i="141"/>
  <c r="R31" i="141"/>
  <c r="Q31" i="141"/>
  <c r="P31" i="141"/>
  <c r="I31" i="141"/>
  <c r="E31" i="141"/>
  <c r="AJ30" i="141"/>
  <c r="AI30" i="141"/>
  <c r="AH30" i="141"/>
  <c r="AG30" i="141"/>
  <c r="AF30" i="141"/>
  <c r="AE30" i="141"/>
  <c r="AD30" i="141"/>
  <c r="AC30" i="141"/>
  <c r="Y30" i="141"/>
  <c r="X30" i="141"/>
  <c r="W30" i="141"/>
  <c r="V30" i="141"/>
  <c r="U30" i="141"/>
  <c r="T30" i="141"/>
  <c r="S30" i="141"/>
  <c r="R30" i="141"/>
  <c r="Q30" i="141"/>
  <c r="P30" i="141"/>
  <c r="I30" i="141"/>
  <c r="E30" i="141"/>
  <c r="AJ29" i="141"/>
  <c r="AI29" i="141"/>
  <c r="AH29" i="141"/>
  <c r="AG29" i="141"/>
  <c r="AF29" i="141"/>
  <c r="AE29" i="141"/>
  <c r="AD29" i="141"/>
  <c r="AC29" i="141"/>
  <c r="Y29" i="141"/>
  <c r="X29" i="141"/>
  <c r="W29" i="141"/>
  <c r="V29" i="141"/>
  <c r="U29" i="141"/>
  <c r="T29" i="141"/>
  <c r="S29" i="141"/>
  <c r="R29" i="141"/>
  <c r="Q29" i="141"/>
  <c r="P29" i="141"/>
  <c r="I29" i="141"/>
  <c r="E29" i="141"/>
  <c r="AJ28" i="141"/>
  <c r="AI28" i="141"/>
  <c r="AH28" i="141"/>
  <c r="AG28" i="141"/>
  <c r="AF28" i="141"/>
  <c r="AE28" i="141"/>
  <c r="AD28" i="141"/>
  <c r="AC28" i="141"/>
  <c r="Y28" i="141"/>
  <c r="X28" i="141"/>
  <c r="W28" i="141"/>
  <c r="V28" i="141"/>
  <c r="U28" i="141"/>
  <c r="T28" i="141"/>
  <c r="S28" i="141"/>
  <c r="R28" i="141"/>
  <c r="Q28" i="141"/>
  <c r="P28" i="141"/>
  <c r="I28" i="141"/>
  <c r="E28" i="141"/>
  <c r="AJ27" i="141"/>
  <c r="AI27" i="141"/>
  <c r="AH27" i="141"/>
  <c r="AG27" i="141"/>
  <c r="AF27" i="141"/>
  <c r="AE27" i="141"/>
  <c r="AD27" i="141"/>
  <c r="AC27" i="141"/>
  <c r="Y27" i="141"/>
  <c r="X27" i="141"/>
  <c r="W27" i="141"/>
  <c r="V27" i="141"/>
  <c r="U27" i="141"/>
  <c r="T27" i="141"/>
  <c r="S27" i="141"/>
  <c r="R27" i="141"/>
  <c r="Q27" i="141"/>
  <c r="P27" i="141"/>
  <c r="I27" i="141"/>
  <c r="E27" i="141"/>
  <c r="AJ26" i="141"/>
  <c r="AI26" i="141"/>
  <c r="AH26" i="141"/>
  <c r="AG26" i="141"/>
  <c r="AF26" i="141"/>
  <c r="AE26" i="141"/>
  <c r="AD26" i="141"/>
  <c r="AC26" i="141"/>
  <c r="Y26" i="141"/>
  <c r="X26" i="141"/>
  <c r="W26" i="141"/>
  <c r="V26" i="141"/>
  <c r="U26" i="141"/>
  <c r="T26" i="141"/>
  <c r="S26" i="141"/>
  <c r="R26" i="141"/>
  <c r="Q26" i="141"/>
  <c r="P26" i="141"/>
  <c r="I26" i="141"/>
  <c r="E26" i="141"/>
  <c r="AJ25" i="141"/>
  <c r="AI25" i="141"/>
  <c r="AH25" i="141"/>
  <c r="AG25" i="141"/>
  <c r="AF25" i="141"/>
  <c r="AE25" i="141"/>
  <c r="AD25" i="141"/>
  <c r="AC25" i="141"/>
  <c r="Y25" i="141"/>
  <c r="X25" i="141"/>
  <c r="W25" i="141"/>
  <c r="V25" i="141"/>
  <c r="U25" i="141"/>
  <c r="T25" i="141"/>
  <c r="S25" i="141"/>
  <c r="R25" i="141"/>
  <c r="Q25" i="141"/>
  <c r="P25" i="141"/>
  <c r="I25" i="141"/>
  <c r="E25" i="141"/>
  <c r="AJ24" i="141"/>
  <c r="AI24" i="141"/>
  <c r="AH24" i="141"/>
  <c r="AG24" i="141"/>
  <c r="AF24" i="141"/>
  <c r="AE24" i="141"/>
  <c r="AD24" i="141"/>
  <c r="AC24" i="141"/>
  <c r="Y24" i="141"/>
  <c r="X24" i="141"/>
  <c r="W24" i="141"/>
  <c r="V24" i="141"/>
  <c r="U24" i="141"/>
  <c r="T24" i="141"/>
  <c r="S24" i="141"/>
  <c r="R24" i="141"/>
  <c r="Q24" i="141"/>
  <c r="P24" i="141"/>
  <c r="I24" i="141"/>
  <c r="E24" i="141"/>
  <c r="AJ23" i="141"/>
  <c r="AI23" i="141"/>
  <c r="AH23" i="141"/>
  <c r="AG23" i="141"/>
  <c r="AF23" i="141"/>
  <c r="AE23" i="141"/>
  <c r="AD23" i="141"/>
  <c r="AC23" i="141"/>
  <c r="Y23" i="141"/>
  <c r="X23" i="141"/>
  <c r="W23" i="141"/>
  <c r="V23" i="141"/>
  <c r="U23" i="141"/>
  <c r="T23" i="141"/>
  <c r="S23" i="141"/>
  <c r="R23" i="141"/>
  <c r="Q23" i="141"/>
  <c r="P23" i="141"/>
  <c r="I23" i="141"/>
  <c r="E23" i="141"/>
  <c r="AJ22" i="141"/>
  <c r="AI22" i="141"/>
  <c r="AH22" i="141"/>
  <c r="AG22" i="141"/>
  <c r="AF22" i="141"/>
  <c r="AE22" i="141"/>
  <c r="AD22" i="141"/>
  <c r="AC22" i="141"/>
  <c r="Y22" i="141"/>
  <c r="X22" i="141"/>
  <c r="W22" i="141"/>
  <c r="V22" i="141"/>
  <c r="U22" i="141"/>
  <c r="T22" i="141"/>
  <c r="S22" i="141"/>
  <c r="R22" i="141"/>
  <c r="Q22" i="141"/>
  <c r="P22" i="141"/>
  <c r="I22" i="141"/>
  <c r="E22" i="141"/>
  <c r="AJ21" i="141"/>
  <c r="AI21" i="141"/>
  <c r="AH21" i="141"/>
  <c r="AG21" i="141"/>
  <c r="AF21" i="141"/>
  <c r="AE21" i="141"/>
  <c r="AD21" i="141"/>
  <c r="AC21" i="141"/>
  <c r="Y21" i="141"/>
  <c r="X21" i="141"/>
  <c r="W21" i="141"/>
  <c r="V21" i="141"/>
  <c r="U21" i="141"/>
  <c r="T21" i="141"/>
  <c r="S21" i="141"/>
  <c r="R21" i="141"/>
  <c r="Q21" i="141"/>
  <c r="P21" i="141"/>
  <c r="I21" i="141"/>
  <c r="E21" i="141"/>
  <c r="AJ20" i="141"/>
  <c r="AI20" i="141"/>
  <c r="AH20" i="141"/>
  <c r="AG20" i="141"/>
  <c r="AF20" i="141"/>
  <c r="AE20" i="141"/>
  <c r="AD20" i="141"/>
  <c r="AC20" i="141"/>
  <c r="Y20" i="141"/>
  <c r="X20" i="141"/>
  <c r="W20" i="141"/>
  <c r="V20" i="141"/>
  <c r="U20" i="141"/>
  <c r="T20" i="141"/>
  <c r="S20" i="141"/>
  <c r="R20" i="141"/>
  <c r="Q20" i="141"/>
  <c r="P20" i="141"/>
  <c r="I20" i="141"/>
  <c r="E20" i="141"/>
  <c r="AJ19" i="141"/>
  <c r="AI19" i="141"/>
  <c r="AH19" i="141"/>
  <c r="AG19" i="141"/>
  <c r="AF19" i="141"/>
  <c r="AE19" i="141"/>
  <c r="AD19" i="141"/>
  <c r="AC19" i="141"/>
  <c r="Y19" i="141"/>
  <c r="X19" i="141"/>
  <c r="W19" i="141"/>
  <c r="V19" i="141"/>
  <c r="U19" i="141"/>
  <c r="T19" i="141"/>
  <c r="S19" i="141"/>
  <c r="R19" i="141"/>
  <c r="Q19" i="141"/>
  <c r="P19" i="141"/>
  <c r="I19" i="141"/>
  <c r="E19" i="141"/>
  <c r="AJ18" i="141"/>
  <c r="AI18" i="141"/>
  <c r="AH18" i="141"/>
  <c r="AG18" i="141"/>
  <c r="AF18" i="141"/>
  <c r="AE18" i="141"/>
  <c r="AD18" i="141"/>
  <c r="AC18" i="141"/>
  <c r="Y18" i="141"/>
  <c r="X18" i="141"/>
  <c r="W18" i="141"/>
  <c r="V18" i="141"/>
  <c r="U18" i="141"/>
  <c r="T18" i="141"/>
  <c r="S18" i="141"/>
  <c r="R18" i="141"/>
  <c r="Q18" i="141"/>
  <c r="P18" i="141"/>
  <c r="I18" i="141"/>
  <c r="E18" i="141"/>
  <c r="AJ17" i="141"/>
  <c r="AI17" i="141"/>
  <c r="AH17" i="141"/>
  <c r="AG17" i="141"/>
  <c r="AF17" i="141"/>
  <c r="AE17" i="141"/>
  <c r="AD17" i="141"/>
  <c r="AC17" i="141"/>
  <c r="Y17" i="141"/>
  <c r="X17" i="141"/>
  <c r="W17" i="141"/>
  <c r="V17" i="141"/>
  <c r="U17" i="141"/>
  <c r="T17" i="141"/>
  <c r="S17" i="141"/>
  <c r="R17" i="141"/>
  <c r="Q17" i="141"/>
  <c r="P17" i="141"/>
  <c r="I17" i="141"/>
  <c r="E17" i="141"/>
  <c r="AJ16" i="141"/>
  <c r="AI16" i="141"/>
  <c r="AH16" i="141"/>
  <c r="AG16" i="141"/>
  <c r="AF16" i="141"/>
  <c r="AE16" i="141"/>
  <c r="AD16" i="141"/>
  <c r="AC16" i="141"/>
  <c r="Y16" i="141"/>
  <c r="X16" i="141"/>
  <c r="W16" i="141"/>
  <c r="V16" i="141"/>
  <c r="U16" i="141"/>
  <c r="T16" i="141"/>
  <c r="S16" i="141"/>
  <c r="R16" i="141"/>
  <c r="Q16" i="141"/>
  <c r="P16" i="141"/>
  <c r="I16" i="141"/>
  <c r="E16" i="141"/>
  <c r="AJ15" i="141"/>
  <c r="AI15" i="141"/>
  <c r="AH15" i="141"/>
  <c r="AG15" i="141"/>
  <c r="AF15" i="141"/>
  <c r="AE15" i="141"/>
  <c r="AD15" i="141"/>
  <c r="AC15" i="141"/>
  <c r="Y15" i="141"/>
  <c r="X15" i="141"/>
  <c r="W15" i="141"/>
  <c r="V15" i="141"/>
  <c r="U15" i="141"/>
  <c r="T15" i="141"/>
  <c r="S15" i="141"/>
  <c r="R15" i="141"/>
  <c r="Q15" i="141"/>
  <c r="P15" i="141"/>
  <c r="I15" i="141"/>
  <c r="E15" i="141"/>
  <c r="AJ14" i="141"/>
  <c r="AI14" i="141"/>
  <c r="AH14" i="141"/>
  <c r="AG14" i="141"/>
  <c r="AF14" i="141"/>
  <c r="AE14" i="141"/>
  <c r="AD14" i="141"/>
  <c r="AC14" i="141"/>
  <c r="Y14" i="141"/>
  <c r="X14" i="141"/>
  <c r="W14" i="141"/>
  <c r="V14" i="141"/>
  <c r="U14" i="141"/>
  <c r="T14" i="141"/>
  <c r="S14" i="141"/>
  <c r="R14" i="141"/>
  <c r="Q14" i="141"/>
  <c r="P14" i="141"/>
  <c r="I14" i="141"/>
  <c r="E14" i="141"/>
  <c r="AJ13" i="141"/>
  <c r="AI13" i="141"/>
  <c r="AH13" i="141"/>
  <c r="AG13" i="141"/>
  <c r="AF13" i="141"/>
  <c r="AE13" i="141"/>
  <c r="AD13" i="141"/>
  <c r="AC13" i="141"/>
  <c r="Y13" i="141"/>
  <c r="X13" i="141"/>
  <c r="W13" i="141"/>
  <c r="V13" i="141"/>
  <c r="U13" i="141"/>
  <c r="T13" i="141"/>
  <c r="S13" i="141"/>
  <c r="R13" i="141"/>
  <c r="Q13" i="141"/>
  <c r="P13" i="141"/>
  <c r="I13" i="141"/>
  <c r="E13" i="141"/>
  <c r="AJ12" i="141"/>
  <c r="AI12" i="141"/>
  <c r="AH12" i="141"/>
  <c r="AG12" i="141"/>
  <c r="AF12" i="141"/>
  <c r="AE12" i="141"/>
  <c r="AD12" i="141"/>
  <c r="AC12" i="141"/>
  <c r="Y12" i="141"/>
  <c r="X12" i="141"/>
  <c r="W12" i="141"/>
  <c r="V12" i="141"/>
  <c r="U12" i="141"/>
  <c r="T12" i="141"/>
  <c r="S12" i="141"/>
  <c r="R12" i="141"/>
  <c r="Q12" i="141"/>
  <c r="P12" i="141"/>
  <c r="I12" i="141"/>
  <c r="E12" i="141"/>
  <c r="AJ11" i="141"/>
  <c r="AI11" i="141"/>
  <c r="AH11" i="141"/>
  <c r="AG11" i="141"/>
  <c r="AF11" i="141"/>
  <c r="AE11" i="141"/>
  <c r="AD11" i="141"/>
  <c r="AC11" i="141"/>
  <c r="Y11" i="141"/>
  <c r="X11" i="141"/>
  <c r="W11" i="141"/>
  <c r="V11" i="141"/>
  <c r="U11" i="141"/>
  <c r="T11" i="141"/>
  <c r="S11" i="141"/>
  <c r="R11" i="141"/>
  <c r="Q11" i="141"/>
  <c r="P11" i="141"/>
  <c r="I11" i="141"/>
  <c r="E11" i="141"/>
  <c r="AJ10" i="141"/>
  <c r="AI10" i="141"/>
  <c r="AH10" i="141"/>
  <c r="AG10" i="141"/>
  <c r="AF10" i="141"/>
  <c r="AE10" i="141"/>
  <c r="AD10" i="141"/>
  <c r="AC10" i="141"/>
  <c r="Y10" i="141"/>
  <c r="X10" i="141"/>
  <c r="W10" i="141"/>
  <c r="V10" i="141"/>
  <c r="U10" i="141"/>
  <c r="T10" i="141"/>
  <c r="S10" i="141"/>
  <c r="R10" i="141"/>
  <c r="Q10" i="141"/>
  <c r="P10" i="141"/>
  <c r="I10" i="141"/>
  <c r="E10" i="141"/>
  <c r="AJ9" i="141"/>
  <c r="AI9" i="141"/>
  <c r="AH9" i="141"/>
  <c r="AG9" i="141"/>
  <c r="AF9" i="141"/>
  <c r="AE9" i="141"/>
  <c r="AD9" i="141"/>
  <c r="AC9" i="141"/>
  <c r="Y9" i="141"/>
  <c r="X9" i="141"/>
  <c r="W9" i="141"/>
  <c r="V9" i="141"/>
  <c r="U9" i="141"/>
  <c r="T9" i="141"/>
  <c r="S9" i="141"/>
  <c r="R9" i="141"/>
  <c r="Q9" i="141"/>
  <c r="P9" i="141"/>
  <c r="I9" i="141"/>
  <c r="E9" i="141"/>
  <c r="AJ8" i="141"/>
  <c r="AI8" i="141"/>
  <c r="AH8" i="141"/>
  <c r="AG8" i="141"/>
  <c r="AF8" i="141"/>
  <c r="AE8" i="141"/>
  <c r="AD8" i="141"/>
  <c r="AC8" i="141"/>
  <c r="Y8" i="141"/>
  <c r="X8" i="141"/>
  <c r="W8" i="141"/>
  <c r="V8" i="141"/>
  <c r="U8" i="141"/>
  <c r="T8" i="141"/>
  <c r="S8" i="141"/>
  <c r="R8" i="141"/>
  <c r="Q8" i="141"/>
  <c r="P8" i="141"/>
  <c r="I8" i="141"/>
  <c r="E8" i="141"/>
  <c r="AJ7" i="141"/>
  <c r="AI7" i="141"/>
  <c r="AH7" i="141"/>
  <c r="AG7" i="141"/>
  <c r="AF7" i="141"/>
  <c r="AE7" i="141"/>
  <c r="AD7" i="141"/>
  <c r="AC7" i="141"/>
  <c r="Y7" i="141"/>
  <c r="X7" i="141"/>
  <c r="W7" i="141"/>
  <c r="V7" i="141"/>
  <c r="U7" i="141"/>
  <c r="T7" i="141"/>
  <c r="S7" i="141"/>
  <c r="R7" i="141"/>
  <c r="Q7" i="141"/>
  <c r="P7" i="141"/>
  <c r="I7" i="141"/>
  <c r="E7" i="141"/>
  <c r="E36" i="140"/>
  <c r="E35" i="140"/>
  <c r="E34" i="140"/>
  <c r="E33" i="140"/>
  <c r="E32" i="140"/>
  <c r="E31" i="140"/>
  <c r="E30" i="140"/>
  <c r="E29" i="140"/>
  <c r="E28" i="140"/>
  <c r="E27" i="140"/>
  <c r="E26" i="140"/>
  <c r="E25" i="140"/>
  <c r="E24" i="140"/>
  <c r="E23" i="140"/>
  <c r="E22" i="140"/>
  <c r="E21" i="140"/>
  <c r="E20" i="140"/>
  <c r="E19" i="140"/>
  <c r="E18" i="140"/>
  <c r="E17" i="140"/>
  <c r="E16" i="140"/>
  <c r="E15" i="140"/>
  <c r="E14" i="140"/>
  <c r="E13" i="140"/>
  <c r="E12" i="140"/>
  <c r="E11" i="140"/>
  <c r="E10" i="140"/>
  <c r="E9" i="140"/>
  <c r="E8" i="140"/>
  <c r="E7" i="140"/>
  <c r="AJ36" i="140"/>
  <c r="AI36" i="140"/>
  <c r="AH36" i="140"/>
  <c r="AG36" i="140"/>
  <c r="AF36" i="140"/>
  <c r="AE36" i="140"/>
  <c r="AD36" i="140"/>
  <c r="AC36" i="140"/>
  <c r="Y36" i="140"/>
  <c r="X36" i="140"/>
  <c r="W36" i="140"/>
  <c r="V36" i="140"/>
  <c r="U36" i="140"/>
  <c r="T36" i="140"/>
  <c r="R36" i="140"/>
  <c r="Q36" i="140"/>
  <c r="P36" i="140"/>
  <c r="I36" i="140"/>
  <c r="AJ35" i="140"/>
  <c r="AI35" i="140"/>
  <c r="AH35" i="140"/>
  <c r="AG35" i="140"/>
  <c r="AF35" i="140"/>
  <c r="AE35" i="140"/>
  <c r="AD35" i="140"/>
  <c r="AC35" i="140"/>
  <c r="Y35" i="140"/>
  <c r="X35" i="140"/>
  <c r="W35" i="140"/>
  <c r="V35" i="140"/>
  <c r="U35" i="140"/>
  <c r="T35" i="140"/>
  <c r="S35" i="140"/>
  <c r="R35" i="140"/>
  <c r="Q35" i="140"/>
  <c r="P35" i="140"/>
  <c r="O35" i="140"/>
  <c r="I35" i="140"/>
  <c r="AJ34" i="140"/>
  <c r="AI34" i="140"/>
  <c r="AH34" i="140"/>
  <c r="AG34" i="140"/>
  <c r="AF34" i="140"/>
  <c r="AE34" i="140"/>
  <c r="AD34" i="140"/>
  <c r="AC34" i="140"/>
  <c r="Y34" i="140"/>
  <c r="X34" i="140"/>
  <c r="W34" i="140"/>
  <c r="V34" i="140"/>
  <c r="U34" i="140"/>
  <c r="T34" i="140"/>
  <c r="S34" i="140"/>
  <c r="R34" i="140"/>
  <c r="Q34" i="140"/>
  <c r="P34" i="140"/>
  <c r="I34" i="140"/>
  <c r="AJ33" i="140"/>
  <c r="AI33" i="140"/>
  <c r="AH33" i="140"/>
  <c r="AG33" i="140"/>
  <c r="AF33" i="140"/>
  <c r="AE33" i="140"/>
  <c r="AD33" i="140"/>
  <c r="AC33" i="140"/>
  <c r="Y33" i="140"/>
  <c r="X33" i="140"/>
  <c r="W33" i="140"/>
  <c r="V33" i="140"/>
  <c r="U33" i="140"/>
  <c r="T33" i="140"/>
  <c r="S33" i="140"/>
  <c r="R33" i="140"/>
  <c r="Q33" i="140"/>
  <c r="P33" i="140"/>
  <c r="I33" i="140"/>
  <c r="AJ32" i="140"/>
  <c r="AI32" i="140"/>
  <c r="AH32" i="140"/>
  <c r="AG32" i="140"/>
  <c r="AF32" i="140"/>
  <c r="AE32" i="140"/>
  <c r="AD32" i="140"/>
  <c r="AC32" i="140"/>
  <c r="Y32" i="140"/>
  <c r="X32" i="140"/>
  <c r="W32" i="140"/>
  <c r="V32" i="140"/>
  <c r="U32" i="140"/>
  <c r="T32" i="140"/>
  <c r="S32" i="140"/>
  <c r="R32" i="140"/>
  <c r="Q32" i="140"/>
  <c r="P32" i="140"/>
  <c r="I32" i="140"/>
  <c r="AJ31" i="140"/>
  <c r="AI31" i="140"/>
  <c r="AH31" i="140"/>
  <c r="AG31" i="140"/>
  <c r="AF31" i="140"/>
  <c r="AE31" i="140"/>
  <c r="AD31" i="140"/>
  <c r="AC31" i="140"/>
  <c r="Y31" i="140"/>
  <c r="X31" i="140"/>
  <c r="W31" i="140"/>
  <c r="V31" i="140"/>
  <c r="U31" i="140"/>
  <c r="T31" i="140"/>
  <c r="S31" i="140"/>
  <c r="R31" i="140"/>
  <c r="Q31" i="140"/>
  <c r="P31" i="140"/>
  <c r="I31" i="140"/>
  <c r="AJ30" i="140"/>
  <c r="AI30" i="140"/>
  <c r="AH30" i="140"/>
  <c r="AG30" i="140"/>
  <c r="AF30" i="140"/>
  <c r="AE30" i="140"/>
  <c r="AD30" i="140"/>
  <c r="AC30" i="140"/>
  <c r="Y30" i="140"/>
  <c r="X30" i="140"/>
  <c r="W30" i="140"/>
  <c r="V30" i="140"/>
  <c r="U30" i="140"/>
  <c r="T30" i="140"/>
  <c r="S30" i="140"/>
  <c r="R30" i="140"/>
  <c r="Q30" i="140"/>
  <c r="P30" i="140"/>
  <c r="I30" i="140"/>
  <c r="AJ29" i="140"/>
  <c r="AI29" i="140"/>
  <c r="AH29" i="140"/>
  <c r="AG29" i="140"/>
  <c r="AF29" i="140"/>
  <c r="AE29" i="140"/>
  <c r="AD29" i="140"/>
  <c r="AC29" i="140"/>
  <c r="Y29" i="140"/>
  <c r="X29" i="140"/>
  <c r="W29" i="140"/>
  <c r="V29" i="140"/>
  <c r="U29" i="140"/>
  <c r="T29" i="140"/>
  <c r="S29" i="140"/>
  <c r="R29" i="140"/>
  <c r="Q29" i="140"/>
  <c r="P29" i="140"/>
  <c r="I29" i="140"/>
  <c r="AJ28" i="140"/>
  <c r="AI28" i="140"/>
  <c r="AH28" i="140"/>
  <c r="AG28" i="140"/>
  <c r="AF28" i="140"/>
  <c r="AE28" i="140"/>
  <c r="AD28" i="140"/>
  <c r="AC28" i="140"/>
  <c r="Y28" i="140"/>
  <c r="X28" i="140"/>
  <c r="W28" i="140"/>
  <c r="V28" i="140"/>
  <c r="U28" i="140"/>
  <c r="T28" i="140"/>
  <c r="S28" i="140"/>
  <c r="R28" i="140"/>
  <c r="Q28" i="140"/>
  <c r="P28" i="140"/>
  <c r="I28" i="140"/>
  <c r="AJ27" i="140"/>
  <c r="AI27" i="140"/>
  <c r="AH27" i="140"/>
  <c r="AG27" i="140"/>
  <c r="AF27" i="140"/>
  <c r="AE27" i="140"/>
  <c r="AD27" i="140"/>
  <c r="AC27" i="140"/>
  <c r="Y27" i="140"/>
  <c r="X27" i="140"/>
  <c r="W27" i="140"/>
  <c r="V27" i="140"/>
  <c r="U27" i="140"/>
  <c r="T27" i="140"/>
  <c r="S27" i="140"/>
  <c r="R27" i="140"/>
  <c r="Q27" i="140"/>
  <c r="P27" i="140"/>
  <c r="I27" i="140"/>
  <c r="AJ26" i="140"/>
  <c r="AI26" i="140"/>
  <c r="AH26" i="140"/>
  <c r="AG26" i="140"/>
  <c r="AF26" i="140"/>
  <c r="AE26" i="140"/>
  <c r="AD26" i="140"/>
  <c r="AC26" i="140"/>
  <c r="Y26" i="140"/>
  <c r="X26" i="140"/>
  <c r="W26" i="140"/>
  <c r="V26" i="140"/>
  <c r="U26" i="140"/>
  <c r="T26" i="140"/>
  <c r="S26" i="140"/>
  <c r="R26" i="140"/>
  <c r="Q26" i="140"/>
  <c r="P26" i="140"/>
  <c r="I26" i="140"/>
  <c r="AJ25" i="140"/>
  <c r="AI25" i="140"/>
  <c r="AH25" i="140"/>
  <c r="AG25" i="140"/>
  <c r="AF25" i="140"/>
  <c r="AE25" i="140"/>
  <c r="AD25" i="140"/>
  <c r="AC25" i="140"/>
  <c r="Y25" i="140"/>
  <c r="X25" i="140"/>
  <c r="W25" i="140"/>
  <c r="V25" i="140"/>
  <c r="U25" i="140"/>
  <c r="T25" i="140"/>
  <c r="S25" i="140"/>
  <c r="R25" i="140"/>
  <c r="Q25" i="140"/>
  <c r="P25" i="140"/>
  <c r="I25" i="140"/>
  <c r="AJ24" i="140"/>
  <c r="AI24" i="140"/>
  <c r="AH24" i="140"/>
  <c r="AG24" i="140"/>
  <c r="AF24" i="140"/>
  <c r="AE24" i="140"/>
  <c r="AD24" i="140"/>
  <c r="AC24" i="140"/>
  <c r="Y24" i="140"/>
  <c r="X24" i="140"/>
  <c r="W24" i="140"/>
  <c r="V24" i="140"/>
  <c r="U24" i="140"/>
  <c r="T24" i="140"/>
  <c r="S24" i="140"/>
  <c r="R24" i="140"/>
  <c r="Q24" i="140"/>
  <c r="P24" i="140"/>
  <c r="I24" i="140"/>
  <c r="AJ23" i="140"/>
  <c r="AI23" i="140"/>
  <c r="AH23" i="140"/>
  <c r="AG23" i="140"/>
  <c r="AF23" i="140"/>
  <c r="AE23" i="140"/>
  <c r="AD23" i="140"/>
  <c r="AC23" i="140"/>
  <c r="Y23" i="140"/>
  <c r="X23" i="140"/>
  <c r="W23" i="140"/>
  <c r="V23" i="140"/>
  <c r="U23" i="140"/>
  <c r="T23" i="140"/>
  <c r="S23" i="140"/>
  <c r="R23" i="140"/>
  <c r="Q23" i="140"/>
  <c r="P23" i="140"/>
  <c r="I23" i="140"/>
  <c r="AJ22" i="140"/>
  <c r="AI22" i="140"/>
  <c r="AH22" i="140"/>
  <c r="AG22" i="140"/>
  <c r="AF22" i="140"/>
  <c r="AE22" i="140"/>
  <c r="AD22" i="140"/>
  <c r="AC22" i="140"/>
  <c r="Y22" i="140"/>
  <c r="X22" i="140"/>
  <c r="W22" i="140"/>
  <c r="V22" i="140"/>
  <c r="U22" i="140"/>
  <c r="T22" i="140"/>
  <c r="S22" i="140"/>
  <c r="R22" i="140"/>
  <c r="Q22" i="140"/>
  <c r="P22" i="140"/>
  <c r="I22" i="140"/>
  <c r="AJ21" i="140"/>
  <c r="AI21" i="140"/>
  <c r="AH21" i="140"/>
  <c r="AG21" i="140"/>
  <c r="AF21" i="140"/>
  <c r="AE21" i="140"/>
  <c r="AD21" i="140"/>
  <c r="AC21" i="140"/>
  <c r="Y21" i="140"/>
  <c r="X21" i="140"/>
  <c r="W21" i="140"/>
  <c r="V21" i="140"/>
  <c r="U21" i="140"/>
  <c r="T21" i="140"/>
  <c r="S21" i="140"/>
  <c r="R21" i="140"/>
  <c r="Q21" i="140"/>
  <c r="P21" i="140"/>
  <c r="I21" i="140"/>
  <c r="AJ20" i="140"/>
  <c r="AI20" i="140"/>
  <c r="AH20" i="140"/>
  <c r="AG20" i="140"/>
  <c r="AF20" i="140"/>
  <c r="AE20" i="140"/>
  <c r="AD20" i="140"/>
  <c r="AC20" i="140"/>
  <c r="Y20" i="140"/>
  <c r="X20" i="140"/>
  <c r="W20" i="140"/>
  <c r="V20" i="140"/>
  <c r="U20" i="140"/>
  <c r="T20" i="140"/>
  <c r="S20" i="140"/>
  <c r="R20" i="140"/>
  <c r="Q20" i="140"/>
  <c r="P20" i="140"/>
  <c r="I20" i="140"/>
  <c r="AJ19" i="140"/>
  <c r="AI19" i="140"/>
  <c r="AH19" i="140"/>
  <c r="AG19" i="140"/>
  <c r="AF19" i="140"/>
  <c r="AE19" i="140"/>
  <c r="AD19" i="140"/>
  <c r="AC19" i="140"/>
  <c r="Y19" i="140"/>
  <c r="X19" i="140"/>
  <c r="W19" i="140"/>
  <c r="V19" i="140"/>
  <c r="U19" i="140"/>
  <c r="T19" i="140"/>
  <c r="S19" i="140"/>
  <c r="R19" i="140"/>
  <c r="Q19" i="140"/>
  <c r="P19" i="140"/>
  <c r="I19" i="140"/>
  <c r="AJ18" i="140"/>
  <c r="AI18" i="140"/>
  <c r="AH18" i="140"/>
  <c r="AG18" i="140"/>
  <c r="AF18" i="140"/>
  <c r="AE18" i="140"/>
  <c r="AD18" i="140"/>
  <c r="AC18" i="140"/>
  <c r="Y18" i="140"/>
  <c r="X18" i="140"/>
  <c r="W18" i="140"/>
  <c r="V18" i="140"/>
  <c r="U18" i="140"/>
  <c r="T18" i="140"/>
  <c r="S18" i="140"/>
  <c r="R18" i="140"/>
  <c r="Q18" i="140"/>
  <c r="P18" i="140"/>
  <c r="I18" i="140"/>
  <c r="AJ17" i="140"/>
  <c r="AI17" i="140"/>
  <c r="AH17" i="140"/>
  <c r="AG17" i="140"/>
  <c r="AF17" i="140"/>
  <c r="AE17" i="140"/>
  <c r="AD17" i="140"/>
  <c r="AC17" i="140"/>
  <c r="Y17" i="140"/>
  <c r="X17" i="140"/>
  <c r="W17" i="140"/>
  <c r="V17" i="140"/>
  <c r="U17" i="140"/>
  <c r="T17" i="140"/>
  <c r="S17" i="140"/>
  <c r="R17" i="140"/>
  <c r="Q17" i="140"/>
  <c r="P17" i="140"/>
  <c r="I17" i="140"/>
  <c r="AJ16" i="140"/>
  <c r="AI16" i="140"/>
  <c r="AH16" i="140"/>
  <c r="AG16" i="140"/>
  <c r="AF16" i="140"/>
  <c r="AE16" i="140"/>
  <c r="AD16" i="140"/>
  <c r="AC16" i="140"/>
  <c r="Y16" i="140"/>
  <c r="X16" i="140"/>
  <c r="W16" i="140"/>
  <c r="V16" i="140"/>
  <c r="U16" i="140"/>
  <c r="T16" i="140"/>
  <c r="S16" i="140"/>
  <c r="R16" i="140"/>
  <c r="Q16" i="140"/>
  <c r="P16" i="140"/>
  <c r="I16" i="140"/>
  <c r="AJ15" i="140"/>
  <c r="AI15" i="140"/>
  <c r="AH15" i="140"/>
  <c r="AG15" i="140"/>
  <c r="AF15" i="140"/>
  <c r="AE15" i="140"/>
  <c r="AD15" i="140"/>
  <c r="AC15" i="140"/>
  <c r="Y15" i="140"/>
  <c r="X15" i="140"/>
  <c r="W15" i="140"/>
  <c r="V15" i="140"/>
  <c r="U15" i="140"/>
  <c r="T15" i="140"/>
  <c r="S15" i="140"/>
  <c r="R15" i="140"/>
  <c r="Q15" i="140"/>
  <c r="P15" i="140"/>
  <c r="I15" i="140"/>
  <c r="AJ14" i="140"/>
  <c r="AI14" i="140"/>
  <c r="AH14" i="140"/>
  <c r="AG14" i="140"/>
  <c r="AF14" i="140"/>
  <c r="AE14" i="140"/>
  <c r="AD14" i="140"/>
  <c r="AC14" i="140"/>
  <c r="Y14" i="140"/>
  <c r="X14" i="140"/>
  <c r="W14" i="140"/>
  <c r="V14" i="140"/>
  <c r="U14" i="140"/>
  <c r="T14" i="140"/>
  <c r="S14" i="140"/>
  <c r="R14" i="140"/>
  <c r="Q14" i="140"/>
  <c r="P14" i="140"/>
  <c r="I14" i="140"/>
  <c r="AJ13" i="140"/>
  <c r="AI13" i="140"/>
  <c r="AH13" i="140"/>
  <c r="AG13" i="140"/>
  <c r="AF13" i="140"/>
  <c r="AE13" i="140"/>
  <c r="AD13" i="140"/>
  <c r="AC13" i="140"/>
  <c r="Y13" i="140"/>
  <c r="X13" i="140"/>
  <c r="W13" i="140"/>
  <c r="V13" i="140"/>
  <c r="U13" i="140"/>
  <c r="T13" i="140"/>
  <c r="S13" i="140"/>
  <c r="R13" i="140"/>
  <c r="Q13" i="140"/>
  <c r="P13" i="140"/>
  <c r="I13" i="140"/>
  <c r="AJ12" i="140"/>
  <c r="AI12" i="140"/>
  <c r="AH12" i="140"/>
  <c r="AG12" i="140"/>
  <c r="AF12" i="140"/>
  <c r="AE12" i="140"/>
  <c r="AD12" i="140"/>
  <c r="AC12" i="140"/>
  <c r="Y12" i="140"/>
  <c r="X12" i="140"/>
  <c r="W12" i="140"/>
  <c r="V12" i="140"/>
  <c r="U12" i="140"/>
  <c r="T12" i="140"/>
  <c r="S12" i="140"/>
  <c r="R12" i="140"/>
  <c r="Q12" i="140"/>
  <c r="P12" i="140"/>
  <c r="I12" i="140"/>
  <c r="AJ11" i="140"/>
  <c r="AI11" i="140"/>
  <c r="AH11" i="140"/>
  <c r="AG11" i="140"/>
  <c r="AF11" i="140"/>
  <c r="AE11" i="140"/>
  <c r="AD11" i="140"/>
  <c r="AC11" i="140"/>
  <c r="Y11" i="140"/>
  <c r="X11" i="140"/>
  <c r="W11" i="140"/>
  <c r="V11" i="140"/>
  <c r="U11" i="140"/>
  <c r="T11" i="140"/>
  <c r="S11" i="140"/>
  <c r="R11" i="140"/>
  <c r="Q11" i="140"/>
  <c r="P11" i="140"/>
  <c r="I11" i="140"/>
  <c r="AJ10" i="140"/>
  <c r="AI10" i="140"/>
  <c r="AH10" i="140"/>
  <c r="AG10" i="140"/>
  <c r="AF10" i="140"/>
  <c r="AE10" i="140"/>
  <c r="AD10" i="140"/>
  <c r="AC10" i="140"/>
  <c r="Y10" i="140"/>
  <c r="X10" i="140"/>
  <c r="W10" i="140"/>
  <c r="V10" i="140"/>
  <c r="U10" i="140"/>
  <c r="T10" i="140"/>
  <c r="S10" i="140"/>
  <c r="R10" i="140"/>
  <c r="Q10" i="140"/>
  <c r="P10" i="140"/>
  <c r="I10" i="140"/>
  <c r="AJ9" i="140"/>
  <c r="AI9" i="140"/>
  <c r="AH9" i="140"/>
  <c r="AG9" i="140"/>
  <c r="AF9" i="140"/>
  <c r="AE9" i="140"/>
  <c r="AD9" i="140"/>
  <c r="AC9" i="140"/>
  <c r="Y9" i="140"/>
  <c r="X9" i="140"/>
  <c r="W9" i="140"/>
  <c r="V9" i="140"/>
  <c r="U9" i="140"/>
  <c r="T9" i="140"/>
  <c r="S9" i="140"/>
  <c r="R9" i="140"/>
  <c r="Q9" i="140"/>
  <c r="P9" i="140"/>
  <c r="I9" i="140"/>
  <c r="AJ8" i="140"/>
  <c r="AI8" i="140"/>
  <c r="AH8" i="140"/>
  <c r="AG8" i="140"/>
  <c r="AF8" i="140"/>
  <c r="AE8" i="140"/>
  <c r="AD8" i="140"/>
  <c r="AC8" i="140"/>
  <c r="Y8" i="140"/>
  <c r="X8" i="140"/>
  <c r="W8" i="140"/>
  <c r="V8" i="140"/>
  <c r="U8" i="140"/>
  <c r="T8" i="140"/>
  <c r="S8" i="140"/>
  <c r="R8" i="140"/>
  <c r="Q8" i="140"/>
  <c r="P8" i="140"/>
  <c r="I8" i="140"/>
  <c r="AJ7" i="140"/>
  <c r="AI7" i="140"/>
  <c r="AH7" i="140"/>
  <c r="AG7" i="140"/>
  <c r="AF7" i="140"/>
  <c r="AE7" i="140"/>
  <c r="AD7" i="140"/>
  <c r="AC7" i="140"/>
  <c r="Y7" i="140"/>
  <c r="X7" i="140"/>
  <c r="W7" i="140"/>
  <c r="V7" i="140"/>
  <c r="U7" i="140"/>
  <c r="T7" i="140"/>
  <c r="S7" i="140"/>
  <c r="R7" i="140"/>
  <c r="Q7" i="140"/>
  <c r="P7" i="140"/>
  <c r="I7" i="140"/>
  <c r="C40" i="148"/>
  <c r="B36" i="148"/>
  <c r="B35" i="148"/>
  <c r="B34" i="148"/>
  <c r="B33" i="148"/>
  <c r="B32" i="148"/>
  <c r="B31" i="148"/>
  <c r="B30" i="148"/>
  <c r="B29" i="148"/>
  <c r="B28" i="148"/>
  <c r="B27" i="148"/>
  <c r="B26" i="148"/>
  <c r="B25" i="148"/>
  <c r="B24" i="148"/>
  <c r="B23" i="148"/>
  <c r="B22" i="148"/>
  <c r="B21" i="148"/>
  <c r="B20" i="148"/>
  <c r="B19" i="148"/>
  <c r="B18" i="148"/>
  <c r="B17" i="148"/>
  <c r="B16" i="148"/>
  <c r="B15" i="148"/>
  <c r="B14" i="148"/>
  <c r="B13" i="148"/>
  <c r="B12" i="148"/>
  <c r="B11" i="148"/>
  <c r="B10" i="148"/>
  <c r="B9" i="148"/>
  <c r="B8" i="148"/>
  <c r="B7" i="148"/>
  <c r="B6" i="148"/>
  <c r="Z40" i="147"/>
  <c r="D40" i="147"/>
  <c r="C40" i="147"/>
  <c r="B36" i="147"/>
  <c r="B35" i="147"/>
  <c r="B34" i="147"/>
  <c r="B33" i="147"/>
  <c r="B32" i="147"/>
  <c r="B31" i="147"/>
  <c r="B30" i="147"/>
  <c r="B29" i="147"/>
  <c r="B28" i="147"/>
  <c r="B27" i="147"/>
  <c r="B26" i="147"/>
  <c r="B25" i="147"/>
  <c r="B24" i="147"/>
  <c r="B23" i="147"/>
  <c r="B22" i="147"/>
  <c r="B21" i="147"/>
  <c r="B20" i="147"/>
  <c r="B19" i="147"/>
  <c r="B18" i="147"/>
  <c r="B17" i="147"/>
  <c r="B16" i="147"/>
  <c r="B15" i="147"/>
  <c r="B14" i="147"/>
  <c r="B13" i="147"/>
  <c r="B12" i="147"/>
  <c r="B11" i="147"/>
  <c r="B10" i="147"/>
  <c r="B9" i="147"/>
  <c r="B8" i="147"/>
  <c r="B7" i="147"/>
  <c r="B6" i="147"/>
  <c r="Z40" i="146"/>
  <c r="D40" i="146"/>
  <c r="C40" i="146"/>
  <c r="B36" i="146"/>
  <c r="B35" i="146"/>
  <c r="B34" i="146"/>
  <c r="B33" i="146"/>
  <c r="B32" i="146"/>
  <c r="B31" i="146"/>
  <c r="B30" i="146"/>
  <c r="B29" i="146"/>
  <c r="B28" i="146"/>
  <c r="B27" i="146"/>
  <c r="B26" i="146"/>
  <c r="B25" i="146"/>
  <c r="B24" i="146"/>
  <c r="B23" i="146"/>
  <c r="B22" i="146"/>
  <c r="B21" i="146"/>
  <c r="B20" i="146"/>
  <c r="B19" i="146"/>
  <c r="B18" i="146"/>
  <c r="B17" i="146"/>
  <c r="B16" i="146"/>
  <c r="B15" i="146"/>
  <c r="B14" i="146"/>
  <c r="B13" i="146"/>
  <c r="B12" i="146"/>
  <c r="B11" i="146"/>
  <c r="B10" i="146"/>
  <c r="B9" i="146"/>
  <c r="B8" i="146"/>
  <c r="B7" i="146"/>
  <c r="B6" i="146"/>
  <c r="Z40" i="145"/>
  <c r="D40" i="145"/>
  <c r="C40" i="145"/>
  <c r="B36" i="145"/>
  <c r="B35" i="145"/>
  <c r="B34" i="145"/>
  <c r="B33" i="145"/>
  <c r="B32" i="145"/>
  <c r="B31" i="145"/>
  <c r="B30" i="145"/>
  <c r="B29" i="145"/>
  <c r="B28" i="145"/>
  <c r="B27" i="145"/>
  <c r="B26" i="145"/>
  <c r="B25" i="145"/>
  <c r="B24" i="145"/>
  <c r="B23" i="145"/>
  <c r="B22" i="145"/>
  <c r="B21" i="145"/>
  <c r="B20" i="145"/>
  <c r="B19" i="145"/>
  <c r="B18" i="145"/>
  <c r="B17" i="145"/>
  <c r="B16" i="145"/>
  <c r="B15" i="145"/>
  <c r="B14" i="145"/>
  <c r="B13" i="145"/>
  <c r="B12" i="145"/>
  <c r="B11" i="145"/>
  <c r="B10" i="145"/>
  <c r="B9" i="145"/>
  <c r="B8" i="145"/>
  <c r="B7" i="145"/>
  <c r="B6" i="145"/>
  <c r="Z40" i="144"/>
  <c r="D40" i="144"/>
  <c r="C40" i="144"/>
  <c r="B36" i="144"/>
  <c r="B35" i="144"/>
  <c r="B34" i="144"/>
  <c r="B33" i="144"/>
  <c r="B32" i="144"/>
  <c r="B31" i="144"/>
  <c r="B30" i="144"/>
  <c r="B29" i="144"/>
  <c r="B28" i="144"/>
  <c r="B27" i="144"/>
  <c r="B26" i="144"/>
  <c r="B25" i="144"/>
  <c r="B24" i="144"/>
  <c r="B23" i="144"/>
  <c r="B22" i="144"/>
  <c r="B21" i="144"/>
  <c r="B20" i="144"/>
  <c r="B19" i="144"/>
  <c r="B18" i="144"/>
  <c r="B17" i="144"/>
  <c r="B16" i="144"/>
  <c r="B15" i="144"/>
  <c r="B14" i="144"/>
  <c r="B13" i="144"/>
  <c r="B12" i="144"/>
  <c r="B11" i="144"/>
  <c r="B10" i="144"/>
  <c r="B9" i="144"/>
  <c r="B8" i="144"/>
  <c r="B7" i="144"/>
  <c r="B6" i="144"/>
  <c r="Z40" i="143"/>
  <c r="D40" i="143"/>
  <c r="C40" i="143"/>
  <c r="B36" i="143"/>
  <c r="B35" i="143"/>
  <c r="B34" i="143"/>
  <c r="B33" i="143"/>
  <c r="B32" i="143"/>
  <c r="B31" i="143"/>
  <c r="B30" i="143"/>
  <c r="B29" i="143"/>
  <c r="B28" i="143"/>
  <c r="B27" i="143"/>
  <c r="B26" i="143"/>
  <c r="B25" i="143"/>
  <c r="B24" i="143"/>
  <c r="B23" i="143"/>
  <c r="B22" i="143"/>
  <c r="B21" i="143"/>
  <c r="B20" i="143"/>
  <c r="B19" i="143"/>
  <c r="B18" i="143"/>
  <c r="B17" i="143"/>
  <c r="B16" i="143"/>
  <c r="B15" i="143"/>
  <c r="B14" i="143"/>
  <c r="B13" i="143"/>
  <c r="B12" i="143"/>
  <c r="B11" i="143"/>
  <c r="B10" i="143"/>
  <c r="B9" i="143"/>
  <c r="B8" i="143"/>
  <c r="B7" i="143"/>
  <c r="B6" i="143"/>
  <c r="Z40" i="142"/>
  <c r="D40" i="142"/>
  <c r="C40" i="142"/>
  <c r="B36" i="142"/>
  <c r="B35" i="142"/>
  <c r="B34" i="142"/>
  <c r="B33" i="142"/>
  <c r="B32" i="142"/>
  <c r="B31" i="142"/>
  <c r="B30" i="142"/>
  <c r="B29" i="142"/>
  <c r="B28" i="142"/>
  <c r="B27" i="142"/>
  <c r="B26" i="142"/>
  <c r="B25" i="142"/>
  <c r="B24" i="142"/>
  <c r="B23" i="142"/>
  <c r="B22" i="142"/>
  <c r="B21" i="142"/>
  <c r="B20" i="142"/>
  <c r="B19" i="142"/>
  <c r="B18" i="142"/>
  <c r="B17" i="142"/>
  <c r="B16" i="142"/>
  <c r="B15" i="142"/>
  <c r="B14" i="142"/>
  <c r="B13" i="142"/>
  <c r="B12" i="142"/>
  <c r="B11" i="142"/>
  <c r="B10" i="142"/>
  <c r="B9" i="142"/>
  <c r="B8" i="142"/>
  <c r="B7" i="142"/>
  <c r="B6" i="142"/>
  <c r="Z40" i="141"/>
  <c r="D40" i="141"/>
  <c r="C40" i="141"/>
  <c r="B36" i="141"/>
  <c r="B35" i="141"/>
  <c r="B34" i="141"/>
  <c r="B33" i="141"/>
  <c r="B32" i="141"/>
  <c r="B31" i="141"/>
  <c r="B30" i="141"/>
  <c r="B29" i="141"/>
  <c r="B28" i="141"/>
  <c r="B27" i="141"/>
  <c r="B26" i="141"/>
  <c r="B25" i="141"/>
  <c r="B24" i="141"/>
  <c r="B23" i="141"/>
  <c r="B22" i="141"/>
  <c r="B21" i="141"/>
  <c r="B20" i="141"/>
  <c r="B19" i="141"/>
  <c r="B18" i="141"/>
  <c r="B17" i="141"/>
  <c r="B16" i="141"/>
  <c r="B15" i="141"/>
  <c r="B14" i="141"/>
  <c r="B13" i="141"/>
  <c r="B12" i="141"/>
  <c r="B11" i="141"/>
  <c r="B10" i="141"/>
  <c r="B9" i="141"/>
  <c r="B8" i="141"/>
  <c r="B7" i="141"/>
  <c r="B6" i="141"/>
  <c r="Z40" i="140"/>
  <c r="D40" i="140"/>
  <c r="C40" i="140"/>
  <c r="B36" i="140"/>
  <c r="B35" i="140"/>
  <c r="B34" i="140"/>
  <c r="B33" i="140"/>
  <c r="B32" i="140"/>
  <c r="B31" i="140"/>
  <c r="B30" i="140"/>
  <c r="B29" i="140"/>
  <c r="B28" i="140"/>
  <c r="B27" i="140"/>
  <c r="B26" i="140"/>
  <c r="B25" i="140"/>
  <c r="B24" i="140"/>
  <c r="B23" i="140"/>
  <c r="B22" i="140"/>
  <c r="B21" i="140"/>
  <c r="B20" i="140"/>
  <c r="B19" i="140"/>
  <c r="B18" i="140"/>
  <c r="B17" i="140"/>
  <c r="B16" i="140"/>
  <c r="B15" i="140"/>
  <c r="B14" i="140"/>
  <c r="B13" i="140"/>
  <c r="B12" i="140"/>
  <c r="B11" i="140"/>
  <c r="B10" i="140"/>
  <c r="B9" i="140"/>
  <c r="B8" i="140"/>
  <c r="B7" i="140"/>
  <c r="AJ6" i="140"/>
  <c r="AI6" i="140"/>
  <c r="AH6" i="140"/>
  <c r="AG6" i="140"/>
  <c r="AE6" i="140"/>
  <c r="B6" i="140"/>
  <c r="Z40" i="139"/>
  <c r="D40" i="139"/>
  <c r="C40" i="139"/>
  <c r="B36" i="139"/>
  <c r="B35" i="139"/>
  <c r="B34" i="139"/>
  <c r="B33" i="139"/>
  <c r="B32" i="139"/>
  <c r="B31" i="139"/>
  <c r="B30" i="139"/>
  <c r="B29" i="139"/>
  <c r="B28" i="139"/>
  <c r="B27" i="139"/>
  <c r="B26" i="139"/>
  <c r="B25" i="139"/>
  <c r="B24" i="139"/>
  <c r="B23" i="139"/>
  <c r="B22" i="139"/>
  <c r="B21" i="139"/>
  <c r="B20" i="139"/>
  <c r="B19" i="139"/>
  <c r="B18" i="139"/>
  <c r="B17" i="139"/>
  <c r="B16" i="139"/>
  <c r="B15" i="139"/>
  <c r="B14" i="139"/>
  <c r="B13" i="139"/>
  <c r="B12" i="139"/>
  <c r="B11" i="139"/>
  <c r="B10" i="139"/>
  <c r="B9" i="139"/>
  <c r="B8" i="139"/>
  <c r="B7" i="139"/>
  <c r="B6" i="139"/>
  <c r="R9" i="148" l="1"/>
  <c r="S10" i="148"/>
  <c r="S13" i="148"/>
  <c r="R16" i="148"/>
  <c r="S17" i="148"/>
  <c r="R22" i="148"/>
  <c r="S23" i="148"/>
  <c r="S26" i="148"/>
  <c r="R29" i="148"/>
  <c r="S30" i="148"/>
  <c r="R33" i="148"/>
  <c r="S34" i="148"/>
  <c r="R8" i="148"/>
  <c r="S9" i="148"/>
  <c r="R12" i="148"/>
  <c r="R15" i="148"/>
  <c r="S16" i="148"/>
  <c r="R19" i="148"/>
  <c r="R21" i="148"/>
  <c r="S22" i="148"/>
  <c r="R25" i="148"/>
  <c r="R28" i="148"/>
  <c r="S29" i="148"/>
  <c r="R32" i="148"/>
  <c r="S33" i="148"/>
  <c r="R36" i="148"/>
  <c r="R7" i="148"/>
  <c r="S8" i="148"/>
  <c r="R11" i="148"/>
  <c r="R14" i="148"/>
  <c r="S15" i="148"/>
  <c r="R18" i="148"/>
  <c r="S19" i="148"/>
  <c r="S21" i="148"/>
  <c r="R24" i="148"/>
  <c r="R27" i="148"/>
  <c r="S28" i="148"/>
  <c r="R31" i="148"/>
  <c r="S32" i="148"/>
  <c r="R35" i="148"/>
  <c r="S36" i="148"/>
  <c r="S7" i="148"/>
  <c r="R10" i="148"/>
  <c r="S11" i="148"/>
  <c r="R13" i="148"/>
  <c r="S14" i="148"/>
  <c r="R17" i="148"/>
  <c r="S18" i="148"/>
  <c r="R23" i="148"/>
  <c r="S24" i="148"/>
  <c r="R26" i="148"/>
  <c r="S27" i="148"/>
  <c r="R30" i="148"/>
  <c r="S31" i="148"/>
  <c r="R34" i="148"/>
  <c r="S35" i="148"/>
  <c r="Z40" i="148"/>
  <c r="AK6" i="148"/>
  <c r="P40" i="141"/>
  <c r="Q40" i="141"/>
  <c r="U40" i="141"/>
  <c r="X40" i="141"/>
  <c r="AD40" i="141"/>
  <c r="T40" i="141"/>
  <c r="I40" i="141"/>
  <c r="Y40" i="141"/>
  <c r="AE40" i="139"/>
  <c r="P40" i="139"/>
  <c r="X40" i="139"/>
  <c r="Y40" i="142"/>
  <c r="W40" i="142"/>
  <c r="AI40" i="143"/>
  <c r="Y40" i="143"/>
  <c r="AE40" i="145"/>
  <c r="Q40" i="145"/>
  <c r="X40" i="147"/>
  <c r="AE40" i="147"/>
  <c r="Q40" i="146"/>
  <c r="T40" i="139"/>
  <c r="AI40" i="139"/>
  <c r="AD40" i="139"/>
  <c r="R40" i="140"/>
  <c r="AC40" i="139"/>
  <c r="I40" i="139"/>
  <c r="R40" i="139"/>
  <c r="V40" i="139"/>
  <c r="I40" i="143"/>
  <c r="U40" i="143"/>
  <c r="I40" i="145"/>
  <c r="Y40" i="145"/>
  <c r="T40" i="146"/>
  <c r="X40" i="146"/>
  <c r="Y40" i="146"/>
  <c r="U40" i="146"/>
  <c r="AD40" i="146"/>
  <c r="V40" i="146"/>
  <c r="V40" i="140"/>
  <c r="AC40" i="141"/>
  <c r="E40" i="143"/>
  <c r="S40" i="144"/>
  <c r="AD40" i="145"/>
  <c r="R40" i="145"/>
  <c r="V40" i="145"/>
  <c r="S40" i="147"/>
  <c r="AF40" i="147"/>
  <c r="Y40" i="147"/>
  <c r="AI40" i="147"/>
  <c r="AC40" i="142"/>
  <c r="I40" i="142"/>
  <c r="Q40" i="142"/>
  <c r="AD40" i="142"/>
  <c r="I40" i="144"/>
  <c r="P40" i="147"/>
  <c r="T40" i="147"/>
  <c r="AC40" i="147"/>
  <c r="U40" i="147"/>
  <c r="S40" i="139"/>
  <c r="W40" i="139"/>
  <c r="AF40" i="139"/>
  <c r="AJ40" i="139"/>
  <c r="Q40" i="139"/>
  <c r="U40" i="139"/>
  <c r="Y40" i="139"/>
  <c r="U40" i="142"/>
  <c r="S40" i="142"/>
  <c r="S40" i="143"/>
  <c r="Q40" i="143"/>
  <c r="AD40" i="143"/>
  <c r="W40" i="145"/>
  <c r="U40" i="145"/>
  <c r="Q40" i="147"/>
  <c r="AD40" i="147"/>
  <c r="R40" i="147"/>
  <c r="V40" i="147"/>
  <c r="W40" i="147"/>
  <c r="P40" i="146"/>
  <c r="AC40" i="146"/>
  <c r="I40" i="146"/>
  <c r="R40" i="146"/>
  <c r="AG40" i="146"/>
  <c r="AF40" i="146"/>
  <c r="AJ40" i="146"/>
  <c r="AG40" i="147"/>
  <c r="AJ40" i="147"/>
  <c r="AH40" i="147"/>
  <c r="AH40" i="145"/>
  <c r="AI40" i="145"/>
  <c r="E40" i="145"/>
  <c r="AH40" i="144"/>
  <c r="AG40" i="143"/>
  <c r="AH40" i="143"/>
  <c r="AG40" i="139"/>
  <c r="AH40" i="139"/>
  <c r="AG40" i="141"/>
  <c r="AH40" i="141"/>
  <c r="E40" i="141"/>
  <c r="AJ40" i="140"/>
  <c r="AH40" i="146"/>
  <c r="S40" i="146"/>
  <c r="AE40" i="146"/>
  <c r="AI40" i="146"/>
  <c r="E40" i="147"/>
  <c r="E40" i="146"/>
  <c r="W40" i="146"/>
  <c r="I40" i="147"/>
  <c r="AG40" i="142"/>
  <c r="V40" i="142"/>
  <c r="AH40" i="142"/>
  <c r="E40" i="142"/>
  <c r="AE40" i="142"/>
  <c r="AI40" i="142"/>
  <c r="R40" i="142"/>
  <c r="R40" i="143"/>
  <c r="V40" i="143"/>
  <c r="AI40" i="144"/>
  <c r="AF40" i="142"/>
  <c r="W40" i="143"/>
  <c r="AJ40" i="142"/>
  <c r="P40" i="142"/>
  <c r="T40" i="142"/>
  <c r="X40" i="142"/>
  <c r="AF40" i="143"/>
  <c r="AJ40" i="143"/>
  <c r="P40" i="143"/>
  <c r="T40" i="143"/>
  <c r="X40" i="143"/>
  <c r="AC40" i="143"/>
  <c r="R40" i="144"/>
  <c r="V40" i="144"/>
  <c r="AG40" i="144"/>
  <c r="AD40" i="144"/>
  <c r="S40" i="145"/>
  <c r="AE40" i="144"/>
  <c r="W40" i="144"/>
  <c r="AF40" i="144"/>
  <c r="AJ40" i="144"/>
  <c r="P40" i="144"/>
  <c r="T40" i="144"/>
  <c r="X40" i="144"/>
  <c r="AC40" i="144"/>
  <c r="AG40" i="145"/>
  <c r="E40" i="144"/>
  <c r="Q40" i="144"/>
  <c r="U40" i="144"/>
  <c r="Y40" i="144"/>
  <c r="P40" i="145"/>
  <c r="T40" i="145"/>
  <c r="X40" i="145"/>
  <c r="AC40" i="145"/>
  <c r="AF40" i="145"/>
  <c r="AJ40" i="145"/>
  <c r="S40" i="140"/>
  <c r="AE40" i="140"/>
  <c r="AI40" i="140"/>
  <c r="AD40" i="140"/>
  <c r="W40" i="140"/>
  <c r="P40" i="140"/>
  <c r="X40" i="140"/>
  <c r="AC40" i="140"/>
  <c r="AH40" i="140"/>
  <c r="E40" i="140"/>
  <c r="I40" i="140"/>
  <c r="Q40" i="140"/>
  <c r="U40" i="140"/>
  <c r="Y40" i="140"/>
  <c r="S40" i="141"/>
  <c r="W40" i="141"/>
  <c r="AG40" i="140"/>
  <c r="T40" i="140"/>
  <c r="R40" i="141"/>
  <c r="V40" i="141"/>
  <c r="AE40" i="141"/>
  <c r="AI40" i="141"/>
  <c r="AF40" i="141"/>
  <c r="AJ40" i="141"/>
  <c r="E40" i="139"/>
  <c r="Q8" i="137"/>
  <c r="Q9" i="137"/>
  <c r="Q10" i="137"/>
  <c r="Q11" i="137"/>
  <c r="Q12" i="137"/>
  <c r="Q13" i="137"/>
  <c r="Q14" i="137"/>
  <c r="Q15" i="137"/>
  <c r="Q16" i="137"/>
  <c r="Q17" i="137"/>
  <c r="Q18" i="137"/>
  <c r="Q19" i="137"/>
  <c r="Q20" i="137"/>
  <c r="Q21" i="137"/>
  <c r="Q22" i="137"/>
  <c r="Q23" i="137"/>
  <c r="Q24" i="137"/>
  <c r="Q25" i="137"/>
  <c r="Q26" i="137"/>
  <c r="Q27" i="137"/>
  <c r="Q28" i="137"/>
  <c r="Q29" i="137"/>
  <c r="Q30" i="137"/>
  <c r="Q31" i="137"/>
  <c r="Q32" i="137"/>
  <c r="Q33" i="137"/>
  <c r="Q34" i="137"/>
  <c r="Q35" i="137"/>
  <c r="Q36" i="137"/>
  <c r="E36" i="138" l="1"/>
  <c r="E35" i="138"/>
  <c r="E34" i="138"/>
  <c r="E33" i="138"/>
  <c r="E32" i="138"/>
  <c r="E31" i="138"/>
  <c r="E30" i="138"/>
  <c r="E29" i="138"/>
  <c r="E28" i="138"/>
  <c r="E27" i="138"/>
  <c r="E26" i="138"/>
  <c r="E25" i="138"/>
  <c r="E24" i="138"/>
  <c r="E23" i="138"/>
  <c r="E22" i="138"/>
  <c r="E21" i="138"/>
  <c r="E20" i="138"/>
  <c r="E19" i="138"/>
  <c r="E18" i="138"/>
  <c r="E17" i="138"/>
  <c r="E16" i="138"/>
  <c r="E15" i="138"/>
  <c r="E14" i="138"/>
  <c r="E13" i="138"/>
  <c r="E12" i="138"/>
  <c r="E11" i="138"/>
  <c r="E10" i="138"/>
  <c r="E9" i="138"/>
  <c r="E8" i="138"/>
  <c r="E7" i="138"/>
  <c r="AJ6" i="138"/>
  <c r="AI6" i="138"/>
  <c r="AH6" i="138"/>
  <c r="AG6" i="138"/>
  <c r="AE6" i="138"/>
  <c r="AJ36" i="138"/>
  <c r="AI36" i="138"/>
  <c r="AH36" i="138"/>
  <c r="AG36" i="138"/>
  <c r="AF36" i="138"/>
  <c r="AE36" i="138"/>
  <c r="AD36" i="138"/>
  <c r="AC36" i="138"/>
  <c r="Y36" i="138"/>
  <c r="X36" i="138"/>
  <c r="W36" i="138"/>
  <c r="V36" i="138"/>
  <c r="U36" i="138"/>
  <c r="T36" i="138"/>
  <c r="S36" i="138"/>
  <c r="R36" i="138"/>
  <c r="Q36" i="138"/>
  <c r="P36" i="138"/>
  <c r="I36" i="138"/>
  <c r="AJ35" i="138"/>
  <c r="AI35" i="138"/>
  <c r="AH35" i="138"/>
  <c r="AG35" i="138"/>
  <c r="AF35" i="138"/>
  <c r="AE35" i="138"/>
  <c r="AD35" i="138"/>
  <c r="AC35" i="138"/>
  <c r="Y35" i="138"/>
  <c r="X35" i="138"/>
  <c r="W35" i="138"/>
  <c r="V35" i="138"/>
  <c r="U35" i="138"/>
  <c r="T35" i="138"/>
  <c r="S35" i="138"/>
  <c r="R35" i="138"/>
  <c r="Q35" i="138"/>
  <c r="P35" i="138"/>
  <c r="I35" i="138"/>
  <c r="AJ34" i="138"/>
  <c r="AI34" i="138"/>
  <c r="AH34" i="138"/>
  <c r="AG34" i="138"/>
  <c r="AF34" i="138"/>
  <c r="AE34" i="138"/>
  <c r="AD34" i="138"/>
  <c r="AC34" i="138"/>
  <c r="Y34" i="138"/>
  <c r="X34" i="138"/>
  <c r="W34" i="138"/>
  <c r="V34" i="138"/>
  <c r="U34" i="138"/>
  <c r="T34" i="138"/>
  <c r="S34" i="138"/>
  <c r="R34" i="138"/>
  <c r="Q34" i="138"/>
  <c r="P34" i="138"/>
  <c r="I34" i="138"/>
  <c r="AJ33" i="138"/>
  <c r="AI33" i="138"/>
  <c r="AH33" i="138"/>
  <c r="AG33" i="138"/>
  <c r="AF33" i="138"/>
  <c r="AE33" i="138"/>
  <c r="AD33" i="138"/>
  <c r="AC33" i="138"/>
  <c r="Y33" i="138"/>
  <c r="X33" i="138"/>
  <c r="W33" i="138"/>
  <c r="V33" i="138"/>
  <c r="U33" i="138"/>
  <c r="T33" i="138"/>
  <c r="S33" i="138"/>
  <c r="R33" i="138"/>
  <c r="Q33" i="138"/>
  <c r="P33" i="138"/>
  <c r="I33" i="138"/>
  <c r="AJ32" i="138"/>
  <c r="AI32" i="138"/>
  <c r="AH32" i="138"/>
  <c r="AG32" i="138"/>
  <c r="AF32" i="138"/>
  <c r="AE32" i="138"/>
  <c r="AD32" i="138"/>
  <c r="AC32" i="138"/>
  <c r="Y32" i="138"/>
  <c r="X32" i="138"/>
  <c r="W32" i="138"/>
  <c r="V32" i="138"/>
  <c r="U32" i="138"/>
  <c r="T32" i="138"/>
  <c r="S32" i="138"/>
  <c r="R32" i="138"/>
  <c r="Q32" i="138"/>
  <c r="P32" i="138"/>
  <c r="I32" i="138"/>
  <c r="AJ31" i="138"/>
  <c r="AI31" i="138"/>
  <c r="AH31" i="138"/>
  <c r="AG31" i="138"/>
  <c r="AF31" i="138"/>
  <c r="AE31" i="138"/>
  <c r="AD31" i="138"/>
  <c r="AC31" i="138"/>
  <c r="Y31" i="138"/>
  <c r="X31" i="138"/>
  <c r="W31" i="138"/>
  <c r="V31" i="138"/>
  <c r="U31" i="138"/>
  <c r="T31" i="138"/>
  <c r="S31" i="138"/>
  <c r="R31" i="138"/>
  <c r="Q31" i="138"/>
  <c r="P31" i="138"/>
  <c r="I31" i="138"/>
  <c r="AJ30" i="138"/>
  <c r="AI30" i="138"/>
  <c r="AH30" i="138"/>
  <c r="AG30" i="138"/>
  <c r="AF30" i="138"/>
  <c r="AE30" i="138"/>
  <c r="AD30" i="138"/>
  <c r="AC30" i="138"/>
  <c r="Y30" i="138"/>
  <c r="X30" i="138"/>
  <c r="W30" i="138"/>
  <c r="V30" i="138"/>
  <c r="U30" i="138"/>
  <c r="T30" i="138"/>
  <c r="S30" i="138"/>
  <c r="R30" i="138"/>
  <c r="Q30" i="138"/>
  <c r="P30" i="138"/>
  <c r="I30" i="138"/>
  <c r="AJ29" i="138"/>
  <c r="AI29" i="138"/>
  <c r="AH29" i="138"/>
  <c r="AG29" i="138"/>
  <c r="AF29" i="138"/>
  <c r="AE29" i="138"/>
  <c r="AD29" i="138"/>
  <c r="AC29" i="138"/>
  <c r="Y29" i="138"/>
  <c r="X29" i="138"/>
  <c r="W29" i="138"/>
  <c r="V29" i="138"/>
  <c r="U29" i="138"/>
  <c r="T29" i="138"/>
  <c r="S29" i="138"/>
  <c r="R29" i="138"/>
  <c r="Q29" i="138"/>
  <c r="P29" i="138"/>
  <c r="I29" i="138"/>
  <c r="AJ28" i="138"/>
  <c r="AI28" i="138"/>
  <c r="AH28" i="138"/>
  <c r="AG28" i="138"/>
  <c r="AF28" i="138"/>
  <c r="AE28" i="138"/>
  <c r="AD28" i="138"/>
  <c r="AC28" i="138"/>
  <c r="Y28" i="138"/>
  <c r="X28" i="138"/>
  <c r="W28" i="138"/>
  <c r="V28" i="138"/>
  <c r="U28" i="138"/>
  <c r="T28" i="138"/>
  <c r="S28" i="138"/>
  <c r="R28" i="138"/>
  <c r="Q28" i="138"/>
  <c r="P28" i="138"/>
  <c r="I28" i="138"/>
  <c r="AJ27" i="138"/>
  <c r="AI27" i="138"/>
  <c r="AH27" i="138"/>
  <c r="AG27" i="138"/>
  <c r="AF27" i="138"/>
  <c r="AE27" i="138"/>
  <c r="AD27" i="138"/>
  <c r="AC27" i="138"/>
  <c r="Y27" i="138"/>
  <c r="X27" i="138"/>
  <c r="W27" i="138"/>
  <c r="V27" i="138"/>
  <c r="U27" i="138"/>
  <c r="T27" i="138"/>
  <c r="S27" i="138"/>
  <c r="R27" i="138"/>
  <c r="Q27" i="138"/>
  <c r="P27" i="138"/>
  <c r="I27" i="138"/>
  <c r="AJ26" i="138"/>
  <c r="AI26" i="138"/>
  <c r="AH26" i="138"/>
  <c r="AG26" i="138"/>
  <c r="AF26" i="138"/>
  <c r="AE26" i="138"/>
  <c r="AD26" i="138"/>
  <c r="AC26" i="138"/>
  <c r="Y26" i="138"/>
  <c r="X26" i="138"/>
  <c r="W26" i="138"/>
  <c r="V26" i="138"/>
  <c r="U26" i="138"/>
  <c r="T26" i="138"/>
  <c r="S26" i="138"/>
  <c r="R26" i="138"/>
  <c r="Q26" i="138"/>
  <c r="P26" i="138"/>
  <c r="I26" i="138"/>
  <c r="AJ25" i="138"/>
  <c r="AI25" i="138"/>
  <c r="AH25" i="138"/>
  <c r="AG25" i="138"/>
  <c r="AF25" i="138"/>
  <c r="AE25" i="138"/>
  <c r="AD25" i="138"/>
  <c r="AC25" i="138"/>
  <c r="Y25" i="138"/>
  <c r="X25" i="138"/>
  <c r="W25" i="138"/>
  <c r="V25" i="138"/>
  <c r="U25" i="138"/>
  <c r="T25" i="138"/>
  <c r="S25" i="138"/>
  <c r="R25" i="138"/>
  <c r="Q25" i="138"/>
  <c r="P25" i="138"/>
  <c r="I25" i="138"/>
  <c r="AJ24" i="138"/>
  <c r="AI24" i="138"/>
  <c r="AH24" i="138"/>
  <c r="AG24" i="138"/>
  <c r="AF24" i="138"/>
  <c r="AE24" i="138"/>
  <c r="AD24" i="138"/>
  <c r="AC24" i="138"/>
  <c r="Y24" i="138"/>
  <c r="X24" i="138"/>
  <c r="W24" i="138"/>
  <c r="V24" i="138"/>
  <c r="U24" i="138"/>
  <c r="T24" i="138"/>
  <c r="S24" i="138"/>
  <c r="R24" i="138"/>
  <c r="Q24" i="138"/>
  <c r="P24" i="138"/>
  <c r="I24" i="138"/>
  <c r="AJ23" i="138"/>
  <c r="AI23" i="138"/>
  <c r="AH23" i="138"/>
  <c r="AG23" i="138"/>
  <c r="AF23" i="138"/>
  <c r="AE23" i="138"/>
  <c r="AD23" i="138"/>
  <c r="AC23" i="138"/>
  <c r="Y23" i="138"/>
  <c r="X23" i="138"/>
  <c r="W23" i="138"/>
  <c r="V23" i="138"/>
  <c r="U23" i="138"/>
  <c r="T23" i="138"/>
  <c r="S23" i="138"/>
  <c r="R23" i="138"/>
  <c r="Q23" i="138"/>
  <c r="P23" i="138"/>
  <c r="I23" i="138"/>
  <c r="AJ22" i="138"/>
  <c r="AI22" i="138"/>
  <c r="AH22" i="138"/>
  <c r="AG22" i="138"/>
  <c r="AF22" i="138"/>
  <c r="AE22" i="138"/>
  <c r="AD22" i="138"/>
  <c r="AC22" i="138"/>
  <c r="Y22" i="138"/>
  <c r="X22" i="138"/>
  <c r="W22" i="138"/>
  <c r="V22" i="138"/>
  <c r="U22" i="138"/>
  <c r="T22" i="138"/>
  <c r="S22" i="138"/>
  <c r="R22" i="138"/>
  <c r="Q22" i="138"/>
  <c r="P22" i="138"/>
  <c r="I22" i="138"/>
  <c r="AJ21" i="138"/>
  <c r="AI21" i="138"/>
  <c r="AH21" i="138"/>
  <c r="AG21" i="138"/>
  <c r="AF21" i="138"/>
  <c r="AE21" i="138"/>
  <c r="AD21" i="138"/>
  <c r="AC21" i="138"/>
  <c r="Y21" i="138"/>
  <c r="X21" i="138"/>
  <c r="W21" i="138"/>
  <c r="V21" i="138"/>
  <c r="U21" i="138"/>
  <c r="T21" i="138"/>
  <c r="S21" i="138"/>
  <c r="R21" i="138"/>
  <c r="Q21" i="138"/>
  <c r="P21" i="138"/>
  <c r="I21" i="138"/>
  <c r="AJ20" i="138"/>
  <c r="AI20" i="138"/>
  <c r="AH20" i="138"/>
  <c r="AG20" i="138"/>
  <c r="AF20" i="138"/>
  <c r="AE20" i="138"/>
  <c r="AD20" i="138"/>
  <c r="AC20" i="138"/>
  <c r="Y20" i="138"/>
  <c r="X20" i="138"/>
  <c r="W20" i="138"/>
  <c r="V20" i="138"/>
  <c r="U20" i="138"/>
  <c r="T20" i="138"/>
  <c r="S20" i="138"/>
  <c r="R20" i="138"/>
  <c r="Q20" i="138"/>
  <c r="P20" i="138"/>
  <c r="I20" i="138"/>
  <c r="AJ19" i="138"/>
  <c r="AI19" i="138"/>
  <c r="AH19" i="138"/>
  <c r="AG19" i="138"/>
  <c r="AF19" i="138"/>
  <c r="AE19" i="138"/>
  <c r="AD19" i="138"/>
  <c r="AC19" i="138"/>
  <c r="Y19" i="138"/>
  <c r="X19" i="138"/>
  <c r="W19" i="138"/>
  <c r="V19" i="138"/>
  <c r="U19" i="138"/>
  <c r="T19" i="138"/>
  <c r="S19" i="138"/>
  <c r="R19" i="138"/>
  <c r="Q19" i="138"/>
  <c r="P19" i="138"/>
  <c r="I19" i="138"/>
  <c r="AJ18" i="138"/>
  <c r="AI18" i="138"/>
  <c r="AH18" i="138"/>
  <c r="AG18" i="138"/>
  <c r="AF18" i="138"/>
  <c r="AE18" i="138"/>
  <c r="AD18" i="138"/>
  <c r="AC18" i="138"/>
  <c r="Y18" i="138"/>
  <c r="X18" i="138"/>
  <c r="W18" i="138"/>
  <c r="V18" i="138"/>
  <c r="U18" i="138"/>
  <c r="T18" i="138"/>
  <c r="S18" i="138"/>
  <c r="R18" i="138"/>
  <c r="Q18" i="138"/>
  <c r="P18" i="138"/>
  <c r="I18" i="138"/>
  <c r="AJ17" i="138"/>
  <c r="AI17" i="138"/>
  <c r="AH17" i="138"/>
  <c r="AG17" i="138"/>
  <c r="AF17" i="138"/>
  <c r="AE17" i="138"/>
  <c r="AD17" i="138"/>
  <c r="AC17" i="138"/>
  <c r="Y17" i="138"/>
  <c r="X17" i="138"/>
  <c r="W17" i="138"/>
  <c r="V17" i="138"/>
  <c r="U17" i="138"/>
  <c r="T17" i="138"/>
  <c r="S17" i="138"/>
  <c r="R17" i="138"/>
  <c r="Q17" i="138"/>
  <c r="P17" i="138"/>
  <c r="I17" i="138"/>
  <c r="AJ16" i="138"/>
  <c r="AI16" i="138"/>
  <c r="AH16" i="138"/>
  <c r="AG16" i="138"/>
  <c r="AF16" i="138"/>
  <c r="AE16" i="138"/>
  <c r="AD16" i="138"/>
  <c r="AC16" i="138"/>
  <c r="Y16" i="138"/>
  <c r="X16" i="138"/>
  <c r="W16" i="138"/>
  <c r="V16" i="138"/>
  <c r="U16" i="138"/>
  <c r="T16" i="138"/>
  <c r="S16" i="138"/>
  <c r="R16" i="138"/>
  <c r="Q16" i="138"/>
  <c r="P16" i="138"/>
  <c r="I16" i="138"/>
  <c r="AJ15" i="138"/>
  <c r="AI15" i="138"/>
  <c r="AH15" i="138"/>
  <c r="AG15" i="138"/>
  <c r="AF15" i="138"/>
  <c r="AE15" i="138"/>
  <c r="AD15" i="138"/>
  <c r="AC15" i="138"/>
  <c r="Y15" i="138"/>
  <c r="X15" i="138"/>
  <c r="W15" i="138"/>
  <c r="V15" i="138"/>
  <c r="U15" i="138"/>
  <c r="T15" i="138"/>
  <c r="S15" i="138"/>
  <c r="R15" i="138"/>
  <c r="Q15" i="138"/>
  <c r="P15" i="138"/>
  <c r="I15" i="138"/>
  <c r="AJ14" i="138"/>
  <c r="AI14" i="138"/>
  <c r="AH14" i="138"/>
  <c r="AG14" i="138"/>
  <c r="AF14" i="138"/>
  <c r="AE14" i="138"/>
  <c r="AD14" i="138"/>
  <c r="AC14" i="138"/>
  <c r="Y14" i="138"/>
  <c r="X14" i="138"/>
  <c r="W14" i="138"/>
  <c r="V14" i="138"/>
  <c r="U14" i="138"/>
  <c r="T14" i="138"/>
  <c r="S14" i="138"/>
  <c r="R14" i="138"/>
  <c r="Q14" i="138"/>
  <c r="P14" i="138"/>
  <c r="I14" i="138"/>
  <c r="AJ13" i="138"/>
  <c r="AI13" i="138"/>
  <c r="AH13" i="138"/>
  <c r="AG13" i="138"/>
  <c r="AF13" i="138"/>
  <c r="AE13" i="138"/>
  <c r="AD13" i="138"/>
  <c r="AC13" i="138"/>
  <c r="Y13" i="138"/>
  <c r="X13" i="138"/>
  <c r="W13" i="138"/>
  <c r="V13" i="138"/>
  <c r="U13" i="138"/>
  <c r="T13" i="138"/>
  <c r="S13" i="138"/>
  <c r="R13" i="138"/>
  <c r="Q13" i="138"/>
  <c r="P13" i="138"/>
  <c r="I13" i="138"/>
  <c r="AJ12" i="138"/>
  <c r="AI12" i="138"/>
  <c r="AH12" i="138"/>
  <c r="AG12" i="138"/>
  <c r="AF12" i="138"/>
  <c r="AE12" i="138"/>
  <c r="AD12" i="138"/>
  <c r="AC12" i="138"/>
  <c r="Y12" i="138"/>
  <c r="X12" i="138"/>
  <c r="W12" i="138"/>
  <c r="V12" i="138"/>
  <c r="U12" i="138"/>
  <c r="T12" i="138"/>
  <c r="S12" i="138"/>
  <c r="R12" i="138"/>
  <c r="Q12" i="138"/>
  <c r="P12" i="138"/>
  <c r="I12" i="138"/>
  <c r="AJ11" i="138"/>
  <c r="AI11" i="138"/>
  <c r="AH11" i="138"/>
  <c r="AG11" i="138"/>
  <c r="AF11" i="138"/>
  <c r="AE11" i="138"/>
  <c r="AD11" i="138"/>
  <c r="AC11" i="138"/>
  <c r="Y11" i="138"/>
  <c r="X11" i="138"/>
  <c r="W11" i="138"/>
  <c r="V11" i="138"/>
  <c r="U11" i="138"/>
  <c r="T11" i="138"/>
  <c r="S11" i="138"/>
  <c r="R11" i="138"/>
  <c r="Q11" i="138"/>
  <c r="P11" i="138"/>
  <c r="I11" i="138"/>
  <c r="AJ10" i="138"/>
  <c r="AI10" i="138"/>
  <c r="AH10" i="138"/>
  <c r="AG10" i="138"/>
  <c r="AF10" i="138"/>
  <c r="AE10" i="138"/>
  <c r="AD10" i="138"/>
  <c r="AC10" i="138"/>
  <c r="Y10" i="138"/>
  <c r="X10" i="138"/>
  <c r="W10" i="138"/>
  <c r="V10" i="138"/>
  <c r="U10" i="138"/>
  <c r="T10" i="138"/>
  <c r="S10" i="138"/>
  <c r="R10" i="138"/>
  <c r="Q10" i="138"/>
  <c r="P10" i="138"/>
  <c r="I10" i="138"/>
  <c r="AJ9" i="138"/>
  <c r="AI9" i="138"/>
  <c r="AH9" i="138"/>
  <c r="AG9" i="138"/>
  <c r="AF9" i="138"/>
  <c r="AE9" i="138"/>
  <c r="AD9" i="138"/>
  <c r="AC9" i="138"/>
  <c r="Y9" i="138"/>
  <c r="X9" i="138"/>
  <c r="W9" i="138"/>
  <c r="V9" i="138"/>
  <c r="U9" i="138"/>
  <c r="T9" i="138"/>
  <c r="S9" i="138"/>
  <c r="R9" i="138"/>
  <c r="Q9" i="138"/>
  <c r="P9" i="138"/>
  <c r="I9" i="138"/>
  <c r="AJ8" i="138"/>
  <c r="AI8" i="138"/>
  <c r="AH8" i="138"/>
  <c r="AG8" i="138"/>
  <c r="AF8" i="138"/>
  <c r="AE8" i="138"/>
  <c r="AD8" i="138"/>
  <c r="AC8" i="138"/>
  <c r="Y8" i="138"/>
  <c r="X8" i="138"/>
  <c r="W8" i="138"/>
  <c r="V8" i="138"/>
  <c r="U8" i="138"/>
  <c r="T8" i="138"/>
  <c r="S8" i="138"/>
  <c r="R8" i="138"/>
  <c r="Q8" i="138"/>
  <c r="P8" i="138"/>
  <c r="I8" i="138"/>
  <c r="AJ7" i="138"/>
  <c r="AI7" i="138"/>
  <c r="AH7" i="138"/>
  <c r="AG7" i="138"/>
  <c r="AF7" i="138"/>
  <c r="AE7" i="138"/>
  <c r="AD7" i="138"/>
  <c r="AC7" i="138"/>
  <c r="Y7" i="138"/>
  <c r="X7" i="138"/>
  <c r="W7" i="138"/>
  <c r="V7" i="138"/>
  <c r="U7" i="138"/>
  <c r="T7" i="138"/>
  <c r="S7" i="138"/>
  <c r="R7" i="138"/>
  <c r="Q7" i="138"/>
  <c r="P7" i="138"/>
  <c r="I7" i="138"/>
  <c r="Z40" i="138"/>
  <c r="B36" i="138"/>
  <c r="B35" i="138"/>
  <c r="B34" i="138"/>
  <c r="B33" i="138"/>
  <c r="B32" i="138"/>
  <c r="B31" i="138"/>
  <c r="B30" i="138"/>
  <c r="B29" i="138"/>
  <c r="B28" i="138"/>
  <c r="B27" i="138"/>
  <c r="B26" i="138"/>
  <c r="B25" i="138"/>
  <c r="B24" i="138"/>
  <c r="B23" i="138"/>
  <c r="B22" i="138"/>
  <c r="B21" i="138"/>
  <c r="B20" i="138"/>
  <c r="B19" i="138"/>
  <c r="B18" i="138"/>
  <c r="B17" i="138"/>
  <c r="B16" i="138"/>
  <c r="B15" i="138"/>
  <c r="B14" i="138"/>
  <c r="B13" i="138"/>
  <c r="B12" i="138"/>
  <c r="B11" i="138"/>
  <c r="B10" i="138"/>
  <c r="B9" i="138"/>
  <c r="B8" i="138"/>
  <c r="B7" i="138"/>
  <c r="B6" i="138"/>
  <c r="Y40" i="138" l="1"/>
  <c r="AC40" i="138"/>
  <c r="I40" i="138"/>
  <c r="Q40" i="138"/>
  <c r="U40" i="138"/>
  <c r="AG40" i="138"/>
  <c r="S40" i="138"/>
  <c r="D40" i="138"/>
  <c r="AJ40" i="138"/>
  <c r="AD40" i="138"/>
  <c r="AH40" i="138"/>
  <c r="R40" i="138"/>
  <c r="V40" i="138"/>
  <c r="C40" i="138"/>
  <c r="W40" i="138"/>
  <c r="AE40" i="138"/>
  <c r="AI40" i="138"/>
  <c r="P40" i="138"/>
  <c r="T40" i="138"/>
  <c r="X40" i="138"/>
  <c r="E40" i="138"/>
  <c r="D8" i="133" l="1"/>
  <c r="D8" i="148" s="1"/>
  <c r="D9" i="133"/>
  <c r="D9" i="148" s="1"/>
  <c r="D10" i="133"/>
  <c r="D10" i="148" s="1"/>
  <c r="D11" i="133"/>
  <c r="D11" i="148" s="1"/>
  <c r="D12" i="133"/>
  <c r="D12" i="148" s="1"/>
  <c r="D13" i="133"/>
  <c r="D13" i="148" s="1"/>
  <c r="D14" i="133"/>
  <c r="D14" i="148" s="1"/>
  <c r="D15" i="133"/>
  <c r="D15" i="148" s="1"/>
  <c r="D16" i="133"/>
  <c r="D16" i="148" s="1"/>
  <c r="D17" i="133"/>
  <c r="D17" i="148" s="1"/>
  <c r="D18" i="133"/>
  <c r="D18" i="148" s="1"/>
  <c r="D19" i="133"/>
  <c r="D19" i="148" s="1"/>
  <c r="D20" i="133"/>
  <c r="D20" i="148" s="1"/>
  <c r="D21" i="133"/>
  <c r="D21" i="148" s="1"/>
  <c r="D22" i="133"/>
  <c r="D22" i="148" s="1"/>
  <c r="D23" i="133"/>
  <c r="D23" i="148" s="1"/>
  <c r="D24" i="133"/>
  <c r="D24" i="148" s="1"/>
  <c r="D25" i="133"/>
  <c r="D25" i="148" s="1"/>
  <c r="D26" i="133"/>
  <c r="D26" i="148" s="1"/>
  <c r="D28" i="133"/>
  <c r="D28" i="148" s="1"/>
  <c r="D30" i="133"/>
  <c r="D30" i="148" s="1"/>
  <c r="D31" i="133"/>
  <c r="D31" i="148" s="1"/>
  <c r="D32" i="133"/>
  <c r="D32" i="148" s="1"/>
  <c r="D35" i="133"/>
  <c r="D35" i="148" s="1"/>
  <c r="D36" i="133"/>
  <c r="D36" i="148" s="1"/>
  <c r="E7" i="133"/>
  <c r="AJ6" i="137" l="1"/>
  <c r="AI6" i="137"/>
  <c r="AH6" i="137"/>
  <c r="AG6" i="137"/>
  <c r="AF6" i="137"/>
  <c r="AE6" i="137"/>
  <c r="AJ36" i="137"/>
  <c r="AI36" i="137"/>
  <c r="AH36" i="137"/>
  <c r="AG36" i="137"/>
  <c r="AF36" i="137"/>
  <c r="AE36" i="137"/>
  <c r="AD36" i="137"/>
  <c r="AC36" i="137"/>
  <c r="Y36" i="137"/>
  <c r="X36" i="137"/>
  <c r="W36" i="137"/>
  <c r="V36" i="137"/>
  <c r="U36" i="137"/>
  <c r="T36" i="137"/>
  <c r="S36" i="137"/>
  <c r="R36" i="137"/>
  <c r="P36" i="137"/>
  <c r="I36" i="137"/>
  <c r="AJ35" i="137"/>
  <c r="AI35" i="137"/>
  <c r="AH35" i="137"/>
  <c r="AG35" i="137"/>
  <c r="AF35" i="137"/>
  <c r="AE35" i="137"/>
  <c r="AD35" i="137"/>
  <c r="AC35" i="137"/>
  <c r="Y35" i="137"/>
  <c r="X35" i="137"/>
  <c r="W35" i="137"/>
  <c r="V35" i="137"/>
  <c r="U35" i="137"/>
  <c r="T35" i="137"/>
  <c r="S35" i="137"/>
  <c r="R35" i="137"/>
  <c r="P35" i="137"/>
  <c r="I35" i="137"/>
  <c r="AJ34" i="137"/>
  <c r="AI34" i="137"/>
  <c r="AH34" i="137"/>
  <c r="AG34" i="137"/>
  <c r="AF34" i="137"/>
  <c r="AE34" i="137"/>
  <c r="AD34" i="137"/>
  <c r="AC34" i="137"/>
  <c r="Y34" i="137"/>
  <c r="X34" i="137"/>
  <c r="W34" i="137"/>
  <c r="V34" i="137"/>
  <c r="U34" i="137"/>
  <c r="T34" i="137"/>
  <c r="S34" i="137"/>
  <c r="R34" i="137"/>
  <c r="P34" i="137"/>
  <c r="I34" i="137"/>
  <c r="AJ33" i="137"/>
  <c r="AI33" i="137"/>
  <c r="AH33" i="137"/>
  <c r="AG33" i="137"/>
  <c r="AF33" i="137"/>
  <c r="AE33" i="137"/>
  <c r="AD33" i="137"/>
  <c r="AC33" i="137"/>
  <c r="Y33" i="137"/>
  <c r="X33" i="137"/>
  <c r="W33" i="137"/>
  <c r="V33" i="137"/>
  <c r="U33" i="137"/>
  <c r="T33" i="137"/>
  <c r="S33" i="137"/>
  <c r="R33" i="137"/>
  <c r="P33" i="137"/>
  <c r="I33" i="137"/>
  <c r="AJ32" i="137"/>
  <c r="AI32" i="137"/>
  <c r="AH32" i="137"/>
  <c r="AG32" i="137"/>
  <c r="AF32" i="137"/>
  <c r="AE32" i="137"/>
  <c r="AD32" i="137"/>
  <c r="AC32" i="137"/>
  <c r="Y32" i="137"/>
  <c r="X32" i="137"/>
  <c r="W32" i="137"/>
  <c r="V32" i="137"/>
  <c r="U32" i="137"/>
  <c r="T32" i="137"/>
  <c r="S32" i="137"/>
  <c r="R32" i="137"/>
  <c r="P32" i="137"/>
  <c r="I32" i="137"/>
  <c r="AJ31" i="137"/>
  <c r="AI31" i="137"/>
  <c r="AH31" i="137"/>
  <c r="AG31" i="137"/>
  <c r="AF31" i="137"/>
  <c r="AE31" i="137"/>
  <c r="AD31" i="137"/>
  <c r="AC31" i="137"/>
  <c r="Y31" i="137"/>
  <c r="X31" i="137"/>
  <c r="W31" i="137"/>
  <c r="V31" i="137"/>
  <c r="U31" i="137"/>
  <c r="T31" i="137"/>
  <c r="S31" i="137"/>
  <c r="R31" i="137"/>
  <c r="P31" i="137"/>
  <c r="I31" i="137"/>
  <c r="AJ30" i="137"/>
  <c r="AI30" i="137"/>
  <c r="AH30" i="137"/>
  <c r="AG30" i="137"/>
  <c r="AF30" i="137"/>
  <c r="AE30" i="137"/>
  <c r="AD30" i="137"/>
  <c r="AC30" i="137"/>
  <c r="Y30" i="137"/>
  <c r="X30" i="137"/>
  <c r="W30" i="137"/>
  <c r="V30" i="137"/>
  <c r="U30" i="137"/>
  <c r="T30" i="137"/>
  <c r="S30" i="137"/>
  <c r="R30" i="137"/>
  <c r="P30" i="137"/>
  <c r="I30" i="137"/>
  <c r="AJ29" i="137"/>
  <c r="AI29" i="137"/>
  <c r="AH29" i="137"/>
  <c r="AG29" i="137"/>
  <c r="AF29" i="137"/>
  <c r="AE29" i="137"/>
  <c r="AD29" i="137"/>
  <c r="AC29" i="137"/>
  <c r="Y29" i="137"/>
  <c r="X29" i="137"/>
  <c r="W29" i="137"/>
  <c r="V29" i="137"/>
  <c r="U29" i="137"/>
  <c r="T29" i="137"/>
  <c r="S29" i="137"/>
  <c r="R29" i="137"/>
  <c r="P29" i="137"/>
  <c r="I29" i="137"/>
  <c r="AJ28" i="137"/>
  <c r="AI28" i="137"/>
  <c r="AH28" i="137"/>
  <c r="AG28" i="137"/>
  <c r="AF28" i="137"/>
  <c r="AE28" i="137"/>
  <c r="AD28" i="137"/>
  <c r="AC28" i="137"/>
  <c r="Y28" i="137"/>
  <c r="X28" i="137"/>
  <c r="W28" i="137"/>
  <c r="V28" i="137"/>
  <c r="U28" i="137"/>
  <c r="T28" i="137"/>
  <c r="S28" i="137"/>
  <c r="R28" i="137"/>
  <c r="P28" i="137"/>
  <c r="I28" i="137"/>
  <c r="AJ27" i="137"/>
  <c r="AI27" i="137"/>
  <c r="AH27" i="137"/>
  <c r="AG27" i="137"/>
  <c r="AF27" i="137"/>
  <c r="AE27" i="137"/>
  <c r="AD27" i="137"/>
  <c r="AC27" i="137"/>
  <c r="Y27" i="137"/>
  <c r="X27" i="137"/>
  <c r="W27" i="137"/>
  <c r="V27" i="137"/>
  <c r="U27" i="137"/>
  <c r="T27" i="137"/>
  <c r="S27" i="137"/>
  <c r="R27" i="137"/>
  <c r="P27" i="137"/>
  <c r="I27" i="137"/>
  <c r="AJ26" i="137"/>
  <c r="AI26" i="137"/>
  <c r="AH26" i="137"/>
  <c r="AG26" i="137"/>
  <c r="AF26" i="137"/>
  <c r="AE26" i="137"/>
  <c r="AD26" i="137"/>
  <c r="AC26" i="137"/>
  <c r="Y26" i="137"/>
  <c r="X26" i="137"/>
  <c r="W26" i="137"/>
  <c r="V26" i="137"/>
  <c r="U26" i="137"/>
  <c r="T26" i="137"/>
  <c r="S26" i="137"/>
  <c r="R26" i="137"/>
  <c r="P26" i="137"/>
  <c r="I26" i="137"/>
  <c r="AJ25" i="137"/>
  <c r="AI25" i="137"/>
  <c r="AH25" i="137"/>
  <c r="AG25" i="137"/>
  <c r="AF25" i="137"/>
  <c r="AE25" i="137"/>
  <c r="AD25" i="137"/>
  <c r="AC25" i="137"/>
  <c r="Y25" i="137"/>
  <c r="X25" i="137"/>
  <c r="W25" i="137"/>
  <c r="V25" i="137"/>
  <c r="U25" i="137"/>
  <c r="T25" i="137"/>
  <c r="S25" i="137"/>
  <c r="R25" i="137"/>
  <c r="P25" i="137"/>
  <c r="I25" i="137"/>
  <c r="AJ24" i="137"/>
  <c r="AI24" i="137"/>
  <c r="AH24" i="137"/>
  <c r="AG24" i="137"/>
  <c r="AF24" i="137"/>
  <c r="AE24" i="137"/>
  <c r="AD24" i="137"/>
  <c r="AC24" i="137"/>
  <c r="Y24" i="137"/>
  <c r="X24" i="137"/>
  <c r="W24" i="137"/>
  <c r="V24" i="137"/>
  <c r="U24" i="137"/>
  <c r="T24" i="137"/>
  <c r="S24" i="137"/>
  <c r="R24" i="137"/>
  <c r="P24" i="137"/>
  <c r="I24" i="137"/>
  <c r="AJ23" i="137"/>
  <c r="AI23" i="137"/>
  <c r="AH23" i="137"/>
  <c r="AG23" i="137"/>
  <c r="AF23" i="137"/>
  <c r="AE23" i="137"/>
  <c r="AD23" i="137"/>
  <c r="AC23" i="137"/>
  <c r="Y23" i="137"/>
  <c r="X23" i="137"/>
  <c r="W23" i="137"/>
  <c r="V23" i="137"/>
  <c r="U23" i="137"/>
  <c r="T23" i="137"/>
  <c r="S23" i="137"/>
  <c r="R23" i="137"/>
  <c r="P23" i="137"/>
  <c r="I23" i="137"/>
  <c r="AJ22" i="137"/>
  <c r="AI22" i="137"/>
  <c r="AH22" i="137"/>
  <c r="AG22" i="137"/>
  <c r="AF22" i="137"/>
  <c r="AE22" i="137"/>
  <c r="AD22" i="137"/>
  <c r="AC22" i="137"/>
  <c r="Y22" i="137"/>
  <c r="X22" i="137"/>
  <c r="W22" i="137"/>
  <c r="V22" i="137"/>
  <c r="U22" i="137"/>
  <c r="T22" i="137"/>
  <c r="S22" i="137"/>
  <c r="R22" i="137"/>
  <c r="P22" i="137"/>
  <c r="I22" i="137"/>
  <c r="AJ21" i="137"/>
  <c r="AI21" i="137"/>
  <c r="AH21" i="137"/>
  <c r="AG21" i="137"/>
  <c r="AF21" i="137"/>
  <c r="AE21" i="137"/>
  <c r="AD21" i="137"/>
  <c r="AC21" i="137"/>
  <c r="Y21" i="137"/>
  <c r="X21" i="137"/>
  <c r="W21" i="137"/>
  <c r="V21" i="137"/>
  <c r="U21" i="137"/>
  <c r="T21" i="137"/>
  <c r="S21" i="137"/>
  <c r="R21" i="137"/>
  <c r="P21" i="137"/>
  <c r="I21" i="137"/>
  <c r="AJ20" i="137"/>
  <c r="AI20" i="137"/>
  <c r="AH20" i="137"/>
  <c r="AG20" i="137"/>
  <c r="AF20" i="137"/>
  <c r="AE20" i="137"/>
  <c r="AD20" i="137"/>
  <c r="AC20" i="137"/>
  <c r="Y20" i="137"/>
  <c r="X20" i="137"/>
  <c r="W20" i="137"/>
  <c r="V20" i="137"/>
  <c r="U20" i="137"/>
  <c r="T20" i="137"/>
  <c r="S20" i="137"/>
  <c r="R20" i="137"/>
  <c r="P20" i="137"/>
  <c r="I20" i="137"/>
  <c r="AJ19" i="137"/>
  <c r="AI19" i="137"/>
  <c r="AH19" i="137"/>
  <c r="AG19" i="137"/>
  <c r="AF19" i="137"/>
  <c r="AE19" i="137"/>
  <c r="AD19" i="137"/>
  <c r="AC19" i="137"/>
  <c r="Y19" i="137"/>
  <c r="X19" i="137"/>
  <c r="W19" i="137"/>
  <c r="V19" i="137"/>
  <c r="U19" i="137"/>
  <c r="T19" i="137"/>
  <c r="S19" i="137"/>
  <c r="R19" i="137"/>
  <c r="P19" i="137"/>
  <c r="I19" i="137"/>
  <c r="AJ18" i="137"/>
  <c r="AI18" i="137"/>
  <c r="AH18" i="137"/>
  <c r="AG18" i="137"/>
  <c r="AF18" i="137"/>
  <c r="AE18" i="137"/>
  <c r="AD18" i="137"/>
  <c r="AC18" i="137"/>
  <c r="Y18" i="137"/>
  <c r="X18" i="137"/>
  <c r="W18" i="137"/>
  <c r="V18" i="137"/>
  <c r="U18" i="137"/>
  <c r="T18" i="137"/>
  <c r="S18" i="137"/>
  <c r="R18" i="137"/>
  <c r="P18" i="137"/>
  <c r="I18" i="137"/>
  <c r="AJ17" i="137"/>
  <c r="AI17" i="137"/>
  <c r="AH17" i="137"/>
  <c r="AG17" i="137"/>
  <c r="AF17" i="137"/>
  <c r="AE17" i="137"/>
  <c r="AD17" i="137"/>
  <c r="AC17" i="137"/>
  <c r="Y17" i="137"/>
  <c r="X17" i="137"/>
  <c r="W17" i="137"/>
  <c r="V17" i="137"/>
  <c r="U17" i="137"/>
  <c r="T17" i="137"/>
  <c r="S17" i="137"/>
  <c r="R17" i="137"/>
  <c r="P17" i="137"/>
  <c r="I17" i="137"/>
  <c r="AJ16" i="137"/>
  <c r="AI16" i="137"/>
  <c r="AH16" i="137"/>
  <c r="AG16" i="137"/>
  <c r="AF16" i="137"/>
  <c r="AE16" i="137"/>
  <c r="AD16" i="137"/>
  <c r="AC16" i="137"/>
  <c r="Y16" i="137"/>
  <c r="X16" i="137"/>
  <c r="W16" i="137"/>
  <c r="V16" i="137"/>
  <c r="U16" i="137"/>
  <c r="T16" i="137"/>
  <c r="S16" i="137"/>
  <c r="R16" i="137"/>
  <c r="P16" i="137"/>
  <c r="I16" i="137"/>
  <c r="AJ15" i="137"/>
  <c r="AI15" i="137"/>
  <c r="AH15" i="137"/>
  <c r="AG15" i="137"/>
  <c r="AF15" i="137"/>
  <c r="AE15" i="137"/>
  <c r="AD15" i="137"/>
  <c r="AC15" i="137"/>
  <c r="Y15" i="137"/>
  <c r="X15" i="137"/>
  <c r="W15" i="137"/>
  <c r="V15" i="137"/>
  <c r="U15" i="137"/>
  <c r="T15" i="137"/>
  <c r="S15" i="137"/>
  <c r="R15" i="137"/>
  <c r="P15" i="137"/>
  <c r="I15" i="137"/>
  <c r="AJ14" i="137"/>
  <c r="AI14" i="137"/>
  <c r="AH14" i="137"/>
  <c r="AG14" i="137"/>
  <c r="AF14" i="137"/>
  <c r="AE14" i="137"/>
  <c r="AD14" i="137"/>
  <c r="AC14" i="137"/>
  <c r="Y14" i="137"/>
  <c r="X14" i="137"/>
  <c r="W14" i="137"/>
  <c r="V14" i="137"/>
  <c r="U14" i="137"/>
  <c r="T14" i="137"/>
  <c r="S14" i="137"/>
  <c r="R14" i="137"/>
  <c r="P14" i="137"/>
  <c r="I14" i="137"/>
  <c r="AJ13" i="137"/>
  <c r="AI13" i="137"/>
  <c r="AH13" i="137"/>
  <c r="AG13" i="137"/>
  <c r="AF13" i="137"/>
  <c r="AE13" i="137"/>
  <c r="AD13" i="137"/>
  <c r="AC13" i="137"/>
  <c r="Y13" i="137"/>
  <c r="X13" i="137"/>
  <c r="W13" i="137"/>
  <c r="V13" i="137"/>
  <c r="U13" i="137"/>
  <c r="T13" i="137"/>
  <c r="S13" i="137"/>
  <c r="R13" i="137"/>
  <c r="P13" i="137"/>
  <c r="I13" i="137"/>
  <c r="AJ12" i="137"/>
  <c r="AI12" i="137"/>
  <c r="AH12" i="137"/>
  <c r="AG12" i="137"/>
  <c r="AF12" i="137"/>
  <c r="AE12" i="137"/>
  <c r="AD12" i="137"/>
  <c r="AC12" i="137"/>
  <c r="Y12" i="137"/>
  <c r="X12" i="137"/>
  <c r="W12" i="137"/>
  <c r="V12" i="137"/>
  <c r="U12" i="137"/>
  <c r="T12" i="137"/>
  <c r="S12" i="137"/>
  <c r="R12" i="137"/>
  <c r="P12" i="137"/>
  <c r="I12" i="137"/>
  <c r="AJ11" i="137"/>
  <c r="AI11" i="137"/>
  <c r="AH11" i="137"/>
  <c r="AG11" i="137"/>
  <c r="AF11" i="137"/>
  <c r="AE11" i="137"/>
  <c r="AD11" i="137"/>
  <c r="AC11" i="137"/>
  <c r="Y11" i="137"/>
  <c r="X11" i="137"/>
  <c r="W11" i="137"/>
  <c r="V11" i="137"/>
  <c r="U11" i="137"/>
  <c r="T11" i="137"/>
  <c r="S11" i="137"/>
  <c r="R11" i="137"/>
  <c r="P11" i="137"/>
  <c r="I11" i="137"/>
  <c r="AJ10" i="137"/>
  <c r="AI10" i="137"/>
  <c r="AH10" i="137"/>
  <c r="AG10" i="137"/>
  <c r="AF10" i="137"/>
  <c r="AE10" i="137"/>
  <c r="AD10" i="137"/>
  <c r="AC10" i="137"/>
  <c r="Y10" i="137"/>
  <c r="X10" i="137"/>
  <c r="W10" i="137"/>
  <c r="V10" i="137"/>
  <c r="U10" i="137"/>
  <c r="T10" i="137"/>
  <c r="S10" i="137"/>
  <c r="R10" i="137"/>
  <c r="P10" i="137"/>
  <c r="I10" i="137"/>
  <c r="AJ9" i="137"/>
  <c r="AI9" i="137"/>
  <c r="AH9" i="137"/>
  <c r="AG9" i="137"/>
  <c r="AF9" i="137"/>
  <c r="AE9" i="137"/>
  <c r="AD9" i="137"/>
  <c r="AC9" i="137"/>
  <c r="Y9" i="137"/>
  <c r="X9" i="137"/>
  <c r="W9" i="137"/>
  <c r="V9" i="137"/>
  <c r="U9" i="137"/>
  <c r="T9" i="137"/>
  <c r="S9" i="137"/>
  <c r="R9" i="137"/>
  <c r="P9" i="137"/>
  <c r="I9" i="137"/>
  <c r="AJ8" i="137"/>
  <c r="AI8" i="137"/>
  <c r="AH8" i="137"/>
  <c r="AG8" i="137"/>
  <c r="AF8" i="137"/>
  <c r="AE8" i="137"/>
  <c r="AD8" i="137"/>
  <c r="AC8" i="137"/>
  <c r="Y8" i="137"/>
  <c r="X8" i="137"/>
  <c r="W8" i="137"/>
  <c r="V8" i="137"/>
  <c r="U8" i="137"/>
  <c r="T8" i="137"/>
  <c r="S8" i="137"/>
  <c r="R8" i="137"/>
  <c r="P8" i="137"/>
  <c r="I8" i="137"/>
  <c r="AJ7" i="137"/>
  <c r="AI7" i="137"/>
  <c r="AH7" i="137"/>
  <c r="AG7" i="137"/>
  <c r="AF7" i="137"/>
  <c r="AE7" i="137"/>
  <c r="AD7" i="137"/>
  <c r="AC7" i="137"/>
  <c r="Y7" i="137"/>
  <c r="X7" i="137"/>
  <c r="W7" i="137"/>
  <c r="V7" i="137"/>
  <c r="U7" i="137"/>
  <c r="T7" i="137"/>
  <c r="S7" i="137"/>
  <c r="R7" i="137"/>
  <c r="Q7" i="137"/>
  <c r="P7" i="137"/>
  <c r="I7" i="137"/>
  <c r="E8" i="137"/>
  <c r="E9" i="137"/>
  <c r="E10" i="137"/>
  <c r="E11" i="137"/>
  <c r="E12" i="137"/>
  <c r="E13" i="137"/>
  <c r="E14" i="137"/>
  <c r="E15" i="137"/>
  <c r="E16" i="137"/>
  <c r="E17" i="137"/>
  <c r="E18" i="137"/>
  <c r="E19" i="137"/>
  <c r="E20" i="137"/>
  <c r="E21" i="137"/>
  <c r="E22" i="137"/>
  <c r="E23" i="137"/>
  <c r="E24" i="137"/>
  <c r="E25" i="137"/>
  <c r="E26" i="137"/>
  <c r="E27" i="137"/>
  <c r="E28" i="137"/>
  <c r="E29" i="137"/>
  <c r="E30" i="137"/>
  <c r="E31" i="137"/>
  <c r="E32" i="137"/>
  <c r="E33" i="137"/>
  <c r="E34" i="137"/>
  <c r="E35" i="137"/>
  <c r="E36" i="137"/>
  <c r="E7" i="137"/>
  <c r="E7" i="148" s="1"/>
  <c r="AJ7" i="133"/>
  <c r="AJ8" i="133"/>
  <c r="AJ8" i="148" s="1"/>
  <c r="AJ9" i="133"/>
  <c r="AJ10" i="133"/>
  <c r="AJ11" i="133"/>
  <c r="AJ12" i="133"/>
  <c r="AJ12" i="148" s="1"/>
  <c r="AJ13" i="133"/>
  <c r="AJ14" i="133"/>
  <c r="AJ15" i="133"/>
  <c r="AJ16" i="133"/>
  <c r="AJ16" i="148" s="1"/>
  <c r="AJ17" i="133"/>
  <c r="AJ18" i="133"/>
  <c r="AJ19" i="133"/>
  <c r="AJ20" i="133"/>
  <c r="AJ20" i="148" s="1"/>
  <c r="AJ21" i="133"/>
  <c r="AJ22" i="133"/>
  <c r="AJ23" i="133"/>
  <c r="AJ24" i="133"/>
  <c r="AJ24" i="148" s="1"/>
  <c r="AJ25" i="133"/>
  <c r="AJ26" i="133"/>
  <c r="AJ27" i="133"/>
  <c r="AJ28" i="133"/>
  <c r="AJ28" i="148" s="1"/>
  <c r="AJ29" i="133"/>
  <c r="AJ30" i="133"/>
  <c r="AJ31" i="133"/>
  <c r="AJ32" i="133"/>
  <c r="AJ32" i="148" s="1"/>
  <c r="AJ33" i="133"/>
  <c r="AJ34" i="133"/>
  <c r="AJ35" i="133"/>
  <c r="AJ36" i="133"/>
  <c r="AJ36" i="148" s="1"/>
  <c r="AJ6" i="133"/>
  <c r="AI7" i="133"/>
  <c r="AI8" i="133"/>
  <c r="AI9" i="133"/>
  <c r="AI10" i="133"/>
  <c r="AI10" i="148" s="1"/>
  <c r="AI11" i="133"/>
  <c r="AI12" i="133"/>
  <c r="AI13" i="133"/>
  <c r="AI14" i="133"/>
  <c r="AI14" i="148" s="1"/>
  <c r="AI15" i="133"/>
  <c r="AI16" i="133"/>
  <c r="AI17" i="133"/>
  <c r="AI18" i="133"/>
  <c r="AI18" i="148" s="1"/>
  <c r="AI19" i="133"/>
  <c r="AI20" i="133"/>
  <c r="AI21" i="133"/>
  <c r="AI22" i="133"/>
  <c r="AI22" i="148" s="1"/>
  <c r="AI23" i="133"/>
  <c r="AI24" i="133"/>
  <c r="AI25" i="133"/>
  <c r="AI26" i="133"/>
  <c r="AI26" i="148" s="1"/>
  <c r="AI27" i="133"/>
  <c r="AI28" i="133"/>
  <c r="AI29" i="133"/>
  <c r="AI30" i="133"/>
  <c r="AI30" i="148" s="1"/>
  <c r="AI31" i="133"/>
  <c r="AI32" i="133"/>
  <c r="AI33" i="133"/>
  <c r="AI34" i="133"/>
  <c r="AI34" i="148" s="1"/>
  <c r="AI35" i="133"/>
  <c r="AI36" i="133"/>
  <c r="AI6" i="133"/>
  <c r="AH7" i="133"/>
  <c r="AH8" i="133"/>
  <c r="AH8" i="148" s="1"/>
  <c r="AH9" i="133"/>
  <c r="AH10" i="133"/>
  <c r="AH11" i="133"/>
  <c r="AH12" i="133"/>
  <c r="AH12" i="148" s="1"/>
  <c r="AH13" i="133"/>
  <c r="AH14" i="133"/>
  <c r="AH15" i="133"/>
  <c r="AH16" i="133"/>
  <c r="AH16" i="148" s="1"/>
  <c r="AH17" i="133"/>
  <c r="AH18" i="133"/>
  <c r="AH19" i="133"/>
  <c r="AH20" i="133"/>
  <c r="AH20" i="148" s="1"/>
  <c r="AH21" i="133"/>
  <c r="AH22" i="133"/>
  <c r="AH23" i="133"/>
  <c r="AH24" i="133"/>
  <c r="AH24" i="148" s="1"/>
  <c r="AH25" i="133"/>
  <c r="AH26" i="133"/>
  <c r="AH27" i="133"/>
  <c r="AH28" i="133"/>
  <c r="AH28" i="148" s="1"/>
  <c r="AH29" i="133"/>
  <c r="AH30" i="133"/>
  <c r="AH31" i="133"/>
  <c r="AH32" i="133"/>
  <c r="AH32" i="148" s="1"/>
  <c r="AH33" i="133"/>
  <c r="AH34" i="133"/>
  <c r="AH35" i="133"/>
  <c r="AH36" i="133"/>
  <c r="AH36" i="148" s="1"/>
  <c r="AH6" i="133"/>
  <c r="AG7" i="133"/>
  <c r="AG8" i="133"/>
  <c r="AG9" i="133"/>
  <c r="AG10" i="133"/>
  <c r="AG10" i="148" s="1"/>
  <c r="AG11" i="133"/>
  <c r="AG12" i="133"/>
  <c r="AG13" i="133"/>
  <c r="AG14" i="133"/>
  <c r="AG14" i="148" s="1"/>
  <c r="AG15" i="133"/>
  <c r="AG16" i="133"/>
  <c r="AG17" i="133"/>
  <c r="AG18" i="133"/>
  <c r="AG18" i="148" s="1"/>
  <c r="AG19" i="133"/>
  <c r="AG20" i="133"/>
  <c r="AG21" i="133"/>
  <c r="AG22" i="133"/>
  <c r="AG22" i="148" s="1"/>
  <c r="AG23" i="133"/>
  <c r="AG24" i="133"/>
  <c r="AG25" i="133"/>
  <c r="AG26" i="133"/>
  <c r="AG26" i="148" s="1"/>
  <c r="AG27" i="133"/>
  <c r="AG28" i="133"/>
  <c r="AG29" i="133"/>
  <c r="AG30" i="133"/>
  <c r="AG30" i="148" s="1"/>
  <c r="AG31" i="133"/>
  <c r="AG32" i="133"/>
  <c r="AG33" i="133"/>
  <c r="AG34" i="133"/>
  <c r="AG34" i="148" s="1"/>
  <c r="AG35" i="133"/>
  <c r="AG36" i="133"/>
  <c r="AG6" i="133"/>
  <c r="AF7" i="133"/>
  <c r="AF8" i="133"/>
  <c r="AF8" i="148" s="1"/>
  <c r="AF9" i="133"/>
  <c r="AF10" i="133"/>
  <c r="AF11" i="133"/>
  <c r="AF12" i="133"/>
  <c r="AF12" i="148" s="1"/>
  <c r="AF13" i="133"/>
  <c r="AF14" i="133"/>
  <c r="AF15" i="133"/>
  <c r="AF16" i="133"/>
  <c r="AF16" i="148" s="1"/>
  <c r="AF17" i="133"/>
  <c r="AF18" i="133"/>
  <c r="AF19" i="133"/>
  <c r="AF20" i="133"/>
  <c r="AF20" i="148" s="1"/>
  <c r="AF21" i="133"/>
  <c r="AF22" i="133"/>
  <c r="AF23" i="133"/>
  <c r="AF24" i="133"/>
  <c r="AF24" i="148" s="1"/>
  <c r="AF25" i="133"/>
  <c r="AF26" i="133"/>
  <c r="AF27" i="133"/>
  <c r="AF28" i="133"/>
  <c r="AF28" i="148" s="1"/>
  <c r="AF29" i="133"/>
  <c r="AF30" i="133"/>
  <c r="AF31" i="133"/>
  <c r="AF32" i="133"/>
  <c r="AF32" i="148" s="1"/>
  <c r="AF33" i="133"/>
  <c r="AF34" i="133"/>
  <c r="AF35" i="133"/>
  <c r="AF36" i="133"/>
  <c r="AF36" i="148" s="1"/>
  <c r="AF6" i="133"/>
  <c r="AE7" i="133"/>
  <c r="AE8" i="133"/>
  <c r="AE9" i="133"/>
  <c r="AE10" i="133"/>
  <c r="AE10" i="148" s="1"/>
  <c r="AE11" i="133"/>
  <c r="AE12" i="133"/>
  <c r="AE13" i="133"/>
  <c r="AE14" i="133"/>
  <c r="AE14" i="148" s="1"/>
  <c r="AE15" i="133"/>
  <c r="AE16" i="133"/>
  <c r="AE17" i="133"/>
  <c r="AE18" i="133"/>
  <c r="AE18" i="148" s="1"/>
  <c r="AE19" i="133"/>
  <c r="AE20" i="133"/>
  <c r="AE21" i="133"/>
  <c r="AE22" i="133"/>
  <c r="AE22" i="148" s="1"/>
  <c r="AE23" i="133"/>
  <c r="AE24" i="133"/>
  <c r="AE25" i="133"/>
  <c r="AE26" i="133"/>
  <c r="AE26" i="148" s="1"/>
  <c r="AE27" i="133"/>
  <c r="AE28" i="133"/>
  <c r="AE29" i="133"/>
  <c r="AE30" i="133"/>
  <c r="AE30" i="148" s="1"/>
  <c r="AE31" i="133"/>
  <c r="AE32" i="133"/>
  <c r="AE33" i="133"/>
  <c r="AE34" i="133"/>
  <c r="AE34" i="148" s="1"/>
  <c r="AE35" i="133"/>
  <c r="AE36" i="133"/>
  <c r="AE6" i="133"/>
  <c r="AD8" i="133"/>
  <c r="AD9" i="133"/>
  <c r="AD10" i="133"/>
  <c r="AD11" i="133"/>
  <c r="AD11" i="148" s="1"/>
  <c r="AD12" i="133"/>
  <c r="AD13" i="133"/>
  <c r="AD14" i="133"/>
  <c r="AD15" i="133"/>
  <c r="AD15" i="148" s="1"/>
  <c r="AD16" i="133"/>
  <c r="AD17" i="133"/>
  <c r="AD18" i="133"/>
  <c r="AD19" i="133"/>
  <c r="AD19" i="148" s="1"/>
  <c r="AD20" i="133"/>
  <c r="AD21" i="133"/>
  <c r="AD22" i="133"/>
  <c r="AD23" i="133"/>
  <c r="AD23" i="148" s="1"/>
  <c r="AD24" i="133"/>
  <c r="AD25" i="133"/>
  <c r="AD26" i="133"/>
  <c r="AD27" i="133"/>
  <c r="AD27" i="148" s="1"/>
  <c r="AD28" i="133"/>
  <c r="AD29" i="133"/>
  <c r="AD30" i="133"/>
  <c r="AD31" i="133"/>
  <c r="AD31" i="148" s="1"/>
  <c r="AD32" i="133"/>
  <c r="AD33" i="133"/>
  <c r="AD34" i="133"/>
  <c r="AD35" i="133"/>
  <c r="AD35" i="148" s="1"/>
  <c r="AD36" i="133"/>
  <c r="AD7" i="133"/>
  <c r="Z40" i="137"/>
  <c r="C40" i="137"/>
  <c r="B36" i="137"/>
  <c r="B35" i="137"/>
  <c r="B34" i="137"/>
  <c r="B33" i="137"/>
  <c r="B32" i="137"/>
  <c r="B31" i="137"/>
  <c r="B30" i="137"/>
  <c r="B29" i="137"/>
  <c r="B28" i="137"/>
  <c r="B27" i="137"/>
  <c r="B26" i="137"/>
  <c r="B25" i="137"/>
  <c r="B24" i="137"/>
  <c r="B23" i="137"/>
  <c r="B22" i="137"/>
  <c r="B21" i="137"/>
  <c r="B20" i="137"/>
  <c r="B19" i="137"/>
  <c r="B18" i="137"/>
  <c r="B17" i="137"/>
  <c r="B16" i="137"/>
  <c r="B15" i="137"/>
  <c r="B14" i="137"/>
  <c r="B13" i="137"/>
  <c r="B12" i="137"/>
  <c r="B11" i="137"/>
  <c r="B10" i="137"/>
  <c r="B9" i="137"/>
  <c r="B8" i="137"/>
  <c r="B7" i="137"/>
  <c r="B6" i="137"/>
  <c r="AD34" i="148" l="1"/>
  <c r="AD30" i="148"/>
  <c r="AD26" i="148"/>
  <c r="AF35" i="148"/>
  <c r="AF31" i="148"/>
  <c r="AF27" i="148"/>
  <c r="AJ35" i="148"/>
  <c r="AJ31" i="148"/>
  <c r="AJ27" i="148"/>
  <c r="AD22" i="148"/>
  <c r="AF23" i="148"/>
  <c r="AH35" i="148"/>
  <c r="AH31" i="148"/>
  <c r="AH27" i="148"/>
  <c r="AH23" i="148"/>
  <c r="AH19" i="148"/>
  <c r="AH6" i="148"/>
  <c r="AH33" i="148"/>
  <c r="AH29" i="148"/>
  <c r="AH25" i="148"/>
  <c r="AD7" i="148"/>
  <c r="AD33" i="148"/>
  <c r="AD29" i="148"/>
  <c r="AD25" i="148"/>
  <c r="AD21" i="148"/>
  <c r="AD17" i="148"/>
  <c r="AD13" i="148"/>
  <c r="AD9" i="148"/>
  <c r="AF34" i="148"/>
  <c r="AF30" i="148"/>
  <c r="AF26" i="148"/>
  <c r="AF22" i="148"/>
  <c r="AF18" i="148"/>
  <c r="AF14" i="148"/>
  <c r="AF10" i="148"/>
  <c r="AG6" i="148"/>
  <c r="AG33" i="148"/>
  <c r="AG29" i="148"/>
  <c r="AG25" i="148"/>
  <c r="AJ34" i="148"/>
  <c r="AJ30" i="148"/>
  <c r="AJ26" i="148"/>
  <c r="AJ22" i="148"/>
  <c r="AG31" i="148"/>
  <c r="AG19" i="148"/>
  <c r="AG35" i="148"/>
  <c r="AG27" i="148"/>
  <c r="AG23" i="148"/>
  <c r="AD18" i="148"/>
  <c r="AD14" i="148"/>
  <c r="AD10" i="148"/>
  <c r="AE36" i="148"/>
  <c r="AE32" i="148"/>
  <c r="AE28" i="148"/>
  <c r="AE24" i="148"/>
  <c r="AE20" i="148"/>
  <c r="AE16" i="148"/>
  <c r="AE12" i="148"/>
  <c r="AF19" i="148"/>
  <c r="AF15" i="148"/>
  <c r="AF11" i="148"/>
  <c r="AF7" i="148"/>
  <c r="AH21" i="148"/>
  <c r="AH17" i="148"/>
  <c r="AI36" i="148"/>
  <c r="AI32" i="148"/>
  <c r="AI28" i="148"/>
  <c r="AI24" i="148"/>
  <c r="AJ23" i="148"/>
  <c r="AJ19" i="148"/>
  <c r="AJ15" i="148"/>
  <c r="AJ11" i="148"/>
  <c r="AJ7" i="148"/>
  <c r="AG21" i="148"/>
  <c r="AG15" i="148"/>
  <c r="AG11" i="148"/>
  <c r="AG7" i="148"/>
  <c r="AE8" i="148"/>
  <c r="AI20" i="148"/>
  <c r="AI16" i="148"/>
  <c r="AI12" i="148"/>
  <c r="AI8" i="148"/>
  <c r="AG17" i="148"/>
  <c r="AG13" i="148"/>
  <c r="AG9" i="148"/>
  <c r="AH15" i="148"/>
  <c r="AH11" i="148"/>
  <c r="AH7" i="148"/>
  <c r="AH13" i="148"/>
  <c r="AH9" i="148"/>
  <c r="AJ18" i="148"/>
  <c r="AJ14" i="148"/>
  <c r="AJ10" i="148"/>
  <c r="AE35" i="148"/>
  <c r="AE27" i="148"/>
  <c r="AE19" i="148"/>
  <c r="AI35" i="148"/>
  <c r="AI27" i="148"/>
  <c r="AI19" i="148"/>
  <c r="AI11" i="148"/>
  <c r="AI7" i="148"/>
  <c r="AD36" i="148"/>
  <c r="AD32" i="148"/>
  <c r="AD28" i="148"/>
  <c r="AD24" i="148"/>
  <c r="AD20" i="148"/>
  <c r="AD16" i="148"/>
  <c r="AD12" i="148"/>
  <c r="AD8" i="148"/>
  <c r="AF33" i="148"/>
  <c r="AF29" i="148"/>
  <c r="AF25" i="148"/>
  <c r="AF21" i="148"/>
  <c r="AF17" i="148"/>
  <c r="AF13" i="148"/>
  <c r="AF9" i="148"/>
  <c r="AG36" i="148"/>
  <c r="AG32" i="148"/>
  <c r="AG28" i="148"/>
  <c r="AG24" i="148"/>
  <c r="AG20" i="148"/>
  <c r="AG16" i="148"/>
  <c r="AG12" i="148"/>
  <c r="AG8" i="148"/>
  <c r="AJ6" i="148"/>
  <c r="AJ33" i="148"/>
  <c r="AJ29" i="148"/>
  <c r="AJ25" i="148"/>
  <c r="AJ21" i="148"/>
  <c r="AJ17" i="148"/>
  <c r="AJ13" i="148"/>
  <c r="AJ9" i="148"/>
  <c r="AE31" i="148"/>
  <c r="AE23" i="148"/>
  <c r="AE15" i="148"/>
  <c r="AE11" i="148"/>
  <c r="AE7" i="148"/>
  <c r="AI31" i="148"/>
  <c r="AI23" i="148"/>
  <c r="AI15" i="148"/>
  <c r="AE33" i="148"/>
  <c r="AE29" i="148"/>
  <c r="AE25" i="148"/>
  <c r="AE21" i="148"/>
  <c r="AE17" i="148"/>
  <c r="AE13" i="148"/>
  <c r="AE9" i="148"/>
  <c r="AH34" i="148"/>
  <c r="AH30" i="148"/>
  <c r="AH26" i="148"/>
  <c r="AH22" i="148"/>
  <c r="AH18" i="148"/>
  <c r="AH14" i="148"/>
  <c r="AH10" i="148"/>
  <c r="AI6" i="148"/>
  <c r="AI33" i="148"/>
  <c r="AI29" i="148"/>
  <c r="AI25" i="148"/>
  <c r="AI21" i="148"/>
  <c r="AI17" i="148"/>
  <c r="AI13" i="148"/>
  <c r="AI9" i="148"/>
  <c r="I40" i="137"/>
  <c r="Q40" i="137"/>
  <c r="U40" i="137"/>
  <c r="Y40" i="137"/>
  <c r="R40" i="137"/>
  <c r="W40" i="137"/>
  <c r="P40" i="137"/>
  <c r="E40" i="137"/>
  <c r="T40" i="137"/>
  <c r="X40" i="137"/>
  <c r="AD40" i="137"/>
  <c r="V40" i="137"/>
  <c r="S40" i="137"/>
  <c r="D40" i="137"/>
  <c r="AE40" i="137"/>
  <c r="AI40" i="137"/>
  <c r="AJ40" i="137"/>
  <c r="AH40" i="137"/>
  <c r="AG40" i="137"/>
  <c r="AF40" i="137"/>
  <c r="AC40" i="137"/>
  <c r="AD40" i="148" l="1"/>
  <c r="AH40" i="148"/>
  <c r="AG40" i="148"/>
  <c r="AI40" i="148"/>
  <c r="AJ40" i="148"/>
  <c r="Z40" i="133"/>
  <c r="I35" i="136"/>
  <c r="P35" i="136"/>
  <c r="Q35" i="136"/>
  <c r="R35" i="136"/>
  <c r="S35" i="136"/>
  <c r="T35" i="136"/>
  <c r="U35" i="136"/>
  <c r="V35" i="136"/>
  <c r="W35" i="136"/>
  <c r="X35" i="136"/>
  <c r="Y35" i="136"/>
  <c r="AC35" i="136"/>
  <c r="AD35" i="136"/>
  <c r="AE35" i="136"/>
  <c r="AF35" i="136"/>
  <c r="AG35" i="136"/>
  <c r="AH35" i="136"/>
  <c r="AI35" i="136"/>
  <c r="AJ35" i="136"/>
  <c r="I36" i="136"/>
  <c r="P36" i="136"/>
  <c r="Q36" i="136"/>
  <c r="R36" i="136"/>
  <c r="S36" i="136"/>
  <c r="T36" i="136"/>
  <c r="U36" i="136"/>
  <c r="V36" i="136"/>
  <c r="W36" i="136"/>
  <c r="X36" i="136"/>
  <c r="Y36" i="136"/>
  <c r="AC36" i="136"/>
  <c r="AD36" i="136"/>
  <c r="AE36" i="136"/>
  <c r="AF36" i="136"/>
  <c r="AG36" i="136"/>
  <c r="AH36" i="136"/>
  <c r="AI36" i="136"/>
  <c r="AJ36" i="136"/>
  <c r="F39" i="136"/>
  <c r="B35" i="136"/>
  <c r="B7" i="136"/>
  <c r="B8" i="136"/>
  <c r="B9" i="136"/>
  <c r="B10" i="136"/>
  <c r="B11" i="136"/>
  <c r="B12" i="136"/>
  <c r="B13" i="136"/>
  <c r="B14" i="136"/>
  <c r="B15" i="136"/>
  <c r="B16" i="136"/>
  <c r="B17" i="136"/>
  <c r="B18" i="136"/>
  <c r="B19" i="136"/>
  <c r="B20" i="136"/>
  <c r="B21" i="136"/>
  <c r="B22" i="136"/>
  <c r="B23" i="136"/>
  <c r="B24" i="136"/>
  <c r="B25" i="136"/>
  <c r="B26" i="136"/>
  <c r="B27" i="136"/>
  <c r="B28" i="136"/>
  <c r="B29" i="136"/>
  <c r="B30" i="136"/>
  <c r="B31" i="136"/>
  <c r="B32" i="136"/>
  <c r="B33" i="136"/>
  <c r="B34" i="136"/>
  <c r="B6" i="136"/>
  <c r="I8" i="127"/>
  <c r="P8" i="127"/>
  <c r="Q8" i="127"/>
  <c r="R8" i="127"/>
  <c r="S8" i="127" s="1"/>
  <c r="T8" i="127"/>
  <c r="U8" i="127"/>
  <c r="V8" i="127"/>
  <c r="W8" i="127"/>
  <c r="X8" i="127"/>
  <c r="AC8" i="127"/>
  <c r="AD8" i="127"/>
  <c r="I9" i="127"/>
  <c r="P9" i="127"/>
  <c r="Q9" i="127"/>
  <c r="R9" i="127"/>
  <c r="S9" i="127" s="1"/>
  <c r="T9" i="127"/>
  <c r="U9" i="127"/>
  <c r="V9" i="127"/>
  <c r="W9" i="127"/>
  <c r="X9" i="127"/>
  <c r="AC9" i="127"/>
  <c r="AD9" i="127"/>
  <c r="I10" i="127"/>
  <c r="P10" i="127"/>
  <c r="Q10" i="127"/>
  <c r="R10" i="127"/>
  <c r="S10" i="127" s="1"/>
  <c r="T10" i="127"/>
  <c r="U10" i="127"/>
  <c r="V10" i="127"/>
  <c r="W10" i="127"/>
  <c r="X10" i="127"/>
  <c r="AC10" i="127"/>
  <c r="AD10" i="127"/>
  <c r="I11" i="127"/>
  <c r="P11" i="127"/>
  <c r="Q11" i="127"/>
  <c r="R11" i="127"/>
  <c r="S11" i="127" s="1"/>
  <c r="T11" i="127"/>
  <c r="U11" i="127"/>
  <c r="V11" i="127"/>
  <c r="W11" i="127"/>
  <c r="X11" i="127"/>
  <c r="AC11" i="127"/>
  <c r="AD11" i="127"/>
  <c r="I12" i="127"/>
  <c r="P12" i="127"/>
  <c r="Q12" i="127"/>
  <c r="R12" i="127"/>
  <c r="S12" i="127" s="1"/>
  <c r="T12" i="127"/>
  <c r="U12" i="127"/>
  <c r="V12" i="127"/>
  <c r="W12" i="127"/>
  <c r="X12" i="127"/>
  <c r="AC12" i="127"/>
  <c r="AD12" i="127"/>
  <c r="I13" i="127"/>
  <c r="P13" i="127"/>
  <c r="Q13" i="127"/>
  <c r="R13" i="127"/>
  <c r="S13" i="127" s="1"/>
  <c r="T13" i="127"/>
  <c r="U13" i="127"/>
  <c r="V13" i="127"/>
  <c r="W13" i="127"/>
  <c r="X13" i="127"/>
  <c r="AC13" i="127"/>
  <c r="AD13" i="127"/>
  <c r="I14" i="127"/>
  <c r="P14" i="127"/>
  <c r="Q14" i="127"/>
  <c r="R14" i="127"/>
  <c r="S14" i="127" s="1"/>
  <c r="T14" i="127"/>
  <c r="U14" i="127"/>
  <c r="V14" i="127"/>
  <c r="W14" i="127"/>
  <c r="X14" i="127"/>
  <c r="AC14" i="127"/>
  <c r="AD14" i="127"/>
  <c r="I15" i="127"/>
  <c r="P15" i="127"/>
  <c r="Q15" i="127"/>
  <c r="R15" i="127"/>
  <c r="S15" i="127" s="1"/>
  <c r="T15" i="127"/>
  <c r="U15" i="127"/>
  <c r="V15" i="127"/>
  <c r="W15" i="127"/>
  <c r="X15" i="127"/>
  <c r="AC15" i="127"/>
  <c r="AD15" i="127"/>
  <c r="I16" i="127"/>
  <c r="P16" i="127"/>
  <c r="Q16" i="127"/>
  <c r="R16" i="127"/>
  <c r="S16" i="127" s="1"/>
  <c r="T16" i="127"/>
  <c r="U16" i="127"/>
  <c r="V16" i="127"/>
  <c r="W16" i="127"/>
  <c r="X16" i="127"/>
  <c r="AC16" i="127"/>
  <c r="AD16" i="127"/>
  <c r="I17" i="127"/>
  <c r="P17" i="127"/>
  <c r="Q17" i="127"/>
  <c r="R17" i="127"/>
  <c r="S17" i="127" s="1"/>
  <c r="T17" i="127"/>
  <c r="U17" i="127"/>
  <c r="V17" i="127"/>
  <c r="W17" i="127"/>
  <c r="X17" i="127"/>
  <c r="AC17" i="127"/>
  <c r="AD17" i="127"/>
  <c r="I18" i="127"/>
  <c r="P18" i="127"/>
  <c r="Q18" i="127"/>
  <c r="R18" i="127"/>
  <c r="S18" i="127" s="1"/>
  <c r="T18" i="127"/>
  <c r="U18" i="127"/>
  <c r="V18" i="127"/>
  <c r="W18" i="127"/>
  <c r="X18" i="127"/>
  <c r="AC18" i="127"/>
  <c r="AD18" i="127"/>
  <c r="I19" i="127"/>
  <c r="P19" i="127"/>
  <c r="Q19" i="127"/>
  <c r="R19" i="127"/>
  <c r="S19" i="127" s="1"/>
  <c r="T19" i="127"/>
  <c r="U19" i="127"/>
  <c r="V19" i="127"/>
  <c r="W19" i="127"/>
  <c r="X19" i="127"/>
  <c r="AC19" i="127"/>
  <c r="AD19" i="127"/>
  <c r="I20" i="127"/>
  <c r="P20" i="127"/>
  <c r="Q20" i="127"/>
  <c r="R20" i="127"/>
  <c r="S20" i="127" s="1"/>
  <c r="T20" i="127"/>
  <c r="U20" i="127"/>
  <c r="V20" i="127"/>
  <c r="W20" i="127"/>
  <c r="X20" i="127"/>
  <c r="AC20" i="127"/>
  <c r="AD20" i="127"/>
  <c r="I21" i="127"/>
  <c r="P21" i="127"/>
  <c r="Q21" i="127"/>
  <c r="R21" i="127"/>
  <c r="S21" i="127" s="1"/>
  <c r="T21" i="127"/>
  <c r="U21" i="127"/>
  <c r="V21" i="127"/>
  <c r="W21" i="127"/>
  <c r="X21" i="127"/>
  <c r="AC21" i="127"/>
  <c r="AD21" i="127"/>
  <c r="I22" i="127"/>
  <c r="P22" i="127"/>
  <c r="Q22" i="127"/>
  <c r="R22" i="127"/>
  <c r="S22" i="127" s="1"/>
  <c r="T22" i="127"/>
  <c r="U22" i="127"/>
  <c r="V22" i="127"/>
  <c r="W22" i="127"/>
  <c r="X22" i="127"/>
  <c r="AC22" i="127"/>
  <c r="AD22" i="127"/>
  <c r="I23" i="127"/>
  <c r="P23" i="127"/>
  <c r="Q23" i="127"/>
  <c r="R23" i="127"/>
  <c r="S23" i="127" s="1"/>
  <c r="T23" i="127"/>
  <c r="U23" i="127"/>
  <c r="V23" i="127"/>
  <c r="W23" i="127"/>
  <c r="X23" i="127"/>
  <c r="AC23" i="127"/>
  <c r="AD23" i="127"/>
  <c r="I24" i="127"/>
  <c r="P24" i="127"/>
  <c r="Q24" i="127"/>
  <c r="R24" i="127"/>
  <c r="S24" i="127" s="1"/>
  <c r="T24" i="127"/>
  <c r="U24" i="127"/>
  <c r="V24" i="127"/>
  <c r="W24" i="127"/>
  <c r="X24" i="127"/>
  <c r="AC24" i="127"/>
  <c r="AD24" i="127"/>
  <c r="I25" i="127"/>
  <c r="P25" i="127"/>
  <c r="Q25" i="127"/>
  <c r="R25" i="127"/>
  <c r="S25" i="127" s="1"/>
  <c r="T25" i="127"/>
  <c r="U25" i="127"/>
  <c r="V25" i="127"/>
  <c r="W25" i="127"/>
  <c r="X25" i="127"/>
  <c r="AC25" i="127"/>
  <c r="AD25" i="127"/>
  <c r="I26" i="127"/>
  <c r="P26" i="127"/>
  <c r="Q26" i="127"/>
  <c r="R26" i="127"/>
  <c r="S26" i="127" s="1"/>
  <c r="T26" i="127"/>
  <c r="U26" i="127"/>
  <c r="V26" i="127"/>
  <c r="W26" i="127"/>
  <c r="X26" i="127"/>
  <c r="AC26" i="127"/>
  <c r="AD26" i="127"/>
  <c r="I27" i="127"/>
  <c r="J27" i="127"/>
  <c r="K27" i="127" s="1"/>
  <c r="O27" i="127"/>
  <c r="P27" i="127"/>
  <c r="Q27" i="127"/>
  <c r="R27" i="127"/>
  <c r="S27" i="127" s="1"/>
  <c r="T27" i="127"/>
  <c r="U27" i="127"/>
  <c r="V27" i="127"/>
  <c r="W27" i="127"/>
  <c r="X27" i="127"/>
  <c r="AA27" i="127"/>
  <c r="AB27" i="127"/>
  <c r="AC27" i="127"/>
  <c r="AD27" i="127"/>
  <c r="I28" i="127"/>
  <c r="P28" i="127"/>
  <c r="Q28" i="127"/>
  <c r="R28" i="127"/>
  <c r="S28" i="127" s="1"/>
  <c r="T28" i="127"/>
  <c r="U28" i="127"/>
  <c r="V28" i="127"/>
  <c r="W28" i="127"/>
  <c r="X28" i="127"/>
  <c r="AC28" i="127"/>
  <c r="AD28" i="127"/>
  <c r="I29" i="127"/>
  <c r="J29" i="127"/>
  <c r="K29" i="127" s="1"/>
  <c r="O29" i="127"/>
  <c r="P29" i="127"/>
  <c r="Q29" i="127"/>
  <c r="R29" i="127"/>
  <c r="S29" i="127" s="1"/>
  <c r="T29" i="127"/>
  <c r="U29" i="127"/>
  <c r="V29" i="127"/>
  <c r="W29" i="127"/>
  <c r="X29" i="127"/>
  <c r="AA29" i="127"/>
  <c r="AB29" i="127"/>
  <c r="AC29" i="127"/>
  <c r="AD29" i="127"/>
  <c r="I30" i="127"/>
  <c r="P30" i="127"/>
  <c r="Q30" i="127"/>
  <c r="R30" i="127"/>
  <c r="S30" i="127" s="1"/>
  <c r="T30" i="127"/>
  <c r="U30" i="127"/>
  <c r="V30" i="127"/>
  <c r="W30" i="127"/>
  <c r="X30" i="127"/>
  <c r="AC30" i="127"/>
  <c r="AD30" i="127"/>
  <c r="I31" i="127"/>
  <c r="P31" i="127"/>
  <c r="Q31" i="127"/>
  <c r="R31" i="127"/>
  <c r="S31" i="127" s="1"/>
  <c r="T31" i="127"/>
  <c r="U31" i="127"/>
  <c r="V31" i="127"/>
  <c r="W31" i="127"/>
  <c r="X31" i="127"/>
  <c r="AC31" i="127"/>
  <c r="AD31" i="127"/>
  <c r="I32" i="127"/>
  <c r="P32" i="127"/>
  <c r="Q32" i="127"/>
  <c r="R32" i="127"/>
  <c r="S32" i="127" s="1"/>
  <c r="T32" i="127"/>
  <c r="U32" i="127"/>
  <c r="V32" i="127"/>
  <c r="W32" i="127"/>
  <c r="X32" i="127"/>
  <c r="AC32" i="127"/>
  <c r="AD32" i="127"/>
  <c r="I33" i="127"/>
  <c r="J33" i="127"/>
  <c r="K33" i="127" s="1"/>
  <c r="O33" i="127"/>
  <c r="P33" i="127"/>
  <c r="Q33" i="127"/>
  <c r="R33" i="127"/>
  <c r="S33" i="127" s="1"/>
  <c r="T33" i="127"/>
  <c r="U33" i="127"/>
  <c r="V33" i="127"/>
  <c r="W33" i="127"/>
  <c r="X33" i="127"/>
  <c r="AA33" i="127"/>
  <c r="AB33" i="127"/>
  <c r="AC33" i="127"/>
  <c r="AD33" i="127"/>
  <c r="I34" i="127"/>
  <c r="J34" i="127"/>
  <c r="K34" i="127" s="1"/>
  <c r="O34" i="127"/>
  <c r="P34" i="127"/>
  <c r="Q34" i="127"/>
  <c r="R34" i="127"/>
  <c r="S34" i="127" s="1"/>
  <c r="T34" i="127"/>
  <c r="U34" i="127"/>
  <c r="V34" i="127"/>
  <c r="W34" i="127"/>
  <c r="X34" i="127"/>
  <c r="AA34" i="127"/>
  <c r="AB34" i="127"/>
  <c r="AC34" i="127"/>
  <c r="AD34" i="127"/>
  <c r="I35" i="127"/>
  <c r="P35" i="127"/>
  <c r="Q35" i="127"/>
  <c r="R35" i="127"/>
  <c r="S35" i="127" s="1"/>
  <c r="T35" i="127"/>
  <c r="U35" i="127"/>
  <c r="V35" i="127"/>
  <c r="W35" i="127"/>
  <c r="X35" i="127"/>
  <c r="AC35" i="127"/>
  <c r="AD35" i="127"/>
  <c r="I36" i="127"/>
  <c r="P36" i="127"/>
  <c r="Q36" i="127"/>
  <c r="R36" i="127"/>
  <c r="S36" i="127" s="1"/>
  <c r="T36" i="127"/>
  <c r="U36" i="127"/>
  <c r="V36" i="127"/>
  <c r="W36" i="127"/>
  <c r="X36" i="127"/>
  <c r="AC36" i="127"/>
  <c r="AD36" i="127"/>
  <c r="M34" i="127" l="1"/>
  <c r="L34" i="127"/>
  <c r="N34" i="127"/>
  <c r="N33" i="127"/>
  <c r="N29" i="127"/>
  <c r="N27" i="127"/>
  <c r="M33" i="127"/>
  <c r="M29" i="127"/>
  <c r="M27" i="127"/>
  <c r="L33" i="127"/>
  <c r="L29" i="127"/>
  <c r="L27" i="127"/>
  <c r="C7" i="127" l="1"/>
  <c r="C8" i="127"/>
  <c r="C9" i="127"/>
  <c r="C10" i="127"/>
  <c r="C11" i="127"/>
  <c r="C12" i="127"/>
  <c r="C13" i="127"/>
  <c r="C14" i="127"/>
  <c r="C15" i="127"/>
  <c r="C16" i="127"/>
  <c r="C17" i="127"/>
  <c r="C18" i="127"/>
  <c r="C19" i="127"/>
  <c r="C20" i="127"/>
  <c r="C21" i="127"/>
  <c r="C22" i="127"/>
  <c r="C23" i="127"/>
  <c r="C24" i="127"/>
  <c r="C25" i="127"/>
  <c r="C26" i="127"/>
  <c r="C27" i="127"/>
  <c r="C28" i="127"/>
  <c r="C29" i="127"/>
  <c r="C30" i="127"/>
  <c r="C31" i="127"/>
  <c r="C32" i="127"/>
  <c r="C33" i="127"/>
  <c r="C34" i="127"/>
  <c r="C35" i="127"/>
  <c r="C36" i="127"/>
  <c r="C6" i="127"/>
  <c r="B7" i="127"/>
  <c r="B8" i="127"/>
  <c r="B9" i="127"/>
  <c r="B10" i="127"/>
  <c r="B11" i="127"/>
  <c r="B12" i="127"/>
  <c r="B13" i="127"/>
  <c r="B14" i="127"/>
  <c r="B15" i="127"/>
  <c r="B16" i="127"/>
  <c r="B17" i="127"/>
  <c r="B18" i="127"/>
  <c r="B19" i="127"/>
  <c r="B20" i="127"/>
  <c r="B21" i="127"/>
  <c r="B22" i="127"/>
  <c r="B23" i="127"/>
  <c r="B24" i="127"/>
  <c r="B25" i="127"/>
  <c r="B26" i="127"/>
  <c r="B27" i="127"/>
  <c r="B28" i="127"/>
  <c r="B29" i="127"/>
  <c r="B30" i="127"/>
  <c r="B31" i="127"/>
  <c r="B32" i="127"/>
  <c r="B33" i="127"/>
  <c r="B34" i="127"/>
  <c r="B35" i="127"/>
  <c r="B36" i="127"/>
  <c r="B6" i="127"/>
  <c r="D7" i="127" l="1"/>
  <c r="F7" i="127" s="1"/>
  <c r="D8" i="127"/>
  <c r="D9" i="127"/>
  <c r="D10" i="127"/>
  <c r="D11" i="127"/>
  <c r="D12" i="127"/>
  <c r="D13" i="127"/>
  <c r="D14" i="127"/>
  <c r="D15" i="127"/>
  <c r="D16" i="127"/>
  <c r="D17" i="127"/>
  <c r="D18" i="127"/>
  <c r="D19" i="127"/>
  <c r="D20" i="127"/>
  <c r="D21" i="127"/>
  <c r="D22" i="127"/>
  <c r="D23" i="127"/>
  <c r="D24" i="127"/>
  <c r="D25" i="127"/>
  <c r="D26" i="127"/>
  <c r="D27" i="127"/>
  <c r="F27" i="127" s="1"/>
  <c r="D28" i="127"/>
  <c r="D29" i="127"/>
  <c r="F29" i="127" s="1"/>
  <c r="D31" i="127"/>
  <c r="D32" i="127"/>
  <c r="D33" i="127"/>
  <c r="F33" i="127" s="1"/>
  <c r="D34" i="127"/>
  <c r="F34" i="127" s="1"/>
  <c r="D35" i="127"/>
  <c r="D36" i="127"/>
  <c r="D6" i="133"/>
  <c r="D6" i="127" l="1"/>
  <c r="F6" i="127" s="1"/>
  <c r="D6" i="148"/>
  <c r="D30" i="127"/>
  <c r="D40" i="133"/>
  <c r="C42" i="136"/>
  <c r="AJ32" i="136"/>
  <c r="AI32" i="136"/>
  <c r="AH32" i="136"/>
  <c r="AG32" i="136"/>
  <c r="AF32" i="136"/>
  <c r="AE32" i="136"/>
  <c r="AD32" i="136"/>
  <c r="AC32" i="136"/>
  <c r="Y32" i="136"/>
  <c r="X32" i="136"/>
  <c r="W32" i="136"/>
  <c r="V32" i="136"/>
  <c r="U32" i="136"/>
  <c r="T32" i="136"/>
  <c r="S32" i="136"/>
  <c r="R32" i="136"/>
  <c r="Q32" i="136"/>
  <c r="P32" i="136"/>
  <c r="I32" i="136"/>
  <c r="AJ31" i="136"/>
  <c r="AI31" i="136"/>
  <c r="AH31" i="136"/>
  <c r="AG31" i="136"/>
  <c r="AF31" i="136"/>
  <c r="AE31" i="136"/>
  <c r="AD31" i="136"/>
  <c r="AC31" i="136"/>
  <c r="Y31" i="136"/>
  <c r="X31" i="136"/>
  <c r="W31" i="136"/>
  <c r="V31" i="136"/>
  <c r="U31" i="136"/>
  <c r="T31" i="136"/>
  <c r="S31" i="136"/>
  <c r="R31" i="136"/>
  <c r="Q31" i="136"/>
  <c r="P31" i="136"/>
  <c r="I31" i="136"/>
  <c r="AJ30" i="136"/>
  <c r="AI30" i="136"/>
  <c r="AH30" i="136"/>
  <c r="AG30" i="136"/>
  <c r="AF30" i="136"/>
  <c r="AE30" i="136"/>
  <c r="AD30" i="136"/>
  <c r="AC30" i="136"/>
  <c r="Y30" i="136"/>
  <c r="X30" i="136"/>
  <c r="W30" i="136"/>
  <c r="V30" i="136"/>
  <c r="U30" i="136"/>
  <c r="T30" i="136"/>
  <c r="S30" i="136"/>
  <c r="R30" i="136"/>
  <c r="Q30" i="136"/>
  <c r="P30" i="136"/>
  <c r="I30" i="136"/>
  <c r="AJ28" i="136"/>
  <c r="AI28" i="136"/>
  <c r="AH28" i="136"/>
  <c r="AG28" i="136"/>
  <c r="AF28" i="136"/>
  <c r="AE28" i="136"/>
  <c r="AD28" i="136"/>
  <c r="AC28" i="136"/>
  <c r="Y28" i="136"/>
  <c r="X28" i="136"/>
  <c r="W28" i="136"/>
  <c r="V28" i="136"/>
  <c r="U28" i="136"/>
  <c r="T28" i="136"/>
  <c r="S28" i="136"/>
  <c r="R28" i="136"/>
  <c r="Q28" i="136"/>
  <c r="P28" i="136"/>
  <c r="I28" i="136"/>
  <c r="AJ26" i="136"/>
  <c r="AI26" i="136"/>
  <c r="AH26" i="136"/>
  <c r="AG26" i="136"/>
  <c r="AF26" i="136"/>
  <c r="AE26" i="136"/>
  <c r="AD26" i="136"/>
  <c r="AC26" i="136"/>
  <c r="Y26" i="136"/>
  <c r="X26" i="136"/>
  <c r="W26" i="136"/>
  <c r="V26" i="136"/>
  <c r="U26" i="136"/>
  <c r="T26" i="136"/>
  <c r="S26" i="136"/>
  <c r="R26" i="136"/>
  <c r="Q26" i="136"/>
  <c r="P26" i="136"/>
  <c r="I26" i="136"/>
  <c r="AJ25" i="136"/>
  <c r="AI25" i="136"/>
  <c r="AH25" i="136"/>
  <c r="AG25" i="136"/>
  <c r="AF25" i="136"/>
  <c r="AE25" i="136"/>
  <c r="AD25" i="136"/>
  <c r="AC25" i="136"/>
  <c r="Y25" i="136"/>
  <c r="X25" i="136"/>
  <c r="W25" i="136"/>
  <c r="V25" i="136"/>
  <c r="U25" i="136"/>
  <c r="T25" i="136"/>
  <c r="S25" i="136"/>
  <c r="R25" i="136"/>
  <c r="Q25" i="136"/>
  <c r="P25" i="136"/>
  <c r="I25" i="136"/>
  <c r="AJ24" i="136"/>
  <c r="AI24" i="136"/>
  <c r="AH24" i="136"/>
  <c r="AG24" i="136"/>
  <c r="AF24" i="136"/>
  <c r="AE24" i="136"/>
  <c r="AD24" i="136"/>
  <c r="AC24" i="136"/>
  <c r="Y24" i="136"/>
  <c r="X24" i="136"/>
  <c r="W24" i="136"/>
  <c r="V24" i="136"/>
  <c r="U24" i="136"/>
  <c r="T24" i="136"/>
  <c r="S24" i="136"/>
  <c r="R24" i="136"/>
  <c r="Q24" i="136"/>
  <c r="P24" i="136"/>
  <c r="I24" i="136"/>
  <c r="AJ23" i="136"/>
  <c r="AI23" i="136"/>
  <c r="AH23" i="136"/>
  <c r="AG23" i="136"/>
  <c r="AF23" i="136"/>
  <c r="AE23" i="136"/>
  <c r="AD23" i="136"/>
  <c r="AC23" i="136"/>
  <c r="Y23" i="136"/>
  <c r="X23" i="136"/>
  <c r="W23" i="136"/>
  <c r="V23" i="136"/>
  <c r="U23" i="136"/>
  <c r="T23" i="136"/>
  <c r="S23" i="136"/>
  <c r="R23" i="136"/>
  <c r="Q23" i="136"/>
  <c r="P23" i="136"/>
  <c r="I23" i="136"/>
  <c r="AJ22" i="136"/>
  <c r="AI22" i="136"/>
  <c r="AH22" i="136"/>
  <c r="AG22" i="136"/>
  <c r="AF22" i="136"/>
  <c r="AE22" i="136"/>
  <c r="AD22" i="136"/>
  <c r="AC22" i="136"/>
  <c r="Y22" i="136"/>
  <c r="X22" i="136"/>
  <c r="W22" i="136"/>
  <c r="V22" i="136"/>
  <c r="U22" i="136"/>
  <c r="T22" i="136"/>
  <c r="S22" i="136"/>
  <c r="R22" i="136"/>
  <c r="Q22" i="136"/>
  <c r="P22" i="136"/>
  <c r="I22" i="136"/>
  <c r="AJ21" i="136"/>
  <c r="AI21" i="136"/>
  <c r="AH21" i="136"/>
  <c r="AG21" i="136"/>
  <c r="AF21" i="136"/>
  <c r="AE21" i="136"/>
  <c r="AD21" i="136"/>
  <c r="AC21" i="136"/>
  <c r="Y21" i="136"/>
  <c r="X21" i="136"/>
  <c r="W21" i="136"/>
  <c r="V21" i="136"/>
  <c r="U21" i="136"/>
  <c r="T21" i="136"/>
  <c r="S21" i="136"/>
  <c r="R21" i="136"/>
  <c r="Q21" i="136"/>
  <c r="P21" i="136"/>
  <c r="I21" i="136"/>
  <c r="AJ20" i="136"/>
  <c r="AI20" i="136"/>
  <c r="AH20" i="136"/>
  <c r="AG20" i="136"/>
  <c r="AF20" i="136"/>
  <c r="AE20" i="136"/>
  <c r="AD20" i="136"/>
  <c r="AC20" i="136"/>
  <c r="Y20" i="136"/>
  <c r="X20" i="136"/>
  <c r="W20" i="136"/>
  <c r="V20" i="136"/>
  <c r="U20" i="136"/>
  <c r="T20" i="136"/>
  <c r="S20" i="136"/>
  <c r="R20" i="136"/>
  <c r="Q20" i="136"/>
  <c r="P20" i="136"/>
  <c r="I20" i="136"/>
  <c r="AJ19" i="136"/>
  <c r="AI19" i="136"/>
  <c r="AH19" i="136"/>
  <c r="AG19" i="136"/>
  <c r="AF19" i="136"/>
  <c r="AE19" i="136"/>
  <c r="AD19" i="136"/>
  <c r="AC19" i="136"/>
  <c r="Y19" i="136"/>
  <c r="X19" i="136"/>
  <c r="W19" i="136"/>
  <c r="V19" i="136"/>
  <c r="U19" i="136"/>
  <c r="T19" i="136"/>
  <c r="S19" i="136"/>
  <c r="R19" i="136"/>
  <c r="Q19" i="136"/>
  <c r="P19" i="136"/>
  <c r="I19" i="136"/>
  <c r="AJ18" i="136"/>
  <c r="AI18" i="136"/>
  <c r="AH18" i="136"/>
  <c r="AG18" i="136"/>
  <c r="AF18" i="136"/>
  <c r="AE18" i="136"/>
  <c r="AD18" i="136"/>
  <c r="AC18" i="136"/>
  <c r="Y18" i="136"/>
  <c r="X18" i="136"/>
  <c r="W18" i="136"/>
  <c r="V18" i="136"/>
  <c r="U18" i="136"/>
  <c r="T18" i="136"/>
  <c r="S18" i="136"/>
  <c r="R18" i="136"/>
  <c r="Q18" i="136"/>
  <c r="P18" i="136"/>
  <c r="I18" i="136"/>
  <c r="AJ17" i="136"/>
  <c r="AI17" i="136"/>
  <c r="AH17" i="136"/>
  <c r="AG17" i="136"/>
  <c r="AF17" i="136"/>
  <c r="AE17" i="136"/>
  <c r="AD17" i="136"/>
  <c r="AC17" i="136"/>
  <c r="Y17" i="136"/>
  <c r="X17" i="136"/>
  <c r="W17" i="136"/>
  <c r="V17" i="136"/>
  <c r="U17" i="136"/>
  <c r="T17" i="136"/>
  <c r="S17" i="136"/>
  <c r="R17" i="136"/>
  <c r="Q17" i="136"/>
  <c r="P17" i="136"/>
  <c r="I17" i="136"/>
  <c r="AJ16" i="136"/>
  <c r="AI16" i="136"/>
  <c r="AH16" i="136"/>
  <c r="AG16" i="136"/>
  <c r="AF16" i="136"/>
  <c r="AE16" i="136"/>
  <c r="AD16" i="136"/>
  <c r="AC16" i="136"/>
  <c r="Y16" i="136"/>
  <c r="X16" i="136"/>
  <c r="W16" i="136"/>
  <c r="V16" i="136"/>
  <c r="U16" i="136"/>
  <c r="T16" i="136"/>
  <c r="S16" i="136"/>
  <c r="R16" i="136"/>
  <c r="Q16" i="136"/>
  <c r="P16" i="136"/>
  <c r="I16" i="136"/>
  <c r="AJ15" i="136"/>
  <c r="AI15" i="136"/>
  <c r="AH15" i="136"/>
  <c r="AG15" i="136"/>
  <c r="AF15" i="136"/>
  <c r="AE15" i="136"/>
  <c r="AD15" i="136"/>
  <c r="AC15" i="136"/>
  <c r="Y15" i="136"/>
  <c r="X15" i="136"/>
  <c r="W15" i="136"/>
  <c r="V15" i="136"/>
  <c r="U15" i="136"/>
  <c r="T15" i="136"/>
  <c r="S15" i="136"/>
  <c r="R15" i="136"/>
  <c r="Q15" i="136"/>
  <c r="P15" i="136"/>
  <c r="I15" i="136"/>
  <c r="AJ14" i="136"/>
  <c r="AI14" i="136"/>
  <c r="AH14" i="136"/>
  <c r="AG14" i="136"/>
  <c r="AF14" i="136"/>
  <c r="AE14" i="136"/>
  <c r="AD14" i="136"/>
  <c r="AC14" i="136"/>
  <c r="Y14" i="136"/>
  <c r="X14" i="136"/>
  <c r="W14" i="136"/>
  <c r="V14" i="136"/>
  <c r="U14" i="136"/>
  <c r="T14" i="136"/>
  <c r="S14" i="136"/>
  <c r="R14" i="136"/>
  <c r="Q14" i="136"/>
  <c r="P14" i="136"/>
  <c r="I14" i="136"/>
  <c r="AJ13" i="136"/>
  <c r="AI13" i="136"/>
  <c r="AH13" i="136"/>
  <c r="AG13" i="136"/>
  <c r="AF13" i="136"/>
  <c r="AE13" i="136"/>
  <c r="AD13" i="136"/>
  <c r="AC13" i="136"/>
  <c r="Y13" i="136"/>
  <c r="X13" i="136"/>
  <c r="W13" i="136"/>
  <c r="V13" i="136"/>
  <c r="U13" i="136"/>
  <c r="T13" i="136"/>
  <c r="S13" i="136"/>
  <c r="R13" i="136"/>
  <c r="Q13" i="136"/>
  <c r="P13" i="136"/>
  <c r="I13" i="136"/>
  <c r="AJ12" i="136"/>
  <c r="AI12" i="136"/>
  <c r="AH12" i="136"/>
  <c r="AG12" i="136"/>
  <c r="AF12" i="136"/>
  <c r="AE12" i="136"/>
  <c r="AD12" i="136"/>
  <c r="AC12" i="136"/>
  <c r="Y12" i="136"/>
  <c r="X12" i="136"/>
  <c r="W12" i="136"/>
  <c r="V12" i="136"/>
  <c r="U12" i="136"/>
  <c r="T12" i="136"/>
  <c r="S12" i="136"/>
  <c r="R12" i="136"/>
  <c r="Q12" i="136"/>
  <c r="P12" i="136"/>
  <c r="I12" i="136"/>
  <c r="AJ11" i="136"/>
  <c r="AI11" i="136"/>
  <c r="AH11" i="136"/>
  <c r="AG11" i="136"/>
  <c r="AF11" i="136"/>
  <c r="AE11" i="136"/>
  <c r="AD11" i="136"/>
  <c r="AC11" i="136"/>
  <c r="Y11" i="136"/>
  <c r="X11" i="136"/>
  <c r="W11" i="136"/>
  <c r="V11" i="136"/>
  <c r="U11" i="136"/>
  <c r="T11" i="136"/>
  <c r="S11" i="136"/>
  <c r="R11" i="136"/>
  <c r="Q11" i="136"/>
  <c r="P11" i="136"/>
  <c r="I11" i="136"/>
  <c r="AJ10" i="136"/>
  <c r="AI10" i="136"/>
  <c r="AH10" i="136"/>
  <c r="AG10" i="136"/>
  <c r="AF10" i="136"/>
  <c r="AE10" i="136"/>
  <c r="AD10" i="136"/>
  <c r="AC10" i="136"/>
  <c r="Y10" i="136"/>
  <c r="X10" i="136"/>
  <c r="W10" i="136"/>
  <c r="V10" i="136"/>
  <c r="U10" i="136"/>
  <c r="T10" i="136"/>
  <c r="S10" i="136"/>
  <c r="R10" i="136"/>
  <c r="Q10" i="136"/>
  <c r="P10" i="136"/>
  <c r="I10" i="136"/>
  <c r="AJ9" i="136"/>
  <c r="AI9" i="136"/>
  <c r="AH9" i="136"/>
  <c r="AG9" i="136"/>
  <c r="AF9" i="136"/>
  <c r="AE9" i="136"/>
  <c r="AD9" i="136"/>
  <c r="AC9" i="136"/>
  <c r="Y9" i="136"/>
  <c r="X9" i="136"/>
  <c r="W9" i="136"/>
  <c r="V9" i="136"/>
  <c r="U9" i="136"/>
  <c r="T9" i="136"/>
  <c r="S9" i="136"/>
  <c r="R9" i="136"/>
  <c r="Q9" i="136"/>
  <c r="P9" i="136"/>
  <c r="I9" i="136"/>
  <c r="AJ8" i="136"/>
  <c r="AI8" i="136"/>
  <c r="AH8" i="136"/>
  <c r="AG8" i="136"/>
  <c r="AF8" i="136"/>
  <c r="AE8" i="136"/>
  <c r="AD8" i="136"/>
  <c r="AC8" i="136"/>
  <c r="Y8" i="136"/>
  <c r="Y39" i="136" s="1"/>
  <c r="X8" i="136"/>
  <c r="W8" i="136"/>
  <c r="V8" i="136"/>
  <c r="U8" i="136"/>
  <c r="U39" i="136" s="1"/>
  <c r="T8" i="136"/>
  <c r="S8" i="136"/>
  <c r="R8" i="136"/>
  <c r="Q8" i="136"/>
  <c r="Q39" i="136" s="1"/>
  <c r="P8" i="136"/>
  <c r="I8" i="136"/>
  <c r="AJ6" i="136"/>
  <c r="AI6" i="136"/>
  <c r="AI39" i="136" s="1"/>
  <c r="AH6" i="136"/>
  <c r="AG6" i="136"/>
  <c r="AF6" i="136"/>
  <c r="AE6" i="136"/>
  <c r="AE39" i="136" s="1"/>
  <c r="AF39" i="136" l="1"/>
  <c r="AC39" i="136"/>
  <c r="AG39" i="136"/>
  <c r="W39" i="136"/>
  <c r="AD39" i="136"/>
  <c r="AJ39" i="136"/>
  <c r="V39" i="136"/>
  <c r="I39" i="136"/>
  <c r="AH39" i="136"/>
  <c r="P39" i="136"/>
  <c r="T39" i="136"/>
  <c r="X39" i="136"/>
  <c r="D40" i="148"/>
  <c r="R39" i="136"/>
  <c r="S39" i="136"/>
  <c r="H47" i="135" l="1"/>
  <c r="G47" i="135"/>
  <c r="F47" i="135"/>
  <c r="C47" i="135"/>
  <c r="B47" i="135"/>
  <c r="C46" i="135"/>
  <c r="B46" i="135"/>
  <c r="H45" i="135"/>
  <c r="I45" i="135" s="1"/>
  <c r="C45" i="135"/>
  <c r="B45" i="135"/>
  <c r="H44" i="135"/>
  <c r="I44" i="135" s="1"/>
  <c r="C44" i="135"/>
  <c r="B44" i="135"/>
  <c r="H43" i="135"/>
  <c r="C43" i="135"/>
  <c r="B43" i="135"/>
  <c r="H42" i="135"/>
  <c r="H41" i="135"/>
  <c r="W38" i="135"/>
  <c r="U38" i="135"/>
  <c r="T38" i="135"/>
  <c r="N38" i="135"/>
  <c r="M38" i="135"/>
  <c r="L38" i="135"/>
  <c r="J38" i="135"/>
  <c r="I38" i="135"/>
  <c r="O36" i="135"/>
  <c r="D36" i="135"/>
  <c r="C36" i="135"/>
  <c r="B36" i="135"/>
  <c r="O35" i="135"/>
  <c r="D35" i="135"/>
  <c r="C35" i="135"/>
  <c r="B35" i="135"/>
  <c r="O34" i="135"/>
  <c r="D34" i="135"/>
  <c r="C34" i="135"/>
  <c r="B34" i="135"/>
  <c r="O33" i="135"/>
  <c r="D33" i="135"/>
  <c r="C33" i="135"/>
  <c r="B33" i="135"/>
  <c r="O32" i="135"/>
  <c r="D32" i="135"/>
  <c r="C32" i="135"/>
  <c r="B32" i="135"/>
  <c r="O31" i="135"/>
  <c r="D31" i="135"/>
  <c r="C31" i="135"/>
  <c r="B31" i="135"/>
  <c r="O30" i="135"/>
  <c r="D30" i="135"/>
  <c r="C30" i="135"/>
  <c r="B30" i="135"/>
  <c r="O29" i="135"/>
  <c r="D29" i="135"/>
  <c r="C29" i="135"/>
  <c r="B29" i="135"/>
  <c r="O28" i="135"/>
  <c r="D28" i="135"/>
  <c r="C28" i="135"/>
  <c r="B28" i="135"/>
  <c r="O27" i="135"/>
  <c r="D27" i="135"/>
  <c r="C27" i="135"/>
  <c r="B27" i="135"/>
  <c r="O26" i="135"/>
  <c r="D26" i="135"/>
  <c r="C26" i="135"/>
  <c r="B26" i="135"/>
  <c r="O25" i="135"/>
  <c r="D25" i="135"/>
  <c r="C25" i="135"/>
  <c r="B25" i="135"/>
  <c r="O24" i="135"/>
  <c r="D24" i="135"/>
  <c r="C24" i="135"/>
  <c r="B24" i="135"/>
  <c r="O23" i="135"/>
  <c r="D23" i="135"/>
  <c r="C23" i="135"/>
  <c r="B23" i="135"/>
  <c r="O22" i="135"/>
  <c r="D22" i="135"/>
  <c r="C22" i="135"/>
  <c r="B22" i="135"/>
  <c r="O21" i="135"/>
  <c r="D21" i="135"/>
  <c r="C21" i="135"/>
  <c r="B21" i="135"/>
  <c r="O20" i="135"/>
  <c r="D20" i="135"/>
  <c r="C20" i="135"/>
  <c r="B20" i="135"/>
  <c r="O19" i="135"/>
  <c r="D19" i="135"/>
  <c r="C19" i="135"/>
  <c r="B19" i="135"/>
  <c r="O18" i="135"/>
  <c r="D18" i="135"/>
  <c r="C18" i="135"/>
  <c r="B18" i="135"/>
  <c r="O17" i="135"/>
  <c r="D17" i="135"/>
  <c r="C17" i="135"/>
  <c r="B17" i="135"/>
  <c r="O16" i="135"/>
  <c r="D16" i="135"/>
  <c r="C16" i="135"/>
  <c r="B16" i="135"/>
  <c r="O15" i="135"/>
  <c r="D15" i="135"/>
  <c r="C15" i="135"/>
  <c r="B15" i="135"/>
  <c r="O14" i="135"/>
  <c r="D14" i="135"/>
  <c r="C14" i="135"/>
  <c r="B14" i="135"/>
  <c r="O13" i="135"/>
  <c r="D13" i="135"/>
  <c r="C13" i="135"/>
  <c r="B13" i="135"/>
  <c r="O12" i="135"/>
  <c r="D12" i="135"/>
  <c r="C12" i="135"/>
  <c r="B12" i="135"/>
  <c r="O11" i="135"/>
  <c r="D11" i="135"/>
  <c r="C11" i="135"/>
  <c r="B11" i="135"/>
  <c r="O10" i="135"/>
  <c r="D10" i="135"/>
  <c r="C10" i="135"/>
  <c r="B10" i="135"/>
  <c r="O9" i="135"/>
  <c r="D9" i="135"/>
  <c r="C9" i="135"/>
  <c r="B9" i="135"/>
  <c r="O8" i="135"/>
  <c r="D8" i="135"/>
  <c r="C8" i="135"/>
  <c r="B8" i="135"/>
  <c r="O7" i="135"/>
  <c r="D7" i="135"/>
  <c r="B7" i="135"/>
  <c r="R6" i="135"/>
  <c r="O6" i="135"/>
  <c r="H6" i="135"/>
  <c r="E6" i="135"/>
  <c r="D6" i="135"/>
  <c r="B6" i="135"/>
  <c r="E8" i="133"/>
  <c r="E9" i="133"/>
  <c r="E10" i="133"/>
  <c r="E11" i="133"/>
  <c r="E12" i="133"/>
  <c r="E13" i="133"/>
  <c r="E14" i="133"/>
  <c r="E15" i="133"/>
  <c r="E16" i="133"/>
  <c r="E17" i="133"/>
  <c r="E18" i="133"/>
  <c r="E19" i="133"/>
  <c r="E20" i="133"/>
  <c r="E21" i="133"/>
  <c r="E22" i="133"/>
  <c r="E23" i="133"/>
  <c r="E24" i="133"/>
  <c r="E25" i="133"/>
  <c r="E26" i="133"/>
  <c r="E27" i="133"/>
  <c r="E28" i="133"/>
  <c r="E29" i="133"/>
  <c r="E30" i="133"/>
  <c r="E31" i="133"/>
  <c r="E32" i="133"/>
  <c r="E33" i="133"/>
  <c r="E34" i="133"/>
  <c r="E35" i="133"/>
  <c r="E36" i="133"/>
  <c r="E35" i="148" l="1"/>
  <c r="E27" i="148"/>
  <c r="E34" i="148"/>
  <c r="E30" i="148"/>
  <c r="E22" i="148"/>
  <c r="E18" i="148"/>
  <c r="E10" i="148"/>
  <c r="E29" i="148"/>
  <c r="E25" i="148"/>
  <c r="E17" i="148"/>
  <c r="E13" i="148"/>
  <c r="E9" i="148"/>
  <c r="E36" i="148"/>
  <c r="E32" i="148"/>
  <c r="E28" i="148"/>
  <c r="E24" i="148"/>
  <c r="E20" i="148"/>
  <c r="E16" i="148"/>
  <c r="E12" i="148"/>
  <c r="E31" i="148"/>
  <c r="E19" i="148"/>
  <c r="E26" i="148"/>
  <c r="E14" i="148"/>
  <c r="E23" i="148"/>
  <c r="E15" i="148"/>
  <c r="E11" i="148"/>
  <c r="E33" i="148"/>
  <c r="E21" i="148"/>
  <c r="E8" i="148"/>
  <c r="E40" i="133"/>
  <c r="C49" i="135"/>
  <c r="D38" i="135"/>
  <c r="O38" i="135"/>
  <c r="E40" i="148" l="1"/>
  <c r="AC27" i="133"/>
  <c r="AC27" i="148" s="1"/>
  <c r="Y27" i="133"/>
  <c r="Y27" i="148" s="1"/>
  <c r="X27" i="133"/>
  <c r="X27" i="148" s="1"/>
  <c r="W27" i="133"/>
  <c r="V27" i="133"/>
  <c r="U27" i="133"/>
  <c r="U27" i="148" s="1"/>
  <c r="T27" i="133"/>
  <c r="S27" i="133"/>
  <c r="R27" i="133"/>
  <c r="Q27" i="133"/>
  <c r="Q27" i="148" s="1"/>
  <c r="P27" i="133"/>
  <c r="P27" i="148" s="1"/>
  <c r="O27" i="133"/>
  <c r="I27" i="133"/>
  <c r="I27" i="148" s="1"/>
  <c r="B27" i="133"/>
  <c r="AM27" i="148" l="1"/>
  <c r="AK27" i="148"/>
  <c r="AC34" i="133"/>
  <c r="AC34" i="148" s="1"/>
  <c r="Y34" i="133"/>
  <c r="Y34" i="148" s="1"/>
  <c r="X34" i="133"/>
  <c r="X34" i="148" s="1"/>
  <c r="W34" i="133"/>
  <c r="V34" i="133"/>
  <c r="U34" i="133"/>
  <c r="U34" i="148" s="1"/>
  <c r="T34" i="133"/>
  <c r="S34" i="133"/>
  <c r="R34" i="133"/>
  <c r="Q34" i="133"/>
  <c r="Q34" i="148" s="1"/>
  <c r="P34" i="133"/>
  <c r="P34" i="148" s="1"/>
  <c r="I34" i="133"/>
  <c r="I34" i="148" s="1"/>
  <c r="B34" i="133"/>
  <c r="I8" i="133"/>
  <c r="I8" i="148" s="1"/>
  <c r="I9" i="133"/>
  <c r="I9" i="148" s="1"/>
  <c r="I10" i="133"/>
  <c r="I10" i="148" s="1"/>
  <c r="I11" i="133"/>
  <c r="I11" i="148" s="1"/>
  <c r="I12" i="133"/>
  <c r="I12" i="148" s="1"/>
  <c r="I13" i="133"/>
  <c r="I13" i="148" s="1"/>
  <c r="I14" i="133"/>
  <c r="I14" i="148" s="1"/>
  <c r="I15" i="133"/>
  <c r="I15" i="148" s="1"/>
  <c r="I16" i="133"/>
  <c r="I16" i="148" s="1"/>
  <c r="I17" i="133"/>
  <c r="I17" i="148" s="1"/>
  <c r="I18" i="133"/>
  <c r="I18" i="148" s="1"/>
  <c r="I19" i="133"/>
  <c r="I19" i="148" s="1"/>
  <c r="I20" i="133"/>
  <c r="I20" i="148" s="1"/>
  <c r="I21" i="133"/>
  <c r="I21" i="148" s="1"/>
  <c r="I22" i="133"/>
  <c r="I22" i="148" s="1"/>
  <c r="I23" i="133"/>
  <c r="I23" i="148" s="1"/>
  <c r="I24" i="133"/>
  <c r="I24" i="148" s="1"/>
  <c r="I25" i="133"/>
  <c r="I25" i="148" s="1"/>
  <c r="I26" i="133"/>
  <c r="I26" i="148" s="1"/>
  <c r="I28" i="133"/>
  <c r="I28" i="148" s="1"/>
  <c r="I29" i="133"/>
  <c r="I29" i="148" s="1"/>
  <c r="I30" i="133"/>
  <c r="I30" i="148" s="1"/>
  <c r="I31" i="133"/>
  <c r="I31" i="148" s="1"/>
  <c r="I32" i="133"/>
  <c r="I32" i="148" s="1"/>
  <c r="I33" i="133"/>
  <c r="I33" i="148" s="1"/>
  <c r="I35" i="133"/>
  <c r="I35" i="148" s="1"/>
  <c r="I36" i="133"/>
  <c r="I36" i="148" s="1"/>
  <c r="I7" i="133"/>
  <c r="I7" i="148" s="1"/>
  <c r="AM34" i="148" l="1"/>
  <c r="AK34" i="148"/>
  <c r="I40" i="148"/>
  <c r="I40" i="133"/>
  <c r="AC29" i="133" l="1"/>
  <c r="AC29" i="148" s="1"/>
  <c r="Y29" i="133"/>
  <c r="Y29" i="148" s="1"/>
  <c r="X29" i="133"/>
  <c r="X29" i="148" s="1"/>
  <c r="W29" i="133"/>
  <c r="V29" i="133"/>
  <c r="U29" i="133"/>
  <c r="U29" i="148" s="1"/>
  <c r="T29" i="133"/>
  <c r="S29" i="133"/>
  <c r="R29" i="133"/>
  <c r="Q29" i="133"/>
  <c r="Q29" i="148" s="1"/>
  <c r="P29" i="133"/>
  <c r="P29" i="148" s="1"/>
  <c r="O29" i="133"/>
  <c r="B29" i="133"/>
  <c r="AC33" i="133"/>
  <c r="AC33" i="148" s="1"/>
  <c r="Y33" i="133"/>
  <c r="Y33" i="148" s="1"/>
  <c r="X33" i="133"/>
  <c r="X33" i="148" s="1"/>
  <c r="W33" i="133"/>
  <c r="V33" i="133"/>
  <c r="U33" i="133"/>
  <c r="U33" i="148" s="1"/>
  <c r="T33" i="133"/>
  <c r="S33" i="133"/>
  <c r="R33" i="133"/>
  <c r="Q33" i="133"/>
  <c r="Q33" i="148" s="1"/>
  <c r="P33" i="133"/>
  <c r="P33" i="148" s="1"/>
  <c r="B33" i="133"/>
  <c r="AC7" i="133"/>
  <c r="AC7" i="148" s="1"/>
  <c r="Y7" i="133"/>
  <c r="Y7" i="148" s="1"/>
  <c r="X7" i="133"/>
  <c r="X7" i="148" s="1"/>
  <c r="W7" i="133"/>
  <c r="V7" i="133"/>
  <c r="U7" i="133"/>
  <c r="U7" i="148" s="1"/>
  <c r="T7" i="133"/>
  <c r="S7" i="133"/>
  <c r="R7" i="133"/>
  <c r="Q7" i="133"/>
  <c r="Q7" i="148" s="1"/>
  <c r="P7" i="133"/>
  <c r="P7" i="148" s="1"/>
  <c r="B7" i="133"/>
  <c r="D9" i="111"/>
  <c r="AK7" i="148" l="1"/>
  <c r="AM7" i="148"/>
  <c r="AM29" i="148"/>
  <c r="AM33" i="148"/>
  <c r="AK33" i="148"/>
  <c r="AK29" i="148"/>
  <c r="B8" i="133"/>
  <c r="B9" i="133"/>
  <c r="B10" i="133"/>
  <c r="B11" i="133"/>
  <c r="B12" i="133"/>
  <c r="B13" i="133"/>
  <c r="B14" i="133"/>
  <c r="B15" i="133"/>
  <c r="B16" i="133"/>
  <c r="B17" i="133"/>
  <c r="B18" i="133"/>
  <c r="B19" i="133"/>
  <c r="B20" i="133"/>
  <c r="B21" i="133"/>
  <c r="B22" i="133"/>
  <c r="B23" i="133"/>
  <c r="B24" i="133"/>
  <c r="B25" i="133"/>
  <c r="B26" i="133"/>
  <c r="B28" i="133"/>
  <c r="B30" i="133"/>
  <c r="B31" i="133"/>
  <c r="B32" i="133"/>
  <c r="B35" i="133"/>
  <c r="B36" i="133"/>
  <c r="B6" i="133"/>
  <c r="AC9" i="133" l="1"/>
  <c r="AC9" i="148" s="1"/>
  <c r="AC10" i="133"/>
  <c r="AC10" i="148" s="1"/>
  <c r="AC11" i="133"/>
  <c r="AC11" i="148" s="1"/>
  <c r="AC12" i="133"/>
  <c r="AC12" i="148" s="1"/>
  <c r="AC13" i="133"/>
  <c r="AC13" i="148" s="1"/>
  <c r="AC14" i="133"/>
  <c r="AC14" i="148" s="1"/>
  <c r="AC15" i="133"/>
  <c r="AC15" i="148" s="1"/>
  <c r="AC16" i="133"/>
  <c r="AC16" i="148" s="1"/>
  <c r="AC17" i="133"/>
  <c r="AC17" i="148" s="1"/>
  <c r="AC18" i="133"/>
  <c r="AC18" i="148" s="1"/>
  <c r="AC19" i="133"/>
  <c r="AC19" i="148" s="1"/>
  <c r="AC20" i="133"/>
  <c r="AC20" i="148" s="1"/>
  <c r="AC21" i="133"/>
  <c r="AC21" i="148" s="1"/>
  <c r="AC22" i="133"/>
  <c r="AC22" i="148" s="1"/>
  <c r="AC23" i="133"/>
  <c r="AC23" i="148" s="1"/>
  <c r="AC24" i="133"/>
  <c r="AC24" i="148" s="1"/>
  <c r="AC25" i="133"/>
  <c r="AC25" i="148" s="1"/>
  <c r="AC26" i="133"/>
  <c r="AC26" i="148" s="1"/>
  <c r="AC28" i="133"/>
  <c r="AC28" i="148" s="1"/>
  <c r="AC30" i="133"/>
  <c r="AC30" i="148" s="1"/>
  <c r="AC31" i="133"/>
  <c r="AC31" i="148" s="1"/>
  <c r="AC32" i="133"/>
  <c r="AC32" i="148" s="1"/>
  <c r="AC35" i="133"/>
  <c r="AC35" i="148" s="1"/>
  <c r="AC36" i="133"/>
  <c r="AC36" i="148" s="1"/>
  <c r="AC8" i="133"/>
  <c r="AC8" i="148" s="1"/>
  <c r="Y9" i="133"/>
  <c r="Y9" i="148" s="1"/>
  <c r="Y10" i="133"/>
  <c r="Y10" i="148" s="1"/>
  <c r="Y11" i="133"/>
  <c r="Y11" i="148" s="1"/>
  <c r="Y12" i="133"/>
  <c r="Y12" i="148" s="1"/>
  <c r="Y13" i="133"/>
  <c r="Y13" i="148" s="1"/>
  <c r="Y14" i="133"/>
  <c r="Y14" i="148" s="1"/>
  <c r="Y15" i="133"/>
  <c r="Y15" i="148" s="1"/>
  <c r="Y16" i="133"/>
  <c r="Y16" i="148" s="1"/>
  <c r="Y17" i="133"/>
  <c r="Y17" i="148" s="1"/>
  <c r="Y18" i="133"/>
  <c r="Y18" i="148" s="1"/>
  <c r="Y19" i="133"/>
  <c r="Y19" i="148" s="1"/>
  <c r="Y20" i="133"/>
  <c r="Y20" i="148" s="1"/>
  <c r="Y21" i="133"/>
  <c r="Y21" i="148" s="1"/>
  <c r="Y22" i="133"/>
  <c r="Y22" i="148" s="1"/>
  <c r="Y23" i="133"/>
  <c r="Y23" i="148" s="1"/>
  <c r="Y24" i="133"/>
  <c r="Y24" i="148" s="1"/>
  <c r="Y25" i="133"/>
  <c r="Y25" i="148" s="1"/>
  <c r="Y26" i="133"/>
  <c r="Y26" i="148" s="1"/>
  <c r="Y28" i="133"/>
  <c r="Y28" i="148" s="1"/>
  <c r="Y30" i="133"/>
  <c r="Y30" i="148" s="1"/>
  <c r="Y31" i="133"/>
  <c r="Y31" i="148" s="1"/>
  <c r="Y32" i="133"/>
  <c r="Y32" i="148" s="1"/>
  <c r="Y35" i="133"/>
  <c r="Y35" i="148" s="1"/>
  <c r="Y36" i="133"/>
  <c r="Y36" i="148" s="1"/>
  <c r="Y8" i="133"/>
  <c r="Y8" i="148" s="1"/>
  <c r="X9" i="133"/>
  <c r="X9" i="148" s="1"/>
  <c r="X10" i="133"/>
  <c r="X10" i="148" s="1"/>
  <c r="X11" i="133"/>
  <c r="X11" i="148" s="1"/>
  <c r="X12" i="133"/>
  <c r="X12" i="148" s="1"/>
  <c r="X13" i="133"/>
  <c r="X13" i="148" s="1"/>
  <c r="X14" i="133"/>
  <c r="X14" i="148" s="1"/>
  <c r="X15" i="133"/>
  <c r="X15" i="148" s="1"/>
  <c r="X16" i="133"/>
  <c r="X16" i="148" s="1"/>
  <c r="X17" i="133"/>
  <c r="X17" i="148" s="1"/>
  <c r="X18" i="133"/>
  <c r="X18" i="148" s="1"/>
  <c r="X19" i="133"/>
  <c r="X19" i="148" s="1"/>
  <c r="X20" i="133"/>
  <c r="X20" i="148" s="1"/>
  <c r="X21" i="133"/>
  <c r="X21" i="148" s="1"/>
  <c r="X22" i="133"/>
  <c r="X22" i="148" s="1"/>
  <c r="X23" i="133"/>
  <c r="X23" i="148" s="1"/>
  <c r="X24" i="133"/>
  <c r="X24" i="148" s="1"/>
  <c r="X25" i="133"/>
  <c r="X25" i="148" s="1"/>
  <c r="X26" i="133"/>
  <c r="X26" i="148" s="1"/>
  <c r="X28" i="133"/>
  <c r="X28" i="148" s="1"/>
  <c r="X30" i="133"/>
  <c r="X30" i="148" s="1"/>
  <c r="X31" i="133"/>
  <c r="X31" i="148" s="1"/>
  <c r="X32" i="133"/>
  <c r="X32" i="148" s="1"/>
  <c r="X35" i="133"/>
  <c r="X35" i="148" s="1"/>
  <c r="X36" i="133"/>
  <c r="X36" i="148" s="1"/>
  <c r="X8" i="133"/>
  <c r="X8" i="148" s="1"/>
  <c r="W9" i="133"/>
  <c r="W10" i="133"/>
  <c r="W11" i="133"/>
  <c r="W12" i="133"/>
  <c r="W13" i="133"/>
  <c r="W14" i="133"/>
  <c r="W15" i="133"/>
  <c r="W16" i="133"/>
  <c r="W17" i="133"/>
  <c r="W18" i="133"/>
  <c r="W19" i="133"/>
  <c r="W20" i="133"/>
  <c r="W21" i="133"/>
  <c r="W22" i="133"/>
  <c r="W23" i="133"/>
  <c r="W24" i="133"/>
  <c r="W25" i="133"/>
  <c r="W26" i="133"/>
  <c r="W28" i="133"/>
  <c r="W30" i="133"/>
  <c r="W31" i="133"/>
  <c r="W32" i="133"/>
  <c r="W35" i="133"/>
  <c r="W36" i="133"/>
  <c r="W8" i="133"/>
  <c r="V9" i="133"/>
  <c r="V10" i="133"/>
  <c r="V11" i="133"/>
  <c r="V12" i="133"/>
  <c r="V13" i="133"/>
  <c r="V14" i="133"/>
  <c r="V15" i="133"/>
  <c r="V16" i="133"/>
  <c r="V17" i="133"/>
  <c r="V18" i="133"/>
  <c r="V19" i="133"/>
  <c r="V20" i="133"/>
  <c r="V21" i="133"/>
  <c r="V22" i="133"/>
  <c r="V23" i="133"/>
  <c r="V24" i="133"/>
  <c r="V25" i="133"/>
  <c r="V26" i="133"/>
  <c r="V28" i="133"/>
  <c r="V30" i="133"/>
  <c r="V31" i="133"/>
  <c r="V32" i="133"/>
  <c r="V35" i="133"/>
  <c r="V36" i="133"/>
  <c r="V8" i="133"/>
  <c r="V40" i="148" s="1"/>
  <c r="U9" i="133"/>
  <c r="U9" i="148" s="1"/>
  <c r="U10" i="133"/>
  <c r="U10" i="148" s="1"/>
  <c r="U11" i="133"/>
  <c r="U11" i="148" s="1"/>
  <c r="U12" i="133"/>
  <c r="U12" i="148" s="1"/>
  <c r="U13" i="133"/>
  <c r="U13" i="148" s="1"/>
  <c r="U14" i="133"/>
  <c r="U14" i="148" s="1"/>
  <c r="U15" i="133"/>
  <c r="U15" i="148" s="1"/>
  <c r="U16" i="133"/>
  <c r="U16" i="148" s="1"/>
  <c r="U17" i="133"/>
  <c r="U17" i="148" s="1"/>
  <c r="U18" i="133"/>
  <c r="U18" i="148" s="1"/>
  <c r="U19" i="133"/>
  <c r="U19" i="148" s="1"/>
  <c r="U20" i="133"/>
  <c r="U20" i="148" s="1"/>
  <c r="U21" i="133"/>
  <c r="U21" i="148" s="1"/>
  <c r="U22" i="133"/>
  <c r="U22" i="148" s="1"/>
  <c r="U23" i="133"/>
  <c r="U23" i="148" s="1"/>
  <c r="U24" i="133"/>
  <c r="U24" i="148" s="1"/>
  <c r="U25" i="133"/>
  <c r="U25" i="148" s="1"/>
  <c r="U26" i="133"/>
  <c r="U26" i="148" s="1"/>
  <c r="U28" i="133"/>
  <c r="U28" i="148" s="1"/>
  <c r="U30" i="133"/>
  <c r="U30" i="148" s="1"/>
  <c r="U31" i="133"/>
  <c r="U31" i="148" s="1"/>
  <c r="U32" i="133"/>
  <c r="U32" i="148" s="1"/>
  <c r="U35" i="133"/>
  <c r="U35" i="148" s="1"/>
  <c r="U36" i="133"/>
  <c r="U36" i="148" s="1"/>
  <c r="U8" i="133"/>
  <c r="U8" i="148" s="1"/>
  <c r="T9" i="133"/>
  <c r="T10" i="133"/>
  <c r="T11" i="133"/>
  <c r="T12" i="133"/>
  <c r="T13" i="133"/>
  <c r="T14" i="133"/>
  <c r="T15" i="133"/>
  <c r="T16" i="133"/>
  <c r="T17" i="133"/>
  <c r="T18" i="133"/>
  <c r="T19" i="133"/>
  <c r="T20" i="133"/>
  <c r="T21" i="133"/>
  <c r="T22" i="133"/>
  <c r="T23" i="133"/>
  <c r="T24" i="133"/>
  <c r="T25" i="133"/>
  <c r="T26" i="133"/>
  <c r="T28" i="133"/>
  <c r="T30" i="133"/>
  <c r="T31" i="133"/>
  <c r="T32" i="133"/>
  <c r="T35" i="133"/>
  <c r="T36" i="133"/>
  <c r="T8" i="133"/>
  <c r="R9" i="133"/>
  <c r="R10" i="133"/>
  <c r="R11" i="133"/>
  <c r="R12" i="133"/>
  <c r="R13" i="133"/>
  <c r="R14" i="133"/>
  <c r="R15" i="133"/>
  <c r="R16" i="133"/>
  <c r="R17" i="133"/>
  <c r="R18" i="133"/>
  <c r="R19" i="133"/>
  <c r="R20" i="133"/>
  <c r="R21" i="133"/>
  <c r="R22" i="133"/>
  <c r="R23" i="133"/>
  <c r="R24" i="133"/>
  <c r="R25" i="133"/>
  <c r="R26" i="133"/>
  <c r="R28" i="133"/>
  <c r="R30" i="133"/>
  <c r="R31" i="133"/>
  <c r="R32" i="133"/>
  <c r="R35" i="133"/>
  <c r="R36" i="133"/>
  <c r="R8" i="133"/>
  <c r="Q9" i="133"/>
  <c r="Q9" i="148" s="1"/>
  <c r="Q10" i="133"/>
  <c r="Q10" i="148" s="1"/>
  <c r="Q11" i="133"/>
  <c r="Q11" i="148" s="1"/>
  <c r="Q12" i="133"/>
  <c r="Q12" i="148" s="1"/>
  <c r="Q13" i="133"/>
  <c r="Q13" i="148" s="1"/>
  <c r="Q14" i="133"/>
  <c r="Q14" i="148" s="1"/>
  <c r="Q15" i="133"/>
  <c r="Q15" i="148" s="1"/>
  <c r="Q16" i="133"/>
  <c r="Q16" i="148" s="1"/>
  <c r="Q17" i="133"/>
  <c r="Q17" i="148" s="1"/>
  <c r="Q18" i="133"/>
  <c r="Q18" i="148" s="1"/>
  <c r="Q19" i="133"/>
  <c r="Q19" i="148" s="1"/>
  <c r="Q20" i="133"/>
  <c r="Q20" i="148" s="1"/>
  <c r="Q21" i="133"/>
  <c r="Q21" i="148" s="1"/>
  <c r="Q22" i="133"/>
  <c r="Q22" i="148" s="1"/>
  <c r="Q23" i="133"/>
  <c r="Q23" i="148" s="1"/>
  <c r="Q24" i="133"/>
  <c r="Q24" i="148" s="1"/>
  <c r="Q25" i="133"/>
  <c r="Q25" i="148" s="1"/>
  <c r="Q26" i="133"/>
  <c r="Q26" i="148" s="1"/>
  <c r="Q28" i="133"/>
  <c r="Q28" i="148" s="1"/>
  <c r="Q30" i="133"/>
  <c r="Q30" i="148" s="1"/>
  <c r="Q31" i="133"/>
  <c r="Q31" i="148" s="1"/>
  <c r="Q32" i="133"/>
  <c r="Q32" i="148" s="1"/>
  <c r="Q35" i="133"/>
  <c r="Q35" i="148" s="1"/>
  <c r="Q36" i="133"/>
  <c r="Q36" i="148" s="1"/>
  <c r="Q8" i="133"/>
  <c r="Q8" i="148" s="1"/>
  <c r="P9" i="133"/>
  <c r="P9" i="148" s="1"/>
  <c r="P10" i="133"/>
  <c r="P10" i="148" s="1"/>
  <c r="P11" i="133"/>
  <c r="P11" i="148" s="1"/>
  <c r="P12" i="133"/>
  <c r="P12" i="148" s="1"/>
  <c r="P13" i="133"/>
  <c r="P13" i="148" s="1"/>
  <c r="P14" i="133"/>
  <c r="P14" i="148" s="1"/>
  <c r="P15" i="133"/>
  <c r="P15" i="148" s="1"/>
  <c r="P16" i="133"/>
  <c r="P16" i="148" s="1"/>
  <c r="P17" i="133"/>
  <c r="P17" i="148" s="1"/>
  <c r="P18" i="133"/>
  <c r="P18" i="148" s="1"/>
  <c r="P19" i="133"/>
  <c r="P19" i="148" s="1"/>
  <c r="P20" i="133"/>
  <c r="P20" i="148" s="1"/>
  <c r="P21" i="133"/>
  <c r="P21" i="148" s="1"/>
  <c r="P22" i="133"/>
  <c r="P22" i="148" s="1"/>
  <c r="P23" i="133"/>
  <c r="P23" i="148" s="1"/>
  <c r="P24" i="133"/>
  <c r="P24" i="148" s="1"/>
  <c r="P25" i="133"/>
  <c r="P25" i="148" s="1"/>
  <c r="P26" i="133"/>
  <c r="P26" i="148" s="1"/>
  <c r="P28" i="133"/>
  <c r="P28" i="148" s="1"/>
  <c r="P30" i="133"/>
  <c r="P30" i="148" s="1"/>
  <c r="P31" i="133"/>
  <c r="P31" i="148" s="1"/>
  <c r="P32" i="133"/>
  <c r="P32" i="148" s="1"/>
  <c r="P35" i="133"/>
  <c r="P35" i="148" s="1"/>
  <c r="P36" i="133"/>
  <c r="P36" i="148" s="1"/>
  <c r="P8" i="133"/>
  <c r="P8" i="148" s="1"/>
  <c r="AK22" i="148" l="1"/>
  <c r="AK11" i="148"/>
  <c r="AK36" i="148"/>
  <c r="AK8" i="148"/>
  <c r="AK21" i="148"/>
  <c r="AK17" i="148"/>
  <c r="AK13" i="148"/>
  <c r="AK9" i="148"/>
  <c r="AK30" i="148"/>
  <c r="AK20" i="148"/>
  <c r="AK16" i="148"/>
  <c r="AK24" i="148"/>
  <c r="AK25" i="148"/>
  <c r="AK31" i="148"/>
  <c r="AK35" i="148"/>
  <c r="AK28" i="148"/>
  <c r="AK23" i="148"/>
  <c r="AK19" i="148"/>
  <c r="AK15" i="148"/>
  <c r="AK32" i="148"/>
  <c r="AK26" i="148"/>
  <c r="AK18" i="148"/>
  <c r="AK14" i="148"/>
  <c r="AK10" i="148"/>
  <c r="X40" i="148"/>
  <c r="P40" i="148"/>
  <c r="U40" i="148"/>
  <c r="W40" i="148"/>
  <c r="Q40" i="148"/>
  <c r="Y40" i="148"/>
  <c r="AC40" i="148"/>
  <c r="R40" i="133"/>
  <c r="W40" i="133"/>
  <c r="T40" i="133"/>
  <c r="P40" i="133"/>
  <c r="U40" i="133"/>
  <c r="AF40" i="133"/>
  <c r="Q40" i="133"/>
  <c r="V40" i="133"/>
  <c r="AC40" i="133"/>
  <c r="AD40" i="133"/>
  <c r="AI40" i="133"/>
  <c r="AG40" i="133"/>
  <c r="X40" i="133"/>
  <c r="Y40" i="133"/>
  <c r="AH40" i="133"/>
  <c r="AJ40" i="133"/>
  <c r="AN12" i="148" l="1"/>
  <c r="AN40" i="148" s="1"/>
  <c r="R40" i="148"/>
  <c r="AK40" i="148"/>
  <c r="C40" i="133"/>
  <c r="B6" i="100" l="1"/>
  <c r="Z40" i="127" l="1"/>
  <c r="Y40" i="127"/>
  <c r="D40" i="127"/>
  <c r="C40" i="127"/>
  <c r="AE6" i="127"/>
  <c r="AE40" i="127" s="1"/>
  <c r="C28" i="98"/>
  <c r="T40" i="127" l="1"/>
  <c r="X40" i="127"/>
  <c r="AD40" i="127"/>
  <c r="Q40" i="127"/>
  <c r="AC40" i="127"/>
  <c r="U40" i="127"/>
  <c r="W40" i="127"/>
  <c r="I40" i="127"/>
  <c r="P40" i="127"/>
  <c r="V40" i="127"/>
  <c r="H6" i="127"/>
  <c r="R40" i="127"/>
  <c r="E40" i="127"/>
  <c r="S40" i="127"/>
  <c r="C7" i="135" l="1"/>
  <c r="Q14" i="135" l="1"/>
  <c r="Q27" i="135"/>
  <c r="Q31" i="135"/>
  <c r="Q34" i="135"/>
  <c r="Q36" i="135" l="1"/>
  <c r="Q20" i="135"/>
  <c r="Q33" i="135"/>
  <c r="Q29" i="135"/>
  <c r="Q25" i="135"/>
  <c r="Q21" i="135"/>
  <c r="Q17" i="135"/>
  <c r="Q13" i="135"/>
  <c r="Q9" i="135"/>
  <c r="Q28" i="135"/>
  <c r="Q35" i="135"/>
  <c r="Q23" i="135"/>
  <c r="Q19" i="135"/>
  <c r="Q15" i="135"/>
  <c r="Q11" i="135"/>
  <c r="Q7" i="135"/>
  <c r="Q32" i="135"/>
  <c r="Q24" i="135"/>
  <c r="Q16" i="135"/>
  <c r="Q12" i="135"/>
  <c r="Q8" i="135"/>
  <c r="Q30" i="135"/>
  <c r="Q26" i="135"/>
  <c r="Q22" i="135"/>
  <c r="Q18" i="135"/>
  <c r="Q10" i="135"/>
  <c r="Q38" i="135" l="1"/>
  <c r="E14" i="135"/>
  <c r="F18" i="135"/>
  <c r="V18" i="135" s="1"/>
  <c r="F27" i="135" l="1"/>
  <c r="V27" i="135" s="1"/>
  <c r="E27" i="135"/>
  <c r="F8" i="135"/>
  <c r="V8" i="135" s="1"/>
  <c r="E8" i="135"/>
  <c r="F16" i="135"/>
  <c r="V16" i="135" s="1"/>
  <c r="E16" i="135"/>
  <c r="F24" i="135"/>
  <c r="V24" i="135" s="1"/>
  <c r="E24" i="135"/>
  <c r="F36" i="135"/>
  <c r="V36" i="135" s="1"/>
  <c r="E36" i="135"/>
  <c r="F13" i="135"/>
  <c r="V13" i="135" s="1"/>
  <c r="E13" i="135"/>
  <c r="F21" i="135"/>
  <c r="V21" i="135" s="1"/>
  <c r="E21" i="135"/>
  <c r="F31" i="135"/>
  <c r="V31" i="135" s="1"/>
  <c r="E31" i="135"/>
  <c r="E10" i="135"/>
  <c r="E18" i="135"/>
  <c r="F11" i="135"/>
  <c r="V11" i="135" s="1"/>
  <c r="E11" i="135"/>
  <c r="F19" i="135"/>
  <c r="V19" i="135" s="1"/>
  <c r="E19" i="135"/>
  <c r="F28" i="135"/>
  <c r="V28" i="135" s="1"/>
  <c r="E28" i="135"/>
  <c r="F35" i="135"/>
  <c r="V35" i="135" s="1"/>
  <c r="E35" i="135"/>
  <c r="E7" i="135"/>
  <c r="E30" i="135"/>
  <c r="E29" i="135"/>
  <c r="E25" i="135"/>
  <c r="E32" i="135"/>
  <c r="F26" i="135"/>
  <c r="V26" i="135" s="1"/>
  <c r="E26" i="135"/>
  <c r="F15" i="135"/>
  <c r="V15" i="135" s="1"/>
  <c r="E15" i="135"/>
  <c r="F23" i="135"/>
  <c r="V23" i="135" s="1"/>
  <c r="E23" i="135"/>
  <c r="E33" i="135"/>
  <c r="E22" i="135"/>
  <c r="F34" i="135"/>
  <c r="V34" i="135" s="1"/>
  <c r="E34" i="135"/>
  <c r="E12" i="135"/>
  <c r="E20" i="135"/>
  <c r="F9" i="135"/>
  <c r="V9" i="135" s="1"/>
  <c r="E9" i="135"/>
  <c r="E17" i="135"/>
  <c r="R35" i="135"/>
  <c r="R27" i="135"/>
  <c r="R21" i="135"/>
  <c r="R8" i="135"/>
  <c r="R24" i="135"/>
  <c r="R23" i="135"/>
  <c r="R22" i="135"/>
  <c r="R7" i="135"/>
  <c r="R31" i="135"/>
  <c r="R10" i="135"/>
  <c r="R34" i="135"/>
  <c r="R11" i="135"/>
  <c r="R17" i="135"/>
  <c r="R36" i="135"/>
  <c r="R20" i="135"/>
  <c r="R19" i="135"/>
  <c r="R18" i="135"/>
  <c r="R14" i="135"/>
  <c r="R26" i="135"/>
  <c r="R30" i="135"/>
  <c r="R9" i="135"/>
  <c r="R25" i="135"/>
  <c r="R12" i="135"/>
  <c r="R29" i="135"/>
  <c r="R28" i="135"/>
  <c r="R32" i="135"/>
  <c r="R13" i="135"/>
  <c r="R16" i="135"/>
  <c r="R15" i="135"/>
  <c r="R33" i="135"/>
  <c r="F22" i="135"/>
  <c r="V22" i="135" s="1"/>
  <c r="F14" i="135"/>
  <c r="V14" i="135" s="1"/>
  <c r="C30" i="92"/>
  <c r="F33" i="135" l="1"/>
  <c r="V33" i="135" s="1"/>
  <c r="F29" i="135"/>
  <c r="V29" i="135" s="1"/>
  <c r="F17" i="135"/>
  <c r="V17" i="135" s="1"/>
  <c r="X19" i="135"/>
  <c r="F12" i="135"/>
  <c r="V12" i="135" s="1"/>
  <c r="F25" i="135"/>
  <c r="V25" i="135" s="1"/>
  <c r="E38" i="135"/>
  <c r="F30" i="135"/>
  <c r="V30" i="135" s="1"/>
  <c r="F32" i="135"/>
  <c r="V32" i="135" s="1"/>
  <c r="F20" i="135"/>
  <c r="V20" i="135" s="1"/>
  <c r="F10" i="135"/>
  <c r="V10" i="135" s="1"/>
  <c r="F7" i="135"/>
  <c r="X14" i="135"/>
  <c r="S14" i="135"/>
  <c r="R38" i="135"/>
  <c r="X27" i="135"/>
  <c r="S27" i="135"/>
  <c r="S34" i="135"/>
  <c r="X34" i="135"/>
  <c r="X31" i="135"/>
  <c r="S31" i="135"/>
  <c r="B6" i="98"/>
  <c r="D28" i="98" s="1"/>
  <c r="C12" i="97"/>
  <c r="C11" i="95"/>
  <c r="D11" i="95" s="1"/>
  <c r="D12" i="96"/>
  <c r="C11" i="96"/>
  <c r="V7" i="135" l="1"/>
  <c r="D6" i="111"/>
  <c r="D7" i="111"/>
  <c r="D8" i="111"/>
  <c r="D5" i="111"/>
  <c r="D4" i="111" l="1"/>
  <c r="B6" i="92" l="1"/>
  <c r="G16" i="93" l="1"/>
  <c r="E18" i="93" s="1"/>
  <c r="D16" i="93"/>
  <c r="G58" i="87" l="1"/>
  <c r="G57" i="87"/>
  <c r="G52" i="87"/>
  <c r="G45" i="87"/>
  <c r="X42" i="87"/>
  <c r="W42" i="87"/>
  <c r="Z38" i="87"/>
  <c r="Y38" i="87"/>
  <c r="V38" i="87"/>
  <c r="U38" i="87"/>
  <c r="T38" i="87"/>
  <c r="S38" i="87"/>
  <c r="R38" i="87"/>
  <c r="P38" i="87"/>
  <c r="Q38" i="87" s="1"/>
  <c r="O38" i="87"/>
  <c r="N38" i="87"/>
  <c r="M38" i="87"/>
  <c r="G38" i="87"/>
  <c r="B38" i="87"/>
  <c r="Z37" i="87"/>
  <c r="Y37" i="87"/>
  <c r="V37" i="87"/>
  <c r="U37" i="87"/>
  <c r="T37" i="87"/>
  <c r="S37" i="87"/>
  <c r="R37" i="87"/>
  <c r="P37" i="87"/>
  <c r="Q37" i="87" s="1"/>
  <c r="O37" i="87"/>
  <c r="N37" i="87"/>
  <c r="M37" i="87"/>
  <c r="G37" i="87"/>
  <c r="B37" i="87"/>
  <c r="Z36" i="87"/>
  <c r="Y36" i="87"/>
  <c r="V36" i="87"/>
  <c r="U36" i="87"/>
  <c r="T36" i="87"/>
  <c r="S36" i="87"/>
  <c r="R36" i="87"/>
  <c r="P36" i="87"/>
  <c r="Q36" i="87" s="1"/>
  <c r="O36" i="87"/>
  <c r="N36" i="87"/>
  <c r="M36" i="87"/>
  <c r="G36" i="87"/>
  <c r="B36" i="87"/>
  <c r="Z35" i="87"/>
  <c r="Y35" i="87"/>
  <c r="V35" i="87"/>
  <c r="U35" i="87"/>
  <c r="T35" i="87"/>
  <c r="S35" i="87"/>
  <c r="R35" i="87"/>
  <c r="P35" i="87"/>
  <c r="Q35" i="87" s="1"/>
  <c r="O35" i="87"/>
  <c r="N35" i="87"/>
  <c r="M35" i="87"/>
  <c r="G35" i="87"/>
  <c r="B35" i="87"/>
  <c r="Z34" i="87"/>
  <c r="Y34" i="87"/>
  <c r="V34" i="87"/>
  <c r="U34" i="87"/>
  <c r="T34" i="87"/>
  <c r="S34" i="87"/>
  <c r="R34" i="87"/>
  <c r="P34" i="87"/>
  <c r="Q34" i="87" s="1"/>
  <c r="O34" i="87"/>
  <c r="N34" i="87"/>
  <c r="M34" i="87"/>
  <c r="H34" i="87"/>
  <c r="G34" i="87"/>
  <c r="B34" i="87"/>
  <c r="Z33" i="87"/>
  <c r="Y33" i="87"/>
  <c r="V33" i="87"/>
  <c r="U33" i="87"/>
  <c r="T33" i="87"/>
  <c r="S33" i="87"/>
  <c r="R33" i="87"/>
  <c r="P33" i="87"/>
  <c r="Q33" i="87" s="1"/>
  <c r="O33" i="87"/>
  <c r="N33" i="87"/>
  <c r="M33" i="87"/>
  <c r="G33" i="87"/>
  <c r="B33" i="87"/>
  <c r="Z32" i="87"/>
  <c r="Y32" i="87"/>
  <c r="V32" i="87"/>
  <c r="U32" i="87"/>
  <c r="T32" i="87"/>
  <c r="S32" i="87"/>
  <c r="R32" i="87"/>
  <c r="P32" i="87"/>
  <c r="Q32" i="87" s="1"/>
  <c r="O32" i="87"/>
  <c r="N32" i="87"/>
  <c r="M32" i="87"/>
  <c r="G32" i="87"/>
  <c r="B32" i="87"/>
  <c r="Z31" i="87"/>
  <c r="Y31" i="87"/>
  <c r="V31" i="87"/>
  <c r="U31" i="87"/>
  <c r="T31" i="87"/>
  <c r="S31" i="87"/>
  <c r="R31" i="87"/>
  <c r="P31" i="87"/>
  <c r="Q31" i="87" s="1"/>
  <c r="O31" i="87"/>
  <c r="N31" i="87"/>
  <c r="M31" i="87"/>
  <c r="G31" i="87"/>
  <c r="B31" i="87"/>
  <c r="Z30" i="87"/>
  <c r="Y30" i="87"/>
  <c r="V30" i="87"/>
  <c r="U30" i="87"/>
  <c r="T30" i="87"/>
  <c r="S30" i="87"/>
  <c r="R30" i="87"/>
  <c r="P30" i="87"/>
  <c r="Q30" i="87" s="1"/>
  <c r="O30" i="87"/>
  <c r="N30" i="87"/>
  <c r="M30" i="87"/>
  <c r="G30" i="87"/>
  <c r="B30" i="87"/>
  <c r="Z29" i="87"/>
  <c r="Y29" i="87"/>
  <c r="V29" i="87"/>
  <c r="U29" i="87"/>
  <c r="T29" i="87"/>
  <c r="S29" i="87"/>
  <c r="R29" i="87"/>
  <c r="P29" i="87"/>
  <c r="Q29" i="87" s="1"/>
  <c r="O29" i="87"/>
  <c r="N29" i="87"/>
  <c r="M29" i="87"/>
  <c r="G29" i="87"/>
  <c r="B29" i="87"/>
  <c r="Z28" i="87"/>
  <c r="Y28" i="87"/>
  <c r="V28" i="87"/>
  <c r="U28" i="87"/>
  <c r="T28" i="87"/>
  <c r="S28" i="87"/>
  <c r="R28" i="87"/>
  <c r="P28" i="87"/>
  <c r="Q28" i="87" s="1"/>
  <c r="O28" i="87"/>
  <c r="N28" i="87"/>
  <c r="M28" i="87"/>
  <c r="G28" i="87"/>
  <c r="B28" i="87"/>
  <c r="Z27" i="87"/>
  <c r="Y27" i="87"/>
  <c r="V27" i="87"/>
  <c r="U27" i="87"/>
  <c r="T27" i="87"/>
  <c r="S27" i="87"/>
  <c r="R27" i="87"/>
  <c r="P27" i="87"/>
  <c r="Q27" i="87" s="1"/>
  <c r="O27" i="87"/>
  <c r="N27" i="87"/>
  <c r="M27" i="87"/>
  <c r="G27" i="87"/>
  <c r="B27" i="87"/>
  <c r="Z26" i="87"/>
  <c r="Y26" i="87"/>
  <c r="V26" i="87"/>
  <c r="U26" i="87"/>
  <c r="T26" i="87"/>
  <c r="S26" i="87"/>
  <c r="R26" i="87"/>
  <c r="P26" i="87"/>
  <c r="Q26" i="87" s="1"/>
  <c r="O26" i="87"/>
  <c r="N26" i="87"/>
  <c r="M26" i="87"/>
  <c r="G26" i="87"/>
  <c r="B26" i="87"/>
  <c r="Z25" i="87"/>
  <c r="Y25" i="87"/>
  <c r="V25" i="87"/>
  <c r="U25" i="87"/>
  <c r="T25" i="87"/>
  <c r="S25" i="87"/>
  <c r="R25" i="87"/>
  <c r="P25" i="87"/>
  <c r="Q25" i="87" s="1"/>
  <c r="O25" i="87"/>
  <c r="N25" i="87"/>
  <c r="M25" i="87"/>
  <c r="G25" i="87"/>
  <c r="B25" i="87"/>
  <c r="Z24" i="87"/>
  <c r="Y24" i="87"/>
  <c r="V24" i="87"/>
  <c r="U24" i="87"/>
  <c r="T24" i="87"/>
  <c r="S24" i="87"/>
  <c r="R24" i="87"/>
  <c r="P24" i="87"/>
  <c r="Q24" i="87" s="1"/>
  <c r="O24" i="87"/>
  <c r="N24" i="87"/>
  <c r="M24" i="87"/>
  <c r="G24" i="87"/>
  <c r="B24" i="87"/>
  <c r="Z23" i="87"/>
  <c r="Y23" i="87"/>
  <c r="V23" i="87"/>
  <c r="U23" i="87"/>
  <c r="T23" i="87"/>
  <c r="S23" i="87"/>
  <c r="R23" i="87"/>
  <c r="P23" i="87"/>
  <c r="Q23" i="87" s="1"/>
  <c r="O23" i="87"/>
  <c r="N23" i="87"/>
  <c r="M23" i="87"/>
  <c r="G23" i="87"/>
  <c r="B23" i="87"/>
  <c r="Z22" i="87"/>
  <c r="Y22" i="87"/>
  <c r="V22" i="87"/>
  <c r="U22" i="87"/>
  <c r="T22" i="87"/>
  <c r="S22" i="87"/>
  <c r="R22" i="87"/>
  <c r="P22" i="87"/>
  <c r="Q22" i="87" s="1"/>
  <c r="O22" i="87"/>
  <c r="N22" i="87"/>
  <c r="M22" i="87"/>
  <c r="G22" i="87"/>
  <c r="B22" i="87"/>
  <c r="Z21" i="87"/>
  <c r="Y21" i="87"/>
  <c r="V21" i="87"/>
  <c r="U21" i="87"/>
  <c r="T21" i="87"/>
  <c r="S21" i="87"/>
  <c r="R21" i="87"/>
  <c r="P21" i="87"/>
  <c r="Q21" i="87" s="1"/>
  <c r="O21" i="87"/>
  <c r="N21" i="87"/>
  <c r="M21" i="87"/>
  <c r="G21" i="87"/>
  <c r="B21" i="87"/>
  <c r="Z20" i="87"/>
  <c r="Y20" i="87"/>
  <c r="V20" i="87"/>
  <c r="U20" i="87"/>
  <c r="T20" i="87"/>
  <c r="S20" i="87"/>
  <c r="R20" i="87"/>
  <c r="P20" i="87"/>
  <c r="Q20" i="87" s="1"/>
  <c r="O20" i="87"/>
  <c r="N20" i="87"/>
  <c r="M20" i="87"/>
  <c r="G20" i="87"/>
  <c r="B20" i="87"/>
  <c r="Z19" i="87"/>
  <c r="Y19" i="87"/>
  <c r="V19" i="87"/>
  <c r="U19" i="87"/>
  <c r="T19" i="87"/>
  <c r="S19" i="87"/>
  <c r="R19" i="87"/>
  <c r="P19" i="87"/>
  <c r="Q19" i="87" s="1"/>
  <c r="O19" i="87"/>
  <c r="N19" i="87"/>
  <c r="M19" i="87"/>
  <c r="G19" i="87"/>
  <c r="B19" i="87"/>
  <c r="Z18" i="87"/>
  <c r="Y18" i="87"/>
  <c r="V18" i="87"/>
  <c r="U18" i="87"/>
  <c r="T18" i="87"/>
  <c r="S18" i="87"/>
  <c r="R18" i="87"/>
  <c r="P18" i="87"/>
  <c r="Q18" i="87" s="1"/>
  <c r="O18" i="87"/>
  <c r="N18" i="87"/>
  <c r="M18" i="87"/>
  <c r="G18" i="87"/>
  <c r="B18" i="87"/>
  <c r="Z17" i="87"/>
  <c r="Y17" i="87"/>
  <c r="V17" i="87"/>
  <c r="U17" i="87"/>
  <c r="T17" i="87"/>
  <c r="S17" i="87"/>
  <c r="R17" i="87"/>
  <c r="P17" i="87"/>
  <c r="Q17" i="87" s="1"/>
  <c r="O17" i="87"/>
  <c r="N17" i="87"/>
  <c r="M17" i="87"/>
  <c r="G17" i="87"/>
  <c r="B17" i="87"/>
  <c r="Z16" i="87"/>
  <c r="Y16" i="87"/>
  <c r="V16" i="87"/>
  <c r="U16" i="87"/>
  <c r="T16" i="87"/>
  <c r="S16" i="87"/>
  <c r="R16" i="87"/>
  <c r="P16" i="87"/>
  <c r="Q16" i="87" s="1"/>
  <c r="O16" i="87"/>
  <c r="N16" i="87"/>
  <c r="M16" i="87"/>
  <c r="G16" i="87"/>
  <c r="B16" i="87"/>
  <c r="Z15" i="87"/>
  <c r="Y15" i="87"/>
  <c r="V15" i="87"/>
  <c r="U15" i="87"/>
  <c r="T15" i="87"/>
  <c r="S15" i="87"/>
  <c r="R15" i="87"/>
  <c r="P15" i="87"/>
  <c r="Q15" i="87" s="1"/>
  <c r="O15" i="87"/>
  <c r="N15" i="87"/>
  <c r="M15" i="87"/>
  <c r="G15" i="87"/>
  <c r="B15" i="87"/>
  <c r="Z14" i="87"/>
  <c r="Y14" i="87"/>
  <c r="V14" i="87"/>
  <c r="U14" i="87"/>
  <c r="T14" i="87"/>
  <c r="S14" i="87"/>
  <c r="R14" i="87"/>
  <c r="P14" i="87"/>
  <c r="Q14" i="87" s="1"/>
  <c r="O14" i="87"/>
  <c r="N14" i="87"/>
  <c r="M14" i="87"/>
  <c r="G14" i="87"/>
  <c r="B14" i="87"/>
  <c r="Z13" i="87"/>
  <c r="Y13" i="87"/>
  <c r="V13" i="87"/>
  <c r="U13" i="87"/>
  <c r="T13" i="87"/>
  <c r="S13" i="87"/>
  <c r="R13" i="87"/>
  <c r="P13" i="87"/>
  <c r="Q13" i="87" s="1"/>
  <c r="O13" i="87"/>
  <c r="N13" i="87"/>
  <c r="M13" i="87"/>
  <c r="G13" i="87"/>
  <c r="B13" i="87"/>
  <c r="Z12" i="87"/>
  <c r="Y12" i="87"/>
  <c r="V12" i="87"/>
  <c r="U12" i="87"/>
  <c r="T12" i="87"/>
  <c r="S12" i="87"/>
  <c r="R12" i="87"/>
  <c r="P12" i="87"/>
  <c r="Q12" i="87" s="1"/>
  <c r="O12" i="87"/>
  <c r="N12" i="87"/>
  <c r="M12" i="87"/>
  <c r="G12" i="87"/>
  <c r="B12" i="87"/>
  <c r="Z11" i="87"/>
  <c r="Y11" i="87"/>
  <c r="V11" i="87"/>
  <c r="U11" i="87"/>
  <c r="T11" i="87"/>
  <c r="S11" i="87"/>
  <c r="R11" i="87"/>
  <c r="P11" i="87"/>
  <c r="Q11" i="87" s="1"/>
  <c r="O11" i="87"/>
  <c r="N11" i="87"/>
  <c r="M11" i="87"/>
  <c r="G11" i="87"/>
  <c r="B11" i="87"/>
  <c r="Z10" i="87"/>
  <c r="Y10" i="87"/>
  <c r="V10" i="87"/>
  <c r="U10" i="87"/>
  <c r="T10" i="87"/>
  <c r="S10" i="87"/>
  <c r="R10" i="87"/>
  <c r="P10" i="87"/>
  <c r="Q10" i="87" s="1"/>
  <c r="O10" i="87"/>
  <c r="N10" i="87"/>
  <c r="M10" i="87"/>
  <c r="G10" i="87"/>
  <c r="B10" i="87"/>
  <c r="Z9" i="87"/>
  <c r="Y9" i="87"/>
  <c r="V9" i="87"/>
  <c r="U9" i="87"/>
  <c r="T9" i="87"/>
  <c r="S9" i="87"/>
  <c r="R9" i="87"/>
  <c r="P9" i="87"/>
  <c r="Q9" i="87" s="1"/>
  <c r="O9" i="87"/>
  <c r="N9" i="87"/>
  <c r="M9" i="87"/>
  <c r="G9" i="87"/>
  <c r="B9" i="87"/>
  <c r="Z8" i="87"/>
  <c r="Y8" i="87"/>
  <c r="V8" i="87"/>
  <c r="U8" i="87"/>
  <c r="T8" i="87"/>
  <c r="S8" i="87"/>
  <c r="R8" i="87"/>
  <c r="P8" i="87"/>
  <c r="Q8" i="87" s="1"/>
  <c r="O8" i="87"/>
  <c r="N8" i="87"/>
  <c r="M8" i="87"/>
  <c r="G8" i="87"/>
  <c r="B8" i="87"/>
  <c r="Z7" i="87"/>
  <c r="Y7" i="87"/>
  <c r="V7" i="87"/>
  <c r="U7" i="87"/>
  <c r="T7" i="87"/>
  <c r="S7" i="87"/>
  <c r="R7" i="87"/>
  <c r="P7" i="87"/>
  <c r="Q7" i="87" s="1"/>
  <c r="O7" i="87"/>
  <c r="N7" i="87"/>
  <c r="M7" i="87"/>
  <c r="G7" i="87"/>
  <c r="B7" i="87"/>
  <c r="Z6" i="87"/>
  <c r="Y6" i="87"/>
  <c r="V6" i="87"/>
  <c r="U6" i="87"/>
  <c r="T6" i="87"/>
  <c r="S6" i="87"/>
  <c r="R6" i="87"/>
  <c r="P6" i="87"/>
  <c r="Q6" i="87" s="1"/>
  <c r="O6" i="87"/>
  <c r="N6" i="87"/>
  <c r="M6" i="87"/>
  <c r="H6" i="87"/>
  <c r="G6" i="87"/>
  <c r="B6" i="87"/>
  <c r="AI17" i="85"/>
  <c r="AH17" i="85"/>
  <c r="AG17" i="85"/>
  <c r="AF17" i="85"/>
  <c r="AC17" i="85"/>
  <c r="AB17" i="85"/>
  <c r="AA17" i="85"/>
  <c r="Z17" i="85"/>
  <c r="W17" i="85"/>
  <c r="V17" i="85"/>
  <c r="U17" i="85"/>
  <c r="T17" i="85"/>
  <c r="Q17" i="85"/>
  <c r="P17" i="85"/>
  <c r="O17" i="85"/>
  <c r="N17" i="85"/>
  <c r="K17" i="85"/>
  <c r="J17" i="85"/>
  <c r="I17" i="85"/>
  <c r="H17" i="85"/>
  <c r="E17" i="85"/>
  <c r="D17" i="85"/>
  <c r="C17" i="85"/>
  <c r="B17" i="85"/>
  <c r="AI16" i="85"/>
  <c r="AH16" i="85"/>
  <c r="AG16" i="85"/>
  <c r="AF16" i="85"/>
  <c r="AC16" i="85"/>
  <c r="AB16" i="85"/>
  <c r="AA16" i="85"/>
  <c r="Z16" i="85"/>
  <c r="W16" i="85"/>
  <c r="V16" i="85"/>
  <c r="U16" i="85"/>
  <c r="T16" i="85"/>
  <c r="Q16" i="85"/>
  <c r="P16" i="85"/>
  <c r="O16" i="85"/>
  <c r="N16" i="85"/>
  <c r="K16" i="85"/>
  <c r="J16" i="85"/>
  <c r="I16" i="85"/>
  <c r="H16" i="85"/>
  <c r="E16" i="85"/>
  <c r="D16" i="85"/>
  <c r="AN16" i="85" s="1"/>
  <c r="C16" i="85"/>
  <c r="B16" i="85"/>
  <c r="AI15" i="85"/>
  <c r="AH15" i="85"/>
  <c r="AG15" i="85"/>
  <c r="AF15" i="85"/>
  <c r="AC15" i="85"/>
  <c r="AB15" i="85"/>
  <c r="AA15" i="85"/>
  <c r="Z15" i="85"/>
  <c r="W15" i="85"/>
  <c r="V15" i="85"/>
  <c r="U15" i="85"/>
  <c r="T15" i="85"/>
  <c r="Q15" i="85"/>
  <c r="P15" i="85"/>
  <c r="O15" i="85"/>
  <c r="N15" i="85"/>
  <c r="K15" i="85"/>
  <c r="J15" i="85"/>
  <c r="I15" i="85"/>
  <c r="H15" i="85"/>
  <c r="E15" i="85"/>
  <c r="AO15" i="85" s="1"/>
  <c r="D15" i="85"/>
  <c r="C15" i="85"/>
  <c r="AM15" i="85" s="1"/>
  <c r="B15" i="85"/>
  <c r="AI14" i="85"/>
  <c r="AH14" i="85"/>
  <c r="AG14" i="85"/>
  <c r="AF14" i="85"/>
  <c r="AC14" i="85"/>
  <c r="AB14" i="85"/>
  <c r="AA14" i="85"/>
  <c r="Z14" i="85"/>
  <c r="W14" i="85"/>
  <c r="V14" i="85"/>
  <c r="U14" i="85"/>
  <c r="T14" i="85"/>
  <c r="Q14" i="85"/>
  <c r="P14" i="85"/>
  <c r="O14" i="85"/>
  <c r="N14" i="85"/>
  <c r="K14" i="85"/>
  <c r="J14" i="85"/>
  <c r="I14" i="85"/>
  <c r="H14" i="85"/>
  <c r="E14" i="85"/>
  <c r="AO14" i="85" s="1"/>
  <c r="D14" i="85"/>
  <c r="C14" i="85"/>
  <c r="B14" i="85"/>
  <c r="AI13" i="85"/>
  <c r="AH13" i="85"/>
  <c r="AG13" i="85"/>
  <c r="AF13" i="85"/>
  <c r="AC13" i="85"/>
  <c r="AB13" i="85"/>
  <c r="AA13" i="85"/>
  <c r="Z13" i="85"/>
  <c r="W13" i="85"/>
  <c r="V13" i="85"/>
  <c r="U13" i="85"/>
  <c r="T13" i="85"/>
  <c r="Q13" i="85"/>
  <c r="P13" i="85"/>
  <c r="O13" i="85"/>
  <c r="N13" i="85"/>
  <c r="K13" i="85"/>
  <c r="J13" i="85"/>
  <c r="I13" i="85"/>
  <c r="H13" i="85"/>
  <c r="E13" i="85"/>
  <c r="D13" i="85"/>
  <c r="C13" i="85"/>
  <c r="B13" i="85"/>
  <c r="AI12" i="85"/>
  <c r="AH12" i="85"/>
  <c r="AG12" i="85"/>
  <c r="AF12" i="85"/>
  <c r="AC12" i="85"/>
  <c r="AB12" i="85"/>
  <c r="AA12" i="85"/>
  <c r="Z12" i="85"/>
  <c r="W12" i="85"/>
  <c r="V12" i="85"/>
  <c r="U12" i="85"/>
  <c r="T12" i="85"/>
  <c r="Q12" i="85"/>
  <c r="P12" i="85"/>
  <c r="O12" i="85"/>
  <c r="N12" i="85"/>
  <c r="K12" i="85"/>
  <c r="J12" i="85"/>
  <c r="I12" i="85"/>
  <c r="H12" i="85"/>
  <c r="E12" i="85"/>
  <c r="AO12" i="85" s="1"/>
  <c r="D12" i="85"/>
  <c r="C12" i="85"/>
  <c r="B12" i="85"/>
  <c r="AI11" i="85"/>
  <c r="AH11" i="85"/>
  <c r="AG11" i="85"/>
  <c r="AF11" i="85"/>
  <c r="AC11" i="85"/>
  <c r="AB11" i="85"/>
  <c r="AA11" i="85"/>
  <c r="Z11" i="85"/>
  <c r="W11" i="85"/>
  <c r="V11" i="85"/>
  <c r="U11" i="85"/>
  <c r="T11" i="85"/>
  <c r="Q11" i="85"/>
  <c r="P11" i="85"/>
  <c r="O11" i="85"/>
  <c r="N11" i="85"/>
  <c r="K11" i="85"/>
  <c r="J11" i="85"/>
  <c r="I11" i="85"/>
  <c r="H11" i="85"/>
  <c r="E11" i="85"/>
  <c r="AO11" i="85" s="1"/>
  <c r="D11" i="85"/>
  <c r="C11" i="85"/>
  <c r="AM11" i="85" s="1"/>
  <c r="B11" i="85"/>
  <c r="AL11" i="85" s="1"/>
  <c r="AI10" i="85"/>
  <c r="AH10" i="85"/>
  <c r="AG10" i="85"/>
  <c r="AF10" i="85"/>
  <c r="AC10" i="85"/>
  <c r="AB10" i="85"/>
  <c r="AA10" i="85"/>
  <c r="Z10" i="85"/>
  <c r="W10" i="85"/>
  <c r="V10" i="85"/>
  <c r="U10" i="85"/>
  <c r="T10" i="85"/>
  <c r="Q10" i="85"/>
  <c r="P10" i="85"/>
  <c r="O10" i="85"/>
  <c r="N10" i="85"/>
  <c r="K10" i="85"/>
  <c r="J10" i="85"/>
  <c r="I10" i="85"/>
  <c r="H10" i="85"/>
  <c r="E10" i="85"/>
  <c r="AO10" i="85" s="1"/>
  <c r="D10" i="85"/>
  <c r="C10" i="85"/>
  <c r="AM10" i="85" s="1"/>
  <c r="B10" i="85"/>
  <c r="AL10" i="85" s="1"/>
  <c r="AI9" i="85"/>
  <c r="AH9" i="85"/>
  <c r="AG9" i="85"/>
  <c r="AF9" i="85"/>
  <c r="AC9" i="85"/>
  <c r="AB9" i="85"/>
  <c r="AA9" i="85"/>
  <c r="Z9" i="85"/>
  <c r="W9" i="85"/>
  <c r="V9" i="85"/>
  <c r="U9" i="85"/>
  <c r="T9" i="85"/>
  <c r="Q9" i="85"/>
  <c r="P9" i="85"/>
  <c r="O9" i="85"/>
  <c r="N9" i="85"/>
  <c r="K9" i="85"/>
  <c r="J9" i="85"/>
  <c r="I9" i="85"/>
  <c r="H9" i="85"/>
  <c r="E9" i="85"/>
  <c r="D9" i="85"/>
  <c r="AN9" i="85" s="1"/>
  <c r="C9" i="85"/>
  <c r="AM9" i="85" s="1"/>
  <c r="B9" i="85"/>
  <c r="AL9" i="85" s="1"/>
  <c r="AI8" i="85"/>
  <c r="AH8" i="85"/>
  <c r="AG8" i="85"/>
  <c r="AF8" i="85"/>
  <c r="AC8" i="85"/>
  <c r="AB8" i="85"/>
  <c r="AA8" i="85"/>
  <c r="Z8" i="85"/>
  <c r="W8" i="85"/>
  <c r="V8" i="85"/>
  <c r="U8" i="85"/>
  <c r="T8" i="85"/>
  <c r="Q8" i="85"/>
  <c r="P8" i="85"/>
  <c r="O8" i="85"/>
  <c r="N8" i="85"/>
  <c r="K8" i="85"/>
  <c r="J8" i="85"/>
  <c r="I8" i="85"/>
  <c r="H8" i="85"/>
  <c r="E8" i="85"/>
  <c r="AO8" i="85" s="1"/>
  <c r="D8" i="85"/>
  <c r="C8" i="85"/>
  <c r="AM8" i="85" s="1"/>
  <c r="B8" i="85"/>
  <c r="AL8" i="85" s="1"/>
  <c r="AI7" i="85"/>
  <c r="AH7" i="85"/>
  <c r="AG7" i="85"/>
  <c r="AF7" i="85"/>
  <c r="AC7" i="85"/>
  <c r="AB7" i="85"/>
  <c r="AA7" i="85"/>
  <c r="Z7" i="85"/>
  <c r="W7" i="85"/>
  <c r="V7" i="85"/>
  <c r="U7" i="85"/>
  <c r="T7" i="85"/>
  <c r="Q7" i="85"/>
  <c r="P7" i="85"/>
  <c r="O7" i="85"/>
  <c r="N7" i="85"/>
  <c r="K7" i="85"/>
  <c r="J7" i="85"/>
  <c r="I7" i="85"/>
  <c r="H7" i="85"/>
  <c r="E7" i="85"/>
  <c r="AO7" i="85" s="1"/>
  <c r="D7" i="85"/>
  <c r="AN7" i="85" s="1"/>
  <c r="C7" i="85"/>
  <c r="AM7" i="85" s="1"/>
  <c r="B7" i="85"/>
  <c r="AL7" i="85" s="1"/>
  <c r="AI6" i="85"/>
  <c r="AH6" i="85"/>
  <c r="AG6" i="85"/>
  <c r="AF6" i="85"/>
  <c r="AC6" i="85"/>
  <c r="AB6" i="85"/>
  <c r="AA6" i="85"/>
  <c r="Z6" i="85"/>
  <c r="W6" i="85"/>
  <c r="V6" i="85"/>
  <c r="U6" i="85"/>
  <c r="T6" i="85"/>
  <c r="Q6" i="85"/>
  <c r="P6" i="85"/>
  <c r="O6" i="85"/>
  <c r="N6" i="85"/>
  <c r="K6" i="85"/>
  <c r="J6" i="85"/>
  <c r="I6" i="85"/>
  <c r="H6" i="85"/>
  <c r="E6" i="85"/>
  <c r="D6" i="85"/>
  <c r="C6" i="85"/>
  <c r="B6" i="85"/>
  <c r="R39" i="73"/>
  <c r="Q39" i="73"/>
  <c r="O39" i="73"/>
  <c r="N39" i="73"/>
  <c r="M39" i="73"/>
  <c r="L39" i="73"/>
  <c r="K39" i="73"/>
  <c r="B39" i="73"/>
  <c r="R38" i="73"/>
  <c r="Q38" i="73"/>
  <c r="O38" i="73"/>
  <c r="N38" i="73"/>
  <c r="M38" i="73"/>
  <c r="L38" i="73"/>
  <c r="K38" i="73"/>
  <c r="B38" i="73"/>
  <c r="R37" i="73"/>
  <c r="Q37" i="73"/>
  <c r="O37" i="73"/>
  <c r="N37" i="73"/>
  <c r="M37" i="73"/>
  <c r="L37" i="73"/>
  <c r="K37" i="73"/>
  <c r="B37" i="73"/>
  <c r="R36" i="73"/>
  <c r="Q36" i="73"/>
  <c r="O36" i="73"/>
  <c r="N36" i="73"/>
  <c r="M36" i="73"/>
  <c r="L36" i="73"/>
  <c r="K36" i="73"/>
  <c r="B36" i="73"/>
  <c r="R35" i="73"/>
  <c r="Q35" i="73"/>
  <c r="O35" i="73"/>
  <c r="N35" i="73"/>
  <c r="M35" i="73"/>
  <c r="L35" i="73"/>
  <c r="K35" i="73"/>
  <c r="B35" i="73"/>
  <c r="R34" i="73"/>
  <c r="Q34" i="73"/>
  <c r="O34" i="73"/>
  <c r="N34" i="73"/>
  <c r="M34" i="73"/>
  <c r="L34" i="73"/>
  <c r="K34" i="73"/>
  <c r="B34" i="73"/>
  <c r="R33" i="73"/>
  <c r="Q33" i="73"/>
  <c r="O33" i="73"/>
  <c r="N33" i="73"/>
  <c r="M33" i="73"/>
  <c r="L33" i="73"/>
  <c r="K33" i="73"/>
  <c r="B33" i="73"/>
  <c r="R32" i="73"/>
  <c r="Q32" i="73"/>
  <c r="O32" i="73"/>
  <c r="N32" i="73"/>
  <c r="M32" i="73"/>
  <c r="L32" i="73"/>
  <c r="K32" i="73"/>
  <c r="B32" i="73"/>
  <c r="R31" i="73"/>
  <c r="Q31" i="73"/>
  <c r="O31" i="73"/>
  <c r="N31" i="73"/>
  <c r="M31" i="73"/>
  <c r="L31" i="73"/>
  <c r="K31" i="73"/>
  <c r="B31" i="73"/>
  <c r="R30" i="73"/>
  <c r="Q30" i="73"/>
  <c r="O30" i="73"/>
  <c r="N30" i="73"/>
  <c r="M30" i="73"/>
  <c r="L30" i="73"/>
  <c r="K30" i="73"/>
  <c r="B30" i="73"/>
  <c r="R29" i="73"/>
  <c r="Q29" i="73"/>
  <c r="O29" i="73"/>
  <c r="N29" i="73"/>
  <c r="M29" i="73"/>
  <c r="L29" i="73"/>
  <c r="K29" i="73"/>
  <c r="B29" i="73"/>
  <c r="R28" i="73"/>
  <c r="Q28" i="73"/>
  <c r="O28" i="73"/>
  <c r="N28" i="73"/>
  <c r="M28" i="73"/>
  <c r="L28" i="73"/>
  <c r="K28" i="73"/>
  <c r="B28" i="73"/>
  <c r="R27" i="73"/>
  <c r="Q27" i="73"/>
  <c r="O27" i="73"/>
  <c r="N27" i="73"/>
  <c r="M27" i="73"/>
  <c r="L27" i="73"/>
  <c r="K27" i="73"/>
  <c r="B27" i="73"/>
  <c r="R26" i="73"/>
  <c r="Q26" i="73"/>
  <c r="O26" i="73"/>
  <c r="N26" i="73"/>
  <c r="M26" i="73"/>
  <c r="L26" i="73"/>
  <c r="K26" i="73"/>
  <c r="B26" i="73"/>
  <c r="R25" i="73"/>
  <c r="Q25" i="73"/>
  <c r="O25" i="73"/>
  <c r="N25" i="73"/>
  <c r="M25" i="73"/>
  <c r="L25" i="73"/>
  <c r="K25" i="73"/>
  <c r="B25" i="73"/>
  <c r="R24" i="73"/>
  <c r="Q24" i="73"/>
  <c r="O24" i="73"/>
  <c r="N24" i="73"/>
  <c r="M24" i="73"/>
  <c r="L24" i="73"/>
  <c r="K24" i="73"/>
  <c r="B24" i="73"/>
  <c r="R23" i="73"/>
  <c r="Q23" i="73"/>
  <c r="O23" i="73"/>
  <c r="N23" i="73"/>
  <c r="M23" i="73"/>
  <c r="L23" i="73"/>
  <c r="K23" i="73"/>
  <c r="B23" i="73"/>
  <c r="R22" i="73"/>
  <c r="Q22" i="73"/>
  <c r="O22" i="73"/>
  <c r="N22" i="73"/>
  <c r="M22" i="73"/>
  <c r="L22" i="73"/>
  <c r="K22" i="73"/>
  <c r="B22" i="73"/>
  <c r="R21" i="73"/>
  <c r="Q21" i="73"/>
  <c r="O21" i="73"/>
  <c r="N21" i="73"/>
  <c r="M21" i="73"/>
  <c r="L21" i="73"/>
  <c r="K21" i="73"/>
  <c r="B21" i="73"/>
  <c r="R20" i="73"/>
  <c r="Q20" i="73"/>
  <c r="O20" i="73"/>
  <c r="N20" i="73"/>
  <c r="M20" i="73"/>
  <c r="L20" i="73"/>
  <c r="K20" i="73"/>
  <c r="B20" i="73"/>
  <c r="R19" i="73"/>
  <c r="Q19" i="73"/>
  <c r="O19" i="73"/>
  <c r="N19" i="73"/>
  <c r="M19" i="73"/>
  <c r="L19" i="73"/>
  <c r="K19" i="73"/>
  <c r="B19" i="73"/>
  <c r="R18" i="73"/>
  <c r="Q18" i="73"/>
  <c r="P18" i="73"/>
  <c r="O18" i="73"/>
  <c r="N18" i="73"/>
  <c r="M18" i="73"/>
  <c r="L18" i="73"/>
  <c r="K18" i="73"/>
  <c r="B18" i="73"/>
  <c r="R17" i="73"/>
  <c r="Q17" i="73"/>
  <c r="P17" i="73"/>
  <c r="O17" i="73"/>
  <c r="N17" i="73"/>
  <c r="M17" i="73"/>
  <c r="L17" i="73"/>
  <c r="K17" i="73"/>
  <c r="B17" i="73"/>
  <c r="R16" i="73"/>
  <c r="Q16" i="73"/>
  <c r="O16" i="73"/>
  <c r="N16" i="73"/>
  <c r="M16" i="73"/>
  <c r="L16" i="73"/>
  <c r="K16" i="73"/>
  <c r="B16" i="73"/>
  <c r="R15" i="73"/>
  <c r="Q15" i="73"/>
  <c r="O15" i="73"/>
  <c r="N15" i="73"/>
  <c r="M15" i="73"/>
  <c r="L15" i="73"/>
  <c r="K15" i="73"/>
  <c r="B15" i="73"/>
  <c r="R14" i="73"/>
  <c r="Q14" i="73"/>
  <c r="O14" i="73"/>
  <c r="N14" i="73"/>
  <c r="M14" i="73"/>
  <c r="L14" i="73"/>
  <c r="K14" i="73"/>
  <c r="B14" i="73"/>
  <c r="R13" i="73"/>
  <c r="Q13" i="73"/>
  <c r="O13" i="73"/>
  <c r="N13" i="73"/>
  <c r="M13" i="73"/>
  <c r="L13" i="73"/>
  <c r="K13" i="73"/>
  <c r="B13" i="73"/>
  <c r="R12" i="73"/>
  <c r="Q12" i="73"/>
  <c r="O12" i="73"/>
  <c r="N12" i="73"/>
  <c r="M12" i="73"/>
  <c r="L12" i="73"/>
  <c r="K12" i="73"/>
  <c r="B12" i="73"/>
  <c r="R11" i="73"/>
  <c r="Q11" i="73"/>
  <c r="O11" i="73"/>
  <c r="N11" i="73"/>
  <c r="M11" i="73"/>
  <c r="L11" i="73"/>
  <c r="K11" i="73"/>
  <c r="B11" i="73"/>
  <c r="R10" i="73"/>
  <c r="Q10" i="73"/>
  <c r="O10" i="73"/>
  <c r="N10" i="73"/>
  <c r="M10" i="73"/>
  <c r="L10" i="73"/>
  <c r="K10" i="73"/>
  <c r="B10" i="73"/>
  <c r="R9" i="73"/>
  <c r="Q9" i="73"/>
  <c r="O9" i="73"/>
  <c r="N9" i="73"/>
  <c r="M9" i="73"/>
  <c r="L9" i="73"/>
  <c r="K9" i="73"/>
  <c r="B9" i="73"/>
  <c r="R8" i="73"/>
  <c r="Q8" i="73"/>
  <c r="O8" i="73"/>
  <c r="N8" i="73"/>
  <c r="M8" i="73"/>
  <c r="L8" i="73"/>
  <c r="K8" i="73"/>
  <c r="B8" i="73"/>
  <c r="R7" i="73"/>
  <c r="Q7" i="73"/>
  <c r="O7" i="73"/>
  <c r="N7" i="73"/>
  <c r="M7" i="73"/>
  <c r="L7" i="73"/>
  <c r="K7" i="73"/>
  <c r="B7" i="73"/>
  <c r="R6" i="73"/>
  <c r="R44" i="73" s="1"/>
  <c r="Q6" i="73"/>
  <c r="Q44" i="73" s="1"/>
  <c r="P6" i="73"/>
  <c r="O6" i="73"/>
  <c r="N6" i="73"/>
  <c r="N44" i="73" s="1"/>
  <c r="M6" i="73"/>
  <c r="M44" i="73" s="1"/>
  <c r="L6" i="73"/>
  <c r="L44" i="73" s="1"/>
  <c r="K6" i="73"/>
  <c r="K44" i="73" s="1"/>
  <c r="J6" i="73"/>
  <c r="I6" i="73"/>
  <c r="H6" i="73"/>
  <c r="G6" i="73"/>
  <c r="F6" i="73"/>
  <c r="E6" i="73"/>
  <c r="D6" i="73"/>
  <c r="B6" i="73"/>
  <c r="Y45" i="56"/>
  <c r="W45" i="56"/>
  <c r="V45" i="56"/>
  <c r="U45" i="56"/>
  <c r="T45" i="56"/>
  <c r="S45" i="56"/>
  <c r="R45" i="56"/>
  <c r="Q45" i="56"/>
  <c r="P45" i="56"/>
  <c r="O45" i="56"/>
  <c r="N45" i="56"/>
  <c r="M45" i="56"/>
  <c r="L45" i="56"/>
  <c r="K45" i="56"/>
  <c r="J45" i="56"/>
  <c r="I45" i="56"/>
  <c r="H45" i="56"/>
  <c r="G45" i="56"/>
  <c r="F45" i="56"/>
  <c r="E45" i="56"/>
  <c r="D45" i="56"/>
  <c r="C45" i="56"/>
  <c r="AC44" i="56"/>
  <c r="Y44" i="56"/>
  <c r="X44" i="56"/>
  <c r="W44" i="56"/>
  <c r="V44" i="56"/>
  <c r="U44" i="56"/>
  <c r="T44" i="56"/>
  <c r="S44" i="56"/>
  <c r="R44" i="56"/>
  <c r="Q44" i="56"/>
  <c r="P44" i="56"/>
  <c r="O44" i="56"/>
  <c r="N44" i="56"/>
  <c r="M44" i="56"/>
  <c r="L44" i="56"/>
  <c r="K44" i="56"/>
  <c r="J44" i="56"/>
  <c r="I44" i="56"/>
  <c r="H44" i="56"/>
  <c r="G44" i="56"/>
  <c r="F44" i="56"/>
  <c r="E44" i="56"/>
  <c r="D44" i="56"/>
  <c r="C44" i="56"/>
  <c r="B44" i="56"/>
  <c r="AC43" i="56"/>
  <c r="Y43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C43" i="56"/>
  <c r="B43" i="56"/>
  <c r="AF42" i="56"/>
  <c r="AE42" i="56"/>
  <c r="AD42" i="56"/>
  <c r="AC42" i="56"/>
  <c r="Y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AG41" i="56"/>
  <c r="AD41" i="56"/>
  <c r="AC41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C41" i="56"/>
  <c r="B41" i="56"/>
  <c r="AG40" i="56"/>
  <c r="AD40" i="56"/>
  <c r="AC40" i="56"/>
  <c r="AB40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C40" i="56"/>
  <c r="B40" i="56"/>
  <c r="AC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B39" i="56"/>
  <c r="AC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B38" i="56"/>
  <c r="AC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B37" i="56"/>
  <c r="AC36" i="56"/>
  <c r="AB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B36" i="56"/>
  <c r="AC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B35" i="56"/>
  <c r="AC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4" i="56"/>
  <c r="C34" i="56"/>
  <c r="B34" i="56"/>
  <c r="AC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B33" i="56"/>
  <c r="AC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B32" i="56"/>
  <c r="AC31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AC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B30" i="56"/>
  <c r="AG29" i="56"/>
  <c r="AD29" i="56"/>
  <c r="AC29" i="56"/>
  <c r="AB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AC28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B28" i="56"/>
  <c r="AG27" i="56"/>
  <c r="AC27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B27" i="56"/>
  <c r="AC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AC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B25" i="56"/>
  <c r="AC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AC23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AC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AC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B21" i="56"/>
  <c r="AC20" i="56"/>
  <c r="Y20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B20" i="56"/>
  <c r="AC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B19" i="56"/>
  <c r="AC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AG17" i="56"/>
  <c r="AD17" i="56"/>
  <c r="AC17" i="56"/>
  <c r="AB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AG16" i="56"/>
  <c r="AC16" i="56"/>
  <c r="AB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AC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B15" i="56"/>
  <c r="AC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B14" i="56"/>
  <c r="AC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B13" i="56"/>
  <c r="AC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B12" i="56"/>
  <c r="AC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B11" i="56"/>
  <c r="AC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B10" i="56"/>
  <c r="AC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B9" i="56"/>
  <c r="AC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C8" i="56"/>
  <c r="B8" i="56"/>
  <c r="AC7" i="56"/>
  <c r="AB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D7" i="56"/>
  <c r="C7" i="56"/>
  <c r="B7" i="56"/>
  <c r="AC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F6" i="56"/>
  <c r="E6" i="56"/>
  <c r="D6" i="56"/>
  <c r="C6" i="56"/>
  <c r="B6" i="56"/>
  <c r="AG5" i="56"/>
  <c r="AD5" i="56"/>
  <c r="AC5" i="56"/>
  <c r="AB5" i="56"/>
  <c r="Y5" i="56"/>
  <c r="X5" i="56"/>
  <c r="W5" i="56"/>
  <c r="V5" i="56"/>
  <c r="U5" i="56"/>
  <c r="T5" i="56"/>
  <c r="S5" i="56"/>
  <c r="R5" i="56"/>
  <c r="Q5" i="56"/>
  <c r="P5" i="56"/>
  <c r="O5" i="56"/>
  <c r="N5" i="56"/>
  <c r="M5" i="56"/>
  <c r="L5" i="56"/>
  <c r="K5" i="56"/>
  <c r="J5" i="56"/>
  <c r="I5" i="56"/>
  <c r="H5" i="56"/>
  <c r="G5" i="56"/>
  <c r="F5" i="56"/>
  <c r="E5" i="56"/>
  <c r="D5" i="56"/>
  <c r="C5" i="56"/>
  <c r="B5" i="56"/>
  <c r="AC4" i="56"/>
  <c r="Y4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G4" i="56"/>
  <c r="F4" i="56"/>
  <c r="E4" i="56"/>
  <c r="D4" i="56"/>
  <c r="C4" i="56"/>
  <c r="B4" i="56"/>
  <c r="AE3" i="56"/>
  <c r="AG3" i="56" s="1"/>
  <c r="AC3" i="56"/>
  <c r="Y3" i="56"/>
  <c r="X3" i="56"/>
  <c r="W3" i="56"/>
  <c r="V3" i="56"/>
  <c r="U3" i="56"/>
  <c r="T3" i="56"/>
  <c r="S3" i="56"/>
  <c r="R3" i="56"/>
  <c r="Q3" i="56"/>
  <c r="P3" i="56"/>
  <c r="O3" i="56"/>
  <c r="N3" i="56"/>
  <c r="M3" i="56"/>
  <c r="L3" i="56"/>
  <c r="K3" i="56"/>
  <c r="J3" i="56"/>
  <c r="I3" i="56"/>
  <c r="H3" i="56"/>
  <c r="G3" i="56"/>
  <c r="F3" i="56"/>
  <c r="E3" i="56"/>
  <c r="D3" i="56"/>
  <c r="C3" i="56"/>
  <c r="B3" i="56"/>
  <c r="AG2" i="56"/>
  <c r="AF2" i="56"/>
  <c r="AE2" i="56"/>
  <c r="AD2" i="56"/>
  <c r="AC2" i="56"/>
  <c r="AB2" i="56"/>
  <c r="AA2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E2" i="56"/>
  <c r="D2" i="56"/>
  <c r="C2" i="56"/>
  <c r="B2" i="56"/>
  <c r="J50" i="55"/>
  <c r="I50" i="55"/>
  <c r="H50" i="55"/>
  <c r="G50" i="55"/>
  <c r="F50" i="55"/>
  <c r="E50" i="55"/>
  <c r="D50" i="55"/>
  <c r="C50" i="55"/>
  <c r="B50" i="55"/>
  <c r="J48" i="55"/>
  <c r="H48" i="55"/>
  <c r="E48" i="55"/>
  <c r="D48" i="55"/>
  <c r="C48" i="55"/>
  <c r="B48" i="55"/>
  <c r="J47" i="55"/>
  <c r="H47" i="55"/>
  <c r="E47" i="55"/>
  <c r="D47" i="55"/>
  <c r="C47" i="55"/>
  <c r="B47" i="55"/>
  <c r="J46" i="55"/>
  <c r="H46" i="55"/>
  <c r="E46" i="55"/>
  <c r="D46" i="55"/>
  <c r="C46" i="55"/>
  <c r="B46" i="55"/>
  <c r="J45" i="55"/>
  <c r="H45" i="55"/>
  <c r="E45" i="55"/>
  <c r="D45" i="55"/>
  <c r="C45" i="55"/>
  <c r="B45" i="55"/>
  <c r="J44" i="55"/>
  <c r="H44" i="55"/>
  <c r="E44" i="55"/>
  <c r="D44" i="55"/>
  <c r="C44" i="55"/>
  <c r="B44" i="55"/>
  <c r="J43" i="55"/>
  <c r="H43" i="55"/>
  <c r="E43" i="55"/>
  <c r="D43" i="55"/>
  <c r="C43" i="55"/>
  <c r="B43" i="55"/>
  <c r="J42" i="55"/>
  <c r="H42" i="55"/>
  <c r="E42" i="55"/>
  <c r="D42" i="55"/>
  <c r="C42" i="55"/>
  <c r="B42" i="55"/>
  <c r="J41" i="55"/>
  <c r="H41" i="55"/>
  <c r="E41" i="55"/>
  <c r="D41" i="55"/>
  <c r="C41" i="55"/>
  <c r="B41" i="55"/>
  <c r="J40" i="55"/>
  <c r="H40" i="55"/>
  <c r="E40" i="55"/>
  <c r="D40" i="55"/>
  <c r="C40" i="55"/>
  <c r="B40" i="55"/>
  <c r="J39" i="55"/>
  <c r="H39" i="55"/>
  <c r="E39" i="55"/>
  <c r="D39" i="55"/>
  <c r="C39" i="55"/>
  <c r="B39" i="55"/>
  <c r="J38" i="55"/>
  <c r="H38" i="55"/>
  <c r="E38" i="55"/>
  <c r="D38" i="55"/>
  <c r="C38" i="55"/>
  <c r="B38" i="55"/>
  <c r="J37" i="55"/>
  <c r="H37" i="55"/>
  <c r="E37" i="55"/>
  <c r="D37" i="55"/>
  <c r="C37" i="55"/>
  <c r="B37" i="55"/>
  <c r="J36" i="55"/>
  <c r="H36" i="55"/>
  <c r="E36" i="55"/>
  <c r="D36" i="55"/>
  <c r="C36" i="55"/>
  <c r="B36" i="55"/>
  <c r="J35" i="55"/>
  <c r="H35" i="55"/>
  <c r="E35" i="55"/>
  <c r="D35" i="55"/>
  <c r="C35" i="55"/>
  <c r="B35" i="55"/>
  <c r="J34" i="55"/>
  <c r="H34" i="55"/>
  <c r="E34" i="55"/>
  <c r="D34" i="55"/>
  <c r="C34" i="55"/>
  <c r="B34" i="55"/>
  <c r="J33" i="55"/>
  <c r="H33" i="55"/>
  <c r="E33" i="55"/>
  <c r="D33" i="55"/>
  <c r="C33" i="55"/>
  <c r="B33" i="55"/>
  <c r="J32" i="55"/>
  <c r="H32" i="55"/>
  <c r="E32" i="55"/>
  <c r="D32" i="55"/>
  <c r="C32" i="55"/>
  <c r="B32" i="55"/>
  <c r="J31" i="55"/>
  <c r="H31" i="55"/>
  <c r="E31" i="55"/>
  <c r="D31" i="55"/>
  <c r="C31" i="55"/>
  <c r="B31" i="55"/>
  <c r="J30" i="55"/>
  <c r="H30" i="55"/>
  <c r="E30" i="55"/>
  <c r="D30" i="55"/>
  <c r="C30" i="55"/>
  <c r="B30" i="55"/>
  <c r="J29" i="55"/>
  <c r="H29" i="55"/>
  <c r="E29" i="55"/>
  <c r="D29" i="55"/>
  <c r="C29" i="55"/>
  <c r="B29" i="55"/>
  <c r="J28" i="55"/>
  <c r="H28" i="55"/>
  <c r="E28" i="55"/>
  <c r="D28" i="55"/>
  <c r="C28" i="55"/>
  <c r="B28" i="55"/>
  <c r="J27" i="55"/>
  <c r="H27" i="55"/>
  <c r="E27" i="55"/>
  <c r="D27" i="55"/>
  <c r="C27" i="55"/>
  <c r="B27" i="55"/>
  <c r="J26" i="55"/>
  <c r="H26" i="55"/>
  <c r="E26" i="55"/>
  <c r="D26" i="55"/>
  <c r="C26" i="55"/>
  <c r="B26" i="55"/>
  <c r="J25" i="55"/>
  <c r="H25" i="55"/>
  <c r="E25" i="55"/>
  <c r="D25" i="55"/>
  <c r="C25" i="55"/>
  <c r="B25" i="55"/>
  <c r="J24" i="55"/>
  <c r="H24" i="55"/>
  <c r="E24" i="55"/>
  <c r="D24" i="55"/>
  <c r="C24" i="55"/>
  <c r="B24" i="55"/>
  <c r="J23" i="55"/>
  <c r="H23" i="55"/>
  <c r="E23" i="55"/>
  <c r="D23" i="55"/>
  <c r="C23" i="55"/>
  <c r="B23" i="55"/>
  <c r="J22" i="55"/>
  <c r="H22" i="55"/>
  <c r="E22" i="55"/>
  <c r="D22" i="55"/>
  <c r="C22" i="55"/>
  <c r="B22" i="55"/>
  <c r="J21" i="55"/>
  <c r="H21" i="55"/>
  <c r="E21" i="55"/>
  <c r="D21" i="55"/>
  <c r="C21" i="55"/>
  <c r="B21" i="55"/>
  <c r="J20" i="55"/>
  <c r="H20" i="55"/>
  <c r="E20" i="55"/>
  <c r="D20" i="55"/>
  <c r="C20" i="55"/>
  <c r="B20" i="55"/>
  <c r="J19" i="55"/>
  <c r="H19" i="55"/>
  <c r="E19" i="55"/>
  <c r="D19" i="55"/>
  <c r="C19" i="55"/>
  <c r="B19" i="55"/>
  <c r="J18" i="55"/>
  <c r="H18" i="55"/>
  <c r="E18" i="55"/>
  <c r="D18" i="55"/>
  <c r="C18" i="55"/>
  <c r="B18" i="55"/>
  <c r="J17" i="55"/>
  <c r="H17" i="55"/>
  <c r="E17" i="55"/>
  <c r="D17" i="55"/>
  <c r="C17" i="55"/>
  <c r="B17" i="55"/>
  <c r="J16" i="55"/>
  <c r="H16" i="55"/>
  <c r="E16" i="55"/>
  <c r="D16" i="55"/>
  <c r="C16" i="55"/>
  <c r="B16" i="55"/>
  <c r="J15" i="55"/>
  <c r="H15" i="55"/>
  <c r="E15" i="55"/>
  <c r="D15" i="55"/>
  <c r="C15" i="55"/>
  <c r="B15" i="55"/>
  <c r="J14" i="55"/>
  <c r="H14" i="55"/>
  <c r="E14" i="55"/>
  <c r="D14" i="55"/>
  <c r="C14" i="55"/>
  <c r="B14" i="55"/>
  <c r="J13" i="55"/>
  <c r="H13" i="55"/>
  <c r="E13" i="55"/>
  <c r="D13" i="55"/>
  <c r="C13" i="55"/>
  <c r="B13" i="55"/>
  <c r="J12" i="55"/>
  <c r="H12" i="55"/>
  <c r="E12" i="55"/>
  <c r="D12" i="55"/>
  <c r="C12" i="55"/>
  <c r="B12" i="55"/>
  <c r="J11" i="55"/>
  <c r="H11" i="55"/>
  <c r="E11" i="55"/>
  <c r="D11" i="55"/>
  <c r="C11" i="55"/>
  <c r="B11" i="55"/>
  <c r="J10" i="55"/>
  <c r="H10" i="55"/>
  <c r="E10" i="55"/>
  <c r="D10" i="55"/>
  <c r="C10" i="55"/>
  <c r="B10" i="55"/>
  <c r="J9" i="55"/>
  <c r="H9" i="55"/>
  <c r="E9" i="55"/>
  <c r="D9" i="55"/>
  <c r="C9" i="55"/>
  <c r="B9" i="55"/>
  <c r="J8" i="55"/>
  <c r="H8" i="55"/>
  <c r="E8" i="55"/>
  <c r="D8" i="55"/>
  <c r="C8" i="55"/>
  <c r="B8" i="55"/>
  <c r="J7" i="55"/>
  <c r="H7" i="55"/>
  <c r="E7" i="55"/>
  <c r="D7" i="55"/>
  <c r="C7" i="55"/>
  <c r="B7" i="55"/>
  <c r="J6" i="55"/>
  <c r="H6" i="55"/>
  <c r="E6" i="55"/>
  <c r="D6" i="55"/>
  <c r="C6" i="55"/>
  <c r="B6" i="55"/>
  <c r="F50" i="54"/>
  <c r="E50" i="54"/>
  <c r="D50" i="54"/>
  <c r="C50" i="54"/>
  <c r="B50" i="54"/>
  <c r="U58" i="26"/>
  <c r="U56" i="26"/>
  <c r="Z54" i="26"/>
  <c r="Y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Z49" i="26"/>
  <c r="Y49" i="26"/>
  <c r="Z48" i="26"/>
  <c r="Y48" i="26"/>
  <c r="Z47" i="26"/>
  <c r="Y47" i="26"/>
  <c r="Z46" i="26"/>
  <c r="Y46" i="26"/>
  <c r="Z45" i="26"/>
  <c r="Y45" i="26"/>
  <c r="Z44" i="26"/>
  <c r="Y44" i="26"/>
  <c r="Z43" i="26"/>
  <c r="Y43" i="26"/>
  <c r="Z42" i="26"/>
  <c r="Y42" i="26"/>
  <c r="Z41" i="26"/>
  <c r="Y41" i="26"/>
  <c r="Z40" i="26"/>
  <c r="Y40" i="26"/>
  <c r="W40" i="26"/>
  <c r="Z39" i="26"/>
  <c r="Y39" i="26"/>
  <c r="Z38" i="26"/>
  <c r="Y38" i="26"/>
  <c r="Z37" i="26"/>
  <c r="Y37" i="26"/>
  <c r="Z36" i="26"/>
  <c r="Y36" i="26"/>
  <c r="Z35" i="26"/>
  <c r="Y35" i="26"/>
  <c r="Z34" i="26"/>
  <c r="Y34" i="26"/>
  <c r="Z33" i="26"/>
  <c r="Y33" i="26"/>
  <c r="Z32" i="26"/>
  <c r="Y32" i="26"/>
  <c r="Z31" i="26"/>
  <c r="Y31" i="26"/>
  <c r="Z30" i="26"/>
  <c r="Y30" i="26"/>
  <c r="Z29" i="26"/>
  <c r="Y29" i="26"/>
  <c r="Z28" i="26"/>
  <c r="Y28" i="26"/>
  <c r="Z27" i="26"/>
  <c r="Y27" i="26"/>
  <c r="W27" i="26"/>
  <c r="Z26" i="26"/>
  <c r="Y26" i="26"/>
  <c r="Z25" i="26"/>
  <c r="Y25" i="26"/>
  <c r="Z24" i="26"/>
  <c r="Y24" i="26"/>
  <c r="Z23" i="26"/>
  <c r="Y23" i="26"/>
  <c r="Z22" i="26"/>
  <c r="Y22" i="26"/>
  <c r="Z21" i="26"/>
  <c r="Y21" i="26"/>
  <c r="Z20" i="26"/>
  <c r="Y20" i="26"/>
  <c r="Z19" i="26"/>
  <c r="Y19" i="26"/>
  <c r="Z18" i="26"/>
  <c r="Y18" i="26"/>
  <c r="Z17" i="26"/>
  <c r="Y17" i="26"/>
  <c r="Z16" i="26"/>
  <c r="Y16" i="26"/>
  <c r="Z15" i="26"/>
  <c r="Y15" i="26"/>
  <c r="W15" i="26"/>
  <c r="Z14" i="26"/>
  <c r="Y14" i="26"/>
  <c r="Z13" i="26"/>
  <c r="Y13" i="26"/>
  <c r="B12" i="26"/>
  <c r="Z11" i="26"/>
  <c r="Y11" i="26"/>
  <c r="Z10" i="26"/>
  <c r="Y10" i="26"/>
  <c r="AI9" i="26"/>
  <c r="Z9" i="26"/>
  <c r="Y9" i="26"/>
  <c r="Z8" i="26"/>
  <c r="Y8" i="26"/>
  <c r="Z7" i="26"/>
  <c r="Y7" i="26"/>
  <c r="Z6" i="26"/>
  <c r="Y6" i="26"/>
  <c r="AA2" i="26"/>
  <c r="C21" i="75"/>
  <c r="C19" i="75"/>
  <c r="C14" i="75"/>
  <c r="C10" i="75"/>
  <c r="P8" i="73"/>
  <c r="D8" i="73"/>
  <c r="P7" i="73"/>
  <c r="P44" i="73" s="1"/>
  <c r="D7" i="73"/>
  <c r="AM12" i="85" l="1"/>
  <c r="AN8" i="85"/>
  <c r="AN10" i="85"/>
  <c r="G17" i="85"/>
  <c r="M17" i="85"/>
  <c r="S17" i="85"/>
  <c r="Y17" i="85"/>
  <c r="AK17" i="85"/>
  <c r="S13" i="85"/>
  <c r="M16" i="85"/>
  <c r="D44" i="73"/>
  <c r="AO9" i="85"/>
  <c r="S6" i="85"/>
  <c r="M7" i="85"/>
  <c r="S7" i="85"/>
  <c r="Y7" i="85"/>
  <c r="AE7" i="85"/>
  <c r="AK7" i="85"/>
  <c r="M8" i="85"/>
  <c r="S8" i="85"/>
  <c r="Y8" i="85"/>
  <c r="AE8" i="85"/>
  <c r="AK8" i="85"/>
  <c r="M9" i="85"/>
  <c r="S9" i="85"/>
  <c r="Y9" i="85"/>
  <c r="AE9" i="85"/>
  <c r="AK9" i="85"/>
  <c r="M10" i="85"/>
  <c r="S10" i="85"/>
  <c r="Y10" i="85"/>
  <c r="AE10" i="85"/>
  <c r="AK10" i="85"/>
  <c r="G11" i="85"/>
  <c r="M11" i="85"/>
  <c r="S11" i="85"/>
  <c r="Y11" i="85"/>
  <c r="AE11" i="85"/>
  <c r="AK11" i="85"/>
  <c r="F12" i="85"/>
  <c r="R12" i="85"/>
  <c r="X12" i="85"/>
  <c r="AD12" i="85"/>
  <c r="AJ12" i="85"/>
  <c r="L13" i="85"/>
  <c r="R13" i="85"/>
  <c r="X13" i="85"/>
  <c r="AD13" i="85"/>
  <c r="AE13" i="85"/>
  <c r="Y14" i="85"/>
  <c r="AE14" i="85"/>
  <c r="AK14" i="85"/>
  <c r="M15" i="85"/>
  <c r="S15" i="85"/>
  <c r="M14" i="85"/>
  <c r="D19" i="85"/>
  <c r="J19" i="85"/>
  <c r="P19" i="85"/>
  <c r="V19" i="85"/>
  <c r="M12" i="85"/>
  <c r="S12" i="85"/>
  <c r="AE12" i="85"/>
  <c r="AK12" i="85"/>
  <c r="L15" i="85"/>
  <c r="R15" i="85"/>
  <c r="X15" i="85"/>
  <c r="AJ15" i="85"/>
  <c r="F16" i="85"/>
  <c r="L16" i="85"/>
  <c r="AN13" i="85"/>
  <c r="AN17" i="85"/>
  <c r="AB19" i="85"/>
  <c r="AH19" i="85"/>
  <c r="AN11" i="85"/>
  <c r="L34" i="87"/>
  <c r="K34" i="87"/>
  <c r="J34" i="87"/>
  <c r="AG42" i="56"/>
  <c r="E19" i="85"/>
  <c r="K19" i="85"/>
  <c r="Q19" i="85"/>
  <c r="W19" i="85"/>
  <c r="AC19" i="85"/>
  <c r="AI19" i="85"/>
  <c r="AM13" i="85"/>
  <c r="M13" i="85"/>
  <c r="Y13" i="85"/>
  <c r="AJ13" i="85"/>
  <c r="F14" i="85"/>
  <c r="L14" i="85"/>
  <c r="R14" i="85"/>
  <c r="X14" i="85"/>
  <c r="AN15" i="85"/>
  <c r="Y15" i="85"/>
  <c r="AE15" i="85"/>
  <c r="AK15" i="85"/>
  <c r="G16" i="85"/>
  <c r="AM16" i="85"/>
  <c r="AL16" i="85"/>
  <c r="AD16" i="85"/>
  <c r="AL17" i="85"/>
  <c r="AO17" i="85"/>
  <c r="B19" i="85"/>
  <c r="H19" i="85"/>
  <c r="N19" i="85"/>
  <c r="T19" i="85"/>
  <c r="Z19" i="85"/>
  <c r="AF19" i="85"/>
  <c r="L7" i="85"/>
  <c r="R7" i="85"/>
  <c r="X7" i="85"/>
  <c r="AD7" i="85"/>
  <c r="AJ7" i="85"/>
  <c r="L8" i="85"/>
  <c r="R8" i="85"/>
  <c r="X8" i="85"/>
  <c r="AD8" i="85"/>
  <c r="AJ8" i="85"/>
  <c r="L9" i="85"/>
  <c r="R9" i="85"/>
  <c r="X9" i="85"/>
  <c r="AD9" i="85"/>
  <c r="AJ9" i="85"/>
  <c r="L10" i="85"/>
  <c r="R10" i="85"/>
  <c r="X10" i="85"/>
  <c r="AD10" i="85"/>
  <c r="AJ10" i="85"/>
  <c r="L11" i="85"/>
  <c r="R11" i="85"/>
  <c r="X11" i="85"/>
  <c r="AD11" i="85"/>
  <c r="AJ11" i="85"/>
  <c r="Y12" i="85"/>
  <c r="AK13" i="85"/>
  <c r="G14" i="85"/>
  <c r="S14" i="85"/>
  <c r="AD14" i="85"/>
  <c r="AL14" i="85"/>
  <c r="S16" i="85"/>
  <c r="Y16" i="85"/>
  <c r="AE16" i="85"/>
  <c r="AK16" i="85"/>
  <c r="L17" i="85"/>
  <c r="X17" i="85"/>
  <c r="AJ17" i="85"/>
  <c r="C19" i="85"/>
  <c r="I19" i="85"/>
  <c r="U19" i="85"/>
  <c r="AA19" i="85"/>
  <c r="AG19" i="85"/>
  <c r="AO13" i="85"/>
  <c r="AN14" i="85"/>
  <c r="AO16" i="85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30" i="73"/>
  <c r="E31" i="73"/>
  <c r="E32" i="73"/>
  <c r="E33" i="73"/>
  <c r="E34" i="73"/>
  <c r="E35" i="73"/>
  <c r="E36" i="73"/>
  <c r="E37" i="73"/>
  <c r="J38" i="73"/>
  <c r="J39" i="73"/>
  <c r="E7" i="73"/>
  <c r="E8" i="73"/>
  <c r="J9" i="73"/>
  <c r="J10" i="73"/>
  <c r="J11" i="73"/>
  <c r="J12" i="73"/>
  <c r="J13" i="73"/>
  <c r="J14" i="73"/>
  <c r="J15" i="73"/>
  <c r="J16" i="73"/>
  <c r="J17" i="73"/>
  <c r="J18" i="73"/>
  <c r="J19" i="73"/>
  <c r="J20" i="73"/>
  <c r="J21" i="73"/>
  <c r="J22" i="73"/>
  <c r="J23" i="73"/>
  <c r="J24" i="73"/>
  <c r="J25" i="73"/>
  <c r="J26" i="73"/>
  <c r="J27" i="73"/>
  <c r="E28" i="73"/>
  <c r="E29" i="73"/>
  <c r="J30" i="73"/>
  <c r="J31" i="73"/>
  <c r="J32" i="73"/>
  <c r="J33" i="73"/>
  <c r="J34" i="73"/>
  <c r="J35" i="73"/>
  <c r="J36" i="73"/>
  <c r="J37" i="73"/>
  <c r="J7" i="73"/>
  <c r="J8" i="73"/>
  <c r="J28" i="73"/>
  <c r="J29" i="73"/>
  <c r="E38" i="73"/>
  <c r="E39" i="73"/>
  <c r="D10" i="73"/>
  <c r="P10" i="73"/>
  <c r="D14" i="73"/>
  <c r="P14" i="73"/>
  <c r="D22" i="73"/>
  <c r="P22" i="73"/>
  <c r="D26" i="73"/>
  <c r="P26" i="73"/>
  <c r="D30" i="73"/>
  <c r="P30" i="73"/>
  <c r="D34" i="73"/>
  <c r="P34" i="73"/>
  <c r="D38" i="73"/>
  <c r="P38" i="73"/>
  <c r="D17" i="73"/>
  <c r="D11" i="73"/>
  <c r="P11" i="73"/>
  <c r="D15" i="73"/>
  <c r="P15" i="73"/>
  <c r="D19" i="73"/>
  <c r="P19" i="73"/>
  <c r="D23" i="73"/>
  <c r="P23" i="73"/>
  <c r="D27" i="73"/>
  <c r="P27" i="73"/>
  <c r="D31" i="73"/>
  <c r="P31" i="73"/>
  <c r="D35" i="73"/>
  <c r="P35" i="73"/>
  <c r="D39" i="73"/>
  <c r="P39" i="73"/>
  <c r="D18" i="73"/>
  <c r="D12" i="73"/>
  <c r="P12" i="73"/>
  <c r="D16" i="73"/>
  <c r="P16" i="73"/>
  <c r="D20" i="73"/>
  <c r="P20" i="73"/>
  <c r="D24" i="73"/>
  <c r="P24" i="73"/>
  <c r="D28" i="73"/>
  <c r="P28" i="73"/>
  <c r="D32" i="73"/>
  <c r="P32" i="73"/>
  <c r="D36" i="73"/>
  <c r="P36" i="73"/>
  <c r="D9" i="73"/>
  <c r="P9" i="73"/>
  <c r="D13" i="73"/>
  <c r="P13" i="73"/>
  <c r="D21" i="73"/>
  <c r="P21" i="73"/>
  <c r="D25" i="73"/>
  <c r="P25" i="73"/>
  <c r="D29" i="73"/>
  <c r="P29" i="73"/>
  <c r="D33" i="73"/>
  <c r="P33" i="73"/>
  <c r="D37" i="73"/>
  <c r="P37" i="73"/>
  <c r="M6" i="85"/>
  <c r="Y6" i="85"/>
  <c r="AK6" i="85"/>
  <c r="AO6" i="85"/>
  <c r="G7" i="85"/>
  <c r="G9" i="85"/>
  <c r="G12" i="85"/>
  <c r="AL12" i="85"/>
  <c r="AM14" i="85"/>
  <c r="AL15" i="85"/>
  <c r="G15" i="85"/>
  <c r="R16" i="85"/>
  <c r="AM17" i="85"/>
  <c r="O19" i="85"/>
  <c r="F6" i="85"/>
  <c r="R6" i="85"/>
  <c r="AD6" i="85"/>
  <c r="AL6" i="85"/>
  <c r="F8" i="85"/>
  <c r="F10" i="85"/>
  <c r="AN12" i="85"/>
  <c r="L12" i="85"/>
  <c r="AL13" i="85"/>
  <c r="G13" i="85"/>
  <c r="AJ16" i="85"/>
  <c r="AD17" i="85"/>
  <c r="G6" i="85"/>
  <c r="AE6" i="85"/>
  <c r="AM6" i="85"/>
  <c r="G8" i="85"/>
  <c r="G10" i="85"/>
  <c r="AJ14" i="85"/>
  <c r="AD15" i="85"/>
  <c r="X16" i="85"/>
  <c r="R17" i="85"/>
  <c r="AE17" i="85"/>
  <c r="L6" i="85"/>
  <c r="X6" i="85"/>
  <c r="AJ6" i="85"/>
  <c r="AN6" i="85"/>
  <c r="F7" i="85"/>
  <c r="F9" i="85"/>
  <c r="F11" i="85"/>
  <c r="F13" i="85"/>
  <c r="F15" i="85"/>
  <c r="F17" i="85"/>
  <c r="P42" i="87"/>
  <c r="G54" i="87" s="1"/>
  <c r="N42" i="87"/>
  <c r="S42" i="87"/>
  <c r="G56" i="87" s="1"/>
  <c r="G42" i="87"/>
  <c r="G47" i="87" s="1"/>
  <c r="O42" i="87"/>
  <c r="G53" i="87" s="1"/>
  <c r="Z42" i="87"/>
  <c r="Q42" i="87"/>
  <c r="M42" i="87"/>
  <c r="G46" i="87" s="1"/>
  <c r="M19" i="85" l="1"/>
  <c r="AK19" i="85"/>
  <c r="S19" i="85"/>
  <c r="X19" i="85"/>
  <c r="R19" i="85"/>
  <c r="G35" i="73"/>
  <c r="I34" i="87"/>
  <c r="G8" i="73"/>
  <c r="AO19" i="85"/>
  <c r="H39" i="73"/>
  <c r="G37" i="73"/>
  <c r="F19" i="73"/>
  <c r="G33" i="73"/>
  <c r="H7" i="73"/>
  <c r="G31" i="73"/>
  <c r="L19" i="85"/>
  <c r="AD19" i="85"/>
  <c r="Y19" i="85"/>
  <c r="G29" i="73"/>
  <c r="H38" i="73"/>
  <c r="H8" i="73"/>
  <c r="I39" i="73"/>
  <c r="H36" i="73"/>
  <c r="H34" i="73"/>
  <c r="H32" i="73"/>
  <c r="H30" i="73"/>
  <c r="H26" i="73"/>
  <c r="H24" i="73"/>
  <c r="H22" i="73"/>
  <c r="H20" i="73"/>
  <c r="H18" i="73"/>
  <c r="H16" i="73"/>
  <c r="H14" i="73"/>
  <c r="H12" i="73"/>
  <c r="H10" i="73"/>
  <c r="G26" i="73"/>
  <c r="G22" i="73"/>
  <c r="G18" i="73"/>
  <c r="G14" i="73"/>
  <c r="G10" i="73"/>
  <c r="I7" i="73"/>
  <c r="I34" i="73"/>
  <c r="I30" i="73"/>
  <c r="H28" i="73"/>
  <c r="I24" i="73"/>
  <c r="I20" i="73"/>
  <c r="I16" i="73"/>
  <c r="I12" i="73"/>
  <c r="AM19" i="85"/>
  <c r="AQ6" i="85"/>
  <c r="AQ7" i="85" s="1"/>
  <c r="AQ8" i="85" s="1"/>
  <c r="AQ9" i="85" s="1"/>
  <c r="AQ10" i="85" s="1"/>
  <c r="AQ11" i="85" s="1"/>
  <c r="AQ12" i="85" s="1"/>
  <c r="AQ13" i="85" s="1"/>
  <c r="AQ14" i="85" s="1"/>
  <c r="AQ15" i="85" s="1"/>
  <c r="AQ16" i="85" s="1"/>
  <c r="AQ17" i="85" s="1"/>
  <c r="I38" i="73"/>
  <c r="G28" i="73"/>
  <c r="G36" i="73"/>
  <c r="G34" i="73"/>
  <c r="G32" i="73"/>
  <c r="G30" i="73"/>
  <c r="G25" i="73"/>
  <c r="G21" i="73"/>
  <c r="G17" i="73"/>
  <c r="G13" i="73"/>
  <c r="G9" i="73"/>
  <c r="J44" i="73"/>
  <c r="G38" i="73"/>
  <c r="I37" i="73"/>
  <c r="I33" i="73"/>
  <c r="I27" i="73"/>
  <c r="I23" i="73"/>
  <c r="I19" i="73"/>
  <c r="I15" i="73"/>
  <c r="I11" i="73"/>
  <c r="AN19" i="85"/>
  <c r="AE19" i="85"/>
  <c r="F19" i="85"/>
  <c r="H37" i="73"/>
  <c r="H35" i="73"/>
  <c r="H33" i="73"/>
  <c r="H31" i="73"/>
  <c r="H27" i="73"/>
  <c r="H25" i="73"/>
  <c r="H23" i="73"/>
  <c r="H21" i="73"/>
  <c r="H19" i="73"/>
  <c r="H17" i="73"/>
  <c r="H15" i="73"/>
  <c r="H13" i="73"/>
  <c r="H11" i="73"/>
  <c r="H9" i="73"/>
  <c r="G7" i="73"/>
  <c r="G24" i="73"/>
  <c r="G20" i="73"/>
  <c r="G16" i="73"/>
  <c r="G12" i="73"/>
  <c r="I29" i="73"/>
  <c r="E44" i="73"/>
  <c r="I36" i="73"/>
  <c r="I32" i="73"/>
  <c r="H29" i="73"/>
  <c r="I26" i="73"/>
  <c r="I22" i="73"/>
  <c r="I18" i="73"/>
  <c r="I14" i="73"/>
  <c r="I10" i="73"/>
  <c r="AJ19" i="85"/>
  <c r="G19" i="85"/>
  <c r="AL19" i="85"/>
  <c r="AP6" i="85"/>
  <c r="AP7" i="85" s="1"/>
  <c r="AP8" i="85" s="1"/>
  <c r="AP9" i="85" s="1"/>
  <c r="AP10" i="85" s="1"/>
  <c r="AP11" i="85" s="1"/>
  <c r="AP12" i="85" s="1"/>
  <c r="AP13" i="85" s="1"/>
  <c r="AP14" i="85" s="1"/>
  <c r="AP15" i="85" s="1"/>
  <c r="AP16" i="85" s="1"/>
  <c r="AP17" i="85" s="1"/>
  <c r="G27" i="73"/>
  <c r="G23" i="73"/>
  <c r="G19" i="73"/>
  <c r="G15" i="73"/>
  <c r="G11" i="73"/>
  <c r="G39" i="73"/>
  <c r="I28" i="73"/>
  <c r="I8" i="73"/>
  <c r="I35" i="73"/>
  <c r="I31" i="73"/>
  <c r="I25" i="73"/>
  <c r="I21" i="73"/>
  <c r="I17" i="73"/>
  <c r="I13" i="73"/>
  <c r="I9" i="73"/>
  <c r="G55" i="87"/>
  <c r="F17" i="73" l="1"/>
  <c r="F23" i="73"/>
  <c r="F13" i="73"/>
  <c r="F11" i="73"/>
  <c r="F9" i="73"/>
  <c r="F25" i="73"/>
  <c r="F15" i="73"/>
  <c r="F21" i="73"/>
  <c r="F38" i="73"/>
  <c r="H44" i="73"/>
  <c r="F20" i="73"/>
  <c r="F18" i="73"/>
  <c r="F30" i="73"/>
  <c r="F37" i="73"/>
  <c r="F24" i="73"/>
  <c r="F32" i="73"/>
  <c r="F27" i="73"/>
  <c r="G44" i="73"/>
  <c r="F22" i="73"/>
  <c r="F34" i="73"/>
  <c r="I44" i="73"/>
  <c r="F39" i="73"/>
  <c r="F12" i="73"/>
  <c r="F28" i="73"/>
  <c r="F36" i="73"/>
  <c r="F31" i="73"/>
  <c r="F10" i="73"/>
  <c r="F26" i="73"/>
  <c r="F8" i="73"/>
  <c r="F33" i="73"/>
  <c r="F16" i="73"/>
  <c r="F29" i="73"/>
  <c r="F35" i="73"/>
  <c r="F14" i="73"/>
  <c r="F7" i="73"/>
  <c r="F44" i="73" l="1"/>
  <c r="F6" i="87" l="1"/>
  <c r="C21" i="73" l="1"/>
  <c r="C30" i="73"/>
  <c r="C39" i="73"/>
  <c r="C25" i="73"/>
  <c r="C27" i="73"/>
  <c r="C24" i="73"/>
  <c r="C15" i="73"/>
  <c r="C6" i="73"/>
  <c r="C9" i="73"/>
  <c r="C29" i="73"/>
  <c r="C19" i="73"/>
  <c r="C35" i="73"/>
  <c r="C18" i="73"/>
  <c r="C32" i="73"/>
  <c r="C7" i="73"/>
  <c r="C8" i="73"/>
  <c r="C23" i="73"/>
  <c r="C36" i="73"/>
  <c r="C22" i="73"/>
  <c r="C33" i="73"/>
  <c r="C10" i="73"/>
  <c r="C20" i="73"/>
  <c r="C13" i="73"/>
  <c r="C11" i="73"/>
  <c r="C12" i="73"/>
  <c r="C14" i="73"/>
  <c r="C38" i="73"/>
  <c r="C26" i="73"/>
  <c r="C17" i="73"/>
  <c r="C34" i="73"/>
  <c r="C31" i="73"/>
  <c r="C16" i="73"/>
  <c r="C28" i="73"/>
  <c r="C37" i="73"/>
  <c r="C44" i="73" l="1"/>
  <c r="H42" i="87" l="1"/>
  <c r="H27" i="87" l="1"/>
  <c r="H36" i="87"/>
  <c r="L36" i="87" l="1"/>
  <c r="J36" i="87"/>
  <c r="K36" i="87"/>
  <c r="L27" i="87"/>
  <c r="J27" i="87"/>
  <c r="K27" i="87"/>
  <c r="I36" i="87" l="1"/>
  <c r="F36" i="87" s="1"/>
  <c r="I27" i="87"/>
  <c r="F27" i="87" s="1"/>
  <c r="H8" i="87" l="1"/>
  <c r="H9" i="87"/>
  <c r="H10" i="87"/>
  <c r="H11" i="87"/>
  <c r="H12" i="87"/>
  <c r="H13" i="87"/>
  <c r="H14" i="87"/>
  <c r="H15" i="87"/>
  <c r="H16" i="87"/>
  <c r="H17" i="87"/>
  <c r="H19" i="87"/>
  <c r="H21" i="87"/>
  <c r="H22" i="87"/>
  <c r="H23" i="87"/>
  <c r="H24" i="87"/>
  <c r="H25" i="87"/>
  <c r="H26" i="87"/>
  <c r="H28" i="87"/>
  <c r="H29" i="87"/>
  <c r="H30" i="87"/>
  <c r="H31" i="87"/>
  <c r="H32" i="87"/>
  <c r="H33" i="87"/>
  <c r="H35" i="87"/>
  <c r="H37" i="87"/>
  <c r="H38" i="87"/>
  <c r="H7" i="87"/>
  <c r="L7" i="87" l="1"/>
  <c r="K7" i="87"/>
  <c r="J7" i="87"/>
  <c r="K33" i="87"/>
  <c r="L33" i="87"/>
  <c r="J33" i="87"/>
  <c r="J29" i="87"/>
  <c r="L29" i="87"/>
  <c r="K29" i="87"/>
  <c r="L24" i="87"/>
  <c r="J24" i="87"/>
  <c r="K24" i="87"/>
  <c r="L19" i="87"/>
  <c r="J19" i="87"/>
  <c r="K19" i="87"/>
  <c r="K14" i="87"/>
  <c r="J14" i="87"/>
  <c r="L14" i="87"/>
  <c r="K10" i="87"/>
  <c r="L10" i="87"/>
  <c r="J10" i="87"/>
  <c r="J38" i="87"/>
  <c r="K38" i="87"/>
  <c r="L38" i="87"/>
  <c r="K32" i="87"/>
  <c r="L32" i="87"/>
  <c r="J32" i="87"/>
  <c r="L28" i="87"/>
  <c r="K28" i="87"/>
  <c r="J28" i="87"/>
  <c r="K23" i="87"/>
  <c r="L23" i="87"/>
  <c r="J23" i="87"/>
  <c r="J17" i="87"/>
  <c r="K17" i="87"/>
  <c r="L17" i="87"/>
  <c r="K13" i="87"/>
  <c r="J13" i="87"/>
  <c r="L13" i="87"/>
  <c r="K9" i="87"/>
  <c r="J9" i="87"/>
  <c r="L9" i="87"/>
  <c r="J37" i="87"/>
  <c r="L37" i="87"/>
  <c r="K37" i="87"/>
  <c r="K31" i="87"/>
  <c r="L31" i="87"/>
  <c r="J31" i="87"/>
  <c r="J26" i="87"/>
  <c r="L26" i="87"/>
  <c r="K26" i="87"/>
  <c r="J22" i="87"/>
  <c r="L22" i="87"/>
  <c r="K22" i="87"/>
  <c r="K16" i="87"/>
  <c r="J16" i="87"/>
  <c r="L16" i="87"/>
  <c r="J12" i="87"/>
  <c r="L12" i="87"/>
  <c r="K12" i="87"/>
  <c r="K8" i="87"/>
  <c r="L8" i="87"/>
  <c r="J8" i="87"/>
  <c r="J35" i="87"/>
  <c r="L35" i="87"/>
  <c r="K35" i="87"/>
  <c r="L30" i="87"/>
  <c r="K30" i="87"/>
  <c r="J30" i="87"/>
  <c r="J25" i="87"/>
  <c r="L25" i="87"/>
  <c r="K25" i="87"/>
  <c r="L21" i="87"/>
  <c r="K21" i="87"/>
  <c r="J21" i="87"/>
  <c r="L15" i="87"/>
  <c r="K15" i="87"/>
  <c r="J15" i="87"/>
  <c r="J11" i="87"/>
  <c r="K11" i="87"/>
  <c r="L11" i="87"/>
  <c r="I25" i="87" l="1"/>
  <c r="F25" i="87" s="1"/>
  <c r="I12" i="87"/>
  <c r="F12" i="87" s="1"/>
  <c r="I31" i="87"/>
  <c r="F31" i="87" s="1"/>
  <c r="I23" i="87"/>
  <c r="F23" i="87" s="1"/>
  <c r="I10" i="87"/>
  <c r="F10" i="87" s="1"/>
  <c r="I15" i="87"/>
  <c r="F15" i="87" s="1"/>
  <c r="I35" i="87"/>
  <c r="F35" i="87" s="1"/>
  <c r="I22" i="87"/>
  <c r="F22" i="87" s="1"/>
  <c r="I11" i="87"/>
  <c r="F11" i="87" s="1"/>
  <c r="I30" i="87"/>
  <c r="F30" i="87" s="1"/>
  <c r="I16" i="87"/>
  <c r="F16" i="87" s="1"/>
  <c r="I33" i="87"/>
  <c r="F33" i="87" s="1"/>
  <c r="I21" i="87"/>
  <c r="F21" i="87" s="1"/>
  <c r="I8" i="87"/>
  <c r="F8" i="87" s="1"/>
  <c r="I26" i="87"/>
  <c r="F26" i="87" s="1"/>
  <c r="I9" i="87"/>
  <c r="F9" i="87" s="1"/>
  <c r="I14" i="87"/>
  <c r="F14" i="87" s="1"/>
  <c r="I32" i="87"/>
  <c r="F32" i="87" s="1"/>
  <c r="I24" i="87"/>
  <c r="F24" i="87" s="1"/>
  <c r="I13" i="87"/>
  <c r="F13" i="87" s="1"/>
  <c r="I17" i="87"/>
  <c r="F17" i="87" s="1"/>
  <c r="I28" i="87"/>
  <c r="F28" i="87" s="1"/>
  <c r="I38" i="87"/>
  <c r="F38" i="87" s="1"/>
  <c r="I7" i="87"/>
  <c r="F7" i="87" s="1"/>
  <c r="I37" i="87"/>
  <c r="F37" i="87" s="1"/>
  <c r="I19" i="87"/>
  <c r="F19" i="87" s="1"/>
  <c r="I29" i="87"/>
  <c r="F29" i="87" s="1"/>
  <c r="H18" i="87" l="1"/>
  <c r="J18" i="87" l="1"/>
  <c r="K18" i="87"/>
  <c r="L18" i="87"/>
  <c r="H20" i="87"/>
  <c r="I18" i="87" l="1"/>
  <c r="F18" i="87" s="1"/>
  <c r="K20" i="87"/>
  <c r="K42" i="87" s="1"/>
  <c r="G50" i="87" s="1"/>
  <c r="L20" i="87"/>
  <c r="L42" i="87" s="1"/>
  <c r="G51" i="87" s="1"/>
  <c r="J20" i="87"/>
  <c r="J42" i="87" s="1"/>
  <c r="G49" i="87" s="1"/>
  <c r="I20" i="87" l="1"/>
  <c r="F20" i="87" l="1"/>
  <c r="F42" i="87" s="1"/>
  <c r="I42" i="87"/>
  <c r="G48" i="87" s="1"/>
  <c r="E20" i="87" l="1"/>
  <c r="E9" i="87"/>
  <c r="E15" i="87"/>
  <c r="E38" i="87"/>
  <c r="E21" i="87"/>
  <c r="E16" i="87"/>
  <c r="E33" i="87"/>
  <c r="E11" i="87"/>
  <c r="E34" i="87"/>
  <c r="E37" i="87"/>
  <c r="E29" i="87"/>
  <c r="E28" i="87"/>
  <c r="E36" i="87"/>
  <c r="E30" i="87"/>
  <c r="E6" i="87"/>
  <c r="E42" i="87" s="1"/>
  <c r="E7" i="87"/>
  <c r="E14" i="87"/>
  <c r="E31" i="87"/>
  <c r="E35" i="87"/>
  <c r="E10" i="87"/>
  <c r="E26" i="87"/>
  <c r="E32" i="87"/>
  <c r="E25" i="87"/>
  <c r="E18" i="87"/>
  <c r="E13" i="87"/>
  <c r="E19" i="87"/>
  <c r="E17" i="87"/>
  <c r="E24" i="87"/>
  <c r="E8" i="87"/>
  <c r="E12" i="87"/>
  <c r="E23" i="87"/>
  <c r="E22" i="87"/>
  <c r="E27" i="87"/>
  <c r="D30" i="92" l="1"/>
  <c r="H34" i="127" l="1"/>
  <c r="H27" i="127"/>
  <c r="H34" i="135" l="1"/>
  <c r="H27" i="135"/>
  <c r="H33" i="127" l="1"/>
  <c r="H29" i="127"/>
  <c r="H12" i="135"/>
  <c r="H17" i="135"/>
  <c r="H9" i="135"/>
  <c r="H25" i="135"/>
  <c r="H30" i="135"/>
  <c r="H36" i="135"/>
  <c r="H29" i="135"/>
  <c r="H18" i="135" l="1"/>
  <c r="H24" i="135"/>
  <c r="H23" i="135"/>
  <c r="H10" i="135"/>
  <c r="H21" i="135"/>
  <c r="H13" i="135"/>
  <c r="H20" i="135"/>
  <c r="H22" i="135"/>
  <c r="H16" i="135"/>
  <c r="H32" i="135"/>
  <c r="H26" i="135"/>
  <c r="H15" i="135"/>
  <c r="H28" i="135"/>
  <c r="H11" i="135"/>
  <c r="H19" i="135" l="1"/>
  <c r="H33" i="135"/>
  <c r="H8" i="135" l="1"/>
  <c r="H7" i="127" l="1"/>
  <c r="H7" i="135" l="1"/>
  <c r="H14" i="135" l="1"/>
  <c r="H31" i="135"/>
  <c r="H35" i="135" l="1"/>
  <c r="H38" i="135" s="1"/>
  <c r="G17" i="135" l="1"/>
  <c r="K17" i="135" s="1"/>
  <c r="P17" i="135" s="1"/>
  <c r="S17" i="135" s="1"/>
  <c r="G34" i="135"/>
  <c r="K34" i="135" s="1"/>
  <c r="G12" i="135"/>
  <c r="K12" i="135" s="1"/>
  <c r="P12" i="135" s="1"/>
  <c r="S12" i="135" s="1"/>
  <c r="G30" i="135"/>
  <c r="K30" i="135" s="1"/>
  <c r="P30" i="135" s="1"/>
  <c r="S30" i="135" s="1"/>
  <c r="G32" i="135"/>
  <c r="K32" i="135" s="1"/>
  <c r="P32" i="135" s="1"/>
  <c r="S32" i="135" s="1"/>
  <c r="G20" i="135"/>
  <c r="K20" i="135" s="1"/>
  <c r="P20" i="135" s="1"/>
  <c r="S20" i="135" s="1"/>
  <c r="G11" i="135"/>
  <c r="K11" i="135" s="1"/>
  <c r="P11" i="135" s="1"/>
  <c r="S11" i="135" s="1"/>
  <c r="G16" i="135"/>
  <c r="K16" i="135" s="1"/>
  <c r="P16" i="135" s="1"/>
  <c r="S16" i="135" s="1"/>
  <c r="G14" i="135"/>
  <c r="K14" i="135" s="1"/>
  <c r="G28" i="135"/>
  <c r="K28" i="135" s="1"/>
  <c r="P28" i="135" s="1"/>
  <c r="S28" i="135" s="1"/>
  <c r="G21" i="135"/>
  <c r="K21" i="135" s="1"/>
  <c r="P21" i="135" s="1"/>
  <c r="S21" i="135" s="1"/>
  <c r="G29" i="135"/>
  <c r="K29" i="135" s="1"/>
  <c r="P29" i="135" s="1"/>
  <c r="S29" i="135" s="1"/>
  <c r="G35" i="135"/>
  <c r="K35" i="135" s="1"/>
  <c r="P35" i="135" s="1"/>
  <c r="S35" i="135" s="1"/>
  <c r="G23" i="135"/>
  <c r="K23" i="135" s="1"/>
  <c r="P23" i="135" s="1"/>
  <c r="S23" i="135" s="1"/>
  <c r="G10" i="135"/>
  <c r="K10" i="135" s="1"/>
  <c r="P10" i="135" s="1"/>
  <c r="S10" i="135" s="1"/>
  <c r="G8" i="135"/>
  <c r="K8" i="135" s="1"/>
  <c r="P8" i="135" s="1"/>
  <c r="S8" i="135" s="1"/>
  <c r="G13" i="135"/>
  <c r="K13" i="135" s="1"/>
  <c r="P13" i="135" s="1"/>
  <c r="S13" i="135" s="1"/>
  <c r="G33" i="135"/>
  <c r="K33" i="135" s="1"/>
  <c r="P33" i="135" s="1"/>
  <c r="S33" i="135" s="1"/>
  <c r="G22" i="135"/>
  <c r="K22" i="135" s="1"/>
  <c r="P22" i="135" s="1"/>
  <c r="S22" i="135" s="1"/>
  <c r="G15" i="135"/>
  <c r="K15" i="135" s="1"/>
  <c r="P15" i="135" s="1"/>
  <c r="S15" i="135" s="1"/>
  <c r="G24" i="135"/>
  <c r="K24" i="135" s="1"/>
  <c r="P24" i="135" s="1"/>
  <c r="S24" i="135" s="1"/>
  <c r="G36" i="135"/>
  <c r="K36" i="135" s="1"/>
  <c r="P36" i="135" s="1"/>
  <c r="S36" i="135" s="1"/>
  <c r="G19" i="135"/>
  <c r="K19" i="135" s="1"/>
  <c r="P19" i="135" s="1"/>
  <c r="S19" i="135" s="1"/>
  <c r="G7" i="135"/>
  <c r="K7" i="135" s="1"/>
  <c r="P7" i="135" s="1"/>
  <c r="G9" i="135"/>
  <c r="K9" i="135" s="1"/>
  <c r="P9" i="135" s="1"/>
  <c r="S9" i="135" s="1"/>
  <c r="G26" i="135"/>
  <c r="K26" i="135" s="1"/>
  <c r="P26" i="135" s="1"/>
  <c r="S26" i="135" s="1"/>
  <c r="G27" i="135"/>
  <c r="K27" i="135" s="1"/>
  <c r="G31" i="135"/>
  <c r="K31" i="135" s="1"/>
  <c r="G18" i="135"/>
  <c r="K18" i="135" s="1"/>
  <c r="P18" i="135" s="1"/>
  <c r="S18" i="135" s="1"/>
  <c r="G25" i="135"/>
  <c r="K25" i="135" s="1"/>
  <c r="P25" i="135" s="1"/>
  <c r="S25" i="135" s="1"/>
  <c r="G6" i="135" l="1"/>
  <c r="G38" i="135" s="1"/>
  <c r="S7" i="135"/>
  <c r="S38" i="135" s="1"/>
  <c r="P38" i="135"/>
  <c r="K6" i="135" l="1"/>
  <c r="K38" i="135" s="1"/>
  <c r="S36" i="133" l="1"/>
  <c r="S35" i="133"/>
  <c r="S32" i="133"/>
  <c r="S31" i="133"/>
  <c r="S30" i="133"/>
  <c r="S28" i="133"/>
  <c r="S26" i="133"/>
  <c r="S25" i="133"/>
  <c r="S24" i="133"/>
  <c r="S23" i="133"/>
  <c r="S22" i="133"/>
  <c r="S21" i="133"/>
  <c r="S20" i="133"/>
  <c r="S19" i="133"/>
  <c r="S18" i="133"/>
  <c r="S17" i="133"/>
  <c r="S16" i="133"/>
  <c r="S15" i="133"/>
  <c r="S14" i="133"/>
  <c r="S13" i="133"/>
  <c r="S12" i="133"/>
  <c r="S11" i="133"/>
  <c r="S10" i="133"/>
  <c r="S9" i="133"/>
  <c r="S8" i="133"/>
  <c r="AM17" i="148" l="1"/>
  <c r="AM21" i="148"/>
  <c r="AM25" i="148"/>
  <c r="AM31" i="148"/>
  <c r="AM10" i="148"/>
  <c r="AM14" i="148"/>
  <c r="AM18" i="148"/>
  <c r="AM22" i="148"/>
  <c r="AM26" i="148"/>
  <c r="AM32" i="148"/>
  <c r="AM15" i="148"/>
  <c r="AM19" i="148"/>
  <c r="AM23" i="148"/>
  <c r="AM28" i="148"/>
  <c r="AM35" i="148"/>
  <c r="AM16" i="148"/>
  <c r="AM20" i="148"/>
  <c r="AM24" i="148"/>
  <c r="AM30" i="148"/>
  <c r="AM36" i="148"/>
  <c r="S40" i="133"/>
  <c r="AE40" i="133"/>
  <c r="AM40" i="148" l="1"/>
  <c r="S40" i="148"/>
  <c r="C6" i="135"/>
  <c r="C38" i="135" s="1"/>
  <c r="F6" i="135" l="1"/>
  <c r="F38" i="135" l="1"/>
  <c r="V6" i="135"/>
  <c r="X6" i="135" l="1"/>
  <c r="X38" i="135" s="1"/>
  <c r="V38" i="135"/>
  <c r="J18" i="136" l="1"/>
  <c r="O18" i="136"/>
  <c r="J32" i="136"/>
  <c r="O32" i="136"/>
  <c r="J22" i="136"/>
  <c r="O22" i="136"/>
  <c r="AA22" i="136"/>
  <c r="O11" i="136"/>
  <c r="AB22" i="136"/>
  <c r="AB14" i="136"/>
  <c r="AA15" i="136"/>
  <c r="O14" i="136"/>
  <c r="J11" i="136"/>
  <c r="O24" i="136"/>
  <c r="J14" i="136"/>
  <c r="O19" i="136"/>
  <c r="O30" i="136"/>
  <c r="AB15" i="136"/>
  <c r="AA18" i="136"/>
  <c r="AB18" i="136"/>
  <c r="AB11" i="136"/>
  <c r="J15" i="136"/>
  <c r="J24" i="136"/>
  <c r="AA11" i="136"/>
  <c r="AB24" i="136"/>
  <c r="AB25" i="136"/>
  <c r="J25" i="136"/>
  <c r="O25" i="136"/>
  <c r="AA25" i="136"/>
  <c r="AB30" i="136"/>
  <c r="AA32" i="136"/>
  <c r="J35" i="136"/>
  <c r="O15" i="136"/>
  <c r="O12" i="136"/>
  <c r="O36" i="136"/>
  <c r="AB12" i="136"/>
  <c r="J30" i="136"/>
  <c r="J19" i="136"/>
  <c r="AB32" i="136"/>
  <c r="AA35" i="136"/>
  <c r="O35" i="136"/>
  <c r="J12" i="136"/>
  <c r="AA19" i="136"/>
  <c r="J36" i="136"/>
  <c r="AA12" i="136"/>
  <c r="AA30" i="136"/>
  <c r="AA24" i="136"/>
  <c r="AB36" i="136"/>
  <c r="AA36" i="136"/>
  <c r="AA23" i="136"/>
  <c r="J23" i="136"/>
  <c r="AB23" i="136"/>
  <c r="O23" i="136"/>
  <c r="AB17" i="136"/>
  <c r="J17" i="136"/>
  <c r="AA17" i="136"/>
  <c r="O17" i="136"/>
  <c r="J26" i="136"/>
  <c r="AB26" i="136"/>
  <c r="AA26" i="136"/>
  <c r="O26" i="136"/>
  <c r="J20" i="136"/>
  <c r="AB20" i="136"/>
  <c r="AA20" i="136"/>
  <c r="O20" i="136"/>
  <c r="AB19" i="136"/>
  <c r="AB10" i="136"/>
  <c r="O10" i="136"/>
  <c r="J10" i="136"/>
  <c r="AA10" i="136"/>
  <c r="AB35" i="136"/>
  <c r="AB21" i="136"/>
  <c r="J21" i="136"/>
  <c r="AA21" i="136"/>
  <c r="O21" i="136"/>
  <c r="AA31" i="136"/>
  <c r="J31" i="136"/>
  <c r="AB31" i="136"/>
  <c r="O31" i="136"/>
  <c r="AA14" i="136"/>
  <c r="O9" i="136"/>
  <c r="AA9" i="136"/>
  <c r="J9" i="136"/>
  <c r="AB9" i="136"/>
  <c r="J8" i="136"/>
  <c r="AB8" i="136"/>
  <c r="AA8" i="136"/>
  <c r="O8" i="136"/>
  <c r="AA28" i="136"/>
  <c r="J28" i="136"/>
  <c r="AB28" i="136"/>
  <c r="O28" i="136"/>
  <c r="AB13" i="136"/>
  <c r="J13" i="136"/>
  <c r="O13" i="136"/>
  <c r="AA13" i="136"/>
  <c r="J16" i="136"/>
  <c r="AB16" i="136"/>
  <c r="O16" i="136"/>
  <c r="AA16" i="136"/>
  <c r="AB39" i="136" l="1"/>
  <c r="O39" i="136"/>
  <c r="AA39" i="136"/>
  <c r="J39" i="136"/>
  <c r="L31" i="136"/>
  <c r="M31" i="136"/>
  <c r="N31" i="136"/>
  <c r="L17" i="136"/>
  <c r="N17" i="136"/>
  <c r="M17" i="136"/>
  <c r="L23" i="136"/>
  <c r="N23" i="136"/>
  <c r="M23" i="136"/>
  <c r="L12" i="136"/>
  <c r="N12" i="136"/>
  <c r="M12" i="136"/>
  <c r="L19" i="136"/>
  <c r="M19" i="136"/>
  <c r="N19" i="136"/>
  <c r="M14" i="136"/>
  <c r="N14" i="136"/>
  <c r="L14" i="136"/>
  <c r="L9" i="136"/>
  <c r="M9" i="136"/>
  <c r="N9" i="136"/>
  <c r="M20" i="136"/>
  <c r="N20" i="136"/>
  <c r="L20" i="136"/>
  <c r="N30" i="136"/>
  <c r="L30" i="136"/>
  <c r="M30" i="136"/>
  <c r="N22" i="136"/>
  <c r="L22" i="136"/>
  <c r="M22" i="136"/>
  <c r="M16" i="136"/>
  <c r="N16" i="136"/>
  <c r="L16" i="136"/>
  <c r="M8" i="136"/>
  <c r="N8" i="136"/>
  <c r="L8" i="136"/>
  <c r="L21" i="136"/>
  <c r="M21" i="136"/>
  <c r="N21" i="136"/>
  <c r="L25" i="136"/>
  <c r="N25" i="136"/>
  <c r="M25" i="136"/>
  <c r="M15" i="136"/>
  <c r="N15" i="136"/>
  <c r="L15" i="136"/>
  <c r="L32" i="136"/>
  <c r="N32" i="136"/>
  <c r="M32" i="136"/>
  <c r="N18" i="136"/>
  <c r="M18" i="136"/>
  <c r="L18" i="136"/>
  <c r="L26" i="136"/>
  <c r="N26" i="136"/>
  <c r="M26" i="136"/>
  <c r="L11" i="136"/>
  <c r="N11" i="136"/>
  <c r="M11" i="136"/>
  <c r="M13" i="136"/>
  <c r="L13" i="136"/>
  <c r="N13" i="136"/>
  <c r="L28" i="136"/>
  <c r="M28" i="136"/>
  <c r="N28" i="136"/>
  <c r="L10" i="136"/>
  <c r="M10" i="136"/>
  <c r="N10" i="136"/>
  <c r="N36" i="136"/>
  <c r="M36" i="136"/>
  <c r="L36" i="136"/>
  <c r="L35" i="136"/>
  <c r="N35" i="136"/>
  <c r="M35" i="136"/>
  <c r="M24" i="136"/>
  <c r="N24" i="136"/>
  <c r="L24" i="136"/>
  <c r="L39" i="136" l="1"/>
  <c r="N39" i="136"/>
  <c r="M39" i="136"/>
  <c r="O22" i="127"/>
  <c r="O23" i="127"/>
  <c r="O30" i="127"/>
  <c r="O26" i="127"/>
  <c r="O10" i="127"/>
  <c r="O31" i="127"/>
  <c r="O25" i="127"/>
  <c r="O16" i="127"/>
  <c r="O36" i="127"/>
  <c r="O24" i="127"/>
  <c r="O19" i="127"/>
  <c r="O15" i="127"/>
  <c r="O12" i="127"/>
  <c r="O18" i="127"/>
  <c r="O11" i="127"/>
  <c r="O17" i="127"/>
  <c r="O14" i="127"/>
  <c r="O28" i="127"/>
  <c r="O21" i="127"/>
  <c r="O13" i="127"/>
  <c r="O32" i="127" l="1"/>
  <c r="O20" i="127" l="1"/>
  <c r="J36" i="127" l="1"/>
  <c r="AB31" i="127"/>
  <c r="AB30" i="127"/>
  <c r="AB28" i="127"/>
  <c r="AB26" i="127"/>
  <c r="AA26" i="127"/>
  <c r="AB25" i="127"/>
  <c r="AA25" i="127"/>
  <c r="J25" i="127"/>
  <c r="AB24" i="127"/>
  <c r="AB23" i="127"/>
  <c r="AB22" i="127"/>
  <c r="AB21" i="127"/>
  <c r="AB20" i="127"/>
  <c r="AB19" i="127"/>
  <c r="AB17" i="127"/>
  <c r="AA17" i="127"/>
  <c r="J17" i="127"/>
  <c r="AB16" i="127"/>
  <c r="AB15" i="127"/>
  <c r="AB14" i="127"/>
  <c r="AB13" i="127"/>
  <c r="AB12" i="127"/>
  <c r="AB10" i="127"/>
  <c r="AA10" i="127"/>
  <c r="J10" i="127"/>
  <c r="M17" i="127" l="1"/>
  <c r="N17" i="127"/>
  <c r="L17" i="127"/>
  <c r="L25" i="127"/>
  <c r="N25" i="127"/>
  <c r="M25" i="127"/>
  <c r="M10" i="127"/>
  <c r="L10" i="127"/>
  <c r="N10" i="127"/>
  <c r="M36" i="127"/>
  <c r="N36" i="127"/>
  <c r="L36" i="127"/>
  <c r="AB18" i="127"/>
  <c r="J11" i="127"/>
  <c r="AB11" i="127"/>
  <c r="AA11" i="127"/>
  <c r="AA36" i="127"/>
  <c r="J12" i="127"/>
  <c r="AA12" i="127"/>
  <c r="J13" i="127"/>
  <c r="AA13" i="127"/>
  <c r="J14" i="127"/>
  <c r="AA14" i="127"/>
  <c r="J15" i="127"/>
  <c r="AA15" i="127"/>
  <c r="J16" i="127"/>
  <c r="AA16" i="127"/>
  <c r="J28" i="127"/>
  <c r="AA28" i="127"/>
  <c r="J30" i="127"/>
  <c r="AA30" i="127"/>
  <c r="AB36" i="127"/>
  <c r="J26" i="127"/>
  <c r="J18" i="127"/>
  <c r="AA18" i="127"/>
  <c r="J19" i="127"/>
  <c r="AA19" i="127"/>
  <c r="J20" i="127"/>
  <c r="AA20" i="127"/>
  <c r="J21" i="127"/>
  <c r="AA21" i="127"/>
  <c r="J22" i="127"/>
  <c r="AA22" i="127"/>
  <c r="J23" i="127"/>
  <c r="AA23" i="127"/>
  <c r="J24" i="127"/>
  <c r="AA24" i="127"/>
  <c r="J31" i="127"/>
  <c r="AA31" i="127"/>
  <c r="J32" i="127"/>
  <c r="AB32" i="127"/>
  <c r="AA32" i="127"/>
  <c r="K25" i="127" l="1"/>
  <c r="F25" i="127" s="1"/>
  <c r="H25" i="127" s="1"/>
  <c r="K17" i="127"/>
  <c r="F17" i="127" s="1"/>
  <c r="H17" i="127" s="1"/>
  <c r="K10" i="127"/>
  <c r="F10" i="127" s="1"/>
  <c r="H10" i="127" s="1"/>
  <c r="K36" i="127"/>
  <c r="F36" i="127" s="1"/>
  <c r="H36" i="127" s="1"/>
  <c r="N26" i="127"/>
  <c r="L26" i="127"/>
  <c r="M26" i="127"/>
  <c r="L30" i="127"/>
  <c r="K30" i="127" s="1"/>
  <c r="F30" i="127" s="1"/>
  <c r="H30" i="127" s="1"/>
  <c r="N30" i="127"/>
  <c r="M30" i="127"/>
  <c r="N24" i="127"/>
  <c r="L24" i="127"/>
  <c r="M24" i="127"/>
  <c r="M18" i="127"/>
  <c r="L18" i="127"/>
  <c r="N18" i="127"/>
  <c r="N12" i="127"/>
  <c r="M12" i="127"/>
  <c r="L12" i="127"/>
  <c r="N31" i="127"/>
  <c r="L31" i="127"/>
  <c r="M31" i="127"/>
  <c r="N15" i="127"/>
  <c r="M15" i="127"/>
  <c r="L15" i="127"/>
  <c r="M13" i="127"/>
  <c r="L13" i="127"/>
  <c r="N13" i="127"/>
  <c r="M11" i="127"/>
  <c r="L11" i="127"/>
  <c r="N11" i="127"/>
  <c r="M22" i="127"/>
  <c r="L22" i="127"/>
  <c r="N22" i="127"/>
  <c r="M20" i="127"/>
  <c r="L20" i="127"/>
  <c r="N20" i="127"/>
  <c r="N16" i="127"/>
  <c r="L16" i="127"/>
  <c r="M16" i="127"/>
  <c r="M14" i="127"/>
  <c r="N14" i="127"/>
  <c r="L14" i="127"/>
  <c r="L32" i="127"/>
  <c r="N32" i="127"/>
  <c r="M32" i="127"/>
  <c r="M23" i="127"/>
  <c r="N23" i="127"/>
  <c r="L23" i="127"/>
  <c r="M21" i="127"/>
  <c r="L21" i="127"/>
  <c r="N21" i="127"/>
  <c r="N19" i="127"/>
  <c r="M19" i="127"/>
  <c r="L19" i="127"/>
  <c r="M28" i="127"/>
  <c r="L28" i="127"/>
  <c r="N28" i="127"/>
  <c r="O9" i="127"/>
  <c r="J9" i="127"/>
  <c r="AB9" i="127"/>
  <c r="AA9" i="127"/>
  <c r="K24" i="127" l="1"/>
  <c r="F24" i="127" s="1"/>
  <c r="H24" i="127" s="1"/>
  <c r="K18" i="127"/>
  <c r="F18" i="127" s="1"/>
  <c r="H18" i="127" s="1"/>
  <c r="K26" i="127"/>
  <c r="F26" i="127" s="1"/>
  <c r="H26" i="127" s="1"/>
  <c r="K32" i="127"/>
  <c r="F32" i="127" s="1"/>
  <c r="H32" i="127" s="1"/>
  <c r="K31" i="127"/>
  <c r="F31" i="127" s="1"/>
  <c r="H31" i="127" s="1"/>
  <c r="K28" i="127"/>
  <c r="F28" i="127" s="1"/>
  <c r="H28" i="127" s="1"/>
  <c r="K20" i="127"/>
  <c r="F20" i="127" s="1"/>
  <c r="H20" i="127" s="1"/>
  <c r="K14" i="127"/>
  <c r="F14" i="127" s="1"/>
  <c r="H14" i="127" s="1"/>
  <c r="K12" i="127"/>
  <c r="F12" i="127" s="1"/>
  <c r="H12" i="127" s="1"/>
  <c r="K23" i="127"/>
  <c r="F23" i="127" s="1"/>
  <c r="H23" i="127" s="1"/>
  <c r="K21" i="127"/>
  <c r="F21" i="127" s="1"/>
  <c r="H21" i="127" s="1"/>
  <c r="K19" i="127"/>
  <c r="F19" i="127" s="1"/>
  <c r="H19" i="127" s="1"/>
  <c r="K16" i="127"/>
  <c r="F16" i="127" s="1"/>
  <c r="H16" i="127" s="1"/>
  <c r="K15" i="127"/>
  <c r="F15" i="127" s="1"/>
  <c r="H15" i="127" s="1"/>
  <c r="K13" i="127"/>
  <c r="F13" i="127" s="1"/>
  <c r="H13" i="127" s="1"/>
  <c r="K11" i="127"/>
  <c r="F11" i="127" s="1"/>
  <c r="H11" i="127" s="1"/>
  <c r="M9" i="127"/>
  <c r="L9" i="127"/>
  <c r="N9" i="127"/>
  <c r="K22" i="127"/>
  <c r="F22" i="127" s="1"/>
  <c r="H22" i="127" s="1"/>
  <c r="K9" i="127" l="1"/>
  <c r="F9" i="127" s="1"/>
  <c r="H9" i="127" s="1"/>
  <c r="O8" i="127"/>
  <c r="O40" i="127" s="1"/>
  <c r="AA8" i="127"/>
  <c r="AA40" i="127" s="1"/>
  <c r="AB8" i="127"/>
  <c r="AB40" i="127" s="1"/>
  <c r="J8" i="127"/>
  <c r="M8" i="127" l="1"/>
  <c r="M40" i="127" s="1"/>
  <c r="N8" i="127"/>
  <c r="N40" i="127" s="1"/>
  <c r="L8" i="127"/>
  <c r="J40" i="127"/>
  <c r="K8" i="127" l="1"/>
  <c r="L40" i="127"/>
  <c r="F8" i="127" l="1"/>
  <c r="K40" i="127"/>
  <c r="F40" i="127" l="1"/>
  <c r="H8" i="127"/>
  <c r="AB35" i="127" l="1"/>
  <c r="O35" i="127"/>
  <c r="J35" i="127"/>
  <c r="AA35" i="127"/>
  <c r="M35" i="127" l="1"/>
  <c r="N35" i="127"/>
  <c r="L35" i="127"/>
  <c r="K35" i="127" l="1"/>
  <c r="F35" i="127" s="1"/>
  <c r="H35" i="127" s="1"/>
  <c r="H40" i="127" s="1"/>
  <c r="G12" i="127" s="1"/>
  <c r="G18" i="127" l="1"/>
  <c r="G19" i="127"/>
  <c r="G20" i="127"/>
  <c r="G9" i="127"/>
  <c r="G6" i="127"/>
  <c r="G40" i="127" s="1"/>
  <c r="G13" i="127"/>
  <c r="G24" i="127"/>
  <c r="G22" i="127"/>
  <c r="G15" i="127"/>
  <c r="G30" i="127"/>
  <c r="G31" i="127"/>
  <c r="G8" i="127"/>
  <c r="G16" i="127"/>
  <c r="G26" i="127"/>
  <c r="G27" i="127"/>
  <c r="G10" i="127"/>
  <c r="G29" i="127"/>
  <c r="G36" i="127"/>
  <c r="G28" i="127"/>
  <c r="G35" i="127"/>
  <c r="G25" i="127"/>
  <c r="G7" i="127"/>
  <c r="G33" i="127"/>
  <c r="G21" i="127"/>
  <c r="G11" i="127"/>
  <c r="G23" i="127"/>
  <c r="G14" i="127"/>
  <c r="G17" i="127"/>
  <c r="G34" i="127"/>
  <c r="G32" i="127"/>
  <c r="AE6" i="143"/>
  <c r="AE40" i="143" l="1"/>
  <c r="AE6" i="148"/>
  <c r="AE40" i="148" s="1"/>
  <c r="H37" i="143" l="1"/>
  <c r="AF6" i="138" l="1"/>
  <c r="AF40" i="138" s="1"/>
  <c r="AF6" i="140" l="1"/>
  <c r="AF40" i="140" l="1"/>
  <c r="AF6" i="148"/>
  <c r="AF40" i="148" s="1"/>
  <c r="H39" i="136" l="1"/>
  <c r="H43" i="136" l="1"/>
  <c r="G39" i="136" l="1"/>
  <c r="G40" i="138" l="1"/>
  <c r="G40" i="140" l="1"/>
  <c r="G40" i="141" l="1"/>
  <c r="G40" i="139" l="1"/>
  <c r="G40" i="142" l="1"/>
  <c r="G40" i="143" l="1"/>
  <c r="G40" i="137" l="1"/>
  <c r="F37" i="142" l="1"/>
  <c r="J35" i="141" l="1"/>
  <c r="AB9" i="141"/>
  <c r="AA9" i="141"/>
  <c r="J9" i="141"/>
  <c r="AB17" i="141"/>
  <c r="AA17" i="141"/>
  <c r="J17" i="141"/>
  <c r="AA16" i="141"/>
  <c r="J16" i="141"/>
  <c r="AB16" i="141"/>
  <c r="J13" i="141"/>
  <c r="AB13" i="141"/>
  <c r="AA13" i="141"/>
  <c r="J31" i="141"/>
  <c r="J32" i="141"/>
  <c r="J11" i="139"/>
  <c r="AA35" i="141"/>
  <c r="J36" i="141"/>
  <c r="J23" i="139"/>
  <c r="J34" i="141"/>
  <c r="AB35" i="141"/>
  <c r="L31" i="141" l="1"/>
  <c r="N31" i="141"/>
  <c r="M31" i="141"/>
  <c r="N17" i="141"/>
  <c r="L17" i="141"/>
  <c r="M17" i="141"/>
  <c r="N23" i="139"/>
  <c r="L23" i="139"/>
  <c r="M23" i="139"/>
  <c r="O34" i="141"/>
  <c r="M11" i="139"/>
  <c r="L11" i="139"/>
  <c r="N11" i="139"/>
  <c r="M16" i="141"/>
  <c r="L16" i="141"/>
  <c r="N16" i="141"/>
  <c r="O17" i="141"/>
  <c r="O9" i="141"/>
  <c r="N35" i="141"/>
  <c r="M35" i="141"/>
  <c r="L35" i="141"/>
  <c r="O35" i="141"/>
  <c r="N36" i="141"/>
  <c r="M36" i="141"/>
  <c r="L36" i="141"/>
  <c r="O11" i="139"/>
  <c r="N13" i="141"/>
  <c r="M13" i="141"/>
  <c r="L13" i="141"/>
  <c r="O36" i="141"/>
  <c r="O16" i="141"/>
  <c r="O31" i="141"/>
  <c r="O13" i="141"/>
  <c r="M9" i="141"/>
  <c r="N9" i="141"/>
  <c r="L9" i="141"/>
  <c r="L34" i="141"/>
  <c r="M34" i="141"/>
  <c r="N34" i="141"/>
  <c r="L32" i="141"/>
  <c r="N32" i="141"/>
  <c r="M32" i="141"/>
  <c r="O32" i="141"/>
  <c r="O23" i="139"/>
  <c r="J18" i="141"/>
  <c r="J24" i="141"/>
  <c r="J25" i="141"/>
  <c r="J25" i="140"/>
  <c r="AB35" i="140"/>
  <c r="J33" i="141"/>
  <c r="AB31" i="141"/>
  <c r="J33" i="140"/>
  <c r="J23" i="140"/>
  <c r="J11" i="140"/>
  <c r="J24" i="140"/>
  <c r="J28" i="140"/>
  <c r="AA11" i="140"/>
  <c r="AA35" i="140"/>
  <c r="AB11" i="140"/>
  <c r="AB28" i="140"/>
  <c r="J31" i="140"/>
  <c r="AA16" i="140"/>
  <c r="AA29" i="140"/>
  <c r="AB9" i="140"/>
  <c r="AB36" i="141"/>
  <c r="AA27" i="140"/>
  <c r="AA31" i="141"/>
  <c r="AA23" i="139"/>
  <c r="AB23" i="139"/>
  <c r="AB11" i="139"/>
  <c r="AA11" i="139"/>
  <c r="AA34" i="141"/>
  <c r="AA36" i="141"/>
  <c r="AB34" i="141"/>
  <c r="AB32" i="141"/>
  <c r="AA32" i="141"/>
  <c r="AB27" i="140"/>
  <c r="AA8" i="140"/>
  <c r="AB16" i="140"/>
  <c r="AA24" i="140"/>
  <c r="AB33" i="140"/>
  <c r="AA21" i="140"/>
  <c r="AB8" i="140"/>
  <c r="AB31" i="140"/>
  <c r="AA25" i="140"/>
  <c r="AB21" i="140"/>
  <c r="J29" i="140"/>
  <c r="AB36" i="140"/>
  <c r="AA33" i="140"/>
  <c r="J36" i="140"/>
  <c r="AB24" i="140"/>
  <c r="AB29" i="140"/>
  <c r="J8" i="140"/>
  <c r="AA36" i="140"/>
  <c r="J27" i="140"/>
  <c r="J13" i="140"/>
  <c r="J9" i="140"/>
  <c r="AB25" i="140"/>
  <c r="AA23" i="140"/>
  <c r="AA13" i="140"/>
  <c r="AA31" i="140"/>
  <c r="J21" i="140"/>
  <c r="AB23" i="140"/>
  <c r="AB13" i="140"/>
  <c r="AA9" i="140"/>
  <c r="AA28" i="140"/>
  <c r="J25" i="139"/>
  <c r="AA25" i="139"/>
  <c r="AB25" i="139"/>
  <c r="AB12" i="139"/>
  <c r="J12" i="139"/>
  <c r="AA12" i="139"/>
  <c r="J28" i="141"/>
  <c r="AB28" i="141"/>
  <c r="AA28" i="141"/>
  <c r="J11" i="141"/>
  <c r="AB11" i="141"/>
  <c r="AA11" i="141"/>
  <c r="J15" i="141"/>
  <c r="AB15" i="141"/>
  <c r="AA15" i="141"/>
  <c r="AA23" i="141"/>
  <c r="J23" i="141"/>
  <c r="AB23" i="141"/>
  <c r="J12" i="141"/>
  <c r="AB12" i="141"/>
  <c r="AA12" i="141"/>
  <c r="J20" i="139"/>
  <c r="AA20" i="139"/>
  <c r="AB20" i="139"/>
  <c r="AB7" i="141"/>
  <c r="AA7" i="141"/>
  <c r="J7" i="141"/>
  <c r="AA27" i="141"/>
  <c r="J27" i="141"/>
  <c r="AB27" i="141"/>
  <c r="J20" i="141"/>
  <c r="AB20" i="141"/>
  <c r="AA20" i="141"/>
  <c r="AA10" i="141"/>
  <c r="J10" i="141"/>
  <c r="AB10" i="141"/>
  <c r="AB21" i="141"/>
  <c r="AA21" i="141"/>
  <c r="J21" i="141"/>
  <c r="AB32" i="139"/>
  <c r="AA32" i="139"/>
  <c r="J32" i="139"/>
  <c r="J18" i="139"/>
  <c r="AA18" i="139"/>
  <c r="AB18" i="139"/>
  <c r="AB24" i="141"/>
  <c r="AA24" i="141"/>
  <c r="AA29" i="141"/>
  <c r="J29" i="141"/>
  <c r="AB29" i="141"/>
  <c r="J8" i="141"/>
  <c r="AA8" i="141"/>
  <c r="AB8" i="141"/>
  <c r="AB19" i="141"/>
  <c r="AA19" i="141"/>
  <c r="J19" i="141"/>
  <c r="AB27" i="139"/>
  <c r="J27" i="139"/>
  <c r="AA27" i="139"/>
  <c r="AB33" i="141"/>
  <c r="AA33" i="141"/>
  <c r="J30" i="141"/>
  <c r="AB30" i="141"/>
  <c r="AA30" i="141"/>
  <c r="AB25" i="141"/>
  <c r="AA25" i="141"/>
  <c r="J22" i="141"/>
  <c r="AB22" i="141"/>
  <c r="AA22" i="141"/>
  <c r="AB18" i="141"/>
  <c r="AA18" i="141"/>
  <c r="AB26" i="141"/>
  <c r="AA26" i="141"/>
  <c r="J26" i="141"/>
  <c r="AB14" i="141"/>
  <c r="AA14" i="141"/>
  <c r="J14" i="141"/>
  <c r="AA17" i="140"/>
  <c r="J17" i="140"/>
  <c r="AB17" i="140"/>
  <c r="J20" i="140"/>
  <c r="AB20" i="140"/>
  <c r="AA20" i="140"/>
  <c r="J22" i="140"/>
  <c r="AB22" i="140"/>
  <c r="AA22" i="140"/>
  <c r="AA14" i="140"/>
  <c r="J14" i="140"/>
  <c r="AB14" i="140"/>
  <c r="AA7" i="140"/>
  <c r="J7" i="140"/>
  <c r="AB7" i="140"/>
  <c r="J12" i="140"/>
  <c r="AB12" i="140"/>
  <c r="AA12" i="140"/>
  <c r="J26" i="140"/>
  <c r="AB26" i="140"/>
  <c r="AA26" i="140"/>
  <c r="AA34" i="140"/>
  <c r="J34" i="140"/>
  <c r="AB34" i="140"/>
  <c r="J30" i="140"/>
  <c r="AB30" i="140"/>
  <c r="AA30" i="140"/>
  <c r="AA19" i="140"/>
  <c r="J19" i="140"/>
  <c r="AB19" i="140"/>
  <c r="J16" i="140"/>
  <c r="J32" i="140"/>
  <c r="AB32" i="140"/>
  <c r="AA32" i="140"/>
  <c r="AB18" i="140"/>
  <c r="J18" i="140"/>
  <c r="AA18" i="140"/>
  <c r="J15" i="140"/>
  <c r="AB15" i="140"/>
  <c r="AA15" i="140"/>
  <c r="J10" i="140"/>
  <c r="AB10" i="140"/>
  <c r="AA10" i="140"/>
  <c r="K36" i="141" l="1"/>
  <c r="K17" i="141"/>
  <c r="K31" i="141"/>
  <c r="K34" i="141"/>
  <c r="K23" i="139"/>
  <c r="K9" i="141"/>
  <c r="K32" i="141"/>
  <c r="K13" i="141"/>
  <c r="K35" i="141"/>
  <c r="K11" i="139"/>
  <c r="K16" i="141"/>
  <c r="L18" i="140"/>
  <c r="M18" i="140"/>
  <c r="N18" i="140"/>
  <c r="M30" i="140"/>
  <c r="N30" i="140"/>
  <c r="L30" i="140"/>
  <c r="L12" i="140"/>
  <c r="M12" i="140"/>
  <c r="N12" i="140"/>
  <c r="N20" i="140"/>
  <c r="L20" i="140"/>
  <c r="M20" i="140"/>
  <c r="N27" i="139"/>
  <c r="M27" i="139"/>
  <c r="L27" i="139"/>
  <c r="O21" i="141"/>
  <c r="O33" i="140"/>
  <c r="N25" i="140"/>
  <c r="L25" i="140"/>
  <c r="M25" i="140"/>
  <c r="N15" i="140"/>
  <c r="L15" i="140"/>
  <c r="M15" i="140"/>
  <c r="O24" i="141"/>
  <c r="O18" i="139"/>
  <c r="N20" i="141"/>
  <c r="M20" i="141"/>
  <c r="L20" i="141"/>
  <c r="L20" i="139"/>
  <c r="M20" i="139"/>
  <c r="N20" i="139"/>
  <c r="O12" i="141"/>
  <c r="M15" i="141"/>
  <c r="L15" i="141"/>
  <c r="N15" i="141"/>
  <c r="L11" i="141"/>
  <c r="N11" i="141"/>
  <c r="M11" i="141"/>
  <c r="L28" i="141"/>
  <c r="M28" i="141"/>
  <c r="N28" i="141"/>
  <c r="O12" i="139"/>
  <c r="N25" i="139"/>
  <c r="L25" i="139"/>
  <c r="M25" i="139"/>
  <c r="O28" i="140"/>
  <c r="L21" i="140"/>
  <c r="M21" i="140"/>
  <c r="N21" i="140"/>
  <c r="N27" i="140"/>
  <c r="M27" i="140"/>
  <c r="L27" i="140"/>
  <c r="M29" i="140"/>
  <c r="L29" i="140"/>
  <c r="N29" i="140"/>
  <c r="O16" i="140"/>
  <c r="O25" i="140"/>
  <c r="O21" i="140"/>
  <c r="O9" i="140"/>
  <c r="O13" i="140"/>
  <c r="L25" i="141"/>
  <c r="N25" i="141"/>
  <c r="M25" i="141"/>
  <c r="O33" i="141"/>
  <c r="L31" i="140"/>
  <c r="N31" i="140"/>
  <c r="M31" i="140"/>
  <c r="O12" i="140"/>
  <c r="N14" i="141"/>
  <c r="M14" i="141"/>
  <c r="L14" i="141"/>
  <c r="AB40" i="141"/>
  <c r="O18" i="140"/>
  <c r="N16" i="140"/>
  <c r="M16" i="140"/>
  <c r="L16" i="140"/>
  <c r="O30" i="140"/>
  <c r="L21" i="141"/>
  <c r="M21" i="141"/>
  <c r="N21" i="141"/>
  <c r="O20" i="141"/>
  <c r="L7" i="141"/>
  <c r="N7" i="141"/>
  <c r="M7" i="141"/>
  <c r="J40" i="141"/>
  <c r="M36" i="140"/>
  <c r="L36" i="140"/>
  <c r="N36" i="140"/>
  <c r="L11" i="140"/>
  <c r="M11" i="140"/>
  <c r="N11" i="140"/>
  <c r="N33" i="140"/>
  <c r="M33" i="140"/>
  <c r="L33" i="140"/>
  <c r="O31" i="140"/>
  <c r="N33" i="141"/>
  <c r="M33" i="141"/>
  <c r="L33" i="141"/>
  <c r="N24" i="141"/>
  <c r="M24" i="141"/>
  <c r="L24" i="141"/>
  <c r="L19" i="140"/>
  <c r="M19" i="140"/>
  <c r="N19" i="140"/>
  <c r="M26" i="140"/>
  <c r="L26" i="140"/>
  <c r="N26" i="140"/>
  <c r="AA40" i="140"/>
  <c r="M22" i="140"/>
  <c r="L22" i="140"/>
  <c r="N22" i="140"/>
  <c r="O22" i="141"/>
  <c r="O25" i="141"/>
  <c r="N19" i="141"/>
  <c r="M19" i="141"/>
  <c r="L19" i="141"/>
  <c r="O29" i="141"/>
  <c r="O10" i="141"/>
  <c r="N27" i="141"/>
  <c r="L27" i="141"/>
  <c r="M27" i="141"/>
  <c r="O7" i="141"/>
  <c r="M12" i="141"/>
  <c r="L12" i="141"/>
  <c r="N12" i="141"/>
  <c r="O23" i="141"/>
  <c r="M13" i="140"/>
  <c r="L13" i="140"/>
  <c r="N13" i="140"/>
  <c r="L24" i="140"/>
  <c r="N24" i="140"/>
  <c r="M24" i="140"/>
  <c r="O29" i="140"/>
  <c r="J35" i="140"/>
  <c r="J40" i="140" s="1"/>
  <c r="M10" i="140"/>
  <c r="N10" i="140"/>
  <c r="L10" i="140"/>
  <c r="L32" i="140"/>
  <c r="N32" i="140"/>
  <c r="M32" i="140"/>
  <c r="O19" i="140"/>
  <c r="O7" i="140"/>
  <c r="O22" i="140"/>
  <c r="O20" i="140"/>
  <c r="L26" i="141"/>
  <c r="N26" i="141"/>
  <c r="M26" i="141"/>
  <c r="O18" i="141"/>
  <c r="O8" i="141"/>
  <c r="O10" i="140"/>
  <c r="O34" i="140"/>
  <c r="O26" i="140"/>
  <c r="AB40" i="140"/>
  <c r="N14" i="140"/>
  <c r="M14" i="140"/>
  <c r="L14" i="140"/>
  <c r="L17" i="140"/>
  <c r="M17" i="140"/>
  <c r="N17" i="140"/>
  <c r="L30" i="141"/>
  <c r="N30" i="141"/>
  <c r="M30" i="141"/>
  <c r="O27" i="139"/>
  <c r="O19" i="141"/>
  <c r="N29" i="141"/>
  <c r="L29" i="141"/>
  <c r="M29" i="141"/>
  <c r="M32" i="139"/>
  <c r="L32" i="139"/>
  <c r="N32" i="139"/>
  <c r="O27" i="141"/>
  <c r="O15" i="141"/>
  <c r="O11" i="141"/>
  <c r="O28" i="141"/>
  <c r="O36" i="140"/>
  <c r="O15" i="140"/>
  <c r="O32" i="140"/>
  <c r="N34" i="140"/>
  <c r="M34" i="140"/>
  <c r="L34" i="140"/>
  <c r="N7" i="140"/>
  <c r="M7" i="140"/>
  <c r="L7" i="140"/>
  <c r="O14" i="140"/>
  <c r="O17" i="140"/>
  <c r="O14" i="141"/>
  <c r="O26" i="141"/>
  <c r="L22" i="141"/>
  <c r="N22" i="141"/>
  <c r="M22" i="141"/>
  <c r="O30" i="141"/>
  <c r="N8" i="141"/>
  <c r="M8" i="141"/>
  <c r="L8" i="141"/>
  <c r="M18" i="139"/>
  <c r="L18" i="139"/>
  <c r="N18" i="139"/>
  <c r="O32" i="139"/>
  <c r="L10" i="141"/>
  <c r="N10" i="141"/>
  <c r="M10" i="141"/>
  <c r="AA40" i="141"/>
  <c r="O20" i="139"/>
  <c r="M23" i="141"/>
  <c r="N23" i="141"/>
  <c r="L23" i="141"/>
  <c r="L12" i="139"/>
  <c r="N12" i="139"/>
  <c r="M12" i="139"/>
  <c r="O25" i="139"/>
  <c r="N9" i="140"/>
  <c r="M9" i="140"/>
  <c r="L9" i="140"/>
  <c r="M8" i="140"/>
  <c r="N8" i="140"/>
  <c r="L8" i="140"/>
  <c r="O27" i="140"/>
  <c r="O24" i="140"/>
  <c r="O8" i="140"/>
  <c r="N28" i="140"/>
  <c r="M28" i="140"/>
  <c r="L28" i="140"/>
  <c r="M23" i="140"/>
  <c r="L23" i="140"/>
  <c r="N23" i="140"/>
  <c r="O23" i="140"/>
  <c r="O11" i="140"/>
  <c r="N18" i="141"/>
  <c r="M18" i="141"/>
  <c r="L18" i="141"/>
  <c r="J11" i="138"/>
  <c r="AA11" i="138"/>
  <c r="K25" i="140" l="1"/>
  <c r="K15" i="140"/>
  <c r="K9" i="140"/>
  <c r="K10" i="141"/>
  <c r="K17" i="140"/>
  <c r="K10" i="140"/>
  <c r="K30" i="141"/>
  <c r="K14" i="140"/>
  <c r="K14" i="141"/>
  <c r="K19" i="140"/>
  <c r="K36" i="140"/>
  <c r="K21" i="140"/>
  <c r="K30" i="140"/>
  <c r="K26" i="141"/>
  <c r="K33" i="141"/>
  <c r="K25" i="141"/>
  <c r="K29" i="140"/>
  <c r="K29" i="141"/>
  <c r="K11" i="140"/>
  <c r="K20" i="141"/>
  <c r="K8" i="141"/>
  <c r="K32" i="140"/>
  <c r="K26" i="140"/>
  <c r="K33" i="140"/>
  <c r="K18" i="140"/>
  <c r="K8" i="140"/>
  <c r="K18" i="141"/>
  <c r="K28" i="140"/>
  <c r="K32" i="139"/>
  <c r="K7" i="141"/>
  <c r="K25" i="139"/>
  <c r="K20" i="139"/>
  <c r="K27" i="139"/>
  <c r="K20" i="140"/>
  <c r="K12" i="140"/>
  <c r="K15" i="141"/>
  <c r="K34" i="140"/>
  <c r="K13" i="140"/>
  <c r="K27" i="141"/>
  <c r="K19" i="141"/>
  <c r="K21" i="141"/>
  <c r="K23" i="140"/>
  <c r="K23" i="141"/>
  <c r="K12" i="141"/>
  <c r="K31" i="140"/>
  <c r="K27" i="140"/>
  <c r="K11" i="141"/>
  <c r="K12" i="139"/>
  <c r="K18" i="139"/>
  <c r="K22" i="141"/>
  <c r="K24" i="140"/>
  <c r="K22" i="140"/>
  <c r="K24" i="141"/>
  <c r="K16" i="140"/>
  <c r="K28" i="141"/>
  <c r="L40" i="141"/>
  <c r="N40" i="140"/>
  <c r="O40" i="141"/>
  <c r="M40" i="140"/>
  <c r="K7" i="140"/>
  <c r="M40" i="141"/>
  <c r="O11" i="138"/>
  <c r="L11" i="138"/>
  <c r="M11" i="138"/>
  <c r="N11" i="138"/>
  <c r="L40" i="140"/>
  <c r="O40" i="140"/>
  <c r="N40" i="141"/>
  <c r="J35" i="138"/>
  <c r="J25" i="138"/>
  <c r="J29" i="138"/>
  <c r="AB33" i="138"/>
  <c r="J32" i="138"/>
  <c r="AB27" i="138"/>
  <c r="J36" i="138"/>
  <c r="J26" i="138"/>
  <c r="J14" i="138"/>
  <c r="AB11" i="138"/>
  <c r="AA14" i="138"/>
  <c r="AA27" i="138"/>
  <c r="AB32" i="138"/>
  <c r="AA36" i="138"/>
  <c r="J22" i="138"/>
  <c r="AA24" i="138"/>
  <c r="J27" i="138"/>
  <c r="AA26" i="138"/>
  <c r="AA29" i="138"/>
  <c r="AB14" i="138"/>
  <c r="AB29" i="138"/>
  <c r="AA34" i="138"/>
  <c r="AB31" i="138"/>
  <c r="AB25" i="138"/>
  <c r="AA31" i="138"/>
  <c r="J30" i="138"/>
  <c r="J34" i="138"/>
  <c r="AA25" i="138"/>
  <c r="AB26" i="138"/>
  <c r="AA32" i="138"/>
  <c r="AA22" i="138"/>
  <c r="AB22" i="138"/>
  <c r="J31" i="138"/>
  <c r="AB36" i="138"/>
  <c r="AA30" i="138"/>
  <c r="AB34" i="138"/>
  <c r="J24" i="138"/>
  <c r="AB24" i="138"/>
  <c r="AA33" i="138"/>
  <c r="AB30" i="138"/>
  <c r="AA17" i="138"/>
  <c r="AB17" i="138"/>
  <c r="J17" i="138"/>
  <c r="J15" i="138"/>
  <c r="AB15" i="138"/>
  <c r="AA15" i="138"/>
  <c r="AB20" i="138"/>
  <c r="J20" i="138"/>
  <c r="AA20" i="138"/>
  <c r="AA28" i="138"/>
  <c r="AB28" i="138"/>
  <c r="J28" i="138"/>
  <c r="AB18" i="138"/>
  <c r="J18" i="138"/>
  <c r="AA18" i="138"/>
  <c r="AA35" i="138"/>
  <c r="AB35" i="138"/>
  <c r="AA9" i="138"/>
  <c r="AB9" i="138"/>
  <c r="J9" i="138"/>
  <c r="AA7" i="138"/>
  <c r="AB7" i="138"/>
  <c r="J7" i="138"/>
  <c r="J12" i="138"/>
  <c r="AB12" i="138"/>
  <c r="AA12" i="138"/>
  <c r="J8" i="138"/>
  <c r="AA8" i="138"/>
  <c r="AB8" i="138"/>
  <c r="AA16" i="138"/>
  <c r="J16" i="138"/>
  <c r="AB16" i="138"/>
  <c r="AA10" i="138"/>
  <c r="AB10" i="138"/>
  <c r="J10" i="138"/>
  <c r="AB13" i="138"/>
  <c r="J13" i="138"/>
  <c r="AA13" i="138"/>
  <c r="J33" i="138"/>
  <c r="AA21" i="138"/>
  <c r="J21" i="138"/>
  <c r="AB21" i="138"/>
  <c r="AA19" i="138"/>
  <c r="AB19" i="138"/>
  <c r="J19" i="138"/>
  <c r="J23" i="138"/>
  <c r="AB23" i="138"/>
  <c r="AA23" i="138"/>
  <c r="K40" i="141" l="1"/>
  <c r="K11" i="138"/>
  <c r="K40" i="140"/>
  <c r="M23" i="138"/>
  <c r="N23" i="138"/>
  <c r="L23" i="138"/>
  <c r="N27" i="138"/>
  <c r="M27" i="138"/>
  <c r="L27" i="138"/>
  <c r="N29" i="138"/>
  <c r="L29" i="138"/>
  <c r="M29" i="138"/>
  <c r="L13" i="138"/>
  <c r="N13" i="138"/>
  <c r="M13" i="138"/>
  <c r="L18" i="138"/>
  <c r="M18" i="138"/>
  <c r="N18" i="138"/>
  <c r="M34" i="138"/>
  <c r="L34" i="138"/>
  <c r="N34" i="138"/>
  <c r="O26" i="138"/>
  <c r="O7" i="138"/>
  <c r="O25" i="138"/>
  <c r="O18" i="138"/>
  <c r="O27" i="138"/>
  <c r="O20" i="138"/>
  <c r="O35" i="138"/>
  <c r="O31" i="138"/>
  <c r="M17" i="138"/>
  <c r="L17" i="138"/>
  <c r="N17" i="138"/>
  <c r="M36" i="138"/>
  <c r="L36" i="138"/>
  <c r="N36" i="138"/>
  <c r="N19" i="138"/>
  <c r="L19" i="138"/>
  <c r="M19" i="138"/>
  <c r="AA40" i="138"/>
  <c r="N9" i="138"/>
  <c r="M9" i="138"/>
  <c r="L9" i="138"/>
  <c r="L31" i="138"/>
  <c r="N31" i="138"/>
  <c r="M31" i="138"/>
  <c r="L32" i="138"/>
  <c r="M32" i="138"/>
  <c r="N32" i="138"/>
  <c r="AB40" i="138"/>
  <c r="O14" i="138"/>
  <c r="O36" i="138"/>
  <c r="O12" i="138"/>
  <c r="O15" i="138"/>
  <c r="O32" i="138"/>
  <c r="O9" i="138"/>
  <c r="O13" i="138"/>
  <c r="N35" i="138"/>
  <c r="M35" i="138"/>
  <c r="L35" i="138"/>
  <c r="N21" i="138"/>
  <c r="L21" i="138"/>
  <c r="M21" i="138"/>
  <c r="M12" i="138"/>
  <c r="N12" i="138"/>
  <c r="L12" i="138"/>
  <c r="M24" i="138"/>
  <c r="L24" i="138"/>
  <c r="N24" i="138"/>
  <c r="M30" i="138"/>
  <c r="L30" i="138"/>
  <c r="N30" i="138"/>
  <c r="M22" i="138"/>
  <c r="L22" i="138"/>
  <c r="N22" i="138"/>
  <c r="O30" i="138"/>
  <c r="O33" i="138"/>
  <c r="O10" i="138"/>
  <c r="O21" i="138"/>
  <c r="O34" i="138"/>
  <c r="O19" i="138"/>
  <c r="L14" i="138"/>
  <c r="N14" i="138"/>
  <c r="M14" i="138"/>
  <c r="O29" i="138"/>
  <c r="M33" i="138"/>
  <c r="N33" i="138"/>
  <c r="L33" i="138"/>
  <c r="N10" i="138"/>
  <c r="L10" i="138"/>
  <c r="M10" i="138"/>
  <c r="M16" i="138"/>
  <c r="L16" i="138"/>
  <c r="N16" i="138"/>
  <c r="N8" i="138"/>
  <c r="L8" i="138"/>
  <c r="M8" i="138"/>
  <c r="N7" i="138"/>
  <c r="L7" i="138"/>
  <c r="J40" i="138"/>
  <c r="M7" i="138"/>
  <c r="N28" i="138"/>
  <c r="L28" i="138"/>
  <c r="M28" i="138"/>
  <c r="N20" i="138"/>
  <c r="M20" i="138"/>
  <c r="L20" i="138"/>
  <c r="M15" i="138"/>
  <c r="N15" i="138"/>
  <c r="L15" i="138"/>
  <c r="O22" i="138"/>
  <c r="O24" i="138"/>
  <c r="O17" i="138"/>
  <c r="O23" i="138"/>
  <c r="O16" i="138"/>
  <c r="O8" i="138"/>
  <c r="O28" i="138"/>
  <c r="N26" i="138"/>
  <c r="L26" i="138"/>
  <c r="M26" i="138"/>
  <c r="M25" i="138"/>
  <c r="N25" i="138"/>
  <c r="L25" i="138"/>
  <c r="K30" i="138" l="1"/>
  <c r="K17" i="138"/>
  <c r="K13" i="138"/>
  <c r="K18" i="138"/>
  <c r="K14" i="138"/>
  <c r="K34" i="138"/>
  <c r="K27" i="138"/>
  <c r="K23" i="138"/>
  <c r="K29" i="138"/>
  <c r="K28" i="138"/>
  <c r="K8" i="138"/>
  <c r="K24" i="138"/>
  <c r="K35" i="138"/>
  <c r="K36" i="138"/>
  <c r="K32" i="138"/>
  <c r="K19" i="138"/>
  <c r="K22" i="138"/>
  <c r="K12" i="138"/>
  <c r="K21" i="138"/>
  <c r="K9" i="138"/>
  <c r="K20" i="138"/>
  <c r="K7" i="138"/>
  <c r="K33" i="138"/>
  <c r="K25" i="138"/>
  <c r="K26" i="138"/>
  <c r="K15" i="138"/>
  <c r="K10" i="138"/>
  <c r="K16" i="138"/>
  <c r="K31" i="138"/>
  <c r="O40" i="138"/>
  <c r="N40" i="138"/>
  <c r="M40" i="138"/>
  <c r="L40" i="138"/>
  <c r="K40" i="138" l="1"/>
  <c r="J34" i="137"/>
  <c r="J35" i="137"/>
  <c r="J7" i="137"/>
  <c r="AB15" i="137"/>
  <c r="J15" i="137"/>
  <c r="J31" i="137"/>
  <c r="J30" i="137"/>
  <c r="J12" i="137"/>
  <c r="J29" i="137"/>
  <c r="J27" i="137"/>
  <c r="J17" i="137"/>
  <c r="J20" i="137"/>
  <c r="J16" i="137"/>
  <c r="AA15" i="137"/>
  <c r="AB30" i="137"/>
  <c r="AA12" i="137"/>
  <c r="AB27" i="137"/>
  <c r="AA20" i="137"/>
  <c r="AB29" i="137"/>
  <c r="AA27" i="137"/>
  <c r="AA29" i="137"/>
  <c r="AA16" i="137"/>
  <c r="AB16" i="137"/>
  <c r="AA17" i="137"/>
  <c r="AA22" i="137"/>
  <c r="AB7" i="137"/>
  <c r="J22" i="137"/>
  <c r="AB34" i="137"/>
  <c r="AB12" i="137"/>
  <c r="AA30" i="137"/>
  <c r="AB22" i="137"/>
  <c r="AB20" i="137"/>
  <c r="AB17" i="137"/>
  <c r="AA14" i="137"/>
  <c r="J14" i="137"/>
  <c r="AA7" i="137"/>
  <c r="AB14" i="137"/>
  <c r="AA34" i="137"/>
  <c r="AB31" i="137"/>
  <c r="AB13" i="137"/>
  <c r="AA13" i="137"/>
  <c r="J13" i="137"/>
  <c r="AA31" i="137"/>
  <c r="AA9" i="137"/>
  <c r="AB9" i="137"/>
  <c r="J9" i="137"/>
  <c r="J33" i="137"/>
  <c r="AA33" i="137"/>
  <c r="AB33" i="137"/>
  <c r="AA23" i="137"/>
  <c r="J23" i="137"/>
  <c r="AB23" i="137"/>
  <c r="AB19" i="137"/>
  <c r="AA19" i="137"/>
  <c r="J19" i="137"/>
  <c r="AA36" i="137"/>
  <c r="J36" i="137"/>
  <c r="AB36" i="137"/>
  <c r="J21" i="137"/>
  <c r="AA21" i="137"/>
  <c r="AB21" i="137"/>
  <c r="J32" i="137"/>
  <c r="AA32" i="137"/>
  <c r="AB32" i="137"/>
  <c r="AB35" i="137"/>
  <c r="AA35" i="137"/>
  <c r="AB18" i="137"/>
  <c r="J18" i="137"/>
  <c r="AA18" i="137"/>
  <c r="AB28" i="137"/>
  <c r="J28" i="137"/>
  <c r="AA28" i="137"/>
  <c r="L14" i="137" l="1"/>
  <c r="N14" i="137"/>
  <c r="M14" i="137"/>
  <c r="M16" i="137"/>
  <c r="L16" i="137"/>
  <c r="N16" i="137"/>
  <c r="N32" i="137"/>
  <c r="M32" i="137"/>
  <c r="L32" i="137"/>
  <c r="O14" i="137"/>
  <c r="L20" i="137"/>
  <c r="N20" i="137"/>
  <c r="M20" i="137"/>
  <c r="L12" i="137"/>
  <c r="N12" i="137"/>
  <c r="M12" i="137"/>
  <c r="O13" i="137"/>
  <c r="O20" i="137"/>
  <c r="O18" i="137"/>
  <c r="O21" i="137"/>
  <c r="L35" i="137"/>
  <c r="M35" i="137"/>
  <c r="N35" i="137"/>
  <c r="L33" i="137"/>
  <c r="M33" i="137"/>
  <c r="N33" i="137"/>
  <c r="O35" i="137"/>
  <c r="M34" i="137"/>
  <c r="N34" i="137"/>
  <c r="L34" i="137"/>
  <c r="N21" i="137"/>
  <c r="M21" i="137"/>
  <c r="L21" i="137"/>
  <c r="M19" i="137"/>
  <c r="N19" i="137"/>
  <c r="L19" i="137"/>
  <c r="L23" i="137"/>
  <c r="N23" i="137"/>
  <c r="M23" i="137"/>
  <c r="L22" i="137"/>
  <c r="N22" i="137"/>
  <c r="M22" i="137"/>
  <c r="O22" i="137"/>
  <c r="M29" i="137"/>
  <c r="N29" i="137"/>
  <c r="L29" i="137"/>
  <c r="M15" i="137"/>
  <c r="N15" i="137"/>
  <c r="L15" i="137"/>
  <c r="O33" i="137"/>
  <c r="O23" i="137"/>
  <c r="O15" i="137"/>
  <c r="O32" i="137"/>
  <c r="O12" i="137"/>
  <c r="L28" i="137"/>
  <c r="N28" i="137"/>
  <c r="M28" i="137"/>
  <c r="L9" i="137"/>
  <c r="N9" i="137"/>
  <c r="M9" i="137"/>
  <c r="M13" i="137"/>
  <c r="L13" i="137"/>
  <c r="N13" i="137"/>
  <c r="M36" i="137"/>
  <c r="L36" i="137"/>
  <c r="N36" i="137"/>
  <c r="O34" i="137"/>
  <c r="M17" i="137"/>
  <c r="N17" i="137"/>
  <c r="L17" i="137"/>
  <c r="M30" i="137"/>
  <c r="N30" i="137"/>
  <c r="L30" i="137"/>
  <c r="O7" i="137"/>
  <c r="O31" i="137"/>
  <c r="O19" i="137"/>
  <c r="O29" i="137"/>
  <c r="O28" i="137"/>
  <c r="N18" i="137"/>
  <c r="M18" i="137"/>
  <c r="L18" i="137"/>
  <c r="O16" i="137"/>
  <c r="O9" i="137"/>
  <c r="N27" i="137"/>
  <c r="L27" i="137"/>
  <c r="M27" i="137"/>
  <c r="N31" i="137"/>
  <c r="L31" i="137"/>
  <c r="M31" i="137"/>
  <c r="L7" i="137"/>
  <c r="N7" i="137"/>
  <c r="M7" i="137"/>
  <c r="O17" i="137"/>
  <c r="O36" i="137"/>
  <c r="O27" i="137"/>
  <c r="O30" i="137"/>
  <c r="K16" i="137" l="1"/>
  <c r="K30" i="137"/>
  <c r="K28" i="137"/>
  <c r="K15" i="137"/>
  <c r="K14" i="137"/>
  <c r="K17" i="137"/>
  <c r="K34" i="137"/>
  <c r="K12" i="137"/>
  <c r="K32" i="137"/>
  <c r="K27" i="137"/>
  <c r="K18" i="137"/>
  <c r="K36" i="137"/>
  <c r="K23" i="137"/>
  <c r="K21" i="137"/>
  <c r="K35" i="137"/>
  <c r="K31" i="137"/>
  <c r="K29" i="137"/>
  <c r="K22" i="137"/>
  <c r="K19" i="137"/>
  <c r="K33" i="137"/>
  <c r="K20" i="137"/>
  <c r="K13" i="137"/>
  <c r="K9" i="137"/>
  <c r="K7" i="137"/>
  <c r="AA34" i="133" l="1"/>
  <c r="J34" i="133"/>
  <c r="J7" i="133"/>
  <c r="AB34" i="133"/>
  <c r="AB7" i="133"/>
  <c r="AA7" i="133"/>
  <c r="N7" i="133" l="1"/>
  <c r="L7" i="133"/>
  <c r="M7" i="133"/>
  <c r="O7" i="133"/>
  <c r="O34" i="133"/>
  <c r="L34" i="133"/>
  <c r="M34" i="133"/>
  <c r="N34" i="133"/>
  <c r="K34" i="133" l="1"/>
  <c r="F34" i="133"/>
  <c r="K7" i="133"/>
  <c r="F7" i="133" l="1"/>
  <c r="AA29" i="133"/>
  <c r="AB29" i="133"/>
  <c r="AA27" i="133"/>
  <c r="AB27" i="133"/>
  <c r="AB33" i="133"/>
  <c r="AA33" i="133"/>
  <c r="J33" i="133"/>
  <c r="M33" i="133" l="1"/>
  <c r="L33" i="133"/>
  <c r="N33" i="133"/>
  <c r="O33" i="133"/>
  <c r="J27" i="133"/>
  <c r="J29" i="133"/>
  <c r="K33" i="133" l="1"/>
  <c r="F33" i="133"/>
  <c r="N27" i="133"/>
  <c r="L27" i="133"/>
  <c r="M27" i="133"/>
  <c r="M29" i="133"/>
  <c r="L29" i="133"/>
  <c r="N29" i="133"/>
  <c r="K27" i="133" l="1"/>
  <c r="F27" i="133" s="1"/>
  <c r="K29" i="133"/>
  <c r="J24" i="133"/>
  <c r="J28" i="133"/>
  <c r="O28" i="133" l="1"/>
  <c r="F29" i="133"/>
  <c r="O24" i="133"/>
  <c r="M24" i="133"/>
  <c r="N24" i="133"/>
  <c r="L24" i="133"/>
  <c r="M28" i="133"/>
  <c r="L28" i="133"/>
  <c r="N28" i="133"/>
  <c r="J14" i="133"/>
  <c r="J13" i="133"/>
  <c r="J17" i="133"/>
  <c r="J16" i="133"/>
  <c r="J15" i="133"/>
  <c r="J21" i="133"/>
  <c r="J23" i="133"/>
  <c r="J32" i="133"/>
  <c r="J35" i="133"/>
  <c r="J8" i="133"/>
  <c r="J31" i="133"/>
  <c r="J10" i="133"/>
  <c r="J22" i="133"/>
  <c r="J25" i="133"/>
  <c r="J11" i="133"/>
  <c r="J12" i="133"/>
  <c r="J26" i="133"/>
  <c r="J30" i="133"/>
  <c r="J19" i="133"/>
  <c r="J20" i="133"/>
  <c r="J9" i="133"/>
  <c r="J36" i="133"/>
  <c r="AA8" i="133"/>
  <c r="AB36" i="133"/>
  <c r="AA35" i="133"/>
  <c r="AB28" i="133"/>
  <c r="AB12" i="133"/>
  <c r="AA16" i="133"/>
  <c r="AA36" i="133"/>
  <c r="AB24" i="133"/>
  <c r="AB35" i="133"/>
  <c r="AA28" i="133"/>
  <c r="AB8" i="133"/>
  <c r="AA17" i="133"/>
  <c r="AB16" i="133"/>
  <c r="AB17" i="133"/>
  <c r="AA12" i="133"/>
  <c r="AB9" i="133"/>
  <c r="AA24" i="133"/>
  <c r="AA9" i="133"/>
  <c r="AB32" i="133"/>
  <c r="AA32" i="133"/>
  <c r="AA22" i="133"/>
  <c r="AB22" i="133"/>
  <c r="AA25" i="133"/>
  <c r="AB25" i="133"/>
  <c r="AA15" i="133"/>
  <c r="AB15" i="133"/>
  <c r="AB26" i="133"/>
  <c r="AA26" i="133"/>
  <c r="AB14" i="133"/>
  <c r="AA14" i="133"/>
  <c r="AB19" i="133"/>
  <c r="AA19" i="133"/>
  <c r="AA10" i="133"/>
  <c r="AB10" i="133"/>
  <c r="AB23" i="133"/>
  <c r="AA23" i="133"/>
  <c r="AA21" i="133"/>
  <c r="AB21" i="133"/>
  <c r="AB31" i="133"/>
  <c r="AA31" i="133"/>
  <c r="AA30" i="133"/>
  <c r="AB30" i="133"/>
  <c r="AA13" i="133"/>
  <c r="AB13" i="133"/>
  <c r="AA20" i="133"/>
  <c r="AB20" i="133"/>
  <c r="AA11" i="133"/>
  <c r="AB11" i="133"/>
  <c r="K24" i="133" l="1"/>
  <c r="F24" i="133" s="1"/>
  <c r="M25" i="133"/>
  <c r="L25" i="133"/>
  <c r="N25" i="133"/>
  <c r="L21" i="133"/>
  <c r="M21" i="133"/>
  <c r="N21" i="133"/>
  <c r="O9" i="133"/>
  <c r="O19" i="133"/>
  <c r="O26" i="133"/>
  <c r="O11" i="133"/>
  <c r="O22" i="133"/>
  <c r="O31" i="133"/>
  <c r="O35" i="133"/>
  <c r="O23" i="133"/>
  <c r="O15" i="133"/>
  <c r="O17" i="133"/>
  <c r="O14" i="133"/>
  <c r="K28" i="133"/>
  <c r="N20" i="133"/>
  <c r="M20" i="133"/>
  <c r="L20" i="133"/>
  <c r="M12" i="133"/>
  <c r="L12" i="133"/>
  <c r="N12" i="133"/>
  <c r="M8" i="133"/>
  <c r="L8" i="133"/>
  <c r="N8" i="133"/>
  <c r="M16" i="133"/>
  <c r="L16" i="133"/>
  <c r="N16" i="133"/>
  <c r="N19" i="133"/>
  <c r="L19" i="133"/>
  <c r="M19" i="133"/>
  <c r="N35" i="133"/>
  <c r="L35" i="133"/>
  <c r="M35" i="133"/>
  <c r="L17" i="133"/>
  <c r="N17" i="133"/>
  <c r="M17" i="133"/>
  <c r="L36" i="133"/>
  <c r="N36" i="133"/>
  <c r="M36" i="133"/>
  <c r="N30" i="133"/>
  <c r="L30" i="133"/>
  <c r="M30" i="133"/>
  <c r="L10" i="133"/>
  <c r="N10" i="133"/>
  <c r="M10" i="133"/>
  <c r="M32" i="133"/>
  <c r="L32" i="133"/>
  <c r="N32" i="133"/>
  <c r="M13" i="133"/>
  <c r="N13" i="133"/>
  <c r="L13" i="133"/>
  <c r="L9" i="133"/>
  <c r="M9" i="133"/>
  <c r="N9" i="133"/>
  <c r="M26" i="133"/>
  <c r="L26" i="133"/>
  <c r="N26" i="133"/>
  <c r="M11" i="133"/>
  <c r="L11" i="133"/>
  <c r="N11" i="133"/>
  <c r="N22" i="133"/>
  <c r="L22" i="133"/>
  <c r="M22" i="133"/>
  <c r="L31" i="133"/>
  <c r="M31" i="133"/>
  <c r="N31" i="133"/>
  <c r="N23" i="133"/>
  <c r="L23" i="133"/>
  <c r="M23" i="133"/>
  <c r="L15" i="133"/>
  <c r="M15" i="133"/>
  <c r="N15" i="133"/>
  <c r="N14" i="133"/>
  <c r="L14" i="133"/>
  <c r="M14" i="133"/>
  <c r="O36" i="133"/>
  <c r="O20" i="133"/>
  <c r="O30" i="133"/>
  <c r="O12" i="133"/>
  <c r="O25" i="133"/>
  <c r="O10" i="133"/>
  <c r="O8" i="133"/>
  <c r="O32" i="133"/>
  <c r="O21" i="133"/>
  <c r="O16" i="133"/>
  <c r="O13" i="133"/>
  <c r="K14" i="133" l="1"/>
  <c r="F14" i="133" s="1"/>
  <c r="K20" i="133"/>
  <c r="F20" i="133" s="1"/>
  <c r="K23" i="133"/>
  <c r="F23" i="133" s="1"/>
  <c r="K35" i="133"/>
  <c r="F35" i="133" s="1"/>
  <c r="K22" i="133"/>
  <c r="F22" i="133" s="1"/>
  <c r="K13" i="133"/>
  <c r="F13" i="133" s="1"/>
  <c r="K36" i="133"/>
  <c r="F36" i="133" s="1"/>
  <c r="K16" i="133"/>
  <c r="F16" i="133" s="1"/>
  <c r="K19" i="133"/>
  <c r="F19" i="133" s="1"/>
  <c r="K8" i="133"/>
  <c r="F8" i="133" s="1"/>
  <c r="K11" i="133"/>
  <c r="F11" i="133" s="1"/>
  <c r="K15" i="133"/>
  <c r="K32" i="133"/>
  <c r="K21" i="133"/>
  <c r="K26" i="133"/>
  <c r="K10" i="133"/>
  <c r="F28" i="133"/>
  <c r="K25" i="133"/>
  <c r="K31" i="133"/>
  <c r="K9" i="133"/>
  <c r="K30" i="133"/>
  <c r="K17" i="133"/>
  <c r="K12" i="133"/>
  <c r="F17" i="133" l="1"/>
  <c r="F10" i="133"/>
  <c r="F26" i="133"/>
  <c r="F21" i="133"/>
  <c r="F32" i="133"/>
  <c r="F12" i="133"/>
  <c r="F30" i="133"/>
  <c r="F9" i="133"/>
  <c r="F31" i="133"/>
  <c r="F25" i="133"/>
  <c r="F15" i="133"/>
  <c r="AB24" i="137" l="1"/>
  <c r="J24" i="137"/>
  <c r="AA24" i="137"/>
  <c r="AA10" i="137"/>
  <c r="AB10" i="137"/>
  <c r="J10" i="137"/>
  <c r="J8" i="137"/>
  <c r="AA8" i="137"/>
  <c r="AB8" i="137"/>
  <c r="J11" i="137"/>
  <c r="AA11" i="137"/>
  <c r="AB11" i="137"/>
  <c r="M11" i="137" l="1"/>
  <c r="L11" i="137"/>
  <c r="N11" i="137"/>
  <c r="O8" i="137"/>
  <c r="O24" i="137"/>
  <c r="N10" i="137"/>
  <c r="M10" i="137"/>
  <c r="L10" i="137"/>
  <c r="O11" i="137"/>
  <c r="N8" i="137"/>
  <c r="M8" i="137"/>
  <c r="L8" i="137"/>
  <c r="O10" i="137"/>
  <c r="L24" i="137"/>
  <c r="M24" i="137"/>
  <c r="N24" i="137"/>
  <c r="AB25" i="137"/>
  <c r="J25" i="137"/>
  <c r="AA25" i="137"/>
  <c r="J26" i="137"/>
  <c r="AA26" i="137"/>
  <c r="AB26" i="137"/>
  <c r="K11" i="137" l="1"/>
  <c r="J40" i="137"/>
  <c r="AA40" i="137"/>
  <c r="O26" i="137"/>
  <c r="AB40" i="137"/>
  <c r="K24" i="137"/>
  <c r="K8" i="137"/>
  <c r="K10" i="137"/>
  <c r="O25" i="137"/>
  <c r="M26" i="137"/>
  <c r="L26" i="137"/>
  <c r="N26" i="137"/>
  <c r="N25" i="137"/>
  <c r="L25" i="137"/>
  <c r="M25" i="137"/>
  <c r="O40" i="137" l="1"/>
  <c r="K25" i="137"/>
  <c r="L40" i="137"/>
  <c r="N40" i="137"/>
  <c r="K26" i="137"/>
  <c r="M40" i="137"/>
  <c r="K40" i="137" l="1"/>
  <c r="J18" i="133"/>
  <c r="AB18" i="133"/>
  <c r="AA18" i="133"/>
  <c r="O18" i="133" l="1"/>
  <c r="O40" i="133" s="1"/>
  <c r="AB40" i="133"/>
  <c r="AA40" i="133"/>
  <c r="M18" i="133"/>
  <c r="N18" i="133"/>
  <c r="L18" i="133"/>
  <c r="J40" i="133"/>
  <c r="K18" i="133" l="1"/>
  <c r="K40" i="133" s="1"/>
  <c r="M40" i="133"/>
  <c r="N40" i="133"/>
  <c r="L40" i="133"/>
  <c r="F18" i="133" l="1"/>
  <c r="F40" i="133" s="1"/>
  <c r="G35" i="133" l="1"/>
  <c r="G10" i="133"/>
  <c r="G30" i="133"/>
  <c r="G15" i="133"/>
  <c r="G36" i="133"/>
  <c r="G11" i="133"/>
  <c r="G32" i="133"/>
  <c r="G7" i="133"/>
  <c r="G26" i="133"/>
  <c r="G6" i="133"/>
  <c r="G23" i="133"/>
  <c r="G19" i="133"/>
  <c r="G9" i="133"/>
  <c r="G21" i="133"/>
  <c r="G13" i="133"/>
  <c r="G20" i="133"/>
  <c r="G34" i="133"/>
  <c r="G16" i="133"/>
  <c r="G14" i="133"/>
  <c r="G8" i="133"/>
  <c r="G37" i="133"/>
  <c r="H37" i="133" s="1"/>
  <c r="G29" i="133"/>
  <c r="G24" i="133"/>
  <c r="G12" i="133"/>
  <c r="G22" i="133"/>
  <c r="G33" i="133"/>
  <c r="G18" i="133"/>
  <c r="G25" i="133"/>
  <c r="G28" i="133"/>
  <c r="G31" i="133"/>
  <c r="G27" i="133"/>
  <c r="G17" i="133"/>
  <c r="H12" i="133" l="1"/>
  <c r="F12" i="137"/>
  <c r="F20" i="137"/>
  <c r="H20" i="133"/>
  <c r="F19" i="137"/>
  <c r="H19" i="133"/>
  <c r="F15" i="137"/>
  <c r="H15" i="133"/>
  <c r="F27" i="137"/>
  <c r="H27" i="133"/>
  <c r="H18" i="133"/>
  <c r="F18" i="137"/>
  <c r="F24" i="137"/>
  <c r="H24" i="133"/>
  <c r="F14" i="137"/>
  <c r="H14" i="133"/>
  <c r="F13" i="137"/>
  <c r="H13" i="133"/>
  <c r="F23" i="137"/>
  <c r="H23" i="133"/>
  <c r="H32" i="133"/>
  <c r="F32" i="137"/>
  <c r="H30" i="133"/>
  <c r="F30" i="137"/>
  <c r="H31" i="133"/>
  <c r="F31" i="137"/>
  <c r="H33" i="133"/>
  <c r="F33" i="137"/>
  <c r="H29" i="133"/>
  <c r="F29" i="137"/>
  <c r="H16" i="133"/>
  <c r="F16" i="137"/>
  <c r="H21" i="133"/>
  <c r="F21" i="137"/>
  <c r="F6" i="137"/>
  <c r="H6" i="133"/>
  <c r="G40" i="133"/>
  <c r="F11" i="137"/>
  <c r="H11" i="133"/>
  <c r="F10" i="137"/>
  <c r="H10" i="133"/>
  <c r="H17" i="133"/>
  <c r="F17" i="137"/>
  <c r="F25" i="137"/>
  <c r="H25" i="133"/>
  <c r="H8" i="133"/>
  <c r="F8" i="137"/>
  <c r="F7" i="137"/>
  <c r="H7" i="133"/>
  <c r="F28" i="137"/>
  <c r="H28" i="133"/>
  <c r="F22" i="137"/>
  <c r="H22" i="133"/>
  <c r="F34" i="137"/>
  <c r="H34" i="133"/>
  <c r="H9" i="133"/>
  <c r="F9" i="137"/>
  <c r="F26" i="137"/>
  <c r="H26" i="133"/>
  <c r="H36" i="133"/>
  <c r="F36" i="137"/>
  <c r="F35" i="137"/>
  <c r="H35" i="133"/>
  <c r="H40" i="133" l="1"/>
  <c r="F28" i="138"/>
  <c r="H28" i="137"/>
  <c r="H17" i="137"/>
  <c r="F17" i="138"/>
  <c r="H16" i="137"/>
  <c r="F16" i="138"/>
  <c r="F18" i="138"/>
  <c r="H18" i="137"/>
  <c r="H36" i="137"/>
  <c r="F36" i="138"/>
  <c r="F9" i="138"/>
  <c r="H9" i="137"/>
  <c r="F11" i="138"/>
  <c r="H11" i="137"/>
  <c r="F6" i="138"/>
  <c r="H6" i="137"/>
  <c r="F40" i="137"/>
  <c r="F6" i="148"/>
  <c r="F23" i="138"/>
  <c r="H23" i="137"/>
  <c r="F14" i="138"/>
  <c r="H14" i="137"/>
  <c r="F15" i="138"/>
  <c r="H15" i="137"/>
  <c r="F20" i="138"/>
  <c r="H20" i="137"/>
  <c r="F26" i="138"/>
  <c r="H26" i="137"/>
  <c r="H30" i="137"/>
  <c r="F30" i="138"/>
  <c r="F22" i="138"/>
  <c r="H22" i="137"/>
  <c r="F21" i="138"/>
  <c r="H21" i="137"/>
  <c r="F29" i="138"/>
  <c r="H29" i="137"/>
  <c r="H31" i="137"/>
  <c r="F31" i="138"/>
  <c r="F32" i="138"/>
  <c r="H32" i="137"/>
  <c r="F12" i="138"/>
  <c r="H12" i="137"/>
  <c r="F35" i="138"/>
  <c r="H35" i="137"/>
  <c r="F34" i="138"/>
  <c r="H34" i="137"/>
  <c r="F8" i="138"/>
  <c r="H8" i="137"/>
  <c r="H33" i="137"/>
  <c r="F33" i="138"/>
  <c r="F7" i="138"/>
  <c r="H7" i="137"/>
  <c r="F25" i="138"/>
  <c r="H25" i="137"/>
  <c r="F10" i="138"/>
  <c r="H10" i="137"/>
  <c r="H13" i="137"/>
  <c r="F13" i="138"/>
  <c r="H24" i="137"/>
  <c r="F24" i="138"/>
  <c r="F27" i="138"/>
  <c r="H27" i="137"/>
  <c r="H19" i="137"/>
  <c r="F19" i="138"/>
  <c r="F33" i="140" l="1"/>
  <c r="H33" i="138"/>
  <c r="H24" i="138"/>
  <c r="F24" i="140"/>
  <c r="H12" i="138"/>
  <c r="F12" i="140"/>
  <c r="H21" i="138"/>
  <c r="F21" i="140"/>
  <c r="F20" i="140"/>
  <c r="H20" i="138"/>
  <c r="H40" i="137"/>
  <c r="H6" i="148"/>
  <c r="F11" i="140"/>
  <c r="H11" i="138"/>
  <c r="H13" i="138"/>
  <c r="F13" i="140"/>
  <c r="H32" i="138"/>
  <c r="F32" i="140"/>
  <c r="H22" i="138"/>
  <c r="F22" i="140"/>
  <c r="H7" i="138"/>
  <c r="F7" i="140"/>
  <c r="F35" i="140"/>
  <c r="H35" i="138"/>
  <c r="H31" i="138"/>
  <c r="F31" i="140"/>
  <c r="F29" i="140"/>
  <c r="H29" i="138"/>
  <c r="F30" i="140"/>
  <c r="H30" i="138"/>
  <c r="H26" i="138"/>
  <c r="F26" i="140"/>
  <c r="H23" i="138"/>
  <c r="F23" i="140"/>
  <c r="H6" i="138"/>
  <c r="F6" i="140"/>
  <c r="F40" i="138"/>
  <c r="F36" i="140"/>
  <c r="H36" i="138"/>
  <c r="H18" i="138"/>
  <c r="F18" i="140"/>
  <c r="F10" i="140"/>
  <c r="H10" i="138"/>
  <c r="H8" i="138"/>
  <c r="F8" i="140"/>
  <c r="F15" i="140"/>
  <c r="H15" i="138"/>
  <c r="H9" i="138"/>
  <c r="F9" i="140"/>
  <c r="F16" i="140"/>
  <c r="H16" i="138"/>
  <c r="H19" i="138"/>
  <c r="F19" i="140"/>
  <c r="F27" i="140"/>
  <c r="H27" i="138"/>
  <c r="F25" i="140"/>
  <c r="H25" i="138"/>
  <c r="F34" i="140"/>
  <c r="H34" i="138"/>
  <c r="F14" i="140"/>
  <c r="H14" i="138"/>
  <c r="F17" i="140"/>
  <c r="H17" i="138"/>
  <c r="H28" i="138"/>
  <c r="F28" i="140"/>
  <c r="F28" i="141" l="1"/>
  <c r="H28" i="141" s="1"/>
  <c r="H28" i="140"/>
  <c r="H27" i="140"/>
  <c r="F27" i="141"/>
  <c r="H16" i="140"/>
  <c r="F16" i="141"/>
  <c r="H16" i="141" s="1"/>
  <c r="F15" i="141"/>
  <c r="H15" i="141" s="1"/>
  <c r="H15" i="140"/>
  <c r="H36" i="140"/>
  <c r="F36" i="141"/>
  <c r="H36" i="141" s="1"/>
  <c r="F23" i="141"/>
  <c r="H23" i="140"/>
  <c r="H29" i="140"/>
  <c r="F29" i="141"/>
  <c r="H29" i="141" s="1"/>
  <c r="F35" i="141"/>
  <c r="H35" i="141" s="1"/>
  <c r="H35" i="140"/>
  <c r="F22" i="141"/>
  <c r="H22" i="141" s="1"/>
  <c r="H22" i="140"/>
  <c r="H13" i="140"/>
  <c r="F13" i="141"/>
  <c r="H13" i="141" s="1"/>
  <c r="F21" i="141"/>
  <c r="H21" i="141" s="1"/>
  <c r="H21" i="140"/>
  <c r="F14" i="141"/>
  <c r="H14" i="141" s="1"/>
  <c r="H14" i="140"/>
  <c r="H26" i="140"/>
  <c r="F26" i="141"/>
  <c r="H26" i="141" s="1"/>
  <c r="F25" i="141"/>
  <c r="H25" i="140"/>
  <c r="F19" i="141"/>
  <c r="H19" i="141" s="1"/>
  <c r="H19" i="140"/>
  <c r="F9" i="141"/>
  <c r="H9" i="141" s="1"/>
  <c r="H9" i="140"/>
  <c r="H18" i="140"/>
  <c r="F18" i="141"/>
  <c r="F31" i="141"/>
  <c r="H31" i="141" s="1"/>
  <c r="H31" i="140"/>
  <c r="F7" i="141"/>
  <c r="H7" i="141" s="1"/>
  <c r="H7" i="140"/>
  <c r="F11" i="141"/>
  <c r="H11" i="140"/>
  <c r="H8" i="140"/>
  <c r="F8" i="141"/>
  <c r="H8" i="141" s="1"/>
  <c r="H40" i="138"/>
  <c r="F24" i="141"/>
  <c r="H24" i="141" s="1"/>
  <c r="H24" i="140"/>
  <c r="F17" i="141"/>
  <c r="H17" i="141" s="1"/>
  <c r="H17" i="140"/>
  <c r="H34" i="140"/>
  <c r="F34" i="141"/>
  <c r="H34" i="141" s="1"/>
  <c r="F10" i="141"/>
  <c r="H10" i="141" s="1"/>
  <c r="H10" i="140"/>
  <c r="F6" i="141"/>
  <c r="F40" i="140"/>
  <c r="H6" i="140"/>
  <c r="H30" i="140"/>
  <c r="F30" i="141"/>
  <c r="H30" i="141" s="1"/>
  <c r="F32" i="141"/>
  <c r="H32" i="140"/>
  <c r="F20" i="141"/>
  <c r="H20" i="140"/>
  <c r="F12" i="141"/>
  <c r="H12" i="140"/>
  <c r="F33" i="141"/>
  <c r="H33" i="141" s="1"/>
  <c r="H33" i="140"/>
  <c r="F20" i="139" l="1"/>
  <c r="H20" i="139" s="1"/>
  <c r="H20" i="141"/>
  <c r="F11" i="139"/>
  <c r="H11" i="139" s="1"/>
  <c r="H11" i="141"/>
  <c r="F25" i="139"/>
  <c r="H25" i="139" s="1"/>
  <c r="H25" i="141"/>
  <c r="H23" i="141"/>
  <c r="F23" i="139"/>
  <c r="H23" i="139" s="1"/>
  <c r="F40" i="141"/>
  <c r="H6" i="141"/>
  <c r="F6" i="139"/>
  <c r="H40" i="140"/>
  <c r="F18" i="139"/>
  <c r="H18" i="139" s="1"/>
  <c r="H18" i="141"/>
  <c r="F27" i="139"/>
  <c r="H27" i="139" s="1"/>
  <c r="H27" i="141"/>
  <c r="F12" i="139"/>
  <c r="H12" i="139" s="1"/>
  <c r="H12" i="141"/>
  <c r="F32" i="139"/>
  <c r="H32" i="139" s="1"/>
  <c r="H32" i="141"/>
  <c r="J10" i="145"/>
  <c r="AB10" i="145"/>
  <c r="AA10" i="145"/>
  <c r="F6" i="142" l="1"/>
  <c r="H6" i="139"/>
  <c r="O10" i="145"/>
  <c r="H40" i="141"/>
  <c r="M10" i="145"/>
  <c r="L10" i="145"/>
  <c r="N10" i="145"/>
  <c r="J34" i="145"/>
  <c r="AA34" i="145"/>
  <c r="AB34" i="145"/>
  <c r="AA31" i="145"/>
  <c r="AB31" i="145"/>
  <c r="J31" i="145"/>
  <c r="J20" i="144"/>
  <c r="AA20" i="144"/>
  <c r="AB20" i="144"/>
  <c r="J26" i="144"/>
  <c r="AB26" i="144"/>
  <c r="AA26" i="144"/>
  <c r="J32" i="144"/>
  <c r="AB32" i="144"/>
  <c r="AA32" i="144"/>
  <c r="J18" i="145"/>
  <c r="AB18" i="145"/>
  <c r="AA18" i="145"/>
  <c r="AB9" i="144"/>
  <c r="J9" i="144"/>
  <c r="AA9" i="144"/>
  <c r="AA25" i="145"/>
  <c r="J25" i="145"/>
  <c r="AB25" i="145"/>
  <c r="J24" i="145"/>
  <c r="AB24" i="145"/>
  <c r="AA24" i="145"/>
  <c r="AB36" i="144"/>
  <c r="AA36" i="144"/>
  <c r="J36" i="144"/>
  <c r="J20" i="145"/>
  <c r="AA20" i="145"/>
  <c r="AB20" i="145"/>
  <c r="AB34" i="144"/>
  <c r="J34" i="144"/>
  <c r="AA34" i="144"/>
  <c r="AA11" i="144"/>
  <c r="J11" i="144"/>
  <c r="AB11" i="144"/>
  <c r="AB36" i="145"/>
  <c r="J36" i="145"/>
  <c r="AA36" i="145"/>
  <c r="K10" i="145" l="1"/>
  <c r="N20" i="145"/>
  <c r="L20" i="145"/>
  <c r="M20" i="145"/>
  <c r="O36" i="144"/>
  <c r="N24" i="145"/>
  <c r="M24" i="145"/>
  <c r="L24" i="145"/>
  <c r="O9" i="144"/>
  <c r="N18" i="145"/>
  <c r="L18" i="145"/>
  <c r="M18" i="145"/>
  <c r="M32" i="144"/>
  <c r="L32" i="144"/>
  <c r="N32" i="144"/>
  <c r="N26" i="144"/>
  <c r="M26" i="144"/>
  <c r="L26" i="144"/>
  <c r="M20" i="144"/>
  <c r="L20" i="144"/>
  <c r="N20" i="144"/>
  <c r="M34" i="145"/>
  <c r="N34" i="145"/>
  <c r="L34" i="145"/>
  <c r="O11" i="144"/>
  <c r="M36" i="145"/>
  <c r="N36" i="145"/>
  <c r="L36" i="145"/>
  <c r="O34" i="144"/>
  <c r="O20" i="145"/>
  <c r="L25" i="145"/>
  <c r="M25" i="145"/>
  <c r="N25" i="145"/>
  <c r="O32" i="144"/>
  <c r="O20" i="144"/>
  <c r="O31" i="145"/>
  <c r="M36" i="144"/>
  <c r="N36" i="144"/>
  <c r="L36" i="144"/>
  <c r="O26" i="144"/>
  <c r="L31" i="145"/>
  <c r="N31" i="145"/>
  <c r="M31" i="145"/>
  <c r="O36" i="145"/>
  <c r="M11" i="144"/>
  <c r="L11" i="144"/>
  <c r="N11" i="144"/>
  <c r="M34" i="144"/>
  <c r="N34" i="144"/>
  <c r="L34" i="144"/>
  <c r="O24" i="145"/>
  <c r="O25" i="145"/>
  <c r="N9" i="144"/>
  <c r="M9" i="144"/>
  <c r="L9" i="144"/>
  <c r="O18" i="145"/>
  <c r="O34" i="145"/>
  <c r="F6" i="143"/>
  <c r="H6" i="142"/>
  <c r="J19" i="143"/>
  <c r="AB19" i="143"/>
  <c r="AA19" i="143"/>
  <c r="AA20" i="143"/>
  <c r="J20" i="143"/>
  <c r="AB20" i="143"/>
  <c r="J24" i="143"/>
  <c r="AB24" i="143"/>
  <c r="AA24" i="143"/>
  <c r="AA17" i="143"/>
  <c r="J17" i="143"/>
  <c r="AB17" i="143"/>
  <c r="AB26" i="143"/>
  <c r="J26" i="143"/>
  <c r="AA26" i="143"/>
  <c r="K34" i="145" l="1"/>
  <c r="K18" i="145"/>
  <c r="K32" i="144"/>
  <c r="K26" i="144"/>
  <c r="K20" i="144"/>
  <c r="K36" i="145"/>
  <c r="K20" i="145"/>
  <c r="K11" i="144"/>
  <c r="K24" i="145"/>
  <c r="K9" i="144"/>
  <c r="K36" i="144"/>
  <c r="K25" i="145"/>
  <c r="K34" i="144"/>
  <c r="K31" i="145"/>
  <c r="N24" i="143"/>
  <c r="M24" i="143"/>
  <c r="L24" i="143"/>
  <c r="N26" i="143"/>
  <c r="M26" i="143"/>
  <c r="L26" i="143"/>
  <c r="O19" i="143"/>
  <c r="O17" i="143"/>
  <c r="O24" i="143"/>
  <c r="O20" i="143"/>
  <c r="L17" i="143"/>
  <c r="N17" i="143"/>
  <c r="M17" i="143"/>
  <c r="L20" i="143"/>
  <c r="M20" i="143"/>
  <c r="N20" i="143"/>
  <c r="O26" i="143"/>
  <c r="L19" i="143"/>
  <c r="M19" i="143"/>
  <c r="N19" i="143"/>
  <c r="F6" i="144"/>
  <c r="H6" i="143"/>
  <c r="K19" i="143" l="1"/>
  <c r="K20" i="143"/>
  <c r="K26" i="143"/>
  <c r="K24" i="143"/>
  <c r="K17" i="143"/>
  <c r="J24" i="142"/>
  <c r="AA24" i="142"/>
  <c r="AB24" i="142"/>
  <c r="L24" i="142" l="1"/>
  <c r="M24" i="142"/>
  <c r="N24" i="142"/>
  <c r="O24" i="142"/>
  <c r="K24" i="142" l="1"/>
  <c r="AA25" i="143"/>
  <c r="AB25" i="143"/>
  <c r="J25" i="143"/>
  <c r="AB9" i="142"/>
  <c r="J9" i="142"/>
  <c r="AA9" i="142"/>
  <c r="AA9" i="139"/>
  <c r="AB9" i="139"/>
  <c r="J9" i="139"/>
  <c r="J25" i="144"/>
  <c r="AA25" i="144"/>
  <c r="AB25" i="144"/>
  <c r="AA20" i="142"/>
  <c r="AB20" i="142"/>
  <c r="J12" i="145"/>
  <c r="AA12" i="145"/>
  <c r="AB12" i="145"/>
  <c r="J32" i="143"/>
  <c r="AB32" i="143"/>
  <c r="AA32" i="143"/>
  <c r="AA16" i="145"/>
  <c r="AB16" i="145"/>
  <c r="J16" i="145"/>
  <c r="AB23" i="143"/>
  <c r="AA23" i="143"/>
  <c r="J23" i="143"/>
  <c r="J10" i="144"/>
  <c r="AB10" i="144"/>
  <c r="AA10" i="144"/>
  <c r="AB25" i="142"/>
  <c r="AA25" i="142"/>
  <c r="J25" i="142"/>
  <c r="O20" i="142" l="1"/>
  <c r="M23" i="143"/>
  <c r="N23" i="143"/>
  <c r="L23" i="143"/>
  <c r="O16" i="145"/>
  <c r="L25" i="143"/>
  <c r="M25" i="143"/>
  <c r="N25" i="143"/>
  <c r="O25" i="142"/>
  <c r="O10" i="144"/>
  <c r="O12" i="145"/>
  <c r="N9" i="139"/>
  <c r="M9" i="139"/>
  <c r="L9" i="139"/>
  <c r="O9" i="142"/>
  <c r="L25" i="142"/>
  <c r="M25" i="142"/>
  <c r="N25" i="142"/>
  <c r="N16" i="145"/>
  <c r="L16" i="145"/>
  <c r="M16" i="145"/>
  <c r="O23" i="143"/>
  <c r="O32" i="143"/>
  <c r="J20" i="142"/>
  <c r="O25" i="144"/>
  <c r="O9" i="139"/>
  <c r="M9" i="142"/>
  <c r="N9" i="142"/>
  <c r="L9" i="142"/>
  <c r="N10" i="144"/>
  <c r="L10" i="144"/>
  <c r="M10" i="144"/>
  <c r="L32" i="143"/>
  <c r="M32" i="143"/>
  <c r="N32" i="143"/>
  <c r="M12" i="145"/>
  <c r="N12" i="145"/>
  <c r="L12" i="145"/>
  <c r="M25" i="144"/>
  <c r="N25" i="144"/>
  <c r="L25" i="144"/>
  <c r="O25" i="143"/>
  <c r="K25" i="142" l="1"/>
  <c r="K23" i="143"/>
  <c r="K10" i="144"/>
  <c r="K12" i="145"/>
  <c r="K25" i="144"/>
  <c r="K32" i="143"/>
  <c r="K16" i="145"/>
  <c r="K25" i="143"/>
  <c r="K9" i="142"/>
  <c r="L20" i="142"/>
  <c r="N20" i="142"/>
  <c r="M20" i="142"/>
  <c r="F25" i="142"/>
  <c r="K9" i="139"/>
  <c r="F25" i="143" l="1"/>
  <c r="H25" i="142"/>
  <c r="F9" i="139"/>
  <c r="K20" i="142"/>
  <c r="AB33" i="146"/>
  <c r="AA33" i="146"/>
  <c r="J33" i="146"/>
  <c r="AB9" i="146"/>
  <c r="AA9" i="146"/>
  <c r="J9" i="146"/>
  <c r="AA18" i="146"/>
  <c r="AB18" i="146"/>
  <c r="J18" i="146"/>
  <c r="J31" i="146"/>
  <c r="AA31" i="146"/>
  <c r="AB31" i="146"/>
  <c r="AB36" i="146"/>
  <c r="J36" i="146"/>
  <c r="AA36" i="146"/>
  <c r="J25" i="146"/>
  <c r="AA25" i="146"/>
  <c r="AB25" i="146"/>
  <c r="O18" i="146" l="1"/>
  <c r="O9" i="146"/>
  <c r="M25" i="146"/>
  <c r="N25" i="146"/>
  <c r="L25" i="146"/>
  <c r="O36" i="146"/>
  <c r="F25" i="144"/>
  <c r="H25" i="143"/>
  <c r="L36" i="146"/>
  <c r="M36" i="146"/>
  <c r="N36" i="146"/>
  <c r="O31" i="146"/>
  <c r="O25" i="146"/>
  <c r="N31" i="146"/>
  <c r="M31" i="146"/>
  <c r="L31" i="146"/>
  <c r="O33" i="146"/>
  <c r="M18" i="146"/>
  <c r="N18" i="146"/>
  <c r="L18" i="146"/>
  <c r="M9" i="146"/>
  <c r="N9" i="146"/>
  <c r="L9" i="146"/>
  <c r="L33" i="146"/>
  <c r="N33" i="146"/>
  <c r="M33" i="146"/>
  <c r="F20" i="142"/>
  <c r="F9" i="142"/>
  <c r="H9" i="139"/>
  <c r="K9" i="146" l="1"/>
  <c r="K33" i="146"/>
  <c r="K18" i="146"/>
  <c r="K31" i="146"/>
  <c r="K36" i="146"/>
  <c r="H9" i="142"/>
  <c r="F20" i="143"/>
  <c r="H20" i="142"/>
  <c r="K25" i="146"/>
  <c r="F20" i="144" l="1"/>
  <c r="H20" i="143"/>
  <c r="AA24" i="146" l="1"/>
  <c r="AB24" i="146"/>
  <c r="J24" i="146"/>
  <c r="AA34" i="146"/>
  <c r="AB34" i="146"/>
  <c r="J34" i="146"/>
  <c r="N24" i="146" l="1"/>
  <c r="L24" i="146"/>
  <c r="M24" i="146"/>
  <c r="L34" i="146"/>
  <c r="N34" i="146"/>
  <c r="M34" i="146"/>
  <c r="O24" i="146"/>
  <c r="O34" i="146"/>
  <c r="K34" i="146" l="1"/>
  <c r="K24" i="146"/>
  <c r="AB11" i="145"/>
  <c r="J11" i="145"/>
  <c r="AA11" i="145"/>
  <c r="O11" i="145" l="1"/>
  <c r="N11" i="145"/>
  <c r="L11" i="145"/>
  <c r="M11" i="145"/>
  <c r="J8" i="146"/>
  <c r="AA8" i="146"/>
  <c r="AB8" i="146"/>
  <c r="K11" i="145" l="1"/>
  <c r="N8" i="146"/>
  <c r="M8" i="146"/>
  <c r="L8" i="146"/>
  <c r="O8" i="146"/>
  <c r="AA20" i="146"/>
  <c r="AB20" i="146"/>
  <c r="J20" i="146"/>
  <c r="K8" i="146" l="1"/>
  <c r="O20" i="146"/>
  <c r="L20" i="146"/>
  <c r="M20" i="146"/>
  <c r="N20" i="146"/>
  <c r="K20" i="146" l="1"/>
  <c r="AA9" i="143"/>
  <c r="J9" i="143"/>
  <c r="AB9" i="143"/>
  <c r="J24" i="144"/>
  <c r="AA24" i="144"/>
  <c r="AB24" i="144"/>
  <c r="J9" i="145"/>
  <c r="AA9" i="145"/>
  <c r="AB9" i="145"/>
  <c r="AB21" i="143"/>
  <c r="AA21" i="143"/>
  <c r="J21" i="143"/>
  <c r="AB11" i="143"/>
  <c r="J11" i="143"/>
  <c r="AA11" i="143"/>
  <c r="M9" i="145" l="1"/>
  <c r="N9" i="145"/>
  <c r="L9" i="145"/>
  <c r="N24" i="144"/>
  <c r="M24" i="144"/>
  <c r="L24" i="144"/>
  <c r="O9" i="143"/>
  <c r="M11" i="143"/>
  <c r="L11" i="143"/>
  <c r="N11" i="143"/>
  <c r="L9" i="143"/>
  <c r="M9" i="143"/>
  <c r="N9" i="143"/>
  <c r="O11" i="143"/>
  <c r="O21" i="143"/>
  <c r="N21" i="143"/>
  <c r="M21" i="143"/>
  <c r="L21" i="143"/>
  <c r="O9" i="145"/>
  <c r="O24" i="144"/>
  <c r="K9" i="145" l="1"/>
  <c r="K21" i="143"/>
  <c r="K24" i="144"/>
  <c r="K9" i="143"/>
  <c r="F9" i="143" s="1"/>
  <c r="K11" i="143"/>
  <c r="F9" i="144" l="1"/>
  <c r="H9" i="143"/>
  <c r="AA12" i="142"/>
  <c r="AB12" i="142"/>
  <c r="J12" i="142"/>
  <c r="L12" i="142" l="1"/>
  <c r="N12" i="142"/>
  <c r="M12" i="142"/>
  <c r="O12" i="142"/>
  <c r="K12" i="142" l="1"/>
  <c r="F12" i="142" s="1"/>
  <c r="H12" i="142" l="1"/>
  <c r="AB35" i="145"/>
  <c r="AA35" i="145"/>
  <c r="J35" i="145"/>
  <c r="AA21" i="144"/>
  <c r="J21" i="144"/>
  <c r="AB21" i="144"/>
  <c r="AB22" i="142"/>
  <c r="AA22" i="142"/>
  <c r="J22" i="142"/>
  <c r="AA17" i="139"/>
  <c r="AB17" i="139"/>
  <c r="J17" i="139"/>
  <c r="J27" i="147"/>
  <c r="AB27" i="147"/>
  <c r="AA27" i="147"/>
  <c r="AA19" i="147"/>
  <c r="AB19" i="147"/>
  <c r="J19" i="147"/>
  <c r="J14" i="146"/>
  <c r="AB14" i="146"/>
  <c r="AA14" i="146"/>
  <c r="AB15" i="145"/>
  <c r="J15" i="145"/>
  <c r="AA15" i="145"/>
  <c r="J8" i="144"/>
  <c r="AB8" i="144"/>
  <c r="AA8" i="144"/>
  <c r="J14" i="147"/>
  <c r="AA14" i="147"/>
  <c r="AB14" i="147"/>
  <c r="J7" i="146"/>
  <c r="AA7" i="146"/>
  <c r="AB7" i="146"/>
  <c r="AB14" i="145"/>
  <c r="AA14" i="145"/>
  <c r="J14" i="145"/>
  <c r="AB30" i="144"/>
  <c r="J30" i="144"/>
  <c r="AA30" i="144"/>
  <c r="J18" i="143"/>
  <c r="AB18" i="143"/>
  <c r="AA18" i="143"/>
  <c r="AA15" i="142"/>
  <c r="J15" i="142"/>
  <c r="AB15" i="142"/>
  <c r="J15" i="139"/>
  <c r="AA15" i="139"/>
  <c r="AB15" i="139"/>
  <c r="J21" i="139"/>
  <c r="AA21" i="139"/>
  <c r="AB21" i="139"/>
  <c r="AB21" i="147"/>
  <c r="J21" i="147"/>
  <c r="AA21" i="147"/>
  <c r="J35" i="146"/>
  <c r="AA35" i="146"/>
  <c r="AB35" i="146"/>
  <c r="J22" i="146"/>
  <c r="AA22" i="146"/>
  <c r="AB22" i="146"/>
  <c r="J11" i="142"/>
  <c r="AB11" i="142"/>
  <c r="AA11" i="142"/>
  <c r="J26" i="139"/>
  <c r="AA26" i="139"/>
  <c r="AB26" i="139"/>
  <c r="AA8" i="147"/>
  <c r="AB8" i="147"/>
  <c r="J8" i="147"/>
  <c r="AB36" i="142"/>
  <c r="J36" i="142"/>
  <c r="AA36" i="142"/>
  <c r="AB7" i="145"/>
  <c r="J7" i="145"/>
  <c r="AA7" i="145"/>
  <c r="AB30" i="143"/>
  <c r="AA30" i="143"/>
  <c r="J30" i="143"/>
  <c r="AA31" i="139"/>
  <c r="AB31" i="139"/>
  <c r="J31" i="139"/>
  <c r="AA17" i="146"/>
  <c r="AB17" i="146"/>
  <c r="J17" i="146"/>
  <c r="AB27" i="145"/>
  <c r="AA27" i="145"/>
  <c r="J27" i="145"/>
  <c r="J18" i="144"/>
  <c r="AB18" i="144"/>
  <c r="AA18" i="144"/>
  <c r="AB34" i="143"/>
  <c r="AA34" i="143"/>
  <c r="J34" i="143"/>
  <c r="J7" i="143"/>
  <c r="AA7" i="143"/>
  <c r="AB7" i="143"/>
  <c r="AB30" i="142"/>
  <c r="AA30" i="142"/>
  <c r="J30" i="142"/>
  <c r="AB12" i="146"/>
  <c r="J12" i="146"/>
  <c r="AA12" i="146"/>
  <c r="AB29" i="144"/>
  <c r="AA29" i="144"/>
  <c r="J29" i="144"/>
  <c r="J16" i="142"/>
  <c r="AA16" i="142"/>
  <c r="AB16" i="142"/>
  <c r="J21" i="142"/>
  <c r="AA21" i="142"/>
  <c r="AB21" i="142"/>
  <c r="AA36" i="147"/>
  <c r="J36" i="147"/>
  <c r="AB36" i="147"/>
  <c r="J32" i="146"/>
  <c r="AA32" i="146"/>
  <c r="AB32" i="146"/>
  <c r="AB21" i="146"/>
  <c r="J21" i="146"/>
  <c r="AA21" i="146"/>
  <c r="AA29" i="145"/>
  <c r="J29" i="145"/>
  <c r="AB29" i="145"/>
  <c r="AB17" i="145"/>
  <c r="J17" i="145"/>
  <c r="AA17" i="145"/>
  <c r="AA28" i="147"/>
  <c r="AB28" i="147"/>
  <c r="J28" i="147"/>
  <c r="AA16" i="147"/>
  <c r="J16" i="147"/>
  <c r="AB16" i="147"/>
  <c r="J12" i="147"/>
  <c r="AA12" i="147"/>
  <c r="AB12" i="147"/>
  <c r="AA8" i="145"/>
  <c r="AB8" i="145"/>
  <c r="J8" i="145"/>
  <c r="AB33" i="144"/>
  <c r="AA33" i="144"/>
  <c r="J31" i="143"/>
  <c r="AA31" i="143"/>
  <c r="AB31" i="143"/>
  <c r="AB7" i="142"/>
  <c r="J7" i="142"/>
  <c r="AA7" i="142"/>
  <c r="J15" i="147"/>
  <c r="AA15" i="147"/>
  <c r="AB15" i="147"/>
  <c r="AA30" i="146"/>
  <c r="AB30" i="146"/>
  <c r="J30" i="146"/>
  <c r="AA10" i="146"/>
  <c r="J10" i="146"/>
  <c r="AB10" i="146"/>
  <c r="AA33" i="145"/>
  <c r="J33" i="145"/>
  <c r="AB33" i="145"/>
  <c r="AB22" i="145"/>
  <c r="J22" i="145"/>
  <c r="AA22" i="145"/>
  <c r="AB19" i="144"/>
  <c r="J19" i="144"/>
  <c r="AA19" i="144"/>
  <c r="AA8" i="143"/>
  <c r="AB8" i="143"/>
  <c r="J8" i="143"/>
  <c r="AB14" i="142"/>
  <c r="AA14" i="142"/>
  <c r="J14" i="142"/>
  <c r="J18" i="142"/>
  <c r="AA18" i="142"/>
  <c r="AB18" i="142"/>
  <c r="AA29" i="142"/>
  <c r="AB29" i="142"/>
  <c r="J29" i="142"/>
  <c r="J26" i="147"/>
  <c r="AB26" i="147"/>
  <c r="AA26" i="147"/>
  <c r="J32" i="145"/>
  <c r="AA32" i="145"/>
  <c r="AB32" i="145"/>
  <c r="J13" i="143"/>
  <c r="AA13" i="143"/>
  <c r="AB13" i="143"/>
  <c r="J26" i="142"/>
  <c r="AA26" i="142"/>
  <c r="AB26" i="142"/>
  <c r="AA34" i="142"/>
  <c r="AB34" i="142"/>
  <c r="J34" i="142"/>
  <c r="AB28" i="139"/>
  <c r="AA28" i="139"/>
  <c r="J28" i="139"/>
  <c r="AA7" i="139"/>
  <c r="J7" i="139"/>
  <c r="AB7" i="139"/>
  <c r="AB29" i="147"/>
  <c r="AA29" i="147"/>
  <c r="J29" i="147"/>
  <c r="J26" i="145"/>
  <c r="AA26" i="145"/>
  <c r="AB26" i="145"/>
  <c r="J13" i="144"/>
  <c r="AB13" i="144"/>
  <c r="AA13" i="144"/>
  <c r="AB8" i="139"/>
  <c r="J8" i="139"/>
  <c r="AA8" i="139"/>
  <c r="AB16" i="139"/>
  <c r="J16" i="139"/>
  <c r="AA16" i="139"/>
  <c r="J22" i="139"/>
  <c r="AB22" i="139"/>
  <c r="AA22" i="139"/>
  <c r="AA36" i="139"/>
  <c r="J36" i="139"/>
  <c r="AB36" i="139"/>
  <c r="AB32" i="147"/>
  <c r="J32" i="147"/>
  <c r="AA32" i="147"/>
  <c r="AA28" i="144"/>
  <c r="J28" i="144"/>
  <c r="AB28" i="144"/>
  <c r="J16" i="144"/>
  <c r="AA16" i="144"/>
  <c r="AB16" i="144"/>
  <c r="J10" i="143"/>
  <c r="AA10" i="143"/>
  <c r="AB10" i="143"/>
  <c r="AB17" i="142"/>
  <c r="AA17" i="142"/>
  <c r="J17" i="142"/>
  <c r="J35" i="139"/>
  <c r="AA35" i="139"/>
  <c r="AB35" i="139"/>
  <c r="AB35" i="147"/>
  <c r="AA35" i="147"/>
  <c r="J35" i="147"/>
  <c r="J35" i="143"/>
  <c r="AB35" i="143"/>
  <c r="AA35" i="143"/>
  <c r="AA14" i="143"/>
  <c r="AB14" i="143"/>
  <c r="J14" i="143"/>
  <c r="J19" i="139"/>
  <c r="AA19" i="139"/>
  <c r="AB19" i="139"/>
  <c r="AA29" i="146"/>
  <c r="AB29" i="146"/>
  <c r="J29" i="146"/>
  <c r="AB33" i="139"/>
  <c r="J33" i="139"/>
  <c r="AA33" i="139"/>
  <c r="J33" i="147"/>
  <c r="AA33" i="147"/>
  <c r="AB33" i="147"/>
  <c r="AB28" i="146"/>
  <c r="J28" i="146"/>
  <c r="AA28" i="146"/>
  <c r="AA16" i="146"/>
  <c r="J16" i="146"/>
  <c r="AB16" i="146"/>
  <c r="J30" i="145"/>
  <c r="AB30" i="145"/>
  <c r="AA30" i="145"/>
  <c r="AB13" i="145"/>
  <c r="J13" i="145"/>
  <c r="AA13" i="145"/>
  <c r="J15" i="146"/>
  <c r="AB15" i="146"/>
  <c r="AA15" i="146"/>
  <c r="J13" i="142"/>
  <c r="AB13" i="142"/>
  <c r="AA13" i="142"/>
  <c r="AA32" i="142"/>
  <c r="AB31" i="147"/>
  <c r="AA31" i="147"/>
  <c r="J31" i="147"/>
  <c r="J28" i="145"/>
  <c r="AA28" i="145"/>
  <c r="AB28" i="145"/>
  <c r="AA31" i="144"/>
  <c r="AB31" i="144"/>
  <c r="J31" i="144"/>
  <c r="AB33" i="142"/>
  <c r="J33" i="142"/>
  <c r="AA33" i="142"/>
  <c r="J30" i="147"/>
  <c r="AB30" i="147"/>
  <c r="AA30" i="147"/>
  <c r="AA23" i="146"/>
  <c r="AB23" i="146"/>
  <c r="J23" i="146"/>
  <c r="AB13" i="146"/>
  <c r="J13" i="146"/>
  <c r="AA13" i="146"/>
  <c r="J21" i="145"/>
  <c r="AA21" i="145"/>
  <c r="AB21" i="145"/>
  <c r="J7" i="144"/>
  <c r="AB7" i="144"/>
  <c r="AA7" i="144"/>
  <c r="J10" i="139"/>
  <c r="AA10" i="139"/>
  <c r="AB10" i="139"/>
  <c r="AA17" i="147"/>
  <c r="J17" i="147"/>
  <c r="AB17" i="147"/>
  <c r="J13" i="147"/>
  <c r="AA13" i="147"/>
  <c r="AB13" i="147"/>
  <c r="AB16" i="143"/>
  <c r="J16" i="143"/>
  <c r="AA16" i="143"/>
  <c r="AA35" i="142"/>
  <c r="AB35" i="142"/>
  <c r="J35" i="142"/>
  <c r="AB34" i="139"/>
  <c r="AA34" i="139"/>
  <c r="J34" i="139"/>
  <c r="AA24" i="147"/>
  <c r="AB24" i="147"/>
  <c r="J24" i="147"/>
  <c r="J27" i="146"/>
  <c r="AB27" i="146"/>
  <c r="AA27" i="146"/>
  <c r="AA11" i="146"/>
  <c r="AB11" i="146"/>
  <c r="J11" i="146"/>
  <c r="AB23" i="145"/>
  <c r="AA23" i="145"/>
  <c r="J23" i="145"/>
  <c r="J12" i="144"/>
  <c r="AB12" i="144"/>
  <c r="AA12" i="144"/>
  <c r="AB36" i="143"/>
  <c r="AA36" i="143"/>
  <c r="J36" i="143"/>
  <c r="J27" i="143"/>
  <c r="AA27" i="143"/>
  <c r="AB27" i="143"/>
  <c r="J15" i="143"/>
  <c r="AB15" i="143"/>
  <c r="AA15" i="143"/>
  <c r="AB28" i="142"/>
  <c r="AA28" i="142"/>
  <c r="J28" i="142"/>
  <c r="J13" i="139"/>
  <c r="AA13" i="139"/>
  <c r="AB13" i="139"/>
  <c r="AA24" i="139"/>
  <c r="AB24" i="139"/>
  <c r="AB30" i="139"/>
  <c r="AA30" i="139"/>
  <c r="J30" i="139"/>
  <c r="AB23" i="147"/>
  <c r="J23" i="147"/>
  <c r="AA23" i="147"/>
  <c r="J11" i="147"/>
  <c r="AA11" i="147"/>
  <c r="AB11" i="147"/>
  <c r="J7" i="147"/>
  <c r="AA7" i="147"/>
  <c r="AB7" i="147"/>
  <c r="J26" i="146"/>
  <c r="AA26" i="146"/>
  <c r="AB26" i="146"/>
  <c r="AA19" i="146"/>
  <c r="AB19" i="146"/>
  <c r="J19" i="146"/>
  <c r="AB27" i="144"/>
  <c r="AA27" i="144"/>
  <c r="J27" i="144"/>
  <c r="AA15" i="144"/>
  <c r="AB15" i="144"/>
  <c r="J15" i="144"/>
  <c r="AB22" i="143"/>
  <c r="J22" i="143"/>
  <c r="AA22" i="143"/>
  <c r="AA8" i="142"/>
  <c r="J8" i="142"/>
  <c r="AB8" i="142"/>
  <c r="J23" i="142"/>
  <c r="AA23" i="142"/>
  <c r="AB23" i="142"/>
  <c r="J14" i="139"/>
  <c r="AB14" i="139"/>
  <c r="AA14" i="139"/>
  <c r="AB34" i="147"/>
  <c r="J34" i="147"/>
  <c r="AA34" i="147"/>
  <c r="J22" i="147"/>
  <c r="AA22" i="147"/>
  <c r="AB22" i="147"/>
  <c r="AA18" i="147"/>
  <c r="AB18" i="147"/>
  <c r="J18" i="147"/>
  <c r="J10" i="147"/>
  <c r="AA10" i="147"/>
  <c r="AB10" i="147"/>
  <c r="AA23" i="144"/>
  <c r="J23" i="144"/>
  <c r="AB23" i="144"/>
  <c r="J14" i="144"/>
  <c r="AA14" i="144"/>
  <c r="AB14" i="144"/>
  <c r="AA29" i="143"/>
  <c r="J29" i="143"/>
  <c r="AB29" i="143"/>
  <c r="AA10" i="142"/>
  <c r="J10" i="142"/>
  <c r="AB10" i="142"/>
  <c r="AB19" i="142"/>
  <c r="AA19" i="142"/>
  <c r="J19" i="142"/>
  <c r="AA19" i="145"/>
  <c r="J19" i="145"/>
  <c r="AB19" i="145"/>
  <c r="AB35" i="144"/>
  <c r="J35" i="144"/>
  <c r="AA35" i="144"/>
  <c r="J22" i="144"/>
  <c r="AB22" i="144"/>
  <c r="AA22" i="144"/>
  <c r="AA17" i="144"/>
  <c r="J17" i="144"/>
  <c r="AB17" i="144"/>
  <c r="J33" i="143"/>
  <c r="AA33" i="143"/>
  <c r="AB33" i="143"/>
  <c r="AB28" i="143"/>
  <c r="J28" i="143"/>
  <c r="AA28" i="143"/>
  <c r="AA12" i="143"/>
  <c r="AA27" i="142"/>
  <c r="AB27" i="142"/>
  <c r="J27" i="142"/>
  <c r="AB31" i="142"/>
  <c r="AA31" i="142"/>
  <c r="J31" i="142"/>
  <c r="J29" i="139"/>
  <c r="AA29" i="139"/>
  <c r="AB29" i="139"/>
  <c r="L33" i="147" l="1"/>
  <c r="N33" i="147"/>
  <c r="M33" i="147"/>
  <c r="AB13" i="148"/>
  <c r="AB24" i="148"/>
  <c r="AB34" i="148"/>
  <c r="AB8" i="148"/>
  <c r="AB11" i="148"/>
  <c r="AA23" i="148"/>
  <c r="AB18" i="148"/>
  <c r="AA36" i="148"/>
  <c r="AB15" i="148"/>
  <c r="L17" i="144"/>
  <c r="M17" i="144"/>
  <c r="N17" i="144"/>
  <c r="L19" i="142"/>
  <c r="M19" i="142"/>
  <c r="N19" i="142"/>
  <c r="M34" i="147"/>
  <c r="N34" i="147"/>
  <c r="L34" i="147"/>
  <c r="O14" i="139"/>
  <c r="M30" i="139"/>
  <c r="N30" i="139"/>
  <c r="L30" i="139"/>
  <c r="J30" i="148"/>
  <c r="N27" i="143"/>
  <c r="M27" i="143"/>
  <c r="L27" i="143"/>
  <c r="M27" i="146"/>
  <c r="N27" i="146"/>
  <c r="L27" i="146"/>
  <c r="O13" i="142"/>
  <c r="O35" i="147"/>
  <c r="M36" i="139"/>
  <c r="L36" i="139"/>
  <c r="N36" i="139"/>
  <c r="J36" i="148"/>
  <c r="N32" i="145"/>
  <c r="M32" i="145"/>
  <c r="L32" i="145"/>
  <c r="O22" i="145"/>
  <c r="L34" i="143"/>
  <c r="M34" i="143"/>
  <c r="N34" i="143"/>
  <c r="N30" i="143"/>
  <c r="L30" i="143"/>
  <c r="M30" i="143"/>
  <c r="AB21" i="148"/>
  <c r="N18" i="143"/>
  <c r="L18" i="143"/>
  <c r="M18" i="143"/>
  <c r="N7" i="146"/>
  <c r="L7" i="146"/>
  <c r="J40" i="146"/>
  <c r="M7" i="146"/>
  <c r="M19" i="147"/>
  <c r="N19" i="147"/>
  <c r="L19" i="147"/>
  <c r="L17" i="139"/>
  <c r="M17" i="139"/>
  <c r="N17" i="139"/>
  <c r="J17" i="148"/>
  <c r="O27" i="142"/>
  <c r="O28" i="143"/>
  <c r="O33" i="143"/>
  <c r="O17" i="144"/>
  <c r="L29" i="143"/>
  <c r="N29" i="143"/>
  <c r="M29" i="143"/>
  <c r="O19" i="146"/>
  <c r="O27" i="143"/>
  <c r="L17" i="147"/>
  <c r="N17" i="147"/>
  <c r="M17" i="147"/>
  <c r="AA40" i="144"/>
  <c r="O29" i="146"/>
  <c r="N32" i="147"/>
  <c r="M32" i="147"/>
  <c r="L32" i="147"/>
  <c r="O22" i="139"/>
  <c r="O16" i="139"/>
  <c r="AA8" i="148"/>
  <c r="O29" i="147"/>
  <c r="AA40" i="139"/>
  <c r="AA7" i="148"/>
  <c r="AA28" i="148"/>
  <c r="N34" i="142"/>
  <c r="M34" i="142"/>
  <c r="L34" i="142"/>
  <c r="O32" i="145"/>
  <c r="L26" i="147"/>
  <c r="N26" i="147"/>
  <c r="M26" i="147"/>
  <c r="L29" i="142"/>
  <c r="N29" i="142"/>
  <c r="M29" i="142"/>
  <c r="L14" i="142"/>
  <c r="N14" i="142"/>
  <c r="M14" i="142"/>
  <c r="O8" i="143"/>
  <c r="O10" i="146"/>
  <c r="M30" i="146"/>
  <c r="L30" i="146"/>
  <c r="N30" i="146"/>
  <c r="O7" i="142"/>
  <c r="N31" i="143"/>
  <c r="M31" i="143"/>
  <c r="L31" i="143"/>
  <c r="M12" i="147"/>
  <c r="L12" i="147"/>
  <c r="N12" i="147"/>
  <c r="M17" i="145"/>
  <c r="N17" i="145"/>
  <c r="L17" i="145"/>
  <c r="N29" i="145"/>
  <c r="L29" i="145"/>
  <c r="M29" i="145"/>
  <c r="O20" i="147"/>
  <c r="O20" i="148" s="1"/>
  <c r="L36" i="147"/>
  <c r="M36" i="147"/>
  <c r="N36" i="147"/>
  <c r="O21" i="142"/>
  <c r="M29" i="144"/>
  <c r="N29" i="144"/>
  <c r="L29" i="144"/>
  <c r="O12" i="146"/>
  <c r="AA40" i="143"/>
  <c r="O27" i="145"/>
  <c r="N17" i="146"/>
  <c r="M17" i="146"/>
  <c r="L17" i="146"/>
  <c r="O31" i="139"/>
  <c r="O30" i="143"/>
  <c r="O7" i="145"/>
  <c r="O36" i="142"/>
  <c r="N8" i="147"/>
  <c r="L8" i="147"/>
  <c r="M8" i="147"/>
  <c r="O26" i="139"/>
  <c r="N11" i="142"/>
  <c r="L11" i="142"/>
  <c r="M11" i="142"/>
  <c r="J11" i="148"/>
  <c r="O21" i="147"/>
  <c r="AA21" i="148"/>
  <c r="AA15" i="148"/>
  <c r="M14" i="145"/>
  <c r="L14" i="145"/>
  <c r="N14" i="145"/>
  <c r="O7" i="146"/>
  <c r="N14" i="147"/>
  <c r="L14" i="147"/>
  <c r="M14" i="147"/>
  <c r="O15" i="145"/>
  <c r="O19" i="147"/>
  <c r="O27" i="147"/>
  <c r="AB17" i="148"/>
  <c r="O35" i="145"/>
  <c r="M31" i="142"/>
  <c r="L31" i="142"/>
  <c r="N31" i="142"/>
  <c r="J12" i="143"/>
  <c r="O14" i="144"/>
  <c r="O18" i="147"/>
  <c r="M22" i="143"/>
  <c r="N22" i="143"/>
  <c r="L22" i="143"/>
  <c r="O11" i="147"/>
  <c r="O23" i="147"/>
  <c r="M12" i="144"/>
  <c r="N12" i="144"/>
  <c r="L12" i="144"/>
  <c r="O7" i="144"/>
  <c r="N23" i="146"/>
  <c r="L23" i="146"/>
  <c r="M23" i="146"/>
  <c r="J32" i="142"/>
  <c r="J40" i="142" s="1"/>
  <c r="O15" i="146"/>
  <c r="AA19" i="148"/>
  <c r="O35" i="143"/>
  <c r="N28" i="144"/>
  <c r="L28" i="144"/>
  <c r="M28" i="144"/>
  <c r="N22" i="139"/>
  <c r="L22" i="139"/>
  <c r="M22" i="139"/>
  <c r="J22" i="148"/>
  <c r="M26" i="145"/>
  <c r="N26" i="145"/>
  <c r="L26" i="145"/>
  <c r="O28" i="139"/>
  <c r="M26" i="142"/>
  <c r="N26" i="142"/>
  <c r="L26" i="142"/>
  <c r="O13" i="143"/>
  <c r="L7" i="142"/>
  <c r="N7" i="142"/>
  <c r="M7" i="142"/>
  <c r="N28" i="147"/>
  <c r="L28" i="147"/>
  <c r="M28" i="147"/>
  <c r="O17" i="145"/>
  <c r="L21" i="146"/>
  <c r="N21" i="146"/>
  <c r="M21" i="146"/>
  <c r="L30" i="142"/>
  <c r="N30" i="142"/>
  <c r="M30" i="142"/>
  <c r="AA31" i="148"/>
  <c r="AA40" i="145"/>
  <c r="M35" i="145"/>
  <c r="N35" i="145"/>
  <c r="L35" i="145"/>
  <c r="L22" i="144"/>
  <c r="M22" i="144"/>
  <c r="N22" i="144"/>
  <c r="O19" i="145"/>
  <c r="AA14" i="148"/>
  <c r="O15" i="144"/>
  <c r="N7" i="147"/>
  <c r="L7" i="147"/>
  <c r="M7" i="147"/>
  <c r="M28" i="142"/>
  <c r="N28" i="142"/>
  <c r="L28" i="142"/>
  <c r="O13" i="147"/>
  <c r="O31" i="144"/>
  <c r="O16" i="146"/>
  <c r="L35" i="143"/>
  <c r="N35" i="143"/>
  <c r="M35" i="143"/>
  <c r="O22" i="144"/>
  <c r="O23" i="144"/>
  <c r="AB14" i="148"/>
  <c r="M19" i="146"/>
  <c r="N19" i="146"/>
  <c r="L19" i="146"/>
  <c r="AA24" i="148"/>
  <c r="O23" i="145"/>
  <c r="M35" i="142"/>
  <c r="N35" i="142"/>
  <c r="L35" i="142"/>
  <c r="AB40" i="144"/>
  <c r="N31" i="144"/>
  <c r="M31" i="144"/>
  <c r="L31" i="144"/>
  <c r="O28" i="145"/>
  <c r="O30" i="145"/>
  <c r="AB9" i="147"/>
  <c r="AB9" i="148" s="1"/>
  <c r="L29" i="146"/>
  <c r="M29" i="146"/>
  <c r="N29" i="146"/>
  <c r="L35" i="147"/>
  <c r="M35" i="147"/>
  <c r="N35" i="147"/>
  <c r="AA22" i="148"/>
  <c r="O26" i="145"/>
  <c r="AA18" i="148"/>
  <c r="L19" i="144"/>
  <c r="M19" i="144"/>
  <c r="N19" i="144"/>
  <c r="M32" i="146"/>
  <c r="N32" i="146"/>
  <c r="L32" i="146"/>
  <c r="AB20" i="147"/>
  <c r="AB20" i="148" s="1"/>
  <c r="N16" i="142"/>
  <c r="M16" i="142"/>
  <c r="L16" i="142"/>
  <c r="L18" i="144"/>
  <c r="N18" i="144"/>
  <c r="M18" i="144"/>
  <c r="M27" i="145"/>
  <c r="N27" i="145"/>
  <c r="L27" i="145"/>
  <c r="O17" i="146"/>
  <c r="M31" i="139"/>
  <c r="L31" i="139"/>
  <c r="N31" i="139"/>
  <c r="J31" i="148"/>
  <c r="M7" i="145"/>
  <c r="J40" i="145"/>
  <c r="L7" i="145"/>
  <c r="N7" i="145"/>
  <c r="AB26" i="148"/>
  <c r="AA11" i="148"/>
  <c r="O22" i="146"/>
  <c r="O35" i="146"/>
  <c r="N21" i="147"/>
  <c r="L21" i="147"/>
  <c r="M21" i="147"/>
  <c r="M21" i="139"/>
  <c r="L21" i="139"/>
  <c r="N21" i="139"/>
  <c r="J21" i="148"/>
  <c r="M15" i="139"/>
  <c r="N15" i="139"/>
  <c r="L15" i="139"/>
  <c r="J15" i="148"/>
  <c r="L15" i="142"/>
  <c r="M15" i="142"/>
  <c r="N15" i="142"/>
  <c r="L30" i="144"/>
  <c r="M30" i="144"/>
  <c r="N30" i="144"/>
  <c r="AB40" i="146"/>
  <c r="O14" i="147"/>
  <c r="N8" i="144"/>
  <c r="M8" i="144"/>
  <c r="L8" i="144"/>
  <c r="L15" i="145"/>
  <c r="M15" i="145"/>
  <c r="N15" i="145"/>
  <c r="O14" i="146"/>
  <c r="AA17" i="148"/>
  <c r="O22" i="142"/>
  <c r="N21" i="144"/>
  <c r="L21" i="144"/>
  <c r="M21" i="144"/>
  <c r="N29" i="139"/>
  <c r="L29" i="139"/>
  <c r="M29" i="139"/>
  <c r="J29" i="148"/>
  <c r="N27" i="142"/>
  <c r="M27" i="142"/>
  <c r="L27" i="142"/>
  <c r="J27" i="148"/>
  <c r="M19" i="145"/>
  <c r="N19" i="145"/>
  <c r="L19" i="145"/>
  <c r="AB23" i="148"/>
  <c r="N8" i="142"/>
  <c r="M8" i="142"/>
  <c r="L8" i="142"/>
  <c r="L26" i="146"/>
  <c r="M26" i="146"/>
  <c r="N26" i="146"/>
  <c r="L15" i="143"/>
  <c r="N15" i="143"/>
  <c r="M15" i="143"/>
  <c r="O36" i="143"/>
  <c r="O35" i="142"/>
  <c r="O10" i="139"/>
  <c r="N33" i="142"/>
  <c r="L33" i="142"/>
  <c r="M33" i="142"/>
  <c r="J9" i="147"/>
  <c r="AA25" i="147"/>
  <c r="AA25" i="148" s="1"/>
  <c r="AB33" i="148"/>
  <c r="M35" i="139"/>
  <c r="L35" i="139"/>
  <c r="N35" i="139"/>
  <c r="J35" i="148"/>
  <c r="O16" i="144"/>
  <c r="AB16" i="148"/>
  <c r="M13" i="144"/>
  <c r="L13" i="144"/>
  <c r="N13" i="144"/>
  <c r="L7" i="139"/>
  <c r="M7" i="139"/>
  <c r="N7" i="139"/>
  <c r="J7" i="148"/>
  <c r="O26" i="147"/>
  <c r="O29" i="142"/>
  <c r="O18" i="142"/>
  <c r="L15" i="147"/>
  <c r="M15" i="147"/>
  <c r="N15" i="147"/>
  <c r="L8" i="145"/>
  <c r="N8" i="145"/>
  <c r="M8" i="145"/>
  <c r="N16" i="147"/>
  <c r="M16" i="147"/>
  <c r="L16" i="147"/>
  <c r="J20" i="147"/>
  <c r="O16" i="142"/>
  <c r="O29" i="144"/>
  <c r="O8" i="147"/>
  <c r="M26" i="139"/>
  <c r="L26" i="139"/>
  <c r="N26" i="139"/>
  <c r="J26" i="148"/>
  <c r="L22" i="142"/>
  <c r="M22" i="142"/>
  <c r="N22" i="142"/>
  <c r="O21" i="144"/>
  <c r="AB29" i="148"/>
  <c r="AA12" i="148"/>
  <c r="M35" i="144"/>
  <c r="L35" i="144"/>
  <c r="N35" i="144"/>
  <c r="L10" i="142"/>
  <c r="M10" i="142"/>
  <c r="N10" i="142"/>
  <c r="L23" i="144"/>
  <c r="N23" i="144"/>
  <c r="M23" i="144"/>
  <c r="N10" i="147"/>
  <c r="M10" i="147"/>
  <c r="L10" i="147"/>
  <c r="L22" i="147"/>
  <c r="N22" i="147"/>
  <c r="M22" i="147"/>
  <c r="O26" i="146"/>
  <c r="M11" i="147"/>
  <c r="L11" i="147"/>
  <c r="N11" i="147"/>
  <c r="AA30" i="148"/>
  <c r="J24" i="139"/>
  <c r="O13" i="139"/>
  <c r="N36" i="143"/>
  <c r="L36" i="143"/>
  <c r="M36" i="143"/>
  <c r="M23" i="145"/>
  <c r="L23" i="145"/>
  <c r="N23" i="145"/>
  <c r="O11" i="146"/>
  <c r="L24" i="147"/>
  <c r="N24" i="147"/>
  <c r="M24" i="147"/>
  <c r="O34" i="139"/>
  <c r="L16" i="143"/>
  <c r="M16" i="143"/>
  <c r="N16" i="143"/>
  <c r="AB10" i="148"/>
  <c r="N13" i="146"/>
  <c r="M13" i="146"/>
  <c r="L13" i="146"/>
  <c r="M28" i="145"/>
  <c r="N28" i="145"/>
  <c r="L28" i="145"/>
  <c r="O31" i="147"/>
  <c r="O32" i="142"/>
  <c r="L13" i="145"/>
  <c r="N13" i="145"/>
  <c r="M13" i="145"/>
  <c r="L28" i="146"/>
  <c r="M28" i="146"/>
  <c r="N28" i="146"/>
  <c r="AA9" i="147"/>
  <c r="AA9" i="148" s="1"/>
  <c r="J25" i="147"/>
  <c r="AA33" i="148"/>
  <c r="N19" i="139"/>
  <c r="M19" i="139"/>
  <c r="L19" i="139"/>
  <c r="J19" i="148"/>
  <c r="O35" i="139"/>
  <c r="O17" i="142"/>
  <c r="N10" i="143"/>
  <c r="M10" i="143"/>
  <c r="L10" i="143"/>
  <c r="O28" i="144"/>
  <c r="O29" i="139"/>
  <c r="AB27" i="148"/>
  <c r="AB12" i="143"/>
  <c r="AB12" i="148" s="1"/>
  <c r="O10" i="142"/>
  <c r="L18" i="147"/>
  <c r="N18" i="147"/>
  <c r="M18" i="147"/>
  <c r="O22" i="147"/>
  <c r="O34" i="147"/>
  <c r="L23" i="142"/>
  <c r="N23" i="142"/>
  <c r="M23" i="142"/>
  <c r="J23" i="148"/>
  <c r="O8" i="142"/>
  <c r="O22" i="143"/>
  <c r="M15" i="144"/>
  <c r="L15" i="144"/>
  <c r="N15" i="144"/>
  <c r="O27" i="144"/>
  <c r="O7" i="147"/>
  <c r="O30" i="139"/>
  <c r="AA13" i="148"/>
  <c r="O15" i="143"/>
  <c r="L11" i="146"/>
  <c r="M11" i="146"/>
  <c r="N11" i="146"/>
  <c r="O27" i="146"/>
  <c r="N34" i="139"/>
  <c r="L34" i="139"/>
  <c r="M34" i="139"/>
  <c r="J34" i="148"/>
  <c r="AA10" i="148"/>
  <c r="L21" i="145"/>
  <c r="N21" i="145"/>
  <c r="M21" i="145"/>
  <c r="O23" i="146"/>
  <c r="L30" i="147"/>
  <c r="N30" i="147"/>
  <c r="M30" i="147"/>
  <c r="O33" i="142"/>
  <c r="L31" i="147"/>
  <c r="M31" i="147"/>
  <c r="N31" i="147"/>
  <c r="AB32" i="142"/>
  <c r="AB32" i="148" s="1"/>
  <c r="M16" i="146"/>
  <c r="L16" i="146"/>
  <c r="N16" i="146"/>
  <c r="O28" i="146"/>
  <c r="AB25" i="147"/>
  <c r="AB25" i="148" s="1"/>
  <c r="O33" i="147"/>
  <c r="M33" i="139"/>
  <c r="N33" i="139"/>
  <c r="L33" i="139"/>
  <c r="J33" i="148"/>
  <c r="AB19" i="148"/>
  <c r="N14" i="143"/>
  <c r="M14" i="143"/>
  <c r="L14" i="143"/>
  <c r="AB35" i="148"/>
  <c r="O10" i="143"/>
  <c r="L16" i="144"/>
  <c r="N16" i="144"/>
  <c r="M16" i="144"/>
  <c r="O36" i="139"/>
  <c r="AA16" i="148"/>
  <c r="O8" i="139"/>
  <c r="N29" i="147"/>
  <c r="M29" i="147"/>
  <c r="L29" i="147"/>
  <c r="O7" i="139"/>
  <c r="AB28" i="148"/>
  <c r="O34" i="142"/>
  <c r="O26" i="142"/>
  <c r="M8" i="143"/>
  <c r="N8" i="143"/>
  <c r="L8" i="143"/>
  <c r="L22" i="145"/>
  <c r="M22" i="145"/>
  <c r="N22" i="145"/>
  <c r="O33" i="145"/>
  <c r="O15" i="147"/>
  <c r="O31" i="143"/>
  <c r="O12" i="147"/>
  <c r="O16" i="147"/>
  <c r="O21" i="146"/>
  <c r="N21" i="142"/>
  <c r="M21" i="142"/>
  <c r="L21" i="142"/>
  <c r="M7" i="143"/>
  <c r="N7" i="143"/>
  <c r="J40" i="143"/>
  <c r="L7" i="143"/>
  <c r="AA29" i="148"/>
  <c r="O31" i="142"/>
  <c r="AA27" i="148"/>
  <c r="O12" i="143"/>
  <c r="N28" i="143"/>
  <c r="L28" i="143"/>
  <c r="M28" i="143"/>
  <c r="O35" i="144"/>
  <c r="O19" i="142"/>
  <c r="O29" i="143"/>
  <c r="N14" i="144"/>
  <c r="M14" i="144"/>
  <c r="L14" i="144"/>
  <c r="O10" i="147"/>
  <c r="L14" i="139"/>
  <c r="M14" i="139"/>
  <c r="N14" i="139"/>
  <c r="J14" i="148"/>
  <c r="O23" i="142"/>
  <c r="N27" i="144"/>
  <c r="L27" i="144"/>
  <c r="M27" i="144"/>
  <c r="M23" i="147"/>
  <c r="L23" i="147"/>
  <c r="N23" i="147"/>
  <c r="AB30" i="148"/>
  <c r="O24" i="139"/>
  <c r="L13" i="139"/>
  <c r="M13" i="139"/>
  <c r="N13" i="139"/>
  <c r="J13" i="148"/>
  <c r="O28" i="142"/>
  <c r="O12" i="144"/>
  <c r="O24" i="147"/>
  <c r="AA34" i="148"/>
  <c r="O16" i="143"/>
  <c r="N13" i="147"/>
  <c r="M13" i="147"/>
  <c r="L13" i="147"/>
  <c r="O17" i="147"/>
  <c r="M10" i="139"/>
  <c r="N10" i="139"/>
  <c r="L10" i="139"/>
  <c r="J10" i="148"/>
  <c r="J40" i="144"/>
  <c r="L7" i="144"/>
  <c r="N7" i="144"/>
  <c r="M7" i="144"/>
  <c r="O21" i="145"/>
  <c r="O13" i="146"/>
  <c r="O30" i="147"/>
  <c r="AA32" i="148"/>
  <c r="L13" i="142"/>
  <c r="M13" i="142"/>
  <c r="N13" i="142"/>
  <c r="N15" i="146"/>
  <c r="L15" i="146"/>
  <c r="M15" i="146"/>
  <c r="O13" i="145"/>
  <c r="N30" i="145"/>
  <c r="L30" i="145"/>
  <c r="M30" i="145"/>
  <c r="O9" i="147"/>
  <c r="O9" i="148" s="1"/>
  <c r="O25" i="147"/>
  <c r="O25" i="148" s="1"/>
  <c r="O33" i="139"/>
  <c r="O19" i="139"/>
  <c r="O14" i="143"/>
  <c r="AA35" i="148"/>
  <c r="N17" i="142"/>
  <c r="M17" i="142"/>
  <c r="L17" i="142"/>
  <c r="O32" i="147"/>
  <c r="AB36" i="148"/>
  <c r="AB22" i="148"/>
  <c r="M16" i="139"/>
  <c r="L16" i="139"/>
  <c r="N16" i="139"/>
  <c r="J16" i="148"/>
  <c r="M8" i="139"/>
  <c r="L8" i="139"/>
  <c r="N8" i="139"/>
  <c r="J8" i="148"/>
  <c r="O13" i="144"/>
  <c r="AB40" i="139"/>
  <c r="AB7" i="148"/>
  <c r="M28" i="139"/>
  <c r="L28" i="139"/>
  <c r="N28" i="139"/>
  <c r="J28" i="148"/>
  <c r="L13" i="143"/>
  <c r="N13" i="143"/>
  <c r="M13" i="143"/>
  <c r="M18" i="142"/>
  <c r="L18" i="142"/>
  <c r="N18" i="142"/>
  <c r="J18" i="148"/>
  <c r="O14" i="142"/>
  <c r="O19" i="144"/>
  <c r="L10" i="146"/>
  <c r="N10" i="146"/>
  <c r="M10" i="146"/>
  <c r="O30" i="146"/>
  <c r="AA40" i="142"/>
  <c r="O33" i="144"/>
  <c r="O8" i="145"/>
  <c r="O28" i="147"/>
  <c r="O29" i="145"/>
  <c r="O32" i="146"/>
  <c r="AA20" i="147"/>
  <c r="AA20" i="148" s="1"/>
  <c r="O36" i="147"/>
  <c r="L12" i="146"/>
  <c r="M12" i="146"/>
  <c r="N12" i="146"/>
  <c r="O30" i="142"/>
  <c r="O7" i="143"/>
  <c r="O34" i="143"/>
  <c r="O18" i="144"/>
  <c r="AB31" i="148"/>
  <c r="AB40" i="145"/>
  <c r="M36" i="142"/>
  <c r="N36" i="142"/>
  <c r="L36" i="142"/>
  <c r="AA26" i="148"/>
  <c r="O11" i="142"/>
  <c r="L22" i="146"/>
  <c r="N22" i="146"/>
  <c r="M22" i="146"/>
  <c r="N35" i="146"/>
  <c r="L35" i="146"/>
  <c r="M35" i="146"/>
  <c r="O21" i="139"/>
  <c r="O15" i="139"/>
  <c r="O15" i="142"/>
  <c r="O18" i="143"/>
  <c r="O30" i="144"/>
  <c r="O14" i="145"/>
  <c r="AA40" i="146"/>
  <c r="O8" i="144"/>
  <c r="N14" i="146"/>
  <c r="M14" i="146"/>
  <c r="L14" i="146"/>
  <c r="N27" i="147"/>
  <c r="M27" i="147"/>
  <c r="L27" i="147"/>
  <c r="O17" i="139"/>
  <c r="L34" i="148" l="1"/>
  <c r="K17" i="146"/>
  <c r="K32" i="145"/>
  <c r="K19" i="142"/>
  <c r="K28" i="147"/>
  <c r="K17" i="144"/>
  <c r="O11" i="148"/>
  <c r="M34" i="148"/>
  <c r="K11" i="147"/>
  <c r="K8" i="147"/>
  <c r="K19" i="147"/>
  <c r="K31" i="147"/>
  <c r="K18" i="147"/>
  <c r="K14" i="147"/>
  <c r="K10" i="147"/>
  <c r="K27" i="147"/>
  <c r="K24" i="147"/>
  <c r="K7" i="147"/>
  <c r="K29" i="147"/>
  <c r="K17" i="147"/>
  <c r="K26" i="147"/>
  <c r="K32" i="147"/>
  <c r="N28" i="148"/>
  <c r="K13" i="147"/>
  <c r="K22" i="147"/>
  <c r="K21" i="147"/>
  <c r="K35" i="147"/>
  <c r="K12" i="147"/>
  <c r="L8" i="148"/>
  <c r="K23" i="147"/>
  <c r="L26" i="148"/>
  <c r="K34" i="147"/>
  <c r="K36" i="147"/>
  <c r="L18" i="148"/>
  <c r="AB40" i="147"/>
  <c r="K30" i="147"/>
  <c r="K16" i="147"/>
  <c r="K15" i="147"/>
  <c r="K35" i="146"/>
  <c r="K22" i="146"/>
  <c r="K16" i="144"/>
  <c r="K8" i="144"/>
  <c r="K31" i="142"/>
  <c r="K16" i="143"/>
  <c r="K36" i="143"/>
  <c r="K7" i="139"/>
  <c r="F7" i="139" s="1"/>
  <c r="K22" i="143"/>
  <c r="K35" i="142"/>
  <c r="K34" i="142"/>
  <c r="K26" i="146"/>
  <c r="K15" i="145"/>
  <c r="O19" i="148"/>
  <c r="K13" i="142"/>
  <c r="K11" i="146"/>
  <c r="K10" i="143"/>
  <c r="K35" i="145"/>
  <c r="K8" i="139"/>
  <c r="F8" i="139" s="1"/>
  <c r="K28" i="143"/>
  <c r="K7" i="143"/>
  <c r="K8" i="143"/>
  <c r="K21" i="145"/>
  <c r="K22" i="144"/>
  <c r="K15" i="139"/>
  <c r="F15" i="139" s="1"/>
  <c r="K29" i="145"/>
  <c r="N18" i="148"/>
  <c r="K22" i="145"/>
  <c r="K15" i="143"/>
  <c r="O15" i="148"/>
  <c r="M16" i="148"/>
  <c r="K7" i="144"/>
  <c r="K10" i="139"/>
  <c r="F10" i="139" s="1"/>
  <c r="O24" i="148"/>
  <c r="K14" i="139"/>
  <c r="K19" i="139"/>
  <c r="F19" i="139" s="1"/>
  <c r="K28" i="146"/>
  <c r="K35" i="144"/>
  <c r="K16" i="142"/>
  <c r="K32" i="146"/>
  <c r="K35" i="143"/>
  <c r="K21" i="146"/>
  <c r="K22" i="139"/>
  <c r="F22" i="139" s="1"/>
  <c r="K31" i="143"/>
  <c r="K29" i="143"/>
  <c r="K36" i="142"/>
  <c r="K30" i="145"/>
  <c r="K8" i="142"/>
  <c r="K30" i="144"/>
  <c r="K7" i="142"/>
  <c r="K17" i="145"/>
  <c r="K27" i="143"/>
  <c r="K14" i="146"/>
  <c r="K12" i="146"/>
  <c r="M8" i="148"/>
  <c r="K17" i="142"/>
  <c r="K15" i="146"/>
  <c r="K21" i="142"/>
  <c r="K33" i="139"/>
  <c r="F33" i="139" s="1"/>
  <c r="K15" i="144"/>
  <c r="K13" i="145"/>
  <c r="K23" i="145"/>
  <c r="K8" i="145"/>
  <c r="K19" i="145"/>
  <c r="K21" i="144"/>
  <c r="K15" i="142"/>
  <c r="K18" i="144"/>
  <c r="K29" i="146"/>
  <c r="K31" i="144"/>
  <c r="K28" i="142"/>
  <c r="K30" i="142"/>
  <c r="K26" i="142"/>
  <c r="K26" i="145"/>
  <c r="K28" i="144"/>
  <c r="K14" i="145"/>
  <c r="K29" i="144"/>
  <c r="K18" i="143"/>
  <c r="K34" i="143"/>
  <c r="K27" i="146"/>
  <c r="N23" i="148"/>
  <c r="M27" i="148"/>
  <c r="M31" i="148"/>
  <c r="O33" i="148"/>
  <c r="M10" i="148"/>
  <c r="K14" i="144"/>
  <c r="M33" i="148"/>
  <c r="K13" i="146"/>
  <c r="K10" i="142"/>
  <c r="K33" i="142"/>
  <c r="K19" i="144"/>
  <c r="K19" i="146"/>
  <c r="K23" i="146"/>
  <c r="K12" i="144"/>
  <c r="L11" i="148"/>
  <c r="K30" i="146"/>
  <c r="K29" i="142"/>
  <c r="L17" i="148"/>
  <c r="O21" i="148"/>
  <c r="K10" i="146"/>
  <c r="K13" i="143"/>
  <c r="M13" i="148"/>
  <c r="K27" i="144"/>
  <c r="O12" i="148"/>
  <c r="AB40" i="142"/>
  <c r="K14" i="143"/>
  <c r="K16" i="146"/>
  <c r="K28" i="145"/>
  <c r="K23" i="144"/>
  <c r="K22" i="142"/>
  <c r="K13" i="144"/>
  <c r="K27" i="145"/>
  <c r="K14" i="142"/>
  <c r="K30" i="143"/>
  <c r="L7" i="148"/>
  <c r="M35" i="148"/>
  <c r="M21" i="148"/>
  <c r="L40" i="146"/>
  <c r="L30" i="148"/>
  <c r="O40" i="143"/>
  <c r="M18" i="148"/>
  <c r="L28" i="148"/>
  <c r="N8" i="148"/>
  <c r="K16" i="139"/>
  <c r="M40" i="144"/>
  <c r="L13" i="148"/>
  <c r="O23" i="148"/>
  <c r="N14" i="148"/>
  <c r="O40" i="139"/>
  <c r="O7" i="148"/>
  <c r="N34" i="148"/>
  <c r="O40" i="147"/>
  <c r="L23" i="148"/>
  <c r="O35" i="148"/>
  <c r="L19" i="148"/>
  <c r="L25" i="147"/>
  <c r="L25" i="148" s="1"/>
  <c r="M25" i="147"/>
  <c r="M25" i="148" s="1"/>
  <c r="N25" i="147"/>
  <c r="N25" i="148" s="1"/>
  <c r="J25" i="148"/>
  <c r="O32" i="148"/>
  <c r="M26" i="148"/>
  <c r="N20" i="147"/>
  <c r="N20" i="148" s="1"/>
  <c r="L20" i="147"/>
  <c r="L20" i="148" s="1"/>
  <c r="M20" i="147"/>
  <c r="M20" i="148" s="1"/>
  <c r="J20" i="148"/>
  <c r="O18" i="148"/>
  <c r="N7" i="148"/>
  <c r="K35" i="139"/>
  <c r="N27" i="148"/>
  <c r="L29" i="148"/>
  <c r="L15" i="148"/>
  <c r="K21" i="139"/>
  <c r="L40" i="145"/>
  <c r="K31" i="139"/>
  <c r="N22" i="148"/>
  <c r="O40" i="144"/>
  <c r="N11" i="148"/>
  <c r="AA40" i="148"/>
  <c r="K17" i="139"/>
  <c r="K7" i="146"/>
  <c r="N40" i="146"/>
  <c r="M36" i="148"/>
  <c r="N30" i="148"/>
  <c r="AB40" i="143"/>
  <c r="L9" i="147"/>
  <c r="N9" i="147"/>
  <c r="N9" i="148" s="1"/>
  <c r="M9" i="147"/>
  <c r="M9" i="148" s="1"/>
  <c r="J9" i="148"/>
  <c r="N12" i="143"/>
  <c r="N12" i="148" s="1"/>
  <c r="M12" i="143"/>
  <c r="M12" i="148" s="1"/>
  <c r="L12" i="143"/>
  <c r="L12" i="148" s="1"/>
  <c r="J12" i="148"/>
  <c r="L36" i="148"/>
  <c r="K18" i="142"/>
  <c r="M28" i="148"/>
  <c r="N16" i="148"/>
  <c r="N40" i="144"/>
  <c r="K13" i="139"/>
  <c r="M14" i="148"/>
  <c r="O36" i="148"/>
  <c r="L33" i="148"/>
  <c r="K34" i="139"/>
  <c r="K23" i="142"/>
  <c r="M19" i="148"/>
  <c r="O34" i="148"/>
  <c r="O13" i="148"/>
  <c r="K26" i="139"/>
  <c r="M7" i="148"/>
  <c r="N35" i="148"/>
  <c r="O10" i="148"/>
  <c r="K27" i="142"/>
  <c r="N29" i="148"/>
  <c r="N15" i="148"/>
  <c r="N21" i="148"/>
  <c r="N31" i="148"/>
  <c r="J40" i="147"/>
  <c r="K11" i="142"/>
  <c r="O26" i="148"/>
  <c r="O40" i="145"/>
  <c r="O31" i="148"/>
  <c r="O16" i="148"/>
  <c r="O27" i="148"/>
  <c r="N17" i="148"/>
  <c r="M40" i="146"/>
  <c r="K36" i="139"/>
  <c r="M30" i="148"/>
  <c r="N10" i="148"/>
  <c r="F14" i="139"/>
  <c r="N24" i="139"/>
  <c r="N24" i="148" s="1"/>
  <c r="L24" i="139"/>
  <c r="L24" i="148" s="1"/>
  <c r="M24" i="139"/>
  <c r="M24" i="148" s="1"/>
  <c r="J24" i="148"/>
  <c r="M29" i="148"/>
  <c r="N40" i="145"/>
  <c r="L22" i="148"/>
  <c r="O40" i="142"/>
  <c r="O22" i="148"/>
  <c r="O17" i="148"/>
  <c r="K28" i="139"/>
  <c r="AB40" i="148"/>
  <c r="L16" i="148"/>
  <c r="L40" i="144"/>
  <c r="L10" i="148"/>
  <c r="N13" i="148"/>
  <c r="L14" i="148"/>
  <c r="O8" i="148"/>
  <c r="N33" i="148"/>
  <c r="O30" i="148"/>
  <c r="M23" i="148"/>
  <c r="O29" i="148"/>
  <c r="N19" i="148"/>
  <c r="N26" i="148"/>
  <c r="J40" i="139"/>
  <c r="L35" i="148"/>
  <c r="L27" i="148"/>
  <c r="K29" i="139"/>
  <c r="M15" i="148"/>
  <c r="L21" i="148"/>
  <c r="K7" i="145"/>
  <c r="M40" i="145"/>
  <c r="L31" i="148"/>
  <c r="O28" i="148"/>
  <c r="M22" i="148"/>
  <c r="N32" i="142"/>
  <c r="N32" i="148" s="1"/>
  <c r="L32" i="142"/>
  <c r="L32" i="148" s="1"/>
  <c r="M32" i="142"/>
  <c r="M32" i="148" s="1"/>
  <c r="J32" i="148"/>
  <c r="AA40" i="147"/>
  <c r="O40" i="146"/>
  <c r="M11" i="148"/>
  <c r="M17" i="148"/>
  <c r="N36" i="148"/>
  <c r="K30" i="139"/>
  <c r="O14" i="148"/>
  <c r="K40" i="145" l="1"/>
  <c r="K33" i="148"/>
  <c r="K15" i="148"/>
  <c r="K8" i="148"/>
  <c r="K22" i="148"/>
  <c r="K20" i="147"/>
  <c r="K20" i="148" s="1"/>
  <c r="K25" i="147"/>
  <c r="K25" i="148" s="1"/>
  <c r="K10" i="148"/>
  <c r="K19" i="148"/>
  <c r="J40" i="148"/>
  <c r="K14" i="148"/>
  <c r="K40" i="144"/>
  <c r="K24" i="139"/>
  <c r="K40" i="139" s="1"/>
  <c r="M40" i="139"/>
  <c r="K40" i="146"/>
  <c r="M40" i="143"/>
  <c r="F18" i="142"/>
  <c r="K18" i="148"/>
  <c r="F15" i="142"/>
  <c r="H15" i="139"/>
  <c r="L40" i="142"/>
  <c r="L40" i="143"/>
  <c r="F8" i="142"/>
  <c r="H8" i="139"/>
  <c r="N40" i="142"/>
  <c r="F26" i="139"/>
  <c r="K26" i="148"/>
  <c r="F23" i="142"/>
  <c r="K23" i="148"/>
  <c r="F31" i="139"/>
  <c r="K31" i="148"/>
  <c r="N40" i="139"/>
  <c r="F7" i="142"/>
  <c r="H7" i="139"/>
  <c r="F10" i="142"/>
  <c r="H10" i="139"/>
  <c r="F29" i="139"/>
  <c r="K29" i="148"/>
  <c r="F24" i="139"/>
  <c r="K9" i="147"/>
  <c r="L9" i="148"/>
  <c r="F16" i="139"/>
  <c r="K16" i="148"/>
  <c r="L40" i="147"/>
  <c r="F14" i="142"/>
  <c r="H14" i="139"/>
  <c r="F34" i="139"/>
  <c r="K34" i="148"/>
  <c r="F17" i="139"/>
  <c r="K17" i="148"/>
  <c r="N40" i="143"/>
  <c r="N40" i="147"/>
  <c r="L40" i="139"/>
  <c r="F28" i="139"/>
  <c r="K28" i="148"/>
  <c r="F36" i="139"/>
  <c r="K36" i="148"/>
  <c r="F11" i="142"/>
  <c r="K11" i="148"/>
  <c r="F27" i="142"/>
  <c r="K27" i="148"/>
  <c r="F13" i="139"/>
  <c r="K13" i="148"/>
  <c r="N40" i="148"/>
  <c r="O40" i="148"/>
  <c r="F30" i="139"/>
  <c r="K30" i="148"/>
  <c r="K32" i="142"/>
  <c r="M40" i="147"/>
  <c r="M40" i="148"/>
  <c r="K12" i="143"/>
  <c r="M40" i="142"/>
  <c r="F21" i="139"/>
  <c r="K21" i="148"/>
  <c r="F35" i="139"/>
  <c r="K35" i="148"/>
  <c r="K7" i="148"/>
  <c r="F19" i="142"/>
  <c r="H19" i="139"/>
  <c r="F33" i="142"/>
  <c r="H33" i="139"/>
  <c r="F22" i="142"/>
  <c r="H22" i="139"/>
  <c r="H22" i="148" l="1"/>
  <c r="F10" i="148"/>
  <c r="H8" i="148"/>
  <c r="H25" i="148"/>
  <c r="F33" i="148"/>
  <c r="F19" i="148"/>
  <c r="F8" i="148"/>
  <c r="F25" i="148"/>
  <c r="F22" i="148"/>
  <c r="H20" i="148"/>
  <c r="H15" i="148"/>
  <c r="F15" i="148"/>
  <c r="F20" i="148"/>
  <c r="F14" i="148"/>
  <c r="F34" i="148"/>
  <c r="L40" i="148"/>
  <c r="F29" i="148"/>
  <c r="H19" i="148"/>
  <c r="F27" i="148"/>
  <c r="K24" i="148"/>
  <c r="H10" i="148"/>
  <c r="H14" i="148"/>
  <c r="F40" i="139"/>
  <c r="F43" i="139" s="1"/>
  <c r="F22" i="143"/>
  <c r="H22" i="142"/>
  <c r="F19" i="143"/>
  <c r="H19" i="142"/>
  <c r="F21" i="148"/>
  <c r="H21" i="148"/>
  <c r="F32" i="142"/>
  <c r="K32" i="148"/>
  <c r="F27" i="143"/>
  <c r="H27" i="142"/>
  <c r="F36" i="142"/>
  <c r="H36" i="139"/>
  <c r="F28" i="142"/>
  <c r="H28" i="139"/>
  <c r="F34" i="142"/>
  <c r="H34" i="139"/>
  <c r="F23" i="143"/>
  <c r="H23" i="142"/>
  <c r="F18" i="148"/>
  <c r="H18" i="148"/>
  <c r="F10" i="143"/>
  <c r="H10" i="142"/>
  <c r="F7" i="148"/>
  <c r="H7" i="148"/>
  <c r="F21" i="142"/>
  <c r="H21" i="139"/>
  <c r="K12" i="148"/>
  <c r="F12" i="143"/>
  <c r="K40" i="143"/>
  <c r="F30" i="148"/>
  <c r="H30" i="148"/>
  <c r="F13" i="148"/>
  <c r="H13" i="148"/>
  <c r="F11" i="148"/>
  <c r="H11" i="148"/>
  <c r="F17" i="148"/>
  <c r="H17" i="148"/>
  <c r="K9" i="148"/>
  <c r="K40" i="147"/>
  <c r="F29" i="142"/>
  <c r="H29" i="139"/>
  <c r="F31" i="148"/>
  <c r="H31" i="148"/>
  <c r="F26" i="148"/>
  <c r="H26" i="148"/>
  <c r="F8" i="143"/>
  <c r="H8" i="142"/>
  <c r="F18" i="143"/>
  <c r="H18" i="142"/>
  <c r="F35" i="142"/>
  <c r="H35" i="139"/>
  <c r="F36" i="148"/>
  <c r="H36" i="148"/>
  <c r="F28" i="148"/>
  <c r="H28" i="148"/>
  <c r="F16" i="142"/>
  <c r="H16" i="139"/>
  <c r="F24" i="142"/>
  <c r="H24" i="139"/>
  <c r="F23" i="148"/>
  <c r="H23" i="148"/>
  <c r="F15" i="143"/>
  <c r="H15" i="142"/>
  <c r="F33" i="143"/>
  <c r="H33" i="142"/>
  <c r="F35" i="148"/>
  <c r="H35" i="148"/>
  <c r="F30" i="142"/>
  <c r="H30" i="139"/>
  <c r="F13" i="142"/>
  <c r="H13" i="139"/>
  <c r="F11" i="143"/>
  <c r="H11" i="142"/>
  <c r="F17" i="142"/>
  <c r="H17" i="139"/>
  <c r="F14" i="143"/>
  <c r="H14" i="142"/>
  <c r="F16" i="148"/>
  <c r="H16" i="148"/>
  <c r="F7" i="143"/>
  <c r="H7" i="142"/>
  <c r="F31" i="142"/>
  <c r="H31" i="139"/>
  <c r="F26" i="142"/>
  <c r="H26" i="139"/>
  <c r="K40" i="142"/>
  <c r="F24" i="148" l="1"/>
  <c r="H24" i="148"/>
  <c r="F40" i="142"/>
  <c r="K40" i="148"/>
  <c r="H40" i="139"/>
  <c r="F14" i="144"/>
  <c r="H14" i="143"/>
  <c r="F11" i="144"/>
  <c r="H11" i="143"/>
  <c r="F30" i="143"/>
  <c r="H30" i="142"/>
  <c r="F33" i="144"/>
  <c r="H33" i="143"/>
  <c r="F16" i="143"/>
  <c r="H16" i="142"/>
  <c r="F18" i="144"/>
  <c r="H18" i="143"/>
  <c r="F34" i="143"/>
  <c r="H34" i="142"/>
  <c r="F36" i="143"/>
  <c r="H36" i="142"/>
  <c r="F32" i="143"/>
  <c r="H32" i="142"/>
  <c r="F19" i="144"/>
  <c r="H19" i="143"/>
  <c r="F32" i="148"/>
  <c r="H32" i="148"/>
  <c r="F26" i="143"/>
  <c r="H26" i="142"/>
  <c r="F29" i="143"/>
  <c r="H29" i="142"/>
  <c r="F21" i="143"/>
  <c r="H21" i="142"/>
  <c r="F31" i="143"/>
  <c r="H31" i="142"/>
  <c r="F9" i="148"/>
  <c r="H9" i="148"/>
  <c r="F12" i="148"/>
  <c r="H12" i="148"/>
  <c r="F7" i="144"/>
  <c r="H7" i="143"/>
  <c r="F17" i="143"/>
  <c r="H17" i="142"/>
  <c r="F13" i="143"/>
  <c r="H13" i="142"/>
  <c r="F15" i="144"/>
  <c r="H15" i="143"/>
  <c r="F24" i="143"/>
  <c r="H24" i="142"/>
  <c r="F35" i="143"/>
  <c r="H35" i="142"/>
  <c r="F8" i="144"/>
  <c r="H8" i="143"/>
  <c r="F12" i="144"/>
  <c r="H12" i="143"/>
  <c r="F10" i="144"/>
  <c r="H10" i="143"/>
  <c r="F23" i="144"/>
  <c r="H23" i="143"/>
  <c r="F28" i="143"/>
  <c r="H28" i="142"/>
  <c r="F27" i="144"/>
  <c r="H27" i="143"/>
  <c r="F22" i="144"/>
  <c r="H22" i="143"/>
  <c r="H40" i="148" l="1"/>
  <c r="F40" i="148"/>
  <c r="F40" i="143"/>
  <c r="H40" i="142"/>
  <c r="F28" i="144"/>
  <c r="H28" i="143"/>
  <c r="F24" i="144"/>
  <c r="H24" i="143"/>
  <c r="F13" i="144"/>
  <c r="H13" i="143"/>
  <c r="F21" i="144"/>
  <c r="H21" i="143"/>
  <c r="F32" i="144"/>
  <c r="H32" i="143"/>
  <c r="F34" i="144"/>
  <c r="H34" i="143"/>
  <c r="F16" i="144"/>
  <c r="H16" i="143"/>
  <c r="F30" i="144"/>
  <c r="H30" i="143"/>
  <c r="F31" i="144"/>
  <c r="H31" i="143"/>
  <c r="F29" i="144"/>
  <c r="H29" i="143"/>
  <c r="F36" i="144"/>
  <c r="H36" i="143"/>
  <c r="F35" i="144"/>
  <c r="H35" i="143"/>
  <c r="F17" i="144"/>
  <c r="H17" i="143"/>
  <c r="F26" i="144"/>
  <c r="H26" i="143"/>
  <c r="H40" i="143" l="1"/>
  <c r="F40" i="144"/>
  <c r="G10" i="144" l="1"/>
  <c r="F10" i="145" s="1"/>
  <c r="H10" i="145" s="1"/>
  <c r="G26" i="144"/>
  <c r="F26" i="145" s="1"/>
  <c r="H26" i="145" s="1"/>
  <c r="G11" i="144"/>
  <c r="F11" i="145" s="1"/>
  <c r="H11" i="145" s="1"/>
  <c r="G27" i="144"/>
  <c r="F27" i="145" s="1"/>
  <c r="H27" i="145" s="1"/>
  <c r="G12" i="144"/>
  <c r="F12" i="145" s="1"/>
  <c r="H12" i="145" s="1"/>
  <c r="G28" i="144"/>
  <c r="F28" i="145" s="1"/>
  <c r="H28" i="145" s="1"/>
  <c r="G13" i="144"/>
  <c r="F13" i="145" s="1"/>
  <c r="H13" i="145" s="1"/>
  <c r="G29" i="144"/>
  <c r="F29" i="145" s="1"/>
  <c r="H29" i="145" s="1"/>
  <c r="G23" i="144"/>
  <c r="F23" i="145" s="1"/>
  <c r="H23" i="145" s="1"/>
  <c r="G9" i="144"/>
  <c r="F9" i="145" s="1"/>
  <c r="H9" i="145" s="1"/>
  <c r="G6" i="144"/>
  <c r="G14" i="144"/>
  <c r="F14" i="145" s="1"/>
  <c r="H14" i="145" s="1"/>
  <c r="G30" i="144"/>
  <c r="F30" i="145" s="1"/>
  <c r="H30" i="145" s="1"/>
  <c r="G15" i="144"/>
  <c r="F15" i="145" s="1"/>
  <c r="H15" i="145" s="1"/>
  <c r="G31" i="144"/>
  <c r="F31" i="145" s="1"/>
  <c r="H31" i="145" s="1"/>
  <c r="G16" i="144"/>
  <c r="F16" i="145" s="1"/>
  <c r="H16" i="145" s="1"/>
  <c r="G32" i="144"/>
  <c r="F32" i="145" s="1"/>
  <c r="H32" i="145" s="1"/>
  <c r="G17" i="144"/>
  <c r="F17" i="145" s="1"/>
  <c r="H17" i="145" s="1"/>
  <c r="G33" i="144"/>
  <c r="F33" i="145" s="1"/>
  <c r="H33" i="145" s="1"/>
  <c r="G7" i="144"/>
  <c r="F7" i="145" s="1"/>
  <c r="H7" i="145" s="1"/>
  <c r="G24" i="144"/>
  <c r="F24" i="145" s="1"/>
  <c r="H24" i="145" s="1"/>
  <c r="G18" i="144"/>
  <c r="F18" i="145" s="1"/>
  <c r="H18" i="145" s="1"/>
  <c r="G34" i="144"/>
  <c r="F34" i="145" s="1"/>
  <c r="H34" i="145" s="1"/>
  <c r="G19" i="144"/>
  <c r="F19" i="145" s="1"/>
  <c r="H19" i="145" s="1"/>
  <c r="G35" i="144"/>
  <c r="F35" i="145" s="1"/>
  <c r="H35" i="145" s="1"/>
  <c r="G20" i="144"/>
  <c r="F20" i="145" s="1"/>
  <c r="H20" i="145" s="1"/>
  <c r="G36" i="144"/>
  <c r="F36" i="145" s="1"/>
  <c r="H36" i="145" s="1"/>
  <c r="G21" i="144"/>
  <c r="F21" i="145" s="1"/>
  <c r="H21" i="145" s="1"/>
  <c r="G37" i="144"/>
  <c r="F37" i="145" s="1"/>
  <c r="H37" i="145" s="1"/>
  <c r="G22" i="144"/>
  <c r="F22" i="145" s="1"/>
  <c r="H22" i="145" s="1"/>
  <c r="G8" i="144"/>
  <c r="F8" i="145" s="1"/>
  <c r="H8" i="145" s="1"/>
  <c r="G25" i="144"/>
  <c r="F25" i="145" s="1"/>
  <c r="H25" i="145" s="1"/>
  <c r="H25" i="144" l="1"/>
  <c r="H16" i="144"/>
  <c r="H8" i="144"/>
  <c r="H36" i="144"/>
  <c r="H34" i="144"/>
  <c r="H33" i="144"/>
  <c r="H31" i="144"/>
  <c r="G40" i="144"/>
  <c r="H6" i="144"/>
  <c r="F6" i="145"/>
  <c r="H13" i="144"/>
  <c r="H11" i="144"/>
  <c r="H7" i="144"/>
  <c r="H22" i="144"/>
  <c r="H20" i="144"/>
  <c r="H18" i="144"/>
  <c r="H17" i="144"/>
  <c r="H15" i="144"/>
  <c r="H9" i="144"/>
  <c r="H28" i="144"/>
  <c r="H26" i="144"/>
  <c r="H21" i="144"/>
  <c r="H19" i="144"/>
  <c r="H14" i="144"/>
  <c r="H29" i="144"/>
  <c r="H27" i="144"/>
  <c r="H37" i="144"/>
  <c r="H35" i="144"/>
  <c r="H24" i="144"/>
  <c r="H32" i="144"/>
  <c r="H30" i="144"/>
  <c r="H23" i="144"/>
  <c r="H12" i="144"/>
  <c r="H10" i="144"/>
  <c r="F40" i="145" l="1"/>
  <c r="H40" i="144"/>
  <c r="H44" i="144" s="1"/>
  <c r="F37" i="146" l="1"/>
  <c r="F22" i="146"/>
  <c r="H22" i="146" s="1"/>
  <c r="F26" i="146"/>
  <c r="H26" i="146" s="1"/>
  <c r="F30" i="146"/>
  <c r="H30" i="146" s="1"/>
  <c r="F7" i="146"/>
  <c r="H7" i="146" s="1"/>
  <c r="F11" i="146"/>
  <c r="H11" i="146" s="1"/>
  <c r="F19" i="146"/>
  <c r="H19" i="146" s="1"/>
  <c r="F35" i="146"/>
  <c r="H35" i="146" s="1"/>
  <c r="F8" i="146"/>
  <c r="H8" i="146" s="1"/>
  <c r="F20" i="146"/>
  <c r="H20" i="146" s="1"/>
  <c r="F24" i="146"/>
  <c r="H24" i="146" s="1"/>
  <c r="F36" i="146"/>
  <c r="H36" i="146" s="1"/>
  <c r="F10" i="146"/>
  <c r="H10" i="146" s="1"/>
  <c r="F14" i="146"/>
  <c r="H14" i="146" s="1"/>
  <c r="F18" i="146"/>
  <c r="H18" i="146" s="1"/>
  <c r="F34" i="146"/>
  <c r="H34" i="146" s="1"/>
  <c r="F15" i="146"/>
  <c r="H15" i="146" s="1"/>
  <c r="F23" i="146"/>
  <c r="H23" i="146" s="1"/>
  <c r="F27" i="146"/>
  <c r="H27" i="146" s="1"/>
  <c r="F31" i="146"/>
  <c r="H31" i="146" s="1"/>
  <c r="F12" i="146"/>
  <c r="H12" i="146" s="1"/>
  <c r="F16" i="146"/>
  <c r="H16" i="146" s="1"/>
  <c r="F28" i="146"/>
  <c r="H28" i="146" s="1"/>
  <c r="F32" i="146"/>
  <c r="H32" i="146" s="1"/>
  <c r="F9" i="146"/>
  <c r="H9" i="146" s="1"/>
  <c r="F13" i="146"/>
  <c r="H13" i="146" s="1"/>
  <c r="F17" i="146"/>
  <c r="H17" i="146" s="1"/>
  <c r="F21" i="146"/>
  <c r="H21" i="146" s="1"/>
  <c r="F25" i="146"/>
  <c r="H25" i="146" s="1"/>
  <c r="F29" i="146"/>
  <c r="H29" i="146" s="1"/>
  <c r="F33" i="146"/>
  <c r="H33" i="146" s="1"/>
  <c r="F37" i="147" l="1"/>
  <c r="H37" i="147" s="1"/>
  <c r="H37" i="146"/>
  <c r="G40" i="145"/>
  <c r="F6" i="146"/>
  <c r="H6" i="145"/>
  <c r="H40" i="145" s="1"/>
  <c r="F40" i="146" l="1"/>
  <c r="H6" i="146" s="1"/>
  <c r="F6" i="147"/>
  <c r="H6" i="147" l="1"/>
  <c r="G6" i="148"/>
  <c r="G40" i="147"/>
  <c r="H40" i="146" l="1"/>
  <c r="G20" i="148" l="1"/>
  <c r="F20" i="147"/>
  <c r="H20" i="147" s="1"/>
  <c r="F13" i="147" l="1"/>
  <c r="H13" i="147" s="1"/>
  <c r="G13" i="148"/>
  <c r="G21" i="148"/>
  <c r="F21" i="147"/>
  <c r="H21" i="147" s="1"/>
  <c r="F15" i="147"/>
  <c r="H15" i="147" s="1"/>
  <c r="G15" i="148"/>
  <c r="F14" i="147"/>
  <c r="H14" i="147" s="1"/>
  <c r="G14" i="148"/>
  <c r="G30" i="148"/>
  <c r="F30" i="147"/>
  <c r="H30" i="147" s="1"/>
  <c r="G26" i="148"/>
  <c r="F26" i="147"/>
  <c r="H26" i="147" s="1"/>
  <c r="F35" i="147"/>
  <c r="H35" i="147" s="1"/>
  <c r="G35" i="148"/>
  <c r="F31" i="147"/>
  <c r="H31" i="147" s="1"/>
  <c r="G31" i="148"/>
  <c r="G23" i="148"/>
  <c r="F23" i="147"/>
  <c r="H23" i="147" s="1"/>
  <c r="F34" i="147"/>
  <c r="H34" i="147" s="1"/>
  <c r="G34" i="148"/>
  <c r="G36" i="148"/>
  <c r="F36" i="147"/>
  <c r="H36" i="147" s="1"/>
  <c r="F10" i="147"/>
  <c r="H10" i="147" s="1"/>
  <c r="G10" i="148"/>
  <c r="G18" i="148"/>
  <c r="F18" i="147"/>
  <c r="H18" i="147" s="1"/>
  <c r="F32" i="147"/>
  <c r="H32" i="147" s="1"/>
  <c r="G32" i="148"/>
  <c r="F17" i="147"/>
  <c r="H17" i="147" s="1"/>
  <c r="G17" i="148"/>
  <c r="F24" i="147"/>
  <c r="H24" i="147" s="1"/>
  <c r="G24" i="148"/>
  <c r="F11" i="147"/>
  <c r="H11" i="147" s="1"/>
  <c r="G11" i="148"/>
  <c r="F16" i="147"/>
  <c r="H16" i="147" s="1"/>
  <c r="G16" i="148"/>
  <c r="F29" i="147"/>
  <c r="H29" i="147" s="1"/>
  <c r="G29" i="148"/>
  <c r="G12" i="148"/>
  <c r="F12" i="147"/>
  <c r="H12" i="147" s="1"/>
  <c r="F9" i="147"/>
  <c r="H9" i="147" s="1"/>
  <c r="G9" i="148"/>
  <c r="F27" i="147"/>
  <c r="H27" i="147" s="1"/>
  <c r="G27" i="148"/>
  <c r="F22" i="147"/>
  <c r="H22" i="147" s="1"/>
  <c r="G22" i="148"/>
  <c r="G19" i="148"/>
  <c r="F19" i="147"/>
  <c r="H19" i="147" s="1"/>
  <c r="F28" i="147"/>
  <c r="H28" i="147" s="1"/>
  <c r="G28" i="148"/>
  <c r="F33" i="147"/>
  <c r="H33" i="147" s="1"/>
  <c r="G33" i="148"/>
  <c r="F8" i="147"/>
  <c r="H8" i="147" s="1"/>
  <c r="G8" i="148"/>
  <c r="G25" i="148"/>
  <c r="F25" i="147"/>
  <c r="H25" i="147" s="1"/>
  <c r="F7" i="147"/>
  <c r="H7" i="147" s="1"/>
  <c r="G7" i="148"/>
  <c r="G40" i="146"/>
  <c r="H40" i="147" l="1"/>
  <c r="G40" i="148"/>
  <c r="F40" i="147"/>
</calcChain>
</file>

<file path=xl/comments1.xml><?xml version="1.0" encoding="utf-8"?>
<comments xmlns="http://schemas.openxmlformats.org/spreadsheetml/2006/main">
  <authors>
    <author>DJUOMBESSY</author>
  </authors>
  <commentList>
    <comment ref="L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EN CAISSE OBSEQUES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S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D3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T30 147 000
T60 46 000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ASSURANCE 
 1 155 000
T30 88 000
T100 1 275 500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54 400
PENALITE  131 750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T30 285 000
T60 488 000
PENALITE 108 500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VERST EFFECTUE PAR DOMO FABIEN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T30 100 000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G4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1 155 000
SAISIE INTERET 42 500
DETTE T100 554 500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
 1 040 000
DETTE T100 536 000
COTISATION T30  23 000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1 080 000
DETTE T30 98 500
COITSATION T30 46 000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E4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G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S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sharedStrings.xml><?xml version="1.0" encoding="utf-8"?>
<sst xmlns="http://schemas.openxmlformats.org/spreadsheetml/2006/main" count="2468" uniqueCount="340">
  <si>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</si>
  <si>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</si>
  <si>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</si>
  <si>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</si>
  <si>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</si>
  <si>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</si>
  <si>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</si>
  <si>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</si>
  <si>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</si>
  <si>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</si>
  <si>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</si>
  <si>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</si>
  <si>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</si>
  <si>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</si>
  <si>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</si>
  <si>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</si>
  <si>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</si>
  <si>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</si>
  <si>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</si>
  <si>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</si>
  <si>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</si>
  <si>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</si>
  <si>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</si>
  <si>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</si>
  <si>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</si>
  <si>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</si>
  <si>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</si>
  <si>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</si>
  <si>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</si>
  <si>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</si>
  <si>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</si>
  <si>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</si>
  <si>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</si>
  <si>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</si>
  <si>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</si>
  <si>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</si>
  <si>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</si>
  <si>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</si>
  <si>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</si>
  <si>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</si>
  <si>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</si>
  <si>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</si>
  <si>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</si>
  <si>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</si>
  <si>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</si>
  <si>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</si>
  <si>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</si>
  <si>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</si>
  <si>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</si>
  <si>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</si>
  <si>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</si>
  <si>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</si>
  <si>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</si>
  <si>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</si>
  <si>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</si>
  <si>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</si>
  <si>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</si>
  <si>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</si>
  <si>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</si>
  <si>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</si>
  <si>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</si>
  <si>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</si>
  <si>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</si>
  <si>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</si>
  <si>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</si>
  <si>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</si>
  <si>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</si>
  <si>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</si>
  <si>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</si>
  <si>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</si>
  <si>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</si>
  <si>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</si>
  <si>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</si>
  <si>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</si>
  <si>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</si>
  <si>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</si>
  <si>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</si>
  <si>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</si>
  <si>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</si>
  <si>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</si>
  <si>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</si>
  <si>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</si>
  <si>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</si>
  <si>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</si>
  <si>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</si>
  <si>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</si>
  <si>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</si>
  <si>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</si>
  <si>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</si>
  <si>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</si>
  <si>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</si>
  <si>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</si>
  <si>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</si>
  <si>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</si>
  <si>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</si>
  <si>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</si>
  <si>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</si>
  <si>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</si>
  <si>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</si>
  <si>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</si>
  <si>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</si>
  <si>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</si>
  <si>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</si>
  <si>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</si>
  <si>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</si>
  <si>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</si>
  <si>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</si>
  <si>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</si>
  <si>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</si>
  <si>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</si>
  <si>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</si>
  <si>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</si>
  <si>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</si>
  <si>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</si>
  <si>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</si>
  <si>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</si>
  <si>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</si>
  <si>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</si>
  <si>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</si>
  <si>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</si>
  <si>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</si>
  <si>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</si>
  <si>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</si>
  <si>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</si>
  <si>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</si>
  <si>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</si>
  <si>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</si>
  <si>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</si>
  <si>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</si>
  <si>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</si>
  <si>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</si>
  <si>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</si>
  <si>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</si>
  <si>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</si>
  <si>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</si>
  <si>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</si>
  <si>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</si>
  <si>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</si>
  <si>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</si>
  <si>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</si>
  <si>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</si>
  <si>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</si>
  <si>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</si>
  <si>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</si>
  <si>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</si>
  <si>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</si>
  <si>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</si>
  <si>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</si>
  <si>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</si>
  <si>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</si>
  <si>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</si>
  <si>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</si>
  <si>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</si>
  <si>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</si>
  <si>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</si>
  <si>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</si>
  <si>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</si>
  <si>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</si>
  <si>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</si>
  <si>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</si>
  <si>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</si>
  <si>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</si>
  <si>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</si>
  <si>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</si>
  <si>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</si>
  <si>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</si>
  <si>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</si>
  <si>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</si>
  <si>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</si>
  <si>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</si>
  <si>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</si>
  <si>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</si>
  <si>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</si>
  <si>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</si>
  <si>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</si>
  <si>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</si>
  <si>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</si>
  <si>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</si>
  <si>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</si>
  <si>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</si>
  <si>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</si>
  <si>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</si>
  <si>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</si>
  <si>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</si>
  <si>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</si>
  <si>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</si>
  <si>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</si>
  <si>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</si>
  <si>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</si>
  <si>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</si>
  <si>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</si>
  <si>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</si>
  <si>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</si>
  <si>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</si>
  <si>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</si>
  <si>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</si>
  <si>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</si>
  <si>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</si>
  <si>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</si>
  <si>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</si>
  <si>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</si>
  <si>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</si>
  <si>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</si>
  <si>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</si>
  <si>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</si>
  <si>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</si>
  <si>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</si>
  <si>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</si>
  <si>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</si>
  <si>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</si>
  <si>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</si>
  <si>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</si>
  <si>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</si>
  <si>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</si>
  <si>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</si>
  <si>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</si>
  <si>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</si>
  <si>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</si>
  <si>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</si>
  <si>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</si>
  <si>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</si>
  <si>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</si>
  <si>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</si>
  <si>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</si>
  <si>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</si>
  <si>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</si>
  <si>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</si>
  <si>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</si>
  <si>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</si>
  <si>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</si>
  <si>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</si>
  <si>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</si>
  <si>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</si>
  <si>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</si>
  <si>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</si>
  <si>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</si>
  <si>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</si>
  <si>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</si>
  <si>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</si>
  <si>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</si>
  <si>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</si>
  <si>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</si>
  <si>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</si>
  <si>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</si>
  <si>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</si>
  <si>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</si>
  <si>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</si>
  <si>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</si>
  <si>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</si>
  <si>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</si>
  <si>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</si>
  <si>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</si>
  <si>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</si>
  <si>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</si>
  <si>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</si>
  <si>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</si>
  <si>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</si>
  <si>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</si>
  <si>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</si>
  <si>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</si>
  <si>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</si>
  <si>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</si>
  <si>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</si>
  <si>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</si>
  <si>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</si>
  <si>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</si>
  <si>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</si>
  <si>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</si>
  <si>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</si>
  <si>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</si>
  <si>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</si>
  <si>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</si>
  <si>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</si>
  <si>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</si>
  <si>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</si>
  <si>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</si>
  <si>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</si>
  <si>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</si>
  <si>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</si>
  <si>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</si>
  <si>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</si>
  <si>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</si>
  <si>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</si>
  <si>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</si>
  <si>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</si>
  <si>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</si>
  <si>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</si>
  <si>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</si>
  <si>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</si>
  <si>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</si>
  <si>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</si>
  <si>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</si>
  <si>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</si>
  <si>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</si>
  <si>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</si>
  <si>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</si>
  <si>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</si>
  <si>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</si>
  <si>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</si>
  <si>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</si>
  <si>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</si>
  <si>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</si>
  <si>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</si>
  <si>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</si>
  <si>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</si>
  <si>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</si>
  <si>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</si>
  <si>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</si>
  <si>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</si>
  <si>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</si>
  <si>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</si>
  <si>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</si>
  <si>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</si>
  <si>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</si>
  <si>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</si>
  <si>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</si>
  <si>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</si>
  <si>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</si>
  <si>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</si>
  <si>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</si>
  <si>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</si>
  <si>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</si>
  <si>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MONTANT GRATIFICATION 2021</t>
  </si>
  <si>
    <t>DATE DE REMBOURSEMENT</t>
  </si>
  <si>
    <t>PAIEMENT GRATIFICATION 2022</t>
  </si>
  <si>
    <t>DEPENSE COLLATION RECEPTION</t>
  </si>
  <si>
    <t>DEPENSE FONDS MUTUELLE</t>
  </si>
  <si>
    <t>DEPENSE FRAIS EXCEPTIONNEL</t>
  </si>
  <si>
    <t>DEPENSE FONDS DE ROULEMENT</t>
  </si>
  <si>
    <t>PRÊT A REMBOURSER</t>
  </si>
  <si>
    <t>DATE REMBOURSEMENT</t>
  </si>
  <si>
    <t>INTERET A PAYER</t>
  </si>
  <si>
    <t>INTERET A EXERCISE</t>
  </si>
  <si>
    <t>ENALITE ECHEC TONTINE</t>
  </si>
  <si>
    <t>LIQUIDATION FONDS</t>
  </si>
  <si>
    <t>SIMO FOGANG ERIC</t>
  </si>
  <si>
    <t>EPARGNE MODIFIEE</t>
  </si>
  <si>
    <t>RECONDUCTION</t>
  </si>
  <si>
    <t>COMPLEMENT</t>
  </si>
  <si>
    <t>SOLDE FIN DEC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</si>
</sst>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3" fontId="27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3" fontId="34" fillId="0" borderId="0" xfId="0" applyNumberFormat="1" applyFont="1"/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3.xml"/><Relationship Id="rId63" Type="http://schemas.openxmlformats.org/officeDocument/2006/relationships/externalLink" Target="externalLinks/externalLink19.xml"/><Relationship Id="rId68" Type="http://schemas.openxmlformats.org/officeDocument/2006/relationships/externalLink" Target="externalLinks/externalLink2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3" Type="http://schemas.openxmlformats.org/officeDocument/2006/relationships/externalLink" Target="externalLinks/externalLink9.xml"/><Relationship Id="rId58" Type="http://schemas.openxmlformats.org/officeDocument/2006/relationships/externalLink" Target="externalLinks/externalLink14.xml"/><Relationship Id="rId66" Type="http://schemas.openxmlformats.org/officeDocument/2006/relationships/externalLink" Target="externalLinks/externalLink22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4.xml"/><Relationship Id="rId56" Type="http://schemas.openxmlformats.org/officeDocument/2006/relationships/externalLink" Target="externalLinks/externalLink12.xml"/><Relationship Id="rId64" Type="http://schemas.openxmlformats.org/officeDocument/2006/relationships/externalLink" Target="externalLinks/externalLink20.xml"/><Relationship Id="rId69" Type="http://schemas.openxmlformats.org/officeDocument/2006/relationships/externalLink" Target="externalLinks/externalLink25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7.xml"/><Relationship Id="rId72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59" Type="http://schemas.openxmlformats.org/officeDocument/2006/relationships/externalLink" Target="externalLinks/externalLink15.xml"/><Relationship Id="rId67" Type="http://schemas.openxmlformats.org/officeDocument/2006/relationships/externalLink" Target="externalLinks/externalLink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0.xml"/><Relationship Id="rId62" Type="http://schemas.openxmlformats.org/officeDocument/2006/relationships/externalLink" Target="externalLinks/externalLink18.xml"/><Relationship Id="rId70" Type="http://schemas.openxmlformats.org/officeDocument/2006/relationships/externalLink" Target="externalLinks/externalLink26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5.xml"/><Relationship Id="rId57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8.xml"/><Relationship Id="rId60" Type="http://schemas.openxmlformats.org/officeDocument/2006/relationships/externalLink" Target="externalLinks/externalLink16.xml"/><Relationship Id="rId65" Type="http://schemas.openxmlformats.org/officeDocument/2006/relationships/externalLink" Target="externalLinks/externalLink21.xml"/><Relationship Id="rId73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6.xml"/><Relationship Id="rId55" Type="http://schemas.openxmlformats.org/officeDocument/2006/relationships/externalLink" Target="externalLinks/externalLink11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AUTREMOUVEMEN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10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2TABBOR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UTRESDOC/FINANCES%20EXERCICE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OR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2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60000%20-%202018_2019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2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3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50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50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  <row r="51">
          <cell r="E51">
            <v>600000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GESTIONINTERET"/>
      <sheetName val="ECHEC TONTINE"/>
      <sheetName val="DETTE ENVELOPPE2020"/>
      <sheetName val="AIDEDEUIL"/>
      <sheetName val="RECONS_RETRAITE"/>
      <sheetName val="EMPRUNT"/>
      <sheetName val="EPARGNEASSURANCE"/>
      <sheetName val="RECAPTONTINE"/>
      <sheetName val="EMOLUMENT"/>
      <sheetName val="REPARINTERET"/>
      <sheetName val="GESTTRESORERIE"/>
      <sheetName val="DIST ESPECES KOLOKO"/>
      <sheetName val="LISTEADHERANT"/>
      <sheetName val="GESTIONINTERET BACKUP2020"/>
      <sheetName val="REPARINTERETBACKUP2020"/>
      <sheetName val="MVTRESUME20 (2)"/>
      <sheetName val="DISTINTERET"/>
      <sheetName val="MVTRESUME2020"/>
      <sheetName val="REPARINTERET (2)"/>
      <sheetName val="DETTE ENVE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>
        <row r="86">
          <cell r="G86">
            <v>33750</v>
          </cell>
        </row>
      </sheetData>
      <sheetData sheetId="5">
        <row r="86">
          <cell r="I86">
            <v>202500</v>
          </cell>
        </row>
      </sheetData>
      <sheetData sheetId="6">
        <row r="86">
          <cell r="I86">
            <v>155500</v>
          </cell>
        </row>
      </sheetData>
      <sheetData sheetId="7">
        <row r="86">
          <cell r="I86">
            <v>48000</v>
          </cell>
        </row>
      </sheetData>
      <sheetData sheetId="8">
        <row r="86">
          <cell r="I86">
            <v>0</v>
          </cell>
        </row>
      </sheetData>
      <sheetData sheetId="9">
        <row r="86">
          <cell r="I86">
            <v>616000</v>
          </cell>
        </row>
      </sheetData>
      <sheetData sheetId="10">
        <row r="86">
          <cell r="I86">
            <v>0</v>
          </cell>
        </row>
      </sheetData>
      <sheetData sheetId="11">
        <row r="86">
          <cell r="I86">
            <v>34000</v>
          </cell>
        </row>
      </sheetData>
      <sheetData sheetId="12">
        <row r="86">
          <cell r="I86">
            <v>34000</v>
          </cell>
        </row>
      </sheetData>
      <sheetData sheetId="13">
        <row r="86">
          <cell r="I86">
            <v>202000</v>
          </cell>
        </row>
      </sheetData>
      <sheetData sheetId="14"/>
      <sheetData sheetId="15"/>
      <sheetData sheetId="16"/>
      <sheetData sheetId="17">
        <row r="4">
          <cell r="G4">
            <v>1081.9642857142858</v>
          </cell>
        </row>
      </sheetData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>
        <row r="6">
          <cell r="K6">
            <v>97829.082108307513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  <cell r="I5" t="str">
            <v>ACTIF</v>
          </cell>
          <cell r="J5">
            <v>44958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  <cell r="I6" t="str">
            <v>ACTIF</v>
          </cell>
          <cell r="J6">
            <v>45017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  <cell r="I7" t="str">
            <v>ACTIF</v>
          </cell>
          <cell r="J7">
            <v>45139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  <cell r="I8" t="str">
            <v>ACTIF</v>
          </cell>
          <cell r="J8">
            <v>45170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  <cell r="J9">
            <v>45413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  <cell r="I10" t="str">
            <v>ACTIF</v>
          </cell>
          <cell r="J10">
            <v>45474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  <cell r="I11" t="str">
            <v>ACTIF</v>
          </cell>
          <cell r="J11">
            <v>45505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  <cell r="I12" t="str">
            <v>ACTIF</v>
          </cell>
          <cell r="J12">
            <v>45536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  <cell r="I13" t="str">
            <v>ACTIF</v>
          </cell>
          <cell r="J13">
            <v>45627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  <cell r="I14" t="str">
            <v>ACTIF</v>
          </cell>
          <cell r="J14">
            <v>44562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  <cell r="I15" t="str">
            <v>ACTIF</v>
          </cell>
          <cell r="J15">
            <v>44866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  <cell r="I16" t="str">
            <v>ACTIF</v>
          </cell>
          <cell r="J16">
            <v>44348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  <cell r="I17" t="str">
            <v>ACTIF</v>
          </cell>
          <cell r="J17">
            <v>44986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  <cell r="I18" t="str">
            <v>ACTIF</v>
          </cell>
          <cell r="J18">
            <v>44378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  <cell r="I19" t="str">
            <v>ACTIF</v>
          </cell>
          <cell r="J19">
            <v>44256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  <cell r="I20" t="str">
            <v>ACTIF</v>
          </cell>
          <cell r="J20">
            <v>45078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  <cell r="I21" t="str">
            <v>ACTIF</v>
          </cell>
          <cell r="J21">
            <v>45047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  <cell r="I22" t="str">
            <v>ACTIF</v>
          </cell>
          <cell r="J22">
            <v>45078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  <cell r="I23" t="str">
            <v>ACTIF</v>
          </cell>
          <cell r="J23">
            <v>45078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  <cell r="I24" t="str">
            <v>ACTIF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  <cell r="I25" t="str">
            <v>ACTIF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  <cell r="I26" t="str">
            <v>ACTIF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  <cell r="I27" t="str">
            <v>ACTIF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  <cell r="I28" t="str">
            <v>ACTIF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  <cell r="I29" t="str">
            <v>ACTIF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/>
          <cell r="G30"/>
          <cell r="H30"/>
          <cell r="I30" t="str">
            <v>ACTIF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  <cell r="I31" t="str">
            <v>ACTIF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  <cell r="I32" t="str">
            <v>ACTIF</v>
          </cell>
          <cell r="J32">
            <v>45017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  <cell r="I33" t="str">
            <v>ACTIF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  <cell r="I34" t="str">
            <v>ACTIF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/>
          <cell r="G35"/>
          <cell r="H35"/>
          <cell r="I35"/>
        </row>
        <row r="36">
          <cell r="A36" t="str">
            <v>AS201629</v>
          </cell>
          <cell r="B36"/>
          <cell r="C36" t="str">
            <v>NKEPSEU DIEUDONNE</v>
          </cell>
          <cell r="D36"/>
          <cell r="E36"/>
          <cell r="F36"/>
          <cell r="G36"/>
          <cell r="H36"/>
          <cell r="I36"/>
        </row>
        <row r="37">
          <cell r="A37" t="str">
            <v>AS201653</v>
          </cell>
          <cell r="B37"/>
          <cell r="C37"/>
          <cell r="D37"/>
          <cell r="E37"/>
          <cell r="F37"/>
          <cell r="G37"/>
          <cell r="H37"/>
          <cell r="I37"/>
        </row>
        <row r="38">
          <cell r="A38" t="str">
            <v>AS201654</v>
          </cell>
          <cell r="B38"/>
          <cell r="C38"/>
          <cell r="D38"/>
          <cell r="E38"/>
          <cell r="F38"/>
          <cell r="G38"/>
          <cell r="H38"/>
          <cell r="I38"/>
        </row>
        <row r="39">
          <cell r="A39" t="str">
            <v>AS201656</v>
          </cell>
          <cell r="B39"/>
          <cell r="C39"/>
          <cell r="D39"/>
          <cell r="E39"/>
          <cell r="F39"/>
          <cell r="G39"/>
          <cell r="H39"/>
          <cell r="I39"/>
        </row>
        <row r="40">
          <cell r="A40" t="str">
            <v>AS201657</v>
          </cell>
          <cell r="B40"/>
          <cell r="C40"/>
          <cell r="D40"/>
          <cell r="E40"/>
          <cell r="F40"/>
          <cell r="G40"/>
          <cell r="H40"/>
          <cell r="I40"/>
        </row>
        <row r="41">
          <cell r="A41" t="str">
            <v>AS201658</v>
          </cell>
          <cell r="B41"/>
          <cell r="C41"/>
          <cell r="D41"/>
          <cell r="E41"/>
          <cell r="F41"/>
          <cell r="G41"/>
          <cell r="H41"/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2"/>
      <sheetName val="HISTODEC21"/>
      <sheetName val="HISTOJANV23"/>
      <sheetName val="HISTOJANV22"/>
      <sheetName val="HISTOFEV22"/>
      <sheetName val="HISTOMARS22"/>
      <sheetName val="HISTOAVRIL22"/>
      <sheetName val="HISTOMAI22"/>
      <sheetName val="HISTOJUIN22"/>
      <sheetName val="HISTOJUIL22"/>
      <sheetName val="HISTOAOUT22"/>
      <sheetName val="HISTOSEPT22"/>
      <sheetName val="HISTOOCT22"/>
      <sheetName val="HISTONOV22"/>
      <sheetName val="HISTODEC22"/>
      <sheetName val="DETAILSORTIE"/>
    </sheetNames>
    <sheetDataSet>
      <sheetData sheetId="0" refreshError="1"/>
      <sheetData sheetId="1" refreshError="1">
        <row r="39">
          <cell r="T39">
            <v>0</v>
          </cell>
        </row>
      </sheetData>
      <sheetData sheetId="2" refreshError="1"/>
      <sheetData sheetId="3" refreshError="1"/>
      <sheetData sheetId="4" refreshError="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171000</v>
          </cell>
          <cell r="D7">
            <v>105000</v>
          </cell>
          <cell r="E7">
            <v>105000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S7">
            <v>504000</v>
          </cell>
          <cell r="T7" t="str">
            <v>BANQUE</v>
          </cell>
          <cell r="U7">
            <v>609000</v>
          </cell>
          <cell r="Z7">
            <v>525000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399000</v>
          </cell>
          <cell r="D8">
            <v>150000</v>
          </cell>
          <cell r="E8">
            <v>399000</v>
          </cell>
          <cell r="F8">
            <v>1000000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1150000</v>
          </cell>
          <cell r="Z8">
            <v>1000000</v>
          </cell>
          <cell r="AA8" t="str">
            <v>BANQUE</v>
          </cell>
          <cell r="AB8" t="str">
            <v>OK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</row>
        <row r="9">
          <cell r="A9" t="str">
            <v>AS201654</v>
          </cell>
          <cell r="B9" t="str">
            <v>DJOMOU TCHANDA</v>
          </cell>
          <cell r="C9">
            <v>180000</v>
          </cell>
          <cell r="D9">
            <v>30000</v>
          </cell>
          <cell r="E9">
            <v>67000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51000</v>
          </cell>
          <cell r="D10">
            <v>110000</v>
          </cell>
          <cell r="E10">
            <v>0</v>
          </cell>
          <cell r="F10">
            <v>1051000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1110000</v>
          </cell>
          <cell r="Z10">
            <v>1000000</v>
          </cell>
          <cell r="AA10" t="str">
            <v>BANQUE</v>
          </cell>
          <cell r="AB10" t="str">
            <v>OK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</row>
        <row r="11">
          <cell r="A11" t="str">
            <v>AS201608</v>
          </cell>
          <cell r="B11" t="str">
            <v>DJUOMBESSY ANTOINE</v>
          </cell>
          <cell r="C11">
            <v>1235000</v>
          </cell>
          <cell r="D11">
            <v>205000</v>
          </cell>
          <cell r="E11">
            <v>359000</v>
          </cell>
          <cell r="F11">
            <v>1966000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1029000</v>
          </cell>
          <cell r="T11" t="str">
            <v>BANQUE</v>
          </cell>
          <cell r="U11">
            <v>1234000</v>
          </cell>
          <cell r="Z11">
            <v>1029000</v>
          </cell>
          <cell r="AA11" t="str">
            <v>BANQUE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-37000</v>
          </cell>
          <cell r="D13">
            <v>30000</v>
          </cell>
          <cell r="E13">
            <v>33000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70000</v>
          </cell>
          <cell r="D15">
            <v>105000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-70000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1070000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594000</v>
          </cell>
          <cell r="D18">
            <v>411000</v>
          </cell>
          <cell r="E18">
            <v>594000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1874000</v>
          </cell>
          <cell r="D20">
            <v>455000</v>
          </cell>
          <cell r="E20">
            <v>0</v>
          </cell>
          <cell r="F20">
            <v>1874000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U20">
            <v>455000</v>
          </cell>
          <cell r="Z20">
            <v>1050000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70000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1071000</v>
          </cell>
          <cell r="D22">
            <v>1029000</v>
          </cell>
          <cell r="E22">
            <v>0</v>
          </cell>
          <cell r="F22">
            <v>1071000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Z22">
            <v>924000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101000</v>
          </cell>
          <cell r="D23">
            <v>140000</v>
          </cell>
          <cell r="E23">
            <v>101000</v>
          </cell>
          <cell r="F23">
            <v>500000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S23">
            <v>500000</v>
          </cell>
          <cell r="T23" t="str">
            <v>BANQUE</v>
          </cell>
          <cell r="U23">
            <v>640000</v>
          </cell>
          <cell r="Z23">
            <v>500000</v>
          </cell>
          <cell r="AA23" t="str">
            <v>BANQUE</v>
          </cell>
          <cell r="AB23" t="str">
            <v>OK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AS201624</v>
          </cell>
          <cell r="B24" t="str">
            <v>NGONDIEP CLAUDE</v>
          </cell>
          <cell r="C24">
            <v>309500</v>
          </cell>
          <cell r="D24">
            <v>210000</v>
          </cell>
          <cell r="E24">
            <v>309500</v>
          </cell>
          <cell r="F24">
            <v>1070000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S24">
            <v>1000000</v>
          </cell>
          <cell r="T24" t="str">
            <v>BANQUE</v>
          </cell>
          <cell r="U24">
            <v>1210000</v>
          </cell>
          <cell r="Z24">
            <v>1000000</v>
          </cell>
          <cell r="AA24" t="str">
            <v>BANQUE</v>
          </cell>
          <cell r="AB24" t="str">
            <v>OK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1000000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B25" t="str">
            <v>OK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417000</v>
          </cell>
          <cell r="D26">
            <v>105000</v>
          </cell>
          <cell r="E26">
            <v>446500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1000000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S28">
            <v>1000000</v>
          </cell>
          <cell r="T28" t="str">
            <v>BANQUE</v>
          </cell>
          <cell r="U28">
            <v>1140000</v>
          </cell>
          <cell r="Z28">
            <v>1000000</v>
          </cell>
          <cell r="AA28" t="str">
            <v>BANQUE</v>
          </cell>
          <cell r="AB28" t="str">
            <v>OK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391000</v>
          </cell>
          <cell r="D30">
            <v>105000</v>
          </cell>
          <cell r="E30">
            <v>321000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-60000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</row>
        <row r="33">
          <cell r="A33" t="str">
            <v>AS201641</v>
          </cell>
          <cell r="B33" t="str">
            <v>TCHOUAMOU MATHIEU</v>
          </cell>
          <cell r="C33">
            <v>560000</v>
          </cell>
          <cell r="D33">
            <v>30000</v>
          </cell>
          <cell r="E33">
            <v>0</v>
          </cell>
          <cell r="F33">
            <v>1120000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S33">
            <v>560000</v>
          </cell>
          <cell r="T33" t="str">
            <v>BANQUE</v>
          </cell>
          <cell r="U33">
            <v>590000</v>
          </cell>
          <cell r="Z33">
            <v>560000</v>
          </cell>
          <cell r="AA33" t="str">
            <v>BANQUE</v>
          </cell>
          <cell r="AB33" t="str">
            <v>OK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342750</v>
          </cell>
          <cell r="D35">
            <v>0</v>
          </cell>
          <cell r="E35">
            <v>159000</v>
          </cell>
          <cell r="F35">
            <v>213750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213000</v>
          </cell>
          <cell r="D36">
            <v>280000</v>
          </cell>
          <cell r="E36">
            <v>283000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8882250</v>
          </cell>
          <cell r="D38">
            <v>4880000</v>
          </cell>
          <cell r="E38">
            <v>3187000</v>
          </cell>
          <cell r="F38">
            <v>13898750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8517000</v>
          </cell>
          <cell r="U38">
            <v>12475500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18986500</v>
          </cell>
          <cell r="AA38">
            <v>0</v>
          </cell>
          <cell r="AB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5" refreshError="1"/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121000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150000</v>
          </cell>
          <cell r="Z8">
            <v>1000000</v>
          </cell>
          <cell r="AA8" t="str">
            <v>BANQUE</v>
          </cell>
          <cell r="AB8" t="str">
            <v>OKK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  <cell r="AW8">
            <v>0</v>
          </cell>
          <cell r="AX8">
            <v>1205000</v>
          </cell>
          <cell r="AY8">
            <v>0</v>
          </cell>
          <cell r="AZ8">
            <v>2085000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U10">
            <v>110000</v>
          </cell>
          <cell r="Z10">
            <v>1000000</v>
          </cell>
          <cell r="AA10" t="str">
            <v>BANQUE</v>
          </cell>
          <cell r="AB10" t="str">
            <v>OKK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100000</v>
          </cell>
          <cell r="AY10">
            <v>0</v>
          </cell>
          <cell r="AZ10">
            <v>980000</v>
          </cell>
        </row>
        <row r="11">
          <cell r="A11" t="str">
            <v>AS201608</v>
          </cell>
          <cell r="B11" t="str">
            <v>DJUOMBESSY ANTOINE</v>
          </cell>
          <cell r="C11">
            <v>29000</v>
          </cell>
          <cell r="D11">
            <v>205000</v>
          </cell>
          <cell r="E11">
            <v>0</v>
          </cell>
          <cell r="F11">
            <v>1090000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1000000</v>
          </cell>
          <cell r="T11" t="str">
            <v>BANQUE</v>
          </cell>
          <cell r="U11">
            <v>1205000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1140000</v>
          </cell>
          <cell r="AZ11">
            <v>50000</v>
          </cell>
          <cell r="BB11">
            <v>61000</v>
          </cell>
        </row>
        <row r="12">
          <cell r="A12" t="str">
            <v>AS201651</v>
          </cell>
          <cell r="B12" t="str">
            <v>DOMOU FABIEN</v>
          </cell>
          <cell r="C12">
            <v>-57000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OKK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B12">
            <v>57000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100000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B13">
            <v>70000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1155000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220000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70000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26000</v>
          </cell>
          <cell r="AX18">
            <v>100000</v>
          </cell>
          <cell r="AY18">
            <v>60000</v>
          </cell>
          <cell r="AZ18">
            <v>1126000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OKK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485000</v>
          </cell>
        </row>
        <row r="20">
          <cell r="A20" t="str">
            <v>AS201649</v>
          </cell>
          <cell r="B20" t="str">
            <v>MBOGNING TUGMA GUY</v>
          </cell>
          <cell r="C20">
            <v>-1050000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S20">
            <v>1050000</v>
          </cell>
          <cell r="T20" t="str">
            <v>BANQUE</v>
          </cell>
          <cell r="U20">
            <v>1505000</v>
          </cell>
          <cell r="Z20">
            <v>1000000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261000</v>
          </cell>
          <cell r="AX20">
            <v>100000</v>
          </cell>
          <cell r="AY20">
            <v>0</v>
          </cell>
          <cell r="AZ20">
            <v>1241000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1029000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U23">
            <v>140000</v>
          </cell>
          <cell r="Z23">
            <v>500000</v>
          </cell>
          <cell r="AA23" t="str">
            <v>BANQUE</v>
          </cell>
          <cell r="AB23" t="str">
            <v>OKK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440000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210000</v>
          </cell>
          <cell r="Z24">
            <v>1000000</v>
          </cell>
          <cell r="AA24" t="str">
            <v>BANQUE</v>
          </cell>
          <cell r="AB24" t="str">
            <v>OKK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0</v>
          </cell>
          <cell r="AX24">
            <v>100000</v>
          </cell>
          <cell r="AY24">
            <v>0</v>
          </cell>
          <cell r="AZ24">
            <v>980000</v>
          </cell>
          <cell r="BB24">
            <v>70000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280000</v>
          </cell>
          <cell r="Z25">
            <v>1000000</v>
          </cell>
          <cell r="AA25" t="str">
            <v>BANQUE</v>
          </cell>
          <cell r="AB25" t="str">
            <v>OKK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286000</v>
          </cell>
          <cell r="AX25">
            <v>30500</v>
          </cell>
          <cell r="AY25">
            <v>100000</v>
          </cell>
          <cell r="AZ25">
            <v>1296500</v>
          </cell>
          <cell r="BB25">
            <v>70000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25000</v>
          </cell>
          <cell r="AX26">
            <v>100000</v>
          </cell>
          <cell r="AY26">
            <v>0</v>
          </cell>
          <cell r="AZ26">
            <v>1280000</v>
          </cell>
        </row>
        <row r="27">
          <cell r="A27" t="str">
            <v>AS201614</v>
          </cell>
          <cell r="B27" t="str">
            <v>NKEHE DAVID</v>
          </cell>
          <cell r="C27">
            <v>30000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1155000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U28">
            <v>140000</v>
          </cell>
          <cell r="Z28">
            <v>1000000</v>
          </cell>
          <cell r="AA28" t="str">
            <v>BANQUE</v>
          </cell>
          <cell r="AB28" t="str">
            <v>OKK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0</v>
          </cell>
          <cell r="AZ28">
            <v>880000</v>
          </cell>
        </row>
        <row r="29">
          <cell r="A29" t="str">
            <v>AS201633</v>
          </cell>
          <cell r="B29" t="str">
            <v>PATEGO NJOSSU GUSTAVE</v>
          </cell>
          <cell r="C29">
            <v>70000</v>
          </cell>
          <cell r="D29">
            <v>175000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1166000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190000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Z32">
            <v>500000</v>
          </cell>
          <cell r="AA32" t="str">
            <v>BANQUE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470000</v>
          </cell>
          <cell r="BB32">
            <v>70000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U33">
            <v>30000</v>
          </cell>
          <cell r="Z33">
            <v>560000</v>
          </cell>
          <cell r="AA33" t="str">
            <v>BANQUE</v>
          </cell>
          <cell r="AB33" t="str">
            <v>OKK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492800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1112500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1155000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350000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70000</v>
          </cell>
        </row>
        <row r="38">
          <cell r="B38" t="str">
            <v>TOTAUX</v>
          </cell>
          <cell r="C38">
            <v>-873000</v>
          </cell>
          <cell r="D38">
            <v>5445000</v>
          </cell>
          <cell r="E38">
            <v>62500</v>
          </cell>
          <cell r="F38">
            <v>1090000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2974000</v>
          </cell>
          <cell r="U38">
            <v>6932500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16958500</v>
          </cell>
          <cell r="AA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105000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500000</v>
          </cell>
          <cell r="AA7" t="str">
            <v>BANQUE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0</v>
          </cell>
          <cell r="L8">
            <v>1</v>
          </cell>
          <cell r="M8">
            <v>75000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1000000</v>
          </cell>
          <cell r="T8" t="str">
            <v>BANQUE</v>
          </cell>
          <cell r="U8">
            <v>1105000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1000000</v>
          </cell>
          <cell r="AA8" t="str">
            <v>BANQUE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1000000</v>
          </cell>
          <cell r="AA10" t="str">
            <v>BANQUE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206000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1000000</v>
          </cell>
          <cell r="AA11" t="str">
            <v>BANQUE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8000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1000000</v>
          </cell>
          <cell r="AA12" t="str">
            <v>BANQUE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23000</v>
          </cell>
          <cell r="AD13">
            <v>0</v>
          </cell>
          <cell r="AE13">
            <v>0</v>
          </cell>
          <cell r="AF13" t="str">
            <v>BANQUE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12000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0</v>
          </cell>
          <cell r="L15">
            <v>1</v>
          </cell>
          <cell r="M15">
            <v>75000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75000</v>
          </cell>
          <cell r="AE15">
            <v>0</v>
          </cell>
          <cell r="AF15" t="str">
            <v>BANQUE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1000000</v>
          </cell>
          <cell r="AA16" t="str">
            <v>BANQUE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Q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1000000</v>
          </cell>
          <cell r="AA18" t="str">
            <v>BANQUE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1000000</v>
          </cell>
          <cell r="AA19" t="str">
            <v>BANQUE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1000000</v>
          </cell>
          <cell r="AA20" t="str">
            <v>BANQUE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30000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500000</v>
          </cell>
          <cell r="AA21" t="str">
            <v>BANQUE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  <cell r="BK21">
            <v>70000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0</v>
          </cell>
          <cell r="L22">
            <v>1</v>
          </cell>
          <cell r="M22">
            <v>75000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1000000</v>
          </cell>
          <cell r="AA22" t="str">
            <v>BANQUE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600000</v>
          </cell>
          <cell r="AA23" t="str">
            <v>BANQUE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1000000</v>
          </cell>
          <cell r="AA24" t="str">
            <v>BANQUE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1000000</v>
          </cell>
          <cell r="AA25" t="str">
            <v>BANQUE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1000000</v>
          </cell>
          <cell r="BD25">
            <v>1000000</v>
          </cell>
          <cell r="BF25">
            <v>0</v>
          </cell>
          <cell r="BG25">
            <v>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K26">
            <v>0</v>
          </cell>
          <cell r="L26">
            <v>1</v>
          </cell>
          <cell r="M26">
            <v>75000</v>
          </cell>
          <cell r="N26">
            <v>0</v>
          </cell>
          <cell r="O26">
            <v>0</v>
          </cell>
          <cell r="P26">
            <v>41000</v>
          </cell>
          <cell r="Q26">
            <v>38500</v>
          </cell>
          <cell r="R26">
            <v>0</v>
          </cell>
          <cell r="S26">
            <v>1000000</v>
          </cell>
          <cell r="T26" t="str">
            <v>BANQUE</v>
          </cell>
          <cell r="U26">
            <v>1184500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1000000</v>
          </cell>
          <cell r="AA26" t="str">
            <v>BANQUE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K30">
            <v>0</v>
          </cell>
          <cell r="L30">
            <v>1</v>
          </cell>
          <cell r="M30">
            <v>75000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105000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23000</v>
          </cell>
          <cell r="AD30">
            <v>0</v>
          </cell>
          <cell r="AE30">
            <v>0</v>
          </cell>
          <cell r="AF30" t="str">
            <v>BANQUE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D30">
            <v>277000</v>
          </cell>
          <cell r="BF30">
            <v>0</v>
          </cell>
          <cell r="BG30">
            <v>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800000</v>
          </cell>
          <cell r="T32" t="str">
            <v>BANQUE</v>
          </cell>
          <cell r="U32">
            <v>905000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1000000</v>
          </cell>
          <cell r="AA32" t="str">
            <v>BANQUE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280000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  <cell r="BN36" t="str">
            <v>BOISSON</v>
          </cell>
          <cell r="BO36" t="str">
            <v>COLLATION</v>
          </cell>
        </row>
        <row r="37"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TOTAUX</v>
          </cell>
          <cell r="C38">
            <v>520000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14600000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16437000</v>
          </cell>
          <cell r="BA38">
            <v>0</v>
          </cell>
          <cell r="BB38">
            <v>9000</v>
          </cell>
          <cell r="BC38">
            <v>0</v>
          </cell>
          <cell r="BD38">
            <v>16499000</v>
          </cell>
          <cell r="BF38">
            <v>1118000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OUILLARD DE CAISSE 2023"/>
      <sheetName val="TONTINE PRESENCE EXO 2023 "/>
      <sheetName val="TONTINE 75000 EXO 2023"/>
      <sheetName val="TONTINE DE 100 000 EXO 2023"/>
      <sheetName val="EPARGNE 2023"/>
      <sheetName val="MOUVEMENTS PRETS 2023"/>
      <sheetName val="CAISSE 2023"/>
      <sheetName val="FOYER 2023"/>
      <sheetName val="SYNTHESE DES FINANCES"/>
    </sheetNames>
    <sheetDataSet>
      <sheetData sheetId="0"/>
      <sheetData sheetId="1"/>
      <sheetData sheetId="2"/>
      <sheetData sheetId="3"/>
      <sheetData sheetId="4">
        <row r="5">
          <cell r="A5" t="str">
            <v>AS201648</v>
          </cell>
          <cell r="B5" t="str">
            <v>ASELBY</v>
          </cell>
          <cell r="D5">
            <v>816543.52134848095</v>
          </cell>
          <cell r="E5">
            <v>816543.52134848095</v>
          </cell>
          <cell r="F5">
            <v>51868.550607761812</v>
          </cell>
          <cell r="G5">
            <v>868412.07195624278</v>
          </cell>
          <cell r="H5">
            <v>0</v>
          </cell>
          <cell r="I5">
            <v>0</v>
          </cell>
          <cell r="J5">
            <v>868412.07195624278</v>
          </cell>
          <cell r="K5">
            <v>0</v>
          </cell>
          <cell r="L5">
            <v>1189.8849021447127</v>
          </cell>
          <cell r="M5">
            <v>869601.95685838745</v>
          </cell>
          <cell r="N5">
            <v>0</v>
          </cell>
          <cell r="O5">
            <v>235.14556296699732</v>
          </cell>
          <cell r="P5">
            <v>869837.1024213545</v>
          </cell>
          <cell r="Q5">
            <v>0</v>
          </cell>
          <cell r="R5">
            <v>7894.2913955442255</v>
          </cell>
          <cell r="S5">
            <v>877731.39381689869</v>
          </cell>
          <cell r="T5">
            <v>0</v>
          </cell>
          <cell r="U5">
            <v>1141.3507323029005</v>
          </cell>
          <cell r="V5">
            <v>878872.74454920157</v>
          </cell>
          <cell r="W5">
            <v>0</v>
          </cell>
          <cell r="X5">
            <v>2783.7171643084084</v>
          </cell>
          <cell r="Y5">
            <v>881656.46171350998</v>
          </cell>
          <cell r="Z5">
            <v>0</v>
          </cell>
          <cell r="AA5">
            <v>1851.9969842982098</v>
          </cell>
          <cell r="AB5">
            <v>883508.45869780821</v>
          </cell>
          <cell r="AC5">
            <v>0</v>
          </cell>
          <cell r="AD5">
            <v>2341.4025463527437</v>
          </cell>
          <cell r="AE5">
            <v>885849.86124416091</v>
          </cell>
          <cell r="AF5">
            <v>0</v>
          </cell>
          <cell r="AG5">
            <v>0</v>
          </cell>
          <cell r="AH5">
            <v>885849.86124416091</v>
          </cell>
          <cell r="AI5">
            <v>0</v>
          </cell>
          <cell r="AJ5">
            <v>673.39765009319194</v>
          </cell>
          <cell r="AK5">
            <v>886523.2588942541</v>
          </cell>
          <cell r="AL5">
            <v>0</v>
          </cell>
          <cell r="AM5">
            <v>0</v>
          </cell>
          <cell r="AN5">
            <v>886523.2588942541</v>
          </cell>
          <cell r="AO5">
            <v>0</v>
          </cell>
          <cell r="AP5">
            <v>0</v>
          </cell>
          <cell r="AQ5">
            <v>886523.2588942541</v>
          </cell>
          <cell r="AR5">
            <v>0</v>
          </cell>
          <cell r="AS5">
            <v>816543.52134848095</v>
          </cell>
          <cell r="AT5">
            <v>0</v>
          </cell>
          <cell r="AU5">
            <v>69979.737545773198</v>
          </cell>
          <cell r="AV5">
            <v>886523.2588942541</v>
          </cell>
          <cell r="BB5">
            <v>886523.2588942541</v>
          </cell>
          <cell r="BD5">
            <v>886523.2588942541</v>
          </cell>
          <cell r="BE5">
            <v>0</v>
          </cell>
          <cell r="BF5">
            <v>886523.2588942541</v>
          </cell>
        </row>
        <row r="6">
          <cell r="A6" t="str">
            <v>AS201602</v>
          </cell>
          <cell r="B6" t="str">
            <v>BOUTCHOUANG WILLIAM</v>
          </cell>
          <cell r="C6">
            <v>600000</v>
          </cell>
          <cell r="D6">
            <v>7023.6611389458412</v>
          </cell>
          <cell r="E6">
            <v>607023.66113894584</v>
          </cell>
          <cell r="F6">
            <v>38559.411304736874</v>
          </cell>
          <cell r="G6">
            <v>645583.0724436827</v>
          </cell>
          <cell r="H6">
            <v>9000</v>
          </cell>
          <cell r="I6">
            <v>0</v>
          </cell>
          <cell r="J6">
            <v>654583.0724436827</v>
          </cell>
          <cell r="K6">
            <v>9000</v>
          </cell>
          <cell r="L6">
            <v>909.2313484782195</v>
          </cell>
          <cell r="M6">
            <v>664492.30379216094</v>
          </cell>
          <cell r="N6">
            <v>9000</v>
          </cell>
          <cell r="O6">
            <v>182.11634148258665</v>
          </cell>
          <cell r="P6">
            <v>673674.42013364355</v>
          </cell>
          <cell r="Q6">
            <v>9000</v>
          </cell>
          <cell r="R6">
            <v>6195.6782319554231</v>
          </cell>
          <cell r="S6">
            <v>688870.09836559894</v>
          </cell>
          <cell r="T6">
            <v>9000</v>
          </cell>
          <cell r="U6">
            <v>907.46958970916376</v>
          </cell>
          <cell r="V6">
            <v>698777.56795530813</v>
          </cell>
          <cell r="W6">
            <v>9000</v>
          </cell>
          <cell r="X6">
            <v>2241.7950455845003</v>
          </cell>
          <cell r="Y6">
            <v>710019.36300089268</v>
          </cell>
          <cell r="Z6">
            <v>9000</v>
          </cell>
          <cell r="AA6">
            <v>1510.3634462584782</v>
          </cell>
          <cell r="AB6">
            <v>720529.72644715116</v>
          </cell>
          <cell r="AC6">
            <v>9000</v>
          </cell>
          <cell r="AD6">
            <v>1933.340583587576</v>
          </cell>
          <cell r="AE6">
            <v>731463.06703073869</v>
          </cell>
          <cell r="AF6">
            <v>9000</v>
          </cell>
          <cell r="AG6">
            <v>0</v>
          </cell>
          <cell r="AH6">
            <v>740463.06703073869</v>
          </cell>
          <cell r="AI6">
            <v>9000</v>
          </cell>
          <cell r="AJ6">
            <v>569.72032197568114</v>
          </cell>
          <cell r="AK6">
            <v>750032.78735271434</v>
          </cell>
          <cell r="AL6">
            <v>9000</v>
          </cell>
          <cell r="AM6">
            <v>0</v>
          </cell>
          <cell r="AN6">
            <v>759032.78735271434</v>
          </cell>
          <cell r="AO6">
            <v>9000</v>
          </cell>
          <cell r="AP6">
            <v>0</v>
          </cell>
          <cell r="AQ6">
            <v>768032.78735271434</v>
          </cell>
          <cell r="AR6">
            <v>600000</v>
          </cell>
          <cell r="AS6">
            <v>7023.6611389458412</v>
          </cell>
          <cell r="AT6">
            <v>108000</v>
          </cell>
          <cell r="AU6">
            <v>53009.126213768512</v>
          </cell>
          <cell r="AV6">
            <v>768032.78735271434</v>
          </cell>
          <cell r="AW6">
            <v>630000</v>
          </cell>
          <cell r="BB6">
            <v>138032.78735271434</v>
          </cell>
          <cell r="BD6">
            <v>138032.78735271434</v>
          </cell>
          <cell r="BE6">
            <v>0</v>
          </cell>
          <cell r="BF6">
            <v>138032.78735271434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600000</v>
          </cell>
          <cell r="D7">
            <v>4809.8069585817866</v>
          </cell>
          <cell r="E7">
            <v>604809.80695858179</v>
          </cell>
          <cell r="F7">
            <v>38418.78266144939</v>
          </cell>
          <cell r="G7">
            <v>643228.58962003118</v>
          </cell>
          <cell r="H7">
            <v>29000</v>
          </cell>
          <cell r="I7">
            <v>0</v>
          </cell>
          <cell r="J7">
            <v>672228.58962003118</v>
          </cell>
          <cell r="K7">
            <v>17000</v>
          </cell>
          <cell r="L7">
            <v>944.3704427875482</v>
          </cell>
          <cell r="M7">
            <v>690172.96006281872</v>
          </cell>
          <cell r="N7">
            <v>9000</v>
          </cell>
          <cell r="O7">
            <v>189.06054431987297</v>
          </cell>
          <cell r="P7">
            <v>699362.02060713863</v>
          </cell>
          <cell r="Q7">
            <v>14000</v>
          </cell>
          <cell r="R7">
            <v>6474.1865408024978</v>
          </cell>
          <cell r="S7">
            <v>719836.20714794111</v>
          </cell>
          <cell r="T7">
            <v>14000</v>
          </cell>
          <cell r="U7">
            <v>954.23782072606116</v>
          </cell>
          <cell r="V7">
            <v>734790.44496866711</v>
          </cell>
          <cell r="W7">
            <v>9000</v>
          </cell>
          <cell r="X7">
            <v>2355.8612337783734</v>
          </cell>
          <cell r="Y7">
            <v>746146.30620244553</v>
          </cell>
          <cell r="Z7">
            <v>9000</v>
          </cell>
          <cell r="AA7">
            <v>1586.2512696530396</v>
          </cell>
          <cell r="AB7">
            <v>756732.55747209862</v>
          </cell>
          <cell r="AC7">
            <v>9000</v>
          </cell>
          <cell r="AD7">
            <v>2029.282393665914</v>
          </cell>
          <cell r="AE7">
            <v>767761.83986576449</v>
          </cell>
          <cell r="AF7">
            <v>7000</v>
          </cell>
          <cell r="AG7">
            <v>0</v>
          </cell>
          <cell r="AH7">
            <v>774761.83986576449</v>
          </cell>
          <cell r="AI7">
            <v>9000</v>
          </cell>
          <cell r="AJ7">
            <v>595.7932650766121</v>
          </cell>
          <cell r="AK7">
            <v>784357.63313084107</v>
          </cell>
          <cell r="AL7">
            <v>9000</v>
          </cell>
          <cell r="AM7">
            <v>0</v>
          </cell>
          <cell r="AN7">
            <v>793357.63313084107</v>
          </cell>
          <cell r="AO7">
            <v>9000</v>
          </cell>
          <cell r="AP7">
            <v>0</v>
          </cell>
          <cell r="AQ7">
            <v>802357.63313084107</v>
          </cell>
          <cell r="AR7">
            <v>600000</v>
          </cell>
          <cell r="AS7">
            <v>4809.8069585817866</v>
          </cell>
          <cell r="AT7">
            <v>144000</v>
          </cell>
          <cell r="AU7">
            <v>53547.826172259302</v>
          </cell>
          <cell r="AV7">
            <v>802357.63313084107</v>
          </cell>
          <cell r="AW7">
            <v>630000</v>
          </cell>
          <cell r="BB7">
            <v>172357.63313084107</v>
          </cell>
          <cell r="BD7">
            <v>172357.63313084107</v>
          </cell>
          <cell r="BE7">
            <v>0</v>
          </cell>
          <cell r="BF7">
            <v>172357.63313084107</v>
          </cell>
        </row>
        <row r="8">
          <cell r="A8" t="str">
            <v>AS201654</v>
          </cell>
          <cell r="B8" t="str">
            <v>DJOMOU TCHANDA</v>
          </cell>
          <cell r="C8">
            <v>600000</v>
          </cell>
          <cell r="D8">
            <v>48710.412466726033</v>
          </cell>
          <cell r="E8">
            <v>648710.41246672603</v>
          </cell>
          <cell r="F8">
            <v>41207.440851707412</v>
          </cell>
          <cell r="G8">
            <v>689917.85331843339</v>
          </cell>
          <cell r="H8">
            <v>9000</v>
          </cell>
          <cell r="I8">
            <v>0</v>
          </cell>
          <cell r="J8">
            <v>698917.85331843339</v>
          </cell>
          <cell r="K8">
            <v>9000</v>
          </cell>
          <cell r="L8">
            <v>969.97818526956496</v>
          </cell>
          <cell r="M8">
            <v>708887.83150370291</v>
          </cell>
          <cell r="N8">
            <v>10000</v>
          </cell>
          <cell r="O8">
            <v>194.39156330761386</v>
          </cell>
          <cell r="P8">
            <v>719082.22306701052</v>
          </cell>
          <cell r="Q8">
            <v>9000</v>
          </cell>
          <cell r="R8">
            <v>6607.7811728274546</v>
          </cell>
          <cell r="S8">
            <v>734690.00423983799</v>
          </cell>
          <cell r="T8">
            <v>9000</v>
          </cell>
          <cell r="U8">
            <v>967.05112398264578</v>
          </cell>
          <cell r="V8">
            <v>744657.05536382063</v>
          </cell>
          <cell r="W8">
            <v>9000</v>
          </cell>
          <cell r="X8">
            <v>2387.1124619918742</v>
          </cell>
          <cell r="Y8">
            <v>756044.16782581247</v>
          </cell>
          <cell r="Z8">
            <v>6000</v>
          </cell>
          <cell r="AA8">
            <v>1600.7408350102241</v>
          </cell>
          <cell r="AB8">
            <v>763644.90866082266</v>
          </cell>
          <cell r="AC8">
            <v>9000</v>
          </cell>
          <cell r="AD8">
            <v>2047.6009468333814</v>
          </cell>
          <cell r="AE8">
            <v>774692.50960765604</v>
          </cell>
          <cell r="AF8">
            <v>9000</v>
          </cell>
          <cell r="AG8">
            <v>0</v>
          </cell>
          <cell r="AH8">
            <v>783692.50960765604</v>
          </cell>
          <cell r="AI8">
            <v>9000</v>
          </cell>
          <cell r="AJ8">
            <v>602.58210399961172</v>
          </cell>
          <cell r="AK8">
            <v>793295.09171165561</v>
          </cell>
          <cell r="AL8">
            <v>9000</v>
          </cell>
          <cell r="AM8">
            <v>0</v>
          </cell>
          <cell r="AN8">
            <v>802295.09171165561</v>
          </cell>
          <cell r="AO8">
            <v>9000</v>
          </cell>
          <cell r="AP8">
            <v>0</v>
          </cell>
          <cell r="AQ8">
            <v>811295.09171165561</v>
          </cell>
          <cell r="AR8">
            <v>600000</v>
          </cell>
          <cell r="AS8">
            <v>48710.412466726033</v>
          </cell>
          <cell r="AT8">
            <v>106000</v>
          </cell>
          <cell r="AU8">
            <v>56584.679244929779</v>
          </cell>
          <cell r="AV8">
            <v>811295.09171165561</v>
          </cell>
          <cell r="AW8">
            <v>630000</v>
          </cell>
          <cell r="BB8">
            <v>181295.09171165561</v>
          </cell>
          <cell r="BD8">
            <v>181295.09171165561</v>
          </cell>
          <cell r="BE8">
            <v>0</v>
          </cell>
          <cell r="BF8">
            <v>181295.09171165561</v>
          </cell>
        </row>
        <row r="9">
          <cell r="A9" t="str">
            <v>AS201605</v>
          </cell>
          <cell r="B9" t="str">
            <v>DJOUKWE NANGUEN GUY BLAISE</v>
          </cell>
          <cell r="C9">
            <v>600000</v>
          </cell>
          <cell r="D9">
            <v>4750.0783119258704</v>
          </cell>
          <cell r="E9">
            <v>604750.07831192587</v>
          </cell>
          <cell r="F9">
            <v>38414.988573013434</v>
          </cell>
          <cell r="G9">
            <v>643165.06688493933</v>
          </cell>
          <cell r="H9">
            <v>9000</v>
          </cell>
          <cell r="I9">
            <v>0</v>
          </cell>
          <cell r="J9">
            <v>652165.06688493933</v>
          </cell>
          <cell r="K9">
            <v>9000</v>
          </cell>
          <cell r="L9">
            <v>905.91823434661899</v>
          </cell>
          <cell r="M9">
            <v>662070.98511928599</v>
          </cell>
          <cell r="N9">
            <v>14000</v>
          </cell>
          <cell r="O9">
            <v>182.81363231501521</v>
          </cell>
          <cell r="P9">
            <v>676253.79875160102</v>
          </cell>
          <cell r="Q9">
            <v>9000</v>
          </cell>
          <cell r="R9">
            <v>6219.0876339835841</v>
          </cell>
          <cell r="S9">
            <v>691472.8863855846</v>
          </cell>
          <cell r="T9">
            <v>9000</v>
          </cell>
          <cell r="U9">
            <v>910.85410350639904</v>
          </cell>
          <cell r="V9">
            <v>701383.74048909103</v>
          </cell>
          <cell r="W9">
            <v>13000</v>
          </cell>
          <cell r="X9">
            <v>2262.7192533116458</v>
          </cell>
          <cell r="Y9">
            <v>716646.45974240266</v>
          </cell>
          <cell r="Z9">
            <v>9000</v>
          </cell>
          <cell r="AA9">
            <v>1524.2842461537975</v>
          </cell>
          <cell r="AB9">
            <v>727170.74398855644</v>
          </cell>
          <cell r="AC9">
            <v>9000</v>
          </cell>
          <cell r="AD9">
            <v>1950.9400703030033</v>
          </cell>
          <cell r="AE9">
            <v>738121.68405885948</v>
          </cell>
          <cell r="AF9">
            <v>9500</v>
          </cell>
          <cell r="AG9">
            <v>0</v>
          </cell>
          <cell r="AH9">
            <v>747621.68405885948</v>
          </cell>
          <cell r="AI9">
            <v>9000</v>
          </cell>
          <cell r="AJ9">
            <v>575.16209726464854</v>
          </cell>
          <cell r="AK9">
            <v>757196.84615612414</v>
          </cell>
          <cell r="AL9">
            <v>9000</v>
          </cell>
          <cell r="AM9">
            <v>0</v>
          </cell>
          <cell r="AN9">
            <v>766196.84615612414</v>
          </cell>
          <cell r="AO9">
            <v>9000</v>
          </cell>
          <cell r="AP9">
            <v>0</v>
          </cell>
          <cell r="AQ9">
            <v>775196.84615612414</v>
          </cell>
          <cell r="AR9">
            <v>600000</v>
          </cell>
          <cell r="AS9">
            <v>4750.0783119258704</v>
          </cell>
          <cell r="AT9">
            <v>117500</v>
          </cell>
          <cell r="AU9">
            <v>52946.767844198141</v>
          </cell>
          <cell r="AV9">
            <v>775196.84615612414</v>
          </cell>
          <cell r="AW9">
            <v>630000</v>
          </cell>
          <cell r="BB9">
            <v>145196.84615612414</v>
          </cell>
          <cell r="BD9">
            <v>145196.84615612414</v>
          </cell>
          <cell r="BE9">
            <v>0</v>
          </cell>
          <cell r="BF9">
            <v>145196.84615612414</v>
          </cell>
        </row>
        <row r="10">
          <cell r="A10" t="str">
            <v>AS201608</v>
          </cell>
          <cell r="B10" t="str">
            <v>DJUOMBESSY ANTOINE</v>
          </cell>
          <cell r="C10">
            <v>600000</v>
          </cell>
          <cell r="D10">
            <v>10718.850200936431</v>
          </cell>
          <cell r="E10">
            <v>610718.85020093643</v>
          </cell>
          <cell r="F10">
            <v>38794.137434889228</v>
          </cell>
          <cell r="G10">
            <v>649512.98763582564</v>
          </cell>
          <cell r="H10">
            <v>14000</v>
          </cell>
          <cell r="I10">
            <v>0</v>
          </cell>
          <cell r="J10">
            <v>663512.98763582564</v>
          </cell>
          <cell r="K10">
            <v>14000</v>
          </cell>
          <cell r="L10">
            <v>928.3179046311634</v>
          </cell>
          <cell r="M10">
            <v>678441.30554045679</v>
          </cell>
          <cell r="N10">
            <v>14000</v>
          </cell>
          <cell r="O10">
            <v>187.24026473117618</v>
          </cell>
          <cell r="P10">
            <v>692628.54580518801</v>
          </cell>
          <cell r="Q10">
            <v>14000</v>
          </cell>
          <cell r="R10">
            <v>6413.0762340069114</v>
          </cell>
          <cell r="S10">
            <v>713041.62203919492</v>
          </cell>
          <cell r="T10">
            <v>114000</v>
          </cell>
          <cell r="U10">
            <v>1075.4367083243778</v>
          </cell>
          <cell r="V10">
            <v>828117.05874751927</v>
          </cell>
          <cell r="W10">
            <v>43500</v>
          </cell>
          <cell r="X10">
            <v>2760.7357062642955</v>
          </cell>
          <cell r="Y10">
            <v>874377.79445378354</v>
          </cell>
          <cell r="Z10">
            <v>25300</v>
          </cell>
          <cell r="AA10">
            <v>1889.8523796107511</v>
          </cell>
          <cell r="AB10">
            <v>901567.6468333943</v>
          </cell>
          <cell r="AC10">
            <v>14000</v>
          </cell>
          <cell r="AD10">
            <v>2426.3632097122072</v>
          </cell>
          <cell r="AE10">
            <v>917994.01004310651</v>
          </cell>
          <cell r="AF10">
            <v>14000</v>
          </cell>
          <cell r="AG10">
            <v>0</v>
          </cell>
          <cell r="AH10">
            <v>931994.01004310651</v>
          </cell>
          <cell r="AI10">
            <v>14000</v>
          </cell>
          <cell r="AJ10">
            <v>719.11750651579428</v>
          </cell>
          <cell r="AK10">
            <v>946713.12754962232</v>
          </cell>
          <cell r="AL10">
            <v>14000</v>
          </cell>
          <cell r="AM10">
            <v>0</v>
          </cell>
          <cell r="AN10">
            <v>960713.12754962232</v>
          </cell>
          <cell r="AO10">
            <v>14000</v>
          </cell>
          <cell r="AP10">
            <v>0</v>
          </cell>
          <cell r="AQ10">
            <v>974713.12754962232</v>
          </cell>
          <cell r="AR10">
            <v>600000</v>
          </cell>
          <cell r="AS10">
            <v>10718.850200936431</v>
          </cell>
          <cell r="AT10">
            <v>308800</v>
          </cell>
          <cell r="AU10">
            <v>55194.277348685908</v>
          </cell>
          <cell r="AV10">
            <v>974713.12754962232</v>
          </cell>
          <cell r="AW10">
            <v>630000</v>
          </cell>
          <cell r="BB10">
            <v>344713.12754962232</v>
          </cell>
          <cell r="BD10">
            <v>344713.12754962232</v>
          </cell>
          <cell r="BE10">
            <v>0</v>
          </cell>
          <cell r="BF10">
            <v>344713.12754962232</v>
          </cell>
        </row>
        <row r="11">
          <cell r="A11" t="str">
            <v>AS201651</v>
          </cell>
          <cell r="B11" t="str">
            <v>DOMOU FABIEN</v>
          </cell>
          <cell r="C11">
            <v>600000</v>
          </cell>
          <cell r="D11">
            <v>584.0460014406126</v>
          </cell>
          <cell r="E11">
            <v>600584.04600144061</v>
          </cell>
          <cell r="F11">
            <v>38150.353495910473</v>
          </cell>
          <cell r="G11">
            <v>638734.39949735114</v>
          </cell>
          <cell r="H11">
            <v>9000</v>
          </cell>
          <cell r="I11">
            <v>0</v>
          </cell>
          <cell r="J11">
            <v>647734.39949735114</v>
          </cell>
          <cell r="K11">
            <v>9000</v>
          </cell>
          <cell r="L11">
            <v>899.84740184536167</v>
          </cell>
          <cell r="M11">
            <v>657634.24689919653</v>
          </cell>
          <cell r="N11">
            <v>9000</v>
          </cell>
          <cell r="O11">
            <v>180.26188193792115</v>
          </cell>
          <cell r="P11">
            <v>666814.5087811345</v>
          </cell>
          <cell r="Q11">
            <v>9000</v>
          </cell>
          <cell r="R11">
            <v>6133.4204379229996</v>
          </cell>
          <cell r="S11">
            <v>681947.92921905755</v>
          </cell>
          <cell r="T11">
            <v>9000</v>
          </cell>
          <cell r="U11">
            <v>898.46840451721914</v>
          </cell>
          <cell r="V11">
            <v>691846.39762357483</v>
          </cell>
          <cell r="W11">
            <v>9000</v>
          </cell>
          <cell r="X11">
            <v>2219.8414488427011</v>
          </cell>
          <cell r="Y11">
            <v>703066.23907241749</v>
          </cell>
          <cell r="Z11">
            <v>9000</v>
          </cell>
          <cell r="AA11">
            <v>1495.7577975662873</v>
          </cell>
          <cell r="AB11">
            <v>713561.99686998373</v>
          </cell>
          <cell r="AC11">
            <v>9000</v>
          </cell>
          <cell r="AD11">
            <v>1914.8752711011257</v>
          </cell>
          <cell r="AE11">
            <v>724476.87214108487</v>
          </cell>
          <cell r="AF11">
            <v>9000</v>
          </cell>
          <cell r="AG11">
            <v>0</v>
          </cell>
          <cell r="AH11">
            <v>733476.87214108487</v>
          </cell>
          <cell r="AI11">
            <v>9000</v>
          </cell>
          <cell r="AJ11">
            <v>564.40961704970357</v>
          </cell>
          <cell r="AK11">
            <v>743041.2817581346</v>
          </cell>
          <cell r="AL11">
            <v>9000</v>
          </cell>
          <cell r="AM11">
            <v>0</v>
          </cell>
          <cell r="AN11">
            <v>752041.2817581346</v>
          </cell>
          <cell r="AO11">
            <v>9000</v>
          </cell>
          <cell r="AP11">
            <v>0</v>
          </cell>
          <cell r="AQ11">
            <v>761041.2817581346</v>
          </cell>
          <cell r="AR11">
            <v>600000</v>
          </cell>
          <cell r="AS11">
            <v>584.0460014406126</v>
          </cell>
          <cell r="AT11">
            <v>108000</v>
          </cell>
          <cell r="AU11">
            <v>52457.235756693794</v>
          </cell>
          <cell r="AV11">
            <v>761041.2817581346</v>
          </cell>
          <cell r="AW11">
            <v>630000</v>
          </cell>
          <cell r="BB11">
            <v>131041.2817581346</v>
          </cell>
          <cell r="BD11">
            <v>131041.2817581346</v>
          </cell>
          <cell r="BE11">
            <v>0</v>
          </cell>
          <cell r="BF11">
            <v>131041.2817581346</v>
          </cell>
        </row>
        <row r="12">
          <cell r="A12" t="str">
            <v>AS201609</v>
          </cell>
          <cell r="B12" t="str">
            <v>DONHOU DAVID</v>
          </cell>
          <cell r="C12">
            <v>600000</v>
          </cell>
          <cell r="D12">
            <v>458343.17855274049</v>
          </cell>
          <cell r="E12">
            <v>1058343.1785527405</v>
          </cell>
          <cell r="F12">
            <v>67228.170063105033</v>
          </cell>
          <cell r="G12">
            <v>1125571.3486158454</v>
          </cell>
          <cell r="H12">
            <v>9000</v>
          </cell>
          <cell r="I12">
            <v>0</v>
          </cell>
          <cell r="J12">
            <v>1134571.3486158454</v>
          </cell>
          <cell r="K12">
            <v>9000</v>
          </cell>
          <cell r="L12">
            <v>1566.9039229015068</v>
          </cell>
          <cell r="M12">
            <v>1145138.2525387469</v>
          </cell>
          <cell r="N12">
            <v>9000</v>
          </cell>
          <cell r="O12">
            <v>312.08587675610005</v>
          </cell>
          <cell r="P12">
            <v>1154450.338415503</v>
          </cell>
          <cell r="Q12">
            <v>9000</v>
          </cell>
          <cell r="R12">
            <v>10559.006933745897</v>
          </cell>
          <cell r="S12">
            <v>1174009.345349249</v>
          </cell>
          <cell r="T12">
            <v>9000</v>
          </cell>
          <cell r="U12">
            <v>1538.3163826053235</v>
          </cell>
          <cell r="V12">
            <v>1184547.6617318543</v>
          </cell>
          <cell r="W12">
            <v>9000</v>
          </cell>
          <cell r="X12">
            <v>3780.4097726199616</v>
          </cell>
          <cell r="Y12">
            <v>1197328.0715044744</v>
          </cell>
          <cell r="Z12">
            <v>9000</v>
          </cell>
          <cell r="AA12">
            <v>2533.9982720236976</v>
          </cell>
          <cell r="AB12">
            <v>1208862.069776498</v>
          </cell>
          <cell r="AC12">
            <v>9000</v>
          </cell>
          <cell r="AD12">
            <v>3227.4794012543048</v>
          </cell>
          <cell r="AE12">
            <v>1221089.5491777523</v>
          </cell>
          <cell r="AF12">
            <v>9000</v>
          </cell>
          <cell r="AG12">
            <v>0</v>
          </cell>
          <cell r="AH12">
            <v>1230089.5491777523</v>
          </cell>
          <cell r="AI12">
            <v>9000</v>
          </cell>
          <cell r="AJ12">
            <v>941.92032665606632</v>
          </cell>
          <cell r="AK12">
            <v>1240031.4695044083</v>
          </cell>
          <cell r="AL12">
            <v>9000</v>
          </cell>
          <cell r="AM12">
            <v>0</v>
          </cell>
          <cell r="AN12">
            <v>1249031.4695044083</v>
          </cell>
          <cell r="AO12">
            <v>9000</v>
          </cell>
          <cell r="AP12">
            <v>0</v>
          </cell>
          <cell r="AQ12">
            <v>1258031.4695044083</v>
          </cell>
          <cell r="AR12">
            <v>600000</v>
          </cell>
          <cell r="AS12">
            <v>458343.17855274049</v>
          </cell>
          <cell r="AT12">
            <v>108000</v>
          </cell>
          <cell r="AU12">
            <v>91688.290951667877</v>
          </cell>
          <cell r="AV12">
            <v>1258031.4695044083</v>
          </cell>
          <cell r="AW12">
            <v>630000</v>
          </cell>
          <cell r="BB12">
            <v>628031.46950440831</v>
          </cell>
          <cell r="BD12">
            <v>628031.46950440831</v>
          </cell>
          <cell r="BE12">
            <v>0</v>
          </cell>
          <cell r="BF12">
            <v>628031.46950440831</v>
          </cell>
        </row>
        <row r="13">
          <cell r="A13" t="str">
            <v>AS201611</v>
          </cell>
          <cell r="B13" t="str">
            <v>HENGUE PAUL OMER</v>
          </cell>
          <cell r="C13">
            <v>600000</v>
          </cell>
          <cell r="D13">
            <v>51112.01036672492</v>
          </cell>
          <cell r="E13">
            <v>651112.01036672492</v>
          </cell>
          <cell r="F13">
            <v>41359.995368348325</v>
          </cell>
          <cell r="G13">
            <v>692472.00573507324</v>
          </cell>
          <cell r="H13">
            <v>9000</v>
          </cell>
          <cell r="I13">
            <v>0</v>
          </cell>
          <cell r="J13">
            <v>701472.00573507324</v>
          </cell>
          <cell r="K13">
            <v>9000</v>
          </cell>
          <cell r="L13">
            <v>973.47784573776869</v>
          </cell>
          <cell r="M13">
            <v>711445.48358081095</v>
          </cell>
          <cell r="N13">
            <v>9000</v>
          </cell>
          <cell r="O13">
            <v>194.81276173258237</v>
          </cell>
          <cell r="P13">
            <v>720640.29634254356</v>
          </cell>
          <cell r="Q13">
            <v>9000</v>
          </cell>
          <cell r="R13">
            <v>6621.9216186861431</v>
          </cell>
          <cell r="S13">
            <v>736262.21796122973</v>
          </cell>
          <cell r="T13">
            <v>9000</v>
          </cell>
          <cell r="U13">
            <v>969.09553904503048</v>
          </cell>
          <cell r="V13">
            <v>746231.31350027479</v>
          </cell>
          <cell r="W13">
            <v>9000</v>
          </cell>
          <cell r="X13">
            <v>2392.0987235669186</v>
          </cell>
          <cell r="Y13">
            <v>757623.41222384176</v>
          </cell>
          <cell r="Z13">
            <v>9000</v>
          </cell>
          <cell r="AA13">
            <v>1610.3599408454293</v>
          </cell>
          <cell r="AB13">
            <v>768233.77216468717</v>
          </cell>
          <cell r="AC13">
            <v>9000</v>
          </cell>
          <cell r="AD13">
            <v>2059.7619811585641</v>
          </cell>
          <cell r="AE13">
            <v>779293.53414584568</v>
          </cell>
          <cell r="AF13">
            <v>9000</v>
          </cell>
          <cell r="AG13">
            <v>0</v>
          </cell>
          <cell r="AH13">
            <v>788293.53414584568</v>
          </cell>
          <cell r="AI13">
            <v>9000</v>
          </cell>
          <cell r="AJ13">
            <v>606.07967085330688</v>
          </cell>
          <cell r="AK13">
            <v>797899.61381669901</v>
          </cell>
          <cell r="AL13">
            <v>9000</v>
          </cell>
          <cell r="AM13">
            <v>0</v>
          </cell>
          <cell r="AN13">
            <v>806899.61381669901</v>
          </cell>
          <cell r="AO13">
            <v>9000</v>
          </cell>
          <cell r="AP13">
            <v>0</v>
          </cell>
          <cell r="AQ13">
            <v>815899.61381669901</v>
          </cell>
          <cell r="AR13">
            <v>600000</v>
          </cell>
          <cell r="AS13">
            <v>51112.01036672492</v>
          </cell>
          <cell r="AT13">
            <v>108000</v>
          </cell>
          <cell r="AU13">
            <v>56787.603449974071</v>
          </cell>
          <cell r="AV13">
            <v>815899.61381669901</v>
          </cell>
          <cell r="AW13">
            <v>630000</v>
          </cell>
          <cell r="BB13">
            <v>185899.61381669901</v>
          </cell>
          <cell r="BD13">
            <v>185899.61381669901</v>
          </cell>
          <cell r="BE13">
            <v>0</v>
          </cell>
          <cell r="BF13">
            <v>185899.61381669901</v>
          </cell>
        </row>
        <row r="14">
          <cell r="A14" t="str">
            <v>AS201613</v>
          </cell>
          <cell r="B14" t="str">
            <v>HOTCHO BENJAMIN</v>
          </cell>
          <cell r="C14">
            <v>600000</v>
          </cell>
          <cell r="D14">
            <v>16229.566345777828</v>
          </cell>
          <cell r="E14">
            <v>616229.56634577783</v>
          </cell>
          <cell r="F14">
            <v>39144.189638808108</v>
          </cell>
          <cell r="G14">
            <v>655373.75598458597</v>
          </cell>
          <cell r="H14">
            <v>44000</v>
          </cell>
          <cell r="I14">
            <v>0</v>
          </cell>
          <cell r="J14">
            <v>699373.75598458597</v>
          </cell>
          <cell r="K14">
            <v>44000</v>
          </cell>
          <cell r="L14">
            <v>1018.5593193149853</v>
          </cell>
          <cell r="M14">
            <v>744392.31530390098</v>
          </cell>
          <cell r="N14">
            <v>44000</v>
          </cell>
          <cell r="O14">
            <v>213.18599085349121</v>
          </cell>
          <cell r="P14">
            <v>788605.50129475445</v>
          </cell>
          <cell r="Q14">
            <v>44000</v>
          </cell>
          <cell r="R14">
            <v>7556.3923710051704</v>
          </cell>
          <cell r="S14">
            <v>840161.89366575959</v>
          </cell>
          <cell r="T14">
            <v>24000</v>
          </cell>
          <cell r="U14">
            <v>1123.705745415582</v>
          </cell>
          <cell r="V14">
            <v>865285.59941117512</v>
          </cell>
          <cell r="W14">
            <v>44000</v>
          </cell>
          <cell r="X14">
            <v>2880.0459976007878</v>
          </cell>
          <cell r="Y14">
            <v>912165.64540877589</v>
          </cell>
          <cell r="Z14">
            <v>44000</v>
          </cell>
          <cell r="AA14">
            <v>2008.5100815174681</v>
          </cell>
          <cell r="AB14">
            <v>958174.1554902934</v>
          </cell>
          <cell r="AC14">
            <v>44000</v>
          </cell>
          <cell r="AD14">
            <v>2655.8807631704508</v>
          </cell>
          <cell r="AE14">
            <v>1004830.0362534638</v>
          </cell>
          <cell r="AF14">
            <v>44000</v>
          </cell>
          <cell r="AG14">
            <v>0</v>
          </cell>
          <cell r="AH14">
            <v>1048830.0362534639</v>
          </cell>
          <cell r="AI14">
            <v>44000</v>
          </cell>
          <cell r="AJ14">
            <v>830.73804101607982</v>
          </cell>
          <cell r="AK14">
            <v>1093660.77429448</v>
          </cell>
          <cell r="AL14">
            <v>44000</v>
          </cell>
          <cell r="AM14">
            <v>0</v>
          </cell>
          <cell r="AN14">
            <v>1137660.77429448</v>
          </cell>
          <cell r="AO14">
            <v>44000</v>
          </cell>
          <cell r="AP14">
            <v>0</v>
          </cell>
          <cell r="AQ14">
            <v>1181660.77429448</v>
          </cell>
          <cell r="AR14">
            <v>600000</v>
          </cell>
          <cell r="AS14">
            <v>16229.566345777828</v>
          </cell>
          <cell r="AT14">
            <v>508000</v>
          </cell>
          <cell r="AU14">
            <v>57431.207948702111</v>
          </cell>
          <cell r="AV14">
            <v>1181660.77429448</v>
          </cell>
          <cell r="AW14">
            <v>630000</v>
          </cell>
          <cell r="BB14">
            <v>551660.77429447998</v>
          </cell>
          <cell r="BD14">
            <v>551660.77429447998</v>
          </cell>
          <cell r="BE14">
            <v>0</v>
          </cell>
          <cell r="BF14">
            <v>551660.77429447998</v>
          </cell>
        </row>
        <row r="15">
          <cell r="A15" t="str">
            <v>AS201617</v>
          </cell>
          <cell r="B15" t="str">
            <v>KOUAMOU MOISE</v>
          </cell>
          <cell r="C15">
            <v>600000</v>
          </cell>
          <cell r="D15">
            <v>53292.832106360001</v>
          </cell>
          <cell r="E15">
            <v>653292.83210636</v>
          </cell>
          <cell r="F15">
            <v>41498.52572198087</v>
          </cell>
          <cell r="G15">
            <v>694791.35782834084</v>
          </cell>
          <cell r="H15">
            <v>9000</v>
          </cell>
          <cell r="I15">
            <v>0</v>
          </cell>
          <cell r="J15">
            <v>703791.35782834084</v>
          </cell>
          <cell r="K15">
            <v>9000</v>
          </cell>
          <cell r="L15">
            <v>976.65578640402407</v>
          </cell>
          <cell r="M15">
            <v>713768.01361474488</v>
          </cell>
          <cell r="N15">
            <v>9000</v>
          </cell>
          <cell r="O15">
            <v>195.44078772542875</v>
          </cell>
          <cell r="P15">
            <v>722963.45440247026</v>
          </cell>
          <cell r="Q15">
            <v>9000</v>
          </cell>
          <cell r="R15">
            <v>6643.0056660691725</v>
          </cell>
          <cell r="S15">
            <v>738606.46006853948</v>
          </cell>
          <cell r="T15">
            <v>9000</v>
          </cell>
          <cell r="U15">
            <v>972.14385481078898</v>
          </cell>
          <cell r="V15">
            <v>748578.60392335022</v>
          </cell>
          <cell r="W15">
            <v>9000</v>
          </cell>
          <cell r="X15">
            <v>2399.5334661742609</v>
          </cell>
          <cell r="Y15">
            <v>759978.13738952449</v>
          </cell>
          <cell r="Z15">
            <v>9000</v>
          </cell>
          <cell r="AA15">
            <v>1615.3062482736309</v>
          </cell>
          <cell r="AB15">
            <v>770593.44363779807</v>
          </cell>
          <cell r="AC15">
            <v>9000</v>
          </cell>
          <cell r="AD15">
            <v>2066.0153913453109</v>
          </cell>
          <cell r="AE15">
            <v>781659.45902914344</v>
          </cell>
          <cell r="AF15">
            <v>9000</v>
          </cell>
          <cell r="AG15">
            <v>0</v>
          </cell>
          <cell r="AH15">
            <v>790659.45902914344</v>
          </cell>
          <cell r="AI15">
            <v>9000</v>
          </cell>
          <cell r="AJ15">
            <v>607.87817907282852</v>
          </cell>
          <cell r="AK15">
            <v>800267.33720821631</v>
          </cell>
          <cell r="AL15">
            <v>9000</v>
          </cell>
          <cell r="AM15">
            <v>0</v>
          </cell>
          <cell r="AN15">
            <v>809267.33720821631</v>
          </cell>
          <cell r="AO15">
            <v>9000</v>
          </cell>
          <cell r="AP15">
            <v>0</v>
          </cell>
          <cell r="AQ15">
            <v>818267.33720821631</v>
          </cell>
          <cell r="AR15">
            <v>600000</v>
          </cell>
          <cell r="AS15">
            <v>53292.832106360001</v>
          </cell>
          <cell r="AT15">
            <v>108000</v>
          </cell>
          <cell r="AU15">
            <v>56974.50510185631</v>
          </cell>
          <cell r="AV15">
            <v>818267.33720821631</v>
          </cell>
          <cell r="AW15">
            <v>630000</v>
          </cell>
          <cell r="BB15">
            <v>188267.33720821631</v>
          </cell>
          <cell r="BD15">
            <v>188267.33720821631</v>
          </cell>
          <cell r="BE15">
            <v>0</v>
          </cell>
          <cell r="BF15">
            <v>188267.33720821631</v>
          </cell>
        </row>
        <row r="16">
          <cell r="A16" t="str">
            <v>AS201619</v>
          </cell>
          <cell r="B16" t="str">
            <v>KOUATCHO MESSACK</v>
          </cell>
          <cell r="C16">
            <v>600000</v>
          </cell>
          <cell r="D16">
            <v>6459.0432257176144</v>
          </cell>
          <cell r="E16">
            <v>606459.04322571761</v>
          </cell>
          <cell r="F16">
            <v>38523.545595144366</v>
          </cell>
          <cell r="G16">
            <v>644982.588820862</v>
          </cell>
          <cell r="H16">
            <v>9000</v>
          </cell>
          <cell r="I16">
            <v>0</v>
          </cell>
          <cell r="J16">
            <v>653982.588820862</v>
          </cell>
          <cell r="K16">
            <v>9000</v>
          </cell>
          <cell r="L16">
            <v>908.40857502785741</v>
          </cell>
          <cell r="M16">
            <v>663890.99739588983</v>
          </cell>
          <cell r="N16">
            <v>8000</v>
          </cell>
          <cell r="O16">
            <v>181.68333866898425</v>
          </cell>
          <cell r="P16">
            <v>672072.68073455885</v>
          </cell>
          <cell r="Q16">
            <v>11000</v>
          </cell>
          <cell r="R16">
            <v>6199.2926848526813</v>
          </cell>
          <cell r="S16">
            <v>689271.97341941157</v>
          </cell>
          <cell r="T16">
            <v>8000</v>
          </cell>
          <cell r="U16">
            <v>906.69182290015067</v>
          </cell>
          <cell r="V16">
            <v>698178.66524231178</v>
          </cell>
          <cell r="W16">
            <v>9000</v>
          </cell>
          <cell r="X16">
            <v>2239.8980977359538</v>
          </cell>
          <cell r="Y16">
            <v>709418.56334004772</v>
          </cell>
          <cell r="Z16">
            <v>9000</v>
          </cell>
          <cell r="AA16">
            <v>1509.1014137000261</v>
          </cell>
          <cell r="AB16">
            <v>719927.66475374775</v>
          </cell>
          <cell r="AC16">
            <v>9000</v>
          </cell>
          <cell r="AD16">
            <v>1931.7450484592835</v>
          </cell>
          <cell r="AE16">
            <v>730859.40980220702</v>
          </cell>
          <cell r="AF16">
            <v>9000</v>
          </cell>
          <cell r="AG16">
            <v>0</v>
          </cell>
          <cell r="AH16">
            <v>739859.40980220702</v>
          </cell>
          <cell r="AI16">
            <v>9000</v>
          </cell>
          <cell r="AJ16">
            <v>569.26143906906304</v>
          </cell>
          <cell r="AK16">
            <v>749428.67124127608</v>
          </cell>
          <cell r="AL16">
            <v>9000</v>
          </cell>
          <cell r="AM16">
            <v>0</v>
          </cell>
          <cell r="AN16">
            <v>758428.67124127608</v>
          </cell>
          <cell r="AO16">
            <v>9000</v>
          </cell>
          <cell r="AP16">
            <v>0</v>
          </cell>
          <cell r="AQ16">
            <v>767428.67124127608</v>
          </cell>
          <cell r="AR16">
            <v>600000</v>
          </cell>
          <cell r="AS16">
            <v>6459.0432257176144</v>
          </cell>
          <cell r="AT16">
            <v>108000</v>
          </cell>
          <cell r="AU16">
            <v>52969.628015558374</v>
          </cell>
          <cell r="AV16">
            <v>767428.67124127608</v>
          </cell>
          <cell r="AW16">
            <v>630000</v>
          </cell>
          <cell r="BB16">
            <v>137428.67124127608</v>
          </cell>
          <cell r="BD16">
            <v>137428.67124127608</v>
          </cell>
          <cell r="BE16">
            <v>0</v>
          </cell>
          <cell r="BF16">
            <v>137428.67124127608</v>
          </cell>
        </row>
        <row r="17">
          <cell r="A17" t="str">
            <v>AS201620</v>
          </cell>
          <cell r="B17" t="str">
            <v>LOWE JEAN</v>
          </cell>
          <cell r="C17">
            <v>600000</v>
          </cell>
          <cell r="D17">
            <v>746.1759009861853</v>
          </cell>
          <cell r="E17">
            <v>600746.17590098619</v>
          </cell>
          <cell r="F17">
            <v>38160.652325892894</v>
          </cell>
          <cell r="G17">
            <v>638906.82822687912</v>
          </cell>
          <cell r="H17">
            <v>9000</v>
          </cell>
          <cell r="I17">
            <v>0</v>
          </cell>
          <cell r="J17">
            <v>647906.82822687912</v>
          </cell>
          <cell r="K17">
            <v>9000</v>
          </cell>
          <cell r="L17">
            <v>900.08366104601873</v>
          </cell>
          <cell r="M17">
            <v>657806.91188792512</v>
          </cell>
          <cell r="N17">
            <v>9000</v>
          </cell>
          <cell r="O17">
            <v>180.30857158214178</v>
          </cell>
          <cell r="P17">
            <v>666987.22045950731</v>
          </cell>
          <cell r="Q17">
            <v>9000</v>
          </cell>
          <cell r="R17">
            <v>6134.9878995921936</v>
          </cell>
          <cell r="S17">
            <v>682122.20835909946</v>
          </cell>
          <cell r="T17">
            <v>9000</v>
          </cell>
          <cell r="U17">
            <v>898.69502695036124</v>
          </cell>
          <cell r="V17">
            <v>692020.90338604979</v>
          </cell>
          <cell r="W17">
            <v>9000</v>
          </cell>
          <cell r="X17">
            <v>2220.3941735565863</v>
          </cell>
          <cell r="Y17">
            <v>703241.29755960638</v>
          </cell>
          <cell r="Z17">
            <v>9000</v>
          </cell>
          <cell r="AA17">
            <v>1496.1255233239133</v>
          </cell>
          <cell r="AB17">
            <v>713737.42308293027</v>
          </cell>
          <cell r="AC17">
            <v>9000</v>
          </cell>
          <cell r="AD17">
            <v>1915.3401714398226</v>
          </cell>
          <cell r="AE17">
            <v>724652.76325437007</v>
          </cell>
          <cell r="AF17">
            <v>9000</v>
          </cell>
          <cell r="AG17">
            <v>0</v>
          </cell>
          <cell r="AH17">
            <v>733652.76325437007</v>
          </cell>
          <cell r="AI17">
            <v>9000</v>
          </cell>
          <cell r="AJ17">
            <v>564.54332442782766</v>
          </cell>
          <cell r="AK17">
            <v>743217.30657879787</v>
          </cell>
          <cell r="AL17">
            <v>9000</v>
          </cell>
          <cell r="AM17">
            <v>0</v>
          </cell>
          <cell r="AN17">
            <v>752217.30657879787</v>
          </cell>
          <cell r="AO17">
            <v>9000</v>
          </cell>
          <cell r="AP17">
            <v>0</v>
          </cell>
          <cell r="AQ17">
            <v>761217.30657879787</v>
          </cell>
          <cell r="AR17">
            <v>600000</v>
          </cell>
          <cell r="AS17">
            <v>746.1759009861853</v>
          </cell>
          <cell r="AT17">
            <v>108000</v>
          </cell>
          <cell r="AU17">
            <v>52471.130677811751</v>
          </cell>
          <cell r="AV17">
            <v>761217.30657879787</v>
          </cell>
          <cell r="AW17">
            <v>630000</v>
          </cell>
          <cell r="BB17">
            <v>131217.30657879787</v>
          </cell>
          <cell r="BD17">
            <v>131217.30657879787</v>
          </cell>
          <cell r="BE17">
            <v>0</v>
          </cell>
          <cell r="BF17">
            <v>131217.30657879787</v>
          </cell>
        </row>
        <row r="18">
          <cell r="A18" t="str">
            <v>AS201649</v>
          </cell>
          <cell r="B18" t="str">
            <v>MBOGNING TUGMA GUY</v>
          </cell>
          <cell r="C18">
            <v>600000</v>
          </cell>
          <cell r="D18">
            <v>47746</v>
          </cell>
          <cell r="E18">
            <v>647746</v>
          </cell>
          <cell r="F18">
            <v>41146.179356723624</v>
          </cell>
          <cell r="G18">
            <v>688892.17935672367</v>
          </cell>
          <cell r="H18">
            <v>9000</v>
          </cell>
          <cell r="I18">
            <v>0</v>
          </cell>
          <cell r="J18">
            <v>697892.17935672367</v>
          </cell>
          <cell r="K18">
            <v>9000</v>
          </cell>
          <cell r="L18">
            <v>968.57282253800815</v>
          </cell>
          <cell r="M18">
            <v>707860.75217926165</v>
          </cell>
          <cell r="N18">
            <v>2000</v>
          </cell>
          <cell r="O18">
            <v>191.95058714265434</v>
          </cell>
          <cell r="P18">
            <v>710052.70276640425</v>
          </cell>
          <cell r="Q18">
            <v>14000</v>
          </cell>
          <cell r="R18">
            <v>6571.2108686306146</v>
          </cell>
          <cell r="S18">
            <v>730623.91363503481</v>
          </cell>
          <cell r="T18">
            <v>9000</v>
          </cell>
          <cell r="U18">
            <v>961.76381681544865</v>
          </cell>
          <cell r="V18">
            <v>740585.67745185026</v>
          </cell>
          <cell r="W18">
            <v>8000</v>
          </cell>
          <cell r="X18">
            <v>2371.0495201976241</v>
          </cell>
          <cell r="Y18">
            <v>750956.72697204794</v>
          </cell>
          <cell r="Z18">
            <v>9000</v>
          </cell>
          <cell r="AA18">
            <v>1596.3559818004383</v>
          </cell>
          <cell r="AB18">
            <v>761553.08295384841</v>
          </cell>
          <cell r="AC18">
            <v>13000</v>
          </cell>
          <cell r="AD18">
            <v>2052.6578357681633</v>
          </cell>
          <cell r="AE18">
            <v>776605.7407896166</v>
          </cell>
          <cell r="AF18">
            <v>9000</v>
          </cell>
          <cell r="AG18">
            <v>0</v>
          </cell>
          <cell r="AH18">
            <v>785605.7407896166</v>
          </cell>
          <cell r="AI18">
            <v>9000</v>
          </cell>
          <cell r="AJ18">
            <v>604.03648745484838</v>
          </cell>
          <cell r="AK18">
            <v>795209.77727707149</v>
          </cell>
          <cell r="AL18">
            <v>9000</v>
          </cell>
          <cell r="AM18">
            <v>0</v>
          </cell>
          <cell r="AN18">
            <v>804209.77727707149</v>
          </cell>
          <cell r="AO18">
            <v>9000</v>
          </cell>
          <cell r="AP18">
            <v>0</v>
          </cell>
          <cell r="AQ18">
            <v>813209.77727707149</v>
          </cell>
          <cell r="AR18">
            <v>600000</v>
          </cell>
          <cell r="AS18">
            <v>47746</v>
          </cell>
          <cell r="AT18">
            <v>109000</v>
          </cell>
          <cell r="AU18">
            <v>56463.777277071422</v>
          </cell>
          <cell r="AV18">
            <v>813209.77727707149</v>
          </cell>
          <cell r="AW18">
            <v>630000</v>
          </cell>
          <cell r="BB18">
            <v>183209.77727707149</v>
          </cell>
          <cell r="BD18">
            <v>183209.77727707149</v>
          </cell>
          <cell r="BE18">
            <v>0</v>
          </cell>
          <cell r="BF18">
            <v>183209.77727707149</v>
          </cell>
        </row>
        <row r="19">
          <cell r="A19" t="str">
            <v>AS201639</v>
          </cell>
          <cell r="B19" t="str">
            <v>NANGUEN MARTIN</v>
          </cell>
          <cell r="C19">
            <v>600000</v>
          </cell>
          <cell r="D19">
            <v>51342.559108640766</v>
          </cell>
          <cell r="E19">
            <v>651342.55910864077</v>
          </cell>
          <cell r="F19">
            <v>41374.64030615626</v>
          </cell>
          <cell r="G19">
            <v>692717.19941479701</v>
          </cell>
          <cell r="H19">
            <v>9000</v>
          </cell>
          <cell r="I19">
            <v>0</v>
          </cell>
          <cell r="J19">
            <v>701717.19941479701</v>
          </cell>
          <cell r="K19">
            <v>9000</v>
          </cell>
          <cell r="L19">
            <v>973.81380635718688</v>
          </cell>
          <cell r="M19">
            <v>711691.01322115422</v>
          </cell>
          <cell r="N19">
            <v>9000</v>
          </cell>
          <cell r="O19">
            <v>194.87915441379502</v>
          </cell>
          <cell r="P19">
            <v>720885.89237556804</v>
          </cell>
          <cell r="Q19">
            <v>9000</v>
          </cell>
          <cell r="R19">
            <v>6624.150549419137</v>
          </cell>
          <cell r="S19">
            <v>736510.04292498715</v>
          </cell>
          <cell r="T19">
            <v>9000</v>
          </cell>
          <cell r="U19">
            <v>969.4177961795707</v>
          </cell>
          <cell r="V19">
            <v>746479.46072116669</v>
          </cell>
          <cell r="W19">
            <v>9000</v>
          </cell>
          <cell r="X19">
            <v>2392.8846981944812</v>
          </cell>
          <cell r="Y19">
            <v>757872.34541936114</v>
          </cell>
          <cell r="Z19">
            <v>9000</v>
          </cell>
          <cell r="AA19">
            <v>1610.8828469289365</v>
          </cell>
          <cell r="AB19">
            <v>768483.22826629004</v>
          </cell>
          <cell r="AC19">
            <v>9000</v>
          </cell>
          <cell r="AD19">
            <v>2060.4230695111955</v>
          </cell>
          <cell r="AE19">
            <v>779543.65133580123</v>
          </cell>
          <cell r="AF19">
            <v>9000</v>
          </cell>
          <cell r="AG19">
            <v>0</v>
          </cell>
          <cell r="AH19">
            <v>788543.65133580123</v>
          </cell>
          <cell r="AI19">
            <v>9000</v>
          </cell>
          <cell r="AJ19">
            <v>606.26980276542054</v>
          </cell>
          <cell r="AK19">
            <v>798149.92113856669</v>
          </cell>
          <cell r="AL19">
            <v>9000</v>
          </cell>
          <cell r="AM19">
            <v>0</v>
          </cell>
          <cell r="AN19">
            <v>807149.92113856669</v>
          </cell>
          <cell r="AO19">
            <v>9000</v>
          </cell>
          <cell r="AP19">
            <v>0</v>
          </cell>
          <cell r="AQ19">
            <v>816149.92113856669</v>
          </cell>
          <cell r="AR19">
            <v>600000</v>
          </cell>
          <cell r="AS19">
            <v>51342.559108640766</v>
          </cell>
          <cell r="AT19">
            <v>108000</v>
          </cell>
          <cell r="AU19">
            <v>56807.362029925986</v>
          </cell>
          <cell r="AV19">
            <v>816149.92113856669</v>
          </cell>
          <cell r="AW19">
            <v>630000</v>
          </cell>
          <cell r="BB19">
            <v>186149.92113856669</v>
          </cell>
          <cell r="BD19">
            <v>186149.92113856669</v>
          </cell>
          <cell r="BE19">
            <v>0</v>
          </cell>
          <cell r="BF19">
            <v>186149.92113856669</v>
          </cell>
        </row>
        <row r="20">
          <cell r="A20" t="str">
            <v>AS201621</v>
          </cell>
          <cell r="B20" t="str">
            <v>NANKAM APPOLINAIRE</v>
          </cell>
          <cell r="C20">
            <v>600000</v>
          </cell>
          <cell r="D20">
            <v>140918.4930248888</v>
          </cell>
          <cell r="E20">
            <v>740918.4930248888</v>
          </cell>
          <cell r="F20">
            <v>47064.690793483023</v>
          </cell>
          <cell r="G20">
            <v>787983.18381837185</v>
          </cell>
          <cell r="H20">
            <v>9000</v>
          </cell>
          <cell r="I20">
            <v>0</v>
          </cell>
          <cell r="J20">
            <v>796983.18381837185</v>
          </cell>
          <cell r="K20">
            <v>9000</v>
          </cell>
          <cell r="L20">
            <v>1104.3457970910501</v>
          </cell>
          <cell r="M20">
            <v>807087.52961546287</v>
          </cell>
          <cell r="N20">
            <v>9000</v>
          </cell>
          <cell r="O20">
            <v>220.67494221729822</v>
          </cell>
          <cell r="P20">
            <v>816308.20455768018</v>
          </cell>
          <cell r="Q20">
            <v>9000</v>
          </cell>
          <cell r="R20">
            <v>7490.1650432884535</v>
          </cell>
          <cell r="S20">
            <v>832798.36960096867</v>
          </cell>
          <cell r="T20">
            <v>9000</v>
          </cell>
          <cell r="U20">
            <v>1094.6255225273173</v>
          </cell>
          <cell r="V20">
            <v>842892.99512349593</v>
          </cell>
          <cell r="W20">
            <v>9000</v>
          </cell>
          <cell r="X20">
            <v>2698.2622539918989</v>
          </cell>
          <cell r="Y20">
            <v>854591.25737748784</v>
          </cell>
          <cell r="Z20">
            <v>9000</v>
          </cell>
          <cell r="AA20">
            <v>1814.0494328380635</v>
          </cell>
          <cell r="AB20">
            <v>865405.30681032594</v>
          </cell>
          <cell r="AC20">
            <v>9000</v>
          </cell>
          <cell r="AD20">
            <v>2317.2781106449056</v>
          </cell>
          <cell r="AE20">
            <v>876722.58492097084</v>
          </cell>
          <cell r="AF20">
            <v>9000</v>
          </cell>
          <cell r="AG20">
            <v>0</v>
          </cell>
          <cell r="AH20">
            <v>885722.58492097084</v>
          </cell>
          <cell r="AI20">
            <v>9000</v>
          </cell>
          <cell r="AJ20">
            <v>680.14244007994932</v>
          </cell>
          <cell r="AK20">
            <v>895402.72736105078</v>
          </cell>
          <cell r="AL20">
            <v>9000</v>
          </cell>
          <cell r="AM20">
            <v>0</v>
          </cell>
          <cell r="AN20">
            <v>904402.72736105078</v>
          </cell>
          <cell r="AO20">
            <v>9000</v>
          </cell>
          <cell r="AP20">
            <v>0</v>
          </cell>
          <cell r="AQ20">
            <v>913402.72736105078</v>
          </cell>
          <cell r="AR20">
            <v>600000</v>
          </cell>
          <cell r="AS20">
            <v>140918.4930248888</v>
          </cell>
          <cell r="AT20">
            <v>108000</v>
          </cell>
          <cell r="AU20">
            <v>64484.234336161971</v>
          </cell>
          <cell r="AV20">
            <v>913402.72736105078</v>
          </cell>
          <cell r="AW20">
            <v>630000</v>
          </cell>
          <cell r="BB20">
            <v>283402.72736105078</v>
          </cell>
          <cell r="BD20">
            <v>283402.72736105078</v>
          </cell>
          <cell r="BE20">
            <v>0</v>
          </cell>
          <cell r="BF20">
            <v>283402.72736105078</v>
          </cell>
        </row>
        <row r="21">
          <cell r="A21" t="str">
            <v>AS201622</v>
          </cell>
          <cell r="B21" t="str">
            <v>NDJOMO ETIENNE</v>
          </cell>
          <cell r="C21">
            <v>600000</v>
          </cell>
          <cell r="D21">
            <v>283210.4580118584</v>
          </cell>
          <cell r="E21">
            <v>883210.4580118584</v>
          </cell>
          <cell r="F21">
            <v>56103.373722245982</v>
          </cell>
          <cell r="G21">
            <v>939313.83173410443</v>
          </cell>
          <cell r="H21">
            <v>19000</v>
          </cell>
          <cell r="I21">
            <v>0</v>
          </cell>
          <cell r="J21">
            <v>958313.83173410443</v>
          </cell>
          <cell r="K21">
            <v>19000</v>
          </cell>
          <cell r="L21">
            <v>1339.1004231643205</v>
          </cell>
          <cell r="M21">
            <v>978652.93215726875</v>
          </cell>
          <cell r="N21">
            <v>19000</v>
          </cell>
          <cell r="O21">
            <v>269.77131149211471</v>
          </cell>
          <cell r="P21">
            <v>997922.70346876082</v>
          </cell>
          <cell r="Q21">
            <v>19000</v>
          </cell>
          <cell r="R21">
            <v>9229.1811025074585</v>
          </cell>
          <cell r="S21">
            <v>1026151.8845712683</v>
          </cell>
          <cell r="T21">
            <v>19000</v>
          </cell>
          <cell r="U21">
            <v>1359.0545777744144</v>
          </cell>
          <cell r="V21">
            <v>1046510.9391490427</v>
          </cell>
          <cell r="W21">
            <v>19000</v>
          </cell>
          <cell r="X21">
            <v>3374.8698073336518</v>
          </cell>
          <cell r="Y21">
            <v>1068885.8089563763</v>
          </cell>
          <cell r="Z21">
            <v>19000</v>
          </cell>
          <cell r="AA21">
            <v>2285.1998765282278</v>
          </cell>
          <cell r="AB21">
            <v>1090171.0088329045</v>
          </cell>
          <cell r="AC21">
            <v>15000</v>
          </cell>
          <cell r="AD21">
            <v>2928.834680372498</v>
          </cell>
          <cell r="AE21">
            <v>1108099.8435132769</v>
          </cell>
          <cell r="AF21">
            <v>19000</v>
          </cell>
          <cell r="AG21">
            <v>0</v>
          </cell>
          <cell r="AH21">
            <v>1127099.8435132769</v>
          </cell>
          <cell r="AI21">
            <v>19000</v>
          </cell>
          <cell r="AJ21">
            <v>871.23222022077493</v>
          </cell>
          <cell r="AK21">
            <v>1146971.0757334977</v>
          </cell>
          <cell r="AL21">
            <v>19000</v>
          </cell>
          <cell r="AM21">
            <v>0</v>
          </cell>
          <cell r="AN21">
            <v>1165971.0757334977</v>
          </cell>
          <cell r="AO21">
            <v>19000</v>
          </cell>
          <cell r="AP21">
            <v>0</v>
          </cell>
          <cell r="AQ21">
            <v>1184971.0757334977</v>
          </cell>
          <cell r="AR21">
            <v>600000</v>
          </cell>
          <cell r="AS21">
            <v>283210.4580118584</v>
          </cell>
          <cell r="AT21">
            <v>224000</v>
          </cell>
          <cell r="AU21">
            <v>77760.617721639457</v>
          </cell>
          <cell r="AV21">
            <v>1184971.0757334977</v>
          </cell>
          <cell r="AW21">
            <v>630000</v>
          </cell>
          <cell r="BB21">
            <v>554971.07573349774</v>
          </cell>
          <cell r="BD21">
            <v>554971.07573349774</v>
          </cell>
          <cell r="BE21">
            <v>0</v>
          </cell>
          <cell r="BF21">
            <v>554971.07573349774</v>
          </cell>
        </row>
        <row r="22">
          <cell r="A22" t="str">
            <v>AS201624</v>
          </cell>
          <cell r="B22" t="str">
            <v>NGONDIEP CLAUDE</v>
          </cell>
          <cell r="C22">
            <v>600000</v>
          </cell>
          <cell r="D22">
            <v>39787.038443138823</v>
          </cell>
          <cell r="E22">
            <v>639787.03844313882</v>
          </cell>
          <cell r="F22">
            <v>40640.609488732349</v>
          </cell>
          <cell r="G22">
            <v>680427.64793187112</v>
          </cell>
          <cell r="H22">
            <v>9000</v>
          </cell>
          <cell r="I22">
            <v>0</v>
          </cell>
          <cell r="J22">
            <v>689427.64793187112</v>
          </cell>
          <cell r="K22">
            <v>9000</v>
          </cell>
          <cell r="L22">
            <v>956.97485140032791</v>
          </cell>
          <cell r="M22">
            <v>699384.62278327148</v>
          </cell>
          <cell r="N22">
            <v>6000</v>
          </cell>
          <cell r="O22">
            <v>190.74021501960192</v>
          </cell>
          <cell r="P22">
            <v>705575.36299829104</v>
          </cell>
          <cell r="Q22">
            <v>14000</v>
          </cell>
          <cell r="R22">
            <v>6530.5763352128588</v>
          </cell>
          <cell r="S22">
            <v>726105.93933350395</v>
          </cell>
          <cell r="T22">
            <v>4000</v>
          </cell>
          <cell r="U22">
            <v>949.38719793680502</v>
          </cell>
          <cell r="V22">
            <v>731055.32653144072</v>
          </cell>
          <cell r="W22">
            <v>9000</v>
          </cell>
          <cell r="X22">
            <v>2344.030723196588</v>
          </cell>
          <cell r="Y22">
            <v>742399.35725463729</v>
          </cell>
          <cell r="Z22">
            <v>14000</v>
          </cell>
          <cell r="AA22">
            <v>1588.8834136576563</v>
          </cell>
          <cell r="AB22">
            <v>757988.24066829495</v>
          </cell>
          <cell r="AC22">
            <v>13000</v>
          </cell>
          <cell r="AD22">
            <v>2043.2105795222606</v>
          </cell>
          <cell r="AE22">
            <v>773031.45124781725</v>
          </cell>
          <cell r="AF22">
            <v>9000</v>
          </cell>
          <cell r="AG22">
            <v>0</v>
          </cell>
          <cell r="AH22">
            <v>782031.45124781725</v>
          </cell>
          <cell r="AI22">
            <v>9000</v>
          </cell>
          <cell r="AJ22">
            <v>601.31941508908676</v>
          </cell>
          <cell r="AK22">
            <v>791632.77066290635</v>
          </cell>
          <cell r="AL22">
            <v>12000</v>
          </cell>
          <cell r="AM22">
            <v>0</v>
          </cell>
          <cell r="AN22">
            <v>803632.77066290635</v>
          </cell>
          <cell r="AO22">
            <v>9000</v>
          </cell>
          <cell r="AP22">
            <v>0</v>
          </cell>
          <cell r="AQ22">
            <v>812632.77066290635</v>
          </cell>
          <cell r="AR22">
            <v>600000</v>
          </cell>
          <cell r="AS22">
            <v>39787.038443138823</v>
          </cell>
          <cell r="AT22">
            <v>117000</v>
          </cell>
          <cell r="AU22">
            <v>55845.732219767524</v>
          </cell>
          <cell r="AV22">
            <v>812632.77066290635</v>
          </cell>
          <cell r="AW22">
            <v>630000</v>
          </cell>
          <cell r="BB22">
            <v>182632.77066290635</v>
          </cell>
          <cell r="BD22">
            <v>182632.77066290635</v>
          </cell>
          <cell r="BE22">
            <v>0</v>
          </cell>
          <cell r="BF22">
            <v>182632.77066290635</v>
          </cell>
        </row>
        <row r="23">
          <cell r="A23" t="str">
            <v>AS201626</v>
          </cell>
          <cell r="B23" t="str">
            <v>NGUIEMEGNI MATHIEU BLAISE</v>
          </cell>
          <cell r="C23">
            <v>600000</v>
          </cell>
          <cell r="D23">
            <v>13695.736143450369</v>
          </cell>
          <cell r="E23">
            <v>613695.73614345037</v>
          </cell>
          <cell r="F23">
            <v>38983.235450029715</v>
          </cell>
          <cell r="G23">
            <v>652678.97159348009</v>
          </cell>
          <cell r="H23">
            <v>9000</v>
          </cell>
          <cell r="I23">
            <v>0</v>
          </cell>
          <cell r="J23">
            <v>661678.97159348009</v>
          </cell>
          <cell r="K23">
            <v>9000</v>
          </cell>
          <cell r="L23">
            <v>918.95404066335402</v>
          </cell>
          <cell r="M23">
            <v>671597.92563414341</v>
          </cell>
          <cell r="N23">
            <v>0</v>
          </cell>
          <cell r="O23">
            <v>181.6040903141915</v>
          </cell>
          <cell r="P23">
            <v>671779.52972445765</v>
          </cell>
          <cell r="Q23">
            <v>0</v>
          </cell>
          <cell r="R23">
            <v>6096.8005922534421</v>
          </cell>
          <cell r="S23">
            <v>677876.3303167111</v>
          </cell>
          <cell r="T23">
            <v>27000</v>
          </cell>
          <cell r="U23">
            <v>916.58008527126503</v>
          </cell>
          <cell r="V23">
            <v>705792.91040198237</v>
          </cell>
          <cell r="W23">
            <v>18000</v>
          </cell>
          <cell r="X23">
            <v>2292.5215972241822</v>
          </cell>
          <cell r="Y23">
            <v>726085.43199920654</v>
          </cell>
          <cell r="Z23">
            <v>17000</v>
          </cell>
          <cell r="AA23">
            <v>1560.9163420226255</v>
          </cell>
          <cell r="AB23">
            <v>744646.34834122914</v>
          </cell>
          <cell r="AC23">
            <v>18000</v>
          </cell>
          <cell r="AD23">
            <v>2021.1035722336378</v>
          </cell>
          <cell r="AE23">
            <v>764667.45191346272</v>
          </cell>
          <cell r="AF23">
            <v>159000</v>
          </cell>
          <cell r="AG23">
            <v>0</v>
          </cell>
          <cell r="AH23">
            <v>923667.45191346272</v>
          </cell>
          <cell r="AI23">
            <v>17000</v>
          </cell>
          <cell r="AJ23">
            <v>715.06840984093662</v>
          </cell>
          <cell r="AK23">
            <v>941382.52032330364</v>
          </cell>
          <cell r="AL23">
            <v>17000</v>
          </cell>
          <cell r="AM23">
            <v>0</v>
          </cell>
          <cell r="AN23">
            <v>958382.52032330364</v>
          </cell>
          <cell r="AO23">
            <v>17000</v>
          </cell>
          <cell r="AP23">
            <v>0</v>
          </cell>
          <cell r="AQ23">
            <v>975382.52032330364</v>
          </cell>
          <cell r="AR23">
            <v>600000</v>
          </cell>
          <cell r="AS23">
            <v>13695.736143450369</v>
          </cell>
          <cell r="AT23">
            <v>308000</v>
          </cell>
          <cell r="AU23">
            <v>53686.784179853348</v>
          </cell>
          <cell r="AV23">
            <v>975382.52032330364</v>
          </cell>
          <cell r="AW23">
            <v>630000</v>
          </cell>
          <cell r="BB23">
            <v>345382.52032330364</v>
          </cell>
          <cell r="BD23">
            <v>345382.52032330364</v>
          </cell>
          <cell r="BE23">
            <v>0</v>
          </cell>
          <cell r="BF23">
            <v>345382.52032330364</v>
          </cell>
        </row>
        <row r="24">
          <cell r="A24" t="str">
            <v>AS201628</v>
          </cell>
          <cell r="B24" t="str">
            <v>NKAMGANG JUSTIN DEJOLIE</v>
          </cell>
          <cell r="C24">
            <v>600000</v>
          </cell>
          <cell r="D24">
            <v>575.28052728832699</v>
          </cell>
          <cell r="E24">
            <v>600575.28052728833</v>
          </cell>
          <cell r="F24">
            <v>38149.79669467725</v>
          </cell>
          <cell r="G24">
            <v>638725.07722196553</v>
          </cell>
          <cell r="H24">
            <v>9000</v>
          </cell>
          <cell r="I24">
            <v>0</v>
          </cell>
          <cell r="J24">
            <v>647725.07722196553</v>
          </cell>
          <cell r="K24">
            <v>9000</v>
          </cell>
          <cell r="L24">
            <v>899.83462860660416</v>
          </cell>
          <cell r="M24">
            <v>657624.9118505721</v>
          </cell>
          <cell r="N24">
            <v>9000</v>
          </cell>
          <cell r="O24">
            <v>180.2593576850181</v>
          </cell>
          <cell r="P24">
            <v>666805.17120825709</v>
          </cell>
          <cell r="Q24">
            <v>9000</v>
          </cell>
          <cell r="R24">
            <v>6133.33569387033</v>
          </cell>
          <cell r="S24">
            <v>681938.50690212741</v>
          </cell>
          <cell r="T24">
            <v>9000</v>
          </cell>
          <cell r="U24">
            <v>898.45615228560939</v>
          </cell>
          <cell r="V24">
            <v>691836.96305441298</v>
          </cell>
          <cell r="W24">
            <v>9000</v>
          </cell>
          <cell r="X24">
            <v>2219.811566049912</v>
          </cell>
          <cell r="Y24">
            <v>703056.77462046291</v>
          </cell>
          <cell r="Z24">
            <v>9000</v>
          </cell>
          <cell r="AA24">
            <v>1495.7379166520773</v>
          </cell>
          <cell r="AB24">
            <v>713552.51253711502</v>
          </cell>
          <cell r="AC24">
            <v>9000</v>
          </cell>
          <cell r="AD24">
            <v>1914.85013649046</v>
          </cell>
          <cell r="AE24">
            <v>724467.36267360544</v>
          </cell>
          <cell r="AF24">
            <v>9000</v>
          </cell>
          <cell r="AG24">
            <v>0</v>
          </cell>
          <cell r="AH24">
            <v>733467.36267360544</v>
          </cell>
          <cell r="AI24">
            <v>9000</v>
          </cell>
          <cell r="AJ24">
            <v>564.40238822534582</v>
          </cell>
          <cell r="AK24">
            <v>743031.76506183075</v>
          </cell>
          <cell r="AL24">
            <v>7000</v>
          </cell>
          <cell r="AM24">
            <v>0</v>
          </cell>
          <cell r="AN24">
            <v>750031.76506183075</v>
          </cell>
          <cell r="AO24">
            <v>9000</v>
          </cell>
          <cell r="AP24">
            <v>0</v>
          </cell>
          <cell r="AQ24">
            <v>759031.76506183075</v>
          </cell>
          <cell r="AR24">
            <v>600000</v>
          </cell>
          <cell r="AS24">
            <v>575.28052728832699</v>
          </cell>
          <cell r="AT24">
            <v>106000</v>
          </cell>
          <cell r="AU24">
            <v>52456.4845345426</v>
          </cell>
          <cell r="AV24">
            <v>759031.76506183075</v>
          </cell>
          <cell r="AW24">
            <v>630000</v>
          </cell>
          <cell r="BB24">
            <v>129031.76506183075</v>
          </cell>
          <cell r="BD24">
            <v>129031.76506183075</v>
          </cell>
          <cell r="BE24">
            <v>0</v>
          </cell>
          <cell r="BF24">
            <v>129031.76506183075</v>
          </cell>
        </row>
        <row r="25">
          <cell r="B25" t="str">
            <v>NKEPSEU DIEUDONNE</v>
          </cell>
          <cell r="C25">
            <v>600000</v>
          </cell>
          <cell r="D25">
            <v>2433.3710003618617</v>
          </cell>
          <cell r="E25">
            <v>602433.37100036186</v>
          </cell>
          <cell r="F25">
            <v>38267.826483925048</v>
          </cell>
          <cell r="G25">
            <v>640701.19748428697</v>
          </cell>
          <cell r="H25">
            <v>-640701</v>
          </cell>
          <cell r="I25">
            <v>0</v>
          </cell>
          <cell r="J25">
            <v>0.19748428696766496</v>
          </cell>
          <cell r="K25">
            <v>0</v>
          </cell>
          <cell r="L25">
            <v>2.7058994118345079E-4</v>
          </cell>
          <cell r="M25">
            <v>0.19775487690884841</v>
          </cell>
          <cell r="N25">
            <v>0</v>
          </cell>
          <cell r="O25">
            <v>5.3474099837810067E-5</v>
          </cell>
          <cell r="P25">
            <v>0.19780835100868621</v>
          </cell>
          <cell r="Q25">
            <v>0</v>
          </cell>
          <cell r="R25">
            <v>1.7952289675707987E-3</v>
          </cell>
          <cell r="S25">
            <v>0.19960357997625702</v>
          </cell>
          <cell r="T25">
            <v>0</v>
          </cell>
          <cell r="U25">
            <v>2.5955285840408937E-4</v>
          </cell>
          <cell r="V25">
            <v>0.19986313283466112</v>
          </cell>
          <cell r="W25">
            <v>0</v>
          </cell>
          <cell r="X25">
            <v>6.3304094572835053E-4</v>
          </cell>
          <cell r="Y25">
            <v>0.20049617378038948</v>
          </cell>
          <cell r="Z25">
            <v>0</v>
          </cell>
          <cell r="AA25">
            <v>4.211598568482666E-4</v>
          </cell>
          <cell r="AB25">
            <v>0.20091733363723774</v>
          </cell>
          <cell r="AC25">
            <v>0</v>
          </cell>
          <cell r="AD25">
            <v>5.3245484177705618E-4</v>
          </cell>
          <cell r="AE25">
            <v>0.20144978847901479</v>
          </cell>
          <cell r="AF25">
            <v>0</v>
          </cell>
          <cell r="AG25">
            <v>0</v>
          </cell>
          <cell r="AH25">
            <v>0.20144978847901479</v>
          </cell>
          <cell r="AI25">
            <v>0</v>
          </cell>
          <cell r="AJ25">
            <v>1.531363497455572E-4</v>
          </cell>
          <cell r="AK25">
            <v>0.20160292482876035</v>
          </cell>
          <cell r="AL25">
            <v>0</v>
          </cell>
          <cell r="AM25">
            <v>0</v>
          </cell>
          <cell r="AN25">
            <v>0.20160292482876035</v>
          </cell>
          <cell r="AO25">
            <v>0</v>
          </cell>
          <cell r="AP25">
            <v>0</v>
          </cell>
          <cell r="AQ25">
            <v>0.20160292482876035</v>
          </cell>
          <cell r="AR25">
            <v>600000</v>
          </cell>
          <cell r="AS25">
            <v>2433.3710003618617</v>
          </cell>
          <cell r="AT25">
            <v>-640701</v>
          </cell>
          <cell r="AU25">
            <v>38267.830602562906</v>
          </cell>
          <cell r="AV25">
            <v>0.20160292482876035</v>
          </cell>
          <cell r="AW25">
            <v>0</v>
          </cell>
          <cell r="BB25">
            <v>0.20160292482876035</v>
          </cell>
          <cell r="BD25">
            <v>0.20160292482876035</v>
          </cell>
          <cell r="BE25">
            <v>0</v>
          </cell>
          <cell r="BF25">
            <v>0.20160292482876035</v>
          </cell>
        </row>
        <row r="26">
          <cell r="A26" t="str">
            <v>AS201633</v>
          </cell>
          <cell r="B26" t="str">
            <v>PATEGO NJOSSU GUSTAVE</v>
          </cell>
          <cell r="C26">
            <v>600000</v>
          </cell>
          <cell r="D26">
            <v>21451.962695348077</v>
          </cell>
          <cell r="E26">
            <v>621451.96269534808</v>
          </cell>
          <cell r="F26">
            <v>39475.927166899848</v>
          </cell>
          <cell r="G26">
            <v>660927.88986224798</v>
          </cell>
          <cell r="H26">
            <v>9000</v>
          </cell>
          <cell r="I26">
            <v>0</v>
          </cell>
          <cell r="J26">
            <v>669927.88986224798</v>
          </cell>
          <cell r="K26">
            <v>9000</v>
          </cell>
          <cell r="L26">
            <v>930.25658196142933</v>
          </cell>
          <cell r="M26">
            <v>679858.14644420939</v>
          </cell>
          <cell r="N26">
            <v>9000</v>
          </cell>
          <cell r="O26">
            <v>186.27135711057772</v>
          </cell>
          <cell r="P26">
            <v>689044.41780131997</v>
          </cell>
          <cell r="Q26">
            <v>9000</v>
          </cell>
          <cell r="R26">
            <v>6335.170143716502</v>
          </cell>
          <cell r="S26">
            <v>704379.58794503647</v>
          </cell>
          <cell r="T26">
            <v>9000</v>
          </cell>
          <cell r="U26">
            <v>927.63722574660505</v>
          </cell>
          <cell r="V26">
            <v>714307.22517078312</v>
          </cell>
          <cell r="W26">
            <v>9000</v>
          </cell>
          <cell r="X26">
            <v>2290.9832512885214</v>
          </cell>
          <cell r="Y26">
            <v>725598.20842207165</v>
          </cell>
          <cell r="Z26">
            <v>9000</v>
          </cell>
          <cell r="AA26">
            <v>1543.088182016437</v>
          </cell>
          <cell r="AB26">
            <v>736141.29660408804</v>
          </cell>
          <cell r="AC26">
            <v>9000</v>
          </cell>
          <cell r="AD26">
            <v>1974.7131021618652</v>
          </cell>
          <cell r="AE26">
            <v>747116.00970624993</v>
          </cell>
          <cell r="AF26">
            <v>9000</v>
          </cell>
          <cell r="AG26">
            <v>0</v>
          </cell>
          <cell r="AH26">
            <v>756116.00970624993</v>
          </cell>
          <cell r="AI26">
            <v>9000</v>
          </cell>
          <cell r="AJ26">
            <v>581.61923992542108</v>
          </cell>
          <cell r="AK26">
            <v>765697.62894617533</v>
          </cell>
          <cell r="AL26">
            <v>9000</v>
          </cell>
          <cell r="AM26">
            <v>0</v>
          </cell>
          <cell r="AN26">
            <v>774697.62894617533</v>
          </cell>
          <cell r="AO26">
            <v>9000</v>
          </cell>
          <cell r="AP26">
            <v>0</v>
          </cell>
          <cell r="AQ26">
            <v>783697.62894617533</v>
          </cell>
          <cell r="AR26">
            <v>600000</v>
          </cell>
          <cell r="AS26">
            <v>21451.962695348077</v>
          </cell>
          <cell r="AT26">
            <v>108000</v>
          </cell>
          <cell r="AU26">
            <v>54245.666250827206</v>
          </cell>
          <cell r="AV26">
            <v>783697.62894617533</v>
          </cell>
          <cell r="AW26">
            <v>630000</v>
          </cell>
          <cell r="BB26">
            <v>153697.62894617533</v>
          </cell>
          <cell r="BD26">
            <v>153697.62894617533</v>
          </cell>
          <cell r="BE26">
            <v>0</v>
          </cell>
          <cell r="BF26">
            <v>153697.62894617533</v>
          </cell>
        </row>
        <row r="27">
          <cell r="A27" t="str">
            <v>AS201653</v>
          </cell>
          <cell r="B27" t="str">
            <v>SIME BRICE</v>
          </cell>
          <cell r="C27">
            <v>600000</v>
          </cell>
          <cell r="D27">
            <v>200752.48017057346</v>
          </cell>
          <cell r="E27">
            <v>800752.48017057346</v>
          </cell>
          <cell r="F27">
            <v>50865.470677456433</v>
          </cell>
          <cell r="G27">
            <v>851617.95084802993</v>
          </cell>
          <cell r="H27">
            <v>9000</v>
          </cell>
          <cell r="I27">
            <v>0</v>
          </cell>
          <cell r="J27">
            <v>860617.95084802993</v>
          </cell>
          <cell r="K27">
            <v>9000</v>
          </cell>
          <cell r="L27">
            <v>1191.5371789076557</v>
          </cell>
          <cell r="M27">
            <v>870809.48802693759</v>
          </cell>
          <cell r="N27">
            <v>9000</v>
          </cell>
          <cell r="O27">
            <v>237.9057403610355</v>
          </cell>
          <cell r="P27">
            <v>880047.39376729866</v>
          </cell>
          <cell r="Q27">
            <v>9000</v>
          </cell>
          <cell r="R27">
            <v>8068.6362668494776</v>
          </cell>
          <cell r="S27">
            <v>897116.03003414813</v>
          </cell>
          <cell r="T27">
            <v>9000</v>
          </cell>
          <cell r="U27">
            <v>1178.260458400116</v>
          </cell>
          <cell r="V27">
            <v>907294.29049254826</v>
          </cell>
          <cell r="W27">
            <v>9000</v>
          </cell>
          <cell r="X27">
            <v>2902.2451314157306</v>
          </cell>
          <cell r="Y27">
            <v>919196.53562396404</v>
          </cell>
          <cell r="Z27">
            <v>9000</v>
          </cell>
          <cell r="AA27">
            <v>1949.7585051105923</v>
          </cell>
          <cell r="AB27">
            <v>930146.29412907467</v>
          </cell>
          <cell r="AC27">
            <v>9000</v>
          </cell>
          <cell r="AD27">
            <v>2488.8494307259011</v>
          </cell>
          <cell r="AE27">
            <v>941635.14355980058</v>
          </cell>
          <cell r="AF27">
            <v>9000</v>
          </cell>
          <cell r="AG27">
            <v>0</v>
          </cell>
          <cell r="AH27">
            <v>950635.14355980058</v>
          </cell>
          <cell r="AI27">
            <v>9000</v>
          </cell>
          <cell r="AJ27">
            <v>729.48710486042557</v>
          </cell>
          <cell r="AK27">
            <v>960364.63066466106</v>
          </cell>
          <cell r="AL27">
            <v>9000</v>
          </cell>
          <cell r="AM27">
            <v>0</v>
          </cell>
          <cell r="AN27">
            <v>969364.63066466106</v>
          </cell>
          <cell r="AO27">
            <v>9000</v>
          </cell>
          <cell r="AP27">
            <v>0</v>
          </cell>
          <cell r="AQ27">
            <v>978364.63066466106</v>
          </cell>
          <cell r="AR27">
            <v>600000</v>
          </cell>
          <cell r="AS27">
            <v>200752.48017057346</v>
          </cell>
          <cell r="AT27">
            <v>108000</v>
          </cell>
          <cell r="AU27">
            <v>69612.150494087356</v>
          </cell>
          <cell r="AV27">
            <v>978364.63066466106</v>
          </cell>
          <cell r="AW27">
            <v>630000</v>
          </cell>
          <cell r="BB27">
            <v>348364.63066466106</v>
          </cell>
          <cell r="BD27">
            <v>348364.63066466106</v>
          </cell>
          <cell r="BE27">
            <v>0</v>
          </cell>
          <cell r="BF27">
            <v>348364.63066466106</v>
          </cell>
        </row>
        <row r="28">
          <cell r="A28" t="str">
            <v>AS201638</v>
          </cell>
          <cell r="B28" t="str">
            <v>SIMO PIERRE</v>
          </cell>
          <cell r="C28">
            <v>600000</v>
          </cell>
          <cell r="D28">
            <v>103606.47183067317</v>
          </cell>
          <cell r="E28">
            <v>703606.47183067317</v>
          </cell>
          <cell r="F28">
            <v>44694.553245402341</v>
          </cell>
          <cell r="G28">
            <v>748301.02507607546</v>
          </cell>
          <cell r="H28">
            <v>119000</v>
          </cell>
          <cell r="I28">
            <v>0</v>
          </cell>
          <cell r="J28">
            <v>867301.02507607546</v>
          </cell>
          <cell r="K28">
            <v>9000</v>
          </cell>
          <cell r="L28">
            <v>1200.6942247165082</v>
          </cell>
          <cell r="M28">
            <v>877501.71930079197</v>
          </cell>
          <cell r="N28">
            <v>9000</v>
          </cell>
          <cell r="O28">
            <v>239.7153596678744</v>
          </cell>
          <cell r="P28">
            <v>886741.43466045987</v>
          </cell>
          <cell r="Q28">
            <v>9000</v>
          </cell>
          <cell r="R28">
            <v>8129.388687362698</v>
          </cell>
          <cell r="S28">
            <v>903870.82334782253</v>
          </cell>
          <cell r="T28">
            <v>9000</v>
          </cell>
          <cell r="U28">
            <v>1187.0439978171023</v>
          </cell>
          <cell r="V28">
            <v>914057.86734563962</v>
          </cell>
          <cell r="W28">
            <v>9000</v>
          </cell>
          <cell r="X28">
            <v>2923.6678972198138</v>
          </cell>
          <cell r="Y28">
            <v>925981.53524285939</v>
          </cell>
          <cell r="Z28">
            <v>9000</v>
          </cell>
          <cell r="AA28">
            <v>1964.0109938954381</v>
          </cell>
          <cell r="AB28">
            <v>936945.54623675486</v>
          </cell>
          <cell r="AC28">
            <v>9000</v>
          </cell>
          <cell r="AD28">
            <v>2506.8682578706698</v>
          </cell>
          <cell r="AE28">
            <v>948452.41449462553</v>
          </cell>
          <cell r="AF28">
            <v>9000</v>
          </cell>
          <cell r="AG28">
            <v>0</v>
          </cell>
          <cell r="AH28">
            <v>957452.41449462553</v>
          </cell>
          <cell r="AI28">
            <v>9000</v>
          </cell>
          <cell r="AJ28">
            <v>734.66939864225458</v>
          </cell>
          <cell r="AK28">
            <v>967187.08389326779</v>
          </cell>
          <cell r="AL28">
            <v>9500</v>
          </cell>
          <cell r="AM28">
            <v>0</v>
          </cell>
          <cell r="AN28">
            <v>976687.08389326779</v>
          </cell>
          <cell r="AO28">
            <v>9000</v>
          </cell>
          <cell r="AP28">
            <v>0</v>
          </cell>
          <cell r="AQ28">
            <v>985687.08389326779</v>
          </cell>
          <cell r="AR28">
            <v>600000</v>
          </cell>
          <cell r="AS28">
            <v>103606.47183067317</v>
          </cell>
          <cell r="AT28">
            <v>218500</v>
          </cell>
          <cell r="AU28">
            <v>63580.612062594708</v>
          </cell>
          <cell r="AV28">
            <v>985687.08389326779</v>
          </cell>
          <cell r="AW28">
            <v>630000</v>
          </cell>
          <cell r="BB28">
            <v>355687.08389326779</v>
          </cell>
          <cell r="BD28">
            <v>355687.08389326779</v>
          </cell>
          <cell r="BE28">
            <v>0</v>
          </cell>
          <cell r="BF28">
            <v>355687.08389326779</v>
          </cell>
        </row>
        <row r="29">
          <cell r="A29" t="str">
            <v>AS201641</v>
          </cell>
          <cell r="B29" t="str">
            <v>TCHOUAMOU MATHIEU</v>
          </cell>
          <cell r="C29">
            <v>600000</v>
          </cell>
          <cell r="D29">
            <v>4207.8699443503283</v>
          </cell>
          <cell r="E29">
            <v>604207.86994435033</v>
          </cell>
          <cell r="F29">
            <v>38380.546364584545</v>
          </cell>
          <cell r="G29">
            <v>642588.41630893492</v>
          </cell>
          <cell r="H29">
            <v>9000</v>
          </cell>
          <cell r="I29">
            <v>0</v>
          </cell>
          <cell r="J29">
            <v>651588.41630893492</v>
          </cell>
          <cell r="K29">
            <v>9000</v>
          </cell>
          <cell r="L29">
            <v>905.12811657147677</v>
          </cell>
          <cell r="M29">
            <v>661493.54442550638</v>
          </cell>
          <cell r="N29">
            <v>9000</v>
          </cell>
          <cell r="O29">
            <v>181.30545903928808</v>
          </cell>
          <cell r="P29">
            <v>670674.84988454566</v>
          </cell>
          <cell r="Q29">
            <v>9000</v>
          </cell>
          <cell r="R29">
            <v>6168.4553398278422</v>
          </cell>
          <cell r="S29">
            <v>685843.30522437347</v>
          </cell>
          <cell r="T29">
            <v>9000</v>
          </cell>
          <cell r="U29">
            <v>903.53372437199687</v>
          </cell>
          <cell r="V29">
            <v>695746.83894874551</v>
          </cell>
          <cell r="W29">
            <v>9000</v>
          </cell>
          <cell r="X29">
            <v>2232.1955985561785</v>
          </cell>
          <cell r="Y29">
            <v>706979.03454730171</v>
          </cell>
          <cell r="Z29">
            <v>9000</v>
          </cell>
          <cell r="AA29">
            <v>1503.9769687903915</v>
          </cell>
          <cell r="AB29">
            <v>717483.01151609211</v>
          </cell>
          <cell r="AC29">
            <v>9000</v>
          </cell>
          <cell r="AD29">
            <v>1925.2664264843079</v>
          </cell>
          <cell r="AE29">
            <v>728408.27794257645</v>
          </cell>
          <cell r="AF29">
            <v>9000</v>
          </cell>
          <cell r="AG29">
            <v>0</v>
          </cell>
          <cell r="AH29">
            <v>737408.27794257645</v>
          </cell>
          <cell r="AI29">
            <v>9000</v>
          </cell>
          <cell r="AJ29">
            <v>567.39815895066283</v>
          </cell>
          <cell r="AK29">
            <v>746975.67610152706</v>
          </cell>
          <cell r="AL29">
            <v>9000</v>
          </cell>
          <cell r="AM29">
            <v>0</v>
          </cell>
          <cell r="AN29">
            <v>755975.67610152706</v>
          </cell>
          <cell r="AO29">
            <v>9000</v>
          </cell>
          <cell r="AP29">
            <v>0</v>
          </cell>
          <cell r="AQ29">
            <v>764975.67610152706</v>
          </cell>
          <cell r="AR29">
            <v>600000</v>
          </cell>
          <cell r="AS29">
            <v>4207.8699443503283</v>
          </cell>
          <cell r="AT29">
            <v>108000</v>
          </cell>
          <cell r="AU29">
            <v>52767.806157176696</v>
          </cell>
          <cell r="AV29">
            <v>764975.67610152706</v>
          </cell>
          <cell r="AW29">
            <v>630000</v>
          </cell>
          <cell r="BB29">
            <v>134975.67610152706</v>
          </cell>
          <cell r="BD29">
            <v>134975.67610152706</v>
          </cell>
          <cell r="BE29">
            <v>0</v>
          </cell>
          <cell r="BF29">
            <v>134975.67610152706</v>
          </cell>
        </row>
        <row r="30">
          <cell r="A30" t="str">
            <v>AS201646</v>
          </cell>
          <cell r="B30" t="str">
            <v>YEPMOU JEAN JACQUES</v>
          </cell>
          <cell r="C30">
            <v>600000</v>
          </cell>
          <cell r="D30">
            <v>914734.42229355336</v>
          </cell>
          <cell r="E30">
            <v>1514734.4222935534</v>
          </cell>
          <cell r="F30">
            <v>96219.095474914066</v>
          </cell>
          <cell r="G30">
            <v>1610953.5177684673</v>
          </cell>
          <cell r="H30">
            <v>9000</v>
          </cell>
          <cell r="I30">
            <v>0</v>
          </cell>
          <cell r="J30">
            <v>1619953.5177684673</v>
          </cell>
          <cell r="K30">
            <v>9000</v>
          </cell>
          <cell r="L30">
            <v>2231.9671267603972</v>
          </cell>
          <cell r="M30">
            <v>1631185.4848952277</v>
          </cell>
          <cell r="N30">
            <v>3000</v>
          </cell>
          <cell r="O30">
            <v>441.89351554180263</v>
          </cell>
          <cell r="P30">
            <v>1634627.3784107696</v>
          </cell>
          <cell r="Q30">
            <v>0</v>
          </cell>
          <cell r="R30">
            <v>14835.220080159637</v>
          </cell>
          <cell r="S30">
            <v>1649462.5984909292</v>
          </cell>
          <cell r="T30">
            <v>17000</v>
          </cell>
          <cell r="U30">
            <v>2166.9708074037417</v>
          </cell>
          <cell r="V30">
            <v>1668629.569298333</v>
          </cell>
          <cell r="W30">
            <v>9000</v>
          </cell>
          <cell r="X30">
            <v>5313.6773854586754</v>
          </cell>
          <cell r="Y30">
            <v>1682943.2466837917</v>
          </cell>
          <cell r="Z30">
            <v>9000</v>
          </cell>
          <cell r="AA30">
            <v>3554.0756820090223</v>
          </cell>
          <cell r="AB30">
            <v>1695497.3223658009</v>
          </cell>
          <cell r="AC30">
            <v>9000</v>
          </cell>
          <cell r="AD30">
            <v>4517.1207265189942</v>
          </cell>
          <cell r="AE30">
            <v>1709014.4430923199</v>
          </cell>
          <cell r="AF30">
            <v>9000</v>
          </cell>
          <cell r="AG30">
            <v>0</v>
          </cell>
          <cell r="AH30">
            <v>1718014.4430923199</v>
          </cell>
          <cell r="AI30">
            <v>9000</v>
          </cell>
          <cell r="AJ30">
            <v>1312.8268327795447</v>
          </cell>
          <cell r="AK30">
            <v>1728327.2699250993</v>
          </cell>
          <cell r="AL30">
            <v>6000</v>
          </cell>
          <cell r="AM30">
            <v>0</v>
          </cell>
          <cell r="AN30">
            <v>1734327.2699250993</v>
          </cell>
          <cell r="AO30">
            <v>9000</v>
          </cell>
          <cell r="AP30">
            <v>0</v>
          </cell>
          <cell r="AQ30">
            <v>1743327.2699250993</v>
          </cell>
          <cell r="AR30">
            <v>600000</v>
          </cell>
          <cell r="AS30">
            <v>914734.42229355336</v>
          </cell>
          <cell r="AT30">
            <v>98000</v>
          </cell>
          <cell r="AU30">
            <v>130592.84763154587</v>
          </cell>
          <cell r="AV30">
            <v>1743327.2699250993</v>
          </cell>
          <cell r="AW30">
            <v>630000</v>
          </cell>
          <cell r="BB30">
            <v>1113327.2699250993</v>
          </cell>
          <cell r="BD30">
            <v>1113327.2699250993</v>
          </cell>
          <cell r="BE30">
            <v>0</v>
          </cell>
          <cell r="BF30">
            <v>1113327.2699250993</v>
          </cell>
        </row>
        <row r="31">
          <cell r="A31" t="str">
            <v>AS201647</v>
          </cell>
          <cell r="B31" t="str">
            <v>YOUMBI EMMANUEL</v>
          </cell>
          <cell r="C31">
            <v>600000</v>
          </cell>
          <cell r="D31">
            <v>1057774.2356918815</v>
          </cell>
          <cell r="E31">
            <v>1657774.2356918815</v>
          </cell>
          <cell r="F31">
            <v>105305.28329736282</v>
          </cell>
          <cell r="G31">
            <v>1763079.5189892442</v>
          </cell>
          <cell r="H31">
            <v>9000</v>
          </cell>
          <cell r="I31">
            <v>0</v>
          </cell>
          <cell r="J31">
            <v>1772079.5189892442</v>
          </cell>
          <cell r="K31">
            <v>9000</v>
          </cell>
          <cell r="L31">
            <v>2440.4078404742104</v>
          </cell>
          <cell r="M31">
            <v>1783519.9268297185</v>
          </cell>
          <cell r="N31">
            <v>9000</v>
          </cell>
          <cell r="O31">
            <v>484.70809431788769</v>
          </cell>
          <cell r="P31">
            <v>1793004.6349240365</v>
          </cell>
          <cell r="Q31">
            <v>9000</v>
          </cell>
          <cell r="R31">
            <v>16354.268683885926</v>
          </cell>
          <cell r="S31">
            <v>1818358.9036079224</v>
          </cell>
          <cell r="T31">
            <v>9000</v>
          </cell>
          <cell r="U31">
            <v>2376.1909822359744</v>
          </cell>
          <cell r="V31">
            <v>1829735.0945901584</v>
          </cell>
          <cell r="W31">
            <v>9000</v>
          </cell>
          <cell r="X31">
            <v>5823.9585596118359</v>
          </cell>
          <cell r="Y31">
            <v>1844559.0531497702</v>
          </cell>
          <cell r="Z31">
            <v>9000</v>
          </cell>
          <cell r="AA31">
            <v>3893.5639058101601</v>
          </cell>
          <cell r="AB31">
            <v>1857452.6170555805</v>
          </cell>
          <cell r="AC31">
            <v>9000</v>
          </cell>
          <cell r="AD31">
            <v>4946.3215288982501</v>
          </cell>
          <cell r="AE31">
            <v>1871398.9385844788</v>
          </cell>
          <cell r="AF31">
            <v>9000</v>
          </cell>
          <cell r="AG31">
            <v>0</v>
          </cell>
          <cell r="AH31">
            <v>1880398.9385844788</v>
          </cell>
          <cell r="AI31">
            <v>9000</v>
          </cell>
          <cell r="AJ31">
            <v>1436.2668675529419</v>
          </cell>
          <cell r="AK31">
            <v>1890835.2054520317</v>
          </cell>
          <cell r="AL31">
            <v>9000</v>
          </cell>
          <cell r="AM31">
            <v>0</v>
          </cell>
          <cell r="AN31">
            <v>1899835.2054520317</v>
          </cell>
          <cell r="AO31">
            <v>9000</v>
          </cell>
          <cell r="AP31">
            <v>0</v>
          </cell>
          <cell r="AQ31">
            <v>1908835.2054520317</v>
          </cell>
          <cell r="AR31">
            <v>600000</v>
          </cell>
          <cell r="AS31">
            <v>1057774.2356918815</v>
          </cell>
          <cell r="AT31">
            <v>108000</v>
          </cell>
          <cell r="AU31">
            <v>143060.96976015001</v>
          </cell>
          <cell r="AV31">
            <v>1908835.2054520317</v>
          </cell>
          <cell r="AW31">
            <v>630000</v>
          </cell>
          <cell r="BB31">
            <v>1278835.2054520317</v>
          </cell>
          <cell r="BD31">
            <v>1278835.2054520317</v>
          </cell>
          <cell r="BE31">
            <v>0</v>
          </cell>
          <cell r="BF31">
            <v>1278835.2054520317</v>
          </cell>
        </row>
        <row r="32">
          <cell r="A32" t="str">
            <v>AS201601</v>
          </cell>
          <cell r="B32" t="str">
            <v>BAKOP ACHILLE</v>
          </cell>
          <cell r="C32">
            <v>0</v>
          </cell>
          <cell r="H32">
            <v>609000</v>
          </cell>
          <cell r="I32">
            <v>0</v>
          </cell>
          <cell r="J32">
            <v>609000</v>
          </cell>
          <cell r="K32">
            <v>9000</v>
          </cell>
          <cell r="L32">
            <v>846.77412172419099</v>
          </cell>
          <cell r="M32">
            <v>618846.77412172419</v>
          </cell>
          <cell r="N32">
            <v>9000</v>
          </cell>
          <cell r="O32">
            <v>169.77351763469881</v>
          </cell>
          <cell r="P32">
            <v>628016.54763935891</v>
          </cell>
          <cell r="Q32">
            <v>9000</v>
          </cell>
          <cell r="R32">
            <v>5781.3057604120222</v>
          </cell>
          <cell r="S32">
            <v>642797.85339977092</v>
          </cell>
          <cell r="T32">
            <v>9000</v>
          </cell>
          <cell r="U32">
            <v>847.5599283924854</v>
          </cell>
          <cell r="V32">
            <v>652645.41332816344</v>
          </cell>
          <cell r="W32">
            <v>9000</v>
          </cell>
          <cell r="X32">
            <v>2095.6773380340383</v>
          </cell>
          <cell r="Y32">
            <v>663741.09066619747</v>
          </cell>
          <cell r="Z32">
            <v>6000</v>
          </cell>
          <cell r="AA32">
            <v>1406.8500986923409</v>
          </cell>
          <cell r="AB32">
            <v>671147.94076488982</v>
          </cell>
          <cell r="AC32">
            <v>9000</v>
          </cell>
          <cell r="AD32">
            <v>1802.4729754717389</v>
          </cell>
          <cell r="AE32">
            <v>681950.41374036158</v>
          </cell>
          <cell r="AF32">
            <v>9000</v>
          </cell>
          <cell r="AG32">
            <v>0</v>
          </cell>
          <cell r="AH32">
            <v>690950.41374036158</v>
          </cell>
          <cell r="AI32">
            <v>9000</v>
          </cell>
          <cell r="AJ32">
            <v>532.08222342838212</v>
          </cell>
          <cell r="AK32">
            <v>700482.49596378999</v>
          </cell>
          <cell r="AL32">
            <v>9000</v>
          </cell>
          <cell r="AM32">
            <v>0</v>
          </cell>
          <cell r="AN32">
            <v>709482.49596378999</v>
          </cell>
          <cell r="AO32">
            <v>9000</v>
          </cell>
          <cell r="AP32">
            <v>0</v>
          </cell>
          <cell r="AQ32">
            <v>718482.49596378999</v>
          </cell>
          <cell r="AR32">
            <v>0</v>
          </cell>
          <cell r="AS32">
            <v>0</v>
          </cell>
          <cell r="AT32">
            <v>705000</v>
          </cell>
          <cell r="AU32">
            <v>13482.495963789899</v>
          </cell>
          <cell r="AV32">
            <v>718482.49596378999</v>
          </cell>
          <cell r="AW32">
            <v>630000</v>
          </cell>
          <cell r="BB32">
            <v>88482.495963789988</v>
          </cell>
          <cell r="BD32">
            <v>88482.495963789988</v>
          </cell>
          <cell r="BE32">
            <v>0</v>
          </cell>
          <cell r="BF32">
            <v>88482.495963789988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H33">
            <v>9000</v>
          </cell>
          <cell r="I33">
            <v>0</v>
          </cell>
          <cell r="J33">
            <v>9000</v>
          </cell>
          <cell r="K33">
            <v>9000</v>
          </cell>
          <cell r="M33">
            <v>18000</v>
          </cell>
          <cell r="N33">
            <v>9000</v>
          </cell>
          <cell r="O33">
            <v>0</v>
          </cell>
          <cell r="P33">
            <v>27000</v>
          </cell>
          <cell r="Q33">
            <v>9000</v>
          </cell>
          <cell r="R33">
            <v>0</v>
          </cell>
          <cell r="S33">
            <v>36000</v>
          </cell>
          <cell r="T33">
            <v>6000</v>
          </cell>
          <cell r="U33">
            <v>0</v>
          </cell>
          <cell r="V33">
            <v>42000</v>
          </cell>
          <cell r="W33">
            <v>9000</v>
          </cell>
          <cell r="X33">
            <v>0</v>
          </cell>
          <cell r="Y33">
            <v>51000</v>
          </cell>
          <cell r="Z33">
            <v>9000</v>
          </cell>
          <cell r="AA33">
            <v>0</v>
          </cell>
          <cell r="AB33">
            <v>60000</v>
          </cell>
          <cell r="AC33">
            <v>0</v>
          </cell>
          <cell r="AD33">
            <v>0</v>
          </cell>
          <cell r="AE33">
            <v>60000</v>
          </cell>
          <cell r="AF33">
            <v>0</v>
          </cell>
          <cell r="AG33">
            <v>0</v>
          </cell>
          <cell r="AH33">
            <v>60000</v>
          </cell>
          <cell r="AI33">
            <v>0</v>
          </cell>
          <cell r="AJ33">
            <v>0</v>
          </cell>
          <cell r="AK33">
            <v>60000</v>
          </cell>
          <cell r="AL33">
            <v>15000</v>
          </cell>
          <cell r="AM33">
            <v>0</v>
          </cell>
          <cell r="AN33">
            <v>75000</v>
          </cell>
          <cell r="AO33">
            <v>9000</v>
          </cell>
          <cell r="AP33">
            <v>0</v>
          </cell>
          <cell r="AQ33">
            <v>84000</v>
          </cell>
          <cell r="AR33">
            <v>0</v>
          </cell>
          <cell r="AS33">
            <v>0</v>
          </cell>
          <cell r="AT33">
            <v>84000</v>
          </cell>
          <cell r="AU33">
            <v>0</v>
          </cell>
          <cell r="AV33">
            <v>84000</v>
          </cell>
          <cell r="AW33">
            <v>630000</v>
          </cell>
          <cell r="BB33">
            <v>-546000</v>
          </cell>
          <cell r="BD33">
            <v>-546000</v>
          </cell>
          <cell r="BE33">
            <v>0</v>
          </cell>
          <cell r="BF33">
            <v>-546000</v>
          </cell>
        </row>
        <row r="34">
          <cell r="A34" t="str">
            <v>AS201657</v>
          </cell>
          <cell r="B34" t="str">
            <v>SEUMOU POLYCARPE</v>
          </cell>
          <cell r="C34">
            <v>0</v>
          </cell>
          <cell r="H34">
            <v>9000</v>
          </cell>
          <cell r="I34">
            <v>0</v>
          </cell>
          <cell r="J34">
            <v>9000</v>
          </cell>
          <cell r="K34">
            <v>9000</v>
          </cell>
          <cell r="M34">
            <v>18000</v>
          </cell>
          <cell r="N34">
            <v>9000</v>
          </cell>
          <cell r="O34">
            <v>0</v>
          </cell>
          <cell r="P34">
            <v>27000</v>
          </cell>
          <cell r="Q34">
            <v>9000</v>
          </cell>
          <cell r="R34">
            <v>0</v>
          </cell>
          <cell r="S34">
            <v>36000</v>
          </cell>
          <cell r="T34">
            <v>9000</v>
          </cell>
          <cell r="U34">
            <v>0</v>
          </cell>
          <cell r="V34">
            <v>45000</v>
          </cell>
          <cell r="W34">
            <v>9000</v>
          </cell>
          <cell r="X34">
            <v>0</v>
          </cell>
          <cell r="Y34">
            <v>54000</v>
          </cell>
          <cell r="Z34">
            <v>9000</v>
          </cell>
          <cell r="AA34">
            <v>0</v>
          </cell>
          <cell r="AB34">
            <v>63000</v>
          </cell>
          <cell r="AC34">
            <v>9000</v>
          </cell>
          <cell r="AD34">
            <v>0</v>
          </cell>
          <cell r="AE34">
            <v>72000</v>
          </cell>
          <cell r="AF34">
            <v>186500</v>
          </cell>
          <cell r="AG34">
            <v>0</v>
          </cell>
          <cell r="AH34">
            <v>258500</v>
          </cell>
          <cell r="AI34">
            <v>9000</v>
          </cell>
          <cell r="AJ34">
            <v>0</v>
          </cell>
          <cell r="AK34">
            <v>267500</v>
          </cell>
          <cell r="AL34">
            <v>9000</v>
          </cell>
          <cell r="AM34">
            <v>0</v>
          </cell>
          <cell r="AN34">
            <v>276500</v>
          </cell>
          <cell r="AO34">
            <v>9000</v>
          </cell>
          <cell r="AP34">
            <v>0</v>
          </cell>
          <cell r="AQ34">
            <v>285500</v>
          </cell>
          <cell r="AR34">
            <v>0</v>
          </cell>
          <cell r="AS34">
            <v>0</v>
          </cell>
          <cell r="AT34">
            <v>285500</v>
          </cell>
          <cell r="AU34">
            <v>0</v>
          </cell>
          <cell r="AV34">
            <v>285500</v>
          </cell>
          <cell r="AW34">
            <v>630000</v>
          </cell>
          <cell r="BB34">
            <v>-344500</v>
          </cell>
          <cell r="BD34">
            <v>-344500</v>
          </cell>
          <cell r="BE34">
            <v>0</v>
          </cell>
          <cell r="BF34">
            <v>-344500</v>
          </cell>
        </row>
        <row r="35">
          <cell r="A35" t="str">
            <v>AS201656</v>
          </cell>
          <cell r="B35" t="str">
            <v>NOUBE ETIENNE</v>
          </cell>
          <cell r="C35">
            <v>0</v>
          </cell>
          <cell r="H35">
            <v>9000</v>
          </cell>
          <cell r="I35">
            <v>0</v>
          </cell>
          <cell r="J35">
            <v>9000</v>
          </cell>
          <cell r="K35">
            <v>9000</v>
          </cell>
          <cell r="M35">
            <v>18000</v>
          </cell>
          <cell r="N35">
            <v>19000</v>
          </cell>
          <cell r="O35">
            <v>0</v>
          </cell>
          <cell r="P35">
            <v>37000</v>
          </cell>
          <cell r="Q35">
            <v>19000</v>
          </cell>
          <cell r="R35">
            <v>0</v>
          </cell>
          <cell r="S35">
            <v>56000</v>
          </cell>
          <cell r="T35">
            <v>409000</v>
          </cell>
          <cell r="U35">
            <v>0</v>
          </cell>
          <cell r="V35">
            <v>465000</v>
          </cell>
          <cell r="W35">
            <v>14000</v>
          </cell>
          <cell r="X35">
            <v>0</v>
          </cell>
          <cell r="Y35">
            <v>479000</v>
          </cell>
          <cell r="Z35">
            <v>19000</v>
          </cell>
          <cell r="AA35">
            <v>0</v>
          </cell>
          <cell r="AB35">
            <v>498000</v>
          </cell>
          <cell r="AC35">
            <v>19000</v>
          </cell>
          <cell r="AD35">
            <v>0</v>
          </cell>
          <cell r="AE35">
            <v>517000</v>
          </cell>
          <cell r="AF35">
            <v>146500</v>
          </cell>
          <cell r="AG35">
            <v>0</v>
          </cell>
          <cell r="AH35">
            <v>663500</v>
          </cell>
          <cell r="AI35">
            <v>19000</v>
          </cell>
          <cell r="AJ35">
            <v>518.8169195433544</v>
          </cell>
          <cell r="AK35">
            <v>683018.81691954331</v>
          </cell>
          <cell r="AL35">
            <v>19000</v>
          </cell>
          <cell r="AM35">
            <v>0</v>
          </cell>
          <cell r="AN35">
            <v>702018.81691954331</v>
          </cell>
          <cell r="AO35">
            <v>19000</v>
          </cell>
          <cell r="AP35">
            <v>0</v>
          </cell>
          <cell r="AQ35">
            <v>721018.81691954331</v>
          </cell>
          <cell r="AR35">
            <v>0</v>
          </cell>
          <cell r="AS35">
            <v>0</v>
          </cell>
          <cell r="AT35">
            <v>720500</v>
          </cell>
          <cell r="AU35">
            <v>518.8169195433544</v>
          </cell>
          <cell r="AV35">
            <v>721018.81691954331</v>
          </cell>
          <cell r="AW35">
            <v>630000</v>
          </cell>
          <cell r="BB35">
            <v>91018.816919543315</v>
          </cell>
          <cell r="BD35">
            <v>91018.816919543315</v>
          </cell>
          <cell r="BE35">
            <v>0</v>
          </cell>
          <cell r="BF35">
            <v>91018.816919543315</v>
          </cell>
        </row>
        <row r="36">
          <cell r="A36" t="str">
            <v>AS201658</v>
          </cell>
          <cell r="B36" t="str">
            <v>YANTCHOU GERVAIS</v>
          </cell>
          <cell r="C36">
            <v>0</v>
          </cell>
          <cell r="H36">
            <v>9000</v>
          </cell>
          <cell r="I36">
            <v>0</v>
          </cell>
          <cell r="J36">
            <v>9000</v>
          </cell>
          <cell r="K36">
            <v>9000</v>
          </cell>
          <cell r="M36">
            <v>18000</v>
          </cell>
          <cell r="N36">
            <v>44000</v>
          </cell>
          <cell r="O36">
            <v>0</v>
          </cell>
          <cell r="P36">
            <v>62000</v>
          </cell>
          <cell r="Q36">
            <v>66000</v>
          </cell>
          <cell r="R36">
            <v>0</v>
          </cell>
          <cell r="S36">
            <v>128000</v>
          </cell>
          <cell r="T36">
            <v>69000</v>
          </cell>
          <cell r="U36">
            <v>0</v>
          </cell>
          <cell r="V36">
            <v>197000</v>
          </cell>
          <cell r="W36">
            <v>69000</v>
          </cell>
          <cell r="X36">
            <v>0</v>
          </cell>
          <cell r="Y36">
            <v>266000</v>
          </cell>
          <cell r="Z36">
            <v>69000</v>
          </cell>
          <cell r="AA36">
            <v>0</v>
          </cell>
          <cell r="AB36">
            <v>335000</v>
          </cell>
          <cell r="AC36">
            <v>69000</v>
          </cell>
          <cell r="AD36">
            <v>0</v>
          </cell>
          <cell r="AE36">
            <v>404000</v>
          </cell>
          <cell r="AF36">
            <v>9000</v>
          </cell>
          <cell r="AG36">
            <v>0</v>
          </cell>
          <cell r="AH36">
            <v>413000</v>
          </cell>
          <cell r="AI36">
            <v>276000</v>
          </cell>
          <cell r="AJ36">
            <v>523.758033062815</v>
          </cell>
          <cell r="AK36">
            <v>689523.7580330628</v>
          </cell>
          <cell r="AL36">
            <v>39000</v>
          </cell>
          <cell r="AM36">
            <v>0</v>
          </cell>
          <cell r="AN36">
            <v>728523.7580330628</v>
          </cell>
          <cell r="AO36">
            <v>9000</v>
          </cell>
          <cell r="AP36">
            <v>0</v>
          </cell>
          <cell r="AQ36">
            <v>737523.7580330628</v>
          </cell>
          <cell r="AR36">
            <v>0</v>
          </cell>
          <cell r="AS36">
            <v>0</v>
          </cell>
          <cell r="AT36">
            <v>737000</v>
          </cell>
          <cell r="AU36">
            <v>523.758033062815</v>
          </cell>
          <cell r="AV36">
            <v>737523.7580330628</v>
          </cell>
          <cell r="AW36">
            <v>630000</v>
          </cell>
          <cell r="BB36">
            <v>107523.7580330628</v>
          </cell>
          <cell r="BD36">
            <v>107523.7580330628</v>
          </cell>
          <cell r="BE36">
            <v>0</v>
          </cell>
          <cell r="BF36">
            <v>107523.7580330628</v>
          </cell>
        </row>
        <row r="37">
          <cell r="A37" t="str">
            <v>AS201636</v>
          </cell>
          <cell r="B37" t="str">
            <v>SIME FONGANG ERIC</v>
          </cell>
          <cell r="I37">
            <v>0</v>
          </cell>
          <cell r="J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153468</v>
          </cell>
          <cell r="AA37">
            <v>0</v>
          </cell>
          <cell r="AB37">
            <v>153468</v>
          </cell>
          <cell r="AC37">
            <v>0</v>
          </cell>
          <cell r="AD37">
            <v>0</v>
          </cell>
          <cell r="AE37">
            <v>153468</v>
          </cell>
          <cell r="AF37">
            <v>0</v>
          </cell>
          <cell r="AG37">
            <v>0</v>
          </cell>
          <cell r="AH37">
            <v>153468</v>
          </cell>
          <cell r="AI37">
            <v>0</v>
          </cell>
          <cell r="AJ37">
            <v>0</v>
          </cell>
          <cell r="AK37">
            <v>153468</v>
          </cell>
          <cell r="AL37">
            <v>0</v>
          </cell>
          <cell r="AM37">
            <v>0</v>
          </cell>
          <cell r="AN37">
            <v>153468</v>
          </cell>
          <cell r="AO37">
            <v>0</v>
          </cell>
          <cell r="AP37">
            <v>0</v>
          </cell>
          <cell r="AQ37">
            <v>153468</v>
          </cell>
          <cell r="AR37">
            <v>0</v>
          </cell>
          <cell r="AS37">
            <v>0</v>
          </cell>
          <cell r="AT37">
            <v>153468</v>
          </cell>
          <cell r="AU37">
            <v>0</v>
          </cell>
          <cell r="AV37">
            <v>153468</v>
          </cell>
          <cell r="BB37">
            <v>153468</v>
          </cell>
          <cell r="BD37">
            <v>153468</v>
          </cell>
          <cell r="BE37">
            <v>0</v>
          </cell>
          <cell r="BF37">
            <v>153468</v>
          </cell>
        </row>
        <row r="38">
          <cell r="I38">
            <v>0</v>
          </cell>
          <cell r="J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BB38">
            <v>0</v>
          </cell>
          <cell r="BD38">
            <v>0</v>
          </cell>
          <cell r="BE38">
            <v>0</v>
          </cell>
          <cell r="BF38">
            <v>0</v>
          </cell>
        </row>
        <row r="39">
          <cell r="A39" t="str">
            <v>TOTAL 1</v>
          </cell>
          <cell r="C39">
            <v>15600000</v>
          </cell>
          <cell r="D39">
            <v>4361559.5618113521</v>
          </cell>
          <cell r="E39">
            <v>19961559.561811358</v>
          </cell>
          <cell r="F39">
            <v>1267999.9721653415</v>
          </cell>
          <cell r="G39">
            <v>21229559.533976696</v>
          </cell>
          <cell r="H39">
            <v>1050000</v>
          </cell>
          <cell r="I39">
            <v>0</v>
          </cell>
          <cell r="J39">
            <v>21638858.533976696</v>
          </cell>
          <cell r="K39">
            <v>328000</v>
          </cell>
          <cell r="L39">
            <v>29999.999361462018</v>
          </cell>
          <cell r="M39">
            <v>21996858.533338156</v>
          </cell>
          <cell r="N39">
            <v>345000</v>
          </cell>
          <cell r="O39">
            <v>5999.999873811852</v>
          </cell>
          <cell r="P39">
            <v>22347858.533211969</v>
          </cell>
          <cell r="Q39">
            <v>386000</v>
          </cell>
          <cell r="R39">
            <v>203999.99576361969</v>
          </cell>
          <cell r="S39">
            <v>22937858.528975591</v>
          </cell>
          <cell r="T39">
            <v>882000</v>
          </cell>
          <cell r="U39">
            <v>29999.999387507316</v>
          </cell>
          <cell r="V39">
            <v>23849858.528363094</v>
          </cell>
          <cell r="W39">
            <v>426500</v>
          </cell>
          <cell r="X39">
            <v>74199.998506150325</v>
          </cell>
          <cell r="Y39">
            <v>24350558.526869249</v>
          </cell>
          <cell r="Z39">
            <v>561768</v>
          </cell>
          <cell r="AA39">
            <v>49999.999006147213</v>
          </cell>
          <cell r="AB39">
            <v>24962326.52587539</v>
          </cell>
          <cell r="AC39">
            <v>394000</v>
          </cell>
          <cell r="AD39">
            <v>63999.998743513395</v>
          </cell>
          <cell r="AE39">
            <v>25420326.524618912</v>
          </cell>
          <cell r="AF39">
            <v>774500</v>
          </cell>
          <cell r="AG39">
            <v>0</v>
          </cell>
          <cell r="AH39">
            <v>26194826.524618916</v>
          </cell>
          <cell r="AI39">
            <v>596000</v>
          </cell>
          <cell r="AJ39">
            <v>19999.999638628928</v>
          </cell>
          <cell r="AK39">
            <v>26810826.524257537</v>
          </cell>
          <cell r="AL39">
            <v>372500</v>
          </cell>
          <cell r="AM39">
            <v>0</v>
          </cell>
          <cell r="AN39">
            <v>27183326.524257537</v>
          </cell>
          <cell r="AO39">
            <v>338000</v>
          </cell>
          <cell r="AP39">
            <v>0</v>
          </cell>
          <cell r="AQ39">
            <v>27521326.524257533</v>
          </cell>
          <cell r="AR39">
            <v>15600000</v>
          </cell>
          <cell r="AS39">
            <v>4361559.5618113521</v>
          </cell>
          <cell r="AT39">
            <v>5813567</v>
          </cell>
          <cell r="AU39">
            <v>1746199.9624461823</v>
          </cell>
          <cell r="AV39">
            <v>27521326.524257533</v>
          </cell>
          <cell r="AW39">
            <v>18900000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8621326.5242575333</v>
          </cell>
          <cell r="BD39">
            <v>-8621326.5242575333</v>
          </cell>
          <cell r="BE39">
            <v>0</v>
          </cell>
          <cell r="BF39">
            <v>8621326.5242575351</v>
          </cell>
        </row>
        <row r="40">
          <cell r="A40">
            <v>28</v>
          </cell>
          <cell r="B40" t="str">
            <v>SIME FONGANG ERIC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D40">
            <v>0</v>
          </cell>
          <cell r="AE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BA40">
            <v>0</v>
          </cell>
          <cell r="BB40">
            <v>0</v>
          </cell>
          <cell r="BF40">
            <v>0</v>
          </cell>
        </row>
        <row r="41">
          <cell r="A41">
            <v>29</v>
          </cell>
          <cell r="B41" t="str">
            <v>TIEYAM ERNEST</v>
          </cell>
          <cell r="C41">
            <v>0</v>
          </cell>
          <cell r="E41">
            <v>0</v>
          </cell>
          <cell r="F41">
            <v>0</v>
          </cell>
          <cell r="G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X41">
            <v>0</v>
          </cell>
          <cell r="Y41">
            <v>0</v>
          </cell>
          <cell r="AA41">
            <v>0</v>
          </cell>
          <cell r="AB41">
            <v>0</v>
          </cell>
          <cell r="AD41">
            <v>0</v>
          </cell>
          <cell r="AE41">
            <v>0</v>
          </cell>
          <cell r="AG41">
            <v>0</v>
          </cell>
          <cell r="AH41">
            <v>0</v>
          </cell>
          <cell r="AJ41">
            <v>0</v>
          </cell>
          <cell r="AK41">
            <v>0</v>
          </cell>
          <cell r="AM41">
            <v>0</v>
          </cell>
          <cell r="AN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F41">
            <v>0</v>
          </cell>
        </row>
        <row r="42">
          <cell r="A42" t="str">
            <v>AS201601</v>
          </cell>
          <cell r="B42" t="str">
            <v>BAKOP ACHILLE</v>
          </cell>
          <cell r="C42">
            <v>536000</v>
          </cell>
          <cell r="E42">
            <v>536000</v>
          </cell>
          <cell r="F42">
            <v>0</v>
          </cell>
          <cell r="G42">
            <v>536000</v>
          </cell>
          <cell r="H42">
            <v>-536000</v>
          </cell>
          <cell r="I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BB42">
            <v>0</v>
          </cell>
          <cell r="BD42">
            <v>536000</v>
          </cell>
          <cell r="BF42">
            <v>536000</v>
          </cell>
        </row>
        <row r="43">
          <cell r="A43">
            <v>31</v>
          </cell>
          <cell r="B43" t="str">
            <v>NGONGANG JEAN THEODORE</v>
          </cell>
          <cell r="C43">
            <v>257476</v>
          </cell>
          <cell r="E43">
            <v>257476</v>
          </cell>
          <cell r="F43">
            <v>0</v>
          </cell>
          <cell r="G43">
            <v>257476</v>
          </cell>
          <cell r="H43">
            <v>-257476</v>
          </cell>
          <cell r="I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B43">
            <v>257476</v>
          </cell>
          <cell r="BD43">
            <v>257476</v>
          </cell>
          <cell r="BF43">
            <v>257476</v>
          </cell>
        </row>
        <row r="44">
          <cell r="A44">
            <v>32</v>
          </cell>
          <cell r="B44" t="str">
            <v>NGANHOU JEAN</v>
          </cell>
          <cell r="C44">
            <v>0</v>
          </cell>
          <cell r="E44">
            <v>0</v>
          </cell>
          <cell r="F44">
            <v>0</v>
          </cell>
          <cell r="G44">
            <v>0</v>
          </cell>
          <cell r="I44">
            <v>0</v>
          </cell>
          <cell r="J44">
            <v>0</v>
          </cell>
          <cell r="M44">
            <v>0</v>
          </cell>
          <cell r="P44">
            <v>0</v>
          </cell>
          <cell r="S44">
            <v>0</v>
          </cell>
          <cell r="V44">
            <v>0</v>
          </cell>
          <cell r="Y44">
            <v>0</v>
          </cell>
          <cell r="AB44">
            <v>0</v>
          </cell>
          <cell r="AE44">
            <v>0</v>
          </cell>
          <cell r="AH44">
            <v>0</v>
          </cell>
          <cell r="AK44">
            <v>0</v>
          </cell>
          <cell r="AN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BB44">
            <v>0</v>
          </cell>
          <cell r="BD44">
            <v>80000</v>
          </cell>
          <cell r="BF44">
            <v>80000</v>
          </cell>
        </row>
        <row r="45">
          <cell r="A45">
            <v>33</v>
          </cell>
          <cell r="B45" t="str">
            <v>FOTSO THOMAS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U45">
            <v>0</v>
          </cell>
          <cell r="V45">
            <v>0</v>
          </cell>
          <cell r="X45">
            <v>0</v>
          </cell>
          <cell r="Y45">
            <v>0</v>
          </cell>
          <cell r="AA45">
            <v>0</v>
          </cell>
          <cell r="AB45">
            <v>0</v>
          </cell>
          <cell r="AD45">
            <v>0</v>
          </cell>
          <cell r="AE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M45">
            <v>0</v>
          </cell>
          <cell r="AN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F45">
            <v>0</v>
          </cell>
        </row>
        <row r="46">
          <cell r="B46" t="str">
            <v>TOTAL 2</v>
          </cell>
          <cell r="C46">
            <v>793476</v>
          </cell>
          <cell r="D46">
            <v>0</v>
          </cell>
          <cell r="E46">
            <v>793476</v>
          </cell>
          <cell r="F46">
            <v>0</v>
          </cell>
          <cell r="G46">
            <v>793476</v>
          </cell>
          <cell r="H46">
            <v>-793476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257476</v>
          </cell>
          <cell r="BC46">
            <v>0</v>
          </cell>
          <cell r="BD46">
            <v>873476</v>
          </cell>
          <cell r="BF46">
            <v>873476</v>
          </cell>
        </row>
        <row r="47">
          <cell r="B47" t="str">
            <v>TOTAL 1+2</v>
          </cell>
          <cell r="C47">
            <v>16393476</v>
          </cell>
          <cell r="D47">
            <v>4361559.5618113521</v>
          </cell>
          <cell r="E47">
            <v>20755035.561811358</v>
          </cell>
          <cell r="F47">
            <v>1267999.9721653415</v>
          </cell>
          <cell r="G47">
            <v>22023035.533976696</v>
          </cell>
          <cell r="H47">
            <v>256524</v>
          </cell>
          <cell r="I47">
            <v>0</v>
          </cell>
          <cell r="J47">
            <v>21638858.533976696</v>
          </cell>
          <cell r="K47">
            <v>328000</v>
          </cell>
          <cell r="L47">
            <v>29999.999361462018</v>
          </cell>
          <cell r="M47">
            <v>21996858.533338156</v>
          </cell>
          <cell r="N47">
            <v>345000</v>
          </cell>
          <cell r="O47">
            <v>5999.999873811852</v>
          </cell>
          <cell r="P47">
            <v>22347858.533211969</v>
          </cell>
          <cell r="Q47">
            <v>386000</v>
          </cell>
          <cell r="R47">
            <v>203999.99576361969</v>
          </cell>
          <cell r="S47">
            <v>22937858.528975591</v>
          </cell>
          <cell r="T47">
            <v>882000</v>
          </cell>
          <cell r="U47">
            <v>29999.999387507316</v>
          </cell>
          <cell r="V47">
            <v>23849858.528363094</v>
          </cell>
          <cell r="W47">
            <v>426500</v>
          </cell>
          <cell r="X47">
            <v>74199.998506150325</v>
          </cell>
          <cell r="Y47">
            <v>24350558.526869249</v>
          </cell>
          <cell r="Z47">
            <v>561768</v>
          </cell>
          <cell r="AA47">
            <v>49999.999006147213</v>
          </cell>
          <cell r="AB47">
            <v>24962326.52587539</v>
          </cell>
          <cell r="AC47">
            <v>394000</v>
          </cell>
          <cell r="AD47">
            <v>63999.998743513395</v>
          </cell>
          <cell r="AE47">
            <v>25420326.524618912</v>
          </cell>
          <cell r="AF47">
            <v>774500</v>
          </cell>
          <cell r="AG47">
            <v>0</v>
          </cell>
          <cell r="AH47">
            <v>26194826.524618916</v>
          </cell>
          <cell r="AI47">
            <v>596000</v>
          </cell>
          <cell r="AJ47">
            <v>19999.999638628928</v>
          </cell>
          <cell r="AK47">
            <v>26810826.524257537</v>
          </cell>
          <cell r="AL47">
            <v>372500</v>
          </cell>
          <cell r="AM47">
            <v>0</v>
          </cell>
          <cell r="AN47">
            <v>27183326.524257537</v>
          </cell>
          <cell r="AO47">
            <v>338000</v>
          </cell>
          <cell r="AP47">
            <v>0</v>
          </cell>
          <cell r="AQ47">
            <v>27521326.524257533</v>
          </cell>
          <cell r="AR47">
            <v>15600000</v>
          </cell>
          <cell r="AS47">
            <v>4361559.5618113521</v>
          </cell>
          <cell r="AT47">
            <v>5813567</v>
          </cell>
          <cell r="AU47">
            <v>1746199.9624461823</v>
          </cell>
          <cell r="AV47">
            <v>27521326.524257533</v>
          </cell>
          <cell r="AW47">
            <v>18900000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8878802.5242575333</v>
          </cell>
          <cell r="BC47">
            <v>0</v>
          </cell>
          <cell r="BD47">
            <v>-7747850.5242575333</v>
          </cell>
          <cell r="BE47">
            <v>0</v>
          </cell>
          <cell r="BF47">
            <v>9494802.5242575351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T7">
            <v>20000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1105000</v>
          </cell>
          <cell r="Z8">
            <v>1000000</v>
          </cell>
          <cell r="AA8" t="str">
            <v>BANQUE</v>
          </cell>
          <cell r="AQ8">
            <v>0</v>
          </cell>
          <cell r="AR8">
            <v>0</v>
          </cell>
          <cell r="AS8">
            <v>7000</v>
          </cell>
          <cell r="AT8">
            <v>20000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T9">
            <v>20000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7000</v>
          </cell>
          <cell r="AT10">
            <v>20000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206000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8000</v>
          </cell>
          <cell r="AT11">
            <v>20000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12000</v>
          </cell>
          <cell r="AT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C13">
            <v>23000</v>
          </cell>
          <cell r="AF13" t="str">
            <v>BANQUE</v>
          </cell>
          <cell r="AQ13">
            <v>0</v>
          </cell>
          <cell r="AR13">
            <v>0</v>
          </cell>
          <cell r="AS13">
            <v>12000</v>
          </cell>
          <cell r="AT13">
            <v>20000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D15">
            <v>75000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T15">
            <v>20000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T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AQ17">
            <v>0</v>
          </cell>
          <cell r="AR17">
            <v>0</v>
          </cell>
          <cell r="AS17">
            <v>7000</v>
          </cell>
          <cell r="AT17">
            <v>20000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7000</v>
          </cell>
          <cell r="AT18">
            <v>20000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Z19">
            <v>1000000</v>
          </cell>
          <cell r="AA19" t="str">
            <v>BANQUE</v>
          </cell>
          <cell r="AQ19">
            <v>0</v>
          </cell>
          <cell r="AR19">
            <v>0</v>
          </cell>
          <cell r="AS19">
            <v>7000</v>
          </cell>
          <cell r="AT19">
            <v>20000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Z20">
            <v>1000000</v>
          </cell>
          <cell r="AA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T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Z21">
            <v>500000</v>
          </cell>
          <cell r="AA21" t="str">
            <v>BANQUE</v>
          </cell>
          <cell r="AQ21">
            <v>0</v>
          </cell>
          <cell r="AR21">
            <v>0</v>
          </cell>
          <cell r="AS21">
            <v>7000</v>
          </cell>
          <cell r="AT21">
            <v>20000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T22">
            <v>20000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Z23">
            <v>600000</v>
          </cell>
          <cell r="AA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T23">
            <v>20000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42000</v>
          </cell>
          <cell r="AT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7000</v>
          </cell>
          <cell r="AT25">
            <v>20000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F25">
            <v>120000</v>
          </cell>
          <cell r="BG25">
            <v>12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41000</v>
          </cell>
          <cell r="Q26">
            <v>38500</v>
          </cell>
          <cell r="S26">
            <v>1000000</v>
          </cell>
          <cell r="T26" t="str">
            <v>BANQUE</v>
          </cell>
          <cell r="U26">
            <v>1184500</v>
          </cell>
          <cell r="Z26">
            <v>1000000</v>
          </cell>
          <cell r="AA26" t="str">
            <v>BANQUE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T26">
            <v>20000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AQ28">
            <v>0</v>
          </cell>
          <cell r="AR28">
            <v>0</v>
          </cell>
          <cell r="AS28">
            <v>7000</v>
          </cell>
          <cell r="AT28">
            <v>20000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T29">
            <v>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-100000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C30">
            <v>23000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T30">
            <v>20000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B30">
            <v>100000</v>
          </cell>
          <cell r="BD30">
            <v>177000</v>
          </cell>
          <cell r="BF30">
            <v>0</v>
          </cell>
          <cell r="BG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20000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800000</v>
          </cell>
          <cell r="T32" t="str">
            <v>BANQUE</v>
          </cell>
          <cell r="U32">
            <v>905000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7000</v>
          </cell>
          <cell r="AT32">
            <v>20000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Z33">
            <v>1000000</v>
          </cell>
          <cell r="AA33" t="str">
            <v>BANQUE</v>
          </cell>
          <cell r="AQ33">
            <v>0</v>
          </cell>
          <cell r="AR33">
            <v>0</v>
          </cell>
          <cell r="AS33">
            <v>7000</v>
          </cell>
          <cell r="AT33">
            <v>20000</v>
          </cell>
          <cell r="AW33">
            <v>0</v>
          </cell>
          <cell r="AX33">
            <v>0</v>
          </cell>
          <cell r="AY33">
            <v>0</v>
          </cell>
          <cell r="AZ33">
            <v>970000</v>
          </cell>
          <cell r="BD33">
            <v>970000</v>
          </cell>
          <cell r="BF33">
            <v>30000</v>
          </cell>
          <cell r="BG33">
            <v>3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AQ35">
            <v>0</v>
          </cell>
          <cell r="AR35">
            <v>0</v>
          </cell>
          <cell r="AS35">
            <v>7000</v>
          </cell>
          <cell r="AT35">
            <v>20000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T36">
            <v>20000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</row>
        <row r="38">
          <cell r="B38" t="str">
            <v>TOTAUX</v>
          </cell>
          <cell r="C38">
            <v>420000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540000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17287000</v>
          </cell>
          <cell r="BA38">
            <v>0</v>
          </cell>
          <cell r="BB38">
            <v>109000</v>
          </cell>
          <cell r="BC38">
            <v>0</v>
          </cell>
          <cell r="BD38">
            <v>17249000</v>
          </cell>
          <cell r="BF38">
            <v>1268000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106000</v>
          </cell>
          <cell r="BF6">
            <v>0</v>
          </cell>
          <cell r="BG6">
            <v>11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104000</v>
          </cell>
          <cell r="F7">
            <v>0</v>
          </cell>
          <cell r="G7">
            <v>0</v>
          </cell>
          <cell r="H7" t="str">
            <v>ESPECES</v>
          </cell>
          <cell r="I7">
            <v>64000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U7">
            <v>104000</v>
          </cell>
          <cell r="AQ7">
            <v>0</v>
          </cell>
          <cell r="AR7">
            <v>0</v>
          </cell>
          <cell r="AS7">
            <v>79000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11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160000</v>
          </cell>
          <cell r="E9">
            <v>0</v>
          </cell>
          <cell r="F9">
            <v>140000</v>
          </cell>
          <cell r="G9">
            <v>0</v>
          </cell>
          <cell r="H9" t="str">
            <v>BANQUE</v>
          </cell>
          <cell r="I9">
            <v>20000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U9">
            <v>160000</v>
          </cell>
          <cell r="AC9">
            <v>45000</v>
          </cell>
          <cell r="AF9" t="str">
            <v>BANQUE</v>
          </cell>
          <cell r="AK9">
            <v>50000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35000</v>
          </cell>
          <cell r="AW9">
            <v>255000</v>
          </cell>
          <cell r="AX9">
            <v>0</v>
          </cell>
          <cell r="AY9">
            <v>50000</v>
          </cell>
          <cell r="AZ9">
            <v>165000</v>
          </cell>
          <cell r="BA9">
            <v>50000</v>
          </cell>
          <cell r="BB9">
            <v>140000</v>
          </cell>
          <cell r="BD9">
            <v>115000</v>
          </cell>
          <cell r="BE9">
            <v>115000</v>
          </cell>
          <cell r="BF9">
            <v>0</v>
          </cell>
          <cell r="BG9">
            <v>11</v>
          </cell>
          <cell r="BN9" t="str">
            <v>AIDE UEEB ET CONT FEMME</v>
          </cell>
          <cell r="BO9" t="str">
            <v>FONDS DE ROULEMENT</v>
          </cell>
          <cell r="BQ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U10">
            <v>40000</v>
          </cell>
          <cell r="AI10">
            <v>60000</v>
          </cell>
          <cell r="AL10">
            <v>3000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Q11">
            <v>0</v>
          </cell>
          <cell r="U11">
            <v>115000</v>
          </cell>
          <cell r="AI11">
            <v>60000</v>
          </cell>
          <cell r="AL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60000</v>
          </cell>
          <cell r="AX11">
            <v>0</v>
          </cell>
          <cell r="AY11">
            <v>0</v>
          </cell>
          <cell r="AZ11">
            <v>60000</v>
          </cell>
          <cell r="BA11">
            <v>60000</v>
          </cell>
          <cell r="BD11">
            <v>0</v>
          </cell>
          <cell r="BF11">
            <v>0</v>
          </cell>
          <cell r="BG11">
            <v>11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Q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Q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11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180000</v>
          </cell>
          <cell r="E18">
            <v>35000</v>
          </cell>
          <cell r="F18">
            <v>70000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0</v>
          </cell>
          <cell r="U18">
            <v>215000</v>
          </cell>
          <cell r="AC18">
            <v>40000</v>
          </cell>
          <cell r="AE18">
            <v>125000</v>
          </cell>
          <cell r="AF18" t="str">
            <v>BANQUE</v>
          </cell>
          <cell r="AJ18">
            <v>100000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260000</v>
          </cell>
          <cell r="AX18">
            <v>100000</v>
          </cell>
          <cell r="AY18">
            <v>1075000</v>
          </cell>
          <cell r="AZ18">
            <v>1365000</v>
          </cell>
          <cell r="BB18">
            <v>70000</v>
          </cell>
          <cell r="BD18">
            <v>1365000</v>
          </cell>
          <cell r="BE18">
            <v>1365000</v>
          </cell>
          <cell r="BF18">
            <v>0</v>
          </cell>
          <cell r="BG18">
            <v>11</v>
          </cell>
          <cell r="BN18" t="str">
            <v>GRATIFICATION BUREAU 2021</v>
          </cell>
          <cell r="BO18" t="str">
            <v>PENALITE VERSEMENT ESPECES</v>
          </cell>
          <cell r="BQ18">
            <v>1075000</v>
          </cell>
          <cell r="BS18">
            <v>100000</v>
          </cell>
          <cell r="BT18" t="str">
            <v>COLLATION</v>
          </cell>
          <cell r="BU18">
            <v>257000</v>
          </cell>
          <cell r="BV18" t="str">
            <v>NGONGANG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  <cell r="BN19" t="str">
            <v>ACHAT LAPTOP</v>
          </cell>
          <cell r="BO19" t="str">
            <v>PENALITE VERSEMENT ESPECES</v>
          </cell>
          <cell r="BQ19">
            <v>100000</v>
          </cell>
          <cell r="BR19" t="str">
            <v>T75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Q20">
            <v>0</v>
          </cell>
          <cell r="U20">
            <v>215000</v>
          </cell>
          <cell r="AE20">
            <v>125000</v>
          </cell>
          <cell r="AF20" t="str">
            <v>BANQUE</v>
          </cell>
          <cell r="AJ20">
            <v>105000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105000</v>
          </cell>
          <cell r="AY20">
            <v>1075000</v>
          </cell>
          <cell r="AZ20">
            <v>1180000</v>
          </cell>
          <cell r="BA20">
            <v>55000</v>
          </cell>
          <cell r="BD20">
            <v>1125000</v>
          </cell>
          <cell r="BE20">
            <v>986000</v>
          </cell>
          <cell r="BF20">
            <v>0</v>
          </cell>
          <cell r="BG20">
            <v>11</v>
          </cell>
          <cell r="BQ20">
            <v>190000</v>
          </cell>
          <cell r="BR20" t="str">
            <v>T25</v>
          </cell>
          <cell r="BS20">
            <v>986000</v>
          </cell>
          <cell r="BT20" t="str">
            <v>T100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E21">
            <v>139000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5000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215000</v>
          </cell>
          <cell r="AD24">
            <v>105000</v>
          </cell>
          <cell r="AE24">
            <v>125000</v>
          </cell>
          <cell r="AF24" t="str">
            <v>BANQUE</v>
          </cell>
          <cell r="AI24">
            <v>25000</v>
          </cell>
          <cell r="AJ24">
            <v>100000</v>
          </cell>
          <cell r="AK24">
            <v>200000</v>
          </cell>
          <cell r="AL24">
            <v>1000</v>
          </cell>
          <cell r="AM24">
            <v>2000</v>
          </cell>
          <cell r="AN24">
            <v>8000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25000</v>
          </cell>
          <cell r="AX24">
            <v>895000</v>
          </cell>
          <cell r="AY24">
            <v>1275000</v>
          </cell>
          <cell r="AZ24">
            <v>2195000</v>
          </cell>
          <cell r="BD24">
            <v>2195000</v>
          </cell>
          <cell r="BE24">
            <v>2195000</v>
          </cell>
          <cell r="BF24">
            <v>0</v>
          </cell>
          <cell r="BG24">
            <v>11</v>
          </cell>
          <cell r="BN24" t="str">
            <v>GRATIFICATION BUREAU 2021</v>
          </cell>
          <cell r="BO24" t="str">
            <v>FRAIS EXEPTIONNEL</v>
          </cell>
          <cell r="BQ24">
            <v>1075000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10000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290000</v>
          </cell>
          <cell r="AI25">
            <v>30000</v>
          </cell>
          <cell r="AJ25">
            <v>100000</v>
          </cell>
          <cell r="AK25">
            <v>75000</v>
          </cell>
          <cell r="AL25">
            <v>1000</v>
          </cell>
          <cell r="AM25">
            <v>2000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30000</v>
          </cell>
          <cell r="AX25">
            <v>100000</v>
          </cell>
          <cell r="AY25">
            <v>75000</v>
          </cell>
          <cell r="AZ25">
            <v>205000</v>
          </cell>
          <cell r="BA25">
            <v>205000</v>
          </cell>
          <cell r="BD25">
            <v>0</v>
          </cell>
          <cell r="BF25">
            <v>0</v>
          </cell>
          <cell r="BG25">
            <v>11</v>
          </cell>
          <cell r="BN25" t="str">
            <v>DEVELOPPEMENT LAGWEU</v>
          </cell>
          <cell r="BO25" t="str">
            <v>FRAIS EXEPTIONNEL</v>
          </cell>
          <cell r="BQ25">
            <v>200000</v>
          </cell>
          <cell r="BR25" t="str">
            <v>T100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U26">
            <v>40000</v>
          </cell>
          <cell r="AI26">
            <v>60000</v>
          </cell>
          <cell r="AL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11</v>
          </cell>
          <cell r="BN26" t="str">
            <v>DEUIL TCHEMNOU EMMANUEL</v>
          </cell>
          <cell r="BO26" t="str">
            <v>FRAIS EXEPTIONNEL</v>
          </cell>
          <cell r="BQ26">
            <v>795000</v>
          </cell>
          <cell r="BR26" t="str">
            <v>T75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65000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U27">
            <v>65000</v>
          </cell>
          <cell r="W27">
            <v>25000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  <cell r="BQ27">
            <v>25000</v>
          </cell>
          <cell r="BR27" t="str">
            <v>T30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65000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U29">
            <v>65000</v>
          </cell>
          <cell r="W29">
            <v>25000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115000</v>
          </cell>
          <cell r="F30">
            <v>0</v>
          </cell>
          <cell r="G30">
            <v>0</v>
          </cell>
          <cell r="H30" t="str">
            <v>ESPECES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250000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110000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U31">
            <v>250000</v>
          </cell>
          <cell r="AQ31">
            <v>0</v>
          </cell>
          <cell r="AR31">
            <v>0</v>
          </cell>
          <cell r="AS31">
            <v>125000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11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35000</v>
          </cell>
          <cell r="D34">
            <v>0</v>
          </cell>
          <cell r="E34">
            <v>100000</v>
          </cell>
          <cell r="F34">
            <v>0</v>
          </cell>
          <cell r="G34">
            <v>0</v>
          </cell>
          <cell r="H34" t="str">
            <v>ESPECES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U34">
            <v>65000</v>
          </cell>
          <cell r="W34">
            <v>25000</v>
          </cell>
          <cell r="AQ34">
            <v>0</v>
          </cell>
          <cell r="AR34">
            <v>0</v>
          </cell>
          <cell r="AS34">
            <v>15000</v>
          </cell>
          <cell r="AT34">
            <v>35000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35000</v>
          </cell>
          <cell r="D38">
            <v>3640000</v>
          </cell>
          <cell r="E38">
            <v>589000</v>
          </cell>
          <cell r="F38">
            <v>210000</v>
          </cell>
          <cell r="G38">
            <v>0</v>
          </cell>
          <cell r="H38">
            <v>0</v>
          </cell>
          <cell r="I38">
            <v>244000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4194000</v>
          </cell>
          <cell r="V38">
            <v>0</v>
          </cell>
          <cell r="W38">
            <v>75000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85000</v>
          </cell>
          <cell r="AD38">
            <v>105000</v>
          </cell>
          <cell r="AE38">
            <v>375000</v>
          </cell>
          <cell r="AF38">
            <v>0</v>
          </cell>
          <cell r="AG38">
            <v>0</v>
          </cell>
          <cell r="AI38">
            <v>235000</v>
          </cell>
          <cell r="AJ38">
            <v>405000</v>
          </cell>
          <cell r="AK38">
            <v>325000</v>
          </cell>
          <cell r="AL38">
            <v>9000</v>
          </cell>
          <cell r="AM38">
            <v>8000</v>
          </cell>
          <cell r="AN38">
            <v>13000</v>
          </cell>
          <cell r="AO38">
            <v>0</v>
          </cell>
          <cell r="AP38">
            <v>0</v>
          </cell>
          <cell r="AQ38">
            <v>0</v>
          </cell>
        </row>
        <row r="40">
          <cell r="Y40" t="str">
            <v>CHINGUE</v>
          </cell>
          <cell r="Z40">
            <v>428899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828500</v>
          </cell>
          <cell r="BA6">
            <v>262500</v>
          </cell>
          <cell r="BD6">
            <v>566000</v>
          </cell>
          <cell r="BE6">
            <v>1206700</v>
          </cell>
          <cell r="BF6">
            <v>0</v>
          </cell>
          <cell r="BG6">
            <v>10</v>
          </cell>
          <cell r="BH6">
            <v>68500</v>
          </cell>
          <cell r="BI6">
            <v>0</v>
          </cell>
          <cell r="BJ6">
            <v>560000</v>
          </cell>
          <cell r="BM6">
            <v>200000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40000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N8" t="str">
            <v>COMMISSION</v>
          </cell>
          <cell r="BO8" t="str">
            <v>FONDS DE ROULEMENT</v>
          </cell>
          <cell r="BP8">
            <v>27500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120000</v>
          </cell>
          <cell r="E9">
            <v>80000</v>
          </cell>
          <cell r="F9">
            <v>0</v>
          </cell>
          <cell r="G9">
            <v>0</v>
          </cell>
          <cell r="H9" t="str">
            <v>BANQUE</v>
          </cell>
          <cell r="I9">
            <v>8000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52000</v>
          </cell>
          <cell r="U9">
            <v>200000</v>
          </cell>
          <cell r="AP9" t="str">
            <v>BANQUE</v>
          </cell>
          <cell r="AQ9">
            <v>0</v>
          </cell>
          <cell r="AR9">
            <v>0</v>
          </cell>
          <cell r="AS9">
            <v>23000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103000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63000</v>
          </cell>
          <cell r="U10">
            <v>103000</v>
          </cell>
          <cell r="AI10">
            <v>40000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D10">
            <v>0</v>
          </cell>
          <cell r="BF10">
            <v>0</v>
          </cell>
          <cell r="BG10">
            <v>10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62000</v>
          </cell>
          <cell r="Q11">
            <v>0</v>
          </cell>
          <cell r="U11">
            <v>177000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10</v>
          </cell>
          <cell r="BN11" t="str">
            <v>PRODUCTION RAPPORT</v>
          </cell>
          <cell r="BO11" t="str">
            <v>FONDS DE ROULEMENT</v>
          </cell>
          <cell r="BP11">
            <v>35000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10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0</v>
          </cell>
          <cell r="E13">
            <v>40000</v>
          </cell>
          <cell r="F13">
            <v>0</v>
          </cell>
          <cell r="G13">
            <v>0</v>
          </cell>
          <cell r="H13" t="str">
            <v>ESPECES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1000000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1250000</v>
          </cell>
          <cell r="AD16">
            <v>20000</v>
          </cell>
          <cell r="AE16">
            <v>28000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880000</v>
          </cell>
          <cell r="AY16">
            <v>1172000</v>
          </cell>
          <cell r="AZ16">
            <v>1052000</v>
          </cell>
          <cell r="BD16">
            <v>1052000</v>
          </cell>
          <cell r="BE16">
            <v>1052000</v>
          </cell>
          <cell r="BF16">
            <v>0</v>
          </cell>
          <cell r="BG16">
            <v>10</v>
          </cell>
          <cell r="BN16" t="str">
            <v>S/TOTAL</v>
          </cell>
          <cell r="BP16">
            <v>68500</v>
          </cell>
        </row>
        <row r="17">
          <cell r="A17" t="str">
            <v>AS201617</v>
          </cell>
          <cell r="B17" t="str">
            <v>KOUAMOU MOISE</v>
          </cell>
          <cell r="C17">
            <v>-70000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C17">
            <v>6500</v>
          </cell>
          <cell r="AE17">
            <v>28000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293500</v>
          </cell>
          <cell r="AX17">
            <v>0</v>
          </cell>
          <cell r="AY17">
            <v>1172000</v>
          </cell>
          <cell r="AZ17">
            <v>1465500</v>
          </cell>
          <cell r="BA17">
            <v>64500</v>
          </cell>
          <cell r="BB17">
            <v>70000</v>
          </cell>
          <cell r="BD17">
            <v>1331000</v>
          </cell>
          <cell r="BE17">
            <v>1331000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51000</v>
          </cell>
          <cell r="E18">
            <v>266000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0</v>
          </cell>
          <cell r="U18">
            <v>317000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10</v>
          </cell>
          <cell r="BN18" t="str">
            <v>GRATIFICATION BUREAU 2022</v>
          </cell>
          <cell r="BO18" t="str">
            <v>PENALITE VERSEMENT ESPECES</v>
          </cell>
          <cell r="BP18">
            <v>200000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0</v>
          </cell>
          <cell r="E19">
            <v>40000</v>
          </cell>
          <cell r="F19">
            <v>0</v>
          </cell>
          <cell r="G19">
            <v>0</v>
          </cell>
          <cell r="H19" t="str">
            <v>ESPECES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107000</v>
          </cell>
          <cell r="E20">
            <v>215000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107000</v>
          </cell>
          <cell r="R20">
            <v>0</v>
          </cell>
          <cell r="U20">
            <v>322000</v>
          </cell>
          <cell r="AD20">
            <v>22000</v>
          </cell>
          <cell r="AF20" t="str">
            <v>BANQUE</v>
          </cell>
          <cell r="AI20">
            <v>31500</v>
          </cell>
          <cell r="AL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31500</v>
          </cell>
          <cell r="AX20">
            <v>878000</v>
          </cell>
          <cell r="AY20">
            <v>0</v>
          </cell>
          <cell r="AZ20">
            <v>409500</v>
          </cell>
          <cell r="BA20">
            <v>409500</v>
          </cell>
          <cell r="BD20">
            <v>0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N22" t="str">
            <v>S/TOTAL</v>
          </cell>
          <cell r="BP22">
            <v>200000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551000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26000</v>
          </cell>
          <cell r="Q24">
            <v>102000</v>
          </cell>
          <cell r="R24">
            <v>208000</v>
          </cell>
          <cell r="U24">
            <v>551000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10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451000</v>
          </cell>
          <cell r="E25">
            <v>50000</v>
          </cell>
          <cell r="F25">
            <v>70000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31000</v>
          </cell>
          <cell r="Q25">
            <v>102000</v>
          </cell>
          <cell r="R25">
            <v>78000</v>
          </cell>
          <cell r="U25">
            <v>501000</v>
          </cell>
          <cell r="AC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15000</v>
          </cell>
          <cell r="AW25">
            <v>292500</v>
          </cell>
          <cell r="AX25">
            <v>0</v>
          </cell>
          <cell r="AY25">
            <v>0</v>
          </cell>
          <cell r="AZ25">
            <v>222500</v>
          </cell>
          <cell r="BB25">
            <v>70000</v>
          </cell>
          <cell r="BD25">
            <v>222500</v>
          </cell>
          <cell r="BE25">
            <v>222500</v>
          </cell>
          <cell r="BF25">
            <v>0</v>
          </cell>
          <cell r="BG25">
            <v>10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1070000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62000</v>
          </cell>
          <cell r="S26">
            <v>1000000</v>
          </cell>
          <cell r="T26" t="str">
            <v>BANQUE</v>
          </cell>
          <cell r="U26">
            <v>1102000</v>
          </cell>
          <cell r="Z26">
            <v>1000000</v>
          </cell>
          <cell r="AA26" t="str">
            <v>BANQUE</v>
          </cell>
          <cell r="AC26">
            <v>3500</v>
          </cell>
          <cell r="AF26" t="str">
            <v>BANQUE</v>
          </cell>
          <cell r="AI26">
            <v>40000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336500</v>
          </cell>
          <cell r="AX26">
            <v>0</v>
          </cell>
          <cell r="AY26">
            <v>0</v>
          </cell>
          <cell r="AZ26">
            <v>236500</v>
          </cell>
          <cell r="BA26">
            <v>236500</v>
          </cell>
          <cell r="BB26">
            <v>70000</v>
          </cell>
          <cell r="BD26">
            <v>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40000</v>
          </cell>
          <cell r="AQ27">
            <v>0</v>
          </cell>
          <cell r="AR27">
            <v>0</v>
          </cell>
          <cell r="AS27">
            <v>15000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10</v>
          </cell>
          <cell r="BN30" t="str">
            <v xml:space="preserve">DECES </v>
          </cell>
          <cell r="BO30" t="str">
            <v>MUTUELLE</v>
          </cell>
          <cell r="BP30">
            <v>560000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0</v>
          </cell>
          <cell r="E31">
            <v>140000</v>
          </cell>
          <cell r="F31">
            <v>0</v>
          </cell>
          <cell r="G31">
            <v>0</v>
          </cell>
          <cell r="H31" t="str">
            <v>ESPECES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N32" t="str">
            <v>REMBOURSEMENT FONDS</v>
          </cell>
          <cell r="BO32" t="str">
            <v>FONDS DE CAISSE</v>
          </cell>
          <cell r="BQ32">
            <v>640700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40000</v>
          </cell>
          <cell r="F33">
            <v>0</v>
          </cell>
          <cell r="G33">
            <v>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N33" t="str">
            <v>S/TOTAL</v>
          </cell>
          <cell r="BP33">
            <v>560000</v>
          </cell>
        </row>
        <row r="34">
          <cell r="A34" t="str">
            <v>AS201658</v>
          </cell>
          <cell r="B34" t="str">
            <v>YANTCHOU GERVAIS</v>
          </cell>
          <cell r="C34">
            <v>60000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T34">
            <v>60000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-10000</v>
          </cell>
          <cell r="D38">
            <v>4475000</v>
          </cell>
          <cell r="E38">
            <v>1013000</v>
          </cell>
          <cell r="F38">
            <v>2140000</v>
          </cell>
          <cell r="G38">
            <v>0</v>
          </cell>
          <cell r="H38">
            <v>0</v>
          </cell>
          <cell r="I38">
            <v>58000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244000</v>
          </cell>
          <cell r="Q38">
            <v>413000</v>
          </cell>
          <cell r="R38">
            <v>338000</v>
          </cell>
          <cell r="S38">
            <v>2500000</v>
          </cell>
          <cell r="U38">
            <v>7428000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17500</v>
          </cell>
          <cell r="AD38">
            <v>42000</v>
          </cell>
          <cell r="AE38">
            <v>56000</v>
          </cell>
          <cell r="AF38">
            <v>0</v>
          </cell>
          <cell r="AG38">
            <v>0</v>
          </cell>
          <cell r="AI38">
            <v>111500</v>
          </cell>
          <cell r="AJ38">
            <v>0</v>
          </cell>
          <cell r="AK38">
            <v>0</v>
          </cell>
          <cell r="AL38">
            <v>3000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-1644000</v>
          </cell>
          <cell r="BE6">
            <v>1858000</v>
          </cell>
          <cell r="BF6">
            <v>0</v>
          </cell>
          <cell r="BG6">
            <v>9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9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9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0</v>
          </cell>
          <cell r="F9">
            <v>690000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690000</v>
          </cell>
          <cell r="T9" t="str">
            <v>BANQUE</v>
          </cell>
          <cell r="U9">
            <v>830000</v>
          </cell>
          <cell r="AE9">
            <v>10000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1190000</v>
          </cell>
          <cell r="AZ9">
            <v>500000</v>
          </cell>
          <cell r="BD9">
            <v>500000</v>
          </cell>
          <cell r="BE9">
            <v>500000</v>
          </cell>
          <cell r="BF9">
            <v>0</v>
          </cell>
          <cell r="BG9">
            <v>9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82000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41000</v>
          </cell>
          <cell r="U10">
            <v>82000</v>
          </cell>
          <cell r="AQ10">
            <v>0</v>
          </cell>
          <cell r="AR10">
            <v>0</v>
          </cell>
          <cell r="AS10">
            <v>16000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9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-100000</v>
          </cell>
          <cell r="D11">
            <v>912500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892500</v>
          </cell>
          <cell r="T11" t="str">
            <v>BANQUE</v>
          </cell>
          <cell r="U11">
            <v>1012500</v>
          </cell>
          <cell r="AD11">
            <v>7500</v>
          </cell>
          <cell r="AQ11">
            <v>0</v>
          </cell>
          <cell r="AR11">
            <v>0</v>
          </cell>
          <cell r="AS11">
            <v>20000</v>
          </cell>
          <cell r="AW11">
            <v>0</v>
          </cell>
          <cell r="AX11">
            <v>892500</v>
          </cell>
          <cell r="AY11">
            <v>0</v>
          </cell>
          <cell r="AZ11">
            <v>892500</v>
          </cell>
          <cell r="BA11">
            <v>50000</v>
          </cell>
          <cell r="BD11">
            <v>842500</v>
          </cell>
          <cell r="BF11">
            <v>0</v>
          </cell>
          <cell r="BG11">
            <v>9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  <cell r="BD12">
            <v>1190000</v>
          </cell>
          <cell r="BE12">
            <v>1190000</v>
          </cell>
          <cell r="BF12">
            <v>0</v>
          </cell>
          <cell r="BG12">
            <v>9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70000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C13">
            <v>10000</v>
          </cell>
          <cell r="AQ13">
            <v>0</v>
          </cell>
          <cell r="AR13">
            <v>0</v>
          </cell>
          <cell r="AS13">
            <v>15000</v>
          </cell>
          <cell r="AW13">
            <v>290000</v>
          </cell>
          <cell r="AX13">
            <v>0</v>
          </cell>
          <cell r="AY13">
            <v>0</v>
          </cell>
          <cell r="AZ13">
            <v>220000</v>
          </cell>
          <cell r="BB13">
            <v>70000</v>
          </cell>
          <cell r="BD13">
            <v>220000</v>
          </cell>
          <cell r="BE13">
            <v>220000</v>
          </cell>
          <cell r="BF13">
            <v>0</v>
          </cell>
          <cell r="BG13">
            <v>9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164000</v>
          </cell>
          <cell r="AN16">
            <v>1000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164000</v>
          </cell>
          <cell r="AZ16">
            <v>164000</v>
          </cell>
          <cell r="BA16">
            <v>44000</v>
          </cell>
          <cell r="BD16">
            <v>120000</v>
          </cell>
          <cell r="BE16">
            <v>220000</v>
          </cell>
          <cell r="BF16">
            <v>0</v>
          </cell>
          <cell r="BG16">
            <v>9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K17">
            <v>200000</v>
          </cell>
          <cell r="AN17">
            <v>2000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100000</v>
          </cell>
          <cell r="BD17">
            <v>100000</v>
          </cell>
          <cell r="BE17">
            <v>100000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1000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214000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300000</v>
          </cell>
          <cell r="BE18">
            <v>200000</v>
          </cell>
          <cell r="BF18">
            <v>0</v>
          </cell>
          <cell r="BG18">
            <v>9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93000</v>
          </cell>
          <cell r="D20">
            <v>403500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-7000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32500</v>
          </cell>
          <cell r="Q20">
            <v>0</v>
          </cell>
          <cell r="R20">
            <v>0</v>
          </cell>
          <cell r="U20">
            <v>240500</v>
          </cell>
          <cell r="AC20">
            <v>11000</v>
          </cell>
          <cell r="AK20">
            <v>200000</v>
          </cell>
          <cell r="AN20">
            <v>2000</v>
          </cell>
          <cell r="AQ20">
            <v>0</v>
          </cell>
          <cell r="AR20">
            <v>0</v>
          </cell>
          <cell r="AS20">
            <v>8000</v>
          </cell>
          <cell r="AW20">
            <v>289000</v>
          </cell>
          <cell r="AX20">
            <v>0</v>
          </cell>
          <cell r="AY20">
            <v>200000</v>
          </cell>
          <cell r="AZ20">
            <v>489000</v>
          </cell>
          <cell r="BA20">
            <v>105000</v>
          </cell>
          <cell r="BB20">
            <v>70000</v>
          </cell>
          <cell r="BD20">
            <v>314000</v>
          </cell>
          <cell r="BE20">
            <v>314000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9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>
            <v>100000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-3000</v>
          </cell>
          <cell r="D24">
            <v>0</v>
          </cell>
          <cell r="E24">
            <v>215000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218000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290000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0</v>
          </cell>
          <cell r="BF25">
            <v>0</v>
          </cell>
          <cell r="BG25">
            <v>9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84000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41000</v>
          </cell>
          <cell r="U26">
            <v>84000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9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9</v>
          </cell>
          <cell r="BN27" t="str">
            <v>RETRAIT COMPTE FOYER</v>
          </cell>
          <cell r="BQ27">
            <v>1750000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-70000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C31">
            <v>11000</v>
          </cell>
          <cell r="AQ31">
            <v>0</v>
          </cell>
          <cell r="AR31">
            <v>0</v>
          </cell>
          <cell r="AS31">
            <v>15000</v>
          </cell>
          <cell r="AW31">
            <v>289000</v>
          </cell>
          <cell r="AX31">
            <v>0</v>
          </cell>
          <cell r="AY31">
            <v>0</v>
          </cell>
          <cell r="AZ31">
            <v>289000</v>
          </cell>
          <cell r="BB31">
            <v>70000</v>
          </cell>
          <cell r="BD31">
            <v>219000</v>
          </cell>
          <cell r="BE31">
            <v>219000</v>
          </cell>
          <cell r="BF31">
            <v>0</v>
          </cell>
          <cell r="BG31">
            <v>9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Z32">
            <v>200000</v>
          </cell>
          <cell r="AA32" t="str">
            <v>BANQUE</v>
          </cell>
          <cell r="AD32">
            <v>7500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194000</v>
          </cell>
          <cell r="BD32">
            <v>194000</v>
          </cell>
          <cell r="BE32">
            <v>86500</v>
          </cell>
          <cell r="BF32">
            <v>6000</v>
          </cell>
          <cell r="BG32">
            <v>3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25000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35000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75000</v>
          </cell>
          <cell r="AQ34">
            <v>0</v>
          </cell>
          <cell r="AR34">
            <v>0</v>
          </cell>
          <cell r="AS34">
            <v>50000</v>
          </cell>
          <cell r="AT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</row>
        <row r="35">
          <cell r="A35" t="str">
            <v>AS201646</v>
          </cell>
          <cell r="B35" t="str">
            <v>YEPMOU JEAN JACQUES</v>
          </cell>
          <cell r="C35">
            <v>-6000</v>
          </cell>
          <cell r="D35">
            <v>34000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9000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-70000</v>
          </cell>
          <cell r="D38">
            <v>4752000</v>
          </cell>
          <cell r="E38">
            <v>299000</v>
          </cell>
          <cell r="F38">
            <v>760000</v>
          </cell>
          <cell r="G38">
            <v>6000</v>
          </cell>
          <cell r="H38">
            <v>0</v>
          </cell>
          <cell r="I38">
            <v>93000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114500</v>
          </cell>
          <cell r="Q38">
            <v>0</v>
          </cell>
          <cell r="R38">
            <v>0</v>
          </cell>
          <cell r="S38">
            <v>1582500</v>
          </cell>
          <cell r="U38">
            <v>5671000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200000</v>
          </cell>
          <cell r="AA38">
            <v>0</v>
          </cell>
          <cell r="AC38">
            <v>32000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964000</v>
          </cell>
          <cell r="AL38">
            <v>0</v>
          </cell>
          <cell r="AM38">
            <v>0</v>
          </cell>
          <cell r="AN38">
            <v>9000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106000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D8">
            <v>490000</v>
          </cell>
          <cell r="BE8">
            <v>490000</v>
          </cell>
          <cell r="BF8">
            <v>10000</v>
          </cell>
          <cell r="BG8">
            <v>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U9">
            <v>145000</v>
          </cell>
          <cell r="AI9">
            <v>22500</v>
          </cell>
          <cell r="AL9">
            <v>500</v>
          </cell>
          <cell r="AQ9">
            <v>0</v>
          </cell>
          <cell r="AR9">
            <v>0</v>
          </cell>
          <cell r="AS9">
            <v>20000</v>
          </cell>
          <cell r="AW9">
            <v>22500</v>
          </cell>
          <cell r="AX9">
            <v>0</v>
          </cell>
          <cell r="AY9">
            <v>0</v>
          </cell>
          <cell r="AZ9">
            <v>22500</v>
          </cell>
          <cell r="BA9">
            <v>22500</v>
          </cell>
          <cell r="BD9">
            <v>0</v>
          </cell>
          <cell r="BF9">
            <v>0</v>
          </cell>
          <cell r="BG9">
            <v>8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-70000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C10">
            <v>11000</v>
          </cell>
          <cell r="AI10">
            <v>60000</v>
          </cell>
          <cell r="AL10">
            <v>2000</v>
          </cell>
          <cell r="AQ10">
            <v>0</v>
          </cell>
          <cell r="AR10">
            <v>0</v>
          </cell>
          <cell r="AS10">
            <v>15000</v>
          </cell>
          <cell r="AW10">
            <v>349000</v>
          </cell>
          <cell r="AX10">
            <v>0</v>
          </cell>
          <cell r="AY10">
            <v>0</v>
          </cell>
          <cell r="AZ10">
            <v>349000</v>
          </cell>
          <cell r="BA10">
            <v>60000</v>
          </cell>
          <cell r="BB10">
            <v>70000</v>
          </cell>
          <cell r="BD10">
            <v>219000</v>
          </cell>
          <cell r="BE10">
            <v>219000</v>
          </cell>
          <cell r="BF10">
            <v>0</v>
          </cell>
          <cell r="BG10">
            <v>8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-157500</v>
          </cell>
          <cell r="D11">
            <v>115000</v>
          </cell>
          <cell r="E11">
            <v>0</v>
          </cell>
          <cell r="F11">
            <v>70000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S11">
            <v>157500</v>
          </cell>
          <cell r="U11">
            <v>272500</v>
          </cell>
          <cell r="Z11">
            <v>1000000</v>
          </cell>
          <cell r="AA11" t="str">
            <v>BANQUE</v>
          </cell>
          <cell r="AC11">
            <v>10000</v>
          </cell>
          <cell r="AJ11">
            <v>150000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132500</v>
          </cell>
          <cell r="AX11">
            <v>150000</v>
          </cell>
          <cell r="AY11">
            <v>0</v>
          </cell>
          <cell r="AZ11">
            <v>1132500</v>
          </cell>
          <cell r="BB11">
            <v>70000</v>
          </cell>
          <cell r="BD11">
            <v>1132500</v>
          </cell>
          <cell r="BE11">
            <v>1132500</v>
          </cell>
          <cell r="BF11">
            <v>80000</v>
          </cell>
          <cell r="BG11">
            <v>8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8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415000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165000</v>
          </cell>
          <cell r="U16">
            <v>415000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8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202000</v>
          </cell>
          <cell r="U17">
            <v>342000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419000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2000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419000</v>
          </cell>
          <cell r="AD18">
            <v>13000</v>
          </cell>
          <cell r="AJ18">
            <v>100000</v>
          </cell>
          <cell r="AM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17000</v>
          </cell>
          <cell r="AW18">
            <v>0</v>
          </cell>
          <cell r="AX18">
            <v>987000</v>
          </cell>
          <cell r="AY18">
            <v>0</v>
          </cell>
          <cell r="AZ18">
            <v>100000</v>
          </cell>
          <cell r="BD18">
            <v>100000</v>
          </cell>
          <cell r="BE18">
            <v>100000</v>
          </cell>
          <cell r="BF18">
            <v>0</v>
          </cell>
          <cell r="BG18">
            <v>8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-1000000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1040000</v>
          </cell>
          <cell r="Z19">
            <v>300000</v>
          </cell>
          <cell r="AA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175000</v>
          </cell>
          <cell r="BD19">
            <v>175000</v>
          </cell>
          <cell r="BE19">
            <v>175000</v>
          </cell>
          <cell r="BF19">
            <v>12000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422000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5000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422000</v>
          </cell>
          <cell r="AP20" t="str">
            <v>BANQUE</v>
          </cell>
          <cell r="AQ20">
            <v>0</v>
          </cell>
          <cell r="AR20">
            <v>0</v>
          </cell>
          <cell r="AS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D20">
            <v>0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220000</v>
          </cell>
          <cell r="AQ24">
            <v>0</v>
          </cell>
          <cell r="AR24">
            <v>0</v>
          </cell>
          <cell r="AS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8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280000</v>
          </cell>
          <cell r="AE25">
            <v>20000</v>
          </cell>
          <cell r="AF25" t="str">
            <v>BANQUE</v>
          </cell>
          <cell r="AK25">
            <v>93000</v>
          </cell>
          <cell r="AN25">
            <v>6000</v>
          </cell>
          <cell r="AP25" t="str">
            <v>BANQUE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0</v>
          </cell>
          <cell r="AY25">
            <v>1273000</v>
          </cell>
          <cell r="AZ25">
            <v>1273000</v>
          </cell>
          <cell r="BD25">
            <v>1273000</v>
          </cell>
          <cell r="BE25">
            <v>1273000</v>
          </cell>
          <cell r="BF25">
            <v>0</v>
          </cell>
          <cell r="BG25">
            <v>8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8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120000</v>
          </cell>
          <cell r="D29">
            <v>160000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T29">
            <v>120000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8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-200000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200000</v>
          </cell>
          <cell r="T32" t="str">
            <v>BANQUE</v>
          </cell>
          <cell r="U32">
            <v>315000</v>
          </cell>
          <cell r="Z32">
            <v>700000</v>
          </cell>
          <cell r="AA32" t="str">
            <v>BANQUE</v>
          </cell>
          <cell r="AJ32">
            <v>138000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138000</v>
          </cell>
          <cell r="AY32">
            <v>0</v>
          </cell>
          <cell r="AZ32">
            <v>596000</v>
          </cell>
          <cell r="BA32">
            <v>86500</v>
          </cell>
          <cell r="BD32">
            <v>509500</v>
          </cell>
          <cell r="BE32">
            <v>509500</v>
          </cell>
          <cell r="BF32">
            <v>42000</v>
          </cell>
          <cell r="BG32">
            <v>6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43000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100000</v>
          </cell>
          <cell r="F34">
            <v>0</v>
          </cell>
          <cell r="G34">
            <v>3000</v>
          </cell>
          <cell r="H34" t="str">
            <v>ESPECES</v>
          </cell>
          <cell r="I34">
            <v>57000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4000</v>
          </cell>
          <cell r="AS35">
            <v>14000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Z36">
            <v>1000000</v>
          </cell>
          <cell r="AA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940000</v>
          </cell>
          <cell r="BD36">
            <v>940000</v>
          </cell>
          <cell r="BE36">
            <v>940000</v>
          </cell>
          <cell r="BF36">
            <v>60000</v>
          </cell>
          <cell r="BG36">
            <v>6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-1307500</v>
          </cell>
          <cell r="D38">
            <v>4835000</v>
          </cell>
          <cell r="E38">
            <v>269000</v>
          </cell>
          <cell r="F38">
            <v>70000</v>
          </cell>
          <cell r="G38">
            <v>12000</v>
          </cell>
          <cell r="H38">
            <v>0</v>
          </cell>
          <cell r="I38">
            <v>124000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0</v>
          </cell>
          <cell r="Q38">
            <v>0</v>
          </cell>
          <cell r="R38">
            <v>973000</v>
          </cell>
          <cell r="S38">
            <v>1357500</v>
          </cell>
          <cell r="U38">
            <v>6341500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3500000</v>
          </cell>
          <cell r="AA38">
            <v>0</v>
          </cell>
          <cell r="AC38">
            <v>21000</v>
          </cell>
          <cell r="AD38">
            <v>13000</v>
          </cell>
          <cell r="AE38">
            <v>20000</v>
          </cell>
          <cell r="AF38">
            <v>0</v>
          </cell>
          <cell r="AG38">
            <v>0</v>
          </cell>
          <cell r="AI38">
            <v>142500</v>
          </cell>
          <cell r="AJ38">
            <v>388000</v>
          </cell>
          <cell r="AK38">
            <v>93000</v>
          </cell>
          <cell r="AL38">
            <v>3500</v>
          </cell>
          <cell r="AM38">
            <v>5000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303000</v>
          </cell>
          <cell r="BA6">
            <v>3000</v>
          </cell>
          <cell r="BD6">
            <v>306000</v>
          </cell>
          <cell r="BE6">
            <v>276000</v>
          </cell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200000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H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145000</v>
          </cell>
          <cell r="E9">
            <v>23000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23000</v>
          </cell>
          <cell r="R9">
            <v>0</v>
          </cell>
          <cell r="U9">
            <v>168000</v>
          </cell>
          <cell r="AK9">
            <v>50000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20000</v>
          </cell>
          <cell r="AW9">
            <v>0</v>
          </cell>
          <cell r="AX9">
            <v>0</v>
          </cell>
          <cell r="AY9">
            <v>50000</v>
          </cell>
          <cell r="AZ9">
            <v>50000</v>
          </cell>
          <cell r="BA9">
            <v>50000</v>
          </cell>
          <cell r="BD9">
            <v>690000</v>
          </cell>
          <cell r="BE9">
            <v>690000</v>
          </cell>
          <cell r="BF9">
            <v>0</v>
          </cell>
          <cell r="BG9">
            <v>7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105000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62000</v>
          </cell>
          <cell r="U10">
            <v>105000</v>
          </cell>
          <cell r="AP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267000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267000</v>
          </cell>
          <cell r="AI11">
            <v>29500</v>
          </cell>
          <cell r="AJ11">
            <v>100000</v>
          </cell>
          <cell r="AL11">
            <v>1500</v>
          </cell>
          <cell r="AM11">
            <v>2000</v>
          </cell>
          <cell r="AQ11">
            <v>0</v>
          </cell>
          <cell r="AR11">
            <v>0</v>
          </cell>
          <cell r="AS11">
            <v>15000</v>
          </cell>
          <cell r="AW11">
            <v>29500</v>
          </cell>
          <cell r="AX11">
            <v>100000</v>
          </cell>
          <cell r="AY11">
            <v>0</v>
          </cell>
          <cell r="AZ11">
            <v>129500</v>
          </cell>
          <cell r="BA11">
            <v>50000</v>
          </cell>
          <cell r="BD11">
            <v>79500</v>
          </cell>
          <cell r="BE11">
            <v>79500</v>
          </cell>
          <cell r="BF11">
            <v>0</v>
          </cell>
          <cell r="BG11">
            <v>7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420000</v>
          </cell>
          <cell r="E12">
            <v>0</v>
          </cell>
          <cell r="F12">
            <v>70000</v>
          </cell>
          <cell r="G12">
            <v>0</v>
          </cell>
          <cell r="H12" t="str">
            <v>BANQUE</v>
          </cell>
          <cell r="I12">
            <v>105000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420000</v>
          </cell>
          <cell r="AD12">
            <v>10000</v>
          </cell>
          <cell r="AF12" t="str">
            <v>BANQUE</v>
          </cell>
          <cell r="AJ12">
            <v>38000</v>
          </cell>
          <cell r="AK12">
            <v>200000</v>
          </cell>
          <cell r="AM12">
            <v>1000</v>
          </cell>
          <cell r="AN12">
            <v>2000</v>
          </cell>
          <cell r="AQ12">
            <v>0</v>
          </cell>
          <cell r="AR12">
            <v>0</v>
          </cell>
          <cell r="AS12">
            <v>120000</v>
          </cell>
          <cell r="AW12">
            <v>0</v>
          </cell>
          <cell r="AX12">
            <v>928000</v>
          </cell>
          <cell r="AY12">
            <v>200000</v>
          </cell>
          <cell r="AZ12">
            <v>1058000</v>
          </cell>
          <cell r="BA12">
            <v>23000</v>
          </cell>
          <cell r="BB12">
            <v>70000</v>
          </cell>
          <cell r="BD12">
            <v>1035000</v>
          </cell>
          <cell r="BE12">
            <v>1035000</v>
          </cell>
          <cell r="BF12">
            <v>0</v>
          </cell>
          <cell r="BG12">
            <v>7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118000</v>
          </cell>
          <cell r="F15">
            <v>0</v>
          </cell>
          <cell r="G15">
            <v>3000</v>
          </cell>
          <cell r="H15" t="str">
            <v>ESPECES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230000</v>
          </cell>
          <cell r="E16">
            <v>0</v>
          </cell>
          <cell r="F16">
            <v>70000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230000</v>
          </cell>
          <cell r="AC16">
            <v>2500</v>
          </cell>
          <cell r="AF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297500</v>
          </cell>
          <cell r="AX16">
            <v>0</v>
          </cell>
          <cell r="AY16">
            <v>0</v>
          </cell>
          <cell r="AZ16">
            <v>227500</v>
          </cell>
          <cell r="BB16">
            <v>70000</v>
          </cell>
          <cell r="BD16">
            <v>227500</v>
          </cell>
          <cell r="BE16">
            <v>227500</v>
          </cell>
          <cell r="BF16">
            <v>0</v>
          </cell>
          <cell r="BG16">
            <v>7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-1000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101000</v>
          </cell>
          <cell r="R18">
            <v>0</v>
          </cell>
          <cell r="U18">
            <v>315000</v>
          </cell>
          <cell r="AP18" t="str">
            <v>BANQUE</v>
          </cell>
          <cell r="AQ18">
            <v>0</v>
          </cell>
          <cell r="AR18">
            <v>0</v>
          </cell>
          <cell r="AS18">
            <v>14000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7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70000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C19">
            <v>3000</v>
          </cell>
          <cell r="AF19" t="str">
            <v>BANQUE</v>
          </cell>
          <cell r="AQ19">
            <v>0</v>
          </cell>
          <cell r="AR19">
            <v>0</v>
          </cell>
          <cell r="AS19">
            <v>15000</v>
          </cell>
          <cell r="AW19">
            <v>297000</v>
          </cell>
          <cell r="AX19">
            <v>0</v>
          </cell>
          <cell r="AY19">
            <v>0</v>
          </cell>
          <cell r="AZ19">
            <v>227000</v>
          </cell>
          <cell r="BB19">
            <v>70000</v>
          </cell>
          <cell r="BD19">
            <v>227000</v>
          </cell>
          <cell r="BE19">
            <v>227000</v>
          </cell>
          <cell r="BF19">
            <v>0</v>
          </cell>
          <cell r="BG19">
            <v>7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215000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215000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200000</v>
          </cell>
          <cell r="BD23">
            <v>0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210000</v>
          </cell>
          <cell r="E24">
            <v>0</v>
          </cell>
          <cell r="F24">
            <v>70000</v>
          </cell>
          <cell r="G24">
            <v>0</v>
          </cell>
          <cell r="H24" t="str">
            <v>BANQUE</v>
          </cell>
          <cell r="I24">
            <v>-5000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210000</v>
          </cell>
          <cell r="AC24">
            <v>3000</v>
          </cell>
          <cell r="AF24" t="str">
            <v>BANQUE</v>
          </cell>
          <cell r="AQ24">
            <v>0</v>
          </cell>
          <cell r="AR24">
            <v>0</v>
          </cell>
          <cell r="AS24">
            <v>10000</v>
          </cell>
          <cell r="AW24">
            <v>297000</v>
          </cell>
          <cell r="AX24">
            <v>0</v>
          </cell>
          <cell r="AY24">
            <v>0</v>
          </cell>
          <cell r="AZ24">
            <v>227000</v>
          </cell>
          <cell r="BB24">
            <v>70000</v>
          </cell>
          <cell r="BD24">
            <v>227000</v>
          </cell>
          <cell r="BE24">
            <v>227000</v>
          </cell>
          <cell r="BF24">
            <v>0</v>
          </cell>
          <cell r="BG24">
            <v>7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407000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99000</v>
          </cell>
          <cell r="U25">
            <v>407000</v>
          </cell>
          <cell r="AD25">
            <v>15000</v>
          </cell>
          <cell r="AF25" t="str">
            <v>BANQUE</v>
          </cell>
          <cell r="AJ25">
            <v>50000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33000</v>
          </cell>
          <cell r="AW25">
            <v>0</v>
          </cell>
          <cell r="AX25">
            <v>935000</v>
          </cell>
          <cell r="AY25">
            <v>0</v>
          </cell>
          <cell r="AZ25">
            <v>935000</v>
          </cell>
          <cell r="BA25">
            <v>50000</v>
          </cell>
          <cell r="BD25">
            <v>836000</v>
          </cell>
          <cell r="BE25">
            <v>836000</v>
          </cell>
          <cell r="BF25">
            <v>0</v>
          </cell>
          <cell r="BG25">
            <v>7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E26">
            <v>0</v>
          </cell>
          <cell r="BF26">
            <v>30000</v>
          </cell>
          <cell r="BG26">
            <v>7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120000</v>
          </cell>
          <cell r="D27">
            <v>560000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400000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440000</v>
          </cell>
          <cell r="AQ27">
            <v>0</v>
          </cell>
          <cell r="AR27">
            <v>0</v>
          </cell>
          <cell r="AS27">
            <v>415000</v>
          </cell>
          <cell r="AT27">
            <v>120000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N30" t="str">
            <v xml:space="preserve">DECES </v>
          </cell>
          <cell r="BO30" t="str">
            <v>MUTUELLE</v>
          </cell>
          <cell r="BP30">
            <v>200000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E31">
            <v>10000</v>
          </cell>
          <cell r="AF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1190000</v>
          </cell>
          <cell r="AZ31">
            <v>1190000</v>
          </cell>
          <cell r="BD31">
            <v>1190000</v>
          </cell>
          <cell r="BE31">
            <v>1190000</v>
          </cell>
          <cell r="BF31">
            <v>0</v>
          </cell>
          <cell r="BG31">
            <v>7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255000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140000</v>
          </cell>
          <cell r="U32">
            <v>255000</v>
          </cell>
          <cell r="AJ32">
            <v>100000</v>
          </cell>
          <cell r="AM32">
            <v>2000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7</v>
          </cell>
        </row>
        <row r="33">
          <cell r="A33" t="str">
            <v>AS201643</v>
          </cell>
          <cell r="B33" t="str">
            <v>TCHOUTOU NANA CLAUDE</v>
          </cell>
          <cell r="C33">
            <v>-3000</v>
          </cell>
          <cell r="D33">
            <v>0</v>
          </cell>
          <cell r="E33">
            <v>40000</v>
          </cell>
          <cell r="F33">
            <v>0</v>
          </cell>
          <cell r="G33">
            <v>3000</v>
          </cell>
          <cell r="H33" t="str">
            <v>ESPECES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43000</v>
          </cell>
          <cell r="AQ33">
            <v>0</v>
          </cell>
          <cell r="AR33">
            <v>0</v>
          </cell>
          <cell r="AS33">
            <v>12000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N33" t="str">
            <v>S/TOTAL</v>
          </cell>
          <cell r="BP33">
            <v>200000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</row>
        <row r="35">
          <cell r="A35" t="str">
            <v>AS201646</v>
          </cell>
          <cell r="B35" t="str">
            <v>YEPMOU JEAN JACQUES</v>
          </cell>
          <cell r="C35">
            <v>43000</v>
          </cell>
          <cell r="D35">
            <v>0</v>
          </cell>
          <cell r="E35">
            <v>86000</v>
          </cell>
          <cell r="F35">
            <v>0</v>
          </cell>
          <cell r="G35">
            <v>3000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43000</v>
          </cell>
          <cell r="AQ35">
            <v>0</v>
          </cell>
          <cell r="AR35">
            <v>0</v>
          </cell>
          <cell r="AS35">
            <v>23000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160000</v>
          </cell>
          <cell r="D38">
            <v>4819000</v>
          </cell>
          <cell r="E38">
            <v>476000</v>
          </cell>
          <cell r="F38">
            <v>280000</v>
          </cell>
          <cell r="G38">
            <v>15000</v>
          </cell>
          <cell r="H38">
            <v>0</v>
          </cell>
          <cell r="I38">
            <v>607000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146000</v>
          </cell>
          <cell r="Q38">
            <v>393000</v>
          </cell>
          <cell r="R38">
            <v>99000</v>
          </cell>
          <cell r="S38">
            <v>0</v>
          </cell>
          <cell r="U38">
            <v>5135000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8500</v>
          </cell>
          <cell r="AD38">
            <v>25000</v>
          </cell>
          <cell r="AE38">
            <v>10000</v>
          </cell>
          <cell r="AF38">
            <v>0</v>
          </cell>
          <cell r="AG38">
            <v>0</v>
          </cell>
          <cell r="AI38">
            <v>29500</v>
          </cell>
          <cell r="AJ38">
            <v>288000</v>
          </cell>
          <cell r="AK38">
            <v>450000</v>
          </cell>
          <cell r="AL38">
            <v>1500</v>
          </cell>
          <cell r="AM38">
            <v>6000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144000</v>
          </cell>
          <cell r="BD6">
            <v>144000</v>
          </cell>
          <cell r="BE6">
            <v>109000</v>
          </cell>
          <cell r="BF6">
            <v>0</v>
          </cell>
          <cell r="BG6">
            <v>6</v>
          </cell>
          <cell r="BH6">
            <v>24000</v>
          </cell>
          <cell r="BI6">
            <v>20000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Z7">
            <v>600000</v>
          </cell>
          <cell r="AA7" t="str">
            <v>BANQUE</v>
          </cell>
          <cell r="AI7">
            <v>30000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30000</v>
          </cell>
          <cell r="AX7">
            <v>0</v>
          </cell>
          <cell r="AY7">
            <v>0</v>
          </cell>
          <cell r="AZ7">
            <v>594000</v>
          </cell>
          <cell r="BD7">
            <v>594000</v>
          </cell>
          <cell r="BE7">
            <v>594000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615000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500000</v>
          </cell>
          <cell r="T8" t="str">
            <v>BANQUE</v>
          </cell>
          <cell r="U8">
            <v>615000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N8" t="str">
            <v>COMMISSION</v>
          </cell>
          <cell r="BO8" t="str">
            <v>FONDS DE ROULEMENT</v>
          </cell>
          <cell r="BP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191000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51000</v>
          </cell>
          <cell r="U9">
            <v>191000</v>
          </cell>
          <cell r="AK9">
            <v>184000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184000</v>
          </cell>
          <cell r="AZ9">
            <v>184000</v>
          </cell>
          <cell r="BD9">
            <v>184000</v>
          </cell>
          <cell r="BE9">
            <v>184000</v>
          </cell>
          <cell r="BF9">
            <v>0</v>
          </cell>
          <cell r="BG9">
            <v>6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6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-500</v>
          </cell>
          <cell r="D11">
            <v>251500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4000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31000</v>
          </cell>
          <cell r="Q11">
            <v>102000</v>
          </cell>
          <cell r="U11">
            <v>252000</v>
          </cell>
          <cell r="AI11">
            <v>30000</v>
          </cell>
          <cell r="AJ11">
            <v>100000</v>
          </cell>
          <cell r="AL11">
            <v>500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19000</v>
          </cell>
          <cell r="AW11">
            <v>30000</v>
          </cell>
          <cell r="AX11">
            <v>100000</v>
          </cell>
          <cell r="AY11">
            <v>0</v>
          </cell>
          <cell r="AZ11">
            <v>130000</v>
          </cell>
          <cell r="BA11">
            <v>50000</v>
          </cell>
          <cell r="BD11">
            <v>80000</v>
          </cell>
          <cell r="BE11">
            <v>80000</v>
          </cell>
          <cell r="BF11">
            <v>0</v>
          </cell>
          <cell r="BG11">
            <v>6</v>
          </cell>
          <cell r="BN11" t="str">
            <v>PRODUCTION RAPPORT</v>
          </cell>
          <cell r="BO11" t="str">
            <v>FONDS DE ROULEMENT</v>
          </cell>
          <cell r="BP11">
            <v>3000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590500</v>
          </cell>
          <cell r="E12">
            <v>0</v>
          </cell>
          <cell r="F12">
            <v>1000000</v>
          </cell>
          <cell r="G12">
            <v>0</v>
          </cell>
          <cell r="H12" t="str">
            <v>BANQUE</v>
          </cell>
          <cell r="I12">
            <v>34500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39000</v>
          </cell>
          <cell r="R12">
            <v>202000</v>
          </cell>
          <cell r="S12">
            <v>1000000</v>
          </cell>
          <cell r="T12" t="str">
            <v>BANQUE</v>
          </cell>
          <cell r="U12">
            <v>1590500</v>
          </cell>
          <cell r="Z12">
            <v>705000</v>
          </cell>
          <cell r="AA12" t="str">
            <v>BANQUE</v>
          </cell>
          <cell r="AC12">
            <v>5000</v>
          </cell>
          <cell r="AI12">
            <v>30000</v>
          </cell>
          <cell r="AL12">
            <v>500</v>
          </cell>
          <cell r="AP12" t="str">
            <v>BANQUE</v>
          </cell>
          <cell r="AQ12">
            <v>0</v>
          </cell>
          <cell r="AR12">
            <v>0</v>
          </cell>
          <cell r="AS12">
            <v>49500</v>
          </cell>
          <cell r="AW12">
            <v>325000</v>
          </cell>
          <cell r="AX12">
            <v>0</v>
          </cell>
          <cell r="AY12">
            <v>0</v>
          </cell>
          <cell r="AZ12">
            <v>1800</v>
          </cell>
          <cell r="BD12">
            <v>0</v>
          </cell>
          <cell r="BF12">
            <v>28200</v>
          </cell>
          <cell r="BG12">
            <v>4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6</v>
          </cell>
          <cell r="BN16" t="str">
            <v>S/TOTAL</v>
          </cell>
          <cell r="BP16">
            <v>24000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1215000</v>
          </cell>
          <cell r="Z18">
            <v>250000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240000</v>
          </cell>
          <cell r="BD18">
            <v>240000</v>
          </cell>
          <cell r="BE18">
            <v>240000</v>
          </cell>
          <cell r="BF18">
            <v>10000</v>
          </cell>
          <cell r="BG18">
            <v>4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997500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214000</v>
          </cell>
          <cell r="AJ20">
            <v>100000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14000</v>
          </cell>
          <cell r="AW20">
            <v>0</v>
          </cell>
          <cell r="AX20">
            <v>100000</v>
          </cell>
          <cell r="AY20">
            <v>200000</v>
          </cell>
          <cell r="AZ20">
            <v>300000</v>
          </cell>
          <cell r="BA20">
            <v>9000</v>
          </cell>
          <cell r="BD20">
            <v>291000</v>
          </cell>
          <cell r="BE20">
            <v>291000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70000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C22">
            <v>4500</v>
          </cell>
          <cell r="AQ22">
            <v>0</v>
          </cell>
          <cell r="AR22">
            <v>0</v>
          </cell>
          <cell r="AS22">
            <v>15000</v>
          </cell>
          <cell r="AW22">
            <v>295500</v>
          </cell>
          <cell r="AX22">
            <v>0</v>
          </cell>
          <cell r="AY22">
            <v>0</v>
          </cell>
          <cell r="AZ22">
            <v>225500</v>
          </cell>
          <cell r="BB22">
            <v>70000</v>
          </cell>
          <cell r="BD22">
            <v>225500</v>
          </cell>
          <cell r="BE22">
            <v>225500</v>
          </cell>
          <cell r="BF22">
            <v>0</v>
          </cell>
          <cell r="BG22">
            <v>6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>
            <v>1390000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215000</v>
          </cell>
          <cell r="AI24">
            <v>60000</v>
          </cell>
          <cell r="AL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60000</v>
          </cell>
          <cell r="AX24">
            <v>0</v>
          </cell>
          <cell r="AY24">
            <v>0</v>
          </cell>
          <cell r="AZ24">
            <v>60000</v>
          </cell>
          <cell r="BD24">
            <v>60000</v>
          </cell>
          <cell r="BE24">
            <v>60000</v>
          </cell>
          <cell r="BF24">
            <v>0</v>
          </cell>
          <cell r="BG24">
            <v>6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0</v>
          </cell>
          <cell r="U25">
            <v>350000</v>
          </cell>
          <cell r="AJ25">
            <v>100000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100000</v>
          </cell>
          <cell r="AY25">
            <v>0</v>
          </cell>
          <cell r="AZ25">
            <v>100000</v>
          </cell>
          <cell r="BD25">
            <v>100000</v>
          </cell>
          <cell r="BE25">
            <v>100000</v>
          </cell>
          <cell r="BF25">
            <v>0</v>
          </cell>
          <cell r="BG25">
            <v>6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40000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6</v>
          </cell>
          <cell r="BN26" t="str">
            <v>SOUTIEN GERBY</v>
          </cell>
          <cell r="BO26" t="str">
            <v>FRAIS EXEPTIONNEL</v>
          </cell>
          <cell r="BP26">
            <v>20000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45000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5000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45000</v>
          </cell>
          <cell r="AQ27">
            <v>0</v>
          </cell>
          <cell r="AR27">
            <v>0</v>
          </cell>
          <cell r="AS27">
            <v>20000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N28" t="str">
            <v>S/TOTAL</v>
          </cell>
          <cell r="BP28">
            <v>20000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217000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U32">
            <v>217000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D32">
            <v>100000</v>
          </cell>
          <cell r="BE32">
            <v>100000</v>
          </cell>
          <cell r="BF32">
            <v>0</v>
          </cell>
          <cell r="BG32">
            <v>6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D36">
            <v>7500</v>
          </cell>
          <cell r="AE36">
            <v>10000</v>
          </cell>
          <cell r="AF36" t="str">
            <v>BANQUE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892500</v>
          </cell>
          <cell r="AY36">
            <v>1190000</v>
          </cell>
          <cell r="AZ36">
            <v>2082500</v>
          </cell>
          <cell r="BD36">
            <v>2082500</v>
          </cell>
          <cell r="BE36">
            <v>2082500</v>
          </cell>
          <cell r="BF36">
            <v>0</v>
          </cell>
          <cell r="BG36">
            <v>6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-500</v>
          </cell>
          <cell r="D38">
            <v>7054500</v>
          </cell>
          <cell r="E38">
            <v>43000</v>
          </cell>
          <cell r="F38">
            <v>1070000</v>
          </cell>
          <cell r="G38">
            <v>3000</v>
          </cell>
          <cell r="H38">
            <v>0</v>
          </cell>
          <cell r="I38">
            <v>156500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31000</v>
          </cell>
          <cell r="Q38">
            <v>294000</v>
          </cell>
          <cell r="R38">
            <v>455000</v>
          </cell>
          <cell r="S38">
            <v>2500000</v>
          </cell>
          <cell r="U38">
            <v>7314500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1555000</v>
          </cell>
          <cell r="AA38">
            <v>0</v>
          </cell>
          <cell r="AC38">
            <v>9500</v>
          </cell>
          <cell r="AD38">
            <v>7500</v>
          </cell>
          <cell r="AE38">
            <v>20000</v>
          </cell>
          <cell r="AF38">
            <v>0</v>
          </cell>
          <cell r="AG38">
            <v>0</v>
          </cell>
          <cell r="AI38">
            <v>150000</v>
          </cell>
          <cell r="AJ38">
            <v>400000</v>
          </cell>
          <cell r="AK38">
            <v>584000</v>
          </cell>
          <cell r="AL38">
            <v>2500</v>
          </cell>
          <cell r="AM38">
            <v>8000</v>
          </cell>
          <cell r="AN38">
            <v>5500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E6">
            <v>156000</v>
          </cell>
          <cell r="BF6">
            <v>0</v>
          </cell>
          <cell r="BG6">
            <v>5</v>
          </cell>
          <cell r="BH6">
            <v>6000</v>
          </cell>
          <cell r="BI6">
            <v>50000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33500</v>
          </cell>
          <cell r="F7">
            <v>140000</v>
          </cell>
          <cell r="G7">
            <v>3000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30500</v>
          </cell>
          <cell r="U7">
            <v>73500</v>
          </cell>
          <cell r="AC7">
            <v>3000</v>
          </cell>
          <cell r="AF7" t="str">
            <v>BANQUE</v>
          </cell>
          <cell r="AQ7">
            <v>0</v>
          </cell>
          <cell r="AR7">
            <v>0</v>
          </cell>
          <cell r="AS7">
            <v>12000</v>
          </cell>
          <cell r="AW7">
            <v>297000</v>
          </cell>
          <cell r="AX7">
            <v>0</v>
          </cell>
          <cell r="AY7">
            <v>0</v>
          </cell>
          <cell r="AZ7">
            <v>157000</v>
          </cell>
          <cell r="BB7">
            <v>140000</v>
          </cell>
          <cell r="BD7">
            <v>157000</v>
          </cell>
          <cell r="BE7">
            <v>157000</v>
          </cell>
          <cell r="BF7">
            <v>0</v>
          </cell>
          <cell r="BG7">
            <v>5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241000</v>
          </cell>
          <cell r="E9">
            <v>87500</v>
          </cell>
          <cell r="F9">
            <v>0</v>
          </cell>
          <cell r="G9">
            <v>3000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185500</v>
          </cell>
          <cell r="U9">
            <v>328500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D9">
            <v>0</v>
          </cell>
          <cell r="BF9">
            <v>0</v>
          </cell>
          <cell r="BG9">
            <v>5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165000</v>
          </cell>
          <cell r="E11">
            <v>85500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102000</v>
          </cell>
          <cell r="U11">
            <v>250500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5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14500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0</v>
          </cell>
          <cell r="U12">
            <v>360000</v>
          </cell>
          <cell r="AQ12">
            <v>0</v>
          </cell>
          <cell r="AR12">
            <v>0</v>
          </cell>
          <cell r="AS12">
            <v>31300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5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5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C15">
            <v>2500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15000</v>
          </cell>
          <cell r="AW15">
            <v>297500</v>
          </cell>
          <cell r="AX15">
            <v>892500</v>
          </cell>
          <cell r="AY15">
            <v>0</v>
          </cell>
          <cell r="AZ15">
            <v>1120000</v>
          </cell>
          <cell r="BB15">
            <v>70000</v>
          </cell>
          <cell r="BD15">
            <v>1120000</v>
          </cell>
          <cell r="BE15">
            <v>1120000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5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Z17">
            <v>1000000</v>
          </cell>
          <cell r="AA17" t="str">
            <v>BANQUE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100000</v>
          </cell>
          <cell r="AZ17">
            <v>1050000</v>
          </cell>
          <cell r="BD17">
            <v>1050000</v>
          </cell>
          <cell r="BE17">
            <v>1050000</v>
          </cell>
          <cell r="BF17">
            <v>50000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102000</v>
          </cell>
          <cell r="R20">
            <v>202000</v>
          </cell>
          <cell r="U20">
            <v>519000</v>
          </cell>
          <cell r="AJ20">
            <v>75000</v>
          </cell>
          <cell r="AK20">
            <v>289500</v>
          </cell>
          <cell r="AM20">
            <v>1000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75000</v>
          </cell>
          <cell r="AY20">
            <v>289500</v>
          </cell>
          <cell r="AZ20">
            <v>364500</v>
          </cell>
          <cell r="BA20">
            <v>112500</v>
          </cell>
          <cell r="BD20">
            <v>252000</v>
          </cell>
          <cell r="BE20">
            <v>252000</v>
          </cell>
          <cell r="BF20">
            <v>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452000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452000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-122000</v>
          </cell>
          <cell r="D24">
            <v>159000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5000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0</v>
          </cell>
          <cell r="R24">
            <v>0</v>
          </cell>
          <cell r="U24">
            <v>281000</v>
          </cell>
          <cell r="AI24">
            <v>61000</v>
          </cell>
          <cell r="AJ24">
            <v>167000</v>
          </cell>
          <cell r="AK24">
            <v>100000</v>
          </cell>
          <cell r="AL24">
            <v>2000</v>
          </cell>
          <cell r="AM24">
            <v>2000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20000</v>
          </cell>
          <cell r="AW24">
            <v>61000</v>
          </cell>
          <cell r="AX24">
            <v>167000</v>
          </cell>
          <cell r="AY24">
            <v>100000</v>
          </cell>
          <cell r="AZ24">
            <v>267000</v>
          </cell>
          <cell r="BD24">
            <v>46000</v>
          </cell>
          <cell r="BE24">
            <v>46000</v>
          </cell>
          <cell r="BF24">
            <v>0</v>
          </cell>
          <cell r="BG24">
            <v>5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102000</v>
          </cell>
          <cell r="R25">
            <v>0</v>
          </cell>
          <cell r="U25">
            <v>400000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>
            <v>100000</v>
          </cell>
          <cell r="BF25">
            <v>0</v>
          </cell>
          <cell r="BG25">
            <v>5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43000</v>
          </cell>
          <cell r="F26">
            <v>0</v>
          </cell>
          <cell r="G26">
            <v>3000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U26">
            <v>43000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5</v>
          </cell>
          <cell r="BN26" t="str">
            <v>CARBURANT HENGUE ET KOUAMO</v>
          </cell>
          <cell r="BO26" t="str">
            <v>FRAIS EXEPTIONNEL</v>
          </cell>
          <cell r="BP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N28" t="str">
            <v>S/TOTAL</v>
          </cell>
          <cell r="BP28">
            <v>50000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365000</v>
          </cell>
          <cell r="E32">
            <v>102000</v>
          </cell>
          <cell r="F32">
            <v>70000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S32">
            <v>250000</v>
          </cell>
          <cell r="U32">
            <v>467000</v>
          </cell>
          <cell r="AC32">
            <v>2500</v>
          </cell>
          <cell r="AF32" t="str">
            <v>BANQUE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297500</v>
          </cell>
          <cell r="AX32">
            <v>75000</v>
          </cell>
          <cell r="AY32">
            <v>0</v>
          </cell>
          <cell r="AZ32">
            <v>302500</v>
          </cell>
          <cell r="BA32">
            <v>75000</v>
          </cell>
          <cell r="BB32">
            <v>70000</v>
          </cell>
          <cell r="BD32">
            <v>227500</v>
          </cell>
          <cell r="BE32">
            <v>227500</v>
          </cell>
          <cell r="BF32">
            <v>0</v>
          </cell>
          <cell r="BG32">
            <v>5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5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-122000</v>
          </cell>
          <cell r="D38">
            <v>4916000</v>
          </cell>
          <cell r="E38">
            <v>394500</v>
          </cell>
          <cell r="F38">
            <v>280000</v>
          </cell>
          <cell r="G38">
            <v>15000</v>
          </cell>
          <cell r="H38">
            <v>0</v>
          </cell>
          <cell r="I38">
            <v>142500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152500</v>
          </cell>
          <cell r="Q38">
            <v>408000</v>
          </cell>
          <cell r="R38">
            <v>589500</v>
          </cell>
          <cell r="S38">
            <v>250000</v>
          </cell>
          <cell r="U38">
            <v>5432500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C38">
            <v>8000</v>
          </cell>
          <cell r="AD38">
            <v>7500</v>
          </cell>
          <cell r="AE38">
            <v>0</v>
          </cell>
          <cell r="AF38">
            <v>0</v>
          </cell>
          <cell r="AG38">
            <v>0</v>
          </cell>
          <cell r="AI38">
            <v>61000</v>
          </cell>
          <cell r="AJ38">
            <v>317000</v>
          </cell>
          <cell r="AK38">
            <v>789500</v>
          </cell>
          <cell r="AL38">
            <v>2000</v>
          </cell>
          <cell r="AM38">
            <v>4000</v>
          </cell>
          <cell r="AN38">
            <v>7000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760000</v>
          </cell>
          <cell r="BD6">
            <v>760000</v>
          </cell>
          <cell r="BE6">
            <v>106000</v>
          </cell>
          <cell r="BF6">
            <v>0</v>
          </cell>
          <cell r="BG6">
            <v>4</v>
          </cell>
          <cell r="BH6">
            <v>45000</v>
          </cell>
          <cell r="BI6">
            <v>155000</v>
          </cell>
          <cell r="BJ6">
            <v>560000</v>
          </cell>
          <cell r="BM6">
            <v>0</v>
          </cell>
          <cell r="BN6" t="str">
            <v>ACHAT FOURNITURE (ECHARPE)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4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4</v>
          </cell>
          <cell r="BN8" t="str">
            <v>COMMISSION</v>
          </cell>
          <cell r="BO8" t="str">
            <v>FONDS DE ROULEMENT</v>
          </cell>
          <cell r="BP8">
            <v>33000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140000</v>
          </cell>
          <cell r="E9">
            <v>202000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300000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300000</v>
          </cell>
          <cell r="AZ9">
            <v>300000</v>
          </cell>
          <cell r="BA9">
            <v>300000</v>
          </cell>
          <cell r="BD9">
            <v>0</v>
          </cell>
          <cell r="BF9">
            <v>0</v>
          </cell>
          <cell r="BG9">
            <v>4</v>
          </cell>
          <cell r="BN9" t="str">
            <v>ECHARPE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43000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43000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115000</v>
          </cell>
          <cell r="AI11">
            <v>61500</v>
          </cell>
          <cell r="AJ11">
            <v>167000</v>
          </cell>
          <cell r="AL11">
            <v>1000</v>
          </cell>
          <cell r="AM11">
            <v>2000</v>
          </cell>
          <cell r="AN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61500</v>
          </cell>
          <cell r="AX11">
            <v>167000</v>
          </cell>
          <cell r="AY11">
            <v>0</v>
          </cell>
          <cell r="AZ11">
            <v>228500</v>
          </cell>
          <cell r="BD11">
            <v>228500</v>
          </cell>
          <cell r="BE11">
            <v>228500</v>
          </cell>
          <cell r="BF11">
            <v>0</v>
          </cell>
          <cell r="BG11">
            <v>4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E12">
            <v>10000</v>
          </cell>
          <cell r="AF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1190000</v>
          </cell>
          <cell r="AZ12">
            <v>1190000</v>
          </cell>
          <cell r="BD12">
            <v>1190000</v>
          </cell>
          <cell r="BE12">
            <v>1190000</v>
          </cell>
          <cell r="BF12">
            <v>0</v>
          </cell>
          <cell r="BG12">
            <v>4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N13" t="str">
            <v>TAXI BANQUE</v>
          </cell>
          <cell r="BO13" t="str">
            <v>FONDS DE ROULEMENT</v>
          </cell>
          <cell r="BP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4</v>
          </cell>
          <cell r="BN16" t="str">
            <v>S/TOTAL</v>
          </cell>
          <cell r="BP16">
            <v>45000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241000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101000</v>
          </cell>
          <cell r="U17">
            <v>241000</v>
          </cell>
          <cell r="AP17" t="str">
            <v>BANQUE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215000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4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S19">
            <v>300000</v>
          </cell>
          <cell r="T19" t="str">
            <v>BANQUE</v>
          </cell>
          <cell r="U19">
            <v>340000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586500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4000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76000</v>
          </cell>
          <cell r="R20">
            <v>291500</v>
          </cell>
          <cell r="U20">
            <v>586500</v>
          </cell>
          <cell r="AI20">
            <v>60000</v>
          </cell>
          <cell r="AJ20">
            <v>150000</v>
          </cell>
          <cell r="AK20">
            <v>100000</v>
          </cell>
          <cell r="AL20">
            <v>1000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19000</v>
          </cell>
          <cell r="AW20">
            <v>60000</v>
          </cell>
          <cell r="AX20">
            <v>150000</v>
          </cell>
          <cell r="AY20">
            <v>100000</v>
          </cell>
          <cell r="AZ20">
            <v>310000</v>
          </cell>
          <cell r="BD20">
            <v>310000</v>
          </cell>
          <cell r="BE20">
            <v>310000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C21">
            <v>2500</v>
          </cell>
          <cell r="AF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297500</v>
          </cell>
          <cell r="AX21">
            <v>0</v>
          </cell>
          <cell r="AY21">
            <v>0</v>
          </cell>
          <cell r="AZ21">
            <v>227500</v>
          </cell>
          <cell r="BB21">
            <v>70000</v>
          </cell>
          <cell r="BD21">
            <v>227500</v>
          </cell>
          <cell r="BE21">
            <v>227500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-576000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6000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846000</v>
          </cell>
          <cell r="Z23">
            <v>600000</v>
          </cell>
          <cell r="AA23" t="str">
            <v>BANQUE</v>
          </cell>
          <cell r="AE23">
            <v>10000</v>
          </cell>
          <cell r="AF23" t="str">
            <v>BANQUE</v>
          </cell>
          <cell r="AQ23">
            <v>0</v>
          </cell>
          <cell r="AR23">
            <v>0</v>
          </cell>
          <cell r="AS23">
            <v>21000</v>
          </cell>
          <cell r="AW23">
            <v>0</v>
          </cell>
          <cell r="AX23">
            <v>0</v>
          </cell>
          <cell r="AY23">
            <v>1190000</v>
          </cell>
          <cell r="AZ23">
            <v>1190000</v>
          </cell>
          <cell r="BD23">
            <v>1190000</v>
          </cell>
          <cell r="BE23">
            <v>1290000</v>
          </cell>
          <cell r="BF23">
            <v>24000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-230000</v>
          </cell>
          <cell r="D24">
            <v>320000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4000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169000</v>
          </cell>
          <cell r="R24">
            <v>101000</v>
          </cell>
          <cell r="U24">
            <v>550000</v>
          </cell>
          <cell r="AJ24">
            <v>167000</v>
          </cell>
          <cell r="AM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19000</v>
          </cell>
          <cell r="AW24">
            <v>0</v>
          </cell>
          <cell r="AX24">
            <v>167000</v>
          </cell>
          <cell r="AY24">
            <v>0</v>
          </cell>
          <cell r="AZ24">
            <v>167000</v>
          </cell>
          <cell r="BD24">
            <v>0</v>
          </cell>
          <cell r="BF24">
            <v>0</v>
          </cell>
          <cell r="BG24">
            <v>4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9000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400000</v>
          </cell>
          <cell r="AD25">
            <v>7500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24000</v>
          </cell>
          <cell r="AW25">
            <v>0</v>
          </cell>
          <cell r="AX25">
            <v>892500</v>
          </cell>
          <cell r="AY25">
            <v>0</v>
          </cell>
          <cell r="AZ25">
            <v>892500</v>
          </cell>
          <cell r="BD25">
            <v>892500</v>
          </cell>
          <cell r="BE25">
            <v>892500</v>
          </cell>
          <cell r="BF25">
            <v>0</v>
          </cell>
          <cell r="BG25">
            <v>4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-1000000</v>
          </cell>
          <cell r="D26">
            <v>40000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48000</v>
          </cell>
          <cell r="BD26">
            <v>12000</v>
          </cell>
          <cell r="BE26">
            <v>12000</v>
          </cell>
          <cell r="BF26">
            <v>40000</v>
          </cell>
          <cell r="BG26">
            <v>4</v>
          </cell>
          <cell r="BN26" t="str">
            <v>CONFECTION ECHARPE</v>
          </cell>
          <cell r="BO26" t="str">
            <v>FRAIS EXEPTIONNEL</v>
          </cell>
          <cell r="BP26">
            <v>155000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4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4</v>
          </cell>
          <cell r="BN28" t="str">
            <v>S/TOTAL</v>
          </cell>
          <cell r="BP28">
            <v>155000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70000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C30">
            <v>3000</v>
          </cell>
          <cell r="AD30">
            <v>7500</v>
          </cell>
          <cell r="AF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297000</v>
          </cell>
          <cell r="AX30">
            <v>892500</v>
          </cell>
          <cell r="AY30">
            <v>0</v>
          </cell>
          <cell r="AZ30">
            <v>1119500</v>
          </cell>
          <cell r="BB30">
            <v>70000</v>
          </cell>
          <cell r="BD30">
            <v>1119500</v>
          </cell>
          <cell r="BE30">
            <v>1119500</v>
          </cell>
          <cell r="BF30">
            <v>0</v>
          </cell>
          <cell r="BG30">
            <v>4</v>
          </cell>
          <cell r="BN30" t="str">
            <v xml:space="preserve">DECES </v>
          </cell>
          <cell r="BO30" t="str">
            <v>MUTUELLE</v>
          </cell>
          <cell r="BP30">
            <v>560000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441000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S32">
            <v>250000</v>
          </cell>
          <cell r="T32" t="str">
            <v>BANQUE</v>
          </cell>
          <cell r="U32">
            <v>441000</v>
          </cell>
          <cell r="AJ32">
            <v>75000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75000</v>
          </cell>
          <cell r="AY32">
            <v>0</v>
          </cell>
          <cell r="AZ32">
            <v>175000</v>
          </cell>
          <cell r="BD32">
            <v>175000</v>
          </cell>
          <cell r="BE32">
            <v>75000</v>
          </cell>
          <cell r="BF32">
            <v>0</v>
          </cell>
          <cell r="BG32">
            <v>4</v>
          </cell>
          <cell r="BK32">
            <v>100000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N33" t="str">
            <v>S/TOTAL</v>
          </cell>
          <cell r="BP33">
            <v>560000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100000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100000</v>
          </cell>
          <cell r="AQ34">
            <v>0</v>
          </cell>
          <cell r="AR34">
            <v>0</v>
          </cell>
          <cell r="AS34">
            <v>75000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-1806000</v>
          </cell>
          <cell r="D38">
            <v>5288500</v>
          </cell>
          <cell r="E38">
            <v>245000</v>
          </cell>
          <cell r="F38">
            <v>140000</v>
          </cell>
          <cell r="G38">
            <v>3000</v>
          </cell>
          <cell r="H38">
            <v>0</v>
          </cell>
          <cell r="I38">
            <v>133000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61000</v>
          </cell>
          <cell r="Q38">
            <v>321000</v>
          </cell>
          <cell r="R38">
            <v>796500</v>
          </cell>
          <cell r="S38">
            <v>2150000</v>
          </cell>
          <cell r="U38">
            <v>7339500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1600000</v>
          </cell>
          <cell r="AA38">
            <v>0</v>
          </cell>
          <cell r="AC38">
            <v>5500</v>
          </cell>
          <cell r="AD38">
            <v>15000</v>
          </cell>
          <cell r="AE38">
            <v>20000</v>
          </cell>
          <cell r="AF38">
            <v>0</v>
          </cell>
          <cell r="AG38">
            <v>0</v>
          </cell>
          <cell r="AI38">
            <v>181500</v>
          </cell>
          <cell r="AJ38">
            <v>559000</v>
          </cell>
          <cell r="AK38">
            <v>400000</v>
          </cell>
          <cell r="AL38">
            <v>3000</v>
          </cell>
          <cell r="AM38">
            <v>9000</v>
          </cell>
          <cell r="AN38">
            <v>5000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106000</v>
          </cell>
          <cell r="BE6">
            <v>246000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E8">
            <v>892500</v>
          </cell>
          <cell r="BF8">
            <v>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441000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303000</v>
          </cell>
          <cell r="U9">
            <v>441000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13000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>
            <v>200000</v>
          </cell>
          <cell r="BF9">
            <v>0</v>
          </cell>
          <cell r="BG9">
            <v>3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3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347000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62500</v>
          </cell>
          <cell r="Q11">
            <v>169000</v>
          </cell>
          <cell r="U11">
            <v>347000</v>
          </cell>
          <cell r="AJ11">
            <v>58000</v>
          </cell>
          <cell r="AM11">
            <v>1000</v>
          </cell>
          <cell r="AQ11">
            <v>0</v>
          </cell>
          <cell r="AR11">
            <v>0</v>
          </cell>
          <cell r="AS11">
            <v>15500</v>
          </cell>
          <cell r="AW11">
            <v>0</v>
          </cell>
          <cell r="AX11">
            <v>58000</v>
          </cell>
          <cell r="AY11">
            <v>0</v>
          </cell>
          <cell r="AZ11">
            <v>58000</v>
          </cell>
          <cell r="BA11">
            <v>58000</v>
          </cell>
          <cell r="BD11">
            <v>0</v>
          </cell>
          <cell r="BF11">
            <v>0</v>
          </cell>
          <cell r="BG11">
            <v>3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320000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320000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>
            <v>200000</v>
          </cell>
          <cell r="BF12">
            <v>0</v>
          </cell>
          <cell r="BG12">
            <v>3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250000</v>
          </cell>
          <cell r="AK16">
            <v>200000</v>
          </cell>
          <cell r="AN16">
            <v>2000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200000</v>
          </cell>
          <cell r="BA16">
            <v>9000</v>
          </cell>
          <cell r="BD16">
            <v>191000</v>
          </cell>
          <cell r="BE16">
            <v>191000</v>
          </cell>
          <cell r="BF16">
            <v>0</v>
          </cell>
          <cell r="BG16">
            <v>3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215000</v>
          </cell>
          <cell r="E18">
            <v>100000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</v>
          </cell>
          <cell r="T18" t="str">
            <v>BANQUE</v>
          </cell>
          <cell r="U18">
            <v>315000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D18">
            <v>100000</v>
          </cell>
          <cell r="BE18">
            <v>100000</v>
          </cell>
          <cell r="BF18">
            <v>0</v>
          </cell>
          <cell r="BG18">
            <v>3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528500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152000</v>
          </cell>
          <cell r="R20">
            <v>101000</v>
          </cell>
          <cell r="U20">
            <v>528500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14500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  <cell r="BD20">
            <v>200000</v>
          </cell>
          <cell r="BE20">
            <v>200000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892500</v>
          </cell>
          <cell r="U22">
            <v>1007500</v>
          </cell>
          <cell r="AD22">
            <v>7500</v>
          </cell>
          <cell r="AF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70000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C23">
            <v>2500</v>
          </cell>
          <cell r="AF23" t="str">
            <v>BANQUE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25000</v>
          </cell>
          <cell r="AW23">
            <v>297500</v>
          </cell>
          <cell r="AX23">
            <v>0</v>
          </cell>
          <cell r="AY23">
            <v>100000</v>
          </cell>
          <cell r="AZ23">
            <v>327500</v>
          </cell>
          <cell r="BA23">
            <v>100000</v>
          </cell>
          <cell r="BB23">
            <v>70000</v>
          </cell>
          <cell r="BD23">
            <v>227500</v>
          </cell>
          <cell r="BE23">
            <v>227500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-171000</v>
          </cell>
          <cell r="D24">
            <v>215000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171000</v>
          </cell>
          <cell r="R24">
            <v>0</v>
          </cell>
          <cell r="U24">
            <v>386000</v>
          </cell>
          <cell r="AK24">
            <v>200000</v>
          </cell>
          <cell r="AN24">
            <v>2000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200000</v>
          </cell>
          <cell r="BE24">
            <v>200000</v>
          </cell>
          <cell r="BF24">
            <v>0</v>
          </cell>
          <cell r="BG24">
            <v>3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150000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440000</v>
          </cell>
          <cell r="AK25">
            <v>200000</v>
          </cell>
          <cell r="AN25">
            <v>2000</v>
          </cell>
          <cell r="AQ25">
            <v>0</v>
          </cell>
          <cell r="AR25">
            <v>0</v>
          </cell>
          <cell r="AS25">
            <v>165000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>
            <v>200000</v>
          </cell>
          <cell r="BF25">
            <v>0</v>
          </cell>
          <cell r="BG25">
            <v>3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D26">
            <v>50000</v>
          </cell>
          <cell r="E26">
            <v>94000</v>
          </cell>
          <cell r="F26">
            <v>0</v>
          </cell>
          <cell r="G26">
            <v>3000</v>
          </cell>
          <cell r="H26" t="str">
            <v>BANQUE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104000</v>
          </cell>
          <cell r="AI26">
            <v>17000</v>
          </cell>
          <cell r="AL26">
            <v>500</v>
          </cell>
          <cell r="AQ26">
            <v>0</v>
          </cell>
          <cell r="AR26">
            <v>0</v>
          </cell>
          <cell r="AS26">
            <v>15000</v>
          </cell>
          <cell r="AW26">
            <v>17000</v>
          </cell>
          <cell r="AX26">
            <v>0</v>
          </cell>
          <cell r="AY26">
            <v>0</v>
          </cell>
          <cell r="AZ26">
            <v>17000</v>
          </cell>
          <cell r="BA26">
            <v>17000</v>
          </cell>
          <cell r="BD26">
            <v>0</v>
          </cell>
          <cell r="BF26">
            <v>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-127500</v>
          </cell>
          <cell r="D27">
            <v>50000</v>
          </cell>
          <cell r="E27">
            <v>0</v>
          </cell>
          <cell r="F27">
            <v>70000</v>
          </cell>
          <cell r="G27">
            <v>0</v>
          </cell>
          <cell r="H27" t="str">
            <v>BANQUE</v>
          </cell>
          <cell r="I27">
            <v>137500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177500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152500</v>
          </cell>
          <cell r="AW27">
            <v>297500</v>
          </cell>
          <cell r="AX27">
            <v>0</v>
          </cell>
          <cell r="AY27">
            <v>0</v>
          </cell>
          <cell r="AZ27">
            <v>227500</v>
          </cell>
          <cell r="BB27">
            <v>70000</v>
          </cell>
          <cell r="BD27">
            <v>100000</v>
          </cell>
          <cell r="BE27">
            <v>100000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-177500</v>
          </cell>
          <cell r="D29">
            <v>40000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177500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217500</v>
          </cell>
          <cell r="AC29">
            <v>2500</v>
          </cell>
          <cell r="AF29" t="str">
            <v>BANQUE</v>
          </cell>
          <cell r="AQ29">
            <v>0</v>
          </cell>
          <cell r="AR29">
            <v>0</v>
          </cell>
          <cell r="AS29">
            <v>192500</v>
          </cell>
          <cell r="AW29">
            <v>297500</v>
          </cell>
          <cell r="AX29">
            <v>0</v>
          </cell>
          <cell r="AY29">
            <v>0</v>
          </cell>
          <cell r="AZ29">
            <v>227500</v>
          </cell>
          <cell r="BA29">
            <v>50000</v>
          </cell>
          <cell r="BB29">
            <v>70000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3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140000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140000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  <cell r="BD31">
            <v>0</v>
          </cell>
          <cell r="BF31">
            <v>0</v>
          </cell>
          <cell r="BG31">
            <v>3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191000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76000</v>
          </cell>
          <cell r="U32">
            <v>191000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3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3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400000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110000</v>
          </cell>
          <cell r="T36" t="str">
            <v>BANQUE</v>
          </cell>
          <cell r="U36">
            <v>400000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-436000</v>
          </cell>
          <cell r="D38">
            <v>5127500</v>
          </cell>
          <cell r="E38">
            <v>194000</v>
          </cell>
          <cell r="F38">
            <v>1102500</v>
          </cell>
          <cell r="G38">
            <v>3000</v>
          </cell>
          <cell r="H38">
            <v>0</v>
          </cell>
          <cell r="I38">
            <v>513000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184500</v>
          </cell>
          <cell r="Q38">
            <v>568000</v>
          </cell>
          <cell r="R38">
            <v>404000</v>
          </cell>
          <cell r="S38">
            <v>1102500</v>
          </cell>
          <cell r="U38">
            <v>6650000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17000</v>
          </cell>
          <cell r="AJ38">
            <v>58000</v>
          </cell>
          <cell r="AK38">
            <v>1430000</v>
          </cell>
          <cell r="AL38">
            <v>500</v>
          </cell>
          <cell r="AM38">
            <v>1000</v>
          </cell>
          <cell r="AN38">
            <v>15000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713500</v>
          </cell>
          <cell r="BD6">
            <v>713500</v>
          </cell>
          <cell r="BE6">
            <v>749500</v>
          </cell>
          <cell r="BF6">
            <v>0</v>
          </cell>
          <cell r="BG6">
            <v>2</v>
          </cell>
          <cell r="BH6">
            <v>13500</v>
          </cell>
          <cell r="BI6">
            <v>600000</v>
          </cell>
          <cell r="BJ6">
            <v>0</v>
          </cell>
          <cell r="BK6">
            <v>100000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40000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0</v>
          </cell>
          <cell r="U7">
            <v>40000</v>
          </cell>
          <cell r="AI7">
            <v>27500</v>
          </cell>
          <cell r="AL7">
            <v>500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27500</v>
          </cell>
          <cell r="AX7">
            <v>0</v>
          </cell>
          <cell r="AY7">
            <v>0</v>
          </cell>
          <cell r="AZ7">
            <v>27500</v>
          </cell>
          <cell r="BA7">
            <v>27500</v>
          </cell>
          <cell r="BD7">
            <v>0</v>
          </cell>
          <cell r="BF7">
            <v>0</v>
          </cell>
          <cell r="BG7">
            <v>2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115000</v>
          </cell>
          <cell r="F8">
            <v>70000</v>
          </cell>
          <cell r="G8">
            <v>0</v>
          </cell>
          <cell r="H8" t="str">
            <v>ESPECES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297500</v>
          </cell>
          <cell r="AX8">
            <v>0</v>
          </cell>
          <cell r="AY8">
            <v>0</v>
          </cell>
          <cell r="AZ8">
            <v>227500</v>
          </cell>
          <cell r="BB8">
            <v>70000</v>
          </cell>
          <cell r="BD8">
            <v>227500</v>
          </cell>
          <cell r="BE8">
            <v>227500</v>
          </cell>
          <cell r="BF8">
            <v>0</v>
          </cell>
          <cell r="BG8">
            <v>2</v>
          </cell>
          <cell r="BN8" t="str">
            <v>COMMISSION</v>
          </cell>
          <cell r="BO8" t="str">
            <v>FONDS DE ROULEMENT</v>
          </cell>
          <cell r="BP8">
            <v>7500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K9">
            <v>200000</v>
          </cell>
          <cell r="AN9">
            <v>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>
            <v>100000</v>
          </cell>
          <cell r="BF9">
            <v>0</v>
          </cell>
          <cell r="BG9">
            <v>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59000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59000</v>
          </cell>
          <cell r="U11">
            <v>174000</v>
          </cell>
          <cell r="AJ11">
            <v>75000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75000</v>
          </cell>
          <cell r="AY11">
            <v>0</v>
          </cell>
          <cell r="AZ11">
            <v>75000</v>
          </cell>
          <cell r="BA11">
            <v>75000</v>
          </cell>
          <cell r="BD11">
            <v>0</v>
          </cell>
          <cell r="BF11">
            <v>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>
            <v>200000</v>
          </cell>
          <cell r="BF12">
            <v>0</v>
          </cell>
          <cell r="BG12">
            <v>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136500</v>
          </cell>
          <cell r="D16">
            <v>452000</v>
          </cell>
          <cell r="E16">
            <v>136500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U16">
            <v>452000</v>
          </cell>
          <cell r="Z16">
            <v>500000</v>
          </cell>
          <cell r="AA16" t="str">
            <v>BANQUE</v>
          </cell>
          <cell r="AK16">
            <v>200000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700000</v>
          </cell>
          <cell r="BD16">
            <v>700000</v>
          </cell>
          <cell r="BE16">
            <v>700000</v>
          </cell>
          <cell r="BF16">
            <v>0</v>
          </cell>
          <cell r="BN16" t="str">
            <v>S/TOTAL</v>
          </cell>
          <cell r="BP16">
            <v>13500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456000</v>
          </cell>
          <cell r="E18">
            <v>10000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150000</v>
          </cell>
          <cell r="T18" t="str">
            <v>BANQUE</v>
          </cell>
          <cell r="U18">
            <v>466000</v>
          </cell>
          <cell r="Z18">
            <v>1000000</v>
          </cell>
          <cell r="AA18" t="str">
            <v>BANQUE</v>
          </cell>
          <cell r="AJ18">
            <v>150000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150000</v>
          </cell>
          <cell r="AY18">
            <v>0</v>
          </cell>
          <cell r="AZ18">
            <v>1130000</v>
          </cell>
          <cell r="BA18">
            <v>100000</v>
          </cell>
          <cell r="BD18">
            <v>1030000</v>
          </cell>
          <cell r="BE18">
            <v>1130000</v>
          </cell>
          <cell r="BF18">
            <v>20000</v>
          </cell>
          <cell r="BG18">
            <v>2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417000</v>
          </cell>
          <cell r="AI20">
            <v>30000</v>
          </cell>
          <cell r="AJ20">
            <v>150000</v>
          </cell>
          <cell r="AK20">
            <v>200000</v>
          </cell>
          <cell r="AL20">
            <v>500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30000</v>
          </cell>
          <cell r="AX20">
            <v>150000</v>
          </cell>
          <cell r="AY20">
            <v>200000</v>
          </cell>
          <cell r="AZ20">
            <v>380000</v>
          </cell>
          <cell r="BA20">
            <v>57000</v>
          </cell>
          <cell r="BD20">
            <v>323000</v>
          </cell>
          <cell r="BE20">
            <v>323000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351000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101000</v>
          </cell>
          <cell r="U23">
            <v>351000</v>
          </cell>
          <cell r="AP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400000</v>
          </cell>
          <cell r="E24">
            <v>17000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417000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A24">
            <v>70000</v>
          </cell>
          <cell r="BD24">
            <v>130000</v>
          </cell>
          <cell r="BE24">
            <v>130000</v>
          </cell>
          <cell r="BF24">
            <v>0</v>
          </cell>
          <cell r="BG24">
            <v>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>
            <v>200000</v>
          </cell>
          <cell r="BF25">
            <v>0</v>
          </cell>
          <cell r="BG25">
            <v>2</v>
          </cell>
          <cell r="BN25" t="str">
            <v>NUIT DES ELITES</v>
          </cell>
          <cell r="BO25" t="str">
            <v>FRAIS EXEPTIONNEL</v>
          </cell>
          <cell r="BP25">
            <v>600000</v>
          </cell>
        </row>
        <row r="26">
          <cell r="A26" t="str">
            <v>AS201628</v>
          </cell>
          <cell r="B26" t="str">
            <v>NKAMGANG JUSTIN DEJOLIE</v>
          </cell>
          <cell r="C26">
            <v>101000</v>
          </cell>
          <cell r="D26">
            <v>0</v>
          </cell>
          <cell r="E26">
            <v>158500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17500</v>
          </cell>
          <cell r="U26">
            <v>57500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E28">
            <v>500000</v>
          </cell>
          <cell r="BF28">
            <v>0</v>
          </cell>
          <cell r="BG28">
            <v>2</v>
          </cell>
          <cell r="BN28" t="str">
            <v>S/TOTAL</v>
          </cell>
          <cell r="BP28">
            <v>600000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U31">
            <v>171000</v>
          </cell>
          <cell r="AI31">
            <v>30000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30000</v>
          </cell>
          <cell r="AX31">
            <v>0</v>
          </cell>
          <cell r="AY31">
            <v>0</v>
          </cell>
          <cell r="AZ31">
            <v>30000</v>
          </cell>
          <cell r="BD31">
            <v>30000</v>
          </cell>
          <cell r="BE31">
            <v>30000</v>
          </cell>
          <cell r="BF31">
            <v>0</v>
          </cell>
          <cell r="BG31">
            <v>2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15000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-227500</v>
          </cell>
          <cell r="D34">
            <v>80000</v>
          </cell>
          <cell r="E34">
            <v>0</v>
          </cell>
          <cell r="F34">
            <v>70000</v>
          </cell>
          <cell r="G34">
            <v>0</v>
          </cell>
          <cell r="H34" t="str">
            <v>BANQUE</v>
          </cell>
          <cell r="I34">
            <v>267500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307500</v>
          </cell>
          <cell r="AC34">
            <v>2500</v>
          </cell>
          <cell r="AF34" t="str">
            <v>BANQUE</v>
          </cell>
          <cell r="AQ34">
            <v>0</v>
          </cell>
          <cell r="AR34">
            <v>0</v>
          </cell>
          <cell r="AS34">
            <v>282500</v>
          </cell>
          <cell r="AW34">
            <v>297500</v>
          </cell>
          <cell r="AX34">
            <v>0</v>
          </cell>
          <cell r="AY34">
            <v>0</v>
          </cell>
          <cell r="AZ34">
            <v>227500</v>
          </cell>
          <cell r="BB34">
            <v>70000</v>
          </cell>
          <cell r="BD34">
            <v>0</v>
          </cell>
          <cell r="BF34">
            <v>0</v>
          </cell>
          <cell r="BG34">
            <v>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0</v>
          </cell>
          <cell r="H35" t="str">
            <v>ESPECES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880000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590000</v>
          </cell>
          <cell r="T36" t="str">
            <v>BANQUE</v>
          </cell>
          <cell r="U36">
            <v>880000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10000</v>
          </cell>
          <cell r="D38">
            <v>5946000</v>
          </cell>
          <cell r="E38">
            <v>536000</v>
          </cell>
          <cell r="F38">
            <v>140000</v>
          </cell>
          <cell r="G38">
            <v>0</v>
          </cell>
          <cell r="H38">
            <v>0</v>
          </cell>
          <cell r="I38">
            <v>335500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17500</v>
          </cell>
          <cell r="Q38">
            <v>59000</v>
          </cell>
          <cell r="R38">
            <v>1445000</v>
          </cell>
          <cell r="S38">
            <v>740000</v>
          </cell>
          <cell r="U38">
            <v>6472000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1500000</v>
          </cell>
          <cell r="AA38">
            <v>0</v>
          </cell>
          <cell r="AC38">
            <v>5000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I38">
            <v>147500</v>
          </cell>
          <cell r="AJ38">
            <v>375000</v>
          </cell>
          <cell r="AK38">
            <v>1200000</v>
          </cell>
          <cell r="AL38">
            <v>2500</v>
          </cell>
          <cell r="AM38">
            <v>5000</v>
          </cell>
          <cell r="AN38">
            <v>12000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-1074000</v>
          </cell>
          <cell r="BD6">
            <v>-1074000</v>
          </cell>
          <cell r="BE6" t="str">
            <v>OK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0</v>
          </cell>
          <cell r="BK6">
            <v>110000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68000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28000</v>
          </cell>
          <cell r="U7">
            <v>68000</v>
          </cell>
          <cell r="AI7">
            <v>28000</v>
          </cell>
          <cell r="AL7">
            <v>1000</v>
          </cell>
          <cell r="AP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28000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AJ8">
            <v>100000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D8">
            <v>100000</v>
          </cell>
          <cell r="BE8" t="str">
            <v>OK</v>
          </cell>
          <cell r="BF8">
            <v>0</v>
          </cell>
          <cell r="BG8">
            <v>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342000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202000</v>
          </cell>
          <cell r="U9">
            <v>342000</v>
          </cell>
          <cell r="AP9" t="str">
            <v>BANQUE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191000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76000</v>
          </cell>
          <cell r="U11">
            <v>191000</v>
          </cell>
          <cell r="AJ11">
            <v>76000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76000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522000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522000</v>
          </cell>
          <cell r="AJ12">
            <v>50000</v>
          </cell>
          <cell r="AK12">
            <v>202000</v>
          </cell>
          <cell r="AM12">
            <v>1000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20000</v>
          </cell>
          <cell r="AW12">
            <v>0</v>
          </cell>
          <cell r="AX12">
            <v>50000</v>
          </cell>
          <cell r="AY12">
            <v>202000</v>
          </cell>
          <cell r="AZ12">
            <v>50000</v>
          </cell>
          <cell r="BA12">
            <v>50000</v>
          </cell>
          <cell r="BD12">
            <v>0</v>
          </cell>
          <cell r="BF12">
            <v>0</v>
          </cell>
          <cell r="BG12">
            <v>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U13">
            <v>40000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-70000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C14">
            <v>2500</v>
          </cell>
          <cell r="AQ14">
            <v>0</v>
          </cell>
          <cell r="AR14">
            <v>0</v>
          </cell>
          <cell r="AS14">
            <v>15000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B14">
            <v>70000</v>
          </cell>
          <cell r="BD14">
            <v>227500</v>
          </cell>
          <cell r="BE14" t="str">
            <v>OK</v>
          </cell>
          <cell r="BF14">
            <v>0</v>
          </cell>
          <cell r="BG14">
            <v>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-136500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202000</v>
          </cell>
          <cell r="S16">
            <v>136500</v>
          </cell>
          <cell r="U16">
            <v>588500</v>
          </cell>
          <cell r="AK16">
            <v>202000</v>
          </cell>
          <cell r="AN16">
            <v>4000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202000</v>
          </cell>
          <cell r="AZ16">
            <v>0</v>
          </cell>
          <cell r="BD16">
            <v>0</v>
          </cell>
          <cell r="BF16">
            <v>0</v>
          </cell>
          <cell r="BG16">
            <v>1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140000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367000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152000</v>
          </cell>
          <cell r="R18">
            <v>0</v>
          </cell>
          <cell r="U18">
            <v>367000</v>
          </cell>
          <cell r="AI18">
            <v>30000</v>
          </cell>
          <cell r="AJ18">
            <v>200000</v>
          </cell>
          <cell r="AL18">
            <v>500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30000</v>
          </cell>
          <cell r="AX18">
            <v>200000</v>
          </cell>
          <cell r="AY18">
            <v>0</v>
          </cell>
          <cell r="AZ18">
            <v>230000</v>
          </cell>
          <cell r="BA18">
            <v>47500</v>
          </cell>
          <cell r="BD18">
            <v>182500</v>
          </cell>
          <cell r="BE18" t="str">
            <v>OK</v>
          </cell>
          <cell r="BF18">
            <v>0</v>
          </cell>
          <cell r="BG18">
            <v>1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599500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152000</v>
          </cell>
          <cell r="R20">
            <v>202000</v>
          </cell>
          <cell r="U20">
            <v>599500</v>
          </cell>
          <cell r="AJ20">
            <v>303000</v>
          </cell>
          <cell r="AK20">
            <v>302000</v>
          </cell>
          <cell r="AM20">
            <v>4000</v>
          </cell>
          <cell r="AN20">
            <v>5000</v>
          </cell>
          <cell r="AP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303000</v>
          </cell>
          <cell r="AY20">
            <v>302000</v>
          </cell>
          <cell r="AZ20">
            <v>100000</v>
          </cell>
          <cell r="BD20">
            <v>100000</v>
          </cell>
          <cell r="BF20">
            <v>0</v>
          </cell>
          <cell r="BG20">
            <v>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U21">
            <v>40000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115000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420000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3000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420000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18000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200000</v>
          </cell>
          <cell r="BE24" t="str">
            <v>OK</v>
          </cell>
          <cell r="BF24">
            <v>0</v>
          </cell>
          <cell r="BG24">
            <v>1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500000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1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102000</v>
          </cell>
          <cell r="F26">
            <v>0</v>
          </cell>
          <cell r="G26">
            <v>3000</v>
          </cell>
          <cell r="H26" t="str">
            <v>ESPECES</v>
          </cell>
          <cell r="I26">
            <v>-2000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61000</v>
          </cell>
          <cell r="U26">
            <v>102000</v>
          </cell>
          <cell r="AQ26">
            <v>0</v>
          </cell>
          <cell r="AR26">
            <v>0</v>
          </cell>
          <cell r="AS26">
            <v>13000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</row>
        <row r="28">
          <cell r="A28" t="str">
            <v>AS201633</v>
          </cell>
          <cell r="B28" t="str">
            <v>PATEGO NJOSSU GUSTAVE</v>
          </cell>
          <cell r="C28">
            <v>-70000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15000</v>
          </cell>
          <cell r="AW28">
            <v>297500</v>
          </cell>
          <cell r="AX28">
            <v>892500</v>
          </cell>
          <cell r="AY28">
            <v>0</v>
          </cell>
          <cell r="AZ28">
            <v>545000</v>
          </cell>
          <cell r="BB28">
            <v>70000</v>
          </cell>
          <cell r="BD28">
            <v>475000</v>
          </cell>
          <cell r="BE28" t="str">
            <v>OK</v>
          </cell>
          <cell r="BF28">
            <v>0</v>
          </cell>
          <cell r="BG28">
            <v>1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500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30500</v>
          </cell>
          <cell r="R31">
            <v>0</v>
          </cell>
          <cell r="U31">
            <v>171000</v>
          </cell>
          <cell r="AK31">
            <v>30000</v>
          </cell>
          <cell r="AN31">
            <v>1000</v>
          </cell>
          <cell r="AQ31">
            <v>0</v>
          </cell>
          <cell r="AR31">
            <v>0</v>
          </cell>
          <cell r="AS31">
            <v>15500</v>
          </cell>
          <cell r="AW31">
            <v>0</v>
          </cell>
          <cell r="AX31">
            <v>0</v>
          </cell>
          <cell r="AY31">
            <v>30000</v>
          </cell>
          <cell r="AZ31">
            <v>30000</v>
          </cell>
          <cell r="BA31">
            <v>30000</v>
          </cell>
          <cell r="BD31">
            <v>0</v>
          </cell>
          <cell r="BE31" t="str">
            <v>OK</v>
          </cell>
          <cell r="BF31">
            <v>0</v>
          </cell>
          <cell r="BG31">
            <v>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115000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115000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D32">
            <v>100000</v>
          </cell>
          <cell r="BE32" t="str">
            <v>OK</v>
          </cell>
          <cell r="BF32">
            <v>0</v>
          </cell>
          <cell r="BG32">
            <v>1</v>
          </cell>
        </row>
        <row r="33">
          <cell r="A33" t="str">
            <v>AS201643</v>
          </cell>
          <cell r="B33" t="str">
            <v>TCHOUTOU NANA CLAUDE</v>
          </cell>
          <cell r="C33">
            <v>80000</v>
          </cell>
          <cell r="D33">
            <v>120000</v>
          </cell>
          <cell r="E33">
            <v>0</v>
          </cell>
          <cell r="F33">
            <v>0</v>
          </cell>
          <cell r="G33">
            <v>12000</v>
          </cell>
          <cell r="H33" t="str">
            <v>BANQUE</v>
          </cell>
          <cell r="I33">
            <v>-12000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40000</v>
          </cell>
          <cell r="AQ33">
            <v>0</v>
          </cell>
          <cell r="AR33">
            <v>0</v>
          </cell>
          <cell r="AS33">
            <v>3000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70000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30000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70000</v>
          </cell>
          <cell r="AQ34">
            <v>0</v>
          </cell>
          <cell r="AR34">
            <v>0</v>
          </cell>
          <cell r="AS34">
            <v>45000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40000</v>
          </cell>
          <cell r="F35">
            <v>0</v>
          </cell>
          <cell r="G35">
            <v>3000</v>
          </cell>
          <cell r="H35" t="str">
            <v>ESPECES</v>
          </cell>
          <cell r="I35">
            <v>-3000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U35">
            <v>40000</v>
          </cell>
          <cell r="AQ35">
            <v>0</v>
          </cell>
          <cell r="AR35">
            <v>0</v>
          </cell>
          <cell r="AS35">
            <v>12000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  <cell r="BN35" t="str">
            <v>COLLATION</v>
          </cell>
          <cell r="BO35" t="str">
            <v>COLLATION</v>
          </cell>
          <cell r="BP35">
            <v>110000</v>
          </cell>
        </row>
        <row r="36">
          <cell r="A36" t="str">
            <v>AS201647</v>
          </cell>
          <cell r="B36" t="str">
            <v>YOUMBI EMMANUEL</v>
          </cell>
          <cell r="C36">
            <v>-70000</v>
          </cell>
          <cell r="D36">
            <v>593000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303000</v>
          </cell>
          <cell r="T36" t="str">
            <v>BANQUE</v>
          </cell>
          <cell r="U36">
            <v>593000</v>
          </cell>
          <cell r="AC36">
            <v>2500</v>
          </cell>
          <cell r="AD36">
            <v>7500</v>
          </cell>
          <cell r="AQ36">
            <v>0</v>
          </cell>
          <cell r="AR36">
            <v>0</v>
          </cell>
          <cell r="AS36">
            <v>15000</v>
          </cell>
          <cell r="AW36">
            <v>297500</v>
          </cell>
          <cell r="AX36">
            <v>892500</v>
          </cell>
          <cell r="AY36">
            <v>0</v>
          </cell>
          <cell r="AZ36">
            <v>1190000</v>
          </cell>
          <cell r="BB36">
            <v>70000</v>
          </cell>
          <cell r="BD36">
            <v>1120000</v>
          </cell>
          <cell r="BE36" t="str">
            <v>OK</v>
          </cell>
          <cell r="BF36">
            <v>0</v>
          </cell>
          <cell r="BG36">
            <v>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-266500</v>
          </cell>
          <cell r="D38">
            <v>5960500</v>
          </cell>
          <cell r="E38">
            <v>142000</v>
          </cell>
          <cell r="F38">
            <v>0</v>
          </cell>
          <cell r="G38">
            <v>18000</v>
          </cell>
          <cell r="H38">
            <v>0</v>
          </cell>
          <cell r="I38">
            <v>84500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150000</v>
          </cell>
          <cell r="Q38">
            <v>380000</v>
          </cell>
          <cell r="R38">
            <v>1212000</v>
          </cell>
          <cell r="S38">
            <v>439500</v>
          </cell>
          <cell r="U38">
            <v>6159000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7500</v>
          </cell>
          <cell r="AD38">
            <v>15000</v>
          </cell>
          <cell r="AE38">
            <v>0</v>
          </cell>
          <cell r="AF38">
            <v>0</v>
          </cell>
          <cell r="AG38">
            <v>0</v>
          </cell>
          <cell r="AI38">
            <v>58000</v>
          </cell>
          <cell r="AJ38">
            <v>829000</v>
          </cell>
          <cell r="AK38">
            <v>1136000</v>
          </cell>
          <cell r="AL38">
            <v>1500</v>
          </cell>
          <cell r="AM38">
            <v>10000</v>
          </cell>
          <cell r="AN38">
            <v>18000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D6">
            <v>2088500</v>
          </cell>
          <cell r="BF6">
            <v>0</v>
          </cell>
          <cell r="BG6">
            <v>12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669000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29000</v>
          </cell>
          <cell r="S7">
            <v>600000</v>
          </cell>
          <cell r="T7" t="str">
            <v>BANQUE</v>
          </cell>
          <cell r="U7">
            <v>669000</v>
          </cell>
          <cell r="Z7">
            <v>600000</v>
          </cell>
          <cell r="AA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564000</v>
          </cell>
          <cell r="BD7">
            <v>564000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V8">
            <v>19000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D8">
            <v>485000</v>
          </cell>
          <cell r="BF8">
            <v>15000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221000</v>
          </cell>
          <cell r="D9">
            <v>386000</v>
          </cell>
          <cell r="E9">
            <v>1000000</v>
          </cell>
          <cell r="F9">
            <v>0</v>
          </cell>
          <cell r="G9">
            <v>0</v>
          </cell>
          <cell r="H9" t="str">
            <v>BANQUE</v>
          </cell>
          <cell r="I9">
            <v>25000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1000000</v>
          </cell>
          <cell r="T9" t="str">
            <v>BANQUE</v>
          </cell>
          <cell r="U9">
            <v>1165000</v>
          </cell>
          <cell r="V9">
            <v>9000</v>
          </cell>
          <cell r="Z9">
            <v>1000000</v>
          </cell>
          <cell r="AA9" t="str">
            <v>BANQUE</v>
          </cell>
          <cell r="AQ9">
            <v>0</v>
          </cell>
          <cell r="AR9">
            <v>0</v>
          </cell>
          <cell r="AS9">
            <v>40000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D9">
            <v>880000</v>
          </cell>
          <cell r="BF9">
            <v>120000</v>
          </cell>
          <cell r="BG9">
            <v>12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40000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V10">
            <v>22000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929000</v>
          </cell>
          <cell r="BF10">
            <v>120000</v>
          </cell>
          <cell r="BG10">
            <v>12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1077000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77000</v>
          </cell>
          <cell r="S11">
            <v>1000000</v>
          </cell>
          <cell r="T11" t="str">
            <v>BANQUE</v>
          </cell>
          <cell r="U11">
            <v>1192000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D11">
            <v>980000</v>
          </cell>
          <cell r="BF11">
            <v>20000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1040000</v>
          </cell>
          <cell r="E12">
            <v>257000</v>
          </cell>
          <cell r="F12">
            <v>0</v>
          </cell>
          <cell r="G12">
            <v>0</v>
          </cell>
          <cell r="H12" t="str">
            <v>BANQUE</v>
          </cell>
          <cell r="I12">
            <v>5800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51000</v>
          </cell>
          <cell r="R12">
            <v>206000</v>
          </cell>
          <cell r="S12">
            <v>719200</v>
          </cell>
          <cell r="T12" t="str">
            <v>BANQUE</v>
          </cell>
          <cell r="U12">
            <v>1297000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20800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D12">
            <v>1090000</v>
          </cell>
          <cell r="BF12">
            <v>60000</v>
          </cell>
          <cell r="BG12">
            <v>6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S13">
            <v>1000000</v>
          </cell>
          <cell r="T13" t="str">
            <v>BANQUE</v>
          </cell>
          <cell r="U13">
            <v>1040000</v>
          </cell>
          <cell r="Z13">
            <v>1000000</v>
          </cell>
          <cell r="AA13" t="str">
            <v>BANQUE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880000</v>
          </cell>
          <cell r="BD13">
            <v>901000</v>
          </cell>
          <cell r="BF13">
            <v>120000</v>
          </cell>
          <cell r="BG13">
            <v>12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V15">
            <v>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569500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206000</v>
          </cell>
          <cell r="S16">
            <v>363500</v>
          </cell>
          <cell r="T16" t="str">
            <v>BANQUE</v>
          </cell>
          <cell r="U16">
            <v>819500</v>
          </cell>
          <cell r="V16">
            <v>12000</v>
          </cell>
          <cell r="Z16">
            <v>363500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363500</v>
          </cell>
          <cell r="BD16">
            <v>763500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1140000</v>
          </cell>
          <cell r="V17">
            <v>9000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1000000</v>
          </cell>
          <cell r="E18">
            <v>447500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30500</v>
          </cell>
          <cell r="Q18">
            <v>202000</v>
          </cell>
          <cell r="R18">
            <v>0</v>
          </cell>
          <cell r="S18">
            <v>1000000</v>
          </cell>
          <cell r="T18" t="str">
            <v>BANQUE</v>
          </cell>
          <cell r="U18">
            <v>1447500</v>
          </cell>
          <cell r="V18">
            <v>3000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950000</v>
          </cell>
          <cell r="BD18">
            <v>950000</v>
          </cell>
          <cell r="BF18">
            <v>50000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V19">
            <v>20000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1829000</v>
          </cell>
          <cell r="F20">
            <v>0</v>
          </cell>
          <cell r="G20">
            <v>0</v>
          </cell>
          <cell r="H20" t="str">
            <v>ESPECES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307000</v>
          </cell>
          <cell r="R20">
            <v>307000</v>
          </cell>
          <cell r="S20">
            <v>1000000</v>
          </cell>
          <cell r="T20" t="str">
            <v>BANQUE</v>
          </cell>
          <cell r="U20">
            <v>1829000</v>
          </cell>
          <cell r="Z20">
            <v>1000000</v>
          </cell>
          <cell r="AA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S21">
            <v>500000</v>
          </cell>
          <cell r="T21" t="str">
            <v>BANQUE</v>
          </cell>
          <cell r="U21">
            <v>540000</v>
          </cell>
          <cell r="Z21">
            <v>300000</v>
          </cell>
          <cell r="AA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282000</v>
          </cell>
          <cell r="BD21">
            <v>282000</v>
          </cell>
          <cell r="BF21">
            <v>18000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222500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107500</v>
          </cell>
          <cell r="T22" t="str">
            <v>BANQUE</v>
          </cell>
          <cell r="U22">
            <v>222500</v>
          </cell>
          <cell r="V22">
            <v>20000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933000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850000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850000</v>
          </cell>
          <cell r="Z23">
            <v>500000</v>
          </cell>
          <cell r="AA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690000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1215000</v>
          </cell>
          <cell r="E24">
            <v>202000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S24">
            <v>1000000</v>
          </cell>
          <cell r="T24" t="str">
            <v>BANQUE</v>
          </cell>
          <cell r="U24">
            <v>1417000</v>
          </cell>
          <cell r="V24">
            <v>15000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678000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600000</v>
          </cell>
          <cell r="E25">
            <v>1000000</v>
          </cell>
          <cell r="F25">
            <v>0</v>
          </cell>
          <cell r="G25">
            <v>0</v>
          </cell>
          <cell r="H25" t="str">
            <v>BANQUE</v>
          </cell>
          <cell r="I25">
            <v>108000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S25">
            <v>1000000</v>
          </cell>
          <cell r="T25" t="str">
            <v>BANQUE</v>
          </cell>
          <cell r="U25">
            <v>1600000</v>
          </cell>
          <cell r="V25">
            <v>15000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123000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1180000</v>
          </cell>
          <cell r="BF25">
            <v>120000</v>
          </cell>
          <cell r="BG25">
            <v>12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D26">
            <v>970000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V30">
            <v>34000</v>
          </cell>
          <cell r="Z30">
            <v>1000000</v>
          </cell>
          <cell r="AA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940000</v>
          </cell>
          <cell r="BD30">
            <v>168000</v>
          </cell>
          <cell r="BF30">
            <v>60000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S31">
            <v>1000000</v>
          </cell>
          <cell r="T31" t="str">
            <v>BANQUE</v>
          </cell>
          <cell r="U31">
            <v>1171000</v>
          </cell>
          <cell r="Z31">
            <v>250000</v>
          </cell>
          <cell r="AA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235000</v>
          </cell>
          <cell r="BD31">
            <v>465000</v>
          </cell>
          <cell r="BF31">
            <v>15000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416000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S32">
            <v>200000</v>
          </cell>
          <cell r="T32" t="str">
            <v>BANQUE</v>
          </cell>
          <cell r="U32">
            <v>416000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12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D33">
            <v>90000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25000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B33">
            <v>70000</v>
          </cell>
          <cell r="BD33">
            <v>176000</v>
          </cell>
          <cell r="BF33">
            <v>0</v>
          </cell>
          <cell r="BG33">
            <v>12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Z34">
            <v>700000</v>
          </cell>
          <cell r="AA34" t="str">
            <v>BANQUE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616000</v>
          </cell>
          <cell r="BD34">
            <v>616000</v>
          </cell>
          <cell r="BF34">
            <v>84000</v>
          </cell>
          <cell r="BG34">
            <v>12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227500</v>
          </cell>
          <cell r="E35">
            <v>40000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S35">
            <v>227500</v>
          </cell>
          <cell r="T35" t="str">
            <v>BANQUE</v>
          </cell>
          <cell r="U35">
            <v>267500</v>
          </cell>
          <cell r="AC35">
            <v>2500</v>
          </cell>
          <cell r="AQ35">
            <v>0</v>
          </cell>
          <cell r="AR35">
            <v>0</v>
          </cell>
          <cell r="AS35">
            <v>15000</v>
          </cell>
          <cell r="AW35">
            <v>297500</v>
          </cell>
          <cell r="AX35">
            <v>0</v>
          </cell>
          <cell r="AY35">
            <v>0</v>
          </cell>
          <cell r="AZ35">
            <v>297500</v>
          </cell>
          <cell r="BB35">
            <v>70000</v>
          </cell>
          <cell r="BD35">
            <v>227500</v>
          </cell>
          <cell r="BF35">
            <v>0</v>
          </cell>
          <cell r="BG35">
            <v>12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V36">
            <v>11000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261000</v>
          </cell>
          <cell r="D38">
            <v>11438000</v>
          </cell>
          <cell r="E38">
            <v>8171000</v>
          </cell>
          <cell r="F38">
            <v>0</v>
          </cell>
          <cell r="G38">
            <v>0</v>
          </cell>
          <cell r="H38">
            <v>0</v>
          </cell>
          <cell r="I38">
            <v>203800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59500</v>
          </cell>
          <cell r="Q38">
            <v>738000</v>
          </cell>
          <cell r="R38">
            <v>1154000</v>
          </cell>
          <cell r="S38">
            <v>13317700</v>
          </cell>
          <cell r="U38">
            <v>19348000</v>
          </cell>
          <cell r="V38">
            <v>207000</v>
          </cell>
          <cell r="W38">
            <v>0</v>
          </cell>
          <cell r="X38">
            <v>0</v>
          </cell>
          <cell r="Y38">
            <v>0</v>
          </cell>
          <cell r="Z38">
            <v>15213500</v>
          </cell>
          <cell r="AA38">
            <v>0</v>
          </cell>
          <cell r="AC38">
            <v>5000</v>
          </cell>
          <cell r="AD38">
            <v>7500</v>
          </cell>
          <cell r="AE38">
            <v>10000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22"/>
      <sheetName val="MVTFRAISEXCEPT22"/>
      <sheetName val="MVTFONDSMUTUELLE22"/>
      <sheetName val="MVTFONDCAISSE22"/>
      <sheetName val="MVTPENALITE22"/>
      <sheetName val="MVTCOLLATION22"/>
      <sheetName val="MVTFOYER22"/>
      <sheetName val="MVTPRET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A6" t="str">
            <v>AS201648</v>
          </cell>
          <cell r="B6" t="str">
            <v>ASELBY</v>
          </cell>
          <cell r="C6">
            <v>584177.00555049011</v>
          </cell>
          <cell r="D6">
            <v>0</v>
          </cell>
          <cell r="E6">
            <v>0</v>
          </cell>
          <cell r="F6">
            <v>584177.00555049011</v>
          </cell>
          <cell r="G6">
            <v>63170</v>
          </cell>
          <cell r="H6">
            <v>0</v>
          </cell>
          <cell r="K6">
            <v>63170</v>
          </cell>
          <cell r="O6">
            <v>0</v>
          </cell>
          <cell r="R6">
            <v>0</v>
          </cell>
          <cell r="U6">
            <v>816546</v>
          </cell>
          <cell r="V6">
            <v>584177.00555049011</v>
          </cell>
        </row>
        <row r="8">
          <cell r="A8" t="str">
            <v>AS201602</v>
          </cell>
          <cell r="B8" t="str">
            <v>BOUTCHOUANG WILLIAM</v>
          </cell>
          <cell r="C8">
            <v>570000</v>
          </cell>
          <cell r="D8">
            <v>-258.93850559103885</v>
          </cell>
          <cell r="E8">
            <v>0</v>
          </cell>
          <cell r="F8">
            <v>570000</v>
          </cell>
          <cell r="G8">
            <v>61283</v>
          </cell>
          <cell r="H8">
            <v>36000</v>
          </cell>
          <cell r="K8">
            <v>97024.061494408961</v>
          </cell>
          <cell r="M8">
            <v>20000</v>
          </cell>
          <cell r="N8">
            <v>30000</v>
          </cell>
          <cell r="O8">
            <v>50000</v>
          </cell>
          <cell r="P8">
            <v>47024.061494408961</v>
          </cell>
          <cell r="Q8">
            <v>70000</v>
          </cell>
          <cell r="R8">
            <v>0</v>
          </cell>
          <cell r="S8">
            <v>47024.061494408961</v>
          </cell>
          <cell r="T8">
            <v>40000</v>
          </cell>
          <cell r="U8">
            <v>7024</v>
          </cell>
          <cell r="V8">
            <v>600000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570000</v>
          </cell>
          <cell r="D9">
            <v>1714.0012148400419</v>
          </cell>
          <cell r="E9">
            <v>0</v>
          </cell>
          <cell r="F9">
            <v>570000</v>
          </cell>
          <cell r="G9">
            <v>64596</v>
          </cell>
          <cell r="H9">
            <v>133500</v>
          </cell>
          <cell r="K9">
            <v>199810.00121484004</v>
          </cell>
          <cell r="M9">
            <v>20000</v>
          </cell>
          <cell r="N9">
            <v>30000</v>
          </cell>
          <cell r="O9">
            <v>50000</v>
          </cell>
          <cell r="P9">
            <v>149810.00121484004</v>
          </cell>
          <cell r="Q9">
            <v>0</v>
          </cell>
          <cell r="R9">
            <v>1000000</v>
          </cell>
          <cell r="S9">
            <v>-850189.99878516002</v>
          </cell>
          <cell r="T9">
            <v>145000</v>
          </cell>
          <cell r="U9">
            <v>4810</v>
          </cell>
          <cell r="V9">
            <v>600000</v>
          </cell>
        </row>
        <row r="10">
          <cell r="A10" t="str">
            <v>AS201654</v>
          </cell>
          <cell r="B10" t="str">
            <v>DJOMOU TCHANDA</v>
          </cell>
          <cell r="C10">
            <v>570000</v>
          </cell>
          <cell r="D10">
            <v>359</v>
          </cell>
          <cell r="E10">
            <v>0</v>
          </cell>
          <cell r="F10">
            <v>570000</v>
          </cell>
          <cell r="G10">
            <v>61351</v>
          </cell>
          <cell r="H10">
            <v>37000</v>
          </cell>
          <cell r="K10">
            <v>98710</v>
          </cell>
          <cell r="M10">
            <v>20000</v>
          </cell>
          <cell r="N10">
            <v>30000</v>
          </cell>
          <cell r="O10">
            <v>50000</v>
          </cell>
          <cell r="P10">
            <v>48710</v>
          </cell>
          <cell r="Q10">
            <v>113000</v>
          </cell>
          <cell r="R10">
            <v>0</v>
          </cell>
          <cell r="S10">
            <v>48710</v>
          </cell>
          <cell r="T10">
            <v>0</v>
          </cell>
          <cell r="U10">
            <v>48710</v>
          </cell>
          <cell r="V10">
            <v>600000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570000</v>
          </cell>
          <cell r="D11">
            <v>110412.64212220861</v>
          </cell>
          <cell r="E11">
            <v>0</v>
          </cell>
          <cell r="F11">
            <v>570000</v>
          </cell>
          <cell r="G11">
            <v>73337</v>
          </cell>
          <cell r="H11">
            <v>41000</v>
          </cell>
          <cell r="K11">
            <v>224749.64212220861</v>
          </cell>
          <cell r="M11">
            <v>20000</v>
          </cell>
          <cell r="N11">
            <v>30000</v>
          </cell>
          <cell r="O11">
            <v>50000</v>
          </cell>
          <cell r="P11">
            <v>174749.64212220861</v>
          </cell>
          <cell r="Q11">
            <v>70000</v>
          </cell>
          <cell r="R11">
            <v>1000000</v>
          </cell>
          <cell r="S11">
            <v>174749.64212220861</v>
          </cell>
          <cell r="T11">
            <v>170000</v>
          </cell>
          <cell r="U11">
            <v>4750</v>
          </cell>
          <cell r="V11">
            <v>600000</v>
          </cell>
        </row>
        <row r="12">
          <cell r="A12" t="str">
            <v>AS201608</v>
          </cell>
          <cell r="B12" t="str">
            <v>DJUOMBESSY ANTOINE</v>
          </cell>
          <cell r="C12">
            <v>570000</v>
          </cell>
          <cell r="D12">
            <v>18508.84987508686</v>
          </cell>
          <cell r="E12">
            <v>0</v>
          </cell>
          <cell r="F12">
            <v>570000</v>
          </cell>
          <cell r="G12">
            <v>63210</v>
          </cell>
          <cell r="H12">
            <v>39000</v>
          </cell>
          <cell r="K12">
            <v>120718.84987508686</v>
          </cell>
          <cell r="M12">
            <v>20000</v>
          </cell>
          <cell r="N12">
            <v>30000</v>
          </cell>
          <cell r="O12">
            <v>50000</v>
          </cell>
          <cell r="P12">
            <v>70718.84987508686</v>
          </cell>
          <cell r="Q12">
            <v>70000</v>
          </cell>
          <cell r="R12">
            <v>0</v>
          </cell>
          <cell r="S12">
            <v>70718.84987508686</v>
          </cell>
          <cell r="T12">
            <v>60000</v>
          </cell>
          <cell r="U12">
            <v>10719</v>
          </cell>
          <cell r="V12">
            <v>600000</v>
          </cell>
        </row>
        <row r="13">
          <cell r="A13" t="str">
            <v>AS201651</v>
          </cell>
          <cell r="B13" t="str">
            <v>DOMOU FABIEN</v>
          </cell>
          <cell r="C13">
            <v>570000</v>
          </cell>
          <cell r="D13">
            <v>6527.0543220352411</v>
          </cell>
          <cell r="E13">
            <v>0</v>
          </cell>
          <cell r="F13">
            <v>570000</v>
          </cell>
          <cell r="G13">
            <v>63057</v>
          </cell>
          <cell r="H13">
            <v>96000</v>
          </cell>
          <cell r="K13">
            <v>165584.05432203523</v>
          </cell>
          <cell r="M13">
            <v>20000</v>
          </cell>
          <cell r="N13">
            <v>30000</v>
          </cell>
          <cell r="O13">
            <v>50000</v>
          </cell>
          <cell r="P13">
            <v>78584.054322035227</v>
          </cell>
          <cell r="Q13">
            <v>33000</v>
          </cell>
          <cell r="R13">
            <v>1000000</v>
          </cell>
          <cell r="S13">
            <v>78584.054322035227</v>
          </cell>
          <cell r="T13">
            <v>115000</v>
          </cell>
          <cell r="U13">
            <v>584</v>
          </cell>
          <cell r="V13">
            <v>600000</v>
          </cell>
        </row>
        <row r="14">
          <cell r="A14" t="str">
            <v>AS201609</v>
          </cell>
          <cell r="B14" t="str">
            <v>DONHOU DAVID</v>
          </cell>
          <cell r="C14">
            <v>570000</v>
          </cell>
          <cell r="D14">
            <v>253289.50601995771</v>
          </cell>
          <cell r="E14">
            <v>0</v>
          </cell>
          <cell r="F14">
            <v>570000</v>
          </cell>
          <cell r="G14">
            <v>89053</v>
          </cell>
          <cell r="H14">
            <v>91000</v>
          </cell>
          <cell r="K14">
            <v>433342.50601995771</v>
          </cell>
          <cell r="M14">
            <v>20000</v>
          </cell>
          <cell r="N14">
            <v>30000</v>
          </cell>
          <cell r="O14">
            <v>50000</v>
          </cell>
          <cell r="P14">
            <v>383342.50601995771</v>
          </cell>
          <cell r="Q14">
            <v>70000</v>
          </cell>
          <cell r="R14">
            <v>0</v>
          </cell>
          <cell r="S14">
            <v>383342.50601995771</v>
          </cell>
          <cell r="T14">
            <v>0</v>
          </cell>
          <cell r="U14">
            <v>458343</v>
          </cell>
          <cell r="V14">
            <v>600000</v>
          </cell>
        </row>
        <row r="16">
          <cell r="A16" t="str">
            <v>AS201610</v>
          </cell>
          <cell r="B16" t="str">
            <v>FOTSO THOMAS</v>
          </cell>
          <cell r="C16">
            <v>540000</v>
          </cell>
          <cell r="D16">
            <v>-2105.0985828532721</v>
          </cell>
          <cell r="E16">
            <v>0</v>
          </cell>
          <cell r="F16">
            <v>540000</v>
          </cell>
          <cell r="G16">
            <v>0</v>
          </cell>
          <cell r="H16">
            <v>0</v>
          </cell>
          <cell r="K16">
            <v>-2105.0985828532721</v>
          </cell>
          <cell r="O16">
            <v>0</v>
          </cell>
          <cell r="P16">
            <v>0</v>
          </cell>
          <cell r="Q16">
            <v>0</v>
          </cell>
          <cell r="R16">
            <v>1080000</v>
          </cell>
          <cell r="S16">
            <v>-1080000</v>
          </cell>
          <cell r="V16">
            <v>540000</v>
          </cell>
        </row>
        <row r="17">
          <cell r="A17" t="str">
            <v>AS201611</v>
          </cell>
          <cell r="B17" t="str">
            <v>HENGUE PAUL OMER</v>
          </cell>
          <cell r="C17">
            <v>570000</v>
          </cell>
          <cell r="D17">
            <v>3435.9669399686391</v>
          </cell>
          <cell r="E17">
            <v>0</v>
          </cell>
          <cell r="F17">
            <v>570000</v>
          </cell>
          <cell r="G17">
            <v>61676</v>
          </cell>
          <cell r="H17">
            <v>36000</v>
          </cell>
          <cell r="K17">
            <v>101111.96693996864</v>
          </cell>
          <cell r="M17">
            <v>20000</v>
          </cell>
          <cell r="N17">
            <v>30000</v>
          </cell>
          <cell r="O17">
            <v>50000</v>
          </cell>
          <cell r="P17">
            <v>51111.966939968639</v>
          </cell>
          <cell r="Q17">
            <v>70000</v>
          </cell>
          <cell r="R17">
            <v>0</v>
          </cell>
          <cell r="S17">
            <v>51111.966939968639</v>
          </cell>
          <cell r="T17">
            <v>0</v>
          </cell>
          <cell r="U17">
            <v>51112</v>
          </cell>
          <cell r="V17">
            <v>600000</v>
          </cell>
        </row>
        <row r="18">
          <cell r="A18" t="str">
            <v>AS201613</v>
          </cell>
          <cell r="B18" t="str">
            <v>HOTCHO BENJAMIN</v>
          </cell>
          <cell r="C18">
            <v>570000</v>
          </cell>
          <cell r="D18">
            <v>17580.420303784544</v>
          </cell>
          <cell r="E18">
            <v>0</v>
          </cell>
          <cell r="F18">
            <v>570000</v>
          </cell>
          <cell r="G18">
            <v>72650</v>
          </cell>
          <cell r="H18">
            <v>76000</v>
          </cell>
          <cell r="K18">
            <v>166230.42030378454</v>
          </cell>
          <cell r="M18">
            <v>20000</v>
          </cell>
          <cell r="N18">
            <v>30000</v>
          </cell>
          <cell r="O18">
            <v>50000</v>
          </cell>
          <cell r="P18">
            <v>116230.42030378454</v>
          </cell>
          <cell r="Q18">
            <v>70000</v>
          </cell>
          <cell r="R18">
            <v>1000000</v>
          </cell>
          <cell r="S18">
            <v>116230.42030378454</v>
          </cell>
          <cell r="T18">
            <v>600000</v>
          </cell>
          <cell r="U18">
            <v>16230</v>
          </cell>
          <cell r="V18">
            <v>600000</v>
          </cell>
        </row>
        <row r="19">
          <cell r="A19" t="str">
            <v>AS201617</v>
          </cell>
          <cell r="B19" t="str">
            <v>KOUAMOU MOISE</v>
          </cell>
          <cell r="C19">
            <v>570000</v>
          </cell>
          <cell r="D19">
            <v>5406.5483426781138</v>
          </cell>
          <cell r="E19">
            <v>0</v>
          </cell>
          <cell r="F19">
            <v>570000</v>
          </cell>
          <cell r="G19">
            <v>61886</v>
          </cell>
          <cell r="H19">
            <v>36000</v>
          </cell>
          <cell r="K19">
            <v>103292.54834267811</v>
          </cell>
          <cell r="M19">
            <v>20000</v>
          </cell>
          <cell r="N19">
            <v>30000</v>
          </cell>
          <cell r="O19">
            <v>50000</v>
          </cell>
          <cell r="P19">
            <v>53292.548342678114</v>
          </cell>
          <cell r="Q19">
            <v>70000</v>
          </cell>
          <cell r="R19">
            <v>0</v>
          </cell>
          <cell r="S19">
            <v>53292.548342678114</v>
          </cell>
          <cell r="U19">
            <v>53293</v>
          </cell>
          <cell r="V19">
            <v>600000</v>
          </cell>
        </row>
        <row r="20">
          <cell r="A20" t="str">
            <v>AS201619</v>
          </cell>
          <cell r="B20" t="str">
            <v>KOUATCHO MESSACK</v>
          </cell>
          <cell r="C20">
            <v>570000</v>
          </cell>
          <cell r="D20">
            <v>8241.6184045160044</v>
          </cell>
          <cell r="E20">
            <v>0</v>
          </cell>
          <cell r="F20">
            <v>570000</v>
          </cell>
          <cell r="G20">
            <v>62217</v>
          </cell>
          <cell r="H20">
            <v>36000</v>
          </cell>
          <cell r="K20">
            <v>106458.618404516</v>
          </cell>
          <cell r="M20">
            <v>20000</v>
          </cell>
          <cell r="N20">
            <v>30000</v>
          </cell>
          <cell r="O20">
            <v>50000</v>
          </cell>
          <cell r="P20">
            <v>56458.618404516004</v>
          </cell>
          <cell r="Q20">
            <v>70000</v>
          </cell>
          <cell r="R20">
            <v>1000000</v>
          </cell>
          <cell r="S20">
            <v>56458.618404516004</v>
          </cell>
          <cell r="T20">
            <v>50000</v>
          </cell>
          <cell r="U20">
            <v>6459</v>
          </cell>
          <cell r="V20">
            <v>600000</v>
          </cell>
        </row>
        <row r="21">
          <cell r="A21" t="str">
            <v>AS201620</v>
          </cell>
          <cell r="B21" t="str">
            <v>LOWE JEAN</v>
          </cell>
          <cell r="C21">
            <v>570000</v>
          </cell>
          <cell r="D21">
            <v>393.95927050459431</v>
          </cell>
          <cell r="E21">
            <v>0</v>
          </cell>
          <cell r="F21">
            <v>570000</v>
          </cell>
          <cell r="G21">
            <v>61352</v>
          </cell>
          <cell r="H21">
            <v>36000</v>
          </cell>
          <cell r="K21">
            <v>97745.959270504594</v>
          </cell>
          <cell r="M21">
            <v>20000</v>
          </cell>
          <cell r="N21">
            <v>30000</v>
          </cell>
          <cell r="O21">
            <v>50000</v>
          </cell>
          <cell r="P21">
            <v>-22254.040729495406</v>
          </cell>
          <cell r="Q21">
            <v>0</v>
          </cell>
          <cell r="R21">
            <v>1000000</v>
          </cell>
          <cell r="S21">
            <v>-1022254.0407294955</v>
          </cell>
          <cell r="T21">
            <v>47000</v>
          </cell>
          <cell r="U21">
            <v>746</v>
          </cell>
          <cell r="V21">
            <v>600000</v>
          </cell>
        </row>
        <row r="22">
          <cell r="A22" t="str">
            <v>AS201649</v>
          </cell>
          <cell r="B22" t="str">
            <v>MBOGNING TUGMA GUY</v>
          </cell>
          <cell r="C22">
            <v>570000</v>
          </cell>
          <cell r="D22">
            <v>112.46348617674084</v>
          </cell>
          <cell r="E22">
            <v>0</v>
          </cell>
          <cell r="F22">
            <v>570000</v>
          </cell>
          <cell r="G22">
            <v>61322</v>
          </cell>
          <cell r="H22">
            <v>36000</v>
          </cell>
          <cell r="K22">
            <v>97434.463486176741</v>
          </cell>
          <cell r="M22">
            <v>20000</v>
          </cell>
          <cell r="N22">
            <v>30000</v>
          </cell>
          <cell r="O22">
            <v>50000</v>
          </cell>
          <cell r="P22">
            <v>47434.463486176741</v>
          </cell>
          <cell r="Q22">
            <v>70000</v>
          </cell>
          <cell r="R22">
            <v>1000000</v>
          </cell>
          <cell r="S22">
            <v>47434.463486176741</v>
          </cell>
          <cell r="U22">
            <v>47746</v>
          </cell>
          <cell r="V22">
            <v>600000</v>
          </cell>
        </row>
        <row r="23">
          <cell r="A23" t="str">
            <v>AS201639</v>
          </cell>
          <cell r="B23" t="str">
            <v>NANGUEN MARTIN</v>
          </cell>
          <cell r="C23">
            <v>570000</v>
          </cell>
          <cell r="D23">
            <v>30757.615134780004</v>
          </cell>
          <cell r="E23">
            <v>0</v>
          </cell>
          <cell r="F23">
            <v>570000</v>
          </cell>
          <cell r="G23">
            <v>64585</v>
          </cell>
          <cell r="H23">
            <v>36000</v>
          </cell>
          <cell r="K23">
            <v>131342.61513478</v>
          </cell>
          <cell r="M23">
            <v>20000</v>
          </cell>
          <cell r="N23">
            <v>30000</v>
          </cell>
          <cell r="O23">
            <v>50000</v>
          </cell>
          <cell r="P23">
            <v>81342.615134780004</v>
          </cell>
          <cell r="Q23">
            <v>70000</v>
          </cell>
          <cell r="R23">
            <v>500000</v>
          </cell>
          <cell r="S23">
            <v>81342.615134780004</v>
          </cell>
          <cell r="T23">
            <v>30000</v>
          </cell>
          <cell r="U23">
            <v>51343</v>
          </cell>
          <cell r="V23">
            <v>600000</v>
          </cell>
        </row>
        <row r="24">
          <cell r="A24" t="str">
            <v>AS201621</v>
          </cell>
          <cell r="B24" t="str">
            <v>NANKAM APPOLINAIRE</v>
          </cell>
          <cell r="C24">
            <v>570000</v>
          </cell>
          <cell r="D24">
            <v>84601.912290623644</v>
          </cell>
          <cell r="E24">
            <v>0</v>
          </cell>
          <cell r="F24">
            <v>570000</v>
          </cell>
          <cell r="G24">
            <v>70316</v>
          </cell>
          <cell r="H24">
            <v>36000</v>
          </cell>
          <cell r="K24">
            <v>190917.91229062364</v>
          </cell>
          <cell r="M24">
            <v>20000</v>
          </cell>
          <cell r="N24">
            <v>30000</v>
          </cell>
          <cell r="O24">
            <v>50000</v>
          </cell>
          <cell r="P24">
            <v>140917.91229062364</v>
          </cell>
          <cell r="Q24">
            <v>70000</v>
          </cell>
          <cell r="R24">
            <v>1000000</v>
          </cell>
          <cell r="S24">
            <v>140917.91229062364</v>
          </cell>
          <cell r="U24">
            <v>140918</v>
          </cell>
          <cell r="V24">
            <v>600000</v>
          </cell>
        </row>
        <row r="25">
          <cell r="A25" t="str">
            <v>AS201622</v>
          </cell>
          <cell r="B25" t="str">
            <v>NDJOMO ETIENNE</v>
          </cell>
          <cell r="C25">
            <v>570000</v>
          </cell>
          <cell r="D25">
            <v>101446.16753987665</v>
          </cell>
          <cell r="E25">
            <v>0</v>
          </cell>
          <cell r="F25">
            <v>570000</v>
          </cell>
          <cell r="G25">
            <v>75764</v>
          </cell>
          <cell r="H25">
            <v>256000</v>
          </cell>
          <cell r="K25">
            <v>433210.16753987665</v>
          </cell>
          <cell r="M25">
            <v>20000</v>
          </cell>
          <cell r="N25">
            <v>30000</v>
          </cell>
          <cell r="O25">
            <v>50000</v>
          </cell>
          <cell r="P25">
            <v>383210.16753987665</v>
          </cell>
          <cell r="Q25">
            <v>70000</v>
          </cell>
          <cell r="R25">
            <v>570000</v>
          </cell>
          <cell r="S25">
            <v>383210.16753987665</v>
          </cell>
          <cell r="T25">
            <v>100000</v>
          </cell>
          <cell r="U25">
            <v>283210</v>
          </cell>
          <cell r="V25">
            <v>600000</v>
          </cell>
        </row>
        <row r="26">
          <cell r="A26" t="str">
            <v>AS201624</v>
          </cell>
          <cell r="B26" t="str">
            <v>NGONDIEP CLAUDE</v>
          </cell>
          <cell r="C26">
            <v>570000</v>
          </cell>
          <cell r="D26">
            <v>2927.3714496080356</v>
          </cell>
          <cell r="E26">
            <v>0</v>
          </cell>
          <cell r="F26">
            <v>570000</v>
          </cell>
          <cell r="G26">
            <v>63860</v>
          </cell>
          <cell r="H26">
            <v>173000</v>
          </cell>
          <cell r="K26">
            <v>239787.37144960804</v>
          </cell>
          <cell r="M26">
            <v>20000</v>
          </cell>
          <cell r="N26">
            <v>30000</v>
          </cell>
          <cell r="O26">
            <v>50000</v>
          </cell>
          <cell r="P26">
            <v>189787.37144960804</v>
          </cell>
          <cell r="Q26">
            <v>90000</v>
          </cell>
          <cell r="R26">
            <v>1000000</v>
          </cell>
          <cell r="S26">
            <v>189787.37144960804</v>
          </cell>
          <cell r="T26">
            <v>150000</v>
          </cell>
          <cell r="U26">
            <v>39787</v>
          </cell>
          <cell r="V26">
            <v>600000</v>
          </cell>
        </row>
        <row r="27">
          <cell r="A27" t="str">
            <v>AS201626</v>
          </cell>
          <cell r="B27" t="str">
            <v>NGUIEMEGNI MATHIEU BLAISE</v>
          </cell>
          <cell r="C27">
            <v>570000</v>
          </cell>
          <cell r="D27">
            <v>3871.4174531366152</v>
          </cell>
          <cell r="E27">
            <v>0</v>
          </cell>
          <cell r="F27">
            <v>570000</v>
          </cell>
          <cell r="G27">
            <v>61825</v>
          </cell>
          <cell r="H27">
            <v>98000</v>
          </cell>
          <cell r="K27">
            <v>163696.41745313662</v>
          </cell>
          <cell r="M27">
            <v>20000</v>
          </cell>
          <cell r="N27">
            <v>30000</v>
          </cell>
          <cell r="O27">
            <v>50000</v>
          </cell>
          <cell r="P27">
            <v>113696.41745313662</v>
          </cell>
          <cell r="Q27">
            <v>70000</v>
          </cell>
          <cell r="R27">
            <v>1000000</v>
          </cell>
          <cell r="S27">
            <v>113696.41745313662</v>
          </cell>
          <cell r="T27">
            <v>100000</v>
          </cell>
          <cell r="U27">
            <v>13696</v>
          </cell>
          <cell r="V27">
            <v>600000</v>
          </cell>
        </row>
        <row r="28">
          <cell r="A28" t="str">
            <v>AS201628</v>
          </cell>
          <cell r="B28" t="str">
            <v>NKAMGANG JUSTIN DEJOLIE</v>
          </cell>
          <cell r="C28">
            <v>570000</v>
          </cell>
          <cell r="D28">
            <v>11084.67996724385</v>
          </cell>
          <cell r="E28">
            <v>0</v>
          </cell>
          <cell r="F28">
            <v>570000</v>
          </cell>
          <cell r="G28">
            <v>62490</v>
          </cell>
          <cell r="H28">
            <v>36000</v>
          </cell>
          <cell r="K28">
            <v>109574.67996724385</v>
          </cell>
          <cell r="M28">
            <v>20000</v>
          </cell>
          <cell r="N28">
            <v>30000</v>
          </cell>
          <cell r="O28">
            <v>50000</v>
          </cell>
          <cell r="P28">
            <v>59574.67996724385</v>
          </cell>
          <cell r="Q28">
            <v>73000</v>
          </cell>
          <cell r="R28">
            <v>1000000</v>
          </cell>
          <cell r="S28">
            <v>59574.67996724385</v>
          </cell>
          <cell r="T28">
            <v>59000</v>
          </cell>
          <cell r="U28">
            <v>575</v>
          </cell>
          <cell r="V28">
            <v>600000</v>
          </cell>
        </row>
        <row r="30">
          <cell r="A30" t="str">
            <v>AS201614</v>
          </cell>
          <cell r="B30" t="str">
            <v>NKEHE DAVID</v>
          </cell>
          <cell r="C30">
            <v>534974.27750837663</v>
          </cell>
          <cell r="D30">
            <v>-5025.7224916233827</v>
          </cell>
          <cell r="E30">
            <v>0</v>
          </cell>
          <cell r="F30">
            <v>534974.27750837663</v>
          </cell>
          <cell r="G30">
            <v>0</v>
          </cell>
          <cell r="H30">
            <v>0</v>
          </cell>
          <cell r="K30">
            <v>-5025.7224916233827</v>
          </cell>
          <cell r="O30">
            <v>0</v>
          </cell>
          <cell r="Q30">
            <v>0</v>
          </cell>
          <cell r="R30">
            <v>788500</v>
          </cell>
          <cell r="S30">
            <v>-788500</v>
          </cell>
          <cell r="V30">
            <v>534974.27750837663</v>
          </cell>
        </row>
        <row r="31">
          <cell r="A31" t="str">
            <v>AS201629</v>
          </cell>
          <cell r="B31" t="str">
            <v>NKEPSEU DIEUDONNE</v>
          </cell>
          <cell r="C31">
            <v>570000</v>
          </cell>
          <cell r="D31">
            <v>12062.781121595937</v>
          </cell>
          <cell r="E31">
            <v>0</v>
          </cell>
          <cell r="F31">
            <v>570000</v>
          </cell>
          <cell r="G31">
            <v>71370</v>
          </cell>
          <cell r="H31">
            <v>439000</v>
          </cell>
          <cell r="K31">
            <v>522432.78112159594</v>
          </cell>
          <cell r="M31">
            <v>20000</v>
          </cell>
          <cell r="N31">
            <v>30000</v>
          </cell>
          <cell r="O31">
            <v>50000</v>
          </cell>
          <cell r="P31">
            <v>472432.78112159594</v>
          </cell>
          <cell r="Q31">
            <v>70000</v>
          </cell>
          <cell r="R31">
            <v>0</v>
          </cell>
          <cell r="S31">
            <v>472432.78112159594</v>
          </cell>
          <cell r="T31">
            <v>470000</v>
          </cell>
          <cell r="U31">
            <v>2433</v>
          </cell>
          <cell r="V31">
            <v>600000</v>
          </cell>
        </row>
        <row r="32">
          <cell r="A32" t="str">
            <v>AS201633</v>
          </cell>
          <cell r="B32" t="str">
            <v>PATEGO NJOSSU GUSTAVE</v>
          </cell>
          <cell r="C32">
            <v>570000</v>
          </cell>
          <cell r="D32">
            <v>21819.131591268466</v>
          </cell>
          <cell r="E32">
            <v>0</v>
          </cell>
          <cell r="F32">
            <v>570000</v>
          </cell>
          <cell r="G32">
            <v>63633</v>
          </cell>
          <cell r="H32">
            <v>36000</v>
          </cell>
          <cell r="K32">
            <v>121452.13159126847</v>
          </cell>
          <cell r="M32">
            <v>20000</v>
          </cell>
          <cell r="N32">
            <v>30000</v>
          </cell>
          <cell r="O32">
            <v>50000</v>
          </cell>
          <cell r="P32">
            <v>71452.131591268466</v>
          </cell>
          <cell r="Q32">
            <v>70000</v>
          </cell>
          <cell r="R32">
            <v>0</v>
          </cell>
          <cell r="S32">
            <v>71452.131591268466</v>
          </cell>
          <cell r="T32">
            <v>50000</v>
          </cell>
          <cell r="U32">
            <v>21452</v>
          </cell>
          <cell r="V32">
            <v>600000</v>
          </cell>
        </row>
        <row r="33">
          <cell r="A33" t="str">
            <v>AS201653</v>
          </cell>
          <cell r="B33" t="str">
            <v>SIME BRICE</v>
          </cell>
          <cell r="C33">
            <v>570000</v>
          </cell>
          <cell r="D33">
            <v>277025.72796184535</v>
          </cell>
          <cell r="E33">
            <v>0</v>
          </cell>
          <cell r="F33">
            <v>570000</v>
          </cell>
          <cell r="G33">
            <v>90726</v>
          </cell>
          <cell r="H33">
            <v>33000</v>
          </cell>
          <cell r="K33">
            <v>400751.72796184535</v>
          </cell>
          <cell r="M33">
            <v>20000</v>
          </cell>
          <cell r="N33">
            <v>30000</v>
          </cell>
          <cell r="O33">
            <v>50000</v>
          </cell>
          <cell r="P33">
            <v>350751.72796184535</v>
          </cell>
          <cell r="Q33">
            <v>170000</v>
          </cell>
          <cell r="R33">
            <v>0</v>
          </cell>
          <cell r="S33">
            <v>350751.72796184535</v>
          </cell>
          <cell r="T33">
            <v>150000</v>
          </cell>
          <cell r="U33">
            <v>200752</v>
          </cell>
          <cell r="V33">
            <v>600000</v>
          </cell>
        </row>
        <row r="34">
          <cell r="A34" t="str">
            <v>AS201636</v>
          </cell>
          <cell r="B34" t="str">
            <v>SIMO FONGANG ERIC</v>
          </cell>
          <cell r="C34">
            <v>570000</v>
          </cell>
          <cell r="D34">
            <v>23309.374243114085</v>
          </cell>
          <cell r="E34">
            <v>0</v>
          </cell>
          <cell r="F34">
            <v>570000</v>
          </cell>
          <cell r="G34">
            <v>63160</v>
          </cell>
          <cell r="H34">
            <v>0</v>
          </cell>
          <cell r="K34">
            <v>86469.374243114085</v>
          </cell>
          <cell r="M34">
            <v>20000</v>
          </cell>
          <cell r="N34">
            <v>30000</v>
          </cell>
          <cell r="O34">
            <v>50000</v>
          </cell>
          <cell r="Q34">
            <v>0</v>
          </cell>
          <cell r="R34">
            <v>1040000</v>
          </cell>
          <cell r="S34">
            <v>-1040000</v>
          </cell>
          <cell r="V34">
            <v>600000</v>
          </cell>
        </row>
        <row r="35">
          <cell r="A35" t="str">
            <v>AS201638</v>
          </cell>
          <cell r="B35" t="str">
            <v>SIMO PIERRE</v>
          </cell>
          <cell r="C35">
            <v>570000</v>
          </cell>
          <cell r="D35">
            <v>38450.871244281065</v>
          </cell>
          <cell r="E35">
            <v>0</v>
          </cell>
          <cell r="F35">
            <v>570000</v>
          </cell>
          <cell r="G35">
            <v>69155</v>
          </cell>
          <cell r="H35">
            <v>173000</v>
          </cell>
          <cell r="K35">
            <v>280605.87124428106</v>
          </cell>
          <cell r="M35">
            <v>20000</v>
          </cell>
          <cell r="N35">
            <v>30000</v>
          </cell>
          <cell r="O35">
            <v>50000</v>
          </cell>
          <cell r="P35">
            <v>230605.87124428106</v>
          </cell>
          <cell r="Q35">
            <v>70000</v>
          </cell>
          <cell r="R35">
            <v>1000000</v>
          </cell>
          <cell r="S35">
            <v>230605.87124428106</v>
          </cell>
          <cell r="T35">
            <v>127000</v>
          </cell>
          <cell r="U35">
            <v>103606</v>
          </cell>
          <cell r="V35">
            <v>600000</v>
          </cell>
        </row>
        <row r="36">
          <cell r="A36" t="str">
            <v>AS201641</v>
          </cell>
          <cell r="B36" t="str">
            <v>TCHOUAMOU MATHIEU</v>
          </cell>
          <cell r="C36">
            <v>570000</v>
          </cell>
          <cell r="D36">
            <v>6233.7835378004966</v>
          </cell>
          <cell r="E36">
            <v>0</v>
          </cell>
          <cell r="F36">
            <v>570000</v>
          </cell>
          <cell r="G36">
            <v>61974</v>
          </cell>
          <cell r="H36">
            <v>36000</v>
          </cell>
          <cell r="K36">
            <v>104207.7835378005</v>
          </cell>
          <cell r="M36">
            <v>20000</v>
          </cell>
          <cell r="N36">
            <v>30000</v>
          </cell>
          <cell r="O36">
            <v>50000</v>
          </cell>
          <cell r="P36">
            <v>54207.783537800497</v>
          </cell>
          <cell r="Q36">
            <v>70000</v>
          </cell>
          <cell r="R36">
            <v>1000000</v>
          </cell>
          <cell r="S36">
            <v>54207.783537800497</v>
          </cell>
          <cell r="T36">
            <v>50000</v>
          </cell>
          <cell r="U36">
            <v>4208</v>
          </cell>
          <cell r="V36">
            <v>600000</v>
          </cell>
        </row>
        <row r="37">
          <cell r="A37" t="str">
            <v>AS201644</v>
          </cell>
          <cell r="B37" t="str">
            <v>TIEYAM ERNEST</v>
          </cell>
          <cell r="C37">
            <v>535508.27831700875</v>
          </cell>
          <cell r="D37">
            <v>-4491.7216829912577</v>
          </cell>
          <cell r="E37">
            <v>0</v>
          </cell>
          <cell r="F37">
            <v>535508.27831700875</v>
          </cell>
          <cell r="G37">
            <v>0</v>
          </cell>
          <cell r="H37">
            <v>0</v>
          </cell>
          <cell r="K37">
            <v>-4491.7216829912577</v>
          </cell>
          <cell r="O37">
            <v>0</v>
          </cell>
          <cell r="Q37">
            <v>0</v>
          </cell>
          <cell r="R37">
            <v>1067000</v>
          </cell>
          <cell r="S37">
            <v>-1067000</v>
          </cell>
          <cell r="V37">
            <v>535508.27831700875</v>
          </cell>
        </row>
        <row r="38">
          <cell r="A38" t="str">
            <v>AS201646</v>
          </cell>
          <cell r="B38" t="str">
            <v>YEPMOU JEAN JACQUES</v>
          </cell>
          <cell r="C38">
            <v>570000</v>
          </cell>
          <cell r="D38">
            <v>811081.29717838136</v>
          </cell>
          <cell r="E38">
            <v>0</v>
          </cell>
          <cell r="F38">
            <v>570000</v>
          </cell>
          <cell r="G38">
            <v>147653</v>
          </cell>
          <cell r="H38">
            <v>36000</v>
          </cell>
          <cell r="K38">
            <v>994734.29717838136</v>
          </cell>
          <cell r="M38">
            <v>20000</v>
          </cell>
          <cell r="N38">
            <v>30000</v>
          </cell>
          <cell r="O38">
            <v>50000</v>
          </cell>
          <cell r="P38">
            <v>914734.29717838136</v>
          </cell>
          <cell r="Q38">
            <v>70000</v>
          </cell>
          <cell r="R38">
            <v>1011250</v>
          </cell>
          <cell r="S38">
            <v>914734.29717838136</v>
          </cell>
          <cell r="T38">
            <v>30000</v>
          </cell>
          <cell r="U38">
            <v>914734</v>
          </cell>
          <cell r="V38">
            <v>600000</v>
          </cell>
        </row>
        <row r="39">
          <cell r="A39" t="str">
            <v>AS201647</v>
          </cell>
          <cell r="B39" t="str">
            <v>YOUMBI EMMANUEL</v>
          </cell>
          <cell r="C39">
            <v>570000</v>
          </cell>
          <cell r="D39">
            <v>913245.29452405358</v>
          </cell>
          <cell r="E39">
            <v>0</v>
          </cell>
          <cell r="F39">
            <v>570000</v>
          </cell>
          <cell r="G39">
            <v>158529</v>
          </cell>
          <cell r="H39">
            <v>36000</v>
          </cell>
          <cell r="K39">
            <v>1107774.2945240536</v>
          </cell>
          <cell r="M39">
            <v>20000</v>
          </cell>
          <cell r="N39">
            <v>30000</v>
          </cell>
          <cell r="O39">
            <v>50000</v>
          </cell>
          <cell r="P39">
            <v>1057774.2945240536</v>
          </cell>
          <cell r="Q39">
            <v>70000</v>
          </cell>
          <cell r="R39">
            <v>0</v>
          </cell>
          <cell r="S39">
            <v>1057774.2945240536</v>
          </cell>
          <cell r="U39">
            <v>1057774</v>
          </cell>
          <cell r="V39">
            <v>600000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3"/>
      <sheetName val="ENTREE"/>
      <sheetName val="SORTIE"/>
      <sheetName val="DETAILFICHECASSATION"/>
      <sheetName val="SITUATION GUY"/>
      <sheetName val="SYNTHESECOMPTE"/>
      <sheetName val="DISPOFONDS"/>
      <sheetName val="DETAILFPNDSROULT"/>
      <sheetName val="DETAILFRAISEXCEPTIONNEL"/>
      <sheetName val="DETAILFONDSMUTUEL"/>
      <sheetName val="DETAILPENALITES"/>
      <sheetName val="DETAILCOLLATION"/>
      <sheetName val="DETAILFOYER"/>
      <sheetName val="DETAIL PRETENCIRCULATION"/>
      <sheetName val="DETAILLISTEROUGE"/>
      <sheetName val="DETAILINSCRIPTION"/>
      <sheetName val="INTERETTONTINE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69979.737573760693</v>
          </cell>
          <cell r="F6">
            <v>0</v>
          </cell>
          <cell r="I6">
            <v>886523.25892224163</v>
          </cell>
          <cell r="J6">
            <v>0</v>
          </cell>
          <cell r="N6">
            <v>0</v>
          </cell>
          <cell r="O6">
            <v>886523.25892224163</v>
          </cell>
          <cell r="Q6">
            <v>886523.25892224163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13482.496361002119</v>
          </cell>
          <cell r="F7">
            <v>705000</v>
          </cell>
          <cell r="I7">
            <v>718482.49636100209</v>
          </cell>
          <cell r="J7">
            <v>0</v>
          </cell>
          <cell r="K7">
            <v>40000</v>
          </cell>
          <cell r="L7">
            <v>700000</v>
          </cell>
          <cell r="N7">
            <v>740000</v>
          </cell>
          <cell r="O7">
            <v>-21517.503638997907</v>
          </cell>
          <cell r="R7">
            <v>678482.49636100209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53009.126263205231</v>
          </cell>
          <cell r="F8">
            <v>108000</v>
          </cell>
          <cell r="I8">
            <v>168033.12626320522</v>
          </cell>
          <cell r="J8">
            <v>19000</v>
          </cell>
          <cell r="K8">
            <v>40000</v>
          </cell>
          <cell r="L8">
            <v>100000</v>
          </cell>
          <cell r="N8">
            <v>159000</v>
          </cell>
          <cell r="O8">
            <v>9033.1262632052239</v>
          </cell>
          <cell r="P8">
            <v>9000</v>
          </cell>
          <cell r="Q8">
            <v>33.12626320522395</v>
          </cell>
          <cell r="R8">
            <v>700000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53547.826243040035</v>
          </cell>
          <cell r="F9">
            <v>169000</v>
          </cell>
          <cell r="I9">
            <v>227357.82624304004</v>
          </cell>
          <cell r="J9">
            <v>9000</v>
          </cell>
          <cell r="K9">
            <v>40000</v>
          </cell>
          <cell r="L9">
            <v>100000</v>
          </cell>
          <cell r="M9">
            <v>25000</v>
          </cell>
          <cell r="N9">
            <v>174000</v>
          </cell>
          <cell r="O9">
            <v>53357.826243040035</v>
          </cell>
          <cell r="Q9">
            <v>53357.826243040035</v>
          </cell>
          <cell r="R9">
            <v>700000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56584.679295905429</v>
          </cell>
          <cell r="F10">
            <v>106000</v>
          </cell>
          <cell r="I10">
            <v>211294.67929590543</v>
          </cell>
          <cell r="J10">
            <v>22000</v>
          </cell>
          <cell r="K10">
            <v>40000</v>
          </cell>
          <cell r="L10">
            <v>100000</v>
          </cell>
          <cell r="N10">
            <v>162000</v>
          </cell>
          <cell r="O10">
            <v>49294.679295905429</v>
          </cell>
          <cell r="P10">
            <v>49000</v>
          </cell>
          <cell r="Q10">
            <v>294.67929590542917</v>
          </cell>
          <cell r="R10">
            <v>700000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52946.76789740676</v>
          </cell>
          <cell r="F11">
            <v>117500</v>
          </cell>
          <cell r="I11">
            <v>175196.76789740677</v>
          </cell>
          <cell r="J11">
            <v>0</v>
          </cell>
          <cell r="K11">
            <v>40000</v>
          </cell>
          <cell r="L11">
            <v>100000</v>
          </cell>
          <cell r="N11">
            <v>140000</v>
          </cell>
          <cell r="O11">
            <v>35196.767897406768</v>
          </cell>
          <cell r="P11">
            <v>33000</v>
          </cell>
          <cell r="Q11">
            <v>2196.7678974067676</v>
          </cell>
          <cell r="R11">
            <v>700000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55194.277451620372</v>
          </cell>
          <cell r="F12">
            <v>309600</v>
          </cell>
          <cell r="I12">
            <v>375513.27745162038</v>
          </cell>
          <cell r="J12">
            <v>0</v>
          </cell>
          <cell r="K12">
            <v>40000</v>
          </cell>
          <cell r="L12">
            <v>100000</v>
          </cell>
          <cell r="M12">
            <v>20000</v>
          </cell>
          <cell r="N12">
            <v>160000</v>
          </cell>
          <cell r="O12">
            <v>215513.27745162038</v>
          </cell>
          <cell r="P12">
            <v>201000</v>
          </cell>
          <cell r="Q12">
            <v>14513.277451620379</v>
          </cell>
          <cell r="R12">
            <v>700000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52457.235805909797</v>
          </cell>
          <cell r="F13">
            <v>108000</v>
          </cell>
          <cell r="I13">
            <v>161041.23580590979</v>
          </cell>
          <cell r="J13">
            <v>0</v>
          </cell>
          <cell r="K13">
            <v>40000</v>
          </cell>
          <cell r="L13">
            <v>100000</v>
          </cell>
          <cell r="N13">
            <v>140000</v>
          </cell>
          <cell r="O13">
            <v>21041.23580590979</v>
          </cell>
          <cell r="P13">
            <v>21000</v>
          </cell>
          <cell r="Q13">
            <v>41.235805909789633</v>
          </cell>
          <cell r="R13">
            <v>700000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91688.291016573858</v>
          </cell>
          <cell r="F14">
            <v>108000</v>
          </cell>
          <cell r="I14">
            <v>658031.2910165739</v>
          </cell>
          <cell r="J14">
            <v>0</v>
          </cell>
          <cell r="K14">
            <v>40000</v>
          </cell>
          <cell r="L14">
            <v>100000</v>
          </cell>
          <cell r="N14">
            <v>140000</v>
          </cell>
          <cell r="O14">
            <v>518031.2910165739</v>
          </cell>
          <cell r="Q14">
            <v>518031.2910165739</v>
          </cell>
          <cell r="R14">
            <v>700000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56787.603500921949</v>
          </cell>
          <cell r="F15">
            <v>108000</v>
          </cell>
          <cell r="I15">
            <v>215899.60350092195</v>
          </cell>
          <cell r="J15">
            <v>18000</v>
          </cell>
          <cell r="K15">
            <v>40000</v>
          </cell>
          <cell r="L15">
            <v>100000</v>
          </cell>
          <cell r="N15">
            <v>158000</v>
          </cell>
          <cell r="O15">
            <v>57899.603500921949</v>
          </cell>
          <cell r="Q15">
            <v>57899.603500921949</v>
          </cell>
          <cell r="R15">
            <v>700000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57431.20810410157</v>
          </cell>
          <cell r="F16">
            <v>508000</v>
          </cell>
          <cell r="I16">
            <v>581661.20810410159</v>
          </cell>
          <cell r="J16">
            <v>12000</v>
          </cell>
          <cell r="K16">
            <v>40000</v>
          </cell>
          <cell r="L16">
            <v>100000</v>
          </cell>
          <cell r="N16">
            <v>152000</v>
          </cell>
          <cell r="O16">
            <v>429661.20810410159</v>
          </cell>
          <cell r="P16">
            <v>400000</v>
          </cell>
          <cell r="Q16">
            <v>29661.208104101592</v>
          </cell>
          <cell r="R16">
            <v>700000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56974.505152878948</v>
          </cell>
          <cell r="F17">
            <v>108000</v>
          </cell>
          <cell r="I17">
            <v>218267.50515287893</v>
          </cell>
          <cell r="J17">
            <v>9000</v>
          </cell>
          <cell r="K17">
            <v>40000</v>
          </cell>
          <cell r="L17">
            <v>100000</v>
          </cell>
          <cell r="N17">
            <v>149000</v>
          </cell>
          <cell r="O17">
            <v>69267.505152878934</v>
          </cell>
          <cell r="P17">
            <v>60000</v>
          </cell>
          <cell r="Q17">
            <v>9267.5051528789336</v>
          </cell>
          <cell r="R17">
            <v>700000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52969.628065245146</v>
          </cell>
          <cell r="F18">
            <v>108000</v>
          </cell>
          <cell r="I18">
            <v>167428.62806524514</v>
          </cell>
          <cell r="J18">
            <v>3000</v>
          </cell>
          <cell r="K18">
            <v>40000</v>
          </cell>
          <cell r="L18">
            <v>100000</v>
          </cell>
          <cell r="N18">
            <v>143000</v>
          </cell>
          <cell r="O18">
            <v>24428.628065245139</v>
          </cell>
          <cell r="Q18">
            <v>24428.628065245139</v>
          </cell>
          <cell r="R18">
            <v>700000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52471.13072703332</v>
          </cell>
          <cell r="F19">
            <v>108000</v>
          </cell>
          <cell r="I19">
            <v>161217.13072703331</v>
          </cell>
          <cell r="J19">
            <v>20000</v>
          </cell>
          <cell r="K19">
            <v>40000</v>
          </cell>
          <cell r="L19">
            <v>100000</v>
          </cell>
          <cell r="M19">
            <v>25000</v>
          </cell>
          <cell r="N19">
            <v>185000</v>
          </cell>
          <cell r="O19">
            <v>-23782.869272966695</v>
          </cell>
          <cell r="R19">
            <v>676217.13072703336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56463.397241182596</v>
          </cell>
          <cell r="F20">
            <v>108500</v>
          </cell>
          <cell r="I20">
            <v>212709.3972411826</v>
          </cell>
          <cell r="J20">
            <v>0</v>
          </cell>
          <cell r="K20">
            <v>40000</v>
          </cell>
          <cell r="L20">
            <v>100000</v>
          </cell>
          <cell r="N20">
            <v>140000</v>
          </cell>
          <cell r="O20">
            <v>72709.397241182596</v>
          </cell>
          <cell r="P20">
            <v>41000</v>
          </cell>
          <cell r="Q20">
            <v>31709.397241182596</v>
          </cell>
          <cell r="R20">
            <v>700000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56807.362080881765</v>
          </cell>
          <cell r="F21">
            <v>108000</v>
          </cell>
          <cell r="I21">
            <v>216150.36208088178</v>
          </cell>
          <cell r="J21">
            <v>0</v>
          </cell>
          <cell r="K21">
            <v>40000</v>
          </cell>
          <cell r="L21">
            <v>100000</v>
          </cell>
          <cell r="M21">
            <v>25000</v>
          </cell>
          <cell r="N21">
            <v>165000</v>
          </cell>
          <cell r="O21">
            <v>51150.36208088178</v>
          </cell>
          <cell r="P21">
            <v>50000</v>
          </cell>
          <cell r="Q21">
            <v>1150.3620808817795</v>
          </cell>
          <cell r="R21">
            <v>700000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64484.234390188009</v>
          </cell>
          <cell r="F22">
            <v>108000</v>
          </cell>
          <cell r="I22">
            <v>313402.23439018801</v>
          </cell>
          <cell r="J22">
            <v>20000</v>
          </cell>
          <cell r="K22">
            <v>40000</v>
          </cell>
          <cell r="L22">
            <v>100000</v>
          </cell>
          <cell r="N22">
            <v>160000</v>
          </cell>
          <cell r="O22">
            <v>153402.23439018801</v>
          </cell>
          <cell r="P22">
            <v>53000</v>
          </cell>
          <cell r="Q22">
            <v>100402.23439018801</v>
          </cell>
          <cell r="R22">
            <v>700000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77760.61781197961</v>
          </cell>
          <cell r="F23">
            <v>224000</v>
          </cell>
          <cell r="I23">
            <v>584970.61781197961</v>
          </cell>
          <cell r="J23">
            <v>0</v>
          </cell>
          <cell r="K23">
            <v>40000</v>
          </cell>
          <cell r="L23">
            <v>100000</v>
          </cell>
          <cell r="N23">
            <v>140000</v>
          </cell>
          <cell r="O23">
            <v>444970.61781197961</v>
          </cell>
          <cell r="P23">
            <v>220000</v>
          </cell>
          <cell r="Q23">
            <v>224970.61781197961</v>
          </cell>
          <cell r="R23">
            <v>700000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55845.73227114683</v>
          </cell>
          <cell r="F24">
            <v>117000</v>
          </cell>
          <cell r="I24">
            <v>212632.73227114684</v>
          </cell>
          <cell r="J24">
            <v>15000</v>
          </cell>
          <cell r="K24">
            <v>40000</v>
          </cell>
          <cell r="L24">
            <v>100000</v>
          </cell>
          <cell r="N24">
            <v>155000</v>
          </cell>
          <cell r="O24">
            <v>57632.732271146844</v>
          </cell>
          <cell r="Q24">
            <v>57632.732271146844</v>
          </cell>
          <cell r="R24">
            <v>700000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53686.784231808502</v>
          </cell>
          <cell r="F25">
            <v>408000</v>
          </cell>
          <cell r="I25">
            <v>475382.7842318085</v>
          </cell>
          <cell r="J25">
            <v>15000</v>
          </cell>
          <cell r="K25">
            <v>40000</v>
          </cell>
          <cell r="L25">
            <v>100000</v>
          </cell>
          <cell r="N25">
            <v>155000</v>
          </cell>
          <cell r="O25">
            <v>320382.7842318085</v>
          </cell>
          <cell r="P25">
            <v>300000</v>
          </cell>
          <cell r="Q25">
            <v>20382.784231808502</v>
          </cell>
          <cell r="R25">
            <v>700000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52456.484583758327</v>
          </cell>
          <cell r="F26">
            <v>106000</v>
          </cell>
          <cell r="I26">
            <v>159031.48458375834</v>
          </cell>
          <cell r="J26">
            <v>0</v>
          </cell>
          <cell r="K26">
            <v>40000</v>
          </cell>
          <cell r="L26">
            <v>100000</v>
          </cell>
          <cell r="N26">
            <v>140000</v>
          </cell>
          <cell r="O26">
            <v>19031.484583758342</v>
          </cell>
          <cell r="Q26">
            <v>19031.484583758342</v>
          </cell>
          <cell r="R26">
            <v>700000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518.81693285918482</v>
          </cell>
          <cell r="F27">
            <v>720500</v>
          </cell>
          <cell r="I27">
            <v>721018.81693285913</v>
          </cell>
          <cell r="J27">
            <v>0</v>
          </cell>
          <cell r="K27">
            <v>40000</v>
          </cell>
          <cell r="L27">
            <v>700000</v>
          </cell>
          <cell r="M27">
            <v>15000</v>
          </cell>
          <cell r="N27">
            <v>755000</v>
          </cell>
          <cell r="O27">
            <v>-33981.183067140868</v>
          </cell>
          <cell r="R27">
            <v>666018.81693285913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54245.666300758479</v>
          </cell>
          <cell r="F28">
            <v>108000</v>
          </cell>
          <cell r="I28">
            <v>183697.66630075849</v>
          </cell>
          <cell r="J28">
            <v>0</v>
          </cell>
          <cell r="K28">
            <v>40000</v>
          </cell>
          <cell r="L28">
            <v>100000</v>
          </cell>
          <cell r="N28">
            <v>140000</v>
          </cell>
          <cell r="O28">
            <v>43697.666300758487</v>
          </cell>
          <cell r="Q28">
            <v>43697.666300758487</v>
          </cell>
          <cell r="R28">
            <v>700000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285500</v>
          </cell>
          <cell r="I29">
            <v>285500</v>
          </cell>
          <cell r="J29">
            <v>0</v>
          </cell>
          <cell r="K29">
            <v>40000</v>
          </cell>
          <cell r="N29">
            <v>40000</v>
          </cell>
          <cell r="O29">
            <v>245500</v>
          </cell>
          <cell r="Q29">
            <v>245500</v>
          </cell>
          <cell r="R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69612.150550164253</v>
          </cell>
          <cell r="F30">
            <v>108000</v>
          </cell>
          <cell r="I30">
            <v>378364.15055016428</v>
          </cell>
          <cell r="J30">
            <v>34000</v>
          </cell>
          <cell r="K30">
            <v>40000</v>
          </cell>
          <cell r="L30">
            <v>100000</v>
          </cell>
          <cell r="N30">
            <v>174000</v>
          </cell>
          <cell r="O30">
            <v>204364.15055016428</v>
          </cell>
          <cell r="P30">
            <v>100000</v>
          </cell>
          <cell r="Q30">
            <v>104364.15055016428</v>
          </cell>
          <cell r="R30">
            <v>700000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63580.612182999699</v>
          </cell>
          <cell r="F31">
            <v>218500</v>
          </cell>
          <cell r="I31">
            <v>385686.61218299973</v>
          </cell>
          <cell r="J31">
            <v>0</v>
          </cell>
          <cell r="K31">
            <v>40000</v>
          </cell>
          <cell r="L31">
            <v>100000</v>
          </cell>
          <cell r="M31">
            <v>15000</v>
          </cell>
          <cell r="N31">
            <v>155000</v>
          </cell>
          <cell r="O31">
            <v>230686.61218299973</v>
          </cell>
          <cell r="P31">
            <v>230000</v>
          </cell>
          <cell r="Q31">
            <v>686.61218299972825</v>
          </cell>
          <cell r="R31">
            <v>700000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52767.8062065169</v>
          </cell>
          <cell r="F32">
            <v>108000</v>
          </cell>
          <cell r="I32">
            <v>164975.80620651689</v>
          </cell>
          <cell r="J32">
            <v>0</v>
          </cell>
          <cell r="K32">
            <v>40000</v>
          </cell>
          <cell r="L32">
            <v>100000</v>
          </cell>
          <cell r="N32">
            <v>140000</v>
          </cell>
          <cell r="O32">
            <v>24975.806206516892</v>
          </cell>
          <cell r="P32">
            <v>24000</v>
          </cell>
          <cell r="Q32">
            <v>975.80620651689242</v>
          </cell>
          <cell r="R32">
            <v>700000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103000</v>
          </cell>
          <cell r="I33">
            <v>103000</v>
          </cell>
          <cell r="J33">
            <v>0</v>
          </cell>
          <cell r="N33">
            <v>0</v>
          </cell>
          <cell r="O33">
            <v>103000</v>
          </cell>
          <cell r="Q33">
            <v>103000</v>
          </cell>
          <cell r="R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524.13813217056111</v>
          </cell>
          <cell r="F34">
            <v>737500</v>
          </cell>
          <cell r="I34">
            <v>738024.13813217054</v>
          </cell>
          <cell r="J34">
            <v>0</v>
          </cell>
          <cell r="K34">
            <v>40000</v>
          </cell>
          <cell r="L34">
            <v>700000</v>
          </cell>
          <cell r="N34">
            <v>740000</v>
          </cell>
          <cell r="O34">
            <v>-1975.8618678294588</v>
          </cell>
          <cell r="R34">
            <v>698024.13813217054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130592.84770588134</v>
          </cell>
          <cell r="F35">
            <v>98000</v>
          </cell>
          <cell r="I35">
            <v>1143326.8477058813</v>
          </cell>
          <cell r="J35">
            <v>0</v>
          </cell>
          <cell r="K35">
            <v>40000</v>
          </cell>
          <cell r="L35">
            <v>100000</v>
          </cell>
          <cell r="N35">
            <v>140000</v>
          </cell>
          <cell r="O35">
            <v>1003326.8477058813</v>
          </cell>
          <cell r="Q35">
            <v>1003326.8477058813</v>
          </cell>
          <cell r="R35">
            <v>700000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143060.96984560182</v>
          </cell>
          <cell r="F36">
            <v>108000</v>
          </cell>
          <cell r="I36">
            <v>1308834.9698456018</v>
          </cell>
          <cell r="J36">
            <v>11000</v>
          </cell>
          <cell r="K36">
            <v>40000</v>
          </cell>
          <cell r="L36">
            <v>100000</v>
          </cell>
          <cell r="N36">
            <v>151000</v>
          </cell>
          <cell r="O36">
            <v>1157834.9698456018</v>
          </cell>
          <cell r="Q36">
            <v>1157834.9698456018</v>
          </cell>
          <cell r="R36">
            <v>700000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MODEVERSEMENT"/>
      <sheetName val="MODEPAID"/>
      <sheetName val="TONTAVRIL"/>
      <sheetName val="TONTMAI"/>
      <sheetName val="TONTJUIN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2019"/>
      <sheetName val="TONTMAI2019"/>
      <sheetName val="TONTJUIN2019"/>
      <sheetName val="TONTRES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M6">
            <v>336000</v>
          </cell>
        </row>
        <row r="32">
          <cell r="M32">
            <v>16000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/>
      <sheetData sheetId="1">
        <row r="59">
          <cell r="E59">
            <v>90000</v>
          </cell>
          <cell r="K59">
            <v>0</v>
          </cell>
        </row>
        <row r="60">
          <cell r="E60">
            <v>180000</v>
          </cell>
          <cell r="K60">
            <v>113500</v>
          </cell>
        </row>
      </sheetData>
      <sheetData sheetId="2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116000</v>
          </cell>
        </row>
      </sheetData>
      <sheetData sheetId="3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4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119000</v>
          </cell>
        </row>
      </sheetData>
      <sheetData sheetId="5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6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0</v>
          </cell>
        </row>
      </sheetData>
      <sheetData sheetId="7">
        <row r="59">
          <cell r="E59">
            <v>80000</v>
          </cell>
          <cell r="K59">
            <v>0</v>
          </cell>
        </row>
        <row r="60">
          <cell r="E60">
            <v>190000</v>
          </cell>
          <cell r="K60">
            <v>238000</v>
          </cell>
        </row>
      </sheetData>
      <sheetData sheetId="8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0</v>
          </cell>
        </row>
      </sheetData>
      <sheetData sheetId="9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0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1">
        <row r="59">
          <cell r="E59">
            <v>60000</v>
          </cell>
          <cell r="K59">
            <v>0</v>
          </cell>
        </row>
        <row r="60">
          <cell r="E60">
            <v>180000</v>
          </cell>
          <cell r="K60">
            <v>476000</v>
          </cell>
        </row>
      </sheetData>
      <sheetData sheetId="12">
        <row r="59">
          <cell r="E59">
            <v>60000</v>
          </cell>
          <cell r="K59">
            <v>0</v>
          </cell>
        </row>
        <row r="60">
          <cell r="E60">
            <v>160000</v>
          </cell>
          <cell r="K60">
            <v>714000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225000</v>
          </cell>
        </row>
      </sheetData>
      <sheetData sheetId="2">
        <row r="48">
          <cell r="E48">
            <v>80000</v>
          </cell>
          <cell r="K48">
            <v>0</v>
          </cell>
        </row>
        <row r="49">
          <cell r="E49">
            <v>500000</v>
          </cell>
          <cell r="K49">
            <v>476000</v>
          </cell>
        </row>
      </sheetData>
      <sheetData sheetId="3">
        <row r="48">
          <cell r="E48">
            <v>40000</v>
          </cell>
          <cell r="K48">
            <v>0</v>
          </cell>
        </row>
        <row r="49">
          <cell r="E49">
            <v>520000</v>
          </cell>
          <cell r="K49">
            <v>714000</v>
          </cell>
        </row>
      </sheetData>
      <sheetData sheetId="4">
        <row r="48">
          <cell r="E48">
            <v>80000</v>
          </cell>
          <cell r="K48">
            <v>0</v>
          </cell>
        </row>
        <row r="49">
          <cell r="E49">
            <v>460000</v>
          </cell>
          <cell r="K49">
            <v>238000</v>
          </cell>
        </row>
      </sheetData>
      <sheetData sheetId="5">
        <row r="48">
          <cell r="E48">
            <v>60000</v>
          </cell>
          <cell r="K48">
            <v>0</v>
          </cell>
        </row>
        <row r="49">
          <cell r="E49">
            <v>500000</v>
          </cell>
          <cell r="K49">
            <v>475000</v>
          </cell>
        </row>
      </sheetData>
      <sheetData sheetId="6">
        <row r="48">
          <cell r="E48">
            <v>120000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7">
        <row r="48">
          <cell r="E48">
            <v>140000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8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0</v>
          </cell>
        </row>
      </sheetData>
      <sheetData sheetId="9">
        <row r="48">
          <cell r="E48">
            <v>140000</v>
          </cell>
          <cell r="K48">
            <v>0</v>
          </cell>
        </row>
        <row r="49">
          <cell r="E49">
            <v>380000</v>
          </cell>
          <cell r="K49">
            <v>238000</v>
          </cell>
        </row>
      </sheetData>
      <sheetData sheetId="10">
        <row r="48">
          <cell r="E48">
            <v>140000</v>
          </cell>
          <cell r="K48">
            <v>0</v>
          </cell>
        </row>
        <row r="49">
          <cell r="E49">
            <v>400000</v>
          </cell>
          <cell r="K49">
            <v>1428000</v>
          </cell>
        </row>
      </sheetData>
      <sheetData sheetId="11">
        <row r="48">
          <cell r="E48">
            <v>160000</v>
          </cell>
          <cell r="K48">
            <v>0</v>
          </cell>
        </row>
        <row r="49">
          <cell r="E49">
            <v>360000</v>
          </cell>
          <cell r="K49">
            <v>237000</v>
          </cell>
        </row>
      </sheetData>
      <sheetData sheetId="12">
        <row r="48">
          <cell r="E48">
            <v>80000</v>
          </cell>
          <cell r="K48">
            <v>0</v>
          </cell>
        </row>
        <row r="49">
          <cell r="E49">
            <v>360000</v>
          </cell>
          <cell r="K49">
            <v>1426000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37">
          <cell r="E37">
            <v>120000</v>
          </cell>
          <cell r="K37">
            <v>0</v>
          </cell>
        </row>
        <row r="38">
          <cell r="E38">
            <v>360000</v>
          </cell>
          <cell r="K38">
            <v>345000</v>
          </cell>
        </row>
      </sheetData>
      <sheetData sheetId="2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3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661000</v>
          </cell>
        </row>
      </sheetData>
      <sheetData sheetId="4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342000</v>
          </cell>
        </row>
      </sheetData>
      <sheetData sheetId="5">
        <row r="37">
          <cell r="E37">
            <v>90000</v>
          </cell>
          <cell r="K37">
            <v>0</v>
          </cell>
        </row>
        <row r="38">
          <cell r="E38">
            <v>360000</v>
          </cell>
          <cell r="K38">
            <v>342000</v>
          </cell>
        </row>
      </sheetData>
      <sheetData sheetId="6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7">
        <row r="37">
          <cell r="E37">
            <v>150000</v>
          </cell>
          <cell r="K37">
            <v>0</v>
          </cell>
        </row>
        <row r="38">
          <cell r="E38">
            <v>270000</v>
          </cell>
          <cell r="K38">
            <v>0</v>
          </cell>
        </row>
      </sheetData>
      <sheetData sheetId="8">
        <row r="37">
          <cell r="E37">
            <v>180000</v>
          </cell>
          <cell r="K37">
            <v>0</v>
          </cell>
        </row>
        <row r="38">
          <cell r="E38">
            <v>270000</v>
          </cell>
          <cell r="K38">
            <v>357000</v>
          </cell>
        </row>
      </sheetData>
      <sheetData sheetId="9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0</v>
          </cell>
        </row>
      </sheetData>
      <sheetData sheetId="10">
        <row r="37">
          <cell r="E37">
            <v>120000</v>
          </cell>
          <cell r="K37">
            <v>0</v>
          </cell>
        </row>
        <row r="38">
          <cell r="E38">
            <v>300000</v>
          </cell>
          <cell r="K38">
            <v>357000</v>
          </cell>
        </row>
      </sheetData>
      <sheetData sheetId="11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714000</v>
          </cell>
        </row>
      </sheetData>
      <sheetData sheetId="12">
        <row r="37">
          <cell r="E37">
            <v>60000</v>
          </cell>
          <cell r="K37">
            <v>0</v>
          </cell>
        </row>
        <row r="38">
          <cell r="E38">
            <v>300000</v>
          </cell>
          <cell r="K38">
            <v>1071000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3">
          <cell r="E43">
            <v>300000</v>
          </cell>
          <cell r="K43">
            <v>0</v>
          </cell>
        </row>
        <row r="44">
          <cell r="E44">
            <v>950000</v>
          </cell>
          <cell r="K44">
            <v>557500</v>
          </cell>
        </row>
      </sheetData>
      <sheetData sheetId="2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3">
        <row r="43">
          <cell r="E43">
            <v>50000</v>
          </cell>
          <cell r="K43">
            <v>0</v>
          </cell>
        </row>
        <row r="44">
          <cell r="E44">
            <v>1200000</v>
          </cell>
          <cell r="K44">
            <v>1190000</v>
          </cell>
        </row>
      </sheetData>
      <sheetData sheetId="4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5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0</v>
          </cell>
        </row>
      </sheetData>
      <sheetData sheetId="6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7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1710000</v>
          </cell>
        </row>
      </sheetData>
      <sheetData sheetId="8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0</v>
          </cell>
        </row>
      </sheetData>
      <sheetData sheetId="9">
        <row r="43">
          <cell r="E43">
            <v>250000</v>
          </cell>
          <cell r="K43">
            <v>0</v>
          </cell>
        </row>
        <row r="44">
          <cell r="E44">
            <v>1000000</v>
          </cell>
          <cell r="K44">
            <v>595000</v>
          </cell>
        </row>
      </sheetData>
      <sheetData sheetId="10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2380000</v>
          </cell>
        </row>
      </sheetData>
      <sheetData sheetId="11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1780000</v>
          </cell>
        </row>
      </sheetData>
      <sheetData sheetId="12">
        <row r="43">
          <cell r="E43">
            <v>100000</v>
          </cell>
          <cell r="K43">
            <v>0</v>
          </cell>
        </row>
        <row r="44">
          <cell r="E44">
            <v>1000000</v>
          </cell>
          <cell r="K44">
            <v>2975000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  <sheetName val="TONTOCT (3)"/>
    </sheetNames>
    <sheetDataSet>
      <sheetData sheetId="0"/>
      <sheetData sheetId="1">
        <row r="31">
          <cell r="E31">
            <v>200000</v>
          </cell>
          <cell r="K31">
            <v>0</v>
          </cell>
        </row>
        <row r="32">
          <cell r="E32">
            <v>1100000</v>
          </cell>
          <cell r="K32">
            <v>1110000</v>
          </cell>
        </row>
      </sheetData>
      <sheetData sheetId="2">
        <row r="31">
          <cell r="E31">
            <v>100000</v>
          </cell>
        </row>
      </sheetData>
      <sheetData sheetId="3">
        <row r="31">
          <cell r="E31">
            <v>200000</v>
          </cell>
        </row>
      </sheetData>
      <sheetData sheetId="4">
        <row r="31">
          <cell r="E31">
            <v>200000</v>
          </cell>
        </row>
      </sheetData>
      <sheetData sheetId="5">
        <row r="31">
          <cell r="E31">
            <v>200000</v>
          </cell>
        </row>
      </sheetData>
      <sheetData sheetId="6">
        <row r="31">
          <cell r="E31">
            <v>300000</v>
          </cell>
        </row>
      </sheetData>
      <sheetData sheetId="7">
        <row r="31">
          <cell r="E31">
            <v>300000</v>
          </cell>
        </row>
      </sheetData>
      <sheetData sheetId="8">
        <row r="31">
          <cell r="E31">
            <v>200000</v>
          </cell>
        </row>
      </sheetData>
      <sheetData sheetId="9">
        <row r="31">
          <cell r="E31">
            <v>200000</v>
          </cell>
        </row>
      </sheetData>
      <sheetData sheetId="10">
        <row r="31">
          <cell r="E31">
            <v>200000</v>
          </cell>
        </row>
      </sheetData>
      <sheetData sheetId="11">
        <row r="31">
          <cell r="E31">
            <v>200000</v>
          </cell>
        </row>
      </sheetData>
      <sheetData sheetId="12">
        <row r="31">
          <cell r="E31">
            <v>400000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GESTIONINTERET"/>
    </sheetNames>
    <sheetDataSet>
      <sheetData sheetId="0">
        <row r="1">
          <cell r="A1" t="str">
            <v>BANQUE</v>
          </cell>
        </row>
      </sheetData>
      <sheetData sheetId="1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1685000</v>
          </cell>
        </row>
      </sheetData>
      <sheetData sheetId="2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1685000</v>
          </cell>
        </row>
      </sheetData>
      <sheetData sheetId="3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3565000</v>
          </cell>
        </row>
      </sheetData>
      <sheetData sheetId="4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1785000</v>
          </cell>
        </row>
      </sheetData>
      <sheetData sheetId="5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3570000</v>
          </cell>
        </row>
      </sheetData>
      <sheetData sheetId="6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0</v>
          </cell>
        </row>
      </sheetData>
      <sheetData sheetId="7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3530000</v>
          </cell>
        </row>
      </sheetData>
      <sheetData sheetId="8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1785000</v>
          </cell>
        </row>
      </sheetData>
      <sheetData sheetId="9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0</v>
          </cell>
        </row>
      </sheetData>
      <sheetData sheetId="10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3570000</v>
          </cell>
        </row>
      </sheetData>
      <sheetData sheetId="11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0</v>
          </cell>
        </row>
      </sheetData>
      <sheetData sheetId="12">
        <row r="34">
          <cell r="E34">
            <v>600000</v>
          </cell>
          <cell r="K34">
            <v>0</v>
          </cell>
        </row>
        <row r="35">
          <cell r="E35">
            <v>1650000</v>
          </cell>
          <cell r="K35">
            <v>5355000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MARS21"/>
      <sheetName val="TONTAVRIL21"/>
      <sheetName val="TONTMAI21"/>
      <sheetName val="TONTJUIN21"/>
      <sheetName val="TONTJUIL21"/>
      <sheetName val="TONTAOUT21"/>
      <sheetName val="TONTSEPT21"/>
      <sheetName val="TONTOCT21"/>
      <sheetName val="TONTNOV21"/>
      <sheetName val="TONTDEC21"/>
      <sheetName val="TONTRESUME21"/>
      <sheetName val="DEFAILLANCETONTINE"/>
    </sheetNames>
    <sheetDataSet>
      <sheetData sheetId="0"/>
      <sheetData sheetId="1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  <cell r="Q7">
            <v>257000</v>
          </cell>
          <cell r="R7">
            <v>43000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38000</v>
          </cell>
          <cell r="F8">
            <v>3000</v>
          </cell>
          <cell r="G8" t="str">
            <v>ESPECES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48000</v>
          </cell>
          <cell r="F9">
            <v>0</v>
          </cell>
          <cell r="G9" t="str">
            <v>BANQUE</v>
          </cell>
          <cell r="H9">
            <v>30000</v>
          </cell>
          <cell r="I9">
            <v>1000</v>
          </cell>
          <cell r="J9" t="str">
            <v>BANQUE</v>
          </cell>
          <cell r="K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35000</v>
          </cell>
          <cell r="F10">
            <v>0</v>
          </cell>
          <cell r="G10" t="str">
            <v>BANQUE</v>
          </cell>
          <cell r="H10">
            <v>31000</v>
          </cell>
          <cell r="I10">
            <v>1500</v>
          </cell>
          <cell r="J10" t="str">
            <v>ESPECES</v>
          </cell>
          <cell r="K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AS201610</v>
          </cell>
          <cell r="B13">
            <v>0</v>
          </cell>
          <cell r="C13" t="str">
            <v>FOTSO THOMAS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23000</v>
          </cell>
          <cell r="E14">
            <v>30000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23000</v>
          </cell>
          <cell r="E15">
            <v>65000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23000</v>
          </cell>
          <cell r="E16">
            <v>38000</v>
          </cell>
          <cell r="F16">
            <v>3000</v>
          </cell>
          <cell r="G16" t="str">
            <v>ESPECES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23000</v>
          </cell>
          <cell r="E17">
            <v>38000</v>
          </cell>
          <cell r="F17">
            <v>3000</v>
          </cell>
          <cell r="G17" t="str">
            <v>ESPECES</v>
          </cell>
          <cell r="H17">
            <v>70000</v>
          </cell>
          <cell r="I17">
            <v>2000</v>
          </cell>
          <cell r="J17" t="str">
            <v>BANQUE</v>
          </cell>
          <cell r="K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23000</v>
          </cell>
          <cell r="E19">
            <v>35000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23000</v>
          </cell>
          <cell r="E21">
            <v>30000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23000</v>
          </cell>
          <cell r="E22">
            <v>37000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23000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23000</v>
          </cell>
          <cell r="E24">
            <v>38000</v>
          </cell>
          <cell r="F24">
            <v>3000</v>
          </cell>
          <cell r="G24" t="str">
            <v>ESPECES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23000</v>
          </cell>
          <cell r="E25">
            <v>38000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 t="str">
            <v>ECHEC</v>
          </cell>
          <cell r="O25" t="str">
            <v>BANQUE</v>
          </cell>
          <cell r="P25">
            <v>0</v>
          </cell>
          <cell r="Q25">
            <v>256000</v>
          </cell>
          <cell r="R25">
            <v>44000</v>
          </cell>
        </row>
        <row r="26">
          <cell r="A26" t="str">
            <v>AS201629</v>
          </cell>
          <cell r="B26">
            <v>1</v>
          </cell>
          <cell r="C26" t="str">
            <v>NKEPSEU DIEUDONNE</v>
          </cell>
          <cell r="D26">
            <v>23000</v>
          </cell>
          <cell r="E26">
            <v>35000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AS201653</v>
          </cell>
          <cell r="B28">
            <v>1</v>
          </cell>
          <cell r="C28" t="str">
            <v>SIME BRICE</v>
          </cell>
          <cell r="D28">
            <v>23000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AS201637</v>
          </cell>
          <cell r="B29">
            <v>1</v>
          </cell>
          <cell r="C29" t="str">
            <v>SIME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AS201636</v>
          </cell>
          <cell r="B30">
            <v>1</v>
          </cell>
          <cell r="C30" t="str">
            <v>SIMO FONGANG ERIC</v>
          </cell>
          <cell r="D30">
            <v>23000</v>
          </cell>
          <cell r="E30">
            <v>30000</v>
          </cell>
          <cell r="F30">
            <v>3000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AS201638</v>
          </cell>
          <cell r="B31">
            <v>1</v>
          </cell>
          <cell r="C31" t="str">
            <v>SIMO PIERRE</v>
          </cell>
          <cell r="D31">
            <v>23000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AS201641</v>
          </cell>
          <cell r="B32">
            <v>1</v>
          </cell>
          <cell r="C32" t="str">
            <v>TCHOUAMOU MATHIEU</v>
          </cell>
          <cell r="D32">
            <v>23000</v>
          </cell>
          <cell r="E32">
            <v>35000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AS201646</v>
          </cell>
          <cell r="B33">
            <v>1</v>
          </cell>
          <cell r="C33" t="str">
            <v>YEPMOU JEAN JACQUES</v>
          </cell>
          <cell r="D33">
            <v>23000</v>
          </cell>
          <cell r="E33">
            <v>35000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AS201647</v>
          </cell>
          <cell r="B34">
            <v>1</v>
          </cell>
          <cell r="C34" t="str">
            <v>YOUMBI EMMANUEL</v>
          </cell>
          <cell r="D34">
            <v>23000</v>
          </cell>
          <cell r="E34">
            <v>30000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7">
          <cell r="B37">
            <v>27</v>
          </cell>
          <cell r="C37">
            <v>0</v>
          </cell>
          <cell r="D37">
            <v>644000</v>
          </cell>
          <cell r="E37">
            <v>1005000</v>
          </cell>
          <cell r="F37">
            <v>18000</v>
          </cell>
          <cell r="H37">
            <v>131000</v>
          </cell>
          <cell r="I37">
            <v>4500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513000</v>
          </cell>
          <cell r="R37">
            <v>87000</v>
          </cell>
        </row>
        <row r="39">
          <cell r="D39" t="str">
            <v>MONTANT TONTINE</v>
          </cell>
          <cell r="E39" t="str">
            <v>MONTANT VERSE</v>
          </cell>
          <cell r="G39" t="str">
            <v>REMBOURSEMENT PETIT LOT</v>
          </cell>
          <cell r="H39" t="str">
            <v>VENTE PETIT LOT</v>
          </cell>
          <cell r="I39" t="str">
            <v>VENTE LOT PRINCIPAL</v>
          </cell>
          <cell r="J39" t="str">
            <v>SOLDE EN CAISSE</v>
          </cell>
          <cell r="L39" t="str">
            <v>TONTINE + REMB + INTERET VENTE</v>
          </cell>
          <cell r="M39">
            <v>731000</v>
          </cell>
          <cell r="N39" t="str">
            <v>NBRE PART</v>
          </cell>
        </row>
        <row r="40">
          <cell r="D40">
            <v>138000</v>
          </cell>
          <cell r="E40">
            <v>220000</v>
          </cell>
          <cell r="F40" t="str">
            <v>ESPECES</v>
          </cell>
          <cell r="G40">
            <v>0</v>
          </cell>
          <cell r="H40">
            <v>31000</v>
          </cell>
          <cell r="I40">
            <v>0</v>
          </cell>
          <cell r="J40">
            <v>107000</v>
          </cell>
          <cell r="L40" t="str">
            <v>LOT PRINCIPAL</v>
          </cell>
          <cell r="M40">
            <v>600000</v>
          </cell>
          <cell r="N40">
            <v>2</v>
          </cell>
        </row>
        <row r="41">
          <cell r="D41">
            <v>506000</v>
          </cell>
          <cell r="E41">
            <v>785000</v>
          </cell>
          <cell r="F41" t="str">
            <v>BANQUE</v>
          </cell>
          <cell r="G41">
            <v>0</v>
          </cell>
          <cell r="H41">
            <v>100000</v>
          </cell>
          <cell r="I41">
            <v>513000</v>
          </cell>
          <cell r="J41">
            <v>-107000</v>
          </cell>
        </row>
      </sheetData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/>
      <sheetData sheetId="6"/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workbookViewId="0">
      <pane xSplit="2" ySplit="5" topLeftCell="N6" activePane="bottomRight" state="frozen"/>
      <selection activeCell="B43" sqref="B43"/>
      <selection pane="topRight" activeCell="B43" sqref="B43"/>
      <selection pane="bottomLeft" activeCell="B43" sqref="B43"/>
      <selection pane="bottomRight" activeCell="R6" sqref="R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30" max="30" width="12.42578125" bestFit="1" customWidth="1"/>
  </cols>
  <sheetData>
    <row r="1" spans="1:32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25">
      <c r="A3" s="1" t="s">
        <v>3</v>
      </c>
      <c r="B3" s="5"/>
      <c r="C3" s="5"/>
      <c r="D3" s="5"/>
      <c r="E3" s="5"/>
      <c r="F3" s="5"/>
      <c r="G3" s="5"/>
      <c r="H3" s="5"/>
    </row>
    <row r="4" spans="1:32" ht="26.25" x14ac:dyDescent="0.4">
      <c r="B4" s="16"/>
      <c r="C4" s="16"/>
      <c r="D4" s="16"/>
      <c r="E4" s="16"/>
      <c r="F4" s="16"/>
      <c r="G4" s="16"/>
      <c r="H4" s="16"/>
      <c r="I4" s="102"/>
      <c r="J4" s="157">
        <v>44578</v>
      </c>
      <c r="K4" s="157"/>
      <c r="L4" s="157"/>
      <c r="M4" s="157"/>
      <c r="N4" s="157"/>
      <c r="O4" s="157"/>
      <c r="P4"/>
      <c r="Q4"/>
    </row>
    <row r="5" spans="1:32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4" t="s">
        <v>255</v>
      </c>
    </row>
    <row r="6" spans="1:32" x14ac:dyDescent="0.25">
      <c r="A6" s="1" t="s">
        <v>16</v>
      </c>
      <c r="B6" s="1" t="str">
        <f>VLOOKUP(A6,[15]LISTADHERENT!$A$5:$J$50,3,0)</f>
        <v>ASELBY</v>
      </c>
      <c r="C6" s="5">
        <f>MVTJANV23!C6</f>
        <v>0</v>
      </c>
      <c r="D6" s="5">
        <f>MVTJANV23!D6</f>
        <v>816543.52134848095</v>
      </c>
      <c r="E6" s="36"/>
      <c r="F6" s="5">
        <f>C6+D6-E6+K6</f>
        <v>816543.52134848095</v>
      </c>
      <c r="G6" s="6" t="e">
        <f t="shared" ref="G6:G36" si="0">$S$40/$H$40*H6</f>
        <v>#REF!</v>
      </c>
      <c r="H6" s="6">
        <f>F6+D6+K6</f>
        <v>1633087.0426969619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25">
      <c r="A7" s="1" t="s">
        <v>17</v>
      </c>
      <c r="B7" s="1" t="str">
        <f>VLOOKUP(A7,[15]LISTADHERENT!$A$5:$J$50,3,0)</f>
        <v>BAKOP ACHILLE</v>
      </c>
      <c r="C7" s="5">
        <f>MVTJANV23!C7</f>
        <v>0</v>
      </c>
      <c r="D7" s="5">
        <f>MVTJANV23!D7</f>
        <v>0</v>
      </c>
      <c r="E7" s="36"/>
      <c r="F7" s="5">
        <f t="shared" ref="F7:F36" si="1">C7+D7-E7+K7</f>
        <v>0</v>
      </c>
      <c r="G7" s="6" t="e">
        <f t="shared" si="0"/>
        <v>#REF!</v>
      </c>
      <c r="H7" s="6">
        <f t="shared" ref="H7:H36" si="2">F7+D7+K7</f>
        <v>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4000</v>
      </c>
      <c r="Z7" s="36"/>
      <c r="AA7" s="36"/>
      <c r="AB7" s="36"/>
      <c r="AC7" s="36"/>
      <c r="AD7" s="36"/>
      <c r="AE7" s="2"/>
      <c r="AF7" s="2"/>
    </row>
    <row r="8" spans="1:32" x14ac:dyDescent="0.25">
      <c r="A8" s="1" t="s">
        <v>19</v>
      </c>
      <c r="B8" s="1" t="str">
        <f>VLOOKUP(A8,[15]LISTADHERENT!$A$5:$J$50,3,0)</f>
        <v>BOUTCHOUANG WILLIAM</v>
      </c>
      <c r="C8" s="5">
        <f>MVTJANV23!C8</f>
        <v>600000</v>
      </c>
      <c r="D8" s="5">
        <f>MVTJANV23!D8</f>
        <v>7024</v>
      </c>
      <c r="E8" s="36"/>
      <c r="F8" s="5">
        <f t="shared" si="1"/>
        <v>610024</v>
      </c>
      <c r="G8" s="6" t="e">
        <f t="shared" si="0"/>
        <v>#REF!</v>
      </c>
      <c r="H8" s="6">
        <f t="shared" si="2"/>
        <v>620048</v>
      </c>
      <c r="I8" s="36">
        <f>VLOOKUP($A8,[16]HISTOJANV22!$A$6:$AQ$37,22,0)</f>
        <v>0</v>
      </c>
      <c r="J8" s="36">
        <f>VLOOKUP($A8,[16]HISTOJANV22!$A$6:$AU$39,45,0)</f>
        <v>7000</v>
      </c>
      <c r="K8" s="36">
        <f t="shared" ref="K8:K36" si="3">IF(J8=0,0,J8-(L8+M8+N8))</f>
        <v>3000</v>
      </c>
      <c r="L8" s="36">
        <f t="shared" ref="L8:L36" si="4">IF(J8=0,0,500)</f>
        <v>500</v>
      </c>
      <c r="M8" s="36">
        <f t="shared" ref="M8:M36" si="5">IF(J8=0,0,1000)</f>
        <v>1000</v>
      </c>
      <c r="N8" s="36">
        <f t="shared" ref="N8:N36" si="6">IF(J8=0,0,2500)</f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525000</v>
      </c>
      <c r="S8" s="36">
        <f t="shared" ref="S8:S36" si="7">R8*12/1200*12</f>
        <v>63000</v>
      </c>
      <c r="T8" s="36">
        <f>VLOOKUP($A8,[16]HISTOJANV22!$A$6:$AU$39,28,0)</f>
        <v>0</v>
      </c>
      <c r="U8" s="36">
        <f>VLOOKUP($A8,[16]HISTOJANV22!$A$6:$AU$39,19,0)</f>
        <v>0</v>
      </c>
      <c r="V8" s="36">
        <f>VLOOKUP($A8,[16]HISTOJANV22!$A$6:$AU$39,20,0)</f>
        <v>0</v>
      </c>
      <c r="W8" s="36">
        <f>VLOOKUP($A8,[16]HISTOJANV22!$A$6:$AU$39,27,0)</f>
        <v>0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25">
      <c r="A9" s="1" t="s">
        <v>23</v>
      </c>
      <c r="B9" s="1" t="str">
        <f>VLOOKUP(A9,[15]LISTADHERENT!$A$5:$J$50,3,0)</f>
        <v xml:space="preserve">DJOMO JEAN PAUL </v>
      </c>
      <c r="C9" s="5">
        <f>MVTJANV23!C9</f>
        <v>600000</v>
      </c>
      <c r="D9" s="5">
        <f>MVTJANV23!D9</f>
        <v>4810</v>
      </c>
      <c r="E9" s="36"/>
      <c r="F9" s="5">
        <f t="shared" si="1"/>
        <v>652810</v>
      </c>
      <c r="G9" s="6" t="e">
        <f t="shared" si="0"/>
        <v>#REF!</v>
      </c>
      <c r="H9" s="6">
        <f t="shared" si="2"/>
        <v>705620</v>
      </c>
      <c r="I9" s="36">
        <f>VLOOKUP($A9,[16]HISTOJANV22!$A$6:$AQ$37,22,0)</f>
        <v>0</v>
      </c>
      <c r="J9" s="36">
        <f>VLOOKUP($A9,[16]HISTOJANV22!$A$6:$AU$39,45,0)</f>
        <v>52000</v>
      </c>
      <c r="K9" s="36">
        <f t="shared" si="3"/>
        <v>48000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1000000</v>
      </c>
      <c r="S9" s="36">
        <f t="shared" si="7"/>
        <v>120000</v>
      </c>
      <c r="T9" s="36" t="str">
        <f>VLOOKUP($A9,[16]HISTOJANV22!$A$6:$AU$39,28,0)</f>
        <v>OKK</v>
      </c>
      <c r="U9" s="36">
        <f>VLOOKUP($A9,[16]HISTOJANV22!$A$6:$AU$39,19,0)</f>
        <v>0</v>
      </c>
      <c r="V9" s="36">
        <f>VLOOKUP($A9,[16]HISTOJANV22!$A$6:$AU$39,20,0)</f>
        <v>0</v>
      </c>
      <c r="W9" s="36" t="str">
        <f>VLOOKUP($A9,[16]HISTOJANV22!$A$6:$AU$39,27,0)</f>
        <v>BANQUE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25">
      <c r="A10" s="1" t="s">
        <v>154</v>
      </c>
      <c r="B10" s="1" t="str">
        <f>VLOOKUP(A10,[15]LISTADHERENT!$A$5:$J$50,3,0)</f>
        <v>DJOMOU TCHAPDA</v>
      </c>
      <c r="C10" s="5">
        <f>MVTJANV23!C10</f>
        <v>600000</v>
      </c>
      <c r="D10" s="5">
        <f>MVTJANV23!D10</f>
        <v>48710</v>
      </c>
      <c r="E10" s="36"/>
      <c r="F10" s="5">
        <f t="shared" si="1"/>
        <v>651710</v>
      </c>
      <c r="G10" s="6" t="e">
        <f t="shared" si="0"/>
        <v>#REF!</v>
      </c>
      <c r="H10" s="6">
        <f t="shared" si="2"/>
        <v>703420</v>
      </c>
      <c r="I10" s="36">
        <f>VLOOKUP($A10,[16]HISTOJANV22!$A$6:$AQ$37,22,0)</f>
        <v>0</v>
      </c>
      <c r="J10" s="36">
        <f>VLOOKUP($A10,[16]HISTOJANV22!$A$6:$AU$39,45,0)</f>
        <v>7000</v>
      </c>
      <c r="K10" s="36">
        <f t="shared" si="3"/>
        <v>3000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 t="e">
        <f>VLOOKUP($A10,[16]HISTODEC21!$A$6:$AU$39,26,0)</f>
        <v>#REF!</v>
      </c>
      <c r="S10" s="36" t="e">
        <f>R10*1/1200*12</f>
        <v>#REF!</v>
      </c>
      <c r="T10" s="36">
        <f>VLOOKUP($A10,[16]HISTOJANV22!$A$6:$AU$39,28,0)</f>
        <v>0</v>
      </c>
      <c r="U10" s="36">
        <f>VLOOKUP($A10,[16]HISTOJANV22!$A$6:$AU$39,19,0)</f>
        <v>0</v>
      </c>
      <c r="V10" s="36">
        <f>VLOOKUP($A10,[16]HISTOJANV22!$A$6:$AU$39,20,0)</f>
        <v>0</v>
      </c>
      <c r="W10" s="36">
        <f>VLOOKUP($A10,[16]HISTOJANV22!$A$6:$AU$39,27,0)</f>
        <v>0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25">
      <c r="A11" s="1" t="s">
        <v>24</v>
      </c>
      <c r="B11" s="1" t="str">
        <f>VLOOKUP(A11,[15]LISTADHERENT!$A$5:$J$50,3,0)</f>
        <v>DJOUKWE NANGUEN GUY BLAISE</v>
      </c>
      <c r="C11" s="5">
        <f>MVTJANV23!C11</f>
        <v>600000</v>
      </c>
      <c r="D11" s="5">
        <f>MVTJANV23!D11</f>
        <v>4750</v>
      </c>
      <c r="E11" s="36"/>
      <c r="F11" s="5">
        <f t="shared" si="1"/>
        <v>612750</v>
      </c>
      <c r="G11" s="6" t="e">
        <f t="shared" si="0"/>
        <v>#REF!</v>
      </c>
      <c r="H11" s="6">
        <f t="shared" si="2"/>
        <v>625500</v>
      </c>
      <c r="I11" s="36">
        <f>VLOOKUP($A11,[16]HISTOJANV22!$A$6:$AQ$37,22,0)</f>
        <v>0</v>
      </c>
      <c r="J11" s="36">
        <f>VLOOKUP($A11,[16]HISTOJANV22!$A$6:$AU$39,45,0)</f>
        <v>12000</v>
      </c>
      <c r="K11" s="36">
        <f t="shared" si="3"/>
        <v>8000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1000000</v>
      </c>
      <c r="S11" s="36">
        <f>R11*1/1200*12</f>
        <v>10000</v>
      </c>
      <c r="T11" s="36" t="str">
        <f>VLOOKUP($A11,[16]HISTOJANV22!$A$6:$AU$39,28,0)</f>
        <v>OKK</v>
      </c>
      <c r="U11" s="36">
        <f>VLOOKUP($A11,[16]HISTOJANV22!$A$6:$AU$39,19,0)</f>
        <v>0</v>
      </c>
      <c r="V11" s="36">
        <f>VLOOKUP($A11,[16]HISTOJANV22!$A$6:$AU$39,20,0)</f>
        <v>0</v>
      </c>
      <c r="W11" s="36" t="str">
        <f>VLOOKUP($A11,[16]HISTOJANV22!$A$6:$AU$39,27,0)</f>
        <v>BANQUE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0</v>
      </c>
      <c r="AE11" s="2"/>
      <c r="AF11" s="2"/>
    </row>
    <row r="12" spans="1:32" x14ac:dyDescent="0.25">
      <c r="A12" s="1" t="s">
        <v>25</v>
      </c>
      <c r="B12" s="1" t="str">
        <f>VLOOKUP(A12,[15]LISTADHERENT!$A$5:$J$50,3,0)</f>
        <v>DJUOMBESSY ANTOINE</v>
      </c>
      <c r="C12" s="5">
        <f>MVTJANV23!C12</f>
        <v>600000</v>
      </c>
      <c r="D12" s="5">
        <f>MVTJANV23!D12</f>
        <v>10719</v>
      </c>
      <c r="E12" s="36"/>
      <c r="F12" s="5">
        <f t="shared" si="1"/>
        <v>613719</v>
      </c>
      <c r="G12" s="6" t="e">
        <f t="shared" si="0"/>
        <v>#REF!</v>
      </c>
      <c r="H12" s="6">
        <f t="shared" si="2"/>
        <v>627438</v>
      </c>
      <c r="I12" s="36">
        <f>VLOOKUP($A12,[16]HISTOJANV22!$A$6:$AQ$37,22,0)</f>
        <v>0</v>
      </c>
      <c r="J12" s="36">
        <f>VLOOKUP($A12,[16]HISTOJANV22!$A$6:$AU$39,45,0)</f>
        <v>7000</v>
      </c>
      <c r="K12" s="36">
        <f t="shared" si="3"/>
        <v>3000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1029000</v>
      </c>
      <c r="S12" s="36">
        <f t="shared" si="7"/>
        <v>123480</v>
      </c>
      <c r="T12" s="36">
        <f>VLOOKUP($A12,[16]HISTOJANV22!$A$6:$AU$39,28,0)</f>
        <v>0</v>
      </c>
      <c r="U12" s="36">
        <f>VLOOKUP($A12,[16]HISTOJANV22!$A$6:$AU$39,19,0)</f>
        <v>1000000</v>
      </c>
      <c r="V12" s="36" t="str">
        <f>VLOOKUP($A12,[16]HISTOJANV22!$A$6:$AU$39,20,0)</f>
        <v>BANQUE</v>
      </c>
      <c r="W12" s="36">
        <f>VLOOKUP($A12,[16]HISTOJANV22!$A$6:$AU$39,27,0)</f>
        <v>0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61000</v>
      </c>
      <c r="AE12" s="2"/>
      <c r="AF12" s="2"/>
    </row>
    <row r="13" spans="1:32" x14ac:dyDescent="0.25">
      <c r="A13" s="1" t="s">
        <v>79</v>
      </c>
      <c r="B13" s="1" t="str">
        <f>VLOOKUP(A13,[15]LISTADHERENT!$A$5:$J$50,3,0)</f>
        <v>DOMOU FABIEN</v>
      </c>
      <c r="C13" s="5">
        <f>MVTJANV23!C13</f>
        <v>600000</v>
      </c>
      <c r="D13" s="5">
        <f>MVTJANV23!D13</f>
        <v>584</v>
      </c>
      <c r="E13" s="36"/>
      <c r="F13" s="5">
        <f t="shared" si="1"/>
        <v>608584</v>
      </c>
      <c r="G13" s="6" t="e">
        <f t="shared" si="0"/>
        <v>#REF!</v>
      </c>
      <c r="H13" s="6">
        <f t="shared" si="2"/>
        <v>617168</v>
      </c>
      <c r="I13" s="36">
        <f>VLOOKUP($A13,[16]HISTOJANV22!$A$6:$AQ$37,22,0)</f>
        <v>0</v>
      </c>
      <c r="J13" s="36">
        <f>VLOOKUP($A13,[16]HISTOJANV22!$A$6:$AU$39,45,0)</f>
        <v>12000</v>
      </c>
      <c r="K13" s="36">
        <f t="shared" si="3"/>
        <v>8000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1000000</v>
      </c>
      <c r="S13" s="36">
        <f t="shared" si="7"/>
        <v>120000</v>
      </c>
      <c r="T13" s="36" t="str">
        <f>VLOOKUP($A13,[16]HISTOJANV22!$A$6:$AU$39,28,0)</f>
        <v>OKK</v>
      </c>
      <c r="U13" s="36">
        <f>VLOOKUP($A13,[16]HISTOJANV22!$A$6:$AU$39,19,0)</f>
        <v>0</v>
      </c>
      <c r="V13" s="36">
        <f>VLOOKUP($A13,[16]HISTOJANV22!$A$6:$AU$39,20,0)</f>
        <v>0</v>
      </c>
      <c r="W13" s="36" t="str">
        <f>VLOOKUP($A13,[16]HISTOJANV22!$A$6:$AU$39,27,0)</f>
        <v>BANQUE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57000</v>
      </c>
      <c r="AE13" s="2"/>
      <c r="AF13" s="2"/>
    </row>
    <row r="14" spans="1:32" x14ac:dyDescent="0.25">
      <c r="A14" s="1" t="s">
        <v>26</v>
      </c>
      <c r="B14" s="1" t="str">
        <f>VLOOKUP(A14,[15]LISTADHERENT!$A$5:$J$50,3,0)</f>
        <v>DONHOU DAVID</v>
      </c>
      <c r="C14" s="5">
        <f>MVTJANV23!C14</f>
        <v>600000</v>
      </c>
      <c r="D14" s="5">
        <f>MVTJANV23!D14</f>
        <v>458343</v>
      </c>
      <c r="E14" s="36"/>
      <c r="F14" s="5">
        <f t="shared" si="1"/>
        <v>1061343</v>
      </c>
      <c r="G14" s="6" t="e">
        <f t="shared" si="0"/>
        <v>#REF!</v>
      </c>
      <c r="H14" s="6">
        <f t="shared" si="2"/>
        <v>1522686</v>
      </c>
      <c r="I14" s="36">
        <f>VLOOKUP($A14,[16]HISTOJANV22!$A$6:$AQ$37,22,0)</f>
        <v>0</v>
      </c>
      <c r="J14" s="36">
        <f>VLOOKUP($A14,[16]HISTOJANV22!$A$6:$AU$39,45,0)</f>
        <v>7000</v>
      </c>
      <c r="K14" s="36">
        <f t="shared" si="3"/>
        <v>3000</v>
      </c>
      <c r="L14" s="36">
        <f t="shared" si="4"/>
        <v>500</v>
      </c>
      <c r="M14" s="36">
        <f t="shared" si="5"/>
        <v>1000</v>
      </c>
      <c r="N14" s="36">
        <f t="shared" si="6"/>
        <v>2500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 t="e">
        <f>VLOOKUP($A14,[16]HISTODEC21!$A$6:$AU$39,26,0)</f>
        <v>#REF!</v>
      </c>
      <c r="S14" s="36" t="e">
        <f>R14*0/1200*12</f>
        <v>#REF!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>
        <f>VLOOKUP($A14,[16]HISTOJANV22!$A$6:$AU$39,27,0)</f>
        <v>0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70000</v>
      </c>
      <c r="AE14" s="2"/>
      <c r="AF14" s="2"/>
    </row>
    <row r="15" spans="1:32" ht="14.25" customHeight="1" x14ac:dyDescent="0.25">
      <c r="A15" s="1" t="s">
        <v>28</v>
      </c>
      <c r="B15" s="1" t="str">
        <f>VLOOKUP(A15,[15]LISTADHERENT!$A$5:$J$50,3,0)</f>
        <v>HENGUE PAUL OMER</v>
      </c>
      <c r="C15" s="5">
        <f>MVTJANV23!C15</f>
        <v>600000</v>
      </c>
      <c r="D15" s="5">
        <f>MVTJANV23!D15</f>
        <v>51112</v>
      </c>
      <c r="E15" s="36"/>
      <c r="F15" s="5">
        <f t="shared" si="1"/>
        <v>654112</v>
      </c>
      <c r="G15" s="6" t="e">
        <f t="shared" si="0"/>
        <v>#REF!</v>
      </c>
      <c r="H15" s="6">
        <f t="shared" si="2"/>
        <v>708224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 t="e">
        <f>VLOOKUP($A15,[16]HISTODEC21!$A$6:$AU$39,26,0)</f>
        <v>#REF!</v>
      </c>
      <c r="S15" s="36" t="e">
        <f t="shared" si="7"/>
        <v>#REF!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25">
      <c r="A16" s="1" t="s">
        <v>29</v>
      </c>
      <c r="B16" s="1" t="str">
        <f>VLOOKUP(A16,[15]LISTADHERENT!$A$5:$J$50,3,0)</f>
        <v>HOTCHO BENJAMIN</v>
      </c>
      <c r="C16" s="5">
        <f>MVTJANV23!C16</f>
        <v>600000</v>
      </c>
      <c r="D16" s="5">
        <f>MVTJANV23!D16</f>
        <v>16230</v>
      </c>
      <c r="E16" s="36"/>
      <c r="F16" s="5">
        <f t="shared" si="1"/>
        <v>664230</v>
      </c>
      <c r="G16" s="6" t="e">
        <f t="shared" si="0"/>
        <v>#REF!</v>
      </c>
      <c r="H16" s="6">
        <f t="shared" si="2"/>
        <v>728460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 t="e">
        <f>VLOOKUP($A16,[16]HISTODEC21!$A$6:$AU$39,26,0)</f>
        <v>#REF!</v>
      </c>
      <c r="S16" s="36" t="e">
        <f t="shared" si="7"/>
        <v>#REF!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25">
      <c r="A17" s="1" t="s">
        <v>33</v>
      </c>
      <c r="B17" s="1" t="str">
        <f>VLOOKUP(A17,[15]LISTADHERENT!$A$5:$J$50,3,0)</f>
        <v>KOUAMOU MOISE</v>
      </c>
      <c r="C17" s="5">
        <f>MVTJANV23!C17</f>
        <v>600000</v>
      </c>
      <c r="D17" s="5">
        <f>MVTJANV23!D17</f>
        <v>53293</v>
      </c>
      <c r="E17" s="36"/>
      <c r="F17" s="5">
        <f t="shared" si="1"/>
        <v>656293</v>
      </c>
      <c r="G17" s="6" t="e">
        <f t="shared" si="0"/>
        <v>#REF!</v>
      </c>
      <c r="H17" s="6">
        <f t="shared" si="2"/>
        <v>712586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 t="e">
        <f>VLOOKUP($A17,[16]HISTODEC21!$A$6:$AU$39,26,0)</f>
        <v>#REF!</v>
      </c>
      <c r="S17" s="36" t="e">
        <f t="shared" si="7"/>
        <v>#REF!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25">
      <c r="A18" s="1" t="s">
        <v>35</v>
      </c>
      <c r="B18" s="1" t="str">
        <f>VLOOKUP(A18,[15]LISTADHERENT!$A$5:$J$50,3,0)</f>
        <v>KOUATCHO MESSACK</v>
      </c>
      <c r="C18" s="5">
        <f>MVTJANV23!C18</f>
        <v>600000</v>
      </c>
      <c r="D18" s="5">
        <f>MVTJANV23!D18</f>
        <v>6459</v>
      </c>
      <c r="E18" s="36"/>
      <c r="F18" s="5">
        <f t="shared" si="1"/>
        <v>609459</v>
      </c>
      <c r="G18" s="6" t="e">
        <f t="shared" si="0"/>
        <v>#REF!</v>
      </c>
      <c r="H18" s="6">
        <f t="shared" si="2"/>
        <v>618918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25">
      <c r="A19" s="1" t="s">
        <v>36</v>
      </c>
      <c r="B19" s="1" t="str">
        <f>VLOOKUP(A19,[15]LISTADHERENT!$A$5:$J$50,3,0)</f>
        <v>LOWE JEAN</v>
      </c>
      <c r="C19" s="5">
        <f>MVTJANV23!C19</f>
        <v>600000</v>
      </c>
      <c r="D19" s="5">
        <f>MVTJANV23!D19</f>
        <v>746</v>
      </c>
      <c r="E19" s="36"/>
      <c r="F19" s="5">
        <f t="shared" si="1"/>
        <v>603746</v>
      </c>
      <c r="G19" s="6" t="e">
        <f t="shared" si="0"/>
        <v>#REF!</v>
      </c>
      <c r="H19" s="6">
        <f t="shared" si="2"/>
        <v>607492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25">
      <c r="A20" s="1" t="s">
        <v>75</v>
      </c>
      <c r="B20" s="1" t="str">
        <f>VLOOKUP(A20,[15]LISTADHERENT!$A$5:$J$50,3,0)</f>
        <v>MBOGNING TUGMA GUY</v>
      </c>
      <c r="C20" s="5">
        <f>MVTJANV23!C20</f>
        <v>600000</v>
      </c>
      <c r="D20" s="5">
        <f>MVTJANV23!D20</f>
        <v>47746</v>
      </c>
      <c r="E20" s="36"/>
      <c r="F20" s="5">
        <f t="shared" si="1"/>
        <v>650746</v>
      </c>
      <c r="G20" s="6" t="e">
        <f t="shared" si="0"/>
        <v>#REF!</v>
      </c>
      <c r="H20" s="6">
        <f t="shared" si="2"/>
        <v>701492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25">
      <c r="A21" s="1" t="s">
        <v>50</v>
      </c>
      <c r="B21" s="1" t="str">
        <f>VLOOKUP(A21,[15]LISTADHERENT!$A$5:$J$50,3,0)</f>
        <v>NANGUEN MARTIN</v>
      </c>
      <c r="C21" s="5">
        <f>MVTJANV23!C21</f>
        <v>600000</v>
      </c>
      <c r="D21" s="5">
        <f>MVTJANV23!D21</f>
        <v>51343</v>
      </c>
      <c r="E21" s="36"/>
      <c r="F21" s="5">
        <f t="shared" si="1"/>
        <v>654343</v>
      </c>
      <c r="G21" s="6" t="e">
        <f t="shared" si="0"/>
        <v>#REF!</v>
      </c>
      <c r="H21" s="6">
        <f t="shared" si="2"/>
        <v>708686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 t="e">
        <f>VLOOKUP($A21,[16]HISTODEC21!$A$6:$AU$39,26,0)</f>
        <v>#REF!</v>
      </c>
      <c r="S21" s="36" t="e">
        <f t="shared" si="7"/>
        <v>#REF!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25">
      <c r="A22" s="1" t="s">
        <v>37</v>
      </c>
      <c r="B22" s="1" t="str">
        <f>VLOOKUP(A22,[15]LISTADHERENT!$A$5:$J$50,3,0)</f>
        <v>NANKAM APPOLINAIRE</v>
      </c>
      <c r="C22" s="5">
        <f>MVTJANV23!C22</f>
        <v>600000</v>
      </c>
      <c r="D22" s="5">
        <f>MVTJANV23!D22</f>
        <v>140918</v>
      </c>
      <c r="E22" s="36"/>
      <c r="F22" s="5">
        <f t="shared" si="1"/>
        <v>743918</v>
      </c>
      <c r="G22" s="6" t="e">
        <f t="shared" si="0"/>
        <v>#REF!</v>
      </c>
      <c r="H22" s="6">
        <f t="shared" si="2"/>
        <v>887836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25">
      <c r="A23" s="1" t="s">
        <v>38</v>
      </c>
      <c r="B23" s="1" t="str">
        <f>VLOOKUP(A23,[15]LISTADHERENT!$A$5:$J$50,3,0)</f>
        <v>NDJOMO ETIENNE</v>
      </c>
      <c r="C23" s="5">
        <f>MVTJANV23!C23</f>
        <v>600000</v>
      </c>
      <c r="D23" s="5">
        <f>MVTJANV23!D23</f>
        <v>283210</v>
      </c>
      <c r="E23" s="36"/>
      <c r="F23" s="5">
        <f t="shared" si="1"/>
        <v>896210</v>
      </c>
      <c r="G23" s="6" t="e">
        <f t="shared" si="0"/>
        <v>#REF!</v>
      </c>
      <c r="H23" s="6">
        <f t="shared" si="2"/>
        <v>1192420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25">
      <c r="A24" s="1" t="s">
        <v>39</v>
      </c>
      <c r="B24" s="1" t="str">
        <f>VLOOKUP(A24,[15]LISTADHERENT!$A$5:$J$50,3,0)</f>
        <v>NGONDIEP CLAUDE</v>
      </c>
      <c r="C24" s="5">
        <f>MVTJANV23!C24</f>
        <v>600000</v>
      </c>
      <c r="D24" s="5">
        <f>MVTJANV23!D24</f>
        <v>39787</v>
      </c>
      <c r="E24" s="36"/>
      <c r="F24" s="5">
        <f t="shared" si="1"/>
        <v>647787</v>
      </c>
      <c r="G24" s="6" t="e">
        <f t="shared" si="0"/>
        <v>#REF!</v>
      </c>
      <c r="H24" s="6">
        <f t="shared" si="2"/>
        <v>695574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25">
      <c r="A25" s="1" t="s">
        <v>41</v>
      </c>
      <c r="B25" s="1" t="str">
        <f>VLOOKUP(A25,[15]LISTADHERENT!$A$5:$J$50,3,0)</f>
        <v>NGUIEMEGNI MATHIEU BLAISE</v>
      </c>
      <c r="C25" s="5">
        <f>MVTJANV23!C25</f>
        <v>600000</v>
      </c>
      <c r="D25" s="5">
        <f>MVTJANV23!D25</f>
        <v>13696</v>
      </c>
      <c r="E25" s="36"/>
      <c r="F25" s="5">
        <f t="shared" si="1"/>
        <v>616696</v>
      </c>
      <c r="G25" s="6" t="e">
        <f t="shared" si="0"/>
        <v>#REF!</v>
      </c>
      <c r="H25" s="6">
        <f t="shared" si="2"/>
        <v>633392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25">
      <c r="A26" s="1" t="s">
        <v>43</v>
      </c>
      <c r="B26" s="1" t="str">
        <f>VLOOKUP(A26,[15]LISTADHERENT!$A$5:$J$50,3,0)</f>
        <v>NKAMGANG JUSTIN DEJOLIE</v>
      </c>
      <c r="C26" s="5">
        <f>MVTJANV23!C26</f>
        <v>600000</v>
      </c>
      <c r="D26" s="5">
        <f>MVTJANV23!D26</f>
        <v>575</v>
      </c>
      <c r="E26" s="36"/>
      <c r="F26" s="5">
        <f t="shared" si="1"/>
        <v>603575</v>
      </c>
      <c r="G26" s="6" t="e">
        <f t="shared" si="0"/>
        <v>#REF!</v>
      </c>
      <c r="H26" s="6">
        <f t="shared" si="2"/>
        <v>607150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25">
      <c r="A27" s="1" t="s">
        <v>172</v>
      </c>
      <c r="B27" s="1" t="str">
        <f>VLOOKUP(A27,[15]LISTADHERENT!$A$5:$J$50,3,0)</f>
        <v>NOUBE ETIENNE</v>
      </c>
      <c r="C27" s="5">
        <f>MVTJANV23!C27</f>
        <v>0</v>
      </c>
      <c r="D27" s="5">
        <f>MVTJANV23!D27</f>
        <v>0</v>
      </c>
      <c r="E27" s="36"/>
      <c r="F27" s="5" t="e">
        <f t="shared" si="1"/>
        <v>#N/A</v>
      </c>
      <c r="G27" s="6" t="e">
        <f t="shared" si="0"/>
        <v>#REF!</v>
      </c>
      <c r="H27" s="6" t="e">
        <f t="shared" si="2"/>
        <v>#N/A</v>
      </c>
      <c r="I27" s="36" t="e">
        <f>VLOOKUP($A27,[16]HISTOJANV22!$A$6:$AQ$37,22,0)</f>
        <v>#N/A</v>
      </c>
      <c r="J27" s="36" t="e">
        <f>VLOOKUP($A27,[16]HISTOJANV22!$A$6:$AU$39,45,0)</f>
        <v>#N/A</v>
      </c>
      <c r="K27" s="36" t="e">
        <f t="shared" si="3"/>
        <v>#N/A</v>
      </c>
      <c r="L27" s="36" t="e">
        <f t="shared" si="4"/>
        <v>#N/A</v>
      </c>
      <c r="M27" s="36" t="e">
        <f t="shared" si="5"/>
        <v>#N/A</v>
      </c>
      <c r="N27" s="36" t="e">
        <f t="shared" si="6"/>
        <v>#N/A</v>
      </c>
      <c r="O27" s="36" t="e">
        <f>VLOOKUP($A27,[16]HISTOJANV22!$A$6:$AU$39,7,0)</f>
        <v>#N/A</v>
      </c>
      <c r="P27" s="36" t="e">
        <f>VLOOKUP($A27,[16]HISTOJANV22!$A$6:$AU$39,23,0)</f>
        <v>#N/A</v>
      </c>
      <c r="Q27" s="36" t="e">
        <f>VLOOKUP($A27,[16]HISTOJANV22!$A$6:$AU$39,46,0)</f>
        <v>#N/A</v>
      </c>
      <c r="R27" s="36" t="e">
        <f>VLOOKUP($A27,[16]HISTODEC21!$A$6:$AU$39,26,0)</f>
        <v>#N/A</v>
      </c>
      <c r="S27" s="36" t="e">
        <f t="shared" si="7"/>
        <v>#N/A</v>
      </c>
      <c r="T27" s="36" t="e">
        <f>VLOOKUP($A27,[16]HISTOJANV22!$A$6:$AU$39,28,0)</f>
        <v>#N/A</v>
      </c>
      <c r="U27" s="36" t="e">
        <f>VLOOKUP($A27,[16]HISTOJANV22!$A$6:$AU$39,19,0)</f>
        <v>#N/A</v>
      </c>
      <c r="V27" s="36" t="e">
        <f>VLOOKUP($A27,[16]HISTOJANV22!$A$6:$AU$39,20,0)</f>
        <v>#N/A</v>
      </c>
      <c r="W27" s="36" t="e">
        <f>VLOOKUP($A27,[16]HISTOJANV22!$A$6:$AU$39,27,0)</f>
        <v>#N/A</v>
      </c>
      <c r="X27" s="36" t="e">
        <f>VLOOKUP($A27,[16]HISTOJANV22!$A$6:$AU$39,33,0)</f>
        <v>#N/A</v>
      </c>
      <c r="Y27" s="36"/>
      <c r="Z27" s="36"/>
      <c r="AA27" s="36" t="e">
        <f>VLOOKUP($A27,[16]HISTOJANV22!$A$6:$AU$39,43,0)</f>
        <v>#N/A</v>
      </c>
      <c r="AB27" s="36" t="e">
        <f>VLOOKUP($A27,[16]HISTOJANV22!$A$6:$AU$39,44,0)</f>
        <v>#N/A</v>
      </c>
      <c r="AC27" s="36" t="e">
        <f>VLOOKUP($A27,[16]HISTOJANV22!$A$6:$AU$39,47,0)</f>
        <v>#N/A</v>
      </c>
      <c r="AD27" s="36" t="e">
        <f>VLOOKUP(A27,[16]HISTOJANV22!$A$6:$BB$36,54,0)</f>
        <v>#N/A</v>
      </c>
      <c r="AE27" s="2"/>
      <c r="AF27" s="2"/>
    </row>
    <row r="28" spans="1:32" x14ac:dyDescent="0.25">
      <c r="A28" s="1" t="s">
        <v>45</v>
      </c>
      <c r="B28" s="1" t="str">
        <f>VLOOKUP(A28,[15]LISTADHERENT!$A$5:$J$50,3,0)</f>
        <v>PATEGO NJOSSU GUSTAVE</v>
      </c>
      <c r="C28" s="5">
        <f>MVTJANV23!C28</f>
        <v>600000</v>
      </c>
      <c r="D28" s="5">
        <f>MVTJANV23!D28</f>
        <v>21452</v>
      </c>
      <c r="E28" s="36"/>
      <c r="F28" s="5">
        <f t="shared" si="1"/>
        <v>624452</v>
      </c>
      <c r="G28" s="6" t="e">
        <f t="shared" si="0"/>
        <v>#REF!</v>
      </c>
      <c r="H28" s="6">
        <f t="shared" si="2"/>
        <v>648904</v>
      </c>
      <c r="I28" s="36">
        <f>VLOOKUP($A28,[16]HISTOJANV22!$A$6:$AQ$37,22,0)</f>
        <v>0</v>
      </c>
      <c r="J28" s="36">
        <f>VLOOKUP($A28,[16]HISTOJANV22!$A$6:$AU$39,45,0)</f>
        <v>7000</v>
      </c>
      <c r="K28" s="36">
        <f t="shared" si="3"/>
        <v>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 t="e">
        <f>VLOOKUP($A28,[16]HISTODEC21!$A$6:$AU$39,26,0)</f>
        <v>#REF!</v>
      </c>
      <c r="S28" s="36" t="e">
        <f t="shared" si="7"/>
        <v>#REF!</v>
      </c>
      <c r="T28" s="36">
        <f>VLOOKUP($A28,[16]HISTOJANV22!$A$6:$AU$39,28,0)</f>
        <v>0</v>
      </c>
      <c r="U28" s="36">
        <f>VLOOKUP($A28,[16]HISTOJANV22!$A$6:$AU$39,19,0)</f>
        <v>0</v>
      </c>
      <c r="V28" s="36">
        <f>VLOOKUP($A28,[16]HISTOJANV22!$A$6:$AU$39,20,0)</f>
        <v>0</v>
      </c>
      <c r="W28" s="36">
        <f>VLOOKUP($A28,[16]HISTOJANV22!$A$6:$AU$39,27,0)</f>
        <v>0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25">
      <c r="A29" s="1" t="s">
        <v>312</v>
      </c>
      <c r="B29" s="1" t="str">
        <f>VLOOKUP(A29,[15]LISTADHERENT!$A$5:$J$50,3,0)</f>
        <v>SEUMO POLYCARPE</v>
      </c>
      <c r="C29" s="5">
        <f>MVTJANV23!C29</f>
        <v>0</v>
      </c>
      <c r="D29" s="5">
        <f>MVTJANV23!D29</f>
        <v>0</v>
      </c>
      <c r="E29" s="36"/>
      <c r="F29" s="5" t="e">
        <f t="shared" si="1"/>
        <v>#N/A</v>
      </c>
      <c r="G29" s="6" t="e">
        <f t="shared" si="0"/>
        <v>#REF!</v>
      </c>
      <c r="H29" s="6" t="e">
        <f t="shared" si="2"/>
        <v>#N/A</v>
      </c>
      <c r="I29" s="36" t="e">
        <f>VLOOKUP($A29,[16]HISTOJANV22!$A$6:$AQ$37,22,0)</f>
        <v>#N/A</v>
      </c>
      <c r="J29" s="36" t="e">
        <f>VLOOKUP($A29,[16]HISTOJANV22!$A$6:$AU$39,45,0)</f>
        <v>#N/A</v>
      </c>
      <c r="K29" s="36" t="e">
        <f t="shared" si="3"/>
        <v>#N/A</v>
      </c>
      <c r="L29" s="36" t="e">
        <f t="shared" si="4"/>
        <v>#N/A</v>
      </c>
      <c r="M29" s="36" t="e">
        <f t="shared" si="5"/>
        <v>#N/A</v>
      </c>
      <c r="N29" s="36" t="e">
        <f t="shared" si="6"/>
        <v>#N/A</v>
      </c>
      <c r="O29" s="36" t="e">
        <f>VLOOKUP($A29,[16]HISTOJANV22!$A$6:$AU$39,7,0)</f>
        <v>#N/A</v>
      </c>
      <c r="P29" s="36" t="e">
        <f>VLOOKUP($A29,[16]HISTOJANV22!$A$6:$AU$39,23,0)</f>
        <v>#N/A</v>
      </c>
      <c r="Q29" s="36" t="e">
        <f>VLOOKUP($A29,[16]HISTOJANV22!$A$6:$AU$39,46,0)</f>
        <v>#N/A</v>
      </c>
      <c r="R29" s="36" t="e">
        <f>VLOOKUP($A29,[16]HISTODEC21!$A$6:$AU$39,26,0)</f>
        <v>#N/A</v>
      </c>
      <c r="S29" s="36" t="e">
        <f t="shared" si="7"/>
        <v>#N/A</v>
      </c>
      <c r="T29" s="36" t="e">
        <f>VLOOKUP($A29,[16]HISTOJANV22!$A$6:$AU$39,28,0)</f>
        <v>#N/A</v>
      </c>
      <c r="U29" s="36" t="e">
        <f>VLOOKUP($A29,[16]HISTOJANV22!$A$6:$AU$39,19,0)</f>
        <v>#N/A</v>
      </c>
      <c r="V29" s="36" t="e">
        <f>VLOOKUP($A29,[16]HISTOJANV22!$A$6:$AU$39,20,0)</f>
        <v>#N/A</v>
      </c>
      <c r="W29" s="36" t="e">
        <f>VLOOKUP($A29,[16]HISTOJANV22!$A$6:$AU$39,27,0)</f>
        <v>#N/A</v>
      </c>
      <c r="X29" s="36" t="e">
        <f>VLOOKUP($A29,[16]HISTOJANV22!$A$6:$AU$39,33,0)</f>
        <v>#N/A</v>
      </c>
      <c r="Y29" s="36"/>
      <c r="Z29" s="36"/>
      <c r="AA29" s="36" t="e">
        <f>VLOOKUP($A29,[16]HISTOJANV22!$A$6:$AU$39,43,0)</f>
        <v>#N/A</v>
      </c>
      <c r="AB29" s="36" t="e">
        <f>VLOOKUP($A29,[16]HISTOJANV22!$A$6:$AU$39,44,0)</f>
        <v>#N/A</v>
      </c>
      <c r="AC29" s="36" t="e">
        <f>VLOOKUP($A29,[16]HISTOJANV22!$A$6:$AU$39,47,0)</f>
        <v>#N/A</v>
      </c>
      <c r="AD29" s="36" t="e">
        <f>VLOOKUP(A29,[16]HISTOJANV22!$A$6:$BB$36,54,0)</f>
        <v>#N/A</v>
      </c>
      <c r="AE29" s="2"/>
      <c r="AF29" s="2"/>
    </row>
    <row r="30" spans="1:32" x14ac:dyDescent="0.25">
      <c r="A30" s="1" t="s">
        <v>81</v>
      </c>
      <c r="B30" s="1" t="str">
        <f>VLOOKUP(A30,[15]LISTADHERENT!$A$5:$J$50,3,0)</f>
        <v>SIME BRICE</v>
      </c>
      <c r="C30" s="5">
        <f>MVTJANV23!C30</f>
        <v>600000</v>
      </c>
      <c r="D30" s="5">
        <f>MVTJANV23!D30</f>
        <v>200752</v>
      </c>
      <c r="E30" s="36"/>
      <c r="F30" s="5">
        <f t="shared" si="1"/>
        <v>803752</v>
      </c>
      <c r="G30" s="6" t="e">
        <f t="shared" si="0"/>
        <v>#REF!</v>
      </c>
      <c r="H30" s="6">
        <f t="shared" si="2"/>
        <v>1007504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 t="e">
        <f>VLOOKUP($A30,[16]HISTODEC21!$A$6:$AU$39,26,0)</f>
        <v>#REF!</v>
      </c>
      <c r="S30" s="36" t="e">
        <f t="shared" si="7"/>
        <v>#REF!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25">
      <c r="A31" s="1" t="s">
        <v>49</v>
      </c>
      <c r="B31" s="1" t="str">
        <f>VLOOKUP(A31,[15]LISTADHERENT!$A$5:$J$50,3,0)</f>
        <v>SIMO PIERRE</v>
      </c>
      <c r="C31" s="5">
        <f>MVTJANV23!C31</f>
        <v>600000</v>
      </c>
      <c r="D31" s="5">
        <f>MVTJANV23!D31</f>
        <v>103606</v>
      </c>
      <c r="E31" s="36"/>
      <c r="F31" s="5">
        <f t="shared" si="1"/>
        <v>721606</v>
      </c>
      <c r="G31" s="6" t="e">
        <f t="shared" si="0"/>
        <v>#REF!</v>
      </c>
      <c r="H31" s="6">
        <f t="shared" si="2"/>
        <v>843212</v>
      </c>
      <c r="I31" s="36">
        <f>VLOOKUP($A31,[16]HISTOJANV22!$A$6:$AQ$37,22,0)</f>
        <v>0</v>
      </c>
      <c r="J31" s="36">
        <f>VLOOKUP($A31,[16]HISTOJANV22!$A$6:$AU$39,45,0)</f>
        <v>22000</v>
      </c>
      <c r="K31" s="36">
        <f t="shared" si="3"/>
        <v>18000</v>
      </c>
      <c r="L31" s="36">
        <f t="shared" si="4"/>
        <v>500</v>
      </c>
      <c r="M31" s="36">
        <f t="shared" si="5"/>
        <v>1000</v>
      </c>
      <c r="N31" s="36">
        <f t="shared" si="6"/>
        <v>2500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 t="e">
        <f>VLOOKUP($A31,[16]HISTODEC21!$A$6:$AU$39,26,0)</f>
        <v>#REF!</v>
      </c>
      <c r="S31" s="36" t="e">
        <f t="shared" si="7"/>
        <v>#REF!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70000</v>
      </c>
      <c r="AE31" s="2"/>
      <c r="AF31" s="2"/>
    </row>
    <row r="32" spans="1:32" x14ac:dyDescent="0.25">
      <c r="A32" s="1" t="s">
        <v>51</v>
      </c>
      <c r="B32" s="1" t="str">
        <f>VLOOKUP(A32,[15]LISTADHERENT!$A$5:$J$50,3,0)</f>
        <v>TCHOUAMOU MATHIEU</v>
      </c>
      <c r="C32" s="5">
        <f>MVTJANV23!C32</f>
        <v>600000</v>
      </c>
      <c r="D32" s="5">
        <f>MVTJANV23!D32</f>
        <v>4208</v>
      </c>
      <c r="E32" s="36"/>
      <c r="F32" s="5">
        <f t="shared" si="1"/>
        <v>607208</v>
      </c>
      <c r="G32" s="6" t="e">
        <f t="shared" si="0"/>
        <v>#REF!</v>
      </c>
      <c r="H32" s="6">
        <f t="shared" si="2"/>
        <v>614416</v>
      </c>
      <c r="I32" s="36">
        <f>VLOOKUP($A32,[16]HISTOJANV22!$A$6:$AQ$37,22,0)</f>
        <v>0</v>
      </c>
      <c r="J32" s="36">
        <f>VLOOKUP($A32,[16]HISTOJANV22!$A$6:$AU$39,45,0)</f>
        <v>7000</v>
      </c>
      <c r="K32" s="36">
        <f t="shared" si="3"/>
        <v>3000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560000</v>
      </c>
      <c r="S32" s="36">
        <f t="shared" si="7"/>
        <v>67200</v>
      </c>
      <c r="T32" s="36" t="str">
        <f>VLOOKUP($A32,[16]HISTOJANV22!$A$6:$AU$39,28,0)</f>
        <v>OKK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0</v>
      </c>
      <c r="AE32" s="2"/>
      <c r="AF32" s="2"/>
    </row>
    <row r="33" spans="1:32" x14ac:dyDescent="0.25">
      <c r="A33" s="1" t="s">
        <v>53</v>
      </c>
      <c r="B33" s="1" t="str">
        <f>VLOOKUP(A33,[15]LISTADHERENT!$A$5:$J$50,3,0)</f>
        <v>TCHOUTOU NANA CLAUDE</v>
      </c>
      <c r="C33" s="5">
        <f>MVTJANV23!C33</f>
        <v>0</v>
      </c>
      <c r="D33" s="5">
        <f>MVTJANV23!D33</f>
        <v>0</v>
      </c>
      <c r="E33" s="36"/>
      <c r="F33" s="5" t="e">
        <f t="shared" si="1"/>
        <v>#N/A</v>
      </c>
      <c r="G33" s="6" t="e">
        <f t="shared" si="0"/>
        <v>#REF!</v>
      </c>
      <c r="H33" s="6" t="e">
        <f t="shared" si="2"/>
        <v>#N/A</v>
      </c>
      <c r="I33" s="36" t="e">
        <f>VLOOKUP($A33,[16]HISTOJANV22!$A$6:$AQ$37,22,0)</f>
        <v>#N/A</v>
      </c>
      <c r="J33" s="36" t="e">
        <f>VLOOKUP($A33,[16]HISTOJANV22!$A$6:$AU$39,45,0)</f>
        <v>#N/A</v>
      </c>
      <c r="K33" s="36" t="e">
        <f t="shared" si="3"/>
        <v>#N/A</v>
      </c>
      <c r="L33" s="36" t="e">
        <f t="shared" si="4"/>
        <v>#N/A</v>
      </c>
      <c r="M33" s="36" t="e">
        <f t="shared" si="5"/>
        <v>#N/A</v>
      </c>
      <c r="N33" s="36" t="e">
        <f t="shared" si="6"/>
        <v>#N/A</v>
      </c>
      <c r="O33" s="36" t="e">
        <f>VLOOKUP($A33,[16]HISTOJANV22!$A$6:$AU$39,7,0)</f>
        <v>#N/A</v>
      </c>
      <c r="P33" s="36" t="e">
        <f>VLOOKUP($A33,[16]HISTOJANV22!$A$6:$AU$39,23,0)</f>
        <v>#N/A</v>
      </c>
      <c r="Q33" s="36" t="e">
        <f>VLOOKUP($A33,[16]HISTOJANV22!$A$6:$AU$39,46,0)</f>
        <v>#N/A</v>
      </c>
      <c r="R33" s="36" t="e">
        <f>VLOOKUP($A33,[16]HISTODEC21!$A$6:$AU$39,26,0)</f>
        <v>#N/A</v>
      </c>
      <c r="S33" s="36" t="e">
        <f t="shared" si="7"/>
        <v>#N/A</v>
      </c>
      <c r="T33" s="36" t="e">
        <f>VLOOKUP($A33,[16]HISTOJANV22!$A$6:$AU$39,28,0)</f>
        <v>#N/A</v>
      </c>
      <c r="U33" s="36" t="e">
        <f>VLOOKUP($A33,[16]HISTOJANV22!$A$6:$AU$39,19,0)</f>
        <v>#N/A</v>
      </c>
      <c r="V33" s="36" t="e">
        <f>VLOOKUP($A33,[16]HISTOJANV22!$A$6:$AU$39,20,0)</f>
        <v>#N/A</v>
      </c>
      <c r="W33" s="36" t="e">
        <f>VLOOKUP($A33,[16]HISTOJANV22!$A$6:$AU$39,27,0)</f>
        <v>#N/A</v>
      </c>
      <c r="X33" s="36" t="e">
        <f>VLOOKUP($A33,[16]HISTOJANV22!$A$6:$AU$39,33,0)</f>
        <v>#N/A</v>
      </c>
      <c r="Y33" s="36"/>
      <c r="Z33" s="36"/>
      <c r="AA33" s="36" t="e">
        <f>VLOOKUP($A33,[16]HISTOJANV22!$A$6:$AU$39,43,0)</f>
        <v>#N/A</v>
      </c>
      <c r="AB33" s="36" t="e">
        <f>VLOOKUP($A33,[16]HISTOJANV22!$A$6:$AU$39,44,0)</f>
        <v>#N/A</v>
      </c>
      <c r="AC33" s="36" t="e">
        <f>VLOOKUP($A33,[16]HISTOJANV22!$A$6:$AU$39,47,0)</f>
        <v>#N/A</v>
      </c>
      <c r="AD33" s="36" t="e">
        <f>VLOOKUP(A33,[16]HISTOJANV22!$A$6:$BB$36,54,0)</f>
        <v>#N/A</v>
      </c>
      <c r="AE33" s="2"/>
      <c r="AF33" s="2"/>
    </row>
    <row r="34" spans="1:32" x14ac:dyDescent="0.25">
      <c r="A34" s="1" t="s">
        <v>313</v>
      </c>
      <c r="B34" s="1" t="str">
        <f>VLOOKUP(A34,[15]LISTADHERENT!$A$5:$J$50,3,0)</f>
        <v>YANTCHOU GERVAIS</v>
      </c>
      <c r="C34" s="5">
        <f>MVTJANV23!C34</f>
        <v>0</v>
      </c>
      <c r="D34" s="5">
        <f>MVTJANV23!D34</f>
        <v>0</v>
      </c>
      <c r="E34" s="36"/>
      <c r="F34" s="5" t="e">
        <f t="shared" si="1"/>
        <v>#N/A</v>
      </c>
      <c r="G34" s="6" t="e">
        <f t="shared" si="0"/>
        <v>#REF!</v>
      </c>
      <c r="H34" s="6" t="e">
        <f t="shared" si="2"/>
        <v>#N/A</v>
      </c>
      <c r="I34" s="36" t="e">
        <f>VLOOKUP($A34,[16]HISTOJANV22!$A$6:$AQ$37,22,0)</f>
        <v>#N/A</v>
      </c>
      <c r="J34" s="36" t="e">
        <f>VLOOKUP($A34,[16]HISTOJANV22!$A$6:$AU$39,45,0)</f>
        <v>#N/A</v>
      </c>
      <c r="K34" s="36" t="e">
        <f t="shared" si="3"/>
        <v>#N/A</v>
      </c>
      <c r="L34" s="36" t="e">
        <f t="shared" si="4"/>
        <v>#N/A</v>
      </c>
      <c r="M34" s="36" t="e">
        <f t="shared" si="5"/>
        <v>#N/A</v>
      </c>
      <c r="N34" s="36" t="e">
        <f t="shared" si="6"/>
        <v>#N/A</v>
      </c>
      <c r="O34" s="36" t="e">
        <f>VLOOKUP($A34,[16]HISTOJANV22!$A$6:$AU$39,7,0)</f>
        <v>#N/A</v>
      </c>
      <c r="P34" s="36" t="e">
        <f>VLOOKUP($A34,[16]HISTOJANV22!$A$6:$AU$39,23,0)</f>
        <v>#N/A</v>
      </c>
      <c r="Q34" s="36" t="e">
        <f>VLOOKUP($A34,[16]HISTOJANV22!$A$6:$AU$39,46,0)</f>
        <v>#N/A</v>
      </c>
      <c r="R34" s="36" t="e">
        <f>VLOOKUP($A34,[16]HISTODEC21!$A$6:$AU$39,26,0)</f>
        <v>#N/A</v>
      </c>
      <c r="S34" s="36" t="e">
        <f t="shared" si="7"/>
        <v>#N/A</v>
      </c>
      <c r="T34" s="36" t="e">
        <f>VLOOKUP($A34,[16]HISTOJANV22!$A$6:$AU$39,28,0)</f>
        <v>#N/A</v>
      </c>
      <c r="U34" s="36" t="e">
        <f>VLOOKUP($A34,[16]HISTOJANV22!$A$6:$AU$39,19,0)</f>
        <v>#N/A</v>
      </c>
      <c r="V34" s="36" t="e">
        <f>VLOOKUP($A34,[16]HISTOJANV22!$A$6:$AU$39,20,0)</f>
        <v>#N/A</v>
      </c>
      <c r="W34" s="36" t="e">
        <f>VLOOKUP($A34,[16]HISTOJANV22!$A$6:$AU$39,27,0)</f>
        <v>#N/A</v>
      </c>
      <c r="X34" s="36" t="e">
        <f>VLOOKUP($A34,[16]HISTOJANV22!$A$6:$AU$39,33,0)</f>
        <v>#N/A</v>
      </c>
      <c r="Y34" s="36"/>
      <c r="Z34" s="36"/>
      <c r="AA34" s="36" t="e">
        <f>VLOOKUP($A34,[16]HISTOJANV22!$A$6:$AU$39,43,0)</f>
        <v>#N/A</v>
      </c>
      <c r="AB34" s="36" t="e">
        <f>VLOOKUP($A34,[16]HISTOJANV22!$A$6:$AU$39,44,0)</f>
        <v>#N/A</v>
      </c>
      <c r="AC34" s="36" t="e">
        <f>VLOOKUP($A34,[16]HISTOJANV22!$A$6:$AU$39,47,0)</f>
        <v>#N/A</v>
      </c>
      <c r="AD34" s="36" t="e">
        <f>VLOOKUP(A34,[16]HISTOJANV22!$A$6:$BB$36,54,0)</f>
        <v>#N/A</v>
      </c>
      <c r="AE34" s="2"/>
      <c r="AF34" s="2"/>
    </row>
    <row r="35" spans="1:32" x14ac:dyDescent="0.25">
      <c r="A35" s="1" t="s">
        <v>55</v>
      </c>
      <c r="B35" s="1" t="str">
        <f>VLOOKUP(A35,[15]LISTADHERENT!$A$5:$J$50,3,0)</f>
        <v>YEPMOU JEAN JACQUES</v>
      </c>
      <c r="C35" s="5">
        <f>MVTJANV23!C35</f>
        <v>600000</v>
      </c>
      <c r="D35" s="5">
        <f>MVTJANV23!D35</f>
        <v>914734</v>
      </c>
      <c r="E35" s="36"/>
      <c r="F35" s="5">
        <f t="shared" si="1"/>
        <v>1517734</v>
      </c>
      <c r="G35" s="6" t="e">
        <f t="shared" si="0"/>
        <v>#REF!</v>
      </c>
      <c r="H35" s="6">
        <f t="shared" si="2"/>
        <v>2435468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25">
      <c r="A36" s="1" t="s">
        <v>56</v>
      </c>
      <c r="B36" s="1" t="str">
        <f>VLOOKUP(A36,[15]LISTADHERENT!$A$5:$J$50,3,0)</f>
        <v>YOUMBI EMMANUEL</v>
      </c>
      <c r="C36" s="5">
        <f>MVTJANV23!C36</f>
        <v>600000</v>
      </c>
      <c r="D36" s="5">
        <f>MVTJANV23!D36</f>
        <v>1057774</v>
      </c>
      <c r="E36" s="36"/>
      <c r="F36" s="5">
        <f t="shared" si="1"/>
        <v>1660774</v>
      </c>
      <c r="G36" s="6" t="e">
        <f t="shared" si="0"/>
        <v>#REF!</v>
      </c>
      <c r="H36" s="6">
        <f t="shared" si="2"/>
        <v>2721548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 t="e">
        <f>VLOOKUP($A36,[16]HISTODEC21!$A$6:$AU$39,26,0)</f>
        <v>#REF!</v>
      </c>
      <c r="S36" s="36" t="e">
        <f t="shared" si="7"/>
        <v>#REF!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25">
      <c r="A37" s="15"/>
      <c r="B37" s="1"/>
      <c r="C37" s="5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25">
      <c r="A39" s="1"/>
      <c r="B39" s="1"/>
      <c r="C39" s="1"/>
      <c r="D39" s="1"/>
      <c r="E39" s="1"/>
      <c r="F39" s="1"/>
      <c r="G39" s="1"/>
      <c r="H39" s="1"/>
    </row>
    <row r="40" spans="1:32" ht="18" x14ac:dyDescent="0.25">
      <c r="A40" s="1" t="s">
        <v>57</v>
      </c>
      <c r="B40" s="1"/>
      <c r="C40" s="9">
        <f t="shared" ref="C40:AE40" si="8">SUM(C6:C39)</f>
        <v>15000000</v>
      </c>
      <c r="D40" s="9">
        <f t="shared" si="8"/>
        <v>4359124.5213484811</v>
      </c>
      <c r="E40" s="9">
        <f t="shared" si="8"/>
        <v>0</v>
      </c>
      <c r="F40" s="9" t="e">
        <f t="shared" si="8"/>
        <v>#N/A</v>
      </c>
      <c r="G40" s="9" t="e">
        <f t="shared" si="8"/>
        <v>#REF!</v>
      </c>
      <c r="H40" s="9" t="e">
        <f t="shared" si="8"/>
        <v>#N/A</v>
      </c>
      <c r="I40" s="9" t="e">
        <f t="shared" si="8"/>
        <v>#N/A</v>
      </c>
      <c r="J40" s="9" t="e">
        <f t="shared" si="8"/>
        <v>#N/A</v>
      </c>
      <c r="K40" s="9" t="e">
        <f t="shared" si="8"/>
        <v>#N/A</v>
      </c>
      <c r="L40" s="9" t="e">
        <f t="shared" si="8"/>
        <v>#N/A</v>
      </c>
      <c r="M40" s="9" t="e">
        <f t="shared" si="8"/>
        <v>#N/A</v>
      </c>
      <c r="N40" s="9" t="e">
        <f t="shared" si="8"/>
        <v>#N/A</v>
      </c>
      <c r="O40" s="9" t="e">
        <f t="shared" si="8"/>
        <v>#N/A</v>
      </c>
      <c r="P40" s="9" t="e">
        <f t="shared" si="8"/>
        <v>#N/A</v>
      </c>
      <c r="Q40" s="9" t="e">
        <f t="shared" si="8"/>
        <v>#N/A</v>
      </c>
      <c r="R40" s="9" t="e">
        <f t="shared" si="8"/>
        <v>#REF!</v>
      </c>
      <c r="S40" s="9" t="e">
        <f t="shared" si="8"/>
        <v>#REF!</v>
      </c>
      <c r="T40" s="9" t="e">
        <f t="shared" si="8"/>
        <v>#N/A</v>
      </c>
      <c r="U40" s="9" t="e">
        <f t="shared" si="8"/>
        <v>#N/A</v>
      </c>
      <c r="V40" s="9" t="e">
        <f t="shared" si="8"/>
        <v>#N/A</v>
      </c>
      <c r="W40" s="9" t="e">
        <f t="shared" si="8"/>
        <v>#N/A</v>
      </c>
      <c r="X40" s="9" t="e">
        <f t="shared" si="8"/>
        <v>#N/A</v>
      </c>
      <c r="Y40" s="9">
        <f t="shared" si="8"/>
        <v>548000</v>
      </c>
      <c r="Z40" s="9">
        <f t="shared" si="8"/>
        <v>0</v>
      </c>
      <c r="AA40" s="9" t="e">
        <f t="shared" si="8"/>
        <v>#N/A</v>
      </c>
      <c r="AB40" s="9" t="e">
        <f t="shared" si="8"/>
        <v>#N/A</v>
      </c>
      <c r="AC40" s="9" t="e">
        <f t="shared" si="8"/>
        <v>#N/A</v>
      </c>
      <c r="AD40" s="9" t="e">
        <f t="shared" si="8"/>
        <v>#N/A</v>
      </c>
      <c r="AE40" s="9">
        <f t="shared" si="8"/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"/>
  <sheetViews>
    <sheetView workbookViewId="0">
      <pane xSplit="2" ySplit="5" topLeftCell="T6" activePane="bottomRight" state="frozen"/>
      <selection activeCell="B43" sqref="B43"/>
      <selection pane="topRight" activeCell="B43" sqref="B43"/>
      <selection pane="bottomLeft" activeCell="B43" sqref="B43"/>
      <selection pane="bottomRight" activeCell="G6" sqref="G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0" bestFit="1" customWidth="1"/>
    <col min="11" max="11" width="17.5703125" style="140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6.8554687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39"/>
      <c r="J4" s="157">
        <v>44912</v>
      </c>
      <c r="K4" s="157"/>
      <c r="L4" s="157"/>
      <c r="M4" s="157"/>
      <c r="N4" s="157"/>
      <c r="O4" s="157"/>
      <c r="P4"/>
      <c r="Q4"/>
      <c r="AJ4" s="104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6" x14ac:dyDescent="0.25">
      <c r="A6" s="1" t="s">
        <v>16</v>
      </c>
      <c r="B6" s="1" t="str">
        <f>VLOOKUP(A6,[15]LISTADHERENT!$A$5:$J$45,3,0)</f>
        <v>ASELBY</v>
      </c>
      <c r="C6" s="5">
        <v>0</v>
      </c>
      <c r="D6" s="43">
        <f>VLOOKUP(A6,'[17]EPARGNE 2023'!$A$5:$BF$47,4,0)</f>
        <v>816543.52134848095</v>
      </c>
      <c r="E6" s="36"/>
      <c r="F6" s="5">
        <f>C6+D6-E6</f>
        <v>816543.52134848095</v>
      </c>
      <c r="G6" s="6">
        <v>51868.550111954391</v>
      </c>
      <c r="H6" s="6">
        <f>+F6+G6</f>
        <v>868412.0714604354</v>
      </c>
      <c r="I6" s="36"/>
      <c r="J6" s="36"/>
      <c r="K6" s="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25">
      <c r="A7" s="1" t="s">
        <v>17</v>
      </c>
      <c r="B7" s="1" t="str">
        <f>VLOOKUP(A7,[15]LISTADHERENT!$A$5:$J$45,3,0)</f>
        <v>BAKOP ACHILLE</v>
      </c>
      <c r="C7" s="5">
        <v>0</v>
      </c>
      <c r="D7" s="43">
        <f>VLOOKUP(A7,'[17]EPARGNE 2023'!$A$5:$BF$47,4,0)</f>
        <v>0</v>
      </c>
      <c r="E7" s="36"/>
      <c r="F7" s="5">
        <f t="shared" ref="F7:F37" si="0">C7+D7-E7</f>
        <v>0</v>
      </c>
      <c r="G7" s="6">
        <v>0</v>
      </c>
      <c r="H7" s="6">
        <f t="shared" ref="H7:H37" si="1">+F7+G7</f>
        <v>0</v>
      </c>
      <c r="I7" s="36"/>
      <c r="J7" s="36"/>
      <c r="K7" s="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x14ac:dyDescent="0.25">
      <c r="A8" s="1" t="s">
        <v>19</v>
      </c>
      <c r="B8" s="1" t="str">
        <f>VLOOKUP(A8,[15]LISTADHERENT!$A$5:$J$45,3,0)</f>
        <v>BOUTCHOUANG WILLIAM</v>
      </c>
      <c r="C8" s="5">
        <v>600000</v>
      </c>
      <c r="D8" s="43">
        <f>VLOOKUP(A8,'[17]EPARGNE 2023'!$A$5:$BF$47,4,0)</f>
        <v>7023.6611389458412</v>
      </c>
      <c r="E8" s="36"/>
      <c r="F8" s="5">
        <f t="shared" si="0"/>
        <v>607023.66113894584</v>
      </c>
      <c r="G8" s="6">
        <v>38559.410936150474</v>
      </c>
      <c r="H8" s="6">
        <f t="shared" si="1"/>
        <v>645583.07207509631</v>
      </c>
      <c r="I8" s="36">
        <f>VLOOKUP($A8,[16]HISTODEC22!$A$6:$AQ$37,22,0)</f>
        <v>0</v>
      </c>
      <c r="J8" s="36">
        <f>VLOOKUP($A8,[16]HISTODEC22!$A$6:$AU$39,45,0)</f>
        <v>7000</v>
      </c>
      <c r="K8" s="6"/>
      <c r="L8" s="36">
        <f t="shared" ref="L8:L32" si="2">IF(J8=0,0,500)</f>
        <v>500</v>
      </c>
      <c r="M8" s="36">
        <f t="shared" ref="M8:M32" si="3">IF(J8=0,0,1000)</f>
        <v>1000</v>
      </c>
      <c r="N8" s="36">
        <f t="shared" ref="N8:N32" si="4">IF(J8=0,0,2500)</f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VLOOKUP($A8,[18]HISTODEC22!$A$6:$AU$39,26,0)</f>
        <v>500000</v>
      </c>
      <c r="S8" s="36">
        <f>VLOOKUP($A8,[18]HISTODEC22!$A$6:$BG$39,58,0)</f>
        <v>10000</v>
      </c>
      <c r="T8" s="36">
        <f>VLOOKUP($A8,[16]HISTODEC22!$A$6:$AU$39,28,0)</f>
        <v>0</v>
      </c>
      <c r="U8" s="36">
        <f>VLOOKUP($A8,[16]HISTODEC22!$A$6:$AU$39,19,0)</f>
        <v>0</v>
      </c>
      <c r="V8" s="36">
        <f>VLOOKUP($A8,[16]HISTODEC22!$A$6:$AU$39,20,0)</f>
        <v>0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25">
      <c r="A9" s="1" t="s">
        <v>23</v>
      </c>
      <c r="B9" s="1" t="str">
        <f>VLOOKUP(A9,[15]LISTADHERENT!$A$5:$J$45,3,0)</f>
        <v xml:space="preserve">DJOMO JEAN PAUL </v>
      </c>
      <c r="C9" s="5">
        <v>600000</v>
      </c>
      <c r="D9" s="43">
        <f>VLOOKUP(A9,'[17]EPARGNE 2023'!$A$5:$BF$47,4,0)</f>
        <v>4809.8069585817866</v>
      </c>
      <c r="E9" s="36"/>
      <c r="F9" s="5">
        <f t="shared" si="0"/>
        <v>604809.80695858179</v>
      </c>
      <c r="G9" s="6">
        <v>38418.782294207253</v>
      </c>
      <c r="H9" s="6">
        <f t="shared" si="1"/>
        <v>643228.58925278904</v>
      </c>
      <c r="I9" s="36">
        <f>VLOOKUP($A9,[16]HISTODEC22!$A$6:$AQ$37,22,0)</f>
        <v>0</v>
      </c>
      <c r="J9" s="36">
        <f>VLOOKUP($A9,[16]HISTODEC22!$A$6:$AU$39,45,0)</f>
        <v>7000</v>
      </c>
      <c r="K9" s="6"/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VLOOKUP($A9,[18]HISTODEC22!$A$6:$AU$39,26,0)</f>
        <v>1000000</v>
      </c>
      <c r="S9" s="36">
        <f>VLOOKUP($A9,[18]HISTODEC22!$A$6:$BG$39,58,0)</f>
        <v>120000</v>
      </c>
      <c r="T9" s="36">
        <f>VLOOKUP($A9,[16]HISTODEC22!$A$6:$AU$39,28,0)</f>
        <v>0</v>
      </c>
      <c r="U9" s="36">
        <f>VLOOKUP($A9,[16]HISTODEC22!$A$6:$AU$39,19,0)</f>
        <v>1000000</v>
      </c>
      <c r="V9" s="36" t="str">
        <f>VLOOKUP($A9,[16]HISTODEC22!$A$6:$AU$39,20,0)</f>
        <v>BANQUE</v>
      </c>
      <c r="W9" s="36" t="str">
        <f>VLOOKUP($A9,[16]HISTODEC22!$A$6:$AU$39,27,0)</f>
        <v>BANQUE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25">
      <c r="A10" s="1" t="s">
        <v>154</v>
      </c>
      <c r="B10" s="1" t="str">
        <f>VLOOKUP(A10,[15]LISTADHERENT!$A$5:$J$45,3,0)</f>
        <v>DJOMOU TCHAPDA</v>
      </c>
      <c r="C10" s="5">
        <v>600000</v>
      </c>
      <c r="D10" s="43">
        <f>VLOOKUP(A10,'[17]EPARGNE 2023'!$A$5:$BF$47,4,0)</f>
        <v>48710.412466726033</v>
      </c>
      <c r="E10" s="36"/>
      <c r="F10" s="5">
        <f t="shared" si="0"/>
        <v>648710.41246672603</v>
      </c>
      <c r="G10" s="6">
        <v>41207.440457808705</v>
      </c>
      <c r="H10" s="6">
        <f t="shared" si="1"/>
        <v>689917.8529245347</v>
      </c>
      <c r="I10" s="36">
        <f>VLOOKUP($A10,[16]HISTODEC22!$A$6:$AQ$37,22,0)</f>
        <v>0</v>
      </c>
      <c r="J10" s="36">
        <f>VLOOKUP($A10,[16]HISTODEC22!$A$6:$AU$39,45,0)</f>
        <v>7000</v>
      </c>
      <c r="K10" s="6"/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VLOOKUP($A10,[18]HISTODEC22!$A$6:$AU$39,26,0)</f>
        <v>0</v>
      </c>
      <c r="S10" s="36">
        <f>VLOOKUP($A10,[18]HISTODEC22!$A$6:$BG$39,58,0)</f>
        <v>0</v>
      </c>
      <c r="T10" s="36">
        <f>VLOOKUP($A10,[16]HISTODEC22!$A$6:$AU$39,28,0)</f>
        <v>0</v>
      </c>
      <c r="U10" s="36">
        <f>VLOOKUP($A10,[16]HISTODEC22!$A$6:$AU$39,19,0)</f>
        <v>0</v>
      </c>
      <c r="V10" s="36">
        <f>VLOOKUP($A10,[16]HISTODEC22!$A$6:$AU$39,20,0)</f>
        <v>0</v>
      </c>
      <c r="W10" s="36">
        <f>VLOOKUP($A10,[16]HISTODEC22!$A$6:$AU$39,27,0)</f>
        <v>0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25">
      <c r="A11" s="1" t="s">
        <v>24</v>
      </c>
      <c r="B11" s="1" t="str">
        <f>VLOOKUP(A11,[15]LISTADHERENT!$A$5:$J$45,3,0)</f>
        <v>DJOUKWE NANGUEN GUY BLAISE</v>
      </c>
      <c r="C11" s="5">
        <v>600000</v>
      </c>
      <c r="D11" s="43">
        <f>VLOOKUP(A11,'[17]EPARGNE 2023'!$A$5:$BF$47,4,0)</f>
        <v>4750.0783119258704</v>
      </c>
      <c r="E11" s="36"/>
      <c r="F11" s="5">
        <f t="shared" si="0"/>
        <v>604750.07831192587</v>
      </c>
      <c r="G11" s="6">
        <v>38414.98820580756</v>
      </c>
      <c r="H11" s="6">
        <f t="shared" si="1"/>
        <v>643165.06651773339</v>
      </c>
      <c r="I11" s="36">
        <f>VLOOKUP($A11,[16]HISTODEC22!$A$6:$AQ$37,22,0)</f>
        <v>0</v>
      </c>
      <c r="J11" s="36">
        <f>VLOOKUP($A11,[16]HISTODEC22!$A$6:$AU$39,45,0)</f>
        <v>7000</v>
      </c>
      <c r="K11" s="6"/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VLOOKUP($A11,[18]HISTODEC22!$A$6:$AU$39,26,0)</f>
        <v>1000000</v>
      </c>
      <c r="S11" s="36">
        <f>VLOOKUP($A11,[18]HISTODEC22!$A$6:$BG$39,58,0)</f>
        <v>40000</v>
      </c>
      <c r="T11" s="36">
        <f>VLOOKUP($A11,[16]HISTODEC22!$A$6:$AU$39,28,0)</f>
        <v>0</v>
      </c>
      <c r="U11" s="36">
        <f>VLOOKUP($A11,[16]HISTODEC22!$A$6:$AU$39,19,0)</f>
        <v>1000000</v>
      </c>
      <c r="V11" s="36" t="str">
        <f>VLOOKUP($A11,[16]HISTODEC22!$A$6:$AU$39,20,0)</f>
        <v>BANQUE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25">
      <c r="A12" s="1" t="s">
        <v>25</v>
      </c>
      <c r="B12" s="1" t="str">
        <f>VLOOKUP(A12,[15]LISTADHERENT!$A$5:$J$45,3,0)</f>
        <v>DJUOMBESSY ANTOINE</v>
      </c>
      <c r="C12" s="5">
        <v>600000</v>
      </c>
      <c r="D12" s="43">
        <f>VLOOKUP(A12,'[17]EPARGNE 2023'!$A$5:$BF$47,4,0)</f>
        <v>10718.850200936431</v>
      </c>
      <c r="E12" s="36"/>
      <c r="F12" s="5">
        <f t="shared" si="0"/>
        <v>610718.85020093643</v>
      </c>
      <c r="G12" s="6">
        <v>38794.137064059098</v>
      </c>
      <c r="H12" s="6">
        <f t="shared" si="1"/>
        <v>649512.98726499558</v>
      </c>
      <c r="I12" s="36">
        <f>VLOOKUP($A12,[16]HISTODEC22!$A$6:$AQ$37,22,0)</f>
        <v>0</v>
      </c>
      <c r="J12" s="36">
        <f>VLOOKUP($A12,[16]HISTODEC22!$A$6:$AU$39,45,0)</f>
        <v>8000</v>
      </c>
      <c r="K12" s="6"/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VLOOKUP($A12,[18]HISTODEC22!$A$6:$AU$39,26,0)</f>
        <v>1000000</v>
      </c>
      <c r="S12" s="36">
        <f>VLOOKUP($A12,[18]HISTODEC22!$A$6:$BG$39,58,0)</f>
        <v>60000</v>
      </c>
      <c r="T12" s="36">
        <f>VLOOKUP($A12,[16]HISTODEC22!$A$6:$AU$39,28,0)</f>
        <v>0</v>
      </c>
      <c r="U12" s="36">
        <f>VLOOKUP($A12,[16]HISTODEC22!$A$6:$AU$39,19,0)</f>
        <v>0</v>
      </c>
      <c r="V12" s="36">
        <f>VLOOKUP($A12,[16]HISTODEC22!$A$6:$AU$39,20,0)</f>
        <v>0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9000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25">
      <c r="A13" s="1" t="s">
        <v>79</v>
      </c>
      <c r="B13" s="1" t="str">
        <f>VLOOKUP(A13,[15]LISTADHERENT!$A$5:$J$45,3,0)</f>
        <v>DOMOU FABIEN</v>
      </c>
      <c r="C13" s="5">
        <v>600000</v>
      </c>
      <c r="D13" s="43">
        <f>VLOOKUP(A13,'[17]EPARGNE 2023'!$A$5:$BF$47,4,0)</f>
        <v>584.0460014406126</v>
      </c>
      <c r="E13" s="36"/>
      <c r="F13" s="5">
        <f t="shared" si="0"/>
        <v>600584.04600144061</v>
      </c>
      <c r="G13" s="6">
        <v>38150.353131234224</v>
      </c>
      <c r="H13" s="6">
        <f t="shared" si="1"/>
        <v>638734.39913267479</v>
      </c>
      <c r="I13" s="36">
        <f>VLOOKUP($A13,[16]HISTODEC22!$A$6:$AQ$37,22,0)</f>
        <v>0</v>
      </c>
      <c r="J13" s="36">
        <f>VLOOKUP($A13,[16]HISTODEC22!$A$6:$AU$39,45,0)</f>
        <v>12000</v>
      </c>
      <c r="K13" s="6"/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VLOOKUP($A13,[18]HISTODEC22!$A$6:$AU$39,26,0)</f>
        <v>1000000</v>
      </c>
      <c r="S13" s="36">
        <f>VLOOKUP($A13,[18]HISTODEC22!$A$6:$BG$39,58,0)</f>
        <v>120000</v>
      </c>
      <c r="T13" s="36">
        <f>VLOOKUP($A13,[16]HISTODEC22!$A$6:$AU$39,28,0)</f>
        <v>0</v>
      </c>
      <c r="U13" s="36">
        <f>VLOOKUP($A13,[16]HISTODEC22!$A$6:$AU$39,19,0)</f>
        <v>1000000</v>
      </c>
      <c r="V13" s="36" t="str">
        <f>VLOOKUP($A13,[16]HISTODEC22!$A$6:$AU$39,20,0)</f>
        <v>BANQUE</v>
      </c>
      <c r="W13" s="36" t="str">
        <f>VLOOKUP($A13,[16]HISTODEC22!$A$6:$AU$39,27,0)</f>
        <v>BANQUE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ht="14.25" customHeight="1" x14ac:dyDescent="0.25">
      <c r="A14" s="1" t="s">
        <v>26</v>
      </c>
      <c r="B14" s="1" t="str">
        <f>VLOOKUP(A14,[15]LISTADHERENT!$A$5:$J$45,3,0)</f>
        <v>DONHOU DAVID</v>
      </c>
      <c r="C14" s="5">
        <v>600000</v>
      </c>
      <c r="D14" s="43">
        <f>VLOOKUP(A14,'[17]EPARGNE 2023'!$A$5:$BF$47,4,0)</f>
        <v>458343.17855274049</v>
      </c>
      <c r="E14" s="36"/>
      <c r="F14" s="5">
        <f t="shared" si="0"/>
        <v>1058343.1785527405</v>
      </c>
      <c r="G14" s="6">
        <v>67228.169420476217</v>
      </c>
      <c r="H14" s="6">
        <f t="shared" si="1"/>
        <v>1125571.3479732168</v>
      </c>
      <c r="I14" s="36">
        <f>VLOOKUP($A14,[16]HISTODEC22!$A$6:$AQ$37,22,0)</f>
        <v>0</v>
      </c>
      <c r="J14" s="36">
        <f>VLOOKUP($A14,[16]HISTODEC22!$A$6:$AU$39,45,0)</f>
        <v>12000</v>
      </c>
      <c r="K14" s="6"/>
      <c r="L14" s="36">
        <f t="shared" si="2"/>
        <v>500</v>
      </c>
      <c r="M14" s="36">
        <f t="shared" si="3"/>
        <v>1000</v>
      </c>
      <c r="N14" s="36">
        <f t="shared" si="4"/>
        <v>2500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VLOOKUP($A14,[18]HISTODEC22!$A$6:$AU$39,26,0)</f>
        <v>0</v>
      </c>
      <c r="S14" s="36">
        <f>VLOOKUP($A14,[18]HISTODEC22!$A$6:$BG$39,58,0)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x14ac:dyDescent="0.25">
      <c r="A15" s="1" t="s">
        <v>28</v>
      </c>
      <c r="B15" s="1" t="str">
        <f>VLOOKUP(A15,[15]LISTADHERENT!$A$5:$J$45,3,0)</f>
        <v>HENGUE PAUL OMER</v>
      </c>
      <c r="C15" s="5">
        <v>600000</v>
      </c>
      <c r="D15" s="43">
        <f>VLOOKUP(A15,'[17]EPARGNE 2023'!$A$5:$BF$47,4,0)</f>
        <v>51112.01036672492</v>
      </c>
      <c r="E15" s="36"/>
      <c r="F15" s="5">
        <f t="shared" si="0"/>
        <v>651112.01036672492</v>
      </c>
      <c r="G15" s="6">
        <v>41359.994972991364</v>
      </c>
      <c r="H15" s="6">
        <f t="shared" si="1"/>
        <v>692472.00533971633</v>
      </c>
      <c r="I15" s="36">
        <f>VLOOKUP($A15,[16]HISTODEC22!$A$6:$AQ$37,22,0)</f>
        <v>0</v>
      </c>
      <c r="J15" s="36">
        <f>VLOOKUP($A15,[16]HISTODEC22!$A$6:$AU$39,45,0)</f>
        <v>7000</v>
      </c>
      <c r="K15" s="6"/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VLOOKUP($A15,[18]HISTODEC22!$A$6:$AU$39,26,0)</f>
        <v>0</v>
      </c>
      <c r="S15" s="36">
        <f>VLOOKUP($A15,[18]HISTODEC22!$A$6:$BG$39,58,0)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25">
      <c r="A16" s="1" t="s">
        <v>29</v>
      </c>
      <c r="B16" s="1" t="str">
        <f>VLOOKUP(A16,[15]LISTADHERENT!$A$5:$J$45,3,0)</f>
        <v>HOTCHO BENJAMIN</v>
      </c>
      <c r="C16" s="5">
        <v>600000</v>
      </c>
      <c r="D16" s="43">
        <f>VLOOKUP(A16,'[17]EPARGNE 2023'!$A$5:$BF$47,4,0)</f>
        <v>16229.566345777828</v>
      </c>
      <c r="E16" s="36"/>
      <c r="F16" s="5">
        <f t="shared" si="0"/>
        <v>616229.56634577783</v>
      </c>
      <c r="G16" s="6">
        <v>39144.189264631852</v>
      </c>
      <c r="H16" s="6">
        <f t="shared" si="1"/>
        <v>655373.75561040966</v>
      </c>
      <c r="I16" s="36">
        <f>VLOOKUP($A16,[16]HISTODEC22!$A$6:$AQ$37,22,0)</f>
        <v>0</v>
      </c>
      <c r="J16" s="36">
        <f>VLOOKUP($A16,[16]HISTODEC22!$A$6:$AU$39,45,0)</f>
        <v>52000</v>
      </c>
      <c r="K16" s="6"/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VLOOKUP($A16,[18]HISTODEC22!$A$6:$AU$39,26,0)</f>
        <v>1000000</v>
      </c>
      <c r="S16" s="36">
        <f>VLOOKUP($A16,[18]HISTODEC22!$A$6:$BG$39,58,0)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25">
      <c r="A17" s="1" t="s">
        <v>33</v>
      </c>
      <c r="B17" s="1" t="str">
        <f>VLOOKUP(A17,[15]LISTADHERENT!$A$5:$J$45,3,0)</f>
        <v>KOUAMOU MOISE</v>
      </c>
      <c r="C17" s="5">
        <v>600000</v>
      </c>
      <c r="D17" s="43">
        <f>VLOOKUP(A17,'[17]EPARGNE 2023'!$A$5:$BF$47,4,0)</f>
        <v>53292.832106360001</v>
      </c>
      <c r="E17" s="36"/>
      <c r="F17" s="5">
        <f t="shared" si="0"/>
        <v>653292.83210636</v>
      </c>
      <c r="G17" s="6">
        <v>41498.525325299706</v>
      </c>
      <c r="H17" s="6">
        <f t="shared" si="1"/>
        <v>694791.35743165971</v>
      </c>
      <c r="I17" s="36">
        <f>VLOOKUP($A17,[16]HISTODEC22!$A$6:$AQ$37,22,0)</f>
        <v>0</v>
      </c>
      <c r="J17" s="36">
        <f>VLOOKUP($A17,[16]HISTODEC22!$A$6:$AU$39,45,0)</f>
        <v>7000</v>
      </c>
      <c r="K17" s="6"/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VLOOKUP($A17,[18]HISTODEC22!$A$6:$AU$39,26,0)</f>
        <v>0</v>
      </c>
      <c r="S17" s="36">
        <f>VLOOKUP($A17,[18]HISTODEC22!$A$6:$BG$39,58,0)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25">
      <c r="A18" s="1" t="s">
        <v>35</v>
      </c>
      <c r="B18" s="1" t="str">
        <f>VLOOKUP(A18,[15]LISTADHERENT!$A$5:$J$45,3,0)</f>
        <v>KOUATCHO MESSACK</v>
      </c>
      <c r="C18" s="5">
        <v>600000</v>
      </c>
      <c r="D18" s="43">
        <f>VLOOKUP(A18,'[17]EPARGNE 2023'!$A$5:$BF$47,4,0)</f>
        <v>6459.0432257176144</v>
      </c>
      <c r="E18" s="36"/>
      <c r="F18" s="5">
        <f t="shared" si="0"/>
        <v>606459.04322571761</v>
      </c>
      <c r="G18" s="6">
        <v>38523.545226900802</v>
      </c>
      <c r="H18" s="6">
        <f t="shared" si="1"/>
        <v>644982.58845261845</v>
      </c>
      <c r="I18" s="36">
        <f>VLOOKUP($A18,[16]HISTODEC22!$A$6:$AQ$37,22,0)</f>
        <v>0</v>
      </c>
      <c r="J18" s="36">
        <f>VLOOKUP($A18,[16]HISTODEC22!$A$6:$AU$39,45,0)</f>
        <v>7000</v>
      </c>
      <c r="K18" s="6"/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VLOOKUP($A18,[18]HISTODEC22!$A$6:$AU$39,26,0)</f>
        <v>1000000</v>
      </c>
      <c r="S18" s="36">
        <f>VLOOKUP($A18,[18]HISTODEC22!$A$6:$BG$39,58,0)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25">
      <c r="A19" s="1" t="s">
        <v>36</v>
      </c>
      <c r="B19" s="1" t="str">
        <f>VLOOKUP(A19,[15]LISTADHERENT!$A$5:$J$45,3,0)</f>
        <v>LOWE JEAN</v>
      </c>
      <c r="C19" s="5">
        <v>600000</v>
      </c>
      <c r="D19" s="43">
        <f>VLOOKUP(A19,'[17]EPARGNE 2023'!$A$5:$BF$47,4,0)</f>
        <v>746.1759009861853</v>
      </c>
      <c r="E19" s="36"/>
      <c r="F19" s="5">
        <f t="shared" si="0"/>
        <v>600746.17590098619</v>
      </c>
      <c r="G19" s="6">
        <v>38160.651961118194</v>
      </c>
      <c r="H19" s="6">
        <f t="shared" si="1"/>
        <v>638906.8278621044</v>
      </c>
      <c r="I19" s="36">
        <f>VLOOKUP($A19,[16]HISTODEC22!$A$6:$AQ$37,22,0)</f>
        <v>0</v>
      </c>
      <c r="J19" s="36">
        <f>VLOOKUP($A19,[16]HISTODEC22!$A$6:$AU$39,45,0)</f>
        <v>7000</v>
      </c>
      <c r="K19" s="6"/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VLOOKUP($A19,[18]HISTODEC22!$A$6:$AU$39,26,0)</f>
        <v>1000000</v>
      </c>
      <c r="S19" s="36">
        <f>VLOOKUP($A19,[18]HISTODEC22!$A$6:$BG$39,58,0)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25">
      <c r="A20" s="1" t="s">
        <v>75</v>
      </c>
      <c r="B20" s="1" t="str">
        <f>VLOOKUP(A20,[15]LISTADHERENT!$A$5:$J$45,3,0)</f>
        <v>MBOGNING TUGMA GUY</v>
      </c>
      <c r="C20" s="5">
        <v>600000</v>
      </c>
      <c r="D20" s="43">
        <f>VLOOKUP(A20,'[17]EPARGNE 2023'!$A$5:$BF$47,4,0)</f>
        <v>47746</v>
      </c>
      <c r="E20" s="36"/>
      <c r="F20" s="5">
        <f t="shared" si="0"/>
        <v>647746</v>
      </c>
      <c r="G20" s="6">
        <v>41146.178963410508</v>
      </c>
      <c r="H20" s="6">
        <f t="shared" si="1"/>
        <v>688892.17896341055</v>
      </c>
      <c r="I20" s="36">
        <f>VLOOKUP($A20,[16]HISTODEC22!$A$6:$AQ$37,22,0)</f>
        <v>0</v>
      </c>
      <c r="J20" s="36">
        <f>VLOOKUP($A20,[16]HISTODEC22!$A$6:$AU$39,45,0)</f>
        <v>7000</v>
      </c>
      <c r="K20" s="6"/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VLOOKUP($A20,[18]HISTODEC22!$A$6:$AU$39,26,0)</f>
        <v>1000000</v>
      </c>
      <c r="S20" s="36">
        <f>VLOOKUP($A20,[18]HISTODEC22!$A$6:$BG$39,58,0)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25">
      <c r="A21" s="1" t="s">
        <v>50</v>
      </c>
      <c r="B21" s="1" t="str">
        <f>VLOOKUP(A21,[15]LISTADHERENT!$A$5:$J$45,3,0)</f>
        <v>NANGUEN MARTIN</v>
      </c>
      <c r="C21" s="5">
        <v>600000</v>
      </c>
      <c r="D21" s="43">
        <f>VLOOKUP(A21,'[17]EPARGNE 2023'!$A$5:$BF$47,4,0)</f>
        <v>51342.559108640766</v>
      </c>
      <c r="E21" s="36"/>
      <c r="F21" s="5">
        <f t="shared" si="0"/>
        <v>651342.55910864077</v>
      </c>
      <c r="G21" s="6">
        <v>41374.639910659302</v>
      </c>
      <c r="H21" s="6">
        <f t="shared" si="1"/>
        <v>692717.19901930005</v>
      </c>
      <c r="I21" s="36">
        <f>VLOOKUP($A21,[16]HISTODEC22!$A$6:$AQ$37,22,0)</f>
        <v>0</v>
      </c>
      <c r="J21" s="36">
        <f>VLOOKUP($A21,[16]HISTODEC22!$A$6:$AU$39,45,0)</f>
        <v>7000</v>
      </c>
      <c r="K21" s="6"/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VLOOKUP($A21,[18]HISTODEC22!$A$6:$AU$39,26,0)</f>
        <v>500000</v>
      </c>
      <c r="S21" s="36">
        <f>VLOOKUP($A21,[18]HISTODEC22!$A$6:$BG$39,58,0)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25">
      <c r="A22" s="1" t="s">
        <v>37</v>
      </c>
      <c r="B22" s="1" t="str">
        <f>VLOOKUP(A22,[15]LISTADHERENT!$A$5:$J$45,3,0)</f>
        <v>NANKAM APPOLINAIRE</v>
      </c>
      <c r="C22" s="5">
        <v>600000</v>
      </c>
      <c r="D22" s="43">
        <f>VLOOKUP(A22,'[17]EPARGNE 2023'!$A$5:$BF$47,4,0)</f>
        <v>140918.4930248888</v>
      </c>
      <c r="E22" s="36"/>
      <c r="F22" s="5">
        <f t="shared" si="0"/>
        <v>740918.4930248888</v>
      </c>
      <c r="G22" s="6">
        <v>47064.690343595321</v>
      </c>
      <c r="H22" s="6">
        <f t="shared" si="1"/>
        <v>787983.18336848414</v>
      </c>
      <c r="I22" s="36">
        <f>VLOOKUP($A22,[16]HISTODEC22!$A$6:$AQ$37,22,0)</f>
        <v>0</v>
      </c>
      <c r="J22" s="36">
        <f>VLOOKUP($A22,[16]HISTODEC22!$A$6:$AU$39,45,0)</f>
        <v>7000</v>
      </c>
      <c r="K22" s="6"/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VLOOKUP($A22,[18]HISTODEC22!$A$6:$AU$39,26,0)</f>
        <v>1000000</v>
      </c>
      <c r="S22" s="36">
        <f>VLOOKUP($A22,[18]HISTODEC22!$A$6:$BG$39,58,0)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25">
      <c r="A23" s="1" t="s">
        <v>38</v>
      </c>
      <c r="B23" s="1" t="str">
        <f>VLOOKUP(A23,[15]LISTADHERENT!$A$5:$J$45,3,0)</f>
        <v>NDJOMO ETIENNE</v>
      </c>
      <c r="C23" s="5">
        <v>600000</v>
      </c>
      <c r="D23" s="43">
        <f>VLOOKUP(A23,'[17]EPARGNE 2023'!$A$5:$BF$47,4,0)</f>
        <v>283210.4580118584</v>
      </c>
      <c r="E23" s="36"/>
      <c r="F23" s="5">
        <f t="shared" si="0"/>
        <v>883210.4580118584</v>
      </c>
      <c r="G23" s="6">
        <v>56103.373185958211</v>
      </c>
      <c r="H23" s="6">
        <f t="shared" si="1"/>
        <v>939313.83119781665</v>
      </c>
      <c r="I23" s="36">
        <f>VLOOKUP($A23,[16]HISTODEC22!$A$6:$AQ$37,22,0)</f>
        <v>0</v>
      </c>
      <c r="J23" s="36">
        <f>VLOOKUP($A23,[16]HISTODEC22!$A$6:$AU$39,45,0)</f>
        <v>27000</v>
      </c>
      <c r="K23" s="6"/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VLOOKUP($A23,[18]HISTODEC22!$A$6:$AU$39,26,0)</f>
        <v>600000</v>
      </c>
      <c r="S23" s="36">
        <f>VLOOKUP($A23,[18]HISTODEC22!$A$6:$BG$39,58,0)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25">
      <c r="A24" s="1" t="s">
        <v>39</v>
      </c>
      <c r="B24" s="1" t="str">
        <f>VLOOKUP(A24,[15]LISTADHERENT!$A$5:$J$45,3,0)</f>
        <v>NGONDIEP CLAUDE</v>
      </c>
      <c r="C24" s="5">
        <v>600000</v>
      </c>
      <c r="D24" s="43">
        <f>VLOOKUP(A24,'[17]EPARGNE 2023'!$A$5:$BF$47,4,0)</f>
        <v>39787.038443138823</v>
      </c>
      <c r="E24" s="36"/>
      <c r="F24" s="5">
        <f t="shared" si="0"/>
        <v>639787.03844313882</v>
      </c>
      <c r="G24" s="6">
        <v>40640.609100251932</v>
      </c>
      <c r="H24" s="6">
        <f t="shared" si="1"/>
        <v>680427.64754339075</v>
      </c>
      <c r="I24" s="36">
        <f>VLOOKUP($A24,[16]HISTODEC22!$A$6:$AQ$37,22,0)</f>
        <v>0</v>
      </c>
      <c r="J24" s="36">
        <f>VLOOKUP($A24,[16]HISTODEC22!$A$6:$AU$39,45,0)</f>
        <v>42000</v>
      </c>
      <c r="K24" s="6"/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VLOOKUP($A24,[18]HISTODEC22!$A$6:$AU$39,26,0)</f>
        <v>1000000</v>
      </c>
      <c r="S24" s="36">
        <f>VLOOKUP($A24,[18]HISTODEC22!$A$6:$BG$39,58,0)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25">
      <c r="A25" s="1" t="s">
        <v>41</v>
      </c>
      <c r="B25" s="1" t="str">
        <f>VLOOKUP(A25,[15]LISTADHERENT!$A$5:$J$45,3,0)</f>
        <v>NGUIEMEGNI MATHIEU BLAISE</v>
      </c>
      <c r="C25" s="5">
        <v>600000</v>
      </c>
      <c r="D25" s="43">
        <f>VLOOKUP(A25,'[17]EPARGNE 2023'!$A$5:$BF$47,4,0)</f>
        <v>13695.736143450369</v>
      </c>
      <c r="E25" s="36"/>
      <c r="F25" s="5">
        <f t="shared" si="0"/>
        <v>613695.73614345037</v>
      </c>
      <c r="G25" s="6">
        <v>38983.235077392012</v>
      </c>
      <c r="H25" s="6">
        <f t="shared" si="1"/>
        <v>652678.97122084233</v>
      </c>
      <c r="I25" s="36">
        <f>VLOOKUP($A25,[16]HISTODEC22!$A$6:$AQ$37,22,0)</f>
        <v>0</v>
      </c>
      <c r="J25" s="36">
        <f>VLOOKUP($A25,[16]HISTODEC22!$A$6:$AU$39,45,0)</f>
        <v>7000</v>
      </c>
      <c r="K25" s="6"/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VLOOKUP($A25,[18]HISTODEC22!$A$6:$AU$39,26,0)</f>
        <v>1000000</v>
      </c>
      <c r="S25" s="36">
        <f>VLOOKUP($A25,[18]HISTODEC22!$A$6:$BG$39,58,0)</f>
        <v>120000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25">
      <c r="A26" s="1" t="s">
        <v>43</v>
      </c>
      <c r="B26" s="1" t="str">
        <f>VLOOKUP(A26,[15]LISTADHERENT!$A$5:$J$45,3,0)</f>
        <v>NKAMGANG JUSTIN DEJOLIE</v>
      </c>
      <c r="C26" s="5">
        <v>600000</v>
      </c>
      <c r="D26" s="43">
        <f>VLOOKUP(A26,'[17]EPARGNE 2023'!$A$5:$BF$47,4,0)</f>
        <v>575.28052728832699</v>
      </c>
      <c r="E26" s="36"/>
      <c r="F26" s="5">
        <f t="shared" si="0"/>
        <v>600575.28052728833</v>
      </c>
      <c r="G26" s="6">
        <v>38149.796330006327</v>
      </c>
      <c r="H26" s="6">
        <f t="shared" si="1"/>
        <v>638725.07685729465</v>
      </c>
      <c r="I26" s="36">
        <f>VLOOKUP($A26,[16]HISTODEC22!$A$6:$AQ$37,22,0)</f>
        <v>0</v>
      </c>
      <c r="J26" s="36">
        <f>VLOOKUP($A26,[16]HISTODEC22!$A$6:$AU$39,45,0)</f>
        <v>7000</v>
      </c>
      <c r="K26" s="6"/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VLOOKUP($A26,[18]HISTODEC22!$A$6:$AU$39,26,0)</f>
        <v>1000000</v>
      </c>
      <c r="S26" s="36">
        <f>VLOOKUP($A26,[18]HISTODEC22!$A$6:$BG$39,58,0)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25">
      <c r="A27" s="1" t="s">
        <v>172</v>
      </c>
      <c r="B27" s="1" t="str">
        <f>VLOOKUP(A27,[15]LISTADHERENT!$A$5:$J$45,3,0)</f>
        <v>NOUBE ETIENNE</v>
      </c>
      <c r="C27" s="5">
        <v>0</v>
      </c>
      <c r="D27" s="43">
        <f>VLOOKUP(A27,'[17]EPARGNE 2023'!$A$5:$BF$47,4,0)</f>
        <v>0</v>
      </c>
      <c r="E27" s="36"/>
      <c r="F27" s="5">
        <f t="shared" si="0"/>
        <v>0</v>
      </c>
      <c r="G27" s="6">
        <v>0</v>
      </c>
      <c r="H27" s="6">
        <f t="shared" si="1"/>
        <v>0</v>
      </c>
      <c r="I27" s="36"/>
      <c r="J27" s="36"/>
      <c r="K27" s="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x14ac:dyDescent="0.25">
      <c r="A28" s="1" t="s">
        <v>45</v>
      </c>
      <c r="B28" s="1" t="str">
        <f>VLOOKUP(A28,[15]LISTADHERENT!$A$5:$J$45,3,0)</f>
        <v>PATEGO NJOSSU GUSTAVE</v>
      </c>
      <c r="C28" s="5">
        <v>600000</v>
      </c>
      <c r="D28" s="43">
        <f>VLOOKUP(A28,'[17]EPARGNE 2023'!$A$5:$BF$47,4,0)</f>
        <v>21451.962695348077</v>
      </c>
      <c r="E28" s="36"/>
      <c r="F28" s="5">
        <f t="shared" si="0"/>
        <v>621451.96269534808</v>
      </c>
      <c r="G28" s="6">
        <v>39475.926789552548</v>
      </c>
      <c r="H28" s="6">
        <f t="shared" si="1"/>
        <v>660927.88948490063</v>
      </c>
      <c r="I28" s="36">
        <f>VLOOKUP($A28,[16]HISTODEC22!$A$6:$AQ$37,22,0)</f>
        <v>0</v>
      </c>
      <c r="J28" s="36">
        <f>VLOOKUP($A28,[16]HISTODEC22!$A$6:$AU$39,45,0)</f>
        <v>7000</v>
      </c>
      <c r="K28" s="6"/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VLOOKUP($A28,[18]HISTODEC22!$A$6:$AU$39,26,0)</f>
        <v>0</v>
      </c>
      <c r="S28" s="36">
        <f>VLOOKUP($A28,[18]HISTODEC22!$A$6:$BG$39,58,0)</f>
        <v>0</v>
      </c>
      <c r="T28" s="36">
        <f>VLOOKUP($A28,[16]HISTODEC22!$A$6:$AU$39,28,0)</f>
        <v>0</v>
      </c>
      <c r="U28" s="36">
        <f>VLOOKUP($A28,[16]HISTODEC22!$A$6:$AU$39,19,0)</f>
        <v>0</v>
      </c>
      <c r="V28" s="36">
        <f>VLOOKUP($A28,[16]HISTODEC22!$A$6:$AU$39,20,0)</f>
        <v>0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25">
      <c r="A29" s="1" t="s">
        <v>312</v>
      </c>
      <c r="B29" s="1" t="str">
        <f>VLOOKUP(A29,[15]LISTADHERENT!$A$5:$J$45,3,0)</f>
        <v>SEUMO POLYCARPE</v>
      </c>
      <c r="C29" s="5">
        <v>0</v>
      </c>
      <c r="D29" s="43">
        <f>VLOOKUP(A29,'[17]EPARGNE 2023'!$A$5:$BF$47,4,0)</f>
        <v>0</v>
      </c>
      <c r="E29" s="36"/>
      <c r="F29" s="5">
        <f t="shared" si="0"/>
        <v>0</v>
      </c>
      <c r="G29" s="6">
        <v>0</v>
      </c>
      <c r="H29" s="6">
        <f t="shared" si="1"/>
        <v>0</v>
      </c>
      <c r="I29" s="36"/>
      <c r="J29" s="36"/>
      <c r="K29" s="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x14ac:dyDescent="0.25">
      <c r="A30" s="1" t="s">
        <v>81</v>
      </c>
      <c r="B30" s="1" t="str">
        <f>VLOOKUP(A30,[15]LISTADHERENT!$A$5:$J$45,3,0)</f>
        <v>SIME BRICE</v>
      </c>
      <c r="C30" s="5">
        <v>600000</v>
      </c>
      <c r="D30" s="43">
        <f>VLOOKUP(A30,'[17]EPARGNE 2023'!$A$5:$BF$47,4,0)</f>
        <v>200752.48017057346</v>
      </c>
      <c r="E30" s="36"/>
      <c r="F30" s="5">
        <f t="shared" si="0"/>
        <v>800752.48017057346</v>
      </c>
      <c r="G30" s="6">
        <v>50865.470191237371</v>
      </c>
      <c r="H30" s="6">
        <f t="shared" si="1"/>
        <v>851617.95036181086</v>
      </c>
      <c r="I30" s="36">
        <f>VLOOKUP($A30,[16]HISTODEC22!$A$6:$AQ$37,22,0)</f>
        <v>0</v>
      </c>
      <c r="J30" s="36">
        <f>VLOOKUP($A30,[16]HISTODEC22!$A$6:$AU$39,45,0)</f>
        <v>7000</v>
      </c>
      <c r="K30" s="6"/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VLOOKUP($A30,[18]HISTODEC22!$A$6:$AU$39,26,0)</f>
        <v>0</v>
      </c>
      <c r="S30" s="36">
        <f>VLOOKUP($A30,[18]HISTODEC22!$A$6:$BG$39,58,0)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25">
      <c r="A31" s="1" t="s">
        <v>49</v>
      </c>
      <c r="B31" s="1" t="str">
        <f>VLOOKUP(A31,[15]LISTADHERENT!$A$5:$J$45,3,0)</f>
        <v>SIMO PIERRE</v>
      </c>
      <c r="C31" s="5">
        <v>600000</v>
      </c>
      <c r="D31" s="43">
        <f>VLOOKUP(A31,'[17]EPARGNE 2023'!$A$5:$BF$47,4,0)</f>
        <v>103606.47183067317</v>
      </c>
      <c r="E31" s="36"/>
      <c r="F31" s="5">
        <f t="shared" si="0"/>
        <v>703606.47183067317</v>
      </c>
      <c r="G31" s="6">
        <v>44694.552818170603</v>
      </c>
      <c r="H31" s="6">
        <f t="shared" si="1"/>
        <v>748301.0246488438</v>
      </c>
      <c r="I31" s="36">
        <f>VLOOKUP($A31,[16]HISTODEC22!$A$6:$AQ$37,22,0)</f>
        <v>0</v>
      </c>
      <c r="J31" s="36">
        <f>VLOOKUP($A31,[16]HISTODEC22!$A$6:$AU$39,45,0)</f>
        <v>7000</v>
      </c>
      <c r="K31" s="6"/>
      <c r="L31" s="36">
        <f t="shared" si="2"/>
        <v>500</v>
      </c>
      <c r="M31" s="36">
        <f t="shared" si="3"/>
        <v>1000</v>
      </c>
      <c r="N31" s="36">
        <f t="shared" si="4"/>
        <v>2500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VLOOKUP($A31,[18]HISTODEC22!$A$6:$AU$39,26,0)</f>
        <v>1000000</v>
      </c>
      <c r="S31" s="36">
        <f>VLOOKUP($A31,[18]HISTODEC22!$A$6:$BG$39,58,0)</f>
        <v>120000</v>
      </c>
      <c r="T31" s="36">
        <f>VLOOKUP($A31,[16]HISTODEC22!$A$6:$AU$39,28,0)</f>
        <v>0</v>
      </c>
      <c r="U31" s="36">
        <f>VLOOKUP($A31,[16]HISTODEC22!$A$6:$AU$39,19,0)</f>
        <v>800000</v>
      </c>
      <c r="V31" s="36" t="str">
        <f>VLOOKUP($A31,[16]HISTODEC22!$A$6:$AU$39,20,0)</f>
        <v>BANQUE</v>
      </c>
      <c r="W31" s="36" t="str">
        <f>VLOOKUP($A31,[16]HISTODEC22!$A$6:$AU$39,27,0)</f>
        <v>BANQUE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25">
      <c r="A32" s="1" t="s">
        <v>51</v>
      </c>
      <c r="B32" s="1" t="str">
        <f>VLOOKUP(A32,[15]LISTADHERENT!$A$5:$J$45,3,0)</f>
        <v>TCHOUAMOU MATHIEU</v>
      </c>
      <c r="C32" s="5">
        <v>600000</v>
      </c>
      <c r="D32" s="43">
        <f>VLOOKUP(A32,'[17]EPARGNE 2023'!$A$5:$BF$47,4,0)</f>
        <v>4207.8699443503283</v>
      </c>
      <c r="E32" s="36"/>
      <c r="F32" s="5">
        <f t="shared" si="0"/>
        <v>604207.86994435033</v>
      </c>
      <c r="G32" s="6">
        <v>38380.545997707901</v>
      </c>
      <c r="H32" s="6">
        <f t="shared" si="1"/>
        <v>642588.4159420582</v>
      </c>
      <c r="I32" s="36">
        <f>VLOOKUP($A32,[16]HISTODEC22!$A$6:$AQ$37,22,0)</f>
        <v>0</v>
      </c>
      <c r="J32" s="36">
        <f>VLOOKUP($A32,[16]HISTODEC22!$A$6:$AU$39,45,0)</f>
        <v>7000</v>
      </c>
      <c r="K32" s="6"/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VLOOKUP($A32,[18]HISTODEC22!$A$6:$AU$39,26,0)</f>
        <v>1000000</v>
      </c>
      <c r="S32" s="36">
        <f>VLOOKUP($A32,[18]HISTODEC22!$A$6:$BG$39,58,0)</f>
        <v>30000</v>
      </c>
      <c r="T32" s="36">
        <f>VLOOKUP($A32,[16]HISTODEC22!$A$6:$AU$39,28,0)</f>
        <v>0</v>
      </c>
      <c r="U32" s="36">
        <f>VLOOKUP($A32,[16]HISTODEC22!$A$6:$AU$39,19,0)</f>
        <v>1000000</v>
      </c>
      <c r="V32" s="36" t="str">
        <f>VLOOKUP($A32,[16]HISTODEC22!$A$6:$AU$39,20,0)</f>
        <v>BANQUE</v>
      </c>
      <c r="W32" s="36">
        <f>VLOOKUP($A32,[16]HISTODEC22!$A$6:$AU$39,27,0)</f>
        <v>0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25">
      <c r="A33" s="1" t="s">
        <v>53</v>
      </c>
      <c r="B33" s="1" t="str">
        <f>VLOOKUP(A33,[15]LISTADHERENT!$A$5:$J$45,3,0)</f>
        <v>TCHOUTOU NANA CLAUDE</v>
      </c>
      <c r="C33" s="5">
        <v>0</v>
      </c>
      <c r="D33" s="43">
        <f>VLOOKUP(A33,'[17]EPARGNE 2023'!$A$5:$BF$47,4,0)</f>
        <v>0</v>
      </c>
      <c r="E33" s="36"/>
      <c r="F33" s="5">
        <f t="shared" si="0"/>
        <v>0</v>
      </c>
      <c r="G33" s="6">
        <v>0</v>
      </c>
      <c r="H33" s="6">
        <f t="shared" si="1"/>
        <v>0</v>
      </c>
      <c r="I33" s="36"/>
      <c r="J33" s="36"/>
      <c r="K33" s="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x14ac:dyDescent="0.25">
      <c r="A34" s="1" t="s">
        <v>313</v>
      </c>
      <c r="B34" s="1" t="str">
        <f>VLOOKUP(A34,[15]LISTADHERENT!$A$5:$J$45,3,0)</f>
        <v>YANTCHOU GERVAIS</v>
      </c>
      <c r="C34" s="5">
        <v>0</v>
      </c>
      <c r="D34" s="43">
        <f>VLOOKUP(A34,'[17]EPARGNE 2023'!$A$5:$BF$47,4,0)</f>
        <v>0</v>
      </c>
      <c r="E34" s="36"/>
      <c r="F34" s="5">
        <f t="shared" si="0"/>
        <v>0</v>
      </c>
      <c r="G34" s="6">
        <v>0</v>
      </c>
      <c r="H34" s="6">
        <f t="shared" si="1"/>
        <v>0</v>
      </c>
      <c r="I34" s="36"/>
      <c r="J34" s="36"/>
      <c r="K34" s="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x14ac:dyDescent="0.25">
      <c r="A35" s="1" t="s">
        <v>55</v>
      </c>
      <c r="B35" s="1" t="str">
        <f>VLOOKUP(A35,[15]LISTADHERENT!$A$5:$J$45,3,0)</f>
        <v>YEPMOU JEAN JACQUES</v>
      </c>
      <c r="C35" s="5">
        <v>600000</v>
      </c>
      <c r="D35" s="43">
        <f>VLOOKUP(A35,'[17]EPARGNE 2023'!$A$5:$BF$47,4,0)</f>
        <v>914734.42229355336</v>
      </c>
      <c r="E35" s="1"/>
      <c r="F35" s="5">
        <f t="shared" si="0"/>
        <v>1514734.4222935534</v>
      </c>
      <c r="G35" s="6">
        <v>96219.094555163261</v>
      </c>
      <c r="H35" s="6">
        <f t="shared" si="1"/>
        <v>1610953.5168487167</v>
      </c>
      <c r="I35" s="36">
        <f>VLOOKUP($A35,[16]HISTODEC22!$A$6:$AQ$37,22,0)</f>
        <v>0</v>
      </c>
      <c r="J35" s="36">
        <f>VLOOKUP($A35,[16]HISTODEC22!$A$6:$AU$39,45,0)</f>
        <v>7000</v>
      </c>
      <c r="K35" s="6"/>
      <c r="L35" s="36">
        <f t="shared" ref="L35:L36" si="5">IF(J35=0,0,500)</f>
        <v>500</v>
      </c>
      <c r="M35" s="36">
        <f t="shared" ref="M35:M36" si="6">IF(J35=0,0,1000)</f>
        <v>1000</v>
      </c>
      <c r="N35" s="36">
        <f t="shared" ref="N35:N36" si="7">IF(J35=0,0,2500)</f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VLOOKUP($A35,[18]HISTODEC22!$A$6:$AU$39,26,0)</f>
        <v>0</v>
      </c>
      <c r="S35" s="36">
        <f>VLOOKUP($A35,[18]HISTODEC22!$A$6:$BG$39,58,0)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25">
      <c r="A36" s="1" t="s">
        <v>56</v>
      </c>
      <c r="B36" s="1" t="str">
        <f>VLOOKUP(A36,[15]LISTADHERENT!$A$5:$J$45,3,0)</f>
        <v>YOUMBI EMMANUEL</v>
      </c>
      <c r="C36" s="5">
        <v>600000</v>
      </c>
      <c r="D36" s="43">
        <f>VLOOKUP(A36,'[17]EPARGNE 2023'!$A$5:$BF$47,4,0)</f>
        <v>1057774.2356918815</v>
      </c>
      <c r="E36" s="1"/>
      <c r="F36" s="5">
        <f t="shared" si="0"/>
        <v>1657774.2356918815</v>
      </c>
      <c r="G36" s="6">
        <v>105305.28229075785</v>
      </c>
      <c r="H36" s="6">
        <f t="shared" si="1"/>
        <v>1763079.5179826394</v>
      </c>
      <c r="I36" s="36">
        <f>VLOOKUP($A36,[16]HISTODEC22!$A$6:$AQ$37,22,0)</f>
        <v>0</v>
      </c>
      <c r="J36" s="36">
        <f>VLOOKUP($A36,[16]HISTODEC22!$A$6:$AU$39,45,0)</f>
        <v>7000</v>
      </c>
      <c r="K36" s="6"/>
      <c r="L36" s="36">
        <f t="shared" si="5"/>
        <v>500</v>
      </c>
      <c r="M36" s="36">
        <f t="shared" si="6"/>
        <v>1000</v>
      </c>
      <c r="N36" s="36">
        <f t="shared" si="7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VLOOKUP($A36,[18]HISTODEC22!$A$6:$AU$39,26,0)</f>
        <v>0</v>
      </c>
      <c r="S36" s="36">
        <f>VLOOKUP($A36,[18]HISTODEC22!$A$6:$BG$39,58,0)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25">
      <c r="A37" s="154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/>
      <c r="F37" s="5">
        <f t="shared" si="0"/>
        <v>602434</v>
      </c>
      <c r="G37" s="6">
        <v>38267.866073496785</v>
      </c>
      <c r="H37" s="6">
        <f t="shared" si="1"/>
        <v>640701.86607349676</v>
      </c>
      <c r="K37" s="6"/>
    </row>
    <row r="38" spans="1:36" x14ac:dyDescent="0.25">
      <c r="A38" s="155"/>
      <c r="B38" s="1"/>
      <c r="C38" s="5"/>
      <c r="D38" s="5"/>
      <c r="E38" s="5"/>
      <c r="F38" s="5"/>
      <c r="G38" s="6"/>
      <c r="H38" s="6"/>
      <c r="J38" s="153"/>
      <c r="K38" s="153"/>
    </row>
    <row r="39" spans="1:36" ht="18" x14ac:dyDescent="0.25">
      <c r="A39" s="1" t="s">
        <v>57</v>
      </c>
      <c r="B39" s="1"/>
      <c r="C39" s="9">
        <f t="shared" ref="C39:AJ39" si="8">SUM(C6:C37)</f>
        <v>15600000</v>
      </c>
      <c r="D39" s="9">
        <f t="shared" si="8"/>
        <v>4361560.1908109896</v>
      </c>
      <c r="E39" s="9">
        <f t="shared" si="8"/>
        <v>0</v>
      </c>
      <c r="F39" s="9">
        <f t="shared" si="8"/>
        <v>19961560.190810993</v>
      </c>
      <c r="G39" s="9">
        <f t="shared" si="8"/>
        <v>1267999.9999999998</v>
      </c>
      <c r="H39" s="9">
        <f t="shared" si="8"/>
        <v>21229560.19081099</v>
      </c>
      <c r="I39" s="9">
        <f t="shared" si="8"/>
        <v>0</v>
      </c>
      <c r="J39" s="9">
        <f t="shared" si="8"/>
        <v>286000</v>
      </c>
      <c r="K39" s="9">
        <f t="shared" si="8"/>
        <v>0</v>
      </c>
      <c r="L39" s="9">
        <f t="shared" si="8"/>
        <v>12500</v>
      </c>
      <c r="M39" s="9">
        <f t="shared" si="8"/>
        <v>25000</v>
      </c>
      <c r="N39" s="9">
        <f t="shared" si="8"/>
        <v>62500</v>
      </c>
      <c r="O39" s="9">
        <f t="shared" si="8"/>
        <v>0</v>
      </c>
      <c r="P39" s="9">
        <f t="shared" si="8"/>
        <v>0</v>
      </c>
      <c r="Q39" s="9">
        <f t="shared" si="8"/>
        <v>0</v>
      </c>
      <c r="R39" s="9">
        <f t="shared" si="8"/>
        <v>15600000</v>
      </c>
      <c r="S39" s="9">
        <f t="shared" si="8"/>
        <v>1268000</v>
      </c>
      <c r="T39" s="9">
        <f t="shared" si="8"/>
        <v>0</v>
      </c>
      <c r="U39" s="9">
        <f t="shared" si="8"/>
        <v>15041250</v>
      </c>
      <c r="V39" s="9">
        <f t="shared" si="8"/>
        <v>0</v>
      </c>
      <c r="W39" s="9">
        <f t="shared" si="8"/>
        <v>0</v>
      </c>
      <c r="X39" s="9">
        <f t="shared" si="8"/>
        <v>0</v>
      </c>
      <c r="Y39" s="9">
        <f t="shared" si="8"/>
        <v>0</v>
      </c>
      <c r="Z39" s="9">
        <f t="shared" si="8"/>
        <v>0</v>
      </c>
      <c r="AA39" s="9">
        <f t="shared" si="8"/>
        <v>0</v>
      </c>
      <c r="AB39" s="9">
        <f t="shared" si="8"/>
        <v>0</v>
      </c>
      <c r="AC39" s="9">
        <f t="shared" si="8"/>
        <v>0</v>
      </c>
      <c r="AD39" s="9">
        <f t="shared" si="8"/>
        <v>9000</v>
      </c>
      <c r="AE39" s="9">
        <f t="shared" si="8"/>
        <v>6000</v>
      </c>
      <c r="AF39" s="9">
        <f t="shared" si="8"/>
        <v>0</v>
      </c>
      <c r="AG39" s="9">
        <f t="shared" si="8"/>
        <v>0</v>
      </c>
      <c r="AH39" s="9">
        <f t="shared" si="8"/>
        <v>70000</v>
      </c>
      <c r="AI39" s="9">
        <f t="shared" si="8"/>
        <v>0</v>
      </c>
      <c r="AJ39" s="9">
        <f t="shared" si="8"/>
        <v>0</v>
      </c>
    </row>
    <row r="41" spans="1:36" ht="18" x14ac:dyDescent="0.25">
      <c r="C41">
        <v>536000</v>
      </c>
      <c r="D41">
        <v>4361500</v>
      </c>
      <c r="H41" s="9"/>
    </row>
    <row r="42" spans="1:36" ht="18" x14ac:dyDescent="0.25">
      <c r="C42" s="2">
        <f>C39-C41</f>
        <v>15064000</v>
      </c>
      <c r="D42" s="2">
        <f>D39-D41</f>
        <v>60.190810989588499</v>
      </c>
      <c r="F42" s="9">
        <v>19359126.190810993</v>
      </c>
    </row>
    <row r="43" spans="1:36" x14ac:dyDescent="0.25">
      <c r="H43" s="2">
        <f>H39-H41</f>
        <v>21229560.19081099</v>
      </c>
    </row>
  </sheetData>
  <autoFilter ref="A5:U34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G6" sqref="G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38" bestFit="1" customWidth="1"/>
    <col min="11" max="11" width="17.5703125" style="13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4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37"/>
      <c r="J4" s="157">
        <v>44943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>
        <f>VLOOKUP(A6,MVTDEC22!A6:AJ36,3,0)</f>
        <v>0</v>
      </c>
      <c r="D6" s="36">
        <f>MVTREPARTITION2022!U6</f>
        <v>816543.52134848095</v>
      </c>
      <c r="E6" s="36"/>
      <c r="F6" s="5">
        <f>MVTDEC22!F6+MVTDEC22!G6-MVTJANV23!E6+K6</f>
        <v>868412.0714604354</v>
      </c>
      <c r="G6" s="6">
        <f>$S$40/$F$40*F6</f>
        <v>0</v>
      </c>
      <c r="H6" s="6">
        <f>F6+G6</f>
        <v>868412.0714604354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VLOOKUP($A6,[18]HISTOJANV23!$A$6:$CA$36,60,0)</f>
        <v>6000</v>
      </c>
      <c r="AF6" s="36">
        <f>VLOOKUP($A6,[18]HISTOJANV23!$A$6:$CA$36,61,0)</f>
        <v>0</v>
      </c>
      <c r="AG6" s="36">
        <f>VLOOKUP($A6,[18]HISTOJANV23!$A$6:$CA$36,62,0)</f>
        <v>0</v>
      </c>
      <c r="AH6" s="36">
        <f>VLOOKUP($A6,[18]HISTOJANV23!$A$6:$CA$36,63,0)</f>
        <v>100000</v>
      </c>
      <c r="AI6" s="36">
        <f>VLOOKUP($A6,[18]HISTOJANV23!$A$6:$CA$36,64,0)</f>
        <v>0</v>
      </c>
      <c r="AJ6" s="36">
        <f>VLOOKUP($A6,[18]HISTOJANV23!$A$6:$CA$36,65,0)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36"/>
      <c r="E7" s="36">
        <f>VLOOKUP($A7,[18]HISTOJANV23!$A$6:$BA$36,48,0)</f>
        <v>0</v>
      </c>
      <c r="F7" s="5">
        <f>MVTDEC22!F7+MVTDEC22!G7-MVTJANV23!E7+K7</f>
        <v>609000</v>
      </c>
      <c r="G7" s="6">
        <f t="shared" ref="G7:G37" si="0">$S$40/$F$40*F7</f>
        <v>0</v>
      </c>
      <c r="H7" s="6">
        <f t="shared" ref="H7:H37" si="1">F7+G7</f>
        <v>609000</v>
      </c>
      <c r="I7" s="36">
        <f>VLOOKUP($A7,[18]HISTOJANV23!$A$6:$AQ$40,22,0)</f>
        <v>0</v>
      </c>
      <c r="J7" s="36">
        <f>VLOOKUP($A7,[18]HISTOJANV23!$A$6:$AU$36,45,0)</f>
        <v>79000</v>
      </c>
      <c r="K7" s="36">
        <f>IF(J7=0,0,J7-(L7+M7+N7))+536000</f>
        <v>609000</v>
      </c>
      <c r="L7" s="36">
        <f>IF(J7=0,0,1000)</f>
        <v>1000</v>
      </c>
      <c r="M7" s="36">
        <f t="shared" ref="M7" si="2">IF(J7=0,0,1000)</f>
        <v>1000</v>
      </c>
      <c r="N7" s="36">
        <f>IF(J7=0,0,4000)</f>
        <v>4000</v>
      </c>
      <c r="O7" s="36">
        <f>VLOOKUP($A7,[18]HISTOJANV23!$A$6:$AU$36,7,0)</f>
        <v>0</v>
      </c>
      <c r="P7" s="36">
        <f>VLOOKUP($A7,[18]HISTOJANV23!$A$6:$AU$36,23,0)</f>
        <v>0</v>
      </c>
      <c r="Q7" s="36">
        <f>VLOOKUP($A7,[18]HISTOJANV23!$A$6:$AU$36,46,0)</f>
        <v>0</v>
      </c>
      <c r="R7" s="36">
        <f>VLOOKUP($A7,[18]HISTOJANV23!$A$6:$AU$36,26,0)</f>
        <v>0</v>
      </c>
      <c r="S7" s="36">
        <f>VLOOKUP($A7,[18]HISTOJANV23!$A$6:$BG$36,58,0)</f>
        <v>0</v>
      </c>
      <c r="T7" s="36">
        <f>VLOOKUP($A7,[18]HISTOJANV23!$A$6:$AU$36,28,0)</f>
        <v>0</v>
      </c>
      <c r="U7" s="36">
        <f>VLOOKUP($A7,[18]HISTOJANV23!$A$6:$AU$36,19,0)</f>
        <v>0</v>
      </c>
      <c r="V7" s="36">
        <f>VLOOKUP($A7,[18]HISTOJANV23!$A$6:$AU$36,20,0)</f>
        <v>0</v>
      </c>
      <c r="W7" s="36">
        <f>VLOOKUP($A7,[18]HISTOJANV23!$A$6:$AU$36,27,0)</f>
        <v>0</v>
      </c>
      <c r="X7" s="36">
        <f>VLOOKUP($A7,[18]HISTOJANV23!$A$6:$BM$36,33,0)</f>
        <v>0</v>
      </c>
      <c r="Y7" s="36">
        <f>VLOOKUP($A7,[18]HISTOJANV23!$A$6:$BM$36,65,0)</f>
        <v>0</v>
      </c>
      <c r="Z7" s="36"/>
      <c r="AA7" s="36">
        <f>VLOOKUP($A7,[18]HISTOJANV23!$A$6:$AU$36,43,0)</f>
        <v>0</v>
      </c>
      <c r="AB7" s="36">
        <f>VLOOKUP($A7,[18]HISTOJANV23!$A$6:$AU$36,44,0)</f>
        <v>0</v>
      </c>
      <c r="AC7" s="36">
        <f>VLOOKUP($A7,[18]HISTOJANV23!$A$6:$AU$36,47,0)</f>
        <v>0</v>
      </c>
      <c r="AD7" s="36">
        <f>VLOOKUP(A7,[18]HISTOJANV23!$A$6:$BB$36,54,0)</f>
        <v>0</v>
      </c>
      <c r="AE7" s="36">
        <f>VLOOKUP($A7,[18]HISTOJANV23!$A$6:$CA$36,60,0)</f>
        <v>0</v>
      </c>
      <c r="AF7" s="36">
        <f>VLOOKUP($A7,[18]HISTOJANV23!$A$6:$CA$36,61,0)</f>
        <v>0</v>
      </c>
      <c r="AG7" s="36">
        <f>VLOOKUP($A7,[18]HISTOJANV23!$A$6:$CA$36,62,0)</f>
        <v>0</v>
      </c>
      <c r="AH7" s="36">
        <f>VLOOKUP($A7,[18]HISTOJANV23!$A$6:$CA$36,63,0)</f>
        <v>0</v>
      </c>
      <c r="AI7" s="36">
        <f>VLOOKUP($A7,[18]HISTOJANV23!$A$6:$CA$36,64,0)</f>
        <v>0</v>
      </c>
      <c r="AJ7" s="36">
        <f>VLOOKUP($A7,[18]HISTOJANV23!$A$6:$CA$36,65,0)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>
        <f>VLOOKUP(A8,MVTDEC22!A8:AJ39,3,0)</f>
        <v>600000</v>
      </c>
      <c r="D8" s="36">
        <f>VLOOKUP($A8,[19]MVTREPARTITION2022!$A$6:$V$39,21,0)</f>
        <v>7024</v>
      </c>
      <c r="E8" s="36">
        <f>VLOOKUP($A8,[18]HISTOJANV23!$A$6:$BA$36,48,0)</f>
        <v>0</v>
      </c>
      <c r="F8" s="5">
        <f>MVTDEC22!F8+MVTDEC22!G8-MVTJANV23!E8+K8</f>
        <v>654583.07207509631</v>
      </c>
      <c r="G8" s="6">
        <f t="shared" si="0"/>
        <v>0</v>
      </c>
      <c r="H8" s="6">
        <f t="shared" si="1"/>
        <v>654583.07207509631</v>
      </c>
      <c r="I8" s="36">
        <f>VLOOKUP($A8,[18]HISTOJANV23!$A$6:$AQ$40,22,0)</f>
        <v>0</v>
      </c>
      <c r="J8" s="36">
        <f>VLOOKUP($A8,[18]HISTOJANV23!$A$6:$AU$36,45,0)</f>
        <v>15000</v>
      </c>
      <c r="K8" s="36">
        <f t="shared" ref="K8:K36" si="3">IF(J8=0,0,J8-(L8+M8+N8))</f>
        <v>9000</v>
      </c>
      <c r="L8" s="36">
        <f>IF(J8=0,0,1000)</f>
        <v>1000</v>
      </c>
      <c r="M8" s="36">
        <f t="shared" ref="M8:M36" si="4">IF(J8=0,0,1000)</f>
        <v>1000</v>
      </c>
      <c r="N8" s="36">
        <f>IF(J8=0,0,4000)</f>
        <v>4000</v>
      </c>
      <c r="O8" s="36">
        <f>VLOOKUP($A8,[18]HISTOJANV23!$A$6:$AU$36,7,0)</f>
        <v>0</v>
      </c>
      <c r="P8" s="36">
        <f>VLOOKUP($A8,[18]HISTOJANV23!$A$6:$AU$36,23,0)</f>
        <v>0</v>
      </c>
      <c r="Q8" s="36">
        <f>VLOOKUP($A8,[18]HISTOJANV23!$A$6:$AU$36,46,0)</f>
        <v>0</v>
      </c>
      <c r="R8" s="36">
        <f>VLOOKUP($A8,[18]HISTOJANV23!$A$6:$AU$36,26,0)</f>
        <v>0</v>
      </c>
      <c r="S8" s="36">
        <f>VLOOKUP($A8,[18]HISTOJANV23!$A$6:$BG$36,58,0)</f>
        <v>0</v>
      </c>
      <c r="T8" s="36">
        <f>VLOOKUP($A8,[18]HISTOJANV23!$A$6:$AU$36,28,0)</f>
        <v>0</v>
      </c>
      <c r="U8" s="36">
        <f>VLOOKUP($A8,[18]HISTOJANV23!$A$6:$AU$36,19,0)</f>
        <v>0</v>
      </c>
      <c r="V8" s="36">
        <f>VLOOKUP($A8,[18]HISTOJANV23!$A$6:$AU$36,20,0)</f>
        <v>0</v>
      </c>
      <c r="W8" s="36">
        <f>VLOOKUP($A8,[18]HISTOJANV23!$A$6:$AU$36,27,0)</f>
        <v>0</v>
      </c>
      <c r="X8" s="36">
        <f>VLOOKUP($A8,[18]HISTOJANV23!$A$6:$BM$36,33,0)</f>
        <v>0</v>
      </c>
      <c r="Y8" s="36">
        <f>VLOOKUP($A8,[18]HISTOJANV23!$A$6:$BM$36,65,0)</f>
        <v>0</v>
      </c>
      <c r="Z8" s="36"/>
      <c r="AA8" s="36">
        <f>VLOOKUP($A8,[18]HISTOJANV23!$A$6:$AU$36,43,0)</f>
        <v>0</v>
      </c>
      <c r="AB8" s="36">
        <f>VLOOKUP($A8,[18]HISTOJANV23!$A$6:$AU$36,44,0)</f>
        <v>0</v>
      </c>
      <c r="AC8" s="36">
        <f>VLOOKUP($A8,[18]HISTOJANV23!$A$6:$AU$36,47,0)</f>
        <v>0</v>
      </c>
      <c r="AD8" s="36">
        <f>VLOOKUP(A8,[18]HISTOJANV23!$A$6:$BB$36,54,0)</f>
        <v>0</v>
      </c>
      <c r="AE8" s="36">
        <f>VLOOKUP($A8,[18]HISTOJANV23!$A$6:$CA$36,60,0)</f>
        <v>0</v>
      </c>
      <c r="AF8" s="36">
        <f>VLOOKUP($A8,[18]HISTOJANV23!$A$6:$CA$36,61,0)</f>
        <v>0</v>
      </c>
      <c r="AG8" s="36">
        <f>VLOOKUP($A8,[18]HISTOJANV23!$A$6:$CA$36,62,0)</f>
        <v>0</v>
      </c>
      <c r="AH8" s="36">
        <f>VLOOKUP($A8,[18]HISTOJANV23!$A$6:$CA$36,63,0)</f>
        <v>0</v>
      </c>
      <c r="AI8" s="36">
        <f>VLOOKUP($A8,[18]HISTOJANV23!$A$6:$CA$36,64,0)</f>
        <v>0</v>
      </c>
      <c r="AJ8" s="36">
        <f>VLOOKUP($A8,[18]HISTOJANV23!$A$6:$CA$36,65,0)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>
        <f>VLOOKUP(A9,MVTDEC22!A9:AJ40,3,0)</f>
        <v>600000</v>
      </c>
      <c r="D9" s="36">
        <f>VLOOKUP($A9,[19]MVTREPARTITION2022!$A$6:$V$39,21,0)</f>
        <v>4810</v>
      </c>
      <c r="E9" s="36">
        <f>VLOOKUP($A9,[18]HISTOJANV23!$A$6:$BA$36,48,0)</f>
        <v>0</v>
      </c>
      <c r="F9" s="5">
        <f>MVTDEC22!F9+MVTDEC22!G9-MVTJANV23!E9+K9</f>
        <v>672228.58925278904</v>
      </c>
      <c r="G9" s="6">
        <f t="shared" si="0"/>
        <v>0</v>
      </c>
      <c r="H9" s="6">
        <f t="shared" si="1"/>
        <v>672228.58925278904</v>
      </c>
      <c r="I9" s="36">
        <f>VLOOKUP($A9,[18]HISTOJANV23!$A$6:$AQ$40,22,0)</f>
        <v>0</v>
      </c>
      <c r="J9" s="36">
        <f>VLOOKUP($A9,[18]HISTOJANV23!$A$6:$AU$36,45,0)</f>
        <v>35000</v>
      </c>
      <c r="K9" s="36">
        <f t="shared" si="3"/>
        <v>29000</v>
      </c>
      <c r="L9" s="36">
        <f t="shared" ref="L9:L36" si="5">IF(J9=0,0,1000)</f>
        <v>1000</v>
      </c>
      <c r="M9" s="36">
        <f t="shared" si="4"/>
        <v>1000</v>
      </c>
      <c r="N9" s="36">
        <f t="shared" ref="N9:N36" si="6">IF(J9=0,0,4000)</f>
        <v>4000</v>
      </c>
      <c r="O9" s="36">
        <f>VLOOKUP($A9,[18]HISTOJANV23!$A$6:$AU$36,7,0)</f>
        <v>0</v>
      </c>
      <c r="P9" s="36">
        <f>VLOOKUP($A9,[18]HISTOJANV23!$A$6:$AU$36,23,0)</f>
        <v>0</v>
      </c>
      <c r="Q9" s="36">
        <f>VLOOKUP($A9,[18]HISTOJANV23!$A$6:$AU$36,46,0)</f>
        <v>0</v>
      </c>
      <c r="R9" s="36">
        <f>VLOOKUP($A9,[18]HISTOJANV23!$A$6:$AU$36,26,0)</f>
        <v>0</v>
      </c>
      <c r="S9" s="36">
        <f>VLOOKUP($A9,[18]HISTOJANV23!$A$6:$BG$36,58,0)</f>
        <v>0</v>
      </c>
      <c r="T9" s="36">
        <f>VLOOKUP($A9,[18]HISTOJANV23!$A$6:$AU$36,28,0)</f>
        <v>0</v>
      </c>
      <c r="U9" s="36">
        <f>VLOOKUP($A9,[18]HISTOJANV23!$A$6:$AU$36,19,0)</f>
        <v>0</v>
      </c>
      <c r="V9" s="36">
        <f>VLOOKUP($A9,[18]HISTOJANV23!$A$6:$AU$36,20,0)</f>
        <v>0</v>
      </c>
      <c r="W9" s="36">
        <f>VLOOKUP($A9,[18]HISTOJANV23!$A$6:$AU$36,27,0)</f>
        <v>0</v>
      </c>
      <c r="X9" s="36">
        <f>VLOOKUP($A9,[18]HISTOJANV23!$A$6:$BM$36,33,0)</f>
        <v>0</v>
      </c>
      <c r="Y9" s="36">
        <f>VLOOKUP($A9,[18]HISTOJANV23!$A$6:$BM$36,65,0)</f>
        <v>0</v>
      </c>
      <c r="Z9" s="36"/>
      <c r="AA9" s="36">
        <f>VLOOKUP($A9,[18]HISTOJANV23!$A$6:$AU$36,43,0)</f>
        <v>0</v>
      </c>
      <c r="AB9" s="36">
        <f>VLOOKUP($A9,[18]HISTOJANV23!$A$6:$AU$36,44,0)</f>
        <v>0</v>
      </c>
      <c r="AC9" s="36">
        <f>VLOOKUP($A9,[18]HISTOJANV23!$A$6:$AU$36,47,0)</f>
        <v>0</v>
      </c>
      <c r="AD9" s="36">
        <f>VLOOKUP(A9,[18]HISTOJANV23!$A$6:$BB$36,54,0)</f>
        <v>140000</v>
      </c>
      <c r="AE9" s="36">
        <f>VLOOKUP($A9,[18]HISTOJANV23!$A$6:$CA$36,60,0)</f>
        <v>0</v>
      </c>
      <c r="AF9" s="36">
        <f>VLOOKUP($A9,[18]HISTOJANV23!$A$6:$CA$36,61,0)</f>
        <v>0</v>
      </c>
      <c r="AG9" s="36">
        <f>VLOOKUP($A9,[18]HISTOJANV23!$A$6:$CA$36,62,0)</f>
        <v>0</v>
      </c>
      <c r="AH9" s="36">
        <f>VLOOKUP($A9,[18]HISTOJANV23!$A$6:$CA$36,63,0)</f>
        <v>0</v>
      </c>
      <c r="AI9" s="36">
        <f>VLOOKUP($A9,[18]HISTOJANV23!$A$6:$CA$36,64,0)</f>
        <v>0</v>
      </c>
      <c r="AJ9" s="36">
        <f>VLOOKUP($A9,[18]HISTOJANV23!$A$6:$CA$36,65,0)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>
        <f>VLOOKUP(A10,MVTDEC22!A10:AJ41,3,0)</f>
        <v>600000</v>
      </c>
      <c r="D10" s="36">
        <f>VLOOKUP($A10,[19]MVTREPARTITION2022!$A$6:$V$39,21,0)</f>
        <v>48710</v>
      </c>
      <c r="E10" s="36">
        <f>VLOOKUP($A10,[18]HISTOJANV23!$A$6:$BA$36,48,0)</f>
        <v>0</v>
      </c>
      <c r="F10" s="5">
        <f>MVTDEC22!F10+MVTDEC22!G10-MVTJANV23!E10+K10</f>
        <v>698917.8529245347</v>
      </c>
      <c r="G10" s="6">
        <f t="shared" si="0"/>
        <v>0</v>
      </c>
      <c r="H10" s="6">
        <f t="shared" si="1"/>
        <v>698917.8529245347</v>
      </c>
      <c r="I10" s="36">
        <f>VLOOKUP($A10,[18]HISTOJANV23!$A$6:$AQ$40,22,0)</f>
        <v>0</v>
      </c>
      <c r="J10" s="36">
        <f>VLOOKUP($A10,[18]HISTOJANV23!$A$6:$AU$36,45,0)</f>
        <v>15000</v>
      </c>
      <c r="K10" s="36">
        <f t="shared" si="3"/>
        <v>9000</v>
      </c>
      <c r="L10" s="36">
        <f t="shared" si="5"/>
        <v>1000</v>
      </c>
      <c r="M10" s="36">
        <f t="shared" si="4"/>
        <v>1000</v>
      </c>
      <c r="N10" s="36">
        <f t="shared" si="6"/>
        <v>4000</v>
      </c>
      <c r="O10" s="36">
        <f>VLOOKUP($A10,[18]HISTOJANV23!$A$6:$AU$36,7,0)</f>
        <v>0</v>
      </c>
      <c r="P10" s="36">
        <f>VLOOKUP($A10,[18]HISTOJANV23!$A$6:$AU$36,23,0)</f>
        <v>0</v>
      </c>
      <c r="Q10" s="36">
        <f>VLOOKUP($A10,[18]HISTOJANV23!$A$6:$AU$36,46,0)</f>
        <v>0</v>
      </c>
      <c r="R10" s="36">
        <f>VLOOKUP($A10,[18]HISTOJANV23!$A$6:$AU$36,26,0)</f>
        <v>0</v>
      </c>
      <c r="S10" s="36">
        <f>VLOOKUP($A10,[18]HISTOJANV23!$A$6:$BG$36,58,0)</f>
        <v>0</v>
      </c>
      <c r="T10" s="36">
        <f>VLOOKUP($A10,[18]HISTOJANV23!$A$6:$AU$36,28,0)</f>
        <v>0</v>
      </c>
      <c r="U10" s="36">
        <f>VLOOKUP($A10,[18]HISTOJANV23!$A$6:$AU$36,19,0)</f>
        <v>0</v>
      </c>
      <c r="V10" s="36">
        <f>VLOOKUP($A10,[18]HISTOJANV23!$A$6:$AU$36,20,0)</f>
        <v>0</v>
      </c>
      <c r="W10" s="36">
        <f>VLOOKUP($A10,[18]HISTOJANV23!$A$6:$AU$36,27,0)</f>
        <v>0</v>
      </c>
      <c r="X10" s="36">
        <f>VLOOKUP($A10,[18]HISTOJANV23!$A$6:$BM$36,33,0)</f>
        <v>0</v>
      </c>
      <c r="Y10" s="36">
        <f>VLOOKUP($A10,[18]HISTOJANV23!$A$6:$BM$36,65,0)</f>
        <v>0</v>
      </c>
      <c r="Z10" s="36"/>
      <c r="AA10" s="36">
        <f>VLOOKUP($A10,[18]HISTOJANV23!$A$6:$AU$36,43,0)</f>
        <v>0</v>
      </c>
      <c r="AB10" s="36">
        <f>VLOOKUP($A10,[18]HISTOJANV23!$A$6:$AU$36,44,0)</f>
        <v>0</v>
      </c>
      <c r="AC10" s="36">
        <f>VLOOKUP($A10,[18]HISTOJANV23!$A$6:$AU$36,47,0)</f>
        <v>0</v>
      </c>
      <c r="AD10" s="36">
        <f>VLOOKUP(A10,[18]HISTOJANV23!$A$6:$BB$36,54,0)</f>
        <v>0</v>
      </c>
      <c r="AE10" s="36">
        <f>VLOOKUP($A10,[18]HISTOJANV23!$A$6:$CA$36,60,0)</f>
        <v>0</v>
      </c>
      <c r="AF10" s="36">
        <f>VLOOKUP($A10,[18]HISTOJANV23!$A$6:$CA$36,61,0)</f>
        <v>0</v>
      </c>
      <c r="AG10" s="36">
        <f>VLOOKUP($A10,[18]HISTOJANV23!$A$6:$CA$36,62,0)</f>
        <v>0</v>
      </c>
      <c r="AH10" s="36">
        <f>VLOOKUP($A10,[18]HISTOJANV23!$A$6:$CA$36,63,0)</f>
        <v>0</v>
      </c>
      <c r="AI10" s="36">
        <f>VLOOKUP($A10,[18]HISTOJANV23!$A$6:$CA$36,64,0)</f>
        <v>0</v>
      </c>
      <c r="AJ10" s="36">
        <f>VLOOKUP($A10,[18]HISTOJANV23!$A$6:$CA$36,65,0)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>
        <f>VLOOKUP(A11,MVTDEC22!A11:AJ42,3,0)</f>
        <v>600000</v>
      </c>
      <c r="D11" s="36">
        <f>VLOOKUP($A11,[19]MVTREPARTITION2022!$A$6:$V$39,21,0)</f>
        <v>4750</v>
      </c>
      <c r="E11" s="36">
        <f>VLOOKUP($A11,[18]HISTOJANV23!$A$6:$BA$36,48,0)</f>
        <v>0</v>
      </c>
      <c r="F11" s="5">
        <f>MVTDEC22!F11+MVTDEC22!G11-MVTJANV23!E11+K11</f>
        <v>652165.06651773339</v>
      </c>
      <c r="G11" s="6">
        <f t="shared" si="0"/>
        <v>0</v>
      </c>
      <c r="H11" s="6">
        <f t="shared" si="1"/>
        <v>652165.06651773339</v>
      </c>
      <c r="I11" s="36">
        <f>VLOOKUP($A11,[18]HISTOJANV23!$A$6:$AQ$40,22,0)</f>
        <v>0</v>
      </c>
      <c r="J11" s="36">
        <f>VLOOKUP($A11,[18]HISTOJANV23!$A$6:$AU$36,45,0)</f>
        <v>15000</v>
      </c>
      <c r="K11" s="36">
        <f t="shared" si="3"/>
        <v>9000</v>
      </c>
      <c r="L11" s="36">
        <f t="shared" si="5"/>
        <v>1000</v>
      </c>
      <c r="M11" s="36">
        <f t="shared" si="4"/>
        <v>1000</v>
      </c>
      <c r="N11" s="36">
        <f t="shared" si="6"/>
        <v>4000</v>
      </c>
      <c r="O11" s="36">
        <f>VLOOKUP($A11,[18]HISTOJANV23!$A$6:$AU$36,7,0)</f>
        <v>0</v>
      </c>
      <c r="P11" s="36">
        <f>VLOOKUP($A11,[18]HISTOJANV23!$A$6:$AU$36,23,0)</f>
        <v>0</v>
      </c>
      <c r="Q11" s="36">
        <f>VLOOKUP($A11,[18]HISTOJANV23!$A$6:$AU$36,46,0)</f>
        <v>0</v>
      </c>
      <c r="R11" s="36">
        <f>VLOOKUP($A11,[18]HISTOJANV23!$A$6:$AU$36,26,0)</f>
        <v>0</v>
      </c>
      <c r="S11" s="36">
        <f>VLOOKUP($A11,[18]HISTOJANV23!$A$6:$BG$36,58,0)</f>
        <v>0</v>
      </c>
      <c r="T11" s="36">
        <f>VLOOKUP($A11,[18]HISTOJANV23!$A$6:$AU$36,28,0)</f>
        <v>0</v>
      </c>
      <c r="U11" s="36">
        <f>VLOOKUP($A11,[18]HISTOJANV23!$A$6:$AU$36,19,0)</f>
        <v>0</v>
      </c>
      <c r="V11" s="36">
        <f>VLOOKUP($A11,[18]HISTOJANV23!$A$6:$AU$36,20,0)</f>
        <v>0</v>
      </c>
      <c r="W11" s="36">
        <f>VLOOKUP($A11,[18]HISTOJANV23!$A$6:$AU$36,27,0)</f>
        <v>0</v>
      </c>
      <c r="X11" s="36">
        <f>VLOOKUP($A11,[18]HISTOJANV23!$A$6:$BM$36,33,0)</f>
        <v>0</v>
      </c>
      <c r="Y11" s="36">
        <f>VLOOKUP($A11,[18]HISTOJANV23!$A$6:$BM$36,65,0)</f>
        <v>0</v>
      </c>
      <c r="Z11" s="36"/>
      <c r="AA11" s="36">
        <f>VLOOKUP($A11,[18]HISTOJANV23!$A$6:$AU$36,43,0)</f>
        <v>0</v>
      </c>
      <c r="AB11" s="36">
        <f>VLOOKUP($A11,[18]HISTOJANV23!$A$6:$AU$36,44,0)</f>
        <v>0</v>
      </c>
      <c r="AC11" s="36">
        <f>VLOOKUP($A11,[18]HISTOJANV23!$A$6:$AU$36,47,0)</f>
        <v>0</v>
      </c>
      <c r="AD11" s="36">
        <f>VLOOKUP(A11,[18]HISTOJANV23!$A$6:$BB$36,54,0)</f>
        <v>0</v>
      </c>
      <c r="AE11" s="36">
        <f>VLOOKUP($A11,[18]HISTOJANV23!$A$6:$CA$36,60,0)</f>
        <v>0</v>
      </c>
      <c r="AF11" s="36">
        <f>VLOOKUP($A11,[18]HISTOJANV23!$A$6:$CA$36,61,0)</f>
        <v>0</v>
      </c>
      <c r="AG11" s="36">
        <f>VLOOKUP($A11,[18]HISTOJANV23!$A$6:$CA$36,62,0)</f>
        <v>0</v>
      </c>
      <c r="AH11" s="36">
        <f>VLOOKUP($A11,[18]HISTOJANV23!$A$6:$CA$36,63,0)</f>
        <v>0</v>
      </c>
      <c r="AI11" s="36">
        <f>VLOOKUP($A11,[18]HISTOJANV23!$A$6:$CA$36,64,0)</f>
        <v>0</v>
      </c>
      <c r="AJ11" s="36">
        <f>VLOOKUP($A11,[18]HISTOJANV23!$A$6:$CA$36,65,0)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>
        <f>VLOOKUP(A12,MVTDEC22!A12:AJ43,3,0)</f>
        <v>600000</v>
      </c>
      <c r="D12" s="36">
        <f>VLOOKUP($A12,[19]MVTREPARTITION2022!$A$6:$V$39,21,0)</f>
        <v>10719</v>
      </c>
      <c r="E12" s="36">
        <f>VLOOKUP($A12,[18]HISTOJANV23!$A$6:$BA$36,48,0)</f>
        <v>0</v>
      </c>
      <c r="F12" s="5">
        <f>MVTDEC22!F12+MVTDEC22!G12-MVTJANV23!E12+K12</f>
        <v>663512.98726499558</v>
      </c>
      <c r="G12" s="6">
        <f t="shared" si="0"/>
        <v>0</v>
      </c>
      <c r="H12" s="6">
        <f t="shared" si="1"/>
        <v>663512.98726499558</v>
      </c>
      <c r="I12" s="36">
        <f>VLOOKUP($A12,[18]HISTOJANV23!$A$6:$AQ$40,22,0)</f>
        <v>0</v>
      </c>
      <c r="J12" s="36">
        <f>VLOOKUP($A12,[18]HISTOJANV23!$A$6:$AU$36,45,0)</f>
        <v>20000</v>
      </c>
      <c r="K12" s="36">
        <f>IF(J12=0,0,J12-(L12+M12+N12))</f>
        <v>14000</v>
      </c>
      <c r="L12" s="36">
        <f t="shared" si="5"/>
        <v>1000</v>
      </c>
      <c r="M12" s="36">
        <f t="shared" si="4"/>
        <v>1000</v>
      </c>
      <c r="N12" s="36">
        <f t="shared" si="6"/>
        <v>4000</v>
      </c>
      <c r="O12" s="36">
        <f>VLOOKUP($A12,[18]HISTOJANV23!$A$6:$AU$36,7,0)</f>
        <v>0</v>
      </c>
      <c r="P12" s="36">
        <f>VLOOKUP($A12,[18]HISTOJANV23!$A$6:$AU$36,23,0)</f>
        <v>0</v>
      </c>
      <c r="Q12" s="36">
        <f>VLOOKUP($A12,[18]HISTOJANV23!$A$6:$AU$36,46,0)</f>
        <v>0</v>
      </c>
      <c r="R12" s="36">
        <f>VLOOKUP($A12,[18]HISTOJANV23!$A$6:$AU$36,26,0)</f>
        <v>0</v>
      </c>
      <c r="S12" s="36">
        <f>VLOOKUP($A12,[18]HISTOJANV23!$A$6:$BG$36,58,0)</f>
        <v>0</v>
      </c>
      <c r="T12" s="36">
        <f>VLOOKUP($A12,[18]HISTOJANV23!$A$6:$AU$36,28,0)</f>
        <v>0</v>
      </c>
      <c r="U12" s="36">
        <f>VLOOKUP($A12,[18]HISTOJANV23!$A$6:$AU$36,19,0)</f>
        <v>0</v>
      </c>
      <c r="V12" s="36">
        <f>VLOOKUP($A12,[18]HISTOJANV23!$A$6:$AU$36,20,0)</f>
        <v>0</v>
      </c>
      <c r="W12" s="36">
        <f>VLOOKUP($A12,[18]HISTOJANV23!$A$6:$AU$36,27,0)</f>
        <v>0</v>
      </c>
      <c r="X12" s="36">
        <f>VLOOKUP($A12,[18]HISTOJANV23!$A$6:$BM$36,33,0)</f>
        <v>0</v>
      </c>
      <c r="Y12" s="36">
        <f>VLOOKUP($A12,[18]HISTOJANV23!$A$6:$BM$36,65,0)</f>
        <v>0</v>
      </c>
      <c r="Z12" s="36"/>
      <c r="AA12" s="36">
        <f>VLOOKUP($A12,[18]HISTOJANV23!$A$6:$AU$36,43,0)</f>
        <v>0</v>
      </c>
      <c r="AB12" s="36">
        <f>VLOOKUP($A12,[18]HISTOJANV23!$A$6:$AU$36,44,0)</f>
        <v>0</v>
      </c>
      <c r="AC12" s="36">
        <f>VLOOKUP($A12,[18]HISTOJANV23!$A$6:$AU$36,47,0)</f>
        <v>0</v>
      </c>
      <c r="AD12" s="36">
        <f>VLOOKUP(A12,[18]HISTOJANV23!$A$6:$BB$36,54,0)</f>
        <v>0</v>
      </c>
      <c r="AE12" s="36">
        <f>VLOOKUP($A12,[18]HISTOJANV23!$A$6:$CA$36,60,0)</f>
        <v>0</v>
      </c>
      <c r="AF12" s="36">
        <f>VLOOKUP($A12,[18]HISTOJANV23!$A$6:$CA$36,61,0)</f>
        <v>0</v>
      </c>
      <c r="AG12" s="36">
        <f>VLOOKUP($A12,[18]HISTOJANV23!$A$6:$CA$36,62,0)</f>
        <v>0</v>
      </c>
      <c r="AH12" s="36">
        <f>VLOOKUP($A12,[18]HISTOJANV23!$A$6:$CA$36,63,0)</f>
        <v>0</v>
      </c>
      <c r="AI12" s="36">
        <f>VLOOKUP($A12,[18]HISTOJANV23!$A$6:$CA$36,64,0)</f>
        <v>0</v>
      </c>
      <c r="AJ12" s="36">
        <f>VLOOKUP($A12,[18]HISTOJANV23!$A$6:$CA$36,65,0)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>
        <f>VLOOKUP(A13,MVTDEC22!A13:AJ44,3,0)</f>
        <v>600000</v>
      </c>
      <c r="D13" s="36">
        <f>VLOOKUP($A13,[19]MVTREPARTITION2022!$A$6:$V$39,21,0)</f>
        <v>584</v>
      </c>
      <c r="E13" s="36">
        <f>VLOOKUP($A13,[18]HISTOJANV23!$A$6:$BA$36,48,0)</f>
        <v>0</v>
      </c>
      <c r="F13" s="5">
        <f>MVTDEC22!F13+MVTDEC22!G13-MVTJANV23!E13+K13</f>
        <v>647734.39913267479</v>
      </c>
      <c r="G13" s="6">
        <f t="shared" si="0"/>
        <v>0</v>
      </c>
      <c r="H13" s="6">
        <f t="shared" si="1"/>
        <v>647734.39913267479</v>
      </c>
      <c r="I13" s="36">
        <f>VLOOKUP($A13,[18]HISTOJANV23!$A$6:$AQ$40,22,0)</f>
        <v>0</v>
      </c>
      <c r="J13" s="36">
        <f>VLOOKUP($A13,[18]HISTOJANV23!$A$6:$AU$36,45,0)</f>
        <v>15000</v>
      </c>
      <c r="K13" s="36">
        <f t="shared" si="3"/>
        <v>9000</v>
      </c>
      <c r="L13" s="36">
        <f t="shared" si="5"/>
        <v>1000</v>
      </c>
      <c r="M13" s="36">
        <f t="shared" si="4"/>
        <v>1000</v>
      </c>
      <c r="N13" s="36">
        <f t="shared" si="6"/>
        <v>4000</v>
      </c>
      <c r="O13" s="36">
        <f>VLOOKUP($A13,[18]HISTOJANV23!$A$6:$AU$36,7,0)</f>
        <v>0</v>
      </c>
      <c r="P13" s="36">
        <f>VLOOKUP($A13,[18]HISTOJANV23!$A$6:$AU$36,23,0)</f>
        <v>0</v>
      </c>
      <c r="Q13" s="36">
        <f>VLOOKUP($A13,[18]HISTOJANV23!$A$6:$AU$36,46,0)</f>
        <v>0</v>
      </c>
      <c r="R13" s="36">
        <f>VLOOKUP($A13,[18]HISTOJANV23!$A$6:$AU$36,26,0)</f>
        <v>0</v>
      </c>
      <c r="S13" s="36">
        <f>VLOOKUP($A13,[18]HISTOJANV23!$A$6:$BG$36,58,0)</f>
        <v>0</v>
      </c>
      <c r="T13" s="36">
        <f>VLOOKUP($A13,[18]HISTOJANV23!$A$6:$AU$36,28,0)</f>
        <v>0</v>
      </c>
      <c r="U13" s="36">
        <f>VLOOKUP($A13,[18]HISTOJANV23!$A$6:$AU$36,19,0)</f>
        <v>0</v>
      </c>
      <c r="V13" s="36">
        <f>VLOOKUP($A13,[18]HISTOJANV23!$A$6:$AU$36,20,0)</f>
        <v>0</v>
      </c>
      <c r="W13" s="36">
        <f>VLOOKUP($A13,[18]HISTOJANV23!$A$6:$AU$36,27,0)</f>
        <v>0</v>
      </c>
      <c r="X13" s="36">
        <f>VLOOKUP($A13,[18]HISTOJANV23!$A$6:$BM$36,33,0)</f>
        <v>0</v>
      </c>
      <c r="Y13" s="36">
        <f>VLOOKUP($A13,[18]HISTOJANV23!$A$6:$BM$36,65,0)</f>
        <v>0</v>
      </c>
      <c r="Z13" s="36"/>
      <c r="AA13" s="36">
        <f>VLOOKUP($A13,[18]HISTOJANV23!$A$6:$AU$36,43,0)</f>
        <v>0</v>
      </c>
      <c r="AB13" s="36">
        <f>VLOOKUP($A13,[18]HISTOJANV23!$A$6:$AU$36,44,0)</f>
        <v>0</v>
      </c>
      <c r="AC13" s="36">
        <f>VLOOKUP($A13,[18]HISTOJANV23!$A$6:$AU$36,47,0)</f>
        <v>0</v>
      </c>
      <c r="AD13" s="36">
        <f>VLOOKUP(A13,[18]HISTOJANV23!$A$6:$BB$36,54,0)</f>
        <v>0</v>
      </c>
      <c r="AE13" s="36">
        <f>VLOOKUP($A13,[18]HISTOJANV23!$A$6:$CA$36,60,0)</f>
        <v>0</v>
      </c>
      <c r="AF13" s="36">
        <f>VLOOKUP($A13,[18]HISTOJANV23!$A$6:$CA$36,61,0)</f>
        <v>0</v>
      </c>
      <c r="AG13" s="36">
        <f>VLOOKUP($A13,[18]HISTOJANV23!$A$6:$CA$36,62,0)</f>
        <v>0</v>
      </c>
      <c r="AH13" s="36">
        <f>VLOOKUP($A13,[18]HISTOJANV23!$A$6:$CA$36,63,0)</f>
        <v>0</v>
      </c>
      <c r="AI13" s="36">
        <f>VLOOKUP($A13,[18]HISTOJANV23!$A$6:$CA$36,64,0)</f>
        <v>0</v>
      </c>
      <c r="AJ13" s="36">
        <f>VLOOKUP($A13,[18]HISTOJANV23!$A$6:$CA$36,65,0)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>
        <f>VLOOKUP(A14,MVTDEC22!A14:AJ45,3,0)</f>
        <v>600000</v>
      </c>
      <c r="D14" s="36">
        <f>VLOOKUP($A14,[19]MVTREPARTITION2022!$A$6:$V$39,21,0)</f>
        <v>458343</v>
      </c>
      <c r="E14" s="36">
        <f>VLOOKUP($A14,[18]HISTOJANV23!$A$6:$BA$36,48,0)</f>
        <v>0</v>
      </c>
      <c r="F14" s="5">
        <f>MVTDEC22!F14+MVTDEC22!G14-MVTJANV23!E14+K14</f>
        <v>1134571.3479732168</v>
      </c>
      <c r="G14" s="6">
        <f t="shared" si="0"/>
        <v>0</v>
      </c>
      <c r="H14" s="6">
        <f t="shared" si="1"/>
        <v>1134571.3479732168</v>
      </c>
      <c r="I14" s="36">
        <f>VLOOKUP($A14,[18]HISTOJANV23!$A$6:$AQ$40,22,0)</f>
        <v>0</v>
      </c>
      <c r="J14" s="36">
        <f>VLOOKUP($A14,[18]HISTOJANV23!$A$6:$AU$36,45,0)</f>
        <v>15000</v>
      </c>
      <c r="K14" s="36">
        <f t="shared" si="3"/>
        <v>9000</v>
      </c>
      <c r="L14" s="36">
        <f t="shared" si="5"/>
        <v>1000</v>
      </c>
      <c r="M14" s="36">
        <f t="shared" si="4"/>
        <v>1000</v>
      </c>
      <c r="N14" s="36">
        <f t="shared" si="6"/>
        <v>4000</v>
      </c>
      <c r="O14" s="36">
        <f>VLOOKUP($A14,[18]HISTOJANV23!$A$6:$AU$36,7,0)</f>
        <v>0</v>
      </c>
      <c r="P14" s="36">
        <f>VLOOKUP($A14,[18]HISTOJANV23!$A$6:$AU$36,23,0)</f>
        <v>0</v>
      </c>
      <c r="Q14" s="36">
        <f>VLOOKUP($A14,[18]HISTOJANV23!$A$6:$AU$36,46,0)</f>
        <v>0</v>
      </c>
      <c r="R14" s="36">
        <f>VLOOKUP($A14,[18]HISTOJANV23!$A$6:$AU$36,26,0)</f>
        <v>0</v>
      </c>
      <c r="S14" s="36">
        <f>VLOOKUP($A14,[18]HISTOJANV23!$A$6:$BG$36,58,0)</f>
        <v>0</v>
      </c>
      <c r="T14" s="36">
        <f>VLOOKUP($A14,[18]HISTOJANV23!$A$6:$AU$36,28,0)</f>
        <v>0</v>
      </c>
      <c r="U14" s="36">
        <f>VLOOKUP($A14,[18]HISTOJANV23!$A$6:$AU$36,19,0)</f>
        <v>0</v>
      </c>
      <c r="V14" s="36">
        <f>VLOOKUP($A14,[18]HISTOJANV23!$A$6:$AU$36,20,0)</f>
        <v>0</v>
      </c>
      <c r="W14" s="36">
        <f>VLOOKUP($A14,[18]HISTOJANV23!$A$6:$AU$36,27,0)</f>
        <v>0</v>
      </c>
      <c r="X14" s="36">
        <f>VLOOKUP($A14,[18]HISTOJANV23!$A$6:$BM$36,33,0)</f>
        <v>0</v>
      </c>
      <c r="Y14" s="36">
        <f>VLOOKUP($A14,[18]HISTOJANV23!$A$6:$BM$36,65,0)</f>
        <v>0</v>
      </c>
      <c r="Z14" s="36"/>
      <c r="AA14" s="36">
        <f>VLOOKUP($A14,[18]HISTOJANV23!$A$6:$AU$36,43,0)</f>
        <v>0</v>
      </c>
      <c r="AB14" s="36">
        <f>VLOOKUP($A14,[18]HISTOJANV23!$A$6:$AU$36,44,0)</f>
        <v>0</v>
      </c>
      <c r="AC14" s="36">
        <f>VLOOKUP($A14,[18]HISTOJANV23!$A$6:$AU$36,47,0)</f>
        <v>0</v>
      </c>
      <c r="AD14" s="36">
        <f>VLOOKUP(A14,[18]HISTOJANV23!$A$6:$BB$36,54,0)</f>
        <v>0</v>
      </c>
      <c r="AE14" s="36">
        <f>VLOOKUP($A14,[18]HISTOJANV23!$A$6:$CA$36,60,0)</f>
        <v>0</v>
      </c>
      <c r="AF14" s="36">
        <f>VLOOKUP($A14,[18]HISTOJANV23!$A$6:$CA$36,61,0)</f>
        <v>0</v>
      </c>
      <c r="AG14" s="36">
        <f>VLOOKUP($A14,[18]HISTOJANV23!$A$6:$CA$36,62,0)</f>
        <v>0</v>
      </c>
      <c r="AH14" s="36">
        <f>VLOOKUP($A14,[18]HISTOJANV23!$A$6:$CA$36,63,0)</f>
        <v>0</v>
      </c>
      <c r="AI14" s="36">
        <f>VLOOKUP($A14,[18]HISTOJANV23!$A$6:$CA$36,64,0)</f>
        <v>0</v>
      </c>
      <c r="AJ14" s="36">
        <f>VLOOKUP($A14,[18]HISTOJANV23!$A$6:$CA$36,65,0)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>
        <f>VLOOKUP(A15,MVTDEC22!A15:AJ46,3,0)</f>
        <v>600000</v>
      </c>
      <c r="D15" s="36">
        <f>VLOOKUP($A15,[19]MVTREPARTITION2022!$A$6:$V$39,21,0)</f>
        <v>51112</v>
      </c>
      <c r="E15" s="36">
        <f>VLOOKUP($A15,[18]HISTOJANV23!$A$6:$BA$36,48,0)</f>
        <v>0</v>
      </c>
      <c r="F15" s="5">
        <f>MVTDEC22!F15+MVTDEC22!G15-MVTJANV23!E15+K15</f>
        <v>701472.00533971633</v>
      </c>
      <c r="G15" s="6">
        <f t="shared" si="0"/>
        <v>0</v>
      </c>
      <c r="H15" s="6">
        <f t="shared" si="1"/>
        <v>701472.00533971633</v>
      </c>
      <c r="I15" s="36">
        <f>VLOOKUP($A15,[18]HISTOJANV23!$A$6:$AQ$40,22,0)</f>
        <v>0</v>
      </c>
      <c r="J15" s="36">
        <f>VLOOKUP($A15,[18]HISTOJANV23!$A$6:$AU$36,45,0)</f>
        <v>15000</v>
      </c>
      <c r="K15" s="36">
        <f t="shared" si="3"/>
        <v>9000</v>
      </c>
      <c r="L15" s="36">
        <f t="shared" si="5"/>
        <v>1000</v>
      </c>
      <c r="M15" s="36">
        <f t="shared" si="4"/>
        <v>1000</v>
      </c>
      <c r="N15" s="36">
        <f t="shared" si="6"/>
        <v>4000</v>
      </c>
      <c r="O15" s="36">
        <f>VLOOKUP($A15,[18]HISTOJANV23!$A$6:$AU$36,7,0)</f>
        <v>0</v>
      </c>
      <c r="P15" s="36">
        <f>VLOOKUP($A15,[18]HISTOJANV23!$A$6:$AU$36,23,0)</f>
        <v>0</v>
      </c>
      <c r="Q15" s="36">
        <f>VLOOKUP($A15,[18]HISTOJANV23!$A$6:$AU$36,46,0)</f>
        <v>0</v>
      </c>
      <c r="R15" s="36">
        <f>VLOOKUP($A15,[18]HISTOJANV23!$A$6:$AU$36,26,0)</f>
        <v>0</v>
      </c>
      <c r="S15" s="36">
        <f>VLOOKUP($A15,[18]HISTOJANV23!$A$6:$BG$36,58,0)</f>
        <v>0</v>
      </c>
      <c r="T15" s="36">
        <f>VLOOKUP($A15,[18]HISTOJANV23!$A$6:$AU$36,28,0)</f>
        <v>0</v>
      </c>
      <c r="U15" s="36">
        <f>VLOOKUP($A15,[18]HISTOJANV23!$A$6:$AU$36,19,0)</f>
        <v>0</v>
      </c>
      <c r="V15" s="36">
        <f>VLOOKUP($A15,[18]HISTOJANV23!$A$6:$AU$36,20,0)</f>
        <v>0</v>
      </c>
      <c r="W15" s="36">
        <f>VLOOKUP($A15,[18]HISTOJANV23!$A$6:$AU$36,27,0)</f>
        <v>0</v>
      </c>
      <c r="X15" s="36">
        <f>VLOOKUP($A15,[18]HISTOJANV23!$A$6:$BM$36,33,0)</f>
        <v>0</v>
      </c>
      <c r="Y15" s="36">
        <f>VLOOKUP($A15,[18]HISTOJANV23!$A$6:$BM$36,65,0)</f>
        <v>0</v>
      </c>
      <c r="Z15" s="36"/>
      <c r="AA15" s="36">
        <f>VLOOKUP($A15,[18]HISTOJANV23!$A$6:$AU$36,43,0)</f>
        <v>0</v>
      </c>
      <c r="AB15" s="36">
        <f>VLOOKUP($A15,[18]HISTOJANV23!$A$6:$AU$36,44,0)</f>
        <v>0</v>
      </c>
      <c r="AC15" s="36">
        <f>VLOOKUP($A15,[18]HISTOJANV23!$A$6:$AU$36,47,0)</f>
        <v>0</v>
      </c>
      <c r="AD15" s="36">
        <f>VLOOKUP(A15,[18]HISTOJANV23!$A$6:$BB$36,54,0)</f>
        <v>0</v>
      </c>
      <c r="AE15" s="36">
        <f>VLOOKUP($A15,[18]HISTOJANV23!$A$6:$CA$36,60,0)</f>
        <v>0</v>
      </c>
      <c r="AF15" s="36">
        <f>VLOOKUP($A15,[18]HISTOJANV23!$A$6:$CA$36,61,0)</f>
        <v>0</v>
      </c>
      <c r="AG15" s="36">
        <f>VLOOKUP($A15,[18]HISTOJANV23!$A$6:$CA$36,62,0)</f>
        <v>0</v>
      </c>
      <c r="AH15" s="36">
        <f>VLOOKUP($A15,[18]HISTOJANV23!$A$6:$CA$36,63,0)</f>
        <v>0</v>
      </c>
      <c r="AI15" s="36">
        <f>VLOOKUP($A15,[18]HISTOJANV23!$A$6:$CA$36,64,0)</f>
        <v>0</v>
      </c>
      <c r="AJ15" s="36">
        <f>VLOOKUP($A15,[18]HISTOJANV23!$A$6:$CA$36,65,0)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>
        <f>VLOOKUP(A16,MVTDEC22!A16:AJ47,3,0)</f>
        <v>600000</v>
      </c>
      <c r="D16" s="36">
        <f>VLOOKUP($A16,[19]MVTREPARTITION2022!$A$6:$V$39,21,0)</f>
        <v>16230</v>
      </c>
      <c r="E16" s="36">
        <f>VLOOKUP($A16,[18]HISTOJANV23!$A$6:$BA$36,48,0)</f>
        <v>0</v>
      </c>
      <c r="F16" s="5">
        <f>MVTDEC22!F16+MVTDEC22!G16-MVTJANV23!E16+K16</f>
        <v>699373.75561040966</v>
      </c>
      <c r="G16" s="6">
        <f t="shared" si="0"/>
        <v>0</v>
      </c>
      <c r="H16" s="6">
        <f t="shared" si="1"/>
        <v>699373.75561040966</v>
      </c>
      <c r="I16" s="36">
        <f>VLOOKUP($A16,[18]HISTOJANV23!$A$6:$AQ$40,22,0)</f>
        <v>0</v>
      </c>
      <c r="J16" s="36">
        <f>VLOOKUP($A16,[18]HISTOJANV23!$A$6:$AU$36,45,0)</f>
        <v>50000</v>
      </c>
      <c r="K16" s="36">
        <f t="shared" si="3"/>
        <v>44000</v>
      </c>
      <c r="L16" s="36">
        <f t="shared" si="5"/>
        <v>1000</v>
      </c>
      <c r="M16" s="36">
        <f t="shared" si="4"/>
        <v>1000</v>
      </c>
      <c r="N16" s="36">
        <f t="shared" si="6"/>
        <v>4000</v>
      </c>
      <c r="O16" s="36">
        <f>VLOOKUP($A16,[18]HISTOJANV23!$A$6:$AU$36,7,0)</f>
        <v>0</v>
      </c>
      <c r="P16" s="36">
        <f>VLOOKUP($A16,[18]HISTOJANV23!$A$6:$AU$36,23,0)</f>
        <v>0</v>
      </c>
      <c r="Q16" s="36">
        <f>VLOOKUP($A16,[18]HISTOJANV23!$A$6:$AU$36,46,0)</f>
        <v>0</v>
      </c>
      <c r="R16" s="36">
        <f>VLOOKUP($A16,[18]HISTOJANV23!$A$6:$AU$36,26,0)</f>
        <v>0</v>
      </c>
      <c r="S16" s="36">
        <f>VLOOKUP($A16,[18]HISTOJANV23!$A$6:$BG$36,58,0)</f>
        <v>0</v>
      </c>
      <c r="T16" s="36">
        <f>VLOOKUP($A16,[18]HISTOJANV23!$A$6:$AU$36,28,0)</f>
        <v>0</v>
      </c>
      <c r="U16" s="36">
        <f>VLOOKUP($A16,[18]HISTOJANV23!$A$6:$AU$36,19,0)</f>
        <v>0</v>
      </c>
      <c r="V16" s="36">
        <f>VLOOKUP($A16,[18]HISTOJANV23!$A$6:$AU$36,20,0)</f>
        <v>0</v>
      </c>
      <c r="W16" s="36">
        <f>VLOOKUP($A16,[18]HISTOJANV23!$A$6:$AU$36,27,0)</f>
        <v>0</v>
      </c>
      <c r="X16" s="36">
        <f>VLOOKUP($A16,[18]HISTOJANV23!$A$6:$BM$36,33,0)</f>
        <v>0</v>
      </c>
      <c r="Y16" s="36">
        <f>VLOOKUP($A16,[18]HISTOJANV23!$A$6:$BM$36,65,0)</f>
        <v>0</v>
      </c>
      <c r="Z16" s="36"/>
      <c r="AA16" s="36">
        <f>VLOOKUP($A16,[18]HISTOJANV23!$A$6:$AU$36,43,0)</f>
        <v>0</v>
      </c>
      <c r="AB16" s="36">
        <f>VLOOKUP($A16,[18]HISTOJANV23!$A$6:$AU$36,44,0)</f>
        <v>0</v>
      </c>
      <c r="AC16" s="36">
        <f>VLOOKUP($A16,[18]HISTOJANV23!$A$6:$AU$36,47,0)</f>
        <v>0</v>
      </c>
      <c r="AD16" s="36">
        <f>VLOOKUP(A16,[18]HISTOJANV23!$A$6:$BB$36,54,0)</f>
        <v>0</v>
      </c>
      <c r="AE16" s="36">
        <f>VLOOKUP($A16,[18]HISTOJANV23!$A$6:$CA$36,60,0)</f>
        <v>0</v>
      </c>
      <c r="AF16" s="36">
        <f>VLOOKUP($A16,[18]HISTOJANV23!$A$6:$CA$36,61,0)</f>
        <v>0</v>
      </c>
      <c r="AG16" s="36">
        <f>VLOOKUP($A16,[18]HISTOJANV23!$A$6:$CA$36,62,0)</f>
        <v>0</v>
      </c>
      <c r="AH16" s="36">
        <f>VLOOKUP($A16,[18]HISTOJANV23!$A$6:$CA$36,63,0)</f>
        <v>0</v>
      </c>
      <c r="AI16" s="36">
        <f>VLOOKUP($A16,[18]HISTOJANV23!$A$6:$CA$36,64,0)</f>
        <v>0</v>
      </c>
      <c r="AJ16" s="36">
        <f>VLOOKUP($A16,[18]HISTOJANV23!$A$6:$CA$36,65,0)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>
        <f>VLOOKUP(A17,MVTDEC22!A17:AJ48,3,0)</f>
        <v>600000</v>
      </c>
      <c r="D17" s="36">
        <f>VLOOKUP($A17,[19]MVTREPARTITION2022!$A$6:$V$39,21,0)</f>
        <v>53293</v>
      </c>
      <c r="E17" s="36">
        <f>VLOOKUP($A17,[18]HISTOJANV23!$A$6:$BA$36,48,0)</f>
        <v>0</v>
      </c>
      <c r="F17" s="5">
        <f>MVTDEC22!F17+MVTDEC22!G17-MVTJANV23!E17+K17</f>
        <v>703791.35743165971</v>
      </c>
      <c r="G17" s="6">
        <f t="shared" si="0"/>
        <v>0</v>
      </c>
      <c r="H17" s="6">
        <f t="shared" si="1"/>
        <v>703791.35743165971</v>
      </c>
      <c r="I17" s="36">
        <f>VLOOKUP($A17,[18]HISTOJANV23!$A$6:$AQ$40,22,0)</f>
        <v>0</v>
      </c>
      <c r="J17" s="36">
        <f>VLOOKUP($A17,[18]HISTOJANV23!$A$6:$AU$36,45,0)</f>
        <v>15000</v>
      </c>
      <c r="K17" s="36">
        <f t="shared" si="3"/>
        <v>9000</v>
      </c>
      <c r="L17" s="36">
        <f t="shared" si="5"/>
        <v>1000</v>
      </c>
      <c r="M17" s="36">
        <f t="shared" si="4"/>
        <v>1000</v>
      </c>
      <c r="N17" s="36">
        <f t="shared" si="6"/>
        <v>4000</v>
      </c>
      <c r="O17" s="36">
        <f>VLOOKUP($A17,[18]HISTOJANV23!$A$6:$AU$36,7,0)</f>
        <v>0</v>
      </c>
      <c r="P17" s="36">
        <f>VLOOKUP($A17,[18]HISTOJANV23!$A$6:$AU$36,23,0)</f>
        <v>0</v>
      </c>
      <c r="Q17" s="36">
        <f>VLOOKUP($A17,[18]HISTOJANV23!$A$6:$AU$36,46,0)</f>
        <v>0</v>
      </c>
      <c r="R17" s="36">
        <f>VLOOKUP($A17,[18]HISTOJANV23!$A$6:$AU$36,26,0)</f>
        <v>0</v>
      </c>
      <c r="S17" s="36">
        <f>VLOOKUP($A17,[18]HISTOJANV23!$A$6:$BG$36,58,0)</f>
        <v>0</v>
      </c>
      <c r="T17" s="36">
        <f>VLOOKUP($A17,[18]HISTOJANV23!$A$6:$AU$36,28,0)</f>
        <v>0</v>
      </c>
      <c r="U17" s="36">
        <f>VLOOKUP($A17,[18]HISTOJANV23!$A$6:$AU$36,19,0)</f>
        <v>0</v>
      </c>
      <c r="V17" s="36">
        <f>VLOOKUP($A17,[18]HISTOJANV23!$A$6:$AU$36,20,0)</f>
        <v>0</v>
      </c>
      <c r="W17" s="36">
        <f>VLOOKUP($A17,[18]HISTOJANV23!$A$6:$AU$36,27,0)</f>
        <v>0</v>
      </c>
      <c r="X17" s="36">
        <f>VLOOKUP($A17,[18]HISTOJANV23!$A$6:$BM$36,33,0)</f>
        <v>0</v>
      </c>
      <c r="Y17" s="36">
        <f>VLOOKUP($A17,[18]HISTOJANV23!$A$6:$BM$36,65,0)</f>
        <v>0</v>
      </c>
      <c r="Z17" s="36"/>
      <c r="AA17" s="36">
        <f>VLOOKUP($A17,[18]HISTOJANV23!$A$6:$AU$36,43,0)</f>
        <v>0</v>
      </c>
      <c r="AB17" s="36">
        <f>VLOOKUP($A17,[18]HISTOJANV23!$A$6:$AU$36,44,0)</f>
        <v>0</v>
      </c>
      <c r="AC17" s="36">
        <f>VLOOKUP($A17,[18]HISTOJANV23!$A$6:$AU$36,47,0)</f>
        <v>0</v>
      </c>
      <c r="AD17" s="36">
        <f>VLOOKUP(A17,[18]HISTOJANV23!$A$6:$BB$36,54,0)</f>
        <v>0</v>
      </c>
      <c r="AE17" s="36">
        <f>VLOOKUP($A17,[18]HISTOJANV23!$A$6:$CA$36,60,0)</f>
        <v>0</v>
      </c>
      <c r="AF17" s="36">
        <f>VLOOKUP($A17,[18]HISTOJANV23!$A$6:$CA$36,61,0)</f>
        <v>0</v>
      </c>
      <c r="AG17" s="36">
        <f>VLOOKUP($A17,[18]HISTOJANV23!$A$6:$CA$36,62,0)</f>
        <v>0</v>
      </c>
      <c r="AH17" s="36">
        <f>VLOOKUP($A17,[18]HISTOJANV23!$A$6:$CA$36,63,0)</f>
        <v>0</v>
      </c>
      <c r="AI17" s="36">
        <f>VLOOKUP($A17,[18]HISTOJANV23!$A$6:$CA$36,64,0)</f>
        <v>0</v>
      </c>
      <c r="AJ17" s="36">
        <f>VLOOKUP($A17,[18]HISTOJANV23!$A$6:$CA$36,65,0)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>
        <f>VLOOKUP(A18,MVTDEC22!A18:AJ49,3,0)</f>
        <v>600000</v>
      </c>
      <c r="D18" s="36">
        <f>VLOOKUP($A18,[19]MVTREPARTITION2022!$A$6:$V$39,21,0)</f>
        <v>6459</v>
      </c>
      <c r="E18" s="36">
        <f>VLOOKUP($A18,[18]HISTOJANV23!$A$6:$BA$36,48,0)</f>
        <v>0</v>
      </c>
      <c r="F18" s="5">
        <f>MVTDEC22!F18+MVTDEC22!G18-MVTJANV23!E18+K18</f>
        <v>653982.58845261845</v>
      </c>
      <c r="G18" s="6">
        <f t="shared" si="0"/>
        <v>0</v>
      </c>
      <c r="H18" s="6">
        <f t="shared" si="1"/>
        <v>653982.58845261845</v>
      </c>
      <c r="I18" s="36">
        <f>VLOOKUP($A18,[18]HISTOJANV23!$A$6:$AQ$40,22,0)</f>
        <v>0</v>
      </c>
      <c r="J18" s="36">
        <f>VLOOKUP($A18,[18]HISTOJANV23!$A$6:$AU$36,45,0)</f>
        <v>15000</v>
      </c>
      <c r="K18" s="36">
        <f t="shared" si="3"/>
        <v>9000</v>
      </c>
      <c r="L18" s="36">
        <f t="shared" si="5"/>
        <v>1000</v>
      </c>
      <c r="M18" s="36">
        <f t="shared" si="4"/>
        <v>1000</v>
      </c>
      <c r="N18" s="36">
        <f t="shared" si="6"/>
        <v>4000</v>
      </c>
      <c r="O18" s="36">
        <f>VLOOKUP($A18,[18]HISTOJANV23!$A$6:$AU$36,7,0)</f>
        <v>0</v>
      </c>
      <c r="P18" s="36">
        <f>VLOOKUP($A18,[18]HISTOJANV23!$A$6:$AU$36,23,0)</f>
        <v>0</v>
      </c>
      <c r="Q18" s="36">
        <f>VLOOKUP($A18,[18]HISTOJANV23!$A$6:$AU$36,46,0)</f>
        <v>0</v>
      </c>
      <c r="R18" s="36">
        <f>VLOOKUP($A18,[18]HISTOJANV23!$A$6:$AU$36,26,0)</f>
        <v>0</v>
      </c>
      <c r="S18" s="36">
        <f>VLOOKUP($A18,[18]HISTOJANV23!$A$6:$BG$36,58,0)</f>
        <v>0</v>
      </c>
      <c r="T18" s="36">
        <f>VLOOKUP($A18,[18]HISTOJANV23!$A$6:$AU$36,28,0)</f>
        <v>0</v>
      </c>
      <c r="U18" s="36">
        <f>VLOOKUP($A18,[18]HISTOJANV23!$A$6:$AU$36,19,0)</f>
        <v>0</v>
      </c>
      <c r="V18" s="36">
        <f>VLOOKUP($A18,[18]HISTOJANV23!$A$6:$AU$36,20,0)</f>
        <v>0</v>
      </c>
      <c r="W18" s="36">
        <f>VLOOKUP($A18,[18]HISTOJANV23!$A$6:$AU$36,27,0)</f>
        <v>0</v>
      </c>
      <c r="X18" s="36">
        <f>VLOOKUP($A18,[18]HISTOJANV23!$A$6:$BM$36,33,0)</f>
        <v>0</v>
      </c>
      <c r="Y18" s="36">
        <f>VLOOKUP($A18,[18]HISTOJANV23!$A$6:$BM$36,65,0)</f>
        <v>0</v>
      </c>
      <c r="Z18" s="36"/>
      <c r="AA18" s="36">
        <f>VLOOKUP($A18,[18]HISTOJANV23!$A$6:$AU$36,43,0)</f>
        <v>0</v>
      </c>
      <c r="AB18" s="36">
        <f>VLOOKUP($A18,[18]HISTOJANV23!$A$6:$AU$36,44,0)</f>
        <v>0</v>
      </c>
      <c r="AC18" s="36">
        <f>VLOOKUP($A18,[18]HISTOJANV23!$A$6:$AU$36,47,0)</f>
        <v>0</v>
      </c>
      <c r="AD18" s="36">
        <f>VLOOKUP(A18,[18]HISTOJANV23!$A$6:$BB$36,54,0)</f>
        <v>70000</v>
      </c>
      <c r="AE18" s="36">
        <f>VLOOKUP($A18,[18]HISTOJANV23!$A$6:$CA$36,60,0)</f>
        <v>0</v>
      </c>
      <c r="AF18" s="36">
        <f>VLOOKUP($A18,[18]HISTOJANV23!$A$6:$CA$36,61,0)</f>
        <v>0</v>
      </c>
      <c r="AG18" s="36">
        <f>VLOOKUP($A18,[18]HISTOJANV23!$A$6:$CA$36,62,0)</f>
        <v>0</v>
      </c>
      <c r="AH18" s="36">
        <f>VLOOKUP($A18,[18]HISTOJANV23!$A$6:$CA$36,63,0)</f>
        <v>0</v>
      </c>
      <c r="AI18" s="36">
        <f>VLOOKUP($A18,[18]HISTOJANV23!$A$6:$CA$36,64,0)</f>
        <v>0</v>
      </c>
      <c r="AJ18" s="36">
        <f>VLOOKUP($A18,[18]HISTOJANV23!$A$6:$CA$36,65,0)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>
        <f>VLOOKUP(A19,MVTDEC22!A19:AJ50,3,0)</f>
        <v>600000</v>
      </c>
      <c r="D19" s="36">
        <f>VLOOKUP($A19,[19]MVTREPARTITION2022!$A$6:$V$39,21,0)</f>
        <v>746</v>
      </c>
      <c r="E19" s="36">
        <f>VLOOKUP($A19,[18]HISTOJANV23!$A$6:$BA$36,48,0)</f>
        <v>0</v>
      </c>
      <c r="F19" s="5">
        <f>MVTDEC22!F19+MVTDEC22!G19-MVTJANV23!E19+K19</f>
        <v>647906.8278621044</v>
      </c>
      <c r="G19" s="6">
        <f t="shared" si="0"/>
        <v>0</v>
      </c>
      <c r="H19" s="6">
        <f t="shared" si="1"/>
        <v>647906.8278621044</v>
      </c>
      <c r="I19" s="36">
        <f>VLOOKUP($A19,[18]HISTOJANV23!$A$6:$AQ$40,22,0)</f>
        <v>0</v>
      </c>
      <c r="J19" s="36">
        <f>VLOOKUP($A19,[18]HISTOJANV23!$A$6:$AU$36,45,0)</f>
        <v>15000</v>
      </c>
      <c r="K19" s="36">
        <f t="shared" si="3"/>
        <v>9000</v>
      </c>
      <c r="L19" s="36">
        <f t="shared" si="5"/>
        <v>1000</v>
      </c>
      <c r="M19" s="36">
        <f t="shared" si="4"/>
        <v>1000</v>
      </c>
      <c r="N19" s="36">
        <f t="shared" si="6"/>
        <v>4000</v>
      </c>
      <c r="O19" s="36">
        <f>VLOOKUP($A19,[18]HISTOJANV23!$A$6:$AU$36,7,0)</f>
        <v>0</v>
      </c>
      <c r="P19" s="36">
        <f>VLOOKUP($A19,[18]HISTOJANV23!$A$6:$AU$36,23,0)</f>
        <v>0</v>
      </c>
      <c r="Q19" s="36">
        <f>VLOOKUP($A19,[18]HISTOJANV23!$A$6:$AU$36,46,0)</f>
        <v>0</v>
      </c>
      <c r="R19" s="36">
        <f>VLOOKUP($A19,[18]HISTOJANV23!$A$6:$AU$36,26,0)</f>
        <v>0</v>
      </c>
      <c r="S19" s="36">
        <f>VLOOKUP($A19,[18]HISTOJANV23!$A$6:$BG$36,58,0)</f>
        <v>0</v>
      </c>
      <c r="T19" s="36">
        <f>VLOOKUP($A19,[18]HISTOJANV23!$A$6:$AU$36,28,0)</f>
        <v>0</v>
      </c>
      <c r="U19" s="36">
        <f>VLOOKUP($A19,[18]HISTOJANV23!$A$6:$AU$36,19,0)</f>
        <v>0</v>
      </c>
      <c r="V19" s="36">
        <f>VLOOKUP($A19,[18]HISTOJANV23!$A$6:$AU$36,20,0)</f>
        <v>0</v>
      </c>
      <c r="W19" s="36">
        <f>VLOOKUP($A19,[18]HISTOJANV23!$A$6:$AU$36,27,0)</f>
        <v>0</v>
      </c>
      <c r="X19" s="36">
        <f>VLOOKUP($A19,[18]HISTOJANV23!$A$6:$BM$36,33,0)</f>
        <v>0</v>
      </c>
      <c r="Y19" s="36">
        <f>VLOOKUP($A19,[18]HISTOJANV23!$A$6:$BM$36,65,0)</f>
        <v>0</v>
      </c>
      <c r="Z19" s="36"/>
      <c r="AA19" s="36">
        <f>VLOOKUP($A19,[18]HISTOJANV23!$A$6:$AU$36,43,0)</f>
        <v>0</v>
      </c>
      <c r="AB19" s="36">
        <f>VLOOKUP($A19,[18]HISTOJANV23!$A$6:$AU$36,44,0)</f>
        <v>0</v>
      </c>
      <c r="AC19" s="36">
        <f>VLOOKUP($A19,[18]HISTOJANV23!$A$6:$AU$36,47,0)</f>
        <v>0</v>
      </c>
      <c r="AD19" s="36">
        <f>VLOOKUP(A19,[18]HISTOJANV23!$A$6:$BB$36,54,0)</f>
        <v>0</v>
      </c>
      <c r="AE19" s="36">
        <f>VLOOKUP($A19,[18]HISTOJANV23!$A$6:$CA$36,60,0)</f>
        <v>0</v>
      </c>
      <c r="AF19" s="36">
        <f>VLOOKUP($A19,[18]HISTOJANV23!$A$6:$CA$36,61,0)</f>
        <v>0</v>
      </c>
      <c r="AG19" s="36">
        <f>VLOOKUP($A19,[18]HISTOJANV23!$A$6:$CA$36,62,0)</f>
        <v>0</v>
      </c>
      <c r="AH19" s="36">
        <f>VLOOKUP($A19,[18]HISTOJANV23!$A$6:$CA$36,63,0)</f>
        <v>0</v>
      </c>
      <c r="AI19" s="36">
        <f>VLOOKUP($A19,[18]HISTOJANV23!$A$6:$CA$36,64,0)</f>
        <v>0</v>
      </c>
      <c r="AJ19" s="36">
        <f>VLOOKUP($A19,[18]HISTOJANV23!$A$6:$CA$36,65,0)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>
        <f>VLOOKUP(A20,MVTDEC22!A20:AJ51,3,0)</f>
        <v>600000</v>
      </c>
      <c r="D20" s="36">
        <f>VLOOKUP($A20,[19]MVTREPARTITION2022!$A$6:$V$39,21,0)</f>
        <v>47746</v>
      </c>
      <c r="E20" s="36">
        <f>VLOOKUP($A20,[18]HISTOJANV23!$A$6:$BA$36,48,0)</f>
        <v>0</v>
      </c>
      <c r="F20" s="5">
        <f>MVTDEC22!F20+MVTDEC22!G20-MVTJANV23!E20+K20</f>
        <v>697892.17896341055</v>
      </c>
      <c r="G20" s="6">
        <f t="shared" si="0"/>
        <v>0</v>
      </c>
      <c r="H20" s="6">
        <f t="shared" si="1"/>
        <v>697892.17896341055</v>
      </c>
      <c r="I20" s="36">
        <f>VLOOKUP($A20,[18]HISTOJANV23!$A$6:$AQ$40,22,0)</f>
        <v>0</v>
      </c>
      <c r="J20" s="36">
        <f>VLOOKUP($A20,[18]HISTOJANV23!$A$6:$AU$36,45,0)</f>
        <v>15000</v>
      </c>
      <c r="K20" s="36">
        <f t="shared" si="3"/>
        <v>9000</v>
      </c>
      <c r="L20" s="36">
        <f t="shared" si="5"/>
        <v>1000</v>
      </c>
      <c r="M20" s="36">
        <f t="shared" si="4"/>
        <v>1000</v>
      </c>
      <c r="N20" s="36">
        <f t="shared" si="6"/>
        <v>4000</v>
      </c>
      <c r="O20" s="36">
        <f>VLOOKUP($A20,[18]HISTOJANV23!$A$6:$AU$36,7,0)</f>
        <v>0</v>
      </c>
      <c r="P20" s="36">
        <f>VLOOKUP($A20,[18]HISTOJANV23!$A$6:$AU$36,23,0)</f>
        <v>0</v>
      </c>
      <c r="Q20" s="36">
        <f>VLOOKUP($A20,[18]HISTOJANV23!$A$6:$AU$36,46,0)</f>
        <v>0</v>
      </c>
      <c r="R20" s="36">
        <f>VLOOKUP($A20,[18]HISTOJANV23!$A$6:$AU$36,26,0)</f>
        <v>0</v>
      </c>
      <c r="S20" s="36">
        <f>VLOOKUP($A20,[18]HISTOJANV23!$A$6:$BG$36,58,0)</f>
        <v>0</v>
      </c>
      <c r="T20" s="36">
        <f>VLOOKUP($A20,[18]HISTOJANV23!$A$6:$AU$36,28,0)</f>
        <v>0</v>
      </c>
      <c r="U20" s="36">
        <f>VLOOKUP($A20,[18]HISTOJANV23!$A$6:$AU$36,19,0)</f>
        <v>0</v>
      </c>
      <c r="V20" s="36">
        <f>VLOOKUP($A20,[18]HISTOJANV23!$A$6:$AU$36,20,0)</f>
        <v>0</v>
      </c>
      <c r="W20" s="36">
        <f>VLOOKUP($A20,[18]HISTOJANV23!$A$6:$AU$36,27,0)</f>
        <v>0</v>
      </c>
      <c r="X20" s="36">
        <f>VLOOKUP($A20,[18]HISTOJANV23!$A$6:$BM$36,33,0)</f>
        <v>0</v>
      </c>
      <c r="Y20" s="36">
        <f>VLOOKUP($A20,[18]HISTOJANV23!$A$6:$BM$36,65,0)</f>
        <v>0</v>
      </c>
      <c r="Z20" s="36"/>
      <c r="AA20" s="36">
        <f>VLOOKUP($A20,[18]HISTOJANV23!$A$6:$AU$36,43,0)</f>
        <v>0</v>
      </c>
      <c r="AB20" s="36">
        <f>VLOOKUP($A20,[18]HISTOJANV23!$A$6:$AU$36,44,0)</f>
        <v>0</v>
      </c>
      <c r="AC20" s="36">
        <f>VLOOKUP($A20,[18]HISTOJANV23!$A$6:$AU$36,47,0)</f>
        <v>0</v>
      </c>
      <c r="AD20" s="36">
        <f>VLOOKUP(A20,[18]HISTOJANV23!$A$6:$BB$36,54,0)</f>
        <v>0</v>
      </c>
      <c r="AE20" s="36">
        <f>VLOOKUP($A20,[18]HISTOJANV23!$A$6:$CA$36,60,0)</f>
        <v>0</v>
      </c>
      <c r="AF20" s="36">
        <f>VLOOKUP($A20,[18]HISTOJANV23!$A$6:$CA$36,61,0)</f>
        <v>0</v>
      </c>
      <c r="AG20" s="36">
        <f>VLOOKUP($A20,[18]HISTOJANV23!$A$6:$CA$36,62,0)</f>
        <v>0</v>
      </c>
      <c r="AH20" s="36">
        <f>VLOOKUP($A20,[18]HISTOJANV23!$A$6:$CA$36,63,0)</f>
        <v>0</v>
      </c>
      <c r="AI20" s="36">
        <f>VLOOKUP($A20,[18]HISTOJANV23!$A$6:$CA$36,64,0)</f>
        <v>0</v>
      </c>
      <c r="AJ20" s="36">
        <f>VLOOKUP($A20,[18]HISTOJANV23!$A$6:$CA$36,65,0)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>
        <f>VLOOKUP(A21,MVTDEC22!A21:AJ52,3,0)</f>
        <v>600000</v>
      </c>
      <c r="D21" s="36">
        <f>VLOOKUP($A21,[19]MVTREPARTITION2022!$A$6:$V$39,21,0)</f>
        <v>51343</v>
      </c>
      <c r="E21" s="36">
        <f>VLOOKUP($A21,[18]HISTOJANV23!$A$6:$BA$36,48,0)</f>
        <v>0</v>
      </c>
      <c r="F21" s="5">
        <f>MVTDEC22!F21+MVTDEC22!G21-MVTJANV23!E21+K21</f>
        <v>701717.19901930005</v>
      </c>
      <c r="G21" s="6">
        <f t="shared" si="0"/>
        <v>0</v>
      </c>
      <c r="H21" s="6">
        <f t="shared" si="1"/>
        <v>701717.19901930005</v>
      </c>
      <c r="I21" s="36">
        <f>VLOOKUP($A21,[18]HISTOJANV23!$A$6:$AQ$40,22,0)</f>
        <v>0</v>
      </c>
      <c r="J21" s="36">
        <f>VLOOKUP($A21,[18]HISTOJANV23!$A$6:$AU$36,45,0)</f>
        <v>15000</v>
      </c>
      <c r="K21" s="36">
        <f t="shared" si="3"/>
        <v>9000</v>
      </c>
      <c r="L21" s="36">
        <f t="shared" si="5"/>
        <v>1000</v>
      </c>
      <c r="M21" s="36">
        <f t="shared" si="4"/>
        <v>1000</v>
      </c>
      <c r="N21" s="36">
        <f t="shared" si="6"/>
        <v>4000</v>
      </c>
      <c r="O21" s="36">
        <f>VLOOKUP($A21,[18]HISTOJANV23!$A$6:$AU$36,7,0)</f>
        <v>0</v>
      </c>
      <c r="P21" s="36">
        <f>VLOOKUP($A21,[18]HISTOJANV23!$A$6:$AU$36,23,0)</f>
        <v>0</v>
      </c>
      <c r="Q21" s="36">
        <f>VLOOKUP($A21,[18]HISTOJANV23!$A$6:$AU$36,46,0)</f>
        <v>0</v>
      </c>
      <c r="R21" s="36">
        <f>VLOOKUP($A21,[18]HISTOJANV23!$A$6:$AU$36,26,0)</f>
        <v>0</v>
      </c>
      <c r="S21" s="36">
        <f>VLOOKUP($A21,[18]HISTOJANV23!$A$6:$BG$36,58,0)</f>
        <v>0</v>
      </c>
      <c r="T21" s="36">
        <f>VLOOKUP($A21,[18]HISTOJANV23!$A$6:$AU$36,28,0)</f>
        <v>0</v>
      </c>
      <c r="U21" s="36">
        <f>VLOOKUP($A21,[18]HISTOJANV23!$A$6:$AU$36,19,0)</f>
        <v>0</v>
      </c>
      <c r="V21" s="36">
        <f>VLOOKUP($A21,[18]HISTOJANV23!$A$6:$AU$36,20,0)</f>
        <v>0</v>
      </c>
      <c r="W21" s="36">
        <f>VLOOKUP($A21,[18]HISTOJANV23!$A$6:$AU$36,27,0)</f>
        <v>0</v>
      </c>
      <c r="X21" s="36">
        <f>VLOOKUP($A21,[18]HISTOJANV23!$A$6:$BM$36,33,0)</f>
        <v>0</v>
      </c>
      <c r="Y21" s="36">
        <f>VLOOKUP($A21,[18]HISTOJANV23!$A$6:$BM$36,65,0)</f>
        <v>0</v>
      </c>
      <c r="Z21" s="36"/>
      <c r="AA21" s="36">
        <f>VLOOKUP($A21,[18]HISTOJANV23!$A$6:$AU$36,43,0)</f>
        <v>0</v>
      </c>
      <c r="AB21" s="36">
        <f>VLOOKUP($A21,[18]HISTOJANV23!$A$6:$AU$36,44,0)</f>
        <v>0</v>
      </c>
      <c r="AC21" s="36">
        <f>VLOOKUP($A21,[18]HISTOJANV23!$A$6:$AU$36,47,0)</f>
        <v>0</v>
      </c>
      <c r="AD21" s="36">
        <f>VLOOKUP(A21,[18]HISTOJANV23!$A$6:$BB$36,54,0)</f>
        <v>0</v>
      </c>
      <c r="AE21" s="36">
        <f>VLOOKUP($A21,[18]HISTOJANV23!$A$6:$CA$36,60,0)</f>
        <v>0</v>
      </c>
      <c r="AF21" s="36">
        <f>VLOOKUP($A21,[18]HISTOJANV23!$A$6:$CA$36,61,0)</f>
        <v>0</v>
      </c>
      <c r="AG21" s="36">
        <f>VLOOKUP($A21,[18]HISTOJANV23!$A$6:$CA$36,62,0)</f>
        <v>0</v>
      </c>
      <c r="AH21" s="36">
        <f>VLOOKUP($A21,[18]HISTOJANV23!$A$6:$CA$36,63,0)</f>
        <v>0</v>
      </c>
      <c r="AI21" s="36">
        <f>VLOOKUP($A21,[18]HISTOJANV23!$A$6:$CA$36,64,0)</f>
        <v>0</v>
      </c>
      <c r="AJ21" s="36">
        <f>VLOOKUP($A21,[18]HISTOJANV23!$A$6:$CA$36,65,0)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>
        <f>VLOOKUP(A22,MVTDEC22!A22:AJ53,3,0)</f>
        <v>600000</v>
      </c>
      <c r="D22" s="36">
        <f>VLOOKUP($A22,[19]MVTREPARTITION2022!$A$6:$V$39,21,0)</f>
        <v>140918</v>
      </c>
      <c r="E22" s="36">
        <f>VLOOKUP($A22,[18]HISTOJANV23!$A$6:$BA$36,48,0)</f>
        <v>0</v>
      </c>
      <c r="F22" s="5">
        <f>MVTDEC22!F22+MVTDEC22!G22-MVTJANV23!E22+K22</f>
        <v>796983.18336848414</v>
      </c>
      <c r="G22" s="6">
        <f t="shared" si="0"/>
        <v>0</v>
      </c>
      <c r="H22" s="6">
        <f t="shared" si="1"/>
        <v>796983.18336848414</v>
      </c>
      <c r="I22" s="36">
        <f>VLOOKUP($A22,[18]HISTOJANV23!$A$6:$AQ$40,22,0)</f>
        <v>0</v>
      </c>
      <c r="J22" s="36">
        <f>VLOOKUP($A22,[18]HISTOJANV23!$A$6:$AU$36,45,0)</f>
        <v>15000</v>
      </c>
      <c r="K22" s="36">
        <f t="shared" si="3"/>
        <v>9000</v>
      </c>
      <c r="L22" s="36">
        <f t="shared" si="5"/>
        <v>1000</v>
      </c>
      <c r="M22" s="36">
        <f t="shared" si="4"/>
        <v>1000</v>
      </c>
      <c r="N22" s="36">
        <f t="shared" si="6"/>
        <v>4000</v>
      </c>
      <c r="O22" s="36">
        <f>VLOOKUP($A22,[18]HISTOJANV23!$A$6:$AU$36,7,0)</f>
        <v>0</v>
      </c>
      <c r="P22" s="36">
        <f>VLOOKUP($A22,[18]HISTOJANV23!$A$6:$AU$36,23,0)</f>
        <v>0</v>
      </c>
      <c r="Q22" s="36">
        <f>VLOOKUP($A22,[18]HISTOJANV23!$A$6:$AU$36,46,0)</f>
        <v>0</v>
      </c>
      <c r="R22" s="36">
        <f>VLOOKUP($A22,[18]HISTOJANV23!$A$6:$AU$36,26,0)</f>
        <v>0</v>
      </c>
      <c r="S22" s="36">
        <f>VLOOKUP($A22,[18]HISTOJANV23!$A$6:$BG$36,58,0)</f>
        <v>0</v>
      </c>
      <c r="T22" s="36">
        <f>VLOOKUP($A22,[18]HISTOJANV23!$A$6:$AU$36,28,0)</f>
        <v>0</v>
      </c>
      <c r="U22" s="36">
        <f>VLOOKUP($A22,[18]HISTOJANV23!$A$6:$AU$36,19,0)</f>
        <v>0</v>
      </c>
      <c r="V22" s="36">
        <f>VLOOKUP($A22,[18]HISTOJANV23!$A$6:$AU$36,20,0)</f>
        <v>0</v>
      </c>
      <c r="W22" s="36">
        <f>VLOOKUP($A22,[18]HISTOJANV23!$A$6:$AU$36,27,0)</f>
        <v>0</v>
      </c>
      <c r="X22" s="36">
        <f>VLOOKUP($A22,[18]HISTOJANV23!$A$6:$BM$36,33,0)</f>
        <v>0</v>
      </c>
      <c r="Y22" s="36">
        <f>VLOOKUP($A22,[18]HISTOJANV23!$A$6:$BM$36,65,0)</f>
        <v>0</v>
      </c>
      <c r="Z22" s="36"/>
      <c r="AA22" s="36">
        <f>VLOOKUP($A22,[18]HISTOJANV23!$A$6:$AU$36,43,0)</f>
        <v>0</v>
      </c>
      <c r="AB22" s="36">
        <f>VLOOKUP($A22,[18]HISTOJANV23!$A$6:$AU$36,44,0)</f>
        <v>0</v>
      </c>
      <c r="AC22" s="36">
        <f>VLOOKUP($A22,[18]HISTOJANV23!$A$6:$AU$36,47,0)</f>
        <v>0</v>
      </c>
      <c r="AD22" s="36">
        <f>VLOOKUP(A22,[18]HISTOJANV23!$A$6:$BB$36,54,0)</f>
        <v>0</v>
      </c>
      <c r="AE22" s="36">
        <f>VLOOKUP($A22,[18]HISTOJANV23!$A$6:$CA$36,60,0)</f>
        <v>0</v>
      </c>
      <c r="AF22" s="36">
        <f>VLOOKUP($A22,[18]HISTOJANV23!$A$6:$CA$36,61,0)</f>
        <v>0</v>
      </c>
      <c r="AG22" s="36">
        <f>VLOOKUP($A22,[18]HISTOJANV23!$A$6:$CA$36,62,0)</f>
        <v>0</v>
      </c>
      <c r="AH22" s="36">
        <f>VLOOKUP($A22,[18]HISTOJANV23!$A$6:$CA$36,63,0)</f>
        <v>0</v>
      </c>
      <c r="AI22" s="36">
        <f>VLOOKUP($A22,[18]HISTOJANV23!$A$6:$CA$36,64,0)</f>
        <v>0</v>
      </c>
      <c r="AJ22" s="36">
        <f>VLOOKUP($A22,[18]HISTOJANV23!$A$6:$CA$36,65,0)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>
        <f>VLOOKUP(A23,MVTDEC22!A23:AJ54,3,0)</f>
        <v>600000</v>
      </c>
      <c r="D23" s="36">
        <f>VLOOKUP($A23,[19]MVTREPARTITION2022!$A$6:$V$39,21,0)</f>
        <v>283210</v>
      </c>
      <c r="E23" s="36">
        <f>VLOOKUP($A23,[18]HISTOJANV23!$A$6:$BA$36,48,0)</f>
        <v>0</v>
      </c>
      <c r="F23" s="5">
        <f>MVTDEC22!F23+MVTDEC22!G23-MVTJANV23!E23+K23</f>
        <v>958313.83119781665</v>
      </c>
      <c r="G23" s="6">
        <f t="shared" si="0"/>
        <v>0</v>
      </c>
      <c r="H23" s="6">
        <f t="shared" si="1"/>
        <v>958313.83119781665</v>
      </c>
      <c r="I23" s="36">
        <f>VLOOKUP($A23,[18]HISTOJANV23!$A$6:$AQ$40,22,0)</f>
        <v>0</v>
      </c>
      <c r="J23" s="36">
        <f>VLOOKUP($A23,[18]HISTOJANV23!$A$6:$AU$36,45,0)</f>
        <v>25000</v>
      </c>
      <c r="K23" s="36">
        <f t="shared" si="3"/>
        <v>19000</v>
      </c>
      <c r="L23" s="36">
        <f t="shared" si="5"/>
        <v>1000</v>
      </c>
      <c r="M23" s="36">
        <f t="shared" si="4"/>
        <v>1000</v>
      </c>
      <c r="N23" s="36">
        <f t="shared" si="6"/>
        <v>4000</v>
      </c>
      <c r="O23" s="36">
        <f>VLOOKUP($A23,[18]HISTOJANV23!$A$6:$AU$36,7,0)</f>
        <v>0</v>
      </c>
      <c r="P23" s="36">
        <f>VLOOKUP($A23,[18]HISTOJANV23!$A$6:$AU$36,23,0)</f>
        <v>0</v>
      </c>
      <c r="Q23" s="36">
        <f>VLOOKUP($A23,[18]HISTOJANV23!$A$6:$AU$36,46,0)</f>
        <v>0</v>
      </c>
      <c r="R23" s="36">
        <f>VLOOKUP($A23,[18]HISTOJANV23!$A$6:$AU$36,26,0)</f>
        <v>0</v>
      </c>
      <c r="S23" s="36">
        <f>VLOOKUP($A23,[18]HISTOJANV23!$A$6:$BG$36,58,0)</f>
        <v>0</v>
      </c>
      <c r="T23" s="36">
        <f>VLOOKUP($A23,[18]HISTOJANV23!$A$6:$AU$36,28,0)</f>
        <v>0</v>
      </c>
      <c r="U23" s="36">
        <f>VLOOKUP($A23,[18]HISTOJANV23!$A$6:$AU$36,19,0)</f>
        <v>0</v>
      </c>
      <c r="V23" s="36">
        <f>VLOOKUP($A23,[18]HISTOJANV23!$A$6:$AU$36,20,0)</f>
        <v>0</v>
      </c>
      <c r="W23" s="36">
        <f>VLOOKUP($A23,[18]HISTOJANV23!$A$6:$AU$36,27,0)</f>
        <v>0</v>
      </c>
      <c r="X23" s="36">
        <f>VLOOKUP($A23,[18]HISTOJANV23!$A$6:$BM$36,33,0)</f>
        <v>0</v>
      </c>
      <c r="Y23" s="36">
        <f>VLOOKUP($A23,[18]HISTOJANV23!$A$6:$BM$36,65,0)</f>
        <v>0</v>
      </c>
      <c r="Z23" s="36"/>
      <c r="AA23" s="36">
        <f>VLOOKUP($A23,[18]HISTOJANV23!$A$6:$AU$36,43,0)</f>
        <v>0</v>
      </c>
      <c r="AB23" s="36">
        <f>VLOOKUP($A23,[18]HISTOJANV23!$A$6:$AU$36,44,0)</f>
        <v>0</v>
      </c>
      <c r="AC23" s="36">
        <f>VLOOKUP($A23,[18]HISTOJANV23!$A$6:$AU$36,47,0)</f>
        <v>0</v>
      </c>
      <c r="AD23" s="36">
        <f>VLOOKUP(A23,[18]HISTOJANV23!$A$6:$BB$36,54,0)</f>
        <v>0</v>
      </c>
      <c r="AE23" s="36">
        <f>VLOOKUP($A23,[18]HISTOJANV23!$A$6:$CA$36,60,0)</f>
        <v>0</v>
      </c>
      <c r="AF23" s="36">
        <f>VLOOKUP($A23,[18]HISTOJANV23!$A$6:$CA$36,61,0)</f>
        <v>0</v>
      </c>
      <c r="AG23" s="36">
        <f>VLOOKUP($A23,[18]HISTOJANV23!$A$6:$CA$36,62,0)</f>
        <v>0</v>
      </c>
      <c r="AH23" s="36">
        <f>VLOOKUP($A23,[18]HISTOJANV23!$A$6:$CA$36,63,0)</f>
        <v>0</v>
      </c>
      <c r="AI23" s="36">
        <f>VLOOKUP($A23,[18]HISTOJANV23!$A$6:$CA$36,64,0)</f>
        <v>0</v>
      </c>
      <c r="AJ23" s="36">
        <f>VLOOKUP($A23,[18]HISTOJANV23!$A$6:$CA$36,65,0)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>
        <f>VLOOKUP(A24,MVTDEC22!A24:AJ55,3,0)</f>
        <v>600000</v>
      </c>
      <c r="D24" s="36">
        <f>VLOOKUP($A24,[19]MVTREPARTITION2022!$A$6:$V$39,21,0)</f>
        <v>39787</v>
      </c>
      <c r="E24" s="36">
        <f>VLOOKUP($A24,[18]HISTOJANV23!$A$6:$BA$36,48,0)</f>
        <v>0</v>
      </c>
      <c r="F24" s="5">
        <f>MVTDEC22!F24+MVTDEC22!G24-MVTJANV23!E24+K24</f>
        <v>689427.64754339075</v>
      </c>
      <c r="G24" s="6">
        <f t="shared" si="0"/>
        <v>0</v>
      </c>
      <c r="H24" s="6">
        <f t="shared" si="1"/>
        <v>689427.64754339075</v>
      </c>
      <c r="I24" s="36">
        <f>VLOOKUP($A24,[18]HISTOJANV23!$A$6:$AQ$40,22,0)</f>
        <v>0</v>
      </c>
      <c r="J24" s="36">
        <f>VLOOKUP($A24,[18]HISTOJANV23!$A$6:$AU$36,45,0)</f>
        <v>15000</v>
      </c>
      <c r="K24" s="36">
        <f t="shared" si="3"/>
        <v>9000</v>
      </c>
      <c r="L24" s="36">
        <f t="shared" si="5"/>
        <v>1000</v>
      </c>
      <c r="M24" s="36">
        <f t="shared" si="4"/>
        <v>1000</v>
      </c>
      <c r="N24" s="36">
        <f t="shared" si="6"/>
        <v>4000</v>
      </c>
      <c r="O24" s="36">
        <f>VLOOKUP($A24,[18]HISTOJANV23!$A$6:$AU$36,7,0)</f>
        <v>0</v>
      </c>
      <c r="P24" s="36">
        <f>VLOOKUP($A24,[18]HISTOJANV23!$A$6:$AU$36,23,0)</f>
        <v>0</v>
      </c>
      <c r="Q24" s="36">
        <f>VLOOKUP($A24,[18]HISTOJANV23!$A$6:$AU$36,46,0)</f>
        <v>0</v>
      </c>
      <c r="R24" s="36">
        <f>VLOOKUP($A24,[18]HISTOJANV23!$A$6:$AU$36,26,0)</f>
        <v>0</v>
      </c>
      <c r="S24" s="36">
        <f>VLOOKUP($A24,[18]HISTOJANV23!$A$6:$BG$36,58,0)</f>
        <v>0</v>
      </c>
      <c r="T24" s="36">
        <f>VLOOKUP($A24,[18]HISTOJANV23!$A$6:$AU$36,28,0)</f>
        <v>0</v>
      </c>
      <c r="U24" s="36">
        <f>VLOOKUP($A24,[18]HISTOJANV23!$A$6:$AU$36,19,0)</f>
        <v>0</v>
      </c>
      <c r="V24" s="36">
        <f>VLOOKUP($A24,[18]HISTOJANV23!$A$6:$AU$36,20,0)</f>
        <v>0</v>
      </c>
      <c r="W24" s="36">
        <f>VLOOKUP($A24,[18]HISTOJANV23!$A$6:$AU$36,27,0)</f>
        <v>0</v>
      </c>
      <c r="X24" s="36">
        <f>VLOOKUP($A24,[18]HISTOJANV23!$A$6:$BM$36,33,0)</f>
        <v>0</v>
      </c>
      <c r="Y24" s="36">
        <f>VLOOKUP($A24,[18]HISTOJANV23!$A$6:$BM$36,65,0)</f>
        <v>0</v>
      </c>
      <c r="Z24" s="36"/>
      <c r="AA24" s="36">
        <f>VLOOKUP($A24,[18]HISTOJANV23!$A$6:$AU$36,43,0)</f>
        <v>0</v>
      </c>
      <c r="AB24" s="36">
        <f>VLOOKUP($A24,[18]HISTOJANV23!$A$6:$AU$36,44,0)</f>
        <v>0</v>
      </c>
      <c r="AC24" s="36">
        <f>VLOOKUP($A24,[18]HISTOJANV23!$A$6:$AU$36,47,0)</f>
        <v>0</v>
      </c>
      <c r="AD24" s="36">
        <f>VLOOKUP(A24,[18]HISTOJANV23!$A$6:$BB$36,54,0)</f>
        <v>0</v>
      </c>
      <c r="AE24" s="36">
        <f>VLOOKUP($A24,[18]HISTOJANV23!$A$6:$CA$36,60,0)</f>
        <v>0</v>
      </c>
      <c r="AF24" s="36">
        <f>VLOOKUP($A24,[18]HISTOJANV23!$A$6:$CA$36,61,0)</f>
        <v>0</v>
      </c>
      <c r="AG24" s="36">
        <f>VLOOKUP($A24,[18]HISTOJANV23!$A$6:$CA$36,62,0)</f>
        <v>0</v>
      </c>
      <c r="AH24" s="36">
        <f>VLOOKUP($A24,[18]HISTOJANV23!$A$6:$CA$36,63,0)</f>
        <v>0</v>
      </c>
      <c r="AI24" s="36">
        <f>VLOOKUP($A24,[18]HISTOJANV23!$A$6:$CA$36,64,0)</f>
        <v>0</v>
      </c>
      <c r="AJ24" s="36">
        <f>VLOOKUP($A24,[18]HISTOJANV23!$A$6:$CA$36,65,0)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>
        <f>VLOOKUP(A25,MVTDEC22!A25:AJ56,3,0)</f>
        <v>600000</v>
      </c>
      <c r="D25" s="36">
        <f>VLOOKUP($A25,[19]MVTREPARTITION2022!$A$6:$V$39,21,0)</f>
        <v>13696</v>
      </c>
      <c r="E25" s="36">
        <f>VLOOKUP($A25,[18]HISTOJANV23!$A$6:$BA$36,48,0)</f>
        <v>0</v>
      </c>
      <c r="F25" s="5">
        <f>MVTDEC22!F25+MVTDEC22!G25-MVTJANV23!E25+K25</f>
        <v>661678.97122084233</v>
      </c>
      <c r="G25" s="6">
        <f t="shared" si="0"/>
        <v>0</v>
      </c>
      <c r="H25" s="6">
        <f t="shared" si="1"/>
        <v>661678.97122084233</v>
      </c>
      <c r="I25" s="36">
        <f>VLOOKUP($A25,[18]HISTOJANV23!$A$6:$AQ$40,22,0)</f>
        <v>0</v>
      </c>
      <c r="J25" s="36">
        <f>VLOOKUP($A25,[18]HISTOJANV23!$A$6:$AU$36,45,0)</f>
        <v>15000</v>
      </c>
      <c r="K25" s="36">
        <f t="shared" si="3"/>
        <v>9000</v>
      </c>
      <c r="L25" s="36">
        <f t="shared" si="5"/>
        <v>1000</v>
      </c>
      <c r="M25" s="36">
        <f t="shared" si="4"/>
        <v>1000</v>
      </c>
      <c r="N25" s="36">
        <f t="shared" si="6"/>
        <v>4000</v>
      </c>
      <c r="O25" s="36">
        <f>VLOOKUP($A25,[18]HISTOJANV23!$A$6:$AU$36,7,0)</f>
        <v>0</v>
      </c>
      <c r="P25" s="36">
        <f>VLOOKUP($A25,[18]HISTOJANV23!$A$6:$AU$36,23,0)</f>
        <v>0</v>
      </c>
      <c r="Q25" s="36">
        <f>VLOOKUP($A25,[18]HISTOJANV23!$A$6:$AU$36,46,0)</f>
        <v>0</v>
      </c>
      <c r="R25" s="36">
        <f>VLOOKUP($A25,[18]HISTOJANV23!$A$6:$AU$36,26,0)</f>
        <v>0</v>
      </c>
      <c r="S25" s="36">
        <f>VLOOKUP($A25,[18]HISTOJANV23!$A$6:$BG$36,58,0)</f>
        <v>0</v>
      </c>
      <c r="T25" s="36">
        <f>VLOOKUP($A25,[18]HISTOJANV23!$A$6:$AU$36,28,0)</f>
        <v>0</v>
      </c>
      <c r="U25" s="36">
        <f>VLOOKUP($A25,[18]HISTOJANV23!$A$6:$AU$36,19,0)</f>
        <v>0</v>
      </c>
      <c r="V25" s="36">
        <f>VLOOKUP($A25,[18]HISTOJANV23!$A$6:$AU$36,20,0)</f>
        <v>0</v>
      </c>
      <c r="W25" s="36">
        <f>VLOOKUP($A25,[18]HISTOJANV23!$A$6:$AU$36,27,0)</f>
        <v>0</v>
      </c>
      <c r="X25" s="36">
        <f>VLOOKUP($A25,[18]HISTOJANV23!$A$6:$BM$36,33,0)</f>
        <v>0</v>
      </c>
      <c r="Y25" s="36">
        <f>VLOOKUP($A25,[18]HISTOJANV23!$A$6:$BM$36,65,0)</f>
        <v>0</v>
      </c>
      <c r="Z25" s="36"/>
      <c r="AA25" s="36">
        <f>VLOOKUP($A25,[18]HISTOJANV23!$A$6:$AU$36,43,0)</f>
        <v>0</v>
      </c>
      <c r="AB25" s="36">
        <f>VLOOKUP($A25,[18]HISTOJANV23!$A$6:$AU$36,44,0)</f>
        <v>0</v>
      </c>
      <c r="AC25" s="36">
        <f>VLOOKUP($A25,[18]HISTOJANV23!$A$6:$AU$36,47,0)</f>
        <v>0</v>
      </c>
      <c r="AD25" s="36">
        <f>VLOOKUP(A25,[18]HISTOJANV23!$A$6:$BB$36,54,0)</f>
        <v>0</v>
      </c>
      <c r="AE25" s="36">
        <f>VLOOKUP($A25,[18]HISTOJANV23!$A$6:$CA$36,60,0)</f>
        <v>0</v>
      </c>
      <c r="AF25" s="36">
        <f>VLOOKUP($A25,[18]HISTOJANV23!$A$6:$CA$36,61,0)</f>
        <v>0</v>
      </c>
      <c r="AG25" s="36">
        <f>VLOOKUP($A25,[18]HISTOJANV23!$A$6:$CA$36,62,0)</f>
        <v>0</v>
      </c>
      <c r="AH25" s="36">
        <f>VLOOKUP($A25,[18]HISTOJANV23!$A$6:$CA$36,63,0)</f>
        <v>0</v>
      </c>
      <c r="AI25" s="36">
        <f>VLOOKUP($A25,[18]HISTOJANV23!$A$6:$CA$36,64,0)</f>
        <v>0</v>
      </c>
      <c r="AJ25" s="36">
        <f>VLOOKUP($A25,[18]HISTOJANV23!$A$6:$CA$36,65,0)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>
        <f>VLOOKUP(A26,MVTDEC22!A26:AJ57,3,0)</f>
        <v>600000</v>
      </c>
      <c r="D26" s="36">
        <f>VLOOKUP($A26,[19]MVTREPARTITION2022!$A$6:$V$39,21,0)</f>
        <v>575</v>
      </c>
      <c r="E26" s="36">
        <f>VLOOKUP($A26,[18]HISTOJANV23!$A$6:$BA$36,48,0)</f>
        <v>0</v>
      </c>
      <c r="F26" s="5">
        <f>MVTDEC22!F26+MVTDEC22!G26-MVTJANV23!E26+K26</f>
        <v>647725.07685729465</v>
      </c>
      <c r="G26" s="6">
        <f t="shared" si="0"/>
        <v>0</v>
      </c>
      <c r="H26" s="6">
        <f t="shared" si="1"/>
        <v>647725.07685729465</v>
      </c>
      <c r="I26" s="36">
        <f>VLOOKUP($A26,[18]HISTOJANV23!$A$6:$AQ$40,22,0)</f>
        <v>0</v>
      </c>
      <c r="J26" s="36">
        <f>VLOOKUP($A26,[18]HISTOJANV23!$A$6:$AU$36,45,0)</f>
        <v>15000</v>
      </c>
      <c r="K26" s="36">
        <f t="shared" si="3"/>
        <v>9000</v>
      </c>
      <c r="L26" s="36">
        <f t="shared" si="5"/>
        <v>1000</v>
      </c>
      <c r="M26" s="36">
        <f t="shared" si="4"/>
        <v>1000</v>
      </c>
      <c r="N26" s="36">
        <f t="shared" si="6"/>
        <v>4000</v>
      </c>
      <c r="O26" s="36">
        <f>VLOOKUP($A26,[18]HISTOJANV23!$A$6:$AU$36,7,0)</f>
        <v>0</v>
      </c>
      <c r="P26" s="36">
        <f>VLOOKUP($A26,[18]HISTOJANV23!$A$6:$AU$36,23,0)</f>
        <v>0</v>
      </c>
      <c r="Q26" s="36">
        <f>VLOOKUP($A26,[18]HISTOJANV23!$A$6:$AU$36,46,0)</f>
        <v>0</v>
      </c>
      <c r="R26" s="36">
        <f>VLOOKUP($A26,[18]HISTOJANV23!$A$6:$AU$36,26,0)</f>
        <v>0</v>
      </c>
      <c r="S26" s="36">
        <f>VLOOKUP($A26,[18]HISTOJANV23!$A$6:$BG$36,58,0)</f>
        <v>0</v>
      </c>
      <c r="T26" s="36">
        <f>VLOOKUP($A26,[18]HISTOJANV23!$A$6:$AU$36,28,0)</f>
        <v>0</v>
      </c>
      <c r="U26" s="36">
        <f>VLOOKUP($A26,[18]HISTOJANV23!$A$6:$AU$36,19,0)</f>
        <v>0</v>
      </c>
      <c r="V26" s="36">
        <f>VLOOKUP($A26,[18]HISTOJANV23!$A$6:$AU$36,20,0)</f>
        <v>0</v>
      </c>
      <c r="W26" s="36">
        <f>VLOOKUP($A26,[18]HISTOJANV23!$A$6:$AU$36,27,0)</f>
        <v>0</v>
      </c>
      <c r="X26" s="36">
        <f>VLOOKUP($A26,[18]HISTOJANV23!$A$6:$BM$36,33,0)</f>
        <v>0</v>
      </c>
      <c r="Y26" s="36">
        <f>VLOOKUP($A26,[18]HISTOJANV23!$A$6:$BM$36,65,0)</f>
        <v>0</v>
      </c>
      <c r="Z26" s="36"/>
      <c r="AA26" s="36">
        <f>VLOOKUP($A26,[18]HISTOJANV23!$A$6:$AU$36,43,0)</f>
        <v>0</v>
      </c>
      <c r="AB26" s="36">
        <f>VLOOKUP($A26,[18]HISTOJANV23!$A$6:$AU$36,44,0)</f>
        <v>0</v>
      </c>
      <c r="AC26" s="36">
        <f>VLOOKUP($A26,[18]HISTOJANV23!$A$6:$AU$36,47,0)</f>
        <v>0</v>
      </c>
      <c r="AD26" s="36">
        <f>VLOOKUP(A26,[18]HISTOJANV23!$A$6:$BB$36,54,0)</f>
        <v>0</v>
      </c>
      <c r="AE26" s="36">
        <f>VLOOKUP($A26,[18]HISTOJANV23!$A$6:$CA$36,60,0)</f>
        <v>0</v>
      </c>
      <c r="AF26" s="36">
        <f>VLOOKUP($A26,[18]HISTOJANV23!$A$6:$CA$36,61,0)</f>
        <v>0</v>
      </c>
      <c r="AG26" s="36">
        <f>VLOOKUP($A26,[18]HISTOJANV23!$A$6:$CA$36,62,0)</f>
        <v>0</v>
      </c>
      <c r="AH26" s="36">
        <f>VLOOKUP($A26,[18]HISTOJANV23!$A$6:$CA$36,63,0)</f>
        <v>0</v>
      </c>
      <c r="AI26" s="36">
        <f>VLOOKUP($A26,[18]HISTOJANV23!$A$6:$CA$36,64,0)</f>
        <v>0</v>
      </c>
      <c r="AJ26" s="36">
        <f>VLOOKUP($A26,[18]HISTOJANV23!$A$6:$CA$36,65,0)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>
        <f>VLOOKUP(A27,MVTDEC22!A27:AJ58,3,0)</f>
        <v>0</v>
      </c>
      <c r="D27" s="36"/>
      <c r="E27" s="36">
        <f>VLOOKUP($A27,[18]HISTOJANV23!$A$6:$BA$36,48,0)</f>
        <v>0</v>
      </c>
      <c r="F27" s="5">
        <f>MVTDEC22!F27+MVTDEC22!G27-MVTJANV23!E27+K27</f>
        <v>9000</v>
      </c>
      <c r="G27" s="6">
        <f t="shared" si="0"/>
        <v>0</v>
      </c>
      <c r="H27" s="6">
        <f t="shared" si="1"/>
        <v>9000</v>
      </c>
      <c r="I27" s="36">
        <f>VLOOKUP($A27,[18]HISTOJANV23!$A$6:$AQ$40,22,0)</f>
        <v>0</v>
      </c>
      <c r="J27" s="36">
        <f>VLOOKUP($A27,[18]HISTOJANV23!$A$6:$AU$36,45,0)</f>
        <v>15000</v>
      </c>
      <c r="K27" s="36">
        <f t="shared" si="3"/>
        <v>9000</v>
      </c>
      <c r="L27" s="36">
        <f t="shared" si="5"/>
        <v>1000</v>
      </c>
      <c r="M27" s="36">
        <f t="shared" si="4"/>
        <v>1000</v>
      </c>
      <c r="N27" s="36">
        <f t="shared" si="6"/>
        <v>4000</v>
      </c>
      <c r="O27" s="36">
        <f>VLOOKUP($A27,[18]HISTOJANV23!$A$6:$AU$36,7,0)</f>
        <v>0</v>
      </c>
      <c r="P27" s="36">
        <f>VLOOKUP($A27,[18]HISTOJANV23!$A$6:$AU$36,23,0)</f>
        <v>25000</v>
      </c>
      <c r="Q27" s="36">
        <f>VLOOKUP($A27,[18]HISTOJANV23!$A$6:$AU$36,46,0)</f>
        <v>0</v>
      </c>
      <c r="R27" s="36">
        <f>VLOOKUP($A27,[18]HISTOJANV23!$A$6:$AU$36,26,0)</f>
        <v>0</v>
      </c>
      <c r="S27" s="36">
        <f>VLOOKUP($A27,[18]HISTOJANV23!$A$6:$BG$36,58,0)</f>
        <v>0</v>
      </c>
      <c r="T27" s="36">
        <f>VLOOKUP($A27,[18]HISTOJANV23!$A$6:$AU$36,28,0)</f>
        <v>0</v>
      </c>
      <c r="U27" s="36">
        <f>VLOOKUP($A27,[18]HISTOJANV23!$A$6:$AU$36,19,0)</f>
        <v>0</v>
      </c>
      <c r="V27" s="36">
        <f>VLOOKUP($A27,[18]HISTOJANV23!$A$6:$AU$36,20,0)</f>
        <v>0</v>
      </c>
      <c r="W27" s="36">
        <f>VLOOKUP($A27,[18]HISTOJANV23!$A$6:$AU$36,27,0)</f>
        <v>0</v>
      </c>
      <c r="X27" s="36">
        <f>VLOOKUP($A27,[18]HISTOJANV23!$A$6:$BM$36,33,0)</f>
        <v>0</v>
      </c>
      <c r="Y27" s="36">
        <f>VLOOKUP($A27,[18]HISTOJANV23!$A$6:$BM$36,65,0)</f>
        <v>0</v>
      </c>
      <c r="Z27" s="36"/>
      <c r="AA27" s="36">
        <f>VLOOKUP($A27,[18]HISTOJANV23!$A$6:$AU$36,43,0)</f>
        <v>0</v>
      </c>
      <c r="AB27" s="36">
        <f>VLOOKUP($A27,[18]HISTOJANV23!$A$6:$AU$36,44,0)</f>
        <v>0</v>
      </c>
      <c r="AC27" s="36">
        <f>VLOOKUP($A27,[18]HISTOJANV23!$A$6:$AU$36,47,0)</f>
        <v>0</v>
      </c>
      <c r="AD27" s="36">
        <f>VLOOKUP(A27,[18]HISTOJANV23!$A$6:$BB$36,54,0)</f>
        <v>0</v>
      </c>
      <c r="AE27" s="36">
        <f>VLOOKUP($A27,[18]HISTOJANV23!$A$6:$CA$36,60,0)</f>
        <v>0</v>
      </c>
      <c r="AF27" s="36">
        <f>VLOOKUP($A27,[18]HISTOJANV23!$A$6:$CA$36,61,0)</f>
        <v>0</v>
      </c>
      <c r="AG27" s="36">
        <f>VLOOKUP($A27,[18]HISTOJANV23!$A$6:$CA$36,62,0)</f>
        <v>0</v>
      </c>
      <c r="AH27" s="36">
        <f>VLOOKUP($A27,[18]HISTOJANV23!$A$6:$CA$36,63,0)</f>
        <v>0</v>
      </c>
      <c r="AI27" s="36">
        <f>VLOOKUP($A27,[18]HISTOJANV23!$A$6:$CA$36,64,0)</f>
        <v>0</v>
      </c>
      <c r="AJ27" s="36">
        <f>VLOOKUP($A27,[18]HISTOJANV23!$A$6:$CA$36,65,0)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>
        <f>VLOOKUP(A28,MVTDEC22!A28:AJ59,3,0)</f>
        <v>600000</v>
      </c>
      <c r="D28" s="36">
        <f>VLOOKUP($A28,[19]MVTREPARTITION2022!$A$6:$V$39,21,0)</f>
        <v>21452</v>
      </c>
      <c r="E28" s="36">
        <f>VLOOKUP($A28,[18]HISTOJANV23!$A$6:$BA$36,48,0)</f>
        <v>0</v>
      </c>
      <c r="F28" s="5">
        <f>MVTDEC22!F28+MVTDEC22!G28-MVTJANV23!E28+K28</f>
        <v>669927.88948490063</v>
      </c>
      <c r="G28" s="6">
        <f t="shared" si="0"/>
        <v>0</v>
      </c>
      <c r="H28" s="6">
        <f t="shared" si="1"/>
        <v>669927.88948490063</v>
      </c>
      <c r="I28" s="36">
        <f>VLOOKUP($A28,[18]HISTOJANV23!$A$6:$AQ$40,22,0)</f>
        <v>0</v>
      </c>
      <c r="J28" s="36">
        <f>VLOOKUP($A28,[18]HISTOJANV23!$A$6:$AU$36,45,0)</f>
        <v>15000</v>
      </c>
      <c r="K28" s="36">
        <f t="shared" si="3"/>
        <v>9000</v>
      </c>
      <c r="L28" s="36">
        <f t="shared" si="5"/>
        <v>1000</v>
      </c>
      <c r="M28" s="36">
        <f t="shared" si="4"/>
        <v>1000</v>
      </c>
      <c r="N28" s="36">
        <f t="shared" si="6"/>
        <v>4000</v>
      </c>
      <c r="O28" s="36">
        <f>VLOOKUP($A28,[18]HISTOJANV23!$A$6:$AU$36,7,0)</f>
        <v>0</v>
      </c>
      <c r="P28" s="36">
        <f>VLOOKUP($A28,[18]HISTOJANV23!$A$6:$AU$36,23,0)</f>
        <v>0</v>
      </c>
      <c r="Q28" s="36">
        <f>VLOOKUP($A28,[18]HISTOJANV23!$A$6:$AU$36,46,0)</f>
        <v>0</v>
      </c>
      <c r="R28" s="36">
        <f>VLOOKUP($A28,[18]HISTOJANV23!$A$6:$AU$36,26,0)</f>
        <v>0</v>
      </c>
      <c r="S28" s="36">
        <f>VLOOKUP($A28,[18]HISTOJANV23!$A$6:$BG$36,58,0)</f>
        <v>0</v>
      </c>
      <c r="T28" s="36">
        <f>VLOOKUP($A28,[18]HISTOJANV23!$A$6:$AU$36,28,0)</f>
        <v>0</v>
      </c>
      <c r="U28" s="36">
        <f>VLOOKUP($A28,[18]HISTOJANV23!$A$6:$AU$36,19,0)</f>
        <v>0</v>
      </c>
      <c r="V28" s="36">
        <f>VLOOKUP($A28,[18]HISTOJANV23!$A$6:$AU$36,20,0)</f>
        <v>0</v>
      </c>
      <c r="W28" s="36">
        <f>VLOOKUP($A28,[18]HISTOJANV23!$A$6:$AU$36,27,0)</f>
        <v>0</v>
      </c>
      <c r="X28" s="36">
        <f>VLOOKUP($A28,[18]HISTOJANV23!$A$6:$BM$36,33,0)</f>
        <v>0</v>
      </c>
      <c r="Y28" s="36">
        <f>VLOOKUP($A28,[18]HISTOJANV23!$A$6:$BM$36,65,0)</f>
        <v>0</v>
      </c>
      <c r="Z28" s="36"/>
      <c r="AA28" s="36">
        <f>VLOOKUP($A28,[18]HISTOJANV23!$A$6:$AU$36,43,0)</f>
        <v>0</v>
      </c>
      <c r="AB28" s="36">
        <f>VLOOKUP($A28,[18]HISTOJANV23!$A$6:$AU$36,44,0)</f>
        <v>0</v>
      </c>
      <c r="AC28" s="36">
        <f>VLOOKUP($A28,[18]HISTOJANV23!$A$6:$AU$36,47,0)</f>
        <v>0</v>
      </c>
      <c r="AD28" s="36">
        <f>VLOOKUP(A28,[18]HISTOJANV23!$A$6:$BB$36,54,0)</f>
        <v>0</v>
      </c>
      <c r="AE28" s="36">
        <f>VLOOKUP($A28,[18]HISTOJANV23!$A$6:$CA$36,60,0)</f>
        <v>0</v>
      </c>
      <c r="AF28" s="36">
        <f>VLOOKUP($A28,[18]HISTOJANV23!$A$6:$CA$36,61,0)</f>
        <v>0</v>
      </c>
      <c r="AG28" s="36">
        <f>VLOOKUP($A28,[18]HISTOJANV23!$A$6:$CA$36,62,0)</f>
        <v>0</v>
      </c>
      <c r="AH28" s="36">
        <f>VLOOKUP($A28,[18]HISTOJANV23!$A$6:$CA$36,63,0)</f>
        <v>0</v>
      </c>
      <c r="AI28" s="36">
        <f>VLOOKUP($A28,[18]HISTOJANV23!$A$6:$CA$36,64,0)</f>
        <v>0</v>
      </c>
      <c r="AJ28" s="36">
        <f>VLOOKUP($A28,[18]HISTOJANV23!$A$6:$CA$36,65,0)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>
        <f>VLOOKUP(A29,MVTDEC22!A29:AJ60,3,0)</f>
        <v>0</v>
      </c>
      <c r="D29" s="36"/>
      <c r="E29" s="36">
        <f>VLOOKUP($A29,[18]HISTOJANV23!$A$6:$BA$36,48,0)</f>
        <v>0</v>
      </c>
      <c r="F29" s="5">
        <f>MVTDEC22!F29+MVTDEC22!G29-MVTJANV23!E29+K29</f>
        <v>9000</v>
      </c>
      <c r="G29" s="6">
        <f t="shared" si="0"/>
        <v>0</v>
      </c>
      <c r="H29" s="6">
        <f t="shared" si="1"/>
        <v>9000</v>
      </c>
      <c r="I29" s="36">
        <f>VLOOKUP($A29,[18]HISTOJANV23!$A$6:$AQ$40,22,0)</f>
        <v>0</v>
      </c>
      <c r="J29" s="36">
        <f>VLOOKUP($A29,[18]HISTOJANV23!$A$6:$AU$36,45,0)</f>
        <v>15000</v>
      </c>
      <c r="K29" s="36">
        <f t="shared" ref="K29" si="7">IF(J29=0,0,J29-(L29+M29+N29))</f>
        <v>9000</v>
      </c>
      <c r="L29" s="36">
        <f t="shared" ref="L29" si="8">IF(J29=0,0,1000)</f>
        <v>1000</v>
      </c>
      <c r="M29" s="36">
        <f t="shared" ref="M29" si="9">IF(J29=0,0,1000)</f>
        <v>1000</v>
      </c>
      <c r="N29" s="36">
        <f t="shared" ref="N29" si="10">IF(J29=0,0,4000)</f>
        <v>4000</v>
      </c>
      <c r="O29" s="36">
        <f>VLOOKUP($A29,[18]HISTOJANV23!$A$6:$AU$36,7,0)</f>
        <v>0</v>
      </c>
      <c r="P29" s="36">
        <f>VLOOKUP($A29,[18]HISTOJANV23!$A$6:$AU$36,23,0)</f>
        <v>25000</v>
      </c>
      <c r="Q29" s="36">
        <f>VLOOKUP($A29,[18]HISTOJANV23!$A$6:$AU$36,46,0)</f>
        <v>0</v>
      </c>
      <c r="R29" s="36">
        <f>VLOOKUP($A29,[18]HISTOJANV23!$A$6:$AU$36,26,0)</f>
        <v>0</v>
      </c>
      <c r="S29" s="36">
        <f>VLOOKUP($A29,[18]HISTOJANV23!$A$6:$BG$36,58,0)</f>
        <v>0</v>
      </c>
      <c r="T29" s="36">
        <f>VLOOKUP($A29,[18]HISTOJANV23!$A$6:$AU$36,28,0)</f>
        <v>0</v>
      </c>
      <c r="U29" s="36">
        <f>VLOOKUP($A29,[18]HISTOJANV23!$A$6:$AU$36,19,0)</f>
        <v>0</v>
      </c>
      <c r="V29" s="36">
        <f>VLOOKUP($A29,[18]HISTOJANV23!$A$6:$AU$36,20,0)</f>
        <v>0</v>
      </c>
      <c r="W29" s="36">
        <f>VLOOKUP($A29,[18]HISTOJANV23!$A$6:$AU$36,27,0)</f>
        <v>0</v>
      </c>
      <c r="X29" s="36">
        <f>VLOOKUP($A29,[18]HISTOJANV23!$A$6:$BM$36,33,0)</f>
        <v>0</v>
      </c>
      <c r="Y29" s="36">
        <f>VLOOKUP($A29,[18]HISTOJANV23!$A$6:$BM$36,65,0)</f>
        <v>0</v>
      </c>
      <c r="Z29" s="36"/>
      <c r="AA29" s="36">
        <f>VLOOKUP($A29,[18]HISTOJANV23!$A$6:$AU$36,43,0)</f>
        <v>0</v>
      </c>
      <c r="AB29" s="36">
        <f>VLOOKUP($A29,[18]HISTOJANV23!$A$6:$AU$36,44,0)</f>
        <v>0</v>
      </c>
      <c r="AC29" s="36">
        <f>VLOOKUP($A29,[18]HISTOJANV23!$A$6:$AU$36,47,0)</f>
        <v>0</v>
      </c>
      <c r="AD29" s="36">
        <f>VLOOKUP(A29,[18]HISTOJANV23!$A$6:$BB$36,54,0)</f>
        <v>0</v>
      </c>
      <c r="AE29" s="36">
        <f>VLOOKUP($A29,[18]HISTOJANV23!$A$6:$CA$36,60,0)</f>
        <v>0</v>
      </c>
      <c r="AF29" s="36">
        <f>VLOOKUP($A29,[18]HISTOJANV23!$A$6:$CA$36,61,0)</f>
        <v>0</v>
      </c>
      <c r="AG29" s="36">
        <f>VLOOKUP($A29,[18]HISTOJANV23!$A$6:$CA$36,62,0)</f>
        <v>0</v>
      </c>
      <c r="AH29" s="36">
        <f>VLOOKUP($A29,[18]HISTOJANV23!$A$6:$CA$36,63,0)</f>
        <v>0</v>
      </c>
      <c r="AI29" s="36">
        <f>VLOOKUP($A29,[18]HISTOJANV23!$A$6:$CA$36,64,0)</f>
        <v>0</v>
      </c>
      <c r="AJ29" s="36">
        <f>VLOOKUP($A29,[18]HISTOJANV23!$A$6:$CA$36,65,0)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>
        <f>VLOOKUP(A30,MVTDEC22!A30:AJ61,3,0)</f>
        <v>600000</v>
      </c>
      <c r="D30" s="36">
        <f>VLOOKUP($A30,[19]MVTREPARTITION2022!$A$6:$V$39,21,0)</f>
        <v>200752</v>
      </c>
      <c r="E30" s="36">
        <f>VLOOKUP($A30,[18]HISTOJANV23!$A$6:$BA$36,48,0)</f>
        <v>0</v>
      </c>
      <c r="F30" s="5">
        <f>MVTDEC22!F30+MVTDEC22!G30-MVTJANV23!E30+K30</f>
        <v>860617.95036181086</v>
      </c>
      <c r="G30" s="6">
        <f t="shared" si="0"/>
        <v>0</v>
      </c>
      <c r="H30" s="6">
        <f t="shared" si="1"/>
        <v>860617.95036181086</v>
      </c>
      <c r="I30" s="36">
        <f>VLOOKUP($A30,[18]HISTOJANV23!$A$6:$AQ$40,22,0)</f>
        <v>0</v>
      </c>
      <c r="J30" s="36">
        <f>VLOOKUP($A30,[18]HISTOJANV23!$A$6:$AU$36,45,0)</f>
        <v>15000</v>
      </c>
      <c r="K30" s="36">
        <f t="shared" si="3"/>
        <v>9000</v>
      </c>
      <c r="L30" s="36">
        <f t="shared" si="5"/>
        <v>1000</v>
      </c>
      <c r="M30" s="36">
        <f t="shared" si="4"/>
        <v>1000</v>
      </c>
      <c r="N30" s="36">
        <f t="shared" si="6"/>
        <v>4000</v>
      </c>
      <c r="O30" s="36">
        <f>VLOOKUP($A30,[18]HISTOJANV23!$A$6:$AU$36,7,0)</f>
        <v>0</v>
      </c>
      <c r="P30" s="36">
        <f>VLOOKUP($A30,[18]HISTOJANV23!$A$6:$AU$36,23,0)</f>
        <v>0</v>
      </c>
      <c r="Q30" s="36">
        <f>VLOOKUP($A30,[18]HISTOJANV23!$A$6:$AU$36,46,0)</f>
        <v>0</v>
      </c>
      <c r="R30" s="36">
        <f>VLOOKUP($A30,[18]HISTOJANV23!$A$6:$AU$36,26,0)</f>
        <v>0</v>
      </c>
      <c r="S30" s="36">
        <f>VLOOKUP($A30,[18]HISTOJANV23!$A$6:$BG$36,58,0)</f>
        <v>0</v>
      </c>
      <c r="T30" s="36">
        <f>VLOOKUP($A30,[18]HISTOJANV23!$A$6:$AU$36,28,0)</f>
        <v>0</v>
      </c>
      <c r="U30" s="36">
        <f>VLOOKUP($A30,[18]HISTOJANV23!$A$6:$AU$36,19,0)</f>
        <v>0</v>
      </c>
      <c r="V30" s="36">
        <f>VLOOKUP($A30,[18]HISTOJANV23!$A$6:$AU$36,20,0)</f>
        <v>0</v>
      </c>
      <c r="W30" s="36">
        <f>VLOOKUP($A30,[18]HISTOJANV23!$A$6:$AU$36,27,0)</f>
        <v>0</v>
      </c>
      <c r="X30" s="36">
        <f>VLOOKUP($A30,[18]HISTOJANV23!$A$6:$BM$36,33,0)</f>
        <v>0</v>
      </c>
      <c r="Y30" s="36">
        <f>VLOOKUP($A30,[18]HISTOJANV23!$A$6:$BM$36,65,0)</f>
        <v>0</v>
      </c>
      <c r="Z30" s="36"/>
      <c r="AA30" s="36">
        <f>VLOOKUP($A30,[18]HISTOJANV23!$A$6:$AU$36,43,0)</f>
        <v>0</v>
      </c>
      <c r="AB30" s="36">
        <f>VLOOKUP($A30,[18]HISTOJANV23!$A$6:$AU$36,44,0)</f>
        <v>0</v>
      </c>
      <c r="AC30" s="36">
        <f>VLOOKUP($A30,[18]HISTOJANV23!$A$6:$AU$36,47,0)</f>
        <v>0</v>
      </c>
      <c r="AD30" s="36">
        <f>VLOOKUP(A30,[18]HISTOJANV23!$A$6:$BB$36,54,0)</f>
        <v>0</v>
      </c>
      <c r="AE30" s="36">
        <f>VLOOKUP($A30,[18]HISTOJANV23!$A$6:$CA$36,60,0)</f>
        <v>0</v>
      </c>
      <c r="AF30" s="36">
        <f>VLOOKUP($A30,[18]HISTOJANV23!$A$6:$CA$36,61,0)</f>
        <v>0</v>
      </c>
      <c r="AG30" s="36">
        <f>VLOOKUP($A30,[18]HISTOJANV23!$A$6:$CA$36,62,0)</f>
        <v>0</v>
      </c>
      <c r="AH30" s="36">
        <f>VLOOKUP($A30,[18]HISTOJANV23!$A$6:$CA$36,63,0)</f>
        <v>0</v>
      </c>
      <c r="AI30" s="36">
        <f>VLOOKUP($A30,[18]HISTOJANV23!$A$6:$CA$36,64,0)</f>
        <v>0</v>
      </c>
      <c r="AJ30" s="36">
        <f>VLOOKUP($A30,[18]HISTOJANV23!$A$6:$CA$36,65,0)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>
        <f>VLOOKUP(A31,MVTDEC22!A31:AJ62,3,0)</f>
        <v>600000</v>
      </c>
      <c r="D31" s="36">
        <f>VLOOKUP($A31,[19]MVTREPARTITION2022!$A$6:$V$39,21,0)</f>
        <v>103606</v>
      </c>
      <c r="E31" s="36">
        <f>VLOOKUP($A31,[18]HISTOJANV23!$A$6:$BA$36,48,0)</f>
        <v>0</v>
      </c>
      <c r="F31" s="5">
        <f>MVTDEC22!F31+MVTDEC22!G31-MVTJANV23!E31+K31</f>
        <v>867301.0246488438</v>
      </c>
      <c r="G31" s="6">
        <f t="shared" si="0"/>
        <v>0</v>
      </c>
      <c r="H31" s="6">
        <f t="shared" si="1"/>
        <v>867301.0246488438</v>
      </c>
      <c r="I31" s="36">
        <f>VLOOKUP($A31,[18]HISTOJANV23!$A$6:$AQ$40,22,0)</f>
        <v>0</v>
      </c>
      <c r="J31" s="36">
        <f>VLOOKUP($A31,[18]HISTOJANV23!$A$6:$AU$36,45,0)</f>
        <v>125000</v>
      </c>
      <c r="K31" s="36">
        <f t="shared" si="3"/>
        <v>119000</v>
      </c>
      <c r="L31" s="36">
        <f t="shared" si="5"/>
        <v>1000</v>
      </c>
      <c r="M31" s="36">
        <f t="shared" si="4"/>
        <v>1000</v>
      </c>
      <c r="N31" s="36">
        <f t="shared" si="6"/>
        <v>4000</v>
      </c>
      <c r="O31" s="36">
        <f>VLOOKUP($A31,[18]HISTOJANV23!$A$6:$AU$36,7,0)</f>
        <v>0</v>
      </c>
      <c r="P31" s="36">
        <f>VLOOKUP($A31,[18]HISTOJANV23!$A$6:$AU$36,23,0)</f>
        <v>0</v>
      </c>
      <c r="Q31" s="36">
        <f>VLOOKUP($A31,[18]HISTOJANV23!$A$6:$AU$36,46,0)</f>
        <v>0</v>
      </c>
      <c r="R31" s="36">
        <f>VLOOKUP($A31,[18]HISTOJANV23!$A$6:$AU$36,26,0)</f>
        <v>0</v>
      </c>
      <c r="S31" s="36">
        <f>VLOOKUP($A31,[18]HISTOJANV23!$A$6:$BG$36,58,0)</f>
        <v>0</v>
      </c>
      <c r="T31" s="36">
        <f>VLOOKUP($A31,[18]HISTOJANV23!$A$6:$AU$36,28,0)</f>
        <v>0</v>
      </c>
      <c r="U31" s="36">
        <f>VLOOKUP($A31,[18]HISTOJANV23!$A$6:$AU$36,19,0)</f>
        <v>0</v>
      </c>
      <c r="V31" s="36">
        <f>VLOOKUP($A31,[18]HISTOJANV23!$A$6:$AU$36,20,0)</f>
        <v>0</v>
      </c>
      <c r="W31" s="36">
        <f>VLOOKUP($A31,[18]HISTOJANV23!$A$6:$AU$36,27,0)</f>
        <v>0</v>
      </c>
      <c r="X31" s="36">
        <f>VLOOKUP($A31,[18]HISTOJANV23!$A$6:$BM$36,33,0)</f>
        <v>0</v>
      </c>
      <c r="Y31" s="36">
        <f>VLOOKUP($A31,[18]HISTOJANV23!$A$6:$BM$36,65,0)</f>
        <v>0</v>
      </c>
      <c r="Z31" s="36"/>
      <c r="AA31" s="36">
        <f>VLOOKUP($A31,[18]HISTOJANV23!$A$6:$AU$36,43,0)</f>
        <v>0</v>
      </c>
      <c r="AB31" s="36">
        <f>VLOOKUP($A31,[18]HISTOJANV23!$A$6:$AU$36,44,0)</f>
        <v>0</v>
      </c>
      <c r="AC31" s="36">
        <f>VLOOKUP($A31,[18]HISTOJANV23!$A$6:$AU$36,47,0)</f>
        <v>0</v>
      </c>
      <c r="AD31" s="36">
        <f>VLOOKUP(A31,[18]HISTOJANV23!$A$6:$BB$36,54,0)</f>
        <v>0</v>
      </c>
      <c r="AE31" s="36">
        <f>VLOOKUP($A31,[18]HISTOJANV23!$A$6:$CA$36,60,0)</f>
        <v>0</v>
      </c>
      <c r="AF31" s="36">
        <f>VLOOKUP($A31,[18]HISTOJANV23!$A$6:$CA$36,61,0)</f>
        <v>0</v>
      </c>
      <c r="AG31" s="36">
        <f>VLOOKUP($A31,[18]HISTOJANV23!$A$6:$CA$36,62,0)</f>
        <v>0</v>
      </c>
      <c r="AH31" s="36">
        <f>VLOOKUP($A31,[18]HISTOJANV23!$A$6:$CA$36,63,0)</f>
        <v>0</v>
      </c>
      <c r="AI31" s="36">
        <f>VLOOKUP($A31,[18]HISTOJANV23!$A$6:$CA$36,64,0)</f>
        <v>0</v>
      </c>
      <c r="AJ31" s="36">
        <f>VLOOKUP($A31,[18]HISTOJANV23!$A$6:$CA$36,65,0)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>
        <f>VLOOKUP(A32,MVTDEC22!A32:AJ63,3,0)</f>
        <v>600000</v>
      </c>
      <c r="D32" s="36">
        <f>VLOOKUP($A32,[19]MVTREPARTITION2022!$A$6:$V$39,21,0)</f>
        <v>4208</v>
      </c>
      <c r="E32" s="36">
        <f>VLOOKUP($A32,[18]HISTOJANV23!$A$6:$BA$36,48,0)</f>
        <v>0</v>
      </c>
      <c r="F32" s="5">
        <f>MVTDEC22!F32+MVTDEC22!G32-MVTJANV23!E32+K32</f>
        <v>651588.4159420582</v>
      </c>
      <c r="G32" s="6">
        <f t="shared" si="0"/>
        <v>0</v>
      </c>
      <c r="H32" s="6">
        <f t="shared" si="1"/>
        <v>651588.4159420582</v>
      </c>
      <c r="I32" s="36">
        <f>VLOOKUP($A32,[18]HISTOJANV23!$A$6:$AQ$40,22,0)</f>
        <v>0</v>
      </c>
      <c r="J32" s="36">
        <f>VLOOKUP($A32,[18]HISTOJANV23!$A$6:$AU$36,45,0)</f>
        <v>15000</v>
      </c>
      <c r="K32" s="36">
        <f t="shared" si="3"/>
        <v>9000</v>
      </c>
      <c r="L32" s="36">
        <f t="shared" si="5"/>
        <v>1000</v>
      </c>
      <c r="M32" s="36">
        <f t="shared" si="4"/>
        <v>1000</v>
      </c>
      <c r="N32" s="36">
        <f t="shared" si="6"/>
        <v>4000</v>
      </c>
      <c r="O32" s="36">
        <f>VLOOKUP($A32,[18]HISTOJANV23!$A$6:$AU$36,7,0)</f>
        <v>0</v>
      </c>
      <c r="P32" s="36">
        <f>VLOOKUP($A32,[18]HISTOJANV23!$A$6:$AU$36,23,0)</f>
        <v>0</v>
      </c>
      <c r="Q32" s="36">
        <f>VLOOKUP($A32,[18]HISTOJANV23!$A$6:$AU$36,46,0)</f>
        <v>0</v>
      </c>
      <c r="R32" s="36">
        <f>VLOOKUP($A32,[18]HISTOJANV23!$A$6:$AU$36,26,0)</f>
        <v>0</v>
      </c>
      <c r="S32" s="36">
        <f>VLOOKUP($A32,[18]HISTOJANV23!$A$6:$BG$36,58,0)</f>
        <v>0</v>
      </c>
      <c r="T32" s="36">
        <f>VLOOKUP($A32,[18]HISTOJANV23!$A$6:$AU$36,28,0)</f>
        <v>0</v>
      </c>
      <c r="U32" s="36">
        <f>VLOOKUP($A32,[18]HISTOJANV23!$A$6:$AU$36,19,0)</f>
        <v>0</v>
      </c>
      <c r="V32" s="36">
        <f>VLOOKUP($A32,[18]HISTOJANV23!$A$6:$AU$36,20,0)</f>
        <v>0</v>
      </c>
      <c r="W32" s="36">
        <f>VLOOKUP($A32,[18]HISTOJANV23!$A$6:$AU$36,27,0)</f>
        <v>0</v>
      </c>
      <c r="X32" s="36">
        <f>VLOOKUP($A32,[18]HISTOJANV23!$A$6:$BM$36,33,0)</f>
        <v>0</v>
      </c>
      <c r="Y32" s="36">
        <f>VLOOKUP($A32,[18]HISTOJANV23!$A$6:$BM$36,65,0)</f>
        <v>0</v>
      </c>
      <c r="Z32" s="36"/>
      <c r="AA32" s="36">
        <f>VLOOKUP($A32,[18]HISTOJANV23!$A$6:$AU$36,43,0)</f>
        <v>0</v>
      </c>
      <c r="AB32" s="36">
        <f>VLOOKUP($A32,[18]HISTOJANV23!$A$6:$AU$36,44,0)</f>
        <v>0</v>
      </c>
      <c r="AC32" s="36">
        <f>VLOOKUP($A32,[18]HISTOJANV23!$A$6:$AU$36,47,0)</f>
        <v>0</v>
      </c>
      <c r="AD32" s="36">
        <f>VLOOKUP(A32,[18]HISTOJANV23!$A$6:$BB$36,54,0)</f>
        <v>0</v>
      </c>
      <c r="AE32" s="36">
        <f>VLOOKUP($A32,[18]HISTOJANV23!$A$6:$CA$36,60,0)</f>
        <v>0</v>
      </c>
      <c r="AF32" s="36">
        <f>VLOOKUP($A32,[18]HISTOJANV23!$A$6:$CA$36,61,0)</f>
        <v>0</v>
      </c>
      <c r="AG32" s="36">
        <f>VLOOKUP($A32,[18]HISTOJANV23!$A$6:$CA$36,62,0)</f>
        <v>0</v>
      </c>
      <c r="AH32" s="36">
        <f>VLOOKUP($A32,[18]HISTOJANV23!$A$6:$CA$36,63,0)</f>
        <v>0</v>
      </c>
      <c r="AI32" s="36">
        <f>VLOOKUP($A32,[18]HISTOJANV23!$A$6:$CA$36,64,0)</f>
        <v>0</v>
      </c>
      <c r="AJ32" s="36">
        <f>VLOOKUP($A32,[18]HISTOJANV23!$A$6:$CA$36,65,0)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>
        <f>VLOOKUP(A33,MVTDEC22!A33:AJ64,3,0)</f>
        <v>0</v>
      </c>
      <c r="D33" s="36"/>
      <c r="E33" s="36">
        <f>VLOOKUP($A33,[18]HISTOJANV23!$A$6:$BA$36,48,0)</f>
        <v>0</v>
      </c>
      <c r="F33" s="5">
        <f>MVTDEC22!F33+MVTDEC22!G33-MVTJANV23!E33+K33</f>
        <v>9000</v>
      </c>
      <c r="G33" s="6">
        <f t="shared" si="0"/>
        <v>0</v>
      </c>
      <c r="H33" s="6">
        <f t="shared" si="1"/>
        <v>9000</v>
      </c>
      <c r="I33" s="36">
        <f>VLOOKUP($A33,[18]HISTOJANV23!$A$6:$AQ$40,22,0)</f>
        <v>0</v>
      </c>
      <c r="J33" s="36">
        <f>VLOOKUP($A33,[18]HISTOJANV23!$A$6:$AU$36,45,0)</f>
        <v>15000</v>
      </c>
      <c r="K33" s="36">
        <f t="shared" ref="K33" si="11">IF(J33=0,0,J33-(L33+M33+N33))</f>
        <v>9000</v>
      </c>
      <c r="L33" s="36">
        <f t="shared" ref="L33" si="12">IF(J33=0,0,1000)</f>
        <v>1000</v>
      </c>
      <c r="M33" s="36">
        <f t="shared" ref="M33" si="13">IF(J33=0,0,1000)</f>
        <v>1000</v>
      </c>
      <c r="N33" s="36">
        <f t="shared" ref="N33" si="14">IF(J33=0,0,4000)</f>
        <v>4000</v>
      </c>
      <c r="O33" s="36">
        <f>VLOOKUP($A33,[18]HISTOJANV23!$A$6:$AU$36,7,0)</f>
        <v>0</v>
      </c>
      <c r="P33" s="36">
        <f>VLOOKUP($A33,[18]HISTOJANV23!$A$6:$AU$36,23,0)</f>
        <v>0</v>
      </c>
      <c r="Q33" s="36">
        <f>VLOOKUP($A33,[18]HISTOJANV23!$A$6:$AU$36,46,0)</f>
        <v>0</v>
      </c>
      <c r="R33" s="36">
        <f>VLOOKUP($A33,[18]HISTOJANV23!$A$6:$AU$36,26,0)</f>
        <v>0</v>
      </c>
      <c r="S33" s="36">
        <f>VLOOKUP($A33,[18]HISTOJANV23!$A$6:$BG$36,58,0)</f>
        <v>0</v>
      </c>
      <c r="T33" s="36">
        <f>VLOOKUP($A33,[18]HISTOJANV23!$A$6:$AU$36,28,0)</f>
        <v>0</v>
      </c>
      <c r="U33" s="36">
        <f>VLOOKUP($A33,[18]HISTOJANV23!$A$6:$AU$36,19,0)</f>
        <v>0</v>
      </c>
      <c r="V33" s="36">
        <f>VLOOKUP($A33,[18]HISTOJANV23!$A$6:$AU$36,20,0)</f>
        <v>0</v>
      </c>
      <c r="W33" s="36">
        <f>VLOOKUP($A33,[18]HISTOJANV23!$A$6:$AU$36,27,0)</f>
        <v>0</v>
      </c>
      <c r="X33" s="36">
        <f>VLOOKUP($A33,[18]HISTOJANV23!$A$6:$BM$36,33,0)</f>
        <v>0</v>
      </c>
      <c r="Y33" s="36">
        <f>VLOOKUP($A33,[18]HISTOJANV23!$A$6:$BM$36,65,0)</f>
        <v>0</v>
      </c>
      <c r="Z33" s="36"/>
      <c r="AA33" s="36">
        <f>VLOOKUP($A33,[18]HISTOJANV23!$A$6:$AU$36,43,0)</f>
        <v>0</v>
      </c>
      <c r="AB33" s="36">
        <f>VLOOKUP($A33,[18]HISTOJANV23!$A$6:$AU$36,44,0)</f>
        <v>0</v>
      </c>
      <c r="AC33" s="36">
        <f>VLOOKUP($A33,[18]HISTOJANV23!$A$6:$AU$36,47,0)</f>
        <v>0</v>
      </c>
      <c r="AD33" s="36">
        <f>VLOOKUP(A33,[18]HISTOJANV23!$A$6:$BB$36,54,0)</f>
        <v>0</v>
      </c>
      <c r="AE33" s="36">
        <f>VLOOKUP($A33,[18]HISTOJANV23!$A$6:$CA$36,60,0)</f>
        <v>0</v>
      </c>
      <c r="AF33" s="36">
        <f>VLOOKUP($A33,[18]HISTOJANV23!$A$6:$CA$36,61,0)</f>
        <v>0</v>
      </c>
      <c r="AG33" s="36">
        <f>VLOOKUP($A33,[18]HISTOJANV23!$A$6:$CA$36,62,0)</f>
        <v>0</v>
      </c>
      <c r="AH33" s="36">
        <f>VLOOKUP($A33,[18]HISTOJANV23!$A$6:$CA$36,63,0)</f>
        <v>0</v>
      </c>
      <c r="AI33" s="36">
        <f>VLOOKUP($A33,[18]HISTOJANV23!$A$6:$CA$36,64,0)</f>
        <v>0</v>
      </c>
      <c r="AJ33" s="36">
        <f>VLOOKUP($A33,[18]HISTOJANV23!$A$6:$CA$36,65,0)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>
        <f>VLOOKUP(A34,MVTDEC22!A34:AJ65,3,0)</f>
        <v>0</v>
      </c>
      <c r="D34" s="36"/>
      <c r="E34" s="36">
        <f>VLOOKUP($A34,[18]HISTOJANV23!$A$6:$BA$36,48,0)</f>
        <v>0</v>
      </c>
      <c r="F34" s="5">
        <f>MVTDEC22!F34+MVTDEC22!G34-MVTJANV23!E34+K34</f>
        <v>9000</v>
      </c>
      <c r="G34" s="6">
        <f t="shared" si="0"/>
        <v>0</v>
      </c>
      <c r="H34" s="6">
        <f t="shared" si="1"/>
        <v>9000</v>
      </c>
      <c r="I34" s="36">
        <f>VLOOKUP($A34,[18]HISTOJANV23!$A$6:$AQ$40,22,0)</f>
        <v>0</v>
      </c>
      <c r="J34" s="36">
        <f>VLOOKUP($A34,[18]HISTOJANV23!$A$6:$AU$36,45,0)</f>
        <v>15000</v>
      </c>
      <c r="K34" s="36">
        <f t="shared" ref="K34" si="15">IF(J34=0,0,J34-(L34+M34+N34))</f>
        <v>9000</v>
      </c>
      <c r="L34" s="36">
        <f t="shared" ref="L34" si="16">IF(J34=0,0,1000)</f>
        <v>1000</v>
      </c>
      <c r="M34" s="36">
        <f t="shared" ref="M34" si="17">IF(J34=0,0,1000)</f>
        <v>1000</v>
      </c>
      <c r="N34" s="36">
        <f t="shared" ref="N34" si="18">IF(J34=0,0,4000)</f>
        <v>4000</v>
      </c>
      <c r="O34" s="36">
        <f>VLOOKUP($A34,[18]HISTOJANV23!$A$6:$AU$36,7,0)</f>
        <v>0</v>
      </c>
      <c r="P34" s="36">
        <f>VLOOKUP($A34,[18]HISTOJANV23!$A$6:$AU$36,23,0)</f>
        <v>25000</v>
      </c>
      <c r="Q34" s="36">
        <f>VLOOKUP($A34,[18]HISTOJANV23!$A$6:$AU$36,46,0)</f>
        <v>35000</v>
      </c>
      <c r="R34" s="36">
        <f>VLOOKUP($A34,[18]HISTOJANV23!$A$6:$AU$36,26,0)</f>
        <v>0</v>
      </c>
      <c r="S34" s="36">
        <f>VLOOKUP($A34,[18]HISTOJANV23!$A$6:$BG$36,58,0)</f>
        <v>0</v>
      </c>
      <c r="T34" s="36">
        <f>VLOOKUP($A34,[18]HISTOJANV23!$A$6:$AU$36,28,0)</f>
        <v>0</v>
      </c>
      <c r="U34" s="36">
        <f>VLOOKUP($A34,[18]HISTOJANV23!$A$6:$AU$36,19,0)</f>
        <v>0</v>
      </c>
      <c r="V34" s="36">
        <f>VLOOKUP($A34,[18]HISTOJANV23!$A$6:$AU$36,20,0)</f>
        <v>0</v>
      </c>
      <c r="W34" s="36">
        <f>VLOOKUP($A34,[18]HISTOJANV23!$A$6:$AU$36,27,0)</f>
        <v>0</v>
      </c>
      <c r="X34" s="36">
        <f>VLOOKUP($A34,[18]HISTOJANV23!$A$6:$BM$36,33,0)</f>
        <v>0</v>
      </c>
      <c r="Y34" s="36">
        <f>VLOOKUP($A34,[18]HISTOJANV23!$A$6:$BM$36,65,0)</f>
        <v>0</v>
      </c>
      <c r="Z34" s="36"/>
      <c r="AA34" s="36">
        <f>VLOOKUP($A34,[18]HISTOJANV23!$A$6:$AU$36,43,0)</f>
        <v>0</v>
      </c>
      <c r="AB34" s="36">
        <f>VLOOKUP($A34,[18]HISTOJANV23!$A$6:$AU$36,44,0)</f>
        <v>0</v>
      </c>
      <c r="AC34" s="36">
        <f>VLOOKUP($A34,[18]HISTOJANV23!$A$6:$AU$36,47,0)</f>
        <v>0</v>
      </c>
      <c r="AD34" s="36">
        <f>VLOOKUP(A34,[18]HISTOJANV23!$A$6:$BB$36,54,0)</f>
        <v>0</v>
      </c>
      <c r="AE34" s="36">
        <f>VLOOKUP($A34,[18]HISTOJANV23!$A$6:$CA$36,60,0)</f>
        <v>0</v>
      </c>
      <c r="AF34" s="36">
        <f>VLOOKUP($A34,[18]HISTOJANV23!$A$6:$CA$36,61,0)</f>
        <v>0</v>
      </c>
      <c r="AG34" s="36">
        <f>VLOOKUP($A34,[18]HISTOJANV23!$A$6:$CA$36,62,0)</f>
        <v>0</v>
      </c>
      <c r="AH34" s="36">
        <f>VLOOKUP($A34,[18]HISTOJANV23!$A$6:$CA$36,63,0)</f>
        <v>0</v>
      </c>
      <c r="AI34" s="36">
        <f>VLOOKUP($A34,[18]HISTOJANV23!$A$6:$CA$36,64,0)</f>
        <v>0</v>
      </c>
      <c r="AJ34" s="36">
        <f>VLOOKUP($A34,[18]HISTOJANV23!$A$6:$CA$36,65,0)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>
        <f>VLOOKUP(A35,MVTDEC22!A35:AJ66,3,0)</f>
        <v>600000</v>
      </c>
      <c r="D35" s="36">
        <f>VLOOKUP($A35,[19]MVTREPARTITION2022!$A$6:$V$39,21,0)</f>
        <v>914734</v>
      </c>
      <c r="E35" s="36">
        <f>VLOOKUP($A35,[18]HISTOJANV23!$A$6:$BA$36,48,0)</f>
        <v>0</v>
      </c>
      <c r="F35" s="5">
        <f>MVTDEC22!F35+MVTDEC22!G35-MVTJANV23!E35+K35</f>
        <v>1619953.5168487167</v>
      </c>
      <c r="G35" s="6">
        <f t="shared" si="0"/>
        <v>0</v>
      </c>
      <c r="H35" s="6">
        <f t="shared" si="1"/>
        <v>1619953.5168487167</v>
      </c>
      <c r="I35" s="36">
        <f>VLOOKUP($A35,[18]HISTOJANV23!$A$6:$AQ$40,22,0)</f>
        <v>0</v>
      </c>
      <c r="J35" s="36">
        <f>VLOOKUP($A35,[18]HISTOJANV23!$A$6:$AU$36,45,0)</f>
        <v>15000</v>
      </c>
      <c r="K35" s="36">
        <f t="shared" si="3"/>
        <v>9000</v>
      </c>
      <c r="L35" s="36">
        <f t="shared" si="5"/>
        <v>1000</v>
      </c>
      <c r="M35" s="36">
        <f t="shared" si="4"/>
        <v>1000</v>
      </c>
      <c r="N35" s="36">
        <f t="shared" si="6"/>
        <v>4000</v>
      </c>
      <c r="O35" s="36">
        <f>VLOOKUP($A35,[18]HISTOJANV23!$A$6:$AU$36,7,0)</f>
        <v>0</v>
      </c>
      <c r="P35" s="36">
        <f>VLOOKUP($A35,[18]HISTOJANV23!$A$6:$AU$36,23,0)</f>
        <v>0</v>
      </c>
      <c r="Q35" s="36">
        <f>VLOOKUP($A35,[18]HISTOJANV23!$A$6:$AU$36,46,0)</f>
        <v>0</v>
      </c>
      <c r="R35" s="36">
        <f>VLOOKUP($A35,[18]HISTOJANV23!$A$6:$AU$36,26,0)</f>
        <v>0</v>
      </c>
      <c r="S35" s="36">
        <f>VLOOKUP($A35,[18]HISTOJANV23!$A$6:$BG$36,58,0)</f>
        <v>0</v>
      </c>
      <c r="T35" s="36">
        <f>VLOOKUP($A35,[18]HISTOJANV23!$A$6:$AU$36,28,0)</f>
        <v>0</v>
      </c>
      <c r="U35" s="36">
        <f>VLOOKUP($A35,[18]HISTOJANV23!$A$6:$AU$36,19,0)</f>
        <v>0</v>
      </c>
      <c r="V35" s="36">
        <f>VLOOKUP($A35,[18]HISTOJANV23!$A$6:$AU$36,20,0)</f>
        <v>0</v>
      </c>
      <c r="W35" s="36">
        <f>VLOOKUP($A35,[18]HISTOJANV23!$A$6:$AU$36,27,0)</f>
        <v>0</v>
      </c>
      <c r="X35" s="36">
        <f>VLOOKUP($A35,[18]HISTOJANV23!$A$6:$BM$36,33,0)</f>
        <v>0</v>
      </c>
      <c r="Y35" s="36">
        <f>VLOOKUP($A35,[18]HISTOJANV23!$A$6:$BM$36,65,0)</f>
        <v>0</v>
      </c>
      <c r="Z35" s="36"/>
      <c r="AA35" s="36">
        <f>VLOOKUP($A35,[18]HISTOJANV23!$A$6:$AU$36,43,0)</f>
        <v>0</v>
      </c>
      <c r="AB35" s="36">
        <f>VLOOKUP($A35,[18]HISTOJANV23!$A$6:$AU$36,44,0)</f>
        <v>0</v>
      </c>
      <c r="AC35" s="36">
        <f>VLOOKUP($A35,[18]HISTOJANV23!$A$6:$AU$36,47,0)</f>
        <v>0</v>
      </c>
      <c r="AD35" s="36">
        <f>VLOOKUP(A35,[18]HISTOJANV23!$A$6:$BB$36,54,0)</f>
        <v>0</v>
      </c>
      <c r="AE35" s="36">
        <f>VLOOKUP($A35,[18]HISTOJANV23!$A$6:$CA$36,60,0)</f>
        <v>0</v>
      </c>
      <c r="AF35" s="36">
        <f>VLOOKUP($A35,[18]HISTOJANV23!$A$6:$CA$36,61,0)</f>
        <v>0</v>
      </c>
      <c r="AG35" s="36">
        <f>VLOOKUP($A35,[18]HISTOJANV23!$A$6:$CA$36,62,0)</f>
        <v>0</v>
      </c>
      <c r="AH35" s="36">
        <f>VLOOKUP($A35,[18]HISTOJANV23!$A$6:$CA$36,63,0)</f>
        <v>0</v>
      </c>
      <c r="AI35" s="36">
        <f>VLOOKUP($A35,[18]HISTOJANV23!$A$6:$CA$36,64,0)</f>
        <v>0</v>
      </c>
      <c r="AJ35" s="36">
        <f>VLOOKUP($A35,[18]HISTOJANV23!$A$6:$CA$36,65,0)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>
        <f>VLOOKUP(A36,MVTDEC22!A36:AJ67,3,0)</f>
        <v>600000</v>
      </c>
      <c r="D36" s="36">
        <f>VLOOKUP($A36,[19]MVTREPARTITION2022!$A$6:$V$39,21,0)</f>
        <v>1057774</v>
      </c>
      <c r="E36" s="36">
        <f>VLOOKUP($A36,[18]HISTOJANV23!$A$6:$BA$36,48,0)</f>
        <v>0</v>
      </c>
      <c r="F36" s="5">
        <f>MVTDEC22!F36+MVTDEC22!G36-MVTJANV23!E36+K36</f>
        <v>1772079.5179826394</v>
      </c>
      <c r="G36" s="6">
        <f t="shared" si="0"/>
        <v>0</v>
      </c>
      <c r="H36" s="6">
        <f t="shared" si="1"/>
        <v>1772079.5179826394</v>
      </c>
      <c r="I36" s="36">
        <f>VLOOKUP($A36,[18]HISTOJANV23!$A$6:$AQ$40,22,0)</f>
        <v>0</v>
      </c>
      <c r="J36" s="36">
        <f>VLOOKUP($A36,[18]HISTOJANV23!$A$6:$AU$36,45,0)</f>
        <v>15000</v>
      </c>
      <c r="K36" s="36">
        <f t="shared" si="3"/>
        <v>9000</v>
      </c>
      <c r="L36" s="36">
        <f t="shared" si="5"/>
        <v>1000</v>
      </c>
      <c r="M36" s="36">
        <f t="shared" si="4"/>
        <v>1000</v>
      </c>
      <c r="N36" s="36">
        <f t="shared" si="6"/>
        <v>4000</v>
      </c>
      <c r="O36" s="36">
        <f>VLOOKUP($A36,[18]HISTOJANV23!$A$6:$AU$36,7,0)</f>
        <v>0</v>
      </c>
      <c r="P36" s="36">
        <f>VLOOKUP($A36,[18]HISTOJANV23!$A$6:$AU$36,23,0)</f>
        <v>0</v>
      </c>
      <c r="Q36" s="36">
        <f>VLOOKUP($A36,[18]HISTOJANV23!$A$6:$AU$36,46,0)</f>
        <v>0</v>
      </c>
      <c r="R36" s="36">
        <f>VLOOKUP($A36,[18]HISTOJANV23!$A$6:$AU$36,26,0)</f>
        <v>0</v>
      </c>
      <c r="S36" s="36">
        <f>VLOOKUP($A36,[18]HISTOJANV23!$A$6:$BG$36,58,0)</f>
        <v>0</v>
      </c>
      <c r="T36" s="36">
        <f>VLOOKUP($A36,[18]HISTOJANV23!$A$6:$AU$36,28,0)</f>
        <v>0</v>
      </c>
      <c r="U36" s="36">
        <f>VLOOKUP($A36,[18]HISTOJANV23!$A$6:$AU$36,19,0)</f>
        <v>0</v>
      </c>
      <c r="V36" s="36">
        <f>VLOOKUP($A36,[18]HISTOJANV23!$A$6:$AU$36,20,0)</f>
        <v>0</v>
      </c>
      <c r="W36" s="36">
        <f>VLOOKUP($A36,[18]HISTOJANV23!$A$6:$AU$36,27,0)</f>
        <v>0</v>
      </c>
      <c r="X36" s="36">
        <f>VLOOKUP($A36,[18]HISTOJANV23!$A$6:$BM$36,33,0)</f>
        <v>0</v>
      </c>
      <c r="Y36" s="36">
        <f>VLOOKUP($A36,[18]HISTOJANV23!$A$6:$BM$36,65,0)</f>
        <v>0</v>
      </c>
      <c r="Z36" s="36"/>
      <c r="AA36" s="36">
        <f>VLOOKUP($A36,[18]HISTOJANV23!$A$6:$AU$36,43,0)</f>
        <v>0</v>
      </c>
      <c r="AB36" s="36">
        <f>VLOOKUP($A36,[18]HISTOJANV23!$A$6:$AU$36,44,0)</f>
        <v>0</v>
      </c>
      <c r="AC36" s="36">
        <f>VLOOKUP($A36,[18]HISTOJANV23!$A$6:$AU$36,47,0)</f>
        <v>0</v>
      </c>
      <c r="AD36" s="36">
        <f>VLOOKUP(A36,[18]HISTOJANV23!$A$6:$BB$36,54,0)</f>
        <v>0</v>
      </c>
      <c r="AE36" s="36">
        <f>VLOOKUP($A36,[18]HISTOJANV23!$A$6:$CA$36,60,0)</f>
        <v>0</v>
      </c>
      <c r="AF36" s="36">
        <f>VLOOKUP($A36,[18]HISTOJANV23!$A$6:$CA$36,61,0)</f>
        <v>0</v>
      </c>
      <c r="AG36" s="36">
        <f>VLOOKUP($A36,[18]HISTOJANV23!$A$6:$CA$36,62,0)</f>
        <v>0</v>
      </c>
      <c r="AH36" s="36">
        <f>VLOOKUP($A36,[18]HISTOJANV23!$A$6:$CA$36,63,0)</f>
        <v>0</v>
      </c>
      <c r="AI36" s="36">
        <f>VLOOKUP($A36,[18]HISTOJANV23!$A$6:$CA$36,64,0)</f>
        <v>0</v>
      </c>
      <c r="AJ36" s="36">
        <f>VLOOKUP($A36,[18]HISTOJANV23!$A$6:$CA$36,65,0)</f>
        <v>0</v>
      </c>
    </row>
    <row r="37" spans="1:36" x14ac:dyDescent="0.25">
      <c r="A37" s="154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>
        <v>640702</v>
      </c>
      <c r="F37" s="5">
        <f>MVTDEC22!F37+MVTDEC22!G37-MVTJANV23!E37+K37</f>
        <v>-0.13392650324385613</v>
      </c>
      <c r="G37" s="6">
        <f t="shared" si="0"/>
        <v>0</v>
      </c>
      <c r="H37" s="6">
        <f t="shared" si="1"/>
        <v>-0.13392650324385613</v>
      </c>
      <c r="I37" s="3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" si="19">SUM(C6:C39)</f>
        <v>15600000</v>
      </c>
      <c r="D40" s="9">
        <f t="shared" ref="D40" si="20">SUM(D6:D39)</f>
        <v>4361558.5213484811</v>
      </c>
      <c r="E40" s="9">
        <f t="shared" ref="E40" si="21">SUM(E6:E39)</f>
        <v>640702</v>
      </c>
      <c r="F40" s="9">
        <f t="shared" ref="F40" si="22">SUM(F6:F39)</f>
        <v>21638858.19081099</v>
      </c>
      <c r="G40" s="9">
        <f t="shared" ref="G40" si="23">SUM(G6:G39)</f>
        <v>0</v>
      </c>
      <c r="H40" s="9">
        <f t="shared" ref="H40" si="24">SUM(H6:H39)</f>
        <v>21638858.19081099</v>
      </c>
      <c r="I40" s="9">
        <f t="shared" ref="I40" si="25">SUM(I6:I39)</f>
        <v>0</v>
      </c>
      <c r="J40" s="9">
        <f t="shared" ref="J40" si="26">SUM(J6:J39)</f>
        <v>694000</v>
      </c>
      <c r="K40" s="9">
        <f t="shared" ref="K40" si="27">SUM(K6:K39)</f>
        <v>1050000</v>
      </c>
      <c r="L40" s="9">
        <f t="shared" ref="L40" si="28">SUM(L6:L39)</f>
        <v>30000</v>
      </c>
      <c r="M40" s="9">
        <f t="shared" ref="M40" si="29">SUM(M6:M39)</f>
        <v>30000</v>
      </c>
      <c r="N40" s="9">
        <f t="shared" ref="N40" si="30">SUM(N6:N39)</f>
        <v>120000</v>
      </c>
      <c r="O40" s="9">
        <f t="shared" ref="O40" si="31">SUM(O6:O39)</f>
        <v>0</v>
      </c>
      <c r="P40" s="9">
        <f t="shared" ref="P40" si="32">SUM(P6:P39)</f>
        <v>75000</v>
      </c>
      <c r="Q40" s="9">
        <f t="shared" ref="Q40" si="33">SUM(Q6:Q39)</f>
        <v>35000</v>
      </c>
      <c r="R40" s="9">
        <f t="shared" ref="R40" si="34">SUM(R6:R39)</f>
        <v>0</v>
      </c>
      <c r="S40" s="9">
        <f t="shared" ref="S40" si="35">SUM(S6:S39)</f>
        <v>0</v>
      </c>
      <c r="T40" s="9">
        <f t="shared" ref="T40" si="36">SUM(T6:T39)</f>
        <v>0</v>
      </c>
      <c r="U40" s="9">
        <f t="shared" ref="U40" si="37">SUM(U6:U39)</f>
        <v>0</v>
      </c>
      <c r="V40" s="9">
        <f t="shared" ref="V40" si="38">SUM(V6:V39)</f>
        <v>0</v>
      </c>
      <c r="W40" s="9">
        <f t="shared" ref="W40" si="39">SUM(W6:W39)</f>
        <v>0</v>
      </c>
      <c r="X40" s="9">
        <f t="shared" ref="X40" si="40">SUM(X6:X39)</f>
        <v>0</v>
      </c>
      <c r="Y40" s="9">
        <f t="shared" ref="Y40" si="41">SUM(Y6:Y39)</f>
        <v>0</v>
      </c>
      <c r="Z40" s="9">
        <f t="shared" ref="Z40" si="42">SUM(Z6:Z39)</f>
        <v>0</v>
      </c>
      <c r="AA40" s="9">
        <f t="shared" ref="AA40" si="43">SUM(AA6:AA39)</f>
        <v>0</v>
      </c>
      <c r="AB40" s="9">
        <f t="shared" ref="AB40" si="44">SUM(AB6:AB39)</f>
        <v>0</v>
      </c>
      <c r="AC40" s="9">
        <f t="shared" ref="AC40" si="45">SUM(AC6:AC39)</f>
        <v>0</v>
      </c>
      <c r="AD40" s="9">
        <f t="shared" ref="AD40" si="46">SUM(AD6:AD39)</f>
        <v>210000</v>
      </c>
      <c r="AE40" s="9">
        <f t="shared" ref="AE40" si="47">SUM(AE6:AE39)</f>
        <v>6000</v>
      </c>
      <c r="AF40" s="9">
        <f t="shared" ref="AF40" si="48">SUM(AF6:AF39)</f>
        <v>0</v>
      </c>
      <c r="AG40" s="9">
        <f t="shared" ref="AG40" si="49">SUM(AG6:AG39)</f>
        <v>0</v>
      </c>
      <c r="AH40" s="9">
        <f t="shared" ref="AH40" si="50">SUM(AH6:AH39)</f>
        <v>100000</v>
      </c>
      <c r="AI40" s="9">
        <f t="shared" ref="AI40" si="51">SUM(AI6:AI39)</f>
        <v>0</v>
      </c>
      <c r="AJ40" s="9">
        <f t="shared" ref="AJ40" si="52">SUM(AJ6:AJ39)</f>
        <v>0</v>
      </c>
    </row>
    <row r="43" spans="1:36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G6" sqref="G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4" bestFit="1" customWidth="1"/>
    <col min="11" max="11" width="17.5703125" style="144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3" max="33" width="1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3"/>
      <c r="J4" s="157">
        <v>44974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322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MVTJANV23!F6+MVTJANV23!G6-MVTFEV23!E6+K6</f>
        <v>868412.0714604354</v>
      </c>
      <c r="G6" s="6">
        <v>1189.8849381627781</v>
      </c>
      <c r="H6" s="6">
        <f>F6+G6</f>
        <v>869601.95639859815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VLOOKUP($A6,[18]HISTOFEV23!$A$6:$CA$36,60,0)</f>
        <v>68500</v>
      </c>
      <c r="AF6" s="36">
        <f>VLOOKUP($A6,[18]HISTOFEV23!$A$6:$CA$36,61,0)</f>
        <v>0</v>
      </c>
      <c r="AG6" s="36">
        <f>VLOOKUP($A6,[18]HISTOFEV23!$A$6:$CA$36,62,0)</f>
        <v>560000</v>
      </c>
      <c r="AH6" s="36">
        <f>VLOOKUP($A6,[18]HISTOFEV23!$A$6:$CA$36,63,0)</f>
        <v>0</v>
      </c>
      <c r="AI6" s="36">
        <f>VLOOKUP($A6,[18]HISTOFEV23!$A$6:$CA$36,64,0)</f>
        <v>0</v>
      </c>
      <c r="AJ6" s="36">
        <f>VLOOKUP($A6,[18]HISTOFEV23!$A$6:$CA$36,65,0)</f>
        <v>200000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VLOOKUP($A7,[18]HISTOFEV23!$A$6:$BA$36,48,0)</f>
        <v>0</v>
      </c>
      <c r="F7" s="5">
        <f>MVTJANV23!F7+MVTJANV23!G7-MVTFEV23!E7+K7</f>
        <v>618000</v>
      </c>
      <c r="G7" s="6">
        <v>846.7741478396747</v>
      </c>
      <c r="H7" s="6">
        <f t="shared" ref="H7:H36" si="0">F7+G7</f>
        <v>618846.77414783963</v>
      </c>
      <c r="I7" s="36">
        <f>VLOOKUP($A7,[18]HISTOFEV23!$A$6:$AQ$40,22,0)</f>
        <v>0</v>
      </c>
      <c r="J7" s="36">
        <f>VLOOKUP($A7,[18]HISTOFEV23!$A$6:$AU$36,45,0)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VLOOKUP($A7,[18]HISTOFEV23!$A$6:$AU$36,7,0)</f>
        <v>0</v>
      </c>
      <c r="P7" s="36">
        <f>VLOOKUP($A7,[18]HISTOFEV23!$A$6:$AU$36,23,0)</f>
        <v>0</v>
      </c>
      <c r="Q7" s="36">
        <f>VLOOKUP($A7,[18]HISTOFEV23!$A$6:$AU$36,46,0)</f>
        <v>0</v>
      </c>
      <c r="R7" s="36">
        <f>VLOOKUP($A7,[18]HISTOFEV23!$A$6:$AU$36,26,0)</f>
        <v>0</v>
      </c>
      <c r="S7" s="36">
        <f>VLOOKUP($A7,[18]HISTOFEV23!$A$6:$BG$36,58,0)</f>
        <v>0</v>
      </c>
      <c r="T7" s="36">
        <f>VLOOKUP($A7,[18]HISTOFEV23!$A$6:$AU$36,28,0)</f>
        <v>0</v>
      </c>
      <c r="U7" s="36">
        <f>VLOOKUP($A7,[18]HISTOFEV23!$A$6:$AU$36,19,0)</f>
        <v>0</v>
      </c>
      <c r="V7" s="36">
        <f>VLOOKUP($A7,[18]HISTOFEV23!$A$6:$AU$36,20,0)</f>
        <v>0</v>
      </c>
      <c r="W7" s="36">
        <f>VLOOKUP($A7,[18]HISTOFEV23!$A$6:$AU$36,27,0)</f>
        <v>0</v>
      </c>
      <c r="X7" s="36">
        <f>VLOOKUP($A7,[18]HISTOFEV23!$A$6:$BM$36,33,0)</f>
        <v>0</v>
      </c>
      <c r="Y7" s="36">
        <f>VLOOKUP($A7,[18]HISTOFEV23!$A$6:$BM$36,65,0)</f>
        <v>0</v>
      </c>
      <c r="Z7" s="36"/>
      <c r="AA7" s="36">
        <f>VLOOKUP($A7,[18]HISTOFEV23!$A$6:$AU$36,43,0)</f>
        <v>0</v>
      </c>
      <c r="AB7" s="36">
        <f>VLOOKUP($A7,[18]HISTOFEV23!$A$6:$AU$36,44,0)</f>
        <v>0</v>
      </c>
      <c r="AC7" s="36">
        <f>VLOOKUP($A7,[18]HISTOFEV23!$A$6:$AU$36,47,0)</f>
        <v>0</v>
      </c>
      <c r="AD7" s="36">
        <f>VLOOKUP(A7,[18]HISTOFEV23!$A$6:$BB$36,54,0)</f>
        <v>0</v>
      </c>
      <c r="AE7" s="36">
        <f>VLOOKUP($A7,[18]HISTOFEV23!$A$6:$CA$36,60,0)</f>
        <v>0</v>
      </c>
      <c r="AF7" s="36">
        <f>VLOOKUP($A7,[18]HISTOFEV23!$A$6:$CA$36,61,0)</f>
        <v>0</v>
      </c>
      <c r="AG7" s="36">
        <f>VLOOKUP($A7,[18]HISTOFEV23!$A$6:$CA$36,62,0)</f>
        <v>0</v>
      </c>
      <c r="AH7" s="36">
        <f>VLOOKUP($A7,[18]HISTOFEV23!$A$6:$CA$36,63,0)</f>
        <v>0</v>
      </c>
      <c r="AI7" s="36">
        <f>VLOOKUP($A7,[18]HISTOFEV23!$A$6:$CA$36,64,0)</f>
        <v>0</v>
      </c>
      <c r="AJ7" s="36">
        <f>VLOOKUP($A7,[18]HISTOFEV23!$A$6:$CA$36,65,0)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VLOOKUP($A8,[18]HISTOFEV23!$A$6:$BA$36,48,0)</f>
        <v>0</v>
      </c>
      <c r="F8" s="5">
        <f>MVTJANV23!F8+MVTJANV23!G8-MVTFEV23!E8+K8</f>
        <v>663583.07207509631</v>
      </c>
      <c r="G8" s="6">
        <v>909.23137601492419</v>
      </c>
      <c r="H8" s="6">
        <f t="shared" si="0"/>
        <v>664492.30345111119</v>
      </c>
      <c r="I8" s="36">
        <f>VLOOKUP($A8,[18]HISTOFEV23!$A$6:$AQ$40,22,0)</f>
        <v>0</v>
      </c>
      <c r="J8" s="36">
        <f>VLOOKUP($A8,[18]HISTOFEV23!$A$6:$AU$36,45,0)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VLOOKUP($A8,[18]HISTOFEV23!$A$6:$AU$36,7,0)</f>
        <v>0</v>
      </c>
      <c r="P8" s="36">
        <f>VLOOKUP($A8,[18]HISTOFEV23!$A$6:$AU$36,23,0)</f>
        <v>0</v>
      </c>
      <c r="Q8" s="36">
        <f>VLOOKUP($A8,[18]HISTOFEV23!$A$6:$AU$36,46,0)</f>
        <v>0</v>
      </c>
      <c r="R8" s="36">
        <f>VLOOKUP($A8,[18]HISTOFEV23!$A$6:$AU$36,26,0)</f>
        <v>0</v>
      </c>
      <c r="S8" s="36">
        <f>VLOOKUP($A8,[18]HISTOFEV23!$A$6:$BG$36,58,0)</f>
        <v>0</v>
      </c>
      <c r="T8" s="36">
        <f>VLOOKUP($A8,[18]HISTOFEV23!$A$6:$AU$36,28,0)</f>
        <v>0</v>
      </c>
      <c r="U8" s="36">
        <f>VLOOKUP($A8,[18]HISTOFEV23!$A$6:$AU$36,19,0)</f>
        <v>500000</v>
      </c>
      <c r="V8" s="36" t="str">
        <f>VLOOKUP($A8,[18]HISTOFEV23!$A$6:$AU$36,20,0)</f>
        <v>BANQUE</v>
      </c>
      <c r="W8" s="36">
        <f>VLOOKUP($A8,[18]HISTOFEV23!$A$6:$AU$36,27,0)</f>
        <v>0</v>
      </c>
      <c r="X8" s="36">
        <f>VLOOKUP($A8,[18]HISTOFEV23!$A$6:$BM$36,33,0)</f>
        <v>0</v>
      </c>
      <c r="Y8" s="36">
        <f>VLOOKUP($A8,[18]HISTOFEV23!$A$6:$BM$36,65,0)</f>
        <v>0</v>
      </c>
      <c r="Z8" s="36"/>
      <c r="AA8" s="36">
        <f>VLOOKUP($A8,[18]HISTOFEV23!$A$6:$AU$36,43,0)</f>
        <v>0</v>
      </c>
      <c r="AB8" s="36">
        <f>VLOOKUP($A8,[18]HISTOFEV23!$A$6:$AU$36,44,0)</f>
        <v>0</v>
      </c>
      <c r="AC8" s="36">
        <f>VLOOKUP($A8,[18]HISTOFEV23!$A$6:$AU$36,47,0)</f>
        <v>0</v>
      </c>
      <c r="AD8" s="36">
        <f>VLOOKUP(A8,[18]HISTOFEV23!$A$6:$BB$36,54,0)</f>
        <v>0</v>
      </c>
      <c r="AE8" s="36">
        <f>VLOOKUP($A8,[18]HISTOFEV23!$A$6:$CA$36,60,0)</f>
        <v>0</v>
      </c>
      <c r="AF8" s="36">
        <f>VLOOKUP($A8,[18]HISTOFEV23!$A$6:$CA$36,61,0)</f>
        <v>0</v>
      </c>
      <c r="AG8" s="36">
        <f>VLOOKUP($A8,[18]HISTOFEV23!$A$6:$CA$36,62,0)</f>
        <v>0</v>
      </c>
      <c r="AH8" s="36">
        <f>VLOOKUP($A8,[18]HISTOFEV23!$A$6:$CA$36,63,0)</f>
        <v>0</v>
      </c>
      <c r="AI8" s="36">
        <f>VLOOKUP($A8,[18]HISTOFEV23!$A$6:$CA$36,64,0)</f>
        <v>0</v>
      </c>
      <c r="AJ8" s="36">
        <f>VLOOKUP($A8,[18]HISTOFEV23!$A$6:$CA$36,65,0)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VLOOKUP($A9,[18]HISTOFEV23!$A$6:$BA$36,48,0)</f>
        <v>0</v>
      </c>
      <c r="F9" s="5">
        <f>MVTJANV23!F9+MVTJANV23!G9-MVTFEV23!E9+K9</f>
        <v>689228.58925278904</v>
      </c>
      <c r="G9" s="6">
        <v>944.37047140982463</v>
      </c>
      <c r="H9" s="6">
        <f t="shared" si="0"/>
        <v>690172.95972419891</v>
      </c>
      <c r="I9" s="36">
        <f>VLOOKUP($A9,[18]HISTOFEV23!$A$6:$AQ$40,22,0)</f>
        <v>0</v>
      </c>
      <c r="J9" s="36">
        <f>VLOOKUP($A9,[18]HISTOFEV23!$A$6:$AU$36,45,0)</f>
        <v>23000</v>
      </c>
      <c r="K9" s="36">
        <f t="shared" si="1"/>
        <v>17000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VLOOKUP($A9,[18]HISTOFEV23!$A$6:$AU$36,7,0)</f>
        <v>0</v>
      </c>
      <c r="P9" s="36">
        <f>VLOOKUP($A9,[18]HISTOFEV23!$A$6:$AU$36,23,0)</f>
        <v>0</v>
      </c>
      <c r="Q9" s="36">
        <f>VLOOKUP($A9,[18]HISTOFEV23!$A$6:$AU$36,46,0)</f>
        <v>0</v>
      </c>
      <c r="R9" s="36">
        <f>VLOOKUP($A9,[18]HISTOFEV23!$A$6:$AU$36,26,0)</f>
        <v>0</v>
      </c>
      <c r="S9" s="36">
        <f>VLOOKUP($A9,[18]HISTOFEV23!$A$6:$BG$36,58,0)</f>
        <v>0</v>
      </c>
      <c r="T9" s="36">
        <f>VLOOKUP($A9,[18]HISTOFEV23!$A$6:$AU$36,28,0)</f>
        <v>0</v>
      </c>
      <c r="U9" s="36">
        <f>VLOOKUP($A9,[18]HISTOFEV23!$A$6:$AU$36,19,0)</f>
        <v>0</v>
      </c>
      <c r="V9" s="36">
        <f>VLOOKUP($A9,[18]HISTOFEV23!$A$6:$AU$36,20,0)</f>
        <v>0</v>
      </c>
      <c r="W9" s="36">
        <f>VLOOKUP($A9,[18]HISTOFEV23!$A$6:$AU$36,27,0)</f>
        <v>0</v>
      </c>
      <c r="X9" s="36">
        <f>VLOOKUP($A9,[18]HISTOFEV23!$A$6:$BM$36,33,0)</f>
        <v>0</v>
      </c>
      <c r="Y9" s="36">
        <f>VLOOKUP($A9,[18]HISTOFEV23!$A$6:$BM$36,65,0)</f>
        <v>0</v>
      </c>
      <c r="Z9" s="36"/>
      <c r="AA9" s="36">
        <f>VLOOKUP($A9,[18]HISTOFEV23!$A$6:$AU$36,43,0)</f>
        <v>0</v>
      </c>
      <c r="AB9" s="36">
        <f>VLOOKUP($A9,[18]HISTOFEV23!$A$6:$AU$36,44,0)</f>
        <v>0</v>
      </c>
      <c r="AC9" s="36">
        <f>VLOOKUP($A9,[18]HISTOFEV23!$A$6:$AU$36,47,0)</f>
        <v>0</v>
      </c>
      <c r="AD9" s="36">
        <f>VLOOKUP(A9,[18]HISTOFEV23!$A$6:$BB$36,54,0)</f>
        <v>0</v>
      </c>
      <c r="AE9" s="36">
        <f>VLOOKUP($A9,[18]HISTOFEV23!$A$6:$CA$36,60,0)</f>
        <v>0</v>
      </c>
      <c r="AF9" s="36">
        <f>VLOOKUP($A9,[18]HISTOFEV23!$A$6:$CA$36,61,0)</f>
        <v>0</v>
      </c>
      <c r="AG9" s="36">
        <f>VLOOKUP($A9,[18]HISTOFEV23!$A$6:$CA$36,62,0)</f>
        <v>0</v>
      </c>
      <c r="AH9" s="36">
        <f>VLOOKUP($A9,[18]HISTOFEV23!$A$6:$CA$36,63,0)</f>
        <v>0</v>
      </c>
      <c r="AI9" s="36">
        <f>VLOOKUP($A9,[18]HISTOFEV23!$A$6:$CA$36,64,0)</f>
        <v>0</v>
      </c>
      <c r="AJ9" s="36">
        <f>VLOOKUP($A9,[18]HISTOFEV23!$A$6:$CA$36,65,0)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VLOOKUP($A10,[18]HISTOFEV23!$A$6:$BA$36,48,0)</f>
        <v>0</v>
      </c>
      <c r="F10" s="5">
        <f>MVTJANV23!F10+MVTJANV23!G10-MVTFEV23!E10+K10</f>
        <v>707917.8529245347</v>
      </c>
      <c r="G10" s="6">
        <v>969.97821464508911</v>
      </c>
      <c r="H10" s="6">
        <f t="shared" si="0"/>
        <v>708887.83113917976</v>
      </c>
      <c r="I10" s="36">
        <f>VLOOKUP($A10,[18]HISTOFEV23!$A$6:$AQ$40,22,0)</f>
        <v>0</v>
      </c>
      <c r="J10" s="36">
        <f>VLOOKUP($A10,[18]HISTOFEV23!$A$6:$AU$36,45,0)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VLOOKUP($A10,[18]HISTOFEV23!$A$6:$AU$36,7,0)</f>
        <v>0</v>
      </c>
      <c r="P10" s="36">
        <f>VLOOKUP($A10,[18]HISTOFEV23!$A$6:$AU$36,23,0)</f>
        <v>0</v>
      </c>
      <c r="Q10" s="36">
        <f>VLOOKUP($A10,[18]HISTOFEV23!$A$6:$AU$36,46,0)</f>
        <v>0</v>
      </c>
      <c r="R10" s="36">
        <f>VLOOKUP($A10,[18]HISTOFEV23!$A$6:$AU$36,26,0)</f>
        <v>0</v>
      </c>
      <c r="S10" s="36">
        <f>VLOOKUP($A10,[18]HISTOFEV23!$A$6:$BG$36,58,0)</f>
        <v>0</v>
      </c>
      <c r="T10" s="36">
        <f>VLOOKUP($A10,[18]HISTOFEV23!$A$6:$AU$36,28,0)</f>
        <v>0</v>
      </c>
      <c r="U10" s="36">
        <f>VLOOKUP($A10,[18]HISTOFEV23!$A$6:$AU$36,19,0)</f>
        <v>0</v>
      </c>
      <c r="V10" s="36">
        <f>VLOOKUP($A10,[18]HISTOFEV23!$A$6:$AU$36,20,0)</f>
        <v>0</v>
      </c>
      <c r="W10" s="36">
        <f>VLOOKUP($A10,[18]HISTOFEV23!$A$6:$AU$36,27,0)</f>
        <v>0</v>
      </c>
      <c r="X10" s="36">
        <f>VLOOKUP($A10,[18]HISTOFEV23!$A$6:$BM$36,33,0)</f>
        <v>0</v>
      </c>
      <c r="Y10" s="36">
        <f>VLOOKUP($A10,[18]HISTOFEV23!$A$6:$BM$36,65,0)</f>
        <v>0</v>
      </c>
      <c r="Z10" s="36"/>
      <c r="AA10" s="36">
        <f>VLOOKUP($A10,[18]HISTOFEV23!$A$6:$AU$36,43,0)</f>
        <v>0</v>
      </c>
      <c r="AB10" s="36">
        <f>VLOOKUP($A10,[18]HISTOFEV23!$A$6:$AU$36,44,0)</f>
        <v>0</v>
      </c>
      <c r="AC10" s="36">
        <f>VLOOKUP($A10,[18]HISTOFEV23!$A$6:$AU$36,47,0)</f>
        <v>0</v>
      </c>
      <c r="AD10" s="36">
        <f>VLOOKUP(A10,[18]HISTOFEV23!$A$6:$BB$36,54,0)</f>
        <v>0</v>
      </c>
      <c r="AE10" s="36">
        <f>VLOOKUP($A10,[18]HISTOFEV23!$A$6:$CA$36,60,0)</f>
        <v>0</v>
      </c>
      <c r="AF10" s="36">
        <f>VLOOKUP($A10,[18]HISTOFEV23!$A$6:$CA$36,61,0)</f>
        <v>0</v>
      </c>
      <c r="AG10" s="36">
        <f>VLOOKUP($A10,[18]HISTOFEV23!$A$6:$CA$36,62,0)</f>
        <v>0</v>
      </c>
      <c r="AH10" s="36">
        <f>VLOOKUP($A10,[18]HISTOFEV23!$A$6:$CA$36,63,0)</f>
        <v>0</v>
      </c>
      <c r="AI10" s="36">
        <f>VLOOKUP($A10,[18]HISTOFEV23!$A$6:$CA$36,64,0)</f>
        <v>0</v>
      </c>
      <c r="AJ10" s="36">
        <f>VLOOKUP($A10,[18]HISTOFEV23!$A$6:$CA$36,65,0)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VLOOKUP($A11,[18]HISTOFEV23!$A$6:$BA$36,48,0)</f>
        <v>0</v>
      </c>
      <c r="F11" s="5">
        <f>MVTJANV23!F11+MVTJANV23!G11-MVTFEV23!E11+K11</f>
        <v>661165.06651773339</v>
      </c>
      <c r="G11" s="6">
        <v>905.91826178303484</v>
      </c>
      <c r="H11" s="6">
        <f t="shared" si="0"/>
        <v>662070.98477951647</v>
      </c>
      <c r="I11" s="36">
        <f>VLOOKUP($A11,[18]HISTOFEV23!$A$6:$AQ$40,22,0)</f>
        <v>0</v>
      </c>
      <c r="J11" s="36">
        <f>VLOOKUP($A11,[18]HISTOFEV23!$A$6:$AU$36,45,0)</f>
        <v>15000</v>
      </c>
      <c r="K11" s="36">
        <f t="shared" si="1"/>
        <v>9000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VLOOKUP($A11,[18]HISTOFEV23!$A$6:$AU$36,7,0)</f>
        <v>0</v>
      </c>
      <c r="P11" s="36">
        <f>VLOOKUP($A11,[18]HISTOFEV23!$A$6:$AU$36,23,0)</f>
        <v>0</v>
      </c>
      <c r="Q11" s="36">
        <f>VLOOKUP($A11,[18]HISTOFEV23!$A$6:$AU$36,46,0)</f>
        <v>0</v>
      </c>
      <c r="R11" s="36">
        <f>VLOOKUP($A11,[18]HISTOFEV23!$A$6:$AU$36,26,0)</f>
        <v>0</v>
      </c>
      <c r="S11" s="36">
        <f>VLOOKUP($A11,[18]HISTOFEV23!$A$6:$BG$36,58,0)</f>
        <v>0</v>
      </c>
      <c r="T11" s="36">
        <f>VLOOKUP($A11,[18]HISTOFEV23!$A$6:$AU$36,28,0)</f>
        <v>0</v>
      </c>
      <c r="U11" s="36">
        <f>VLOOKUP($A11,[18]HISTOFEV23!$A$6:$AU$36,19,0)</f>
        <v>0</v>
      </c>
      <c r="V11" s="36">
        <f>VLOOKUP($A11,[18]HISTOFEV23!$A$6:$AU$36,20,0)</f>
        <v>0</v>
      </c>
      <c r="W11" s="36">
        <f>VLOOKUP($A11,[18]HISTOFEV23!$A$6:$AU$36,27,0)</f>
        <v>0</v>
      </c>
      <c r="X11" s="36">
        <f>VLOOKUP($A11,[18]HISTOFEV23!$A$6:$BM$36,33,0)</f>
        <v>0</v>
      </c>
      <c r="Y11" s="36">
        <f>VLOOKUP($A11,[18]HISTOFEV23!$A$6:$BM$36,65,0)</f>
        <v>0</v>
      </c>
      <c r="Z11" s="36"/>
      <c r="AA11" s="36">
        <f>VLOOKUP($A11,[18]HISTOFEV23!$A$6:$AU$36,43,0)</f>
        <v>0</v>
      </c>
      <c r="AB11" s="36">
        <f>VLOOKUP($A11,[18]HISTOFEV23!$A$6:$AU$36,44,0)</f>
        <v>0</v>
      </c>
      <c r="AC11" s="36">
        <f>VLOOKUP($A11,[18]HISTOFEV23!$A$6:$AU$36,47,0)</f>
        <v>0</v>
      </c>
      <c r="AD11" s="36">
        <f>VLOOKUP(A11,[18]HISTOFEV23!$A$6:$BB$36,54,0)</f>
        <v>0</v>
      </c>
      <c r="AE11" s="36">
        <f>VLOOKUP($A11,[18]HISTOFEV23!$A$6:$CA$36,60,0)</f>
        <v>0</v>
      </c>
      <c r="AF11" s="36">
        <f>VLOOKUP($A11,[18]HISTOFEV23!$A$6:$CA$36,61,0)</f>
        <v>0</v>
      </c>
      <c r="AG11" s="36">
        <f>VLOOKUP($A11,[18]HISTOFEV23!$A$6:$CA$36,62,0)</f>
        <v>0</v>
      </c>
      <c r="AH11" s="36">
        <f>VLOOKUP($A11,[18]HISTOFEV23!$A$6:$CA$36,63,0)</f>
        <v>0</v>
      </c>
      <c r="AI11" s="36">
        <f>VLOOKUP($A11,[18]HISTOFEV23!$A$6:$CA$36,64,0)</f>
        <v>0</v>
      </c>
      <c r="AJ11" s="36">
        <f>VLOOKUP($A11,[18]HISTOFEV23!$A$6:$CA$36,65,0)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VLOOKUP($A12,[18]HISTOFEV23!$A$6:$BA$36,48,0)</f>
        <v>0</v>
      </c>
      <c r="F12" s="5">
        <f>MVTJANV23!F12+MVTJANV23!G12-MVTFEV23!E12+K12</f>
        <v>677512.98726499558</v>
      </c>
      <c r="G12" s="6">
        <v>928.31793275344501</v>
      </c>
      <c r="H12" s="6">
        <f t="shared" si="0"/>
        <v>678441.30519774905</v>
      </c>
      <c r="I12" s="36">
        <f>VLOOKUP($A12,[18]HISTOFEV23!$A$6:$AQ$40,22,0)</f>
        <v>0</v>
      </c>
      <c r="J12" s="36">
        <f>VLOOKUP($A12,[18]HISTOFEV23!$A$6:$AU$36,45,0)</f>
        <v>20000</v>
      </c>
      <c r="K12" s="36">
        <f>IF(J12=0,0,J12-(L12+M12+N12))</f>
        <v>14000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VLOOKUP($A12,[18]HISTOFEV23!$A$6:$AU$36,7,0)</f>
        <v>0</v>
      </c>
      <c r="P12" s="36">
        <f>VLOOKUP($A12,[18]HISTOFEV23!$A$6:$AU$36,23,0)</f>
        <v>0</v>
      </c>
      <c r="Q12" s="36">
        <f>VLOOKUP($A12,[18]HISTOFEV23!$A$6:$AU$36,46,0)</f>
        <v>0</v>
      </c>
      <c r="R12" s="36">
        <f>VLOOKUP($A12,[18]HISTOFEV23!$A$6:$AU$36,26,0)</f>
        <v>0</v>
      </c>
      <c r="S12" s="36">
        <f>VLOOKUP($A12,[18]HISTOFEV23!$A$6:$BG$36,58,0)</f>
        <v>0</v>
      </c>
      <c r="T12" s="36">
        <f>VLOOKUP($A12,[18]HISTOFEV23!$A$6:$AU$36,28,0)</f>
        <v>0</v>
      </c>
      <c r="U12" s="36">
        <f>VLOOKUP($A12,[18]HISTOFEV23!$A$6:$AU$36,19,0)</f>
        <v>0</v>
      </c>
      <c r="V12" s="36">
        <f>VLOOKUP($A12,[18]HISTOFEV23!$A$6:$AU$36,20,0)</f>
        <v>0</v>
      </c>
      <c r="W12" s="36">
        <f>VLOOKUP($A12,[18]HISTOFEV23!$A$6:$AU$36,27,0)</f>
        <v>0</v>
      </c>
      <c r="X12" s="36">
        <f>VLOOKUP($A12,[18]HISTOFEV23!$A$6:$BM$36,33,0)</f>
        <v>0</v>
      </c>
      <c r="Y12" s="36">
        <f>VLOOKUP($A12,[18]HISTOFEV23!$A$6:$BM$36,65,0)</f>
        <v>0</v>
      </c>
      <c r="Z12" s="36"/>
      <c r="AA12" s="36">
        <f>VLOOKUP($A12,[18]HISTOFEV23!$A$6:$AU$36,43,0)</f>
        <v>0</v>
      </c>
      <c r="AB12" s="36">
        <f>VLOOKUP($A12,[18]HISTOFEV23!$A$6:$AU$36,44,0)</f>
        <v>0</v>
      </c>
      <c r="AC12" s="36">
        <f>VLOOKUP($A12,[18]HISTOFEV23!$A$6:$AU$36,47,0)</f>
        <v>0</v>
      </c>
      <c r="AD12" s="36">
        <f>VLOOKUP(A12,[18]HISTOFEV23!$A$6:$BB$36,54,0)</f>
        <v>0</v>
      </c>
      <c r="AE12" s="36">
        <f>VLOOKUP($A12,[18]HISTOFEV23!$A$6:$CA$36,60,0)</f>
        <v>0</v>
      </c>
      <c r="AF12" s="36">
        <f>VLOOKUP($A12,[18]HISTOFEV23!$A$6:$CA$36,61,0)</f>
        <v>0</v>
      </c>
      <c r="AG12" s="36">
        <f>VLOOKUP($A12,[18]HISTOFEV23!$A$6:$CA$36,62,0)</f>
        <v>0</v>
      </c>
      <c r="AH12" s="36">
        <f>VLOOKUP($A12,[18]HISTOFEV23!$A$6:$CA$36,63,0)</f>
        <v>0</v>
      </c>
      <c r="AI12" s="36">
        <f>VLOOKUP($A12,[18]HISTOFEV23!$A$6:$CA$36,64,0)</f>
        <v>0</v>
      </c>
      <c r="AJ12" s="36">
        <f>VLOOKUP($A12,[18]HISTOFEV23!$A$6:$CA$36,65,0)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VLOOKUP($A13,[18]HISTOFEV23!$A$6:$BA$36,48,0)</f>
        <v>0</v>
      </c>
      <c r="F13" s="5">
        <f>MVTJANV23!F13+MVTJANV23!G13-MVTFEV23!E13+K13</f>
        <v>656734.39913267479</v>
      </c>
      <c r="G13" s="6">
        <v>899.84742909801219</v>
      </c>
      <c r="H13" s="6">
        <f t="shared" si="0"/>
        <v>657634.24656177277</v>
      </c>
      <c r="I13" s="36">
        <f>VLOOKUP($A13,[18]HISTOFEV23!$A$6:$AQ$40,22,0)</f>
        <v>0</v>
      </c>
      <c r="J13" s="36">
        <f>VLOOKUP($A13,[18]HISTOFEV23!$A$6:$AU$36,45,0)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VLOOKUP($A13,[18]HISTOFEV23!$A$6:$AU$36,7,0)</f>
        <v>0</v>
      </c>
      <c r="P13" s="36">
        <f>VLOOKUP($A13,[18]HISTOFEV23!$A$6:$AU$36,23,0)</f>
        <v>0</v>
      </c>
      <c r="Q13" s="36">
        <f>VLOOKUP($A13,[18]HISTOFEV23!$A$6:$AU$36,46,0)</f>
        <v>0</v>
      </c>
      <c r="R13" s="36">
        <f>VLOOKUP($A13,[18]HISTOFEV23!$A$6:$AU$36,26,0)</f>
        <v>0</v>
      </c>
      <c r="S13" s="36">
        <f>VLOOKUP($A13,[18]HISTOFEV23!$A$6:$BG$36,58,0)</f>
        <v>0</v>
      </c>
      <c r="T13" s="36">
        <f>VLOOKUP($A13,[18]HISTOFEV23!$A$6:$AU$36,28,0)</f>
        <v>0</v>
      </c>
      <c r="U13" s="36">
        <f>VLOOKUP($A13,[18]HISTOFEV23!$A$6:$AU$36,19,0)</f>
        <v>0</v>
      </c>
      <c r="V13" s="36">
        <f>VLOOKUP($A13,[18]HISTOFEV23!$A$6:$AU$36,20,0)</f>
        <v>0</v>
      </c>
      <c r="W13" s="36">
        <f>VLOOKUP($A13,[18]HISTOFEV23!$A$6:$AU$36,27,0)</f>
        <v>0</v>
      </c>
      <c r="X13" s="36">
        <f>VLOOKUP($A13,[18]HISTOFEV23!$A$6:$BM$36,33,0)</f>
        <v>0</v>
      </c>
      <c r="Y13" s="36">
        <f>VLOOKUP($A13,[18]HISTOFEV23!$A$6:$BM$36,65,0)</f>
        <v>0</v>
      </c>
      <c r="Z13" s="36"/>
      <c r="AA13" s="36">
        <f>VLOOKUP($A13,[18]HISTOFEV23!$A$6:$AU$36,43,0)</f>
        <v>0</v>
      </c>
      <c r="AB13" s="36">
        <f>VLOOKUP($A13,[18]HISTOFEV23!$A$6:$AU$36,44,0)</f>
        <v>0</v>
      </c>
      <c r="AC13" s="36">
        <f>VLOOKUP($A13,[18]HISTOFEV23!$A$6:$AU$36,47,0)</f>
        <v>0</v>
      </c>
      <c r="AD13" s="36">
        <f>VLOOKUP(A13,[18]HISTOFEV23!$A$6:$BB$36,54,0)</f>
        <v>0</v>
      </c>
      <c r="AE13" s="36">
        <f>VLOOKUP($A13,[18]HISTOFEV23!$A$6:$CA$36,60,0)</f>
        <v>0</v>
      </c>
      <c r="AF13" s="36">
        <f>VLOOKUP($A13,[18]HISTOFEV23!$A$6:$CA$36,61,0)</f>
        <v>0</v>
      </c>
      <c r="AG13" s="36">
        <f>VLOOKUP($A13,[18]HISTOFEV23!$A$6:$CA$36,62,0)</f>
        <v>0</v>
      </c>
      <c r="AH13" s="36">
        <f>VLOOKUP($A13,[18]HISTOFEV23!$A$6:$CA$36,63,0)</f>
        <v>0</v>
      </c>
      <c r="AI13" s="36">
        <f>VLOOKUP($A13,[18]HISTOFEV23!$A$6:$CA$36,64,0)</f>
        <v>0</v>
      </c>
      <c r="AJ13" s="36">
        <f>VLOOKUP($A13,[18]HISTOFEV23!$A$6:$CA$36,65,0)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VLOOKUP($A14,[18]HISTOFEV23!$A$6:$BA$36,48,0)</f>
        <v>0</v>
      </c>
      <c r="F14" s="5">
        <f>MVTJANV23!F14+MVTJANV23!G14-MVTFEV23!E14+K14</f>
        <v>1143571.3479732168</v>
      </c>
      <c r="G14" s="6">
        <v>1566.9039703460983</v>
      </c>
      <c r="H14" s="6">
        <f t="shared" si="0"/>
        <v>1145138.2519435629</v>
      </c>
      <c r="I14" s="36">
        <f>VLOOKUP($A14,[18]HISTOFEV23!$A$6:$AQ$40,22,0)</f>
        <v>0</v>
      </c>
      <c r="J14" s="36">
        <f>VLOOKUP($A14,[18]HISTOFEV23!$A$6:$AU$36,45,0)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VLOOKUP($A14,[18]HISTOFEV23!$A$6:$AU$36,7,0)</f>
        <v>0</v>
      </c>
      <c r="P14" s="36">
        <f>VLOOKUP($A14,[18]HISTOFEV23!$A$6:$AU$36,23,0)</f>
        <v>0</v>
      </c>
      <c r="Q14" s="36">
        <f>VLOOKUP($A14,[18]HISTOFEV23!$A$6:$AU$36,46,0)</f>
        <v>0</v>
      </c>
      <c r="R14" s="36">
        <f>VLOOKUP($A14,[18]HISTOFEV23!$A$6:$AU$36,26,0)</f>
        <v>0</v>
      </c>
      <c r="S14" s="36">
        <f>VLOOKUP($A14,[18]HISTOFEV23!$A$6:$BG$36,58,0)</f>
        <v>0</v>
      </c>
      <c r="T14" s="36">
        <f>VLOOKUP($A14,[18]HISTOFEV23!$A$6:$AU$36,28,0)</f>
        <v>0</v>
      </c>
      <c r="U14" s="36">
        <f>VLOOKUP($A14,[18]HISTOFEV23!$A$6:$AU$36,19,0)</f>
        <v>0</v>
      </c>
      <c r="V14" s="36">
        <f>VLOOKUP($A14,[18]HISTOFEV23!$A$6:$AU$36,20,0)</f>
        <v>0</v>
      </c>
      <c r="W14" s="36">
        <f>VLOOKUP($A14,[18]HISTOFEV23!$A$6:$AU$36,27,0)</f>
        <v>0</v>
      </c>
      <c r="X14" s="36">
        <f>VLOOKUP($A14,[18]HISTOFEV23!$A$6:$BM$36,33,0)</f>
        <v>0</v>
      </c>
      <c r="Y14" s="36">
        <f>VLOOKUP($A14,[18]HISTOFEV23!$A$6:$BM$36,65,0)</f>
        <v>0</v>
      </c>
      <c r="Z14" s="36"/>
      <c r="AA14" s="36">
        <f>VLOOKUP($A14,[18]HISTOFEV23!$A$6:$AU$36,43,0)</f>
        <v>0</v>
      </c>
      <c r="AB14" s="36">
        <f>VLOOKUP($A14,[18]HISTOFEV23!$A$6:$AU$36,44,0)</f>
        <v>0</v>
      </c>
      <c r="AC14" s="36">
        <f>VLOOKUP($A14,[18]HISTOFEV23!$A$6:$AU$36,47,0)</f>
        <v>0</v>
      </c>
      <c r="AD14" s="36">
        <f>VLOOKUP(A14,[18]HISTOFEV23!$A$6:$BB$36,54,0)</f>
        <v>0</v>
      </c>
      <c r="AE14" s="36">
        <f>VLOOKUP($A14,[18]HISTOFEV23!$A$6:$CA$36,60,0)</f>
        <v>0</v>
      </c>
      <c r="AF14" s="36">
        <f>VLOOKUP($A14,[18]HISTOFEV23!$A$6:$CA$36,61,0)</f>
        <v>0</v>
      </c>
      <c r="AG14" s="36">
        <f>VLOOKUP($A14,[18]HISTOFEV23!$A$6:$CA$36,62,0)</f>
        <v>0</v>
      </c>
      <c r="AH14" s="36">
        <f>VLOOKUP($A14,[18]HISTOFEV23!$A$6:$CA$36,63,0)</f>
        <v>0</v>
      </c>
      <c r="AI14" s="36">
        <f>VLOOKUP($A14,[18]HISTOFEV23!$A$6:$CA$36,64,0)</f>
        <v>0</v>
      </c>
      <c r="AJ14" s="36">
        <f>VLOOKUP($A14,[18]HISTOFEV23!$A$6:$CA$36,65,0)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VLOOKUP($A15,[18]HISTOFEV23!$A$6:$BA$36,48,0)</f>
        <v>0</v>
      </c>
      <c r="F15" s="5">
        <f>MVTJANV23!F15+MVTJANV23!G15-MVTFEV23!E15+K15</f>
        <v>710472.00533971633</v>
      </c>
      <c r="G15" s="6">
        <v>973.47787521922839</v>
      </c>
      <c r="H15" s="6">
        <f t="shared" si="0"/>
        <v>711445.48321493552</v>
      </c>
      <c r="I15" s="36">
        <f>VLOOKUP($A15,[18]HISTOFEV23!$A$6:$AQ$40,22,0)</f>
        <v>0</v>
      </c>
      <c r="J15" s="36">
        <f>VLOOKUP($A15,[18]HISTOFEV23!$A$6:$AU$36,45,0)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VLOOKUP($A15,[18]HISTOFEV23!$A$6:$AU$36,7,0)</f>
        <v>0</v>
      </c>
      <c r="P15" s="36">
        <f>VLOOKUP($A15,[18]HISTOFEV23!$A$6:$AU$36,23,0)</f>
        <v>0</v>
      </c>
      <c r="Q15" s="36">
        <f>VLOOKUP($A15,[18]HISTOFEV23!$A$6:$AU$36,46,0)</f>
        <v>0</v>
      </c>
      <c r="R15" s="36">
        <f>VLOOKUP($A15,[18]HISTOFEV23!$A$6:$AU$36,26,0)</f>
        <v>0</v>
      </c>
      <c r="S15" s="36">
        <f>VLOOKUP($A15,[18]HISTOFEV23!$A$6:$BG$36,58,0)</f>
        <v>0</v>
      </c>
      <c r="T15" s="36">
        <f>VLOOKUP($A15,[18]HISTOFEV23!$A$6:$AU$36,28,0)</f>
        <v>0</v>
      </c>
      <c r="U15" s="36">
        <f>VLOOKUP($A15,[18]HISTOFEV23!$A$6:$AU$36,19,0)</f>
        <v>0</v>
      </c>
      <c r="V15" s="36">
        <f>VLOOKUP($A15,[18]HISTOFEV23!$A$6:$AU$36,20,0)</f>
        <v>0</v>
      </c>
      <c r="W15" s="36">
        <f>VLOOKUP($A15,[18]HISTOFEV23!$A$6:$AU$36,27,0)</f>
        <v>0</v>
      </c>
      <c r="X15" s="36">
        <f>VLOOKUP($A15,[18]HISTOFEV23!$A$6:$BM$36,33,0)</f>
        <v>0</v>
      </c>
      <c r="Y15" s="36">
        <f>VLOOKUP($A15,[18]HISTOFEV23!$A$6:$BM$36,65,0)</f>
        <v>0</v>
      </c>
      <c r="Z15" s="36"/>
      <c r="AA15" s="36">
        <f>VLOOKUP($A15,[18]HISTOFEV23!$A$6:$AU$36,43,0)</f>
        <v>0</v>
      </c>
      <c r="AB15" s="36">
        <f>VLOOKUP($A15,[18]HISTOFEV23!$A$6:$AU$36,44,0)</f>
        <v>0</v>
      </c>
      <c r="AC15" s="36">
        <f>VLOOKUP($A15,[18]HISTOFEV23!$A$6:$AU$36,47,0)</f>
        <v>0</v>
      </c>
      <c r="AD15" s="36">
        <f>VLOOKUP(A15,[18]HISTOFEV23!$A$6:$BB$36,54,0)</f>
        <v>0</v>
      </c>
      <c r="AE15" s="36">
        <f>VLOOKUP($A15,[18]HISTOFEV23!$A$6:$CA$36,60,0)</f>
        <v>0</v>
      </c>
      <c r="AF15" s="36">
        <f>VLOOKUP($A15,[18]HISTOFEV23!$A$6:$CA$36,61,0)</f>
        <v>0</v>
      </c>
      <c r="AG15" s="36">
        <f>VLOOKUP($A15,[18]HISTOFEV23!$A$6:$CA$36,62,0)</f>
        <v>0</v>
      </c>
      <c r="AH15" s="36">
        <f>VLOOKUP($A15,[18]HISTOFEV23!$A$6:$CA$36,63,0)</f>
        <v>0</v>
      </c>
      <c r="AI15" s="36">
        <f>VLOOKUP($A15,[18]HISTOFEV23!$A$6:$CA$36,64,0)</f>
        <v>0</v>
      </c>
      <c r="AJ15" s="36">
        <f>VLOOKUP($A15,[18]HISTOFEV23!$A$6:$CA$36,65,0)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VLOOKUP($A16,[18]HISTOFEV23!$A$6:$BA$36,48,0)</f>
        <v>0</v>
      </c>
      <c r="F16" s="5">
        <f>MVTJANV23!F16+MVTJANV23!G16-MVTFEV23!E16+K16</f>
        <v>743373.75561040966</v>
      </c>
      <c r="G16" s="6">
        <v>1018.5593502158305</v>
      </c>
      <c r="H16" s="6">
        <f t="shared" si="0"/>
        <v>744392.31496062549</v>
      </c>
      <c r="I16" s="36">
        <f>VLOOKUP($A16,[18]HISTOFEV23!$A$6:$AQ$40,22,0)</f>
        <v>0</v>
      </c>
      <c r="J16" s="36">
        <f>VLOOKUP($A16,[18]HISTOFEV23!$A$6:$AU$36,45,0)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VLOOKUP($A16,[18]HISTOFEV23!$A$6:$AU$36,7,0)</f>
        <v>0</v>
      </c>
      <c r="P16" s="36">
        <f>VLOOKUP($A16,[18]HISTOFEV23!$A$6:$AU$36,23,0)</f>
        <v>0</v>
      </c>
      <c r="Q16" s="36">
        <f>VLOOKUP($A16,[18]HISTOFEV23!$A$6:$AU$36,46,0)</f>
        <v>0</v>
      </c>
      <c r="R16" s="36">
        <f>VLOOKUP($A16,[18]HISTOFEV23!$A$6:$AU$36,26,0)</f>
        <v>0</v>
      </c>
      <c r="S16" s="36">
        <f>VLOOKUP($A16,[18]HISTOFEV23!$A$6:$BG$36,58,0)</f>
        <v>0</v>
      </c>
      <c r="T16" s="36">
        <f>VLOOKUP($A16,[18]HISTOFEV23!$A$6:$AU$36,28,0)</f>
        <v>0</v>
      </c>
      <c r="U16" s="36">
        <f>VLOOKUP($A16,[18]HISTOFEV23!$A$6:$AU$36,19,0)</f>
        <v>1000000</v>
      </c>
      <c r="V16" s="36" t="str">
        <f>VLOOKUP($A16,[18]HISTOFEV23!$A$6:$AU$36,20,0)</f>
        <v>BANQUE</v>
      </c>
      <c r="W16" s="36">
        <f>VLOOKUP($A16,[18]HISTOFEV23!$A$6:$AU$36,27,0)</f>
        <v>0</v>
      </c>
      <c r="X16" s="36">
        <f>VLOOKUP($A16,[18]HISTOFEV23!$A$6:$BM$36,33,0)</f>
        <v>0</v>
      </c>
      <c r="Y16" s="36">
        <f>VLOOKUP($A16,[18]HISTOFEV23!$A$6:$BM$36,65,0)</f>
        <v>0</v>
      </c>
      <c r="Z16" s="36"/>
      <c r="AA16" s="36">
        <f>VLOOKUP($A16,[18]HISTOFEV23!$A$6:$AU$36,43,0)</f>
        <v>0</v>
      </c>
      <c r="AB16" s="36">
        <f>VLOOKUP($A16,[18]HISTOFEV23!$A$6:$AU$36,44,0)</f>
        <v>0</v>
      </c>
      <c r="AC16" s="36">
        <f>VLOOKUP($A16,[18]HISTOFEV23!$A$6:$AU$36,47,0)</f>
        <v>0</v>
      </c>
      <c r="AD16" s="36">
        <f>VLOOKUP(A16,[18]HISTOFEV23!$A$6:$BB$36,54,0)</f>
        <v>0</v>
      </c>
      <c r="AE16" s="36">
        <f>VLOOKUP($A16,[18]HISTOFEV23!$A$6:$CA$36,60,0)</f>
        <v>0</v>
      </c>
      <c r="AF16" s="36">
        <f>VLOOKUP($A16,[18]HISTOFEV23!$A$6:$CA$36,61,0)</f>
        <v>0</v>
      </c>
      <c r="AG16" s="36">
        <f>VLOOKUP($A16,[18]HISTOFEV23!$A$6:$CA$36,62,0)</f>
        <v>0</v>
      </c>
      <c r="AH16" s="36">
        <f>VLOOKUP($A16,[18]HISTOFEV23!$A$6:$CA$36,63,0)</f>
        <v>0</v>
      </c>
      <c r="AI16" s="36">
        <f>VLOOKUP($A16,[18]HISTOFEV23!$A$6:$CA$36,64,0)</f>
        <v>0</v>
      </c>
      <c r="AJ16" s="36">
        <f>VLOOKUP($A16,[18]HISTOFEV23!$A$6:$CA$36,65,0)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VLOOKUP($A17,[18]HISTOFEV23!$A$6:$BA$36,48,0)</f>
        <v>0</v>
      </c>
      <c r="F17" s="5">
        <f>MVTJANV23!F17+MVTJANV23!G17-MVTFEV23!E17+K17</f>
        <v>712791.35743165971</v>
      </c>
      <c r="G17" s="6">
        <v>976.65581598168069</v>
      </c>
      <c r="H17" s="6">
        <f t="shared" si="0"/>
        <v>713768.01324764139</v>
      </c>
      <c r="I17" s="36">
        <f>VLOOKUP($A17,[18]HISTOFEV23!$A$6:$AQ$40,22,0)</f>
        <v>0</v>
      </c>
      <c r="J17" s="36">
        <f>VLOOKUP($A17,[18]HISTOFEV23!$A$6:$AU$36,45,0)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VLOOKUP($A17,[18]HISTOFEV23!$A$6:$AU$36,7,0)</f>
        <v>0</v>
      </c>
      <c r="P17" s="36">
        <f>VLOOKUP($A17,[18]HISTOFEV23!$A$6:$AU$36,23,0)</f>
        <v>0</v>
      </c>
      <c r="Q17" s="36">
        <f>VLOOKUP($A17,[18]HISTOFEV23!$A$6:$AU$36,46,0)</f>
        <v>0</v>
      </c>
      <c r="R17" s="36">
        <f>VLOOKUP($A17,[18]HISTOFEV23!$A$6:$AU$36,26,0)</f>
        <v>0</v>
      </c>
      <c r="S17" s="36">
        <f>VLOOKUP($A17,[18]HISTOFEV23!$A$6:$BG$36,58,0)</f>
        <v>0</v>
      </c>
      <c r="T17" s="36">
        <f>VLOOKUP($A17,[18]HISTOFEV23!$A$6:$AU$36,28,0)</f>
        <v>0</v>
      </c>
      <c r="U17" s="36">
        <f>VLOOKUP($A17,[18]HISTOFEV23!$A$6:$AU$36,19,0)</f>
        <v>0</v>
      </c>
      <c r="V17" s="36">
        <f>VLOOKUP($A17,[18]HISTOFEV23!$A$6:$AU$36,20,0)</f>
        <v>0</v>
      </c>
      <c r="W17" s="36">
        <f>VLOOKUP($A17,[18]HISTOFEV23!$A$6:$AU$36,27,0)</f>
        <v>0</v>
      </c>
      <c r="X17" s="36">
        <f>VLOOKUP($A17,[18]HISTOFEV23!$A$6:$BM$36,33,0)</f>
        <v>0</v>
      </c>
      <c r="Y17" s="36">
        <f>VLOOKUP($A17,[18]HISTOFEV23!$A$6:$BM$36,65,0)</f>
        <v>0</v>
      </c>
      <c r="Z17" s="36"/>
      <c r="AA17" s="36">
        <f>VLOOKUP($A17,[18]HISTOFEV23!$A$6:$AU$36,43,0)</f>
        <v>0</v>
      </c>
      <c r="AB17" s="36">
        <f>VLOOKUP($A17,[18]HISTOFEV23!$A$6:$AU$36,44,0)</f>
        <v>0</v>
      </c>
      <c r="AC17" s="36">
        <f>VLOOKUP($A17,[18]HISTOFEV23!$A$6:$AU$36,47,0)</f>
        <v>0</v>
      </c>
      <c r="AD17" s="36">
        <f>VLOOKUP(A17,[18]HISTOFEV23!$A$6:$BB$36,54,0)</f>
        <v>70000</v>
      </c>
      <c r="AE17" s="36">
        <f>VLOOKUP($A17,[18]HISTOFEV23!$A$6:$CA$36,60,0)</f>
        <v>0</v>
      </c>
      <c r="AF17" s="36">
        <f>VLOOKUP($A17,[18]HISTOFEV23!$A$6:$CA$36,61,0)</f>
        <v>0</v>
      </c>
      <c r="AG17" s="36">
        <f>VLOOKUP($A17,[18]HISTOFEV23!$A$6:$CA$36,62,0)</f>
        <v>0</v>
      </c>
      <c r="AH17" s="36">
        <f>VLOOKUP($A17,[18]HISTOFEV23!$A$6:$CA$36,63,0)</f>
        <v>0</v>
      </c>
      <c r="AI17" s="36">
        <f>VLOOKUP($A17,[18]HISTOFEV23!$A$6:$CA$36,64,0)</f>
        <v>0</v>
      </c>
      <c r="AJ17" s="36">
        <f>VLOOKUP($A17,[18]HISTOFEV23!$A$6:$CA$36,65,0)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VLOOKUP($A18,[18]HISTOFEV23!$A$6:$BA$36,48,0)</f>
        <v>0</v>
      </c>
      <c r="F18" s="5">
        <f>MVTJANV23!F18+MVTJANV23!G18-MVTFEV23!E18+K18</f>
        <v>662982.58845261845</v>
      </c>
      <c r="G18" s="6">
        <v>908.40860253965661</v>
      </c>
      <c r="H18" s="6">
        <f t="shared" si="0"/>
        <v>663890.99705515814</v>
      </c>
      <c r="I18" s="36">
        <f>VLOOKUP($A18,[18]HISTOFEV23!$A$6:$AQ$40,22,0)</f>
        <v>0</v>
      </c>
      <c r="J18" s="36">
        <f>VLOOKUP($A18,[18]HISTOFEV23!$A$6:$AU$36,45,0)</f>
        <v>15000</v>
      </c>
      <c r="K18" s="36">
        <f t="shared" si="1"/>
        <v>9000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VLOOKUP($A18,[18]HISTOFEV23!$A$6:$AU$36,7,0)</f>
        <v>0</v>
      </c>
      <c r="P18" s="36">
        <f>VLOOKUP($A18,[18]HISTOFEV23!$A$6:$AU$36,23,0)</f>
        <v>0</v>
      </c>
      <c r="Q18" s="36">
        <f>VLOOKUP($A18,[18]HISTOFEV23!$A$6:$AU$36,46,0)</f>
        <v>0</v>
      </c>
      <c r="R18" s="36">
        <f>VLOOKUP($A18,[18]HISTOFEV23!$A$6:$AU$36,26,0)</f>
        <v>0</v>
      </c>
      <c r="S18" s="36">
        <f>VLOOKUP($A18,[18]HISTOFEV23!$A$6:$BG$36,58,0)</f>
        <v>0</v>
      </c>
      <c r="T18" s="36">
        <f>VLOOKUP($A18,[18]HISTOFEV23!$A$6:$AU$36,28,0)</f>
        <v>0</v>
      </c>
      <c r="U18" s="36">
        <f>VLOOKUP($A18,[18]HISTOFEV23!$A$6:$AU$36,19,0)</f>
        <v>0</v>
      </c>
      <c r="V18" s="36">
        <f>VLOOKUP($A18,[18]HISTOFEV23!$A$6:$AU$36,20,0)</f>
        <v>0</v>
      </c>
      <c r="W18" s="36">
        <f>VLOOKUP($A18,[18]HISTOFEV23!$A$6:$AU$36,27,0)</f>
        <v>0</v>
      </c>
      <c r="X18" s="36">
        <f>VLOOKUP($A18,[18]HISTOFEV23!$A$6:$BM$36,33,0)</f>
        <v>0</v>
      </c>
      <c r="Y18" s="36">
        <f>VLOOKUP($A18,[18]HISTOFEV23!$A$6:$BM$36,65,0)</f>
        <v>0</v>
      </c>
      <c r="Z18" s="36"/>
      <c r="AA18" s="36">
        <f>VLOOKUP($A18,[18]HISTOFEV23!$A$6:$AU$36,43,0)</f>
        <v>0</v>
      </c>
      <c r="AB18" s="36">
        <f>VLOOKUP($A18,[18]HISTOFEV23!$A$6:$AU$36,44,0)</f>
        <v>0</v>
      </c>
      <c r="AC18" s="36">
        <f>VLOOKUP($A18,[18]HISTOFEV23!$A$6:$AU$36,47,0)</f>
        <v>0</v>
      </c>
      <c r="AD18" s="36">
        <f>VLOOKUP(A18,[18]HISTOFEV23!$A$6:$BB$36,54,0)</f>
        <v>0</v>
      </c>
      <c r="AE18" s="36">
        <f>VLOOKUP($A18,[18]HISTOFEV23!$A$6:$CA$36,60,0)</f>
        <v>0</v>
      </c>
      <c r="AF18" s="36">
        <f>VLOOKUP($A18,[18]HISTOFEV23!$A$6:$CA$36,61,0)</f>
        <v>0</v>
      </c>
      <c r="AG18" s="36">
        <f>VLOOKUP($A18,[18]HISTOFEV23!$A$6:$CA$36,62,0)</f>
        <v>0</v>
      </c>
      <c r="AH18" s="36">
        <f>VLOOKUP($A18,[18]HISTOFEV23!$A$6:$CA$36,63,0)</f>
        <v>0</v>
      </c>
      <c r="AI18" s="36">
        <f>VLOOKUP($A18,[18]HISTOFEV23!$A$6:$CA$36,64,0)</f>
        <v>0</v>
      </c>
      <c r="AJ18" s="36">
        <f>VLOOKUP($A18,[18]HISTOFEV23!$A$6:$CA$36,65,0)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VLOOKUP($A19,[18]HISTOFEV23!$A$6:$BA$36,48,0)</f>
        <v>0</v>
      </c>
      <c r="F19" s="5">
        <f>MVTJANV23!F19+MVTJANV23!G19-MVTFEV23!E19+K19</f>
        <v>656906.8278621044</v>
      </c>
      <c r="G19" s="6">
        <v>900.08368830582094</v>
      </c>
      <c r="H19" s="6">
        <f t="shared" si="0"/>
        <v>657806.91155041021</v>
      </c>
      <c r="I19" s="36">
        <f>VLOOKUP($A19,[18]HISTOFEV23!$A$6:$AQ$40,22,0)</f>
        <v>0</v>
      </c>
      <c r="J19" s="36">
        <f>VLOOKUP($A19,[18]HISTOFEV23!$A$6:$AU$36,45,0)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VLOOKUP($A19,[18]HISTOFEV23!$A$6:$AU$36,7,0)</f>
        <v>0</v>
      </c>
      <c r="P19" s="36">
        <f>VLOOKUP($A19,[18]HISTOFEV23!$A$6:$AU$36,23,0)</f>
        <v>0</v>
      </c>
      <c r="Q19" s="36">
        <f>VLOOKUP($A19,[18]HISTOFEV23!$A$6:$AU$36,46,0)</f>
        <v>0</v>
      </c>
      <c r="R19" s="36">
        <f>VLOOKUP($A19,[18]HISTOFEV23!$A$6:$AU$36,26,0)</f>
        <v>0</v>
      </c>
      <c r="S19" s="36">
        <f>VLOOKUP($A19,[18]HISTOFEV23!$A$6:$BG$36,58,0)</f>
        <v>0</v>
      </c>
      <c r="T19" s="36">
        <f>VLOOKUP($A19,[18]HISTOFEV23!$A$6:$AU$36,28,0)</f>
        <v>0</v>
      </c>
      <c r="U19" s="36">
        <f>VLOOKUP($A19,[18]HISTOFEV23!$A$6:$AU$36,19,0)</f>
        <v>0</v>
      </c>
      <c r="V19" s="36">
        <f>VLOOKUP($A19,[18]HISTOFEV23!$A$6:$AU$36,20,0)</f>
        <v>0</v>
      </c>
      <c r="W19" s="36">
        <f>VLOOKUP($A19,[18]HISTOFEV23!$A$6:$AU$36,27,0)</f>
        <v>0</v>
      </c>
      <c r="X19" s="36">
        <f>VLOOKUP($A19,[18]HISTOFEV23!$A$6:$BM$36,33,0)</f>
        <v>0</v>
      </c>
      <c r="Y19" s="36">
        <f>VLOOKUP($A19,[18]HISTOFEV23!$A$6:$BM$36,65,0)</f>
        <v>0</v>
      </c>
      <c r="Z19" s="36"/>
      <c r="AA19" s="36">
        <f>VLOOKUP($A19,[18]HISTOFEV23!$A$6:$AU$36,43,0)</f>
        <v>0</v>
      </c>
      <c r="AB19" s="36">
        <f>VLOOKUP($A19,[18]HISTOFEV23!$A$6:$AU$36,44,0)</f>
        <v>0</v>
      </c>
      <c r="AC19" s="36">
        <f>VLOOKUP($A19,[18]HISTOFEV23!$A$6:$AU$36,47,0)</f>
        <v>0</v>
      </c>
      <c r="AD19" s="36">
        <f>VLOOKUP(A19,[18]HISTOFEV23!$A$6:$BB$36,54,0)</f>
        <v>0</v>
      </c>
      <c r="AE19" s="36">
        <f>VLOOKUP($A19,[18]HISTOFEV23!$A$6:$CA$36,60,0)</f>
        <v>0</v>
      </c>
      <c r="AF19" s="36">
        <f>VLOOKUP($A19,[18]HISTOFEV23!$A$6:$CA$36,61,0)</f>
        <v>0</v>
      </c>
      <c r="AG19" s="36">
        <f>VLOOKUP($A19,[18]HISTOFEV23!$A$6:$CA$36,62,0)</f>
        <v>0</v>
      </c>
      <c r="AH19" s="36">
        <f>VLOOKUP($A19,[18]HISTOFEV23!$A$6:$CA$36,63,0)</f>
        <v>0</v>
      </c>
      <c r="AI19" s="36">
        <f>VLOOKUP($A19,[18]HISTOFEV23!$A$6:$CA$36,64,0)</f>
        <v>0</v>
      </c>
      <c r="AJ19" s="36">
        <f>VLOOKUP($A19,[18]HISTOFEV23!$A$6:$CA$36,65,0)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VLOOKUP($A20,[18]HISTOFEV23!$A$6:$BA$36,48,0)</f>
        <v>0</v>
      </c>
      <c r="F20" s="5">
        <f>MVTJANV23!F20+MVTJANV23!G20-MVTFEV23!E20+K20</f>
        <v>706892.17896341055</v>
      </c>
      <c r="G20" s="6">
        <v>968.5728518709916</v>
      </c>
      <c r="H20" s="6">
        <f t="shared" si="0"/>
        <v>707860.75181528158</v>
      </c>
      <c r="I20" s="36">
        <f>VLOOKUP($A20,[18]HISTOFEV23!$A$6:$AQ$40,22,0)</f>
        <v>0</v>
      </c>
      <c r="J20" s="36">
        <f>VLOOKUP($A20,[18]HISTOFEV23!$A$6:$AU$36,45,0)</f>
        <v>15000</v>
      </c>
      <c r="K20" s="36">
        <f t="shared" si="1"/>
        <v>9000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VLOOKUP($A20,[18]HISTOFEV23!$A$6:$AU$36,7,0)</f>
        <v>0</v>
      </c>
      <c r="P20" s="36">
        <f>VLOOKUP($A20,[18]HISTOFEV23!$A$6:$AU$36,23,0)</f>
        <v>0</v>
      </c>
      <c r="Q20" s="36">
        <f>VLOOKUP($A20,[18]HISTOFEV23!$A$6:$AU$36,46,0)</f>
        <v>0</v>
      </c>
      <c r="R20" s="36">
        <f>VLOOKUP($A20,[18]HISTOFEV23!$A$6:$AU$36,26,0)</f>
        <v>0</v>
      </c>
      <c r="S20" s="36">
        <f>VLOOKUP($A20,[18]HISTOFEV23!$A$6:$BG$36,58,0)</f>
        <v>0</v>
      </c>
      <c r="T20" s="36">
        <f>VLOOKUP($A20,[18]HISTOFEV23!$A$6:$AU$36,28,0)</f>
        <v>0</v>
      </c>
      <c r="U20" s="36">
        <f>VLOOKUP($A20,[18]HISTOFEV23!$A$6:$AU$36,19,0)</f>
        <v>0</v>
      </c>
      <c r="V20" s="36">
        <f>VLOOKUP($A20,[18]HISTOFEV23!$A$6:$AU$36,20,0)</f>
        <v>0</v>
      </c>
      <c r="W20" s="36">
        <f>VLOOKUP($A20,[18]HISTOFEV23!$A$6:$AU$36,27,0)</f>
        <v>0</v>
      </c>
      <c r="X20" s="36">
        <f>VLOOKUP($A20,[18]HISTOFEV23!$A$6:$BM$36,33,0)</f>
        <v>0</v>
      </c>
      <c r="Y20" s="36">
        <f>VLOOKUP($A20,[18]HISTOFEV23!$A$6:$BM$36,65,0)</f>
        <v>0</v>
      </c>
      <c r="Z20" s="36"/>
      <c r="AA20" s="36">
        <f>VLOOKUP($A20,[18]HISTOFEV23!$A$6:$AU$36,43,0)</f>
        <v>0</v>
      </c>
      <c r="AB20" s="36">
        <f>VLOOKUP($A20,[18]HISTOFEV23!$A$6:$AU$36,44,0)</f>
        <v>0</v>
      </c>
      <c r="AC20" s="36">
        <f>VLOOKUP($A20,[18]HISTOFEV23!$A$6:$AU$36,47,0)</f>
        <v>0</v>
      </c>
      <c r="AD20" s="36">
        <f>VLOOKUP(A20,[18]HISTOFEV23!$A$6:$BB$36,54,0)</f>
        <v>0</v>
      </c>
      <c r="AE20" s="36">
        <f>VLOOKUP($A20,[18]HISTOFEV23!$A$6:$CA$36,60,0)</f>
        <v>0</v>
      </c>
      <c r="AF20" s="36">
        <f>VLOOKUP($A20,[18]HISTOFEV23!$A$6:$CA$36,61,0)</f>
        <v>0</v>
      </c>
      <c r="AG20" s="36">
        <f>VLOOKUP($A20,[18]HISTOFEV23!$A$6:$CA$36,62,0)</f>
        <v>0</v>
      </c>
      <c r="AH20" s="36">
        <f>VLOOKUP($A20,[18]HISTOFEV23!$A$6:$CA$36,63,0)</f>
        <v>0</v>
      </c>
      <c r="AI20" s="36">
        <f>VLOOKUP($A20,[18]HISTOFEV23!$A$6:$CA$36,64,0)</f>
        <v>0</v>
      </c>
      <c r="AJ20" s="36">
        <f>VLOOKUP($A20,[18]HISTOFEV23!$A$6:$CA$36,65,0)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VLOOKUP($A21,[18]HISTOFEV23!$A$6:$BA$36,48,0)</f>
        <v>0</v>
      </c>
      <c r="F21" s="5">
        <f>MVTJANV23!F21+MVTJANV23!G21-MVTFEV23!E21+K21</f>
        <v>710717.19901930005</v>
      </c>
      <c r="G21" s="6">
        <v>973.81383584881598</v>
      </c>
      <c r="H21" s="6">
        <f t="shared" si="0"/>
        <v>711691.01285514887</v>
      </c>
      <c r="I21" s="36">
        <f>VLOOKUP($A21,[18]HISTOFEV23!$A$6:$AQ$40,22,0)</f>
        <v>0</v>
      </c>
      <c r="J21" s="36">
        <f>VLOOKUP($A21,[18]HISTOFEV23!$A$6:$AU$36,45,0)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VLOOKUP($A21,[18]HISTOFEV23!$A$6:$AU$36,7,0)</f>
        <v>0</v>
      </c>
      <c r="P21" s="36">
        <f>VLOOKUP($A21,[18]HISTOFEV23!$A$6:$AU$36,23,0)</f>
        <v>0</v>
      </c>
      <c r="Q21" s="36">
        <f>VLOOKUP($A21,[18]HISTOFEV23!$A$6:$AU$36,46,0)</f>
        <v>0</v>
      </c>
      <c r="R21" s="36">
        <f>VLOOKUP($A21,[18]HISTOFEV23!$A$6:$AU$36,26,0)</f>
        <v>0</v>
      </c>
      <c r="S21" s="36">
        <f>VLOOKUP($A21,[18]HISTOFEV23!$A$6:$BG$36,58,0)</f>
        <v>0</v>
      </c>
      <c r="T21" s="36">
        <f>VLOOKUP($A21,[18]HISTOFEV23!$A$6:$AU$36,28,0)</f>
        <v>0</v>
      </c>
      <c r="U21" s="36">
        <f>VLOOKUP($A21,[18]HISTOFEV23!$A$6:$AU$36,19,0)</f>
        <v>0</v>
      </c>
      <c r="V21" s="36">
        <f>VLOOKUP($A21,[18]HISTOFEV23!$A$6:$AU$36,20,0)</f>
        <v>0</v>
      </c>
      <c r="W21" s="36">
        <f>VLOOKUP($A21,[18]HISTOFEV23!$A$6:$AU$36,27,0)</f>
        <v>0</v>
      </c>
      <c r="X21" s="36">
        <f>VLOOKUP($A21,[18]HISTOFEV23!$A$6:$BM$36,33,0)</f>
        <v>0</v>
      </c>
      <c r="Y21" s="36">
        <f>VLOOKUP($A21,[18]HISTOFEV23!$A$6:$BM$36,65,0)</f>
        <v>0</v>
      </c>
      <c r="Z21" s="36"/>
      <c r="AA21" s="36">
        <f>VLOOKUP($A21,[18]HISTOFEV23!$A$6:$AU$36,43,0)</f>
        <v>0</v>
      </c>
      <c r="AB21" s="36">
        <f>VLOOKUP($A21,[18]HISTOFEV23!$A$6:$AU$36,44,0)</f>
        <v>0</v>
      </c>
      <c r="AC21" s="36">
        <f>VLOOKUP($A21,[18]HISTOFEV23!$A$6:$AU$36,47,0)</f>
        <v>0</v>
      </c>
      <c r="AD21" s="36">
        <f>VLOOKUP(A21,[18]HISTOFEV23!$A$6:$BB$36,54,0)</f>
        <v>0</v>
      </c>
      <c r="AE21" s="36">
        <f>VLOOKUP($A21,[18]HISTOFEV23!$A$6:$CA$36,60,0)</f>
        <v>0</v>
      </c>
      <c r="AF21" s="36">
        <f>VLOOKUP($A21,[18]HISTOFEV23!$A$6:$CA$36,61,0)</f>
        <v>0</v>
      </c>
      <c r="AG21" s="36">
        <f>VLOOKUP($A21,[18]HISTOFEV23!$A$6:$CA$36,62,0)</f>
        <v>0</v>
      </c>
      <c r="AH21" s="36">
        <f>VLOOKUP($A21,[18]HISTOFEV23!$A$6:$CA$36,63,0)</f>
        <v>0</v>
      </c>
      <c r="AI21" s="36">
        <f>VLOOKUP($A21,[18]HISTOFEV23!$A$6:$CA$36,64,0)</f>
        <v>0</v>
      </c>
      <c r="AJ21" s="36">
        <f>VLOOKUP($A21,[18]HISTOFEV23!$A$6:$CA$36,65,0)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VLOOKUP($A22,[18]HISTOFEV23!$A$6:$BA$36,48,0)</f>
        <v>0</v>
      </c>
      <c r="F22" s="5">
        <f>MVTJANV23!F22+MVTJANV23!G22-MVTFEV23!E22+K22</f>
        <v>805983.18336848414</v>
      </c>
      <c r="G22" s="6">
        <v>1104.3458305339102</v>
      </c>
      <c r="H22" s="6">
        <f t="shared" si="0"/>
        <v>807087.52919901803</v>
      </c>
      <c r="I22" s="36">
        <f>VLOOKUP($A22,[18]HISTOFEV23!$A$6:$AQ$40,22,0)</f>
        <v>0</v>
      </c>
      <c r="J22" s="36">
        <f>VLOOKUP($A22,[18]HISTOFEV23!$A$6:$AU$36,45,0)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VLOOKUP($A22,[18]HISTOFEV23!$A$6:$AU$36,7,0)</f>
        <v>0</v>
      </c>
      <c r="P22" s="36">
        <f>VLOOKUP($A22,[18]HISTOFEV23!$A$6:$AU$36,23,0)</f>
        <v>0</v>
      </c>
      <c r="Q22" s="36">
        <f>VLOOKUP($A22,[18]HISTOFEV23!$A$6:$AU$36,46,0)</f>
        <v>0</v>
      </c>
      <c r="R22" s="36">
        <f>VLOOKUP($A22,[18]HISTOFEV23!$A$6:$AU$36,26,0)</f>
        <v>0</v>
      </c>
      <c r="S22" s="36">
        <f>VLOOKUP($A22,[18]HISTOFEV23!$A$6:$BG$36,58,0)</f>
        <v>0</v>
      </c>
      <c r="T22" s="36">
        <f>VLOOKUP($A22,[18]HISTOFEV23!$A$6:$AU$36,28,0)</f>
        <v>0</v>
      </c>
      <c r="U22" s="36">
        <f>VLOOKUP($A22,[18]HISTOFEV23!$A$6:$AU$36,19,0)</f>
        <v>0</v>
      </c>
      <c r="V22" s="36">
        <f>VLOOKUP($A22,[18]HISTOFEV23!$A$6:$AU$36,20,0)</f>
        <v>0</v>
      </c>
      <c r="W22" s="36">
        <f>VLOOKUP($A22,[18]HISTOFEV23!$A$6:$AU$36,27,0)</f>
        <v>0</v>
      </c>
      <c r="X22" s="36">
        <f>VLOOKUP($A22,[18]HISTOFEV23!$A$6:$BM$36,33,0)</f>
        <v>0</v>
      </c>
      <c r="Y22" s="36">
        <f>VLOOKUP($A22,[18]HISTOFEV23!$A$6:$BM$36,65,0)</f>
        <v>0</v>
      </c>
      <c r="Z22" s="36"/>
      <c r="AA22" s="36">
        <f>VLOOKUP($A22,[18]HISTOFEV23!$A$6:$AU$36,43,0)</f>
        <v>0</v>
      </c>
      <c r="AB22" s="36">
        <f>VLOOKUP($A22,[18]HISTOFEV23!$A$6:$AU$36,44,0)</f>
        <v>0</v>
      </c>
      <c r="AC22" s="36">
        <f>VLOOKUP($A22,[18]HISTOFEV23!$A$6:$AU$36,47,0)</f>
        <v>0</v>
      </c>
      <c r="AD22" s="36">
        <f>VLOOKUP(A22,[18]HISTOFEV23!$A$6:$BB$36,54,0)</f>
        <v>0</v>
      </c>
      <c r="AE22" s="36">
        <f>VLOOKUP($A22,[18]HISTOFEV23!$A$6:$CA$36,60,0)</f>
        <v>0</v>
      </c>
      <c r="AF22" s="36">
        <f>VLOOKUP($A22,[18]HISTOFEV23!$A$6:$CA$36,61,0)</f>
        <v>0</v>
      </c>
      <c r="AG22" s="36">
        <f>VLOOKUP($A22,[18]HISTOFEV23!$A$6:$CA$36,62,0)</f>
        <v>0</v>
      </c>
      <c r="AH22" s="36">
        <f>VLOOKUP($A22,[18]HISTOFEV23!$A$6:$CA$36,63,0)</f>
        <v>0</v>
      </c>
      <c r="AI22" s="36">
        <f>VLOOKUP($A22,[18]HISTOFEV23!$A$6:$CA$36,64,0)</f>
        <v>0</v>
      </c>
      <c r="AJ22" s="36">
        <f>VLOOKUP($A22,[18]HISTOFEV23!$A$6:$CA$36,65,0)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VLOOKUP($A23,[18]HISTOFEV23!$A$6:$BA$36,48,0)</f>
        <v>0</v>
      </c>
      <c r="F23" s="5">
        <f>MVTJANV23!F23+MVTJANV23!G23-MVTFEV23!E23+K23</f>
        <v>977313.83119781665</v>
      </c>
      <c r="G23" s="6">
        <v>1339.1004637288979</v>
      </c>
      <c r="H23" s="6">
        <f t="shared" si="0"/>
        <v>978652.93166154553</v>
      </c>
      <c r="I23" s="36">
        <f>VLOOKUP($A23,[18]HISTOFEV23!$A$6:$AQ$40,22,0)</f>
        <v>0</v>
      </c>
      <c r="J23" s="36">
        <f>VLOOKUP($A23,[18]HISTOFEV23!$A$6:$AU$36,45,0)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VLOOKUP($A23,[18]HISTOFEV23!$A$6:$AU$36,7,0)</f>
        <v>0</v>
      </c>
      <c r="P23" s="36">
        <f>VLOOKUP($A23,[18]HISTOFEV23!$A$6:$AU$36,23,0)</f>
        <v>0</v>
      </c>
      <c r="Q23" s="36">
        <f>VLOOKUP($A23,[18]HISTOFEV23!$A$6:$AU$36,46,0)</f>
        <v>0</v>
      </c>
      <c r="R23" s="36">
        <f>VLOOKUP($A23,[18]HISTOFEV23!$A$6:$AU$36,26,0)</f>
        <v>0</v>
      </c>
      <c r="S23" s="36">
        <f>VLOOKUP($A23,[18]HISTOFEV23!$A$6:$BG$36,58,0)</f>
        <v>0</v>
      </c>
      <c r="T23" s="36">
        <f>VLOOKUP($A23,[18]HISTOFEV23!$A$6:$AU$36,28,0)</f>
        <v>0</v>
      </c>
      <c r="U23" s="36">
        <f>VLOOKUP($A23,[18]HISTOFEV23!$A$6:$AU$36,19,0)</f>
        <v>0</v>
      </c>
      <c r="V23" s="36">
        <f>VLOOKUP($A23,[18]HISTOFEV23!$A$6:$AU$36,20,0)</f>
        <v>0</v>
      </c>
      <c r="W23" s="36">
        <f>VLOOKUP($A23,[18]HISTOFEV23!$A$6:$AU$36,27,0)</f>
        <v>0</v>
      </c>
      <c r="X23" s="36">
        <f>VLOOKUP($A23,[18]HISTOFEV23!$A$6:$BM$36,33,0)</f>
        <v>0</v>
      </c>
      <c r="Y23" s="36">
        <f>VLOOKUP($A23,[18]HISTOFEV23!$A$6:$BM$36,65,0)</f>
        <v>0</v>
      </c>
      <c r="Z23" s="36"/>
      <c r="AA23" s="36">
        <f>VLOOKUP($A23,[18]HISTOFEV23!$A$6:$AU$36,43,0)</f>
        <v>0</v>
      </c>
      <c r="AB23" s="36">
        <f>VLOOKUP($A23,[18]HISTOFEV23!$A$6:$AU$36,44,0)</f>
        <v>0</v>
      </c>
      <c r="AC23" s="36">
        <f>VLOOKUP($A23,[18]HISTOFEV23!$A$6:$AU$36,47,0)</f>
        <v>0</v>
      </c>
      <c r="AD23" s="36">
        <f>VLOOKUP(A23,[18]HISTOFEV23!$A$6:$BB$36,54,0)</f>
        <v>0</v>
      </c>
      <c r="AE23" s="36">
        <f>VLOOKUP($A23,[18]HISTOFEV23!$A$6:$CA$36,60,0)</f>
        <v>0</v>
      </c>
      <c r="AF23" s="36">
        <f>VLOOKUP($A23,[18]HISTOFEV23!$A$6:$CA$36,61,0)</f>
        <v>0</v>
      </c>
      <c r="AG23" s="36">
        <f>VLOOKUP($A23,[18]HISTOFEV23!$A$6:$CA$36,62,0)</f>
        <v>0</v>
      </c>
      <c r="AH23" s="36">
        <f>VLOOKUP($A23,[18]HISTOFEV23!$A$6:$CA$36,63,0)</f>
        <v>0</v>
      </c>
      <c r="AI23" s="36">
        <f>VLOOKUP($A23,[18]HISTOFEV23!$A$6:$CA$36,64,0)</f>
        <v>0</v>
      </c>
      <c r="AJ23" s="36">
        <f>VLOOKUP($A23,[18]HISTOFEV23!$A$6:$CA$36,65,0)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VLOOKUP($A24,[18]HISTOFEV23!$A$6:$BA$36,48,0)</f>
        <v>0</v>
      </c>
      <c r="F24" s="5">
        <f>MVTJANV23!F24+MVTJANV23!G24-MVTFEV23!E24+K24</f>
        <v>698427.64754339075</v>
      </c>
      <c r="G24" s="6">
        <v>956.97488038223844</v>
      </c>
      <c r="H24" s="6">
        <f t="shared" si="0"/>
        <v>699384.62242377293</v>
      </c>
      <c r="I24" s="36">
        <f>VLOOKUP($A24,[18]HISTOFEV23!$A$6:$AQ$40,22,0)</f>
        <v>0</v>
      </c>
      <c r="J24" s="36">
        <f>VLOOKUP($A24,[18]HISTOFEV23!$A$6:$AU$36,45,0)</f>
        <v>15000</v>
      </c>
      <c r="K24" s="36">
        <f t="shared" si="1"/>
        <v>9000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VLOOKUP($A24,[18]HISTOFEV23!$A$6:$AU$36,7,0)</f>
        <v>0</v>
      </c>
      <c r="P24" s="36">
        <f>VLOOKUP($A24,[18]HISTOFEV23!$A$6:$AU$36,23,0)</f>
        <v>0</v>
      </c>
      <c r="Q24" s="36">
        <f>VLOOKUP($A24,[18]HISTOFEV23!$A$6:$AU$36,46,0)</f>
        <v>0</v>
      </c>
      <c r="R24" s="36">
        <f>VLOOKUP($A24,[18]HISTOFEV23!$A$6:$AU$36,26,0)</f>
        <v>0</v>
      </c>
      <c r="S24" s="36">
        <f>VLOOKUP($A24,[18]HISTOFEV23!$A$6:$BG$36,58,0)</f>
        <v>0</v>
      </c>
      <c r="T24" s="36">
        <f>VLOOKUP($A24,[18]HISTOFEV23!$A$6:$AU$36,28,0)</f>
        <v>0</v>
      </c>
      <c r="U24" s="36">
        <f>VLOOKUP($A24,[18]HISTOFEV23!$A$6:$AU$36,19,0)</f>
        <v>0</v>
      </c>
      <c r="V24" s="36">
        <f>VLOOKUP($A24,[18]HISTOFEV23!$A$6:$AU$36,20,0)</f>
        <v>0</v>
      </c>
      <c r="W24" s="36">
        <f>VLOOKUP($A24,[18]HISTOFEV23!$A$6:$AU$36,27,0)</f>
        <v>0</v>
      </c>
      <c r="X24" s="36">
        <f>VLOOKUP($A24,[18]HISTOFEV23!$A$6:$BM$36,33,0)</f>
        <v>0</v>
      </c>
      <c r="Y24" s="36">
        <f>VLOOKUP($A24,[18]HISTOFEV23!$A$6:$BM$36,65,0)</f>
        <v>0</v>
      </c>
      <c r="Z24" s="36"/>
      <c r="AA24" s="36">
        <f>VLOOKUP($A24,[18]HISTOFEV23!$A$6:$AU$36,43,0)</f>
        <v>0</v>
      </c>
      <c r="AB24" s="36">
        <f>VLOOKUP($A24,[18]HISTOFEV23!$A$6:$AU$36,44,0)</f>
        <v>0</v>
      </c>
      <c r="AC24" s="36">
        <f>VLOOKUP($A24,[18]HISTOFEV23!$A$6:$AU$36,47,0)</f>
        <v>0</v>
      </c>
      <c r="AD24" s="36">
        <f>VLOOKUP(A24,[18]HISTOFEV23!$A$6:$BB$36,54,0)</f>
        <v>0</v>
      </c>
      <c r="AE24" s="36">
        <f>VLOOKUP($A24,[18]HISTOFEV23!$A$6:$CA$36,60,0)</f>
        <v>0</v>
      </c>
      <c r="AF24" s="36">
        <f>VLOOKUP($A24,[18]HISTOFEV23!$A$6:$CA$36,61,0)</f>
        <v>0</v>
      </c>
      <c r="AG24" s="36">
        <f>VLOOKUP($A24,[18]HISTOFEV23!$A$6:$CA$36,62,0)</f>
        <v>0</v>
      </c>
      <c r="AH24" s="36">
        <f>VLOOKUP($A24,[18]HISTOFEV23!$A$6:$CA$36,63,0)</f>
        <v>0</v>
      </c>
      <c r="AI24" s="36">
        <f>VLOOKUP($A24,[18]HISTOFEV23!$A$6:$CA$36,64,0)</f>
        <v>0</v>
      </c>
      <c r="AJ24" s="36">
        <f>VLOOKUP($A24,[18]HISTOFEV23!$A$6:$CA$36,65,0)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VLOOKUP($A25,[18]HISTOFEV23!$A$6:$BA$36,48,0)</f>
        <v>0</v>
      </c>
      <c r="F25" s="5">
        <f>MVTJANV23!F25+MVTJANV23!G25-MVTFEV23!E25+K25</f>
        <v>670678.97122084233</v>
      </c>
      <c r="G25" s="6">
        <v>918.95406849436654</v>
      </c>
      <c r="H25" s="6">
        <f t="shared" si="0"/>
        <v>671597.92528933671</v>
      </c>
      <c r="I25" s="36">
        <f>VLOOKUP($A25,[18]HISTOFEV23!$A$6:$AQ$40,22,0)</f>
        <v>0</v>
      </c>
      <c r="J25" s="36">
        <f>VLOOKUP($A25,[18]HISTOFEV23!$A$6:$AU$36,45,0)</f>
        <v>15000</v>
      </c>
      <c r="K25" s="36">
        <f t="shared" si="1"/>
        <v>9000</v>
      </c>
      <c r="L25" s="36">
        <f t="shared" si="3"/>
        <v>1000</v>
      </c>
      <c r="M25" s="36">
        <f t="shared" si="2"/>
        <v>1000</v>
      </c>
      <c r="N25" s="36">
        <f t="shared" si="4"/>
        <v>4000</v>
      </c>
      <c r="O25" s="36">
        <f>VLOOKUP($A25,[18]HISTOFEV23!$A$6:$AU$36,7,0)</f>
        <v>0</v>
      </c>
      <c r="P25" s="36">
        <f>VLOOKUP($A25,[18]HISTOFEV23!$A$6:$AU$36,23,0)</f>
        <v>0</v>
      </c>
      <c r="Q25" s="36">
        <f>VLOOKUP($A25,[18]HISTOFEV23!$A$6:$AU$36,46,0)</f>
        <v>0</v>
      </c>
      <c r="R25" s="36">
        <f>VLOOKUP($A25,[18]HISTOFEV23!$A$6:$AU$36,26,0)</f>
        <v>0</v>
      </c>
      <c r="S25" s="36">
        <f>VLOOKUP($A25,[18]HISTOFEV23!$A$6:$BG$36,58,0)</f>
        <v>0</v>
      </c>
      <c r="T25" s="36">
        <f>VLOOKUP($A25,[18]HISTOFEV23!$A$6:$AU$36,28,0)</f>
        <v>0</v>
      </c>
      <c r="U25" s="36">
        <f>VLOOKUP($A25,[18]HISTOFEV23!$A$6:$AU$36,19,0)</f>
        <v>0</v>
      </c>
      <c r="V25" s="36">
        <f>VLOOKUP($A25,[18]HISTOFEV23!$A$6:$AU$36,20,0)</f>
        <v>0</v>
      </c>
      <c r="W25" s="36">
        <f>VLOOKUP($A25,[18]HISTOFEV23!$A$6:$AU$36,27,0)</f>
        <v>0</v>
      </c>
      <c r="X25" s="36">
        <f>VLOOKUP($A25,[18]HISTOFEV23!$A$6:$BM$36,33,0)</f>
        <v>0</v>
      </c>
      <c r="Y25" s="36">
        <f>VLOOKUP($A25,[18]HISTOFEV23!$A$6:$BM$36,65,0)</f>
        <v>0</v>
      </c>
      <c r="Z25" s="36"/>
      <c r="AA25" s="36">
        <f>VLOOKUP($A25,[18]HISTOFEV23!$A$6:$AU$36,43,0)</f>
        <v>0</v>
      </c>
      <c r="AB25" s="36">
        <f>VLOOKUP($A25,[18]HISTOFEV23!$A$6:$AU$36,44,0)</f>
        <v>0</v>
      </c>
      <c r="AC25" s="36">
        <f>VLOOKUP($A25,[18]HISTOFEV23!$A$6:$AU$36,47,0)</f>
        <v>0</v>
      </c>
      <c r="AD25" s="36">
        <f>VLOOKUP(A25,[18]HISTOFEV23!$A$6:$BB$36,54,0)</f>
        <v>70000</v>
      </c>
      <c r="AE25" s="36">
        <f>VLOOKUP($A25,[18]HISTOFEV23!$A$6:$CA$36,60,0)</f>
        <v>0</v>
      </c>
      <c r="AF25" s="36">
        <f>VLOOKUP($A25,[18]HISTOFEV23!$A$6:$CA$36,61,0)</f>
        <v>0</v>
      </c>
      <c r="AG25" s="36">
        <f>VLOOKUP($A25,[18]HISTOFEV23!$A$6:$CA$36,62,0)</f>
        <v>0</v>
      </c>
      <c r="AH25" s="36">
        <f>VLOOKUP($A25,[18]HISTOFEV23!$A$6:$CA$36,63,0)</f>
        <v>0</v>
      </c>
      <c r="AI25" s="36">
        <f>VLOOKUP($A25,[18]HISTOFEV23!$A$6:$CA$36,64,0)</f>
        <v>0</v>
      </c>
      <c r="AJ25" s="36">
        <f>VLOOKUP($A25,[18]HISTOFEV23!$A$6:$CA$36,65,0)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VLOOKUP($A26,[18]HISTOFEV23!$A$6:$BA$36,48,0)</f>
        <v>0</v>
      </c>
      <c r="F26" s="5">
        <f>MVTJANV23!F26+MVTJANV23!G26-MVTFEV23!E26+K26</f>
        <v>656725.07685729465</v>
      </c>
      <c r="G26" s="6">
        <v>899.83465585886825</v>
      </c>
      <c r="H26" s="6">
        <f t="shared" si="0"/>
        <v>657624.91151315358</v>
      </c>
      <c r="I26" s="36">
        <f>VLOOKUP($A26,[18]HISTOFEV23!$A$6:$AQ$40,22,0)</f>
        <v>0</v>
      </c>
      <c r="J26" s="36">
        <f>VLOOKUP($A26,[18]HISTOFEV23!$A$6:$AU$36,45,0)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VLOOKUP($A26,[18]HISTOFEV23!$A$6:$AU$36,7,0)</f>
        <v>0</v>
      </c>
      <c r="P26" s="36">
        <f>VLOOKUP($A26,[18]HISTOFEV23!$A$6:$AU$36,23,0)</f>
        <v>0</v>
      </c>
      <c r="Q26" s="36">
        <f>VLOOKUP($A26,[18]HISTOFEV23!$A$6:$AU$36,46,0)</f>
        <v>0</v>
      </c>
      <c r="R26" s="36">
        <f>VLOOKUP($A26,[18]HISTOFEV23!$A$6:$AU$36,26,0)</f>
        <v>1000000</v>
      </c>
      <c r="S26" s="36">
        <f>VLOOKUP($A26,[18]HISTOFEV23!$A$6:$BG$36,58,0)</f>
        <v>30000</v>
      </c>
      <c r="T26" s="36">
        <f>VLOOKUP($A26,[18]HISTOFEV23!$A$6:$AU$36,28,0)</f>
        <v>0</v>
      </c>
      <c r="U26" s="36">
        <f>VLOOKUP($A26,[18]HISTOFEV23!$A$6:$AU$36,19,0)</f>
        <v>1000000</v>
      </c>
      <c r="V26" s="36" t="str">
        <f>VLOOKUP($A26,[18]HISTOFEV23!$A$6:$AU$36,20,0)</f>
        <v>BANQUE</v>
      </c>
      <c r="W26" s="36" t="str">
        <f>VLOOKUP($A26,[18]HISTOFEV23!$A$6:$AU$36,27,0)</f>
        <v>BANQUE</v>
      </c>
      <c r="X26" s="36">
        <f>VLOOKUP($A26,[18]HISTOFEV23!$A$6:$BM$36,33,0)</f>
        <v>0</v>
      </c>
      <c r="Y26" s="36">
        <f>VLOOKUP($A26,[18]HISTOFEV23!$A$6:$BM$36,65,0)</f>
        <v>0</v>
      </c>
      <c r="Z26" s="36"/>
      <c r="AA26" s="36">
        <f>VLOOKUP($A26,[18]HISTOFEV23!$A$6:$AU$36,43,0)</f>
        <v>0</v>
      </c>
      <c r="AB26" s="36">
        <f>VLOOKUP($A26,[18]HISTOFEV23!$A$6:$AU$36,44,0)</f>
        <v>0</v>
      </c>
      <c r="AC26" s="36">
        <f>VLOOKUP($A26,[18]HISTOFEV23!$A$6:$AU$36,47,0)</f>
        <v>0</v>
      </c>
      <c r="AD26" s="36">
        <f>VLOOKUP(A26,[18]HISTOFEV23!$A$6:$BB$36,54,0)</f>
        <v>70000</v>
      </c>
      <c r="AE26" s="36">
        <f>VLOOKUP($A26,[18]HISTOFEV23!$A$6:$CA$36,60,0)</f>
        <v>0</v>
      </c>
      <c r="AF26" s="36">
        <f>VLOOKUP($A26,[18]HISTOFEV23!$A$6:$CA$36,61,0)</f>
        <v>0</v>
      </c>
      <c r="AG26" s="36">
        <f>VLOOKUP($A26,[18]HISTOFEV23!$A$6:$CA$36,62,0)</f>
        <v>0</v>
      </c>
      <c r="AH26" s="36">
        <f>VLOOKUP($A26,[18]HISTOFEV23!$A$6:$CA$36,63,0)</f>
        <v>0</v>
      </c>
      <c r="AI26" s="36">
        <f>VLOOKUP($A26,[18]HISTOFEV23!$A$6:$CA$36,64,0)</f>
        <v>0</v>
      </c>
      <c r="AJ26" s="36">
        <f>VLOOKUP($A26,[18]HISTOFEV23!$A$6:$CA$36,65,0)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VLOOKUP($A27,[18]HISTOFEV23!$A$6:$BA$36,48,0)</f>
        <v>0</v>
      </c>
      <c r="F27" s="5">
        <f>MVTJANV23!F27+MVTJANV23!G27-MVTFEV23!E27+K27</f>
        <v>18000</v>
      </c>
      <c r="G27" s="6">
        <v>0</v>
      </c>
      <c r="H27" s="6">
        <f t="shared" si="0"/>
        <v>18000</v>
      </c>
      <c r="I27" s="36">
        <f>VLOOKUP($A27,[18]HISTOFEV23!$A$6:$AQ$40,22,0)</f>
        <v>0</v>
      </c>
      <c r="J27" s="36">
        <f>VLOOKUP($A27,[18]HISTOFEV23!$A$6:$AU$36,45,0)</f>
        <v>15000</v>
      </c>
      <c r="K27" s="36">
        <f t="shared" si="1"/>
        <v>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VLOOKUP($A27,[18]HISTOFEV23!$A$6:$AU$36,7,0)</f>
        <v>0</v>
      </c>
      <c r="P27" s="36">
        <f>VLOOKUP($A27,[18]HISTOFEV23!$A$6:$AU$36,23,0)</f>
        <v>0</v>
      </c>
      <c r="Q27" s="36">
        <f>VLOOKUP($A27,[18]HISTOFEV23!$A$6:$AU$36,46,0)</f>
        <v>0</v>
      </c>
      <c r="R27" s="36">
        <f>VLOOKUP($A27,[18]HISTOFEV23!$A$6:$AU$36,26,0)</f>
        <v>0</v>
      </c>
      <c r="S27" s="36">
        <f>VLOOKUP($A27,[18]HISTOFEV23!$A$6:$BG$36,58,0)</f>
        <v>0</v>
      </c>
      <c r="T27" s="36">
        <f>VLOOKUP($A27,[18]HISTOFEV23!$A$6:$AU$36,28,0)</f>
        <v>0</v>
      </c>
      <c r="U27" s="36">
        <f>VLOOKUP($A27,[18]HISTOFEV23!$A$6:$AU$36,19,0)</f>
        <v>0</v>
      </c>
      <c r="V27" s="36">
        <f>VLOOKUP($A27,[18]HISTOFEV23!$A$6:$AU$36,20,0)</f>
        <v>0</v>
      </c>
      <c r="W27" s="36">
        <f>VLOOKUP($A27,[18]HISTOFEV23!$A$6:$AU$36,27,0)</f>
        <v>0</v>
      </c>
      <c r="X27" s="36">
        <f>VLOOKUP($A27,[18]HISTOFEV23!$A$6:$BM$36,33,0)</f>
        <v>0</v>
      </c>
      <c r="Y27" s="36">
        <f>VLOOKUP($A27,[18]HISTOFEV23!$A$6:$BM$36,65,0)</f>
        <v>0</v>
      </c>
      <c r="Z27" s="36"/>
      <c r="AA27" s="36">
        <f>VLOOKUP($A27,[18]HISTOFEV23!$A$6:$AU$36,43,0)</f>
        <v>0</v>
      </c>
      <c r="AB27" s="36">
        <f>VLOOKUP($A27,[18]HISTOFEV23!$A$6:$AU$36,44,0)</f>
        <v>0</v>
      </c>
      <c r="AC27" s="36">
        <f>VLOOKUP($A27,[18]HISTOFEV23!$A$6:$AU$36,47,0)</f>
        <v>0</v>
      </c>
      <c r="AD27" s="36">
        <f>VLOOKUP(A27,[18]HISTOFEV23!$A$6:$BB$36,54,0)</f>
        <v>0</v>
      </c>
      <c r="AE27" s="36">
        <f>VLOOKUP($A27,[18]HISTOFEV23!$A$6:$CA$36,60,0)</f>
        <v>0</v>
      </c>
      <c r="AF27" s="36">
        <f>VLOOKUP($A27,[18]HISTOFEV23!$A$6:$CA$36,61,0)</f>
        <v>0</v>
      </c>
      <c r="AG27" s="36">
        <f>VLOOKUP($A27,[18]HISTOFEV23!$A$6:$CA$36,62,0)</f>
        <v>0</v>
      </c>
      <c r="AH27" s="36">
        <f>VLOOKUP($A27,[18]HISTOFEV23!$A$6:$CA$36,63,0)</f>
        <v>0</v>
      </c>
      <c r="AI27" s="36">
        <f>VLOOKUP($A27,[18]HISTOFEV23!$A$6:$CA$36,64,0)</f>
        <v>0</v>
      </c>
      <c r="AJ27" s="36">
        <f>VLOOKUP($A27,[18]HISTOFEV23!$A$6:$CA$36,65,0)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VLOOKUP($A28,[18]HISTOFEV23!$A$6:$BA$36,48,0)</f>
        <v>0</v>
      </c>
      <c r="F28" s="5">
        <f>MVTJANV23!F28+MVTJANV23!G28-MVTFEV23!E28+K28</f>
        <v>678927.88948490063</v>
      </c>
      <c r="G28" s="6">
        <v>930.25661013457216</v>
      </c>
      <c r="H28" s="6">
        <f t="shared" si="0"/>
        <v>679858.14609503525</v>
      </c>
      <c r="I28" s="36">
        <f>VLOOKUP($A28,[18]HISTOFEV23!$A$6:$AQ$40,22,0)</f>
        <v>0</v>
      </c>
      <c r="J28" s="36">
        <f>VLOOKUP($A28,[18]HISTOFEV23!$A$6:$AU$36,45,0)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VLOOKUP($A28,[18]HISTOFEV23!$A$6:$AU$36,7,0)</f>
        <v>0</v>
      </c>
      <c r="P28" s="36">
        <f>VLOOKUP($A28,[18]HISTOFEV23!$A$6:$AU$36,23,0)</f>
        <v>0</v>
      </c>
      <c r="Q28" s="36">
        <f>VLOOKUP($A28,[18]HISTOFEV23!$A$6:$AU$36,46,0)</f>
        <v>0</v>
      </c>
      <c r="R28" s="36">
        <f>VLOOKUP($A28,[18]HISTOFEV23!$A$6:$AU$36,26,0)</f>
        <v>0</v>
      </c>
      <c r="S28" s="36">
        <f>VLOOKUP($A28,[18]HISTOFEV23!$A$6:$BG$36,58,0)</f>
        <v>0</v>
      </c>
      <c r="T28" s="36">
        <f>VLOOKUP($A28,[18]HISTOFEV23!$A$6:$AU$36,28,0)</f>
        <v>0</v>
      </c>
      <c r="U28" s="36">
        <f>VLOOKUP($A28,[18]HISTOFEV23!$A$6:$AU$36,19,0)</f>
        <v>0</v>
      </c>
      <c r="V28" s="36">
        <f>VLOOKUP($A28,[18]HISTOFEV23!$A$6:$AU$36,20,0)</f>
        <v>0</v>
      </c>
      <c r="W28" s="36">
        <f>VLOOKUP($A28,[18]HISTOFEV23!$A$6:$AU$36,27,0)</f>
        <v>0</v>
      </c>
      <c r="X28" s="36">
        <f>VLOOKUP($A28,[18]HISTOFEV23!$A$6:$BM$36,33,0)</f>
        <v>0</v>
      </c>
      <c r="Y28" s="36">
        <f>VLOOKUP($A28,[18]HISTOFEV23!$A$6:$BM$36,65,0)</f>
        <v>0</v>
      </c>
      <c r="Z28" s="36"/>
      <c r="AA28" s="36">
        <f>VLOOKUP($A28,[18]HISTOFEV23!$A$6:$AU$36,43,0)</f>
        <v>0</v>
      </c>
      <c r="AB28" s="36">
        <f>VLOOKUP($A28,[18]HISTOFEV23!$A$6:$AU$36,44,0)</f>
        <v>0</v>
      </c>
      <c r="AC28" s="36">
        <f>VLOOKUP($A28,[18]HISTOFEV23!$A$6:$AU$36,47,0)</f>
        <v>0</v>
      </c>
      <c r="AD28" s="36">
        <f>VLOOKUP(A28,[18]HISTOFEV23!$A$6:$BB$36,54,0)</f>
        <v>0</v>
      </c>
      <c r="AE28" s="36">
        <f>VLOOKUP($A28,[18]HISTOFEV23!$A$6:$CA$36,60,0)</f>
        <v>0</v>
      </c>
      <c r="AF28" s="36">
        <f>VLOOKUP($A28,[18]HISTOFEV23!$A$6:$CA$36,61,0)</f>
        <v>0</v>
      </c>
      <c r="AG28" s="36">
        <f>VLOOKUP($A28,[18]HISTOFEV23!$A$6:$CA$36,62,0)</f>
        <v>0</v>
      </c>
      <c r="AH28" s="36">
        <f>VLOOKUP($A28,[18]HISTOFEV23!$A$6:$CA$36,63,0)</f>
        <v>0</v>
      </c>
      <c r="AI28" s="36">
        <f>VLOOKUP($A28,[18]HISTOFEV23!$A$6:$CA$36,64,0)</f>
        <v>0</v>
      </c>
      <c r="AJ28" s="36">
        <f>VLOOKUP($A28,[18]HISTOFEV23!$A$6:$CA$36,65,0)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VLOOKUP($A29,[18]HISTOFEV23!$A$6:$BA$36,48,0)</f>
        <v>0</v>
      </c>
      <c r="F29" s="5">
        <f>MVTJANV23!F29+MVTJANV23!G29-MVTFEV23!E29+K29</f>
        <v>18000</v>
      </c>
      <c r="G29" s="6">
        <v>0</v>
      </c>
      <c r="H29" s="6">
        <f t="shared" si="0"/>
        <v>18000</v>
      </c>
      <c r="I29" s="36">
        <f>VLOOKUP($A29,[18]HISTOFEV23!$A$6:$AQ$40,22,0)</f>
        <v>0</v>
      </c>
      <c r="J29" s="36">
        <f>VLOOKUP($A29,[18]HISTOFEV23!$A$6:$AU$36,45,0)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VLOOKUP($A29,[18]HISTOFEV23!$A$6:$AU$36,7,0)</f>
        <v>0</v>
      </c>
      <c r="P29" s="36">
        <f>VLOOKUP($A29,[18]HISTOFEV23!$A$6:$AU$36,23,0)</f>
        <v>0</v>
      </c>
      <c r="Q29" s="36">
        <f>VLOOKUP($A29,[18]HISTOFEV23!$A$6:$AU$36,46,0)</f>
        <v>0</v>
      </c>
      <c r="R29" s="36">
        <f>VLOOKUP($A29,[18]HISTOFEV23!$A$6:$AU$36,26,0)</f>
        <v>0</v>
      </c>
      <c r="S29" s="36">
        <f>VLOOKUP($A29,[18]HISTOFEV23!$A$6:$BG$36,58,0)</f>
        <v>0</v>
      </c>
      <c r="T29" s="36">
        <f>VLOOKUP($A29,[18]HISTOFEV23!$A$6:$AU$36,28,0)</f>
        <v>0</v>
      </c>
      <c r="U29" s="36">
        <f>VLOOKUP($A29,[18]HISTOFEV23!$A$6:$AU$36,19,0)</f>
        <v>0</v>
      </c>
      <c r="V29" s="36">
        <f>VLOOKUP($A29,[18]HISTOFEV23!$A$6:$AU$36,20,0)</f>
        <v>0</v>
      </c>
      <c r="W29" s="36">
        <f>VLOOKUP($A29,[18]HISTOFEV23!$A$6:$AU$36,27,0)</f>
        <v>0</v>
      </c>
      <c r="X29" s="36">
        <f>VLOOKUP($A29,[18]HISTOFEV23!$A$6:$BM$36,33,0)</f>
        <v>0</v>
      </c>
      <c r="Y29" s="36">
        <f>VLOOKUP($A29,[18]HISTOFEV23!$A$6:$BM$36,65,0)</f>
        <v>0</v>
      </c>
      <c r="Z29" s="36"/>
      <c r="AA29" s="36">
        <f>VLOOKUP($A29,[18]HISTOFEV23!$A$6:$AU$36,43,0)</f>
        <v>0</v>
      </c>
      <c r="AB29" s="36">
        <f>VLOOKUP($A29,[18]HISTOFEV23!$A$6:$AU$36,44,0)</f>
        <v>0</v>
      </c>
      <c r="AC29" s="36">
        <f>VLOOKUP($A29,[18]HISTOFEV23!$A$6:$AU$36,47,0)</f>
        <v>0</v>
      </c>
      <c r="AD29" s="36">
        <f>VLOOKUP(A29,[18]HISTOFEV23!$A$6:$BB$36,54,0)</f>
        <v>0</v>
      </c>
      <c r="AE29" s="36">
        <f>VLOOKUP($A29,[18]HISTOFEV23!$A$6:$CA$36,60,0)</f>
        <v>0</v>
      </c>
      <c r="AF29" s="36">
        <f>VLOOKUP($A29,[18]HISTOFEV23!$A$6:$CA$36,61,0)</f>
        <v>0</v>
      </c>
      <c r="AG29" s="36">
        <f>VLOOKUP($A29,[18]HISTOFEV23!$A$6:$CA$36,62,0)</f>
        <v>0</v>
      </c>
      <c r="AH29" s="36">
        <f>VLOOKUP($A29,[18]HISTOFEV23!$A$6:$CA$36,63,0)</f>
        <v>0</v>
      </c>
      <c r="AI29" s="36">
        <f>VLOOKUP($A29,[18]HISTOFEV23!$A$6:$CA$36,64,0)</f>
        <v>0</v>
      </c>
      <c r="AJ29" s="36">
        <f>VLOOKUP($A29,[18]HISTOFEV23!$A$6:$CA$36,65,0)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VLOOKUP($A30,[18]HISTOFEV23!$A$6:$BA$36,48,0)</f>
        <v>0</v>
      </c>
      <c r="F30" s="5">
        <f>MVTJANV23!F30+MVTJANV23!G30-MVTFEV23!E30+K30</f>
        <v>869617.95036181086</v>
      </c>
      <c r="G30" s="6">
        <v>1191.5372149898171</v>
      </c>
      <c r="H30" s="6">
        <f t="shared" si="0"/>
        <v>870809.48757680063</v>
      </c>
      <c r="I30" s="36">
        <f>VLOOKUP($A30,[18]HISTOFEV23!$A$6:$AQ$40,22,0)</f>
        <v>0</v>
      </c>
      <c r="J30" s="36">
        <f>VLOOKUP($A30,[18]HISTOFEV23!$A$6:$AU$36,45,0)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VLOOKUP($A30,[18]HISTOFEV23!$A$6:$AU$36,7,0)</f>
        <v>0</v>
      </c>
      <c r="P30" s="36">
        <f>VLOOKUP($A30,[18]HISTOFEV23!$A$6:$AU$36,23,0)</f>
        <v>0</v>
      </c>
      <c r="Q30" s="36">
        <f>VLOOKUP($A30,[18]HISTOFEV23!$A$6:$AU$36,46,0)</f>
        <v>0</v>
      </c>
      <c r="R30" s="36">
        <f>VLOOKUP($A30,[18]HISTOFEV23!$A$6:$AU$36,26,0)</f>
        <v>0</v>
      </c>
      <c r="S30" s="36">
        <f>VLOOKUP($A30,[18]HISTOFEV23!$A$6:$BG$36,58,0)</f>
        <v>0</v>
      </c>
      <c r="T30" s="36">
        <f>VLOOKUP($A30,[18]HISTOFEV23!$A$6:$AU$36,28,0)</f>
        <v>0</v>
      </c>
      <c r="U30" s="36">
        <f>VLOOKUP($A30,[18]HISTOFEV23!$A$6:$AU$36,19,0)</f>
        <v>0</v>
      </c>
      <c r="V30" s="36">
        <f>VLOOKUP($A30,[18]HISTOFEV23!$A$6:$AU$36,20,0)</f>
        <v>0</v>
      </c>
      <c r="W30" s="36">
        <f>VLOOKUP($A30,[18]HISTOFEV23!$A$6:$AU$36,27,0)</f>
        <v>0</v>
      </c>
      <c r="X30" s="36">
        <f>VLOOKUP($A30,[18]HISTOFEV23!$A$6:$BM$36,33,0)</f>
        <v>0</v>
      </c>
      <c r="Y30" s="36">
        <f>VLOOKUP($A30,[18]HISTOFEV23!$A$6:$BM$36,65,0)</f>
        <v>0</v>
      </c>
      <c r="Z30" s="36"/>
      <c r="AA30" s="36">
        <f>VLOOKUP($A30,[18]HISTOFEV23!$A$6:$AU$36,43,0)</f>
        <v>0</v>
      </c>
      <c r="AB30" s="36">
        <f>VLOOKUP($A30,[18]HISTOFEV23!$A$6:$AU$36,44,0)</f>
        <v>0</v>
      </c>
      <c r="AC30" s="36">
        <f>VLOOKUP($A30,[18]HISTOFEV23!$A$6:$AU$36,47,0)</f>
        <v>0</v>
      </c>
      <c r="AD30" s="36">
        <f>VLOOKUP(A30,[18]HISTOFEV23!$A$6:$BB$36,54,0)</f>
        <v>0</v>
      </c>
      <c r="AE30" s="36">
        <f>VLOOKUP($A30,[18]HISTOFEV23!$A$6:$CA$36,60,0)</f>
        <v>0</v>
      </c>
      <c r="AF30" s="36">
        <f>VLOOKUP($A30,[18]HISTOFEV23!$A$6:$CA$36,61,0)</f>
        <v>0</v>
      </c>
      <c r="AG30" s="36">
        <f>VLOOKUP($A30,[18]HISTOFEV23!$A$6:$CA$36,62,0)</f>
        <v>0</v>
      </c>
      <c r="AH30" s="36">
        <f>VLOOKUP($A30,[18]HISTOFEV23!$A$6:$CA$36,63,0)</f>
        <v>0</v>
      </c>
      <c r="AI30" s="36">
        <f>VLOOKUP($A30,[18]HISTOFEV23!$A$6:$CA$36,64,0)</f>
        <v>0</v>
      </c>
      <c r="AJ30" s="36">
        <f>VLOOKUP($A30,[18]HISTOFEV23!$A$6:$CA$36,65,0)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VLOOKUP($A31,[18]HISTOFEV23!$A$6:$BA$36,48,0)</f>
        <v>0</v>
      </c>
      <c r="F31" s="5">
        <f>MVTJANV23!F31+MVTJANV23!G31-MVTFEV23!E31+K31</f>
        <v>876301.0246488438</v>
      </c>
      <c r="G31" s="6">
        <v>1200.694261161907</v>
      </c>
      <c r="H31" s="6">
        <f t="shared" si="0"/>
        <v>877501.71891000576</v>
      </c>
      <c r="I31" s="36">
        <f>VLOOKUP($A31,[18]HISTOFEV23!$A$6:$AQ$40,22,0)</f>
        <v>0</v>
      </c>
      <c r="J31" s="36">
        <f>VLOOKUP($A31,[18]HISTOFEV23!$A$6:$AU$36,45,0)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VLOOKUP($A31,[18]HISTOFEV23!$A$6:$AU$36,7,0)</f>
        <v>0</v>
      </c>
      <c r="P31" s="36">
        <f>VLOOKUP($A31,[18]HISTOFEV23!$A$6:$AU$36,23,0)</f>
        <v>0</v>
      </c>
      <c r="Q31" s="36">
        <f>VLOOKUP($A31,[18]HISTOFEV23!$A$6:$AU$36,46,0)</f>
        <v>0</v>
      </c>
      <c r="R31" s="36">
        <f>VLOOKUP($A31,[18]HISTOFEV23!$A$6:$AU$36,26,0)</f>
        <v>0</v>
      </c>
      <c r="S31" s="36">
        <f>VLOOKUP($A31,[18]HISTOFEV23!$A$6:$BG$36,58,0)</f>
        <v>0</v>
      </c>
      <c r="T31" s="36">
        <f>VLOOKUP($A31,[18]HISTOFEV23!$A$6:$AU$36,28,0)</f>
        <v>0</v>
      </c>
      <c r="U31" s="36">
        <f>VLOOKUP($A31,[18]HISTOFEV23!$A$6:$AU$36,19,0)</f>
        <v>0</v>
      </c>
      <c r="V31" s="36">
        <f>VLOOKUP($A31,[18]HISTOFEV23!$A$6:$AU$36,20,0)</f>
        <v>0</v>
      </c>
      <c r="W31" s="36">
        <f>VLOOKUP($A31,[18]HISTOFEV23!$A$6:$AU$36,27,0)</f>
        <v>0</v>
      </c>
      <c r="X31" s="36">
        <f>VLOOKUP($A31,[18]HISTOFEV23!$A$6:$BM$36,33,0)</f>
        <v>0</v>
      </c>
      <c r="Y31" s="36">
        <f>VLOOKUP($A31,[18]HISTOFEV23!$A$6:$BM$36,65,0)</f>
        <v>0</v>
      </c>
      <c r="Z31" s="36"/>
      <c r="AA31" s="36">
        <f>VLOOKUP($A31,[18]HISTOFEV23!$A$6:$AU$36,43,0)</f>
        <v>0</v>
      </c>
      <c r="AB31" s="36">
        <f>VLOOKUP($A31,[18]HISTOFEV23!$A$6:$AU$36,44,0)</f>
        <v>0</v>
      </c>
      <c r="AC31" s="36">
        <f>VLOOKUP($A31,[18]HISTOFEV23!$A$6:$AU$36,47,0)</f>
        <v>0</v>
      </c>
      <c r="AD31" s="36">
        <f>VLOOKUP(A31,[18]HISTOFEV23!$A$6:$BB$36,54,0)</f>
        <v>0</v>
      </c>
      <c r="AE31" s="36">
        <f>VLOOKUP($A31,[18]HISTOFEV23!$A$6:$CA$36,60,0)</f>
        <v>0</v>
      </c>
      <c r="AF31" s="36">
        <f>VLOOKUP($A31,[18]HISTOFEV23!$A$6:$CA$36,61,0)</f>
        <v>0</v>
      </c>
      <c r="AG31" s="36">
        <f>VLOOKUP($A31,[18]HISTOFEV23!$A$6:$CA$36,62,0)</f>
        <v>0</v>
      </c>
      <c r="AH31" s="36">
        <f>VLOOKUP($A31,[18]HISTOFEV23!$A$6:$CA$36,63,0)</f>
        <v>0</v>
      </c>
      <c r="AI31" s="36">
        <f>VLOOKUP($A31,[18]HISTOFEV23!$A$6:$CA$36,64,0)</f>
        <v>0</v>
      </c>
      <c r="AJ31" s="36">
        <f>VLOOKUP($A31,[18]HISTOFEV23!$A$6:$CA$36,65,0)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VLOOKUP($A32,[18]HISTOFEV23!$A$6:$BA$36,48,0)</f>
        <v>0</v>
      </c>
      <c r="F32" s="5">
        <f>MVTJANV23!F32+MVTJANV23!G32-MVTFEV23!E32+K32</f>
        <v>660588.4159420582</v>
      </c>
      <c r="G32" s="6">
        <v>905.12814398397563</v>
      </c>
      <c r="H32" s="6">
        <f t="shared" si="0"/>
        <v>661493.54408604221</v>
      </c>
      <c r="I32" s="36">
        <f>VLOOKUP($A32,[18]HISTOFEV23!$A$6:$AQ$40,22,0)</f>
        <v>0</v>
      </c>
      <c r="J32" s="36">
        <f>VLOOKUP($A32,[18]HISTOFEV23!$A$6:$AU$36,45,0)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VLOOKUP($A32,[18]HISTOFEV23!$A$6:$AU$36,7,0)</f>
        <v>0</v>
      </c>
      <c r="P32" s="36">
        <f>VLOOKUP($A32,[18]HISTOFEV23!$A$6:$AU$36,23,0)</f>
        <v>0</v>
      </c>
      <c r="Q32" s="36">
        <f>VLOOKUP($A32,[18]HISTOFEV23!$A$6:$AU$36,46,0)</f>
        <v>0</v>
      </c>
      <c r="R32" s="36">
        <f>VLOOKUP($A32,[18]HISTOFEV23!$A$6:$AU$36,26,0)</f>
        <v>0</v>
      </c>
      <c r="S32" s="36">
        <f>VLOOKUP($A32,[18]HISTOFEV23!$A$6:$BG$36,58,0)</f>
        <v>0</v>
      </c>
      <c r="T32" s="36">
        <f>VLOOKUP($A32,[18]HISTOFEV23!$A$6:$AU$36,28,0)</f>
        <v>0</v>
      </c>
      <c r="U32" s="36">
        <f>VLOOKUP($A32,[18]HISTOFEV23!$A$6:$AU$36,19,0)</f>
        <v>0</v>
      </c>
      <c r="V32" s="36">
        <f>VLOOKUP($A32,[18]HISTOFEV23!$A$6:$AU$36,20,0)</f>
        <v>0</v>
      </c>
      <c r="W32" s="36">
        <f>VLOOKUP($A32,[18]HISTOFEV23!$A$6:$AU$36,27,0)</f>
        <v>0</v>
      </c>
      <c r="X32" s="36">
        <f>VLOOKUP($A32,[18]HISTOFEV23!$A$6:$BM$36,33,0)</f>
        <v>0</v>
      </c>
      <c r="Y32" s="36">
        <f>VLOOKUP($A32,[18]HISTOFEV23!$A$6:$BM$36,65,0)</f>
        <v>0</v>
      </c>
      <c r="Z32" s="36"/>
      <c r="AA32" s="36">
        <f>VLOOKUP($A32,[18]HISTOFEV23!$A$6:$AU$36,43,0)</f>
        <v>0</v>
      </c>
      <c r="AB32" s="36">
        <f>VLOOKUP($A32,[18]HISTOFEV23!$A$6:$AU$36,44,0)</f>
        <v>0</v>
      </c>
      <c r="AC32" s="36">
        <f>VLOOKUP($A32,[18]HISTOFEV23!$A$6:$AU$36,47,0)</f>
        <v>0</v>
      </c>
      <c r="AD32" s="36">
        <f>VLOOKUP(A32,[18]HISTOFEV23!$A$6:$BB$36,54,0)</f>
        <v>0</v>
      </c>
      <c r="AE32" s="36">
        <f>VLOOKUP($A32,[18]HISTOFEV23!$A$6:$CA$36,60,0)</f>
        <v>0</v>
      </c>
      <c r="AF32" s="36">
        <f>VLOOKUP($A32,[18]HISTOFEV23!$A$6:$CA$36,61,0)</f>
        <v>0</v>
      </c>
      <c r="AG32" s="36">
        <f>VLOOKUP($A32,[18]HISTOFEV23!$A$6:$CA$36,62,0)</f>
        <v>0</v>
      </c>
      <c r="AH32" s="36">
        <f>VLOOKUP($A32,[18]HISTOFEV23!$A$6:$CA$36,63,0)</f>
        <v>0</v>
      </c>
      <c r="AI32" s="36">
        <f>VLOOKUP($A32,[18]HISTOFEV23!$A$6:$CA$36,64,0)</f>
        <v>0</v>
      </c>
      <c r="AJ32" s="36">
        <f>VLOOKUP($A32,[18]HISTOFEV23!$A$6:$CA$36,65,0)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VLOOKUP($A33,[18]HISTOFEV23!$A$6:$BA$36,48,0)</f>
        <v>0</v>
      </c>
      <c r="F33" s="5">
        <f>MVTJANV23!F33+MVTJANV23!G33-MVTFEV23!E33+K33</f>
        <v>18000</v>
      </c>
      <c r="G33" s="6">
        <v>0</v>
      </c>
      <c r="H33" s="6">
        <f t="shared" si="0"/>
        <v>18000</v>
      </c>
      <c r="I33" s="36">
        <f>VLOOKUP($A33,[18]HISTOFEV23!$A$6:$AQ$40,22,0)</f>
        <v>0</v>
      </c>
      <c r="J33" s="36">
        <f>VLOOKUP($A33,[18]HISTOFEV23!$A$6:$AU$36,45,0)</f>
        <v>15000</v>
      </c>
      <c r="K33" s="36">
        <f t="shared" si="1"/>
        <v>9000</v>
      </c>
      <c r="L33" s="36">
        <f t="shared" si="3"/>
        <v>1000</v>
      </c>
      <c r="M33" s="36">
        <f t="shared" si="2"/>
        <v>1000</v>
      </c>
      <c r="N33" s="36">
        <f t="shared" si="4"/>
        <v>4000</v>
      </c>
      <c r="O33" s="36">
        <f>VLOOKUP($A33,[18]HISTOFEV23!$A$6:$AU$36,7,0)</f>
        <v>0</v>
      </c>
      <c r="P33" s="36">
        <f>VLOOKUP($A33,[18]HISTOFEV23!$A$6:$AU$36,23,0)</f>
        <v>0</v>
      </c>
      <c r="Q33" s="36">
        <f>VLOOKUP($A33,[18]HISTOFEV23!$A$6:$AU$36,46,0)</f>
        <v>0</v>
      </c>
      <c r="R33" s="36">
        <f>VLOOKUP($A33,[18]HISTOFEV23!$A$6:$AU$36,26,0)</f>
        <v>0</v>
      </c>
      <c r="S33" s="36">
        <f>VLOOKUP($A33,[18]HISTOFEV23!$A$6:$BG$36,58,0)</f>
        <v>0</v>
      </c>
      <c r="T33" s="36">
        <f>VLOOKUP($A33,[18]HISTOFEV23!$A$6:$AU$36,28,0)</f>
        <v>0</v>
      </c>
      <c r="U33" s="36">
        <f>VLOOKUP($A33,[18]HISTOFEV23!$A$6:$AU$36,19,0)</f>
        <v>0</v>
      </c>
      <c r="V33" s="36">
        <f>VLOOKUP($A33,[18]HISTOFEV23!$A$6:$AU$36,20,0)</f>
        <v>0</v>
      </c>
      <c r="W33" s="36">
        <f>VLOOKUP($A33,[18]HISTOFEV23!$A$6:$AU$36,27,0)</f>
        <v>0</v>
      </c>
      <c r="X33" s="36">
        <f>VLOOKUP($A33,[18]HISTOFEV23!$A$6:$BM$36,33,0)</f>
        <v>0</v>
      </c>
      <c r="Y33" s="36">
        <f>VLOOKUP($A33,[18]HISTOFEV23!$A$6:$BM$36,65,0)</f>
        <v>0</v>
      </c>
      <c r="Z33" s="36"/>
      <c r="AA33" s="36">
        <f>VLOOKUP($A33,[18]HISTOFEV23!$A$6:$AU$36,43,0)</f>
        <v>0</v>
      </c>
      <c r="AB33" s="36">
        <f>VLOOKUP($A33,[18]HISTOFEV23!$A$6:$AU$36,44,0)</f>
        <v>0</v>
      </c>
      <c r="AC33" s="36">
        <f>VLOOKUP($A33,[18]HISTOFEV23!$A$6:$AU$36,47,0)</f>
        <v>0</v>
      </c>
      <c r="AD33" s="36">
        <f>VLOOKUP(A33,[18]HISTOFEV23!$A$6:$BB$36,54,0)</f>
        <v>0</v>
      </c>
      <c r="AE33" s="36">
        <f>VLOOKUP($A33,[18]HISTOFEV23!$A$6:$CA$36,60,0)</f>
        <v>0</v>
      </c>
      <c r="AF33" s="36">
        <f>VLOOKUP($A33,[18]HISTOFEV23!$A$6:$CA$36,61,0)</f>
        <v>0</v>
      </c>
      <c r="AG33" s="36">
        <f>VLOOKUP($A33,[18]HISTOFEV23!$A$6:$CA$36,62,0)</f>
        <v>0</v>
      </c>
      <c r="AH33" s="36">
        <f>VLOOKUP($A33,[18]HISTOFEV23!$A$6:$CA$36,63,0)</f>
        <v>0</v>
      </c>
      <c r="AI33" s="36">
        <f>VLOOKUP($A33,[18]HISTOFEV23!$A$6:$CA$36,64,0)</f>
        <v>0</v>
      </c>
      <c r="AJ33" s="36">
        <f>VLOOKUP($A33,[18]HISTOFEV23!$A$6:$CA$36,65,0)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VLOOKUP($A34,[18]HISTOFEV23!$A$6:$BA$36,48,0)</f>
        <v>0</v>
      </c>
      <c r="F34" s="5">
        <f>MVTJANV23!F34+MVTJANV23!G34-MVTFEV23!E34+K34</f>
        <v>18000</v>
      </c>
      <c r="G34" s="6">
        <v>0</v>
      </c>
      <c r="H34" s="6">
        <f t="shared" si="0"/>
        <v>18000</v>
      </c>
      <c r="I34" s="36">
        <f>VLOOKUP($A34,[18]HISTOFEV23!$A$6:$AQ$40,22,0)</f>
        <v>0</v>
      </c>
      <c r="J34" s="36">
        <f>VLOOKUP($A34,[18]HISTOFEV23!$A$6:$AU$36,45,0)</f>
        <v>15000</v>
      </c>
      <c r="K34" s="36">
        <f t="shared" si="1"/>
        <v>9000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VLOOKUP($A34,[18]HISTOFEV23!$A$6:$AU$36,7,0)</f>
        <v>0</v>
      </c>
      <c r="P34" s="36">
        <f>VLOOKUP($A34,[18]HISTOFEV23!$A$6:$AU$36,23,0)</f>
        <v>0</v>
      </c>
      <c r="Q34" s="36">
        <f>VLOOKUP($A34,[18]HISTOFEV23!$A$6:$AU$36,46,0)</f>
        <v>60000</v>
      </c>
      <c r="R34" s="36">
        <f>VLOOKUP($A34,[18]HISTOFEV23!$A$6:$AU$36,26,0)</f>
        <v>0</v>
      </c>
      <c r="S34" s="36">
        <f>VLOOKUP($A34,[18]HISTOFEV23!$A$6:$BG$36,58,0)</f>
        <v>0</v>
      </c>
      <c r="T34" s="36">
        <f>VLOOKUP($A34,[18]HISTOFEV23!$A$6:$AU$36,28,0)</f>
        <v>0</v>
      </c>
      <c r="U34" s="36">
        <f>VLOOKUP($A34,[18]HISTOFEV23!$A$6:$AU$36,19,0)</f>
        <v>0</v>
      </c>
      <c r="V34" s="36">
        <f>VLOOKUP($A34,[18]HISTOFEV23!$A$6:$AU$36,20,0)</f>
        <v>0</v>
      </c>
      <c r="W34" s="36">
        <f>VLOOKUP($A34,[18]HISTOFEV23!$A$6:$AU$36,27,0)</f>
        <v>0</v>
      </c>
      <c r="X34" s="36">
        <f>VLOOKUP($A34,[18]HISTOFEV23!$A$6:$BM$36,33,0)</f>
        <v>0</v>
      </c>
      <c r="Y34" s="36">
        <f>VLOOKUP($A34,[18]HISTOFEV23!$A$6:$BM$36,65,0)</f>
        <v>0</v>
      </c>
      <c r="Z34" s="36"/>
      <c r="AA34" s="36">
        <f>VLOOKUP($A34,[18]HISTOFEV23!$A$6:$AU$36,43,0)</f>
        <v>0</v>
      </c>
      <c r="AB34" s="36">
        <f>VLOOKUP($A34,[18]HISTOFEV23!$A$6:$AU$36,44,0)</f>
        <v>0</v>
      </c>
      <c r="AC34" s="36">
        <f>VLOOKUP($A34,[18]HISTOFEV23!$A$6:$AU$36,47,0)</f>
        <v>0</v>
      </c>
      <c r="AD34" s="36">
        <f>VLOOKUP(A34,[18]HISTOFEV23!$A$6:$BB$36,54,0)</f>
        <v>0</v>
      </c>
      <c r="AE34" s="36">
        <f>VLOOKUP($A34,[18]HISTOFEV23!$A$6:$CA$36,60,0)</f>
        <v>0</v>
      </c>
      <c r="AF34" s="36">
        <f>VLOOKUP($A34,[18]HISTOFEV23!$A$6:$CA$36,61,0)</f>
        <v>0</v>
      </c>
      <c r="AG34" s="36">
        <f>VLOOKUP($A34,[18]HISTOFEV23!$A$6:$CA$36,62,0)</f>
        <v>0</v>
      </c>
      <c r="AH34" s="36">
        <f>VLOOKUP($A34,[18]HISTOFEV23!$A$6:$CA$36,63,0)</f>
        <v>0</v>
      </c>
      <c r="AI34" s="36">
        <f>VLOOKUP($A34,[18]HISTOFEV23!$A$6:$CA$36,64,0)</f>
        <v>0</v>
      </c>
      <c r="AJ34" s="36">
        <f>VLOOKUP($A34,[18]HISTOFEV23!$A$6:$CA$36,65,0)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VLOOKUP($A35,[18]HISTOFEV23!$A$6:$BA$36,48,0)</f>
        <v>0</v>
      </c>
      <c r="F35" s="5">
        <f>MVTJANV23!F35+MVTJANV23!G35-MVTFEV23!E35+K35</f>
        <v>1628953.5168487167</v>
      </c>
      <c r="G35" s="6">
        <v>2231.9671943365911</v>
      </c>
      <c r="H35" s="6">
        <f t="shared" si="0"/>
        <v>1631185.4840430534</v>
      </c>
      <c r="I35" s="36">
        <f>VLOOKUP($A35,[18]HISTOFEV23!$A$6:$AQ$40,22,0)</f>
        <v>0</v>
      </c>
      <c r="J35" s="36">
        <f>VLOOKUP($A35,[18]HISTOFEV23!$A$6:$AU$36,45,0)</f>
        <v>15000</v>
      </c>
      <c r="K35" s="36">
        <f t="shared" si="1"/>
        <v>9000</v>
      </c>
      <c r="L35" s="36">
        <f t="shared" si="3"/>
        <v>1000</v>
      </c>
      <c r="M35" s="36">
        <f t="shared" si="2"/>
        <v>1000</v>
      </c>
      <c r="N35" s="36">
        <f t="shared" si="4"/>
        <v>4000</v>
      </c>
      <c r="O35" s="36">
        <f>VLOOKUP($A35,[18]HISTOFEV23!$A$6:$AU$36,7,0)</f>
        <v>0</v>
      </c>
      <c r="P35" s="36">
        <f>VLOOKUP($A35,[18]HISTOFEV23!$A$6:$AU$36,23,0)</f>
        <v>0</v>
      </c>
      <c r="Q35" s="36">
        <f>VLOOKUP($A35,[18]HISTOFEV23!$A$6:$AU$36,46,0)</f>
        <v>0</v>
      </c>
      <c r="R35" s="36">
        <f>VLOOKUP($A35,[18]HISTOFEV23!$A$6:$AU$36,26,0)</f>
        <v>0</v>
      </c>
      <c r="S35" s="36">
        <f>VLOOKUP($A35,[18]HISTOFEV23!$A$6:$BG$36,58,0)</f>
        <v>0</v>
      </c>
      <c r="T35" s="36">
        <f>VLOOKUP($A35,[18]HISTOFEV23!$A$6:$AU$36,28,0)</f>
        <v>0</v>
      </c>
      <c r="U35" s="36">
        <f>VLOOKUP($A35,[18]HISTOFEV23!$A$6:$AU$36,19,0)</f>
        <v>0</v>
      </c>
      <c r="V35" s="36">
        <f>VLOOKUP($A35,[18]HISTOFEV23!$A$6:$AU$36,20,0)</f>
        <v>0</v>
      </c>
      <c r="W35" s="36">
        <f>VLOOKUP($A35,[18]HISTOFEV23!$A$6:$AU$36,27,0)</f>
        <v>0</v>
      </c>
      <c r="X35" s="36">
        <f>VLOOKUP($A35,[18]HISTOFEV23!$A$6:$BM$36,33,0)</f>
        <v>0</v>
      </c>
      <c r="Y35" s="36">
        <f>VLOOKUP($A35,[18]HISTOFEV23!$A$6:$BM$36,65,0)</f>
        <v>0</v>
      </c>
      <c r="Z35" s="36"/>
      <c r="AA35" s="36">
        <f>VLOOKUP($A35,[18]HISTOFEV23!$A$6:$AU$36,43,0)</f>
        <v>0</v>
      </c>
      <c r="AB35" s="36">
        <f>VLOOKUP($A35,[18]HISTOFEV23!$A$6:$AU$36,44,0)</f>
        <v>0</v>
      </c>
      <c r="AC35" s="36">
        <f>VLOOKUP($A35,[18]HISTOFEV23!$A$6:$AU$36,47,0)</f>
        <v>0</v>
      </c>
      <c r="AD35" s="36">
        <f>VLOOKUP(A35,[18]HISTOFEV23!$A$6:$BB$36,54,0)</f>
        <v>0</v>
      </c>
      <c r="AE35" s="36">
        <f>VLOOKUP($A35,[18]HISTOFEV23!$A$6:$CA$36,60,0)</f>
        <v>0</v>
      </c>
      <c r="AF35" s="36">
        <f>VLOOKUP($A35,[18]HISTOFEV23!$A$6:$CA$36,61,0)</f>
        <v>0</v>
      </c>
      <c r="AG35" s="36">
        <f>VLOOKUP($A35,[18]HISTOFEV23!$A$6:$CA$36,62,0)</f>
        <v>0</v>
      </c>
      <c r="AH35" s="36">
        <f>VLOOKUP($A35,[18]HISTOFEV23!$A$6:$CA$36,63,0)</f>
        <v>0</v>
      </c>
      <c r="AI35" s="36">
        <f>VLOOKUP($A35,[18]HISTOFEV23!$A$6:$CA$36,64,0)</f>
        <v>0</v>
      </c>
      <c r="AJ35" s="36">
        <f>VLOOKUP($A35,[18]HISTOFEV23!$A$6:$CA$36,65,0)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VLOOKUP($A36,[18]HISTOFEV23!$A$6:$BA$36,48,0)</f>
        <v>0</v>
      </c>
      <c r="F36" s="5">
        <f>MVTJANV23!F36+MVTJANV23!G36-MVTFEV23!E36+K36</f>
        <v>1781079.5179826394</v>
      </c>
      <c r="G36" s="6">
        <v>2440.4079143599483</v>
      </c>
      <c r="H36" s="6">
        <f t="shared" si="0"/>
        <v>1783519.9258969994</v>
      </c>
      <c r="I36" s="36">
        <f>VLOOKUP($A36,[18]HISTOFEV23!$A$6:$AQ$40,22,0)</f>
        <v>0</v>
      </c>
      <c r="J36" s="36">
        <f>VLOOKUP($A36,[18]HISTOFEV23!$A$6:$AU$36,45,0)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VLOOKUP($A36,[18]HISTOFEV23!$A$6:$AU$36,7,0)</f>
        <v>0</v>
      </c>
      <c r="P36" s="36">
        <f>VLOOKUP($A36,[18]HISTOFEV23!$A$6:$AU$36,23,0)</f>
        <v>0</v>
      </c>
      <c r="Q36" s="36">
        <f>VLOOKUP($A36,[18]HISTOFEV23!$A$6:$AU$36,46,0)</f>
        <v>0</v>
      </c>
      <c r="R36" s="36">
        <f>VLOOKUP($A36,[18]HISTOFEV23!$A$6:$AU$36,26,0)</f>
        <v>0</v>
      </c>
      <c r="S36" s="36">
        <f>VLOOKUP($A36,[18]HISTOFEV23!$A$6:$BG$36,58,0)</f>
        <v>0</v>
      </c>
      <c r="T36" s="36">
        <f>VLOOKUP($A36,[18]HISTOFEV23!$A$6:$AU$36,28,0)</f>
        <v>0</v>
      </c>
      <c r="U36" s="36">
        <f>VLOOKUP($A36,[18]HISTOFEV23!$A$6:$AU$36,19,0)</f>
        <v>0</v>
      </c>
      <c r="V36" s="36">
        <f>VLOOKUP($A36,[18]HISTOFEV23!$A$6:$AU$36,20,0)</f>
        <v>0</v>
      </c>
      <c r="W36" s="36">
        <f>VLOOKUP($A36,[18]HISTOFEV23!$A$6:$AU$36,27,0)</f>
        <v>0</v>
      </c>
      <c r="X36" s="36">
        <f>VLOOKUP($A36,[18]HISTOFEV23!$A$6:$BM$36,33,0)</f>
        <v>0</v>
      </c>
      <c r="Y36" s="36">
        <f>VLOOKUP($A36,[18]HISTOFEV23!$A$6:$BM$36,65,0)</f>
        <v>0</v>
      </c>
      <c r="Z36" s="36"/>
      <c r="AA36" s="36">
        <f>VLOOKUP($A36,[18]HISTOFEV23!$A$6:$AU$36,43,0)</f>
        <v>0</v>
      </c>
      <c r="AB36" s="36">
        <f>VLOOKUP($A36,[18]HISTOFEV23!$A$6:$AU$36,44,0)</f>
        <v>0</v>
      </c>
      <c r="AC36" s="36">
        <f>VLOOKUP($A36,[18]HISTOFEV23!$A$6:$AU$36,47,0)</f>
        <v>0</v>
      </c>
      <c r="AD36" s="36">
        <f>VLOOKUP(A36,[18]HISTOFEV23!$A$6:$BB$36,54,0)</f>
        <v>0</v>
      </c>
      <c r="AE36" s="36">
        <f>VLOOKUP($A36,[18]HISTOFEV23!$A$6:$CA$36,60,0)</f>
        <v>0</v>
      </c>
      <c r="AF36" s="36">
        <f>VLOOKUP($A36,[18]HISTOFEV23!$A$6:$CA$36,61,0)</f>
        <v>0</v>
      </c>
      <c r="AG36" s="36">
        <f>VLOOKUP($A36,[18]HISTOFEV23!$A$6:$CA$36,62,0)</f>
        <v>0</v>
      </c>
      <c r="AH36" s="36">
        <f>VLOOKUP($A36,[18]HISTOFEV23!$A$6:$CA$36,63,0)</f>
        <v>0</v>
      </c>
      <c r="AI36" s="36">
        <f>VLOOKUP($A36,[18]HISTOFEV23!$A$6:$CA$36,64,0)</f>
        <v>0</v>
      </c>
      <c r="AJ36" s="36">
        <f>VLOOKUP($A36,[18]HISTOFEV23!$A$6:$CA$36,65,0)</f>
        <v>0</v>
      </c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21966858.324737493</v>
      </c>
      <c r="G40" s="9">
        <f t="shared" si="5"/>
        <v>30000</v>
      </c>
      <c r="H40" s="9">
        <f t="shared" si="5"/>
        <v>21996858.324737493</v>
      </c>
      <c r="I40" s="9">
        <f t="shared" si="5"/>
        <v>0</v>
      </c>
      <c r="J40" s="9">
        <f t="shared" si="5"/>
        <v>508000</v>
      </c>
      <c r="K40" s="9">
        <f t="shared" si="5"/>
        <v>328000</v>
      </c>
      <c r="L40" s="9">
        <f t="shared" si="5"/>
        <v>30000</v>
      </c>
      <c r="M40" s="9">
        <f t="shared" si="5"/>
        <v>30000</v>
      </c>
      <c r="N40" s="9">
        <f t="shared" si="5"/>
        <v>120000</v>
      </c>
      <c r="O40" s="9">
        <f t="shared" si="5"/>
        <v>0</v>
      </c>
      <c r="P40" s="9">
        <f t="shared" si="5"/>
        <v>0</v>
      </c>
      <c r="Q40" s="9">
        <f t="shared" si="5"/>
        <v>60000</v>
      </c>
      <c r="R40" s="9">
        <f t="shared" si="5"/>
        <v>1000000</v>
      </c>
      <c r="S40" s="9">
        <f t="shared" si="5"/>
        <v>30000</v>
      </c>
      <c r="T40" s="9">
        <f t="shared" si="5"/>
        <v>0</v>
      </c>
      <c r="U40" s="9">
        <f t="shared" si="5"/>
        <v>2500000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210000</v>
      </c>
      <c r="AE40" s="9">
        <f t="shared" si="5"/>
        <v>68500</v>
      </c>
      <c r="AF40" s="9">
        <f t="shared" si="5"/>
        <v>0</v>
      </c>
      <c r="AG40" s="9">
        <f t="shared" si="5"/>
        <v>560000</v>
      </c>
      <c r="AH40" s="9">
        <f t="shared" si="5"/>
        <v>0</v>
      </c>
      <c r="AI40" s="9">
        <f t="shared" si="5"/>
        <v>0</v>
      </c>
      <c r="AJ40" s="9">
        <f t="shared" si="5"/>
        <v>200000</v>
      </c>
    </row>
    <row r="43" spans="1:36" x14ac:dyDescent="0.25">
      <c r="F43" s="2"/>
      <c r="H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C6" activePane="bottomRight" state="frozen"/>
      <selection activeCell="J4" sqref="J4:O4"/>
      <selection pane="topRight" activeCell="J4" sqref="J4:O4"/>
      <selection pane="bottomLeft" activeCell="J4" sqref="J4:O4"/>
      <selection pane="bottomRight" activeCell="G6" sqref="G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6" bestFit="1" customWidth="1"/>
    <col min="11" max="11" width="17.5703125" style="146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C4" s="16"/>
      <c r="D4" s="16"/>
      <c r="E4" s="16"/>
      <c r="F4" s="16"/>
      <c r="G4" s="16"/>
      <c r="H4" s="16"/>
      <c r="I4" s="145"/>
      <c r="J4" s="157">
        <v>45002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MVTFEV23!F6+MVTFEV23!G6-MVTMARS23!E6+K6</f>
        <v>869601.95639859815</v>
      </c>
      <c r="G6" s="6">
        <v>235.14556999873568</v>
      </c>
      <c r="H6" s="6">
        <f>F6+G6</f>
        <v>869837.10196859692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VLOOKUP($A6,[18]HISTOMARS23!$A$6:$CA$36,60,0)</f>
        <v>6000</v>
      </c>
      <c r="AF6" s="36">
        <f>VLOOKUP($A6,[18]HISTOMARS23!$A$6:$CA$36,61,0)</f>
        <v>0</v>
      </c>
      <c r="AG6" s="36">
        <f>VLOOKUP($A6,[18]HISTOMARS23!$A$6:$CA$36,62,0)</f>
        <v>0</v>
      </c>
      <c r="AH6" s="36">
        <f>VLOOKUP($A6,[18]HISTOMARS23!$A$6:$CA$36,63,0)</f>
        <v>100000</v>
      </c>
      <c r="AI6" s="36">
        <f>VLOOKUP($A6,[18]HISTOMARS23!$A$6:$CA$36,64,0)</f>
        <v>0</v>
      </c>
      <c r="AJ6" s="36">
        <f>VLOOKUP($A6,[18]HISTOMARS23!$A$6:$CA$36,65,0)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VLOOKUP($A7,[18]HISTOMARS23!$A$6:$BA$36,48,0)</f>
        <v>0</v>
      </c>
      <c r="F7" s="5">
        <f>MVTFEV23!F7+MVTFEV23!G7-MVTMARS23!E7+K7</f>
        <v>627846.77414783963</v>
      </c>
      <c r="G7" s="6">
        <v>169.77352280839375</v>
      </c>
      <c r="H7" s="6">
        <f t="shared" ref="H7:H36" si="0">F7+G7</f>
        <v>628016.54767064808</v>
      </c>
      <c r="I7" s="36">
        <f>VLOOKUP($A7,[18]HISTOMARS23!$A$6:$AQ$40,22,0)</f>
        <v>0</v>
      </c>
      <c r="J7" s="36">
        <f>VLOOKUP($A7,[18]HISTOMARS23!$A$6:$AU$36,45,0)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VLOOKUP($A7,[18]HISTOMARS23!$A$6:$AU$36,7,0)</f>
        <v>0</v>
      </c>
      <c r="P7" s="36">
        <f>VLOOKUP($A7,[18]HISTOMARS23!$A$6:$AU$36,23,0)</f>
        <v>0</v>
      </c>
      <c r="Q7" s="36">
        <f>VLOOKUP($A7,[18]HISTOMARS23!$A$6:$AU$36,46,0)</f>
        <v>0</v>
      </c>
      <c r="R7" s="36">
        <f>VLOOKUP($A7,[18]HISTOMARS23!$A$6:$AU$36,26,0)</f>
        <v>0</v>
      </c>
      <c r="S7" s="36">
        <f>VLOOKUP($A7,[18]HISTOMARS23!$A$6:$BG$36,58,0)</f>
        <v>0</v>
      </c>
      <c r="T7" s="36">
        <f>VLOOKUP($A7,[18]HISTOMARS23!$A$6:$AU$36,28,0)</f>
        <v>0</v>
      </c>
      <c r="U7" s="36">
        <f>VLOOKUP($A7,[18]HISTOMARS23!$A$6:$AU$36,19,0)</f>
        <v>0</v>
      </c>
      <c r="V7" s="36">
        <f>VLOOKUP($A7,[18]HISTOMARS23!$A$6:$AU$36,20,0)</f>
        <v>0</v>
      </c>
      <c r="W7" s="36">
        <f>VLOOKUP($A7,[18]HISTOMARS23!$A$6:$AU$36,27,0)</f>
        <v>0</v>
      </c>
      <c r="X7" s="36">
        <f>VLOOKUP($A7,[18]HISTOMARS23!$A$6:$BM$36,33,0)</f>
        <v>0</v>
      </c>
      <c r="Y7" s="36">
        <f>VLOOKUP($A7,[18]HISTOMARS23!$A$6:$BM$36,65,0)</f>
        <v>0</v>
      </c>
      <c r="Z7" s="36"/>
      <c r="AA7" s="36">
        <f>VLOOKUP($A7,[18]HISTOMARS23!$A$6:$AU$36,43,0)</f>
        <v>0</v>
      </c>
      <c r="AB7" s="36">
        <f>VLOOKUP($A7,[18]HISTOMARS23!$A$6:$AU$36,44,0)</f>
        <v>0</v>
      </c>
      <c r="AC7" s="36">
        <f>VLOOKUP($A7,[18]HISTOMARS23!$A$6:$AU$36,47,0)</f>
        <v>0</v>
      </c>
      <c r="AD7" s="36">
        <f>VLOOKUP(A7,[18]HISTOMARS23!$A$6:$BB$36,54,0)</f>
        <v>0</v>
      </c>
      <c r="AE7" s="36">
        <f>VLOOKUP($A7,[18]HISTOMARS23!$A$6:$CA$36,60,0)</f>
        <v>0</v>
      </c>
      <c r="AF7" s="36">
        <f>VLOOKUP($A7,[18]HISTOMARS23!$A$6:$CA$36,61,0)</f>
        <v>0</v>
      </c>
      <c r="AG7" s="36">
        <f>VLOOKUP($A7,[18]HISTOMARS23!$A$6:$CA$36,62,0)</f>
        <v>0</v>
      </c>
      <c r="AH7" s="36">
        <f>VLOOKUP($A7,[18]HISTOMARS23!$A$6:$CA$36,63,0)</f>
        <v>0</v>
      </c>
      <c r="AI7" s="36">
        <f>VLOOKUP($A7,[18]HISTOMARS23!$A$6:$CA$36,64,0)</f>
        <v>0</v>
      </c>
      <c r="AJ7" s="36">
        <f>VLOOKUP($A7,[18]HISTOMARS23!$A$6:$CA$36,65,0)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VLOOKUP($A8,[18]HISTOMARS23!$A$6:$BA$36,48,0)</f>
        <v>0</v>
      </c>
      <c r="F8" s="5">
        <f>MVTFEV23!F8+MVTFEV23!G8-MVTMARS23!E8+K8</f>
        <v>673492.30345111119</v>
      </c>
      <c r="G8" s="6">
        <v>182.11634693262093</v>
      </c>
      <c r="H8" s="6">
        <f t="shared" si="0"/>
        <v>673674.41979804379</v>
      </c>
      <c r="I8" s="36">
        <f>VLOOKUP($A8,[18]HISTOMARS23!$A$6:$AQ$40,22,0)</f>
        <v>0</v>
      </c>
      <c r="J8" s="36">
        <f>VLOOKUP($A8,[18]HISTOMARS23!$A$6:$AU$36,45,0)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VLOOKUP($A8,[18]HISTOMARS23!$A$6:$AU$36,7,0)</f>
        <v>0</v>
      </c>
      <c r="P8" s="36">
        <f>VLOOKUP($A8,[18]HISTOMARS23!$A$6:$AU$36,23,0)</f>
        <v>0</v>
      </c>
      <c r="Q8" s="36">
        <f>VLOOKUP($A8,[18]HISTOMARS23!$A$6:$AU$36,46,0)</f>
        <v>0</v>
      </c>
      <c r="R8" s="36">
        <f>VLOOKUP($A8,[18]HISTOMARS23!$A$6:$AU$36,26,0)</f>
        <v>0</v>
      </c>
      <c r="S8" s="36">
        <f>VLOOKUP($A8,[18]HISTOMARS23!$A$6:$BG$36,58,0)</f>
        <v>0</v>
      </c>
      <c r="T8" s="36">
        <f>VLOOKUP($A8,[18]HISTOMARS23!$A$6:$AU$36,28,0)</f>
        <v>0</v>
      </c>
      <c r="U8" s="36">
        <f>VLOOKUP($A8,[18]HISTOMARS23!$A$6:$AU$36,19,0)</f>
        <v>0</v>
      </c>
      <c r="V8" s="36">
        <f>VLOOKUP($A8,[18]HISTOMARS23!$A$6:$AU$36,20,0)</f>
        <v>0</v>
      </c>
      <c r="W8" s="36">
        <f>VLOOKUP($A8,[18]HISTOMARS23!$A$6:$AU$36,27,0)</f>
        <v>0</v>
      </c>
      <c r="X8" s="36">
        <f>VLOOKUP($A8,[18]HISTOMARS23!$A$6:$BM$36,33,0)</f>
        <v>0</v>
      </c>
      <c r="Y8" s="36">
        <f>VLOOKUP($A8,[18]HISTOMARS23!$A$6:$BM$36,65,0)</f>
        <v>0</v>
      </c>
      <c r="Z8" s="36"/>
      <c r="AA8" s="36">
        <f>VLOOKUP($A8,[18]HISTOMARS23!$A$6:$AU$36,43,0)</f>
        <v>0</v>
      </c>
      <c r="AB8" s="36">
        <f>VLOOKUP($A8,[18]HISTOMARS23!$A$6:$AU$36,44,0)</f>
        <v>0</v>
      </c>
      <c r="AC8" s="36">
        <f>VLOOKUP($A8,[18]HISTOMARS23!$A$6:$AU$36,47,0)</f>
        <v>0</v>
      </c>
      <c r="AD8" s="36">
        <f>VLOOKUP(A8,[18]HISTOMARS23!$A$6:$BB$36,54,0)</f>
        <v>0</v>
      </c>
      <c r="AE8" s="36">
        <f>VLOOKUP($A8,[18]HISTOMARS23!$A$6:$CA$36,60,0)</f>
        <v>0</v>
      </c>
      <c r="AF8" s="36">
        <f>VLOOKUP($A8,[18]HISTOMARS23!$A$6:$CA$36,61,0)</f>
        <v>0</v>
      </c>
      <c r="AG8" s="36">
        <f>VLOOKUP($A8,[18]HISTOMARS23!$A$6:$CA$36,62,0)</f>
        <v>0</v>
      </c>
      <c r="AH8" s="36">
        <f>VLOOKUP($A8,[18]HISTOMARS23!$A$6:$CA$36,63,0)</f>
        <v>0</v>
      </c>
      <c r="AI8" s="36">
        <f>VLOOKUP($A8,[18]HISTOMARS23!$A$6:$CA$36,64,0)</f>
        <v>0</v>
      </c>
      <c r="AJ8" s="36">
        <f>VLOOKUP($A8,[18]HISTOMARS23!$A$6:$CA$36,65,0)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VLOOKUP($A9,[18]HISTOMARS23!$A$6:$BA$36,48,0)</f>
        <v>0</v>
      </c>
      <c r="F9" s="5">
        <f>MVTFEV23!F9+MVTFEV23!G9-MVTMARS23!E9+K9</f>
        <v>699172.95972419891</v>
      </c>
      <c r="G9" s="6">
        <v>189.06054998189384</v>
      </c>
      <c r="H9" s="6">
        <f t="shared" si="0"/>
        <v>699362.0202741808</v>
      </c>
      <c r="I9" s="36">
        <f>VLOOKUP($A9,[18]HISTOMARS23!$A$6:$AQ$40,22,0)</f>
        <v>0</v>
      </c>
      <c r="J9" s="36">
        <f>VLOOKUP($A9,[18]HISTOMARS23!$A$6:$AU$36,45,0)</f>
        <v>15000</v>
      </c>
      <c r="K9" s="36">
        <f t="shared" si="1"/>
        <v>9000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VLOOKUP($A9,[18]HISTOMARS23!$A$6:$AU$36,7,0)</f>
        <v>0</v>
      </c>
      <c r="P9" s="36">
        <f>VLOOKUP($A9,[18]HISTOMARS23!$A$6:$AU$36,23,0)</f>
        <v>0</v>
      </c>
      <c r="Q9" s="36">
        <f>VLOOKUP($A9,[18]HISTOMARS23!$A$6:$AU$36,46,0)</f>
        <v>0</v>
      </c>
      <c r="R9" s="36">
        <f>VLOOKUP($A9,[18]HISTOMARS23!$A$6:$AU$36,26,0)</f>
        <v>0</v>
      </c>
      <c r="S9" s="36">
        <f>VLOOKUP($A9,[18]HISTOMARS23!$A$6:$BG$36,58,0)</f>
        <v>0</v>
      </c>
      <c r="T9" s="36">
        <f>VLOOKUP($A9,[18]HISTOMARS23!$A$6:$AU$36,28,0)</f>
        <v>0</v>
      </c>
      <c r="U9" s="36">
        <f>VLOOKUP($A9,[18]HISTOMARS23!$A$6:$AU$36,19,0)</f>
        <v>690000</v>
      </c>
      <c r="V9" s="36" t="str">
        <f>VLOOKUP($A9,[18]HISTOMARS23!$A$6:$AU$36,20,0)</f>
        <v>BANQUE</v>
      </c>
      <c r="W9" s="36">
        <f>VLOOKUP($A9,[18]HISTOMARS23!$A$6:$AU$36,27,0)</f>
        <v>0</v>
      </c>
      <c r="X9" s="36">
        <f>VLOOKUP($A9,[18]HISTOMARS23!$A$6:$BM$36,33,0)</f>
        <v>0</v>
      </c>
      <c r="Y9" s="36">
        <f>VLOOKUP($A9,[18]HISTOMARS23!$A$6:$BM$36,65,0)</f>
        <v>0</v>
      </c>
      <c r="Z9" s="36"/>
      <c r="AA9" s="36">
        <f>VLOOKUP($A9,[18]HISTOMARS23!$A$6:$AU$36,43,0)</f>
        <v>0</v>
      </c>
      <c r="AB9" s="36">
        <f>VLOOKUP($A9,[18]HISTOMARS23!$A$6:$AU$36,44,0)</f>
        <v>0</v>
      </c>
      <c r="AC9" s="36">
        <f>VLOOKUP($A9,[18]HISTOMARS23!$A$6:$AU$36,47,0)</f>
        <v>0</v>
      </c>
      <c r="AD9" s="36">
        <f>VLOOKUP(A9,[18]HISTOMARS23!$A$6:$BB$36,54,0)</f>
        <v>0</v>
      </c>
      <c r="AE9" s="36">
        <f>VLOOKUP($A9,[18]HISTOMARS23!$A$6:$CA$36,60,0)</f>
        <v>0</v>
      </c>
      <c r="AF9" s="36">
        <f>VLOOKUP($A9,[18]HISTOMARS23!$A$6:$CA$36,61,0)</f>
        <v>0</v>
      </c>
      <c r="AG9" s="36">
        <f>VLOOKUP($A9,[18]HISTOMARS23!$A$6:$CA$36,62,0)</f>
        <v>0</v>
      </c>
      <c r="AH9" s="36">
        <f>VLOOKUP($A9,[18]HISTOMARS23!$A$6:$CA$36,63,0)</f>
        <v>0</v>
      </c>
      <c r="AI9" s="36">
        <f>VLOOKUP($A9,[18]HISTOMARS23!$A$6:$CA$36,64,0)</f>
        <v>0</v>
      </c>
      <c r="AJ9" s="36">
        <f>VLOOKUP($A9,[18]HISTOMARS23!$A$6:$CA$36,65,0)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VLOOKUP($A10,[18]HISTOMARS23!$A$6:$BA$36,48,0)</f>
        <v>0</v>
      </c>
      <c r="F10" s="5">
        <f>MVTFEV23!F10+MVTFEV23!G10-MVTMARS23!E10+K10</f>
        <v>718887.83113917976</v>
      </c>
      <c r="G10" s="6">
        <v>194.39156912486655</v>
      </c>
      <c r="H10" s="6">
        <f t="shared" si="0"/>
        <v>719082.22270830465</v>
      </c>
      <c r="I10" s="36">
        <f>VLOOKUP($A10,[18]HISTOMARS23!$A$6:$AQ$40,22,0)</f>
        <v>0</v>
      </c>
      <c r="J10" s="36">
        <f>VLOOKUP($A10,[18]HISTOMARS23!$A$6:$AU$36,45,0)</f>
        <v>16000</v>
      </c>
      <c r="K10" s="36">
        <f t="shared" si="1"/>
        <v>10000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VLOOKUP($A10,[18]HISTOMARS23!$A$6:$AU$36,7,0)</f>
        <v>0</v>
      </c>
      <c r="P10" s="36">
        <f>VLOOKUP($A10,[18]HISTOMARS23!$A$6:$AU$36,23,0)</f>
        <v>0</v>
      </c>
      <c r="Q10" s="36">
        <f>VLOOKUP($A10,[18]HISTOMARS23!$A$6:$AU$36,46,0)</f>
        <v>0</v>
      </c>
      <c r="R10" s="36">
        <f>VLOOKUP($A10,[18]HISTOMARS23!$A$6:$AU$36,26,0)</f>
        <v>0</v>
      </c>
      <c r="S10" s="36">
        <f>VLOOKUP($A10,[18]HISTOMARS23!$A$6:$BG$36,58,0)</f>
        <v>0</v>
      </c>
      <c r="T10" s="36">
        <f>VLOOKUP($A10,[18]HISTOMARS23!$A$6:$AU$36,28,0)</f>
        <v>0</v>
      </c>
      <c r="U10" s="36">
        <f>VLOOKUP($A10,[18]HISTOMARS23!$A$6:$AU$36,19,0)</f>
        <v>0</v>
      </c>
      <c r="V10" s="36">
        <f>VLOOKUP($A10,[18]HISTOMARS23!$A$6:$AU$36,20,0)</f>
        <v>0</v>
      </c>
      <c r="W10" s="36">
        <f>VLOOKUP($A10,[18]HISTOMARS23!$A$6:$AU$36,27,0)</f>
        <v>0</v>
      </c>
      <c r="X10" s="36">
        <f>VLOOKUP($A10,[18]HISTOMARS23!$A$6:$BM$36,33,0)</f>
        <v>0</v>
      </c>
      <c r="Y10" s="36">
        <f>VLOOKUP($A10,[18]HISTOMARS23!$A$6:$BM$36,65,0)</f>
        <v>0</v>
      </c>
      <c r="Z10" s="36"/>
      <c r="AA10" s="36">
        <f>VLOOKUP($A10,[18]HISTOMARS23!$A$6:$AU$36,43,0)</f>
        <v>0</v>
      </c>
      <c r="AB10" s="36">
        <f>VLOOKUP($A10,[18]HISTOMARS23!$A$6:$AU$36,44,0)</f>
        <v>0</v>
      </c>
      <c r="AC10" s="36">
        <f>VLOOKUP($A10,[18]HISTOMARS23!$A$6:$AU$36,47,0)</f>
        <v>0</v>
      </c>
      <c r="AD10" s="36">
        <f>VLOOKUP(A10,[18]HISTOMARS23!$A$6:$BB$36,54,0)</f>
        <v>0</v>
      </c>
      <c r="AE10" s="36">
        <f>VLOOKUP($A10,[18]HISTOMARS23!$A$6:$CA$36,60,0)</f>
        <v>0</v>
      </c>
      <c r="AF10" s="36">
        <f>VLOOKUP($A10,[18]HISTOMARS23!$A$6:$CA$36,61,0)</f>
        <v>0</v>
      </c>
      <c r="AG10" s="36">
        <f>VLOOKUP($A10,[18]HISTOMARS23!$A$6:$CA$36,62,0)</f>
        <v>0</v>
      </c>
      <c r="AH10" s="36">
        <f>VLOOKUP($A10,[18]HISTOMARS23!$A$6:$CA$36,63,0)</f>
        <v>0</v>
      </c>
      <c r="AI10" s="36">
        <f>VLOOKUP($A10,[18]HISTOMARS23!$A$6:$CA$36,64,0)</f>
        <v>0</v>
      </c>
      <c r="AJ10" s="36">
        <f>VLOOKUP($A10,[18]HISTOMARS23!$A$6:$CA$36,65,0)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VLOOKUP($A11,[18]HISTOMARS23!$A$6:$BA$36,48,0)</f>
        <v>0</v>
      </c>
      <c r="F11" s="5">
        <f>MVTFEV23!F11+MVTFEV23!G11-MVTMARS23!E11+K11</f>
        <v>676070.98477951647</v>
      </c>
      <c r="G11" s="6">
        <v>182.813637786616</v>
      </c>
      <c r="H11" s="6">
        <f t="shared" si="0"/>
        <v>676253.79841730313</v>
      </c>
      <c r="I11" s="36">
        <f>VLOOKUP($A11,[18]HISTOMARS23!$A$6:$AQ$40,22,0)</f>
        <v>0</v>
      </c>
      <c r="J11" s="36">
        <f>VLOOKUP($A11,[18]HISTOMARS23!$A$6:$AU$36,45,0)</f>
        <v>20000</v>
      </c>
      <c r="K11" s="36">
        <f t="shared" si="1"/>
        <v>14000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VLOOKUP($A11,[18]HISTOMARS23!$A$6:$AU$36,7,0)</f>
        <v>0</v>
      </c>
      <c r="P11" s="36">
        <f>VLOOKUP($A11,[18]HISTOMARS23!$A$6:$AU$36,23,0)</f>
        <v>0</v>
      </c>
      <c r="Q11" s="36">
        <f>VLOOKUP($A11,[18]HISTOMARS23!$A$6:$AU$36,46,0)</f>
        <v>0</v>
      </c>
      <c r="R11" s="36">
        <f>VLOOKUP($A11,[18]HISTOMARS23!$A$6:$AU$36,26,0)</f>
        <v>0</v>
      </c>
      <c r="S11" s="36">
        <f>VLOOKUP($A11,[18]HISTOMARS23!$A$6:$BG$36,58,0)</f>
        <v>0</v>
      </c>
      <c r="T11" s="36">
        <f>VLOOKUP($A11,[18]HISTOMARS23!$A$6:$AU$36,28,0)</f>
        <v>0</v>
      </c>
      <c r="U11" s="36">
        <f>VLOOKUP($A11,[18]HISTOMARS23!$A$6:$AU$36,19,0)</f>
        <v>892500</v>
      </c>
      <c r="V11" s="36" t="str">
        <f>VLOOKUP($A11,[18]HISTOMARS23!$A$6:$AU$36,20,0)</f>
        <v>BANQUE</v>
      </c>
      <c r="W11" s="36">
        <f>VLOOKUP($A11,[18]HISTOMARS23!$A$6:$AU$36,27,0)</f>
        <v>0</v>
      </c>
      <c r="X11" s="36">
        <f>VLOOKUP($A11,[18]HISTOMARS23!$A$6:$BM$36,33,0)</f>
        <v>0</v>
      </c>
      <c r="Y11" s="36">
        <f>VLOOKUP($A11,[18]HISTOMARS23!$A$6:$BM$36,65,0)</f>
        <v>0</v>
      </c>
      <c r="Z11" s="36"/>
      <c r="AA11" s="36">
        <f>VLOOKUP($A11,[18]HISTOMARS23!$A$6:$AU$36,43,0)</f>
        <v>0</v>
      </c>
      <c r="AB11" s="36">
        <f>VLOOKUP($A11,[18]HISTOMARS23!$A$6:$AU$36,44,0)</f>
        <v>0</v>
      </c>
      <c r="AC11" s="36">
        <f>VLOOKUP($A11,[18]HISTOMARS23!$A$6:$AU$36,47,0)</f>
        <v>0</v>
      </c>
      <c r="AD11" s="36">
        <f>VLOOKUP(A11,[18]HISTOMARS23!$A$6:$BB$36,54,0)</f>
        <v>0</v>
      </c>
      <c r="AE11" s="36">
        <f>VLOOKUP($A11,[18]HISTOMARS23!$A$6:$CA$36,60,0)</f>
        <v>0</v>
      </c>
      <c r="AF11" s="36">
        <f>VLOOKUP($A11,[18]HISTOMARS23!$A$6:$CA$36,61,0)</f>
        <v>0</v>
      </c>
      <c r="AG11" s="36">
        <f>VLOOKUP($A11,[18]HISTOMARS23!$A$6:$CA$36,62,0)</f>
        <v>0</v>
      </c>
      <c r="AH11" s="36">
        <f>VLOOKUP($A11,[18]HISTOMARS23!$A$6:$CA$36,63,0)</f>
        <v>0</v>
      </c>
      <c r="AI11" s="36">
        <f>VLOOKUP($A11,[18]HISTOMARS23!$A$6:$CA$36,64,0)</f>
        <v>0</v>
      </c>
      <c r="AJ11" s="36">
        <f>VLOOKUP($A11,[18]HISTOMARS23!$A$6:$CA$36,65,0)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VLOOKUP($A12,[18]HISTOMARS23!$A$6:$BA$36,48,0)</f>
        <v>0</v>
      </c>
      <c r="F12" s="5">
        <f>MVTFEV23!F12+MVTFEV23!G12-MVTMARS23!E12+K12</f>
        <v>692441.30519774905</v>
      </c>
      <c r="G12" s="6">
        <v>187.24027033669594</v>
      </c>
      <c r="H12" s="6">
        <f t="shared" si="0"/>
        <v>692628.54546808579</v>
      </c>
      <c r="I12" s="36">
        <f>VLOOKUP($A12,[18]HISTOMARS23!$A$6:$AQ$40,22,0)</f>
        <v>0</v>
      </c>
      <c r="J12" s="36">
        <f>VLOOKUP($A12,[18]HISTOMARS23!$A$6:$AU$36,45,0)</f>
        <v>20000</v>
      </c>
      <c r="K12" s="36">
        <f>IF(J12=0,0,J12-(L12+M12+N12))</f>
        <v>14000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VLOOKUP($A12,[18]HISTOMARS23!$A$6:$AU$36,7,0)</f>
        <v>0</v>
      </c>
      <c r="P12" s="36">
        <f>VLOOKUP($A12,[18]HISTOMARS23!$A$6:$AU$36,23,0)</f>
        <v>0</v>
      </c>
      <c r="Q12" s="36">
        <f>VLOOKUP($A12,[18]HISTOMARS23!$A$6:$AU$36,46,0)</f>
        <v>0</v>
      </c>
      <c r="R12" s="36">
        <f>VLOOKUP($A12,[18]HISTOMARS23!$A$6:$AU$36,26,0)</f>
        <v>0</v>
      </c>
      <c r="S12" s="36">
        <f>VLOOKUP($A12,[18]HISTOMARS23!$A$6:$BG$36,58,0)</f>
        <v>0</v>
      </c>
      <c r="T12" s="36">
        <f>VLOOKUP($A12,[18]HISTOMARS23!$A$6:$AU$36,28,0)</f>
        <v>0</v>
      </c>
      <c r="U12" s="36">
        <f>VLOOKUP($A12,[18]HISTOMARS23!$A$6:$AU$36,19,0)</f>
        <v>0</v>
      </c>
      <c r="V12" s="36">
        <f>VLOOKUP($A12,[18]HISTOMARS23!$A$6:$AU$36,20,0)</f>
        <v>0</v>
      </c>
      <c r="W12" s="36">
        <f>VLOOKUP($A12,[18]HISTOMARS23!$A$6:$AU$36,27,0)</f>
        <v>0</v>
      </c>
      <c r="X12" s="36">
        <f>VLOOKUP($A12,[18]HISTOMARS23!$A$6:$BM$36,33,0)</f>
        <v>0</v>
      </c>
      <c r="Y12" s="36">
        <f>VLOOKUP($A12,[18]HISTOMARS23!$A$6:$BM$36,65,0)</f>
        <v>0</v>
      </c>
      <c r="Z12" s="36"/>
      <c r="AA12" s="36">
        <f>VLOOKUP($A12,[18]HISTOMARS23!$A$6:$AU$36,43,0)</f>
        <v>0</v>
      </c>
      <c r="AB12" s="36">
        <f>VLOOKUP($A12,[18]HISTOMARS23!$A$6:$AU$36,44,0)</f>
        <v>0</v>
      </c>
      <c r="AC12" s="36">
        <f>VLOOKUP($A12,[18]HISTOMARS23!$A$6:$AU$36,47,0)</f>
        <v>0</v>
      </c>
      <c r="AD12" s="36">
        <f>VLOOKUP(A12,[18]HISTOMARS23!$A$6:$BB$36,54,0)</f>
        <v>0</v>
      </c>
      <c r="AE12" s="36">
        <f>VLOOKUP($A12,[18]HISTOMARS23!$A$6:$CA$36,60,0)</f>
        <v>0</v>
      </c>
      <c r="AF12" s="36">
        <f>VLOOKUP($A12,[18]HISTOMARS23!$A$6:$CA$36,61,0)</f>
        <v>0</v>
      </c>
      <c r="AG12" s="36">
        <f>VLOOKUP($A12,[18]HISTOMARS23!$A$6:$CA$36,62,0)</f>
        <v>0</v>
      </c>
      <c r="AH12" s="36">
        <f>VLOOKUP($A12,[18]HISTOMARS23!$A$6:$CA$36,63,0)</f>
        <v>0</v>
      </c>
      <c r="AI12" s="36">
        <f>VLOOKUP($A12,[18]HISTOMARS23!$A$6:$CA$36,64,0)</f>
        <v>0</v>
      </c>
      <c r="AJ12" s="36">
        <f>VLOOKUP($A12,[18]HISTOMARS23!$A$6:$CA$36,65,0)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VLOOKUP($A13,[18]HISTOMARS23!$A$6:$BA$36,48,0)</f>
        <v>0</v>
      </c>
      <c r="F13" s="5">
        <f>MVTFEV23!F13+MVTFEV23!G13-MVTMARS23!E13+K13</f>
        <v>666634.24656177277</v>
      </c>
      <c r="G13" s="6">
        <v>180.26188733250009</v>
      </c>
      <c r="H13" s="6">
        <f t="shared" si="0"/>
        <v>666814.50844910531</v>
      </c>
      <c r="I13" s="36">
        <f>VLOOKUP($A13,[18]HISTOMARS23!$A$6:$AQ$40,22,0)</f>
        <v>0</v>
      </c>
      <c r="J13" s="36">
        <f>VLOOKUP($A13,[18]HISTOMARS23!$A$6:$AU$36,45,0)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VLOOKUP($A13,[18]HISTOMARS23!$A$6:$AU$36,7,0)</f>
        <v>0</v>
      </c>
      <c r="P13" s="36">
        <f>VLOOKUP($A13,[18]HISTOMARS23!$A$6:$AU$36,23,0)</f>
        <v>0</v>
      </c>
      <c r="Q13" s="36">
        <f>VLOOKUP($A13,[18]HISTOMARS23!$A$6:$AU$36,46,0)</f>
        <v>0</v>
      </c>
      <c r="R13" s="36">
        <f>VLOOKUP($A13,[18]HISTOMARS23!$A$6:$AU$36,26,0)</f>
        <v>0</v>
      </c>
      <c r="S13" s="36">
        <f>VLOOKUP($A13,[18]HISTOMARS23!$A$6:$BG$36,58,0)</f>
        <v>0</v>
      </c>
      <c r="T13" s="36">
        <f>VLOOKUP($A13,[18]HISTOMARS23!$A$6:$AU$36,28,0)</f>
        <v>0</v>
      </c>
      <c r="U13" s="36">
        <f>VLOOKUP($A13,[18]HISTOMARS23!$A$6:$AU$36,19,0)</f>
        <v>0</v>
      </c>
      <c r="V13" s="36">
        <f>VLOOKUP($A13,[18]HISTOMARS23!$A$6:$AU$36,20,0)</f>
        <v>0</v>
      </c>
      <c r="W13" s="36">
        <f>VLOOKUP($A13,[18]HISTOMARS23!$A$6:$AU$36,27,0)</f>
        <v>0</v>
      </c>
      <c r="X13" s="36">
        <f>VLOOKUP($A13,[18]HISTOMARS23!$A$6:$BM$36,33,0)</f>
        <v>0</v>
      </c>
      <c r="Y13" s="36">
        <f>VLOOKUP($A13,[18]HISTOMARS23!$A$6:$BM$36,65,0)</f>
        <v>0</v>
      </c>
      <c r="Z13" s="36"/>
      <c r="AA13" s="36">
        <f>VLOOKUP($A13,[18]HISTOMARS23!$A$6:$AU$36,43,0)</f>
        <v>0</v>
      </c>
      <c r="AB13" s="36">
        <f>VLOOKUP($A13,[18]HISTOMARS23!$A$6:$AU$36,44,0)</f>
        <v>0</v>
      </c>
      <c r="AC13" s="36">
        <f>VLOOKUP($A13,[18]HISTOMARS23!$A$6:$AU$36,47,0)</f>
        <v>0</v>
      </c>
      <c r="AD13" s="36">
        <f>VLOOKUP(A13,[18]HISTOMARS23!$A$6:$BB$36,54,0)</f>
        <v>70000</v>
      </c>
      <c r="AE13" s="36">
        <f>VLOOKUP($A13,[18]HISTOMARS23!$A$6:$CA$36,60,0)</f>
        <v>0</v>
      </c>
      <c r="AF13" s="36">
        <f>VLOOKUP($A13,[18]HISTOMARS23!$A$6:$CA$36,61,0)</f>
        <v>0</v>
      </c>
      <c r="AG13" s="36">
        <f>VLOOKUP($A13,[18]HISTOMARS23!$A$6:$CA$36,62,0)</f>
        <v>0</v>
      </c>
      <c r="AH13" s="36">
        <f>VLOOKUP($A13,[18]HISTOMARS23!$A$6:$CA$36,63,0)</f>
        <v>0</v>
      </c>
      <c r="AI13" s="36">
        <f>VLOOKUP($A13,[18]HISTOMARS23!$A$6:$CA$36,64,0)</f>
        <v>0</v>
      </c>
      <c r="AJ13" s="36">
        <f>VLOOKUP($A13,[18]HISTOMARS23!$A$6:$CA$36,65,0)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VLOOKUP($A14,[18]HISTOMARS23!$A$6:$BA$36,48,0)</f>
        <v>0</v>
      </c>
      <c r="F14" s="5">
        <f>MVTFEV23!F14+MVTFEV23!G14-MVTMARS23!E14+K14</f>
        <v>1154138.2519435629</v>
      </c>
      <c r="G14" s="6">
        <v>312.08588609271328</v>
      </c>
      <c r="H14" s="6">
        <f t="shared" si="0"/>
        <v>1154450.3378296555</v>
      </c>
      <c r="I14" s="36">
        <f>VLOOKUP($A14,[18]HISTOMARS23!$A$6:$AQ$40,22,0)</f>
        <v>0</v>
      </c>
      <c r="J14" s="36">
        <f>VLOOKUP($A14,[18]HISTOMARS23!$A$6:$AU$36,45,0)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VLOOKUP($A14,[18]HISTOMARS23!$A$6:$AU$36,7,0)</f>
        <v>0</v>
      </c>
      <c r="P14" s="36">
        <f>VLOOKUP($A14,[18]HISTOMARS23!$A$6:$AU$36,23,0)</f>
        <v>0</v>
      </c>
      <c r="Q14" s="36">
        <f>VLOOKUP($A14,[18]HISTOMARS23!$A$6:$AU$36,46,0)</f>
        <v>0</v>
      </c>
      <c r="R14" s="36">
        <f>VLOOKUP($A14,[18]HISTOMARS23!$A$6:$AU$36,26,0)</f>
        <v>0</v>
      </c>
      <c r="S14" s="36">
        <f>VLOOKUP($A14,[18]HISTOMARS23!$A$6:$BG$36,58,0)</f>
        <v>0</v>
      </c>
      <c r="T14" s="36">
        <f>VLOOKUP($A14,[18]HISTOMARS23!$A$6:$AU$36,28,0)</f>
        <v>0</v>
      </c>
      <c r="U14" s="36">
        <f>VLOOKUP($A14,[18]HISTOMARS23!$A$6:$AU$36,19,0)</f>
        <v>0</v>
      </c>
      <c r="V14" s="36">
        <f>VLOOKUP($A14,[18]HISTOMARS23!$A$6:$AU$36,20,0)</f>
        <v>0</v>
      </c>
      <c r="W14" s="36">
        <f>VLOOKUP($A14,[18]HISTOMARS23!$A$6:$AU$36,27,0)</f>
        <v>0</v>
      </c>
      <c r="X14" s="36">
        <f>VLOOKUP($A14,[18]HISTOMARS23!$A$6:$BM$36,33,0)</f>
        <v>0</v>
      </c>
      <c r="Y14" s="36">
        <f>VLOOKUP($A14,[18]HISTOMARS23!$A$6:$BM$36,65,0)</f>
        <v>0</v>
      </c>
      <c r="Z14" s="36"/>
      <c r="AA14" s="36">
        <f>VLOOKUP($A14,[18]HISTOMARS23!$A$6:$AU$36,43,0)</f>
        <v>0</v>
      </c>
      <c r="AB14" s="36">
        <f>VLOOKUP($A14,[18]HISTOMARS23!$A$6:$AU$36,44,0)</f>
        <v>0</v>
      </c>
      <c r="AC14" s="36">
        <f>VLOOKUP($A14,[18]HISTOMARS23!$A$6:$AU$36,47,0)</f>
        <v>0</v>
      </c>
      <c r="AD14" s="36">
        <f>VLOOKUP(A14,[18]HISTOMARS23!$A$6:$BB$36,54,0)</f>
        <v>0</v>
      </c>
      <c r="AE14" s="36">
        <f>VLOOKUP($A14,[18]HISTOMARS23!$A$6:$CA$36,60,0)</f>
        <v>0</v>
      </c>
      <c r="AF14" s="36">
        <f>VLOOKUP($A14,[18]HISTOMARS23!$A$6:$CA$36,61,0)</f>
        <v>0</v>
      </c>
      <c r="AG14" s="36">
        <f>VLOOKUP($A14,[18]HISTOMARS23!$A$6:$CA$36,62,0)</f>
        <v>0</v>
      </c>
      <c r="AH14" s="36">
        <f>VLOOKUP($A14,[18]HISTOMARS23!$A$6:$CA$36,63,0)</f>
        <v>0</v>
      </c>
      <c r="AI14" s="36">
        <f>VLOOKUP($A14,[18]HISTOMARS23!$A$6:$CA$36,64,0)</f>
        <v>0</v>
      </c>
      <c r="AJ14" s="36">
        <f>VLOOKUP($A14,[18]HISTOMARS23!$A$6:$CA$36,65,0)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VLOOKUP($A15,[18]HISTOMARS23!$A$6:$BA$36,48,0)</f>
        <v>0</v>
      </c>
      <c r="F15" s="5">
        <f>MVTFEV23!F15+MVTFEV23!G15-MVTMARS23!E15+K15</f>
        <v>720445.48321493552</v>
      </c>
      <c r="G15" s="6">
        <v>194.81276756228752</v>
      </c>
      <c r="H15" s="6">
        <f t="shared" si="0"/>
        <v>720640.29598249786</v>
      </c>
      <c r="I15" s="36">
        <f>VLOOKUP($A15,[18]HISTOMARS23!$A$6:$AQ$40,22,0)</f>
        <v>0</v>
      </c>
      <c r="J15" s="36">
        <f>VLOOKUP($A15,[18]HISTOMARS23!$A$6:$AU$36,45,0)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VLOOKUP($A15,[18]HISTOMARS23!$A$6:$AU$36,7,0)</f>
        <v>0</v>
      </c>
      <c r="P15" s="36">
        <f>VLOOKUP($A15,[18]HISTOMARS23!$A$6:$AU$36,23,0)</f>
        <v>0</v>
      </c>
      <c r="Q15" s="36">
        <f>VLOOKUP($A15,[18]HISTOMARS23!$A$6:$AU$36,46,0)</f>
        <v>0</v>
      </c>
      <c r="R15" s="36">
        <f>VLOOKUP($A15,[18]HISTOMARS23!$A$6:$AU$36,26,0)</f>
        <v>0</v>
      </c>
      <c r="S15" s="36">
        <f>VLOOKUP($A15,[18]HISTOMARS23!$A$6:$BG$36,58,0)</f>
        <v>0</v>
      </c>
      <c r="T15" s="36">
        <f>VLOOKUP($A15,[18]HISTOMARS23!$A$6:$AU$36,28,0)</f>
        <v>0</v>
      </c>
      <c r="U15" s="36">
        <f>VLOOKUP($A15,[18]HISTOMARS23!$A$6:$AU$36,19,0)</f>
        <v>0</v>
      </c>
      <c r="V15" s="36">
        <f>VLOOKUP($A15,[18]HISTOMARS23!$A$6:$AU$36,20,0)</f>
        <v>0</v>
      </c>
      <c r="W15" s="36">
        <f>VLOOKUP($A15,[18]HISTOMARS23!$A$6:$AU$36,27,0)</f>
        <v>0</v>
      </c>
      <c r="X15" s="36">
        <f>VLOOKUP($A15,[18]HISTOMARS23!$A$6:$BM$36,33,0)</f>
        <v>0</v>
      </c>
      <c r="Y15" s="36">
        <f>VLOOKUP($A15,[18]HISTOMARS23!$A$6:$BM$36,65,0)</f>
        <v>0</v>
      </c>
      <c r="Z15" s="36"/>
      <c r="AA15" s="36">
        <f>VLOOKUP($A15,[18]HISTOMARS23!$A$6:$AU$36,43,0)</f>
        <v>0</v>
      </c>
      <c r="AB15" s="36">
        <f>VLOOKUP($A15,[18]HISTOMARS23!$A$6:$AU$36,44,0)</f>
        <v>0</v>
      </c>
      <c r="AC15" s="36">
        <f>VLOOKUP($A15,[18]HISTOMARS23!$A$6:$AU$36,47,0)</f>
        <v>0</v>
      </c>
      <c r="AD15" s="36">
        <f>VLOOKUP(A15,[18]HISTOMARS23!$A$6:$BB$36,54,0)</f>
        <v>0</v>
      </c>
      <c r="AE15" s="36">
        <f>VLOOKUP($A15,[18]HISTOMARS23!$A$6:$CA$36,60,0)</f>
        <v>0</v>
      </c>
      <c r="AF15" s="36">
        <f>VLOOKUP($A15,[18]HISTOMARS23!$A$6:$CA$36,61,0)</f>
        <v>0</v>
      </c>
      <c r="AG15" s="36">
        <f>VLOOKUP($A15,[18]HISTOMARS23!$A$6:$CA$36,62,0)</f>
        <v>0</v>
      </c>
      <c r="AH15" s="36">
        <f>VLOOKUP($A15,[18]HISTOMARS23!$A$6:$CA$36,63,0)</f>
        <v>0</v>
      </c>
      <c r="AI15" s="36">
        <f>VLOOKUP($A15,[18]HISTOMARS23!$A$6:$CA$36,64,0)</f>
        <v>0</v>
      </c>
      <c r="AJ15" s="36">
        <f>VLOOKUP($A15,[18]HISTOMARS23!$A$6:$CA$36,65,0)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VLOOKUP($A16,[18]HISTOMARS23!$A$6:$BA$36,48,0)</f>
        <v>0</v>
      </c>
      <c r="F16" s="5">
        <f>MVTFEV23!F16+MVTFEV23!G16-MVTMARS23!E16+K16</f>
        <v>788392.31496062549</v>
      </c>
      <c r="G16" s="6">
        <v>213.18599724845086</v>
      </c>
      <c r="H16" s="6">
        <f t="shared" si="0"/>
        <v>788605.50095787388</v>
      </c>
      <c r="I16" s="36">
        <f>VLOOKUP($A16,[18]HISTOMARS23!$A$6:$AQ$40,22,0)</f>
        <v>0</v>
      </c>
      <c r="J16" s="36">
        <f>VLOOKUP($A16,[18]HISTOMARS23!$A$6:$AU$36,45,0)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VLOOKUP($A16,[18]HISTOMARS23!$A$6:$AU$36,7,0)</f>
        <v>0</v>
      </c>
      <c r="P16" s="36">
        <f>VLOOKUP($A16,[18]HISTOMARS23!$A$6:$AU$36,23,0)</f>
        <v>0</v>
      </c>
      <c r="Q16" s="36">
        <f>VLOOKUP($A16,[18]HISTOMARS23!$A$6:$AU$36,46,0)</f>
        <v>0</v>
      </c>
      <c r="R16" s="36">
        <f>VLOOKUP($A16,[18]HISTOMARS23!$A$6:$AU$36,26,0)</f>
        <v>0</v>
      </c>
      <c r="S16" s="36">
        <f>VLOOKUP($A16,[18]HISTOMARS23!$A$6:$BG$36,58,0)</f>
        <v>0</v>
      </c>
      <c r="T16" s="36">
        <f>VLOOKUP($A16,[18]HISTOMARS23!$A$6:$AU$36,28,0)</f>
        <v>0</v>
      </c>
      <c r="U16" s="36">
        <f>VLOOKUP($A16,[18]HISTOMARS23!$A$6:$AU$36,19,0)</f>
        <v>0</v>
      </c>
      <c r="V16" s="36">
        <f>VLOOKUP($A16,[18]HISTOMARS23!$A$6:$AU$36,20,0)</f>
        <v>0</v>
      </c>
      <c r="W16" s="36">
        <f>VLOOKUP($A16,[18]HISTOMARS23!$A$6:$AU$36,27,0)</f>
        <v>0</v>
      </c>
      <c r="X16" s="36">
        <f>VLOOKUP($A16,[18]HISTOMARS23!$A$6:$BM$36,33,0)</f>
        <v>0</v>
      </c>
      <c r="Y16" s="36">
        <f>VLOOKUP($A16,[18]HISTOMARS23!$A$6:$BM$36,65,0)</f>
        <v>0</v>
      </c>
      <c r="Z16" s="36"/>
      <c r="AA16" s="36">
        <f>VLOOKUP($A16,[18]HISTOMARS23!$A$6:$AU$36,43,0)</f>
        <v>0</v>
      </c>
      <c r="AB16" s="36">
        <f>VLOOKUP($A16,[18]HISTOMARS23!$A$6:$AU$36,44,0)</f>
        <v>0</v>
      </c>
      <c r="AC16" s="36">
        <f>VLOOKUP($A16,[18]HISTOMARS23!$A$6:$AU$36,47,0)</f>
        <v>0</v>
      </c>
      <c r="AD16" s="36">
        <f>VLOOKUP(A16,[18]HISTOMARS23!$A$6:$BB$36,54,0)</f>
        <v>0</v>
      </c>
      <c r="AE16" s="36">
        <f>VLOOKUP($A16,[18]HISTOMARS23!$A$6:$CA$36,60,0)</f>
        <v>0</v>
      </c>
      <c r="AF16" s="36">
        <f>VLOOKUP($A16,[18]HISTOMARS23!$A$6:$CA$36,61,0)</f>
        <v>0</v>
      </c>
      <c r="AG16" s="36">
        <f>VLOOKUP($A16,[18]HISTOMARS23!$A$6:$CA$36,62,0)</f>
        <v>0</v>
      </c>
      <c r="AH16" s="36">
        <f>VLOOKUP($A16,[18]HISTOMARS23!$A$6:$CA$36,63,0)</f>
        <v>0</v>
      </c>
      <c r="AI16" s="36">
        <f>VLOOKUP($A16,[18]HISTOMARS23!$A$6:$CA$36,64,0)</f>
        <v>0</v>
      </c>
      <c r="AJ16" s="36">
        <f>VLOOKUP($A16,[18]HISTOMARS23!$A$6:$CA$36,65,0)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VLOOKUP($A17,[18]HISTOMARS23!$A$6:$BA$36,48,0)</f>
        <v>0</v>
      </c>
      <c r="F17" s="5">
        <f>MVTFEV23!F17+MVTFEV23!G17-MVTMARS23!E17+K17</f>
        <v>722768.01324764139</v>
      </c>
      <c r="G17" s="6">
        <v>195.44079357391422</v>
      </c>
      <c r="H17" s="6">
        <f t="shared" si="0"/>
        <v>722963.45404121524</v>
      </c>
      <c r="I17" s="36">
        <f>VLOOKUP($A17,[18]HISTOMARS23!$A$6:$AQ$40,22,0)</f>
        <v>0</v>
      </c>
      <c r="J17" s="36">
        <f>VLOOKUP($A17,[18]HISTOMARS23!$A$6:$AU$36,45,0)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VLOOKUP($A17,[18]HISTOMARS23!$A$6:$AU$36,7,0)</f>
        <v>0</v>
      </c>
      <c r="P17" s="36">
        <f>VLOOKUP($A17,[18]HISTOMARS23!$A$6:$AU$36,23,0)</f>
        <v>0</v>
      </c>
      <c r="Q17" s="36">
        <f>VLOOKUP($A17,[18]HISTOMARS23!$A$6:$AU$36,46,0)</f>
        <v>0</v>
      </c>
      <c r="R17" s="36">
        <f>VLOOKUP($A17,[18]HISTOMARS23!$A$6:$AU$36,26,0)</f>
        <v>0</v>
      </c>
      <c r="S17" s="36">
        <f>VLOOKUP($A17,[18]HISTOMARS23!$A$6:$BG$36,58,0)</f>
        <v>0</v>
      </c>
      <c r="T17" s="36">
        <f>VLOOKUP($A17,[18]HISTOMARS23!$A$6:$AU$36,28,0)</f>
        <v>0</v>
      </c>
      <c r="U17" s="36">
        <f>VLOOKUP($A17,[18]HISTOMARS23!$A$6:$AU$36,19,0)</f>
        <v>0</v>
      </c>
      <c r="V17" s="36">
        <f>VLOOKUP($A17,[18]HISTOMARS23!$A$6:$AU$36,20,0)</f>
        <v>0</v>
      </c>
      <c r="W17" s="36">
        <f>VLOOKUP($A17,[18]HISTOMARS23!$A$6:$AU$36,27,0)</f>
        <v>0</v>
      </c>
      <c r="X17" s="36">
        <f>VLOOKUP($A17,[18]HISTOMARS23!$A$6:$BM$36,33,0)</f>
        <v>0</v>
      </c>
      <c r="Y17" s="36">
        <f>VLOOKUP($A17,[18]HISTOMARS23!$A$6:$BM$36,65,0)</f>
        <v>0</v>
      </c>
      <c r="Z17" s="36"/>
      <c r="AA17" s="36">
        <f>VLOOKUP($A17,[18]HISTOMARS23!$A$6:$AU$36,43,0)</f>
        <v>0</v>
      </c>
      <c r="AB17" s="36">
        <f>VLOOKUP($A17,[18]HISTOMARS23!$A$6:$AU$36,44,0)</f>
        <v>0</v>
      </c>
      <c r="AC17" s="36">
        <f>VLOOKUP($A17,[18]HISTOMARS23!$A$6:$AU$36,47,0)</f>
        <v>0</v>
      </c>
      <c r="AD17" s="36">
        <f>VLOOKUP(A17,[18]HISTOMARS23!$A$6:$BB$36,54,0)</f>
        <v>0</v>
      </c>
      <c r="AE17" s="36">
        <f>VLOOKUP($A17,[18]HISTOMARS23!$A$6:$CA$36,60,0)</f>
        <v>0</v>
      </c>
      <c r="AF17" s="36">
        <f>VLOOKUP($A17,[18]HISTOMARS23!$A$6:$CA$36,61,0)</f>
        <v>0</v>
      </c>
      <c r="AG17" s="36">
        <f>VLOOKUP($A17,[18]HISTOMARS23!$A$6:$CA$36,62,0)</f>
        <v>0</v>
      </c>
      <c r="AH17" s="36">
        <f>VLOOKUP($A17,[18]HISTOMARS23!$A$6:$CA$36,63,0)</f>
        <v>0</v>
      </c>
      <c r="AI17" s="36">
        <f>VLOOKUP($A17,[18]HISTOMARS23!$A$6:$CA$36,64,0)</f>
        <v>0</v>
      </c>
      <c r="AJ17" s="36">
        <f>VLOOKUP($A17,[18]HISTOMARS23!$A$6:$CA$36,65,0)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VLOOKUP($A18,[18]HISTOMARS23!$A$6:$BA$36,48,0)</f>
        <v>0</v>
      </c>
      <c r="F18" s="5">
        <f>MVTFEV23!F18+MVTFEV23!G18-MVTMARS23!E18+K18</f>
        <v>671890.99705515814</v>
      </c>
      <c r="G18" s="6">
        <v>181.6833441059272</v>
      </c>
      <c r="H18" s="6">
        <f t="shared" si="0"/>
        <v>672072.68039926409</v>
      </c>
      <c r="I18" s="36">
        <f>VLOOKUP($A18,[18]HISTOMARS23!$A$6:$AQ$40,22,0)</f>
        <v>0</v>
      </c>
      <c r="J18" s="36">
        <f>VLOOKUP($A18,[18]HISTOMARS23!$A$6:$AU$36,45,0)</f>
        <v>14000</v>
      </c>
      <c r="K18" s="36">
        <f t="shared" si="1"/>
        <v>8000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VLOOKUP($A18,[18]HISTOMARS23!$A$6:$AU$36,7,0)</f>
        <v>0</v>
      </c>
      <c r="P18" s="36">
        <f>VLOOKUP($A18,[18]HISTOMARS23!$A$6:$AU$36,23,0)</f>
        <v>0</v>
      </c>
      <c r="Q18" s="36">
        <f>VLOOKUP($A18,[18]HISTOMARS23!$A$6:$AU$36,46,0)</f>
        <v>0</v>
      </c>
      <c r="R18" s="36">
        <f>VLOOKUP($A18,[18]HISTOMARS23!$A$6:$AU$36,26,0)</f>
        <v>0</v>
      </c>
      <c r="S18" s="36">
        <f>VLOOKUP($A18,[18]HISTOMARS23!$A$6:$BG$36,58,0)</f>
        <v>0</v>
      </c>
      <c r="T18" s="36">
        <f>VLOOKUP($A18,[18]HISTOMARS23!$A$6:$AU$36,28,0)</f>
        <v>0</v>
      </c>
      <c r="U18" s="36">
        <f>VLOOKUP($A18,[18]HISTOMARS23!$A$6:$AU$36,19,0)</f>
        <v>0</v>
      </c>
      <c r="V18" s="36">
        <f>VLOOKUP($A18,[18]HISTOMARS23!$A$6:$AU$36,20,0)</f>
        <v>0</v>
      </c>
      <c r="W18" s="36">
        <f>VLOOKUP($A18,[18]HISTOMARS23!$A$6:$AU$36,27,0)</f>
        <v>0</v>
      </c>
      <c r="X18" s="36">
        <f>VLOOKUP($A18,[18]HISTOMARS23!$A$6:$BM$36,33,0)</f>
        <v>0</v>
      </c>
      <c r="Y18" s="36">
        <f>VLOOKUP($A18,[18]HISTOMARS23!$A$6:$BM$36,65,0)</f>
        <v>0</v>
      </c>
      <c r="Z18" s="36"/>
      <c r="AA18" s="36">
        <f>VLOOKUP($A18,[18]HISTOMARS23!$A$6:$AU$36,43,0)</f>
        <v>0</v>
      </c>
      <c r="AB18" s="36">
        <f>VLOOKUP($A18,[18]HISTOMARS23!$A$6:$AU$36,44,0)</f>
        <v>0</v>
      </c>
      <c r="AC18" s="36">
        <f>VLOOKUP($A18,[18]HISTOMARS23!$A$6:$AU$36,47,0)</f>
        <v>0</v>
      </c>
      <c r="AD18" s="36">
        <f>VLOOKUP(A18,[18]HISTOMARS23!$A$6:$BB$36,54,0)</f>
        <v>0</v>
      </c>
      <c r="AE18" s="36">
        <f>VLOOKUP($A18,[18]HISTOMARS23!$A$6:$CA$36,60,0)</f>
        <v>0</v>
      </c>
      <c r="AF18" s="36">
        <f>VLOOKUP($A18,[18]HISTOMARS23!$A$6:$CA$36,61,0)</f>
        <v>0</v>
      </c>
      <c r="AG18" s="36">
        <f>VLOOKUP($A18,[18]HISTOMARS23!$A$6:$CA$36,62,0)</f>
        <v>0</v>
      </c>
      <c r="AH18" s="36">
        <f>VLOOKUP($A18,[18]HISTOMARS23!$A$6:$CA$36,63,0)</f>
        <v>0</v>
      </c>
      <c r="AI18" s="36">
        <f>VLOOKUP($A18,[18]HISTOMARS23!$A$6:$CA$36,64,0)</f>
        <v>0</v>
      </c>
      <c r="AJ18" s="36">
        <f>VLOOKUP($A18,[18]HISTOMARS23!$A$6:$CA$36,65,0)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VLOOKUP($A19,[18]HISTOMARS23!$A$6:$BA$36,48,0)</f>
        <v>0</v>
      </c>
      <c r="F19" s="5">
        <f>MVTFEV23!F19+MVTFEV23!G19-MVTMARS23!E19+K19</f>
        <v>666806.91155041021</v>
      </c>
      <c r="G19" s="6">
        <v>180.30857697811697</v>
      </c>
      <c r="H19" s="6">
        <f t="shared" si="0"/>
        <v>666987.22012738837</v>
      </c>
      <c r="I19" s="36">
        <f>VLOOKUP($A19,[18]HISTOMARS23!$A$6:$AQ$40,22,0)</f>
        <v>0</v>
      </c>
      <c r="J19" s="36">
        <f>VLOOKUP($A19,[18]HISTOMARS23!$A$6:$AU$36,45,0)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VLOOKUP($A19,[18]HISTOMARS23!$A$6:$AU$36,7,0)</f>
        <v>0</v>
      </c>
      <c r="P19" s="36">
        <f>VLOOKUP($A19,[18]HISTOMARS23!$A$6:$AU$36,23,0)</f>
        <v>0</v>
      </c>
      <c r="Q19" s="36">
        <f>VLOOKUP($A19,[18]HISTOMARS23!$A$6:$AU$36,46,0)</f>
        <v>0</v>
      </c>
      <c r="R19" s="36">
        <f>VLOOKUP($A19,[18]HISTOMARS23!$A$6:$AU$36,26,0)</f>
        <v>0</v>
      </c>
      <c r="S19" s="36">
        <f>VLOOKUP($A19,[18]HISTOMARS23!$A$6:$BG$36,58,0)</f>
        <v>0</v>
      </c>
      <c r="T19" s="36">
        <f>VLOOKUP($A19,[18]HISTOMARS23!$A$6:$AU$36,28,0)</f>
        <v>0</v>
      </c>
      <c r="U19" s="36">
        <f>VLOOKUP($A19,[18]HISTOMARS23!$A$6:$AU$36,19,0)</f>
        <v>0</v>
      </c>
      <c r="V19" s="36">
        <f>VLOOKUP($A19,[18]HISTOMARS23!$A$6:$AU$36,20,0)</f>
        <v>0</v>
      </c>
      <c r="W19" s="36">
        <f>VLOOKUP($A19,[18]HISTOMARS23!$A$6:$AU$36,27,0)</f>
        <v>0</v>
      </c>
      <c r="X19" s="36">
        <f>VLOOKUP($A19,[18]HISTOMARS23!$A$6:$BM$36,33,0)</f>
        <v>0</v>
      </c>
      <c r="Y19" s="36">
        <f>VLOOKUP($A19,[18]HISTOMARS23!$A$6:$BM$36,65,0)</f>
        <v>0</v>
      </c>
      <c r="Z19" s="36"/>
      <c r="AA19" s="36">
        <f>VLOOKUP($A19,[18]HISTOMARS23!$A$6:$AU$36,43,0)</f>
        <v>0</v>
      </c>
      <c r="AB19" s="36">
        <f>VLOOKUP($A19,[18]HISTOMARS23!$A$6:$AU$36,44,0)</f>
        <v>0</v>
      </c>
      <c r="AC19" s="36">
        <f>VLOOKUP($A19,[18]HISTOMARS23!$A$6:$AU$36,47,0)</f>
        <v>0</v>
      </c>
      <c r="AD19" s="36">
        <f>VLOOKUP(A19,[18]HISTOMARS23!$A$6:$BB$36,54,0)</f>
        <v>0</v>
      </c>
      <c r="AE19" s="36">
        <f>VLOOKUP($A19,[18]HISTOMARS23!$A$6:$CA$36,60,0)</f>
        <v>0</v>
      </c>
      <c r="AF19" s="36">
        <f>VLOOKUP($A19,[18]HISTOMARS23!$A$6:$CA$36,61,0)</f>
        <v>0</v>
      </c>
      <c r="AG19" s="36">
        <f>VLOOKUP($A19,[18]HISTOMARS23!$A$6:$CA$36,62,0)</f>
        <v>0</v>
      </c>
      <c r="AH19" s="36">
        <f>VLOOKUP($A19,[18]HISTOMARS23!$A$6:$CA$36,63,0)</f>
        <v>0</v>
      </c>
      <c r="AI19" s="36">
        <f>VLOOKUP($A19,[18]HISTOMARS23!$A$6:$CA$36,64,0)</f>
        <v>0</v>
      </c>
      <c r="AJ19" s="36">
        <f>VLOOKUP($A19,[18]HISTOMARS23!$A$6:$CA$36,65,0)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VLOOKUP($A20,[18]HISTOMARS23!$A$6:$BA$36,48,0)</f>
        <v>0</v>
      </c>
      <c r="F20" s="5">
        <f>MVTFEV23!F20+MVTFEV23!G20-MVTMARS23!E20+K20</f>
        <v>709860.75181528158</v>
      </c>
      <c r="G20" s="6">
        <v>191.95059288576886</v>
      </c>
      <c r="H20" s="6">
        <f t="shared" si="0"/>
        <v>710052.7024081673</v>
      </c>
      <c r="I20" s="36">
        <f>VLOOKUP($A20,[18]HISTOMARS23!$A$6:$AQ$40,22,0)</f>
        <v>0</v>
      </c>
      <c r="J20" s="36">
        <f>VLOOKUP($A20,[18]HISTOMARS23!$A$6:$AU$36,45,0)</f>
        <v>8000</v>
      </c>
      <c r="K20" s="36">
        <f t="shared" si="1"/>
        <v>2000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VLOOKUP($A20,[18]HISTOMARS23!$A$6:$AU$36,7,0)</f>
        <v>0</v>
      </c>
      <c r="P20" s="36">
        <f>VLOOKUP($A20,[18]HISTOMARS23!$A$6:$AU$36,23,0)</f>
        <v>0</v>
      </c>
      <c r="Q20" s="36">
        <f>VLOOKUP($A20,[18]HISTOMARS23!$A$6:$AU$36,46,0)</f>
        <v>0</v>
      </c>
      <c r="R20" s="36">
        <f>VLOOKUP($A20,[18]HISTOMARS23!$A$6:$AU$36,26,0)</f>
        <v>0</v>
      </c>
      <c r="S20" s="36">
        <f>VLOOKUP($A20,[18]HISTOMARS23!$A$6:$BG$36,58,0)</f>
        <v>0</v>
      </c>
      <c r="T20" s="36">
        <f>VLOOKUP($A20,[18]HISTOMARS23!$A$6:$AU$36,28,0)</f>
        <v>0</v>
      </c>
      <c r="U20" s="36">
        <f>VLOOKUP($A20,[18]HISTOMARS23!$A$6:$AU$36,19,0)</f>
        <v>0</v>
      </c>
      <c r="V20" s="36">
        <f>VLOOKUP($A20,[18]HISTOMARS23!$A$6:$AU$36,20,0)</f>
        <v>0</v>
      </c>
      <c r="W20" s="36">
        <f>VLOOKUP($A20,[18]HISTOMARS23!$A$6:$AU$36,27,0)</f>
        <v>0</v>
      </c>
      <c r="X20" s="36">
        <f>VLOOKUP($A20,[18]HISTOMARS23!$A$6:$BM$36,33,0)</f>
        <v>0</v>
      </c>
      <c r="Y20" s="36">
        <f>VLOOKUP($A20,[18]HISTOMARS23!$A$6:$BM$36,65,0)</f>
        <v>0</v>
      </c>
      <c r="Z20" s="36"/>
      <c r="AA20" s="36">
        <f>VLOOKUP($A20,[18]HISTOMARS23!$A$6:$AU$36,43,0)</f>
        <v>0</v>
      </c>
      <c r="AB20" s="36">
        <f>VLOOKUP($A20,[18]HISTOMARS23!$A$6:$AU$36,44,0)</f>
        <v>0</v>
      </c>
      <c r="AC20" s="36">
        <f>VLOOKUP($A20,[18]HISTOMARS23!$A$6:$AU$36,47,0)</f>
        <v>0</v>
      </c>
      <c r="AD20" s="36">
        <f>VLOOKUP(A20,[18]HISTOMARS23!$A$6:$BB$36,54,0)</f>
        <v>70000</v>
      </c>
      <c r="AE20" s="36">
        <f>VLOOKUP($A20,[18]HISTOMARS23!$A$6:$CA$36,60,0)</f>
        <v>0</v>
      </c>
      <c r="AF20" s="36">
        <f>VLOOKUP($A20,[18]HISTOMARS23!$A$6:$CA$36,61,0)</f>
        <v>0</v>
      </c>
      <c r="AG20" s="36">
        <f>VLOOKUP($A20,[18]HISTOMARS23!$A$6:$CA$36,62,0)</f>
        <v>0</v>
      </c>
      <c r="AH20" s="36">
        <f>VLOOKUP($A20,[18]HISTOMARS23!$A$6:$CA$36,63,0)</f>
        <v>0</v>
      </c>
      <c r="AI20" s="36">
        <f>VLOOKUP($A20,[18]HISTOMARS23!$A$6:$CA$36,64,0)</f>
        <v>0</v>
      </c>
      <c r="AJ20" s="36">
        <f>VLOOKUP($A20,[18]HISTOMARS23!$A$6:$CA$36,65,0)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VLOOKUP($A21,[18]HISTOMARS23!$A$6:$BA$36,48,0)</f>
        <v>0</v>
      </c>
      <c r="F21" s="5">
        <f>MVTFEV23!F21+MVTFEV23!G21-MVTMARS23!E21+K21</f>
        <v>720691.01285514887</v>
      </c>
      <c r="G21" s="6">
        <v>194.87916024548554</v>
      </c>
      <c r="H21" s="6">
        <f t="shared" si="0"/>
        <v>720885.89201539441</v>
      </c>
      <c r="I21" s="36">
        <f>VLOOKUP($A21,[18]HISTOMARS23!$A$6:$AQ$40,22,0)</f>
        <v>0</v>
      </c>
      <c r="J21" s="36">
        <f>VLOOKUP($A21,[18]HISTOMARS23!$A$6:$AU$36,45,0)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VLOOKUP($A21,[18]HISTOMARS23!$A$6:$AU$36,7,0)</f>
        <v>0</v>
      </c>
      <c r="P21" s="36">
        <f>VLOOKUP($A21,[18]HISTOMARS23!$A$6:$AU$36,23,0)</f>
        <v>0</v>
      </c>
      <c r="Q21" s="36">
        <f>VLOOKUP($A21,[18]HISTOMARS23!$A$6:$AU$36,46,0)</f>
        <v>0</v>
      </c>
      <c r="R21" s="36">
        <f>VLOOKUP($A21,[18]HISTOMARS23!$A$6:$AU$36,26,0)</f>
        <v>0</v>
      </c>
      <c r="S21" s="36">
        <f>VLOOKUP($A21,[18]HISTOMARS23!$A$6:$BG$36,58,0)</f>
        <v>0</v>
      </c>
      <c r="T21" s="36">
        <f>VLOOKUP($A21,[18]HISTOMARS23!$A$6:$AU$36,28,0)</f>
        <v>0</v>
      </c>
      <c r="U21" s="36">
        <f>VLOOKUP($A21,[18]HISTOMARS23!$A$6:$AU$36,19,0)</f>
        <v>0</v>
      </c>
      <c r="V21" s="36">
        <f>VLOOKUP($A21,[18]HISTOMARS23!$A$6:$AU$36,20,0)</f>
        <v>0</v>
      </c>
      <c r="W21" s="36">
        <f>VLOOKUP($A21,[18]HISTOMARS23!$A$6:$AU$36,27,0)</f>
        <v>0</v>
      </c>
      <c r="X21" s="36">
        <f>VLOOKUP($A21,[18]HISTOMARS23!$A$6:$BM$36,33,0)</f>
        <v>0</v>
      </c>
      <c r="Y21" s="36">
        <f>VLOOKUP($A21,[18]HISTOMARS23!$A$6:$BM$36,65,0)</f>
        <v>0</v>
      </c>
      <c r="Z21" s="36"/>
      <c r="AA21" s="36">
        <f>VLOOKUP($A21,[18]HISTOMARS23!$A$6:$AU$36,43,0)</f>
        <v>0</v>
      </c>
      <c r="AB21" s="36">
        <f>VLOOKUP($A21,[18]HISTOMARS23!$A$6:$AU$36,44,0)</f>
        <v>0</v>
      </c>
      <c r="AC21" s="36">
        <f>VLOOKUP($A21,[18]HISTOMARS23!$A$6:$AU$36,47,0)</f>
        <v>0</v>
      </c>
      <c r="AD21" s="36">
        <f>VLOOKUP(A21,[18]HISTOMARS23!$A$6:$BB$36,54,0)</f>
        <v>0</v>
      </c>
      <c r="AE21" s="36">
        <f>VLOOKUP($A21,[18]HISTOMARS23!$A$6:$CA$36,60,0)</f>
        <v>0</v>
      </c>
      <c r="AF21" s="36">
        <f>VLOOKUP($A21,[18]HISTOMARS23!$A$6:$CA$36,61,0)</f>
        <v>0</v>
      </c>
      <c r="AG21" s="36">
        <f>VLOOKUP($A21,[18]HISTOMARS23!$A$6:$CA$36,62,0)</f>
        <v>0</v>
      </c>
      <c r="AH21" s="36">
        <f>VLOOKUP($A21,[18]HISTOMARS23!$A$6:$CA$36,63,0)</f>
        <v>0</v>
      </c>
      <c r="AI21" s="36">
        <f>VLOOKUP($A21,[18]HISTOMARS23!$A$6:$CA$36,64,0)</f>
        <v>0</v>
      </c>
      <c r="AJ21" s="36">
        <f>VLOOKUP($A21,[18]HISTOMARS23!$A$6:$CA$36,65,0)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VLOOKUP($A22,[18]HISTOMARS23!$A$6:$BA$36,48,0)</f>
        <v>0</v>
      </c>
      <c r="F22" s="5">
        <f>MVTFEV23!F22+MVTFEV23!G22-MVTMARS23!E22+K22</f>
        <v>816087.52919901803</v>
      </c>
      <c r="G22" s="6">
        <v>220.67494882038</v>
      </c>
      <c r="H22" s="6">
        <f t="shared" si="0"/>
        <v>816308.20414783841</v>
      </c>
      <c r="I22" s="36">
        <f>VLOOKUP($A22,[18]HISTOMARS23!$A$6:$AQ$40,22,0)</f>
        <v>0</v>
      </c>
      <c r="J22" s="36">
        <f>VLOOKUP($A22,[18]HISTOMARS23!$A$6:$AU$36,45,0)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VLOOKUP($A22,[18]HISTOMARS23!$A$6:$AU$36,7,0)</f>
        <v>0</v>
      </c>
      <c r="P22" s="36">
        <f>VLOOKUP($A22,[18]HISTOMARS23!$A$6:$AU$36,23,0)</f>
        <v>0</v>
      </c>
      <c r="Q22" s="36">
        <f>VLOOKUP($A22,[18]HISTOMARS23!$A$6:$AU$36,46,0)</f>
        <v>0</v>
      </c>
      <c r="R22" s="36">
        <f>VLOOKUP($A22,[18]HISTOMARS23!$A$6:$AU$36,26,0)</f>
        <v>0</v>
      </c>
      <c r="S22" s="36">
        <f>VLOOKUP($A22,[18]HISTOMARS23!$A$6:$BG$36,58,0)</f>
        <v>0</v>
      </c>
      <c r="T22" s="36">
        <f>VLOOKUP($A22,[18]HISTOMARS23!$A$6:$AU$36,28,0)</f>
        <v>0</v>
      </c>
      <c r="U22" s="36">
        <f>VLOOKUP($A22,[18]HISTOMARS23!$A$6:$AU$36,19,0)</f>
        <v>0</v>
      </c>
      <c r="V22" s="36">
        <f>VLOOKUP($A22,[18]HISTOMARS23!$A$6:$AU$36,20,0)</f>
        <v>0</v>
      </c>
      <c r="W22" s="36">
        <f>VLOOKUP($A22,[18]HISTOMARS23!$A$6:$AU$36,27,0)</f>
        <v>0</v>
      </c>
      <c r="X22" s="36">
        <f>VLOOKUP($A22,[18]HISTOMARS23!$A$6:$BM$36,33,0)</f>
        <v>0</v>
      </c>
      <c r="Y22" s="36">
        <f>VLOOKUP($A22,[18]HISTOMARS23!$A$6:$BM$36,65,0)</f>
        <v>0</v>
      </c>
      <c r="Z22" s="36"/>
      <c r="AA22" s="36">
        <f>VLOOKUP($A22,[18]HISTOMARS23!$A$6:$AU$36,43,0)</f>
        <v>0</v>
      </c>
      <c r="AB22" s="36">
        <f>VLOOKUP($A22,[18]HISTOMARS23!$A$6:$AU$36,44,0)</f>
        <v>0</v>
      </c>
      <c r="AC22" s="36">
        <f>VLOOKUP($A22,[18]HISTOMARS23!$A$6:$AU$36,47,0)</f>
        <v>0</v>
      </c>
      <c r="AD22" s="36">
        <f>VLOOKUP(A22,[18]HISTOMARS23!$A$6:$BB$36,54,0)</f>
        <v>0</v>
      </c>
      <c r="AE22" s="36">
        <f>VLOOKUP($A22,[18]HISTOMARS23!$A$6:$CA$36,60,0)</f>
        <v>0</v>
      </c>
      <c r="AF22" s="36">
        <f>VLOOKUP($A22,[18]HISTOMARS23!$A$6:$CA$36,61,0)</f>
        <v>0</v>
      </c>
      <c r="AG22" s="36">
        <f>VLOOKUP($A22,[18]HISTOMARS23!$A$6:$CA$36,62,0)</f>
        <v>0</v>
      </c>
      <c r="AH22" s="36">
        <f>VLOOKUP($A22,[18]HISTOMARS23!$A$6:$CA$36,63,0)</f>
        <v>0</v>
      </c>
      <c r="AI22" s="36">
        <f>VLOOKUP($A22,[18]HISTOMARS23!$A$6:$CA$36,64,0)</f>
        <v>0</v>
      </c>
      <c r="AJ22" s="36">
        <f>VLOOKUP($A22,[18]HISTOMARS23!$A$6:$CA$36,65,0)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VLOOKUP($A23,[18]HISTOMARS23!$A$6:$BA$36,48,0)</f>
        <v>0</v>
      </c>
      <c r="F23" s="5">
        <f>MVTFEV23!F23+MVTFEV23!G23-MVTMARS23!E23+K23</f>
        <v>997652.93166154553</v>
      </c>
      <c r="G23" s="6">
        <v>269.77131956788458</v>
      </c>
      <c r="H23" s="6">
        <f t="shared" si="0"/>
        <v>997922.70298111346</v>
      </c>
      <c r="I23" s="36">
        <f>VLOOKUP($A23,[18]HISTOMARS23!$A$6:$AQ$40,22,0)</f>
        <v>0</v>
      </c>
      <c r="J23" s="36">
        <f>VLOOKUP($A23,[18]HISTOMARS23!$A$6:$AU$36,45,0)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VLOOKUP($A23,[18]HISTOMARS23!$A$6:$AU$36,7,0)</f>
        <v>0</v>
      </c>
      <c r="P23" s="36">
        <f>VLOOKUP($A23,[18]HISTOMARS23!$A$6:$AU$36,23,0)</f>
        <v>0</v>
      </c>
      <c r="Q23" s="36">
        <f>VLOOKUP($A23,[18]HISTOMARS23!$A$6:$AU$36,46,0)</f>
        <v>0</v>
      </c>
      <c r="R23" s="36">
        <f>VLOOKUP($A23,[18]HISTOMARS23!$A$6:$AU$36,26,0)</f>
        <v>0</v>
      </c>
      <c r="S23" s="36">
        <f>VLOOKUP($A23,[18]HISTOMARS23!$A$6:$BG$36,58,0)</f>
        <v>0</v>
      </c>
      <c r="T23" s="36">
        <f>VLOOKUP($A23,[18]HISTOMARS23!$A$6:$AU$36,28,0)</f>
        <v>0</v>
      </c>
      <c r="U23" s="36">
        <f>VLOOKUP($A23,[18]HISTOMARS23!$A$6:$AU$36,19,0)</f>
        <v>0</v>
      </c>
      <c r="V23" s="36">
        <f>VLOOKUP($A23,[18]HISTOMARS23!$A$6:$AU$36,20,0)</f>
        <v>0</v>
      </c>
      <c r="W23" s="36">
        <f>VLOOKUP($A23,[18]HISTOMARS23!$A$6:$AU$36,27,0)</f>
        <v>0</v>
      </c>
      <c r="X23" s="36">
        <f>VLOOKUP($A23,[18]HISTOMARS23!$A$6:$BM$36,33,0)</f>
        <v>0</v>
      </c>
      <c r="Y23" s="36">
        <f>VLOOKUP($A23,[18]HISTOMARS23!$A$6:$BM$36,65,0)</f>
        <v>0</v>
      </c>
      <c r="Z23" s="36"/>
      <c r="AA23" s="36">
        <f>VLOOKUP($A23,[18]HISTOMARS23!$A$6:$AU$36,43,0)</f>
        <v>0</v>
      </c>
      <c r="AB23" s="36">
        <f>VLOOKUP($A23,[18]HISTOMARS23!$A$6:$AU$36,44,0)</f>
        <v>0</v>
      </c>
      <c r="AC23" s="36">
        <f>VLOOKUP($A23,[18]HISTOMARS23!$A$6:$AU$36,47,0)</f>
        <v>0</v>
      </c>
      <c r="AD23" s="36">
        <f>VLOOKUP(A23,[18]HISTOMARS23!$A$6:$BB$36,54,0)</f>
        <v>0</v>
      </c>
      <c r="AE23" s="36">
        <f>VLOOKUP($A23,[18]HISTOMARS23!$A$6:$CA$36,60,0)</f>
        <v>0</v>
      </c>
      <c r="AF23" s="36">
        <f>VLOOKUP($A23,[18]HISTOMARS23!$A$6:$CA$36,61,0)</f>
        <v>0</v>
      </c>
      <c r="AG23" s="36">
        <f>VLOOKUP($A23,[18]HISTOMARS23!$A$6:$CA$36,62,0)</f>
        <v>0</v>
      </c>
      <c r="AH23" s="36">
        <f>VLOOKUP($A23,[18]HISTOMARS23!$A$6:$CA$36,63,0)</f>
        <v>0</v>
      </c>
      <c r="AI23" s="36">
        <f>VLOOKUP($A23,[18]HISTOMARS23!$A$6:$CA$36,64,0)</f>
        <v>0</v>
      </c>
      <c r="AJ23" s="36">
        <f>VLOOKUP($A23,[18]HISTOMARS23!$A$6:$CA$36,65,0)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VLOOKUP($A24,[18]HISTOMARS23!$A$6:$BA$36,48,0)</f>
        <v>0</v>
      </c>
      <c r="F24" s="5">
        <f>MVTFEV23!F24+MVTFEV23!G24-MVTMARS23!E24+K24</f>
        <v>705384.62242377293</v>
      </c>
      <c r="G24" s="6">
        <v>190.7402207270936</v>
      </c>
      <c r="H24" s="6">
        <f t="shared" si="0"/>
        <v>705575.36264449998</v>
      </c>
      <c r="I24" s="36">
        <f>VLOOKUP($A24,[18]HISTOMARS23!$A$6:$AQ$40,22,0)</f>
        <v>0</v>
      </c>
      <c r="J24" s="36">
        <f>VLOOKUP($A24,[18]HISTOMARS23!$A$6:$AU$36,45,0)</f>
        <v>15000</v>
      </c>
      <c r="K24" s="36">
        <f>IF(J24=0,0,J24-(L24+M24+N24))-3000</f>
        <v>6000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VLOOKUP($A24,[18]HISTOMARS23!$A$6:$AU$36,7,0)</f>
        <v>3000</v>
      </c>
      <c r="P24" s="36">
        <f>VLOOKUP($A24,[18]HISTOMARS23!$A$6:$AU$36,23,0)</f>
        <v>0</v>
      </c>
      <c r="Q24" s="36">
        <f>VLOOKUP($A24,[18]HISTOMARS23!$A$6:$AU$36,46,0)</f>
        <v>0</v>
      </c>
      <c r="R24" s="36">
        <f>VLOOKUP($A24,[18]HISTOMARS23!$A$6:$AU$36,26,0)</f>
        <v>0</v>
      </c>
      <c r="S24" s="36">
        <f>VLOOKUP($A24,[18]HISTOMARS23!$A$6:$BG$36,58,0)</f>
        <v>0</v>
      </c>
      <c r="T24" s="36">
        <f>VLOOKUP($A24,[18]HISTOMARS23!$A$6:$AU$36,28,0)</f>
        <v>0</v>
      </c>
      <c r="U24" s="36">
        <f>VLOOKUP($A24,[18]HISTOMARS23!$A$6:$AU$36,19,0)</f>
        <v>0</v>
      </c>
      <c r="V24" s="36">
        <f>VLOOKUP($A24,[18]HISTOMARS23!$A$6:$AU$36,20,0)</f>
        <v>0</v>
      </c>
      <c r="W24" s="36">
        <f>VLOOKUP($A24,[18]HISTOMARS23!$A$6:$AU$36,27,0)</f>
        <v>0</v>
      </c>
      <c r="X24" s="36">
        <f>VLOOKUP($A24,[18]HISTOMARS23!$A$6:$BM$36,33,0)</f>
        <v>0</v>
      </c>
      <c r="Y24" s="36">
        <f>VLOOKUP($A24,[18]HISTOMARS23!$A$6:$BM$36,65,0)</f>
        <v>0</v>
      </c>
      <c r="Z24" s="36"/>
      <c r="AA24" s="36">
        <f>VLOOKUP($A24,[18]HISTOMARS23!$A$6:$AU$36,43,0)</f>
        <v>0</v>
      </c>
      <c r="AB24" s="36">
        <f>VLOOKUP($A24,[18]HISTOMARS23!$A$6:$AU$36,44,0)</f>
        <v>0</v>
      </c>
      <c r="AC24" s="36">
        <f>VLOOKUP($A24,[18]HISTOMARS23!$A$6:$AU$36,47,0)</f>
        <v>0</v>
      </c>
      <c r="AD24" s="36">
        <f>VLOOKUP(A24,[18]HISTOMARS23!$A$6:$BB$36,54,0)</f>
        <v>0</v>
      </c>
      <c r="AE24" s="36">
        <f>VLOOKUP($A24,[18]HISTOMARS23!$A$6:$CA$36,60,0)</f>
        <v>0</v>
      </c>
      <c r="AF24" s="36">
        <f>VLOOKUP($A24,[18]HISTOMARS23!$A$6:$CA$36,61,0)</f>
        <v>0</v>
      </c>
      <c r="AG24" s="36">
        <f>VLOOKUP($A24,[18]HISTOMARS23!$A$6:$CA$36,62,0)</f>
        <v>0</v>
      </c>
      <c r="AH24" s="36">
        <f>VLOOKUP($A24,[18]HISTOMARS23!$A$6:$CA$36,63,0)</f>
        <v>0</v>
      </c>
      <c r="AI24" s="36">
        <f>VLOOKUP($A24,[18]HISTOMARS23!$A$6:$CA$36,64,0)</f>
        <v>0</v>
      </c>
      <c r="AJ24" s="36">
        <f>VLOOKUP($A24,[18]HISTOMARS23!$A$6:$CA$36,65,0)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VLOOKUP($A25,[18]HISTOMARS23!$A$6:$BA$36,48,0)</f>
        <v>0</v>
      </c>
      <c r="F25" s="5">
        <f>MVTFEV23!F25+MVTFEV23!G25-MVTMARS23!E25+K25</f>
        <v>671597.92528933671</v>
      </c>
      <c r="G25" s="6">
        <v>181.60409574762082</v>
      </c>
      <c r="H25" s="6">
        <f t="shared" si="0"/>
        <v>671779.52938508429</v>
      </c>
      <c r="I25" s="36">
        <f>VLOOKUP($A25,[18]HISTOMARS23!$A$6:$AQ$40,22,0)</f>
        <v>0</v>
      </c>
      <c r="J25" s="36">
        <f>VLOOKUP($A25,[18]HISTOMARS23!$A$6:$AU$36,45,0)</f>
        <v>5000</v>
      </c>
      <c r="K25" s="36">
        <f t="shared" si="1"/>
        <v>0</v>
      </c>
      <c r="L25" s="36">
        <f>IF(J25=0,0,1000)-1000</f>
        <v>0</v>
      </c>
      <c r="M25" s="36">
        <f t="shared" si="2"/>
        <v>1000</v>
      </c>
      <c r="N25" s="36">
        <f t="shared" si="4"/>
        <v>4000</v>
      </c>
      <c r="O25" s="36">
        <f>VLOOKUP($A25,[18]HISTOMARS23!$A$6:$AU$36,7,0)</f>
        <v>0</v>
      </c>
      <c r="P25" s="36">
        <f>VLOOKUP($A25,[18]HISTOMARS23!$A$6:$AU$36,23,0)</f>
        <v>0</v>
      </c>
      <c r="Q25" s="36">
        <f>VLOOKUP($A25,[18]HISTOMARS23!$A$6:$AU$36,46,0)</f>
        <v>0</v>
      </c>
      <c r="R25" s="36">
        <f>VLOOKUP($A25,[18]HISTOMARS23!$A$6:$AU$36,26,0)</f>
        <v>0</v>
      </c>
      <c r="S25" s="36">
        <f>VLOOKUP($A25,[18]HISTOMARS23!$A$6:$BG$36,58,0)</f>
        <v>0</v>
      </c>
      <c r="T25" s="36">
        <f>VLOOKUP($A25,[18]HISTOMARS23!$A$6:$AU$36,28,0)</f>
        <v>0</v>
      </c>
      <c r="U25" s="36">
        <f>VLOOKUP($A25,[18]HISTOMARS23!$A$6:$AU$36,19,0)</f>
        <v>0</v>
      </c>
      <c r="V25" s="36">
        <f>VLOOKUP($A25,[18]HISTOMARS23!$A$6:$AU$36,20,0)</f>
        <v>0</v>
      </c>
      <c r="W25" s="36">
        <f>VLOOKUP($A25,[18]HISTOMARS23!$A$6:$AU$36,27,0)</f>
        <v>0</v>
      </c>
      <c r="X25" s="36">
        <f>VLOOKUP($A25,[18]HISTOMARS23!$A$6:$BM$36,33,0)</f>
        <v>0</v>
      </c>
      <c r="Y25" s="36">
        <f>VLOOKUP($A25,[18]HISTOMARS23!$A$6:$BM$36,65,0)</f>
        <v>0</v>
      </c>
      <c r="Z25" s="36"/>
      <c r="AA25" s="36">
        <f>VLOOKUP($A25,[18]HISTOMARS23!$A$6:$AU$36,43,0)</f>
        <v>0</v>
      </c>
      <c r="AB25" s="36">
        <f>VLOOKUP($A25,[18]HISTOMARS23!$A$6:$AU$36,44,0)</f>
        <v>0</v>
      </c>
      <c r="AC25" s="36">
        <f>VLOOKUP($A25,[18]HISTOMARS23!$A$6:$AU$36,47,0)</f>
        <v>0</v>
      </c>
      <c r="AD25" s="36">
        <f>VLOOKUP(A25,[18]HISTOMARS23!$A$6:$BB$36,54,0)</f>
        <v>0</v>
      </c>
      <c r="AE25" s="36">
        <f>VLOOKUP($A25,[18]HISTOMARS23!$A$6:$CA$36,60,0)</f>
        <v>0</v>
      </c>
      <c r="AF25" s="36">
        <f>VLOOKUP($A25,[18]HISTOMARS23!$A$6:$CA$36,61,0)</f>
        <v>0</v>
      </c>
      <c r="AG25" s="36">
        <f>VLOOKUP($A25,[18]HISTOMARS23!$A$6:$CA$36,62,0)</f>
        <v>0</v>
      </c>
      <c r="AH25" s="36">
        <f>VLOOKUP($A25,[18]HISTOMARS23!$A$6:$CA$36,63,0)</f>
        <v>0</v>
      </c>
      <c r="AI25" s="36">
        <f>VLOOKUP($A25,[18]HISTOMARS23!$A$6:$CA$36,64,0)</f>
        <v>0</v>
      </c>
      <c r="AJ25" s="36">
        <f>VLOOKUP($A25,[18]HISTOMARS23!$A$6:$CA$36,65,0)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VLOOKUP($A26,[18]HISTOMARS23!$A$6:$BA$36,48,0)</f>
        <v>0</v>
      </c>
      <c r="F26" s="5">
        <f>MVTFEV23!F26+MVTFEV23!G26-MVTMARS23!E26+K26</f>
        <v>666624.91151315358</v>
      </c>
      <c r="G26" s="6">
        <v>180.25936307952162</v>
      </c>
      <c r="H26" s="6">
        <f t="shared" si="0"/>
        <v>666805.17087623314</v>
      </c>
      <c r="I26" s="36">
        <f>VLOOKUP($A26,[18]HISTOMARS23!$A$6:$AQ$40,22,0)</f>
        <v>0</v>
      </c>
      <c r="J26" s="36">
        <f>VLOOKUP($A26,[18]HISTOMARS23!$A$6:$AU$36,45,0)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VLOOKUP($A26,[18]HISTOMARS23!$A$6:$AU$36,7,0)</f>
        <v>3000</v>
      </c>
      <c r="P26" s="36">
        <f>VLOOKUP($A26,[18]HISTOMARS23!$A$6:$AU$36,23,0)</f>
        <v>0</v>
      </c>
      <c r="Q26" s="36">
        <f>VLOOKUP($A26,[18]HISTOMARS23!$A$6:$AU$36,46,0)</f>
        <v>0</v>
      </c>
      <c r="R26" s="36">
        <f>VLOOKUP($A26,[18]HISTOMARS23!$A$6:$AU$36,26,0)</f>
        <v>0</v>
      </c>
      <c r="S26" s="36">
        <f>VLOOKUP($A26,[18]HISTOMARS23!$A$6:$BG$36,58,0)</f>
        <v>0</v>
      </c>
      <c r="T26" s="36">
        <f>VLOOKUP($A26,[18]HISTOMARS23!$A$6:$AU$36,28,0)</f>
        <v>0</v>
      </c>
      <c r="U26" s="36">
        <f>VLOOKUP($A26,[18]HISTOMARS23!$A$6:$AU$36,19,0)</f>
        <v>0</v>
      </c>
      <c r="V26" s="36">
        <f>VLOOKUP($A26,[18]HISTOMARS23!$A$6:$AU$36,20,0)</f>
        <v>0</v>
      </c>
      <c r="W26" s="36">
        <f>VLOOKUP($A26,[18]HISTOMARS23!$A$6:$AU$36,27,0)</f>
        <v>0</v>
      </c>
      <c r="X26" s="36">
        <f>VLOOKUP($A26,[18]HISTOMARS23!$A$6:$BM$36,33,0)</f>
        <v>0</v>
      </c>
      <c r="Y26" s="36">
        <f>VLOOKUP($A26,[18]HISTOMARS23!$A$6:$BM$36,65,0)</f>
        <v>0</v>
      </c>
      <c r="Z26" s="36"/>
      <c r="AA26" s="36">
        <f>VLOOKUP($A26,[18]HISTOMARS23!$A$6:$AU$36,43,0)</f>
        <v>0</v>
      </c>
      <c r="AB26" s="36">
        <f>VLOOKUP($A26,[18]HISTOMARS23!$A$6:$AU$36,44,0)</f>
        <v>0</v>
      </c>
      <c r="AC26" s="36">
        <f>VLOOKUP($A26,[18]HISTOMARS23!$A$6:$AU$36,47,0)</f>
        <v>0</v>
      </c>
      <c r="AD26" s="36">
        <f>VLOOKUP(A26,[18]HISTOMARS23!$A$6:$BB$36,54,0)</f>
        <v>0</v>
      </c>
      <c r="AE26" s="36">
        <f>VLOOKUP($A26,[18]HISTOMARS23!$A$6:$CA$36,60,0)</f>
        <v>0</v>
      </c>
      <c r="AF26" s="36">
        <f>VLOOKUP($A26,[18]HISTOMARS23!$A$6:$CA$36,61,0)</f>
        <v>0</v>
      </c>
      <c r="AG26" s="36">
        <f>VLOOKUP($A26,[18]HISTOMARS23!$A$6:$CA$36,62,0)</f>
        <v>0</v>
      </c>
      <c r="AH26" s="36">
        <f>VLOOKUP($A26,[18]HISTOMARS23!$A$6:$CA$36,63,0)</f>
        <v>0</v>
      </c>
      <c r="AI26" s="36">
        <f>VLOOKUP($A26,[18]HISTOMARS23!$A$6:$CA$36,64,0)</f>
        <v>0</v>
      </c>
      <c r="AJ26" s="36">
        <f>VLOOKUP($A26,[18]HISTOMARS23!$A$6:$CA$36,65,0)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VLOOKUP($A27,[18]HISTOMARS23!$A$6:$BA$36,48,0)</f>
        <v>0</v>
      </c>
      <c r="F27" s="5">
        <f>MVTFEV23!F27+MVTFEV23!G27-MVTMARS23!E27+K27</f>
        <v>37000</v>
      </c>
      <c r="G27" s="6">
        <v>0</v>
      </c>
      <c r="H27" s="6">
        <f t="shared" si="0"/>
        <v>37000</v>
      </c>
      <c r="I27" s="36">
        <f>VLOOKUP($A27,[18]HISTOMARS23!$A$6:$AQ$40,22,0)</f>
        <v>0</v>
      </c>
      <c r="J27" s="36">
        <f>VLOOKUP($A27,[18]HISTOMARS23!$A$6:$AU$36,45,0)</f>
        <v>25000</v>
      </c>
      <c r="K27" s="36">
        <f t="shared" si="1"/>
        <v>19000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VLOOKUP($A27,[18]HISTOMARS23!$A$6:$AU$36,7,0)</f>
        <v>0</v>
      </c>
      <c r="P27" s="36">
        <f>VLOOKUP($A27,[18]HISTOMARS23!$A$6:$AU$36,23,0)</f>
        <v>0</v>
      </c>
      <c r="Q27" s="36">
        <f>VLOOKUP($A27,[18]HISTOMARS23!$A$6:$AU$36,46,0)</f>
        <v>0</v>
      </c>
      <c r="R27" s="36">
        <f>VLOOKUP($A27,[18]HISTOMARS23!$A$6:$AU$36,26,0)</f>
        <v>0</v>
      </c>
      <c r="S27" s="36">
        <f>VLOOKUP($A27,[18]HISTOMARS23!$A$6:$BG$36,58,0)</f>
        <v>0</v>
      </c>
      <c r="T27" s="36">
        <f>VLOOKUP($A27,[18]HISTOMARS23!$A$6:$AU$36,28,0)</f>
        <v>0</v>
      </c>
      <c r="U27" s="36">
        <f>VLOOKUP($A27,[18]HISTOMARS23!$A$6:$AU$36,19,0)</f>
        <v>0</v>
      </c>
      <c r="V27" s="36">
        <f>VLOOKUP($A27,[18]HISTOMARS23!$A$6:$AU$36,20,0)</f>
        <v>0</v>
      </c>
      <c r="W27" s="36">
        <f>VLOOKUP($A27,[18]HISTOMARS23!$A$6:$AU$36,27,0)</f>
        <v>0</v>
      </c>
      <c r="X27" s="36">
        <f>VLOOKUP($A27,[18]HISTOMARS23!$A$6:$BM$36,33,0)</f>
        <v>0</v>
      </c>
      <c r="Y27" s="36">
        <f>VLOOKUP($A27,[18]HISTOMARS23!$A$6:$BM$36,65,0)</f>
        <v>0</v>
      </c>
      <c r="Z27" s="36"/>
      <c r="AA27" s="36">
        <f>VLOOKUP($A27,[18]HISTOMARS23!$A$6:$AU$36,43,0)</f>
        <v>0</v>
      </c>
      <c r="AB27" s="36">
        <f>VLOOKUP($A27,[18]HISTOMARS23!$A$6:$AU$36,44,0)</f>
        <v>0</v>
      </c>
      <c r="AC27" s="36">
        <f>VLOOKUP($A27,[18]HISTOMARS23!$A$6:$AU$36,47,0)</f>
        <v>0</v>
      </c>
      <c r="AD27" s="36">
        <f>VLOOKUP(A27,[18]HISTOMARS23!$A$6:$BB$36,54,0)</f>
        <v>0</v>
      </c>
      <c r="AE27" s="36">
        <f>VLOOKUP($A27,[18]HISTOMARS23!$A$6:$CA$36,60,0)</f>
        <v>0</v>
      </c>
      <c r="AF27" s="36">
        <f>VLOOKUP($A27,[18]HISTOMARS23!$A$6:$CA$36,61,0)</f>
        <v>0</v>
      </c>
      <c r="AG27" s="36">
        <f>VLOOKUP($A27,[18]HISTOMARS23!$A$6:$CA$36,62,0)</f>
        <v>0</v>
      </c>
      <c r="AH27" s="36">
        <f>VLOOKUP($A27,[18]HISTOMARS23!$A$6:$CA$36,63,0)</f>
        <v>0</v>
      </c>
      <c r="AI27" s="36">
        <f>VLOOKUP($A27,[18]HISTOMARS23!$A$6:$CA$36,64,0)</f>
        <v>0</v>
      </c>
      <c r="AJ27" s="36">
        <f>VLOOKUP($A27,[18]HISTOMARS23!$A$6:$CA$36,65,0)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VLOOKUP($A28,[18]HISTOMARS23!$A$6:$BA$36,48,0)</f>
        <v>0</v>
      </c>
      <c r="F28" s="5">
        <f>MVTFEV23!F28+MVTFEV23!G28-MVTMARS23!E28+K28</f>
        <v>688858.14609503525</v>
      </c>
      <c r="G28" s="6">
        <v>186.27136268486268</v>
      </c>
      <c r="H28" s="6">
        <f t="shared" si="0"/>
        <v>689044.41745772015</v>
      </c>
      <c r="I28" s="36">
        <f>VLOOKUP($A28,[18]HISTOMARS23!$A$6:$AQ$40,22,0)</f>
        <v>0</v>
      </c>
      <c r="J28" s="36">
        <f>VLOOKUP($A28,[18]HISTOMARS23!$A$6:$AU$36,45,0)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VLOOKUP($A28,[18]HISTOMARS23!$A$6:$AU$36,7,0)</f>
        <v>0</v>
      </c>
      <c r="P28" s="36">
        <f>VLOOKUP($A28,[18]HISTOMARS23!$A$6:$AU$36,23,0)</f>
        <v>0</v>
      </c>
      <c r="Q28" s="36">
        <f>VLOOKUP($A28,[18]HISTOMARS23!$A$6:$AU$36,46,0)</f>
        <v>0</v>
      </c>
      <c r="R28" s="36">
        <f>VLOOKUP($A28,[18]HISTOMARS23!$A$6:$AU$36,26,0)</f>
        <v>0</v>
      </c>
      <c r="S28" s="36">
        <f>VLOOKUP($A28,[18]HISTOMARS23!$A$6:$BG$36,58,0)</f>
        <v>0</v>
      </c>
      <c r="T28" s="36">
        <f>VLOOKUP($A28,[18]HISTOMARS23!$A$6:$AU$36,28,0)</f>
        <v>0</v>
      </c>
      <c r="U28" s="36">
        <f>VLOOKUP($A28,[18]HISTOMARS23!$A$6:$AU$36,19,0)</f>
        <v>0</v>
      </c>
      <c r="V28" s="36">
        <f>VLOOKUP($A28,[18]HISTOMARS23!$A$6:$AU$36,20,0)</f>
        <v>0</v>
      </c>
      <c r="W28" s="36">
        <f>VLOOKUP($A28,[18]HISTOMARS23!$A$6:$AU$36,27,0)</f>
        <v>0</v>
      </c>
      <c r="X28" s="36">
        <f>VLOOKUP($A28,[18]HISTOMARS23!$A$6:$BM$36,33,0)</f>
        <v>0</v>
      </c>
      <c r="Y28" s="36">
        <f>VLOOKUP($A28,[18]HISTOMARS23!$A$6:$BM$36,65,0)</f>
        <v>0</v>
      </c>
      <c r="Z28" s="36"/>
      <c r="AA28" s="36">
        <f>VLOOKUP($A28,[18]HISTOMARS23!$A$6:$AU$36,43,0)</f>
        <v>0</v>
      </c>
      <c r="AB28" s="36">
        <f>VLOOKUP($A28,[18]HISTOMARS23!$A$6:$AU$36,44,0)</f>
        <v>0</v>
      </c>
      <c r="AC28" s="36">
        <f>VLOOKUP($A28,[18]HISTOMARS23!$A$6:$AU$36,47,0)</f>
        <v>0</v>
      </c>
      <c r="AD28" s="36">
        <f>VLOOKUP(A28,[18]HISTOMARS23!$A$6:$BB$36,54,0)</f>
        <v>0</v>
      </c>
      <c r="AE28" s="36">
        <f>VLOOKUP($A28,[18]HISTOMARS23!$A$6:$CA$36,60,0)</f>
        <v>0</v>
      </c>
      <c r="AF28" s="36">
        <f>VLOOKUP($A28,[18]HISTOMARS23!$A$6:$CA$36,61,0)</f>
        <v>0</v>
      </c>
      <c r="AG28" s="36">
        <f>VLOOKUP($A28,[18]HISTOMARS23!$A$6:$CA$36,62,0)</f>
        <v>0</v>
      </c>
      <c r="AH28" s="36">
        <f>VLOOKUP($A28,[18]HISTOMARS23!$A$6:$CA$36,63,0)</f>
        <v>0</v>
      </c>
      <c r="AI28" s="36">
        <f>VLOOKUP($A28,[18]HISTOMARS23!$A$6:$CA$36,64,0)</f>
        <v>0</v>
      </c>
      <c r="AJ28" s="36">
        <f>VLOOKUP($A28,[18]HISTOMARS23!$A$6:$CA$36,65,0)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VLOOKUP($A29,[18]HISTOMARS23!$A$6:$BA$36,48,0)</f>
        <v>0</v>
      </c>
      <c r="F29" s="5">
        <f>MVTFEV23!F29+MVTFEV23!G29-MVTMARS23!E29+K29</f>
        <v>27000</v>
      </c>
      <c r="G29" s="6">
        <v>0</v>
      </c>
      <c r="H29" s="6">
        <f t="shared" si="0"/>
        <v>27000</v>
      </c>
      <c r="I29" s="36">
        <f>VLOOKUP($A29,[18]HISTOMARS23!$A$6:$AQ$40,22,0)</f>
        <v>0</v>
      </c>
      <c r="J29" s="36">
        <f>VLOOKUP($A29,[18]HISTOMARS23!$A$6:$AU$36,45,0)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VLOOKUP($A29,[18]HISTOMARS23!$A$6:$AU$36,7,0)</f>
        <v>0</v>
      </c>
      <c r="P29" s="36">
        <f>VLOOKUP($A29,[18]HISTOMARS23!$A$6:$AU$36,23,0)</f>
        <v>0</v>
      </c>
      <c r="Q29" s="36">
        <f>VLOOKUP($A29,[18]HISTOMARS23!$A$6:$AU$36,46,0)</f>
        <v>0</v>
      </c>
      <c r="R29" s="36">
        <f>VLOOKUP($A29,[18]HISTOMARS23!$A$6:$AU$36,26,0)</f>
        <v>0</v>
      </c>
      <c r="S29" s="36">
        <f>VLOOKUP($A29,[18]HISTOMARS23!$A$6:$BG$36,58,0)</f>
        <v>0</v>
      </c>
      <c r="T29" s="36">
        <f>VLOOKUP($A29,[18]HISTOMARS23!$A$6:$AU$36,28,0)</f>
        <v>0</v>
      </c>
      <c r="U29" s="36">
        <f>VLOOKUP($A29,[18]HISTOMARS23!$A$6:$AU$36,19,0)</f>
        <v>0</v>
      </c>
      <c r="V29" s="36">
        <f>VLOOKUP($A29,[18]HISTOMARS23!$A$6:$AU$36,20,0)</f>
        <v>0</v>
      </c>
      <c r="W29" s="36">
        <f>VLOOKUP($A29,[18]HISTOMARS23!$A$6:$AU$36,27,0)</f>
        <v>0</v>
      </c>
      <c r="X29" s="36">
        <f>VLOOKUP($A29,[18]HISTOMARS23!$A$6:$BM$36,33,0)</f>
        <v>0</v>
      </c>
      <c r="Y29" s="36">
        <f>VLOOKUP($A29,[18]HISTOMARS23!$A$6:$BM$36,65,0)</f>
        <v>0</v>
      </c>
      <c r="Z29" s="36"/>
      <c r="AA29" s="36">
        <f>VLOOKUP($A29,[18]HISTOMARS23!$A$6:$AU$36,43,0)</f>
        <v>0</v>
      </c>
      <c r="AB29" s="36">
        <f>VLOOKUP($A29,[18]HISTOMARS23!$A$6:$AU$36,44,0)</f>
        <v>0</v>
      </c>
      <c r="AC29" s="36">
        <f>VLOOKUP($A29,[18]HISTOMARS23!$A$6:$AU$36,47,0)</f>
        <v>0</v>
      </c>
      <c r="AD29" s="36">
        <f>VLOOKUP(A29,[18]HISTOMARS23!$A$6:$BB$36,54,0)</f>
        <v>0</v>
      </c>
      <c r="AE29" s="36">
        <f>VLOOKUP($A29,[18]HISTOMARS23!$A$6:$CA$36,60,0)</f>
        <v>0</v>
      </c>
      <c r="AF29" s="36">
        <f>VLOOKUP($A29,[18]HISTOMARS23!$A$6:$CA$36,61,0)</f>
        <v>0</v>
      </c>
      <c r="AG29" s="36">
        <f>VLOOKUP($A29,[18]HISTOMARS23!$A$6:$CA$36,62,0)</f>
        <v>0</v>
      </c>
      <c r="AH29" s="36">
        <f>VLOOKUP($A29,[18]HISTOMARS23!$A$6:$CA$36,63,0)</f>
        <v>0</v>
      </c>
      <c r="AI29" s="36">
        <f>VLOOKUP($A29,[18]HISTOMARS23!$A$6:$CA$36,64,0)</f>
        <v>0</v>
      </c>
      <c r="AJ29" s="36">
        <f>VLOOKUP($A29,[18]HISTOMARS23!$A$6:$CA$36,65,0)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VLOOKUP($A30,[18]HISTOMARS23!$A$6:$BA$36,48,0)</f>
        <v>0</v>
      </c>
      <c r="F30" s="5">
        <f>MVTFEV23!F30+MVTFEV23!G30-MVTMARS23!E30+K30</f>
        <v>879809.48757680063</v>
      </c>
      <c r="G30" s="6">
        <v>237.90574747938305</v>
      </c>
      <c r="H30" s="6">
        <f t="shared" si="0"/>
        <v>880047.39332428004</v>
      </c>
      <c r="I30" s="36">
        <f>VLOOKUP($A30,[18]HISTOMARS23!$A$6:$AQ$40,22,0)</f>
        <v>0</v>
      </c>
      <c r="J30" s="36">
        <f>VLOOKUP($A30,[18]HISTOMARS23!$A$6:$AU$36,45,0)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VLOOKUP($A30,[18]HISTOMARS23!$A$6:$AU$36,7,0)</f>
        <v>0</v>
      </c>
      <c r="P30" s="36">
        <f>VLOOKUP($A30,[18]HISTOMARS23!$A$6:$AU$36,23,0)</f>
        <v>0</v>
      </c>
      <c r="Q30" s="36">
        <f>VLOOKUP($A30,[18]HISTOMARS23!$A$6:$AU$36,46,0)</f>
        <v>0</v>
      </c>
      <c r="R30" s="36">
        <f>VLOOKUP($A30,[18]HISTOMARS23!$A$6:$AU$36,26,0)</f>
        <v>0</v>
      </c>
      <c r="S30" s="36">
        <f>VLOOKUP($A30,[18]HISTOMARS23!$A$6:$BG$36,58,0)</f>
        <v>0</v>
      </c>
      <c r="T30" s="36">
        <f>VLOOKUP($A30,[18]HISTOMARS23!$A$6:$AU$36,28,0)</f>
        <v>0</v>
      </c>
      <c r="U30" s="36">
        <f>VLOOKUP($A30,[18]HISTOMARS23!$A$6:$AU$36,19,0)</f>
        <v>0</v>
      </c>
      <c r="V30" s="36">
        <f>VLOOKUP($A30,[18]HISTOMARS23!$A$6:$AU$36,20,0)</f>
        <v>0</v>
      </c>
      <c r="W30" s="36">
        <f>VLOOKUP($A30,[18]HISTOMARS23!$A$6:$AU$36,27,0)</f>
        <v>0</v>
      </c>
      <c r="X30" s="36">
        <f>VLOOKUP($A30,[18]HISTOMARS23!$A$6:$BM$36,33,0)</f>
        <v>0</v>
      </c>
      <c r="Y30" s="36">
        <f>VLOOKUP($A30,[18]HISTOMARS23!$A$6:$BM$36,65,0)</f>
        <v>0</v>
      </c>
      <c r="Z30" s="36"/>
      <c r="AA30" s="36">
        <f>VLOOKUP($A30,[18]HISTOMARS23!$A$6:$AU$36,43,0)</f>
        <v>0</v>
      </c>
      <c r="AB30" s="36">
        <f>VLOOKUP($A30,[18]HISTOMARS23!$A$6:$AU$36,44,0)</f>
        <v>0</v>
      </c>
      <c r="AC30" s="36">
        <f>VLOOKUP($A30,[18]HISTOMARS23!$A$6:$AU$36,47,0)</f>
        <v>0</v>
      </c>
      <c r="AD30" s="36">
        <f>VLOOKUP(A30,[18]HISTOMARS23!$A$6:$BB$36,54,0)</f>
        <v>0</v>
      </c>
      <c r="AE30" s="36">
        <f>VLOOKUP($A30,[18]HISTOMARS23!$A$6:$CA$36,60,0)</f>
        <v>0</v>
      </c>
      <c r="AF30" s="36">
        <f>VLOOKUP($A30,[18]HISTOMARS23!$A$6:$CA$36,61,0)</f>
        <v>0</v>
      </c>
      <c r="AG30" s="36">
        <f>VLOOKUP($A30,[18]HISTOMARS23!$A$6:$CA$36,62,0)</f>
        <v>0</v>
      </c>
      <c r="AH30" s="36">
        <f>VLOOKUP($A30,[18]HISTOMARS23!$A$6:$CA$36,63,0)</f>
        <v>0</v>
      </c>
      <c r="AI30" s="36">
        <f>VLOOKUP($A30,[18]HISTOMARS23!$A$6:$CA$36,64,0)</f>
        <v>0</v>
      </c>
      <c r="AJ30" s="36">
        <f>VLOOKUP($A30,[18]HISTOMARS23!$A$6:$CA$36,65,0)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VLOOKUP($A31,[18]HISTOMARS23!$A$6:$BA$36,48,0)</f>
        <v>0</v>
      </c>
      <c r="F31" s="5">
        <f>MVTFEV23!F31+MVTFEV23!G31-MVTMARS23!E31+K31</f>
        <v>886501.71891000576</v>
      </c>
      <c r="G31" s="6">
        <v>239.71536685734199</v>
      </c>
      <c r="H31" s="6">
        <f t="shared" si="0"/>
        <v>886741.43427686312</v>
      </c>
      <c r="I31" s="36">
        <f>VLOOKUP($A31,[18]HISTOMARS23!$A$6:$AQ$40,22,0)</f>
        <v>0</v>
      </c>
      <c r="J31" s="36">
        <f>VLOOKUP($A31,[18]HISTOMARS23!$A$6:$AU$36,45,0)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VLOOKUP($A31,[18]HISTOMARS23!$A$6:$AU$36,7,0)</f>
        <v>0</v>
      </c>
      <c r="P31" s="36">
        <f>VLOOKUP($A31,[18]HISTOMARS23!$A$6:$AU$36,23,0)</f>
        <v>0</v>
      </c>
      <c r="Q31" s="36">
        <f>VLOOKUP($A31,[18]HISTOMARS23!$A$6:$AU$36,46,0)</f>
        <v>0</v>
      </c>
      <c r="R31" s="36">
        <f>VLOOKUP($A31,[18]HISTOMARS23!$A$6:$AU$36,26,0)</f>
        <v>0</v>
      </c>
      <c r="S31" s="36">
        <f>VLOOKUP($A31,[18]HISTOMARS23!$A$6:$BG$36,58,0)</f>
        <v>0</v>
      </c>
      <c r="T31" s="36">
        <f>VLOOKUP($A31,[18]HISTOMARS23!$A$6:$AU$36,28,0)</f>
        <v>0</v>
      </c>
      <c r="U31" s="36">
        <f>VLOOKUP($A31,[18]HISTOMARS23!$A$6:$AU$36,19,0)</f>
        <v>0</v>
      </c>
      <c r="V31" s="36">
        <f>VLOOKUP($A31,[18]HISTOMARS23!$A$6:$AU$36,20,0)</f>
        <v>0</v>
      </c>
      <c r="W31" s="36">
        <f>VLOOKUP($A31,[18]HISTOMARS23!$A$6:$AU$36,27,0)</f>
        <v>0</v>
      </c>
      <c r="X31" s="36">
        <f>VLOOKUP($A31,[18]HISTOMARS23!$A$6:$BM$36,33,0)</f>
        <v>0</v>
      </c>
      <c r="Y31" s="36">
        <f>VLOOKUP($A31,[18]HISTOMARS23!$A$6:$BM$36,65,0)</f>
        <v>0</v>
      </c>
      <c r="Z31" s="36"/>
      <c r="AA31" s="36">
        <f>VLOOKUP($A31,[18]HISTOMARS23!$A$6:$AU$36,43,0)</f>
        <v>0</v>
      </c>
      <c r="AB31" s="36">
        <f>VLOOKUP($A31,[18]HISTOMARS23!$A$6:$AU$36,44,0)</f>
        <v>0</v>
      </c>
      <c r="AC31" s="36">
        <f>VLOOKUP($A31,[18]HISTOMARS23!$A$6:$AU$36,47,0)</f>
        <v>0</v>
      </c>
      <c r="AD31" s="36">
        <f>VLOOKUP(A31,[18]HISTOMARS23!$A$6:$BB$36,54,0)</f>
        <v>70000</v>
      </c>
      <c r="AE31" s="36">
        <f>VLOOKUP($A31,[18]HISTOMARS23!$A$6:$CA$36,60,0)</f>
        <v>0</v>
      </c>
      <c r="AF31" s="36">
        <f>VLOOKUP($A31,[18]HISTOMARS23!$A$6:$CA$36,61,0)</f>
        <v>0</v>
      </c>
      <c r="AG31" s="36">
        <f>VLOOKUP($A31,[18]HISTOMARS23!$A$6:$CA$36,62,0)</f>
        <v>0</v>
      </c>
      <c r="AH31" s="36">
        <f>VLOOKUP($A31,[18]HISTOMARS23!$A$6:$CA$36,63,0)</f>
        <v>0</v>
      </c>
      <c r="AI31" s="36">
        <f>VLOOKUP($A31,[18]HISTOMARS23!$A$6:$CA$36,64,0)</f>
        <v>0</v>
      </c>
      <c r="AJ31" s="36">
        <f>VLOOKUP($A31,[18]HISTOMARS23!$A$6:$CA$36,65,0)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VLOOKUP($A32,[18]HISTOMARS23!$A$6:$BA$36,48,0)</f>
        <v>0</v>
      </c>
      <c r="F32" s="5">
        <f>MVTFEV23!F32+MVTFEV23!G32-MVTMARS23!E32+K32</f>
        <v>670493.54408604221</v>
      </c>
      <c r="G32" s="6">
        <v>181.30546446507395</v>
      </c>
      <c r="H32" s="6">
        <f t="shared" si="0"/>
        <v>670674.84955050726</v>
      </c>
      <c r="I32" s="36">
        <f>VLOOKUP($A32,[18]HISTOMARS23!$A$6:$AQ$40,22,0)</f>
        <v>0</v>
      </c>
      <c r="J32" s="36">
        <f>VLOOKUP($A32,[18]HISTOMARS23!$A$6:$AU$36,45,0)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VLOOKUP($A32,[18]HISTOMARS23!$A$6:$AU$36,7,0)</f>
        <v>0</v>
      </c>
      <c r="P32" s="36">
        <f>VLOOKUP($A32,[18]HISTOMARS23!$A$6:$AU$36,23,0)</f>
        <v>0</v>
      </c>
      <c r="Q32" s="36">
        <f>VLOOKUP($A32,[18]HISTOMARS23!$A$6:$AU$36,46,0)</f>
        <v>0</v>
      </c>
      <c r="R32" s="36">
        <f>VLOOKUP($A32,[18]HISTOMARS23!$A$6:$AU$36,26,0)</f>
        <v>200000</v>
      </c>
      <c r="S32" s="36">
        <f>VLOOKUP($A32,[18]HISTOMARS23!$A$6:$BG$36,58,0)</f>
        <v>6000</v>
      </c>
      <c r="T32" s="36">
        <f>VLOOKUP($A32,[18]HISTOMARS23!$A$6:$AU$36,28,0)</f>
        <v>0</v>
      </c>
      <c r="U32" s="36">
        <f>VLOOKUP($A32,[18]HISTOMARS23!$A$6:$AU$36,19,0)</f>
        <v>0</v>
      </c>
      <c r="V32" s="36">
        <f>VLOOKUP($A32,[18]HISTOMARS23!$A$6:$AU$36,20,0)</f>
        <v>0</v>
      </c>
      <c r="W32" s="36" t="str">
        <f>VLOOKUP($A32,[18]HISTOMARS23!$A$6:$AU$36,27,0)</f>
        <v>BANQUE</v>
      </c>
      <c r="X32" s="36">
        <f>VLOOKUP($A32,[18]HISTOMARS23!$A$6:$BM$36,33,0)</f>
        <v>0</v>
      </c>
      <c r="Y32" s="36">
        <f>VLOOKUP($A32,[18]HISTOMARS23!$A$6:$BM$36,65,0)</f>
        <v>0</v>
      </c>
      <c r="Z32" s="36"/>
      <c r="AA32" s="36">
        <f>VLOOKUP($A32,[18]HISTOMARS23!$A$6:$AU$36,43,0)</f>
        <v>0</v>
      </c>
      <c r="AB32" s="36">
        <f>VLOOKUP($A32,[18]HISTOMARS23!$A$6:$AU$36,44,0)</f>
        <v>0</v>
      </c>
      <c r="AC32" s="36">
        <f>VLOOKUP($A32,[18]HISTOMARS23!$A$6:$AU$36,47,0)</f>
        <v>0</v>
      </c>
      <c r="AD32" s="36">
        <f>VLOOKUP(A32,[18]HISTOMARS23!$A$6:$BB$36,54,0)</f>
        <v>0</v>
      </c>
      <c r="AE32" s="36">
        <f>VLOOKUP($A32,[18]HISTOMARS23!$A$6:$CA$36,60,0)</f>
        <v>0</v>
      </c>
      <c r="AF32" s="36">
        <f>VLOOKUP($A32,[18]HISTOMARS23!$A$6:$CA$36,61,0)</f>
        <v>0</v>
      </c>
      <c r="AG32" s="36">
        <f>VLOOKUP($A32,[18]HISTOMARS23!$A$6:$CA$36,62,0)</f>
        <v>0</v>
      </c>
      <c r="AH32" s="36">
        <f>VLOOKUP($A32,[18]HISTOMARS23!$A$6:$CA$36,63,0)</f>
        <v>0</v>
      </c>
      <c r="AI32" s="36">
        <f>VLOOKUP($A32,[18]HISTOMARS23!$A$6:$CA$36,64,0)</f>
        <v>0</v>
      </c>
      <c r="AJ32" s="36">
        <f>VLOOKUP($A32,[18]HISTOMARS23!$A$6:$CA$36,65,0)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VLOOKUP($A33,[18]HISTOMARS23!$A$6:$BA$36,48,0)</f>
        <v>0</v>
      </c>
      <c r="F33" s="5">
        <f>MVTFEV23!F33+MVTFEV23!G33-MVTMARS23!E33+K33</f>
        <v>27000</v>
      </c>
      <c r="G33" s="6">
        <v>0</v>
      </c>
      <c r="H33" s="6">
        <f t="shared" si="0"/>
        <v>27000</v>
      </c>
      <c r="I33" s="36">
        <f>VLOOKUP($A33,[18]HISTOMARS23!$A$6:$AQ$40,22,0)</f>
        <v>0</v>
      </c>
      <c r="J33" s="36">
        <f>VLOOKUP($A33,[18]HISTOMARS23!$A$6:$AU$36,45,0)</f>
        <v>15000</v>
      </c>
      <c r="K33" s="36">
        <f t="shared" si="1"/>
        <v>9000</v>
      </c>
      <c r="L33" s="36">
        <f t="shared" si="3"/>
        <v>1000</v>
      </c>
      <c r="M33" s="36">
        <f t="shared" si="2"/>
        <v>1000</v>
      </c>
      <c r="N33" s="36">
        <f t="shared" si="4"/>
        <v>4000</v>
      </c>
      <c r="O33" s="36">
        <f>VLOOKUP($A33,[18]HISTOMARS23!$A$6:$AU$36,7,0)</f>
        <v>0</v>
      </c>
      <c r="P33" s="36">
        <f>VLOOKUP($A33,[18]HISTOMARS23!$A$6:$AU$36,23,0)</f>
        <v>0</v>
      </c>
      <c r="Q33" s="36">
        <f>VLOOKUP($A33,[18]HISTOMARS23!$A$6:$AU$36,46,0)</f>
        <v>0</v>
      </c>
      <c r="R33" s="36">
        <f>VLOOKUP($A33,[18]HISTOMARS23!$A$6:$AU$36,26,0)</f>
        <v>0</v>
      </c>
      <c r="S33" s="36">
        <f>VLOOKUP($A33,[18]HISTOMARS23!$A$6:$BG$36,58,0)</f>
        <v>0</v>
      </c>
      <c r="T33" s="36">
        <f>VLOOKUP($A33,[18]HISTOMARS23!$A$6:$AU$36,28,0)</f>
        <v>0</v>
      </c>
      <c r="U33" s="36">
        <f>VLOOKUP($A33,[18]HISTOMARS23!$A$6:$AU$36,19,0)</f>
        <v>0</v>
      </c>
      <c r="V33" s="36">
        <f>VLOOKUP($A33,[18]HISTOMARS23!$A$6:$AU$36,20,0)</f>
        <v>0</v>
      </c>
      <c r="W33" s="36">
        <f>VLOOKUP($A33,[18]HISTOMARS23!$A$6:$AU$36,27,0)</f>
        <v>0</v>
      </c>
      <c r="X33" s="36">
        <f>VLOOKUP($A33,[18]HISTOMARS23!$A$6:$BM$36,33,0)</f>
        <v>0</v>
      </c>
      <c r="Y33" s="36">
        <f>VLOOKUP($A33,[18]HISTOMARS23!$A$6:$BM$36,65,0)</f>
        <v>0</v>
      </c>
      <c r="Z33" s="36"/>
      <c r="AA33" s="36">
        <f>VLOOKUP($A33,[18]HISTOMARS23!$A$6:$AU$36,43,0)</f>
        <v>0</v>
      </c>
      <c r="AB33" s="36">
        <f>VLOOKUP($A33,[18]HISTOMARS23!$A$6:$AU$36,44,0)</f>
        <v>0</v>
      </c>
      <c r="AC33" s="36">
        <f>VLOOKUP($A33,[18]HISTOMARS23!$A$6:$AU$36,47,0)</f>
        <v>0</v>
      </c>
      <c r="AD33" s="36">
        <f>VLOOKUP(A33,[18]HISTOMARS23!$A$6:$BB$36,54,0)</f>
        <v>0</v>
      </c>
      <c r="AE33" s="36">
        <f>VLOOKUP($A33,[18]HISTOMARS23!$A$6:$CA$36,60,0)</f>
        <v>0</v>
      </c>
      <c r="AF33" s="36">
        <f>VLOOKUP($A33,[18]HISTOMARS23!$A$6:$CA$36,61,0)</f>
        <v>0</v>
      </c>
      <c r="AG33" s="36">
        <f>VLOOKUP($A33,[18]HISTOMARS23!$A$6:$CA$36,62,0)</f>
        <v>0</v>
      </c>
      <c r="AH33" s="36">
        <f>VLOOKUP($A33,[18]HISTOMARS23!$A$6:$CA$36,63,0)</f>
        <v>0</v>
      </c>
      <c r="AI33" s="36">
        <f>VLOOKUP($A33,[18]HISTOMARS23!$A$6:$CA$36,64,0)</f>
        <v>0</v>
      </c>
      <c r="AJ33" s="36">
        <f>VLOOKUP($A33,[18]HISTOMARS23!$A$6:$CA$36,65,0)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VLOOKUP($A34,[18]HISTOMARS23!$A$6:$BA$36,48,0)</f>
        <v>0</v>
      </c>
      <c r="F34" s="5">
        <f>MVTFEV23!F34+MVTFEV23!G34-MVTMARS23!E34+K34</f>
        <v>62000</v>
      </c>
      <c r="G34" s="6">
        <v>0</v>
      </c>
      <c r="H34" s="6">
        <f t="shared" si="0"/>
        <v>62000</v>
      </c>
      <c r="I34" s="36">
        <f>VLOOKUP($A34,[18]HISTOMARS23!$A$6:$AQ$40,22,0)</f>
        <v>0</v>
      </c>
      <c r="J34" s="36">
        <f>VLOOKUP($A34,[18]HISTOMARS23!$A$6:$AU$36,45,0)</f>
        <v>50000</v>
      </c>
      <c r="K34" s="36">
        <f>IF(J34=0,0,J34-(L34+M34+N34))</f>
        <v>44000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VLOOKUP($A34,[18]HISTOMARS23!$A$6:$AU$36,7,0)</f>
        <v>0</v>
      </c>
      <c r="P34" s="36">
        <f>VLOOKUP($A34,[18]HISTOMARS23!$A$6:$AU$36,23,0)</f>
        <v>0</v>
      </c>
      <c r="Q34" s="36">
        <f>VLOOKUP($A34,[18]HISTOMARS23!$A$6:$AU$36,46,0)</f>
        <v>25000</v>
      </c>
      <c r="R34" s="36">
        <f>VLOOKUP($A34,[18]HISTOMARS23!$A$6:$AU$36,26,0)</f>
        <v>0</v>
      </c>
      <c r="S34" s="36">
        <f>VLOOKUP($A34,[18]HISTOMARS23!$A$6:$BG$36,58,0)</f>
        <v>0</v>
      </c>
      <c r="T34" s="36">
        <f>VLOOKUP($A34,[18]HISTOMARS23!$A$6:$AU$36,28,0)</f>
        <v>0</v>
      </c>
      <c r="U34" s="36">
        <f>VLOOKUP($A34,[18]HISTOMARS23!$A$6:$AU$36,19,0)</f>
        <v>0</v>
      </c>
      <c r="V34" s="36">
        <f>VLOOKUP($A34,[18]HISTOMARS23!$A$6:$AU$36,20,0)</f>
        <v>0</v>
      </c>
      <c r="W34" s="36">
        <f>VLOOKUP($A34,[18]HISTOMARS23!$A$6:$AU$36,27,0)</f>
        <v>0</v>
      </c>
      <c r="X34" s="36">
        <f>VLOOKUP($A34,[18]HISTOMARS23!$A$6:$BM$36,33,0)</f>
        <v>0</v>
      </c>
      <c r="Y34" s="36">
        <f>VLOOKUP($A34,[18]HISTOMARS23!$A$6:$BM$36,65,0)</f>
        <v>0</v>
      </c>
      <c r="Z34" s="36"/>
      <c r="AA34" s="36">
        <f>VLOOKUP($A34,[18]HISTOMARS23!$A$6:$AU$36,43,0)</f>
        <v>0</v>
      </c>
      <c r="AB34" s="36">
        <f>VLOOKUP($A34,[18]HISTOMARS23!$A$6:$AU$36,44,0)</f>
        <v>0</v>
      </c>
      <c r="AC34" s="36">
        <f>VLOOKUP($A34,[18]HISTOMARS23!$A$6:$AU$36,47,0)</f>
        <v>0</v>
      </c>
      <c r="AD34" s="36">
        <f>VLOOKUP(A34,[18]HISTOMARS23!$A$6:$BB$36,54,0)</f>
        <v>0</v>
      </c>
      <c r="AE34" s="36">
        <f>VLOOKUP($A34,[18]HISTOMARS23!$A$6:$CA$36,60,0)</f>
        <v>0</v>
      </c>
      <c r="AF34" s="36">
        <f>VLOOKUP($A34,[18]HISTOMARS23!$A$6:$CA$36,61,0)</f>
        <v>0</v>
      </c>
      <c r="AG34" s="36">
        <f>VLOOKUP($A34,[18]HISTOMARS23!$A$6:$CA$36,62,0)</f>
        <v>0</v>
      </c>
      <c r="AH34" s="36">
        <f>VLOOKUP($A34,[18]HISTOMARS23!$A$6:$CA$36,63,0)</f>
        <v>0</v>
      </c>
      <c r="AI34" s="36">
        <f>VLOOKUP($A34,[18]HISTOMARS23!$A$6:$CA$36,64,0)</f>
        <v>0</v>
      </c>
      <c r="AJ34" s="36">
        <f>VLOOKUP($A34,[18]HISTOMARS23!$A$6:$CA$36,65,0)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VLOOKUP($A35,[18]HISTOMARS23!$A$6:$BA$36,48,0)</f>
        <v>0</v>
      </c>
      <c r="F35" s="5">
        <f>MVTFEV23!F35+MVTFEV23!G35-MVTMARS23!E35+K35</f>
        <v>1634185.4840430534</v>
      </c>
      <c r="G35" s="6">
        <v>441.89352875929552</v>
      </c>
      <c r="H35" s="6">
        <f t="shared" si="0"/>
        <v>1634627.3775718126</v>
      </c>
      <c r="I35" s="36">
        <f>VLOOKUP($A35,[18]HISTOMARS23!$A$6:$AQ$40,22,0)</f>
        <v>0</v>
      </c>
      <c r="J35" s="36">
        <f>VLOOKUP($A35,[18]HISTOMARS23!$A$6:$AU$36,45,0)</f>
        <v>9000</v>
      </c>
      <c r="K35" s="36">
        <f t="shared" si="1"/>
        <v>3000</v>
      </c>
      <c r="L35" s="36">
        <f t="shared" si="3"/>
        <v>1000</v>
      </c>
      <c r="M35" s="36">
        <f t="shared" si="2"/>
        <v>1000</v>
      </c>
      <c r="N35" s="36">
        <f t="shared" si="4"/>
        <v>4000</v>
      </c>
      <c r="O35" s="36">
        <f>VLOOKUP($A35,[18]HISTOMARS23!$A$6:$AU$36,7,0)</f>
        <v>0</v>
      </c>
      <c r="P35" s="36">
        <f>VLOOKUP($A35,[18]HISTOMARS23!$A$6:$AU$36,23,0)</f>
        <v>0</v>
      </c>
      <c r="Q35" s="36">
        <f>VLOOKUP($A35,[18]HISTOMARS23!$A$6:$AU$36,46,0)</f>
        <v>0</v>
      </c>
      <c r="R35" s="36">
        <f>VLOOKUP($A35,[18]HISTOMARS23!$A$6:$AU$36,26,0)</f>
        <v>0</v>
      </c>
      <c r="S35" s="36">
        <f>VLOOKUP($A35,[18]HISTOMARS23!$A$6:$BG$36,58,0)</f>
        <v>0</v>
      </c>
      <c r="T35" s="36">
        <f>VLOOKUP($A35,[18]HISTOMARS23!$A$6:$AU$36,28,0)</f>
        <v>0</v>
      </c>
      <c r="U35" s="36">
        <f>VLOOKUP($A35,[18]HISTOMARS23!$A$6:$AU$36,19,0)</f>
        <v>0</v>
      </c>
      <c r="V35" s="36">
        <f>VLOOKUP($A35,[18]HISTOMARS23!$A$6:$AU$36,20,0)</f>
        <v>0</v>
      </c>
      <c r="W35" s="36">
        <f>VLOOKUP($A35,[18]HISTOMARS23!$A$6:$AU$36,27,0)</f>
        <v>0</v>
      </c>
      <c r="X35" s="36">
        <f>VLOOKUP($A35,[18]HISTOMARS23!$A$6:$BM$36,33,0)</f>
        <v>0</v>
      </c>
      <c r="Y35" s="36">
        <f>VLOOKUP($A35,[18]HISTOMARS23!$A$6:$BM$36,65,0)</f>
        <v>0</v>
      </c>
      <c r="Z35" s="36"/>
      <c r="AA35" s="36">
        <f>VLOOKUP($A35,[18]HISTOMARS23!$A$6:$AU$36,43,0)</f>
        <v>0</v>
      </c>
      <c r="AB35" s="36">
        <f>VLOOKUP($A35,[18]HISTOMARS23!$A$6:$AU$36,44,0)</f>
        <v>0</v>
      </c>
      <c r="AC35" s="36">
        <f>VLOOKUP($A35,[18]HISTOMARS23!$A$6:$AU$36,47,0)</f>
        <v>0</v>
      </c>
      <c r="AD35" s="36">
        <f>VLOOKUP(A35,[18]HISTOMARS23!$A$6:$BB$36,54,0)</f>
        <v>0</v>
      </c>
      <c r="AE35" s="36">
        <f>VLOOKUP($A35,[18]HISTOMARS23!$A$6:$CA$36,60,0)</f>
        <v>0</v>
      </c>
      <c r="AF35" s="36">
        <f>VLOOKUP($A35,[18]HISTOMARS23!$A$6:$CA$36,61,0)</f>
        <v>0</v>
      </c>
      <c r="AG35" s="36">
        <f>VLOOKUP($A35,[18]HISTOMARS23!$A$6:$CA$36,62,0)</f>
        <v>0</v>
      </c>
      <c r="AH35" s="36">
        <f>VLOOKUP($A35,[18]HISTOMARS23!$A$6:$CA$36,63,0)</f>
        <v>0</v>
      </c>
      <c r="AI35" s="36">
        <f>VLOOKUP($A35,[18]HISTOMARS23!$A$6:$CA$36,64,0)</f>
        <v>0</v>
      </c>
      <c r="AJ35" s="36">
        <f>VLOOKUP($A35,[18]HISTOMARS23!$A$6:$CA$36,65,0)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VLOOKUP($A36,[18]HISTOMARS23!$A$6:$BA$36,48,0)</f>
        <v>0</v>
      </c>
      <c r="F36" s="5">
        <f>MVTFEV23!F36+MVTFEV23!G36-MVTMARS23!E36+K36</f>
        <v>1792519.9258969994</v>
      </c>
      <c r="G36" s="6">
        <v>484.70810881655564</v>
      </c>
      <c r="H36" s="6">
        <f t="shared" si="0"/>
        <v>1793004.634005816</v>
      </c>
      <c r="I36" s="36">
        <f>VLOOKUP($A36,[18]HISTOMARS23!$A$6:$AQ$40,22,0)</f>
        <v>0</v>
      </c>
      <c r="J36" s="36">
        <f>VLOOKUP($A36,[18]HISTOMARS23!$A$6:$AU$36,45,0)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VLOOKUP($A36,[18]HISTOMARS23!$A$6:$AU$36,7,0)</f>
        <v>0</v>
      </c>
      <c r="P36" s="36">
        <f>VLOOKUP($A36,[18]HISTOMARS23!$A$6:$AU$36,23,0)</f>
        <v>0</v>
      </c>
      <c r="Q36" s="36">
        <f>VLOOKUP($A36,[18]HISTOMARS23!$A$6:$AU$36,46,0)</f>
        <v>0</v>
      </c>
      <c r="R36" s="36">
        <f>VLOOKUP($A36,[18]HISTOMARS23!$A$6:$AU$36,26,0)</f>
        <v>0</v>
      </c>
      <c r="S36" s="36">
        <f>VLOOKUP($A36,[18]HISTOMARS23!$A$6:$BG$36,58,0)</f>
        <v>0</v>
      </c>
      <c r="T36" s="36">
        <f>VLOOKUP($A36,[18]HISTOMARS23!$A$6:$AU$36,28,0)</f>
        <v>0</v>
      </c>
      <c r="U36" s="36">
        <f>VLOOKUP($A36,[18]HISTOMARS23!$A$6:$AU$36,19,0)</f>
        <v>0</v>
      </c>
      <c r="V36" s="36">
        <f>VLOOKUP($A36,[18]HISTOMARS23!$A$6:$AU$36,20,0)</f>
        <v>0</v>
      </c>
      <c r="W36" s="36">
        <f>VLOOKUP($A36,[18]HISTOMARS23!$A$6:$AU$36,27,0)</f>
        <v>0</v>
      </c>
      <c r="X36" s="36">
        <f>VLOOKUP($A36,[18]HISTOMARS23!$A$6:$BM$36,33,0)</f>
        <v>0</v>
      </c>
      <c r="Y36" s="36">
        <f>VLOOKUP($A36,[18]HISTOMARS23!$A$6:$BM$36,65,0)</f>
        <v>0</v>
      </c>
      <c r="Z36" s="36"/>
      <c r="AA36" s="36">
        <f>VLOOKUP($A36,[18]HISTOMARS23!$A$6:$AU$36,43,0)</f>
        <v>0</v>
      </c>
      <c r="AB36" s="36">
        <f>VLOOKUP($A36,[18]HISTOMARS23!$A$6:$AU$36,44,0)</f>
        <v>0</v>
      </c>
      <c r="AC36" s="36">
        <f>VLOOKUP($A36,[18]HISTOMARS23!$A$6:$AU$36,47,0)</f>
        <v>0</v>
      </c>
      <c r="AD36" s="36">
        <f>VLOOKUP(A36,[18]HISTOMARS23!$A$6:$BB$36,54,0)</f>
        <v>0</v>
      </c>
      <c r="AE36" s="36">
        <f>VLOOKUP($A36,[18]HISTOMARS23!$A$6:$CA$36,60,0)</f>
        <v>0</v>
      </c>
      <c r="AF36" s="36">
        <f>VLOOKUP($A36,[18]HISTOMARS23!$A$6:$CA$36,61,0)</f>
        <v>0</v>
      </c>
      <c r="AG36" s="36">
        <f>VLOOKUP($A36,[18]HISTOMARS23!$A$6:$CA$36,62,0)</f>
        <v>0</v>
      </c>
      <c r="AH36" s="36">
        <f>VLOOKUP($A36,[18]HISTOMARS23!$A$6:$CA$36,63,0)</f>
        <v>0</v>
      </c>
      <c r="AI36" s="36">
        <f>VLOOKUP($A36,[18]HISTOMARS23!$A$6:$CA$36,64,0)</f>
        <v>0</v>
      </c>
      <c r="AJ36" s="36">
        <f>VLOOKUP($A36,[18]HISTOMARS23!$A$6:$CA$36,65,0)</f>
        <v>0</v>
      </c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22341858.324737493</v>
      </c>
      <c r="G40" s="9">
        <f t="shared" si="5"/>
        <v>6000</v>
      </c>
      <c r="H40" s="9">
        <f t="shared" si="5"/>
        <v>22347858.324737489</v>
      </c>
      <c r="I40" s="9">
        <f t="shared" si="5"/>
        <v>0</v>
      </c>
      <c r="J40" s="9">
        <f t="shared" si="5"/>
        <v>527000</v>
      </c>
      <c r="K40" s="9">
        <f t="shared" si="5"/>
        <v>345000</v>
      </c>
      <c r="L40" s="9">
        <f t="shared" si="5"/>
        <v>29000</v>
      </c>
      <c r="M40" s="9">
        <f t="shared" si="5"/>
        <v>30000</v>
      </c>
      <c r="N40" s="9">
        <f t="shared" si="5"/>
        <v>120000</v>
      </c>
      <c r="O40" s="9">
        <f t="shared" si="5"/>
        <v>6000</v>
      </c>
      <c r="P40" s="9">
        <f t="shared" si="5"/>
        <v>0</v>
      </c>
      <c r="Q40" s="9">
        <f t="shared" si="5"/>
        <v>25000</v>
      </c>
      <c r="R40" s="9">
        <f t="shared" si="5"/>
        <v>200000</v>
      </c>
      <c r="S40" s="9">
        <f t="shared" si="5"/>
        <v>6000</v>
      </c>
      <c r="T40" s="9">
        <f t="shared" si="5"/>
        <v>0</v>
      </c>
      <c r="U40" s="9">
        <f t="shared" si="5"/>
        <v>1582500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210000</v>
      </c>
      <c r="AE40" s="9">
        <f t="shared" si="5"/>
        <v>6000</v>
      </c>
      <c r="AF40" s="9">
        <f t="shared" si="5"/>
        <v>0</v>
      </c>
      <c r="AG40" s="9">
        <f t="shared" si="5"/>
        <v>0</v>
      </c>
      <c r="AH40" s="9">
        <f t="shared" si="5"/>
        <v>100000</v>
      </c>
      <c r="AI40" s="9">
        <f t="shared" si="5"/>
        <v>0</v>
      </c>
      <c r="AJ40" s="9">
        <f t="shared" si="5"/>
        <v>0</v>
      </c>
    </row>
    <row r="43" spans="1:36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C21" activePane="bottomRight" state="frozen"/>
      <selection activeCell="J4" sqref="J4:O4"/>
      <selection pane="topRight" activeCell="J4" sqref="J4:O4"/>
      <selection pane="bottomLeft" activeCell="J4" sqref="J4:O4"/>
      <selection pane="bottomRight" activeCell="G22" sqref="G2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45033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MVTMARS23!F6+MVTMARS23!G6-MVTAVRIL23!E6+K6</f>
        <v>869837.10196859692</v>
      </c>
      <c r="G6" s="6">
        <v>7894.2916285894025</v>
      </c>
      <c r="H6" s="6">
        <f>F6+G6</f>
        <v>877731.39359718631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VLOOKUP($A6,[18]HISTOMARS23!$A$6:$CA$36,60,0)</f>
        <v>6000</v>
      </c>
      <c r="AF6" s="36">
        <f>VLOOKUP($A6,[18]HISTOMARS23!$A$6:$CA$36,61,0)</f>
        <v>0</v>
      </c>
      <c r="AG6" s="36">
        <f>VLOOKUP($A6,[18]HISTOMARS23!$A$6:$CA$36,62,0)</f>
        <v>0</v>
      </c>
      <c r="AH6" s="36">
        <f>VLOOKUP($A6,[18]HISTOMARS23!$A$6:$CA$36,63,0)</f>
        <v>100000</v>
      </c>
      <c r="AI6" s="36">
        <f>VLOOKUP($A6,[18]HISTOMARS23!$A$6:$CA$36,64,0)</f>
        <v>0</v>
      </c>
      <c r="AJ6" s="36">
        <f>VLOOKUP($A6,[18]HISTOMARS23!$A$6:$CA$36,65,0)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VLOOKUP($A7,[18]HISTOAVRIL23!$A$6:$BA$36,48,0)</f>
        <v>0</v>
      </c>
      <c r="F7" s="5">
        <f>MVTMARS23!F7+MVTMARS23!G7-MVTAVRIL23!E7+K7</f>
        <v>637016.54767064808</v>
      </c>
      <c r="G7" s="6">
        <v>5781.3059343735258</v>
      </c>
      <c r="H7" s="6">
        <f t="shared" ref="H7:H36" si="0">F7+G7</f>
        <v>642797.85360502161</v>
      </c>
      <c r="I7" s="36">
        <f>VLOOKUP($A7,[18]HISTOAVRIL23!$A$6:$AQ$40,22,0)</f>
        <v>0</v>
      </c>
      <c r="J7" s="36">
        <f>VLOOKUP($A7,[18]HISTOAVRIL23!$A$6:$AU$36,45,0)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VLOOKUP($A7,[18]HISTOAVRIL23!$A$6:$AU$36,7,0)</f>
        <v>0</v>
      </c>
      <c r="P7" s="36">
        <f>VLOOKUP($A7,[18]HISTOAVRIL23!$A$6:$AU$36,23,0)</f>
        <v>0</v>
      </c>
      <c r="Q7" s="36">
        <f>VLOOKUP($A7,[18]HISTOAVRIL23!$A$6:$AU$36,46,0)</f>
        <v>0</v>
      </c>
      <c r="R7" s="36">
        <f>VLOOKUP($A7,[18]HISTOAVRIL23!$A$6:$AU$36,26,0)</f>
        <v>0</v>
      </c>
      <c r="S7" s="36">
        <f>VLOOKUP($A7,[18]HISTOAVRIL23!$A$6:$BG$36,58,0)</f>
        <v>0</v>
      </c>
      <c r="T7" s="36">
        <f>VLOOKUP($A7,[18]HISTOAVRIL23!$A$6:$AU$36,28,0)</f>
        <v>0</v>
      </c>
      <c r="U7" s="36">
        <f>VLOOKUP($A7,[18]HISTOAVRIL23!$A$6:$AU$36,19,0)</f>
        <v>0</v>
      </c>
      <c r="V7" s="36">
        <f>VLOOKUP($A7,[18]HISTOAVRIL23!$A$6:$AU$36,20,0)</f>
        <v>0</v>
      </c>
      <c r="W7" s="36">
        <f>VLOOKUP($A7,[18]HISTOAVRIL23!$A$6:$AU$36,27,0)</f>
        <v>0</v>
      </c>
      <c r="X7" s="36">
        <f>VLOOKUP($A7,[18]HISTOAVRIL23!$A$6:$BM$36,33,0)</f>
        <v>0</v>
      </c>
      <c r="Y7" s="36">
        <f>VLOOKUP($A7,[18]HISTOAVRIL23!$A$6:$BM$36,65,0)</f>
        <v>0</v>
      </c>
      <c r="Z7" s="36"/>
      <c r="AA7" s="36">
        <f>VLOOKUP($A7,[18]HISTOAVRIL23!$A$6:$AU$36,43,0)</f>
        <v>0</v>
      </c>
      <c r="AB7" s="36">
        <f>VLOOKUP($A7,[18]HISTOAVRIL23!$A$6:$AU$36,44,0)</f>
        <v>0</v>
      </c>
      <c r="AC7" s="36">
        <f>VLOOKUP($A7,[18]HISTOAVRIL23!$A$6:$AU$36,47,0)</f>
        <v>0</v>
      </c>
      <c r="AD7" s="36">
        <f>VLOOKUP(A7,[18]HISTOAVRIL23!$A$6:$BB$36,54,0)</f>
        <v>0</v>
      </c>
      <c r="AE7" s="36">
        <f>VLOOKUP($A7,[18]HISTOAVRIL23!$A$6:$CA$36,60,0)</f>
        <v>0</v>
      </c>
      <c r="AF7" s="36">
        <f>VLOOKUP($A7,[18]HISTOAVRIL23!$A$6:$CA$36,61,0)</f>
        <v>0</v>
      </c>
      <c r="AG7" s="36">
        <f>VLOOKUP($A7,[18]HISTOAVRIL23!$A$6:$CA$36,62,0)</f>
        <v>0</v>
      </c>
      <c r="AH7" s="36">
        <f>VLOOKUP($A7,[18]HISTOAVRIL23!$A$6:$CA$36,63,0)</f>
        <v>0</v>
      </c>
      <c r="AI7" s="36">
        <f>VLOOKUP($A7,[18]HISTOAVRIL23!$A$6:$CA$36,64,0)</f>
        <v>0</v>
      </c>
      <c r="AJ7" s="36">
        <f>VLOOKUP($A7,[18]HISTOAVRIL23!$A$6:$CA$36,65,0)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VLOOKUP($A8,[18]HISTOAVRIL23!$A$6:$BA$36,48,0)</f>
        <v>0</v>
      </c>
      <c r="F8" s="5">
        <f>MVTMARS23!F8+MVTMARS23!G8-MVTAVRIL23!E8+K8</f>
        <v>682674.41979804379</v>
      </c>
      <c r="G8" s="6">
        <v>6195.6784150354488</v>
      </c>
      <c r="H8" s="6">
        <f t="shared" si="0"/>
        <v>688870.09821307927</v>
      </c>
      <c r="I8" s="36">
        <f>VLOOKUP($A8,[18]HISTOAVRIL23!$A$6:$AQ$40,22,0)</f>
        <v>0</v>
      </c>
      <c r="J8" s="36">
        <f>VLOOKUP($A8,[18]HISTOAVRIL23!$A$6:$AU$36,45,0)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VLOOKUP($A8,[18]HISTOAVRIL23!$A$6:$AU$36,7,0)</f>
        <v>0</v>
      </c>
      <c r="P8" s="36">
        <f>VLOOKUP($A8,[18]HISTOAVRIL23!$A$6:$AU$36,23,0)</f>
        <v>0</v>
      </c>
      <c r="Q8" s="36">
        <f>VLOOKUP($A8,[18]HISTOAVRIL23!$A$6:$AU$36,46,0)</f>
        <v>0</v>
      </c>
      <c r="R8" s="36">
        <f>VLOOKUP($A8,[18]HISTOAVRIL23!$A$6:$AU$36,26,0)</f>
        <v>500000</v>
      </c>
      <c r="S8" s="36">
        <f>VLOOKUP($A8,[18]HISTOAVRIL23!$A$6:$BG$36,58,0)</f>
        <v>10000</v>
      </c>
      <c r="T8" s="36">
        <f>VLOOKUP($A8,[18]HISTOAVRIL23!$A$6:$AU$36,28,0)</f>
        <v>0</v>
      </c>
      <c r="U8" s="36">
        <f>VLOOKUP($A8,[18]HISTOAVRIL23!$A$6:$AU$36,19,0)</f>
        <v>0</v>
      </c>
      <c r="V8" s="36">
        <f>VLOOKUP($A8,[18]HISTOAVRIL23!$A$6:$AU$36,20,0)</f>
        <v>0</v>
      </c>
      <c r="W8" s="36" t="str">
        <f>VLOOKUP($A8,[18]HISTOAVRIL23!$A$6:$AU$36,27,0)</f>
        <v>BANQUE</v>
      </c>
      <c r="X8" s="36">
        <f>VLOOKUP($A8,[18]HISTOAVRIL23!$A$6:$BM$36,33,0)</f>
        <v>0</v>
      </c>
      <c r="Y8" s="36">
        <f>VLOOKUP($A8,[18]HISTOAVRIL23!$A$6:$BM$36,65,0)</f>
        <v>0</v>
      </c>
      <c r="Z8" s="36"/>
      <c r="AA8" s="36">
        <f>VLOOKUP($A8,[18]HISTOAVRIL23!$A$6:$AU$36,43,0)</f>
        <v>0</v>
      </c>
      <c r="AB8" s="36">
        <f>VLOOKUP($A8,[18]HISTOAVRIL23!$A$6:$AU$36,44,0)</f>
        <v>0</v>
      </c>
      <c r="AC8" s="36">
        <f>VLOOKUP($A8,[18]HISTOAVRIL23!$A$6:$AU$36,47,0)</f>
        <v>0</v>
      </c>
      <c r="AD8" s="36">
        <f>VLOOKUP(A8,[18]HISTOAVRIL23!$A$6:$BB$36,54,0)</f>
        <v>0</v>
      </c>
      <c r="AE8" s="36">
        <f>VLOOKUP($A8,[18]HISTOAVRIL23!$A$6:$CA$36,60,0)</f>
        <v>0</v>
      </c>
      <c r="AF8" s="36">
        <f>VLOOKUP($A8,[18]HISTOAVRIL23!$A$6:$CA$36,61,0)</f>
        <v>0</v>
      </c>
      <c r="AG8" s="36">
        <f>VLOOKUP($A8,[18]HISTOAVRIL23!$A$6:$CA$36,62,0)</f>
        <v>0</v>
      </c>
      <c r="AH8" s="36">
        <f>VLOOKUP($A8,[18]HISTOAVRIL23!$A$6:$CA$36,63,0)</f>
        <v>0</v>
      </c>
      <c r="AI8" s="36">
        <f>VLOOKUP($A8,[18]HISTOAVRIL23!$A$6:$CA$36,64,0)</f>
        <v>0</v>
      </c>
      <c r="AJ8" s="36">
        <f>VLOOKUP($A8,[18]HISTOAVRIL23!$A$6:$CA$36,65,0)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VLOOKUP($A9,[18]HISTOAVRIL23!$A$6:$BA$36,48,0)</f>
        <v>0</v>
      </c>
      <c r="F9" s="5">
        <f>MVTMARS23!F9+MVTMARS23!G9-MVTAVRIL23!E9+K9</f>
        <v>713362.0202741808</v>
      </c>
      <c r="G9" s="6">
        <v>6474.1867322732323</v>
      </c>
      <c r="H9" s="6">
        <f t="shared" si="0"/>
        <v>719836.207006454</v>
      </c>
      <c r="I9" s="36">
        <f>VLOOKUP($A9,[18]HISTOAVRIL23!$A$6:$AQ$40,22,0)</f>
        <v>0</v>
      </c>
      <c r="J9" s="36">
        <f>VLOOKUP($A9,[18]HISTOAVRIL23!$A$6:$AU$36,45,0)</f>
        <v>20000</v>
      </c>
      <c r="K9" s="36">
        <f t="shared" si="1"/>
        <v>14000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VLOOKUP($A9,[18]HISTOAVRIL23!$A$6:$AU$36,7,0)</f>
        <v>0</v>
      </c>
      <c r="P9" s="36">
        <f>VLOOKUP($A9,[18]HISTOAVRIL23!$A$6:$AU$36,23,0)</f>
        <v>0</v>
      </c>
      <c r="Q9" s="36">
        <f>VLOOKUP($A9,[18]HISTOAVRIL23!$A$6:$AU$36,46,0)</f>
        <v>0</v>
      </c>
      <c r="R9" s="36">
        <f>VLOOKUP($A9,[18]HISTOAVRIL23!$A$6:$AU$36,26,0)</f>
        <v>0</v>
      </c>
      <c r="S9" s="36">
        <f>VLOOKUP($A9,[18]HISTOAVRIL23!$A$6:$BG$36,58,0)</f>
        <v>0</v>
      </c>
      <c r="T9" s="36">
        <f>VLOOKUP($A9,[18]HISTOAVRIL23!$A$6:$AU$36,28,0)</f>
        <v>0</v>
      </c>
      <c r="U9" s="36">
        <f>VLOOKUP($A9,[18]HISTOAVRIL23!$A$6:$AU$36,19,0)</f>
        <v>0</v>
      </c>
      <c r="V9" s="36">
        <f>VLOOKUP($A9,[18]HISTOAVRIL23!$A$6:$AU$36,20,0)</f>
        <v>0</v>
      </c>
      <c r="W9" s="36">
        <f>VLOOKUP($A9,[18]HISTOAVRIL23!$A$6:$AU$36,27,0)</f>
        <v>0</v>
      </c>
      <c r="X9" s="36">
        <f>VLOOKUP($A9,[18]HISTOAVRIL23!$A$6:$BM$36,33,0)</f>
        <v>0</v>
      </c>
      <c r="Y9" s="36">
        <f>VLOOKUP($A9,[18]HISTOAVRIL23!$A$6:$BM$36,65,0)</f>
        <v>0</v>
      </c>
      <c r="Z9" s="36"/>
      <c r="AA9" s="36">
        <f>VLOOKUP($A9,[18]HISTOAVRIL23!$A$6:$AU$36,43,0)</f>
        <v>0</v>
      </c>
      <c r="AB9" s="36">
        <f>VLOOKUP($A9,[18]HISTOAVRIL23!$A$6:$AU$36,44,0)</f>
        <v>0</v>
      </c>
      <c r="AC9" s="36">
        <f>VLOOKUP($A9,[18]HISTOAVRIL23!$A$6:$AU$36,47,0)</f>
        <v>0</v>
      </c>
      <c r="AD9" s="36">
        <f>VLOOKUP(A9,[18]HISTOAVRIL23!$A$6:$BB$36,54,0)</f>
        <v>0</v>
      </c>
      <c r="AE9" s="36">
        <f>VLOOKUP($A9,[18]HISTOAVRIL23!$A$6:$CA$36,60,0)</f>
        <v>0</v>
      </c>
      <c r="AF9" s="36">
        <f>VLOOKUP($A9,[18]HISTOAVRIL23!$A$6:$CA$36,61,0)</f>
        <v>0</v>
      </c>
      <c r="AG9" s="36">
        <f>VLOOKUP($A9,[18]HISTOAVRIL23!$A$6:$CA$36,62,0)</f>
        <v>0</v>
      </c>
      <c r="AH9" s="36">
        <f>VLOOKUP($A9,[18]HISTOAVRIL23!$A$6:$CA$36,63,0)</f>
        <v>0</v>
      </c>
      <c r="AI9" s="36">
        <f>VLOOKUP($A9,[18]HISTOAVRIL23!$A$6:$CA$36,64,0)</f>
        <v>0</v>
      </c>
      <c r="AJ9" s="36">
        <f>VLOOKUP($A9,[18]HISTOAVRIL23!$A$6:$CA$36,65,0)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VLOOKUP($A10,[18]HISTOAVRIL23!$A$6:$BA$36,48,0)</f>
        <v>0</v>
      </c>
      <c r="F10" s="5">
        <f>MVTMARS23!F10+MVTMARS23!G10-MVTAVRIL23!E10+K10</f>
        <v>728082.22270830465</v>
      </c>
      <c r="G10" s="6">
        <v>6607.7813680778581</v>
      </c>
      <c r="H10" s="6">
        <f t="shared" si="0"/>
        <v>734690.00407638249</v>
      </c>
      <c r="I10" s="36">
        <f>VLOOKUP($A10,[18]HISTOAVRIL23!$A$6:$AQ$40,22,0)</f>
        <v>0</v>
      </c>
      <c r="J10" s="36">
        <f>VLOOKUP($A10,[18]HISTOAVRIL23!$A$6:$AU$36,45,0)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VLOOKUP($A10,[18]HISTOAVRIL23!$A$6:$AU$36,7,0)</f>
        <v>3000</v>
      </c>
      <c r="P10" s="36">
        <f>VLOOKUP($A10,[18]HISTOAVRIL23!$A$6:$AU$36,23,0)</f>
        <v>0</v>
      </c>
      <c r="Q10" s="36">
        <f>VLOOKUP($A10,[18]HISTOAVRIL23!$A$6:$AU$36,46,0)</f>
        <v>0</v>
      </c>
      <c r="R10" s="36">
        <f>VLOOKUP($A10,[18]HISTOAVRIL23!$A$6:$AU$36,26,0)</f>
        <v>0</v>
      </c>
      <c r="S10" s="36">
        <f>VLOOKUP($A10,[18]HISTOAVRIL23!$A$6:$BG$36,58,0)</f>
        <v>0</v>
      </c>
      <c r="T10" s="36">
        <f>VLOOKUP($A10,[18]HISTOAVRIL23!$A$6:$AU$36,28,0)</f>
        <v>0</v>
      </c>
      <c r="U10" s="36">
        <f>VLOOKUP($A10,[18]HISTOAVRIL23!$A$6:$AU$36,19,0)</f>
        <v>0</v>
      </c>
      <c r="V10" s="36">
        <f>VLOOKUP($A10,[18]HISTOAVRIL23!$A$6:$AU$36,20,0)</f>
        <v>0</v>
      </c>
      <c r="W10" s="36">
        <f>VLOOKUP($A10,[18]HISTOAVRIL23!$A$6:$AU$36,27,0)</f>
        <v>0</v>
      </c>
      <c r="X10" s="36">
        <f>VLOOKUP($A10,[18]HISTOAVRIL23!$A$6:$BM$36,33,0)</f>
        <v>0</v>
      </c>
      <c r="Y10" s="36">
        <f>VLOOKUP($A10,[18]HISTOAVRIL23!$A$6:$BM$36,65,0)</f>
        <v>0</v>
      </c>
      <c r="Z10" s="36"/>
      <c r="AA10" s="36">
        <f>VLOOKUP($A10,[18]HISTOAVRIL23!$A$6:$AU$36,43,0)</f>
        <v>0</v>
      </c>
      <c r="AB10" s="36">
        <f>VLOOKUP($A10,[18]HISTOAVRIL23!$A$6:$AU$36,44,0)</f>
        <v>0</v>
      </c>
      <c r="AC10" s="36">
        <f>VLOOKUP($A10,[18]HISTOAVRIL23!$A$6:$AU$36,47,0)</f>
        <v>0</v>
      </c>
      <c r="AD10" s="36">
        <f>VLOOKUP(A10,[18]HISTOAVRIL23!$A$6:$BB$36,54,0)</f>
        <v>70000</v>
      </c>
      <c r="AE10" s="36">
        <f>VLOOKUP($A10,[18]HISTOAVRIL23!$A$6:$CA$36,60,0)</f>
        <v>0</v>
      </c>
      <c r="AF10" s="36">
        <f>VLOOKUP($A10,[18]HISTOAVRIL23!$A$6:$CA$36,61,0)</f>
        <v>0</v>
      </c>
      <c r="AG10" s="36">
        <f>VLOOKUP($A10,[18]HISTOAVRIL23!$A$6:$CA$36,62,0)</f>
        <v>0</v>
      </c>
      <c r="AH10" s="36">
        <f>VLOOKUP($A10,[18]HISTOAVRIL23!$A$6:$CA$36,63,0)</f>
        <v>0</v>
      </c>
      <c r="AI10" s="36">
        <f>VLOOKUP($A10,[18]HISTOAVRIL23!$A$6:$CA$36,64,0)</f>
        <v>0</v>
      </c>
      <c r="AJ10" s="36">
        <f>VLOOKUP($A10,[18]HISTOAVRIL23!$A$6:$CA$36,65,0)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VLOOKUP($A11,[18]HISTOAVRIL23!$A$6:$BA$36,48,0)</f>
        <v>0</v>
      </c>
      <c r="F11" s="5">
        <f>MVTMARS23!F11+MVTMARS23!G11-MVTAVRIL23!E11+K11</f>
        <v>685253.79841730313</v>
      </c>
      <c r="G11" s="6">
        <v>6219.0878177786726</v>
      </c>
      <c r="H11" s="6">
        <f t="shared" si="0"/>
        <v>691472.88623508182</v>
      </c>
      <c r="I11" s="36">
        <f>VLOOKUP($A11,[18]HISTOAVRIL23!$A$6:$AQ$40,22,0)</f>
        <v>0</v>
      </c>
      <c r="J11" s="36">
        <f>VLOOKUP($A11,[18]HISTOAVRIL23!$A$6:$AU$36,45,0)</f>
        <v>15000</v>
      </c>
      <c r="K11" s="36">
        <f t="shared" si="1"/>
        <v>9000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VLOOKUP($A11,[18]HISTOAVRIL23!$A$6:$AU$36,7,0)</f>
        <v>0</v>
      </c>
      <c r="P11" s="36">
        <f>VLOOKUP($A11,[18]HISTOAVRIL23!$A$6:$AU$36,23,0)</f>
        <v>0</v>
      </c>
      <c r="Q11" s="36">
        <f>VLOOKUP($A11,[18]HISTOAVRIL23!$A$6:$AU$36,46,0)</f>
        <v>0</v>
      </c>
      <c r="R11" s="36">
        <f>VLOOKUP($A11,[18]HISTOAVRIL23!$A$6:$AU$36,26,0)</f>
        <v>1000000</v>
      </c>
      <c r="S11" s="36">
        <f>VLOOKUP($A11,[18]HISTOAVRIL23!$A$6:$BG$36,58,0)</f>
        <v>80000</v>
      </c>
      <c r="T11" s="36">
        <f>VLOOKUP($A11,[18]HISTOAVRIL23!$A$6:$AU$36,28,0)</f>
        <v>0</v>
      </c>
      <c r="U11" s="36">
        <f>VLOOKUP($A11,[18]HISTOAVRIL23!$A$6:$AU$36,19,0)</f>
        <v>157500</v>
      </c>
      <c r="V11" s="36">
        <f>VLOOKUP($A11,[18]HISTOAVRIL23!$A$6:$AU$36,20,0)</f>
        <v>0</v>
      </c>
      <c r="W11" s="36" t="str">
        <f>VLOOKUP($A11,[18]HISTOAVRIL23!$A$6:$AU$36,27,0)</f>
        <v>BANQUE</v>
      </c>
      <c r="X11" s="36">
        <f>VLOOKUP($A11,[18]HISTOAVRIL23!$A$6:$BM$36,33,0)</f>
        <v>0</v>
      </c>
      <c r="Y11" s="36">
        <f>VLOOKUP($A11,[18]HISTOAVRIL23!$A$6:$BM$36,65,0)</f>
        <v>0</v>
      </c>
      <c r="Z11" s="36"/>
      <c r="AA11" s="36">
        <f>VLOOKUP($A11,[18]HISTOAVRIL23!$A$6:$AU$36,43,0)</f>
        <v>0</v>
      </c>
      <c r="AB11" s="36">
        <f>VLOOKUP($A11,[18]HISTOAVRIL23!$A$6:$AU$36,44,0)</f>
        <v>0</v>
      </c>
      <c r="AC11" s="36">
        <f>VLOOKUP($A11,[18]HISTOAVRIL23!$A$6:$AU$36,47,0)</f>
        <v>0</v>
      </c>
      <c r="AD11" s="36">
        <f>VLOOKUP(A11,[18]HISTOAVRIL23!$A$6:$BB$36,54,0)</f>
        <v>70000</v>
      </c>
      <c r="AE11" s="36">
        <f>VLOOKUP($A11,[18]HISTOAVRIL23!$A$6:$CA$36,60,0)</f>
        <v>0</v>
      </c>
      <c r="AF11" s="36">
        <f>VLOOKUP($A11,[18]HISTOAVRIL23!$A$6:$CA$36,61,0)</f>
        <v>0</v>
      </c>
      <c r="AG11" s="36">
        <f>VLOOKUP($A11,[18]HISTOAVRIL23!$A$6:$CA$36,62,0)</f>
        <v>0</v>
      </c>
      <c r="AH11" s="36">
        <f>VLOOKUP($A11,[18]HISTOAVRIL23!$A$6:$CA$36,63,0)</f>
        <v>0</v>
      </c>
      <c r="AI11" s="36">
        <f>VLOOKUP($A11,[18]HISTOAVRIL23!$A$6:$CA$36,64,0)</f>
        <v>0</v>
      </c>
      <c r="AJ11" s="36">
        <f>VLOOKUP($A11,[18]HISTOAVRIL23!$A$6:$CA$36,65,0)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VLOOKUP($A12,[18]HISTOAVRIL23!$A$6:$BA$36,48,0)</f>
        <v>0</v>
      </c>
      <c r="F12" s="5">
        <f>MVTMARS23!F12+MVTMARS23!G12-MVTAVRIL23!E12+K12</f>
        <v>706628.54546808579</v>
      </c>
      <c r="G12" s="6">
        <v>6413.076423604205</v>
      </c>
      <c r="H12" s="6">
        <f t="shared" si="0"/>
        <v>713041.62189168995</v>
      </c>
      <c r="I12" s="36">
        <f>VLOOKUP($A12,[18]HISTOAVRIL23!$A$6:$AQ$40,22,0)</f>
        <v>0</v>
      </c>
      <c r="J12" s="36">
        <f>VLOOKUP($A12,[18]HISTOAVRIL23!$A$6:$AU$36,45,0)</f>
        <v>20000</v>
      </c>
      <c r="K12" s="36">
        <f>IF(J12=0,0,J12-(L12+M12+N12))</f>
        <v>14000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VLOOKUP($A12,[18]HISTOAVRIL23!$A$6:$AU$36,7,0)</f>
        <v>0</v>
      </c>
      <c r="P12" s="36">
        <f>VLOOKUP($A12,[18]HISTOAVRIL23!$A$6:$AU$36,23,0)</f>
        <v>0</v>
      </c>
      <c r="Q12" s="36">
        <f>VLOOKUP($A12,[18]HISTOAVRIL23!$A$6:$AU$36,46,0)</f>
        <v>0</v>
      </c>
      <c r="R12" s="36">
        <f>VLOOKUP($A12,[18]HISTOAVRIL23!$A$6:$AU$36,26,0)</f>
        <v>0</v>
      </c>
      <c r="S12" s="36">
        <f>VLOOKUP($A12,[18]HISTOAVRIL23!$A$6:$BG$36,58,0)</f>
        <v>0</v>
      </c>
      <c r="T12" s="36">
        <f>VLOOKUP($A12,[18]HISTOAVRIL23!$A$6:$AU$36,28,0)</f>
        <v>0</v>
      </c>
      <c r="U12" s="36">
        <f>VLOOKUP($A12,[18]HISTOAVRIL23!$A$6:$AU$36,19,0)</f>
        <v>0</v>
      </c>
      <c r="V12" s="36">
        <f>VLOOKUP($A12,[18]HISTOAVRIL23!$A$6:$AU$36,20,0)</f>
        <v>0</v>
      </c>
      <c r="W12" s="36">
        <f>VLOOKUP($A12,[18]HISTOAVRIL23!$A$6:$AU$36,27,0)</f>
        <v>0</v>
      </c>
      <c r="X12" s="36">
        <f>VLOOKUP($A12,[18]HISTOAVRIL23!$A$6:$BM$36,33,0)</f>
        <v>0</v>
      </c>
      <c r="Y12" s="36">
        <f>VLOOKUP($A12,[18]HISTOAVRIL23!$A$6:$BM$36,65,0)</f>
        <v>0</v>
      </c>
      <c r="Z12" s="36"/>
      <c r="AA12" s="36">
        <f>VLOOKUP($A12,[18]HISTOAVRIL23!$A$6:$AU$36,43,0)</f>
        <v>0</v>
      </c>
      <c r="AB12" s="36">
        <f>VLOOKUP($A12,[18]HISTOAVRIL23!$A$6:$AU$36,44,0)</f>
        <v>0</v>
      </c>
      <c r="AC12" s="36">
        <f>VLOOKUP($A12,[18]HISTOAVRIL23!$A$6:$AU$36,47,0)</f>
        <v>0</v>
      </c>
      <c r="AD12" s="36">
        <f>VLOOKUP(A12,[18]HISTOAVRIL23!$A$6:$BB$36,54,0)</f>
        <v>0</v>
      </c>
      <c r="AE12" s="36">
        <f>VLOOKUP($A12,[18]HISTOAVRIL23!$A$6:$CA$36,60,0)</f>
        <v>0</v>
      </c>
      <c r="AF12" s="36">
        <f>VLOOKUP($A12,[18]HISTOAVRIL23!$A$6:$CA$36,61,0)</f>
        <v>0</v>
      </c>
      <c r="AG12" s="36">
        <f>VLOOKUP($A12,[18]HISTOAVRIL23!$A$6:$CA$36,62,0)</f>
        <v>0</v>
      </c>
      <c r="AH12" s="36">
        <f>VLOOKUP($A12,[18]HISTOAVRIL23!$A$6:$CA$36,63,0)</f>
        <v>0</v>
      </c>
      <c r="AI12" s="36">
        <f>VLOOKUP($A12,[18]HISTOAVRIL23!$A$6:$CA$36,64,0)</f>
        <v>0</v>
      </c>
      <c r="AJ12" s="36">
        <f>VLOOKUP($A12,[18]HISTOAVRIL23!$A$6:$CA$36,65,0)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VLOOKUP($A13,[18]HISTOAVRIL23!$A$6:$BA$36,48,0)</f>
        <v>0</v>
      </c>
      <c r="F13" s="5">
        <f>MVTMARS23!F13+MVTMARS23!G13-MVTAVRIL23!E13+K13</f>
        <v>675814.50844910531</v>
      </c>
      <c r="G13" s="6">
        <v>6133.4206191651301</v>
      </c>
      <c r="H13" s="6">
        <f t="shared" si="0"/>
        <v>681947.92906827049</v>
      </c>
      <c r="I13" s="36">
        <f>VLOOKUP($A13,[18]HISTOAVRIL23!$A$6:$AQ$40,22,0)</f>
        <v>0</v>
      </c>
      <c r="J13" s="36">
        <f>VLOOKUP($A13,[18]HISTOAVRIL23!$A$6:$AU$36,45,0)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VLOOKUP($A13,[18]HISTOAVRIL23!$A$6:$AU$36,7,0)</f>
        <v>0</v>
      </c>
      <c r="P13" s="36">
        <f>VLOOKUP($A13,[18]HISTOAVRIL23!$A$6:$AU$36,23,0)</f>
        <v>0</v>
      </c>
      <c r="Q13" s="36">
        <f>VLOOKUP($A13,[18]HISTOAVRIL23!$A$6:$AU$36,46,0)</f>
        <v>0</v>
      </c>
      <c r="R13" s="36">
        <f>VLOOKUP($A13,[18]HISTOAVRIL23!$A$6:$AU$36,26,0)</f>
        <v>0</v>
      </c>
      <c r="S13" s="36">
        <f>VLOOKUP($A13,[18]HISTOAVRIL23!$A$6:$BG$36,58,0)</f>
        <v>0</v>
      </c>
      <c r="T13" s="36">
        <f>VLOOKUP($A13,[18]HISTOAVRIL23!$A$6:$AU$36,28,0)</f>
        <v>0</v>
      </c>
      <c r="U13" s="36">
        <f>VLOOKUP($A13,[18]HISTOAVRIL23!$A$6:$AU$36,19,0)</f>
        <v>0</v>
      </c>
      <c r="V13" s="36">
        <f>VLOOKUP($A13,[18]HISTOAVRIL23!$A$6:$AU$36,20,0)</f>
        <v>0</v>
      </c>
      <c r="W13" s="36">
        <f>VLOOKUP($A13,[18]HISTOAVRIL23!$A$6:$AU$36,27,0)</f>
        <v>0</v>
      </c>
      <c r="X13" s="36">
        <f>VLOOKUP($A13,[18]HISTOAVRIL23!$A$6:$BM$36,33,0)</f>
        <v>0</v>
      </c>
      <c r="Y13" s="36">
        <f>VLOOKUP($A13,[18]HISTOAVRIL23!$A$6:$BM$36,65,0)</f>
        <v>0</v>
      </c>
      <c r="Z13" s="36"/>
      <c r="AA13" s="36">
        <f>VLOOKUP($A13,[18]HISTOAVRIL23!$A$6:$AU$36,43,0)</f>
        <v>0</v>
      </c>
      <c r="AB13" s="36">
        <f>VLOOKUP($A13,[18]HISTOAVRIL23!$A$6:$AU$36,44,0)</f>
        <v>0</v>
      </c>
      <c r="AC13" s="36">
        <f>VLOOKUP($A13,[18]HISTOAVRIL23!$A$6:$AU$36,47,0)</f>
        <v>0</v>
      </c>
      <c r="AD13" s="36">
        <f>VLOOKUP(A13,[18]HISTOAVRIL23!$A$6:$BB$36,54,0)</f>
        <v>0</v>
      </c>
      <c r="AE13" s="36">
        <f>VLOOKUP($A13,[18]HISTOAVRIL23!$A$6:$CA$36,60,0)</f>
        <v>0</v>
      </c>
      <c r="AF13" s="36">
        <f>VLOOKUP($A13,[18]HISTOAVRIL23!$A$6:$CA$36,61,0)</f>
        <v>0</v>
      </c>
      <c r="AG13" s="36">
        <f>VLOOKUP($A13,[18]HISTOAVRIL23!$A$6:$CA$36,62,0)</f>
        <v>0</v>
      </c>
      <c r="AH13" s="36">
        <f>VLOOKUP($A13,[18]HISTOAVRIL23!$A$6:$CA$36,63,0)</f>
        <v>0</v>
      </c>
      <c r="AI13" s="36">
        <f>VLOOKUP($A13,[18]HISTOAVRIL23!$A$6:$CA$36,64,0)</f>
        <v>0</v>
      </c>
      <c r="AJ13" s="36">
        <f>VLOOKUP($A13,[18]HISTOAVRIL23!$A$6:$CA$36,65,0)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VLOOKUP($A14,[18]HISTOAVRIL23!$A$6:$BA$36,48,0)</f>
        <v>0</v>
      </c>
      <c r="F14" s="5">
        <f>MVTMARS23!F14+MVTMARS23!G14-MVTAVRIL23!E14+K14</f>
        <v>1163450.3378296555</v>
      </c>
      <c r="G14" s="6">
        <v>10559.007245634537</v>
      </c>
      <c r="H14" s="6">
        <f t="shared" si="0"/>
        <v>1174009.34507529</v>
      </c>
      <c r="I14" s="36">
        <f>VLOOKUP($A14,[18]HISTOAVRIL23!$A$6:$AQ$40,22,0)</f>
        <v>0</v>
      </c>
      <c r="J14" s="36">
        <f>VLOOKUP($A14,[18]HISTOAVRIL23!$A$6:$AU$36,45,0)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VLOOKUP($A14,[18]HISTOAVRIL23!$A$6:$AU$36,7,0)</f>
        <v>0</v>
      </c>
      <c r="P14" s="36">
        <f>VLOOKUP($A14,[18]HISTOAVRIL23!$A$6:$AU$36,23,0)</f>
        <v>0</v>
      </c>
      <c r="Q14" s="36">
        <f>VLOOKUP($A14,[18]HISTOAVRIL23!$A$6:$AU$36,46,0)</f>
        <v>0</v>
      </c>
      <c r="R14" s="36">
        <f>VLOOKUP($A14,[18]HISTOAVRIL23!$A$6:$AU$36,26,0)</f>
        <v>0</v>
      </c>
      <c r="S14" s="36">
        <f>VLOOKUP($A14,[18]HISTOAVRIL23!$A$6:$BG$36,58,0)</f>
        <v>0</v>
      </c>
      <c r="T14" s="36">
        <f>VLOOKUP($A14,[18]HISTOAVRIL23!$A$6:$AU$36,28,0)</f>
        <v>0</v>
      </c>
      <c r="U14" s="36">
        <f>VLOOKUP($A14,[18]HISTOAVRIL23!$A$6:$AU$36,19,0)</f>
        <v>0</v>
      </c>
      <c r="V14" s="36">
        <f>VLOOKUP($A14,[18]HISTOAVRIL23!$A$6:$AU$36,20,0)</f>
        <v>0</v>
      </c>
      <c r="W14" s="36">
        <f>VLOOKUP($A14,[18]HISTOAVRIL23!$A$6:$AU$36,27,0)</f>
        <v>0</v>
      </c>
      <c r="X14" s="36">
        <f>VLOOKUP($A14,[18]HISTOAVRIL23!$A$6:$BM$36,33,0)</f>
        <v>0</v>
      </c>
      <c r="Y14" s="36">
        <f>VLOOKUP($A14,[18]HISTOAVRIL23!$A$6:$BM$36,65,0)</f>
        <v>0</v>
      </c>
      <c r="Z14" s="36"/>
      <c r="AA14" s="36">
        <f>VLOOKUP($A14,[18]HISTOAVRIL23!$A$6:$AU$36,43,0)</f>
        <v>0</v>
      </c>
      <c r="AB14" s="36">
        <f>VLOOKUP($A14,[18]HISTOAVRIL23!$A$6:$AU$36,44,0)</f>
        <v>0</v>
      </c>
      <c r="AC14" s="36">
        <f>VLOOKUP($A14,[18]HISTOAVRIL23!$A$6:$AU$36,47,0)</f>
        <v>0</v>
      </c>
      <c r="AD14" s="36">
        <f>VLOOKUP(A14,[18]HISTOAVRIL23!$A$6:$BB$36,54,0)</f>
        <v>0</v>
      </c>
      <c r="AE14" s="36">
        <f>VLOOKUP($A14,[18]HISTOAVRIL23!$A$6:$CA$36,60,0)</f>
        <v>0</v>
      </c>
      <c r="AF14" s="36">
        <f>VLOOKUP($A14,[18]HISTOAVRIL23!$A$6:$CA$36,61,0)</f>
        <v>0</v>
      </c>
      <c r="AG14" s="36">
        <f>VLOOKUP($A14,[18]HISTOAVRIL23!$A$6:$CA$36,62,0)</f>
        <v>0</v>
      </c>
      <c r="AH14" s="36">
        <f>VLOOKUP($A14,[18]HISTOAVRIL23!$A$6:$CA$36,63,0)</f>
        <v>0</v>
      </c>
      <c r="AI14" s="36">
        <f>VLOOKUP($A14,[18]HISTOAVRIL23!$A$6:$CA$36,64,0)</f>
        <v>0</v>
      </c>
      <c r="AJ14" s="36">
        <f>VLOOKUP($A14,[18]HISTOAVRIL23!$A$6:$CA$36,65,0)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VLOOKUP($A15,[18]HISTOAVRIL23!$A$6:$BA$36,48,0)</f>
        <v>0</v>
      </c>
      <c r="F15" s="5">
        <f>MVTMARS23!F15+MVTMARS23!G15-MVTAVRIL23!E15+K15</f>
        <v>729640.29598249786</v>
      </c>
      <c r="G15" s="6">
        <v>6621.9218143491835</v>
      </c>
      <c r="H15" s="6">
        <f t="shared" si="0"/>
        <v>736262.21779684699</v>
      </c>
      <c r="I15" s="36">
        <f>VLOOKUP($A15,[18]HISTOAVRIL23!$A$6:$AQ$40,22,0)</f>
        <v>0</v>
      </c>
      <c r="J15" s="36">
        <f>VLOOKUP($A15,[18]HISTOAVRIL23!$A$6:$AU$36,45,0)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VLOOKUP($A15,[18]HISTOAVRIL23!$A$6:$AU$36,7,0)</f>
        <v>0</v>
      </c>
      <c r="P15" s="36">
        <f>VLOOKUP($A15,[18]HISTOAVRIL23!$A$6:$AU$36,23,0)</f>
        <v>0</v>
      </c>
      <c r="Q15" s="36">
        <f>VLOOKUP($A15,[18]HISTOAVRIL23!$A$6:$AU$36,46,0)</f>
        <v>0</v>
      </c>
      <c r="R15" s="36">
        <f>VLOOKUP($A15,[18]HISTOAVRIL23!$A$6:$AU$36,26,0)</f>
        <v>0</v>
      </c>
      <c r="S15" s="36">
        <f>VLOOKUP($A15,[18]HISTOAVRIL23!$A$6:$BG$36,58,0)</f>
        <v>0</v>
      </c>
      <c r="T15" s="36">
        <f>VLOOKUP($A15,[18]HISTOAVRIL23!$A$6:$AU$36,28,0)</f>
        <v>0</v>
      </c>
      <c r="U15" s="36">
        <f>VLOOKUP($A15,[18]HISTOAVRIL23!$A$6:$AU$36,19,0)</f>
        <v>0</v>
      </c>
      <c r="V15" s="36">
        <f>VLOOKUP($A15,[18]HISTOAVRIL23!$A$6:$AU$36,20,0)</f>
        <v>0</v>
      </c>
      <c r="W15" s="36">
        <f>VLOOKUP($A15,[18]HISTOAVRIL23!$A$6:$AU$36,27,0)</f>
        <v>0</v>
      </c>
      <c r="X15" s="36">
        <f>VLOOKUP($A15,[18]HISTOAVRIL23!$A$6:$BM$36,33,0)</f>
        <v>0</v>
      </c>
      <c r="Y15" s="36">
        <f>VLOOKUP($A15,[18]HISTOAVRIL23!$A$6:$BM$36,65,0)</f>
        <v>0</v>
      </c>
      <c r="Z15" s="36"/>
      <c r="AA15" s="36">
        <f>VLOOKUP($A15,[18]HISTOAVRIL23!$A$6:$AU$36,43,0)</f>
        <v>0</v>
      </c>
      <c r="AB15" s="36">
        <f>VLOOKUP($A15,[18]HISTOAVRIL23!$A$6:$AU$36,44,0)</f>
        <v>0</v>
      </c>
      <c r="AC15" s="36">
        <f>VLOOKUP($A15,[18]HISTOAVRIL23!$A$6:$AU$36,47,0)</f>
        <v>0</v>
      </c>
      <c r="AD15" s="36">
        <f>VLOOKUP(A15,[18]HISTOAVRIL23!$A$6:$BB$36,54,0)</f>
        <v>0</v>
      </c>
      <c r="AE15" s="36">
        <f>VLOOKUP($A15,[18]HISTOAVRIL23!$A$6:$CA$36,60,0)</f>
        <v>0</v>
      </c>
      <c r="AF15" s="36">
        <f>VLOOKUP($A15,[18]HISTOAVRIL23!$A$6:$CA$36,61,0)</f>
        <v>0</v>
      </c>
      <c r="AG15" s="36">
        <f>VLOOKUP($A15,[18]HISTOAVRIL23!$A$6:$CA$36,62,0)</f>
        <v>0</v>
      </c>
      <c r="AH15" s="36">
        <f>VLOOKUP($A15,[18]HISTOAVRIL23!$A$6:$CA$36,63,0)</f>
        <v>0</v>
      </c>
      <c r="AI15" s="36">
        <f>VLOOKUP($A15,[18]HISTOAVRIL23!$A$6:$CA$36,64,0)</f>
        <v>0</v>
      </c>
      <c r="AJ15" s="36">
        <f>VLOOKUP($A15,[18]HISTOAVRIL23!$A$6:$CA$36,65,0)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VLOOKUP($A16,[18]HISTOAVRIL23!$A$6:$BA$36,48,0)</f>
        <v>0</v>
      </c>
      <c r="F16" s="5">
        <f>MVTMARS23!F16+MVTMARS23!G16-MVTAVRIL23!E16+K16</f>
        <v>832605.50095787388</v>
      </c>
      <c r="G16" s="6">
        <v>7556.3925949510985</v>
      </c>
      <c r="H16" s="6">
        <f t="shared" si="0"/>
        <v>840161.89355282497</v>
      </c>
      <c r="I16" s="36">
        <f>VLOOKUP($A16,[18]HISTOAVRIL23!$A$6:$AQ$40,22,0)</f>
        <v>0</v>
      </c>
      <c r="J16" s="36">
        <f>VLOOKUP($A16,[18]HISTOAVRIL23!$A$6:$AU$36,45,0)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VLOOKUP($A16,[18]HISTOAVRIL23!$A$6:$AU$36,7,0)</f>
        <v>0</v>
      </c>
      <c r="P16" s="36">
        <f>VLOOKUP($A16,[18]HISTOAVRIL23!$A$6:$AU$36,23,0)</f>
        <v>0</v>
      </c>
      <c r="Q16" s="36">
        <f>VLOOKUP($A16,[18]HISTOAVRIL23!$A$6:$AU$36,46,0)</f>
        <v>0</v>
      </c>
      <c r="R16" s="36">
        <f>VLOOKUP($A16,[18]HISTOAVRIL23!$A$6:$AU$36,26,0)</f>
        <v>0</v>
      </c>
      <c r="S16" s="36">
        <f>VLOOKUP($A16,[18]HISTOAVRIL23!$A$6:$BG$36,58,0)</f>
        <v>0</v>
      </c>
      <c r="T16" s="36">
        <f>VLOOKUP($A16,[18]HISTOAVRIL23!$A$6:$AU$36,28,0)</f>
        <v>0</v>
      </c>
      <c r="U16" s="36">
        <f>VLOOKUP($A16,[18]HISTOAVRIL23!$A$6:$AU$36,19,0)</f>
        <v>0</v>
      </c>
      <c r="V16" s="36">
        <f>VLOOKUP($A16,[18]HISTOAVRIL23!$A$6:$AU$36,20,0)</f>
        <v>0</v>
      </c>
      <c r="W16" s="36">
        <f>VLOOKUP($A16,[18]HISTOAVRIL23!$A$6:$AU$36,27,0)</f>
        <v>0</v>
      </c>
      <c r="X16" s="36">
        <f>VLOOKUP($A16,[18]HISTOAVRIL23!$A$6:$BM$36,33,0)</f>
        <v>0</v>
      </c>
      <c r="Y16" s="36">
        <f>VLOOKUP($A16,[18]HISTOAVRIL23!$A$6:$BM$36,65,0)</f>
        <v>0</v>
      </c>
      <c r="Z16" s="36"/>
      <c r="AA16" s="36">
        <f>VLOOKUP($A16,[18]HISTOAVRIL23!$A$6:$AU$36,43,0)</f>
        <v>0</v>
      </c>
      <c r="AB16" s="36">
        <f>VLOOKUP($A16,[18]HISTOAVRIL23!$A$6:$AU$36,44,0)</f>
        <v>0</v>
      </c>
      <c r="AC16" s="36">
        <f>VLOOKUP($A16,[18]HISTOAVRIL23!$A$6:$AU$36,47,0)</f>
        <v>0</v>
      </c>
      <c r="AD16" s="36">
        <f>VLOOKUP(A16,[18]HISTOAVRIL23!$A$6:$BB$36,54,0)</f>
        <v>0</v>
      </c>
      <c r="AE16" s="36">
        <f>VLOOKUP($A16,[18]HISTOAVRIL23!$A$6:$CA$36,60,0)</f>
        <v>0</v>
      </c>
      <c r="AF16" s="36">
        <f>VLOOKUP($A16,[18]HISTOAVRIL23!$A$6:$CA$36,61,0)</f>
        <v>0</v>
      </c>
      <c r="AG16" s="36">
        <f>VLOOKUP($A16,[18]HISTOAVRIL23!$A$6:$CA$36,62,0)</f>
        <v>0</v>
      </c>
      <c r="AH16" s="36">
        <f>VLOOKUP($A16,[18]HISTOAVRIL23!$A$6:$CA$36,63,0)</f>
        <v>0</v>
      </c>
      <c r="AI16" s="36">
        <f>VLOOKUP($A16,[18]HISTOAVRIL23!$A$6:$CA$36,64,0)</f>
        <v>0</v>
      </c>
      <c r="AJ16" s="36">
        <f>VLOOKUP($A16,[18]HISTOAVRIL23!$A$6:$CA$36,65,0)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VLOOKUP($A17,[18]HISTOAVRIL23!$A$6:$BA$36,48,0)</f>
        <v>0</v>
      </c>
      <c r="F17" s="5">
        <f>MVTMARS23!F17+MVTMARS23!G17-MVTAVRIL23!E17+K17</f>
        <v>731963.45404121524</v>
      </c>
      <c r="G17" s="6">
        <v>6643.0058623546274</v>
      </c>
      <c r="H17" s="6">
        <f t="shared" si="0"/>
        <v>738606.45990356989</v>
      </c>
      <c r="I17" s="36">
        <f>VLOOKUP($A17,[18]HISTOAVRIL23!$A$6:$AQ$40,22,0)</f>
        <v>0</v>
      </c>
      <c r="J17" s="36">
        <f>VLOOKUP($A17,[18]HISTOAVRIL23!$A$6:$AU$36,45,0)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VLOOKUP($A17,[18]HISTOAVRIL23!$A$6:$AU$36,7,0)</f>
        <v>0</v>
      </c>
      <c r="P17" s="36">
        <f>VLOOKUP($A17,[18]HISTOAVRIL23!$A$6:$AU$36,23,0)</f>
        <v>0</v>
      </c>
      <c r="Q17" s="36">
        <f>VLOOKUP($A17,[18]HISTOAVRIL23!$A$6:$AU$36,46,0)</f>
        <v>0</v>
      </c>
      <c r="R17" s="36">
        <f>VLOOKUP($A17,[18]HISTOAVRIL23!$A$6:$AU$36,26,0)</f>
        <v>0</v>
      </c>
      <c r="S17" s="36">
        <f>VLOOKUP($A17,[18]HISTOAVRIL23!$A$6:$BG$36,58,0)</f>
        <v>0</v>
      </c>
      <c r="T17" s="36">
        <f>VLOOKUP($A17,[18]HISTOAVRIL23!$A$6:$AU$36,28,0)</f>
        <v>0</v>
      </c>
      <c r="U17" s="36">
        <f>VLOOKUP($A17,[18]HISTOAVRIL23!$A$6:$AU$36,19,0)</f>
        <v>0</v>
      </c>
      <c r="V17" s="36">
        <f>VLOOKUP($A17,[18]HISTOAVRIL23!$A$6:$AU$36,20,0)</f>
        <v>0</v>
      </c>
      <c r="W17" s="36">
        <f>VLOOKUP($A17,[18]HISTOAVRIL23!$A$6:$AU$36,27,0)</f>
        <v>0</v>
      </c>
      <c r="X17" s="36">
        <f>VLOOKUP($A17,[18]HISTOAVRIL23!$A$6:$BM$36,33,0)</f>
        <v>0</v>
      </c>
      <c r="Y17" s="36">
        <f>VLOOKUP($A17,[18]HISTOAVRIL23!$A$6:$BM$36,65,0)</f>
        <v>0</v>
      </c>
      <c r="Z17" s="36"/>
      <c r="AA17" s="36">
        <f>VLOOKUP($A17,[18]HISTOAVRIL23!$A$6:$AU$36,43,0)</f>
        <v>0</v>
      </c>
      <c r="AB17" s="36">
        <f>VLOOKUP($A17,[18]HISTOAVRIL23!$A$6:$AU$36,44,0)</f>
        <v>0</v>
      </c>
      <c r="AC17" s="36">
        <f>VLOOKUP($A17,[18]HISTOAVRIL23!$A$6:$AU$36,47,0)</f>
        <v>0</v>
      </c>
      <c r="AD17" s="36">
        <f>VLOOKUP(A17,[18]HISTOAVRIL23!$A$6:$BB$36,54,0)</f>
        <v>0</v>
      </c>
      <c r="AE17" s="36">
        <f>VLOOKUP($A17,[18]HISTOAVRIL23!$A$6:$CA$36,60,0)</f>
        <v>0</v>
      </c>
      <c r="AF17" s="36">
        <f>VLOOKUP($A17,[18]HISTOAVRIL23!$A$6:$CA$36,61,0)</f>
        <v>0</v>
      </c>
      <c r="AG17" s="36">
        <f>VLOOKUP($A17,[18]HISTOAVRIL23!$A$6:$CA$36,62,0)</f>
        <v>0</v>
      </c>
      <c r="AH17" s="36">
        <f>VLOOKUP($A17,[18]HISTOAVRIL23!$A$6:$CA$36,63,0)</f>
        <v>0</v>
      </c>
      <c r="AI17" s="36">
        <f>VLOOKUP($A17,[18]HISTOAVRIL23!$A$6:$CA$36,64,0)</f>
        <v>0</v>
      </c>
      <c r="AJ17" s="36">
        <f>VLOOKUP($A17,[18]HISTOAVRIL23!$A$6:$CA$36,65,0)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VLOOKUP($A18,[18]HISTOAVRIL23!$A$6:$BA$36,48,0)</f>
        <v>0</v>
      </c>
      <c r="F18" s="5">
        <f>MVTMARS23!F18+MVTMARS23!G18-MVTAVRIL23!E18+K18</f>
        <v>683072.68039926409</v>
      </c>
      <c r="G18" s="6">
        <v>6199.2928680440582</v>
      </c>
      <c r="H18" s="6">
        <f t="shared" si="0"/>
        <v>689271.9732673082</v>
      </c>
      <c r="I18" s="36">
        <f>VLOOKUP($A18,[18]HISTOAVRIL23!$A$6:$AQ$40,22,0)</f>
        <v>0</v>
      </c>
      <c r="J18" s="36">
        <f>VLOOKUP($A18,[18]HISTOAVRIL23!$A$6:$AU$36,45,0)</f>
        <v>17000</v>
      </c>
      <c r="K18" s="36">
        <f t="shared" si="1"/>
        <v>11000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VLOOKUP($A18,[18]HISTOAVRIL23!$A$6:$AU$36,7,0)</f>
        <v>0</v>
      </c>
      <c r="P18" s="36">
        <f>VLOOKUP($A18,[18]HISTOAVRIL23!$A$6:$AU$36,23,0)</f>
        <v>0</v>
      </c>
      <c r="Q18" s="36">
        <f>VLOOKUP($A18,[18]HISTOAVRIL23!$A$6:$AU$36,46,0)</f>
        <v>0</v>
      </c>
      <c r="R18" s="36">
        <f>VLOOKUP($A18,[18]HISTOAVRIL23!$A$6:$AU$36,26,0)</f>
        <v>0</v>
      </c>
      <c r="S18" s="36">
        <f>VLOOKUP($A18,[18]HISTOAVRIL23!$A$6:$BG$36,58,0)</f>
        <v>0</v>
      </c>
      <c r="T18" s="36">
        <f>VLOOKUP($A18,[18]HISTOAVRIL23!$A$6:$AU$36,28,0)</f>
        <v>0</v>
      </c>
      <c r="U18" s="36">
        <f>VLOOKUP($A18,[18]HISTOAVRIL23!$A$6:$AU$36,19,0)</f>
        <v>0</v>
      </c>
      <c r="V18" s="36">
        <f>VLOOKUP($A18,[18]HISTOAVRIL23!$A$6:$AU$36,20,0)</f>
        <v>0</v>
      </c>
      <c r="W18" s="36">
        <f>VLOOKUP($A18,[18]HISTOAVRIL23!$A$6:$AU$36,27,0)</f>
        <v>0</v>
      </c>
      <c r="X18" s="36">
        <f>VLOOKUP($A18,[18]HISTOAVRIL23!$A$6:$BM$36,33,0)</f>
        <v>0</v>
      </c>
      <c r="Y18" s="36">
        <f>VLOOKUP($A18,[18]HISTOAVRIL23!$A$6:$BM$36,65,0)</f>
        <v>0</v>
      </c>
      <c r="Z18" s="36"/>
      <c r="AA18" s="36">
        <f>VLOOKUP($A18,[18]HISTOAVRIL23!$A$6:$AU$36,43,0)</f>
        <v>0</v>
      </c>
      <c r="AB18" s="36">
        <f>VLOOKUP($A18,[18]HISTOAVRIL23!$A$6:$AU$36,44,0)</f>
        <v>0</v>
      </c>
      <c r="AC18" s="36">
        <f>VLOOKUP($A18,[18]HISTOAVRIL23!$A$6:$AU$36,47,0)</f>
        <v>0</v>
      </c>
      <c r="AD18" s="36">
        <f>VLOOKUP(A18,[18]HISTOAVRIL23!$A$6:$BB$36,54,0)</f>
        <v>0</v>
      </c>
      <c r="AE18" s="36">
        <f>VLOOKUP($A18,[18]HISTOAVRIL23!$A$6:$CA$36,60,0)</f>
        <v>0</v>
      </c>
      <c r="AF18" s="36">
        <f>VLOOKUP($A18,[18]HISTOAVRIL23!$A$6:$CA$36,61,0)</f>
        <v>0</v>
      </c>
      <c r="AG18" s="36">
        <f>VLOOKUP($A18,[18]HISTOAVRIL23!$A$6:$CA$36,62,0)</f>
        <v>0</v>
      </c>
      <c r="AH18" s="36">
        <f>VLOOKUP($A18,[18]HISTOAVRIL23!$A$6:$CA$36,63,0)</f>
        <v>0</v>
      </c>
      <c r="AI18" s="36">
        <f>VLOOKUP($A18,[18]HISTOAVRIL23!$A$6:$CA$36,64,0)</f>
        <v>0</v>
      </c>
      <c r="AJ18" s="36">
        <f>VLOOKUP($A18,[18]HISTOAVRIL23!$A$6:$CA$36,65,0)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VLOOKUP($A19,[18]HISTOAVRIL23!$A$6:$BA$36,48,0)</f>
        <v>0</v>
      </c>
      <c r="F19" s="5">
        <f>MVTMARS23!F19+MVTMARS23!G19-MVTAVRIL23!E19+K19</f>
        <v>675987.22012738837</v>
      </c>
      <c r="G19" s="6">
        <v>6134.9880808805983</v>
      </c>
      <c r="H19" s="6">
        <f t="shared" si="0"/>
        <v>682122.20820826897</v>
      </c>
      <c r="I19" s="36">
        <f>VLOOKUP($A19,[18]HISTOAVRIL23!$A$6:$AQ$40,22,0)</f>
        <v>0</v>
      </c>
      <c r="J19" s="36">
        <f>VLOOKUP($A19,[18]HISTOAVRIL23!$A$6:$AU$36,45,0)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VLOOKUP($A19,[18]HISTOAVRIL23!$A$6:$AU$36,7,0)</f>
        <v>0</v>
      </c>
      <c r="P19" s="36">
        <f>VLOOKUP($A19,[18]HISTOAVRIL23!$A$6:$AU$36,23,0)</f>
        <v>0</v>
      </c>
      <c r="Q19" s="36">
        <f>VLOOKUP($A19,[18]HISTOAVRIL23!$A$6:$AU$36,46,0)</f>
        <v>0</v>
      </c>
      <c r="R19" s="36">
        <f>VLOOKUP($A19,[18]HISTOAVRIL23!$A$6:$AU$36,26,0)</f>
        <v>300000</v>
      </c>
      <c r="S19" s="36">
        <f>VLOOKUP($A19,[18]HISTOAVRIL23!$A$6:$BG$36,58,0)</f>
        <v>12000</v>
      </c>
      <c r="T19" s="36">
        <f>VLOOKUP($A19,[18]HISTOAVRIL23!$A$6:$AU$36,28,0)</f>
        <v>0</v>
      </c>
      <c r="U19" s="36">
        <f>VLOOKUP($A19,[18]HISTOAVRIL23!$A$6:$AU$36,19,0)</f>
        <v>1000000</v>
      </c>
      <c r="V19" s="36" t="str">
        <f>VLOOKUP($A19,[18]HISTOAVRIL23!$A$6:$AU$36,20,0)</f>
        <v>BANQUE</v>
      </c>
      <c r="W19" s="36" t="str">
        <f>VLOOKUP($A19,[18]HISTOAVRIL23!$A$6:$AU$36,27,0)</f>
        <v>BANQUE</v>
      </c>
      <c r="X19" s="36">
        <f>VLOOKUP($A19,[18]HISTOAVRIL23!$A$6:$BM$36,33,0)</f>
        <v>0</v>
      </c>
      <c r="Y19" s="36">
        <f>VLOOKUP($A19,[18]HISTOAVRIL23!$A$6:$BM$36,65,0)</f>
        <v>0</v>
      </c>
      <c r="Z19" s="36"/>
      <c r="AA19" s="36">
        <f>VLOOKUP($A19,[18]HISTOAVRIL23!$A$6:$AU$36,43,0)</f>
        <v>0</v>
      </c>
      <c r="AB19" s="36">
        <f>VLOOKUP($A19,[18]HISTOAVRIL23!$A$6:$AU$36,44,0)</f>
        <v>0</v>
      </c>
      <c r="AC19" s="36">
        <f>VLOOKUP($A19,[18]HISTOAVRIL23!$A$6:$AU$36,47,0)</f>
        <v>0</v>
      </c>
      <c r="AD19" s="36">
        <f>VLOOKUP(A19,[18]HISTOAVRIL23!$A$6:$BB$36,54,0)</f>
        <v>0</v>
      </c>
      <c r="AE19" s="36">
        <f>VLOOKUP($A19,[18]HISTOAVRIL23!$A$6:$CA$36,60,0)</f>
        <v>0</v>
      </c>
      <c r="AF19" s="36">
        <f>VLOOKUP($A19,[18]HISTOAVRIL23!$A$6:$CA$36,61,0)</f>
        <v>0</v>
      </c>
      <c r="AG19" s="36">
        <f>VLOOKUP($A19,[18]HISTOAVRIL23!$A$6:$CA$36,62,0)</f>
        <v>0</v>
      </c>
      <c r="AH19" s="36">
        <f>VLOOKUP($A19,[18]HISTOAVRIL23!$A$6:$CA$36,63,0)</f>
        <v>0</v>
      </c>
      <c r="AI19" s="36">
        <f>VLOOKUP($A19,[18]HISTOAVRIL23!$A$6:$CA$36,64,0)</f>
        <v>0</v>
      </c>
      <c r="AJ19" s="36">
        <f>VLOOKUP($A19,[18]HISTOAVRIL23!$A$6:$CA$36,65,0)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VLOOKUP($A20,[18]HISTOAVRIL23!$A$6:$BA$36,48,0)</f>
        <v>0</v>
      </c>
      <c r="F20" s="5">
        <f>MVTMARS23!F20+MVTMARS23!G20-MVTAVRIL23!E20+K20</f>
        <v>724052.7024081673</v>
      </c>
      <c r="G20" s="6">
        <v>6571.2110627866568</v>
      </c>
      <c r="H20" s="6">
        <f t="shared" si="0"/>
        <v>730623.91347095394</v>
      </c>
      <c r="I20" s="36">
        <f>VLOOKUP($A20,[18]HISTOAVRIL23!$A$6:$AQ$40,22,0)</f>
        <v>0</v>
      </c>
      <c r="J20" s="36">
        <f>VLOOKUP($A20,[18]HISTOAVRIL23!$A$6:$AU$36,45,0)</f>
        <v>20000</v>
      </c>
      <c r="K20" s="36">
        <f t="shared" si="1"/>
        <v>14000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VLOOKUP($A20,[18]HISTOAVRIL23!$A$6:$AU$36,7,0)</f>
        <v>0</v>
      </c>
      <c r="P20" s="36">
        <f>VLOOKUP($A20,[18]HISTOAVRIL23!$A$6:$AU$36,23,0)</f>
        <v>0</v>
      </c>
      <c r="Q20" s="36">
        <f>VLOOKUP($A20,[18]HISTOAVRIL23!$A$6:$AU$36,46,0)</f>
        <v>0</v>
      </c>
      <c r="R20" s="36">
        <f>VLOOKUP($A20,[18]HISTOAVRIL23!$A$6:$AU$36,26,0)</f>
        <v>0</v>
      </c>
      <c r="S20" s="36">
        <f>VLOOKUP($A20,[18]HISTOAVRIL23!$A$6:$BG$36,58,0)</f>
        <v>0</v>
      </c>
      <c r="T20" s="36">
        <f>VLOOKUP($A20,[18]HISTOAVRIL23!$A$6:$AU$36,28,0)</f>
        <v>0</v>
      </c>
      <c r="U20" s="36">
        <f>VLOOKUP($A20,[18]HISTOAVRIL23!$A$6:$AU$36,19,0)</f>
        <v>0</v>
      </c>
      <c r="V20" s="36">
        <f>VLOOKUP($A20,[18]HISTOAVRIL23!$A$6:$AU$36,20,0)</f>
        <v>0</v>
      </c>
      <c r="W20" s="36">
        <f>VLOOKUP($A20,[18]HISTOAVRIL23!$A$6:$AU$36,27,0)</f>
        <v>0</v>
      </c>
      <c r="X20" s="36">
        <f>VLOOKUP($A20,[18]HISTOAVRIL23!$A$6:$BM$36,33,0)</f>
        <v>0</v>
      </c>
      <c r="Y20" s="36">
        <f>VLOOKUP($A20,[18]HISTOAVRIL23!$A$6:$BM$36,65,0)</f>
        <v>0</v>
      </c>
      <c r="Z20" s="36"/>
      <c r="AA20" s="36">
        <f>VLOOKUP($A20,[18]HISTOAVRIL23!$A$6:$AU$36,43,0)</f>
        <v>0</v>
      </c>
      <c r="AB20" s="36">
        <f>VLOOKUP($A20,[18]HISTOAVRIL23!$A$6:$AU$36,44,0)</f>
        <v>0</v>
      </c>
      <c r="AC20" s="36">
        <f>VLOOKUP($A20,[18]HISTOAVRIL23!$A$6:$AU$36,47,0)</f>
        <v>0</v>
      </c>
      <c r="AD20" s="36">
        <f>VLOOKUP(A20,[18]HISTOAVRIL23!$A$6:$BB$36,54,0)</f>
        <v>0</v>
      </c>
      <c r="AE20" s="36">
        <f>VLOOKUP($A20,[18]HISTOAVRIL23!$A$6:$CA$36,60,0)</f>
        <v>0</v>
      </c>
      <c r="AF20" s="36">
        <f>VLOOKUP($A20,[18]HISTOAVRIL23!$A$6:$CA$36,61,0)</f>
        <v>0</v>
      </c>
      <c r="AG20" s="36">
        <f>VLOOKUP($A20,[18]HISTOAVRIL23!$A$6:$CA$36,62,0)</f>
        <v>0</v>
      </c>
      <c r="AH20" s="36">
        <f>VLOOKUP($A20,[18]HISTOAVRIL23!$A$6:$CA$36,63,0)</f>
        <v>0</v>
      </c>
      <c r="AI20" s="36">
        <f>VLOOKUP($A20,[18]HISTOAVRIL23!$A$6:$CA$36,64,0)</f>
        <v>0</v>
      </c>
      <c r="AJ20" s="36">
        <f>VLOOKUP($A20,[18]HISTOAVRIL23!$A$6:$CA$36,65,0)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VLOOKUP($A21,[18]HISTOAVRIL23!$A$6:$BA$36,48,0)</f>
        <v>0</v>
      </c>
      <c r="F21" s="5">
        <f>MVTMARS23!F21+MVTMARS23!G21-MVTAVRIL23!E21+K21</f>
        <v>729885.89201539441</v>
      </c>
      <c r="G21" s="6">
        <v>6624.1507451479756</v>
      </c>
      <c r="H21" s="6">
        <f t="shared" si="0"/>
        <v>736510.04276054236</v>
      </c>
      <c r="I21" s="36">
        <f>VLOOKUP($A21,[18]HISTOAVRIL23!$A$6:$AQ$40,22,0)</f>
        <v>0</v>
      </c>
      <c r="J21" s="36">
        <f>VLOOKUP($A21,[18]HISTOAVRIL23!$A$6:$AU$36,45,0)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VLOOKUP($A21,[18]HISTOAVRIL23!$A$6:$AU$36,7,0)</f>
        <v>0</v>
      </c>
      <c r="P21" s="36">
        <f>VLOOKUP($A21,[18]HISTOAVRIL23!$A$6:$AU$36,23,0)</f>
        <v>0</v>
      </c>
      <c r="Q21" s="36">
        <f>VLOOKUP($A21,[18]HISTOAVRIL23!$A$6:$AU$36,46,0)</f>
        <v>0</v>
      </c>
      <c r="R21" s="36">
        <f>VLOOKUP($A21,[18]HISTOAVRIL23!$A$6:$AU$36,26,0)</f>
        <v>0</v>
      </c>
      <c r="S21" s="36">
        <f>VLOOKUP($A21,[18]HISTOAVRIL23!$A$6:$BG$36,58,0)</f>
        <v>0</v>
      </c>
      <c r="T21" s="36">
        <f>VLOOKUP($A21,[18]HISTOAVRIL23!$A$6:$AU$36,28,0)</f>
        <v>0</v>
      </c>
      <c r="U21" s="36">
        <f>VLOOKUP($A21,[18]HISTOAVRIL23!$A$6:$AU$36,19,0)</f>
        <v>0</v>
      </c>
      <c r="V21" s="36">
        <f>VLOOKUP($A21,[18]HISTOAVRIL23!$A$6:$AU$36,20,0)</f>
        <v>0</v>
      </c>
      <c r="W21" s="36">
        <f>VLOOKUP($A21,[18]HISTOAVRIL23!$A$6:$AU$36,27,0)</f>
        <v>0</v>
      </c>
      <c r="X21" s="36">
        <f>VLOOKUP($A21,[18]HISTOAVRIL23!$A$6:$BM$36,33,0)</f>
        <v>0</v>
      </c>
      <c r="Y21" s="36">
        <f>VLOOKUP($A21,[18]HISTOAVRIL23!$A$6:$BM$36,65,0)</f>
        <v>0</v>
      </c>
      <c r="Z21" s="36"/>
      <c r="AA21" s="36">
        <f>VLOOKUP($A21,[18]HISTOAVRIL23!$A$6:$AU$36,43,0)</f>
        <v>0</v>
      </c>
      <c r="AB21" s="36">
        <f>VLOOKUP($A21,[18]HISTOAVRIL23!$A$6:$AU$36,44,0)</f>
        <v>0</v>
      </c>
      <c r="AC21" s="36">
        <f>VLOOKUP($A21,[18]HISTOAVRIL23!$A$6:$AU$36,47,0)</f>
        <v>0</v>
      </c>
      <c r="AD21" s="36">
        <f>VLOOKUP(A21,[18]HISTOAVRIL23!$A$6:$BB$36,54,0)</f>
        <v>0</v>
      </c>
      <c r="AE21" s="36">
        <f>VLOOKUP($A21,[18]HISTOAVRIL23!$A$6:$CA$36,60,0)</f>
        <v>0</v>
      </c>
      <c r="AF21" s="36">
        <f>VLOOKUP($A21,[18]HISTOAVRIL23!$A$6:$CA$36,61,0)</f>
        <v>0</v>
      </c>
      <c r="AG21" s="36">
        <f>VLOOKUP($A21,[18]HISTOAVRIL23!$A$6:$CA$36,62,0)</f>
        <v>0</v>
      </c>
      <c r="AH21" s="36">
        <f>VLOOKUP($A21,[18]HISTOAVRIL23!$A$6:$CA$36,63,0)</f>
        <v>0</v>
      </c>
      <c r="AI21" s="36">
        <f>VLOOKUP($A21,[18]HISTOAVRIL23!$A$6:$CA$36,64,0)</f>
        <v>0</v>
      </c>
      <c r="AJ21" s="36">
        <f>VLOOKUP($A21,[18]HISTOAVRIL23!$A$6:$CA$36,65,0)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VLOOKUP($A22,[18]HISTOAVRIL23!$A$6:$BA$36,48,0)</f>
        <v>0</v>
      </c>
      <c r="F22" s="5">
        <f>MVTMARS23!F22+MVTMARS23!G22-MVTAVRIL23!E22+K22</f>
        <v>825308.20414783841</v>
      </c>
      <c r="G22" s="6">
        <v>7490.1652645826653</v>
      </c>
      <c r="H22" s="6">
        <f t="shared" si="0"/>
        <v>832798.36941242102</v>
      </c>
      <c r="I22" s="36">
        <f>VLOOKUP($A22,[18]HISTOAVRIL23!$A$6:$AQ$40,22,0)</f>
        <v>0</v>
      </c>
      <c r="J22" s="36">
        <f>VLOOKUP($A22,[18]HISTOAVRIL23!$A$6:$AU$36,45,0)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VLOOKUP($A22,[18]HISTOAVRIL23!$A$6:$AU$36,7,0)</f>
        <v>0</v>
      </c>
      <c r="P22" s="36">
        <f>VLOOKUP($A22,[18]HISTOAVRIL23!$A$6:$AU$36,23,0)</f>
        <v>0</v>
      </c>
      <c r="Q22" s="36">
        <f>VLOOKUP($A22,[18]HISTOAVRIL23!$A$6:$AU$36,46,0)</f>
        <v>0</v>
      </c>
      <c r="R22" s="36">
        <f>VLOOKUP($A22,[18]HISTOAVRIL23!$A$6:$AU$36,26,0)</f>
        <v>0</v>
      </c>
      <c r="S22" s="36">
        <f>VLOOKUP($A22,[18]HISTOAVRIL23!$A$6:$BG$36,58,0)</f>
        <v>0</v>
      </c>
      <c r="T22" s="36">
        <f>VLOOKUP($A22,[18]HISTOAVRIL23!$A$6:$AU$36,28,0)</f>
        <v>0</v>
      </c>
      <c r="U22" s="36">
        <f>VLOOKUP($A22,[18]HISTOAVRIL23!$A$6:$AU$36,19,0)</f>
        <v>0</v>
      </c>
      <c r="V22" s="36">
        <f>VLOOKUP($A22,[18]HISTOAVRIL23!$A$6:$AU$36,20,0)</f>
        <v>0</v>
      </c>
      <c r="W22" s="36">
        <f>VLOOKUP($A22,[18]HISTOAVRIL23!$A$6:$AU$36,27,0)</f>
        <v>0</v>
      </c>
      <c r="X22" s="36">
        <f>VLOOKUP($A22,[18]HISTOAVRIL23!$A$6:$BM$36,33,0)</f>
        <v>0</v>
      </c>
      <c r="Y22" s="36">
        <f>VLOOKUP($A22,[18]HISTOAVRIL23!$A$6:$BM$36,65,0)</f>
        <v>0</v>
      </c>
      <c r="Z22" s="36"/>
      <c r="AA22" s="36">
        <f>VLOOKUP($A22,[18]HISTOAVRIL23!$A$6:$AU$36,43,0)</f>
        <v>0</v>
      </c>
      <c r="AB22" s="36">
        <f>VLOOKUP($A22,[18]HISTOAVRIL23!$A$6:$AU$36,44,0)</f>
        <v>0</v>
      </c>
      <c r="AC22" s="36">
        <f>VLOOKUP($A22,[18]HISTOAVRIL23!$A$6:$AU$36,47,0)</f>
        <v>0</v>
      </c>
      <c r="AD22" s="36">
        <f>VLOOKUP(A22,[18]HISTOAVRIL23!$A$6:$BB$36,54,0)</f>
        <v>0</v>
      </c>
      <c r="AE22" s="36">
        <f>VLOOKUP($A22,[18]HISTOAVRIL23!$A$6:$CA$36,60,0)</f>
        <v>0</v>
      </c>
      <c r="AF22" s="36">
        <f>VLOOKUP($A22,[18]HISTOAVRIL23!$A$6:$CA$36,61,0)</f>
        <v>0</v>
      </c>
      <c r="AG22" s="36">
        <f>VLOOKUP($A22,[18]HISTOAVRIL23!$A$6:$CA$36,62,0)</f>
        <v>0</v>
      </c>
      <c r="AH22" s="36">
        <f>VLOOKUP($A22,[18]HISTOAVRIL23!$A$6:$CA$36,63,0)</f>
        <v>0</v>
      </c>
      <c r="AI22" s="36">
        <f>VLOOKUP($A22,[18]HISTOAVRIL23!$A$6:$CA$36,64,0)</f>
        <v>0</v>
      </c>
      <c r="AJ22" s="36">
        <f>VLOOKUP($A22,[18]HISTOAVRIL23!$A$6:$CA$36,65,0)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VLOOKUP($A23,[18]HISTOAVRIL23!$A$6:$BA$36,48,0)</f>
        <v>0</v>
      </c>
      <c r="F23" s="5">
        <f>MVTMARS23!F23+MVTMARS23!G23-MVTAVRIL23!E23+K23</f>
        <v>1016922.7029811135</v>
      </c>
      <c r="G23" s="6">
        <v>9229.1813753377191</v>
      </c>
      <c r="H23" s="6">
        <f t="shared" si="0"/>
        <v>1026151.8843564512</v>
      </c>
      <c r="I23" s="36">
        <f>VLOOKUP($A23,[18]HISTOAVRIL23!$A$6:$AQ$40,22,0)</f>
        <v>0</v>
      </c>
      <c r="J23" s="36">
        <f>VLOOKUP($A23,[18]HISTOAVRIL23!$A$6:$AU$36,45,0)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VLOOKUP($A23,[18]HISTOAVRIL23!$A$6:$AU$36,7,0)</f>
        <v>0</v>
      </c>
      <c r="P23" s="36">
        <f>VLOOKUP($A23,[18]HISTOAVRIL23!$A$6:$AU$36,23,0)</f>
        <v>0</v>
      </c>
      <c r="Q23" s="36">
        <f>VLOOKUP($A23,[18]HISTOAVRIL23!$A$6:$AU$36,46,0)</f>
        <v>0</v>
      </c>
      <c r="R23" s="36">
        <f>VLOOKUP($A23,[18]HISTOAVRIL23!$A$6:$AU$36,26,0)</f>
        <v>0</v>
      </c>
      <c r="S23" s="36">
        <f>VLOOKUP($A23,[18]HISTOAVRIL23!$A$6:$BG$36,58,0)</f>
        <v>0</v>
      </c>
      <c r="T23" s="36">
        <f>VLOOKUP($A23,[18]HISTOAVRIL23!$A$6:$AU$36,28,0)</f>
        <v>0</v>
      </c>
      <c r="U23" s="36">
        <f>VLOOKUP($A23,[18]HISTOAVRIL23!$A$6:$AU$36,19,0)</f>
        <v>0</v>
      </c>
      <c r="V23" s="36">
        <f>VLOOKUP($A23,[18]HISTOAVRIL23!$A$6:$AU$36,20,0)</f>
        <v>0</v>
      </c>
      <c r="W23" s="36">
        <f>VLOOKUP($A23,[18]HISTOAVRIL23!$A$6:$AU$36,27,0)</f>
        <v>0</v>
      </c>
      <c r="X23" s="36">
        <f>VLOOKUP($A23,[18]HISTOAVRIL23!$A$6:$BM$36,33,0)</f>
        <v>0</v>
      </c>
      <c r="Y23" s="36">
        <f>VLOOKUP($A23,[18]HISTOAVRIL23!$A$6:$BM$36,65,0)</f>
        <v>0</v>
      </c>
      <c r="Z23" s="36"/>
      <c r="AA23" s="36">
        <f>VLOOKUP($A23,[18]HISTOAVRIL23!$A$6:$AU$36,43,0)</f>
        <v>0</v>
      </c>
      <c r="AB23" s="36">
        <f>VLOOKUP($A23,[18]HISTOAVRIL23!$A$6:$AU$36,44,0)</f>
        <v>0</v>
      </c>
      <c r="AC23" s="36">
        <f>VLOOKUP($A23,[18]HISTOAVRIL23!$A$6:$AU$36,47,0)</f>
        <v>0</v>
      </c>
      <c r="AD23" s="36">
        <f>VLOOKUP(A23,[18]HISTOAVRIL23!$A$6:$BB$36,54,0)</f>
        <v>0</v>
      </c>
      <c r="AE23" s="36">
        <f>VLOOKUP($A23,[18]HISTOAVRIL23!$A$6:$CA$36,60,0)</f>
        <v>0</v>
      </c>
      <c r="AF23" s="36">
        <f>VLOOKUP($A23,[18]HISTOAVRIL23!$A$6:$CA$36,61,0)</f>
        <v>0</v>
      </c>
      <c r="AG23" s="36">
        <f>VLOOKUP($A23,[18]HISTOAVRIL23!$A$6:$CA$36,62,0)</f>
        <v>0</v>
      </c>
      <c r="AH23" s="36">
        <f>VLOOKUP($A23,[18]HISTOAVRIL23!$A$6:$CA$36,63,0)</f>
        <v>0</v>
      </c>
      <c r="AI23" s="36">
        <f>VLOOKUP($A23,[18]HISTOAVRIL23!$A$6:$CA$36,64,0)</f>
        <v>0</v>
      </c>
      <c r="AJ23" s="36">
        <f>VLOOKUP($A23,[18]HISTOAVRIL23!$A$6:$CA$36,65,0)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VLOOKUP($A24,[18]HISTOAVRIL23!$A$6:$BA$36,48,0)</f>
        <v>0</v>
      </c>
      <c r="F24" s="5">
        <f>MVTMARS23!F24+MVTMARS23!G24-MVTAVRIL23!E24+K24</f>
        <v>719575.36264449998</v>
      </c>
      <c r="G24" s="6">
        <v>6530.5765281885388</v>
      </c>
      <c r="H24" s="6">
        <f t="shared" si="0"/>
        <v>726105.93917268852</v>
      </c>
      <c r="I24" s="36">
        <f>VLOOKUP($A24,[18]HISTOAVRIL23!$A$6:$AQ$40,22,0)</f>
        <v>0</v>
      </c>
      <c r="J24" s="36">
        <f>VLOOKUP($A24,[18]HISTOAVRIL23!$A$6:$AU$36,45,0)</f>
        <v>20000</v>
      </c>
      <c r="K24" s="36">
        <f t="shared" si="1"/>
        <v>14000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VLOOKUP($A24,[18]HISTOAVRIL23!$A$6:$AU$36,7,0)</f>
        <v>0</v>
      </c>
      <c r="P24" s="36">
        <f>VLOOKUP($A24,[18]HISTOAVRIL23!$A$6:$AU$36,23,0)</f>
        <v>0</v>
      </c>
      <c r="Q24" s="36">
        <f>VLOOKUP($A24,[18]HISTOAVRIL23!$A$6:$AU$36,46,0)</f>
        <v>0</v>
      </c>
      <c r="R24" s="36">
        <f>VLOOKUP($A24,[18]HISTOAVRIL23!$A$6:$AU$36,26,0)</f>
        <v>0</v>
      </c>
      <c r="S24" s="36">
        <f>VLOOKUP($A24,[18]HISTOAVRIL23!$A$6:$BG$36,58,0)</f>
        <v>0</v>
      </c>
      <c r="T24" s="36">
        <f>VLOOKUP($A24,[18]HISTOAVRIL23!$A$6:$AU$36,28,0)</f>
        <v>0</v>
      </c>
      <c r="U24" s="36">
        <f>VLOOKUP($A24,[18]HISTOAVRIL23!$A$6:$AU$36,19,0)</f>
        <v>0</v>
      </c>
      <c r="V24" s="36">
        <f>VLOOKUP($A24,[18]HISTOAVRIL23!$A$6:$AU$36,20,0)</f>
        <v>0</v>
      </c>
      <c r="W24" s="36">
        <f>VLOOKUP($A24,[18]HISTOAVRIL23!$A$6:$AU$36,27,0)</f>
        <v>0</v>
      </c>
      <c r="X24" s="36">
        <f>VLOOKUP($A24,[18]HISTOAVRIL23!$A$6:$BM$36,33,0)</f>
        <v>0</v>
      </c>
      <c r="Y24" s="36">
        <f>VLOOKUP($A24,[18]HISTOAVRIL23!$A$6:$BM$36,65,0)</f>
        <v>0</v>
      </c>
      <c r="Z24" s="36"/>
      <c r="AA24" s="36">
        <f>VLOOKUP($A24,[18]HISTOAVRIL23!$A$6:$AU$36,43,0)</f>
        <v>0</v>
      </c>
      <c r="AB24" s="36">
        <f>VLOOKUP($A24,[18]HISTOAVRIL23!$A$6:$AU$36,44,0)</f>
        <v>0</v>
      </c>
      <c r="AC24" s="36">
        <f>VLOOKUP($A24,[18]HISTOAVRIL23!$A$6:$AU$36,47,0)</f>
        <v>0</v>
      </c>
      <c r="AD24" s="36">
        <f>VLOOKUP(A24,[18]HISTOAVRIL23!$A$6:$BB$36,54,0)</f>
        <v>0</v>
      </c>
      <c r="AE24" s="36">
        <f>VLOOKUP($A24,[18]HISTOAVRIL23!$A$6:$CA$36,60,0)</f>
        <v>0</v>
      </c>
      <c r="AF24" s="36">
        <f>VLOOKUP($A24,[18]HISTOAVRIL23!$A$6:$CA$36,61,0)</f>
        <v>0</v>
      </c>
      <c r="AG24" s="36">
        <f>VLOOKUP($A24,[18]HISTOAVRIL23!$A$6:$CA$36,62,0)</f>
        <v>0</v>
      </c>
      <c r="AH24" s="36">
        <f>VLOOKUP($A24,[18]HISTOAVRIL23!$A$6:$CA$36,63,0)</f>
        <v>0</v>
      </c>
      <c r="AI24" s="36">
        <f>VLOOKUP($A24,[18]HISTOAVRIL23!$A$6:$CA$36,64,0)</f>
        <v>0</v>
      </c>
      <c r="AJ24" s="36">
        <f>VLOOKUP($A24,[18]HISTOAVRIL23!$A$6:$CA$36,65,0)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VLOOKUP($A25,[18]HISTOAVRIL23!$A$6:$BA$36,48,0)</f>
        <v>0</v>
      </c>
      <c r="F25" s="5">
        <f>MVTMARS23!F25+MVTMARS23!G25-MVTAVRIL23!E25+K25</f>
        <v>671779.52938508429</v>
      </c>
      <c r="G25" s="6">
        <v>6096.8007723288147</v>
      </c>
      <c r="H25" s="6">
        <f t="shared" si="0"/>
        <v>677876.33015741315</v>
      </c>
      <c r="I25" s="36">
        <f>VLOOKUP($A25,[18]HISTOAVRIL23!$A$6:$AQ$40,22,0)</f>
        <v>0</v>
      </c>
      <c r="J25" s="36">
        <f>VLOOKUP($A25,[18]HISTOAVRIL23!$A$6:$AU$36,45,0)</f>
        <v>5000</v>
      </c>
      <c r="K25" s="36">
        <f t="shared" si="1"/>
        <v>0</v>
      </c>
      <c r="L25" s="36">
        <f>IF(J25=0,0,1000)-1000</f>
        <v>0</v>
      </c>
      <c r="M25" s="36">
        <f t="shared" si="2"/>
        <v>1000</v>
      </c>
      <c r="N25" s="36">
        <f t="shared" si="4"/>
        <v>4000</v>
      </c>
      <c r="O25" s="36">
        <f>VLOOKUP($A25,[18]HISTOAVRIL23!$A$6:$AU$36,7,0)</f>
        <v>0</v>
      </c>
      <c r="P25" s="36">
        <f>VLOOKUP($A25,[18]HISTOAVRIL23!$A$6:$AU$36,23,0)</f>
        <v>0</v>
      </c>
      <c r="Q25" s="36">
        <f>VLOOKUP($A25,[18]HISTOAVRIL23!$A$6:$AU$36,46,0)</f>
        <v>0</v>
      </c>
      <c r="R25" s="36">
        <f>VLOOKUP($A25,[18]HISTOAVRIL23!$A$6:$AU$36,26,0)</f>
        <v>0</v>
      </c>
      <c r="S25" s="36">
        <f>VLOOKUP($A25,[18]HISTOAVRIL23!$A$6:$BG$36,58,0)</f>
        <v>0</v>
      </c>
      <c r="T25" s="36">
        <f>VLOOKUP($A25,[18]HISTOAVRIL23!$A$6:$AU$36,28,0)</f>
        <v>0</v>
      </c>
      <c r="U25" s="36">
        <f>VLOOKUP($A25,[18]HISTOAVRIL23!$A$6:$AU$36,19,0)</f>
        <v>0</v>
      </c>
      <c r="V25" s="36">
        <f>VLOOKUP($A25,[18]HISTOAVRIL23!$A$6:$AU$36,20,0)</f>
        <v>0</v>
      </c>
      <c r="W25" s="36">
        <f>VLOOKUP($A25,[18]HISTOAVRIL23!$A$6:$AU$36,27,0)</f>
        <v>0</v>
      </c>
      <c r="X25" s="36">
        <f>VLOOKUP($A25,[18]HISTOAVRIL23!$A$6:$BM$36,33,0)</f>
        <v>0</v>
      </c>
      <c r="Y25" s="36">
        <f>VLOOKUP($A25,[18]HISTOAVRIL23!$A$6:$BM$36,65,0)</f>
        <v>0</v>
      </c>
      <c r="Z25" s="36"/>
      <c r="AA25" s="36">
        <f>VLOOKUP($A25,[18]HISTOAVRIL23!$A$6:$AU$36,43,0)</f>
        <v>0</v>
      </c>
      <c r="AB25" s="36">
        <f>VLOOKUP($A25,[18]HISTOAVRIL23!$A$6:$AU$36,44,0)</f>
        <v>0</v>
      </c>
      <c r="AC25" s="36">
        <f>VLOOKUP($A25,[18]HISTOAVRIL23!$A$6:$AU$36,47,0)</f>
        <v>0</v>
      </c>
      <c r="AD25" s="36">
        <f>VLOOKUP(A25,[18]HISTOAVRIL23!$A$6:$BB$36,54,0)</f>
        <v>0</v>
      </c>
      <c r="AE25" s="36">
        <f>VLOOKUP($A25,[18]HISTOAVRIL23!$A$6:$CA$36,60,0)</f>
        <v>0</v>
      </c>
      <c r="AF25" s="36">
        <f>VLOOKUP($A25,[18]HISTOAVRIL23!$A$6:$CA$36,61,0)</f>
        <v>0</v>
      </c>
      <c r="AG25" s="36">
        <f>VLOOKUP($A25,[18]HISTOAVRIL23!$A$6:$CA$36,62,0)</f>
        <v>0</v>
      </c>
      <c r="AH25" s="36">
        <f>VLOOKUP($A25,[18]HISTOAVRIL23!$A$6:$CA$36,63,0)</f>
        <v>0</v>
      </c>
      <c r="AI25" s="36">
        <f>VLOOKUP($A25,[18]HISTOAVRIL23!$A$6:$CA$36,64,0)</f>
        <v>0</v>
      </c>
      <c r="AJ25" s="36">
        <f>VLOOKUP($A25,[18]HISTOAVRIL23!$A$6:$CA$36,65,0)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VLOOKUP($A26,[18]HISTOAVRIL23!$A$6:$BA$36,48,0)</f>
        <v>0</v>
      </c>
      <c r="F26" s="5">
        <f>MVTMARS23!F26+MVTMARS23!G26-MVTAVRIL23!E26+K26</f>
        <v>675805.17087623314</v>
      </c>
      <c r="G26" s="6">
        <v>6133.3358751099622</v>
      </c>
      <c r="H26" s="6">
        <f t="shared" si="0"/>
        <v>681938.50675134314</v>
      </c>
      <c r="I26" s="36">
        <f>VLOOKUP($A26,[18]HISTOAVRIL23!$A$6:$AQ$40,22,0)</f>
        <v>0</v>
      </c>
      <c r="J26" s="36">
        <f>VLOOKUP($A26,[18]HISTOAVRIL23!$A$6:$AU$36,45,0)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VLOOKUP($A26,[18]HISTOAVRIL23!$A$6:$AU$36,7,0)</f>
        <v>3000</v>
      </c>
      <c r="P26" s="36">
        <f>VLOOKUP($A26,[18]HISTOAVRIL23!$A$6:$AU$36,23,0)</f>
        <v>0</v>
      </c>
      <c r="Q26" s="36">
        <f>VLOOKUP($A26,[18]HISTOAVRIL23!$A$6:$AU$36,46,0)</f>
        <v>0</v>
      </c>
      <c r="R26" s="36">
        <f>VLOOKUP($A26,[18]HISTOAVRIL23!$A$6:$AU$36,26,0)</f>
        <v>0</v>
      </c>
      <c r="S26" s="36">
        <f>VLOOKUP($A26,[18]HISTOAVRIL23!$A$6:$BG$36,58,0)</f>
        <v>0</v>
      </c>
      <c r="T26" s="36">
        <f>VLOOKUP($A26,[18]HISTOAVRIL23!$A$6:$AU$36,28,0)</f>
        <v>0</v>
      </c>
      <c r="U26" s="36">
        <f>VLOOKUP($A26,[18]HISTOAVRIL23!$A$6:$AU$36,19,0)</f>
        <v>0</v>
      </c>
      <c r="V26" s="36">
        <f>VLOOKUP($A26,[18]HISTOAVRIL23!$A$6:$AU$36,20,0)</f>
        <v>0</v>
      </c>
      <c r="W26" s="36">
        <f>VLOOKUP($A26,[18]HISTOAVRIL23!$A$6:$AU$36,27,0)</f>
        <v>0</v>
      </c>
      <c r="X26" s="36">
        <f>VLOOKUP($A26,[18]HISTOAVRIL23!$A$6:$BM$36,33,0)</f>
        <v>0</v>
      </c>
      <c r="Y26" s="36">
        <f>VLOOKUP($A26,[18]HISTOAVRIL23!$A$6:$BM$36,65,0)</f>
        <v>0</v>
      </c>
      <c r="Z26" s="36"/>
      <c r="AA26" s="36">
        <f>VLOOKUP($A26,[18]HISTOAVRIL23!$A$6:$AU$36,43,0)</f>
        <v>0</v>
      </c>
      <c r="AB26" s="36">
        <f>VLOOKUP($A26,[18]HISTOAVRIL23!$A$6:$AU$36,44,0)</f>
        <v>0</v>
      </c>
      <c r="AC26" s="36">
        <f>VLOOKUP($A26,[18]HISTOAVRIL23!$A$6:$AU$36,47,0)</f>
        <v>0</v>
      </c>
      <c r="AD26" s="36">
        <f>VLOOKUP(A26,[18]HISTOAVRIL23!$A$6:$BB$36,54,0)</f>
        <v>0</v>
      </c>
      <c r="AE26" s="36">
        <f>VLOOKUP($A26,[18]HISTOAVRIL23!$A$6:$CA$36,60,0)</f>
        <v>0</v>
      </c>
      <c r="AF26" s="36">
        <f>VLOOKUP($A26,[18]HISTOAVRIL23!$A$6:$CA$36,61,0)</f>
        <v>0</v>
      </c>
      <c r="AG26" s="36">
        <f>VLOOKUP($A26,[18]HISTOAVRIL23!$A$6:$CA$36,62,0)</f>
        <v>0</v>
      </c>
      <c r="AH26" s="36">
        <f>VLOOKUP($A26,[18]HISTOAVRIL23!$A$6:$CA$36,63,0)</f>
        <v>0</v>
      </c>
      <c r="AI26" s="36">
        <f>VLOOKUP($A26,[18]HISTOAVRIL23!$A$6:$CA$36,64,0)</f>
        <v>0</v>
      </c>
      <c r="AJ26" s="36">
        <f>VLOOKUP($A26,[18]HISTOAVRIL23!$A$6:$CA$36,65,0)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VLOOKUP($A27,[18]HISTOAVRIL23!$A$6:$BA$36,48,0)</f>
        <v>0</v>
      </c>
      <c r="F27" s="5">
        <f>MVTMARS23!F27+MVTMARS23!G27-MVTAVRIL23!E27+K27</f>
        <v>56000</v>
      </c>
      <c r="G27" s="6">
        <v>0</v>
      </c>
      <c r="H27" s="6">
        <f t="shared" si="0"/>
        <v>56000</v>
      </c>
      <c r="I27" s="36">
        <f>VLOOKUP($A27,[18]HISTOAVRIL23!$A$6:$AQ$40,22,0)</f>
        <v>0</v>
      </c>
      <c r="J27" s="36">
        <f>VLOOKUP($A27,[18]HISTOAVRIL23!$A$6:$AU$36,45,0)</f>
        <v>25000</v>
      </c>
      <c r="K27" s="36">
        <f t="shared" si="1"/>
        <v>19000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VLOOKUP($A27,[18]HISTOAVRIL23!$A$6:$AU$36,7,0)</f>
        <v>0</v>
      </c>
      <c r="P27" s="36">
        <f>VLOOKUP($A27,[18]HISTOAVRIL23!$A$6:$AU$36,23,0)</f>
        <v>0</v>
      </c>
      <c r="Q27" s="36">
        <f>VLOOKUP($A27,[18]HISTOAVRIL23!$A$6:$AU$36,46,0)</f>
        <v>0</v>
      </c>
      <c r="R27" s="36">
        <f>VLOOKUP($A27,[18]HISTOAVRIL23!$A$6:$AU$36,26,0)</f>
        <v>0</v>
      </c>
      <c r="S27" s="36">
        <f>VLOOKUP($A27,[18]HISTOAVRIL23!$A$6:$BG$36,58,0)</f>
        <v>0</v>
      </c>
      <c r="T27" s="36">
        <f>VLOOKUP($A27,[18]HISTOAVRIL23!$A$6:$AU$36,28,0)</f>
        <v>0</v>
      </c>
      <c r="U27" s="36">
        <f>VLOOKUP($A27,[18]HISTOAVRIL23!$A$6:$AU$36,19,0)</f>
        <v>0</v>
      </c>
      <c r="V27" s="36">
        <f>VLOOKUP($A27,[18]HISTOAVRIL23!$A$6:$AU$36,20,0)</f>
        <v>0</v>
      </c>
      <c r="W27" s="36">
        <f>VLOOKUP($A27,[18]HISTOAVRIL23!$A$6:$AU$36,27,0)</f>
        <v>0</v>
      </c>
      <c r="X27" s="36">
        <f>VLOOKUP($A27,[18]HISTOAVRIL23!$A$6:$BM$36,33,0)</f>
        <v>0</v>
      </c>
      <c r="Y27" s="36">
        <f>VLOOKUP($A27,[18]HISTOAVRIL23!$A$6:$BM$36,65,0)</f>
        <v>0</v>
      </c>
      <c r="Z27" s="36"/>
      <c r="AA27" s="36">
        <f>VLOOKUP($A27,[18]HISTOAVRIL23!$A$6:$AU$36,43,0)</f>
        <v>0</v>
      </c>
      <c r="AB27" s="36">
        <f>VLOOKUP($A27,[18]HISTOAVRIL23!$A$6:$AU$36,44,0)</f>
        <v>0</v>
      </c>
      <c r="AC27" s="36">
        <f>VLOOKUP($A27,[18]HISTOAVRIL23!$A$6:$AU$36,47,0)</f>
        <v>0</v>
      </c>
      <c r="AD27" s="36">
        <f>VLOOKUP(A27,[18]HISTOAVRIL23!$A$6:$BB$36,54,0)</f>
        <v>0</v>
      </c>
      <c r="AE27" s="36">
        <f>VLOOKUP($A27,[18]HISTOAVRIL23!$A$6:$CA$36,60,0)</f>
        <v>0</v>
      </c>
      <c r="AF27" s="36">
        <f>VLOOKUP($A27,[18]HISTOAVRIL23!$A$6:$CA$36,61,0)</f>
        <v>0</v>
      </c>
      <c r="AG27" s="36">
        <f>VLOOKUP($A27,[18]HISTOAVRIL23!$A$6:$CA$36,62,0)</f>
        <v>0</v>
      </c>
      <c r="AH27" s="36">
        <f>VLOOKUP($A27,[18]HISTOAVRIL23!$A$6:$CA$36,63,0)</f>
        <v>0</v>
      </c>
      <c r="AI27" s="36">
        <f>VLOOKUP($A27,[18]HISTOAVRIL23!$A$6:$CA$36,64,0)</f>
        <v>0</v>
      </c>
      <c r="AJ27" s="36">
        <f>VLOOKUP($A27,[18]HISTOAVRIL23!$A$6:$CA$36,65,0)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VLOOKUP($A28,[18]HISTOAVRIL23!$A$6:$BA$36,48,0)</f>
        <v>0</v>
      </c>
      <c r="F28" s="5">
        <f>MVTMARS23!F28+MVTMARS23!G28-MVTAVRIL23!E28+K28</f>
        <v>698044.41745772015</v>
      </c>
      <c r="G28" s="6">
        <v>6335.1703309144314</v>
      </c>
      <c r="H28" s="6">
        <f t="shared" si="0"/>
        <v>704379.58778863458</v>
      </c>
      <c r="I28" s="36">
        <f>VLOOKUP($A28,[18]HISTOAVRIL23!$A$6:$AQ$40,22,0)</f>
        <v>0</v>
      </c>
      <c r="J28" s="36">
        <f>VLOOKUP($A28,[18]HISTOAVRIL23!$A$6:$AU$36,45,0)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VLOOKUP($A28,[18]HISTOAVRIL23!$A$6:$AU$36,7,0)</f>
        <v>0</v>
      </c>
      <c r="P28" s="36">
        <f>VLOOKUP($A28,[18]HISTOAVRIL23!$A$6:$AU$36,23,0)</f>
        <v>0</v>
      </c>
      <c r="Q28" s="36">
        <f>VLOOKUP($A28,[18]HISTOAVRIL23!$A$6:$AU$36,46,0)</f>
        <v>0</v>
      </c>
      <c r="R28" s="36">
        <f>VLOOKUP($A28,[18]HISTOAVRIL23!$A$6:$AU$36,26,0)</f>
        <v>0</v>
      </c>
      <c r="S28" s="36">
        <f>VLOOKUP($A28,[18]HISTOAVRIL23!$A$6:$BG$36,58,0)</f>
        <v>0</v>
      </c>
      <c r="T28" s="36">
        <f>VLOOKUP($A28,[18]HISTOAVRIL23!$A$6:$AU$36,28,0)</f>
        <v>0</v>
      </c>
      <c r="U28" s="36">
        <f>VLOOKUP($A28,[18]HISTOAVRIL23!$A$6:$AU$36,19,0)</f>
        <v>0</v>
      </c>
      <c r="V28" s="36">
        <f>VLOOKUP($A28,[18]HISTOAVRIL23!$A$6:$AU$36,20,0)</f>
        <v>0</v>
      </c>
      <c r="W28" s="36">
        <f>VLOOKUP($A28,[18]HISTOAVRIL23!$A$6:$AU$36,27,0)</f>
        <v>0</v>
      </c>
      <c r="X28" s="36">
        <f>VLOOKUP($A28,[18]HISTOAVRIL23!$A$6:$BM$36,33,0)</f>
        <v>0</v>
      </c>
      <c r="Y28" s="36">
        <f>VLOOKUP($A28,[18]HISTOAVRIL23!$A$6:$BM$36,65,0)</f>
        <v>0</v>
      </c>
      <c r="Z28" s="36"/>
      <c r="AA28" s="36">
        <f>VLOOKUP($A28,[18]HISTOAVRIL23!$A$6:$AU$36,43,0)</f>
        <v>0</v>
      </c>
      <c r="AB28" s="36">
        <f>VLOOKUP($A28,[18]HISTOAVRIL23!$A$6:$AU$36,44,0)</f>
        <v>0</v>
      </c>
      <c r="AC28" s="36">
        <f>VLOOKUP($A28,[18]HISTOAVRIL23!$A$6:$AU$36,47,0)</f>
        <v>0</v>
      </c>
      <c r="AD28" s="36">
        <f>VLOOKUP(A28,[18]HISTOAVRIL23!$A$6:$BB$36,54,0)</f>
        <v>0</v>
      </c>
      <c r="AE28" s="36">
        <f>VLOOKUP($A28,[18]HISTOAVRIL23!$A$6:$CA$36,60,0)</f>
        <v>0</v>
      </c>
      <c r="AF28" s="36">
        <f>VLOOKUP($A28,[18]HISTOAVRIL23!$A$6:$CA$36,61,0)</f>
        <v>0</v>
      </c>
      <c r="AG28" s="36">
        <f>VLOOKUP($A28,[18]HISTOAVRIL23!$A$6:$CA$36,62,0)</f>
        <v>0</v>
      </c>
      <c r="AH28" s="36">
        <f>VLOOKUP($A28,[18]HISTOAVRIL23!$A$6:$CA$36,63,0)</f>
        <v>0</v>
      </c>
      <c r="AI28" s="36">
        <f>VLOOKUP($A28,[18]HISTOAVRIL23!$A$6:$CA$36,64,0)</f>
        <v>0</v>
      </c>
      <c r="AJ28" s="36">
        <f>VLOOKUP($A28,[18]HISTOAVRIL23!$A$6:$CA$36,65,0)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VLOOKUP($A29,[18]HISTOAVRIL23!$A$6:$BA$36,48,0)</f>
        <v>0</v>
      </c>
      <c r="F29" s="5">
        <f>MVTMARS23!F29+MVTMARS23!G29-MVTAVRIL23!E29+K29</f>
        <v>36000</v>
      </c>
      <c r="G29" s="6">
        <v>0</v>
      </c>
      <c r="H29" s="6">
        <f t="shared" si="0"/>
        <v>36000</v>
      </c>
      <c r="I29" s="36">
        <f>VLOOKUP($A29,[18]HISTOAVRIL23!$A$6:$AQ$40,22,0)</f>
        <v>0</v>
      </c>
      <c r="J29" s="36">
        <f>VLOOKUP($A29,[18]HISTOAVRIL23!$A$6:$AU$36,45,0)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VLOOKUP($A29,[18]HISTOAVRIL23!$A$6:$AU$36,7,0)</f>
        <v>0</v>
      </c>
      <c r="P29" s="36">
        <f>VLOOKUP($A29,[18]HISTOAVRIL23!$A$6:$AU$36,23,0)</f>
        <v>0</v>
      </c>
      <c r="Q29" s="36">
        <f>VLOOKUP($A29,[18]HISTOAVRIL23!$A$6:$AU$36,46,0)</f>
        <v>120000</v>
      </c>
      <c r="R29" s="36">
        <f>VLOOKUP($A29,[18]HISTOAVRIL23!$A$6:$AU$36,26,0)</f>
        <v>0</v>
      </c>
      <c r="S29" s="36">
        <f>VLOOKUP($A29,[18]HISTOAVRIL23!$A$6:$BG$36,58,0)</f>
        <v>0</v>
      </c>
      <c r="T29" s="36">
        <f>VLOOKUP($A29,[18]HISTOAVRIL23!$A$6:$AU$36,28,0)</f>
        <v>0</v>
      </c>
      <c r="U29" s="36">
        <f>VLOOKUP($A29,[18]HISTOAVRIL23!$A$6:$AU$36,19,0)</f>
        <v>0</v>
      </c>
      <c r="V29" s="36">
        <f>VLOOKUP($A29,[18]HISTOAVRIL23!$A$6:$AU$36,20,0)</f>
        <v>0</v>
      </c>
      <c r="W29" s="36">
        <f>VLOOKUP($A29,[18]HISTOAVRIL23!$A$6:$AU$36,27,0)</f>
        <v>0</v>
      </c>
      <c r="X29" s="36">
        <f>VLOOKUP($A29,[18]HISTOAVRIL23!$A$6:$BM$36,33,0)</f>
        <v>0</v>
      </c>
      <c r="Y29" s="36">
        <f>VLOOKUP($A29,[18]HISTOAVRIL23!$A$6:$BM$36,65,0)</f>
        <v>0</v>
      </c>
      <c r="Z29" s="36"/>
      <c r="AA29" s="36">
        <f>VLOOKUP($A29,[18]HISTOAVRIL23!$A$6:$AU$36,43,0)</f>
        <v>0</v>
      </c>
      <c r="AB29" s="36">
        <f>VLOOKUP($A29,[18]HISTOAVRIL23!$A$6:$AU$36,44,0)</f>
        <v>0</v>
      </c>
      <c r="AC29" s="36">
        <f>VLOOKUP($A29,[18]HISTOAVRIL23!$A$6:$AU$36,47,0)</f>
        <v>0</v>
      </c>
      <c r="AD29" s="36">
        <f>VLOOKUP(A29,[18]HISTOAVRIL23!$A$6:$BB$36,54,0)</f>
        <v>0</v>
      </c>
      <c r="AE29" s="36">
        <f>VLOOKUP($A29,[18]HISTOAVRIL23!$A$6:$CA$36,60,0)</f>
        <v>0</v>
      </c>
      <c r="AF29" s="36">
        <f>VLOOKUP($A29,[18]HISTOAVRIL23!$A$6:$CA$36,61,0)</f>
        <v>0</v>
      </c>
      <c r="AG29" s="36">
        <f>VLOOKUP($A29,[18]HISTOAVRIL23!$A$6:$CA$36,62,0)</f>
        <v>0</v>
      </c>
      <c r="AH29" s="36">
        <f>VLOOKUP($A29,[18]HISTOAVRIL23!$A$6:$CA$36,63,0)</f>
        <v>0</v>
      </c>
      <c r="AI29" s="36">
        <f>VLOOKUP($A29,[18]HISTOAVRIL23!$A$6:$CA$36,64,0)</f>
        <v>0</v>
      </c>
      <c r="AJ29" s="36">
        <f>VLOOKUP($A29,[18]HISTOAVRIL23!$A$6:$CA$36,65,0)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VLOOKUP($A30,[18]HISTOAVRIL23!$A$6:$BA$36,48,0)</f>
        <v>0</v>
      </c>
      <c r="F30" s="5">
        <f>MVTMARS23!F30+MVTMARS23!G30-MVTAVRIL23!E30+K30</f>
        <v>889047.39332428004</v>
      </c>
      <c r="G30" s="6">
        <v>8068.6365052205765</v>
      </c>
      <c r="H30" s="6">
        <f t="shared" si="0"/>
        <v>897116.02982950059</v>
      </c>
      <c r="I30" s="36">
        <f>VLOOKUP($A30,[18]HISTOAVRIL23!$A$6:$AQ$40,22,0)</f>
        <v>0</v>
      </c>
      <c r="J30" s="36">
        <f>VLOOKUP($A30,[18]HISTOAVRIL23!$A$6:$AU$36,45,0)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VLOOKUP($A30,[18]HISTOAVRIL23!$A$6:$AU$36,7,0)</f>
        <v>0</v>
      </c>
      <c r="P30" s="36">
        <f>VLOOKUP($A30,[18]HISTOAVRIL23!$A$6:$AU$36,23,0)</f>
        <v>0</v>
      </c>
      <c r="Q30" s="36">
        <f>VLOOKUP($A30,[18]HISTOAVRIL23!$A$6:$AU$36,46,0)</f>
        <v>0</v>
      </c>
      <c r="R30" s="36">
        <f>VLOOKUP($A30,[18]HISTOAVRIL23!$A$6:$AU$36,26,0)</f>
        <v>0</v>
      </c>
      <c r="S30" s="36">
        <f>VLOOKUP($A30,[18]HISTOAVRIL23!$A$6:$BG$36,58,0)</f>
        <v>0</v>
      </c>
      <c r="T30" s="36">
        <f>VLOOKUP($A30,[18]HISTOAVRIL23!$A$6:$AU$36,28,0)</f>
        <v>0</v>
      </c>
      <c r="U30" s="36">
        <f>VLOOKUP($A30,[18]HISTOAVRIL23!$A$6:$AU$36,19,0)</f>
        <v>0</v>
      </c>
      <c r="V30" s="36">
        <f>VLOOKUP($A30,[18]HISTOAVRIL23!$A$6:$AU$36,20,0)</f>
        <v>0</v>
      </c>
      <c r="W30" s="36">
        <f>VLOOKUP($A30,[18]HISTOAVRIL23!$A$6:$AU$36,27,0)</f>
        <v>0</v>
      </c>
      <c r="X30" s="36">
        <f>VLOOKUP($A30,[18]HISTOAVRIL23!$A$6:$BM$36,33,0)</f>
        <v>0</v>
      </c>
      <c r="Y30" s="36">
        <f>VLOOKUP($A30,[18]HISTOAVRIL23!$A$6:$BM$36,65,0)</f>
        <v>0</v>
      </c>
      <c r="Z30" s="36"/>
      <c r="AA30" s="36">
        <f>VLOOKUP($A30,[18]HISTOAVRIL23!$A$6:$AU$36,43,0)</f>
        <v>0</v>
      </c>
      <c r="AB30" s="36">
        <f>VLOOKUP($A30,[18]HISTOAVRIL23!$A$6:$AU$36,44,0)</f>
        <v>0</v>
      </c>
      <c r="AC30" s="36">
        <f>VLOOKUP($A30,[18]HISTOAVRIL23!$A$6:$AU$36,47,0)</f>
        <v>0</v>
      </c>
      <c r="AD30" s="36">
        <f>VLOOKUP(A30,[18]HISTOAVRIL23!$A$6:$BB$36,54,0)</f>
        <v>0</v>
      </c>
      <c r="AE30" s="36">
        <f>VLOOKUP($A30,[18]HISTOAVRIL23!$A$6:$CA$36,60,0)</f>
        <v>0</v>
      </c>
      <c r="AF30" s="36">
        <f>VLOOKUP($A30,[18]HISTOAVRIL23!$A$6:$CA$36,61,0)</f>
        <v>0</v>
      </c>
      <c r="AG30" s="36">
        <f>VLOOKUP($A30,[18]HISTOAVRIL23!$A$6:$CA$36,62,0)</f>
        <v>0</v>
      </c>
      <c r="AH30" s="36">
        <f>VLOOKUP($A30,[18]HISTOAVRIL23!$A$6:$CA$36,63,0)</f>
        <v>0</v>
      </c>
      <c r="AI30" s="36">
        <f>VLOOKUP($A30,[18]HISTOAVRIL23!$A$6:$CA$36,64,0)</f>
        <v>0</v>
      </c>
      <c r="AJ30" s="36">
        <f>VLOOKUP($A30,[18]HISTOAVRIL23!$A$6:$CA$36,65,0)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VLOOKUP($A31,[18]HISTOAVRIL23!$A$6:$BA$36,48,0)</f>
        <v>0</v>
      </c>
      <c r="F31" s="5">
        <f>MVTMARS23!F31+MVTMARS23!G31-MVTAVRIL23!E31+K31</f>
        <v>895741.43427686312</v>
      </c>
      <c r="G31" s="6">
        <v>8129.3889280981639</v>
      </c>
      <c r="H31" s="6">
        <f t="shared" si="0"/>
        <v>903870.82320496126</v>
      </c>
      <c r="I31" s="36">
        <f>VLOOKUP($A31,[18]HISTOAVRIL23!$A$6:$AQ$40,22,0)</f>
        <v>0</v>
      </c>
      <c r="J31" s="36">
        <f>VLOOKUP($A31,[18]HISTOAVRIL23!$A$6:$AU$36,45,0)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VLOOKUP($A31,[18]HISTOAVRIL23!$A$6:$AU$36,7,0)</f>
        <v>0</v>
      </c>
      <c r="P31" s="36">
        <f>VLOOKUP($A31,[18]HISTOAVRIL23!$A$6:$AU$36,23,0)</f>
        <v>0</v>
      </c>
      <c r="Q31" s="36">
        <f>VLOOKUP($A31,[18]HISTOAVRIL23!$A$6:$AU$36,46,0)</f>
        <v>0</v>
      </c>
      <c r="R31" s="36">
        <f>VLOOKUP($A31,[18]HISTOAVRIL23!$A$6:$AU$36,26,0)</f>
        <v>0</v>
      </c>
      <c r="S31" s="36">
        <f>VLOOKUP($A31,[18]HISTOAVRIL23!$A$6:$BG$36,58,0)</f>
        <v>0</v>
      </c>
      <c r="T31" s="36">
        <f>VLOOKUP($A31,[18]HISTOAVRIL23!$A$6:$AU$36,28,0)</f>
        <v>0</v>
      </c>
      <c r="U31" s="36">
        <f>VLOOKUP($A31,[18]HISTOAVRIL23!$A$6:$AU$36,19,0)</f>
        <v>0</v>
      </c>
      <c r="V31" s="36">
        <f>VLOOKUP($A31,[18]HISTOAVRIL23!$A$6:$AU$36,20,0)</f>
        <v>0</v>
      </c>
      <c r="W31" s="36">
        <f>VLOOKUP($A31,[18]HISTOAVRIL23!$A$6:$AU$36,27,0)</f>
        <v>0</v>
      </c>
      <c r="X31" s="36">
        <f>VLOOKUP($A31,[18]HISTOAVRIL23!$A$6:$BM$36,33,0)</f>
        <v>0</v>
      </c>
      <c r="Y31" s="36">
        <f>VLOOKUP($A31,[18]HISTOAVRIL23!$A$6:$BM$36,65,0)</f>
        <v>0</v>
      </c>
      <c r="Z31" s="36"/>
      <c r="AA31" s="36">
        <f>VLOOKUP($A31,[18]HISTOAVRIL23!$A$6:$AU$36,43,0)</f>
        <v>0</v>
      </c>
      <c r="AB31" s="36">
        <f>VLOOKUP($A31,[18]HISTOAVRIL23!$A$6:$AU$36,44,0)</f>
        <v>0</v>
      </c>
      <c r="AC31" s="36">
        <f>VLOOKUP($A31,[18]HISTOAVRIL23!$A$6:$AU$36,47,0)</f>
        <v>0</v>
      </c>
      <c r="AD31" s="36">
        <f>VLOOKUP(A31,[18]HISTOAVRIL23!$A$6:$BB$36,54,0)</f>
        <v>0</v>
      </c>
      <c r="AE31" s="36">
        <f>VLOOKUP($A31,[18]HISTOAVRIL23!$A$6:$CA$36,60,0)</f>
        <v>0</v>
      </c>
      <c r="AF31" s="36">
        <f>VLOOKUP($A31,[18]HISTOAVRIL23!$A$6:$CA$36,61,0)</f>
        <v>0</v>
      </c>
      <c r="AG31" s="36">
        <f>VLOOKUP($A31,[18]HISTOAVRIL23!$A$6:$CA$36,62,0)</f>
        <v>0</v>
      </c>
      <c r="AH31" s="36">
        <f>VLOOKUP($A31,[18]HISTOAVRIL23!$A$6:$CA$36,63,0)</f>
        <v>0</v>
      </c>
      <c r="AI31" s="36">
        <f>VLOOKUP($A31,[18]HISTOAVRIL23!$A$6:$CA$36,64,0)</f>
        <v>0</v>
      </c>
      <c r="AJ31" s="36">
        <f>VLOOKUP($A31,[18]HISTOAVRIL23!$A$6:$CA$36,65,0)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VLOOKUP($A32,[18]HISTOAVRIL23!$A$6:$BA$36,48,0)</f>
        <v>0</v>
      </c>
      <c r="F32" s="5">
        <f>MVTMARS23!F32+MVTMARS23!G32-MVTAVRIL23!E32+K32</f>
        <v>679674.84955050726</v>
      </c>
      <c r="G32" s="6">
        <v>6168.4555221042292</v>
      </c>
      <c r="H32" s="6">
        <f t="shared" si="0"/>
        <v>685843.30507261155</v>
      </c>
      <c r="I32" s="36">
        <f>VLOOKUP($A32,[18]HISTOAVRIL23!$A$6:$AQ$40,22,0)</f>
        <v>0</v>
      </c>
      <c r="J32" s="36">
        <f>VLOOKUP($A32,[18]HISTOAVRIL23!$A$6:$AU$36,45,0)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VLOOKUP($A32,[18]HISTOAVRIL23!$A$6:$AU$36,7,0)</f>
        <v>0</v>
      </c>
      <c r="P32" s="36">
        <f>VLOOKUP($A32,[18]HISTOAVRIL23!$A$6:$AU$36,23,0)</f>
        <v>0</v>
      </c>
      <c r="Q32" s="36">
        <f>VLOOKUP($A32,[18]HISTOAVRIL23!$A$6:$AU$36,46,0)</f>
        <v>0</v>
      </c>
      <c r="R32" s="36">
        <f>VLOOKUP($A32,[18]HISTOAVRIL23!$A$6:$AU$36,26,0)</f>
        <v>700000</v>
      </c>
      <c r="S32" s="36">
        <f>VLOOKUP($A32,[18]HISTOAVRIL23!$A$6:$BG$36,58,0)</f>
        <v>42000</v>
      </c>
      <c r="T32" s="36">
        <f>VLOOKUP($A32,[18]HISTOAVRIL23!$A$6:$AU$36,28,0)</f>
        <v>0</v>
      </c>
      <c r="U32" s="36">
        <f>VLOOKUP($A32,[18]HISTOAVRIL23!$A$6:$AU$36,19,0)</f>
        <v>200000</v>
      </c>
      <c r="V32" s="36" t="str">
        <f>VLOOKUP($A32,[18]HISTOAVRIL23!$A$6:$AU$36,20,0)</f>
        <v>BANQUE</v>
      </c>
      <c r="W32" s="36" t="str">
        <f>VLOOKUP($A32,[18]HISTOAVRIL23!$A$6:$AU$36,27,0)</f>
        <v>BANQUE</v>
      </c>
      <c r="X32" s="36">
        <f>VLOOKUP($A32,[18]HISTOAVRIL23!$A$6:$BM$36,33,0)</f>
        <v>0</v>
      </c>
      <c r="Y32" s="36">
        <f>VLOOKUP($A32,[18]HISTOAVRIL23!$A$6:$BM$36,65,0)</f>
        <v>0</v>
      </c>
      <c r="Z32" s="36"/>
      <c r="AA32" s="36">
        <f>VLOOKUP($A32,[18]HISTOAVRIL23!$A$6:$AU$36,43,0)</f>
        <v>0</v>
      </c>
      <c r="AB32" s="36">
        <f>VLOOKUP($A32,[18]HISTOAVRIL23!$A$6:$AU$36,44,0)</f>
        <v>0</v>
      </c>
      <c r="AC32" s="36">
        <f>VLOOKUP($A32,[18]HISTOAVRIL23!$A$6:$AU$36,47,0)</f>
        <v>0</v>
      </c>
      <c r="AD32" s="36">
        <f>VLOOKUP(A32,[18]HISTOAVRIL23!$A$6:$BB$36,54,0)</f>
        <v>0</v>
      </c>
      <c r="AE32" s="36">
        <f>VLOOKUP($A32,[18]HISTOAVRIL23!$A$6:$CA$36,60,0)</f>
        <v>0</v>
      </c>
      <c r="AF32" s="36">
        <f>VLOOKUP($A32,[18]HISTOAVRIL23!$A$6:$CA$36,61,0)</f>
        <v>0</v>
      </c>
      <c r="AG32" s="36">
        <f>VLOOKUP($A32,[18]HISTOAVRIL23!$A$6:$CA$36,62,0)</f>
        <v>0</v>
      </c>
      <c r="AH32" s="36">
        <f>VLOOKUP($A32,[18]HISTOAVRIL23!$A$6:$CA$36,63,0)</f>
        <v>0</v>
      </c>
      <c r="AI32" s="36">
        <f>VLOOKUP($A32,[18]HISTOAVRIL23!$A$6:$CA$36,64,0)</f>
        <v>0</v>
      </c>
      <c r="AJ32" s="36">
        <f>VLOOKUP($A32,[18]HISTOAVRIL23!$A$6:$CA$36,65,0)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VLOOKUP($A33,[18]HISTOAVRIL23!$A$6:$BA$36,48,0)</f>
        <v>0</v>
      </c>
      <c r="F33" s="5">
        <f>MVTMARS23!F33+MVTMARS23!G33-MVTAVRIL23!E33+K33</f>
        <v>36000</v>
      </c>
      <c r="G33" s="6">
        <v>0</v>
      </c>
      <c r="H33" s="6">
        <f t="shared" si="0"/>
        <v>36000</v>
      </c>
      <c r="I33" s="36">
        <f>VLOOKUP($A33,[18]HISTOAVRIL23!$A$6:$AQ$40,22,0)</f>
        <v>0</v>
      </c>
      <c r="J33" s="36">
        <f>VLOOKUP($A33,[18]HISTOAVRIL23!$A$6:$AU$36,45,0)</f>
        <v>15000</v>
      </c>
      <c r="K33" s="36">
        <f t="shared" si="1"/>
        <v>9000</v>
      </c>
      <c r="L33" s="36">
        <f t="shared" si="3"/>
        <v>1000</v>
      </c>
      <c r="M33" s="36">
        <f t="shared" si="2"/>
        <v>1000</v>
      </c>
      <c r="N33" s="36">
        <f t="shared" si="4"/>
        <v>4000</v>
      </c>
      <c r="O33" s="36">
        <f>VLOOKUP($A33,[18]HISTOAVRIL23!$A$6:$AU$36,7,0)</f>
        <v>3000</v>
      </c>
      <c r="P33" s="36">
        <f>VLOOKUP($A33,[18]HISTOAVRIL23!$A$6:$AU$36,23,0)</f>
        <v>0</v>
      </c>
      <c r="Q33" s="36">
        <f>VLOOKUP($A33,[18]HISTOAVRIL23!$A$6:$AU$36,46,0)</f>
        <v>0</v>
      </c>
      <c r="R33" s="36">
        <f>VLOOKUP($A33,[18]HISTOAVRIL23!$A$6:$AU$36,26,0)</f>
        <v>0</v>
      </c>
      <c r="S33" s="36">
        <f>VLOOKUP($A33,[18]HISTOAVRIL23!$A$6:$BG$36,58,0)</f>
        <v>0</v>
      </c>
      <c r="T33" s="36">
        <f>VLOOKUP($A33,[18]HISTOAVRIL23!$A$6:$AU$36,28,0)</f>
        <v>0</v>
      </c>
      <c r="U33" s="36">
        <f>VLOOKUP($A33,[18]HISTOAVRIL23!$A$6:$AU$36,19,0)</f>
        <v>0</v>
      </c>
      <c r="V33" s="36">
        <f>VLOOKUP($A33,[18]HISTOAVRIL23!$A$6:$AU$36,20,0)</f>
        <v>0</v>
      </c>
      <c r="W33" s="36">
        <f>VLOOKUP($A33,[18]HISTOAVRIL23!$A$6:$AU$36,27,0)</f>
        <v>0</v>
      </c>
      <c r="X33" s="36">
        <f>VLOOKUP($A33,[18]HISTOAVRIL23!$A$6:$BM$36,33,0)</f>
        <v>0</v>
      </c>
      <c r="Y33" s="36">
        <f>VLOOKUP($A33,[18]HISTOAVRIL23!$A$6:$BM$36,65,0)</f>
        <v>0</v>
      </c>
      <c r="Z33" s="36"/>
      <c r="AA33" s="36">
        <f>VLOOKUP($A33,[18]HISTOAVRIL23!$A$6:$AU$36,43,0)</f>
        <v>0</v>
      </c>
      <c r="AB33" s="36">
        <f>VLOOKUP($A33,[18]HISTOAVRIL23!$A$6:$AU$36,44,0)</f>
        <v>0</v>
      </c>
      <c r="AC33" s="36">
        <f>VLOOKUP($A33,[18]HISTOAVRIL23!$A$6:$AU$36,47,0)</f>
        <v>0</v>
      </c>
      <c r="AD33" s="36">
        <f>VLOOKUP(A33,[18]HISTOAVRIL23!$A$6:$BB$36,54,0)</f>
        <v>0</v>
      </c>
      <c r="AE33" s="36">
        <f>VLOOKUP($A33,[18]HISTOAVRIL23!$A$6:$CA$36,60,0)</f>
        <v>0</v>
      </c>
      <c r="AF33" s="36">
        <f>VLOOKUP($A33,[18]HISTOAVRIL23!$A$6:$CA$36,61,0)</f>
        <v>0</v>
      </c>
      <c r="AG33" s="36">
        <f>VLOOKUP($A33,[18]HISTOAVRIL23!$A$6:$CA$36,62,0)</f>
        <v>0</v>
      </c>
      <c r="AH33" s="36">
        <f>VLOOKUP($A33,[18]HISTOAVRIL23!$A$6:$CA$36,63,0)</f>
        <v>0</v>
      </c>
      <c r="AI33" s="36">
        <f>VLOOKUP($A33,[18]HISTOAVRIL23!$A$6:$CA$36,64,0)</f>
        <v>0</v>
      </c>
      <c r="AJ33" s="36">
        <f>VLOOKUP($A33,[18]HISTOAVRIL23!$A$6:$CA$36,65,0)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VLOOKUP($A34,[18]HISTOAVRIL23!$A$6:$BA$36,48,0)</f>
        <v>0</v>
      </c>
      <c r="F34" s="5">
        <f>MVTMARS23!F34+MVTMARS23!G34-MVTAVRIL23!E34+K34</f>
        <v>128000</v>
      </c>
      <c r="G34" s="6">
        <v>0</v>
      </c>
      <c r="H34" s="6">
        <f t="shared" si="0"/>
        <v>128000</v>
      </c>
      <c r="I34" s="36">
        <f>VLOOKUP($A34,[18]HISTOAVRIL23!$A$6:$AQ$40,22,0)</f>
        <v>0</v>
      </c>
      <c r="J34" s="36">
        <f>VLOOKUP($A34,[18]HISTOAVRIL23!$A$6:$AU$36,45,0)</f>
        <v>72000</v>
      </c>
      <c r="K34" s="36">
        <f t="shared" si="1"/>
        <v>66000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VLOOKUP($A34,[18]HISTOAVRIL23!$A$6:$AU$36,7,0)</f>
        <v>3000</v>
      </c>
      <c r="P34" s="36">
        <f>VLOOKUP($A34,[18]HISTOAVRIL23!$A$6:$AU$36,23,0)</f>
        <v>0</v>
      </c>
      <c r="Q34" s="36">
        <f>VLOOKUP($A34,[18]HISTOAVRIL23!$A$6:$AU$36,46,0)</f>
        <v>0</v>
      </c>
      <c r="R34" s="36">
        <f>VLOOKUP($A34,[18]HISTOAVRIL23!$A$6:$AU$36,26,0)</f>
        <v>0</v>
      </c>
      <c r="S34" s="36">
        <f>VLOOKUP($A34,[18]HISTOAVRIL23!$A$6:$BG$36,58,0)</f>
        <v>0</v>
      </c>
      <c r="T34" s="36">
        <f>VLOOKUP($A34,[18]HISTOAVRIL23!$A$6:$AU$36,28,0)</f>
        <v>0</v>
      </c>
      <c r="U34" s="36">
        <f>VLOOKUP($A34,[18]HISTOAVRIL23!$A$6:$AU$36,19,0)</f>
        <v>0</v>
      </c>
      <c r="V34" s="36">
        <f>VLOOKUP($A34,[18]HISTOAVRIL23!$A$6:$AU$36,20,0)</f>
        <v>0</v>
      </c>
      <c r="W34" s="36">
        <f>VLOOKUP($A34,[18]HISTOAVRIL23!$A$6:$AU$36,27,0)</f>
        <v>0</v>
      </c>
      <c r="X34" s="36">
        <f>VLOOKUP($A34,[18]HISTOAVRIL23!$A$6:$BM$36,33,0)</f>
        <v>0</v>
      </c>
      <c r="Y34" s="36">
        <f>VLOOKUP($A34,[18]HISTOAVRIL23!$A$6:$BM$36,65,0)</f>
        <v>0</v>
      </c>
      <c r="Z34" s="36"/>
      <c r="AA34" s="36">
        <f>VLOOKUP($A34,[18]HISTOAVRIL23!$A$6:$AU$36,43,0)</f>
        <v>0</v>
      </c>
      <c r="AB34" s="36">
        <f>VLOOKUP($A34,[18]HISTOAVRIL23!$A$6:$AU$36,44,0)</f>
        <v>0</v>
      </c>
      <c r="AC34" s="36">
        <f>VLOOKUP($A34,[18]HISTOAVRIL23!$A$6:$AU$36,47,0)</f>
        <v>0</v>
      </c>
      <c r="AD34" s="36">
        <f>VLOOKUP(A34,[18]HISTOAVRIL23!$A$6:$BB$36,54,0)</f>
        <v>0</v>
      </c>
      <c r="AE34" s="36">
        <f>VLOOKUP($A34,[18]HISTOAVRIL23!$A$6:$CA$36,60,0)</f>
        <v>0</v>
      </c>
      <c r="AF34" s="36">
        <f>VLOOKUP($A34,[18]HISTOAVRIL23!$A$6:$CA$36,61,0)</f>
        <v>0</v>
      </c>
      <c r="AG34" s="36">
        <f>VLOOKUP($A34,[18]HISTOAVRIL23!$A$6:$CA$36,62,0)</f>
        <v>0</v>
      </c>
      <c r="AH34" s="36">
        <f>VLOOKUP($A34,[18]HISTOAVRIL23!$A$6:$CA$36,63,0)</f>
        <v>0</v>
      </c>
      <c r="AI34" s="36">
        <f>VLOOKUP($A34,[18]HISTOAVRIL23!$A$6:$CA$36,64,0)</f>
        <v>0</v>
      </c>
      <c r="AJ34" s="36">
        <f>VLOOKUP($A34,[18]HISTOAVRIL23!$A$6:$CA$36,65,0)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VLOOKUP($A35,[18]HISTOAVRIL23!$A$6:$BA$36,48,0)</f>
        <v>0</v>
      </c>
      <c r="F35" s="5">
        <f>MVTMARS23!F35+MVTMARS23!G35-MVTAVRIL23!E35+K35</f>
        <v>1634627.3775718126</v>
      </c>
      <c r="G35" s="6">
        <v>14835.220518213859</v>
      </c>
      <c r="H35" s="6">
        <f t="shared" si="0"/>
        <v>1649462.5980900265</v>
      </c>
      <c r="I35" s="36">
        <f>VLOOKUP($A35,[18]HISTOAVRIL23!$A$6:$AQ$40,22,0)</f>
        <v>0</v>
      </c>
      <c r="J35" s="36">
        <f>VLOOKUP($A35,[18]HISTOAVRIL23!$A$6:$AU$36,45,0)</f>
        <v>14000</v>
      </c>
      <c r="K35" s="36"/>
      <c r="L35" s="36"/>
      <c r="M35" s="36"/>
      <c r="N35" s="36"/>
      <c r="O35" s="36">
        <f>VLOOKUP($A35,[18]HISTOAVRIL23!$A$6:$AU$36,7,0)</f>
        <v>0</v>
      </c>
      <c r="P35" s="36">
        <f>VLOOKUP($A35,[18]HISTOAVRIL23!$A$6:$AU$36,23,0)</f>
        <v>0</v>
      </c>
      <c r="Q35" s="36">
        <f>VLOOKUP($A35,[18]HISTOAVRIL23!$A$6:$AU$36,46,0)</f>
        <v>0</v>
      </c>
      <c r="R35" s="36">
        <f>VLOOKUP($A35,[18]HISTOAVRIL23!$A$6:$AU$36,26,0)</f>
        <v>0</v>
      </c>
      <c r="S35" s="36">
        <f>VLOOKUP($A35,[18]HISTOAVRIL23!$A$6:$BG$36,58,0)</f>
        <v>0</v>
      </c>
      <c r="T35" s="36">
        <f>VLOOKUP($A35,[18]HISTOAVRIL23!$A$6:$AU$36,28,0)</f>
        <v>0</v>
      </c>
      <c r="U35" s="36">
        <f>VLOOKUP($A35,[18]HISTOAVRIL23!$A$6:$AU$36,19,0)</f>
        <v>0</v>
      </c>
      <c r="V35" s="36">
        <f>VLOOKUP($A35,[18]HISTOAVRIL23!$A$6:$AU$36,20,0)</f>
        <v>0</v>
      </c>
      <c r="W35" s="36">
        <f>VLOOKUP($A35,[18]HISTOAVRIL23!$A$6:$AU$36,27,0)</f>
        <v>0</v>
      </c>
      <c r="X35" s="36">
        <f>VLOOKUP($A35,[18]HISTOAVRIL23!$A$6:$BM$36,33,0)</f>
        <v>0</v>
      </c>
      <c r="Y35" s="36">
        <f>VLOOKUP($A35,[18]HISTOAVRIL23!$A$6:$BM$36,65,0)</f>
        <v>0</v>
      </c>
      <c r="Z35" s="36"/>
      <c r="AA35" s="36">
        <f>VLOOKUP($A35,[18]HISTOAVRIL23!$A$6:$AU$36,43,0)</f>
        <v>0</v>
      </c>
      <c r="AB35" s="36">
        <f>VLOOKUP($A35,[18]HISTOAVRIL23!$A$6:$AU$36,44,0)</f>
        <v>4000</v>
      </c>
      <c r="AC35" s="36">
        <f>VLOOKUP($A35,[18]HISTOAVRIL23!$A$6:$AU$36,47,0)</f>
        <v>0</v>
      </c>
      <c r="AD35" s="36">
        <f>VLOOKUP(A35,[18]HISTOAVRIL23!$A$6:$BB$36,54,0)</f>
        <v>0</v>
      </c>
      <c r="AE35" s="36">
        <f>VLOOKUP($A35,[18]HISTOAVRIL23!$A$6:$CA$36,60,0)</f>
        <v>0</v>
      </c>
      <c r="AF35" s="36">
        <f>VLOOKUP($A35,[18]HISTOAVRIL23!$A$6:$CA$36,61,0)</f>
        <v>0</v>
      </c>
      <c r="AG35" s="36">
        <f>VLOOKUP($A35,[18]HISTOAVRIL23!$A$6:$CA$36,62,0)</f>
        <v>0</v>
      </c>
      <c r="AH35" s="36">
        <f>VLOOKUP($A35,[18]HISTOAVRIL23!$A$6:$CA$36,63,0)</f>
        <v>0</v>
      </c>
      <c r="AI35" s="36">
        <f>VLOOKUP($A35,[18]HISTOAVRIL23!$A$6:$CA$36,64,0)</f>
        <v>0</v>
      </c>
      <c r="AJ35" s="36">
        <f>VLOOKUP($A35,[18]HISTOAVRIL23!$A$6:$CA$36,65,0)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VLOOKUP($A36,[18]HISTOAVRIL23!$A$6:$BA$36,48,0)</f>
        <v>0</v>
      </c>
      <c r="F36" s="5">
        <f>MVTMARS23!F36+MVTMARS23!G36-MVTAVRIL23!E36+K36</f>
        <v>1802004.634005816</v>
      </c>
      <c r="G36" s="6">
        <v>16354.269166854874</v>
      </c>
      <c r="H36" s="6">
        <f t="shared" si="0"/>
        <v>1818358.9031726709</v>
      </c>
      <c r="I36" s="36">
        <f>VLOOKUP($A36,[18]HISTOAVRIL23!$A$6:$AQ$40,22,0)</f>
        <v>0</v>
      </c>
      <c r="J36" s="36">
        <f>VLOOKUP($A36,[18]HISTOAVRIL23!$A$6:$AU$36,45,0)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VLOOKUP($A36,[18]HISTOAVRIL23!$A$6:$AU$36,7,0)</f>
        <v>0</v>
      </c>
      <c r="P36" s="36">
        <f>VLOOKUP($A36,[18]HISTOAVRIL23!$A$6:$AU$36,23,0)</f>
        <v>0</v>
      </c>
      <c r="Q36" s="36">
        <f>VLOOKUP($A36,[18]HISTOAVRIL23!$A$6:$AU$36,46,0)</f>
        <v>0</v>
      </c>
      <c r="R36" s="36">
        <f>VLOOKUP($A36,[18]HISTOAVRIL23!$A$6:$AU$36,26,0)</f>
        <v>1000000</v>
      </c>
      <c r="S36" s="36">
        <f>VLOOKUP($A36,[18]HISTOAVRIL23!$A$6:$BG$36,58,0)</f>
        <v>60000</v>
      </c>
      <c r="T36" s="36">
        <f>VLOOKUP($A36,[18]HISTOAVRIL23!$A$6:$AU$36,28,0)</f>
        <v>0</v>
      </c>
      <c r="U36" s="36">
        <f>VLOOKUP($A36,[18]HISTOAVRIL23!$A$6:$AU$36,19,0)</f>
        <v>0</v>
      </c>
      <c r="V36" s="36">
        <f>VLOOKUP($A36,[18]HISTOAVRIL23!$A$6:$AU$36,20,0)</f>
        <v>0</v>
      </c>
      <c r="W36" s="36" t="str">
        <f>VLOOKUP($A36,[18]HISTOAVRIL23!$A$6:$AU$36,27,0)</f>
        <v>BANQUE</v>
      </c>
      <c r="X36" s="36">
        <f>VLOOKUP($A36,[18]HISTOAVRIL23!$A$6:$BM$36,33,0)</f>
        <v>0</v>
      </c>
      <c r="Y36" s="36">
        <f>VLOOKUP($A36,[18]HISTOAVRIL23!$A$6:$BM$36,65,0)</f>
        <v>0</v>
      </c>
      <c r="Z36" s="36"/>
      <c r="AA36" s="36">
        <f>VLOOKUP($A36,[18]HISTOAVRIL23!$A$6:$AU$36,43,0)</f>
        <v>0</v>
      </c>
      <c r="AB36" s="36">
        <f>VLOOKUP($A36,[18]HISTOAVRIL23!$A$6:$AU$36,44,0)</f>
        <v>0</v>
      </c>
      <c r="AC36" s="36">
        <f>VLOOKUP($A36,[18]HISTOAVRIL23!$A$6:$AU$36,47,0)</f>
        <v>0</v>
      </c>
      <c r="AD36" s="36">
        <f>VLOOKUP(A36,[18]HISTOAVRIL23!$A$6:$BB$36,54,0)</f>
        <v>0</v>
      </c>
      <c r="AE36" s="36">
        <f>VLOOKUP($A36,[18]HISTOAVRIL23!$A$6:$CA$36,60,0)</f>
        <v>0</v>
      </c>
      <c r="AF36" s="36">
        <f>VLOOKUP($A36,[18]HISTOAVRIL23!$A$6:$CA$36,61,0)</f>
        <v>0</v>
      </c>
      <c r="AG36" s="36">
        <f>VLOOKUP($A36,[18]HISTOAVRIL23!$A$6:$CA$36,62,0)</f>
        <v>0</v>
      </c>
      <c r="AH36" s="36">
        <f>VLOOKUP($A36,[18]HISTOAVRIL23!$A$6:$CA$36,63,0)</f>
        <v>0</v>
      </c>
      <c r="AI36" s="36">
        <f>VLOOKUP($A36,[18]HISTOAVRIL23!$A$6:$CA$36,64,0)</f>
        <v>0</v>
      </c>
      <c r="AJ36" s="36">
        <f>VLOOKUP($A36,[18]HISTOAVRIL23!$A$6:$CA$36,65,0)</f>
        <v>0</v>
      </c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22733858.324737489</v>
      </c>
      <c r="G40" s="9">
        <f t="shared" si="5"/>
        <v>204000.00000000009</v>
      </c>
      <c r="H40" s="9">
        <f t="shared" si="5"/>
        <v>22937858.324737497</v>
      </c>
      <c r="I40" s="9">
        <f t="shared" si="5"/>
        <v>0</v>
      </c>
      <c r="J40" s="9">
        <f t="shared" si="5"/>
        <v>573000</v>
      </c>
      <c r="K40" s="9">
        <f t="shared" si="5"/>
        <v>386000</v>
      </c>
      <c r="L40" s="9">
        <f t="shared" si="5"/>
        <v>28000</v>
      </c>
      <c r="M40" s="9">
        <f t="shared" si="5"/>
        <v>29000</v>
      </c>
      <c r="N40" s="9">
        <f t="shared" si="5"/>
        <v>116000</v>
      </c>
      <c r="O40" s="9">
        <f t="shared" si="5"/>
        <v>12000</v>
      </c>
      <c r="P40" s="9">
        <f t="shared" si="5"/>
        <v>0</v>
      </c>
      <c r="Q40" s="9">
        <f t="shared" si="5"/>
        <v>120000</v>
      </c>
      <c r="R40" s="9">
        <f t="shared" si="5"/>
        <v>3500000</v>
      </c>
      <c r="S40" s="9">
        <f t="shared" si="5"/>
        <v>204000</v>
      </c>
      <c r="T40" s="9">
        <f t="shared" si="5"/>
        <v>0</v>
      </c>
      <c r="U40" s="9">
        <f t="shared" si="5"/>
        <v>1357500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4000</v>
      </c>
      <c r="AC40" s="9">
        <f t="shared" si="5"/>
        <v>0</v>
      </c>
      <c r="AD40" s="9">
        <f t="shared" si="5"/>
        <v>140000</v>
      </c>
      <c r="AE40" s="9">
        <f t="shared" si="5"/>
        <v>6000</v>
      </c>
      <c r="AF40" s="9">
        <f t="shared" si="5"/>
        <v>0</v>
      </c>
      <c r="AG40" s="9">
        <f t="shared" si="5"/>
        <v>0</v>
      </c>
      <c r="AH40" s="9">
        <f t="shared" si="5"/>
        <v>100000</v>
      </c>
      <c r="AI40" s="9">
        <f t="shared" si="5"/>
        <v>0</v>
      </c>
      <c r="AJ40" s="9">
        <f t="shared" si="5"/>
        <v>0</v>
      </c>
    </row>
    <row r="42" spans="1:36" ht="18" x14ac:dyDescent="0.25">
      <c r="G42" s="9"/>
    </row>
    <row r="43" spans="1:36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E21" activePane="bottomRight" state="frozen"/>
      <selection activeCell="J4" sqref="J4:O4"/>
      <selection pane="topRight" activeCell="J4" sqref="J4:O4"/>
      <selection pane="bottomLeft" activeCell="J4" sqref="J4:O4"/>
      <selection pane="bottomRight" activeCell="G24" sqref="G2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45063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MVTAVRIL23!F6+MVTAVRIL23!G6-MVTMAI23!E6+K6</f>
        <v>877731.39359718631</v>
      </c>
      <c r="G6" s="6">
        <v>1141.3507654234706</v>
      </c>
      <c r="H6" s="6">
        <f>F6+G6</f>
        <v>878872.74436260981</v>
      </c>
      <c r="I6" s="36"/>
      <c r="J6" s="36"/>
      <c r="K6" s="36"/>
      <c r="L6" s="36"/>
      <c r="M6" s="36"/>
      <c r="N6" s="36"/>
      <c r="O6" s="36">
        <v>4000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VLOOKUP($A6,[18]HISTOMAI23!$A$6:$CA$36,60,0)</f>
        <v>6000</v>
      </c>
      <c r="AF6" s="36">
        <f>VLOOKUP($A6,[18]HISTOMAI23!$A$6:$CA$36,61,0)</f>
        <v>0</v>
      </c>
      <c r="AG6" s="36">
        <f>VLOOKUP($A6,[18]HISTOMAI23!$A$6:$CA$36,62,0)</f>
        <v>200000</v>
      </c>
      <c r="AH6" s="36">
        <f>VLOOKUP($A6,[18]HISTOMAI23!$A$6:$CA$36,63,0)</f>
        <v>100000</v>
      </c>
      <c r="AI6" s="36">
        <f>VLOOKUP($A6,[18]HISTOMAI23!$A$6:$CA$36,64,0)</f>
        <v>0</v>
      </c>
      <c r="AJ6" s="36">
        <f>VLOOKUP($A6,[18]HISTOMAI23!$A$6:$CA$36,65,0)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VLOOKUP($A7,[18]HISTOMAI23!$A$6:$BA$36,48,0)</f>
        <v>0</v>
      </c>
      <c r="F7" s="5">
        <f>MVTAVRIL23!F7+MVTAVRIL23!G7-MVTMAI23!E7+K7</f>
        <v>651797.85360502161</v>
      </c>
      <c r="G7" s="6">
        <v>847.55995346666998</v>
      </c>
      <c r="H7" s="6">
        <f t="shared" ref="H7:H36" si="0">F7+G7</f>
        <v>652645.41355848825</v>
      </c>
      <c r="I7" s="36">
        <f>VLOOKUP($A7,[18]HISTOMAI23!$A$6:$AQ$40,22,0)</f>
        <v>0</v>
      </c>
      <c r="J7" s="36">
        <f>VLOOKUP($A7,[18]HISTOMAI23!$A$6:$AU$36,45,0)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VLOOKUP($A7,[18]HISTOMAI23!$A$6:$AU$36,7,0)</f>
        <v>0</v>
      </c>
      <c r="P7" s="36">
        <f>VLOOKUP($A7,[18]HISTOMAI23!$A$6:$AU$36,23,0)</f>
        <v>0</v>
      </c>
      <c r="Q7" s="36">
        <f>VLOOKUP($A7,[18]HISTOMAI23!$A$6:$AU$36,46,0)</f>
        <v>0</v>
      </c>
      <c r="R7" s="36">
        <f>VLOOKUP($A7,[18]HISTOMAI23!$A$6:$AU$36,26,0)</f>
        <v>0</v>
      </c>
      <c r="S7" s="36">
        <f>VLOOKUP($A7,[18]HISTOMAI23!$A$6:$BG$36,58,0)</f>
        <v>0</v>
      </c>
      <c r="T7" s="36">
        <f>VLOOKUP($A7,[18]HISTOMAI23!$A$6:$AU$36,28,0)</f>
        <v>0</v>
      </c>
      <c r="U7" s="36">
        <f>VLOOKUP($A7,[18]HISTOMAI23!$A$6:$AU$36,19,0)</f>
        <v>0</v>
      </c>
      <c r="V7" s="36">
        <f>VLOOKUP($A7,[18]HISTOMAI23!$A$6:$AU$36,20,0)</f>
        <v>0</v>
      </c>
      <c r="W7" s="36">
        <f>VLOOKUP($A7,[18]HISTOMAI23!$A$6:$AU$36,27,0)</f>
        <v>0</v>
      </c>
      <c r="X7" s="36">
        <f>VLOOKUP($A7,[18]HISTOMAI23!$A$6:$BM$36,33,0)</f>
        <v>0</v>
      </c>
      <c r="Y7" s="36">
        <f>VLOOKUP($A7,[18]HISTOMAI23!$A$6:$BM$36,65,0)</f>
        <v>0</v>
      </c>
      <c r="Z7" s="36"/>
      <c r="AA7" s="36">
        <f>VLOOKUP($A7,[18]HISTOMAI23!$A$6:$AU$36,43,0)</f>
        <v>0</v>
      </c>
      <c r="AB7" s="36">
        <f>VLOOKUP($A7,[18]HISTOMAI23!$A$6:$AU$36,44,0)</f>
        <v>0</v>
      </c>
      <c r="AC7" s="36">
        <f>VLOOKUP($A7,[18]HISTOMAI23!$A$6:$AU$36,47,0)</f>
        <v>0</v>
      </c>
      <c r="AD7" s="36">
        <f>VLOOKUP(A7,[18]HISTOMAI23!$A$6:$BB$36,54,0)</f>
        <v>0</v>
      </c>
      <c r="AE7" s="36">
        <f>VLOOKUP($A7,[18]HISTOMAI23!$A$6:$CA$36,60,0)</f>
        <v>0</v>
      </c>
      <c r="AF7" s="36">
        <f>VLOOKUP($A7,[18]HISTOMAI23!$A$6:$CA$36,61,0)</f>
        <v>0</v>
      </c>
      <c r="AG7" s="36">
        <f>VLOOKUP($A7,[18]HISTOMAI23!$A$6:$CA$36,62,0)</f>
        <v>0</v>
      </c>
      <c r="AH7" s="36">
        <f>VLOOKUP($A7,[18]HISTOMAI23!$A$6:$CA$36,63,0)</f>
        <v>0</v>
      </c>
      <c r="AI7" s="36">
        <f>VLOOKUP($A7,[18]HISTOMAI23!$A$6:$CA$36,64,0)</f>
        <v>0</v>
      </c>
      <c r="AJ7" s="36">
        <f>VLOOKUP($A7,[18]HISTOMAI23!$A$6:$CA$36,65,0)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VLOOKUP($A8,[18]HISTOMAI23!$A$6:$BA$36,48,0)</f>
        <v>0</v>
      </c>
      <c r="F8" s="5">
        <f>MVTAVRIL23!F8+MVTAVRIL23!G8-MVTMAI23!E8+K8</f>
        <v>697870.09821307927</v>
      </c>
      <c r="G8" s="6">
        <v>907.4696160716245</v>
      </c>
      <c r="H8" s="6">
        <f t="shared" si="0"/>
        <v>698777.56782915094</v>
      </c>
      <c r="I8" s="36">
        <f>VLOOKUP($A8,[18]HISTOMAI23!$A$6:$AQ$40,22,0)</f>
        <v>0</v>
      </c>
      <c r="J8" s="36">
        <f>VLOOKUP($A8,[18]HISTOMAI23!$A$6:$AU$36,45,0)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VLOOKUP($A8,[18]HISTOMAI23!$A$6:$AU$36,7,0)</f>
        <v>0</v>
      </c>
      <c r="P8" s="36">
        <f>VLOOKUP($A8,[18]HISTOMAI23!$A$6:$AU$36,23,0)</f>
        <v>0</v>
      </c>
      <c r="Q8" s="36">
        <f>VLOOKUP($A8,[18]HISTOMAI23!$A$6:$AU$36,46,0)</f>
        <v>0</v>
      </c>
      <c r="R8" s="36">
        <f>VLOOKUP($A8,[18]HISTOMAI23!$A$6:$AU$36,26,0)</f>
        <v>0</v>
      </c>
      <c r="S8" s="36">
        <f>VLOOKUP($A8,[18]HISTOMAI23!$A$6:$BG$36,58,0)</f>
        <v>0</v>
      </c>
      <c r="T8" s="36">
        <f>VLOOKUP($A8,[18]HISTOMAI23!$A$6:$AU$36,28,0)</f>
        <v>0</v>
      </c>
      <c r="U8" s="36">
        <f>VLOOKUP($A8,[18]HISTOMAI23!$A$6:$AU$36,19,0)</f>
        <v>0</v>
      </c>
      <c r="V8" s="36">
        <f>VLOOKUP($A8,[18]HISTOMAI23!$A$6:$AU$36,20,0)</f>
        <v>0</v>
      </c>
      <c r="W8" s="36">
        <f>VLOOKUP($A8,[18]HISTOMAI23!$A$6:$AU$36,27,0)</f>
        <v>0</v>
      </c>
      <c r="X8" s="36">
        <f>VLOOKUP($A8,[18]HISTOMAI23!$A$6:$BM$36,33,0)</f>
        <v>0</v>
      </c>
      <c r="Y8" s="36">
        <f>VLOOKUP($A8,[18]HISTOMAI23!$A$6:$BM$36,65,0)</f>
        <v>0</v>
      </c>
      <c r="Z8" s="36"/>
      <c r="AA8" s="36">
        <f>VLOOKUP($A8,[18]HISTOMAI23!$A$6:$AU$36,43,0)</f>
        <v>0</v>
      </c>
      <c r="AB8" s="36">
        <f>VLOOKUP($A8,[18]HISTOMAI23!$A$6:$AU$36,44,0)</f>
        <v>0</v>
      </c>
      <c r="AC8" s="36">
        <f>VLOOKUP($A8,[18]HISTOMAI23!$A$6:$AU$36,47,0)</f>
        <v>0</v>
      </c>
      <c r="AD8" s="36">
        <f>VLOOKUP(A8,[18]HISTOMAI23!$A$6:$BB$36,54,0)</f>
        <v>0</v>
      </c>
      <c r="AE8" s="36">
        <f>VLOOKUP($A8,[18]HISTOMAI23!$A$6:$CA$36,60,0)</f>
        <v>0</v>
      </c>
      <c r="AF8" s="36">
        <f>VLOOKUP($A8,[18]HISTOMAI23!$A$6:$CA$36,61,0)</f>
        <v>0</v>
      </c>
      <c r="AG8" s="36">
        <f>VLOOKUP($A8,[18]HISTOMAI23!$A$6:$CA$36,62,0)</f>
        <v>0</v>
      </c>
      <c r="AH8" s="36">
        <f>VLOOKUP($A8,[18]HISTOMAI23!$A$6:$CA$36,63,0)</f>
        <v>0</v>
      </c>
      <c r="AI8" s="36">
        <f>VLOOKUP($A8,[18]HISTOMAI23!$A$6:$CA$36,64,0)</f>
        <v>0</v>
      </c>
      <c r="AJ8" s="36">
        <f>VLOOKUP($A8,[18]HISTOMAI23!$A$6:$CA$36,65,0)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VLOOKUP($A9,[18]HISTOMAI23!$A$6:$BA$36,48,0)</f>
        <v>0</v>
      </c>
      <c r="F9" s="5">
        <f>MVTAVRIL23!F9+MVTAVRIL23!G9-MVTMAI23!E9+K9</f>
        <v>733836.207006454</v>
      </c>
      <c r="G9" s="6">
        <v>954.23784847173044</v>
      </c>
      <c r="H9" s="6">
        <f t="shared" si="0"/>
        <v>734790.44485492574</v>
      </c>
      <c r="I9" s="36">
        <f>VLOOKUP($A9,[18]HISTOMAI23!$A$6:$AQ$40,22,0)</f>
        <v>0</v>
      </c>
      <c r="J9" s="36">
        <f>VLOOKUP($A9,[18]HISTOMAI23!$A$6:$AU$36,45,0)</f>
        <v>20000</v>
      </c>
      <c r="K9" s="36">
        <f t="shared" si="1"/>
        <v>14000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VLOOKUP($A9,[18]HISTOMAI23!$A$6:$AU$36,7,0)</f>
        <v>0</v>
      </c>
      <c r="P9" s="36">
        <f>VLOOKUP($A9,[18]HISTOMAI23!$A$6:$AU$36,23,0)</f>
        <v>0</v>
      </c>
      <c r="Q9" s="36">
        <f>VLOOKUP($A9,[18]HISTOMAI23!$A$6:$AU$36,46,0)</f>
        <v>0</v>
      </c>
      <c r="R9" s="36">
        <f>VLOOKUP($A9,[18]HISTOMAI23!$A$6:$AU$36,26,0)</f>
        <v>0</v>
      </c>
      <c r="S9" s="36">
        <f>VLOOKUP($A9,[18]HISTOMAI23!$A$6:$BG$36,58,0)</f>
        <v>0</v>
      </c>
      <c r="T9" s="36">
        <f>VLOOKUP($A9,[18]HISTOMAI23!$A$6:$AU$36,28,0)</f>
        <v>0</v>
      </c>
      <c r="U9" s="36">
        <f>VLOOKUP($A9,[18]HISTOMAI23!$A$6:$AU$36,19,0)</f>
        <v>0</v>
      </c>
      <c r="V9" s="36">
        <f>VLOOKUP($A9,[18]HISTOMAI23!$A$6:$AU$36,20,0)</f>
        <v>0</v>
      </c>
      <c r="W9" s="36">
        <f>VLOOKUP($A9,[18]HISTOMAI23!$A$6:$AU$36,27,0)</f>
        <v>0</v>
      </c>
      <c r="X9" s="36">
        <f>VLOOKUP($A9,[18]HISTOMAI23!$A$6:$BM$36,33,0)</f>
        <v>0</v>
      </c>
      <c r="Y9" s="36">
        <f>VLOOKUP($A9,[18]HISTOMAI23!$A$6:$BM$36,65,0)</f>
        <v>0</v>
      </c>
      <c r="Z9" s="36"/>
      <c r="AA9" s="36">
        <f>VLOOKUP($A9,[18]HISTOMAI23!$A$6:$AU$36,43,0)</f>
        <v>0</v>
      </c>
      <c r="AB9" s="36">
        <f>VLOOKUP($A9,[18]HISTOMAI23!$A$6:$AU$36,44,0)</f>
        <v>0</v>
      </c>
      <c r="AC9" s="36">
        <f>VLOOKUP($A9,[18]HISTOMAI23!$A$6:$AU$36,47,0)</f>
        <v>0</v>
      </c>
      <c r="AD9" s="36">
        <f>VLOOKUP(A9,[18]HISTOMAI23!$A$6:$BB$36,54,0)</f>
        <v>0</v>
      </c>
      <c r="AE9" s="36">
        <f>VLOOKUP($A9,[18]HISTOMAI23!$A$6:$CA$36,60,0)</f>
        <v>0</v>
      </c>
      <c r="AF9" s="36">
        <f>VLOOKUP($A9,[18]HISTOMAI23!$A$6:$CA$36,61,0)</f>
        <v>0</v>
      </c>
      <c r="AG9" s="36">
        <f>VLOOKUP($A9,[18]HISTOMAI23!$A$6:$CA$36,62,0)</f>
        <v>0</v>
      </c>
      <c r="AH9" s="36">
        <f>VLOOKUP($A9,[18]HISTOMAI23!$A$6:$CA$36,63,0)</f>
        <v>0</v>
      </c>
      <c r="AI9" s="36">
        <f>VLOOKUP($A9,[18]HISTOMAI23!$A$6:$CA$36,64,0)</f>
        <v>0</v>
      </c>
      <c r="AJ9" s="36">
        <f>VLOOKUP($A9,[18]HISTOMAI23!$A$6:$CA$36,65,0)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VLOOKUP($A10,[18]HISTOMAI23!$A$6:$BA$36,48,0)</f>
        <v>0</v>
      </c>
      <c r="F10" s="5">
        <f>MVTAVRIL23!F10+MVTAVRIL23!G10-MVTMAI23!E10+K10</f>
        <v>743690.00407638249</v>
      </c>
      <c r="G10" s="6">
        <v>967.05115207478218</v>
      </c>
      <c r="H10" s="6">
        <f t="shared" si="0"/>
        <v>744657.05522845732</v>
      </c>
      <c r="I10" s="36">
        <f>VLOOKUP($A10,[18]HISTOMAI23!$A$6:$AQ$40,22,0)</f>
        <v>0</v>
      </c>
      <c r="J10" s="36">
        <f>VLOOKUP($A10,[18]HISTOMAI23!$A$6:$AU$36,45,0)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VLOOKUP($A10,[18]HISTOMAI23!$A$6:$AU$36,7,0)</f>
        <v>3000</v>
      </c>
      <c r="P10" s="36">
        <f>VLOOKUP($A10,[18]HISTOMAI23!$A$6:$AU$36,23,0)</f>
        <v>0</v>
      </c>
      <c r="Q10" s="36">
        <f>VLOOKUP($A10,[18]HISTOMAI23!$A$6:$AU$36,46,0)</f>
        <v>0</v>
      </c>
      <c r="R10" s="36">
        <f>VLOOKUP($A10,[18]HISTOMAI23!$A$6:$AU$36,26,0)</f>
        <v>0</v>
      </c>
      <c r="S10" s="36">
        <f>VLOOKUP($A10,[18]HISTOMAI23!$A$6:$BG$36,58,0)</f>
        <v>0</v>
      </c>
      <c r="T10" s="36">
        <f>VLOOKUP($A10,[18]HISTOMAI23!$A$6:$AU$36,28,0)</f>
        <v>0</v>
      </c>
      <c r="U10" s="36">
        <f>VLOOKUP($A10,[18]HISTOMAI23!$A$6:$AU$36,19,0)</f>
        <v>0</v>
      </c>
      <c r="V10" s="36">
        <f>VLOOKUP($A10,[18]HISTOMAI23!$A$6:$AU$36,20,0)</f>
        <v>0</v>
      </c>
      <c r="W10" s="36">
        <f>VLOOKUP($A10,[18]HISTOMAI23!$A$6:$AU$36,27,0)</f>
        <v>0</v>
      </c>
      <c r="X10" s="36">
        <f>VLOOKUP($A10,[18]HISTOMAI23!$A$6:$BM$36,33,0)</f>
        <v>0</v>
      </c>
      <c r="Y10" s="36">
        <f>VLOOKUP($A10,[18]HISTOMAI23!$A$6:$BM$36,65,0)</f>
        <v>0</v>
      </c>
      <c r="Z10" s="36"/>
      <c r="AA10" s="36">
        <f>VLOOKUP($A10,[18]HISTOMAI23!$A$6:$AU$36,43,0)</f>
        <v>0</v>
      </c>
      <c r="AB10" s="36">
        <f>VLOOKUP($A10,[18]HISTOMAI23!$A$6:$AU$36,44,0)</f>
        <v>0</v>
      </c>
      <c r="AC10" s="36">
        <f>VLOOKUP($A10,[18]HISTOMAI23!$A$6:$AU$36,47,0)</f>
        <v>0</v>
      </c>
      <c r="AD10" s="36">
        <f>VLOOKUP(A10,[18]HISTOMAI23!$A$6:$BB$36,54,0)</f>
        <v>0</v>
      </c>
      <c r="AE10" s="36">
        <f>VLOOKUP($A10,[18]HISTOMAI23!$A$6:$CA$36,60,0)</f>
        <v>0</v>
      </c>
      <c r="AF10" s="36">
        <f>VLOOKUP($A10,[18]HISTOMAI23!$A$6:$CA$36,61,0)</f>
        <v>0</v>
      </c>
      <c r="AG10" s="36">
        <f>VLOOKUP($A10,[18]HISTOMAI23!$A$6:$CA$36,62,0)</f>
        <v>0</v>
      </c>
      <c r="AH10" s="36">
        <f>VLOOKUP($A10,[18]HISTOMAI23!$A$6:$CA$36,63,0)</f>
        <v>0</v>
      </c>
      <c r="AI10" s="36">
        <f>VLOOKUP($A10,[18]HISTOMAI23!$A$6:$CA$36,64,0)</f>
        <v>0</v>
      </c>
      <c r="AJ10" s="36">
        <f>VLOOKUP($A10,[18]HISTOMAI23!$A$6:$CA$36,65,0)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VLOOKUP($A11,[18]HISTOMAI23!$A$6:$BA$36,48,0)</f>
        <v>0</v>
      </c>
      <c r="F11" s="5">
        <f>MVTAVRIL23!F11+MVTAVRIL23!G11-MVTMAI23!E11+K11</f>
        <v>700472.88623508182</v>
      </c>
      <c r="G11" s="6">
        <v>910.85412997054402</v>
      </c>
      <c r="H11" s="6">
        <f t="shared" si="0"/>
        <v>701383.74036505236</v>
      </c>
      <c r="I11" s="36">
        <f>VLOOKUP($A11,[18]HISTOMAI23!$A$6:$AQ$40,22,0)</f>
        <v>0</v>
      </c>
      <c r="J11" s="36">
        <f>VLOOKUP($A11,[18]HISTOMAI23!$A$6:$AU$36,45,0)</f>
        <v>15000</v>
      </c>
      <c r="K11" s="36">
        <f t="shared" si="1"/>
        <v>9000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VLOOKUP($A11,[18]HISTOMAI23!$A$6:$AU$36,7,0)</f>
        <v>0</v>
      </c>
      <c r="P11" s="36">
        <f>VLOOKUP($A11,[18]HISTOMAI23!$A$6:$AU$36,23,0)</f>
        <v>0</v>
      </c>
      <c r="Q11" s="36">
        <f>VLOOKUP($A11,[18]HISTOMAI23!$A$6:$AU$36,46,0)</f>
        <v>0</v>
      </c>
      <c r="R11" s="36">
        <f>VLOOKUP($A11,[18]HISTOMAI23!$A$6:$AU$36,26,0)</f>
        <v>0</v>
      </c>
      <c r="S11" s="36">
        <f>VLOOKUP($A11,[18]HISTOMAI23!$A$6:$BG$36,58,0)</f>
        <v>0</v>
      </c>
      <c r="T11" s="36">
        <f>VLOOKUP($A11,[18]HISTOMAI23!$A$6:$AU$36,28,0)</f>
        <v>0</v>
      </c>
      <c r="U11" s="36">
        <f>VLOOKUP($A11,[18]HISTOMAI23!$A$6:$AU$36,19,0)</f>
        <v>0</v>
      </c>
      <c r="V11" s="36">
        <f>VLOOKUP($A11,[18]HISTOMAI23!$A$6:$AU$36,20,0)</f>
        <v>0</v>
      </c>
      <c r="W11" s="36">
        <f>VLOOKUP($A11,[18]HISTOMAI23!$A$6:$AU$36,27,0)</f>
        <v>0</v>
      </c>
      <c r="X11" s="36">
        <f>VLOOKUP($A11,[18]HISTOMAI23!$A$6:$BM$36,33,0)</f>
        <v>0</v>
      </c>
      <c r="Y11" s="36">
        <f>VLOOKUP($A11,[18]HISTOMAI23!$A$6:$BM$36,65,0)</f>
        <v>0</v>
      </c>
      <c r="Z11" s="36"/>
      <c r="AA11" s="36">
        <f>VLOOKUP($A11,[18]HISTOMAI23!$A$6:$AU$36,43,0)</f>
        <v>0</v>
      </c>
      <c r="AB11" s="36">
        <f>VLOOKUP($A11,[18]HISTOMAI23!$A$6:$AU$36,44,0)</f>
        <v>0</v>
      </c>
      <c r="AC11" s="36">
        <f>VLOOKUP($A11,[18]HISTOMAI23!$A$6:$AU$36,47,0)</f>
        <v>0</v>
      </c>
      <c r="AD11" s="36">
        <f>VLOOKUP(A11,[18]HISTOMAI23!$A$6:$BB$36,54,0)</f>
        <v>0</v>
      </c>
      <c r="AE11" s="36">
        <f>VLOOKUP($A11,[18]HISTOMAI23!$A$6:$CA$36,60,0)</f>
        <v>0</v>
      </c>
      <c r="AF11" s="36">
        <f>VLOOKUP($A11,[18]HISTOMAI23!$A$6:$CA$36,61,0)</f>
        <v>0</v>
      </c>
      <c r="AG11" s="36">
        <f>VLOOKUP($A11,[18]HISTOMAI23!$A$6:$CA$36,62,0)</f>
        <v>0</v>
      </c>
      <c r="AH11" s="36">
        <f>VLOOKUP($A11,[18]HISTOMAI23!$A$6:$CA$36,63,0)</f>
        <v>0</v>
      </c>
      <c r="AI11" s="36">
        <f>VLOOKUP($A11,[18]HISTOMAI23!$A$6:$CA$36,64,0)</f>
        <v>0</v>
      </c>
      <c r="AJ11" s="36">
        <f>VLOOKUP($A11,[18]HISTOMAI23!$A$6:$CA$36,65,0)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VLOOKUP($A12,[18]HISTOMAI23!$A$6:$BA$36,48,0)</f>
        <v>0</v>
      </c>
      <c r="F12" s="5">
        <f>MVTAVRIL23!F12+MVTAVRIL23!G12-MVTMAI23!E12+K12</f>
        <v>827041.62189168995</v>
      </c>
      <c r="G12" s="6">
        <v>1075.4367396096004</v>
      </c>
      <c r="H12" s="6">
        <f t="shared" si="0"/>
        <v>828117.05863129953</v>
      </c>
      <c r="I12" s="36">
        <f>VLOOKUP($A12,[18]HISTOMAI23!$A$6:$AQ$40,22,0)</f>
        <v>0</v>
      </c>
      <c r="J12" s="36">
        <f>VLOOKUP($A12,[18]HISTOMAI23!$A$6:$AU$36,45,0)</f>
        <v>120000</v>
      </c>
      <c r="K12" s="36">
        <f>IF(J12=0,0,J12-(L12+M12+N12))</f>
        <v>114000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VLOOKUP($A12,[18]HISTOMAI23!$A$6:$AU$36,7,0)</f>
        <v>0</v>
      </c>
      <c r="P12" s="36">
        <f>VLOOKUP($A12,[18]HISTOMAI23!$A$6:$AU$36,23,0)</f>
        <v>0</v>
      </c>
      <c r="Q12" s="36">
        <f>VLOOKUP($A12,[18]HISTOMAI23!$A$6:$AU$36,46,0)</f>
        <v>0</v>
      </c>
      <c r="R12" s="36">
        <f>VLOOKUP($A12,[18]HISTOMAI23!$A$6:$AU$36,26,0)</f>
        <v>0</v>
      </c>
      <c r="S12" s="36">
        <f>VLOOKUP($A12,[18]HISTOMAI23!$A$6:$BG$36,58,0)</f>
        <v>0</v>
      </c>
      <c r="T12" s="36">
        <f>VLOOKUP($A12,[18]HISTOMAI23!$A$6:$AU$36,28,0)</f>
        <v>0</v>
      </c>
      <c r="U12" s="36">
        <f>VLOOKUP($A12,[18]HISTOMAI23!$A$6:$AU$36,19,0)</f>
        <v>0</v>
      </c>
      <c r="V12" s="36">
        <f>VLOOKUP($A12,[18]HISTOMAI23!$A$6:$AU$36,20,0)</f>
        <v>0</v>
      </c>
      <c r="W12" s="36">
        <f>VLOOKUP($A12,[18]HISTOMAI23!$A$6:$AU$36,27,0)</f>
        <v>0</v>
      </c>
      <c r="X12" s="36">
        <f>VLOOKUP($A12,[18]HISTOMAI23!$A$6:$BM$36,33,0)</f>
        <v>0</v>
      </c>
      <c r="Y12" s="36">
        <f>VLOOKUP($A12,[18]HISTOMAI23!$A$6:$BM$36,65,0)</f>
        <v>0</v>
      </c>
      <c r="Z12" s="36"/>
      <c r="AA12" s="36">
        <f>VLOOKUP($A12,[18]HISTOMAI23!$A$6:$AU$36,43,0)</f>
        <v>0</v>
      </c>
      <c r="AB12" s="36">
        <f>VLOOKUP($A12,[18]HISTOMAI23!$A$6:$AU$36,44,0)</f>
        <v>0</v>
      </c>
      <c r="AC12" s="36">
        <f>VLOOKUP($A12,[18]HISTOMAI23!$A$6:$AU$36,47,0)</f>
        <v>0</v>
      </c>
      <c r="AD12" s="36">
        <f>VLOOKUP(A12,[18]HISTOMAI23!$A$6:$BB$36,54,0)</f>
        <v>70000</v>
      </c>
      <c r="AE12" s="36">
        <f>VLOOKUP($A12,[18]HISTOMAI23!$A$6:$CA$36,60,0)</f>
        <v>0</v>
      </c>
      <c r="AF12" s="36">
        <f>VLOOKUP($A12,[18]HISTOMAI23!$A$6:$CA$36,61,0)</f>
        <v>0</v>
      </c>
      <c r="AG12" s="36">
        <f>VLOOKUP($A12,[18]HISTOMAI23!$A$6:$CA$36,62,0)</f>
        <v>0</v>
      </c>
      <c r="AH12" s="36">
        <f>VLOOKUP($A12,[18]HISTOMAI23!$A$6:$CA$36,63,0)</f>
        <v>0</v>
      </c>
      <c r="AI12" s="36">
        <f>VLOOKUP($A12,[18]HISTOMAI23!$A$6:$CA$36,64,0)</f>
        <v>0</v>
      </c>
      <c r="AJ12" s="36">
        <f>VLOOKUP($A12,[18]HISTOMAI23!$A$6:$CA$36,65,0)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VLOOKUP($A13,[18]HISTOMAI23!$A$6:$BA$36,48,0)</f>
        <v>0</v>
      </c>
      <c r="F13" s="5">
        <f>MVTAVRIL23!F13+MVTAVRIL23!G13-MVTMAI23!E13+K13</f>
        <v>690947.92906827049</v>
      </c>
      <c r="G13" s="6">
        <v>898.46843061847665</v>
      </c>
      <c r="H13" s="6">
        <f t="shared" si="0"/>
        <v>691846.39749888901</v>
      </c>
      <c r="I13" s="36">
        <f>VLOOKUP($A13,[18]HISTOMAI23!$A$6:$AQ$40,22,0)</f>
        <v>0</v>
      </c>
      <c r="J13" s="36">
        <f>VLOOKUP($A13,[18]HISTOMAI23!$A$6:$AU$36,45,0)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VLOOKUP($A13,[18]HISTOMAI23!$A$6:$AU$36,7,0)</f>
        <v>0</v>
      </c>
      <c r="P13" s="36">
        <f>VLOOKUP($A13,[18]HISTOMAI23!$A$6:$AU$36,23,0)</f>
        <v>0</v>
      </c>
      <c r="Q13" s="36">
        <f>VLOOKUP($A13,[18]HISTOMAI23!$A$6:$AU$36,46,0)</f>
        <v>0</v>
      </c>
      <c r="R13" s="36">
        <f>VLOOKUP($A13,[18]HISTOMAI23!$A$6:$AU$36,26,0)</f>
        <v>0</v>
      </c>
      <c r="S13" s="36">
        <f>VLOOKUP($A13,[18]HISTOMAI23!$A$6:$BG$36,58,0)</f>
        <v>0</v>
      </c>
      <c r="T13" s="36">
        <f>VLOOKUP($A13,[18]HISTOMAI23!$A$6:$AU$36,28,0)</f>
        <v>0</v>
      </c>
      <c r="U13" s="36">
        <f>VLOOKUP($A13,[18]HISTOMAI23!$A$6:$AU$36,19,0)</f>
        <v>0</v>
      </c>
      <c r="V13" s="36">
        <f>VLOOKUP($A13,[18]HISTOMAI23!$A$6:$AU$36,20,0)</f>
        <v>0</v>
      </c>
      <c r="W13" s="36">
        <f>VLOOKUP($A13,[18]HISTOMAI23!$A$6:$AU$36,27,0)</f>
        <v>0</v>
      </c>
      <c r="X13" s="36">
        <f>VLOOKUP($A13,[18]HISTOMAI23!$A$6:$BM$36,33,0)</f>
        <v>0</v>
      </c>
      <c r="Y13" s="36">
        <f>VLOOKUP($A13,[18]HISTOMAI23!$A$6:$BM$36,65,0)</f>
        <v>0</v>
      </c>
      <c r="Z13" s="36"/>
      <c r="AA13" s="36">
        <f>VLOOKUP($A13,[18]HISTOMAI23!$A$6:$AU$36,43,0)</f>
        <v>0</v>
      </c>
      <c r="AB13" s="36">
        <f>VLOOKUP($A13,[18]HISTOMAI23!$A$6:$AU$36,44,0)</f>
        <v>0</v>
      </c>
      <c r="AC13" s="36">
        <f>VLOOKUP($A13,[18]HISTOMAI23!$A$6:$AU$36,47,0)</f>
        <v>0</v>
      </c>
      <c r="AD13" s="36">
        <f>VLOOKUP(A13,[18]HISTOMAI23!$A$6:$BB$36,54,0)</f>
        <v>0</v>
      </c>
      <c r="AE13" s="36">
        <f>VLOOKUP($A13,[18]HISTOMAI23!$A$6:$CA$36,60,0)</f>
        <v>0</v>
      </c>
      <c r="AF13" s="36">
        <f>VLOOKUP($A13,[18]HISTOMAI23!$A$6:$CA$36,61,0)</f>
        <v>0</v>
      </c>
      <c r="AG13" s="36">
        <f>VLOOKUP($A13,[18]HISTOMAI23!$A$6:$CA$36,62,0)</f>
        <v>0</v>
      </c>
      <c r="AH13" s="36">
        <f>VLOOKUP($A13,[18]HISTOMAI23!$A$6:$CA$36,63,0)</f>
        <v>0</v>
      </c>
      <c r="AI13" s="36">
        <f>VLOOKUP($A13,[18]HISTOMAI23!$A$6:$CA$36,64,0)</f>
        <v>0</v>
      </c>
      <c r="AJ13" s="36">
        <f>VLOOKUP($A13,[18]HISTOMAI23!$A$6:$CA$36,65,0)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VLOOKUP($A14,[18]HISTOMAI23!$A$6:$BA$36,48,0)</f>
        <v>0</v>
      </c>
      <c r="F14" s="5">
        <f>MVTAVRIL23!F14+MVTAVRIL23!G14-MVTMAI23!E14+K14</f>
        <v>1183009.34507529</v>
      </c>
      <c r="G14" s="6">
        <v>1538.3164272741687</v>
      </c>
      <c r="H14" s="6">
        <f t="shared" si="0"/>
        <v>1184547.6615025641</v>
      </c>
      <c r="I14" s="36">
        <f>VLOOKUP($A14,[18]HISTOMAI23!$A$6:$AQ$40,22,0)</f>
        <v>0</v>
      </c>
      <c r="J14" s="36">
        <f>VLOOKUP($A14,[18]HISTOMAI23!$A$6:$AU$36,45,0)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VLOOKUP($A14,[18]HISTOMAI23!$A$6:$AU$36,7,0)</f>
        <v>0</v>
      </c>
      <c r="P14" s="36">
        <f>VLOOKUP($A14,[18]HISTOMAI23!$A$6:$AU$36,23,0)</f>
        <v>0</v>
      </c>
      <c r="Q14" s="36">
        <f>VLOOKUP($A14,[18]HISTOMAI23!$A$6:$AU$36,46,0)</f>
        <v>0</v>
      </c>
      <c r="R14" s="36">
        <f>VLOOKUP($A14,[18]HISTOMAI23!$A$6:$AU$36,26,0)</f>
        <v>0</v>
      </c>
      <c r="S14" s="36">
        <f>VLOOKUP($A14,[18]HISTOMAI23!$A$6:$BG$36,58,0)</f>
        <v>0</v>
      </c>
      <c r="T14" s="36">
        <f>VLOOKUP($A14,[18]HISTOMAI23!$A$6:$AU$36,28,0)</f>
        <v>0</v>
      </c>
      <c r="U14" s="36">
        <f>VLOOKUP($A14,[18]HISTOMAI23!$A$6:$AU$36,19,0)</f>
        <v>0</v>
      </c>
      <c r="V14" s="36">
        <f>VLOOKUP($A14,[18]HISTOMAI23!$A$6:$AU$36,20,0)</f>
        <v>0</v>
      </c>
      <c r="W14" s="36">
        <f>VLOOKUP($A14,[18]HISTOMAI23!$A$6:$AU$36,27,0)</f>
        <v>0</v>
      </c>
      <c r="X14" s="36">
        <f>VLOOKUP($A14,[18]HISTOMAI23!$A$6:$BM$36,33,0)</f>
        <v>0</v>
      </c>
      <c r="Y14" s="36">
        <f>VLOOKUP($A14,[18]HISTOMAI23!$A$6:$BM$36,65,0)</f>
        <v>0</v>
      </c>
      <c r="Z14" s="36"/>
      <c r="AA14" s="36">
        <f>VLOOKUP($A14,[18]HISTOMAI23!$A$6:$AU$36,43,0)</f>
        <v>0</v>
      </c>
      <c r="AB14" s="36">
        <f>VLOOKUP($A14,[18]HISTOMAI23!$A$6:$AU$36,44,0)</f>
        <v>0</v>
      </c>
      <c r="AC14" s="36">
        <f>VLOOKUP($A14,[18]HISTOMAI23!$A$6:$AU$36,47,0)</f>
        <v>0</v>
      </c>
      <c r="AD14" s="36">
        <f>VLOOKUP(A14,[18]HISTOMAI23!$A$6:$BB$36,54,0)</f>
        <v>0</v>
      </c>
      <c r="AE14" s="36">
        <f>VLOOKUP($A14,[18]HISTOMAI23!$A$6:$CA$36,60,0)</f>
        <v>0</v>
      </c>
      <c r="AF14" s="36">
        <f>VLOOKUP($A14,[18]HISTOMAI23!$A$6:$CA$36,61,0)</f>
        <v>0</v>
      </c>
      <c r="AG14" s="36">
        <f>VLOOKUP($A14,[18]HISTOMAI23!$A$6:$CA$36,62,0)</f>
        <v>0</v>
      </c>
      <c r="AH14" s="36">
        <f>VLOOKUP($A14,[18]HISTOMAI23!$A$6:$CA$36,63,0)</f>
        <v>0</v>
      </c>
      <c r="AI14" s="36">
        <f>VLOOKUP($A14,[18]HISTOMAI23!$A$6:$CA$36,64,0)</f>
        <v>0</v>
      </c>
      <c r="AJ14" s="36">
        <f>VLOOKUP($A14,[18]HISTOMAI23!$A$6:$CA$36,65,0)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VLOOKUP($A15,[18]HISTOMAI23!$A$6:$BA$36,48,0)</f>
        <v>0</v>
      </c>
      <c r="F15" s="5">
        <f>MVTAVRIL23!F15+MVTAVRIL23!G15-MVTMAI23!E15+K15</f>
        <v>745262.21779684699</v>
      </c>
      <c r="G15" s="6">
        <v>969.09556719579916</v>
      </c>
      <c r="H15" s="6">
        <f t="shared" si="0"/>
        <v>746231.31336404278</v>
      </c>
      <c r="I15" s="36">
        <f>VLOOKUP($A15,[18]HISTOMAI23!$A$6:$AQ$40,22,0)</f>
        <v>0</v>
      </c>
      <c r="J15" s="36">
        <f>VLOOKUP($A15,[18]HISTOMAI23!$A$6:$AU$36,45,0)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VLOOKUP($A15,[18]HISTOMAI23!$A$6:$AU$36,7,0)</f>
        <v>3000</v>
      </c>
      <c r="P15" s="36">
        <f>VLOOKUP($A15,[18]HISTOMAI23!$A$6:$AU$36,23,0)</f>
        <v>0</v>
      </c>
      <c r="Q15" s="36">
        <f>VLOOKUP($A15,[18]HISTOMAI23!$A$6:$AU$36,46,0)</f>
        <v>0</v>
      </c>
      <c r="R15" s="36">
        <f>VLOOKUP($A15,[18]HISTOMAI23!$A$6:$AU$36,26,0)</f>
        <v>0</v>
      </c>
      <c r="S15" s="36">
        <f>VLOOKUP($A15,[18]HISTOMAI23!$A$6:$BG$36,58,0)</f>
        <v>0</v>
      </c>
      <c r="T15" s="36">
        <f>VLOOKUP($A15,[18]HISTOMAI23!$A$6:$AU$36,28,0)</f>
        <v>0</v>
      </c>
      <c r="U15" s="36">
        <f>VLOOKUP($A15,[18]HISTOMAI23!$A$6:$AU$36,19,0)</f>
        <v>0</v>
      </c>
      <c r="V15" s="36">
        <f>VLOOKUP($A15,[18]HISTOMAI23!$A$6:$AU$36,20,0)</f>
        <v>0</v>
      </c>
      <c r="W15" s="36">
        <f>VLOOKUP($A15,[18]HISTOMAI23!$A$6:$AU$36,27,0)</f>
        <v>0</v>
      </c>
      <c r="X15" s="36">
        <f>VLOOKUP($A15,[18]HISTOMAI23!$A$6:$BM$36,33,0)</f>
        <v>0</v>
      </c>
      <c r="Y15" s="36">
        <f>VLOOKUP($A15,[18]HISTOMAI23!$A$6:$BM$36,65,0)</f>
        <v>0</v>
      </c>
      <c r="Z15" s="36"/>
      <c r="AA15" s="36">
        <f>VLOOKUP($A15,[18]HISTOMAI23!$A$6:$AU$36,43,0)</f>
        <v>0</v>
      </c>
      <c r="AB15" s="36">
        <f>VLOOKUP($A15,[18]HISTOMAI23!$A$6:$AU$36,44,0)</f>
        <v>0</v>
      </c>
      <c r="AC15" s="36">
        <f>VLOOKUP($A15,[18]HISTOMAI23!$A$6:$AU$36,47,0)</f>
        <v>0</v>
      </c>
      <c r="AD15" s="36">
        <f>VLOOKUP(A15,[18]HISTOMAI23!$A$6:$BB$36,54,0)</f>
        <v>0</v>
      </c>
      <c r="AE15" s="36">
        <f>VLOOKUP($A15,[18]HISTOMAI23!$A$6:$CA$36,60,0)</f>
        <v>0</v>
      </c>
      <c r="AF15" s="36">
        <f>VLOOKUP($A15,[18]HISTOMAI23!$A$6:$CA$36,61,0)</f>
        <v>0</v>
      </c>
      <c r="AG15" s="36">
        <f>VLOOKUP($A15,[18]HISTOMAI23!$A$6:$CA$36,62,0)</f>
        <v>0</v>
      </c>
      <c r="AH15" s="36">
        <f>VLOOKUP($A15,[18]HISTOMAI23!$A$6:$CA$36,63,0)</f>
        <v>0</v>
      </c>
      <c r="AI15" s="36">
        <f>VLOOKUP($A15,[18]HISTOMAI23!$A$6:$CA$36,64,0)</f>
        <v>0</v>
      </c>
      <c r="AJ15" s="36">
        <f>VLOOKUP($A15,[18]HISTOMAI23!$A$6:$CA$36,65,0)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VLOOKUP($A16,[18]HISTOMAI23!$A$6:$BA$36,48,0)</f>
        <v>0</v>
      </c>
      <c r="F16" s="5">
        <f>MVTAVRIL23!F16+MVTAVRIL23!G16-MVTMAI23!E16+K16</f>
        <v>864161.89355282497</v>
      </c>
      <c r="G16" s="6">
        <v>1123.7057781585474</v>
      </c>
      <c r="H16" s="6">
        <f t="shared" si="0"/>
        <v>865285.59933098347</v>
      </c>
      <c r="I16" s="36">
        <f>VLOOKUP($A16,[18]HISTOMAI23!$A$6:$AQ$40,22,0)</f>
        <v>0</v>
      </c>
      <c r="J16" s="36">
        <f>VLOOKUP($A16,[18]HISTOMAI23!$A$6:$AU$36,45,0)</f>
        <v>30000</v>
      </c>
      <c r="K16" s="36">
        <f t="shared" si="1"/>
        <v>24000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VLOOKUP($A16,[18]HISTOMAI23!$A$6:$AU$36,7,0)</f>
        <v>0</v>
      </c>
      <c r="P16" s="36">
        <f>VLOOKUP($A16,[18]HISTOMAI23!$A$6:$AU$36,23,0)</f>
        <v>0</v>
      </c>
      <c r="Q16" s="36">
        <f>VLOOKUP($A16,[18]HISTOMAI23!$A$6:$AU$36,46,0)</f>
        <v>0</v>
      </c>
      <c r="R16" s="36">
        <f>VLOOKUP($A16,[18]HISTOMAI23!$A$6:$AU$36,26,0)</f>
        <v>0</v>
      </c>
      <c r="S16" s="36">
        <f>VLOOKUP($A16,[18]HISTOMAI23!$A$6:$BG$36,58,0)</f>
        <v>0</v>
      </c>
      <c r="T16" s="36">
        <f>VLOOKUP($A16,[18]HISTOMAI23!$A$6:$AU$36,28,0)</f>
        <v>0</v>
      </c>
      <c r="U16" s="36">
        <f>VLOOKUP($A16,[18]HISTOMAI23!$A$6:$AU$36,19,0)</f>
        <v>0</v>
      </c>
      <c r="V16" s="36">
        <f>VLOOKUP($A16,[18]HISTOMAI23!$A$6:$AU$36,20,0)</f>
        <v>0</v>
      </c>
      <c r="W16" s="36">
        <f>VLOOKUP($A16,[18]HISTOMAI23!$A$6:$AU$36,27,0)</f>
        <v>0</v>
      </c>
      <c r="X16" s="36">
        <f>VLOOKUP($A16,[18]HISTOMAI23!$A$6:$BM$36,33,0)</f>
        <v>0</v>
      </c>
      <c r="Y16" s="36">
        <f>VLOOKUP($A16,[18]HISTOMAI23!$A$6:$BM$36,65,0)</f>
        <v>0</v>
      </c>
      <c r="Z16" s="36"/>
      <c r="AA16" s="36">
        <f>VLOOKUP($A16,[18]HISTOMAI23!$A$6:$AU$36,43,0)</f>
        <v>0</v>
      </c>
      <c r="AB16" s="36">
        <f>VLOOKUP($A16,[18]HISTOMAI23!$A$6:$AU$36,44,0)</f>
        <v>0</v>
      </c>
      <c r="AC16" s="36">
        <f>VLOOKUP($A16,[18]HISTOMAI23!$A$6:$AU$36,47,0)</f>
        <v>0</v>
      </c>
      <c r="AD16" s="36">
        <f>VLOOKUP(A16,[18]HISTOMAI23!$A$6:$BB$36,54,0)</f>
        <v>70000</v>
      </c>
      <c r="AE16" s="36">
        <f>VLOOKUP($A16,[18]HISTOMAI23!$A$6:$CA$36,60,0)</f>
        <v>0</v>
      </c>
      <c r="AF16" s="36">
        <f>VLOOKUP($A16,[18]HISTOMAI23!$A$6:$CA$36,61,0)</f>
        <v>0</v>
      </c>
      <c r="AG16" s="36">
        <f>VLOOKUP($A16,[18]HISTOMAI23!$A$6:$CA$36,62,0)</f>
        <v>0</v>
      </c>
      <c r="AH16" s="36">
        <f>VLOOKUP($A16,[18]HISTOMAI23!$A$6:$CA$36,63,0)</f>
        <v>0</v>
      </c>
      <c r="AI16" s="36">
        <f>VLOOKUP($A16,[18]HISTOMAI23!$A$6:$CA$36,64,0)</f>
        <v>0</v>
      </c>
      <c r="AJ16" s="36">
        <f>VLOOKUP($A16,[18]HISTOMAI23!$A$6:$CA$36,65,0)</f>
        <v>0</v>
      </c>
    </row>
    <row r="17" spans="1:38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VLOOKUP($A17,[18]HISTOMAI23!$A$6:$BA$36,48,0)</f>
        <v>0</v>
      </c>
      <c r="F17" s="5">
        <f>MVTAVRIL23!F17+MVTAVRIL23!G17-MVTMAI23!E17+K17</f>
        <v>747606.45990356989</v>
      </c>
      <c r="G17" s="6">
        <v>972.14388305001603</v>
      </c>
      <c r="H17" s="6">
        <f t="shared" si="0"/>
        <v>748578.60378661996</v>
      </c>
      <c r="I17" s="36">
        <f>VLOOKUP($A17,[18]HISTOMAI23!$A$6:$AQ$40,22,0)</f>
        <v>0</v>
      </c>
      <c r="J17" s="36">
        <f>VLOOKUP($A17,[18]HISTOMAI23!$A$6:$AU$36,45,0)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VLOOKUP($A17,[18]HISTOMAI23!$A$6:$AU$36,7,0)</f>
        <v>0</v>
      </c>
      <c r="P17" s="36">
        <f>VLOOKUP($A17,[18]HISTOMAI23!$A$6:$AU$36,23,0)</f>
        <v>0</v>
      </c>
      <c r="Q17" s="36">
        <f>VLOOKUP($A17,[18]HISTOMAI23!$A$6:$AU$36,46,0)</f>
        <v>0</v>
      </c>
      <c r="R17" s="36">
        <f>VLOOKUP($A17,[18]HISTOMAI23!$A$6:$AU$36,26,0)</f>
        <v>0</v>
      </c>
      <c r="S17" s="36">
        <f>VLOOKUP($A17,[18]HISTOMAI23!$A$6:$BG$36,58,0)</f>
        <v>0</v>
      </c>
      <c r="T17" s="36">
        <f>VLOOKUP($A17,[18]HISTOMAI23!$A$6:$AU$36,28,0)</f>
        <v>0</v>
      </c>
      <c r="U17" s="36">
        <f>VLOOKUP($A17,[18]HISTOMAI23!$A$6:$AU$36,19,0)</f>
        <v>0</v>
      </c>
      <c r="V17" s="36">
        <f>VLOOKUP($A17,[18]HISTOMAI23!$A$6:$AU$36,20,0)</f>
        <v>0</v>
      </c>
      <c r="W17" s="36">
        <f>VLOOKUP($A17,[18]HISTOMAI23!$A$6:$AU$36,27,0)</f>
        <v>0</v>
      </c>
      <c r="X17" s="36">
        <f>VLOOKUP($A17,[18]HISTOMAI23!$A$6:$BM$36,33,0)</f>
        <v>0</v>
      </c>
      <c r="Y17" s="36">
        <f>VLOOKUP($A17,[18]HISTOMAI23!$A$6:$BM$36,65,0)</f>
        <v>0</v>
      </c>
      <c r="Z17" s="36"/>
      <c r="AA17" s="36">
        <f>VLOOKUP($A17,[18]HISTOMAI23!$A$6:$AU$36,43,0)</f>
        <v>0</v>
      </c>
      <c r="AB17" s="36">
        <f>VLOOKUP($A17,[18]HISTOMAI23!$A$6:$AU$36,44,0)</f>
        <v>0</v>
      </c>
      <c r="AC17" s="36">
        <f>VLOOKUP($A17,[18]HISTOMAI23!$A$6:$AU$36,47,0)</f>
        <v>0</v>
      </c>
      <c r="AD17" s="36">
        <f>VLOOKUP(A17,[18]HISTOMAI23!$A$6:$BB$36,54,0)</f>
        <v>0</v>
      </c>
      <c r="AE17" s="36">
        <f>VLOOKUP($A17,[18]HISTOMAI23!$A$6:$CA$36,60,0)</f>
        <v>0</v>
      </c>
      <c r="AF17" s="36">
        <f>VLOOKUP($A17,[18]HISTOMAI23!$A$6:$CA$36,61,0)</f>
        <v>0</v>
      </c>
      <c r="AG17" s="36">
        <f>VLOOKUP($A17,[18]HISTOMAI23!$A$6:$CA$36,62,0)</f>
        <v>0</v>
      </c>
      <c r="AH17" s="36">
        <f>VLOOKUP($A17,[18]HISTOMAI23!$A$6:$CA$36,63,0)</f>
        <v>0</v>
      </c>
      <c r="AI17" s="36">
        <f>VLOOKUP($A17,[18]HISTOMAI23!$A$6:$CA$36,64,0)</f>
        <v>0</v>
      </c>
      <c r="AJ17" s="36">
        <f>VLOOKUP($A17,[18]HISTOMAI23!$A$6:$CA$36,65,0)</f>
        <v>0</v>
      </c>
    </row>
    <row r="18" spans="1:38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VLOOKUP($A18,[18]HISTOMAI23!$A$6:$BA$36,48,0)</f>
        <v>0</v>
      </c>
      <c r="F18" s="5">
        <f>MVTAVRIL23!F18+MVTAVRIL23!G18-MVTMAI23!E18+K18</f>
        <v>697271.9732673082</v>
      </c>
      <c r="G18" s="6">
        <v>906.69184924038825</v>
      </c>
      <c r="H18" s="6">
        <f t="shared" si="0"/>
        <v>698178.66511654854</v>
      </c>
      <c r="I18" s="36">
        <f>VLOOKUP($A18,[18]HISTOMAI23!$A$6:$AQ$40,22,0)</f>
        <v>0</v>
      </c>
      <c r="J18" s="36">
        <f>VLOOKUP($A18,[18]HISTOMAI23!$A$6:$AU$36,45,0)</f>
        <v>14000</v>
      </c>
      <c r="K18" s="36">
        <f t="shared" si="1"/>
        <v>8000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VLOOKUP($A18,[18]HISTOMAI23!$A$6:$AU$36,7,0)</f>
        <v>0</v>
      </c>
      <c r="P18" s="36">
        <f>VLOOKUP($A18,[18]HISTOMAI23!$A$6:$AU$36,23,0)</f>
        <v>0</v>
      </c>
      <c r="Q18" s="36">
        <f>VLOOKUP($A18,[18]HISTOMAI23!$A$6:$AU$36,46,0)</f>
        <v>0</v>
      </c>
      <c r="R18" s="36">
        <f>VLOOKUP($A18,[18]HISTOMAI23!$A$6:$AU$36,26,0)</f>
        <v>0</v>
      </c>
      <c r="S18" s="36">
        <f>VLOOKUP($A18,[18]HISTOMAI23!$A$6:$BG$36,58,0)</f>
        <v>0</v>
      </c>
      <c r="T18" s="36">
        <f>VLOOKUP($A18,[18]HISTOMAI23!$A$6:$AU$36,28,0)</f>
        <v>0</v>
      </c>
      <c r="U18" s="36">
        <f>VLOOKUP($A18,[18]HISTOMAI23!$A$6:$AU$36,19,0)</f>
        <v>0</v>
      </c>
      <c r="V18" s="36">
        <f>VLOOKUP($A18,[18]HISTOMAI23!$A$6:$AU$36,20,0)</f>
        <v>0</v>
      </c>
      <c r="W18" s="36">
        <f>VLOOKUP($A18,[18]HISTOMAI23!$A$6:$AU$36,27,0)</f>
        <v>0</v>
      </c>
      <c r="X18" s="36">
        <f>VLOOKUP($A18,[18]HISTOMAI23!$A$6:$BM$36,33,0)</f>
        <v>0</v>
      </c>
      <c r="Y18" s="36">
        <f>VLOOKUP($A18,[18]HISTOMAI23!$A$6:$BM$36,65,0)</f>
        <v>0</v>
      </c>
      <c r="Z18" s="36"/>
      <c r="AA18" s="36">
        <f>VLOOKUP($A18,[18]HISTOMAI23!$A$6:$AU$36,43,0)</f>
        <v>0</v>
      </c>
      <c r="AB18" s="36">
        <f>VLOOKUP($A18,[18]HISTOMAI23!$A$6:$AU$36,44,0)</f>
        <v>0</v>
      </c>
      <c r="AC18" s="36">
        <f>VLOOKUP($A18,[18]HISTOMAI23!$A$6:$AU$36,47,0)</f>
        <v>0</v>
      </c>
      <c r="AD18" s="36">
        <f>VLOOKUP(A18,[18]HISTOMAI23!$A$6:$BB$36,54,0)</f>
        <v>0</v>
      </c>
      <c r="AE18" s="36">
        <f>VLOOKUP($A18,[18]HISTOMAI23!$A$6:$CA$36,60,0)</f>
        <v>0</v>
      </c>
      <c r="AF18" s="36">
        <f>VLOOKUP($A18,[18]HISTOMAI23!$A$6:$CA$36,61,0)</f>
        <v>0</v>
      </c>
      <c r="AG18" s="36">
        <f>VLOOKUP($A18,[18]HISTOMAI23!$A$6:$CA$36,62,0)</f>
        <v>0</v>
      </c>
      <c r="AH18" s="36">
        <f>VLOOKUP($A18,[18]HISTOMAI23!$A$6:$CA$36,63,0)</f>
        <v>0</v>
      </c>
      <c r="AI18" s="36">
        <f>VLOOKUP($A18,[18]HISTOMAI23!$A$6:$CA$36,64,0)</f>
        <v>0</v>
      </c>
      <c r="AJ18" s="36">
        <f>VLOOKUP($A18,[18]HISTOMAI23!$A$6:$CA$36,65,0)</f>
        <v>0</v>
      </c>
    </row>
    <row r="19" spans="1:38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VLOOKUP($A19,[18]HISTOMAI23!$A$6:$BA$36,48,0)</f>
        <v>0</v>
      </c>
      <c r="F19" s="5">
        <f>MVTAVRIL23!F19+MVTAVRIL23!G19-MVTMAI23!E19+K19</f>
        <v>691122.20820826897</v>
      </c>
      <c r="G19" s="6">
        <v>898.69505305819519</v>
      </c>
      <c r="H19" s="6">
        <f t="shared" si="0"/>
        <v>692020.90326132718</v>
      </c>
      <c r="I19" s="36">
        <f>VLOOKUP($A19,[18]HISTOMAI23!$A$6:$AQ$40,22,0)</f>
        <v>0</v>
      </c>
      <c r="J19" s="36">
        <f>VLOOKUP($A19,[18]HISTOMAI23!$A$6:$AU$36,45,0)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VLOOKUP($A19,[18]HISTOMAI23!$A$6:$AU$36,7,0)</f>
        <v>0</v>
      </c>
      <c r="P19" s="36">
        <f>VLOOKUP($A19,[18]HISTOMAI23!$A$6:$AU$36,23,0)</f>
        <v>0</v>
      </c>
      <c r="Q19" s="36">
        <f>VLOOKUP($A19,[18]HISTOMAI23!$A$6:$AU$36,46,0)</f>
        <v>0</v>
      </c>
      <c r="R19" s="36">
        <f>VLOOKUP($A19,[18]HISTOMAI23!$A$6:$AU$36,26,0)</f>
        <v>0</v>
      </c>
      <c r="S19" s="36">
        <f>VLOOKUP($A19,[18]HISTOMAI23!$A$6:$BG$36,58,0)</f>
        <v>0</v>
      </c>
      <c r="T19" s="36">
        <f>VLOOKUP($A19,[18]HISTOMAI23!$A$6:$AU$36,28,0)</f>
        <v>0</v>
      </c>
      <c r="U19" s="36">
        <f>VLOOKUP($A19,[18]HISTOMAI23!$A$6:$AU$36,19,0)</f>
        <v>0</v>
      </c>
      <c r="V19" s="36">
        <f>VLOOKUP($A19,[18]HISTOMAI23!$A$6:$AU$36,20,0)</f>
        <v>0</v>
      </c>
      <c r="W19" s="36">
        <f>VLOOKUP($A19,[18]HISTOMAI23!$A$6:$AU$36,27,0)</f>
        <v>0</v>
      </c>
      <c r="X19" s="36">
        <f>VLOOKUP($A19,[18]HISTOMAI23!$A$6:$BM$36,33,0)</f>
        <v>0</v>
      </c>
      <c r="Y19" s="36">
        <f>VLOOKUP($A19,[18]HISTOMAI23!$A$6:$BM$36,65,0)</f>
        <v>0</v>
      </c>
      <c r="Z19" s="36"/>
      <c r="AA19" s="36">
        <f>VLOOKUP($A19,[18]HISTOMAI23!$A$6:$AU$36,43,0)</f>
        <v>0</v>
      </c>
      <c r="AB19" s="36">
        <f>VLOOKUP($A19,[18]HISTOMAI23!$A$6:$AU$36,44,0)</f>
        <v>0</v>
      </c>
      <c r="AC19" s="36">
        <f>VLOOKUP($A19,[18]HISTOMAI23!$A$6:$AU$36,47,0)</f>
        <v>0</v>
      </c>
      <c r="AD19" s="36">
        <f>VLOOKUP(A19,[18]HISTOMAI23!$A$6:$BB$36,54,0)</f>
        <v>70000</v>
      </c>
      <c r="AE19" s="36">
        <f>VLOOKUP($A19,[18]HISTOMAI23!$A$6:$CA$36,60,0)</f>
        <v>0</v>
      </c>
      <c r="AF19" s="36">
        <f>VLOOKUP($A19,[18]HISTOMAI23!$A$6:$CA$36,61,0)</f>
        <v>0</v>
      </c>
      <c r="AG19" s="36">
        <f>VLOOKUP($A19,[18]HISTOMAI23!$A$6:$CA$36,62,0)</f>
        <v>0</v>
      </c>
      <c r="AH19" s="36">
        <f>VLOOKUP($A19,[18]HISTOMAI23!$A$6:$CA$36,63,0)</f>
        <v>0</v>
      </c>
      <c r="AI19" s="36">
        <f>VLOOKUP($A19,[18]HISTOMAI23!$A$6:$CA$36,64,0)</f>
        <v>0</v>
      </c>
      <c r="AJ19" s="36">
        <f>VLOOKUP($A19,[18]HISTOMAI23!$A$6:$CA$36,65,0)</f>
        <v>0</v>
      </c>
    </row>
    <row r="20" spans="1:38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VLOOKUP($A20,[18]HISTOMAI23!$A$6:$BA$36,48,0)</f>
        <v>0</v>
      </c>
      <c r="F20" s="5">
        <f>MVTAVRIL23!F20+MVTAVRIL23!G20-MVTMAI23!E20+K20</f>
        <v>739623.91347095394</v>
      </c>
      <c r="G20" s="6">
        <v>961.76384475201723</v>
      </c>
      <c r="H20" s="6">
        <f t="shared" si="0"/>
        <v>740585.67731570592</v>
      </c>
      <c r="I20" s="36">
        <f>VLOOKUP($A20,[18]HISTOMAI23!$A$6:$AQ$40,22,0)</f>
        <v>0</v>
      </c>
      <c r="J20" s="36">
        <f>VLOOKUP($A20,[18]HISTOMAI23!$A$6:$AU$36,45,0)</f>
        <v>15000</v>
      </c>
      <c r="K20" s="36">
        <f t="shared" si="1"/>
        <v>9000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VLOOKUP($A20,[18]HISTOMAI23!$A$6:$AU$36,7,0)</f>
        <v>0</v>
      </c>
      <c r="P20" s="36">
        <f>VLOOKUP($A20,[18]HISTOMAI23!$A$6:$AU$36,23,0)</f>
        <v>0</v>
      </c>
      <c r="Q20" s="36">
        <f>VLOOKUP($A20,[18]HISTOMAI23!$A$6:$AU$36,46,0)</f>
        <v>0</v>
      </c>
      <c r="R20" s="36">
        <f>VLOOKUP($A20,[18]HISTOMAI23!$A$6:$AU$36,26,0)</f>
        <v>0</v>
      </c>
      <c r="S20" s="36">
        <f>VLOOKUP($A20,[18]HISTOMAI23!$A$6:$BG$36,58,0)</f>
        <v>0</v>
      </c>
      <c r="T20" s="36">
        <f>VLOOKUP($A20,[18]HISTOMAI23!$A$6:$AU$36,28,0)</f>
        <v>0</v>
      </c>
      <c r="U20" s="36">
        <f>VLOOKUP($A20,[18]HISTOMAI23!$A$6:$AU$36,19,0)</f>
        <v>0</v>
      </c>
      <c r="V20" s="36">
        <f>VLOOKUP($A20,[18]HISTOMAI23!$A$6:$AU$36,20,0)</f>
        <v>0</v>
      </c>
      <c r="W20" s="36">
        <f>VLOOKUP($A20,[18]HISTOMAI23!$A$6:$AU$36,27,0)</f>
        <v>0</v>
      </c>
      <c r="X20" s="36">
        <f>VLOOKUP($A20,[18]HISTOMAI23!$A$6:$BM$36,33,0)</f>
        <v>0</v>
      </c>
      <c r="Y20" s="36">
        <f>VLOOKUP($A20,[18]HISTOMAI23!$A$6:$BM$36,65,0)</f>
        <v>0</v>
      </c>
      <c r="Z20" s="36"/>
      <c r="AA20" s="36">
        <f>VLOOKUP($A20,[18]HISTOMAI23!$A$6:$AU$36,43,0)</f>
        <v>0</v>
      </c>
      <c r="AB20" s="36">
        <f>VLOOKUP($A20,[18]HISTOMAI23!$A$6:$AU$36,44,0)</f>
        <v>0</v>
      </c>
      <c r="AC20" s="36">
        <f>VLOOKUP($A20,[18]HISTOMAI23!$A$6:$AU$36,47,0)</f>
        <v>0</v>
      </c>
      <c r="AD20" s="36">
        <f>VLOOKUP(A20,[18]HISTOMAI23!$A$6:$BB$36,54,0)</f>
        <v>0</v>
      </c>
      <c r="AE20" s="36">
        <f>VLOOKUP($A20,[18]HISTOMAI23!$A$6:$CA$36,60,0)</f>
        <v>0</v>
      </c>
      <c r="AF20" s="36">
        <f>VLOOKUP($A20,[18]HISTOMAI23!$A$6:$CA$36,61,0)</f>
        <v>0</v>
      </c>
      <c r="AG20" s="36">
        <f>VLOOKUP($A20,[18]HISTOMAI23!$A$6:$CA$36,62,0)</f>
        <v>0</v>
      </c>
      <c r="AH20" s="36">
        <f>VLOOKUP($A20,[18]HISTOMAI23!$A$6:$CA$36,63,0)</f>
        <v>0</v>
      </c>
      <c r="AI20" s="36">
        <f>VLOOKUP($A20,[18]HISTOMAI23!$A$6:$CA$36,64,0)</f>
        <v>0</v>
      </c>
      <c r="AJ20" s="36">
        <f>VLOOKUP($A20,[18]HISTOMAI23!$A$6:$CA$36,65,0)</f>
        <v>0</v>
      </c>
    </row>
    <row r="21" spans="1:38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VLOOKUP($A21,[18]HISTOMAI23!$A$6:$BA$36,48,0)</f>
        <v>0</v>
      </c>
      <c r="F21" s="5">
        <f>MVTAVRIL23!F21+MVTAVRIL23!G21-MVTMAI23!E21+K21</f>
        <v>745510.04276054236</v>
      </c>
      <c r="G21" s="6">
        <v>969.41782433969092</v>
      </c>
      <c r="H21" s="6">
        <f t="shared" si="0"/>
        <v>746479.46058488206</v>
      </c>
      <c r="I21" s="36">
        <f>VLOOKUP($A21,[18]HISTOMAI23!$A$6:$AQ$40,22,0)</f>
        <v>0</v>
      </c>
      <c r="J21" s="36">
        <f>VLOOKUP($A21,[18]HISTOMAI23!$A$6:$AU$36,45,0)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VLOOKUP($A21,[18]HISTOMAI23!$A$6:$AU$36,7,0)</f>
        <v>0</v>
      </c>
      <c r="P21" s="36">
        <f>VLOOKUP($A21,[18]HISTOMAI23!$A$6:$AU$36,23,0)</f>
        <v>0</v>
      </c>
      <c r="Q21" s="36">
        <f>VLOOKUP($A21,[18]HISTOMAI23!$A$6:$AU$36,46,0)</f>
        <v>0</v>
      </c>
      <c r="R21" s="36">
        <f>VLOOKUP($A21,[18]HISTOMAI23!$A$6:$AU$36,26,0)</f>
        <v>0</v>
      </c>
      <c r="S21" s="36">
        <f>VLOOKUP($A21,[18]HISTOMAI23!$A$6:$BG$36,58,0)</f>
        <v>0</v>
      </c>
      <c r="T21" s="36">
        <f>VLOOKUP($A21,[18]HISTOMAI23!$A$6:$AU$36,28,0)</f>
        <v>0</v>
      </c>
      <c r="U21" s="36">
        <f>VLOOKUP($A21,[18]HISTOMAI23!$A$6:$AU$36,19,0)</f>
        <v>0</v>
      </c>
      <c r="V21" s="36">
        <f>VLOOKUP($A21,[18]HISTOMAI23!$A$6:$AU$36,20,0)</f>
        <v>0</v>
      </c>
      <c r="W21" s="36">
        <f>VLOOKUP($A21,[18]HISTOMAI23!$A$6:$AU$36,27,0)</f>
        <v>0</v>
      </c>
      <c r="X21" s="36">
        <f>VLOOKUP($A21,[18]HISTOMAI23!$A$6:$BM$36,33,0)</f>
        <v>0</v>
      </c>
      <c r="Y21" s="36">
        <f>VLOOKUP($A21,[18]HISTOMAI23!$A$6:$BM$36,65,0)</f>
        <v>0</v>
      </c>
      <c r="Z21" s="36"/>
      <c r="AA21" s="36">
        <f>VLOOKUP($A21,[18]HISTOMAI23!$A$6:$AU$36,43,0)</f>
        <v>0</v>
      </c>
      <c r="AB21" s="36">
        <f>VLOOKUP($A21,[18]HISTOMAI23!$A$6:$AU$36,44,0)</f>
        <v>0</v>
      </c>
      <c r="AC21" s="36">
        <f>VLOOKUP($A21,[18]HISTOMAI23!$A$6:$AU$36,47,0)</f>
        <v>0</v>
      </c>
      <c r="AD21" s="36">
        <f>VLOOKUP(A21,[18]HISTOMAI23!$A$6:$BB$36,54,0)</f>
        <v>0</v>
      </c>
      <c r="AE21" s="36">
        <f>VLOOKUP($A21,[18]HISTOMAI23!$A$6:$CA$36,60,0)</f>
        <v>0</v>
      </c>
      <c r="AF21" s="36">
        <f>VLOOKUP($A21,[18]HISTOMAI23!$A$6:$CA$36,61,0)</f>
        <v>0</v>
      </c>
      <c r="AG21" s="36">
        <f>VLOOKUP($A21,[18]HISTOMAI23!$A$6:$CA$36,62,0)</f>
        <v>0</v>
      </c>
      <c r="AH21" s="36">
        <f>VLOOKUP($A21,[18]HISTOMAI23!$A$6:$CA$36,63,0)</f>
        <v>0</v>
      </c>
      <c r="AI21" s="36">
        <f>VLOOKUP($A21,[18]HISTOMAI23!$A$6:$CA$36,64,0)</f>
        <v>0</v>
      </c>
      <c r="AJ21" s="36">
        <f>VLOOKUP($A21,[18]HISTOMAI23!$A$6:$CA$36,65,0)</f>
        <v>0</v>
      </c>
    </row>
    <row r="22" spans="1:38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VLOOKUP($A22,[18]HISTOMAI23!$A$6:$BA$36,48,0)</f>
        <v>0</v>
      </c>
      <c r="F22" s="5">
        <f>MVTAVRIL23!F22+MVTAVRIL23!G22-MVTMAI23!E22+K22</f>
        <v>841798.36941242102</v>
      </c>
      <c r="G22" s="6">
        <v>1094.625554320809</v>
      </c>
      <c r="H22" s="6">
        <f t="shared" si="0"/>
        <v>842892.99496674177</v>
      </c>
      <c r="I22" s="36">
        <f>VLOOKUP($A22,[18]HISTOMAI23!$A$6:$AQ$40,22,0)</f>
        <v>0</v>
      </c>
      <c r="J22" s="36">
        <f>VLOOKUP($A22,[18]HISTOMAI23!$A$6:$AU$36,45,0)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VLOOKUP($A22,[18]HISTOMAI23!$A$6:$AU$36,7,0)</f>
        <v>0</v>
      </c>
      <c r="P22" s="36">
        <f>VLOOKUP($A22,[18]HISTOMAI23!$A$6:$AU$36,23,0)</f>
        <v>0</v>
      </c>
      <c r="Q22" s="36">
        <f>VLOOKUP($A22,[18]HISTOMAI23!$A$6:$AU$36,46,0)</f>
        <v>0</v>
      </c>
      <c r="R22" s="36">
        <f>VLOOKUP($A22,[18]HISTOMAI23!$A$6:$AU$36,26,0)</f>
        <v>0</v>
      </c>
      <c r="S22" s="36">
        <f>VLOOKUP($A22,[18]HISTOMAI23!$A$6:$BG$36,58,0)</f>
        <v>0</v>
      </c>
      <c r="T22" s="36">
        <f>VLOOKUP($A22,[18]HISTOMAI23!$A$6:$AU$36,28,0)</f>
        <v>0</v>
      </c>
      <c r="U22" s="36">
        <f>VLOOKUP($A22,[18]HISTOMAI23!$A$6:$AU$36,19,0)</f>
        <v>0</v>
      </c>
      <c r="V22" s="36">
        <f>VLOOKUP($A22,[18]HISTOMAI23!$A$6:$AU$36,20,0)</f>
        <v>0</v>
      </c>
      <c r="W22" s="36">
        <f>VLOOKUP($A22,[18]HISTOMAI23!$A$6:$AU$36,27,0)</f>
        <v>0</v>
      </c>
      <c r="X22" s="36">
        <f>VLOOKUP($A22,[18]HISTOMAI23!$A$6:$BM$36,33,0)</f>
        <v>0</v>
      </c>
      <c r="Y22" s="36">
        <f>VLOOKUP($A22,[18]HISTOMAI23!$A$6:$BM$36,65,0)</f>
        <v>0</v>
      </c>
      <c r="Z22" s="36"/>
      <c r="AA22" s="36">
        <f>VLOOKUP($A22,[18]HISTOMAI23!$A$6:$AU$36,43,0)</f>
        <v>0</v>
      </c>
      <c r="AB22" s="36">
        <f>VLOOKUP($A22,[18]HISTOMAI23!$A$6:$AU$36,44,0)</f>
        <v>0</v>
      </c>
      <c r="AC22" s="36">
        <f>VLOOKUP($A22,[18]HISTOMAI23!$A$6:$AU$36,47,0)</f>
        <v>0</v>
      </c>
      <c r="AD22" s="36">
        <f>VLOOKUP(A22,[18]HISTOMAI23!$A$6:$BB$36,54,0)</f>
        <v>0</v>
      </c>
      <c r="AE22" s="36">
        <f>VLOOKUP($A22,[18]HISTOMAI23!$A$6:$CA$36,60,0)</f>
        <v>0</v>
      </c>
      <c r="AF22" s="36">
        <f>VLOOKUP($A22,[18]HISTOMAI23!$A$6:$CA$36,61,0)</f>
        <v>0</v>
      </c>
      <c r="AG22" s="36">
        <f>VLOOKUP($A22,[18]HISTOMAI23!$A$6:$CA$36,62,0)</f>
        <v>0</v>
      </c>
      <c r="AH22" s="36">
        <f>VLOOKUP($A22,[18]HISTOMAI23!$A$6:$CA$36,63,0)</f>
        <v>0</v>
      </c>
      <c r="AI22" s="36">
        <f>VLOOKUP($A22,[18]HISTOMAI23!$A$6:$CA$36,64,0)</f>
        <v>0</v>
      </c>
      <c r="AJ22" s="36">
        <f>VLOOKUP($A22,[18]HISTOMAI23!$A$6:$CA$36,65,0)</f>
        <v>0</v>
      </c>
    </row>
    <row r="23" spans="1:38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VLOOKUP($A23,[18]HISTOMAI23!$A$6:$BA$36,48,0)</f>
        <v>0</v>
      </c>
      <c r="F23" s="5">
        <f>MVTAVRIL23!F23+MVTAVRIL23!G23-MVTMAI23!E23+K23</f>
        <v>1045151.8843564512</v>
      </c>
      <c r="G23" s="6">
        <v>1359.0546172733386</v>
      </c>
      <c r="H23" s="6">
        <f t="shared" si="0"/>
        <v>1046510.9389737246</v>
      </c>
      <c r="I23" s="36">
        <f>VLOOKUP($A23,[18]HISTOMAI23!$A$6:$AQ$40,22,0)</f>
        <v>0</v>
      </c>
      <c r="J23" s="36">
        <f>VLOOKUP($A23,[18]HISTOMAI23!$A$6:$AU$36,45,0)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VLOOKUP($A23,[18]HISTOMAI23!$A$6:$AU$36,7,0)</f>
        <v>0</v>
      </c>
      <c r="P23" s="36">
        <f>VLOOKUP($A23,[18]HISTOMAI23!$A$6:$AU$36,23,0)</f>
        <v>0</v>
      </c>
      <c r="Q23" s="36">
        <f>VLOOKUP($A23,[18]HISTOMAI23!$A$6:$AU$36,46,0)</f>
        <v>0</v>
      </c>
      <c r="R23" s="36">
        <f>VLOOKUP($A23,[18]HISTOMAI23!$A$6:$AU$36,26,0)</f>
        <v>0</v>
      </c>
      <c r="S23" s="36">
        <f>VLOOKUP($A23,[18]HISTOMAI23!$A$6:$BG$36,58,0)</f>
        <v>0</v>
      </c>
      <c r="T23" s="36">
        <f>VLOOKUP($A23,[18]HISTOMAI23!$A$6:$AU$36,28,0)</f>
        <v>0</v>
      </c>
      <c r="U23" s="36">
        <f>VLOOKUP($A23,[18]HISTOMAI23!$A$6:$AU$36,19,0)</f>
        <v>0</v>
      </c>
      <c r="V23" s="36">
        <f>VLOOKUP($A23,[18]HISTOMAI23!$A$6:$AU$36,20,0)</f>
        <v>0</v>
      </c>
      <c r="W23" s="36">
        <f>VLOOKUP($A23,[18]HISTOMAI23!$A$6:$AU$36,27,0)</f>
        <v>0</v>
      </c>
      <c r="X23" s="36">
        <f>VLOOKUP($A23,[18]HISTOMAI23!$A$6:$BM$36,33,0)</f>
        <v>0</v>
      </c>
      <c r="Y23" s="36">
        <f>VLOOKUP($A23,[18]HISTOMAI23!$A$6:$BM$36,65,0)</f>
        <v>0</v>
      </c>
      <c r="Z23" s="36"/>
      <c r="AA23" s="36">
        <f>VLOOKUP($A23,[18]HISTOMAI23!$A$6:$AU$36,43,0)</f>
        <v>0</v>
      </c>
      <c r="AB23" s="36">
        <f>VLOOKUP($A23,[18]HISTOMAI23!$A$6:$AU$36,44,0)</f>
        <v>0</v>
      </c>
      <c r="AC23" s="36">
        <f>VLOOKUP($A23,[18]HISTOMAI23!$A$6:$AU$36,47,0)</f>
        <v>0</v>
      </c>
      <c r="AD23" s="36">
        <f>VLOOKUP(A23,[18]HISTOMAI23!$A$6:$BB$36,54,0)</f>
        <v>0</v>
      </c>
      <c r="AE23" s="36">
        <f>VLOOKUP($A23,[18]HISTOMAI23!$A$6:$CA$36,60,0)</f>
        <v>0</v>
      </c>
      <c r="AF23" s="36">
        <f>VLOOKUP($A23,[18]HISTOMAI23!$A$6:$CA$36,61,0)</f>
        <v>0</v>
      </c>
      <c r="AG23" s="36">
        <f>VLOOKUP($A23,[18]HISTOMAI23!$A$6:$CA$36,62,0)</f>
        <v>0</v>
      </c>
      <c r="AH23" s="36">
        <f>VLOOKUP($A23,[18]HISTOMAI23!$A$6:$CA$36,63,0)</f>
        <v>0</v>
      </c>
      <c r="AI23" s="36">
        <f>VLOOKUP($A23,[18]HISTOMAI23!$A$6:$CA$36,64,0)</f>
        <v>0</v>
      </c>
      <c r="AJ23" s="36">
        <f>VLOOKUP($A23,[18]HISTOMAI23!$A$6:$CA$36,65,0)</f>
        <v>0</v>
      </c>
    </row>
    <row r="24" spans="1:38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VLOOKUP($A24,[18]HISTOMAI23!$A$6:$BA$36,48,0)</f>
        <v>0</v>
      </c>
      <c r="F24" s="5">
        <f>MVTAVRIL23!F24+MVTAVRIL23!G24-MVTMAI23!E24+K24</f>
        <v>730105.93917268852</v>
      </c>
      <c r="G24" s="6">
        <v>949.38722551536773</v>
      </c>
      <c r="H24" s="6">
        <f t="shared" si="0"/>
        <v>731055.32639820385</v>
      </c>
      <c r="I24" s="36">
        <f>VLOOKUP($A24,[18]HISTOMAI23!$A$6:$AQ$40,22,0)</f>
        <v>0</v>
      </c>
      <c r="J24" s="36">
        <f>VLOOKUP($A24,[18]HISTOMAI23!$A$6:$AU$36,45,0)</f>
        <v>10000</v>
      </c>
      <c r="K24" s="36">
        <f t="shared" si="1"/>
        <v>4000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VLOOKUP($A24,[18]HISTOMAI23!$A$6:$AU$36,7,0)</f>
        <v>0</v>
      </c>
      <c r="P24" s="36">
        <f>VLOOKUP($A24,[18]HISTOMAI23!$A$6:$AU$36,23,0)</f>
        <v>0</v>
      </c>
      <c r="Q24" s="36">
        <f>VLOOKUP($A24,[18]HISTOMAI23!$A$6:$AU$36,46,0)</f>
        <v>0</v>
      </c>
      <c r="R24" s="36">
        <f>VLOOKUP($A24,[18]HISTOMAI23!$A$6:$AU$36,26,0)</f>
        <v>0</v>
      </c>
      <c r="S24" s="36">
        <f>VLOOKUP($A24,[18]HISTOMAI23!$A$6:$BG$36,58,0)</f>
        <v>0</v>
      </c>
      <c r="T24" s="36">
        <f>VLOOKUP($A24,[18]HISTOMAI23!$A$6:$AU$36,28,0)</f>
        <v>0</v>
      </c>
      <c r="U24" s="36">
        <f>VLOOKUP($A24,[18]HISTOMAI23!$A$6:$AU$36,19,0)</f>
        <v>0</v>
      </c>
      <c r="V24" s="36">
        <f>VLOOKUP($A24,[18]HISTOMAI23!$A$6:$AU$36,20,0)</f>
        <v>0</v>
      </c>
      <c r="W24" s="36">
        <f>VLOOKUP($A24,[18]HISTOMAI23!$A$6:$AU$36,27,0)</f>
        <v>0</v>
      </c>
      <c r="X24" s="36">
        <f>VLOOKUP($A24,[18]HISTOMAI23!$A$6:$BM$36,33,0)</f>
        <v>0</v>
      </c>
      <c r="Y24" s="36">
        <f>VLOOKUP($A24,[18]HISTOMAI23!$A$6:$BM$36,65,0)</f>
        <v>0</v>
      </c>
      <c r="Z24" s="36"/>
      <c r="AA24" s="36">
        <f>VLOOKUP($A24,[18]HISTOMAI23!$A$6:$AU$36,43,0)</f>
        <v>0</v>
      </c>
      <c r="AB24" s="36">
        <f>VLOOKUP($A24,[18]HISTOMAI23!$A$6:$AU$36,44,0)</f>
        <v>0</v>
      </c>
      <c r="AC24" s="36">
        <f>VLOOKUP($A24,[18]HISTOMAI23!$A$6:$AU$36,47,0)</f>
        <v>0</v>
      </c>
      <c r="AD24" s="36">
        <f>VLOOKUP(A24,[18]HISTOMAI23!$A$6:$BB$36,54,0)</f>
        <v>70000</v>
      </c>
      <c r="AE24" s="36">
        <f>VLOOKUP($A24,[18]HISTOMAI23!$A$6:$CA$36,60,0)</f>
        <v>0</v>
      </c>
      <c r="AF24" s="36">
        <f>VLOOKUP($A24,[18]HISTOMAI23!$A$6:$CA$36,61,0)</f>
        <v>0</v>
      </c>
      <c r="AG24" s="36">
        <f>VLOOKUP($A24,[18]HISTOMAI23!$A$6:$CA$36,62,0)</f>
        <v>0</v>
      </c>
      <c r="AH24" s="36">
        <f>VLOOKUP($A24,[18]HISTOMAI23!$A$6:$CA$36,63,0)</f>
        <v>0</v>
      </c>
      <c r="AI24" s="36">
        <f>VLOOKUP($A24,[18]HISTOMAI23!$A$6:$CA$36,64,0)</f>
        <v>0</v>
      </c>
      <c r="AJ24" s="36">
        <f>VLOOKUP($A24,[18]HISTOMAI23!$A$6:$CA$36,65,0)</f>
        <v>0</v>
      </c>
    </row>
    <row r="25" spans="1:38" s="14" customFormat="1" x14ac:dyDescent="0.25">
      <c r="A25" s="12" t="s">
        <v>41</v>
      </c>
      <c r="B25" s="12" t="str">
        <f>VLOOKUP(A25,[15]LISTADHERENT!A$5:H$60,3,0)</f>
        <v>NGUIEMEGNI MATHIEU BLAISE</v>
      </c>
      <c r="C25" s="13"/>
      <c r="D25" s="13"/>
      <c r="E25" s="13">
        <f>VLOOKUP($A25,[18]HISTOMAI23!$A$6:$BA$36,48,0)</f>
        <v>0</v>
      </c>
      <c r="F25" s="5">
        <f>MVTAVRIL23!F25+MVTAVRIL23!G25-MVTMAI23!E25+K25</f>
        <v>704876.33015741315</v>
      </c>
      <c r="G25" s="6">
        <v>916.58011189156741</v>
      </c>
      <c r="H25" s="6">
        <f t="shared" si="0"/>
        <v>705792.91026930476</v>
      </c>
      <c r="I25" s="13">
        <f>VLOOKUP($A25,[18]HISTOMAI23!$A$6:$AQ$40,22,0)</f>
        <v>0</v>
      </c>
      <c r="J25" s="13">
        <f>VLOOKUP($A25,[18]HISTOMAI23!$A$6:$AU$36,45,0)+2000</f>
        <v>35000</v>
      </c>
      <c r="K25" s="13">
        <f>IF(J25=0,0,J25-(L25+M25+N25))</f>
        <v>27000</v>
      </c>
      <c r="L25" s="13">
        <f>IF(J25=0,0,1000)+2000</f>
        <v>3000</v>
      </c>
      <c r="M25" s="13">
        <f t="shared" si="2"/>
        <v>1000</v>
      </c>
      <c r="N25" s="13">
        <f t="shared" si="4"/>
        <v>4000</v>
      </c>
      <c r="O25" s="13">
        <f>VLOOKUP($A25,[18]HISTOMAI23!$A$6:$AU$36,7,0)</f>
        <v>0</v>
      </c>
      <c r="P25" s="13">
        <f>VLOOKUP($A25,[18]HISTOMAI23!$A$6:$AU$36,23,0)</f>
        <v>0</v>
      </c>
      <c r="Q25" s="13">
        <f>VLOOKUP($A25,[18]HISTOMAI23!$A$6:$AU$36,46,0)</f>
        <v>0</v>
      </c>
      <c r="R25" s="13">
        <f>VLOOKUP($A25,[18]HISTOMAI23!$A$6:$AU$36,26,0)</f>
        <v>0</v>
      </c>
      <c r="S25" s="13">
        <f>VLOOKUP($A25,[18]HISTOMAI23!$A$6:$BG$36,58,0)</f>
        <v>0</v>
      </c>
      <c r="T25" s="13">
        <f>VLOOKUP($A25,[18]HISTOMAI23!$A$6:$AU$36,28,0)</f>
        <v>0</v>
      </c>
      <c r="U25" s="13">
        <f>VLOOKUP($A25,[18]HISTOMAI23!$A$6:$AU$36,19,0)</f>
        <v>0</v>
      </c>
      <c r="V25" s="13">
        <f>VLOOKUP($A25,[18]HISTOMAI23!$A$6:$AU$36,20,0)</f>
        <v>0</v>
      </c>
      <c r="W25" s="13">
        <f>VLOOKUP($A25,[18]HISTOMAI23!$A$6:$AU$36,27,0)</f>
        <v>0</v>
      </c>
      <c r="X25" s="13">
        <f>VLOOKUP($A25,[18]HISTOMAI23!$A$6:$BM$36,33,0)</f>
        <v>0</v>
      </c>
      <c r="Y25" s="13">
        <f>VLOOKUP($A25,[18]HISTOMAI23!$A$6:$BM$36,65,0)</f>
        <v>0</v>
      </c>
      <c r="Z25" s="13"/>
      <c r="AA25" s="13">
        <f>VLOOKUP($A25,[18]HISTOMAI23!$A$6:$AU$36,43,0)</f>
        <v>0</v>
      </c>
      <c r="AB25" s="13">
        <f>VLOOKUP($A25,[18]HISTOMAI23!$A$6:$AU$36,44,0)</f>
        <v>0</v>
      </c>
      <c r="AC25" s="13">
        <f>VLOOKUP($A25,[18]HISTOMAI23!$A$6:$AU$36,47,0)</f>
        <v>0</v>
      </c>
      <c r="AD25" s="13">
        <f>VLOOKUP(A25,[18]HISTOMAI23!$A$6:$BB$36,54,0)</f>
        <v>0</v>
      </c>
      <c r="AE25" s="13">
        <f>VLOOKUP($A25,[18]HISTOMAI23!$A$6:$CA$36,60,0)</f>
        <v>0</v>
      </c>
      <c r="AF25" s="13">
        <f>VLOOKUP($A25,[18]HISTOMAI23!$A$6:$CA$36,61,0)</f>
        <v>0</v>
      </c>
      <c r="AG25" s="13">
        <f>VLOOKUP($A25,[18]HISTOMAI23!$A$6:$CA$36,62,0)</f>
        <v>0</v>
      </c>
      <c r="AH25" s="13">
        <f>VLOOKUP($A25,[18]HISTOMAI23!$A$6:$CA$36,63,0)</f>
        <v>0</v>
      </c>
      <c r="AI25" s="13">
        <f>VLOOKUP($A25,[18]HISTOMAI23!$A$6:$CA$36,64,0)</f>
        <v>0</v>
      </c>
      <c r="AJ25" s="13">
        <f>VLOOKUP($A25,[18]HISTOMAI23!$A$6:$CA$36,65,0)</f>
        <v>0</v>
      </c>
      <c r="AL25" s="11"/>
    </row>
    <row r="26" spans="1:38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VLOOKUP($A26,[18]HISTOMAI23!$A$6:$BA$36,48,0)</f>
        <v>0</v>
      </c>
      <c r="F26" s="5">
        <f>MVTAVRIL23!F26+MVTAVRIL23!G26-MVTMAI23!E26+K26</f>
        <v>690938.50675134314</v>
      </c>
      <c r="G26" s="6">
        <v>898.45617838651185</v>
      </c>
      <c r="H26" s="6">
        <f t="shared" si="0"/>
        <v>691836.96292972961</v>
      </c>
      <c r="I26" s="36">
        <f>VLOOKUP($A26,[18]HISTOMAI23!$A$6:$AQ$40,22,0)</f>
        <v>0</v>
      </c>
      <c r="J26" s="36">
        <f>VLOOKUP($A26,[18]HISTOMAI23!$A$6:$AU$36,45,0)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VLOOKUP($A26,[18]HISTOMAI23!$A$6:$AU$36,7,0)</f>
        <v>3000</v>
      </c>
      <c r="P26" s="36">
        <f>VLOOKUP($A26,[18]HISTOMAI23!$A$6:$AU$36,23,0)</f>
        <v>0</v>
      </c>
      <c r="Q26" s="36">
        <f>VLOOKUP($A26,[18]HISTOMAI23!$A$6:$AU$36,46,0)</f>
        <v>0</v>
      </c>
      <c r="R26" s="36">
        <f>VLOOKUP($A26,[18]HISTOMAI23!$A$6:$AU$36,26,0)</f>
        <v>0</v>
      </c>
      <c r="S26" s="36">
        <f>VLOOKUP($A26,[18]HISTOMAI23!$A$6:$BG$36,58,0)</f>
        <v>30000</v>
      </c>
      <c r="T26" s="36">
        <f>VLOOKUP($A26,[18]HISTOMAI23!$A$6:$AU$36,28,0)</f>
        <v>0</v>
      </c>
      <c r="U26" s="36">
        <f>VLOOKUP($A26,[18]HISTOMAI23!$A$6:$AU$36,19,0)</f>
        <v>0</v>
      </c>
      <c r="V26" s="36">
        <f>VLOOKUP($A26,[18]HISTOMAI23!$A$6:$AU$36,20,0)</f>
        <v>0</v>
      </c>
      <c r="W26" s="36">
        <f>VLOOKUP($A26,[18]HISTOMAI23!$A$6:$AU$36,27,0)</f>
        <v>0</v>
      </c>
      <c r="X26" s="36">
        <f>VLOOKUP($A26,[18]HISTOMAI23!$A$6:$BM$36,33,0)</f>
        <v>0</v>
      </c>
      <c r="Y26" s="36">
        <f>VLOOKUP($A26,[18]HISTOMAI23!$A$6:$BM$36,65,0)</f>
        <v>0</v>
      </c>
      <c r="Z26" s="36"/>
      <c r="AA26" s="36">
        <f>VLOOKUP($A26,[18]HISTOMAI23!$A$6:$AU$36,43,0)</f>
        <v>0</v>
      </c>
      <c r="AB26" s="36">
        <f>VLOOKUP($A26,[18]HISTOMAI23!$A$6:$AU$36,44,0)</f>
        <v>0</v>
      </c>
      <c r="AC26" s="36">
        <f>VLOOKUP($A26,[18]HISTOMAI23!$A$6:$AU$36,47,0)</f>
        <v>0</v>
      </c>
      <c r="AD26" s="36">
        <f>VLOOKUP(A26,[18]HISTOMAI23!$A$6:$BB$36,54,0)</f>
        <v>0</v>
      </c>
      <c r="AE26" s="36">
        <f>VLOOKUP($A26,[18]HISTOMAI23!$A$6:$CA$36,60,0)</f>
        <v>0</v>
      </c>
      <c r="AF26" s="36">
        <f>VLOOKUP($A26,[18]HISTOMAI23!$A$6:$CA$36,61,0)</f>
        <v>0</v>
      </c>
      <c r="AG26" s="36">
        <f>VLOOKUP($A26,[18]HISTOMAI23!$A$6:$CA$36,62,0)</f>
        <v>0</v>
      </c>
      <c r="AH26" s="36">
        <f>VLOOKUP($A26,[18]HISTOMAI23!$A$6:$CA$36,63,0)</f>
        <v>0</v>
      </c>
      <c r="AI26" s="36">
        <f>VLOOKUP($A26,[18]HISTOMAI23!$A$6:$CA$36,64,0)</f>
        <v>0</v>
      </c>
      <c r="AJ26" s="36">
        <f>VLOOKUP($A26,[18]HISTOMAI23!$A$6:$CA$36,65,0)</f>
        <v>0</v>
      </c>
    </row>
    <row r="27" spans="1:38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VLOOKUP($A27,[18]HISTOMAI23!$A$6:$BA$36,48,0)</f>
        <v>0</v>
      </c>
      <c r="F27" s="5">
        <f>MVTAVRIL23!F27+MVTAVRIL23!G27-MVTMAI23!E27+K27</f>
        <v>465000</v>
      </c>
      <c r="G27" s="6">
        <v>0</v>
      </c>
      <c r="H27" s="6">
        <f t="shared" si="0"/>
        <v>465000</v>
      </c>
      <c r="I27" s="36">
        <f>VLOOKUP($A27,[18]HISTOMAI23!$A$6:$AQ$40,22,0)</f>
        <v>0</v>
      </c>
      <c r="J27" s="36">
        <f>VLOOKUP($A27,[18]HISTOMAI23!$A$6:$AU$36,45,0)</f>
        <v>415000</v>
      </c>
      <c r="K27" s="36">
        <f t="shared" si="1"/>
        <v>409000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VLOOKUP($A27,[18]HISTOMAI23!$A$6:$AU$36,7,0)</f>
        <v>0</v>
      </c>
      <c r="P27" s="36">
        <f>VLOOKUP($A27,[18]HISTOMAI23!$A$6:$AU$36,23,0)</f>
        <v>0</v>
      </c>
      <c r="Q27" s="36">
        <f>VLOOKUP($A27,[18]HISTOMAI23!$A$6:$AU$36,46,0)</f>
        <v>120000</v>
      </c>
      <c r="R27" s="36">
        <f>VLOOKUP($A27,[18]HISTOMAI23!$A$6:$AU$36,26,0)</f>
        <v>0</v>
      </c>
      <c r="S27" s="36">
        <f>VLOOKUP($A27,[18]HISTOMAI23!$A$6:$BG$36,58,0)</f>
        <v>0</v>
      </c>
      <c r="T27" s="36">
        <f>VLOOKUP($A27,[18]HISTOMAI23!$A$6:$AU$36,28,0)</f>
        <v>0</v>
      </c>
      <c r="U27" s="36">
        <f>VLOOKUP($A27,[18]HISTOMAI23!$A$6:$AU$36,19,0)</f>
        <v>0</v>
      </c>
      <c r="V27" s="36">
        <f>VLOOKUP($A27,[18]HISTOMAI23!$A$6:$AU$36,20,0)</f>
        <v>0</v>
      </c>
      <c r="W27" s="36">
        <f>VLOOKUP($A27,[18]HISTOMAI23!$A$6:$AU$36,27,0)</f>
        <v>0</v>
      </c>
      <c r="X27" s="36">
        <f>VLOOKUP($A27,[18]HISTOMAI23!$A$6:$BM$36,33,0)</f>
        <v>0</v>
      </c>
      <c r="Y27" s="36">
        <f>VLOOKUP($A27,[18]HISTOMAI23!$A$6:$BM$36,65,0)</f>
        <v>0</v>
      </c>
      <c r="Z27" s="36"/>
      <c r="AA27" s="36">
        <f>VLOOKUP($A27,[18]HISTOMAI23!$A$6:$AU$36,43,0)</f>
        <v>0</v>
      </c>
      <c r="AB27" s="36">
        <f>VLOOKUP($A27,[18]HISTOMAI23!$A$6:$AU$36,44,0)</f>
        <v>0</v>
      </c>
      <c r="AC27" s="36">
        <f>VLOOKUP($A27,[18]HISTOMAI23!$A$6:$AU$36,47,0)</f>
        <v>0</v>
      </c>
      <c r="AD27" s="36">
        <f>VLOOKUP(A27,[18]HISTOMAI23!$A$6:$BB$36,54,0)</f>
        <v>0</v>
      </c>
      <c r="AE27" s="36">
        <f>VLOOKUP($A27,[18]HISTOMAI23!$A$6:$CA$36,60,0)</f>
        <v>0</v>
      </c>
      <c r="AF27" s="36">
        <f>VLOOKUP($A27,[18]HISTOMAI23!$A$6:$CA$36,61,0)</f>
        <v>0</v>
      </c>
      <c r="AG27" s="36">
        <f>VLOOKUP($A27,[18]HISTOMAI23!$A$6:$CA$36,62,0)</f>
        <v>0</v>
      </c>
      <c r="AH27" s="36">
        <f>VLOOKUP($A27,[18]HISTOMAI23!$A$6:$CA$36,63,0)</f>
        <v>0</v>
      </c>
      <c r="AI27" s="36">
        <f>VLOOKUP($A27,[18]HISTOMAI23!$A$6:$CA$36,64,0)</f>
        <v>0</v>
      </c>
      <c r="AJ27" s="36">
        <f>VLOOKUP($A27,[18]HISTOMAI23!$A$6:$CA$36,65,0)</f>
        <v>0</v>
      </c>
    </row>
    <row r="28" spans="1:38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VLOOKUP($A28,[18]HISTOMAI23!$A$6:$BA$36,48,0)</f>
        <v>0</v>
      </c>
      <c r="F28" s="5">
        <f>MVTAVRIL23!F28+MVTAVRIL23!G28-MVTMAI23!E28+K28</f>
        <v>713379.58778863458</v>
      </c>
      <c r="G28" s="6">
        <v>927.6372526943054</v>
      </c>
      <c r="H28" s="6">
        <f t="shared" si="0"/>
        <v>714307.22504132893</v>
      </c>
      <c r="I28" s="36">
        <f>VLOOKUP($A28,[18]HISTOMAI23!$A$6:$AQ$40,22,0)</f>
        <v>0</v>
      </c>
      <c r="J28" s="36">
        <f>VLOOKUP($A28,[18]HISTOMAI23!$A$6:$AU$36,45,0)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VLOOKUP($A28,[18]HISTOMAI23!$A$6:$AU$36,7,0)</f>
        <v>0</v>
      </c>
      <c r="P28" s="36">
        <f>VLOOKUP($A28,[18]HISTOMAI23!$A$6:$AU$36,23,0)</f>
        <v>0</v>
      </c>
      <c r="Q28" s="36">
        <f>VLOOKUP($A28,[18]HISTOMAI23!$A$6:$AU$36,46,0)</f>
        <v>0</v>
      </c>
      <c r="R28" s="36">
        <f>VLOOKUP($A28,[18]HISTOMAI23!$A$6:$AU$36,26,0)</f>
        <v>0</v>
      </c>
      <c r="S28" s="36">
        <f>VLOOKUP($A28,[18]HISTOMAI23!$A$6:$BG$36,58,0)</f>
        <v>0</v>
      </c>
      <c r="T28" s="36">
        <f>VLOOKUP($A28,[18]HISTOMAI23!$A$6:$AU$36,28,0)</f>
        <v>0</v>
      </c>
      <c r="U28" s="36">
        <f>VLOOKUP($A28,[18]HISTOMAI23!$A$6:$AU$36,19,0)</f>
        <v>0</v>
      </c>
      <c r="V28" s="36">
        <f>VLOOKUP($A28,[18]HISTOMAI23!$A$6:$AU$36,20,0)</f>
        <v>0</v>
      </c>
      <c r="W28" s="36">
        <f>VLOOKUP($A28,[18]HISTOMAI23!$A$6:$AU$36,27,0)</f>
        <v>0</v>
      </c>
      <c r="X28" s="36">
        <f>VLOOKUP($A28,[18]HISTOMAI23!$A$6:$BM$36,33,0)</f>
        <v>0</v>
      </c>
      <c r="Y28" s="36">
        <f>VLOOKUP($A28,[18]HISTOMAI23!$A$6:$BM$36,65,0)</f>
        <v>0</v>
      </c>
      <c r="Z28" s="36"/>
      <c r="AA28" s="36">
        <f>VLOOKUP($A28,[18]HISTOMAI23!$A$6:$AU$36,43,0)</f>
        <v>0</v>
      </c>
      <c r="AB28" s="36">
        <f>VLOOKUP($A28,[18]HISTOMAI23!$A$6:$AU$36,44,0)</f>
        <v>0</v>
      </c>
      <c r="AC28" s="36">
        <f>VLOOKUP($A28,[18]HISTOMAI23!$A$6:$AU$36,47,0)</f>
        <v>0</v>
      </c>
      <c r="AD28" s="36">
        <f>VLOOKUP(A28,[18]HISTOMAI23!$A$6:$BB$36,54,0)</f>
        <v>0</v>
      </c>
      <c r="AE28" s="36">
        <f>VLOOKUP($A28,[18]HISTOMAI23!$A$6:$CA$36,60,0)</f>
        <v>0</v>
      </c>
      <c r="AF28" s="36">
        <f>VLOOKUP($A28,[18]HISTOMAI23!$A$6:$CA$36,61,0)</f>
        <v>0</v>
      </c>
      <c r="AG28" s="36">
        <f>VLOOKUP($A28,[18]HISTOMAI23!$A$6:$CA$36,62,0)</f>
        <v>0</v>
      </c>
      <c r="AH28" s="36">
        <f>VLOOKUP($A28,[18]HISTOMAI23!$A$6:$CA$36,63,0)</f>
        <v>0</v>
      </c>
      <c r="AI28" s="36">
        <f>VLOOKUP($A28,[18]HISTOMAI23!$A$6:$CA$36,64,0)</f>
        <v>0</v>
      </c>
      <c r="AJ28" s="36">
        <f>VLOOKUP($A28,[18]HISTOMAI23!$A$6:$CA$36,65,0)</f>
        <v>0</v>
      </c>
    </row>
    <row r="29" spans="1:38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VLOOKUP($A29,[18]HISTOMAI23!$A$6:$BA$36,48,0)</f>
        <v>0</v>
      </c>
      <c r="F29" s="5">
        <f>MVTAVRIL23!F29+MVTAVRIL23!G29-MVTMAI23!E29+K29</f>
        <v>45000</v>
      </c>
      <c r="G29" s="6">
        <v>0</v>
      </c>
      <c r="H29" s="6">
        <f t="shared" si="0"/>
        <v>45000</v>
      </c>
      <c r="I29" s="36">
        <f>VLOOKUP($A29,[18]HISTOMAI23!$A$6:$AQ$40,22,0)</f>
        <v>0</v>
      </c>
      <c r="J29" s="36">
        <f>VLOOKUP($A29,[18]HISTOMAI23!$A$6:$AU$36,45,0)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VLOOKUP($A29,[18]HISTOMAI23!$A$6:$AU$36,7,0)</f>
        <v>0</v>
      </c>
      <c r="P29" s="36">
        <f>VLOOKUP($A29,[18]HISTOMAI23!$A$6:$AU$36,23,0)</f>
        <v>0</v>
      </c>
      <c r="Q29" s="36">
        <f>VLOOKUP($A29,[18]HISTOMAI23!$A$6:$AU$36,46,0)</f>
        <v>0</v>
      </c>
      <c r="R29" s="36">
        <f>VLOOKUP($A29,[18]HISTOMAI23!$A$6:$AU$36,26,0)</f>
        <v>0</v>
      </c>
      <c r="S29" s="36">
        <f>VLOOKUP($A29,[18]HISTOMAI23!$A$6:$BG$36,58,0)</f>
        <v>0</v>
      </c>
      <c r="T29" s="36">
        <f>VLOOKUP($A29,[18]HISTOMAI23!$A$6:$AU$36,28,0)</f>
        <v>0</v>
      </c>
      <c r="U29" s="36">
        <f>VLOOKUP($A29,[18]HISTOMAI23!$A$6:$AU$36,19,0)</f>
        <v>0</v>
      </c>
      <c r="V29" s="36">
        <f>VLOOKUP($A29,[18]HISTOMAI23!$A$6:$AU$36,20,0)</f>
        <v>0</v>
      </c>
      <c r="W29" s="36">
        <f>VLOOKUP($A29,[18]HISTOMAI23!$A$6:$AU$36,27,0)</f>
        <v>0</v>
      </c>
      <c r="X29" s="36">
        <f>VLOOKUP($A29,[18]HISTOMAI23!$A$6:$BM$36,33,0)</f>
        <v>0</v>
      </c>
      <c r="Y29" s="36">
        <f>VLOOKUP($A29,[18]HISTOMAI23!$A$6:$BM$36,65,0)</f>
        <v>0</v>
      </c>
      <c r="Z29" s="36"/>
      <c r="AA29" s="36">
        <f>VLOOKUP($A29,[18]HISTOMAI23!$A$6:$AU$36,43,0)</f>
        <v>0</v>
      </c>
      <c r="AB29" s="36">
        <f>VLOOKUP($A29,[18]HISTOMAI23!$A$6:$AU$36,44,0)</f>
        <v>0</v>
      </c>
      <c r="AC29" s="36">
        <f>VLOOKUP($A29,[18]HISTOMAI23!$A$6:$AU$36,47,0)</f>
        <v>0</v>
      </c>
      <c r="AD29" s="36">
        <f>VLOOKUP(A29,[18]HISTOMAI23!$A$6:$BB$36,54,0)</f>
        <v>0</v>
      </c>
      <c r="AE29" s="36">
        <f>VLOOKUP($A29,[18]HISTOMAI23!$A$6:$CA$36,60,0)</f>
        <v>0</v>
      </c>
      <c r="AF29" s="36">
        <f>VLOOKUP($A29,[18]HISTOMAI23!$A$6:$CA$36,61,0)</f>
        <v>0</v>
      </c>
      <c r="AG29" s="36">
        <f>VLOOKUP($A29,[18]HISTOMAI23!$A$6:$CA$36,62,0)</f>
        <v>0</v>
      </c>
      <c r="AH29" s="36">
        <f>VLOOKUP($A29,[18]HISTOMAI23!$A$6:$CA$36,63,0)</f>
        <v>0</v>
      </c>
      <c r="AI29" s="36">
        <f>VLOOKUP($A29,[18]HISTOMAI23!$A$6:$CA$36,64,0)</f>
        <v>0</v>
      </c>
      <c r="AJ29" s="36">
        <f>VLOOKUP($A29,[18]HISTOMAI23!$A$6:$CA$36,65,0)</f>
        <v>0</v>
      </c>
    </row>
    <row r="30" spans="1:38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VLOOKUP($A30,[18]HISTOMAI23!$A$6:$BA$36,48,0)</f>
        <v>0</v>
      </c>
      <c r="F30" s="5">
        <f>MVTAVRIL23!F30+MVTAVRIL23!G30-MVTMAI23!E30+K30</f>
        <v>906116.02982950059</v>
      </c>
      <c r="G30" s="6">
        <v>1178.2604926205888</v>
      </c>
      <c r="H30" s="6">
        <f t="shared" si="0"/>
        <v>907294.29032212123</v>
      </c>
      <c r="I30" s="36">
        <f>VLOOKUP($A30,[18]HISTOMAI23!$A$6:$AQ$40,22,0)</f>
        <v>0</v>
      </c>
      <c r="J30" s="36">
        <f>VLOOKUP($A30,[18]HISTOMAI23!$A$6:$AU$36,45,0)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VLOOKUP($A30,[18]HISTOMAI23!$A$6:$AU$36,7,0)</f>
        <v>0</v>
      </c>
      <c r="P30" s="36">
        <f>VLOOKUP($A30,[18]HISTOMAI23!$A$6:$AU$36,23,0)</f>
        <v>0</v>
      </c>
      <c r="Q30" s="36">
        <f>VLOOKUP($A30,[18]HISTOMAI23!$A$6:$AU$36,46,0)</f>
        <v>0</v>
      </c>
      <c r="R30" s="36">
        <f>VLOOKUP($A30,[18]HISTOMAI23!$A$6:$AU$36,26,0)</f>
        <v>0</v>
      </c>
      <c r="S30" s="36">
        <f>VLOOKUP($A30,[18]HISTOMAI23!$A$6:$BG$36,58,0)</f>
        <v>0</v>
      </c>
      <c r="T30" s="36">
        <f>VLOOKUP($A30,[18]HISTOMAI23!$A$6:$AU$36,28,0)</f>
        <v>0</v>
      </c>
      <c r="U30" s="36">
        <f>VLOOKUP($A30,[18]HISTOMAI23!$A$6:$AU$36,19,0)</f>
        <v>0</v>
      </c>
      <c r="V30" s="36">
        <f>VLOOKUP($A30,[18]HISTOMAI23!$A$6:$AU$36,20,0)</f>
        <v>0</v>
      </c>
      <c r="W30" s="36">
        <f>VLOOKUP($A30,[18]HISTOMAI23!$A$6:$AU$36,27,0)</f>
        <v>0</v>
      </c>
      <c r="X30" s="36">
        <f>VLOOKUP($A30,[18]HISTOMAI23!$A$6:$BM$36,33,0)</f>
        <v>0</v>
      </c>
      <c r="Y30" s="36">
        <f>VLOOKUP($A30,[18]HISTOMAI23!$A$6:$BM$36,65,0)</f>
        <v>0</v>
      </c>
      <c r="Z30" s="36"/>
      <c r="AA30" s="36">
        <f>VLOOKUP($A30,[18]HISTOMAI23!$A$6:$AU$36,43,0)</f>
        <v>0</v>
      </c>
      <c r="AB30" s="36">
        <f>VLOOKUP($A30,[18]HISTOMAI23!$A$6:$AU$36,44,0)</f>
        <v>0</v>
      </c>
      <c r="AC30" s="36">
        <f>VLOOKUP($A30,[18]HISTOMAI23!$A$6:$AU$36,47,0)</f>
        <v>0</v>
      </c>
      <c r="AD30" s="36">
        <f>VLOOKUP(A30,[18]HISTOMAI23!$A$6:$BB$36,54,0)</f>
        <v>0</v>
      </c>
      <c r="AE30" s="36">
        <f>VLOOKUP($A30,[18]HISTOMAI23!$A$6:$CA$36,60,0)</f>
        <v>0</v>
      </c>
      <c r="AF30" s="36">
        <f>VLOOKUP($A30,[18]HISTOMAI23!$A$6:$CA$36,61,0)</f>
        <v>0</v>
      </c>
      <c r="AG30" s="36">
        <f>VLOOKUP($A30,[18]HISTOMAI23!$A$6:$CA$36,62,0)</f>
        <v>0</v>
      </c>
      <c r="AH30" s="36">
        <f>VLOOKUP($A30,[18]HISTOMAI23!$A$6:$CA$36,63,0)</f>
        <v>0</v>
      </c>
      <c r="AI30" s="36">
        <f>VLOOKUP($A30,[18]HISTOMAI23!$A$6:$CA$36,64,0)</f>
        <v>0</v>
      </c>
      <c r="AJ30" s="36">
        <f>VLOOKUP($A30,[18]HISTOMAI23!$A$6:$CA$36,65,0)</f>
        <v>0</v>
      </c>
    </row>
    <row r="31" spans="1:38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VLOOKUP($A31,[18]HISTOMAI23!$A$6:$BA$36,48,0)</f>
        <v>0</v>
      </c>
      <c r="F31" s="5">
        <f>MVTAVRIL23!F31+MVTAVRIL23!G31-MVTMAI23!E31+K31</f>
        <v>912870.82320496126</v>
      </c>
      <c r="G31" s="6">
        <v>1187.0440323750045</v>
      </c>
      <c r="H31" s="6">
        <f t="shared" si="0"/>
        <v>914057.86723733624</v>
      </c>
      <c r="I31" s="36">
        <f>VLOOKUP($A31,[18]HISTOMAI23!$A$6:$AQ$40,22,0)</f>
        <v>0</v>
      </c>
      <c r="J31" s="36">
        <f>VLOOKUP($A31,[18]HISTOMAI23!$A$6:$AU$36,45,0)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VLOOKUP($A31,[18]HISTOMAI23!$A$6:$AU$36,7,0)</f>
        <v>0</v>
      </c>
      <c r="P31" s="36">
        <f>VLOOKUP($A31,[18]HISTOMAI23!$A$6:$AU$36,23,0)</f>
        <v>0</v>
      </c>
      <c r="Q31" s="36">
        <f>VLOOKUP($A31,[18]HISTOMAI23!$A$6:$AU$36,46,0)</f>
        <v>0</v>
      </c>
      <c r="R31" s="36">
        <f>VLOOKUP($A31,[18]HISTOMAI23!$A$6:$AU$36,26,0)</f>
        <v>0</v>
      </c>
      <c r="S31" s="36">
        <f>VLOOKUP($A31,[18]HISTOMAI23!$A$6:$BG$36,58,0)</f>
        <v>0</v>
      </c>
      <c r="T31" s="36">
        <f>VLOOKUP($A31,[18]HISTOMAI23!$A$6:$AU$36,28,0)</f>
        <v>0</v>
      </c>
      <c r="U31" s="36">
        <f>VLOOKUP($A31,[18]HISTOMAI23!$A$6:$AU$36,19,0)</f>
        <v>0</v>
      </c>
      <c r="V31" s="36">
        <f>VLOOKUP($A31,[18]HISTOMAI23!$A$6:$AU$36,20,0)</f>
        <v>0</v>
      </c>
      <c r="W31" s="36">
        <f>VLOOKUP($A31,[18]HISTOMAI23!$A$6:$AU$36,27,0)</f>
        <v>0</v>
      </c>
      <c r="X31" s="36">
        <f>VLOOKUP($A31,[18]HISTOMAI23!$A$6:$BM$36,33,0)</f>
        <v>0</v>
      </c>
      <c r="Y31" s="36">
        <f>VLOOKUP($A31,[18]HISTOMAI23!$A$6:$BM$36,65,0)</f>
        <v>0</v>
      </c>
      <c r="Z31" s="36"/>
      <c r="AA31" s="36">
        <f>VLOOKUP($A31,[18]HISTOMAI23!$A$6:$AU$36,43,0)</f>
        <v>0</v>
      </c>
      <c r="AB31" s="36">
        <f>VLOOKUP($A31,[18]HISTOMAI23!$A$6:$AU$36,44,0)</f>
        <v>0</v>
      </c>
      <c r="AC31" s="36">
        <f>VLOOKUP($A31,[18]HISTOMAI23!$A$6:$AU$36,47,0)</f>
        <v>0</v>
      </c>
      <c r="AD31" s="36">
        <f>VLOOKUP(A31,[18]HISTOMAI23!$A$6:$BB$36,54,0)</f>
        <v>0</v>
      </c>
      <c r="AE31" s="36">
        <f>VLOOKUP($A31,[18]HISTOMAI23!$A$6:$CA$36,60,0)</f>
        <v>0</v>
      </c>
      <c r="AF31" s="36">
        <f>VLOOKUP($A31,[18]HISTOMAI23!$A$6:$CA$36,61,0)</f>
        <v>0</v>
      </c>
      <c r="AG31" s="36">
        <f>VLOOKUP($A31,[18]HISTOMAI23!$A$6:$CA$36,62,0)</f>
        <v>0</v>
      </c>
      <c r="AH31" s="36">
        <f>VLOOKUP($A31,[18]HISTOMAI23!$A$6:$CA$36,63,0)</f>
        <v>0</v>
      </c>
      <c r="AI31" s="36">
        <f>VLOOKUP($A31,[18]HISTOMAI23!$A$6:$CA$36,64,0)</f>
        <v>0</v>
      </c>
      <c r="AJ31" s="36">
        <f>VLOOKUP($A31,[18]HISTOMAI23!$A$6:$CA$36,65,0)</f>
        <v>0</v>
      </c>
    </row>
    <row r="32" spans="1:38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VLOOKUP($A32,[18]HISTOMAI23!$A$6:$BA$36,48,0)</f>
        <v>0</v>
      </c>
      <c r="F32" s="5">
        <f>MVTAVRIL23!F32+MVTAVRIL23!G32-MVTMAI23!E32+K32</f>
        <v>694843.30507261155</v>
      </c>
      <c r="G32" s="6">
        <v>903.53375062024384</v>
      </c>
      <c r="H32" s="6">
        <f t="shared" si="0"/>
        <v>695746.83882323175</v>
      </c>
      <c r="I32" s="36">
        <f>VLOOKUP($A32,[18]HISTOMAI23!$A$6:$AQ$40,22,0)</f>
        <v>0</v>
      </c>
      <c r="J32" s="36">
        <f>VLOOKUP($A32,[18]HISTOMAI23!$A$6:$AU$36,45,0)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VLOOKUP($A32,[18]HISTOMAI23!$A$6:$AU$36,7,0)</f>
        <v>0</v>
      </c>
      <c r="P32" s="36">
        <f>VLOOKUP($A32,[18]HISTOMAI23!$A$6:$AU$36,23,0)</f>
        <v>0</v>
      </c>
      <c r="Q32" s="36">
        <f>VLOOKUP($A32,[18]HISTOMAI23!$A$6:$AU$36,46,0)</f>
        <v>0</v>
      </c>
      <c r="R32" s="36">
        <f>VLOOKUP($A32,[18]HISTOMAI23!$A$6:$AU$36,26,0)</f>
        <v>0</v>
      </c>
      <c r="S32" s="36">
        <f>VLOOKUP($A32,[18]HISTOMAI23!$A$6:$BG$36,58,0)</f>
        <v>0</v>
      </c>
      <c r="T32" s="36">
        <f>VLOOKUP($A32,[18]HISTOMAI23!$A$6:$AU$36,28,0)</f>
        <v>0</v>
      </c>
      <c r="U32" s="36">
        <f>VLOOKUP($A32,[18]HISTOMAI23!$A$6:$AU$36,19,0)</f>
        <v>0</v>
      </c>
      <c r="V32" s="36">
        <f>VLOOKUP($A32,[18]HISTOMAI23!$A$6:$AU$36,20,0)</f>
        <v>0</v>
      </c>
      <c r="W32" s="36">
        <f>VLOOKUP($A32,[18]HISTOMAI23!$A$6:$AU$36,27,0)</f>
        <v>0</v>
      </c>
      <c r="X32" s="36">
        <f>VLOOKUP($A32,[18]HISTOMAI23!$A$6:$BM$36,33,0)</f>
        <v>0</v>
      </c>
      <c r="Y32" s="36">
        <f>VLOOKUP($A32,[18]HISTOMAI23!$A$6:$BM$36,65,0)</f>
        <v>0</v>
      </c>
      <c r="Z32" s="36"/>
      <c r="AA32" s="36">
        <f>VLOOKUP($A32,[18]HISTOMAI23!$A$6:$AU$36,43,0)</f>
        <v>0</v>
      </c>
      <c r="AB32" s="36">
        <f>VLOOKUP($A32,[18]HISTOMAI23!$A$6:$AU$36,44,0)</f>
        <v>0</v>
      </c>
      <c r="AC32" s="36">
        <f>VLOOKUP($A32,[18]HISTOMAI23!$A$6:$AU$36,47,0)</f>
        <v>0</v>
      </c>
      <c r="AD32" s="36">
        <f>VLOOKUP(A32,[18]HISTOMAI23!$A$6:$BB$36,54,0)</f>
        <v>0</v>
      </c>
      <c r="AE32" s="36">
        <f>VLOOKUP($A32,[18]HISTOMAI23!$A$6:$CA$36,60,0)</f>
        <v>0</v>
      </c>
      <c r="AF32" s="36">
        <f>VLOOKUP($A32,[18]HISTOMAI23!$A$6:$CA$36,61,0)</f>
        <v>0</v>
      </c>
      <c r="AG32" s="36">
        <f>VLOOKUP($A32,[18]HISTOMAI23!$A$6:$CA$36,62,0)</f>
        <v>0</v>
      </c>
      <c r="AH32" s="36">
        <f>VLOOKUP($A32,[18]HISTOMAI23!$A$6:$CA$36,63,0)</f>
        <v>0</v>
      </c>
      <c r="AI32" s="36">
        <f>VLOOKUP($A32,[18]HISTOMAI23!$A$6:$CA$36,64,0)</f>
        <v>0</v>
      </c>
      <c r="AJ32" s="36">
        <f>VLOOKUP($A32,[18]HISTOMAI23!$A$6:$CA$36,65,0)</f>
        <v>0</v>
      </c>
    </row>
    <row r="33" spans="1:38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VLOOKUP($A33,[18]HISTOMAI23!$A$6:$BA$36,48,0)</f>
        <v>0</v>
      </c>
      <c r="F33" s="5">
        <f>MVTAVRIL23!F33+MVTAVRIL23!G33-MVTMAI23!E33+K33</f>
        <v>42000</v>
      </c>
      <c r="G33" s="6">
        <v>0</v>
      </c>
      <c r="H33" s="6">
        <f t="shared" si="0"/>
        <v>42000</v>
      </c>
      <c r="I33" s="36">
        <f>VLOOKUP($A33,[18]HISTOMAI23!$A$6:$AQ$40,22,0)</f>
        <v>0</v>
      </c>
      <c r="J33" s="36">
        <f>VLOOKUP($A33,[18]HISTOMAI23!$A$6:$AU$36,45,0)</f>
        <v>12000</v>
      </c>
      <c r="K33" s="36">
        <f t="shared" si="1"/>
        <v>6000</v>
      </c>
      <c r="L33" s="36">
        <f t="shared" si="3"/>
        <v>1000</v>
      </c>
      <c r="M33" s="36">
        <f t="shared" si="2"/>
        <v>1000</v>
      </c>
      <c r="N33" s="36">
        <f t="shared" si="4"/>
        <v>4000</v>
      </c>
      <c r="O33" s="36">
        <f>VLOOKUP($A33,[18]HISTOMAI23!$A$6:$AU$36,7,0)</f>
        <v>3000</v>
      </c>
      <c r="P33" s="36">
        <f>VLOOKUP($A33,[18]HISTOMAI23!$A$6:$AU$36,23,0)</f>
        <v>0</v>
      </c>
      <c r="Q33" s="36">
        <f>VLOOKUP($A33,[18]HISTOMAI23!$A$6:$AU$36,46,0)</f>
        <v>0</v>
      </c>
      <c r="R33" s="36">
        <f>VLOOKUP($A33,[18]HISTOMAI23!$A$6:$AU$36,26,0)</f>
        <v>0</v>
      </c>
      <c r="S33" s="36">
        <f>VLOOKUP($A33,[18]HISTOMAI23!$A$6:$BG$36,58,0)</f>
        <v>0</v>
      </c>
      <c r="T33" s="36">
        <f>VLOOKUP($A33,[18]HISTOMAI23!$A$6:$AU$36,28,0)</f>
        <v>0</v>
      </c>
      <c r="U33" s="36">
        <f>VLOOKUP($A33,[18]HISTOMAI23!$A$6:$AU$36,19,0)</f>
        <v>0</v>
      </c>
      <c r="V33" s="36">
        <f>VLOOKUP($A33,[18]HISTOMAI23!$A$6:$AU$36,20,0)</f>
        <v>0</v>
      </c>
      <c r="W33" s="36">
        <f>VLOOKUP($A33,[18]HISTOMAI23!$A$6:$AU$36,27,0)</f>
        <v>0</v>
      </c>
      <c r="X33" s="36">
        <f>VLOOKUP($A33,[18]HISTOMAI23!$A$6:$BM$36,33,0)</f>
        <v>0</v>
      </c>
      <c r="Y33" s="36">
        <f>VLOOKUP($A33,[18]HISTOMAI23!$A$6:$BM$36,65,0)</f>
        <v>0</v>
      </c>
      <c r="Z33" s="36"/>
      <c r="AA33" s="36">
        <f>VLOOKUP($A33,[18]HISTOMAI23!$A$6:$AU$36,43,0)</f>
        <v>0</v>
      </c>
      <c r="AB33" s="36">
        <f>VLOOKUP($A33,[18]HISTOMAI23!$A$6:$AU$36,44,0)</f>
        <v>0</v>
      </c>
      <c r="AC33" s="36">
        <f>VLOOKUP($A33,[18]HISTOMAI23!$A$6:$AU$36,47,0)</f>
        <v>0</v>
      </c>
      <c r="AD33" s="36">
        <f>VLOOKUP(A33,[18]HISTOMAI23!$A$6:$BB$36,54,0)</f>
        <v>0</v>
      </c>
      <c r="AE33" s="36">
        <f>VLOOKUP($A33,[18]HISTOMAI23!$A$6:$CA$36,60,0)</f>
        <v>0</v>
      </c>
      <c r="AF33" s="36">
        <f>VLOOKUP($A33,[18]HISTOMAI23!$A$6:$CA$36,61,0)</f>
        <v>0</v>
      </c>
      <c r="AG33" s="36">
        <f>VLOOKUP($A33,[18]HISTOMAI23!$A$6:$CA$36,62,0)</f>
        <v>0</v>
      </c>
      <c r="AH33" s="36">
        <f>VLOOKUP($A33,[18]HISTOMAI23!$A$6:$CA$36,63,0)</f>
        <v>0</v>
      </c>
      <c r="AI33" s="36">
        <f>VLOOKUP($A33,[18]HISTOMAI23!$A$6:$CA$36,64,0)</f>
        <v>0</v>
      </c>
      <c r="AJ33" s="36">
        <f>VLOOKUP($A33,[18]HISTOMAI23!$A$6:$CA$36,65,0)</f>
        <v>0</v>
      </c>
    </row>
    <row r="34" spans="1:38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VLOOKUP($A34,[18]HISTOMAI23!$A$6:$BA$36,48,0)</f>
        <v>0</v>
      </c>
      <c r="F34" s="5">
        <f>MVTAVRIL23!F34+MVTAVRIL23!G34-MVTMAI23!E34+K34</f>
        <v>197000</v>
      </c>
      <c r="G34" s="6">
        <v>0</v>
      </c>
      <c r="H34" s="6">
        <f t="shared" si="0"/>
        <v>197000</v>
      </c>
      <c r="I34" s="36">
        <f>VLOOKUP($A34,[18]HISTOMAI23!$A$6:$AQ$40,22,0)</f>
        <v>0</v>
      </c>
      <c r="J34" s="36">
        <f>VLOOKUP($A34,[18]HISTOMAI23!$A$6:$AU$36,45,0)</f>
        <v>75000</v>
      </c>
      <c r="K34" s="36">
        <f t="shared" si="1"/>
        <v>69000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VLOOKUP($A34,[18]HISTOMAI23!$A$6:$AU$36,7,0)</f>
        <v>0</v>
      </c>
      <c r="P34" s="36">
        <f>VLOOKUP($A34,[18]HISTOMAI23!$A$6:$AU$36,23,0)</f>
        <v>0</v>
      </c>
      <c r="Q34" s="36">
        <f>VLOOKUP($A34,[18]HISTOMAI23!$A$6:$AU$36,46,0)</f>
        <v>0</v>
      </c>
      <c r="R34" s="36">
        <f>VLOOKUP($A34,[18]HISTOMAI23!$A$6:$AU$36,26,0)</f>
        <v>0</v>
      </c>
      <c r="S34" s="36">
        <f>VLOOKUP($A34,[18]HISTOMAI23!$A$6:$BG$36,58,0)</f>
        <v>0</v>
      </c>
      <c r="T34" s="36">
        <f>VLOOKUP($A34,[18]HISTOMAI23!$A$6:$AU$36,28,0)</f>
        <v>0</v>
      </c>
      <c r="U34" s="36">
        <f>VLOOKUP($A34,[18]HISTOMAI23!$A$6:$AU$36,19,0)</f>
        <v>0</v>
      </c>
      <c r="V34" s="36">
        <f>VLOOKUP($A34,[18]HISTOMAI23!$A$6:$AU$36,20,0)</f>
        <v>0</v>
      </c>
      <c r="W34" s="36">
        <f>VLOOKUP($A34,[18]HISTOMAI23!$A$6:$AU$36,27,0)</f>
        <v>0</v>
      </c>
      <c r="X34" s="36">
        <f>VLOOKUP($A34,[18]HISTOMAI23!$A$6:$BM$36,33,0)</f>
        <v>0</v>
      </c>
      <c r="Y34" s="36">
        <f>VLOOKUP($A34,[18]HISTOMAI23!$A$6:$BM$36,65,0)</f>
        <v>0</v>
      </c>
      <c r="Z34" s="36"/>
      <c r="AA34" s="36">
        <f>VLOOKUP($A34,[18]HISTOMAI23!$A$6:$AU$36,43,0)</f>
        <v>0</v>
      </c>
      <c r="AB34" s="36">
        <f>VLOOKUP($A34,[18]HISTOMAI23!$A$6:$AU$36,44,0)</f>
        <v>0</v>
      </c>
      <c r="AC34" s="36">
        <f>VLOOKUP($A34,[18]HISTOMAI23!$A$6:$AU$36,47,0)</f>
        <v>0</v>
      </c>
      <c r="AD34" s="36">
        <f>VLOOKUP(A34,[18]HISTOMAI23!$A$6:$BB$36,54,0)</f>
        <v>0</v>
      </c>
      <c r="AE34" s="36">
        <f>VLOOKUP($A34,[18]HISTOMAI23!$A$6:$CA$36,60,0)</f>
        <v>0</v>
      </c>
      <c r="AF34" s="36">
        <f>VLOOKUP($A34,[18]HISTOMAI23!$A$6:$CA$36,61,0)</f>
        <v>0</v>
      </c>
      <c r="AG34" s="36">
        <f>VLOOKUP($A34,[18]HISTOMAI23!$A$6:$CA$36,62,0)</f>
        <v>0</v>
      </c>
      <c r="AH34" s="36">
        <f>VLOOKUP($A34,[18]HISTOMAI23!$A$6:$CA$36,63,0)</f>
        <v>0</v>
      </c>
      <c r="AI34" s="36">
        <f>VLOOKUP($A34,[18]HISTOMAI23!$A$6:$CA$36,64,0)</f>
        <v>0</v>
      </c>
      <c r="AJ34" s="36">
        <f>VLOOKUP($A34,[18]HISTOMAI23!$A$6:$CA$36,65,0)</f>
        <v>0</v>
      </c>
    </row>
    <row r="35" spans="1:38" s="14" customFormat="1" x14ac:dyDescent="0.25">
      <c r="A35" s="12" t="s">
        <v>55</v>
      </c>
      <c r="B35" s="12" t="str">
        <f>VLOOKUP(A35,[15]LISTADHERENT!A$5:H$60,3,0)</f>
        <v>YEPMOU JEAN JACQUES</v>
      </c>
      <c r="C35" s="13"/>
      <c r="D35" s="13"/>
      <c r="E35" s="13">
        <f>VLOOKUP($A35,[18]HISTOMAI23!$A$6:$BA$36,48,0)</f>
        <v>0</v>
      </c>
      <c r="F35" s="5">
        <f>MVTAVRIL23!F35+MVTAVRIL23!G35-MVTMAI23!E35+K35</f>
        <v>1666462.5980900265</v>
      </c>
      <c r="G35" s="6">
        <v>2166.9708703076453</v>
      </c>
      <c r="H35" s="6">
        <f t="shared" si="0"/>
        <v>1668629.5689603342</v>
      </c>
      <c r="I35" s="13">
        <f>VLOOKUP($A35,[18]HISTOMAI23!$A$6:$AQ$40,22,0)</f>
        <v>0</v>
      </c>
      <c r="J35" s="13">
        <f>VLOOKUP($A35,[18]HISTOMAI23!$A$6:$AU$36,45,0)+6000</f>
        <v>29000</v>
      </c>
      <c r="K35" s="13">
        <f t="shared" si="1"/>
        <v>17000</v>
      </c>
      <c r="L35" s="13">
        <f>IF(J35=0,0,1000)+1000</f>
        <v>2000</v>
      </c>
      <c r="M35" s="13">
        <f>IF(J35=0,0,1000)+1000</f>
        <v>2000</v>
      </c>
      <c r="N35" s="13">
        <f>IF(J35=0,0,4000)+4000</f>
        <v>8000</v>
      </c>
      <c r="O35" s="13">
        <f>VLOOKUP($A35,[18]HISTOMAI23!$A$6:$AU$36,7,0)</f>
        <v>3000</v>
      </c>
      <c r="P35" s="13">
        <f>VLOOKUP($A35,[18]HISTOMAI23!$A$6:$AU$36,23,0)</f>
        <v>0</v>
      </c>
      <c r="Q35" s="13">
        <f>VLOOKUP($A35,[18]HISTOMAI23!$A$6:$AU$36,46,0)</f>
        <v>0</v>
      </c>
      <c r="R35" s="13">
        <f>VLOOKUP($A35,[18]HISTOMAI23!$A$6:$AU$36,26,0)</f>
        <v>0</v>
      </c>
      <c r="S35" s="13">
        <f>VLOOKUP($A35,[18]HISTOMAI23!$A$6:$BG$36,58,0)</f>
        <v>0</v>
      </c>
      <c r="T35" s="13">
        <f>VLOOKUP($A35,[18]HISTOMAI23!$A$6:$AU$36,28,0)</f>
        <v>0</v>
      </c>
      <c r="U35" s="13">
        <f>VLOOKUP($A35,[18]HISTOMAI23!$A$6:$AU$36,19,0)</f>
        <v>0</v>
      </c>
      <c r="V35" s="13">
        <f>VLOOKUP($A35,[18]HISTOMAI23!$A$6:$AU$36,20,0)</f>
        <v>0</v>
      </c>
      <c r="W35" s="13">
        <f>VLOOKUP($A35,[18]HISTOMAI23!$A$6:$AU$36,27,0)</f>
        <v>0</v>
      </c>
      <c r="X35" s="13">
        <f>VLOOKUP($A35,[18]HISTOMAI23!$A$6:$BM$36,33,0)</f>
        <v>0</v>
      </c>
      <c r="Y35" s="13">
        <f>VLOOKUP($A35,[18]HISTOMAI23!$A$6:$BM$36,65,0)</f>
        <v>0</v>
      </c>
      <c r="Z35" s="13"/>
      <c r="AA35" s="13">
        <f>VLOOKUP($A35,[18]HISTOMAI23!$A$6:$AU$36,43,0)</f>
        <v>0</v>
      </c>
      <c r="AB35" s="13">
        <f>VLOOKUP($A35,[18]HISTOMAI23!$A$6:$AU$36,44,0)</f>
        <v>0</v>
      </c>
      <c r="AC35" s="13">
        <f>VLOOKUP($A35,[18]HISTOMAI23!$A$6:$AU$36,47,0)</f>
        <v>0</v>
      </c>
      <c r="AD35" s="13">
        <f>VLOOKUP(A35,[18]HISTOMAI23!$A$6:$BB$36,54,0)</f>
        <v>0</v>
      </c>
      <c r="AE35" s="13">
        <f>VLOOKUP($A35,[18]HISTOMAI23!$A$6:$CA$36,60,0)</f>
        <v>0</v>
      </c>
      <c r="AF35" s="13">
        <f>VLOOKUP($A35,[18]HISTOMAI23!$A$6:$CA$36,61,0)</f>
        <v>0</v>
      </c>
      <c r="AG35" s="13">
        <f>VLOOKUP($A35,[18]HISTOMAI23!$A$6:$CA$36,62,0)</f>
        <v>0</v>
      </c>
      <c r="AH35" s="13">
        <f>VLOOKUP($A35,[18]HISTOMAI23!$A$6:$CA$36,63,0)</f>
        <v>0</v>
      </c>
      <c r="AI35" s="13">
        <f>VLOOKUP($A35,[18]HISTOMAI23!$A$6:$CA$36,64,0)</f>
        <v>0</v>
      </c>
      <c r="AJ35" s="13">
        <f>VLOOKUP($A35,[18]HISTOMAI23!$A$6:$CA$36,65,0)</f>
        <v>0</v>
      </c>
      <c r="AL35" s="11"/>
    </row>
    <row r="36" spans="1:38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VLOOKUP($A36,[18]HISTOMAI23!$A$6:$BA$36,48,0)</f>
        <v>0</v>
      </c>
      <c r="F36" s="5">
        <f>MVTAVRIL23!F36+MVTAVRIL23!G36-MVTMAI23!E36+K36</f>
        <v>1827358.9031726709</v>
      </c>
      <c r="G36" s="6">
        <v>2376.1910512188924</v>
      </c>
      <c r="H36" s="6">
        <f t="shared" si="0"/>
        <v>1829735.0942238898</v>
      </c>
      <c r="I36" s="36">
        <f>VLOOKUP($A36,[18]HISTOMAI23!$A$6:$AQ$40,22,0)</f>
        <v>0</v>
      </c>
      <c r="J36" s="36">
        <f>VLOOKUP($A36,[18]HISTOMAI23!$A$6:$AU$36,45,0)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VLOOKUP($A36,[18]HISTOMAI23!$A$6:$AU$36,7,0)</f>
        <v>0</v>
      </c>
      <c r="P36" s="36">
        <f>VLOOKUP($A36,[18]HISTOMAI23!$A$6:$AU$36,23,0)</f>
        <v>0</v>
      </c>
      <c r="Q36" s="36">
        <f>VLOOKUP($A36,[18]HISTOMAI23!$A$6:$AU$36,46,0)</f>
        <v>0</v>
      </c>
      <c r="R36" s="36">
        <f>VLOOKUP($A36,[18]HISTOMAI23!$A$6:$AU$36,26,0)</f>
        <v>0</v>
      </c>
      <c r="S36" s="36">
        <f>VLOOKUP($A36,[18]HISTOMAI23!$A$6:$BG$36,58,0)</f>
        <v>0</v>
      </c>
      <c r="T36" s="36">
        <f>VLOOKUP($A36,[18]HISTOMAI23!$A$6:$AU$36,28,0)</f>
        <v>0</v>
      </c>
      <c r="U36" s="36">
        <f>VLOOKUP($A36,[18]HISTOMAI23!$A$6:$AU$36,19,0)</f>
        <v>0</v>
      </c>
      <c r="V36" s="36">
        <f>VLOOKUP($A36,[18]HISTOMAI23!$A$6:$AU$36,20,0)</f>
        <v>0</v>
      </c>
      <c r="W36" s="36">
        <f>VLOOKUP($A36,[18]HISTOMAI23!$A$6:$AU$36,27,0)</f>
        <v>0</v>
      </c>
      <c r="X36" s="36">
        <f>VLOOKUP($A36,[18]HISTOMAI23!$A$6:$BM$36,33,0)</f>
        <v>0</v>
      </c>
      <c r="Y36" s="36">
        <f>VLOOKUP($A36,[18]HISTOMAI23!$A$6:$BM$36,65,0)</f>
        <v>0</v>
      </c>
      <c r="Z36" s="36"/>
      <c r="AA36" s="36">
        <f>VLOOKUP($A36,[18]HISTOMAI23!$A$6:$AU$36,43,0)</f>
        <v>0</v>
      </c>
      <c r="AB36" s="36">
        <f>VLOOKUP($A36,[18]HISTOMAI23!$A$6:$AU$36,44,0)</f>
        <v>0</v>
      </c>
      <c r="AC36" s="36">
        <f>VLOOKUP($A36,[18]HISTOMAI23!$A$6:$AU$36,47,0)</f>
        <v>0</v>
      </c>
      <c r="AD36" s="36">
        <f>VLOOKUP(A36,[18]HISTOMAI23!$A$6:$BB$36,54,0)</f>
        <v>0</v>
      </c>
      <c r="AE36" s="36">
        <f>VLOOKUP($A36,[18]HISTOMAI23!$A$6:$CA$36,60,0)</f>
        <v>0</v>
      </c>
      <c r="AF36" s="36">
        <f>VLOOKUP($A36,[18]HISTOMAI23!$A$6:$CA$36,61,0)</f>
        <v>0</v>
      </c>
      <c r="AG36" s="36">
        <f>VLOOKUP($A36,[18]HISTOMAI23!$A$6:$CA$36,62,0)</f>
        <v>0</v>
      </c>
      <c r="AH36" s="36">
        <f>VLOOKUP($A36,[18]HISTOMAI23!$A$6:$CA$36,63,0)</f>
        <v>0</v>
      </c>
      <c r="AI36" s="36">
        <f>VLOOKUP($A36,[18]HISTOMAI23!$A$6:$CA$36,64,0)</f>
        <v>0</v>
      </c>
      <c r="AJ36" s="36">
        <f>VLOOKUP($A36,[18]HISTOMAI23!$A$6:$CA$36,65,0)</f>
        <v>0</v>
      </c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8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8" x14ac:dyDescent="0.25">
      <c r="A39" s="1"/>
      <c r="B39" s="1"/>
      <c r="C39" s="1"/>
      <c r="D39" s="1"/>
      <c r="E39" s="1"/>
      <c r="F39" s="1"/>
      <c r="G39" s="1"/>
      <c r="H39" s="1"/>
    </row>
    <row r="40" spans="1:38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23819858.324737497</v>
      </c>
      <c r="G40" s="9">
        <f t="shared" si="5"/>
        <v>29999.999999999993</v>
      </c>
      <c r="H40" s="9">
        <f t="shared" si="5"/>
        <v>23849858.324737497</v>
      </c>
      <c r="I40" s="9">
        <f t="shared" si="5"/>
        <v>0</v>
      </c>
      <c r="J40" s="9">
        <f t="shared" si="5"/>
        <v>1070000</v>
      </c>
      <c r="K40" s="9">
        <f t="shared" si="5"/>
        <v>882000</v>
      </c>
      <c r="L40" s="9">
        <f t="shared" si="5"/>
        <v>33000</v>
      </c>
      <c r="M40" s="9">
        <f t="shared" si="5"/>
        <v>31000</v>
      </c>
      <c r="N40" s="9">
        <f t="shared" si="5"/>
        <v>124000</v>
      </c>
      <c r="O40" s="9">
        <f t="shared" si="5"/>
        <v>19000</v>
      </c>
      <c r="P40" s="9">
        <f t="shared" si="5"/>
        <v>0</v>
      </c>
      <c r="Q40" s="9">
        <f t="shared" si="5"/>
        <v>120000</v>
      </c>
      <c r="R40" s="9">
        <f t="shared" si="5"/>
        <v>0</v>
      </c>
      <c r="S40" s="9">
        <f t="shared" si="5"/>
        <v>30000</v>
      </c>
      <c r="T40" s="9">
        <f t="shared" si="5"/>
        <v>0</v>
      </c>
      <c r="U40" s="9">
        <f t="shared" si="5"/>
        <v>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280000</v>
      </c>
      <c r="AE40" s="9">
        <f t="shared" si="5"/>
        <v>6000</v>
      </c>
      <c r="AF40" s="9">
        <f t="shared" si="5"/>
        <v>0</v>
      </c>
      <c r="AG40" s="9">
        <f t="shared" si="5"/>
        <v>200000</v>
      </c>
      <c r="AH40" s="9">
        <f t="shared" si="5"/>
        <v>100000</v>
      </c>
      <c r="AI40" s="9">
        <f t="shared" si="5"/>
        <v>0</v>
      </c>
      <c r="AJ40" s="9">
        <f t="shared" si="5"/>
        <v>0</v>
      </c>
    </row>
    <row r="43" spans="1:38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C21" activePane="bottomRight" state="frozen"/>
      <selection activeCell="J4" sqref="J4:O4"/>
      <selection pane="topRight" activeCell="J4" sqref="J4:O4"/>
      <selection pane="bottomLeft" activeCell="J4" sqref="J4:O4"/>
      <selection pane="bottomRight" activeCell="G23" sqref="G2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45094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MVTMAI23!F6+MVTMAI23!G6-MVTJUIN23!E6+K6</f>
        <v>878872.74436260981</v>
      </c>
      <c r="G6" s="6">
        <v>2783.7172439577794</v>
      </c>
      <c r="H6" s="6">
        <f>F6+G6</f>
        <v>881656.46160656761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VLOOKUP($A6,[18]HISTOJUIN23!$A$6:$CA$36,60,0)</f>
        <v>24000</v>
      </c>
      <c r="AF6" s="36">
        <f>VLOOKUP($A6,[18]HISTOJUIN23!$A$6:$CA$36,61,0)</f>
        <v>20000</v>
      </c>
      <c r="AG6" s="36">
        <f>VLOOKUP($A6,[18]HISTOJUIN23!$A$6:$CA$36,62,0)</f>
        <v>0</v>
      </c>
      <c r="AH6" s="36">
        <f>VLOOKUP($A6,[18]HISTOJUIN23!$A$6:$CA$36,63,0)</f>
        <v>100000</v>
      </c>
      <c r="AI6" s="36">
        <f>VLOOKUP($A6,[18]HISTOJUIN23!$A$6:$CA$36,64,0)</f>
        <v>0</v>
      </c>
      <c r="AJ6" s="36">
        <f>VLOOKUP($A6,[18]HISTOJUIN23!$A$6:$CA$36,65,0)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VLOOKUP($A7,[18]HISTOJUIN23!$A$6:$BA$36,48,0)</f>
        <v>0</v>
      </c>
      <c r="F7" s="5">
        <f>MVTMAI23!F7+MVTMAI23!G7-MVTJUIN23!E7+K7</f>
        <v>661645.41355848825</v>
      </c>
      <c r="G7" s="6">
        <v>2095.677399171258</v>
      </c>
      <c r="H7" s="6">
        <f t="shared" ref="H7:H26" si="0">F7+G7</f>
        <v>663741.09095765953</v>
      </c>
      <c r="I7" s="36">
        <f>VLOOKUP($A7,[18]HISTOJUIN23!$A$6:$AQ$40,22,0)</f>
        <v>0</v>
      </c>
      <c r="J7" s="36">
        <f>VLOOKUP($A7,[18]HISTOJUIN23!$A$6:$AU$36,45,0)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VLOOKUP($A7,[18]HISTOJUIN23!$A$6:$AU$36,7,0)</f>
        <v>0</v>
      </c>
      <c r="P7" s="36">
        <f>VLOOKUP($A7,[18]HISTOJUIN23!$A$6:$AU$36,23,0)</f>
        <v>0</v>
      </c>
      <c r="Q7" s="36">
        <f>VLOOKUP($A7,[18]HISTOJUIN23!$A$6:$AU$36,46,0)</f>
        <v>0</v>
      </c>
      <c r="R7" s="36">
        <f>VLOOKUP($A7,[18]HISTOJUIN23!$A$6:$AU$36,26,0)</f>
        <v>600000</v>
      </c>
      <c r="S7" s="36">
        <f>VLOOKUP($A7,[18]HISTOJUIN23!$A$6:$BG$36,58,0)</f>
        <v>36000</v>
      </c>
      <c r="T7" s="36">
        <f>VLOOKUP($A7,[18]HISTOJUIN23!$A$6:$AU$36,28,0)</f>
        <v>0</v>
      </c>
      <c r="U7" s="36">
        <f>VLOOKUP($A7,[18]HISTOJUIN23!$A$6:$AU$36,19,0)</f>
        <v>0</v>
      </c>
      <c r="V7" s="36">
        <f>VLOOKUP($A7,[18]HISTOJUIN23!$A$6:$AU$36,20,0)</f>
        <v>0</v>
      </c>
      <c r="W7" s="36" t="str">
        <f>VLOOKUP($A7,[18]HISTOJUIN23!$A$6:$AU$36,27,0)</f>
        <v>BANQUE</v>
      </c>
      <c r="X7" s="36">
        <f>VLOOKUP($A7,[18]HISTOJUIN23!$A$6:$BM$36,33,0)</f>
        <v>0</v>
      </c>
      <c r="Y7" s="36">
        <f>VLOOKUP($A7,[18]HISTOJUIN23!$A$6:$BM$36,65,0)</f>
        <v>0</v>
      </c>
      <c r="Z7" s="36"/>
      <c r="AA7" s="36">
        <f>VLOOKUP($A7,[18]HISTOJUIN23!$A$6:$AU$36,43,0)</f>
        <v>0</v>
      </c>
      <c r="AB7" s="36">
        <f>VLOOKUP($A7,[18]HISTOJUIN23!$A$6:$AU$36,44,0)</f>
        <v>0</v>
      </c>
      <c r="AC7" s="36">
        <f>VLOOKUP($A7,[18]HISTOJUIN23!$A$6:$AU$36,47,0)</f>
        <v>0</v>
      </c>
      <c r="AD7" s="36">
        <f>VLOOKUP(A7,[18]HISTOJUIN23!$A$6:$BB$36,54,0)</f>
        <v>0</v>
      </c>
      <c r="AE7" s="36">
        <f>VLOOKUP($A7,[18]HISTOJUIN23!$A$6:$CA$36,60,0)</f>
        <v>0</v>
      </c>
      <c r="AF7" s="36">
        <f>VLOOKUP($A7,[18]HISTOJUIN23!$A$6:$CA$36,61,0)</f>
        <v>0</v>
      </c>
      <c r="AG7" s="36">
        <f>VLOOKUP($A7,[18]HISTOJUIN23!$A$6:$CA$36,62,0)</f>
        <v>0</v>
      </c>
      <c r="AH7" s="36">
        <f>VLOOKUP($A7,[18]HISTOJUIN23!$A$6:$CA$36,63,0)</f>
        <v>0</v>
      </c>
      <c r="AI7" s="36">
        <f>VLOOKUP($A7,[18]HISTOJUIN23!$A$6:$CA$36,64,0)</f>
        <v>0</v>
      </c>
      <c r="AJ7" s="36">
        <f>VLOOKUP($A7,[18]HISTOJUIN23!$A$6:$CA$36,65,0)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VLOOKUP($A8,[18]HISTOJUIN23!$A$6:$BA$36,48,0)</f>
        <v>0</v>
      </c>
      <c r="F8" s="5">
        <f>MVTMAI23!F8+MVTMAI23!G8-MVTJUIN23!E8+K8</f>
        <v>707777.56782915094</v>
      </c>
      <c r="G8" s="6">
        <v>2241.7951098044377</v>
      </c>
      <c r="H8" s="6">
        <f t="shared" si="0"/>
        <v>710019.36293895543</v>
      </c>
      <c r="I8" s="36">
        <f>VLOOKUP($A8,[18]HISTOJUIN23!$A$6:$AQ$40,22,0)</f>
        <v>0</v>
      </c>
      <c r="J8" s="36">
        <f>VLOOKUP($A8,[18]HISTOJUIN23!$A$6:$AU$36,45,0)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VLOOKUP($A8,[18]HISTOJUIN23!$A$6:$AU$36,7,0)</f>
        <v>0</v>
      </c>
      <c r="P8" s="36">
        <f>VLOOKUP($A8,[18]HISTOJUIN23!$A$6:$AU$36,23,0)</f>
        <v>0</v>
      </c>
      <c r="Q8" s="36">
        <f>VLOOKUP($A8,[18]HISTOJUIN23!$A$6:$AU$36,46,0)</f>
        <v>0</v>
      </c>
      <c r="R8" s="36">
        <f>VLOOKUP($A8,[18]HISTOJUIN23!$A$6:$AU$36,26,0)</f>
        <v>0</v>
      </c>
      <c r="S8" s="36">
        <f>VLOOKUP($A8,[18]HISTOJUIN23!$A$6:$BG$36,58,0)</f>
        <v>0</v>
      </c>
      <c r="T8" s="36">
        <f>VLOOKUP($A8,[18]HISTOJUIN23!$A$6:$AU$36,28,0)</f>
        <v>0</v>
      </c>
      <c r="U8" s="36">
        <f>VLOOKUP($A8,[18]HISTOJUIN23!$A$6:$AU$36,19,0)</f>
        <v>500000</v>
      </c>
      <c r="V8" s="36" t="str">
        <f>VLOOKUP($A8,[18]HISTOJUIN23!$A$6:$AU$36,20,0)</f>
        <v>BANQUE</v>
      </c>
      <c r="W8" s="36">
        <f>VLOOKUP($A8,[18]HISTOJUIN23!$A$6:$AU$36,27,0)</f>
        <v>0</v>
      </c>
      <c r="X8" s="36">
        <f>VLOOKUP($A8,[18]HISTOJUIN23!$A$6:$BM$36,33,0)</f>
        <v>0</v>
      </c>
      <c r="Y8" s="36">
        <f>VLOOKUP($A8,[18]HISTOJUIN23!$A$6:$BM$36,65,0)</f>
        <v>0</v>
      </c>
      <c r="Z8" s="36"/>
      <c r="AA8" s="36">
        <f>VLOOKUP($A8,[18]HISTOJUIN23!$A$6:$AU$36,43,0)</f>
        <v>0</v>
      </c>
      <c r="AB8" s="36">
        <f>VLOOKUP($A8,[18]HISTOJUIN23!$A$6:$AU$36,44,0)</f>
        <v>0</v>
      </c>
      <c r="AC8" s="36">
        <f>VLOOKUP($A8,[18]HISTOJUIN23!$A$6:$AU$36,47,0)</f>
        <v>0</v>
      </c>
      <c r="AD8" s="36">
        <f>VLOOKUP(A8,[18]HISTOJUIN23!$A$6:$BB$36,54,0)</f>
        <v>0</v>
      </c>
      <c r="AE8" s="36">
        <f>VLOOKUP($A8,[18]HISTOJUIN23!$A$6:$CA$36,60,0)</f>
        <v>0</v>
      </c>
      <c r="AF8" s="36">
        <f>VLOOKUP($A8,[18]HISTOJUIN23!$A$6:$CA$36,61,0)</f>
        <v>0</v>
      </c>
      <c r="AG8" s="36">
        <f>VLOOKUP($A8,[18]HISTOJUIN23!$A$6:$CA$36,62,0)</f>
        <v>0</v>
      </c>
      <c r="AH8" s="36">
        <f>VLOOKUP($A8,[18]HISTOJUIN23!$A$6:$CA$36,63,0)</f>
        <v>0</v>
      </c>
      <c r="AI8" s="36">
        <f>VLOOKUP($A8,[18]HISTOJUIN23!$A$6:$CA$36,64,0)</f>
        <v>0</v>
      </c>
      <c r="AJ8" s="36">
        <f>VLOOKUP($A8,[18]HISTOJUIN23!$A$6:$CA$36,65,0)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VLOOKUP($A9,[18]HISTOJUIN23!$A$6:$BA$36,48,0)</f>
        <v>0</v>
      </c>
      <c r="F9" s="5">
        <f>MVTMAI23!F9+MVTMAI23!G9-MVTJUIN23!E9+K9</f>
        <v>743790.44485492574</v>
      </c>
      <c r="G9" s="6">
        <v>2355.8613013255831</v>
      </c>
      <c r="H9" s="6">
        <f t="shared" si="0"/>
        <v>746146.30615625135</v>
      </c>
      <c r="I9" s="36">
        <f>VLOOKUP($A9,[18]HISTOJUIN23!$A$6:$AQ$40,22,0)</f>
        <v>0</v>
      </c>
      <c r="J9" s="36">
        <f>VLOOKUP($A9,[18]HISTOJUIN23!$A$6:$AU$36,45,0)</f>
        <v>15000</v>
      </c>
      <c r="K9" s="36">
        <f t="shared" si="1"/>
        <v>9000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VLOOKUP($A9,[18]HISTOJUIN23!$A$6:$AU$36,7,0)</f>
        <v>0</v>
      </c>
      <c r="P9" s="36">
        <f>VLOOKUP($A9,[18]HISTOJUIN23!$A$6:$AU$36,23,0)</f>
        <v>0</v>
      </c>
      <c r="Q9" s="36">
        <f>VLOOKUP($A9,[18]HISTOJUIN23!$A$6:$AU$36,46,0)</f>
        <v>0</v>
      </c>
      <c r="R9" s="36">
        <f>VLOOKUP($A9,[18]HISTOJUIN23!$A$6:$AU$36,26,0)</f>
        <v>0</v>
      </c>
      <c r="S9" s="36">
        <f>VLOOKUP($A9,[18]HISTOJUIN23!$A$6:$BG$36,58,0)</f>
        <v>0</v>
      </c>
      <c r="T9" s="36">
        <f>VLOOKUP($A9,[18]HISTOJUIN23!$A$6:$AU$36,28,0)</f>
        <v>0</v>
      </c>
      <c r="U9" s="36">
        <f>VLOOKUP($A9,[18]HISTOJUIN23!$A$6:$AU$36,19,0)</f>
        <v>0</v>
      </c>
      <c r="V9" s="36">
        <f>VLOOKUP($A9,[18]HISTOJUIN23!$A$6:$AU$36,20,0)</f>
        <v>0</v>
      </c>
      <c r="W9" s="36">
        <f>VLOOKUP($A9,[18]HISTOJUIN23!$A$6:$AU$36,27,0)</f>
        <v>0</v>
      </c>
      <c r="X9" s="36">
        <f>VLOOKUP($A9,[18]HISTOJUIN23!$A$6:$BM$36,33,0)</f>
        <v>0</v>
      </c>
      <c r="Y9" s="36">
        <f>VLOOKUP($A9,[18]HISTOJUIN23!$A$6:$BM$36,65,0)</f>
        <v>0</v>
      </c>
      <c r="Z9" s="36"/>
      <c r="AA9" s="36">
        <f>VLOOKUP($A9,[18]HISTOJUIN23!$A$6:$AU$36,43,0)</f>
        <v>0</v>
      </c>
      <c r="AB9" s="36">
        <f>VLOOKUP($A9,[18]HISTOJUIN23!$A$6:$AU$36,44,0)</f>
        <v>0</v>
      </c>
      <c r="AC9" s="36">
        <f>VLOOKUP($A9,[18]HISTOJUIN23!$A$6:$AU$36,47,0)</f>
        <v>0</v>
      </c>
      <c r="AD9" s="36">
        <f>VLOOKUP(A9,[18]HISTOJUIN23!$A$6:$BB$36,54,0)</f>
        <v>0</v>
      </c>
      <c r="AE9" s="36">
        <f>VLOOKUP($A9,[18]HISTOJUIN23!$A$6:$CA$36,60,0)</f>
        <v>0</v>
      </c>
      <c r="AF9" s="36">
        <f>VLOOKUP($A9,[18]HISTOJUIN23!$A$6:$CA$36,61,0)</f>
        <v>0</v>
      </c>
      <c r="AG9" s="36">
        <f>VLOOKUP($A9,[18]HISTOJUIN23!$A$6:$CA$36,62,0)</f>
        <v>0</v>
      </c>
      <c r="AH9" s="36">
        <f>VLOOKUP($A9,[18]HISTOJUIN23!$A$6:$CA$36,63,0)</f>
        <v>0</v>
      </c>
      <c r="AI9" s="36">
        <f>VLOOKUP($A9,[18]HISTOJUIN23!$A$6:$CA$36,64,0)</f>
        <v>0</v>
      </c>
      <c r="AJ9" s="36">
        <f>VLOOKUP($A9,[18]HISTOJUIN23!$A$6:$CA$36,65,0)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VLOOKUP($A10,[18]HISTOJUIN23!$A$6:$BA$36,48,0)</f>
        <v>0</v>
      </c>
      <c r="F10" s="5">
        <f>MVTMAI23!F10+MVTMAI23!G10-MVTJUIN23!E10+K10</f>
        <v>753657.05522845732</v>
      </c>
      <c r="G10" s="6">
        <v>2387.1125303714125</v>
      </c>
      <c r="H10" s="6">
        <f t="shared" si="0"/>
        <v>756044.16775882873</v>
      </c>
      <c r="I10" s="36">
        <f>VLOOKUP($A10,[18]HISTOJUIN23!$A$6:$AQ$40,22,0)</f>
        <v>0</v>
      </c>
      <c r="J10" s="36">
        <f>VLOOKUP($A10,[18]HISTOJUIN23!$A$6:$AU$36,45,0)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VLOOKUP($A10,[18]HISTOJUIN23!$A$6:$AU$36,7,0)</f>
        <v>3000</v>
      </c>
      <c r="P10" s="36">
        <f>VLOOKUP($A10,[18]HISTOJUIN23!$A$6:$AU$36,23,0)</f>
        <v>0</v>
      </c>
      <c r="Q10" s="36">
        <f>VLOOKUP($A10,[18]HISTOJUIN23!$A$6:$AU$36,46,0)</f>
        <v>0</v>
      </c>
      <c r="R10" s="36">
        <f>VLOOKUP($A10,[18]HISTOJUIN23!$A$6:$AU$36,26,0)</f>
        <v>0</v>
      </c>
      <c r="S10" s="36">
        <f>VLOOKUP($A10,[18]HISTOJUIN23!$A$6:$BG$36,58,0)</f>
        <v>0</v>
      </c>
      <c r="T10" s="36">
        <f>VLOOKUP($A10,[18]HISTOJUIN23!$A$6:$AU$36,28,0)</f>
        <v>0</v>
      </c>
      <c r="U10" s="36">
        <f>VLOOKUP($A10,[18]HISTOJUIN23!$A$6:$AU$36,19,0)</f>
        <v>0</v>
      </c>
      <c r="V10" s="36">
        <f>VLOOKUP($A10,[18]HISTOJUIN23!$A$6:$AU$36,20,0)</f>
        <v>0</v>
      </c>
      <c r="W10" s="36">
        <f>VLOOKUP($A10,[18]HISTOJUIN23!$A$6:$AU$36,27,0)</f>
        <v>0</v>
      </c>
      <c r="X10" s="36">
        <f>VLOOKUP($A10,[18]HISTOJUIN23!$A$6:$BM$36,33,0)</f>
        <v>0</v>
      </c>
      <c r="Y10" s="36">
        <f>VLOOKUP($A10,[18]HISTOJUIN23!$A$6:$BM$36,65,0)</f>
        <v>0</v>
      </c>
      <c r="Z10" s="36"/>
      <c r="AA10" s="36">
        <f>VLOOKUP($A10,[18]HISTOJUIN23!$A$6:$AU$36,43,0)</f>
        <v>0</v>
      </c>
      <c r="AB10" s="36">
        <f>VLOOKUP($A10,[18]HISTOJUIN23!$A$6:$AU$36,44,0)</f>
        <v>0</v>
      </c>
      <c r="AC10" s="36">
        <f>VLOOKUP($A10,[18]HISTOJUIN23!$A$6:$AU$36,47,0)</f>
        <v>0</v>
      </c>
      <c r="AD10" s="36">
        <f>VLOOKUP(A10,[18]HISTOJUIN23!$A$6:$BB$36,54,0)</f>
        <v>0</v>
      </c>
      <c r="AE10" s="36">
        <f>VLOOKUP($A10,[18]HISTOJUIN23!$A$6:$CA$36,60,0)</f>
        <v>0</v>
      </c>
      <c r="AF10" s="36">
        <f>VLOOKUP($A10,[18]HISTOJUIN23!$A$6:$CA$36,61,0)</f>
        <v>0</v>
      </c>
      <c r="AG10" s="36">
        <f>VLOOKUP($A10,[18]HISTOJUIN23!$A$6:$CA$36,62,0)</f>
        <v>0</v>
      </c>
      <c r="AH10" s="36">
        <f>VLOOKUP($A10,[18]HISTOJUIN23!$A$6:$CA$36,63,0)</f>
        <v>0</v>
      </c>
      <c r="AI10" s="36">
        <f>VLOOKUP($A10,[18]HISTOJUIN23!$A$6:$CA$36,64,0)</f>
        <v>0</v>
      </c>
      <c r="AJ10" s="36">
        <f>VLOOKUP($A10,[18]HISTOJUIN23!$A$6:$CA$36,65,0)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VLOOKUP($A11,[18]HISTOJUIN23!$A$6:$BA$36,48,0)</f>
        <v>0</v>
      </c>
      <c r="F11" s="5">
        <f>MVTMAI23!F11+MVTMAI23!G11-MVTJUIN23!E11+K11</f>
        <v>714383.74036505236</v>
      </c>
      <c r="G11" s="6">
        <v>2262.7193181414318</v>
      </c>
      <c r="H11" s="6">
        <f t="shared" si="0"/>
        <v>716646.45968319383</v>
      </c>
      <c r="I11" s="36">
        <f>VLOOKUP($A11,[18]HISTOJUIN23!$A$6:$AQ$40,22,0)</f>
        <v>0</v>
      </c>
      <c r="J11" s="36">
        <f>VLOOKUP($A11,[18]HISTOJUIN23!$A$6:$AU$36,45,0)</f>
        <v>19000</v>
      </c>
      <c r="K11" s="36">
        <f t="shared" si="1"/>
        <v>13000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VLOOKUP($A11,[18]HISTOJUIN23!$A$6:$AU$36,7,0)</f>
        <v>0</v>
      </c>
      <c r="P11" s="36">
        <f>VLOOKUP($A11,[18]HISTOJUIN23!$A$6:$AU$36,23,0)</f>
        <v>0</v>
      </c>
      <c r="Q11" s="36">
        <f>VLOOKUP($A11,[18]HISTOJUIN23!$A$6:$AU$36,46,0)</f>
        <v>0</v>
      </c>
      <c r="R11" s="36">
        <f>VLOOKUP($A11,[18]HISTOJUIN23!$A$6:$AU$36,26,0)</f>
        <v>0</v>
      </c>
      <c r="S11" s="36">
        <f>VLOOKUP($A11,[18]HISTOJUIN23!$A$6:$BG$36,58,0)</f>
        <v>0</v>
      </c>
      <c r="T11" s="36">
        <f>VLOOKUP($A11,[18]HISTOJUIN23!$A$6:$AU$36,28,0)</f>
        <v>0</v>
      </c>
      <c r="U11" s="36">
        <f>VLOOKUP($A11,[18]HISTOJUIN23!$A$6:$AU$36,19,0)</f>
        <v>0</v>
      </c>
      <c r="V11" s="36">
        <f>VLOOKUP($A11,[18]HISTOJUIN23!$A$6:$AU$36,20,0)</f>
        <v>0</v>
      </c>
      <c r="W11" s="36">
        <f>VLOOKUP($A11,[18]HISTOJUIN23!$A$6:$AU$36,27,0)</f>
        <v>0</v>
      </c>
      <c r="X11" s="36">
        <f>VLOOKUP($A11,[18]HISTOJUIN23!$A$6:$BM$36,33,0)</f>
        <v>0</v>
      </c>
      <c r="Y11" s="36">
        <f>VLOOKUP($A11,[18]HISTOJUIN23!$A$6:$BM$36,65,0)</f>
        <v>0</v>
      </c>
      <c r="Z11" s="36"/>
      <c r="AA11" s="36">
        <f>VLOOKUP($A11,[18]HISTOJUIN23!$A$6:$AU$36,43,0)</f>
        <v>0</v>
      </c>
      <c r="AB11" s="36">
        <f>VLOOKUP($A11,[18]HISTOJUIN23!$A$6:$AU$36,44,0)</f>
        <v>0</v>
      </c>
      <c r="AC11" s="36">
        <f>VLOOKUP($A11,[18]HISTOJUIN23!$A$6:$AU$36,47,0)</f>
        <v>0</v>
      </c>
      <c r="AD11" s="36">
        <f>VLOOKUP(A11,[18]HISTOJUIN23!$A$6:$BB$36,54,0)</f>
        <v>0</v>
      </c>
      <c r="AE11" s="36">
        <f>VLOOKUP($A11,[18]HISTOJUIN23!$A$6:$CA$36,60,0)</f>
        <v>0</v>
      </c>
      <c r="AF11" s="36">
        <f>VLOOKUP($A11,[18]HISTOJUIN23!$A$6:$CA$36,61,0)</f>
        <v>0</v>
      </c>
      <c r="AG11" s="36">
        <f>VLOOKUP($A11,[18]HISTOJUIN23!$A$6:$CA$36,62,0)</f>
        <v>0</v>
      </c>
      <c r="AH11" s="36">
        <f>VLOOKUP($A11,[18]HISTOJUIN23!$A$6:$CA$36,63,0)</f>
        <v>0</v>
      </c>
      <c r="AI11" s="36">
        <f>VLOOKUP($A11,[18]HISTOJUIN23!$A$6:$CA$36,64,0)</f>
        <v>0</v>
      </c>
      <c r="AJ11" s="36">
        <f>VLOOKUP($A11,[18]HISTOJUIN23!$A$6:$CA$36,65,0)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VLOOKUP($A12,[18]HISTOJUIN23!$A$6:$BA$36,48,0)</f>
        <v>0</v>
      </c>
      <c r="F12" s="5">
        <f>MVTMAI23!F12+MVTMAI23!G12-MVTJUIN23!E12+K12</f>
        <v>871617.05863129953</v>
      </c>
      <c r="G12" s="6">
        <v>2760.7357854741226</v>
      </c>
      <c r="H12" s="6">
        <f t="shared" si="0"/>
        <v>874377.7944167736</v>
      </c>
      <c r="I12" s="36">
        <f>VLOOKUP($A12,[18]HISTOJUIN23!$A$6:$AQ$40,22,0)</f>
        <v>0</v>
      </c>
      <c r="J12" s="36">
        <f>VLOOKUP($A12,[18]HISTOJUIN23!$A$6:$AU$36,45,0)</f>
        <v>49500</v>
      </c>
      <c r="K12" s="36">
        <f>IF(J12=0,0,J12-(L12+M12+N12))</f>
        <v>43500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VLOOKUP($A12,[18]HISTOJUIN23!$A$6:$AU$36,7,0)</f>
        <v>0</v>
      </c>
      <c r="P12" s="36">
        <f>VLOOKUP($A12,[18]HISTOJUIN23!$A$6:$AU$36,23,0)</f>
        <v>0</v>
      </c>
      <c r="Q12" s="36">
        <f>VLOOKUP($A12,[18]HISTOJUIN23!$A$6:$AU$36,46,0)</f>
        <v>0</v>
      </c>
      <c r="R12" s="36">
        <f>VLOOKUP($A12,[18]HISTOJUIN23!$A$6:$AU$36,26,0)</f>
        <v>705000</v>
      </c>
      <c r="S12" s="36">
        <f>VLOOKUP($A12,[18]HISTOJUIN23!$A$6:$BG$36,58,0)</f>
        <v>28200</v>
      </c>
      <c r="T12" s="36">
        <f>VLOOKUP($A12,[18]HISTOJUIN23!$A$6:$AU$36,28,0)</f>
        <v>0</v>
      </c>
      <c r="U12" s="36">
        <f>VLOOKUP($A12,[18]HISTOJUIN23!$A$6:$AU$36,19,0)</f>
        <v>1000000</v>
      </c>
      <c r="V12" s="36" t="str">
        <f>VLOOKUP($A12,[18]HISTOJUIN23!$A$6:$AU$36,20,0)</f>
        <v>BANQUE</v>
      </c>
      <c r="W12" s="36" t="str">
        <f>VLOOKUP($A12,[18]HISTOJUIN23!$A$6:$AU$36,27,0)</f>
        <v>BANQUE</v>
      </c>
      <c r="X12" s="36">
        <f>VLOOKUP($A12,[18]HISTOJUIN23!$A$6:$BM$36,33,0)</f>
        <v>0</v>
      </c>
      <c r="Y12" s="36">
        <f>VLOOKUP($A12,[18]HISTOJUIN23!$A$6:$BM$36,65,0)</f>
        <v>0</v>
      </c>
      <c r="Z12" s="36"/>
      <c r="AA12" s="36">
        <f>VLOOKUP($A12,[18]HISTOJUIN23!$A$6:$AU$36,43,0)</f>
        <v>0</v>
      </c>
      <c r="AB12" s="36">
        <f>VLOOKUP($A12,[18]HISTOJUIN23!$A$6:$AU$36,44,0)</f>
        <v>0</v>
      </c>
      <c r="AC12" s="36">
        <f>VLOOKUP($A12,[18]HISTOJUIN23!$A$6:$AU$36,47,0)</f>
        <v>0</v>
      </c>
      <c r="AD12" s="36">
        <f>VLOOKUP(A12,[18]HISTOJUIN23!$A$6:$BB$36,54,0)</f>
        <v>0</v>
      </c>
      <c r="AE12" s="36">
        <f>VLOOKUP($A12,[18]HISTOJUIN23!$A$6:$CA$36,60,0)</f>
        <v>0</v>
      </c>
      <c r="AF12" s="36">
        <f>VLOOKUP($A12,[18]HISTOJUIN23!$A$6:$CA$36,61,0)</f>
        <v>0</v>
      </c>
      <c r="AG12" s="36">
        <f>VLOOKUP($A12,[18]HISTOJUIN23!$A$6:$CA$36,62,0)</f>
        <v>0</v>
      </c>
      <c r="AH12" s="36">
        <f>VLOOKUP($A12,[18]HISTOJUIN23!$A$6:$CA$36,63,0)</f>
        <v>0</v>
      </c>
      <c r="AI12" s="36">
        <f>VLOOKUP($A12,[18]HISTOJUIN23!$A$6:$CA$36,64,0)</f>
        <v>0</v>
      </c>
      <c r="AJ12" s="36">
        <f>VLOOKUP($A12,[18]HISTOJUIN23!$A$6:$CA$36,65,0)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VLOOKUP($A13,[18]HISTOJUIN23!$A$6:$BA$36,48,0)</f>
        <v>0</v>
      </c>
      <c r="F13" s="5">
        <f>MVTMAI23!F13+MVTMAI23!G13-MVTJUIN23!E13+K13</f>
        <v>700846.39749888901</v>
      </c>
      <c r="G13" s="6">
        <v>2219.8415124344888</v>
      </c>
      <c r="H13" s="6">
        <f t="shared" si="0"/>
        <v>703066.23901132355</v>
      </c>
      <c r="I13" s="36">
        <f>VLOOKUP($A13,[18]HISTOJUIN23!$A$6:$AQ$40,22,0)</f>
        <v>0</v>
      </c>
      <c r="J13" s="36">
        <f>VLOOKUP($A13,[18]HISTOJUIN23!$A$6:$AU$36,45,0)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VLOOKUP($A13,[18]HISTOJUIN23!$A$6:$AU$36,7,0)</f>
        <v>0</v>
      </c>
      <c r="P13" s="36">
        <f>VLOOKUP($A13,[18]HISTOJUIN23!$A$6:$AU$36,23,0)</f>
        <v>0</v>
      </c>
      <c r="Q13" s="36">
        <f>VLOOKUP($A13,[18]HISTOJUIN23!$A$6:$AU$36,46,0)</f>
        <v>0</v>
      </c>
      <c r="R13" s="36">
        <f>VLOOKUP($A13,[18]HISTOJUIN23!$A$6:$AU$36,26,0)</f>
        <v>0</v>
      </c>
      <c r="S13" s="36">
        <f>VLOOKUP($A13,[18]HISTOJUIN23!$A$6:$BG$36,58,0)</f>
        <v>0</v>
      </c>
      <c r="T13" s="36">
        <f>VLOOKUP($A13,[18]HISTOJUIN23!$A$6:$AU$36,28,0)</f>
        <v>0</v>
      </c>
      <c r="U13" s="36">
        <f>VLOOKUP($A13,[18]HISTOJUIN23!$A$6:$AU$36,19,0)</f>
        <v>0</v>
      </c>
      <c r="V13" s="36">
        <f>VLOOKUP($A13,[18]HISTOJUIN23!$A$6:$AU$36,20,0)</f>
        <v>0</v>
      </c>
      <c r="W13" s="36">
        <f>VLOOKUP($A13,[18]HISTOJUIN23!$A$6:$AU$36,27,0)</f>
        <v>0</v>
      </c>
      <c r="X13" s="36">
        <f>VLOOKUP($A13,[18]HISTOJUIN23!$A$6:$BM$36,33,0)</f>
        <v>0</v>
      </c>
      <c r="Y13" s="36">
        <f>VLOOKUP($A13,[18]HISTOJUIN23!$A$6:$BM$36,65,0)</f>
        <v>0</v>
      </c>
      <c r="Z13" s="36"/>
      <c r="AA13" s="36">
        <f>VLOOKUP($A13,[18]HISTOJUIN23!$A$6:$AU$36,43,0)</f>
        <v>0</v>
      </c>
      <c r="AB13" s="36">
        <f>VLOOKUP($A13,[18]HISTOJUIN23!$A$6:$AU$36,44,0)</f>
        <v>0</v>
      </c>
      <c r="AC13" s="36">
        <f>VLOOKUP($A13,[18]HISTOJUIN23!$A$6:$AU$36,47,0)</f>
        <v>0</v>
      </c>
      <c r="AD13" s="36">
        <f>VLOOKUP(A13,[18]HISTOJUIN23!$A$6:$BB$36,54,0)</f>
        <v>0</v>
      </c>
      <c r="AE13" s="36">
        <f>VLOOKUP($A13,[18]HISTOJUIN23!$A$6:$CA$36,60,0)</f>
        <v>0</v>
      </c>
      <c r="AF13" s="36">
        <f>VLOOKUP($A13,[18]HISTOJUIN23!$A$6:$CA$36,61,0)</f>
        <v>0</v>
      </c>
      <c r="AG13" s="36">
        <f>VLOOKUP($A13,[18]HISTOJUIN23!$A$6:$CA$36,62,0)</f>
        <v>0</v>
      </c>
      <c r="AH13" s="36">
        <f>VLOOKUP($A13,[18]HISTOJUIN23!$A$6:$CA$36,63,0)</f>
        <v>0</v>
      </c>
      <c r="AI13" s="36">
        <f>VLOOKUP($A13,[18]HISTOJUIN23!$A$6:$CA$36,64,0)</f>
        <v>0</v>
      </c>
      <c r="AJ13" s="36">
        <f>VLOOKUP($A13,[18]HISTOJUIN23!$A$6:$CA$36,65,0)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VLOOKUP($A14,[18]HISTOJUIN23!$A$6:$BA$36,48,0)</f>
        <v>0</v>
      </c>
      <c r="F14" s="5">
        <f>MVTMAI23!F14+MVTMAI23!G14-MVTJUIN23!E14+K14</f>
        <v>1193547.6615025641</v>
      </c>
      <c r="G14" s="6">
        <v>3780.4098808636581</v>
      </c>
      <c r="H14" s="6">
        <f t="shared" si="0"/>
        <v>1197328.0713834278</v>
      </c>
      <c r="I14" s="36">
        <f>VLOOKUP($A14,[18]HISTOJUIN23!$A$6:$AQ$40,22,0)</f>
        <v>0</v>
      </c>
      <c r="J14" s="36">
        <f>VLOOKUP($A14,[18]HISTOJUIN23!$A$6:$AU$36,45,0)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VLOOKUP($A14,[18]HISTOJUIN23!$A$6:$AU$36,7,0)</f>
        <v>0</v>
      </c>
      <c r="P14" s="36">
        <f>VLOOKUP($A14,[18]HISTOJUIN23!$A$6:$AU$36,23,0)</f>
        <v>0</v>
      </c>
      <c r="Q14" s="36">
        <f>VLOOKUP($A14,[18]HISTOJUIN23!$A$6:$AU$36,46,0)</f>
        <v>0</v>
      </c>
      <c r="R14" s="36">
        <f>VLOOKUP($A14,[18]HISTOJUIN23!$A$6:$AU$36,26,0)</f>
        <v>0</v>
      </c>
      <c r="S14" s="36">
        <f>VLOOKUP($A14,[18]HISTOJUIN23!$A$6:$BG$36,58,0)</f>
        <v>0</v>
      </c>
      <c r="T14" s="36">
        <f>VLOOKUP($A14,[18]HISTOJUIN23!$A$6:$AU$36,28,0)</f>
        <v>0</v>
      </c>
      <c r="U14" s="36">
        <f>VLOOKUP($A14,[18]HISTOJUIN23!$A$6:$AU$36,19,0)</f>
        <v>0</v>
      </c>
      <c r="V14" s="36">
        <f>VLOOKUP($A14,[18]HISTOJUIN23!$A$6:$AU$36,20,0)</f>
        <v>0</v>
      </c>
      <c r="W14" s="36">
        <f>VLOOKUP($A14,[18]HISTOJUIN23!$A$6:$AU$36,27,0)</f>
        <v>0</v>
      </c>
      <c r="X14" s="36">
        <f>VLOOKUP($A14,[18]HISTOJUIN23!$A$6:$BM$36,33,0)</f>
        <v>0</v>
      </c>
      <c r="Y14" s="36">
        <f>VLOOKUP($A14,[18]HISTOJUIN23!$A$6:$BM$36,65,0)</f>
        <v>0</v>
      </c>
      <c r="Z14" s="36"/>
      <c r="AA14" s="36">
        <f>VLOOKUP($A14,[18]HISTOJUIN23!$A$6:$AU$36,43,0)</f>
        <v>0</v>
      </c>
      <c r="AB14" s="36">
        <f>VLOOKUP($A14,[18]HISTOJUIN23!$A$6:$AU$36,44,0)</f>
        <v>0</v>
      </c>
      <c r="AC14" s="36">
        <f>VLOOKUP($A14,[18]HISTOJUIN23!$A$6:$AU$36,47,0)</f>
        <v>0</v>
      </c>
      <c r="AD14" s="36">
        <f>VLOOKUP(A14,[18]HISTOJUIN23!$A$6:$BB$36,54,0)</f>
        <v>0</v>
      </c>
      <c r="AE14" s="36">
        <f>VLOOKUP($A14,[18]HISTOJUIN23!$A$6:$CA$36,60,0)</f>
        <v>0</v>
      </c>
      <c r="AF14" s="36">
        <f>VLOOKUP($A14,[18]HISTOJUIN23!$A$6:$CA$36,61,0)</f>
        <v>0</v>
      </c>
      <c r="AG14" s="36">
        <f>VLOOKUP($A14,[18]HISTOJUIN23!$A$6:$CA$36,62,0)</f>
        <v>0</v>
      </c>
      <c r="AH14" s="36">
        <f>VLOOKUP($A14,[18]HISTOJUIN23!$A$6:$CA$36,63,0)</f>
        <v>0</v>
      </c>
      <c r="AI14" s="36">
        <f>VLOOKUP($A14,[18]HISTOJUIN23!$A$6:$CA$36,64,0)</f>
        <v>0</v>
      </c>
      <c r="AJ14" s="36">
        <f>VLOOKUP($A14,[18]HISTOJUIN23!$A$6:$CA$36,65,0)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VLOOKUP($A15,[18]HISTOJUIN23!$A$6:$BA$36,48,0)</f>
        <v>0</v>
      </c>
      <c r="F15" s="5">
        <f>MVTMAI23!F15+MVTMAI23!G15-MVTJUIN23!E15+K15</f>
        <v>755231.31336404278</v>
      </c>
      <c r="G15" s="6">
        <v>2392.098792087434</v>
      </c>
      <c r="H15" s="6">
        <f t="shared" si="0"/>
        <v>757623.41215613019</v>
      </c>
      <c r="I15" s="36">
        <f>VLOOKUP($A15,[18]HISTOJUIN23!$A$6:$AQ$40,22,0)</f>
        <v>0</v>
      </c>
      <c r="J15" s="36">
        <f>VLOOKUP($A15,[18]HISTOJUIN23!$A$6:$AU$36,45,0)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VLOOKUP($A15,[18]HISTOJUIN23!$A$6:$AU$36,7,0)</f>
        <v>0</v>
      </c>
      <c r="P15" s="36">
        <f>VLOOKUP($A15,[18]HISTOJUIN23!$A$6:$AU$36,23,0)</f>
        <v>0</v>
      </c>
      <c r="Q15" s="36">
        <f>VLOOKUP($A15,[18]HISTOJUIN23!$A$6:$AU$36,46,0)</f>
        <v>0</v>
      </c>
      <c r="R15" s="36">
        <f>VLOOKUP($A15,[18]HISTOJUIN23!$A$6:$AU$36,26,0)</f>
        <v>0</v>
      </c>
      <c r="S15" s="36">
        <f>VLOOKUP($A15,[18]HISTOJUIN23!$A$6:$BG$36,58,0)</f>
        <v>0</v>
      </c>
      <c r="T15" s="36">
        <f>VLOOKUP($A15,[18]HISTOJUIN23!$A$6:$AU$36,28,0)</f>
        <v>0</v>
      </c>
      <c r="U15" s="36">
        <f>VLOOKUP($A15,[18]HISTOJUIN23!$A$6:$AU$36,19,0)</f>
        <v>0</v>
      </c>
      <c r="V15" s="36">
        <f>VLOOKUP($A15,[18]HISTOJUIN23!$A$6:$AU$36,20,0)</f>
        <v>0</v>
      </c>
      <c r="W15" s="36">
        <f>VLOOKUP($A15,[18]HISTOJUIN23!$A$6:$AU$36,27,0)</f>
        <v>0</v>
      </c>
      <c r="X15" s="36">
        <f>VLOOKUP($A15,[18]HISTOJUIN23!$A$6:$BM$36,33,0)</f>
        <v>0</v>
      </c>
      <c r="Y15" s="36">
        <f>VLOOKUP($A15,[18]HISTOJUIN23!$A$6:$BM$36,65,0)</f>
        <v>0</v>
      </c>
      <c r="Z15" s="36"/>
      <c r="AA15" s="36">
        <f>VLOOKUP($A15,[18]HISTOJUIN23!$A$6:$AU$36,43,0)</f>
        <v>0</v>
      </c>
      <c r="AB15" s="36">
        <f>VLOOKUP($A15,[18]HISTOJUIN23!$A$6:$AU$36,44,0)</f>
        <v>0</v>
      </c>
      <c r="AC15" s="36">
        <f>VLOOKUP($A15,[18]HISTOJUIN23!$A$6:$AU$36,47,0)</f>
        <v>0</v>
      </c>
      <c r="AD15" s="36">
        <f>VLOOKUP(A15,[18]HISTOJUIN23!$A$6:$BB$36,54,0)</f>
        <v>0</v>
      </c>
      <c r="AE15" s="36">
        <f>VLOOKUP($A15,[18]HISTOJUIN23!$A$6:$CA$36,60,0)</f>
        <v>0</v>
      </c>
      <c r="AF15" s="36">
        <f>VLOOKUP($A15,[18]HISTOJUIN23!$A$6:$CA$36,61,0)</f>
        <v>0</v>
      </c>
      <c r="AG15" s="36">
        <f>VLOOKUP($A15,[18]HISTOJUIN23!$A$6:$CA$36,62,0)</f>
        <v>0</v>
      </c>
      <c r="AH15" s="36">
        <f>VLOOKUP($A15,[18]HISTOJUIN23!$A$6:$CA$36,63,0)</f>
        <v>0</v>
      </c>
      <c r="AI15" s="36">
        <f>VLOOKUP($A15,[18]HISTOJUIN23!$A$6:$CA$36,64,0)</f>
        <v>0</v>
      </c>
      <c r="AJ15" s="36">
        <f>VLOOKUP($A15,[18]HISTOJUIN23!$A$6:$CA$36,65,0)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VLOOKUP($A16,[18]HISTOJUIN23!$A$6:$BA$36,48,0)</f>
        <v>0</v>
      </c>
      <c r="F16" s="5">
        <f>MVTMAI23!F16+MVTMAI23!G16-MVTJUIN23!E16+K16</f>
        <v>909285.59933098347</v>
      </c>
      <c r="G16" s="6">
        <v>2880.0460803638371</v>
      </c>
      <c r="H16" s="6">
        <f t="shared" si="0"/>
        <v>912165.64541134727</v>
      </c>
      <c r="I16" s="36">
        <f>VLOOKUP($A16,[18]HISTOJUIN23!$A$6:$AQ$40,22,0)</f>
        <v>0</v>
      </c>
      <c r="J16" s="36">
        <f>VLOOKUP($A16,[18]HISTOJUIN23!$A$6:$AU$36,45,0)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VLOOKUP($A16,[18]HISTOJUIN23!$A$6:$AU$36,7,0)</f>
        <v>0</v>
      </c>
      <c r="P16" s="36">
        <f>VLOOKUP($A16,[18]HISTOJUIN23!$A$6:$AU$36,23,0)</f>
        <v>0</v>
      </c>
      <c r="Q16" s="36">
        <f>VLOOKUP($A16,[18]HISTOJUIN23!$A$6:$AU$36,46,0)</f>
        <v>0</v>
      </c>
      <c r="R16" s="36">
        <f>VLOOKUP($A16,[18]HISTOJUIN23!$A$6:$AU$36,26,0)</f>
        <v>0</v>
      </c>
      <c r="S16" s="36">
        <f>VLOOKUP($A16,[18]HISTOJUIN23!$A$6:$BG$36,58,0)</f>
        <v>0</v>
      </c>
      <c r="T16" s="36">
        <f>VLOOKUP($A16,[18]HISTOJUIN23!$A$6:$AU$36,28,0)</f>
        <v>0</v>
      </c>
      <c r="U16" s="36">
        <f>VLOOKUP($A16,[18]HISTOJUIN23!$A$6:$AU$36,19,0)</f>
        <v>0</v>
      </c>
      <c r="V16" s="36">
        <f>VLOOKUP($A16,[18]HISTOJUIN23!$A$6:$AU$36,20,0)</f>
        <v>0</v>
      </c>
      <c r="W16" s="36">
        <f>VLOOKUP($A16,[18]HISTOJUIN23!$A$6:$AU$36,27,0)</f>
        <v>0</v>
      </c>
      <c r="X16" s="36">
        <f>VLOOKUP($A16,[18]HISTOJUIN23!$A$6:$BM$36,33,0)</f>
        <v>0</v>
      </c>
      <c r="Y16" s="36">
        <f>VLOOKUP($A16,[18]HISTOJUIN23!$A$6:$BM$36,65,0)</f>
        <v>0</v>
      </c>
      <c r="Z16" s="36"/>
      <c r="AA16" s="36">
        <f>VLOOKUP($A16,[18]HISTOJUIN23!$A$6:$AU$36,43,0)</f>
        <v>0</v>
      </c>
      <c r="AB16" s="36">
        <f>VLOOKUP($A16,[18]HISTOJUIN23!$A$6:$AU$36,44,0)</f>
        <v>0</v>
      </c>
      <c r="AC16" s="36">
        <f>VLOOKUP($A16,[18]HISTOJUIN23!$A$6:$AU$36,47,0)</f>
        <v>0</v>
      </c>
      <c r="AD16" s="36">
        <f>VLOOKUP(A16,[18]HISTOJUIN23!$A$6:$BB$36,54,0)</f>
        <v>0</v>
      </c>
      <c r="AE16" s="36">
        <f>VLOOKUP($A16,[18]HISTOJUIN23!$A$6:$CA$36,60,0)</f>
        <v>0</v>
      </c>
      <c r="AF16" s="36">
        <f>VLOOKUP($A16,[18]HISTOJUIN23!$A$6:$CA$36,61,0)</f>
        <v>0</v>
      </c>
      <c r="AG16" s="36">
        <f>VLOOKUP($A16,[18]HISTOJUIN23!$A$6:$CA$36,62,0)</f>
        <v>0</v>
      </c>
      <c r="AH16" s="36">
        <f>VLOOKUP($A16,[18]HISTOJUIN23!$A$6:$CA$36,63,0)</f>
        <v>0</v>
      </c>
      <c r="AI16" s="36">
        <f>VLOOKUP($A16,[18]HISTOJUIN23!$A$6:$CA$36,64,0)</f>
        <v>0</v>
      </c>
      <c r="AJ16" s="36">
        <f>VLOOKUP($A16,[18]HISTOJUIN23!$A$6:$CA$36,65,0)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VLOOKUP($A17,[18]HISTOJUIN23!$A$6:$BA$36,48,0)</f>
        <v>0</v>
      </c>
      <c r="F17" s="5">
        <f>MVTMAI23!F17+MVTMAI23!G17-MVTJUIN23!E17+K17</f>
        <v>757578.60378661996</v>
      </c>
      <c r="G17" s="6">
        <v>2399.533534907504</v>
      </c>
      <c r="H17" s="6">
        <f t="shared" si="0"/>
        <v>759978.13732152747</v>
      </c>
      <c r="I17" s="36">
        <f>VLOOKUP($A17,[18]HISTOJUIN23!$A$6:$AQ$40,22,0)</f>
        <v>0</v>
      </c>
      <c r="J17" s="36">
        <f>VLOOKUP($A17,[18]HISTOJUIN23!$A$6:$AU$36,45,0)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VLOOKUP($A17,[18]HISTOJUIN23!$A$6:$AU$36,7,0)</f>
        <v>0</v>
      </c>
      <c r="P17" s="36">
        <f>VLOOKUP($A17,[18]HISTOJUIN23!$A$6:$AU$36,23,0)</f>
        <v>0</v>
      </c>
      <c r="Q17" s="36">
        <f>VLOOKUP($A17,[18]HISTOJUIN23!$A$6:$AU$36,46,0)</f>
        <v>0</v>
      </c>
      <c r="R17" s="36">
        <f>VLOOKUP($A17,[18]HISTOJUIN23!$A$6:$AU$36,26,0)</f>
        <v>0</v>
      </c>
      <c r="S17" s="36">
        <f>VLOOKUP($A17,[18]HISTOJUIN23!$A$6:$BG$36,58,0)</f>
        <v>0</v>
      </c>
      <c r="T17" s="36">
        <f>VLOOKUP($A17,[18]HISTOJUIN23!$A$6:$AU$36,28,0)</f>
        <v>0</v>
      </c>
      <c r="U17" s="36">
        <f>VLOOKUP($A17,[18]HISTOJUIN23!$A$6:$AU$36,19,0)</f>
        <v>0</v>
      </c>
      <c r="V17" s="36">
        <f>VLOOKUP($A17,[18]HISTOJUIN23!$A$6:$AU$36,20,0)</f>
        <v>0</v>
      </c>
      <c r="W17" s="36">
        <f>VLOOKUP($A17,[18]HISTOJUIN23!$A$6:$AU$36,27,0)</f>
        <v>0</v>
      </c>
      <c r="X17" s="36">
        <f>VLOOKUP($A17,[18]HISTOJUIN23!$A$6:$BM$36,33,0)</f>
        <v>0</v>
      </c>
      <c r="Y17" s="36">
        <f>VLOOKUP($A17,[18]HISTOJUIN23!$A$6:$BM$36,65,0)</f>
        <v>0</v>
      </c>
      <c r="Z17" s="36"/>
      <c r="AA17" s="36">
        <f>VLOOKUP($A17,[18]HISTOJUIN23!$A$6:$AU$36,43,0)</f>
        <v>0</v>
      </c>
      <c r="AB17" s="36">
        <f>VLOOKUP($A17,[18]HISTOJUIN23!$A$6:$AU$36,44,0)</f>
        <v>0</v>
      </c>
      <c r="AC17" s="36">
        <f>VLOOKUP($A17,[18]HISTOJUIN23!$A$6:$AU$36,47,0)</f>
        <v>0</v>
      </c>
      <c r="AD17" s="36">
        <f>VLOOKUP(A17,[18]HISTOJUIN23!$A$6:$BB$36,54,0)</f>
        <v>0</v>
      </c>
      <c r="AE17" s="36">
        <f>VLOOKUP($A17,[18]HISTOJUIN23!$A$6:$CA$36,60,0)</f>
        <v>0</v>
      </c>
      <c r="AF17" s="36">
        <f>VLOOKUP($A17,[18]HISTOJUIN23!$A$6:$CA$36,61,0)</f>
        <v>0</v>
      </c>
      <c r="AG17" s="36">
        <f>VLOOKUP($A17,[18]HISTOJUIN23!$A$6:$CA$36,62,0)</f>
        <v>0</v>
      </c>
      <c r="AH17" s="36">
        <f>VLOOKUP($A17,[18]HISTOJUIN23!$A$6:$CA$36,63,0)</f>
        <v>0</v>
      </c>
      <c r="AI17" s="36">
        <f>VLOOKUP($A17,[18]HISTOJUIN23!$A$6:$CA$36,64,0)</f>
        <v>0</v>
      </c>
      <c r="AJ17" s="36">
        <f>VLOOKUP($A17,[18]HISTOJUIN23!$A$6:$CA$36,65,0)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VLOOKUP($A18,[18]HISTOJUIN23!$A$6:$BA$36,48,0)</f>
        <v>0</v>
      </c>
      <c r="F18" s="5">
        <f>MVTMAI23!F18+MVTMAI23!G18-MVTJUIN23!E18+K18</f>
        <v>707178.66511654854</v>
      </c>
      <c r="G18" s="6">
        <v>2239.8981619024594</v>
      </c>
      <c r="H18" s="6">
        <f t="shared" si="0"/>
        <v>709418.56327845098</v>
      </c>
      <c r="I18" s="36">
        <f>VLOOKUP($A18,[18]HISTOJUIN23!$A$6:$AQ$40,22,0)</f>
        <v>0</v>
      </c>
      <c r="J18" s="36">
        <f>VLOOKUP($A18,[18]HISTOJUIN23!$A$6:$AU$36,45,0)</f>
        <v>15000</v>
      </c>
      <c r="K18" s="36">
        <f t="shared" si="1"/>
        <v>9000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VLOOKUP($A18,[18]HISTOJUIN23!$A$6:$AU$36,7,0)</f>
        <v>0</v>
      </c>
      <c r="P18" s="36">
        <f>VLOOKUP($A18,[18]HISTOJUIN23!$A$6:$AU$36,23,0)</f>
        <v>0</v>
      </c>
      <c r="Q18" s="36">
        <f>VLOOKUP($A18,[18]HISTOJUIN23!$A$6:$AU$36,46,0)</f>
        <v>0</v>
      </c>
      <c r="R18" s="36">
        <f>VLOOKUP($A18,[18]HISTOJUIN23!$A$6:$AU$36,26,0)</f>
        <v>250000</v>
      </c>
      <c r="S18" s="36">
        <f>VLOOKUP($A18,[18]HISTOJUIN23!$A$6:$BG$36,58,0)</f>
        <v>10000</v>
      </c>
      <c r="T18" s="36">
        <f>VLOOKUP($A18,[18]HISTOJUIN23!$A$6:$AU$36,28,0)</f>
        <v>0</v>
      </c>
      <c r="U18" s="36">
        <f>VLOOKUP($A18,[18]HISTOJUIN23!$A$6:$AU$36,19,0)</f>
        <v>1000000</v>
      </c>
      <c r="V18" s="36" t="str">
        <f>VLOOKUP($A18,[18]HISTOJUIN23!$A$6:$AU$36,20,0)</f>
        <v>BANQUE</v>
      </c>
      <c r="W18" s="36" t="str">
        <f>VLOOKUP($A18,[18]HISTOJUIN23!$A$6:$AU$36,27,0)</f>
        <v>BANQUE</v>
      </c>
      <c r="X18" s="36">
        <f>VLOOKUP($A18,[18]HISTOJUIN23!$A$6:$BM$36,33,0)</f>
        <v>0</v>
      </c>
      <c r="Y18" s="36">
        <f>VLOOKUP($A18,[18]HISTOJUIN23!$A$6:$BM$36,65,0)</f>
        <v>0</v>
      </c>
      <c r="Z18" s="36"/>
      <c r="AA18" s="36">
        <f>VLOOKUP($A18,[18]HISTOJUIN23!$A$6:$AU$36,43,0)</f>
        <v>0</v>
      </c>
      <c r="AB18" s="36">
        <f>VLOOKUP($A18,[18]HISTOJUIN23!$A$6:$AU$36,44,0)</f>
        <v>0</v>
      </c>
      <c r="AC18" s="36">
        <f>VLOOKUP($A18,[18]HISTOJUIN23!$A$6:$AU$36,47,0)</f>
        <v>0</v>
      </c>
      <c r="AD18" s="36">
        <f>VLOOKUP(A18,[18]HISTOJUIN23!$A$6:$BB$36,54,0)</f>
        <v>0</v>
      </c>
      <c r="AE18" s="36">
        <f>VLOOKUP($A18,[18]HISTOJUIN23!$A$6:$CA$36,60,0)</f>
        <v>0</v>
      </c>
      <c r="AF18" s="36">
        <f>VLOOKUP($A18,[18]HISTOJUIN23!$A$6:$CA$36,61,0)</f>
        <v>0</v>
      </c>
      <c r="AG18" s="36">
        <f>VLOOKUP($A18,[18]HISTOJUIN23!$A$6:$CA$36,62,0)</f>
        <v>0</v>
      </c>
      <c r="AH18" s="36">
        <f>VLOOKUP($A18,[18]HISTOJUIN23!$A$6:$CA$36,63,0)</f>
        <v>0</v>
      </c>
      <c r="AI18" s="36">
        <f>VLOOKUP($A18,[18]HISTOJUIN23!$A$6:$CA$36,64,0)</f>
        <v>0</v>
      </c>
      <c r="AJ18" s="36">
        <f>VLOOKUP($A18,[18]HISTOJUIN23!$A$6:$CA$36,65,0)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VLOOKUP($A19,[18]HISTOJUIN23!$A$6:$BA$36,48,0)</f>
        <v>0</v>
      </c>
      <c r="F19" s="5">
        <f>MVTMAI23!F19+MVTMAI23!G19-MVTJUIN23!E19+K19</f>
        <v>701020.90326132718</v>
      </c>
      <c r="G19" s="6">
        <v>2220.3942371641897</v>
      </c>
      <c r="H19" s="6">
        <f t="shared" si="0"/>
        <v>703241.29749849136</v>
      </c>
      <c r="I19" s="36">
        <f>VLOOKUP($A19,[18]HISTOJUIN23!$A$6:$AQ$40,22,0)</f>
        <v>0</v>
      </c>
      <c r="J19" s="36">
        <f>VLOOKUP($A19,[18]HISTOJUIN23!$A$6:$AU$36,45,0)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VLOOKUP($A19,[18]HISTOJUIN23!$A$6:$AU$36,7,0)</f>
        <v>0</v>
      </c>
      <c r="P19" s="36">
        <f>VLOOKUP($A19,[18]HISTOJUIN23!$A$6:$AU$36,23,0)</f>
        <v>0</v>
      </c>
      <c r="Q19" s="36">
        <f>VLOOKUP($A19,[18]HISTOJUIN23!$A$6:$AU$36,46,0)</f>
        <v>0</v>
      </c>
      <c r="R19" s="36">
        <f>VLOOKUP($A19,[18]HISTOJUIN23!$A$6:$AU$36,26,0)</f>
        <v>0</v>
      </c>
      <c r="S19" s="36">
        <f>VLOOKUP($A19,[18]HISTOJUIN23!$A$6:$BG$36,58,0)</f>
        <v>0</v>
      </c>
      <c r="T19" s="36">
        <f>VLOOKUP($A19,[18]HISTOJUIN23!$A$6:$AU$36,28,0)</f>
        <v>0</v>
      </c>
      <c r="U19" s="36">
        <f>VLOOKUP($A19,[18]HISTOJUIN23!$A$6:$AU$36,19,0)</f>
        <v>0</v>
      </c>
      <c r="V19" s="36">
        <f>VLOOKUP($A19,[18]HISTOJUIN23!$A$6:$AU$36,20,0)</f>
        <v>0</v>
      </c>
      <c r="W19" s="36">
        <f>VLOOKUP($A19,[18]HISTOJUIN23!$A$6:$AU$36,27,0)</f>
        <v>0</v>
      </c>
      <c r="X19" s="36">
        <f>VLOOKUP($A19,[18]HISTOJUIN23!$A$6:$BM$36,33,0)</f>
        <v>0</v>
      </c>
      <c r="Y19" s="36">
        <f>VLOOKUP($A19,[18]HISTOJUIN23!$A$6:$BM$36,65,0)</f>
        <v>0</v>
      </c>
      <c r="Z19" s="36"/>
      <c r="AA19" s="36">
        <f>VLOOKUP($A19,[18]HISTOJUIN23!$A$6:$AU$36,43,0)</f>
        <v>0</v>
      </c>
      <c r="AB19" s="36">
        <f>VLOOKUP($A19,[18]HISTOJUIN23!$A$6:$AU$36,44,0)</f>
        <v>0</v>
      </c>
      <c r="AC19" s="36">
        <f>VLOOKUP($A19,[18]HISTOJUIN23!$A$6:$AU$36,47,0)</f>
        <v>0</v>
      </c>
      <c r="AD19" s="36">
        <f>VLOOKUP(A19,[18]HISTOJUIN23!$A$6:$BB$36,54,0)</f>
        <v>0</v>
      </c>
      <c r="AE19" s="36">
        <f>VLOOKUP($A19,[18]HISTOJUIN23!$A$6:$CA$36,60,0)</f>
        <v>0</v>
      </c>
      <c r="AF19" s="36">
        <f>VLOOKUP($A19,[18]HISTOJUIN23!$A$6:$CA$36,61,0)</f>
        <v>0</v>
      </c>
      <c r="AG19" s="36">
        <f>VLOOKUP($A19,[18]HISTOJUIN23!$A$6:$CA$36,62,0)</f>
        <v>0</v>
      </c>
      <c r="AH19" s="36">
        <f>VLOOKUP($A19,[18]HISTOJUIN23!$A$6:$CA$36,63,0)</f>
        <v>0</v>
      </c>
      <c r="AI19" s="36">
        <f>VLOOKUP($A19,[18]HISTOJUIN23!$A$6:$CA$36,64,0)</f>
        <v>0</v>
      </c>
      <c r="AJ19" s="36">
        <f>VLOOKUP($A19,[18]HISTOJUIN23!$A$6:$CA$36,65,0)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VLOOKUP($A20,[18]HISTOJUIN23!$A$6:$BA$36,48,0)</f>
        <v>0</v>
      </c>
      <c r="F20" s="5">
        <f>MVTMAI23!F20+MVTMAI23!G20-MVTJUIN23!E20+K20</f>
        <v>748585.67731570592</v>
      </c>
      <c r="G20" s="6">
        <v>2371.0495881116763</v>
      </c>
      <c r="H20" s="6">
        <f t="shared" si="0"/>
        <v>750956.72690381762</v>
      </c>
      <c r="I20" s="36">
        <f>VLOOKUP($A20,[18]HISTOJUIN23!$A$6:$AQ$40,22,0)</f>
        <v>0</v>
      </c>
      <c r="J20" s="36">
        <f>VLOOKUP($A20,[18]HISTOJUIN23!$A$6:$AU$36,45,0)</f>
        <v>14000</v>
      </c>
      <c r="K20" s="36">
        <f t="shared" si="1"/>
        <v>8000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VLOOKUP($A20,[18]HISTOJUIN23!$A$6:$AU$36,7,0)</f>
        <v>0</v>
      </c>
      <c r="P20" s="36">
        <f>VLOOKUP($A20,[18]HISTOJUIN23!$A$6:$AU$36,23,0)</f>
        <v>0</v>
      </c>
      <c r="Q20" s="36">
        <f>VLOOKUP($A20,[18]HISTOJUIN23!$A$6:$AU$36,46,0)</f>
        <v>0</v>
      </c>
      <c r="R20" s="36">
        <f>VLOOKUP($A20,[18]HISTOJUIN23!$A$6:$AU$36,26,0)</f>
        <v>0</v>
      </c>
      <c r="S20" s="36">
        <f>VLOOKUP($A20,[18]HISTOJUIN23!$A$6:$BG$36,58,0)</f>
        <v>0</v>
      </c>
      <c r="T20" s="36">
        <f>VLOOKUP($A20,[18]HISTOJUIN23!$A$6:$AU$36,28,0)</f>
        <v>0</v>
      </c>
      <c r="U20" s="36">
        <f>VLOOKUP($A20,[18]HISTOJUIN23!$A$6:$AU$36,19,0)</f>
        <v>0</v>
      </c>
      <c r="V20" s="36">
        <f>VLOOKUP($A20,[18]HISTOJUIN23!$A$6:$AU$36,20,0)</f>
        <v>0</v>
      </c>
      <c r="W20" s="36">
        <f>VLOOKUP($A20,[18]HISTOJUIN23!$A$6:$AU$36,27,0)</f>
        <v>0</v>
      </c>
      <c r="X20" s="36">
        <f>VLOOKUP($A20,[18]HISTOJUIN23!$A$6:$BM$36,33,0)</f>
        <v>0</v>
      </c>
      <c r="Y20" s="36">
        <f>VLOOKUP($A20,[18]HISTOJUIN23!$A$6:$BM$36,65,0)</f>
        <v>0</v>
      </c>
      <c r="Z20" s="36"/>
      <c r="AA20" s="36">
        <f>VLOOKUP($A20,[18]HISTOJUIN23!$A$6:$AU$36,43,0)</f>
        <v>0</v>
      </c>
      <c r="AB20" s="36">
        <f>VLOOKUP($A20,[18]HISTOJUIN23!$A$6:$AU$36,44,0)</f>
        <v>0</v>
      </c>
      <c r="AC20" s="36">
        <f>VLOOKUP($A20,[18]HISTOJUIN23!$A$6:$AU$36,47,0)</f>
        <v>0</v>
      </c>
      <c r="AD20" s="36">
        <f>VLOOKUP(A20,[18]HISTOJUIN23!$A$6:$BB$36,54,0)</f>
        <v>0</v>
      </c>
      <c r="AE20" s="36">
        <f>VLOOKUP($A20,[18]HISTOJUIN23!$A$6:$CA$36,60,0)</f>
        <v>0</v>
      </c>
      <c r="AF20" s="36">
        <f>VLOOKUP($A20,[18]HISTOJUIN23!$A$6:$CA$36,61,0)</f>
        <v>0</v>
      </c>
      <c r="AG20" s="36">
        <f>VLOOKUP($A20,[18]HISTOJUIN23!$A$6:$CA$36,62,0)</f>
        <v>0</v>
      </c>
      <c r="AH20" s="36">
        <f>VLOOKUP($A20,[18]HISTOJUIN23!$A$6:$CA$36,63,0)</f>
        <v>0</v>
      </c>
      <c r="AI20" s="36">
        <f>VLOOKUP($A20,[18]HISTOJUIN23!$A$6:$CA$36,64,0)</f>
        <v>0</v>
      </c>
      <c r="AJ20" s="36">
        <f>VLOOKUP($A20,[18]HISTOJUIN23!$A$6:$CA$36,65,0)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VLOOKUP($A21,[18]HISTOJUIN23!$A$6:$BA$36,48,0)</f>
        <v>0</v>
      </c>
      <c r="F21" s="5">
        <f>MVTMAI23!F21+MVTMAI23!G21-MVTJUIN23!E21+K21</f>
        <v>755479.46058488206</v>
      </c>
      <c r="G21" s="6">
        <v>2392.8847667374857</v>
      </c>
      <c r="H21" s="6">
        <f t="shared" si="0"/>
        <v>757872.34535161953</v>
      </c>
      <c r="I21" s="36">
        <f>VLOOKUP($A21,[18]HISTOJUIN23!$A$6:$AQ$40,22,0)</f>
        <v>0</v>
      </c>
      <c r="J21" s="36">
        <f>VLOOKUP($A21,[18]HISTOJUIN23!$A$6:$AU$36,45,0)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VLOOKUP($A21,[18]HISTOJUIN23!$A$6:$AU$36,7,0)</f>
        <v>0</v>
      </c>
      <c r="P21" s="36">
        <f>VLOOKUP($A21,[18]HISTOJUIN23!$A$6:$AU$36,23,0)</f>
        <v>0</v>
      </c>
      <c r="Q21" s="36">
        <f>VLOOKUP($A21,[18]HISTOJUIN23!$A$6:$AU$36,46,0)</f>
        <v>0</v>
      </c>
      <c r="R21" s="36">
        <f>VLOOKUP($A21,[18]HISTOJUIN23!$A$6:$AU$36,26,0)</f>
        <v>0</v>
      </c>
      <c r="S21" s="36">
        <f>VLOOKUP($A21,[18]HISTOJUIN23!$A$6:$BG$36,58,0)</f>
        <v>0</v>
      </c>
      <c r="T21" s="36">
        <f>VLOOKUP($A21,[18]HISTOJUIN23!$A$6:$AU$36,28,0)</f>
        <v>0</v>
      </c>
      <c r="U21" s="36">
        <f>VLOOKUP($A21,[18]HISTOJUIN23!$A$6:$AU$36,19,0)</f>
        <v>0</v>
      </c>
      <c r="V21" s="36">
        <f>VLOOKUP($A21,[18]HISTOJUIN23!$A$6:$AU$36,20,0)</f>
        <v>0</v>
      </c>
      <c r="W21" s="36">
        <f>VLOOKUP($A21,[18]HISTOJUIN23!$A$6:$AU$36,27,0)</f>
        <v>0</v>
      </c>
      <c r="X21" s="36">
        <f>VLOOKUP($A21,[18]HISTOJUIN23!$A$6:$BM$36,33,0)</f>
        <v>0</v>
      </c>
      <c r="Y21" s="36">
        <f>VLOOKUP($A21,[18]HISTOJUIN23!$A$6:$BM$36,65,0)</f>
        <v>0</v>
      </c>
      <c r="Z21" s="36"/>
      <c r="AA21" s="36">
        <f>VLOOKUP($A21,[18]HISTOJUIN23!$A$6:$AU$36,43,0)</f>
        <v>0</v>
      </c>
      <c r="AB21" s="36">
        <f>VLOOKUP($A21,[18]HISTOJUIN23!$A$6:$AU$36,44,0)</f>
        <v>0</v>
      </c>
      <c r="AC21" s="36">
        <f>VLOOKUP($A21,[18]HISTOJUIN23!$A$6:$AU$36,47,0)</f>
        <v>0</v>
      </c>
      <c r="AD21" s="36">
        <f>VLOOKUP(A21,[18]HISTOJUIN23!$A$6:$BB$36,54,0)</f>
        <v>0</v>
      </c>
      <c r="AE21" s="36">
        <f>VLOOKUP($A21,[18]HISTOJUIN23!$A$6:$CA$36,60,0)</f>
        <v>0</v>
      </c>
      <c r="AF21" s="36">
        <f>VLOOKUP($A21,[18]HISTOJUIN23!$A$6:$CA$36,61,0)</f>
        <v>0</v>
      </c>
      <c r="AG21" s="36">
        <f>VLOOKUP($A21,[18]HISTOJUIN23!$A$6:$CA$36,62,0)</f>
        <v>0</v>
      </c>
      <c r="AH21" s="36">
        <f>VLOOKUP($A21,[18]HISTOJUIN23!$A$6:$CA$36,63,0)</f>
        <v>0</v>
      </c>
      <c r="AI21" s="36">
        <f>VLOOKUP($A21,[18]HISTOJUIN23!$A$6:$CA$36,64,0)</f>
        <v>0</v>
      </c>
      <c r="AJ21" s="36">
        <f>VLOOKUP($A21,[18]HISTOJUIN23!$A$6:$CA$36,65,0)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VLOOKUP($A22,[18]HISTOJUIN23!$A$6:$BA$36,48,0)</f>
        <v>0</v>
      </c>
      <c r="F22" s="5">
        <f>MVTMAI23!F22+MVTMAI23!G22-MVTJUIN23!E22+K22</f>
        <v>851892.99496674177</v>
      </c>
      <c r="G22" s="6">
        <v>2698.2623312725468</v>
      </c>
      <c r="H22" s="6">
        <f t="shared" si="0"/>
        <v>854591.25729801436</v>
      </c>
      <c r="I22" s="36">
        <f>VLOOKUP($A22,[18]HISTOJUIN23!$A$6:$AQ$40,22,0)</f>
        <v>0</v>
      </c>
      <c r="J22" s="36">
        <f>VLOOKUP($A22,[18]HISTOJUIN23!$A$6:$AU$36,45,0)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VLOOKUP($A22,[18]HISTOJUIN23!$A$6:$AU$36,7,0)</f>
        <v>0</v>
      </c>
      <c r="P22" s="36">
        <f>VLOOKUP($A22,[18]HISTOJUIN23!$A$6:$AU$36,23,0)</f>
        <v>0</v>
      </c>
      <c r="Q22" s="36">
        <f>VLOOKUP($A22,[18]HISTOJUIN23!$A$6:$AU$36,46,0)</f>
        <v>0</v>
      </c>
      <c r="R22" s="36">
        <f>VLOOKUP($A22,[18]HISTOJUIN23!$A$6:$AU$36,26,0)</f>
        <v>0</v>
      </c>
      <c r="S22" s="36">
        <f>VLOOKUP($A22,[18]HISTOJUIN23!$A$6:$BG$36,58,0)</f>
        <v>0</v>
      </c>
      <c r="T22" s="36">
        <f>VLOOKUP($A22,[18]HISTOJUIN23!$A$6:$AU$36,28,0)</f>
        <v>0</v>
      </c>
      <c r="U22" s="36">
        <f>VLOOKUP($A22,[18]HISTOJUIN23!$A$6:$AU$36,19,0)</f>
        <v>0</v>
      </c>
      <c r="V22" s="36">
        <f>VLOOKUP($A22,[18]HISTOJUIN23!$A$6:$AU$36,20,0)</f>
        <v>0</v>
      </c>
      <c r="W22" s="36">
        <f>VLOOKUP($A22,[18]HISTOJUIN23!$A$6:$AU$36,27,0)</f>
        <v>0</v>
      </c>
      <c r="X22" s="36">
        <f>VLOOKUP($A22,[18]HISTOJUIN23!$A$6:$BM$36,33,0)</f>
        <v>0</v>
      </c>
      <c r="Y22" s="36">
        <f>VLOOKUP($A22,[18]HISTOJUIN23!$A$6:$BM$36,65,0)</f>
        <v>0</v>
      </c>
      <c r="Z22" s="36"/>
      <c r="AA22" s="36">
        <f>VLOOKUP($A22,[18]HISTOJUIN23!$A$6:$AU$36,43,0)</f>
        <v>0</v>
      </c>
      <c r="AB22" s="36">
        <f>VLOOKUP($A22,[18]HISTOJUIN23!$A$6:$AU$36,44,0)</f>
        <v>0</v>
      </c>
      <c r="AC22" s="36">
        <f>VLOOKUP($A22,[18]HISTOJUIN23!$A$6:$AU$36,47,0)</f>
        <v>0</v>
      </c>
      <c r="AD22" s="36">
        <f>VLOOKUP(A22,[18]HISTOJUIN23!$A$6:$BB$36,54,0)</f>
        <v>70000</v>
      </c>
      <c r="AE22" s="36">
        <f>VLOOKUP($A22,[18]HISTOJUIN23!$A$6:$CA$36,60,0)</f>
        <v>0</v>
      </c>
      <c r="AF22" s="36">
        <f>VLOOKUP($A22,[18]HISTOJUIN23!$A$6:$CA$36,61,0)</f>
        <v>0</v>
      </c>
      <c r="AG22" s="36">
        <f>VLOOKUP($A22,[18]HISTOJUIN23!$A$6:$CA$36,62,0)</f>
        <v>0</v>
      </c>
      <c r="AH22" s="36">
        <f>VLOOKUP($A22,[18]HISTOJUIN23!$A$6:$CA$36,63,0)</f>
        <v>0</v>
      </c>
      <c r="AI22" s="36">
        <f>VLOOKUP($A22,[18]HISTOJUIN23!$A$6:$CA$36,64,0)</f>
        <v>0</v>
      </c>
      <c r="AJ22" s="36">
        <f>VLOOKUP($A22,[18]HISTOJUIN23!$A$6:$CA$36,65,0)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VLOOKUP($A23,[18]HISTOJUIN23!$A$6:$BA$36,48,0)</f>
        <v>0</v>
      </c>
      <c r="F23" s="5">
        <f>MVTMAI23!F23+MVTMAI23!G23-MVTJUIN23!E23+K23</f>
        <v>1065510.9389737246</v>
      </c>
      <c r="G23" s="6">
        <v>3374.8699040586484</v>
      </c>
      <c r="H23" s="6">
        <f t="shared" si="0"/>
        <v>1068885.8088777834</v>
      </c>
      <c r="I23" s="36">
        <f>VLOOKUP($A23,[18]HISTOJUIN23!$A$6:$AQ$40,22,0)</f>
        <v>0</v>
      </c>
      <c r="J23" s="36">
        <f>VLOOKUP($A23,[18]HISTOJUIN23!$A$6:$AU$36,45,0)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VLOOKUP($A23,[18]HISTOJUIN23!$A$6:$AU$36,7,0)</f>
        <v>0</v>
      </c>
      <c r="P23" s="36">
        <f>VLOOKUP($A23,[18]HISTOJUIN23!$A$6:$AU$36,23,0)</f>
        <v>0</v>
      </c>
      <c r="Q23" s="36">
        <f>VLOOKUP($A23,[18]HISTOJUIN23!$A$6:$AU$36,46,0)</f>
        <v>0</v>
      </c>
      <c r="R23" s="36">
        <f>VLOOKUP($A23,[18]HISTOJUIN23!$A$6:$AU$36,26,0)</f>
        <v>0</v>
      </c>
      <c r="S23" s="36">
        <f>VLOOKUP($A23,[18]HISTOJUIN23!$A$6:$BG$36,58,0)</f>
        <v>0</v>
      </c>
      <c r="T23" s="36">
        <f>VLOOKUP($A23,[18]HISTOJUIN23!$A$6:$AU$36,28,0)</f>
        <v>0</v>
      </c>
      <c r="U23" s="36">
        <f>VLOOKUP($A23,[18]HISTOJUIN23!$A$6:$AU$36,19,0)</f>
        <v>0</v>
      </c>
      <c r="V23" s="36">
        <f>VLOOKUP($A23,[18]HISTOJUIN23!$A$6:$AU$36,20,0)</f>
        <v>0</v>
      </c>
      <c r="W23" s="36">
        <f>VLOOKUP($A23,[18]HISTOJUIN23!$A$6:$AU$36,27,0)</f>
        <v>0</v>
      </c>
      <c r="X23" s="36">
        <f>VLOOKUP($A23,[18]HISTOJUIN23!$A$6:$BM$36,33,0)</f>
        <v>0</v>
      </c>
      <c r="Y23" s="36">
        <f>VLOOKUP($A23,[18]HISTOJUIN23!$A$6:$BM$36,65,0)</f>
        <v>0</v>
      </c>
      <c r="Z23" s="36"/>
      <c r="AA23" s="36">
        <f>VLOOKUP($A23,[18]HISTOJUIN23!$A$6:$AU$36,43,0)</f>
        <v>0</v>
      </c>
      <c r="AB23" s="36">
        <f>VLOOKUP($A23,[18]HISTOJUIN23!$A$6:$AU$36,44,0)</f>
        <v>0</v>
      </c>
      <c r="AC23" s="36">
        <f>VLOOKUP($A23,[18]HISTOJUIN23!$A$6:$AU$36,47,0)</f>
        <v>0</v>
      </c>
      <c r="AD23" s="36">
        <f>VLOOKUP(A23,[18]HISTOJUIN23!$A$6:$BB$36,54,0)</f>
        <v>0</v>
      </c>
      <c r="AE23" s="36">
        <f>VLOOKUP($A23,[18]HISTOJUIN23!$A$6:$CA$36,60,0)</f>
        <v>0</v>
      </c>
      <c r="AF23" s="36">
        <f>VLOOKUP($A23,[18]HISTOJUIN23!$A$6:$CA$36,61,0)</f>
        <v>0</v>
      </c>
      <c r="AG23" s="36">
        <f>VLOOKUP($A23,[18]HISTOJUIN23!$A$6:$CA$36,62,0)</f>
        <v>0</v>
      </c>
      <c r="AH23" s="36">
        <f>VLOOKUP($A23,[18]HISTOJUIN23!$A$6:$CA$36,63,0)</f>
        <v>0</v>
      </c>
      <c r="AI23" s="36">
        <f>VLOOKUP($A23,[18]HISTOJUIN23!$A$6:$CA$36,64,0)</f>
        <v>0</v>
      </c>
      <c r="AJ23" s="36">
        <f>VLOOKUP($A23,[18]HISTOJUIN23!$A$6:$CA$36,65,0)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VLOOKUP($A24,[18]HISTOJUIN23!$A$6:$BA$36,48,0)</f>
        <v>0</v>
      </c>
      <c r="F24" s="5">
        <f>MVTMAI23!F24+MVTMAI23!G24-MVTJUIN23!E24+K24</f>
        <v>740055.32639820385</v>
      </c>
      <c r="G24" s="6">
        <v>2344.0307903410353</v>
      </c>
      <c r="H24" s="6">
        <f t="shared" si="0"/>
        <v>742399.35718854493</v>
      </c>
      <c r="I24" s="36">
        <f>VLOOKUP($A24,[18]HISTOJUIN23!$A$6:$AQ$40,22,0)</f>
        <v>0</v>
      </c>
      <c r="J24" s="36">
        <f>VLOOKUP($A24,[18]HISTOJUIN23!$A$6:$AU$36,45,0)</f>
        <v>15000</v>
      </c>
      <c r="K24" s="36">
        <f t="shared" si="1"/>
        <v>9000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VLOOKUP($A24,[18]HISTOJUIN23!$A$6:$AU$36,7,0)</f>
        <v>0</v>
      </c>
      <c r="P24" s="36">
        <f>VLOOKUP($A24,[18]HISTOJUIN23!$A$6:$AU$36,23,0)</f>
        <v>0</v>
      </c>
      <c r="Q24" s="36">
        <f>VLOOKUP($A24,[18]HISTOJUIN23!$A$6:$AU$36,46,0)</f>
        <v>0</v>
      </c>
      <c r="R24" s="36">
        <f>VLOOKUP($A24,[18]HISTOJUIN23!$A$6:$AU$36,26,0)</f>
        <v>0</v>
      </c>
      <c r="S24" s="36">
        <f>VLOOKUP($A24,[18]HISTOJUIN23!$A$6:$BG$36,58,0)</f>
        <v>0</v>
      </c>
      <c r="T24" s="36">
        <f>VLOOKUP($A24,[18]HISTOJUIN23!$A$6:$AU$36,28,0)</f>
        <v>0</v>
      </c>
      <c r="U24" s="36">
        <f>VLOOKUP($A24,[18]HISTOJUIN23!$A$6:$AU$36,19,0)</f>
        <v>0</v>
      </c>
      <c r="V24" s="36">
        <f>VLOOKUP($A24,[18]HISTOJUIN23!$A$6:$AU$36,20,0)</f>
        <v>0</v>
      </c>
      <c r="W24" s="36">
        <f>VLOOKUP($A24,[18]HISTOJUIN23!$A$6:$AU$36,27,0)</f>
        <v>0</v>
      </c>
      <c r="X24" s="36">
        <f>VLOOKUP($A24,[18]HISTOJUIN23!$A$6:$BM$36,33,0)</f>
        <v>0</v>
      </c>
      <c r="Y24" s="36">
        <f>VLOOKUP($A24,[18]HISTOJUIN23!$A$6:$BM$36,65,0)</f>
        <v>0</v>
      </c>
      <c r="Z24" s="36"/>
      <c r="AA24" s="36">
        <f>VLOOKUP($A24,[18]HISTOJUIN23!$A$6:$AU$36,43,0)</f>
        <v>0</v>
      </c>
      <c r="AB24" s="36">
        <f>VLOOKUP($A24,[18]HISTOJUIN23!$A$6:$AU$36,44,0)</f>
        <v>0</v>
      </c>
      <c r="AC24" s="36">
        <f>VLOOKUP($A24,[18]HISTOJUIN23!$A$6:$AU$36,47,0)</f>
        <v>0</v>
      </c>
      <c r="AD24" s="36">
        <f>VLOOKUP(A24,[18]HISTOJUIN23!$A$6:$BB$36,54,0)</f>
        <v>0</v>
      </c>
      <c r="AE24" s="36">
        <f>VLOOKUP($A24,[18]HISTOJUIN23!$A$6:$CA$36,60,0)</f>
        <v>0</v>
      </c>
      <c r="AF24" s="36">
        <f>VLOOKUP($A24,[18]HISTOJUIN23!$A$6:$CA$36,61,0)</f>
        <v>0</v>
      </c>
      <c r="AG24" s="36">
        <f>VLOOKUP($A24,[18]HISTOJUIN23!$A$6:$CA$36,62,0)</f>
        <v>0</v>
      </c>
      <c r="AH24" s="36">
        <f>VLOOKUP($A24,[18]HISTOJUIN23!$A$6:$CA$36,63,0)</f>
        <v>0</v>
      </c>
      <c r="AI24" s="36">
        <f>VLOOKUP($A24,[18]HISTOJUIN23!$A$6:$CA$36,64,0)</f>
        <v>0</v>
      </c>
      <c r="AJ24" s="36">
        <f>VLOOKUP($A24,[18]HISTOJUIN23!$A$6:$CA$36,65,0)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VLOOKUP($A25,[18]HISTOJUIN23!$A$6:$BA$36,48,0)</f>
        <v>0</v>
      </c>
      <c r="F25" s="5">
        <f>MVTMAI23!F25+MVTMAI23!G25-MVTJUIN23!E25+K25</f>
        <v>723792.91026930476</v>
      </c>
      <c r="G25" s="6">
        <v>2292.5216628856547</v>
      </c>
      <c r="H25" s="6">
        <f t="shared" si="0"/>
        <v>726085.43193219043</v>
      </c>
      <c r="I25" s="36">
        <f>VLOOKUP($A25,[18]HISTOJUIN23!$A$6:$AQ$40,22,0)</f>
        <v>0</v>
      </c>
      <c r="J25" s="36">
        <f>VLOOKUP($A25,[18]HISTOJUIN23!$A$6:$AU$36,45,0)</f>
        <v>24000</v>
      </c>
      <c r="K25" s="36">
        <f t="shared" si="1"/>
        <v>18000</v>
      </c>
      <c r="L25" s="36">
        <f t="shared" si="3"/>
        <v>1000</v>
      </c>
      <c r="M25" s="36">
        <f t="shared" si="2"/>
        <v>1000</v>
      </c>
      <c r="N25" s="36">
        <f t="shared" si="4"/>
        <v>4000</v>
      </c>
      <c r="O25" s="36">
        <f>VLOOKUP($A25,[18]HISTOJUIN23!$A$6:$AU$36,7,0)</f>
        <v>0</v>
      </c>
      <c r="P25" s="36">
        <f>VLOOKUP($A25,[18]HISTOJUIN23!$A$6:$AU$36,23,0)</f>
        <v>0</v>
      </c>
      <c r="Q25" s="36">
        <f>VLOOKUP($A25,[18]HISTOJUIN23!$A$6:$AU$36,46,0)</f>
        <v>0</v>
      </c>
      <c r="R25" s="36">
        <f>VLOOKUP($A25,[18]HISTOJUIN23!$A$6:$AU$36,26,0)</f>
        <v>0</v>
      </c>
      <c r="S25" s="36">
        <f>VLOOKUP($A25,[18]HISTOJUIN23!$A$6:$BG$36,58,0)</f>
        <v>0</v>
      </c>
      <c r="T25" s="36">
        <f>VLOOKUP($A25,[18]HISTOJUIN23!$A$6:$AU$36,28,0)</f>
        <v>0</v>
      </c>
      <c r="U25" s="36">
        <f>VLOOKUP($A25,[18]HISTOJUIN23!$A$6:$AU$36,19,0)</f>
        <v>0</v>
      </c>
      <c r="V25" s="36">
        <f>VLOOKUP($A25,[18]HISTOJUIN23!$A$6:$AU$36,20,0)</f>
        <v>0</v>
      </c>
      <c r="W25" s="36">
        <f>VLOOKUP($A25,[18]HISTOJUIN23!$A$6:$AU$36,27,0)</f>
        <v>0</v>
      </c>
      <c r="X25" s="36">
        <f>VLOOKUP($A25,[18]HISTOJUIN23!$A$6:$BM$36,33,0)</f>
        <v>0</v>
      </c>
      <c r="Y25" s="36">
        <f>VLOOKUP($A25,[18]HISTOJUIN23!$A$6:$BM$36,65,0)</f>
        <v>0</v>
      </c>
      <c r="Z25" s="36"/>
      <c r="AA25" s="36">
        <f>VLOOKUP($A25,[18]HISTOJUIN23!$A$6:$AU$36,43,0)</f>
        <v>0</v>
      </c>
      <c r="AB25" s="36">
        <f>VLOOKUP($A25,[18]HISTOJUIN23!$A$6:$AU$36,44,0)</f>
        <v>0</v>
      </c>
      <c r="AC25" s="36">
        <f>VLOOKUP($A25,[18]HISTOJUIN23!$A$6:$AU$36,47,0)</f>
        <v>0</v>
      </c>
      <c r="AD25" s="36">
        <f>VLOOKUP(A25,[18]HISTOJUIN23!$A$6:$BB$36,54,0)</f>
        <v>0</v>
      </c>
      <c r="AE25" s="36">
        <f>VLOOKUP($A25,[18]HISTOJUIN23!$A$6:$CA$36,60,0)</f>
        <v>0</v>
      </c>
      <c r="AF25" s="36">
        <f>VLOOKUP($A25,[18]HISTOJUIN23!$A$6:$CA$36,61,0)</f>
        <v>0</v>
      </c>
      <c r="AG25" s="36">
        <f>VLOOKUP($A25,[18]HISTOJUIN23!$A$6:$CA$36,62,0)</f>
        <v>0</v>
      </c>
      <c r="AH25" s="36">
        <f>VLOOKUP($A25,[18]HISTOJUIN23!$A$6:$CA$36,63,0)</f>
        <v>0</v>
      </c>
      <c r="AI25" s="36">
        <f>VLOOKUP($A25,[18]HISTOJUIN23!$A$6:$CA$36,64,0)</f>
        <v>0</v>
      </c>
      <c r="AJ25" s="36">
        <f>VLOOKUP($A25,[18]HISTOJUIN23!$A$6:$CA$36,65,0)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VLOOKUP($A26,[18]HISTOJUIN23!$A$6:$BA$36,48,0)</f>
        <v>0</v>
      </c>
      <c r="F26" s="5">
        <f>MVTMAI23!F26+MVTMAI23!G26-MVTJUIN23!E26+K26</f>
        <v>700836.96292972961</v>
      </c>
      <c r="G26" s="6">
        <v>2219.8116296408457</v>
      </c>
      <c r="H26" s="6">
        <f t="shared" si="0"/>
        <v>703056.77455937047</v>
      </c>
      <c r="I26" s="36">
        <f>VLOOKUP($A26,[18]HISTOJUIN23!$A$6:$AQ$40,22,0)</f>
        <v>0</v>
      </c>
      <c r="J26" s="36">
        <f>VLOOKUP($A26,[18]HISTOJUIN23!$A$6:$AU$36,45,0)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VLOOKUP($A26,[18]HISTOJUIN23!$A$6:$AU$36,7,0)</f>
        <v>0</v>
      </c>
      <c r="P26" s="36">
        <f>VLOOKUP($A26,[18]HISTOJUIN23!$A$6:$AU$36,23,0)</f>
        <v>0</v>
      </c>
      <c r="Q26" s="36">
        <f>VLOOKUP($A26,[18]HISTOJUIN23!$A$6:$AU$36,46,0)</f>
        <v>0</v>
      </c>
      <c r="R26" s="36">
        <f>VLOOKUP($A26,[18]HISTOJUIN23!$A$6:$AU$36,26,0)</f>
        <v>0</v>
      </c>
      <c r="S26" s="36">
        <f>VLOOKUP($A26,[18]HISTOJUIN23!$A$6:$BG$36,58,0)</f>
        <v>0</v>
      </c>
      <c r="T26" s="36">
        <f>VLOOKUP($A26,[18]HISTOJUIN23!$A$6:$AU$36,28,0)</f>
        <v>0</v>
      </c>
      <c r="U26" s="36">
        <f>VLOOKUP($A26,[18]HISTOJUIN23!$A$6:$AU$36,19,0)</f>
        <v>0</v>
      </c>
      <c r="V26" s="36">
        <f>VLOOKUP($A26,[18]HISTOJUIN23!$A$6:$AU$36,20,0)</f>
        <v>0</v>
      </c>
      <c r="W26" s="36">
        <f>VLOOKUP($A26,[18]HISTOJUIN23!$A$6:$AU$36,27,0)</f>
        <v>0</v>
      </c>
      <c r="X26" s="36">
        <f>VLOOKUP($A26,[18]HISTOJUIN23!$A$6:$BM$36,33,0)</f>
        <v>0</v>
      </c>
      <c r="Y26" s="36">
        <f>VLOOKUP($A26,[18]HISTOJUIN23!$A$6:$BM$36,65,0)</f>
        <v>0</v>
      </c>
      <c r="Z26" s="36"/>
      <c r="AA26" s="36">
        <f>VLOOKUP($A26,[18]HISTOJUIN23!$A$6:$AU$36,43,0)</f>
        <v>0</v>
      </c>
      <c r="AB26" s="36">
        <f>VLOOKUP($A26,[18]HISTOJUIN23!$A$6:$AU$36,44,0)</f>
        <v>0</v>
      </c>
      <c r="AC26" s="36">
        <f>VLOOKUP($A26,[18]HISTOJUIN23!$A$6:$AU$36,47,0)</f>
        <v>0</v>
      </c>
      <c r="AD26" s="36">
        <f>VLOOKUP(A26,[18]HISTOJUIN23!$A$6:$BB$36,54,0)</f>
        <v>0</v>
      </c>
      <c r="AE26" s="36">
        <f>VLOOKUP($A26,[18]HISTOJUIN23!$A$6:$CA$36,60,0)</f>
        <v>0</v>
      </c>
      <c r="AF26" s="36">
        <f>VLOOKUP($A26,[18]HISTOJUIN23!$A$6:$CA$36,61,0)</f>
        <v>0</v>
      </c>
      <c r="AG26" s="36">
        <f>VLOOKUP($A26,[18]HISTOJUIN23!$A$6:$CA$36,62,0)</f>
        <v>0</v>
      </c>
      <c r="AH26" s="36">
        <f>VLOOKUP($A26,[18]HISTOJUIN23!$A$6:$CA$36,63,0)</f>
        <v>0</v>
      </c>
      <c r="AI26" s="36">
        <f>VLOOKUP($A26,[18]HISTOJUIN23!$A$6:$CA$36,64,0)</f>
        <v>0</v>
      </c>
      <c r="AJ26" s="36">
        <f>VLOOKUP($A26,[18]HISTOJUIN23!$A$6:$CA$36,65,0)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VLOOKUP($A27,[18]HISTOJUIN23!$A$6:$BA$36,48,0)</f>
        <v>0</v>
      </c>
      <c r="F27" s="5">
        <f>MVTMAI23!F27+MVTMAI23!G27-MVTJUIN23!E27+K27</f>
        <v>479000</v>
      </c>
      <c r="G27" s="6">
        <v>0</v>
      </c>
      <c r="H27" s="6">
        <f>F27+G27</f>
        <v>479000</v>
      </c>
      <c r="I27" s="36">
        <f>VLOOKUP($A27,[18]HISTOJUIN23!$A$6:$AQ$40,22,0)</f>
        <v>0</v>
      </c>
      <c r="J27" s="36">
        <f>VLOOKUP($A27,[18]HISTOJUIN23!$A$6:$AU$36,45,0)</f>
        <v>20000</v>
      </c>
      <c r="K27" s="36">
        <f t="shared" si="1"/>
        <v>14000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VLOOKUP($A27,[18]HISTOJUIN23!$A$6:$AU$36,7,0)</f>
        <v>0</v>
      </c>
      <c r="P27" s="36">
        <f>VLOOKUP($A27,[18]HISTOJUIN23!$A$6:$AU$36,23,0)</f>
        <v>0</v>
      </c>
      <c r="Q27" s="36">
        <f>VLOOKUP($A27,[18]HISTOJUIN23!$A$6:$AU$36,46,0)</f>
        <v>0</v>
      </c>
      <c r="R27" s="36">
        <f>VLOOKUP($A27,[18]HISTOJUIN23!$A$6:$AU$36,26,0)</f>
        <v>0</v>
      </c>
      <c r="S27" s="36">
        <f>VLOOKUP($A27,[18]HISTOJUIN23!$A$6:$BG$36,58,0)</f>
        <v>0</v>
      </c>
      <c r="T27" s="36">
        <f>VLOOKUP($A27,[18]HISTOJUIN23!$A$6:$AU$36,28,0)</f>
        <v>0</v>
      </c>
      <c r="U27" s="36">
        <f>VLOOKUP($A27,[18]HISTOJUIN23!$A$6:$AU$36,19,0)</f>
        <v>0</v>
      </c>
      <c r="V27" s="36">
        <f>VLOOKUP($A27,[18]HISTOJUIN23!$A$6:$AU$36,20,0)</f>
        <v>0</v>
      </c>
      <c r="W27" s="36">
        <f>VLOOKUP($A27,[18]HISTOJUIN23!$A$6:$AU$36,27,0)</f>
        <v>0</v>
      </c>
      <c r="X27" s="36">
        <f>VLOOKUP($A27,[18]HISTOJUIN23!$A$6:$BM$36,33,0)</f>
        <v>0</v>
      </c>
      <c r="Y27" s="36">
        <f>VLOOKUP($A27,[18]HISTOJUIN23!$A$6:$BM$36,65,0)</f>
        <v>0</v>
      </c>
      <c r="Z27" s="36"/>
      <c r="AA27" s="36">
        <f>VLOOKUP($A27,[18]HISTOJUIN23!$A$6:$AU$36,43,0)</f>
        <v>0</v>
      </c>
      <c r="AB27" s="36">
        <f>VLOOKUP($A27,[18]HISTOJUIN23!$A$6:$AU$36,44,0)</f>
        <v>0</v>
      </c>
      <c r="AC27" s="36">
        <f>VLOOKUP($A27,[18]HISTOJUIN23!$A$6:$AU$36,47,0)</f>
        <v>0</v>
      </c>
      <c r="AD27" s="36">
        <f>VLOOKUP(A27,[18]HISTOJUIN23!$A$6:$BB$36,54,0)</f>
        <v>0</v>
      </c>
      <c r="AE27" s="36">
        <f>VLOOKUP($A27,[18]HISTOJUIN23!$A$6:$CA$36,60,0)</f>
        <v>0</v>
      </c>
      <c r="AF27" s="36">
        <f>VLOOKUP($A27,[18]HISTOJUIN23!$A$6:$CA$36,61,0)</f>
        <v>0</v>
      </c>
      <c r="AG27" s="36">
        <f>VLOOKUP($A27,[18]HISTOJUIN23!$A$6:$CA$36,62,0)</f>
        <v>0</v>
      </c>
      <c r="AH27" s="36">
        <f>VLOOKUP($A27,[18]HISTOJUIN23!$A$6:$CA$36,63,0)</f>
        <v>0</v>
      </c>
      <c r="AI27" s="36">
        <f>VLOOKUP($A27,[18]HISTOJUIN23!$A$6:$CA$36,64,0)</f>
        <v>0</v>
      </c>
      <c r="AJ27" s="36">
        <f>VLOOKUP($A27,[18]HISTOJUIN23!$A$6:$CA$36,65,0)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VLOOKUP($A28,[18]HISTOJUIN23!$A$6:$BA$36,48,0)</f>
        <v>0</v>
      </c>
      <c r="F28" s="5">
        <f>MVTMAI23!F28+MVTMAI23!G28-MVTJUIN23!E28+K28</f>
        <v>723307.22504132893</v>
      </c>
      <c r="G28" s="6">
        <v>2290.983316915861</v>
      </c>
      <c r="H28" s="6">
        <f t="shared" ref="H28:H36" si="5">F28+G28</f>
        <v>725598.20835824474</v>
      </c>
      <c r="I28" s="36">
        <f>VLOOKUP($A28,[18]HISTOJUIN23!$A$6:$AQ$40,22,0)</f>
        <v>0</v>
      </c>
      <c r="J28" s="36">
        <f>VLOOKUP($A28,[18]HISTOJUIN23!$A$6:$AU$36,45,0)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VLOOKUP($A28,[18]HISTOJUIN23!$A$6:$AU$36,7,0)</f>
        <v>0</v>
      </c>
      <c r="P28" s="36">
        <f>VLOOKUP($A28,[18]HISTOJUIN23!$A$6:$AU$36,23,0)</f>
        <v>0</v>
      </c>
      <c r="Q28" s="36">
        <f>VLOOKUP($A28,[18]HISTOJUIN23!$A$6:$AU$36,46,0)</f>
        <v>0</v>
      </c>
      <c r="R28" s="36">
        <f>VLOOKUP($A28,[18]HISTOJUIN23!$A$6:$AU$36,26,0)</f>
        <v>0</v>
      </c>
      <c r="S28" s="36">
        <f>VLOOKUP($A28,[18]HISTOJUIN23!$A$6:$BG$36,58,0)</f>
        <v>0</v>
      </c>
      <c r="T28" s="36">
        <f>VLOOKUP($A28,[18]HISTOJUIN23!$A$6:$AU$36,28,0)</f>
        <v>0</v>
      </c>
      <c r="U28" s="36">
        <f>VLOOKUP($A28,[18]HISTOJUIN23!$A$6:$AU$36,19,0)</f>
        <v>0</v>
      </c>
      <c r="V28" s="36">
        <f>VLOOKUP($A28,[18]HISTOJUIN23!$A$6:$AU$36,20,0)</f>
        <v>0</v>
      </c>
      <c r="W28" s="36">
        <f>VLOOKUP($A28,[18]HISTOJUIN23!$A$6:$AU$36,27,0)</f>
        <v>0</v>
      </c>
      <c r="X28" s="36">
        <f>VLOOKUP($A28,[18]HISTOJUIN23!$A$6:$BM$36,33,0)</f>
        <v>0</v>
      </c>
      <c r="Y28" s="36">
        <f>VLOOKUP($A28,[18]HISTOJUIN23!$A$6:$BM$36,65,0)</f>
        <v>0</v>
      </c>
      <c r="Z28" s="36"/>
      <c r="AA28" s="36">
        <f>VLOOKUP($A28,[18]HISTOJUIN23!$A$6:$AU$36,43,0)</f>
        <v>0</v>
      </c>
      <c r="AB28" s="36">
        <f>VLOOKUP($A28,[18]HISTOJUIN23!$A$6:$AU$36,44,0)</f>
        <v>0</v>
      </c>
      <c r="AC28" s="36">
        <f>VLOOKUP($A28,[18]HISTOJUIN23!$A$6:$AU$36,47,0)</f>
        <v>0</v>
      </c>
      <c r="AD28" s="36">
        <f>VLOOKUP(A28,[18]HISTOJUIN23!$A$6:$BB$36,54,0)</f>
        <v>0</v>
      </c>
      <c r="AE28" s="36">
        <f>VLOOKUP($A28,[18]HISTOJUIN23!$A$6:$CA$36,60,0)</f>
        <v>0</v>
      </c>
      <c r="AF28" s="36">
        <f>VLOOKUP($A28,[18]HISTOJUIN23!$A$6:$CA$36,61,0)</f>
        <v>0</v>
      </c>
      <c r="AG28" s="36">
        <f>VLOOKUP($A28,[18]HISTOJUIN23!$A$6:$CA$36,62,0)</f>
        <v>0</v>
      </c>
      <c r="AH28" s="36">
        <f>VLOOKUP($A28,[18]HISTOJUIN23!$A$6:$CA$36,63,0)</f>
        <v>0</v>
      </c>
      <c r="AI28" s="36">
        <f>VLOOKUP($A28,[18]HISTOJUIN23!$A$6:$CA$36,64,0)</f>
        <v>0</v>
      </c>
      <c r="AJ28" s="36">
        <f>VLOOKUP($A28,[18]HISTOJUIN23!$A$6:$CA$36,65,0)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VLOOKUP($A29,[18]HISTOJUIN23!$A$6:$BA$36,48,0)</f>
        <v>0</v>
      </c>
      <c r="F29" s="5">
        <f>MVTMAI23!F29+MVTMAI23!G29-MVTJUIN23!E29+K29</f>
        <v>54000</v>
      </c>
      <c r="G29" s="6">
        <v>0</v>
      </c>
      <c r="H29" s="6">
        <f t="shared" si="5"/>
        <v>54000</v>
      </c>
      <c r="I29" s="36">
        <f>VLOOKUP($A29,[18]HISTOJUIN23!$A$6:$AQ$40,22,0)</f>
        <v>0</v>
      </c>
      <c r="J29" s="36">
        <f>VLOOKUP($A29,[18]HISTOJUIN23!$A$6:$AU$36,45,0)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VLOOKUP($A29,[18]HISTOJUIN23!$A$6:$AU$36,7,0)</f>
        <v>0</v>
      </c>
      <c r="P29" s="36">
        <f>VLOOKUP($A29,[18]HISTOJUIN23!$A$6:$AU$36,23,0)</f>
        <v>0</v>
      </c>
      <c r="Q29" s="36">
        <f>VLOOKUP($A29,[18]HISTOJUIN23!$A$6:$AU$36,46,0)</f>
        <v>0</v>
      </c>
      <c r="R29" s="36">
        <f>VLOOKUP($A29,[18]HISTOJUIN23!$A$6:$AU$36,26,0)</f>
        <v>0</v>
      </c>
      <c r="S29" s="36">
        <f>VLOOKUP($A29,[18]HISTOJUIN23!$A$6:$BG$36,58,0)</f>
        <v>0</v>
      </c>
      <c r="T29" s="36">
        <f>VLOOKUP($A29,[18]HISTOJUIN23!$A$6:$AU$36,28,0)</f>
        <v>0</v>
      </c>
      <c r="U29" s="36">
        <f>VLOOKUP($A29,[18]HISTOJUIN23!$A$6:$AU$36,19,0)</f>
        <v>0</v>
      </c>
      <c r="V29" s="36">
        <f>VLOOKUP($A29,[18]HISTOJUIN23!$A$6:$AU$36,20,0)</f>
        <v>0</v>
      </c>
      <c r="W29" s="36">
        <f>VLOOKUP($A29,[18]HISTOJUIN23!$A$6:$AU$36,27,0)</f>
        <v>0</v>
      </c>
      <c r="X29" s="36">
        <f>VLOOKUP($A29,[18]HISTOJUIN23!$A$6:$BM$36,33,0)</f>
        <v>0</v>
      </c>
      <c r="Y29" s="36">
        <f>VLOOKUP($A29,[18]HISTOJUIN23!$A$6:$BM$36,65,0)</f>
        <v>0</v>
      </c>
      <c r="Z29" s="36"/>
      <c r="AA29" s="36">
        <f>VLOOKUP($A29,[18]HISTOJUIN23!$A$6:$AU$36,43,0)</f>
        <v>0</v>
      </c>
      <c r="AB29" s="36">
        <f>VLOOKUP($A29,[18]HISTOJUIN23!$A$6:$AU$36,44,0)</f>
        <v>0</v>
      </c>
      <c r="AC29" s="36">
        <f>VLOOKUP($A29,[18]HISTOJUIN23!$A$6:$AU$36,47,0)</f>
        <v>0</v>
      </c>
      <c r="AD29" s="36">
        <f>VLOOKUP(A29,[18]HISTOJUIN23!$A$6:$BB$36,54,0)</f>
        <v>0</v>
      </c>
      <c r="AE29" s="36">
        <f>VLOOKUP($A29,[18]HISTOJUIN23!$A$6:$CA$36,60,0)</f>
        <v>0</v>
      </c>
      <c r="AF29" s="36">
        <f>VLOOKUP($A29,[18]HISTOJUIN23!$A$6:$CA$36,61,0)</f>
        <v>0</v>
      </c>
      <c r="AG29" s="36">
        <f>VLOOKUP($A29,[18]HISTOJUIN23!$A$6:$CA$36,62,0)</f>
        <v>0</v>
      </c>
      <c r="AH29" s="36">
        <f>VLOOKUP($A29,[18]HISTOJUIN23!$A$6:$CA$36,63,0)</f>
        <v>0</v>
      </c>
      <c r="AI29" s="36">
        <f>VLOOKUP($A29,[18]HISTOJUIN23!$A$6:$CA$36,64,0)</f>
        <v>0</v>
      </c>
      <c r="AJ29" s="36">
        <f>VLOOKUP($A29,[18]HISTOJUIN23!$A$6:$CA$36,65,0)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VLOOKUP($A30,[18]HISTOJUIN23!$A$6:$BA$36,48,0)</f>
        <v>0</v>
      </c>
      <c r="F30" s="5">
        <f>MVTMAI23!F30+MVTMAI23!G30-MVTJUIN23!E30+K30</f>
        <v>916294.29032212123</v>
      </c>
      <c r="G30" s="6">
        <v>2902.2452145328584</v>
      </c>
      <c r="H30" s="6">
        <f t="shared" si="5"/>
        <v>919196.53553665406</v>
      </c>
      <c r="I30" s="36">
        <f>VLOOKUP($A30,[18]HISTOJUIN23!$A$6:$AQ$40,22,0)</f>
        <v>0</v>
      </c>
      <c r="J30" s="36">
        <f>VLOOKUP($A30,[18]HISTOJUIN23!$A$6:$AU$36,45,0)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VLOOKUP($A30,[18]HISTOJUIN23!$A$6:$AU$36,7,0)</f>
        <v>0</v>
      </c>
      <c r="P30" s="36">
        <f>VLOOKUP($A30,[18]HISTOJUIN23!$A$6:$AU$36,23,0)</f>
        <v>0</v>
      </c>
      <c r="Q30" s="36">
        <f>VLOOKUP($A30,[18]HISTOJUIN23!$A$6:$AU$36,46,0)</f>
        <v>0</v>
      </c>
      <c r="R30" s="36">
        <f>VLOOKUP($A30,[18]HISTOJUIN23!$A$6:$AU$36,26,0)</f>
        <v>0</v>
      </c>
      <c r="S30" s="36">
        <f>VLOOKUP($A30,[18]HISTOJUIN23!$A$6:$BG$36,58,0)</f>
        <v>0</v>
      </c>
      <c r="T30" s="36">
        <f>VLOOKUP($A30,[18]HISTOJUIN23!$A$6:$AU$36,28,0)</f>
        <v>0</v>
      </c>
      <c r="U30" s="36">
        <f>VLOOKUP($A30,[18]HISTOJUIN23!$A$6:$AU$36,19,0)</f>
        <v>0</v>
      </c>
      <c r="V30" s="36">
        <f>VLOOKUP($A30,[18]HISTOJUIN23!$A$6:$AU$36,20,0)</f>
        <v>0</v>
      </c>
      <c r="W30" s="36">
        <f>VLOOKUP($A30,[18]HISTOJUIN23!$A$6:$AU$36,27,0)</f>
        <v>0</v>
      </c>
      <c r="X30" s="36">
        <f>VLOOKUP($A30,[18]HISTOJUIN23!$A$6:$BM$36,33,0)</f>
        <v>0</v>
      </c>
      <c r="Y30" s="36">
        <f>VLOOKUP($A30,[18]HISTOJUIN23!$A$6:$BM$36,65,0)</f>
        <v>0</v>
      </c>
      <c r="Z30" s="36"/>
      <c r="AA30" s="36">
        <f>VLOOKUP($A30,[18]HISTOJUIN23!$A$6:$AU$36,43,0)</f>
        <v>0</v>
      </c>
      <c r="AB30" s="36">
        <f>VLOOKUP($A30,[18]HISTOJUIN23!$A$6:$AU$36,44,0)</f>
        <v>0</v>
      </c>
      <c r="AC30" s="36">
        <f>VLOOKUP($A30,[18]HISTOJUIN23!$A$6:$AU$36,47,0)</f>
        <v>0</v>
      </c>
      <c r="AD30" s="36">
        <f>VLOOKUP(A30,[18]HISTOJUIN23!$A$6:$BB$36,54,0)</f>
        <v>0</v>
      </c>
      <c r="AE30" s="36">
        <f>VLOOKUP($A30,[18]HISTOJUIN23!$A$6:$CA$36,60,0)</f>
        <v>0</v>
      </c>
      <c r="AF30" s="36">
        <f>VLOOKUP($A30,[18]HISTOJUIN23!$A$6:$CA$36,61,0)</f>
        <v>0</v>
      </c>
      <c r="AG30" s="36">
        <f>VLOOKUP($A30,[18]HISTOJUIN23!$A$6:$CA$36,62,0)</f>
        <v>0</v>
      </c>
      <c r="AH30" s="36">
        <f>VLOOKUP($A30,[18]HISTOJUIN23!$A$6:$CA$36,63,0)</f>
        <v>0</v>
      </c>
      <c r="AI30" s="36">
        <f>VLOOKUP($A30,[18]HISTOJUIN23!$A$6:$CA$36,64,0)</f>
        <v>0</v>
      </c>
      <c r="AJ30" s="36">
        <f>VLOOKUP($A30,[18]HISTOJUIN23!$A$6:$CA$36,65,0)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VLOOKUP($A31,[18]HISTOJUIN23!$A$6:$BA$36,48,0)</f>
        <v>0</v>
      </c>
      <c r="F31" s="5">
        <f>MVTMAI23!F31+MVTMAI23!G31-MVTJUIN23!E31+K31</f>
        <v>923057.86723733624</v>
      </c>
      <c r="G31" s="6">
        <v>2923.6679811512195</v>
      </c>
      <c r="H31" s="6">
        <f t="shared" si="5"/>
        <v>925981.53521848749</v>
      </c>
      <c r="I31" s="36">
        <f>VLOOKUP($A31,[18]HISTOJUIN23!$A$6:$AQ$40,22,0)</f>
        <v>0</v>
      </c>
      <c r="J31" s="36">
        <f>VLOOKUP($A31,[18]HISTOJUIN23!$A$6:$AU$36,45,0)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VLOOKUP($A31,[18]HISTOJUIN23!$A$6:$AU$36,7,0)</f>
        <v>0</v>
      </c>
      <c r="P31" s="36">
        <f>VLOOKUP($A31,[18]HISTOJUIN23!$A$6:$AU$36,23,0)</f>
        <v>0</v>
      </c>
      <c r="Q31" s="36">
        <f>VLOOKUP($A31,[18]HISTOJUIN23!$A$6:$AU$36,46,0)</f>
        <v>0</v>
      </c>
      <c r="R31" s="36">
        <f>VLOOKUP($A31,[18]HISTOJUIN23!$A$6:$AU$36,26,0)</f>
        <v>0</v>
      </c>
      <c r="S31" s="36">
        <f>VLOOKUP($A31,[18]HISTOJUIN23!$A$6:$BG$36,58,0)</f>
        <v>0</v>
      </c>
      <c r="T31" s="36">
        <f>VLOOKUP($A31,[18]HISTOJUIN23!$A$6:$AU$36,28,0)</f>
        <v>0</v>
      </c>
      <c r="U31" s="36">
        <f>VLOOKUP($A31,[18]HISTOJUIN23!$A$6:$AU$36,19,0)</f>
        <v>0</v>
      </c>
      <c r="V31" s="36">
        <f>VLOOKUP($A31,[18]HISTOJUIN23!$A$6:$AU$36,20,0)</f>
        <v>0</v>
      </c>
      <c r="W31" s="36">
        <f>VLOOKUP($A31,[18]HISTOJUIN23!$A$6:$AU$36,27,0)</f>
        <v>0</v>
      </c>
      <c r="X31" s="36">
        <f>VLOOKUP($A31,[18]HISTOJUIN23!$A$6:$BM$36,33,0)</f>
        <v>0</v>
      </c>
      <c r="Y31" s="36">
        <f>VLOOKUP($A31,[18]HISTOJUIN23!$A$6:$BM$36,65,0)</f>
        <v>0</v>
      </c>
      <c r="Z31" s="36"/>
      <c r="AA31" s="36">
        <f>VLOOKUP($A31,[18]HISTOJUIN23!$A$6:$AU$36,43,0)</f>
        <v>0</v>
      </c>
      <c r="AB31" s="36">
        <f>VLOOKUP($A31,[18]HISTOJUIN23!$A$6:$AU$36,44,0)</f>
        <v>0</v>
      </c>
      <c r="AC31" s="36">
        <f>VLOOKUP($A31,[18]HISTOJUIN23!$A$6:$AU$36,47,0)</f>
        <v>0</v>
      </c>
      <c r="AD31" s="36">
        <f>VLOOKUP(A31,[18]HISTOJUIN23!$A$6:$BB$36,54,0)</f>
        <v>0</v>
      </c>
      <c r="AE31" s="36">
        <f>VLOOKUP($A31,[18]HISTOJUIN23!$A$6:$CA$36,60,0)</f>
        <v>0</v>
      </c>
      <c r="AF31" s="36">
        <f>VLOOKUP($A31,[18]HISTOJUIN23!$A$6:$CA$36,61,0)</f>
        <v>0</v>
      </c>
      <c r="AG31" s="36">
        <f>VLOOKUP($A31,[18]HISTOJUIN23!$A$6:$CA$36,62,0)</f>
        <v>0</v>
      </c>
      <c r="AH31" s="36">
        <f>VLOOKUP($A31,[18]HISTOJUIN23!$A$6:$CA$36,63,0)</f>
        <v>0</v>
      </c>
      <c r="AI31" s="36">
        <f>VLOOKUP($A31,[18]HISTOJUIN23!$A$6:$CA$36,64,0)</f>
        <v>0</v>
      </c>
      <c r="AJ31" s="36">
        <f>VLOOKUP($A31,[18]HISTOJUIN23!$A$6:$CA$36,65,0)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VLOOKUP($A32,[18]HISTOJUIN23!$A$6:$BA$36,48,0)</f>
        <v>0</v>
      </c>
      <c r="F32" s="5">
        <f>MVTMAI23!F32+MVTMAI23!G32-MVTJUIN23!E32+K32</f>
        <v>704746.83882323175</v>
      </c>
      <c r="G32" s="6">
        <v>2232.1956625014509</v>
      </c>
      <c r="H32" s="6">
        <f t="shared" si="5"/>
        <v>706979.03448573325</v>
      </c>
      <c r="I32" s="36">
        <f>VLOOKUP($A32,[18]HISTOJUIN23!$A$6:$AQ$40,22,0)</f>
        <v>0</v>
      </c>
      <c r="J32" s="36">
        <f>VLOOKUP($A32,[18]HISTOJUIN23!$A$6:$AU$36,45,0)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VLOOKUP($A32,[18]HISTOJUIN23!$A$6:$AU$36,7,0)</f>
        <v>0</v>
      </c>
      <c r="P32" s="36">
        <f>VLOOKUP($A32,[18]HISTOJUIN23!$A$6:$AU$36,23,0)</f>
        <v>0</v>
      </c>
      <c r="Q32" s="36">
        <f>VLOOKUP($A32,[18]HISTOJUIN23!$A$6:$AU$36,46,0)</f>
        <v>0</v>
      </c>
      <c r="R32" s="36">
        <f>VLOOKUP($A32,[18]HISTOJUIN23!$A$6:$AU$36,26,0)</f>
        <v>0</v>
      </c>
      <c r="S32" s="36">
        <f>VLOOKUP($A32,[18]HISTOJUIN23!$A$6:$BG$36,58,0)</f>
        <v>0</v>
      </c>
      <c r="T32" s="36">
        <f>VLOOKUP($A32,[18]HISTOJUIN23!$A$6:$AU$36,28,0)</f>
        <v>0</v>
      </c>
      <c r="U32" s="36">
        <f>VLOOKUP($A32,[18]HISTOJUIN23!$A$6:$AU$36,19,0)</f>
        <v>0</v>
      </c>
      <c r="V32" s="36">
        <f>VLOOKUP($A32,[18]HISTOJUIN23!$A$6:$AU$36,20,0)</f>
        <v>0</v>
      </c>
      <c r="W32" s="36">
        <f>VLOOKUP($A32,[18]HISTOJUIN23!$A$6:$AU$36,27,0)</f>
        <v>0</v>
      </c>
      <c r="X32" s="36">
        <f>VLOOKUP($A32,[18]HISTOJUIN23!$A$6:$BM$36,33,0)</f>
        <v>0</v>
      </c>
      <c r="Y32" s="36">
        <f>VLOOKUP($A32,[18]HISTOJUIN23!$A$6:$BM$36,65,0)</f>
        <v>0</v>
      </c>
      <c r="Z32" s="36"/>
      <c r="AA32" s="36">
        <f>VLOOKUP($A32,[18]HISTOJUIN23!$A$6:$AU$36,43,0)</f>
        <v>0</v>
      </c>
      <c r="AB32" s="36">
        <f>VLOOKUP($A32,[18]HISTOJUIN23!$A$6:$AU$36,44,0)</f>
        <v>0</v>
      </c>
      <c r="AC32" s="36">
        <f>VLOOKUP($A32,[18]HISTOJUIN23!$A$6:$AU$36,47,0)</f>
        <v>0</v>
      </c>
      <c r="AD32" s="36">
        <f>VLOOKUP(A32,[18]HISTOJUIN23!$A$6:$BB$36,54,0)</f>
        <v>0</v>
      </c>
      <c r="AE32" s="36">
        <f>VLOOKUP($A32,[18]HISTOJUIN23!$A$6:$CA$36,60,0)</f>
        <v>0</v>
      </c>
      <c r="AF32" s="36">
        <f>VLOOKUP($A32,[18]HISTOJUIN23!$A$6:$CA$36,61,0)</f>
        <v>0</v>
      </c>
      <c r="AG32" s="36">
        <f>VLOOKUP($A32,[18]HISTOJUIN23!$A$6:$CA$36,62,0)</f>
        <v>0</v>
      </c>
      <c r="AH32" s="36">
        <f>VLOOKUP($A32,[18]HISTOJUIN23!$A$6:$CA$36,63,0)</f>
        <v>0</v>
      </c>
      <c r="AI32" s="36">
        <f>VLOOKUP($A32,[18]HISTOJUIN23!$A$6:$CA$36,64,0)</f>
        <v>0</v>
      </c>
      <c r="AJ32" s="36">
        <f>VLOOKUP($A32,[18]HISTOJUIN23!$A$6:$CA$36,65,0)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VLOOKUP($A33,[18]HISTOJUIN23!$A$6:$BA$36,48,0)</f>
        <v>0</v>
      </c>
      <c r="F33" s="5">
        <f>MVTMAI23!F33+MVTMAI23!G33-MVTJUIN23!E33+K33</f>
        <v>51000</v>
      </c>
      <c r="G33" s="6">
        <v>0</v>
      </c>
      <c r="H33" s="6">
        <f t="shared" si="5"/>
        <v>51000</v>
      </c>
      <c r="I33" s="36">
        <f>VLOOKUP($A33,[18]HISTOJUIN23!$A$6:$AQ$40,22,0)</f>
        <v>0</v>
      </c>
      <c r="J33" s="36">
        <f>VLOOKUP($A33,[18]HISTOJUIN23!$A$6:$AU$36,45,0)</f>
        <v>15000</v>
      </c>
      <c r="K33" s="36">
        <f t="shared" si="1"/>
        <v>9000</v>
      </c>
      <c r="L33" s="36">
        <f t="shared" si="3"/>
        <v>1000</v>
      </c>
      <c r="M33" s="36">
        <f t="shared" si="2"/>
        <v>1000</v>
      </c>
      <c r="N33" s="36">
        <f t="shared" si="4"/>
        <v>4000</v>
      </c>
      <c r="O33" s="36">
        <f>VLOOKUP($A33,[18]HISTOJUIN23!$A$6:$AU$36,7,0)</f>
        <v>0</v>
      </c>
      <c r="P33" s="36">
        <f>VLOOKUP($A33,[18]HISTOJUIN23!$A$6:$AU$36,23,0)</f>
        <v>0</v>
      </c>
      <c r="Q33" s="36">
        <f>VLOOKUP($A33,[18]HISTOJUIN23!$A$6:$AU$36,46,0)</f>
        <v>0</v>
      </c>
      <c r="R33" s="36">
        <f>VLOOKUP($A33,[18]HISTOJUIN23!$A$6:$AU$36,26,0)</f>
        <v>0</v>
      </c>
      <c r="S33" s="36">
        <f>VLOOKUP($A33,[18]HISTOJUIN23!$A$6:$BG$36,58,0)</f>
        <v>0</v>
      </c>
      <c r="T33" s="36">
        <f>VLOOKUP($A33,[18]HISTOJUIN23!$A$6:$AU$36,28,0)</f>
        <v>0</v>
      </c>
      <c r="U33" s="36">
        <f>VLOOKUP($A33,[18]HISTOJUIN23!$A$6:$AU$36,19,0)</f>
        <v>0</v>
      </c>
      <c r="V33" s="36">
        <f>VLOOKUP($A33,[18]HISTOJUIN23!$A$6:$AU$36,20,0)</f>
        <v>0</v>
      </c>
      <c r="W33" s="36">
        <f>VLOOKUP($A33,[18]HISTOJUIN23!$A$6:$AU$36,27,0)</f>
        <v>0</v>
      </c>
      <c r="X33" s="36">
        <f>VLOOKUP($A33,[18]HISTOJUIN23!$A$6:$BM$36,33,0)</f>
        <v>0</v>
      </c>
      <c r="Y33" s="36">
        <f>VLOOKUP($A33,[18]HISTOJUIN23!$A$6:$BM$36,65,0)</f>
        <v>0</v>
      </c>
      <c r="Z33" s="36"/>
      <c r="AA33" s="36">
        <f>VLOOKUP($A33,[18]HISTOJUIN23!$A$6:$AU$36,43,0)</f>
        <v>0</v>
      </c>
      <c r="AB33" s="36">
        <f>VLOOKUP($A33,[18]HISTOJUIN23!$A$6:$AU$36,44,0)</f>
        <v>0</v>
      </c>
      <c r="AC33" s="36">
        <f>VLOOKUP($A33,[18]HISTOJUIN23!$A$6:$AU$36,47,0)</f>
        <v>0</v>
      </c>
      <c r="AD33" s="36">
        <f>VLOOKUP(A33,[18]HISTOJUIN23!$A$6:$BB$36,54,0)</f>
        <v>0</v>
      </c>
      <c r="AE33" s="36">
        <f>VLOOKUP($A33,[18]HISTOJUIN23!$A$6:$CA$36,60,0)</f>
        <v>0</v>
      </c>
      <c r="AF33" s="36">
        <f>VLOOKUP($A33,[18]HISTOJUIN23!$A$6:$CA$36,61,0)</f>
        <v>0</v>
      </c>
      <c r="AG33" s="36">
        <f>VLOOKUP($A33,[18]HISTOJUIN23!$A$6:$CA$36,62,0)</f>
        <v>0</v>
      </c>
      <c r="AH33" s="36">
        <f>VLOOKUP($A33,[18]HISTOJUIN23!$A$6:$CA$36,63,0)</f>
        <v>0</v>
      </c>
      <c r="AI33" s="36">
        <f>VLOOKUP($A33,[18]HISTOJUIN23!$A$6:$CA$36,64,0)</f>
        <v>0</v>
      </c>
      <c r="AJ33" s="36">
        <f>VLOOKUP($A33,[18]HISTOJUIN23!$A$6:$CA$36,65,0)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VLOOKUP($A34,[18]HISTOJUIN23!$A$6:$BA$36,48,0)</f>
        <v>0</v>
      </c>
      <c r="F34" s="5">
        <f>MVTMAI23!F34+MVTMAI23!G34-MVTJUIN23!E34+K34</f>
        <v>266000</v>
      </c>
      <c r="G34" s="6">
        <v>0</v>
      </c>
      <c r="H34" s="6">
        <f t="shared" si="5"/>
        <v>266000</v>
      </c>
      <c r="I34" s="36">
        <f>VLOOKUP($A34,[18]HISTOJUIN23!$A$6:$AQ$40,22,0)</f>
        <v>0</v>
      </c>
      <c r="J34" s="36">
        <f>VLOOKUP($A34,[18]HISTOJUIN23!$A$6:$AU$36,45,0)</f>
        <v>75000</v>
      </c>
      <c r="K34" s="36">
        <f t="shared" si="1"/>
        <v>69000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VLOOKUP($A34,[18]HISTOJUIN23!$A$6:$AU$36,7,0)</f>
        <v>0</v>
      </c>
      <c r="P34" s="36">
        <f>VLOOKUP($A34,[18]HISTOJUIN23!$A$6:$AU$36,23,0)</f>
        <v>0</v>
      </c>
      <c r="Q34" s="36">
        <f>VLOOKUP($A34,[18]HISTOJUIN23!$A$6:$AU$36,46,0)</f>
        <v>0</v>
      </c>
      <c r="R34" s="36">
        <f>VLOOKUP($A34,[18]HISTOJUIN23!$A$6:$AU$36,26,0)</f>
        <v>0</v>
      </c>
      <c r="S34" s="36">
        <f>VLOOKUP($A34,[18]HISTOJUIN23!$A$6:$BG$36,58,0)</f>
        <v>0</v>
      </c>
      <c r="T34" s="36">
        <f>VLOOKUP($A34,[18]HISTOJUIN23!$A$6:$AU$36,28,0)</f>
        <v>0</v>
      </c>
      <c r="U34" s="36">
        <f>VLOOKUP($A34,[18]HISTOJUIN23!$A$6:$AU$36,19,0)</f>
        <v>0</v>
      </c>
      <c r="V34" s="36">
        <f>VLOOKUP($A34,[18]HISTOJUIN23!$A$6:$AU$36,20,0)</f>
        <v>0</v>
      </c>
      <c r="W34" s="36">
        <f>VLOOKUP($A34,[18]HISTOJUIN23!$A$6:$AU$36,27,0)</f>
        <v>0</v>
      </c>
      <c r="X34" s="36">
        <f>VLOOKUP($A34,[18]HISTOJUIN23!$A$6:$BM$36,33,0)</f>
        <v>0</v>
      </c>
      <c r="Y34" s="36">
        <f>VLOOKUP($A34,[18]HISTOJUIN23!$A$6:$BM$36,65,0)</f>
        <v>0</v>
      </c>
      <c r="Z34" s="36"/>
      <c r="AA34" s="36">
        <f>VLOOKUP($A34,[18]HISTOJUIN23!$A$6:$AU$36,43,0)</f>
        <v>0</v>
      </c>
      <c r="AB34" s="36">
        <f>VLOOKUP($A34,[18]HISTOJUIN23!$A$6:$AU$36,44,0)</f>
        <v>0</v>
      </c>
      <c r="AC34" s="36">
        <f>VLOOKUP($A34,[18]HISTOJUIN23!$A$6:$AU$36,47,0)</f>
        <v>0</v>
      </c>
      <c r="AD34" s="36">
        <f>VLOOKUP(A34,[18]HISTOJUIN23!$A$6:$BB$36,54,0)</f>
        <v>0</v>
      </c>
      <c r="AE34" s="36">
        <f>VLOOKUP($A34,[18]HISTOJUIN23!$A$6:$CA$36,60,0)</f>
        <v>0</v>
      </c>
      <c r="AF34" s="36">
        <f>VLOOKUP($A34,[18]HISTOJUIN23!$A$6:$CA$36,61,0)</f>
        <v>0</v>
      </c>
      <c r="AG34" s="36">
        <f>VLOOKUP($A34,[18]HISTOJUIN23!$A$6:$CA$36,62,0)</f>
        <v>0</v>
      </c>
      <c r="AH34" s="36">
        <f>VLOOKUP($A34,[18]HISTOJUIN23!$A$6:$CA$36,63,0)</f>
        <v>0</v>
      </c>
      <c r="AI34" s="36">
        <f>VLOOKUP($A34,[18]HISTOJUIN23!$A$6:$CA$36,64,0)</f>
        <v>0</v>
      </c>
      <c r="AJ34" s="36">
        <f>VLOOKUP($A34,[18]HISTOJUIN23!$A$6:$CA$36,65,0)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VLOOKUP($A35,[18]HISTOJUIN23!$A$6:$BA$36,48,0)</f>
        <v>0</v>
      </c>
      <c r="F35" s="5">
        <f>MVTMAI23!F35+MVTMAI23!G35-MVTJUIN23!E35+K35</f>
        <v>1677629.5689603342</v>
      </c>
      <c r="G35" s="6">
        <v>5313.6775375543411</v>
      </c>
      <c r="H35" s="6">
        <f t="shared" si="5"/>
        <v>1682943.2464978886</v>
      </c>
      <c r="I35" s="36">
        <f>VLOOKUP($A35,[18]HISTOJUIN23!$A$6:$AQ$40,22,0)</f>
        <v>0</v>
      </c>
      <c r="J35" s="36">
        <f>VLOOKUP($A35,[18]HISTOJUIN23!$A$6:$AU$36,45,0)</f>
        <v>15000</v>
      </c>
      <c r="K35" s="36">
        <f t="shared" si="1"/>
        <v>9000</v>
      </c>
      <c r="L35" s="36">
        <f t="shared" si="3"/>
        <v>1000</v>
      </c>
      <c r="M35" s="36">
        <f t="shared" si="2"/>
        <v>1000</v>
      </c>
      <c r="N35" s="36">
        <f t="shared" si="4"/>
        <v>4000</v>
      </c>
      <c r="O35" s="36">
        <f>VLOOKUP($A35,[18]HISTOJUIN23!$A$6:$AU$36,7,0)</f>
        <v>0</v>
      </c>
      <c r="P35" s="36">
        <f>VLOOKUP($A35,[18]HISTOJUIN23!$A$6:$AU$36,23,0)</f>
        <v>0</v>
      </c>
      <c r="Q35" s="36">
        <f>VLOOKUP($A35,[18]HISTOJUIN23!$A$6:$AU$36,46,0)</f>
        <v>0</v>
      </c>
      <c r="R35" s="36">
        <f>VLOOKUP($A35,[18]HISTOJUIN23!$A$6:$AU$36,26,0)</f>
        <v>0</v>
      </c>
      <c r="S35" s="36">
        <f>VLOOKUP($A35,[18]HISTOJUIN23!$A$6:$BG$36,58,0)</f>
        <v>0</v>
      </c>
      <c r="T35" s="36">
        <f>VLOOKUP($A35,[18]HISTOJUIN23!$A$6:$AU$36,28,0)</f>
        <v>0</v>
      </c>
      <c r="U35" s="36">
        <f>VLOOKUP($A35,[18]HISTOJUIN23!$A$6:$AU$36,19,0)</f>
        <v>0</v>
      </c>
      <c r="V35" s="36">
        <f>VLOOKUP($A35,[18]HISTOJUIN23!$A$6:$AU$36,20,0)</f>
        <v>0</v>
      </c>
      <c r="W35" s="36">
        <f>VLOOKUP($A35,[18]HISTOJUIN23!$A$6:$AU$36,27,0)</f>
        <v>0</v>
      </c>
      <c r="X35" s="36">
        <f>VLOOKUP($A35,[18]HISTOJUIN23!$A$6:$BM$36,33,0)</f>
        <v>0</v>
      </c>
      <c r="Y35" s="36">
        <f>VLOOKUP($A35,[18]HISTOJUIN23!$A$6:$BM$36,65,0)</f>
        <v>0</v>
      </c>
      <c r="Z35" s="36"/>
      <c r="AA35" s="36">
        <f>VLOOKUP($A35,[18]HISTOJUIN23!$A$6:$AU$36,43,0)</f>
        <v>0</v>
      </c>
      <c r="AB35" s="36">
        <f>VLOOKUP($A35,[18]HISTOJUIN23!$A$6:$AU$36,44,0)</f>
        <v>0</v>
      </c>
      <c r="AC35" s="36">
        <f>VLOOKUP($A35,[18]HISTOJUIN23!$A$6:$AU$36,47,0)</f>
        <v>0</v>
      </c>
      <c r="AD35" s="36">
        <f>VLOOKUP(A35,[18]HISTOJUIN23!$A$6:$BB$36,54,0)</f>
        <v>0</v>
      </c>
      <c r="AE35" s="36">
        <f>VLOOKUP($A35,[18]HISTOJUIN23!$A$6:$CA$36,60,0)</f>
        <v>0</v>
      </c>
      <c r="AF35" s="36">
        <f>VLOOKUP($A35,[18]HISTOJUIN23!$A$6:$CA$36,61,0)</f>
        <v>0</v>
      </c>
      <c r="AG35" s="36">
        <f>VLOOKUP($A35,[18]HISTOJUIN23!$A$6:$CA$36,62,0)</f>
        <v>0</v>
      </c>
      <c r="AH35" s="36">
        <f>VLOOKUP($A35,[18]HISTOJUIN23!$A$6:$CA$36,63,0)</f>
        <v>0</v>
      </c>
      <c r="AI35" s="36">
        <f>VLOOKUP($A35,[18]HISTOJUIN23!$A$6:$CA$36,64,0)</f>
        <v>0</v>
      </c>
      <c r="AJ35" s="36">
        <f>VLOOKUP($A35,[18]HISTOJUIN23!$A$6:$CA$36,65,0)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VLOOKUP($A36,[18]HISTOJUIN23!$A$6:$BA$36,48,0)</f>
        <v>0</v>
      </c>
      <c r="F36" s="5">
        <f>MVTMAI23!F36+MVTMAI23!G36-MVTJUIN23!E36+K36</f>
        <v>1838735.0942238898</v>
      </c>
      <c r="G36" s="6">
        <v>5823.9587263267658</v>
      </c>
      <c r="H36" s="6">
        <f t="shared" si="5"/>
        <v>1844559.0529502165</v>
      </c>
      <c r="I36" s="36">
        <f>VLOOKUP($A36,[18]HISTOJUIN23!$A$6:$AQ$40,22,0)</f>
        <v>0</v>
      </c>
      <c r="J36" s="36">
        <f>VLOOKUP($A36,[18]HISTOJUIN23!$A$6:$AU$36,45,0)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VLOOKUP($A36,[18]HISTOJUIN23!$A$6:$AU$36,7,0)</f>
        <v>0</v>
      </c>
      <c r="P36" s="36">
        <f>VLOOKUP($A36,[18]HISTOJUIN23!$A$6:$AU$36,23,0)</f>
        <v>0</v>
      </c>
      <c r="Q36" s="36">
        <f>VLOOKUP($A36,[18]HISTOJUIN23!$A$6:$AU$36,46,0)</f>
        <v>0</v>
      </c>
      <c r="R36" s="36">
        <f>VLOOKUP($A36,[18]HISTOJUIN23!$A$6:$AU$36,26,0)</f>
        <v>0</v>
      </c>
      <c r="S36" s="36">
        <f>VLOOKUP($A36,[18]HISTOJUIN23!$A$6:$BG$36,58,0)</f>
        <v>0</v>
      </c>
      <c r="T36" s="36">
        <f>VLOOKUP($A36,[18]HISTOJUIN23!$A$6:$AU$36,28,0)</f>
        <v>0</v>
      </c>
      <c r="U36" s="36">
        <f>VLOOKUP($A36,[18]HISTOJUIN23!$A$6:$AU$36,19,0)</f>
        <v>0</v>
      </c>
      <c r="V36" s="36">
        <f>VLOOKUP($A36,[18]HISTOJUIN23!$A$6:$AU$36,20,0)</f>
        <v>0</v>
      </c>
      <c r="W36" s="36">
        <f>VLOOKUP($A36,[18]HISTOJUIN23!$A$6:$AU$36,27,0)</f>
        <v>0</v>
      </c>
      <c r="X36" s="36">
        <f>VLOOKUP($A36,[18]HISTOJUIN23!$A$6:$BM$36,33,0)</f>
        <v>0</v>
      </c>
      <c r="Y36" s="36">
        <f>VLOOKUP($A36,[18]HISTOJUIN23!$A$6:$BM$36,65,0)</f>
        <v>0</v>
      </c>
      <c r="Z36" s="36"/>
      <c r="AA36" s="36">
        <f>VLOOKUP($A36,[18]HISTOJUIN23!$A$6:$AU$36,43,0)</f>
        <v>0</v>
      </c>
      <c r="AB36" s="36">
        <f>VLOOKUP($A36,[18]HISTOJUIN23!$A$6:$AU$36,44,0)</f>
        <v>0</v>
      </c>
      <c r="AC36" s="36">
        <f>VLOOKUP($A36,[18]HISTOJUIN23!$A$6:$AU$36,47,0)</f>
        <v>0</v>
      </c>
      <c r="AD36" s="36">
        <f>VLOOKUP(A36,[18]HISTOJUIN23!$A$6:$BB$36,54,0)</f>
        <v>0</v>
      </c>
      <c r="AE36" s="36">
        <f>VLOOKUP($A36,[18]HISTOJUIN23!$A$6:$CA$36,60,0)</f>
        <v>0</v>
      </c>
      <c r="AF36" s="36">
        <f>VLOOKUP($A36,[18]HISTOJUIN23!$A$6:$CA$36,61,0)</f>
        <v>0</v>
      </c>
      <c r="AG36" s="36">
        <f>VLOOKUP($A36,[18]HISTOJUIN23!$A$6:$CA$36,62,0)</f>
        <v>0</v>
      </c>
      <c r="AH36" s="36">
        <f>VLOOKUP($A36,[18]HISTOJUIN23!$A$6:$CA$36,63,0)</f>
        <v>0</v>
      </c>
      <c r="AI36" s="36">
        <f>VLOOKUP($A36,[18]HISTOJUIN23!$A$6:$CA$36,64,0)</f>
        <v>0</v>
      </c>
      <c r="AJ36" s="36">
        <f>VLOOKUP($A36,[18]HISTOJUIN23!$A$6:$CA$36,65,0)</f>
        <v>0</v>
      </c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24276358.324737497</v>
      </c>
      <c r="G40" s="9">
        <f t="shared" si="6"/>
        <v>74199.999999999985</v>
      </c>
      <c r="H40" s="9">
        <f t="shared" si="6"/>
        <v>24350558.324737497</v>
      </c>
      <c r="I40" s="9">
        <f t="shared" si="6"/>
        <v>0</v>
      </c>
      <c r="J40" s="9">
        <f t="shared" si="6"/>
        <v>606500</v>
      </c>
      <c r="K40" s="9">
        <f t="shared" si="6"/>
        <v>426500</v>
      </c>
      <c r="L40" s="9">
        <f t="shared" si="6"/>
        <v>30000</v>
      </c>
      <c r="M40" s="9">
        <f t="shared" si="6"/>
        <v>30000</v>
      </c>
      <c r="N40" s="9">
        <f t="shared" si="6"/>
        <v>120000</v>
      </c>
      <c r="O40" s="9">
        <f t="shared" si="6"/>
        <v>3000</v>
      </c>
      <c r="P40" s="9">
        <f t="shared" si="6"/>
        <v>0</v>
      </c>
      <c r="Q40" s="9">
        <f t="shared" si="6"/>
        <v>0</v>
      </c>
      <c r="R40" s="9">
        <f t="shared" si="6"/>
        <v>1555000</v>
      </c>
      <c r="S40" s="9">
        <f t="shared" si="6"/>
        <v>74200</v>
      </c>
      <c r="T40" s="9">
        <f t="shared" si="6"/>
        <v>0</v>
      </c>
      <c r="U40" s="9">
        <f t="shared" si="6"/>
        <v>2500000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70000</v>
      </c>
      <c r="AE40" s="9">
        <f t="shared" si="6"/>
        <v>24000</v>
      </c>
      <c r="AF40" s="9">
        <f t="shared" si="6"/>
        <v>20000</v>
      </c>
      <c r="AG40" s="9">
        <f t="shared" si="6"/>
        <v>0</v>
      </c>
      <c r="AH40" s="9">
        <f t="shared" si="6"/>
        <v>100000</v>
      </c>
      <c r="AI40" s="9">
        <f t="shared" si="6"/>
        <v>0</v>
      </c>
      <c r="AJ40" s="9">
        <f t="shared" si="6"/>
        <v>0</v>
      </c>
    </row>
    <row r="43" spans="1:36" x14ac:dyDescent="0.25">
      <c r="F43" s="2">
        <f>F40-F42</f>
        <v>24276358.324737497</v>
      </c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E24" activePane="bottomRight" state="frozen"/>
      <selection activeCell="J4" sqref="J4:O4"/>
      <selection pane="topRight" activeCell="J4" sqref="J4:O4"/>
      <selection pane="bottomLeft" activeCell="J4" sqref="J4:O4"/>
      <selection pane="bottomRight" activeCell="G24" sqref="G2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45124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MVTJUIN23!F6+MVTJUIN23!G6-MVTJUIL23!E6+K6</f>
        <v>881656.46160656761</v>
      </c>
      <c r="G6" s="6">
        <v>1851.9970366128091</v>
      </c>
      <c r="H6" s="6">
        <f>F6+G6</f>
        <v>883508.45864318043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VLOOKUP($A6,[18]HISTOJUIL23!$A$6:$CA$36,60,0)</f>
        <v>6000</v>
      </c>
      <c r="AF6" s="36">
        <f>VLOOKUP($A6,[18]HISTOJUIL23!$A$6:$CA$36,61,0)</f>
        <v>50000</v>
      </c>
      <c r="AG6" s="36">
        <f>VLOOKUP($A6,[18]HISTOJUIL23!$A$6:$CA$36,62,0)</f>
        <v>0</v>
      </c>
      <c r="AH6" s="36">
        <f>VLOOKUP($A6,[18]HISTOJUIL23!$A$6:$CA$36,63,0)</f>
        <v>100000</v>
      </c>
      <c r="AI6" s="36">
        <f>VLOOKUP($A6,[18]HISTOJUIL23!$A$6:$CA$36,64,0)</f>
        <v>0</v>
      </c>
      <c r="AJ6" s="36">
        <f>VLOOKUP($A6,[18]HISTOJUIL23!$A$6:$CA$36,65,0)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VLOOKUP($A7,[18]HISTOJUIL23!$A$6:$BA$36,48,0)</f>
        <v>0</v>
      </c>
      <c r="F7" s="5">
        <f>MVTJUIN23!F7+MVTJUIN23!G7-MVTJUIL23!E7+K7</f>
        <v>669741.09095765953</v>
      </c>
      <c r="G7" s="6">
        <v>1406.8501392154665</v>
      </c>
      <c r="H7" s="6">
        <f t="shared" ref="H7:H37" si="0">F7+G7</f>
        <v>671147.941096875</v>
      </c>
      <c r="I7" s="36">
        <f>VLOOKUP($A7,[18]HISTOJUIL23!$A$6:$AQ$40,22,0)</f>
        <v>0</v>
      </c>
      <c r="J7" s="36">
        <f>VLOOKUP($A7,[18]HISTOJUIL23!$A$6:$AU$36,45,0)</f>
        <v>12000</v>
      </c>
      <c r="K7" s="36">
        <f t="shared" ref="K7:K36" si="1">IF(J7=0,0,J7-(L7+M7+N7))</f>
        <v>6000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VLOOKUP($A7,[18]HISTOJUIL23!$A$6:$AU$36,7,0)</f>
        <v>3000</v>
      </c>
      <c r="P7" s="36">
        <f>VLOOKUP($A7,[18]HISTOJUIL23!$A$6:$AU$36,23,0)</f>
        <v>0</v>
      </c>
      <c r="Q7" s="36">
        <f>VLOOKUP($A7,[18]HISTOJUIL23!$A$6:$AU$36,46,0)</f>
        <v>0</v>
      </c>
      <c r="R7" s="36">
        <f>VLOOKUP($A7,[18]HISTOJUIL23!$A$6:$AU$36,26,0)</f>
        <v>0</v>
      </c>
      <c r="S7" s="36">
        <f>VLOOKUP($A7,[18]HISTOJUIL23!$A$6:$BG$36,58,0)</f>
        <v>0</v>
      </c>
      <c r="T7" s="36">
        <f>VLOOKUP($A7,[18]HISTOJUIL23!$A$6:$AU$36,28,0)</f>
        <v>0</v>
      </c>
      <c r="U7" s="36">
        <f>VLOOKUP($A7,[18]HISTOJUIL23!$A$6:$AU$36,19,0)</f>
        <v>0</v>
      </c>
      <c r="V7" s="36">
        <f>VLOOKUP($A7,[18]HISTOJUIL23!$A$6:$AU$36,20,0)</f>
        <v>0</v>
      </c>
      <c r="W7" s="36">
        <f>VLOOKUP($A7,[18]HISTOJUIL23!$A$6:$AU$36,27,0)</f>
        <v>0</v>
      </c>
      <c r="X7" s="36">
        <f>VLOOKUP($A7,[18]HISTOJUIL23!$A$6:$BM$36,33,0)</f>
        <v>0</v>
      </c>
      <c r="Y7" s="36">
        <f>VLOOKUP($A7,[18]HISTOJUIL23!$A$6:$BM$36,65,0)</f>
        <v>0</v>
      </c>
      <c r="Z7" s="36"/>
      <c r="AA7" s="36">
        <f>VLOOKUP($A7,[18]HISTOJUIL23!$A$6:$AU$36,43,0)</f>
        <v>0</v>
      </c>
      <c r="AB7" s="36">
        <f>VLOOKUP($A7,[18]HISTOJUIL23!$A$6:$AU$36,44,0)</f>
        <v>0</v>
      </c>
      <c r="AC7" s="36">
        <f>VLOOKUP($A7,[18]HISTOJUIL23!$A$6:$AU$36,47,0)</f>
        <v>0</v>
      </c>
      <c r="AD7" s="36">
        <f>VLOOKUP(A7,[18]HISTOJUIL23!$A$6:$BB$36,54,0)</f>
        <v>140000</v>
      </c>
      <c r="AE7" s="36">
        <f>VLOOKUP($A7,[18]HISTOJUIL23!$A$6:$CA$36,60,0)</f>
        <v>0</v>
      </c>
      <c r="AF7" s="36">
        <f>VLOOKUP($A7,[18]HISTOJUIL23!$A$6:$CA$36,61,0)</f>
        <v>0</v>
      </c>
      <c r="AG7" s="36">
        <f>VLOOKUP($A7,[18]HISTOJUIL23!$A$6:$CA$36,62,0)</f>
        <v>0</v>
      </c>
      <c r="AH7" s="36">
        <f>VLOOKUP($A7,[18]HISTOJUIL23!$A$6:$CA$36,63,0)</f>
        <v>0</v>
      </c>
      <c r="AI7" s="36">
        <f>VLOOKUP($A7,[18]HISTOJUIL23!$A$6:$CA$36,64,0)</f>
        <v>0</v>
      </c>
      <c r="AJ7" s="36">
        <f>VLOOKUP($A7,[18]HISTOJUIL23!$A$6:$CA$36,65,0)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VLOOKUP($A8,[18]HISTOJUIL23!$A$6:$BA$36,48,0)</f>
        <v>0</v>
      </c>
      <c r="F8" s="5">
        <f>MVTJUIN23!F8+MVTJUIN23!G8-MVTJUIL23!E8+K8</f>
        <v>719019.36293895543</v>
      </c>
      <c r="G8" s="6">
        <v>1510.3634889758243</v>
      </c>
      <c r="H8" s="6">
        <f t="shared" si="0"/>
        <v>720529.72642793122</v>
      </c>
      <c r="I8" s="36">
        <f>VLOOKUP($A8,[18]HISTOJUIL23!$A$6:$AQ$40,22,0)</f>
        <v>0</v>
      </c>
      <c r="J8" s="36">
        <f>VLOOKUP($A8,[18]HISTOJUIL23!$A$6:$AU$36,45,0)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VLOOKUP($A8,[18]HISTOJUIL23!$A$6:$AU$36,7,0)</f>
        <v>0</v>
      </c>
      <c r="P8" s="36">
        <f>VLOOKUP($A8,[18]HISTOJUIL23!$A$6:$AU$36,23,0)</f>
        <v>0</v>
      </c>
      <c r="Q8" s="36">
        <f>VLOOKUP($A8,[18]HISTOJUIL23!$A$6:$AU$36,46,0)</f>
        <v>0</v>
      </c>
      <c r="R8" s="36">
        <f>VLOOKUP($A8,[18]HISTOJUIL23!$A$6:$AU$36,26,0)</f>
        <v>0</v>
      </c>
      <c r="S8" s="36">
        <f>VLOOKUP($A8,[18]HISTOJUIL23!$A$6:$BG$36,58,0)</f>
        <v>0</v>
      </c>
      <c r="T8" s="36">
        <f>VLOOKUP($A8,[18]HISTOJUIL23!$A$6:$AU$36,28,0)</f>
        <v>0</v>
      </c>
      <c r="U8" s="36">
        <f>VLOOKUP($A8,[18]HISTOJUIL23!$A$6:$AU$36,19,0)</f>
        <v>0</v>
      </c>
      <c r="V8" s="36">
        <f>VLOOKUP($A8,[18]HISTOJUIL23!$A$6:$AU$36,20,0)</f>
        <v>0</v>
      </c>
      <c r="W8" s="36">
        <f>VLOOKUP($A8,[18]HISTOJUIL23!$A$6:$AU$36,27,0)</f>
        <v>0</v>
      </c>
      <c r="X8" s="36">
        <f>VLOOKUP($A8,[18]HISTOJUIL23!$A$6:$BM$36,33,0)</f>
        <v>0</v>
      </c>
      <c r="Y8" s="36">
        <f>VLOOKUP($A8,[18]HISTOJUIL23!$A$6:$BM$36,65,0)</f>
        <v>0</v>
      </c>
      <c r="Z8" s="36"/>
      <c r="AA8" s="36">
        <f>VLOOKUP($A8,[18]HISTOJUIL23!$A$6:$AU$36,43,0)</f>
        <v>0</v>
      </c>
      <c r="AB8" s="36">
        <f>VLOOKUP($A8,[18]HISTOJUIL23!$A$6:$AU$36,44,0)</f>
        <v>0</v>
      </c>
      <c r="AC8" s="36">
        <f>VLOOKUP($A8,[18]HISTOJUIL23!$A$6:$AU$36,47,0)</f>
        <v>0</v>
      </c>
      <c r="AD8" s="36">
        <f>VLOOKUP(A8,[18]HISTOJUIL23!$A$6:$BB$36,54,0)</f>
        <v>0</v>
      </c>
      <c r="AE8" s="36">
        <f>VLOOKUP($A8,[18]HISTOJUIL23!$A$6:$CA$36,60,0)</f>
        <v>0</v>
      </c>
      <c r="AF8" s="36">
        <f>VLOOKUP($A8,[18]HISTOJUIL23!$A$6:$CA$36,61,0)</f>
        <v>0</v>
      </c>
      <c r="AG8" s="36">
        <f>VLOOKUP($A8,[18]HISTOJUIL23!$A$6:$CA$36,62,0)</f>
        <v>0</v>
      </c>
      <c r="AH8" s="36">
        <f>VLOOKUP($A8,[18]HISTOJUIL23!$A$6:$CA$36,63,0)</f>
        <v>0</v>
      </c>
      <c r="AI8" s="36">
        <f>VLOOKUP($A8,[18]HISTOJUIL23!$A$6:$CA$36,64,0)</f>
        <v>0</v>
      </c>
      <c r="AJ8" s="36">
        <f>VLOOKUP($A8,[18]HISTOJUIL23!$A$6:$CA$36,65,0)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VLOOKUP($A9,[18]HISTOJUIL23!$A$6:$BA$36,48,0)</f>
        <v>0</v>
      </c>
      <c r="F9" s="5">
        <f>MVTJUIN23!F9+MVTJUIN23!G9-MVTJUIL23!E9+K9</f>
        <v>755146.30615625135</v>
      </c>
      <c r="G9" s="6">
        <v>1586.2513145563144</v>
      </c>
      <c r="H9" s="6">
        <f t="shared" si="0"/>
        <v>756732.55747080769</v>
      </c>
      <c r="I9" s="36">
        <f>VLOOKUP($A9,[18]HISTOJUIL23!$A$6:$AQ$40,22,0)</f>
        <v>0</v>
      </c>
      <c r="J9" s="36">
        <f>VLOOKUP($A9,[18]HISTOJUIL23!$A$6:$AU$36,45,0)</f>
        <v>15000</v>
      </c>
      <c r="K9" s="36">
        <f t="shared" si="1"/>
        <v>9000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VLOOKUP($A9,[18]HISTOJUIL23!$A$6:$AU$36,7,0)</f>
        <v>3000</v>
      </c>
      <c r="P9" s="36">
        <f>VLOOKUP($A9,[18]HISTOJUIL23!$A$6:$AU$36,23,0)</f>
        <v>0</v>
      </c>
      <c r="Q9" s="36">
        <f>VLOOKUP($A9,[18]HISTOJUIL23!$A$6:$AU$36,46,0)</f>
        <v>0</v>
      </c>
      <c r="R9" s="36">
        <f>VLOOKUP($A9,[18]HISTOJUIL23!$A$6:$AU$36,26,0)</f>
        <v>0</v>
      </c>
      <c r="S9" s="36">
        <f>VLOOKUP($A9,[18]HISTOJUIL23!$A$6:$BG$36,58,0)</f>
        <v>0</v>
      </c>
      <c r="T9" s="36">
        <f>VLOOKUP($A9,[18]HISTOJUIL23!$A$6:$AU$36,28,0)</f>
        <v>0</v>
      </c>
      <c r="U9" s="36">
        <f>VLOOKUP($A9,[18]HISTOJUIL23!$A$6:$AU$36,19,0)</f>
        <v>0</v>
      </c>
      <c r="V9" s="36">
        <f>VLOOKUP($A9,[18]HISTOJUIL23!$A$6:$AU$36,20,0)</f>
        <v>0</v>
      </c>
      <c r="W9" s="36">
        <f>VLOOKUP($A9,[18]HISTOJUIL23!$A$6:$AU$36,27,0)</f>
        <v>0</v>
      </c>
      <c r="X9" s="36">
        <f>VLOOKUP($A9,[18]HISTOJUIL23!$A$6:$BM$36,33,0)</f>
        <v>0</v>
      </c>
      <c r="Y9" s="36">
        <f>VLOOKUP($A9,[18]HISTOJUIL23!$A$6:$BM$36,65,0)</f>
        <v>0</v>
      </c>
      <c r="Z9" s="36"/>
      <c r="AA9" s="36">
        <f>VLOOKUP($A9,[18]HISTOJUIL23!$A$6:$AU$36,43,0)</f>
        <v>0</v>
      </c>
      <c r="AB9" s="36">
        <f>VLOOKUP($A9,[18]HISTOJUIL23!$A$6:$AU$36,44,0)</f>
        <v>0</v>
      </c>
      <c r="AC9" s="36">
        <f>VLOOKUP($A9,[18]HISTOJUIL23!$A$6:$AU$36,47,0)</f>
        <v>0</v>
      </c>
      <c r="AD9" s="36">
        <f>VLOOKUP(A9,[18]HISTOJUIL23!$A$6:$BB$36,54,0)</f>
        <v>0</v>
      </c>
      <c r="AE9" s="36">
        <f>VLOOKUP($A9,[18]HISTOJUIL23!$A$6:$CA$36,60,0)</f>
        <v>0</v>
      </c>
      <c r="AF9" s="36">
        <f>VLOOKUP($A9,[18]HISTOJUIL23!$A$6:$CA$36,61,0)</f>
        <v>0</v>
      </c>
      <c r="AG9" s="36">
        <f>VLOOKUP($A9,[18]HISTOJUIL23!$A$6:$CA$36,62,0)</f>
        <v>0</v>
      </c>
      <c r="AH9" s="36">
        <f>VLOOKUP($A9,[18]HISTOJUIL23!$A$6:$CA$36,63,0)</f>
        <v>0</v>
      </c>
      <c r="AI9" s="36">
        <f>VLOOKUP($A9,[18]HISTOJUIL23!$A$6:$CA$36,64,0)</f>
        <v>0</v>
      </c>
      <c r="AJ9" s="36">
        <f>VLOOKUP($A9,[18]HISTOJUIL23!$A$6:$CA$36,65,0)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VLOOKUP($A10,[18]HISTOJUIL23!$A$6:$BA$36,48,0)</f>
        <v>0</v>
      </c>
      <c r="F10" s="5">
        <f>MVTJUIN23!F10+MVTJUIN23!G10-MVTJUIL23!E10+K10</f>
        <v>762044.16775882873</v>
      </c>
      <c r="G10" s="6">
        <v>1600.7408802808825</v>
      </c>
      <c r="H10" s="6">
        <f t="shared" si="0"/>
        <v>763644.90863910958</v>
      </c>
      <c r="I10" s="36">
        <f>VLOOKUP($A10,[18]HISTOJUIL23!$A$6:$AQ$40,22,0)</f>
        <v>0</v>
      </c>
      <c r="J10" s="36">
        <f>VLOOKUP($A10,[18]HISTOJUIL23!$A$6:$AU$36,45,0)</f>
        <v>12000</v>
      </c>
      <c r="K10" s="36">
        <f t="shared" si="1"/>
        <v>6000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VLOOKUP($A10,[18]HISTOJUIL23!$A$6:$AU$36,7,0)</f>
        <v>3000</v>
      </c>
      <c r="P10" s="36">
        <f>VLOOKUP($A10,[18]HISTOJUIL23!$A$6:$AU$36,23,0)</f>
        <v>0</v>
      </c>
      <c r="Q10" s="36">
        <f>VLOOKUP($A10,[18]HISTOJUIL23!$A$6:$AU$36,46,0)</f>
        <v>0</v>
      </c>
      <c r="R10" s="36">
        <f>VLOOKUP($A10,[18]HISTOJUIL23!$A$6:$AU$36,26,0)</f>
        <v>0</v>
      </c>
      <c r="S10" s="36">
        <f>VLOOKUP($A10,[18]HISTOJUIL23!$A$6:$BG$36,58,0)</f>
        <v>0</v>
      </c>
      <c r="T10" s="36">
        <f>VLOOKUP($A10,[18]HISTOJUIL23!$A$6:$AU$36,28,0)</f>
        <v>0</v>
      </c>
      <c r="U10" s="36">
        <f>VLOOKUP($A10,[18]HISTOJUIL23!$A$6:$AU$36,19,0)</f>
        <v>0</v>
      </c>
      <c r="V10" s="36">
        <f>VLOOKUP($A10,[18]HISTOJUIL23!$A$6:$AU$36,20,0)</f>
        <v>0</v>
      </c>
      <c r="W10" s="36">
        <f>VLOOKUP($A10,[18]HISTOJUIL23!$A$6:$AU$36,27,0)</f>
        <v>0</v>
      </c>
      <c r="X10" s="36">
        <f>VLOOKUP($A10,[18]HISTOJUIL23!$A$6:$BM$36,33,0)</f>
        <v>0</v>
      </c>
      <c r="Y10" s="36">
        <f>VLOOKUP($A10,[18]HISTOJUIL23!$A$6:$BM$36,65,0)</f>
        <v>0</v>
      </c>
      <c r="Z10" s="36"/>
      <c r="AA10" s="36">
        <f>VLOOKUP($A10,[18]HISTOJUIL23!$A$6:$AU$36,43,0)</f>
        <v>0</v>
      </c>
      <c r="AB10" s="36">
        <f>VLOOKUP($A10,[18]HISTOJUIL23!$A$6:$AU$36,44,0)</f>
        <v>0</v>
      </c>
      <c r="AC10" s="36">
        <f>VLOOKUP($A10,[18]HISTOJUIL23!$A$6:$AU$36,47,0)</f>
        <v>0</v>
      </c>
      <c r="AD10" s="36">
        <f>VLOOKUP(A10,[18]HISTOJUIL23!$A$6:$BB$36,54,0)</f>
        <v>0</v>
      </c>
      <c r="AE10" s="36">
        <f>VLOOKUP($A10,[18]HISTOJUIL23!$A$6:$CA$36,60,0)</f>
        <v>0</v>
      </c>
      <c r="AF10" s="36">
        <f>VLOOKUP($A10,[18]HISTOJUIL23!$A$6:$CA$36,61,0)</f>
        <v>0</v>
      </c>
      <c r="AG10" s="36">
        <f>VLOOKUP($A10,[18]HISTOJUIL23!$A$6:$CA$36,62,0)</f>
        <v>0</v>
      </c>
      <c r="AH10" s="36">
        <f>VLOOKUP($A10,[18]HISTOJUIL23!$A$6:$CA$36,63,0)</f>
        <v>0</v>
      </c>
      <c r="AI10" s="36">
        <f>VLOOKUP($A10,[18]HISTOJUIL23!$A$6:$CA$36,64,0)</f>
        <v>0</v>
      </c>
      <c r="AJ10" s="36">
        <f>VLOOKUP($A10,[18]HISTOJUIL23!$A$6:$CA$36,65,0)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VLOOKUP($A11,[18]HISTOJUIL23!$A$6:$BA$36,48,0)</f>
        <v>0</v>
      </c>
      <c r="F11" s="5">
        <f>MVTJUIN23!F11+MVTJUIN23!G11-MVTJUIL23!E11+K11</f>
        <v>725646.45968319383</v>
      </c>
      <c r="G11" s="6">
        <v>1524.2842892717936</v>
      </c>
      <c r="H11" s="6">
        <f t="shared" si="0"/>
        <v>727170.74397246563</v>
      </c>
      <c r="I11" s="36">
        <f>VLOOKUP($A11,[18]HISTOJUIL23!$A$6:$AQ$40,22,0)</f>
        <v>0</v>
      </c>
      <c r="J11" s="36">
        <f>VLOOKUP($A11,[18]HISTOJUIL23!$A$6:$AU$36,45,0)</f>
        <v>15000</v>
      </c>
      <c r="K11" s="36">
        <f t="shared" si="1"/>
        <v>9000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VLOOKUP($A11,[18]HISTOJUIL23!$A$6:$AU$36,7,0)</f>
        <v>3000</v>
      </c>
      <c r="P11" s="36">
        <f>VLOOKUP($A11,[18]HISTOJUIL23!$A$6:$AU$36,23,0)</f>
        <v>0</v>
      </c>
      <c r="Q11" s="36">
        <f>VLOOKUP($A11,[18]HISTOJUIL23!$A$6:$AU$36,46,0)</f>
        <v>0</v>
      </c>
      <c r="R11" s="36">
        <f>VLOOKUP($A11,[18]HISTOJUIL23!$A$6:$AU$36,26,0)</f>
        <v>0</v>
      </c>
      <c r="S11" s="36">
        <f>VLOOKUP($A11,[18]HISTOJUIL23!$A$6:$BG$36,58,0)</f>
        <v>0</v>
      </c>
      <c r="T11" s="36">
        <f>VLOOKUP($A11,[18]HISTOJUIL23!$A$6:$AU$36,28,0)</f>
        <v>0</v>
      </c>
      <c r="U11" s="36">
        <f>VLOOKUP($A11,[18]HISTOJUIL23!$A$6:$AU$36,19,0)</f>
        <v>0</v>
      </c>
      <c r="V11" s="36">
        <f>VLOOKUP($A11,[18]HISTOJUIL23!$A$6:$AU$36,20,0)</f>
        <v>0</v>
      </c>
      <c r="W11" s="36">
        <f>VLOOKUP($A11,[18]HISTOJUIL23!$A$6:$AU$36,27,0)</f>
        <v>0</v>
      </c>
      <c r="X11" s="36">
        <f>VLOOKUP($A11,[18]HISTOJUIL23!$A$6:$BM$36,33,0)</f>
        <v>0</v>
      </c>
      <c r="Y11" s="36">
        <f>VLOOKUP($A11,[18]HISTOJUIL23!$A$6:$BM$36,65,0)</f>
        <v>0</v>
      </c>
      <c r="Z11" s="36"/>
      <c r="AA11" s="36">
        <f>VLOOKUP($A11,[18]HISTOJUIL23!$A$6:$AU$36,43,0)</f>
        <v>0</v>
      </c>
      <c r="AB11" s="36">
        <f>VLOOKUP($A11,[18]HISTOJUIL23!$A$6:$AU$36,44,0)</f>
        <v>0</v>
      </c>
      <c r="AC11" s="36">
        <f>VLOOKUP($A11,[18]HISTOJUIL23!$A$6:$AU$36,47,0)</f>
        <v>0</v>
      </c>
      <c r="AD11" s="36">
        <f>VLOOKUP(A11,[18]HISTOJUIL23!$A$6:$BB$36,54,0)</f>
        <v>0</v>
      </c>
      <c r="AE11" s="36">
        <f>VLOOKUP($A11,[18]HISTOJUIL23!$A$6:$CA$36,60,0)</f>
        <v>0</v>
      </c>
      <c r="AF11" s="36">
        <f>VLOOKUP($A11,[18]HISTOJUIL23!$A$6:$CA$36,61,0)</f>
        <v>0</v>
      </c>
      <c r="AG11" s="36">
        <f>VLOOKUP($A11,[18]HISTOJUIL23!$A$6:$CA$36,62,0)</f>
        <v>0</v>
      </c>
      <c r="AH11" s="36">
        <f>VLOOKUP($A11,[18]HISTOJUIL23!$A$6:$CA$36,63,0)</f>
        <v>0</v>
      </c>
      <c r="AI11" s="36">
        <f>VLOOKUP($A11,[18]HISTOJUIL23!$A$6:$CA$36,64,0)</f>
        <v>0</v>
      </c>
      <c r="AJ11" s="36">
        <f>VLOOKUP($A11,[18]HISTOJUIL23!$A$6:$CA$36,65,0)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VLOOKUP($A12,[18]HISTOJUIL23!$A$6:$BA$36,48,0)</f>
        <v>0</v>
      </c>
      <c r="F12" s="5">
        <f>MVTJUIN23!F12+MVTJUIN23!G12-MVTJUIL23!E12+K12</f>
        <v>899677.7944167736</v>
      </c>
      <c r="G12" s="6">
        <v>1889.8524331461679</v>
      </c>
      <c r="H12" s="6">
        <f t="shared" si="0"/>
        <v>901567.64684991981</v>
      </c>
      <c r="I12" s="36">
        <f>VLOOKUP($A12,[18]HISTOJUIL23!$A$6:$AQ$40,22,0)</f>
        <v>0</v>
      </c>
      <c r="J12" s="36">
        <f>VLOOKUP($A12,[18]HISTOJUIL23!$A$6:$AU$36,45,0)</f>
        <v>31300</v>
      </c>
      <c r="K12" s="36">
        <f>IF(J12=0,0,J12-(L12+M12+N12))</f>
        <v>25300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VLOOKUP($A12,[18]HISTOJUIL23!$A$6:$AU$36,7,0)</f>
        <v>0</v>
      </c>
      <c r="P12" s="36">
        <f>VLOOKUP($A12,[18]HISTOJUIL23!$A$6:$AU$36,23,0)</f>
        <v>0</v>
      </c>
      <c r="Q12" s="36">
        <f>VLOOKUP($A12,[18]HISTOJUIL23!$A$6:$AU$36,46,0)</f>
        <v>0</v>
      </c>
      <c r="R12" s="36">
        <f>VLOOKUP($A12,[18]HISTOJUIL23!$A$6:$AU$36,26,0)</f>
        <v>0</v>
      </c>
      <c r="S12" s="36">
        <f>VLOOKUP($A12,[18]HISTOJUIL23!$A$6:$BG$36,58,0)</f>
        <v>0</v>
      </c>
      <c r="T12" s="36">
        <f>VLOOKUP($A12,[18]HISTOJUIL23!$A$6:$AU$36,28,0)</f>
        <v>0</v>
      </c>
      <c r="U12" s="36">
        <f>VLOOKUP($A12,[18]HISTOJUIL23!$A$6:$AU$36,19,0)</f>
        <v>0</v>
      </c>
      <c r="V12" s="36">
        <f>VLOOKUP($A12,[18]HISTOJUIL23!$A$6:$AU$36,20,0)</f>
        <v>0</v>
      </c>
      <c r="W12" s="36">
        <f>VLOOKUP($A12,[18]HISTOJUIL23!$A$6:$AU$36,27,0)</f>
        <v>0</v>
      </c>
      <c r="X12" s="36">
        <f>VLOOKUP($A12,[18]HISTOJUIL23!$A$6:$BM$36,33,0)</f>
        <v>0</v>
      </c>
      <c r="Y12" s="36">
        <f>VLOOKUP($A12,[18]HISTOJUIL23!$A$6:$BM$36,65,0)</f>
        <v>0</v>
      </c>
      <c r="Z12" s="36"/>
      <c r="AA12" s="36">
        <f>VLOOKUP($A12,[18]HISTOJUIL23!$A$6:$AU$36,43,0)</f>
        <v>0</v>
      </c>
      <c r="AB12" s="36">
        <f>VLOOKUP($A12,[18]HISTOJUIL23!$A$6:$AU$36,44,0)</f>
        <v>0</v>
      </c>
      <c r="AC12" s="36">
        <f>VLOOKUP($A12,[18]HISTOJUIL23!$A$6:$AU$36,47,0)</f>
        <v>0</v>
      </c>
      <c r="AD12" s="36">
        <f>VLOOKUP(A12,[18]HISTOJUIL23!$A$6:$BB$36,54,0)</f>
        <v>0</v>
      </c>
      <c r="AE12" s="36">
        <f>VLOOKUP($A12,[18]HISTOJUIL23!$A$6:$CA$36,60,0)</f>
        <v>0</v>
      </c>
      <c r="AF12" s="36">
        <f>VLOOKUP($A12,[18]HISTOJUIL23!$A$6:$CA$36,61,0)</f>
        <v>0</v>
      </c>
      <c r="AG12" s="36">
        <f>VLOOKUP($A12,[18]HISTOJUIL23!$A$6:$CA$36,62,0)</f>
        <v>0</v>
      </c>
      <c r="AH12" s="36">
        <f>VLOOKUP($A12,[18]HISTOJUIL23!$A$6:$CA$36,63,0)</f>
        <v>0</v>
      </c>
      <c r="AI12" s="36">
        <f>VLOOKUP($A12,[18]HISTOJUIL23!$A$6:$CA$36,64,0)</f>
        <v>0</v>
      </c>
      <c r="AJ12" s="36">
        <f>VLOOKUP($A12,[18]HISTOJUIL23!$A$6:$CA$36,65,0)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VLOOKUP($A13,[18]HISTOJUIL23!$A$6:$BA$36,48,0)</f>
        <v>0</v>
      </c>
      <c r="F13" s="5">
        <f>MVTJUIN23!F13+MVTJUIN23!G13-MVTJUIL23!E13+K13</f>
        <v>712066.23901132355</v>
      </c>
      <c r="G13" s="6">
        <v>1495.7578398710573</v>
      </c>
      <c r="H13" s="6">
        <f t="shared" si="0"/>
        <v>713561.99685119465</v>
      </c>
      <c r="I13" s="36">
        <f>VLOOKUP($A13,[18]HISTOJUIL23!$A$6:$AQ$40,22,0)</f>
        <v>0</v>
      </c>
      <c r="J13" s="36">
        <f>VLOOKUP($A13,[18]HISTOJUIL23!$A$6:$AU$36,45,0)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VLOOKUP($A13,[18]HISTOJUIL23!$A$6:$AU$36,7,0)</f>
        <v>0</v>
      </c>
      <c r="P13" s="36">
        <f>VLOOKUP($A13,[18]HISTOJUIL23!$A$6:$AU$36,23,0)</f>
        <v>0</v>
      </c>
      <c r="Q13" s="36">
        <f>VLOOKUP($A13,[18]HISTOJUIL23!$A$6:$AU$36,46,0)</f>
        <v>0</v>
      </c>
      <c r="R13" s="36">
        <f>VLOOKUP($A13,[18]HISTOJUIL23!$A$6:$AU$36,26,0)</f>
        <v>0</v>
      </c>
      <c r="S13" s="36">
        <f>VLOOKUP($A13,[18]HISTOJUIL23!$A$6:$BG$36,58,0)</f>
        <v>0</v>
      </c>
      <c r="T13" s="36">
        <f>VLOOKUP($A13,[18]HISTOJUIL23!$A$6:$AU$36,28,0)</f>
        <v>0</v>
      </c>
      <c r="U13" s="36">
        <f>VLOOKUP($A13,[18]HISTOJUIL23!$A$6:$AU$36,19,0)</f>
        <v>0</v>
      </c>
      <c r="V13" s="36">
        <f>VLOOKUP($A13,[18]HISTOJUIL23!$A$6:$AU$36,20,0)</f>
        <v>0</v>
      </c>
      <c r="W13" s="36">
        <f>VLOOKUP($A13,[18]HISTOJUIL23!$A$6:$AU$36,27,0)</f>
        <v>0</v>
      </c>
      <c r="X13" s="36">
        <f>VLOOKUP($A13,[18]HISTOJUIL23!$A$6:$BM$36,33,0)</f>
        <v>0</v>
      </c>
      <c r="Y13" s="36">
        <f>VLOOKUP($A13,[18]HISTOJUIL23!$A$6:$BM$36,65,0)</f>
        <v>0</v>
      </c>
      <c r="Z13" s="36"/>
      <c r="AA13" s="36">
        <f>VLOOKUP($A13,[18]HISTOJUIL23!$A$6:$AU$36,43,0)</f>
        <v>0</v>
      </c>
      <c r="AB13" s="36">
        <f>VLOOKUP($A13,[18]HISTOJUIL23!$A$6:$AU$36,44,0)</f>
        <v>0</v>
      </c>
      <c r="AC13" s="36">
        <f>VLOOKUP($A13,[18]HISTOJUIL23!$A$6:$AU$36,47,0)</f>
        <v>0</v>
      </c>
      <c r="AD13" s="36">
        <f>VLOOKUP(A13,[18]HISTOJUIL23!$A$6:$BB$36,54,0)</f>
        <v>0</v>
      </c>
      <c r="AE13" s="36">
        <f>VLOOKUP($A13,[18]HISTOJUIL23!$A$6:$CA$36,60,0)</f>
        <v>0</v>
      </c>
      <c r="AF13" s="36">
        <f>VLOOKUP($A13,[18]HISTOJUIL23!$A$6:$CA$36,61,0)</f>
        <v>0</v>
      </c>
      <c r="AG13" s="36">
        <f>VLOOKUP($A13,[18]HISTOJUIL23!$A$6:$CA$36,62,0)</f>
        <v>0</v>
      </c>
      <c r="AH13" s="36">
        <f>VLOOKUP($A13,[18]HISTOJUIL23!$A$6:$CA$36,63,0)</f>
        <v>0</v>
      </c>
      <c r="AI13" s="36">
        <f>VLOOKUP($A13,[18]HISTOJUIL23!$A$6:$CA$36,64,0)</f>
        <v>0</v>
      </c>
      <c r="AJ13" s="36">
        <f>VLOOKUP($A13,[18]HISTOJUIL23!$A$6:$CA$36,65,0)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VLOOKUP($A14,[18]HISTOJUIL23!$A$6:$BA$36,48,0)</f>
        <v>0</v>
      </c>
      <c r="F14" s="5">
        <f>MVTJUIN23!F14+MVTJUIN23!G14-MVTJUIL23!E14+K14</f>
        <v>1206328.0713834278</v>
      </c>
      <c r="G14" s="6">
        <v>2533.9983436563421</v>
      </c>
      <c r="H14" s="6">
        <f t="shared" si="0"/>
        <v>1208862.0697270841</v>
      </c>
      <c r="I14" s="36">
        <f>VLOOKUP($A14,[18]HISTOJUIL23!$A$6:$AQ$40,22,0)</f>
        <v>0</v>
      </c>
      <c r="J14" s="36">
        <f>VLOOKUP($A14,[18]HISTOJUIL23!$A$6:$AU$36,45,0)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VLOOKUP($A14,[18]HISTOJUIL23!$A$6:$AU$36,7,0)</f>
        <v>0</v>
      </c>
      <c r="P14" s="36">
        <f>VLOOKUP($A14,[18]HISTOJUIL23!$A$6:$AU$36,23,0)</f>
        <v>0</v>
      </c>
      <c r="Q14" s="36">
        <f>VLOOKUP($A14,[18]HISTOJUIL23!$A$6:$AU$36,46,0)</f>
        <v>0</v>
      </c>
      <c r="R14" s="36">
        <f>VLOOKUP($A14,[18]HISTOJUIL23!$A$6:$AU$36,26,0)</f>
        <v>0</v>
      </c>
      <c r="S14" s="36">
        <f>VLOOKUP($A14,[18]HISTOJUIL23!$A$6:$BG$36,58,0)</f>
        <v>0</v>
      </c>
      <c r="T14" s="36">
        <f>VLOOKUP($A14,[18]HISTOJUIL23!$A$6:$AU$36,28,0)</f>
        <v>0</v>
      </c>
      <c r="U14" s="36">
        <f>VLOOKUP($A14,[18]HISTOJUIL23!$A$6:$AU$36,19,0)</f>
        <v>0</v>
      </c>
      <c r="V14" s="36">
        <f>VLOOKUP($A14,[18]HISTOJUIL23!$A$6:$AU$36,20,0)</f>
        <v>0</v>
      </c>
      <c r="W14" s="36">
        <f>VLOOKUP($A14,[18]HISTOJUIL23!$A$6:$AU$36,27,0)</f>
        <v>0</v>
      </c>
      <c r="X14" s="36">
        <f>VLOOKUP($A14,[18]HISTOJUIL23!$A$6:$BM$36,33,0)</f>
        <v>0</v>
      </c>
      <c r="Y14" s="36">
        <f>VLOOKUP($A14,[18]HISTOJUIL23!$A$6:$BM$36,65,0)</f>
        <v>0</v>
      </c>
      <c r="Z14" s="36"/>
      <c r="AA14" s="36">
        <f>VLOOKUP($A14,[18]HISTOJUIL23!$A$6:$AU$36,43,0)</f>
        <v>0</v>
      </c>
      <c r="AB14" s="36">
        <f>VLOOKUP($A14,[18]HISTOJUIL23!$A$6:$AU$36,44,0)</f>
        <v>0</v>
      </c>
      <c r="AC14" s="36">
        <f>VLOOKUP($A14,[18]HISTOJUIL23!$A$6:$AU$36,47,0)</f>
        <v>0</v>
      </c>
      <c r="AD14" s="36">
        <f>VLOOKUP(A14,[18]HISTOJUIL23!$A$6:$BB$36,54,0)</f>
        <v>0</v>
      </c>
      <c r="AE14" s="36">
        <f>VLOOKUP($A14,[18]HISTOJUIL23!$A$6:$CA$36,60,0)</f>
        <v>0</v>
      </c>
      <c r="AF14" s="36">
        <f>VLOOKUP($A14,[18]HISTOJUIL23!$A$6:$CA$36,61,0)</f>
        <v>0</v>
      </c>
      <c r="AG14" s="36">
        <f>VLOOKUP($A14,[18]HISTOJUIL23!$A$6:$CA$36,62,0)</f>
        <v>0</v>
      </c>
      <c r="AH14" s="36">
        <f>VLOOKUP($A14,[18]HISTOJUIL23!$A$6:$CA$36,63,0)</f>
        <v>0</v>
      </c>
      <c r="AI14" s="36">
        <f>VLOOKUP($A14,[18]HISTOJUIL23!$A$6:$CA$36,64,0)</f>
        <v>0</v>
      </c>
      <c r="AJ14" s="36">
        <f>VLOOKUP($A14,[18]HISTOJUIL23!$A$6:$CA$36,65,0)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VLOOKUP($A15,[18]HISTOJUIL23!$A$6:$BA$36,48,0)</f>
        <v>0</v>
      </c>
      <c r="F15" s="5">
        <f>MVTJUIN23!F15+MVTJUIN23!G15-MVTJUIL23!E15+K15</f>
        <v>766623.41215613019</v>
      </c>
      <c r="G15" s="6">
        <v>1610.3599863874429</v>
      </c>
      <c r="H15" s="6">
        <f t="shared" si="0"/>
        <v>768233.77214251761</v>
      </c>
      <c r="I15" s="36">
        <f>VLOOKUP($A15,[18]HISTOJUIL23!$A$6:$AQ$40,22,0)</f>
        <v>0</v>
      </c>
      <c r="J15" s="36">
        <f>VLOOKUP($A15,[18]HISTOJUIL23!$A$6:$AU$36,45,0)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VLOOKUP($A15,[18]HISTOJUIL23!$A$6:$AU$36,7,0)</f>
        <v>0</v>
      </c>
      <c r="P15" s="36">
        <f>VLOOKUP($A15,[18]HISTOJUIL23!$A$6:$AU$36,23,0)</f>
        <v>0</v>
      </c>
      <c r="Q15" s="36">
        <f>VLOOKUP($A15,[18]HISTOJUIL23!$A$6:$AU$36,46,0)</f>
        <v>0</v>
      </c>
      <c r="R15" s="36">
        <f>VLOOKUP($A15,[18]HISTOJUIL23!$A$6:$AU$36,26,0)</f>
        <v>0</v>
      </c>
      <c r="S15" s="36">
        <f>VLOOKUP($A15,[18]HISTOJUIL23!$A$6:$BG$36,58,0)</f>
        <v>0</v>
      </c>
      <c r="T15" s="36">
        <f>VLOOKUP($A15,[18]HISTOJUIL23!$A$6:$AU$36,28,0)</f>
        <v>0</v>
      </c>
      <c r="U15" s="36">
        <f>VLOOKUP($A15,[18]HISTOJUIL23!$A$6:$AU$36,19,0)</f>
        <v>0</v>
      </c>
      <c r="V15" s="36">
        <f>VLOOKUP($A15,[18]HISTOJUIL23!$A$6:$AU$36,20,0)</f>
        <v>0</v>
      </c>
      <c r="W15" s="36">
        <f>VLOOKUP($A15,[18]HISTOJUIL23!$A$6:$AU$36,27,0)</f>
        <v>0</v>
      </c>
      <c r="X15" s="36">
        <f>VLOOKUP($A15,[18]HISTOJUIL23!$A$6:$BM$36,33,0)</f>
        <v>0</v>
      </c>
      <c r="Y15" s="36">
        <f>VLOOKUP($A15,[18]HISTOJUIL23!$A$6:$BM$36,65,0)</f>
        <v>0</v>
      </c>
      <c r="Z15" s="36"/>
      <c r="AA15" s="36">
        <f>VLOOKUP($A15,[18]HISTOJUIL23!$A$6:$AU$36,43,0)</f>
        <v>0</v>
      </c>
      <c r="AB15" s="36">
        <f>VLOOKUP($A15,[18]HISTOJUIL23!$A$6:$AU$36,44,0)</f>
        <v>0</v>
      </c>
      <c r="AC15" s="36">
        <f>VLOOKUP($A15,[18]HISTOJUIL23!$A$6:$AU$36,47,0)</f>
        <v>0</v>
      </c>
      <c r="AD15" s="36">
        <f>VLOOKUP(A15,[18]HISTOJUIL23!$A$6:$BB$36,54,0)</f>
        <v>70000</v>
      </c>
      <c r="AE15" s="36">
        <f>VLOOKUP($A15,[18]HISTOJUIL23!$A$6:$CA$36,60,0)</f>
        <v>0</v>
      </c>
      <c r="AF15" s="36">
        <f>VLOOKUP($A15,[18]HISTOJUIL23!$A$6:$CA$36,61,0)</f>
        <v>0</v>
      </c>
      <c r="AG15" s="36">
        <f>VLOOKUP($A15,[18]HISTOJUIL23!$A$6:$CA$36,62,0)</f>
        <v>0</v>
      </c>
      <c r="AH15" s="36">
        <f>VLOOKUP($A15,[18]HISTOJUIL23!$A$6:$CA$36,63,0)</f>
        <v>0</v>
      </c>
      <c r="AI15" s="36">
        <f>VLOOKUP($A15,[18]HISTOJUIL23!$A$6:$CA$36,64,0)</f>
        <v>0</v>
      </c>
      <c r="AJ15" s="36">
        <f>VLOOKUP($A15,[18]HISTOJUIL23!$A$6:$CA$36,65,0)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VLOOKUP($A16,[18]HISTOJUIL23!$A$6:$BA$36,48,0)</f>
        <v>0</v>
      </c>
      <c r="F16" s="5">
        <f>MVTJUIN23!F16+MVTJUIN23!G16-MVTJUIL23!E16+K16</f>
        <v>956165.64541134727</v>
      </c>
      <c r="G16" s="6">
        <v>2008.5101385022253</v>
      </c>
      <c r="H16" s="6">
        <f t="shared" si="0"/>
        <v>958174.1555498495</v>
      </c>
      <c r="I16" s="36">
        <f>VLOOKUP($A16,[18]HISTOJUIL23!$A$6:$AQ$40,22,0)</f>
        <v>0</v>
      </c>
      <c r="J16" s="36">
        <f>VLOOKUP($A16,[18]HISTOJUIL23!$A$6:$AU$36,45,0)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VLOOKUP($A16,[18]HISTOJUIL23!$A$6:$AU$36,7,0)</f>
        <v>0</v>
      </c>
      <c r="P16" s="36">
        <f>VLOOKUP($A16,[18]HISTOJUIL23!$A$6:$AU$36,23,0)</f>
        <v>0</v>
      </c>
      <c r="Q16" s="36">
        <f>VLOOKUP($A16,[18]HISTOJUIL23!$A$6:$AU$36,46,0)</f>
        <v>0</v>
      </c>
      <c r="R16" s="36">
        <f>VLOOKUP($A16,[18]HISTOJUIL23!$A$6:$AU$36,26,0)</f>
        <v>0</v>
      </c>
      <c r="S16" s="36">
        <f>VLOOKUP($A16,[18]HISTOJUIL23!$A$6:$BG$36,58,0)</f>
        <v>0</v>
      </c>
      <c r="T16" s="36">
        <f>VLOOKUP($A16,[18]HISTOJUIL23!$A$6:$AU$36,28,0)</f>
        <v>0</v>
      </c>
      <c r="U16" s="36">
        <f>VLOOKUP($A16,[18]HISTOJUIL23!$A$6:$AU$36,19,0)</f>
        <v>0</v>
      </c>
      <c r="V16" s="36">
        <f>VLOOKUP($A16,[18]HISTOJUIL23!$A$6:$AU$36,20,0)</f>
        <v>0</v>
      </c>
      <c r="W16" s="36">
        <f>VLOOKUP($A16,[18]HISTOJUIL23!$A$6:$AU$36,27,0)</f>
        <v>0</v>
      </c>
      <c r="X16" s="36">
        <f>VLOOKUP($A16,[18]HISTOJUIL23!$A$6:$BM$36,33,0)</f>
        <v>0</v>
      </c>
      <c r="Y16" s="36">
        <f>VLOOKUP($A16,[18]HISTOJUIL23!$A$6:$BM$36,65,0)</f>
        <v>0</v>
      </c>
      <c r="Z16" s="36"/>
      <c r="AA16" s="36">
        <f>VLOOKUP($A16,[18]HISTOJUIL23!$A$6:$AU$36,43,0)</f>
        <v>0</v>
      </c>
      <c r="AB16" s="36">
        <f>VLOOKUP($A16,[18]HISTOJUIL23!$A$6:$AU$36,44,0)</f>
        <v>0</v>
      </c>
      <c r="AC16" s="36">
        <f>VLOOKUP($A16,[18]HISTOJUIL23!$A$6:$AU$36,47,0)</f>
        <v>0</v>
      </c>
      <c r="AD16" s="36">
        <f>VLOOKUP(A16,[18]HISTOJUIL23!$A$6:$BB$36,54,0)</f>
        <v>0</v>
      </c>
      <c r="AE16" s="36">
        <f>VLOOKUP($A16,[18]HISTOJUIL23!$A$6:$CA$36,60,0)</f>
        <v>0</v>
      </c>
      <c r="AF16" s="36">
        <f>VLOOKUP($A16,[18]HISTOJUIL23!$A$6:$CA$36,61,0)</f>
        <v>0</v>
      </c>
      <c r="AG16" s="36">
        <f>VLOOKUP($A16,[18]HISTOJUIL23!$A$6:$CA$36,62,0)</f>
        <v>0</v>
      </c>
      <c r="AH16" s="36">
        <f>VLOOKUP($A16,[18]HISTOJUIL23!$A$6:$CA$36,63,0)</f>
        <v>0</v>
      </c>
      <c r="AI16" s="36">
        <f>VLOOKUP($A16,[18]HISTOJUIL23!$A$6:$CA$36,64,0)</f>
        <v>0</v>
      </c>
      <c r="AJ16" s="36">
        <f>VLOOKUP($A16,[18]HISTOJUIL23!$A$6:$CA$36,65,0)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VLOOKUP($A17,[18]HISTOJUIL23!$A$6:$BA$36,48,0)</f>
        <v>0</v>
      </c>
      <c r="F17" s="5">
        <f>MVTJUIN23!F17+MVTJUIN23!G17-MVTJUIL23!E17+K17</f>
        <v>768978.13732152747</v>
      </c>
      <c r="G17" s="6">
        <v>1615.3062939553665</v>
      </c>
      <c r="H17" s="6">
        <f t="shared" si="0"/>
        <v>770593.44361548289</v>
      </c>
      <c r="I17" s="36">
        <f>VLOOKUP($A17,[18]HISTOJUIL23!$A$6:$AQ$40,22,0)</f>
        <v>0</v>
      </c>
      <c r="J17" s="36">
        <f>VLOOKUP($A17,[18]HISTOJUIL23!$A$6:$AU$36,45,0)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VLOOKUP($A17,[18]HISTOJUIL23!$A$6:$AU$36,7,0)</f>
        <v>0</v>
      </c>
      <c r="P17" s="36">
        <f>VLOOKUP($A17,[18]HISTOJUIL23!$A$6:$AU$36,23,0)</f>
        <v>0</v>
      </c>
      <c r="Q17" s="36">
        <f>VLOOKUP($A17,[18]HISTOJUIL23!$A$6:$AU$36,46,0)</f>
        <v>0</v>
      </c>
      <c r="R17" s="36">
        <f>VLOOKUP($A17,[18]HISTOJUIL23!$A$6:$AU$36,26,0)</f>
        <v>1000000</v>
      </c>
      <c r="S17" s="36">
        <f>VLOOKUP($A17,[18]HISTOJUIL23!$A$6:$BG$36,58,0)</f>
        <v>50000</v>
      </c>
      <c r="T17" s="36">
        <f>VLOOKUP($A17,[18]HISTOJUIL23!$A$6:$AU$36,28,0)</f>
        <v>0</v>
      </c>
      <c r="U17" s="36">
        <f>VLOOKUP($A17,[18]HISTOJUIL23!$A$6:$AU$36,19,0)</f>
        <v>0</v>
      </c>
      <c r="V17" s="36">
        <f>VLOOKUP($A17,[18]HISTOJUIL23!$A$6:$AU$36,20,0)</f>
        <v>0</v>
      </c>
      <c r="W17" s="36" t="str">
        <f>VLOOKUP($A17,[18]HISTOJUIL23!$A$6:$AU$36,27,0)</f>
        <v>BANQUE</v>
      </c>
      <c r="X17" s="36">
        <f>VLOOKUP($A17,[18]HISTOJUIL23!$A$6:$BM$36,33,0)</f>
        <v>0</v>
      </c>
      <c r="Y17" s="36">
        <f>VLOOKUP($A17,[18]HISTOJUIL23!$A$6:$BM$36,65,0)</f>
        <v>0</v>
      </c>
      <c r="Z17" s="36"/>
      <c r="AA17" s="36">
        <f>VLOOKUP($A17,[18]HISTOJUIL23!$A$6:$AU$36,43,0)</f>
        <v>0</v>
      </c>
      <c r="AB17" s="36">
        <f>VLOOKUP($A17,[18]HISTOJUIL23!$A$6:$AU$36,44,0)</f>
        <v>0</v>
      </c>
      <c r="AC17" s="36">
        <f>VLOOKUP($A17,[18]HISTOJUIL23!$A$6:$AU$36,47,0)</f>
        <v>0</v>
      </c>
      <c r="AD17" s="36">
        <f>VLOOKUP(A17,[18]HISTOJUIL23!$A$6:$BB$36,54,0)</f>
        <v>0</v>
      </c>
      <c r="AE17" s="36">
        <f>VLOOKUP($A17,[18]HISTOJUIL23!$A$6:$CA$36,60,0)</f>
        <v>0</v>
      </c>
      <c r="AF17" s="36">
        <f>VLOOKUP($A17,[18]HISTOJUIL23!$A$6:$CA$36,61,0)</f>
        <v>0</v>
      </c>
      <c r="AG17" s="36">
        <f>VLOOKUP($A17,[18]HISTOJUIL23!$A$6:$CA$36,62,0)</f>
        <v>0</v>
      </c>
      <c r="AH17" s="36">
        <f>VLOOKUP($A17,[18]HISTOJUIL23!$A$6:$CA$36,63,0)</f>
        <v>0</v>
      </c>
      <c r="AI17" s="36">
        <f>VLOOKUP($A17,[18]HISTOJUIL23!$A$6:$CA$36,64,0)</f>
        <v>0</v>
      </c>
      <c r="AJ17" s="36">
        <f>VLOOKUP($A17,[18]HISTOJUIL23!$A$6:$CA$36,65,0)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VLOOKUP($A18,[18]HISTOJUIL23!$A$6:$BA$36,48,0)</f>
        <v>0</v>
      </c>
      <c r="F18" s="5">
        <f>MVTJUIN23!F18+MVTJUIN23!G18-MVTJUIL23!E18+K18</f>
        <v>718418.56327845098</v>
      </c>
      <c r="G18" s="6">
        <v>1509.1014563822846</v>
      </c>
      <c r="H18" s="6">
        <f t="shared" si="0"/>
        <v>719927.66473483329</v>
      </c>
      <c r="I18" s="36">
        <f>VLOOKUP($A18,[18]HISTOJUIL23!$A$6:$AQ$40,22,0)</f>
        <v>0</v>
      </c>
      <c r="J18" s="36">
        <f>VLOOKUP($A18,[18]HISTOJUIL23!$A$6:$AU$36,45,0)</f>
        <v>15000</v>
      </c>
      <c r="K18" s="36">
        <f t="shared" si="1"/>
        <v>9000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VLOOKUP($A18,[18]HISTOJUIL23!$A$6:$AU$36,7,0)</f>
        <v>0</v>
      </c>
      <c r="P18" s="36">
        <f>VLOOKUP($A18,[18]HISTOJUIL23!$A$6:$AU$36,23,0)</f>
        <v>0</v>
      </c>
      <c r="Q18" s="36">
        <f>VLOOKUP($A18,[18]HISTOJUIL23!$A$6:$AU$36,46,0)</f>
        <v>0</v>
      </c>
      <c r="R18" s="36">
        <f>VLOOKUP($A18,[18]HISTOJUIL23!$A$6:$AU$36,26,0)</f>
        <v>0</v>
      </c>
      <c r="S18" s="36">
        <f>VLOOKUP($A18,[18]HISTOJUIL23!$A$6:$BG$36,58,0)</f>
        <v>0</v>
      </c>
      <c r="T18" s="36">
        <f>VLOOKUP($A18,[18]HISTOJUIL23!$A$6:$AU$36,28,0)</f>
        <v>0</v>
      </c>
      <c r="U18" s="36">
        <f>VLOOKUP($A18,[18]HISTOJUIL23!$A$6:$AU$36,19,0)</f>
        <v>0</v>
      </c>
      <c r="V18" s="36">
        <f>VLOOKUP($A18,[18]HISTOJUIL23!$A$6:$AU$36,20,0)</f>
        <v>0</v>
      </c>
      <c r="W18" s="36">
        <f>VLOOKUP($A18,[18]HISTOJUIL23!$A$6:$AU$36,27,0)</f>
        <v>0</v>
      </c>
      <c r="X18" s="36">
        <f>VLOOKUP($A18,[18]HISTOJUIL23!$A$6:$BM$36,33,0)</f>
        <v>0</v>
      </c>
      <c r="Y18" s="36">
        <f>VLOOKUP($A18,[18]HISTOJUIL23!$A$6:$BM$36,65,0)</f>
        <v>0</v>
      </c>
      <c r="Z18" s="36"/>
      <c r="AA18" s="36">
        <f>VLOOKUP($A18,[18]HISTOJUIL23!$A$6:$AU$36,43,0)</f>
        <v>0</v>
      </c>
      <c r="AB18" s="36">
        <f>VLOOKUP($A18,[18]HISTOJUIL23!$A$6:$AU$36,44,0)</f>
        <v>0</v>
      </c>
      <c r="AC18" s="36">
        <f>VLOOKUP($A18,[18]HISTOJUIL23!$A$6:$AU$36,47,0)</f>
        <v>0</v>
      </c>
      <c r="AD18" s="36">
        <f>VLOOKUP(A18,[18]HISTOJUIL23!$A$6:$BB$36,54,0)</f>
        <v>0</v>
      </c>
      <c r="AE18" s="36">
        <f>VLOOKUP($A18,[18]HISTOJUIL23!$A$6:$CA$36,60,0)</f>
        <v>0</v>
      </c>
      <c r="AF18" s="36">
        <f>VLOOKUP($A18,[18]HISTOJUIL23!$A$6:$CA$36,61,0)</f>
        <v>0</v>
      </c>
      <c r="AG18" s="36">
        <f>VLOOKUP($A18,[18]HISTOJUIL23!$A$6:$CA$36,62,0)</f>
        <v>0</v>
      </c>
      <c r="AH18" s="36">
        <f>VLOOKUP($A18,[18]HISTOJUIL23!$A$6:$CA$36,63,0)</f>
        <v>0</v>
      </c>
      <c r="AI18" s="36">
        <f>VLOOKUP($A18,[18]HISTOJUIL23!$A$6:$CA$36,64,0)</f>
        <v>0</v>
      </c>
      <c r="AJ18" s="36">
        <f>VLOOKUP($A18,[18]HISTOJUIL23!$A$6:$CA$36,65,0)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VLOOKUP($A19,[18]HISTOJUIL23!$A$6:$BA$36,48,0)</f>
        <v>0</v>
      </c>
      <c r="F19" s="5">
        <f>MVTJUIN23!F19+MVTJUIN23!G19-MVTJUIL23!E19+K19</f>
        <v>712241.29749849136</v>
      </c>
      <c r="G19" s="6">
        <v>1496.1255656390713</v>
      </c>
      <c r="H19" s="6">
        <f t="shared" si="0"/>
        <v>713737.42306413047</v>
      </c>
      <c r="I19" s="36">
        <f>VLOOKUP($A19,[18]HISTOJUIL23!$A$6:$AQ$40,22,0)</f>
        <v>0</v>
      </c>
      <c r="J19" s="36">
        <f>VLOOKUP($A19,[18]HISTOJUIL23!$A$6:$AU$36,45,0)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VLOOKUP($A19,[18]HISTOJUIL23!$A$6:$AU$36,7,0)</f>
        <v>0</v>
      </c>
      <c r="P19" s="36">
        <f>VLOOKUP($A19,[18]HISTOJUIL23!$A$6:$AU$36,23,0)</f>
        <v>0</v>
      </c>
      <c r="Q19" s="36">
        <f>VLOOKUP($A19,[18]HISTOJUIL23!$A$6:$AU$36,46,0)</f>
        <v>0</v>
      </c>
      <c r="R19" s="36">
        <f>VLOOKUP($A19,[18]HISTOJUIL23!$A$6:$AU$36,26,0)</f>
        <v>0</v>
      </c>
      <c r="S19" s="36">
        <f>VLOOKUP($A19,[18]HISTOJUIL23!$A$6:$BG$36,58,0)</f>
        <v>0</v>
      </c>
      <c r="T19" s="36">
        <f>VLOOKUP($A19,[18]HISTOJUIL23!$A$6:$AU$36,28,0)</f>
        <v>0</v>
      </c>
      <c r="U19" s="36">
        <f>VLOOKUP($A19,[18]HISTOJUIL23!$A$6:$AU$36,19,0)</f>
        <v>0</v>
      </c>
      <c r="V19" s="36">
        <f>VLOOKUP($A19,[18]HISTOJUIL23!$A$6:$AU$36,20,0)</f>
        <v>0</v>
      </c>
      <c r="W19" s="36">
        <f>VLOOKUP($A19,[18]HISTOJUIL23!$A$6:$AU$36,27,0)</f>
        <v>0</v>
      </c>
      <c r="X19" s="36">
        <f>VLOOKUP($A19,[18]HISTOJUIL23!$A$6:$BM$36,33,0)</f>
        <v>0</v>
      </c>
      <c r="Y19" s="36">
        <f>VLOOKUP($A19,[18]HISTOJUIL23!$A$6:$BM$36,65,0)</f>
        <v>0</v>
      </c>
      <c r="Z19" s="36"/>
      <c r="AA19" s="36">
        <f>VLOOKUP($A19,[18]HISTOJUIL23!$A$6:$AU$36,43,0)</f>
        <v>0</v>
      </c>
      <c r="AB19" s="36">
        <f>VLOOKUP($A19,[18]HISTOJUIL23!$A$6:$AU$36,44,0)</f>
        <v>0</v>
      </c>
      <c r="AC19" s="36">
        <f>VLOOKUP($A19,[18]HISTOJUIL23!$A$6:$AU$36,47,0)</f>
        <v>0</v>
      </c>
      <c r="AD19" s="36">
        <f>VLOOKUP(A19,[18]HISTOJUIL23!$A$6:$BB$36,54,0)</f>
        <v>0</v>
      </c>
      <c r="AE19" s="36">
        <f>VLOOKUP($A19,[18]HISTOJUIL23!$A$6:$CA$36,60,0)</f>
        <v>0</v>
      </c>
      <c r="AF19" s="36">
        <f>VLOOKUP($A19,[18]HISTOJUIL23!$A$6:$CA$36,61,0)</f>
        <v>0</v>
      </c>
      <c r="AG19" s="36">
        <f>VLOOKUP($A19,[18]HISTOJUIL23!$A$6:$CA$36,62,0)</f>
        <v>0</v>
      </c>
      <c r="AH19" s="36">
        <f>VLOOKUP($A19,[18]HISTOJUIL23!$A$6:$CA$36,63,0)</f>
        <v>0</v>
      </c>
      <c r="AI19" s="36">
        <f>VLOOKUP($A19,[18]HISTOJUIL23!$A$6:$CA$36,64,0)</f>
        <v>0</v>
      </c>
      <c r="AJ19" s="36">
        <f>VLOOKUP($A19,[18]HISTOJUIL23!$A$6:$CA$36,65,0)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VLOOKUP($A20,[18]HISTOJUIL23!$A$6:$BA$36,48,0)</f>
        <v>0</v>
      </c>
      <c r="F20" s="5">
        <f>MVTJUIN23!F20+MVTJUIN23!G20-MVTJUIL23!E20+K20</f>
        <v>759956.72690381762</v>
      </c>
      <c r="G20" s="6">
        <v>1596.3560269440845</v>
      </c>
      <c r="H20" s="6">
        <f t="shared" si="0"/>
        <v>761553.08293076174</v>
      </c>
      <c r="I20" s="36">
        <f>VLOOKUP($A20,[18]HISTOJUIL23!$A$6:$AQ$40,22,0)</f>
        <v>0</v>
      </c>
      <c r="J20" s="36">
        <f>VLOOKUP($A20,[18]HISTOJUIL23!$A$6:$AU$36,45,0)</f>
        <v>15000</v>
      </c>
      <c r="K20" s="36">
        <f t="shared" si="1"/>
        <v>9000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VLOOKUP($A20,[18]HISTOJUIL23!$A$6:$AU$36,7,0)</f>
        <v>0</v>
      </c>
      <c r="P20" s="36">
        <f>VLOOKUP($A20,[18]HISTOJUIL23!$A$6:$AU$36,23,0)</f>
        <v>0</v>
      </c>
      <c r="Q20" s="36">
        <f>VLOOKUP($A20,[18]HISTOJUIL23!$A$6:$AU$36,46,0)</f>
        <v>0</v>
      </c>
      <c r="R20" s="36">
        <f>VLOOKUP($A20,[18]HISTOJUIL23!$A$6:$AU$36,26,0)</f>
        <v>0</v>
      </c>
      <c r="S20" s="36">
        <f>VLOOKUP($A20,[18]HISTOJUIL23!$A$6:$BG$36,58,0)</f>
        <v>0</v>
      </c>
      <c r="T20" s="36">
        <f>VLOOKUP($A20,[18]HISTOJUIL23!$A$6:$AU$36,28,0)</f>
        <v>0</v>
      </c>
      <c r="U20" s="36">
        <f>VLOOKUP($A20,[18]HISTOJUIL23!$A$6:$AU$36,19,0)</f>
        <v>0</v>
      </c>
      <c r="V20" s="36">
        <f>VLOOKUP($A20,[18]HISTOJUIL23!$A$6:$AU$36,20,0)</f>
        <v>0</v>
      </c>
      <c r="W20" s="36">
        <f>VLOOKUP($A20,[18]HISTOJUIL23!$A$6:$AU$36,27,0)</f>
        <v>0</v>
      </c>
      <c r="X20" s="36">
        <f>VLOOKUP($A20,[18]HISTOJUIL23!$A$6:$BM$36,33,0)</f>
        <v>0</v>
      </c>
      <c r="Y20" s="36">
        <f>VLOOKUP($A20,[18]HISTOJUIL23!$A$6:$BM$36,65,0)</f>
        <v>0</v>
      </c>
      <c r="Z20" s="36"/>
      <c r="AA20" s="36">
        <f>VLOOKUP($A20,[18]HISTOJUIL23!$A$6:$AU$36,43,0)</f>
        <v>0</v>
      </c>
      <c r="AB20" s="36">
        <f>VLOOKUP($A20,[18]HISTOJUIL23!$A$6:$AU$36,44,0)</f>
        <v>0</v>
      </c>
      <c r="AC20" s="36">
        <f>VLOOKUP($A20,[18]HISTOJUIL23!$A$6:$AU$36,47,0)</f>
        <v>0</v>
      </c>
      <c r="AD20" s="36">
        <f>VLOOKUP(A20,[18]HISTOJUIL23!$A$6:$BB$36,54,0)</f>
        <v>0</v>
      </c>
      <c r="AE20" s="36">
        <f>VLOOKUP($A20,[18]HISTOJUIL23!$A$6:$CA$36,60,0)</f>
        <v>0</v>
      </c>
      <c r="AF20" s="36">
        <f>VLOOKUP($A20,[18]HISTOJUIL23!$A$6:$CA$36,61,0)</f>
        <v>0</v>
      </c>
      <c r="AG20" s="36">
        <f>VLOOKUP($A20,[18]HISTOJUIL23!$A$6:$CA$36,62,0)</f>
        <v>0</v>
      </c>
      <c r="AH20" s="36">
        <f>VLOOKUP($A20,[18]HISTOJUIL23!$A$6:$CA$36,63,0)</f>
        <v>0</v>
      </c>
      <c r="AI20" s="36">
        <f>VLOOKUP($A20,[18]HISTOJUIL23!$A$6:$CA$36,64,0)</f>
        <v>0</v>
      </c>
      <c r="AJ20" s="36">
        <f>VLOOKUP($A20,[18]HISTOJUIL23!$A$6:$CA$36,65,0)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VLOOKUP($A21,[18]HISTOJUIL23!$A$6:$BA$36,48,0)</f>
        <v>0</v>
      </c>
      <c r="F21" s="5">
        <f>MVTJUIN23!F21+MVTJUIN23!G21-MVTJUIL23!E21+K21</f>
        <v>766872.34535161953</v>
      </c>
      <c r="G21" s="6">
        <v>1610.8828924857214</v>
      </c>
      <c r="H21" s="6">
        <f t="shared" si="0"/>
        <v>768483.22824410524</v>
      </c>
      <c r="I21" s="36">
        <f>VLOOKUP($A21,[18]HISTOJUIL23!$A$6:$AQ$40,22,0)</f>
        <v>0</v>
      </c>
      <c r="J21" s="36">
        <f>VLOOKUP($A21,[18]HISTOJUIL23!$A$6:$AU$36,45,0)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VLOOKUP($A21,[18]HISTOJUIL23!$A$6:$AU$36,7,0)</f>
        <v>0</v>
      </c>
      <c r="P21" s="36">
        <f>VLOOKUP($A21,[18]HISTOJUIL23!$A$6:$AU$36,23,0)</f>
        <v>0</v>
      </c>
      <c r="Q21" s="36">
        <f>VLOOKUP($A21,[18]HISTOJUIL23!$A$6:$AU$36,46,0)</f>
        <v>0</v>
      </c>
      <c r="R21" s="36">
        <f>VLOOKUP($A21,[18]HISTOJUIL23!$A$6:$AU$36,26,0)</f>
        <v>0</v>
      </c>
      <c r="S21" s="36">
        <f>VLOOKUP($A21,[18]HISTOJUIL23!$A$6:$BG$36,58,0)</f>
        <v>0</v>
      </c>
      <c r="T21" s="36">
        <f>VLOOKUP($A21,[18]HISTOJUIL23!$A$6:$AU$36,28,0)</f>
        <v>0</v>
      </c>
      <c r="U21" s="36">
        <f>VLOOKUP($A21,[18]HISTOJUIL23!$A$6:$AU$36,19,0)</f>
        <v>0</v>
      </c>
      <c r="V21" s="36">
        <f>VLOOKUP($A21,[18]HISTOJUIL23!$A$6:$AU$36,20,0)</f>
        <v>0</v>
      </c>
      <c r="W21" s="36">
        <f>VLOOKUP($A21,[18]HISTOJUIL23!$A$6:$AU$36,27,0)</f>
        <v>0</v>
      </c>
      <c r="X21" s="36">
        <f>VLOOKUP($A21,[18]HISTOJUIL23!$A$6:$BM$36,33,0)</f>
        <v>0</v>
      </c>
      <c r="Y21" s="36">
        <f>VLOOKUP($A21,[18]HISTOJUIL23!$A$6:$BM$36,65,0)</f>
        <v>0</v>
      </c>
      <c r="Z21" s="36"/>
      <c r="AA21" s="36">
        <f>VLOOKUP($A21,[18]HISTOJUIL23!$A$6:$AU$36,43,0)</f>
        <v>0</v>
      </c>
      <c r="AB21" s="36">
        <f>VLOOKUP($A21,[18]HISTOJUIL23!$A$6:$AU$36,44,0)</f>
        <v>0</v>
      </c>
      <c r="AC21" s="36">
        <f>VLOOKUP($A21,[18]HISTOJUIL23!$A$6:$AU$36,47,0)</f>
        <v>0</v>
      </c>
      <c r="AD21" s="36">
        <f>VLOOKUP(A21,[18]HISTOJUIL23!$A$6:$BB$36,54,0)</f>
        <v>0</v>
      </c>
      <c r="AE21" s="36">
        <f>VLOOKUP($A21,[18]HISTOJUIL23!$A$6:$CA$36,60,0)</f>
        <v>0</v>
      </c>
      <c r="AF21" s="36">
        <f>VLOOKUP($A21,[18]HISTOJUIL23!$A$6:$CA$36,61,0)</f>
        <v>0</v>
      </c>
      <c r="AG21" s="36">
        <f>VLOOKUP($A21,[18]HISTOJUIL23!$A$6:$CA$36,62,0)</f>
        <v>0</v>
      </c>
      <c r="AH21" s="36">
        <f>VLOOKUP($A21,[18]HISTOJUIL23!$A$6:$CA$36,63,0)</f>
        <v>0</v>
      </c>
      <c r="AI21" s="36">
        <f>VLOOKUP($A21,[18]HISTOJUIL23!$A$6:$CA$36,64,0)</f>
        <v>0</v>
      </c>
      <c r="AJ21" s="36">
        <f>VLOOKUP($A21,[18]HISTOJUIL23!$A$6:$CA$36,65,0)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VLOOKUP($A22,[18]HISTOJUIL23!$A$6:$BA$36,48,0)</f>
        <v>0</v>
      </c>
      <c r="F22" s="5">
        <f>MVTJUIN23!F22+MVTJUIN23!G22-MVTJUIL23!E22+K22</f>
        <v>863591.25729801436</v>
      </c>
      <c r="G22" s="6">
        <v>1814.0494841338307</v>
      </c>
      <c r="H22" s="6">
        <f t="shared" si="0"/>
        <v>865405.3067821482</v>
      </c>
      <c r="I22" s="36">
        <f>VLOOKUP($A22,[18]HISTOJUIL23!$A$6:$AQ$40,22,0)</f>
        <v>0</v>
      </c>
      <c r="J22" s="36">
        <f>VLOOKUP($A22,[18]HISTOJUIL23!$A$6:$AU$36,45,0)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VLOOKUP($A22,[18]HISTOJUIL23!$A$6:$AU$36,7,0)</f>
        <v>0</v>
      </c>
      <c r="P22" s="36">
        <f>VLOOKUP($A22,[18]HISTOJUIL23!$A$6:$AU$36,23,0)</f>
        <v>0</v>
      </c>
      <c r="Q22" s="36">
        <f>VLOOKUP($A22,[18]HISTOJUIL23!$A$6:$AU$36,46,0)</f>
        <v>0</v>
      </c>
      <c r="R22" s="36">
        <f>VLOOKUP($A22,[18]HISTOJUIL23!$A$6:$AU$36,26,0)</f>
        <v>0</v>
      </c>
      <c r="S22" s="36">
        <f>VLOOKUP($A22,[18]HISTOJUIL23!$A$6:$BG$36,58,0)</f>
        <v>0</v>
      </c>
      <c r="T22" s="36">
        <f>VLOOKUP($A22,[18]HISTOJUIL23!$A$6:$AU$36,28,0)</f>
        <v>0</v>
      </c>
      <c r="U22" s="36">
        <f>VLOOKUP($A22,[18]HISTOJUIL23!$A$6:$AU$36,19,0)</f>
        <v>0</v>
      </c>
      <c r="V22" s="36">
        <f>VLOOKUP($A22,[18]HISTOJUIL23!$A$6:$AU$36,20,0)</f>
        <v>0</v>
      </c>
      <c r="W22" s="36">
        <f>VLOOKUP($A22,[18]HISTOJUIL23!$A$6:$AU$36,27,0)</f>
        <v>0</v>
      </c>
      <c r="X22" s="36">
        <f>VLOOKUP($A22,[18]HISTOJUIL23!$A$6:$BM$36,33,0)</f>
        <v>0</v>
      </c>
      <c r="Y22" s="36">
        <f>VLOOKUP($A22,[18]HISTOJUIL23!$A$6:$BM$36,65,0)</f>
        <v>0</v>
      </c>
      <c r="Z22" s="36"/>
      <c r="AA22" s="36">
        <f>VLOOKUP($A22,[18]HISTOJUIL23!$A$6:$AU$36,43,0)</f>
        <v>0</v>
      </c>
      <c r="AB22" s="36">
        <f>VLOOKUP($A22,[18]HISTOJUIL23!$A$6:$AU$36,44,0)</f>
        <v>0</v>
      </c>
      <c r="AC22" s="36">
        <f>VLOOKUP($A22,[18]HISTOJUIL23!$A$6:$AU$36,47,0)</f>
        <v>0</v>
      </c>
      <c r="AD22" s="36">
        <f>VLOOKUP(A22,[18]HISTOJUIL23!$A$6:$BB$36,54,0)</f>
        <v>0</v>
      </c>
      <c r="AE22" s="36">
        <f>VLOOKUP($A22,[18]HISTOJUIL23!$A$6:$CA$36,60,0)</f>
        <v>0</v>
      </c>
      <c r="AF22" s="36">
        <f>VLOOKUP($A22,[18]HISTOJUIL23!$A$6:$CA$36,61,0)</f>
        <v>0</v>
      </c>
      <c r="AG22" s="36">
        <f>VLOOKUP($A22,[18]HISTOJUIL23!$A$6:$CA$36,62,0)</f>
        <v>0</v>
      </c>
      <c r="AH22" s="36">
        <f>VLOOKUP($A22,[18]HISTOJUIL23!$A$6:$CA$36,63,0)</f>
        <v>0</v>
      </c>
      <c r="AI22" s="36">
        <f>VLOOKUP($A22,[18]HISTOJUIL23!$A$6:$CA$36,64,0)</f>
        <v>0</v>
      </c>
      <c r="AJ22" s="36">
        <f>VLOOKUP($A22,[18]HISTOJUIL23!$A$6:$CA$36,65,0)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VLOOKUP($A23,[18]HISTOJUIL23!$A$6:$BA$36,48,0)</f>
        <v>0</v>
      </c>
      <c r="F23" s="5">
        <f>MVTJUIN23!F23+MVTJUIN23!G23-MVTJUIL23!E23+K23</f>
        <v>1087885.8088777834</v>
      </c>
      <c r="G23" s="6">
        <v>2285.199941191896</v>
      </c>
      <c r="H23" s="6">
        <f t="shared" si="0"/>
        <v>1090171.0088189752</v>
      </c>
      <c r="I23" s="36">
        <f>VLOOKUP($A23,[18]HISTOJUIL23!$A$6:$AQ$40,22,0)</f>
        <v>0</v>
      </c>
      <c r="J23" s="36">
        <f>VLOOKUP($A23,[18]HISTOJUIL23!$A$6:$AU$36,45,0)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VLOOKUP($A23,[18]HISTOJUIL23!$A$6:$AU$36,7,0)</f>
        <v>0</v>
      </c>
      <c r="P23" s="36">
        <f>VLOOKUP($A23,[18]HISTOJUIL23!$A$6:$AU$36,23,0)</f>
        <v>0</v>
      </c>
      <c r="Q23" s="36">
        <f>VLOOKUP($A23,[18]HISTOJUIL23!$A$6:$AU$36,46,0)</f>
        <v>0</v>
      </c>
      <c r="R23" s="36">
        <f>VLOOKUP($A23,[18]HISTOJUIL23!$A$6:$AU$36,26,0)</f>
        <v>0</v>
      </c>
      <c r="S23" s="36">
        <f>VLOOKUP($A23,[18]HISTOJUIL23!$A$6:$BG$36,58,0)</f>
        <v>0</v>
      </c>
      <c r="T23" s="36">
        <f>VLOOKUP($A23,[18]HISTOJUIL23!$A$6:$AU$36,28,0)</f>
        <v>0</v>
      </c>
      <c r="U23" s="36">
        <f>VLOOKUP($A23,[18]HISTOJUIL23!$A$6:$AU$36,19,0)</f>
        <v>0</v>
      </c>
      <c r="V23" s="36">
        <f>VLOOKUP($A23,[18]HISTOJUIL23!$A$6:$AU$36,20,0)</f>
        <v>0</v>
      </c>
      <c r="W23" s="36">
        <f>VLOOKUP($A23,[18]HISTOJUIL23!$A$6:$AU$36,27,0)</f>
        <v>0</v>
      </c>
      <c r="X23" s="36">
        <f>VLOOKUP($A23,[18]HISTOJUIL23!$A$6:$BM$36,33,0)</f>
        <v>0</v>
      </c>
      <c r="Y23" s="36">
        <f>VLOOKUP($A23,[18]HISTOJUIL23!$A$6:$BM$36,65,0)</f>
        <v>0</v>
      </c>
      <c r="Z23" s="36"/>
      <c r="AA23" s="36">
        <f>VLOOKUP($A23,[18]HISTOJUIL23!$A$6:$AU$36,43,0)</f>
        <v>0</v>
      </c>
      <c r="AB23" s="36">
        <f>VLOOKUP($A23,[18]HISTOJUIL23!$A$6:$AU$36,44,0)</f>
        <v>0</v>
      </c>
      <c r="AC23" s="36">
        <f>VLOOKUP($A23,[18]HISTOJUIL23!$A$6:$AU$36,47,0)</f>
        <v>0</v>
      </c>
      <c r="AD23" s="36">
        <f>VLOOKUP(A23,[18]HISTOJUIL23!$A$6:$BB$36,54,0)</f>
        <v>0</v>
      </c>
      <c r="AE23" s="36">
        <f>VLOOKUP($A23,[18]HISTOJUIL23!$A$6:$CA$36,60,0)</f>
        <v>0</v>
      </c>
      <c r="AF23" s="36">
        <f>VLOOKUP($A23,[18]HISTOJUIL23!$A$6:$CA$36,61,0)</f>
        <v>0</v>
      </c>
      <c r="AG23" s="36">
        <f>VLOOKUP($A23,[18]HISTOJUIL23!$A$6:$CA$36,62,0)</f>
        <v>0</v>
      </c>
      <c r="AH23" s="36">
        <f>VLOOKUP($A23,[18]HISTOJUIL23!$A$6:$CA$36,63,0)</f>
        <v>0</v>
      </c>
      <c r="AI23" s="36">
        <f>VLOOKUP($A23,[18]HISTOJUIL23!$A$6:$CA$36,64,0)</f>
        <v>0</v>
      </c>
      <c r="AJ23" s="36">
        <f>VLOOKUP($A23,[18]HISTOJUIL23!$A$6:$CA$36,65,0)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VLOOKUP($A24,[18]HISTOJUIL23!$A$6:$BA$36,48,0)</f>
        <v>0</v>
      </c>
      <c r="F24" s="5">
        <f>MVTJUIN23!F24+MVTJUIN23!G24-MVTJUIL23!E24+K24</f>
        <v>756399.35718854493</v>
      </c>
      <c r="G24" s="6">
        <v>1588.8834585938043</v>
      </c>
      <c r="H24" s="6">
        <f t="shared" si="0"/>
        <v>757988.24064713879</v>
      </c>
      <c r="I24" s="36">
        <f>VLOOKUP($A24,[18]HISTOJUIL23!$A$6:$AQ$40,22,0)</f>
        <v>0</v>
      </c>
      <c r="J24" s="36">
        <f>VLOOKUP($A24,[18]HISTOJUIL23!$A$6:$AU$36,45,0)</f>
        <v>20000</v>
      </c>
      <c r="K24" s="36">
        <f t="shared" si="1"/>
        <v>14000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VLOOKUP($A24,[18]HISTOJUIL23!$A$6:$AU$36,7,0)</f>
        <v>0</v>
      </c>
      <c r="P24" s="36">
        <f>VLOOKUP($A24,[18]HISTOJUIL23!$A$6:$AU$36,23,0)</f>
        <v>0</v>
      </c>
      <c r="Q24" s="36">
        <f>VLOOKUP($A24,[18]HISTOJUIL23!$A$6:$AU$36,46,0)</f>
        <v>0</v>
      </c>
      <c r="R24" s="36">
        <f>VLOOKUP($A24,[18]HISTOJUIL23!$A$6:$AU$36,26,0)</f>
        <v>0</v>
      </c>
      <c r="S24" s="36">
        <f>VLOOKUP($A24,[18]HISTOJUIL23!$A$6:$BG$36,58,0)</f>
        <v>0</v>
      </c>
      <c r="T24" s="36">
        <f>VLOOKUP($A24,[18]HISTOJUIL23!$A$6:$AU$36,28,0)</f>
        <v>0</v>
      </c>
      <c r="U24" s="36">
        <f>VLOOKUP($A24,[18]HISTOJUIL23!$A$6:$AU$36,19,0)</f>
        <v>0</v>
      </c>
      <c r="V24" s="36">
        <f>VLOOKUP($A24,[18]HISTOJUIL23!$A$6:$AU$36,20,0)</f>
        <v>0</v>
      </c>
      <c r="W24" s="36">
        <f>VLOOKUP($A24,[18]HISTOJUIL23!$A$6:$AU$36,27,0)</f>
        <v>0</v>
      </c>
      <c r="X24" s="36">
        <f>VLOOKUP($A24,[18]HISTOJUIL23!$A$6:$BM$36,33,0)</f>
        <v>0</v>
      </c>
      <c r="Y24" s="36">
        <f>VLOOKUP($A24,[18]HISTOJUIL23!$A$6:$BM$36,65,0)</f>
        <v>0</v>
      </c>
      <c r="Z24" s="36"/>
      <c r="AA24" s="36">
        <f>VLOOKUP($A24,[18]HISTOJUIL23!$A$6:$AU$36,43,0)</f>
        <v>0</v>
      </c>
      <c r="AB24" s="36">
        <f>VLOOKUP($A24,[18]HISTOJUIL23!$A$6:$AU$36,44,0)</f>
        <v>0</v>
      </c>
      <c r="AC24" s="36">
        <f>VLOOKUP($A24,[18]HISTOJUIL23!$A$6:$AU$36,47,0)</f>
        <v>0</v>
      </c>
      <c r="AD24" s="36">
        <f>VLOOKUP(A24,[18]HISTOJUIL23!$A$6:$BB$36,54,0)</f>
        <v>0</v>
      </c>
      <c r="AE24" s="36">
        <f>VLOOKUP($A24,[18]HISTOJUIL23!$A$6:$CA$36,60,0)</f>
        <v>0</v>
      </c>
      <c r="AF24" s="36">
        <f>VLOOKUP($A24,[18]HISTOJUIL23!$A$6:$CA$36,61,0)</f>
        <v>0</v>
      </c>
      <c r="AG24" s="36">
        <f>VLOOKUP($A24,[18]HISTOJUIL23!$A$6:$CA$36,62,0)</f>
        <v>0</v>
      </c>
      <c r="AH24" s="36">
        <f>VLOOKUP($A24,[18]HISTOJUIL23!$A$6:$CA$36,63,0)</f>
        <v>0</v>
      </c>
      <c r="AI24" s="36">
        <f>VLOOKUP($A24,[18]HISTOJUIL23!$A$6:$CA$36,64,0)</f>
        <v>0</v>
      </c>
      <c r="AJ24" s="36">
        <f>VLOOKUP($A24,[18]HISTOJUIL23!$A$6:$CA$36,65,0)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VLOOKUP($A25,[18]HISTOJUIL23!$A$6:$BA$36,48,0)</f>
        <v>0</v>
      </c>
      <c r="F25" s="5">
        <f>MVTJUIN23!F25+MVTJUIN23!G25-MVTJUIL23!E25+K25</f>
        <v>743085.43193219043</v>
      </c>
      <c r="G25" s="6">
        <v>1560.9163861634363</v>
      </c>
      <c r="H25" s="6">
        <f t="shared" si="0"/>
        <v>744646.34831835388</v>
      </c>
      <c r="I25" s="36">
        <f>VLOOKUP($A25,[18]HISTOJUIL23!$A$6:$AQ$40,22,0)</f>
        <v>0</v>
      </c>
      <c r="J25" s="36">
        <f>VLOOKUP($A25,[18]HISTOJUIL23!$A$6:$AU$36,45,0)</f>
        <v>23000</v>
      </c>
      <c r="K25" s="36">
        <f t="shared" si="1"/>
        <v>17000</v>
      </c>
      <c r="L25" s="36">
        <f t="shared" si="3"/>
        <v>1000</v>
      </c>
      <c r="M25" s="36">
        <f t="shared" si="2"/>
        <v>1000</v>
      </c>
      <c r="N25" s="36">
        <f t="shared" si="4"/>
        <v>4000</v>
      </c>
      <c r="O25" s="36">
        <f>VLOOKUP($A25,[18]HISTOJUIL23!$A$6:$AU$36,7,0)</f>
        <v>0</v>
      </c>
      <c r="P25" s="36">
        <f>VLOOKUP($A25,[18]HISTOJUIL23!$A$6:$AU$36,23,0)</f>
        <v>0</v>
      </c>
      <c r="Q25" s="36">
        <f>VLOOKUP($A25,[18]HISTOJUIL23!$A$6:$AU$36,46,0)</f>
        <v>0</v>
      </c>
      <c r="R25" s="36">
        <f>VLOOKUP($A25,[18]HISTOJUIL23!$A$6:$AU$36,26,0)</f>
        <v>0</v>
      </c>
      <c r="S25" s="36">
        <f>VLOOKUP($A25,[18]HISTOJUIL23!$A$6:$BG$36,58,0)</f>
        <v>0</v>
      </c>
      <c r="T25" s="36">
        <f>VLOOKUP($A25,[18]HISTOJUIL23!$A$6:$AU$36,28,0)</f>
        <v>0</v>
      </c>
      <c r="U25" s="36">
        <f>VLOOKUP($A25,[18]HISTOJUIL23!$A$6:$AU$36,19,0)</f>
        <v>0</v>
      </c>
      <c r="V25" s="36">
        <f>VLOOKUP($A25,[18]HISTOJUIL23!$A$6:$AU$36,20,0)</f>
        <v>0</v>
      </c>
      <c r="W25" s="36">
        <f>VLOOKUP($A25,[18]HISTOJUIL23!$A$6:$AU$36,27,0)</f>
        <v>0</v>
      </c>
      <c r="X25" s="36">
        <f>VLOOKUP($A25,[18]HISTOJUIL23!$A$6:$BM$36,33,0)</f>
        <v>0</v>
      </c>
      <c r="Y25" s="36">
        <f>VLOOKUP($A25,[18]HISTOJUIL23!$A$6:$BM$36,65,0)</f>
        <v>0</v>
      </c>
      <c r="Z25" s="36"/>
      <c r="AA25" s="36">
        <f>VLOOKUP($A25,[18]HISTOJUIL23!$A$6:$AU$36,43,0)</f>
        <v>0</v>
      </c>
      <c r="AB25" s="36">
        <f>VLOOKUP($A25,[18]HISTOJUIL23!$A$6:$AU$36,44,0)</f>
        <v>0</v>
      </c>
      <c r="AC25" s="36">
        <f>VLOOKUP($A25,[18]HISTOJUIL23!$A$6:$AU$36,47,0)</f>
        <v>0</v>
      </c>
      <c r="AD25" s="36">
        <f>VLOOKUP(A25,[18]HISTOJUIL23!$A$6:$BB$36,54,0)</f>
        <v>0</v>
      </c>
      <c r="AE25" s="36">
        <f>VLOOKUP($A25,[18]HISTOJUIL23!$A$6:$CA$36,60,0)</f>
        <v>0</v>
      </c>
      <c r="AF25" s="36">
        <f>VLOOKUP($A25,[18]HISTOJUIL23!$A$6:$CA$36,61,0)</f>
        <v>0</v>
      </c>
      <c r="AG25" s="36">
        <f>VLOOKUP($A25,[18]HISTOJUIL23!$A$6:$CA$36,62,0)</f>
        <v>0</v>
      </c>
      <c r="AH25" s="36">
        <f>VLOOKUP($A25,[18]HISTOJUIL23!$A$6:$CA$36,63,0)</f>
        <v>0</v>
      </c>
      <c r="AI25" s="36">
        <f>VLOOKUP($A25,[18]HISTOJUIL23!$A$6:$CA$36,64,0)</f>
        <v>0</v>
      </c>
      <c r="AJ25" s="36">
        <f>VLOOKUP($A25,[18]HISTOJUIL23!$A$6:$CA$36,65,0)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VLOOKUP($A26,[18]HISTOJUIL23!$A$6:$BA$36,48,0)</f>
        <v>0</v>
      </c>
      <c r="F26" s="5">
        <f>MVTJUIN23!F26+MVTJUIN23!G26-MVTJUIL23!E26+K26</f>
        <v>712056.77455937047</v>
      </c>
      <c r="G26" s="6">
        <v>1495.7379589562868</v>
      </c>
      <c r="H26" s="6">
        <f t="shared" si="0"/>
        <v>713552.51251832675</v>
      </c>
      <c r="I26" s="36">
        <f>VLOOKUP($A26,[18]HISTOJUIL23!$A$6:$AQ$40,22,0)</f>
        <v>0</v>
      </c>
      <c r="J26" s="36">
        <f>VLOOKUP($A26,[18]HISTOJUIL23!$A$6:$AU$36,45,0)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VLOOKUP($A26,[18]HISTOJUIL23!$A$6:$AU$36,7,0)</f>
        <v>3000</v>
      </c>
      <c r="P26" s="36">
        <f>VLOOKUP($A26,[18]HISTOJUIL23!$A$6:$AU$36,23,0)</f>
        <v>0</v>
      </c>
      <c r="Q26" s="36">
        <f>VLOOKUP($A26,[18]HISTOJUIL23!$A$6:$AU$36,46,0)</f>
        <v>0</v>
      </c>
      <c r="R26" s="36">
        <f>VLOOKUP($A26,[18]HISTOJUIL23!$A$6:$AU$36,26,0)</f>
        <v>0</v>
      </c>
      <c r="S26" s="36">
        <f>VLOOKUP($A26,[18]HISTOJUIL23!$A$6:$BG$36,58,0)</f>
        <v>0</v>
      </c>
      <c r="T26" s="36">
        <f>VLOOKUP($A26,[18]HISTOJUIL23!$A$6:$AU$36,28,0)</f>
        <v>0</v>
      </c>
      <c r="U26" s="36">
        <f>VLOOKUP($A26,[18]HISTOJUIL23!$A$6:$AU$36,19,0)</f>
        <v>0</v>
      </c>
      <c r="V26" s="36">
        <f>VLOOKUP($A26,[18]HISTOJUIL23!$A$6:$AU$36,20,0)</f>
        <v>0</v>
      </c>
      <c r="W26" s="36">
        <f>VLOOKUP($A26,[18]HISTOJUIL23!$A$6:$AU$36,27,0)</f>
        <v>0</v>
      </c>
      <c r="X26" s="36">
        <f>VLOOKUP($A26,[18]HISTOJUIL23!$A$6:$BM$36,33,0)</f>
        <v>0</v>
      </c>
      <c r="Y26" s="36">
        <f>VLOOKUP($A26,[18]HISTOJUIL23!$A$6:$BM$36,65,0)</f>
        <v>0</v>
      </c>
      <c r="Z26" s="36"/>
      <c r="AA26" s="36">
        <f>VLOOKUP($A26,[18]HISTOJUIL23!$A$6:$AU$36,43,0)</f>
        <v>0</v>
      </c>
      <c r="AB26" s="36">
        <f>VLOOKUP($A26,[18]HISTOJUIL23!$A$6:$AU$36,44,0)</f>
        <v>0</v>
      </c>
      <c r="AC26" s="36">
        <f>VLOOKUP($A26,[18]HISTOJUIL23!$A$6:$AU$36,47,0)</f>
        <v>0</v>
      </c>
      <c r="AD26" s="36">
        <f>VLOOKUP(A26,[18]HISTOJUIL23!$A$6:$BB$36,54,0)</f>
        <v>0</v>
      </c>
      <c r="AE26" s="36">
        <f>VLOOKUP($A26,[18]HISTOJUIL23!$A$6:$CA$36,60,0)</f>
        <v>0</v>
      </c>
      <c r="AF26" s="36">
        <f>VLOOKUP($A26,[18]HISTOJUIL23!$A$6:$CA$36,61,0)</f>
        <v>0</v>
      </c>
      <c r="AG26" s="36">
        <f>VLOOKUP($A26,[18]HISTOJUIL23!$A$6:$CA$36,62,0)</f>
        <v>0</v>
      </c>
      <c r="AH26" s="36">
        <f>VLOOKUP($A26,[18]HISTOJUIL23!$A$6:$CA$36,63,0)</f>
        <v>0</v>
      </c>
      <c r="AI26" s="36">
        <f>VLOOKUP($A26,[18]HISTOJUIL23!$A$6:$CA$36,64,0)</f>
        <v>0</v>
      </c>
      <c r="AJ26" s="36">
        <f>VLOOKUP($A26,[18]HISTOJUIL23!$A$6:$CA$36,65,0)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VLOOKUP($A27,[18]HISTOJUIL23!$A$6:$BA$36,48,0)</f>
        <v>0</v>
      </c>
      <c r="F27" s="5">
        <f>MVTJUIN23!F27+MVTJUIN23!G27-MVTJUIL23!E27+K27</f>
        <v>498000</v>
      </c>
      <c r="G27" s="6">
        <v>0</v>
      </c>
      <c r="H27" s="6">
        <f>F27+G27</f>
        <v>498000</v>
      </c>
      <c r="I27" s="36">
        <f>VLOOKUP($A27,[18]HISTOJUIL23!$A$6:$AQ$40,22,0)</f>
        <v>0</v>
      </c>
      <c r="J27" s="36">
        <f>VLOOKUP($A27,[18]HISTOJUIL23!$A$6:$AU$36,45,0)</f>
        <v>25000</v>
      </c>
      <c r="K27" s="36">
        <f t="shared" si="1"/>
        <v>19000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VLOOKUP($A27,[18]HISTOJUIL23!$A$6:$AU$36,7,0)</f>
        <v>0</v>
      </c>
      <c r="P27" s="36">
        <f>VLOOKUP($A27,[18]HISTOJUIL23!$A$6:$AU$36,23,0)</f>
        <v>0</v>
      </c>
      <c r="Q27" s="36">
        <f>VLOOKUP($A27,[18]HISTOJUIL23!$A$6:$AU$36,46,0)</f>
        <v>0</v>
      </c>
      <c r="R27" s="36">
        <f>VLOOKUP($A27,[18]HISTOJUIL23!$A$6:$AU$36,26,0)</f>
        <v>0</v>
      </c>
      <c r="S27" s="36">
        <f>VLOOKUP($A27,[18]HISTOJUIL23!$A$6:$BG$36,58,0)</f>
        <v>0</v>
      </c>
      <c r="T27" s="36">
        <f>VLOOKUP($A27,[18]HISTOJUIL23!$A$6:$AU$36,28,0)</f>
        <v>0</v>
      </c>
      <c r="U27" s="36">
        <f>VLOOKUP($A27,[18]HISTOJUIL23!$A$6:$AU$36,19,0)</f>
        <v>0</v>
      </c>
      <c r="V27" s="36">
        <f>VLOOKUP($A27,[18]HISTOJUIL23!$A$6:$AU$36,20,0)</f>
        <v>0</v>
      </c>
      <c r="W27" s="36">
        <f>VLOOKUP($A27,[18]HISTOJUIL23!$A$6:$AU$36,27,0)</f>
        <v>0</v>
      </c>
      <c r="X27" s="36">
        <f>VLOOKUP($A27,[18]HISTOJUIL23!$A$6:$BM$36,33,0)</f>
        <v>0</v>
      </c>
      <c r="Y27" s="36">
        <f>VLOOKUP($A27,[18]HISTOJUIL23!$A$6:$BM$36,65,0)</f>
        <v>0</v>
      </c>
      <c r="Z27" s="36"/>
      <c r="AA27" s="36">
        <f>VLOOKUP($A27,[18]HISTOJUIL23!$A$6:$AU$36,43,0)</f>
        <v>0</v>
      </c>
      <c r="AB27" s="36">
        <f>VLOOKUP($A27,[18]HISTOJUIL23!$A$6:$AU$36,44,0)</f>
        <v>0</v>
      </c>
      <c r="AC27" s="36">
        <f>VLOOKUP($A27,[18]HISTOJUIL23!$A$6:$AU$36,47,0)</f>
        <v>0</v>
      </c>
      <c r="AD27" s="36">
        <f>VLOOKUP(A27,[18]HISTOJUIL23!$A$6:$BB$36,54,0)</f>
        <v>0</v>
      </c>
      <c r="AE27" s="36">
        <f>VLOOKUP($A27,[18]HISTOJUIL23!$A$6:$CA$36,60,0)</f>
        <v>0</v>
      </c>
      <c r="AF27" s="36">
        <f>VLOOKUP($A27,[18]HISTOJUIL23!$A$6:$CA$36,61,0)</f>
        <v>0</v>
      </c>
      <c r="AG27" s="36">
        <f>VLOOKUP($A27,[18]HISTOJUIL23!$A$6:$CA$36,62,0)</f>
        <v>0</v>
      </c>
      <c r="AH27" s="36">
        <f>VLOOKUP($A27,[18]HISTOJUIL23!$A$6:$CA$36,63,0)</f>
        <v>0</v>
      </c>
      <c r="AI27" s="36">
        <f>VLOOKUP($A27,[18]HISTOJUIL23!$A$6:$CA$36,64,0)</f>
        <v>0</v>
      </c>
      <c r="AJ27" s="36">
        <f>VLOOKUP($A27,[18]HISTOJUIL23!$A$6:$CA$36,65,0)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VLOOKUP($A28,[18]HISTOJUIL23!$A$6:$BA$36,48,0)</f>
        <v>0</v>
      </c>
      <c r="F28" s="5">
        <f>MVTJUIN23!F28+MVTJUIN23!G28-MVTJUIL23!E28+K28</f>
        <v>734598.20835824474</v>
      </c>
      <c r="G28" s="6">
        <v>1543.0882256581804</v>
      </c>
      <c r="H28" s="6">
        <f t="shared" si="0"/>
        <v>736141.29658390291</v>
      </c>
      <c r="I28" s="36">
        <f>VLOOKUP($A28,[18]HISTOJUIL23!$A$6:$AQ$40,22,0)</f>
        <v>0</v>
      </c>
      <c r="J28" s="36">
        <f>VLOOKUP($A28,[18]HISTOJUIL23!$A$6:$AU$36,45,0)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VLOOKUP($A28,[18]HISTOJUIL23!$A$6:$AU$36,7,0)</f>
        <v>0</v>
      </c>
      <c r="P28" s="36">
        <f>VLOOKUP($A28,[18]HISTOJUIL23!$A$6:$AU$36,23,0)</f>
        <v>0</v>
      </c>
      <c r="Q28" s="36">
        <f>VLOOKUP($A28,[18]HISTOJUIL23!$A$6:$AU$36,46,0)</f>
        <v>0</v>
      </c>
      <c r="R28" s="36">
        <f>VLOOKUP($A28,[18]HISTOJUIL23!$A$6:$AU$36,26,0)</f>
        <v>0</v>
      </c>
      <c r="S28" s="36">
        <f>VLOOKUP($A28,[18]HISTOJUIL23!$A$6:$BG$36,58,0)</f>
        <v>0</v>
      </c>
      <c r="T28" s="36">
        <f>VLOOKUP($A28,[18]HISTOJUIL23!$A$6:$AU$36,28,0)</f>
        <v>0</v>
      </c>
      <c r="U28" s="36">
        <f>VLOOKUP($A28,[18]HISTOJUIL23!$A$6:$AU$36,19,0)</f>
        <v>0</v>
      </c>
      <c r="V28" s="36">
        <f>VLOOKUP($A28,[18]HISTOJUIL23!$A$6:$AU$36,20,0)</f>
        <v>0</v>
      </c>
      <c r="W28" s="36">
        <f>VLOOKUP($A28,[18]HISTOJUIL23!$A$6:$AU$36,27,0)</f>
        <v>0</v>
      </c>
      <c r="X28" s="36">
        <f>VLOOKUP($A28,[18]HISTOJUIL23!$A$6:$BM$36,33,0)</f>
        <v>0</v>
      </c>
      <c r="Y28" s="36">
        <f>VLOOKUP($A28,[18]HISTOJUIL23!$A$6:$BM$36,65,0)</f>
        <v>0</v>
      </c>
      <c r="Z28" s="36"/>
      <c r="AA28" s="36">
        <f>VLOOKUP($A28,[18]HISTOJUIL23!$A$6:$AU$36,43,0)</f>
        <v>0</v>
      </c>
      <c r="AB28" s="36">
        <f>VLOOKUP($A28,[18]HISTOJUIL23!$A$6:$AU$36,44,0)</f>
        <v>0</v>
      </c>
      <c r="AC28" s="36">
        <f>VLOOKUP($A28,[18]HISTOJUIL23!$A$6:$AU$36,47,0)</f>
        <v>0</v>
      </c>
      <c r="AD28" s="36">
        <f>VLOOKUP(A28,[18]HISTOJUIL23!$A$6:$BB$36,54,0)</f>
        <v>0</v>
      </c>
      <c r="AE28" s="36">
        <f>VLOOKUP($A28,[18]HISTOJUIL23!$A$6:$CA$36,60,0)</f>
        <v>0</v>
      </c>
      <c r="AF28" s="36">
        <f>VLOOKUP($A28,[18]HISTOJUIL23!$A$6:$CA$36,61,0)</f>
        <v>0</v>
      </c>
      <c r="AG28" s="36">
        <f>VLOOKUP($A28,[18]HISTOJUIL23!$A$6:$CA$36,62,0)</f>
        <v>0</v>
      </c>
      <c r="AH28" s="36">
        <f>VLOOKUP($A28,[18]HISTOJUIL23!$A$6:$CA$36,63,0)</f>
        <v>0</v>
      </c>
      <c r="AI28" s="36">
        <f>VLOOKUP($A28,[18]HISTOJUIL23!$A$6:$CA$36,64,0)</f>
        <v>0</v>
      </c>
      <c r="AJ28" s="36">
        <f>VLOOKUP($A28,[18]HISTOJUIL23!$A$6:$CA$36,65,0)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VLOOKUP($A29,[18]HISTOJUIL23!$A$6:$BA$36,48,0)</f>
        <v>0</v>
      </c>
      <c r="F29" s="5">
        <f>MVTJUIN23!F29+MVTJUIN23!G29-MVTJUIL23!E29+K29</f>
        <v>63000</v>
      </c>
      <c r="G29" s="6">
        <v>0</v>
      </c>
      <c r="H29" s="6">
        <f t="shared" si="0"/>
        <v>63000</v>
      </c>
      <c r="I29" s="36">
        <f>VLOOKUP($A29,[18]HISTOJUIL23!$A$6:$AQ$40,22,0)</f>
        <v>0</v>
      </c>
      <c r="J29" s="36">
        <f>VLOOKUP($A29,[18]HISTOJUIL23!$A$6:$AU$36,45,0)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VLOOKUP($A29,[18]HISTOJUIL23!$A$6:$AU$36,7,0)</f>
        <v>0</v>
      </c>
      <c r="P29" s="36">
        <f>VLOOKUP($A29,[18]HISTOJUIL23!$A$6:$AU$36,23,0)</f>
        <v>0</v>
      </c>
      <c r="Q29" s="36">
        <f>VLOOKUP($A29,[18]HISTOJUIL23!$A$6:$AU$36,46,0)</f>
        <v>0</v>
      </c>
      <c r="R29" s="36">
        <f>VLOOKUP($A29,[18]HISTOJUIL23!$A$6:$AU$36,26,0)</f>
        <v>0</v>
      </c>
      <c r="S29" s="36">
        <f>VLOOKUP($A29,[18]HISTOJUIL23!$A$6:$BG$36,58,0)</f>
        <v>0</v>
      </c>
      <c r="T29" s="36">
        <f>VLOOKUP($A29,[18]HISTOJUIL23!$A$6:$AU$36,28,0)</f>
        <v>0</v>
      </c>
      <c r="U29" s="36">
        <f>VLOOKUP($A29,[18]HISTOJUIL23!$A$6:$AU$36,19,0)</f>
        <v>0</v>
      </c>
      <c r="V29" s="36">
        <f>VLOOKUP($A29,[18]HISTOJUIL23!$A$6:$AU$36,20,0)</f>
        <v>0</v>
      </c>
      <c r="W29" s="36">
        <f>VLOOKUP($A29,[18]HISTOJUIL23!$A$6:$AU$36,27,0)</f>
        <v>0</v>
      </c>
      <c r="X29" s="36">
        <f>VLOOKUP($A29,[18]HISTOJUIL23!$A$6:$BM$36,33,0)</f>
        <v>0</v>
      </c>
      <c r="Y29" s="36">
        <f>VLOOKUP($A29,[18]HISTOJUIL23!$A$6:$BM$36,65,0)</f>
        <v>0</v>
      </c>
      <c r="Z29" s="36"/>
      <c r="AA29" s="36">
        <f>VLOOKUP($A29,[18]HISTOJUIL23!$A$6:$AU$36,43,0)</f>
        <v>0</v>
      </c>
      <c r="AB29" s="36">
        <f>VLOOKUP($A29,[18]HISTOJUIL23!$A$6:$AU$36,44,0)</f>
        <v>0</v>
      </c>
      <c r="AC29" s="36">
        <f>VLOOKUP($A29,[18]HISTOJUIL23!$A$6:$AU$36,47,0)</f>
        <v>0</v>
      </c>
      <c r="AD29" s="36">
        <f>VLOOKUP(A29,[18]HISTOJUIL23!$A$6:$BB$36,54,0)</f>
        <v>0</v>
      </c>
      <c r="AE29" s="36">
        <f>VLOOKUP($A29,[18]HISTOJUIL23!$A$6:$CA$36,60,0)</f>
        <v>0</v>
      </c>
      <c r="AF29" s="36">
        <f>VLOOKUP($A29,[18]HISTOJUIL23!$A$6:$CA$36,61,0)</f>
        <v>0</v>
      </c>
      <c r="AG29" s="36">
        <f>VLOOKUP($A29,[18]HISTOJUIL23!$A$6:$CA$36,62,0)</f>
        <v>0</v>
      </c>
      <c r="AH29" s="36">
        <f>VLOOKUP($A29,[18]HISTOJUIL23!$A$6:$CA$36,63,0)</f>
        <v>0</v>
      </c>
      <c r="AI29" s="36">
        <f>VLOOKUP($A29,[18]HISTOJUIL23!$A$6:$CA$36,64,0)</f>
        <v>0</v>
      </c>
      <c r="AJ29" s="36">
        <f>VLOOKUP($A29,[18]HISTOJUIL23!$A$6:$CA$36,65,0)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VLOOKUP($A30,[18]HISTOJUIL23!$A$6:$BA$36,48,0)</f>
        <v>0</v>
      </c>
      <c r="F30" s="5">
        <f>MVTJUIN23!F30+MVTJUIN23!G30-MVTJUIL23!E30+K30</f>
        <v>928196.53553665406</v>
      </c>
      <c r="G30" s="6">
        <v>1949.7585602398244</v>
      </c>
      <c r="H30" s="6">
        <f t="shared" si="0"/>
        <v>930146.29409689386</v>
      </c>
      <c r="I30" s="36">
        <f>VLOOKUP($A30,[18]HISTOJUIL23!$A$6:$AQ$40,22,0)</f>
        <v>0</v>
      </c>
      <c r="J30" s="36">
        <f>VLOOKUP($A30,[18]HISTOJUIL23!$A$6:$AU$36,45,0)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VLOOKUP($A30,[18]HISTOJUIL23!$A$6:$AU$36,7,0)</f>
        <v>0</v>
      </c>
      <c r="P30" s="36">
        <f>VLOOKUP($A30,[18]HISTOJUIL23!$A$6:$AU$36,23,0)</f>
        <v>0</v>
      </c>
      <c r="Q30" s="36">
        <f>VLOOKUP($A30,[18]HISTOJUIL23!$A$6:$AU$36,46,0)</f>
        <v>0</v>
      </c>
      <c r="R30" s="36">
        <f>VLOOKUP($A30,[18]HISTOJUIL23!$A$6:$AU$36,26,0)</f>
        <v>0</v>
      </c>
      <c r="S30" s="36">
        <f>VLOOKUP($A30,[18]HISTOJUIL23!$A$6:$BG$36,58,0)</f>
        <v>0</v>
      </c>
      <c r="T30" s="36">
        <f>VLOOKUP($A30,[18]HISTOJUIL23!$A$6:$AU$36,28,0)</f>
        <v>0</v>
      </c>
      <c r="U30" s="36">
        <f>VLOOKUP($A30,[18]HISTOJUIL23!$A$6:$AU$36,19,0)</f>
        <v>0</v>
      </c>
      <c r="V30" s="36">
        <f>VLOOKUP($A30,[18]HISTOJUIL23!$A$6:$AU$36,20,0)</f>
        <v>0</v>
      </c>
      <c r="W30" s="36">
        <f>VLOOKUP($A30,[18]HISTOJUIL23!$A$6:$AU$36,27,0)</f>
        <v>0</v>
      </c>
      <c r="X30" s="36">
        <f>VLOOKUP($A30,[18]HISTOJUIL23!$A$6:$BM$36,33,0)</f>
        <v>0</v>
      </c>
      <c r="Y30" s="36">
        <f>VLOOKUP($A30,[18]HISTOJUIL23!$A$6:$BM$36,65,0)</f>
        <v>0</v>
      </c>
      <c r="Z30" s="36"/>
      <c r="AA30" s="36">
        <f>VLOOKUP($A30,[18]HISTOJUIL23!$A$6:$AU$36,43,0)</f>
        <v>0</v>
      </c>
      <c r="AB30" s="36">
        <f>VLOOKUP($A30,[18]HISTOJUIL23!$A$6:$AU$36,44,0)</f>
        <v>0</v>
      </c>
      <c r="AC30" s="36">
        <f>VLOOKUP($A30,[18]HISTOJUIL23!$A$6:$AU$36,47,0)</f>
        <v>0</v>
      </c>
      <c r="AD30" s="36">
        <f>VLOOKUP(A30,[18]HISTOJUIL23!$A$6:$BB$36,54,0)</f>
        <v>0</v>
      </c>
      <c r="AE30" s="36">
        <f>VLOOKUP($A30,[18]HISTOJUIL23!$A$6:$CA$36,60,0)</f>
        <v>0</v>
      </c>
      <c r="AF30" s="36">
        <f>VLOOKUP($A30,[18]HISTOJUIL23!$A$6:$CA$36,61,0)</f>
        <v>0</v>
      </c>
      <c r="AG30" s="36">
        <f>VLOOKUP($A30,[18]HISTOJUIL23!$A$6:$CA$36,62,0)</f>
        <v>0</v>
      </c>
      <c r="AH30" s="36">
        <f>VLOOKUP($A30,[18]HISTOJUIL23!$A$6:$CA$36,63,0)</f>
        <v>0</v>
      </c>
      <c r="AI30" s="36">
        <f>VLOOKUP($A30,[18]HISTOJUIL23!$A$6:$CA$36,64,0)</f>
        <v>0</v>
      </c>
      <c r="AJ30" s="36">
        <f>VLOOKUP($A30,[18]HISTOJUIL23!$A$6:$CA$36,65,0)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VLOOKUP($A31,[18]HISTOJUIL23!$A$6:$BA$36,48,0)</f>
        <v>0</v>
      </c>
      <c r="F31" s="5">
        <f>MVTJUIN23!F31+MVTJUIN23!G31-MVTJUIL23!E31+K31</f>
        <v>934981.53521848749</v>
      </c>
      <c r="G31" s="6">
        <v>1964.0110495612055</v>
      </c>
      <c r="H31" s="6">
        <f t="shared" si="0"/>
        <v>936945.5462680487</v>
      </c>
      <c r="I31" s="36">
        <f>VLOOKUP($A31,[18]HISTOJUIL23!$A$6:$AQ$40,22,0)</f>
        <v>0</v>
      </c>
      <c r="J31" s="36">
        <f>VLOOKUP($A31,[18]HISTOJUIL23!$A$6:$AU$36,45,0)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VLOOKUP($A31,[18]HISTOJUIL23!$A$6:$AU$36,7,0)</f>
        <v>0</v>
      </c>
      <c r="P31" s="36">
        <f>VLOOKUP($A31,[18]HISTOJUIL23!$A$6:$AU$36,23,0)</f>
        <v>0</v>
      </c>
      <c r="Q31" s="36">
        <f>VLOOKUP($A31,[18]HISTOJUIL23!$A$6:$AU$36,46,0)</f>
        <v>0</v>
      </c>
      <c r="R31" s="36">
        <f>VLOOKUP($A31,[18]HISTOJUIL23!$A$6:$AU$36,26,0)</f>
        <v>0</v>
      </c>
      <c r="S31" s="36">
        <f>VLOOKUP($A31,[18]HISTOJUIL23!$A$6:$BG$36,58,0)</f>
        <v>0</v>
      </c>
      <c r="T31" s="36">
        <f>VLOOKUP($A31,[18]HISTOJUIL23!$A$6:$AU$36,28,0)</f>
        <v>0</v>
      </c>
      <c r="U31" s="36">
        <f>VLOOKUP($A31,[18]HISTOJUIL23!$A$6:$AU$36,19,0)</f>
        <v>0</v>
      </c>
      <c r="V31" s="36">
        <f>VLOOKUP($A31,[18]HISTOJUIL23!$A$6:$AU$36,20,0)</f>
        <v>0</v>
      </c>
      <c r="W31" s="36">
        <f>VLOOKUP($A31,[18]HISTOJUIL23!$A$6:$AU$36,27,0)</f>
        <v>0</v>
      </c>
      <c r="X31" s="36">
        <f>VLOOKUP($A31,[18]HISTOJUIL23!$A$6:$BM$36,33,0)</f>
        <v>0</v>
      </c>
      <c r="Y31" s="36">
        <f>VLOOKUP($A31,[18]HISTOJUIL23!$A$6:$BM$36,65,0)</f>
        <v>0</v>
      </c>
      <c r="Z31" s="36"/>
      <c r="AA31" s="36">
        <f>VLOOKUP($A31,[18]HISTOJUIL23!$A$6:$AU$36,43,0)</f>
        <v>0</v>
      </c>
      <c r="AB31" s="36">
        <f>VLOOKUP($A31,[18]HISTOJUIL23!$A$6:$AU$36,44,0)</f>
        <v>0</v>
      </c>
      <c r="AC31" s="36">
        <f>VLOOKUP($A31,[18]HISTOJUIL23!$A$6:$AU$36,47,0)</f>
        <v>0</v>
      </c>
      <c r="AD31" s="36">
        <f>VLOOKUP(A31,[18]HISTOJUIL23!$A$6:$BB$36,54,0)</f>
        <v>0</v>
      </c>
      <c r="AE31" s="36">
        <f>VLOOKUP($A31,[18]HISTOJUIL23!$A$6:$CA$36,60,0)</f>
        <v>0</v>
      </c>
      <c r="AF31" s="36">
        <f>VLOOKUP($A31,[18]HISTOJUIL23!$A$6:$CA$36,61,0)</f>
        <v>0</v>
      </c>
      <c r="AG31" s="36">
        <f>VLOOKUP($A31,[18]HISTOJUIL23!$A$6:$CA$36,62,0)</f>
        <v>0</v>
      </c>
      <c r="AH31" s="36">
        <f>VLOOKUP($A31,[18]HISTOJUIL23!$A$6:$CA$36,63,0)</f>
        <v>0</v>
      </c>
      <c r="AI31" s="36">
        <f>VLOOKUP($A31,[18]HISTOJUIL23!$A$6:$CA$36,64,0)</f>
        <v>0</v>
      </c>
      <c r="AJ31" s="36">
        <f>VLOOKUP($A31,[18]HISTOJUIL23!$A$6:$CA$36,65,0)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VLOOKUP($A32,[18]HISTOJUIL23!$A$6:$BA$36,48,0)</f>
        <v>0</v>
      </c>
      <c r="F32" s="5">
        <f>MVTJUIN23!F32+MVTJUIN23!G32-MVTJUIL23!E32+K32</f>
        <v>715979.03448573325</v>
      </c>
      <c r="G32" s="6">
        <v>1503.9770113273344</v>
      </c>
      <c r="H32" s="6">
        <f t="shared" si="0"/>
        <v>717483.01149706054</v>
      </c>
      <c r="I32" s="36">
        <f>VLOOKUP($A32,[18]HISTOJUIL23!$A$6:$AQ$40,22,0)</f>
        <v>0</v>
      </c>
      <c r="J32" s="36">
        <f>VLOOKUP($A32,[18]HISTOJUIL23!$A$6:$AU$36,45,0)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VLOOKUP($A32,[18]HISTOJUIL23!$A$6:$AU$36,7,0)</f>
        <v>0</v>
      </c>
      <c r="P32" s="36">
        <f>VLOOKUP($A32,[18]HISTOJUIL23!$A$6:$AU$36,23,0)</f>
        <v>0</v>
      </c>
      <c r="Q32" s="36">
        <f>VLOOKUP($A32,[18]HISTOJUIL23!$A$6:$AU$36,46,0)</f>
        <v>0</v>
      </c>
      <c r="R32" s="36">
        <f>VLOOKUP($A32,[18]HISTOJUIL23!$A$6:$AU$36,26,0)</f>
        <v>0</v>
      </c>
      <c r="S32" s="36">
        <f>VLOOKUP($A32,[18]HISTOJUIL23!$A$6:$BG$36,58,0)</f>
        <v>0</v>
      </c>
      <c r="T32" s="36">
        <f>VLOOKUP($A32,[18]HISTOJUIL23!$A$6:$AU$36,28,0)</f>
        <v>0</v>
      </c>
      <c r="U32" s="36">
        <f>VLOOKUP($A32,[18]HISTOJUIL23!$A$6:$AU$36,19,0)</f>
        <v>250000</v>
      </c>
      <c r="V32" s="36">
        <f>VLOOKUP($A32,[18]HISTOJUIL23!$A$6:$AU$36,20,0)</f>
        <v>0</v>
      </c>
      <c r="W32" s="36">
        <f>VLOOKUP($A32,[18]HISTOJUIL23!$A$6:$AU$36,27,0)</f>
        <v>0</v>
      </c>
      <c r="X32" s="36">
        <f>VLOOKUP($A32,[18]HISTOJUIL23!$A$6:$BM$36,33,0)</f>
        <v>0</v>
      </c>
      <c r="Y32" s="36">
        <f>VLOOKUP($A32,[18]HISTOJUIL23!$A$6:$BM$36,65,0)</f>
        <v>0</v>
      </c>
      <c r="Z32" s="36"/>
      <c r="AA32" s="36">
        <f>VLOOKUP($A32,[18]HISTOJUIL23!$A$6:$AU$36,43,0)</f>
        <v>0</v>
      </c>
      <c r="AB32" s="36">
        <f>VLOOKUP($A32,[18]HISTOJUIL23!$A$6:$AU$36,44,0)</f>
        <v>0</v>
      </c>
      <c r="AC32" s="36">
        <f>VLOOKUP($A32,[18]HISTOJUIL23!$A$6:$AU$36,47,0)</f>
        <v>0</v>
      </c>
      <c r="AD32" s="36">
        <f>VLOOKUP(A32,[18]HISTOJUIL23!$A$6:$BB$36,54,0)</f>
        <v>70000</v>
      </c>
      <c r="AE32" s="36">
        <f>VLOOKUP($A32,[18]HISTOJUIL23!$A$6:$CA$36,60,0)</f>
        <v>0</v>
      </c>
      <c r="AF32" s="36">
        <f>VLOOKUP($A32,[18]HISTOJUIL23!$A$6:$CA$36,61,0)</f>
        <v>0</v>
      </c>
      <c r="AG32" s="36">
        <f>VLOOKUP($A32,[18]HISTOJUIL23!$A$6:$CA$36,62,0)</f>
        <v>0</v>
      </c>
      <c r="AH32" s="36">
        <f>VLOOKUP($A32,[18]HISTOJUIL23!$A$6:$CA$36,63,0)</f>
        <v>0</v>
      </c>
      <c r="AI32" s="36">
        <f>VLOOKUP($A32,[18]HISTOJUIL23!$A$6:$CA$36,64,0)</f>
        <v>0</v>
      </c>
      <c r="AJ32" s="36">
        <f>VLOOKUP($A32,[18]HISTOJUIL23!$A$6:$CA$36,65,0)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VLOOKUP($A33,[18]HISTOJUIL23!$A$6:$BA$36,48,0)</f>
        <v>0</v>
      </c>
      <c r="F33" s="5">
        <f>MVTJUIN23!F33+MVTJUIN23!G33-MVTJUIL23!E33+K33</f>
        <v>60000</v>
      </c>
      <c r="G33" s="6">
        <v>0</v>
      </c>
      <c r="H33" s="6">
        <f t="shared" si="0"/>
        <v>60000</v>
      </c>
      <c r="I33" s="36">
        <f>VLOOKUP($A33,[18]HISTOJUIL23!$A$6:$AQ$40,22,0)</f>
        <v>0</v>
      </c>
      <c r="J33" s="36">
        <f>VLOOKUP($A33,[18]HISTOJUIL23!$A$6:$AU$36,45,0)</f>
        <v>15000</v>
      </c>
      <c r="K33" s="36">
        <f t="shared" si="1"/>
        <v>9000</v>
      </c>
      <c r="L33" s="36">
        <f t="shared" si="3"/>
        <v>1000</v>
      </c>
      <c r="M33" s="36">
        <f t="shared" si="2"/>
        <v>1000</v>
      </c>
      <c r="N33" s="36">
        <f t="shared" si="4"/>
        <v>4000</v>
      </c>
      <c r="O33" s="36">
        <f>VLOOKUP($A33,[18]HISTOJUIL23!$A$6:$AU$36,7,0)</f>
        <v>0</v>
      </c>
      <c r="P33" s="36">
        <f>VLOOKUP($A33,[18]HISTOJUIL23!$A$6:$AU$36,23,0)</f>
        <v>0</v>
      </c>
      <c r="Q33" s="36">
        <f>VLOOKUP($A33,[18]HISTOJUIL23!$A$6:$AU$36,46,0)</f>
        <v>0</v>
      </c>
      <c r="R33" s="36">
        <f>VLOOKUP($A33,[18]HISTOJUIL23!$A$6:$AU$36,26,0)</f>
        <v>0</v>
      </c>
      <c r="S33" s="36">
        <f>VLOOKUP($A33,[18]HISTOJUIL23!$A$6:$BG$36,58,0)</f>
        <v>0</v>
      </c>
      <c r="T33" s="36">
        <f>VLOOKUP($A33,[18]HISTOJUIL23!$A$6:$AU$36,28,0)</f>
        <v>0</v>
      </c>
      <c r="U33" s="36">
        <f>VLOOKUP($A33,[18]HISTOJUIL23!$A$6:$AU$36,19,0)</f>
        <v>0</v>
      </c>
      <c r="V33" s="36">
        <f>VLOOKUP($A33,[18]HISTOJUIL23!$A$6:$AU$36,20,0)</f>
        <v>0</v>
      </c>
      <c r="W33" s="36">
        <f>VLOOKUP($A33,[18]HISTOJUIL23!$A$6:$AU$36,27,0)</f>
        <v>0</v>
      </c>
      <c r="X33" s="36">
        <f>VLOOKUP($A33,[18]HISTOJUIL23!$A$6:$BM$36,33,0)</f>
        <v>0</v>
      </c>
      <c r="Y33" s="36">
        <f>VLOOKUP($A33,[18]HISTOJUIL23!$A$6:$BM$36,65,0)</f>
        <v>0</v>
      </c>
      <c r="Z33" s="36"/>
      <c r="AA33" s="36">
        <f>VLOOKUP($A33,[18]HISTOJUIL23!$A$6:$AU$36,43,0)</f>
        <v>0</v>
      </c>
      <c r="AB33" s="36">
        <f>VLOOKUP($A33,[18]HISTOJUIL23!$A$6:$AU$36,44,0)</f>
        <v>0</v>
      </c>
      <c r="AC33" s="36">
        <f>VLOOKUP($A33,[18]HISTOJUIL23!$A$6:$AU$36,47,0)</f>
        <v>0</v>
      </c>
      <c r="AD33" s="36">
        <f>VLOOKUP(A33,[18]HISTOJUIL23!$A$6:$BB$36,54,0)</f>
        <v>0</v>
      </c>
      <c r="AE33" s="36">
        <f>VLOOKUP($A33,[18]HISTOJUIL23!$A$6:$CA$36,60,0)</f>
        <v>0</v>
      </c>
      <c r="AF33" s="36">
        <f>VLOOKUP($A33,[18]HISTOJUIL23!$A$6:$CA$36,61,0)</f>
        <v>0</v>
      </c>
      <c r="AG33" s="36">
        <f>VLOOKUP($A33,[18]HISTOJUIL23!$A$6:$CA$36,62,0)</f>
        <v>0</v>
      </c>
      <c r="AH33" s="36">
        <f>VLOOKUP($A33,[18]HISTOJUIL23!$A$6:$CA$36,63,0)</f>
        <v>0</v>
      </c>
      <c r="AI33" s="36">
        <f>VLOOKUP($A33,[18]HISTOJUIL23!$A$6:$CA$36,64,0)</f>
        <v>0</v>
      </c>
      <c r="AJ33" s="36">
        <f>VLOOKUP($A33,[18]HISTOJUIL23!$A$6:$CA$36,65,0)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VLOOKUP($A34,[18]HISTOJUIL23!$A$6:$BA$36,48,0)</f>
        <v>0</v>
      </c>
      <c r="F34" s="5">
        <f>MVTJUIN23!F34+MVTJUIN23!G34-MVTJUIL23!E34+K34</f>
        <v>335000</v>
      </c>
      <c r="G34" s="6">
        <v>0</v>
      </c>
      <c r="H34" s="6">
        <f t="shared" si="0"/>
        <v>335000</v>
      </c>
      <c r="I34" s="36">
        <f>VLOOKUP($A34,[18]HISTOJUIL23!$A$6:$AQ$40,22,0)</f>
        <v>0</v>
      </c>
      <c r="J34" s="36">
        <f>VLOOKUP($A34,[18]HISTOJUIL23!$A$6:$AU$36,45,0)</f>
        <v>75000</v>
      </c>
      <c r="K34" s="36">
        <f t="shared" si="1"/>
        <v>69000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VLOOKUP($A34,[18]HISTOJUIL23!$A$6:$AU$36,7,0)</f>
        <v>0</v>
      </c>
      <c r="P34" s="36">
        <f>VLOOKUP($A34,[18]HISTOJUIL23!$A$6:$AU$36,23,0)</f>
        <v>0</v>
      </c>
      <c r="Q34" s="36">
        <f>VLOOKUP($A34,[18]HISTOJUIL23!$A$6:$AU$36,46,0)</f>
        <v>0</v>
      </c>
      <c r="R34" s="36">
        <f>VLOOKUP($A34,[18]HISTOJUIL23!$A$6:$AU$36,26,0)</f>
        <v>0</v>
      </c>
      <c r="S34" s="36">
        <f>VLOOKUP($A34,[18]HISTOJUIL23!$A$6:$BG$36,58,0)</f>
        <v>0</v>
      </c>
      <c r="T34" s="36">
        <f>VLOOKUP($A34,[18]HISTOJUIL23!$A$6:$AU$36,28,0)</f>
        <v>0</v>
      </c>
      <c r="U34" s="36">
        <f>VLOOKUP($A34,[18]HISTOJUIL23!$A$6:$AU$36,19,0)</f>
        <v>0</v>
      </c>
      <c r="V34" s="36">
        <f>VLOOKUP($A34,[18]HISTOJUIL23!$A$6:$AU$36,20,0)</f>
        <v>0</v>
      </c>
      <c r="W34" s="36">
        <f>VLOOKUP($A34,[18]HISTOJUIL23!$A$6:$AU$36,27,0)</f>
        <v>0</v>
      </c>
      <c r="X34" s="36">
        <f>VLOOKUP($A34,[18]HISTOJUIL23!$A$6:$BM$36,33,0)</f>
        <v>0</v>
      </c>
      <c r="Y34" s="36">
        <f>VLOOKUP($A34,[18]HISTOJUIL23!$A$6:$BM$36,65,0)</f>
        <v>0</v>
      </c>
      <c r="Z34" s="36"/>
      <c r="AA34" s="36">
        <f>VLOOKUP($A34,[18]HISTOJUIL23!$A$6:$AU$36,43,0)</f>
        <v>0</v>
      </c>
      <c r="AB34" s="36">
        <f>VLOOKUP($A34,[18]HISTOJUIL23!$A$6:$AU$36,44,0)</f>
        <v>0</v>
      </c>
      <c r="AC34" s="36">
        <f>VLOOKUP($A34,[18]HISTOJUIL23!$A$6:$AU$36,47,0)</f>
        <v>0</v>
      </c>
      <c r="AD34" s="36">
        <f>VLOOKUP(A34,[18]HISTOJUIL23!$A$6:$BB$36,54,0)</f>
        <v>0</v>
      </c>
      <c r="AE34" s="36">
        <f>VLOOKUP($A34,[18]HISTOJUIL23!$A$6:$CA$36,60,0)</f>
        <v>0</v>
      </c>
      <c r="AF34" s="36">
        <f>VLOOKUP($A34,[18]HISTOJUIL23!$A$6:$CA$36,61,0)</f>
        <v>0</v>
      </c>
      <c r="AG34" s="36">
        <f>VLOOKUP($A34,[18]HISTOJUIL23!$A$6:$CA$36,62,0)</f>
        <v>0</v>
      </c>
      <c r="AH34" s="36">
        <f>VLOOKUP($A34,[18]HISTOJUIL23!$A$6:$CA$36,63,0)</f>
        <v>0</v>
      </c>
      <c r="AI34" s="36">
        <f>VLOOKUP($A34,[18]HISTOJUIL23!$A$6:$CA$36,64,0)</f>
        <v>0</v>
      </c>
      <c r="AJ34" s="36">
        <f>VLOOKUP($A34,[18]HISTOJUIL23!$A$6:$CA$36,65,0)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VLOOKUP($A35,[18]HISTOJUIL23!$A$6:$BA$36,48,0)</f>
        <v>0</v>
      </c>
      <c r="F35" s="5">
        <f>MVTJUIN23!F35+MVTJUIN23!G35-MVTJUIL23!E35+K35</f>
        <v>1691943.2464978886</v>
      </c>
      <c r="G35" s="6">
        <v>3554.0757824439715</v>
      </c>
      <c r="H35" s="6">
        <f t="shared" si="0"/>
        <v>1695497.3222803324</v>
      </c>
      <c r="I35" s="36">
        <f>VLOOKUP($A35,[18]HISTOJUIL23!$A$6:$AQ$40,22,0)</f>
        <v>0</v>
      </c>
      <c r="J35" s="36">
        <f>VLOOKUP($A35,[18]HISTOJUIL23!$A$6:$AU$36,45,0)</f>
        <v>15000</v>
      </c>
      <c r="K35" s="36">
        <f t="shared" si="1"/>
        <v>9000</v>
      </c>
      <c r="L35" s="36">
        <f t="shared" si="3"/>
        <v>1000</v>
      </c>
      <c r="M35" s="36">
        <f t="shared" si="2"/>
        <v>1000</v>
      </c>
      <c r="N35" s="36">
        <f t="shared" si="4"/>
        <v>4000</v>
      </c>
      <c r="O35" s="36">
        <f>VLOOKUP($A35,[18]HISTOJUIL23!$A$6:$AU$36,7,0)</f>
        <v>0</v>
      </c>
      <c r="P35" s="36">
        <f>VLOOKUP($A35,[18]HISTOJUIL23!$A$6:$AU$36,23,0)</f>
        <v>0</v>
      </c>
      <c r="Q35" s="36">
        <f>VLOOKUP($A35,[18]HISTOJUIL23!$A$6:$AU$36,46,0)</f>
        <v>0</v>
      </c>
      <c r="R35" s="36">
        <f>VLOOKUP($A35,[18]HISTOJUIL23!$A$6:$AU$36,26,0)</f>
        <v>0</v>
      </c>
      <c r="S35" s="36">
        <f>VLOOKUP($A35,[18]HISTOJUIL23!$A$6:$BG$36,58,0)</f>
        <v>0</v>
      </c>
      <c r="T35" s="36">
        <f>VLOOKUP($A35,[18]HISTOJUIL23!$A$6:$AU$36,28,0)</f>
        <v>0</v>
      </c>
      <c r="U35" s="36">
        <f>VLOOKUP($A35,[18]HISTOJUIL23!$A$6:$AU$36,19,0)</f>
        <v>0</v>
      </c>
      <c r="V35" s="36">
        <f>VLOOKUP($A35,[18]HISTOJUIL23!$A$6:$AU$36,20,0)</f>
        <v>0</v>
      </c>
      <c r="W35" s="36">
        <f>VLOOKUP($A35,[18]HISTOJUIL23!$A$6:$AU$36,27,0)</f>
        <v>0</v>
      </c>
      <c r="X35" s="36">
        <f>VLOOKUP($A35,[18]HISTOJUIL23!$A$6:$BM$36,33,0)</f>
        <v>0</v>
      </c>
      <c r="Y35" s="36">
        <f>VLOOKUP($A35,[18]HISTOJUIL23!$A$6:$BM$36,65,0)</f>
        <v>0</v>
      </c>
      <c r="Z35" s="36"/>
      <c r="AA35" s="36">
        <f>VLOOKUP($A35,[18]HISTOJUIL23!$A$6:$AU$36,43,0)</f>
        <v>0</v>
      </c>
      <c r="AB35" s="36">
        <f>VLOOKUP($A35,[18]HISTOJUIL23!$A$6:$AU$36,44,0)</f>
        <v>0</v>
      </c>
      <c r="AC35" s="36">
        <f>VLOOKUP($A35,[18]HISTOJUIL23!$A$6:$AU$36,47,0)</f>
        <v>0</v>
      </c>
      <c r="AD35" s="36">
        <f>VLOOKUP(A35,[18]HISTOJUIL23!$A$6:$BB$36,54,0)</f>
        <v>0</v>
      </c>
      <c r="AE35" s="36">
        <f>VLOOKUP($A35,[18]HISTOJUIL23!$A$6:$CA$36,60,0)</f>
        <v>0</v>
      </c>
      <c r="AF35" s="36">
        <f>VLOOKUP($A35,[18]HISTOJUIL23!$A$6:$CA$36,61,0)</f>
        <v>0</v>
      </c>
      <c r="AG35" s="36">
        <f>VLOOKUP($A35,[18]HISTOJUIL23!$A$6:$CA$36,62,0)</f>
        <v>0</v>
      </c>
      <c r="AH35" s="36">
        <f>VLOOKUP($A35,[18]HISTOJUIL23!$A$6:$CA$36,63,0)</f>
        <v>0</v>
      </c>
      <c r="AI35" s="36">
        <f>VLOOKUP($A35,[18]HISTOJUIL23!$A$6:$CA$36,64,0)</f>
        <v>0</v>
      </c>
      <c r="AJ35" s="36">
        <f>VLOOKUP($A35,[18]HISTOJUIL23!$A$6:$CA$36,65,0)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VLOOKUP($A36,[18]HISTOJUIL23!$A$6:$BA$36,48,0)</f>
        <v>0</v>
      </c>
      <c r="F36" s="5">
        <f>MVTJUIN23!F36+MVTJUIN23!G36-MVTJUIL23!E36+K36</f>
        <v>1853559.0529502165</v>
      </c>
      <c r="G36" s="6">
        <v>3893.5640158473652</v>
      </c>
      <c r="H36" s="6">
        <f t="shared" si="0"/>
        <v>1857452.6169660639</v>
      </c>
      <c r="I36" s="36">
        <f>VLOOKUP($A36,[18]HISTOJUIL23!$A$6:$AQ$40,22,0)</f>
        <v>0</v>
      </c>
      <c r="J36" s="36">
        <f>VLOOKUP($A36,[18]HISTOJUIL23!$A$6:$AU$36,45,0)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VLOOKUP($A36,[18]HISTOJUIL23!$A$6:$AU$36,7,0)</f>
        <v>0</v>
      </c>
      <c r="P36" s="36">
        <f>VLOOKUP($A36,[18]HISTOJUIL23!$A$6:$AU$36,23,0)</f>
        <v>0</v>
      </c>
      <c r="Q36" s="36">
        <f>VLOOKUP($A36,[18]HISTOJUIL23!$A$6:$AU$36,46,0)</f>
        <v>0</v>
      </c>
      <c r="R36" s="36">
        <f>VLOOKUP($A36,[18]HISTOJUIL23!$A$6:$AU$36,26,0)</f>
        <v>0</v>
      </c>
      <c r="S36" s="36">
        <f>VLOOKUP($A36,[18]HISTOJUIL23!$A$6:$BG$36,58,0)</f>
        <v>0</v>
      </c>
      <c r="T36" s="36">
        <f>VLOOKUP($A36,[18]HISTOJUIL23!$A$6:$AU$36,28,0)</f>
        <v>0</v>
      </c>
      <c r="U36" s="36">
        <f>VLOOKUP($A36,[18]HISTOJUIL23!$A$6:$AU$36,19,0)</f>
        <v>0</v>
      </c>
      <c r="V36" s="36">
        <f>VLOOKUP($A36,[18]HISTOJUIL23!$A$6:$AU$36,20,0)</f>
        <v>0</v>
      </c>
      <c r="W36" s="36">
        <f>VLOOKUP($A36,[18]HISTOJUIL23!$A$6:$AU$36,27,0)</f>
        <v>0</v>
      </c>
      <c r="X36" s="36">
        <f>VLOOKUP($A36,[18]HISTOJUIL23!$A$6:$BM$36,33,0)</f>
        <v>0</v>
      </c>
      <c r="Y36" s="36">
        <f>VLOOKUP($A36,[18]HISTOJUIL23!$A$6:$BM$36,65,0)</f>
        <v>0</v>
      </c>
      <c r="Z36" s="36"/>
      <c r="AA36" s="36">
        <f>VLOOKUP($A36,[18]HISTOJUIL23!$A$6:$AU$36,43,0)</f>
        <v>0</v>
      </c>
      <c r="AB36" s="36">
        <f>VLOOKUP($A36,[18]HISTOJUIL23!$A$6:$AU$36,44,0)</f>
        <v>0</v>
      </c>
      <c r="AC36" s="36">
        <f>VLOOKUP($A36,[18]HISTOJUIL23!$A$6:$AU$36,47,0)</f>
        <v>0</v>
      </c>
      <c r="AD36" s="36">
        <f>VLOOKUP(A36,[18]HISTOJUIL23!$A$6:$BB$36,54,0)</f>
        <v>0</v>
      </c>
      <c r="AE36" s="36">
        <f>VLOOKUP($A36,[18]HISTOJUIL23!$A$6:$CA$36,60,0)</f>
        <v>0</v>
      </c>
      <c r="AF36" s="36">
        <f>VLOOKUP($A36,[18]HISTOJUIL23!$A$6:$CA$36,61,0)</f>
        <v>0</v>
      </c>
      <c r="AG36" s="36">
        <f>VLOOKUP($A36,[18]HISTOJUIL23!$A$6:$CA$36,62,0)</f>
        <v>0</v>
      </c>
      <c r="AH36" s="36">
        <f>VLOOKUP($A36,[18]HISTOJUIL23!$A$6:$CA$36,63,0)</f>
        <v>0</v>
      </c>
      <c r="AI36" s="36">
        <f>VLOOKUP($A36,[18]HISTOJUIL23!$A$6:$CA$36,64,0)</f>
        <v>0</v>
      </c>
      <c r="AJ36" s="36">
        <f>VLOOKUP($A36,[18]HISTOJUIL23!$A$6:$CA$36,65,0)</f>
        <v>0</v>
      </c>
    </row>
    <row r="37" spans="1:36" x14ac:dyDescent="0.25">
      <c r="A37" s="1" t="s">
        <v>27</v>
      </c>
      <c r="B37" s="1" t="s">
        <v>335</v>
      </c>
      <c r="C37" s="1"/>
      <c r="D37" s="1"/>
      <c r="E37" s="1"/>
      <c r="F37" s="5">
        <f>MVTJUIN23!F37+MVTJUIN23!G37-MVTJUIL23!E37+K37</f>
        <v>153468</v>
      </c>
      <c r="G37" s="1"/>
      <c r="H37" s="6">
        <f t="shared" si="0"/>
        <v>153468</v>
      </c>
      <c r="I37" s="6"/>
      <c r="J37" s="6"/>
      <c r="K37" s="36">
        <v>153468</v>
      </c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24912326.324737497</v>
      </c>
      <c r="G40" s="9">
        <f t="shared" si="5"/>
        <v>49999.999999999985</v>
      </c>
      <c r="H40" s="9">
        <f t="shared" si="5"/>
        <v>24962326.324737497</v>
      </c>
      <c r="I40" s="9">
        <f t="shared" si="5"/>
        <v>0</v>
      </c>
      <c r="J40" s="9">
        <f t="shared" si="5"/>
        <v>588300</v>
      </c>
      <c r="K40" s="9">
        <f t="shared" si="5"/>
        <v>561768</v>
      </c>
      <c r="L40" s="9">
        <f t="shared" si="5"/>
        <v>30000</v>
      </c>
      <c r="M40" s="9">
        <f t="shared" si="5"/>
        <v>30000</v>
      </c>
      <c r="N40" s="9">
        <f t="shared" si="5"/>
        <v>120000</v>
      </c>
      <c r="O40" s="9">
        <f t="shared" si="5"/>
        <v>15000</v>
      </c>
      <c r="P40" s="9">
        <f t="shared" si="5"/>
        <v>0</v>
      </c>
      <c r="Q40" s="9">
        <f t="shared" si="5"/>
        <v>0</v>
      </c>
      <c r="R40" s="9">
        <f t="shared" si="5"/>
        <v>1000000</v>
      </c>
      <c r="S40" s="9">
        <f t="shared" si="5"/>
        <v>50000</v>
      </c>
      <c r="T40" s="9">
        <f t="shared" si="5"/>
        <v>0</v>
      </c>
      <c r="U40" s="9">
        <f t="shared" si="5"/>
        <v>250000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280000</v>
      </c>
      <c r="AE40" s="9">
        <f t="shared" si="5"/>
        <v>6000</v>
      </c>
      <c r="AF40" s="9">
        <f t="shared" si="5"/>
        <v>50000</v>
      </c>
      <c r="AG40" s="9">
        <f t="shared" si="5"/>
        <v>0</v>
      </c>
      <c r="AH40" s="9">
        <f t="shared" si="5"/>
        <v>100000</v>
      </c>
      <c r="AI40" s="9">
        <f t="shared" si="5"/>
        <v>0</v>
      </c>
      <c r="AJ40" s="9">
        <f t="shared" si="5"/>
        <v>0</v>
      </c>
    </row>
    <row r="43" spans="1:36" x14ac:dyDescent="0.25">
      <c r="F43" s="2"/>
      <c r="H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D24" activePane="bottomRight" state="frozen"/>
      <selection activeCell="J4" sqref="J4:O4"/>
      <selection pane="topRight" activeCell="J4" sqref="J4:O4"/>
      <selection pane="bottomLeft" activeCell="J4" sqref="J4:O4"/>
      <selection pane="bottomRight" activeCell="G24" sqref="G2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45155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MVTJUIL23!F6+MVTJUIL23!G6-MVTAOUT23!E6+K6</f>
        <v>883508.45864318043</v>
      </c>
      <c r="G6" s="6">
        <v>2341.4026116767363</v>
      </c>
      <c r="H6" s="6">
        <f>F6+G6</f>
        <v>885849.86125485715</v>
      </c>
      <c r="I6" s="36"/>
      <c r="J6" s="36"/>
      <c r="K6" s="36"/>
      <c r="L6" s="36">
        <v>3000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VLOOKUP($A6,[18]HISTOAOUT23!$A$6:$CA$36,60,0)</f>
        <v>45000</v>
      </c>
      <c r="AF6" s="36">
        <f>VLOOKUP($A6,[18]HISTOAOUT23!$A$6:$CA$36,61,0)</f>
        <v>155000</v>
      </c>
      <c r="AG6" s="36">
        <f>VLOOKUP($A6,[18]HISTOAOUT23!$A$6:$CA$36,62,0)</f>
        <v>560000</v>
      </c>
      <c r="AH6" s="36">
        <f>VLOOKUP($A6,[18]HISTOAOUT23!$A$6:$CA$36,63,0)</f>
        <v>0</v>
      </c>
      <c r="AI6" s="36">
        <f>VLOOKUP($A6,[18]HISTOAOUT23!$A$6:$CA$36,64,0)</f>
        <v>0</v>
      </c>
      <c r="AJ6" s="36">
        <f>VLOOKUP($A6,[18]HISTOAOUT23!$A$6:$CA$36,65,0)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VLOOKUP($A7,[18]HISTOAOUT23!$A$6:$BA$36,48,0)</f>
        <v>0</v>
      </c>
      <c r="F7" s="5">
        <f>MVTJUIL23!F7+MVTJUIL23!G7-MVTAOUT23!E7+K7</f>
        <v>680147.941096875</v>
      </c>
      <c r="G7" s="6">
        <v>1802.4730267511065</v>
      </c>
      <c r="H7" s="6">
        <f t="shared" ref="H7:H37" si="0">F7+G7</f>
        <v>681950.41412362608</v>
      </c>
      <c r="I7" s="36">
        <f>VLOOKUP($A7,[18]HISTOAOUT23!$A$6:$AQ$40,22,0)</f>
        <v>0</v>
      </c>
      <c r="J7" s="36">
        <f>VLOOKUP($A7,[18]HISTOAOUT23!$A$6:$AU$36,45,0)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VLOOKUP($A7,[18]HISTOAOUT23!$A$6:$AU$36,7,0)</f>
        <v>0</v>
      </c>
      <c r="P7" s="36">
        <f>VLOOKUP($A7,[18]HISTOAOUT23!$A$6:$AU$36,23,0)</f>
        <v>0</v>
      </c>
      <c r="Q7" s="36">
        <f>VLOOKUP($A7,[18]HISTOAOUT23!$A$6:$AU$36,46,0)</f>
        <v>0</v>
      </c>
      <c r="R7" s="36">
        <f>VLOOKUP($A7,[18]HISTOAOUT23!$A$6:$AU$36,26,0)</f>
        <v>0</v>
      </c>
      <c r="S7" s="36">
        <f>VLOOKUP($A7,[18]HISTOAOUT23!$A$6:$BG$36,58,0)</f>
        <v>0</v>
      </c>
      <c r="T7" s="36">
        <f>VLOOKUP($A7,[18]HISTOAOUT23!$A$6:$AU$36,28,0)</f>
        <v>0</v>
      </c>
      <c r="U7" s="36">
        <f>VLOOKUP($A7,[18]HISTOAOUT23!$A$6:$AU$36,19,0)</f>
        <v>0</v>
      </c>
      <c r="V7" s="36">
        <f>VLOOKUP($A7,[18]HISTOAOUT23!$A$6:$AU$36,20,0)</f>
        <v>0</v>
      </c>
      <c r="W7" s="36">
        <f>VLOOKUP($A7,[18]HISTOAOUT23!$A$6:$AU$36,27,0)</f>
        <v>0</v>
      </c>
      <c r="X7" s="36">
        <f>VLOOKUP($A7,[18]HISTOAOUT23!$A$6:$BM$36,33,0)</f>
        <v>0</v>
      </c>
      <c r="Y7" s="36">
        <f>VLOOKUP($A7,[18]HISTOAOUT23!$A$6:$BM$36,65,0)</f>
        <v>0</v>
      </c>
      <c r="Z7" s="36"/>
      <c r="AA7" s="36">
        <f>VLOOKUP($A7,[18]HISTOAOUT23!$A$6:$AU$36,43,0)</f>
        <v>0</v>
      </c>
      <c r="AB7" s="36">
        <f>VLOOKUP($A7,[18]HISTOAOUT23!$A$6:$AU$36,44,0)</f>
        <v>0</v>
      </c>
      <c r="AC7" s="36">
        <f>VLOOKUP($A7,[18]HISTOAOUT23!$A$6:$AU$36,47,0)</f>
        <v>0</v>
      </c>
      <c r="AD7" s="36">
        <f>VLOOKUP(A7,[18]HISTOAOUT23!$A$6:$BB$36,54,0)</f>
        <v>0</v>
      </c>
      <c r="AE7" s="36">
        <f>VLOOKUP($A7,[18]HISTOAOUT23!$A$6:$CA$36,60,0)</f>
        <v>0</v>
      </c>
      <c r="AF7" s="36">
        <f>VLOOKUP($A7,[18]HISTOAOUT23!$A$6:$CA$36,61,0)</f>
        <v>0</v>
      </c>
      <c r="AG7" s="36">
        <f>VLOOKUP($A7,[18]HISTOAOUT23!$A$6:$CA$36,62,0)</f>
        <v>0</v>
      </c>
      <c r="AH7" s="36">
        <f>VLOOKUP($A7,[18]HISTOAOUT23!$A$6:$CA$36,63,0)</f>
        <v>0</v>
      </c>
      <c r="AI7" s="36">
        <f>VLOOKUP($A7,[18]HISTOAOUT23!$A$6:$CA$36,64,0)</f>
        <v>0</v>
      </c>
      <c r="AJ7" s="36">
        <f>VLOOKUP($A7,[18]HISTOAOUT23!$A$6:$CA$36,65,0)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VLOOKUP($A8,[18]HISTOAOUT23!$A$6:$BA$36,48,0)</f>
        <v>0</v>
      </c>
      <c r="F8" s="5">
        <f>MVTJUIL23!F8+MVTJUIL23!G8-MVTAOUT23!E8+K8</f>
        <v>729529.72642793122</v>
      </c>
      <c r="G8" s="6">
        <v>1933.3406375954426</v>
      </c>
      <c r="H8" s="6">
        <f t="shared" si="0"/>
        <v>731463.06706552661</v>
      </c>
      <c r="I8" s="36">
        <f>VLOOKUP($A8,[18]HISTOAOUT23!$A$6:$AQ$40,22,0)</f>
        <v>0</v>
      </c>
      <c r="J8" s="36">
        <f>VLOOKUP($A8,[18]HISTOAOUT23!$A$6:$AU$36,45,0)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VLOOKUP($A8,[18]HISTOAOUT23!$A$6:$AU$36,7,0)</f>
        <v>0</v>
      </c>
      <c r="P8" s="36">
        <f>VLOOKUP($A8,[18]HISTOAOUT23!$A$6:$AU$36,23,0)</f>
        <v>0</v>
      </c>
      <c r="Q8" s="36">
        <f>VLOOKUP($A8,[18]HISTOAOUT23!$A$6:$AU$36,46,0)</f>
        <v>0</v>
      </c>
      <c r="R8" s="36">
        <f>VLOOKUP($A8,[18]HISTOAOUT23!$A$6:$AU$36,26,0)</f>
        <v>0</v>
      </c>
      <c r="S8" s="36">
        <f>VLOOKUP($A8,[18]HISTOAOUT23!$A$6:$BG$36,58,0)</f>
        <v>0</v>
      </c>
      <c r="T8" s="36">
        <f>VLOOKUP($A8,[18]HISTOAOUT23!$A$6:$AU$36,28,0)</f>
        <v>0</v>
      </c>
      <c r="U8" s="36">
        <f>VLOOKUP($A8,[18]HISTOAOUT23!$A$6:$AU$36,19,0)</f>
        <v>0</v>
      </c>
      <c r="V8" s="36">
        <f>VLOOKUP($A8,[18]HISTOAOUT23!$A$6:$AU$36,20,0)</f>
        <v>0</v>
      </c>
      <c r="W8" s="36">
        <f>VLOOKUP($A8,[18]HISTOAOUT23!$A$6:$AU$36,27,0)</f>
        <v>0</v>
      </c>
      <c r="X8" s="36">
        <f>VLOOKUP($A8,[18]HISTOAOUT23!$A$6:$BM$36,33,0)</f>
        <v>0</v>
      </c>
      <c r="Y8" s="36">
        <f>VLOOKUP($A8,[18]HISTOAOUT23!$A$6:$BM$36,65,0)</f>
        <v>0</v>
      </c>
      <c r="Z8" s="36"/>
      <c r="AA8" s="36">
        <f>VLOOKUP($A8,[18]HISTOAOUT23!$A$6:$AU$36,43,0)</f>
        <v>0</v>
      </c>
      <c r="AB8" s="36">
        <f>VLOOKUP($A8,[18]HISTOAOUT23!$A$6:$AU$36,44,0)</f>
        <v>0</v>
      </c>
      <c r="AC8" s="36">
        <f>VLOOKUP($A8,[18]HISTOAOUT23!$A$6:$AU$36,47,0)</f>
        <v>0</v>
      </c>
      <c r="AD8" s="36">
        <f>VLOOKUP(A8,[18]HISTOAOUT23!$A$6:$BB$36,54,0)</f>
        <v>0</v>
      </c>
      <c r="AE8" s="36">
        <f>VLOOKUP($A8,[18]HISTOAOUT23!$A$6:$CA$36,60,0)</f>
        <v>0</v>
      </c>
      <c r="AF8" s="36">
        <f>VLOOKUP($A8,[18]HISTOAOUT23!$A$6:$CA$36,61,0)</f>
        <v>0</v>
      </c>
      <c r="AG8" s="36">
        <f>VLOOKUP($A8,[18]HISTOAOUT23!$A$6:$CA$36,62,0)</f>
        <v>0</v>
      </c>
      <c r="AH8" s="36">
        <f>VLOOKUP($A8,[18]HISTOAOUT23!$A$6:$CA$36,63,0)</f>
        <v>0</v>
      </c>
      <c r="AI8" s="36">
        <f>VLOOKUP($A8,[18]HISTOAOUT23!$A$6:$CA$36,64,0)</f>
        <v>0</v>
      </c>
      <c r="AJ8" s="36">
        <f>VLOOKUP($A8,[18]HISTOAOUT23!$A$6:$CA$36,65,0)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VLOOKUP($A9,[18]HISTOAOUT23!$A$6:$BA$36,48,0)</f>
        <v>0</v>
      </c>
      <c r="F9" s="5">
        <f>MVTJUIL23!F9+MVTJUIL23!G9-MVTAOUT23!E9+K9</f>
        <v>765732.55747080769</v>
      </c>
      <c r="G9" s="6">
        <v>2029.2824504039565</v>
      </c>
      <c r="H9" s="6">
        <f t="shared" si="0"/>
        <v>767761.83992121159</v>
      </c>
      <c r="I9" s="36">
        <f>VLOOKUP($A9,[18]HISTOAOUT23!$A$6:$AQ$40,22,0)</f>
        <v>0</v>
      </c>
      <c r="J9" s="36">
        <f>VLOOKUP($A9,[18]HISTOAOUT23!$A$6:$AU$36,45,0)</f>
        <v>15000</v>
      </c>
      <c r="K9" s="36">
        <f t="shared" si="1"/>
        <v>9000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VLOOKUP($A9,[18]HISTOAOUT23!$A$6:$AU$36,7,0)</f>
        <v>0</v>
      </c>
      <c r="P9" s="36">
        <f>VLOOKUP($A9,[18]HISTOAOUT23!$A$6:$AU$36,23,0)</f>
        <v>0</v>
      </c>
      <c r="Q9" s="36">
        <f>VLOOKUP($A9,[18]HISTOAOUT23!$A$6:$AU$36,46,0)</f>
        <v>0</v>
      </c>
      <c r="R9" s="36">
        <f>VLOOKUP($A9,[18]HISTOAOUT23!$A$6:$AU$36,26,0)</f>
        <v>0</v>
      </c>
      <c r="S9" s="36">
        <f>VLOOKUP($A9,[18]HISTOAOUT23!$A$6:$BG$36,58,0)</f>
        <v>0</v>
      </c>
      <c r="T9" s="36">
        <f>VLOOKUP($A9,[18]HISTOAOUT23!$A$6:$AU$36,28,0)</f>
        <v>0</v>
      </c>
      <c r="U9" s="36">
        <f>VLOOKUP($A9,[18]HISTOAOUT23!$A$6:$AU$36,19,0)</f>
        <v>0</v>
      </c>
      <c r="V9" s="36">
        <f>VLOOKUP($A9,[18]HISTOAOUT23!$A$6:$AU$36,20,0)</f>
        <v>0</v>
      </c>
      <c r="W9" s="36">
        <f>VLOOKUP($A9,[18]HISTOAOUT23!$A$6:$AU$36,27,0)</f>
        <v>0</v>
      </c>
      <c r="X9" s="36">
        <f>VLOOKUP($A9,[18]HISTOAOUT23!$A$6:$BM$36,33,0)</f>
        <v>0</v>
      </c>
      <c r="Y9" s="36">
        <f>VLOOKUP($A9,[18]HISTOAOUT23!$A$6:$BM$36,65,0)</f>
        <v>0</v>
      </c>
      <c r="Z9" s="36"/>
      <c r="AA9" s="36">
        <f>VLOOKUP($A9,[18]HISTOAOUT23!$A$6:$AU$36,43,0)</f>
        <v>0</v>
      </c>
      <c r="AB9" s="36">
        <f>VLOOKUP($A9,[18]HISTOAOUT23!$A$6:$AU$36,44,0)</f>
        <v>0</v>
      </c>
      <c r="AC9" s="36">
        <f>VLOOKUP($A9,[18]HISTOAOUT23!$A$6:$AU$36,47,0)</f>
        <v>0</v>
      </c>
      <c r="AD9" s="36">
        <f>VLOOKUP(A9,[18]HISTOAOUT23!$A$6:$BB$36,54,0)</f>
        <v>0</v>
      </c>
      <c r="AE9" s="36">
        <f>VLOOKUP($A9,[18]HISTOAOUT23!$A$6:$CA$36,60,0)</f>
        <v>0</v>
      </c>
      <c r="AF9" s="36">
        <f>VLOOKUP($A9,[18]HISTOAOUT23!$A$6:$CA$36,61,0)</f>
        <v>0</v>
      </c>
      <c r="AG9" s="36">
        <f>VLOOKUP($A9,[18]HISTOAOUT23!$A$6:$CA$36,62,0)</f>
        <v>0</v>
      </c>
      <c r="AH9" s="36">
        <f>VLOOKUP($A9,[18]HISTOAOUT23!$A$6:$CA$36,63,0)</f>
        <v>0</v>
      </c>
      <c r="AI9" s="36">
        <f>VLOOKUP($A9,[18]HISTOAOUT23!$A$6:$CA$36,64,0)</f>
        <v>0</v>
      </c>
      <c r="AJ9" s="36">
        <f>VLOOKUP($A9,[18]HISTOAOUT23!$A$6:$CA$36,65,0)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VLOOKUP($A10,[18]HISTOAOUT23!$A$6:$BA$36,48,0)</f>
        <v>0</v>
      </c>
      <c r="F10" s="5">
        <f>MVTJUIL23!F10+MVTJUIL23!G10-MVTAOUT23!E10+K10</f>
        <v>772644.90863910958</v>
      </c>
      <c r="G10" s="6">
        <v>2047.6010040295139</v>
      </c>
      <c r="H10" s="6">
        <f t="shared" si="0"/>
        <v>774692.50964313908</v>
      </c>
      <c r="I10" s="36">
        <f>VLOOKUP($A10,[18]HISTOAOUT23!$A$6:$AQ$40,22,0)</f>
        <v>0</v>
      </c>
      <c r="J10" s="36">
        <f>VLOOKUP($A10,[18]HISTOAOUT23!$A$6:$AU$36,45,0)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VLOOKUP($A10,[18]HISTOAOUT23!$A$6:$AU$36,7,0)</f>
        <v>3000</v>
      </c>
      <c r="P10" s="36">
        <f>VLOOKUP($A10,[18]HISTOAOUT23!$A$6:$AU$36,23,0)</f>
        <v>0</v>
      </c>
      <c r="Q10" s="36">
        <f>VLOOKUP($A10,[18]HISTOAOUT23!$A$6:$AU$36,46,0)</f>
        <v>0</v>
      </c>
      <c r="R10" s="36">
        <f>VLOOKUP($A10,[18]HISTOAOUT23!$A$6:$AU$36,26,0)</f>
        <v>0</v>
      </c>
      <c r="S10" s="36">
        <f>VLOOKUP($A10,[18]HISTOAOUT23!$A$6:$BG$36,58,0)</f>
        <v>0</v>
      </c>
      <c r="T10" s="36">
        <f>VLOOKUP($A10,[18]HISTOAOUT23!$A$6:$AU$36,28,0)</f>
        <v>0</v>
      </c>
      <c r="U10" s="36">
        <f>VLOOKUP($A10,[18]HISTOAOUT23!$A$6:$AU$36,19,0)</f>
        <v>0</v>
      </c>
      <c r="V10" s="36">
        <f>VLOOKUP($A10,[18]HISTOAOUT23!$A$6:$AU$36,20,0)</f>
        <v>0</v>
      </c>
      <c r="W10" s="36">
        <f>VLOOKUP($A10,[18]HISTOAOUT23!$A$6:$AU$36,27,0)</f>
        <v>0</v>
      </c>
      <c r="X10" s="36">
        <f>VLOOKUP($A10,[18]HISTOAOUT23!$A$6:$BM$36,33,0)</f>
        <v>0</v>
      </c>
      <c r="Y10" s="36">
        <f>VLOOKUP($A10,[18]HISTOAOUT23!$A$6:$BM$36,65,0)</f>
        <v>0</v>
      </c>
      <c r="Z10" s="36"/>
      <c r="AA10" s="36">
        <f>VLOOKUP($A10,[18]HISTOAOUT23!$A$6:$AU$36,43,0)</f>
        <v>0</v>
      </c>
      <c r="AB10" s="36">
        <f>VLOOKUP($A10,[18]HISTOAOUT23!$A$6:$AU$36,44,0)</f>
        <v>0</v>
      </c>
      <c r="AC10" s="36">
        <f>VLOOKUP($A10,[18]HISTOAOUT23!$A$6:$AU$36,47,0)</f>
        <v>0</v>
      </c>
      <c r="AD10" s="36">
        <f>VLOOKUP(A10,[18]HISTOAOUT23!$A$6:$BB$36,54,0)</f>
        <v>0</v>
      </c>
      <c r="AE10" s="36">
        <f>VLOOKUP($A10,[18]HISTOAOUT23!$A$6:$CA$36,60,0)</f>
        <v>0</v>
      </c>
      <c r="AF10" s="36">
        <f>VLOOKUP($A10,[18]HISTOAOUT23!$A$6:$CA$36,61,0)</f>
        <v>0</v>
      </c>
      <c r="AG10" s="36">
        <f>VLOOKUP($A10,[18]HISTOAOUT23!$A$6:$CA$36,62,0)</f>
        <v>0</v>
      </c>
      <c r="AH10" s="36">
        <f>VLOOKUP($A10,[18]HISTOAOUT23!$A$6:$CA$36,63,0)</f>
        <v>0</v>
      </c>
      <c r="AI10" s="36">
        <f>VLOOKUP($A10,[18]HISTOAOUT23!$A$6:$CA$36,64,0)</f>
        <v>0</v>
      </c>
      <c r="AJ10" s="36">
        <f>VLOOKUP($A10,[18]HISTOAOUT23!$A$6:$CA$36,65,0)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VLOOKUP($A11,[18]HISTOAOUT23!$A$6:$BA$36,48,0)</f>
        <v>0</v>
      </c>
      <c r="F11" s="5">
        <f>MVTJUIL23!F11+MVTJUIL23!G11-MVTAOUT23!E11+K11</f>
        <v>736170.74397246563</v>
      </c>
      <c r="G11" s="6">
        <v>1950.9401248112677</v>
      </c>
      <c r="H11" s="6">
        <f t="shared" si="0"/>
        <v>738121.68409727688</v>
      </c>
      <c r="I11" s="36">
        <f>VLOOKUP($A11,[18]HISTOAOUT23!$A$6:$AQ$40,22,0)</f>
        <v>0</v>
      </c>
      <c r="J11" s="36">
        <f>VLOOKUP($A11,[18]HISTOAOUT23!$A$6:$AU$36,45,0)</f>
        <v>15000</v>
      </c>
      <c r="K11" s="36">
        <f t="shared" si="1"/>
        <v>9000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VLOOKUP($A11,[18]HISTOAOUT23!$A$6:$AU$36,7,0)</f>
        <v>0</v>
      </c>
      <c r="P11" s="36">
        <f>VLOOKUP($A11,[18]HISTOAOUT23!$A$6:$AU$36,23,0)</f>
        <v>0</v>
      </c>
      <c r="Q11" s="36">
        <f>VLOOKUP($A11,[18]HISTOAOUT23!$A$6:$AU$36,46,0)</f>
        <v>0</v>
      </c>
      <c r="R11" s="36">
        <f>VLOOKUP($A11,[18]HISTOAOUT23!$A$6:$AU$36,26,0)</f>
        <v>0</v>
      </c>
      <c r="S11" s="36">
        <f>VLOOKUP($A11,[18]HISTOAOUT23!$A$6:$BG$36,58,0)</f>
        <v>0</v>
      </c>
      <c r="T11" s="36">
        <f>VLOOKUP($A11,[18]HISTOAOUT23!$A$6:$AU$36,28,0)</f>
        <v>0</v>
      </c>
      <c r="U11" s="36">
        <f>VLOOKUP($A11,[18]HISTOAOUT23!$A$6:$AU$36,19,0)</f>
        <v>0</v>
      </c>
      <c r="V11" s="36">
        <f>VLOOKUP($A11,[18]HISTOAOUT23!$A$6:$AU$36,20,0)</f>
        <v>0</v>
      </c>
      <c r="W11" s="36">
        <f>VLOOKUP($A11,[18]HISTOAOUT23!$A$6:$AU$36,27,0)</f>
        <v>0</v>
      </c>
      <c r="X11" s="36">
        <f>VLOOKUP($A11,[18]HISTOAOUT23!$A$6:$BM$36,33,0)</f>
        <v>0</v>
      </c>
      <c r="Y11" s="36">
        <f>VLOOKUP($A11,[18]HISTOAOUT23!$A$6:$BM$36,65,0)</f>
        <v>0</v>
      </c>
      <c r="Z11" s="36"/>
      <c r="AA11" s="36">
        <f>VLOOKUP($A11,[18]HISTOAOUT23!$A$6:$AU$36,43,0)</f>
        <v>0</v>
      </c>
      <c r="AB11" s="36">
        <f>VLOOKUP($A11,[18]HISTOAOUT23!$A$6:$AU$36,44,0)</f>
        <v>0</v>
      </c>
      <c r="AC11" s="36">
        <f>VLOOKUP($A11,[18]HISTOAOUT23!$A$6:$AU$36,47,0)</f>
        <v>0</v>
      </c>
      <c r="AD11" s="36">
        <f>VLOOKUP(A11,[18]HISTOAOUT23!$A$6:$BB$36,54,0)</f>
        <v>0</v>
      </c>
      <c r="AE11" s="36">
        <f>VLOOKUP($A11,[18]HISTOAOUT23!$A$6:$CA$36,60,0)</f>
        <v>0</v>
      </c>
      <c r="AF11" s="36">
        <f>VLOOKUP($A11,[18]HISTOAOUT23!$A$6:$CA$36,61,0)</f>
        <v>0</v>
      </c>
      <c r="AG11" s="36">
        <f>VLOOKUP($A11,[18]HISTOAOUT23!$A$6:$CA$36,62,0)</f>
        <v>0</v>
      </c>
      <c r="AH11" s="36">
        <f>VLOOKUP($A11,[18]HISTOAOUT23!$A$6:$CA$36,63,0)</f>
        <v>0</v>
      </c>
      <c r="AI11" s="36">
        <f>VLOOKUP($A11,[18]HISTOAOUT23!$A$6:$CA$36,64,0)</f>
        <v>0</v>
      </c>
      <c r="AJ11" s="36">
        <f>VLOOKUP($A11,[18]HISTOAOUT23!$A$6:$CA$36,65,0)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VLOOKUP($A12,[18]HISTOAOUT23!$A$6:$BA$36,48,0)</f>
        <v>0</v>
      </c>
      <c r="F12" s="5">
        <f>MVTJUIL23!F12+MVTJUIL23!G12-MVTAOUT23!E12+K12</f>
        <v>915567.64684991981</v>
      </c>
      <c r="G12" s="6">
        <v>2426.3632776003792</v>
      </c>
      <c r="H12" s="6">
        <f t="shared" si="0"/>
        <v>917994.01012752019</v>
      </c>
      <c r="I12" s="36">
        <f>VLOOKUP($A12,[18]HISTOAOUT23!$A$6:$AQ$40,22,0)</f>
        <v>0</v>
      </c>
      <c r="J12" s="36">
        <f>VLOOKUP($A12,[18]HISTOAOUT23!$A$6:$AU$36,45,0)</f>
        <v>20000</v>
      </c>
      <c r="K12" s="36">
        <f>IF(J12=0,0,J12-(L12+M12+N12))</f>
        <v>14000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VLOOKUP($A12,[18]HISTOAOUT23!$A$6:$AU$36,7,0)</f>
        <v>0</v>
      </c>
      <c r="P12" s="36">
        <f>VLOOKUP($A12,[18]HISTOAOUT23!$A$6:$AU$36,23,0)</f>
        <v>0</v>
      </c>
      <c r="Q12" s="36">
        <f>VLOOKUP($A12,[18]HISTOAOUT23!$A$6:$AU$36,46,0)</f>
        <v>0</v>
      </c>
      <c r="R12" s="36">
        <f>VLOOKUP($A12,[18]HISTOAOUT23!$A$6:$AU$36,26,0)</f>
        <v>0</v>
      </c>
      <c r="S12" s="36">
        <f>VLOOKUP($A12,[18]HISTOAOUT23!$A$6:$BG$36,58,0)</f>
        <v>0</v>
      </c>
      <c r="T12" s="36">
        <f>VLOOKUP($A12,[18]HISTOAOUT23!$A$6:$AU$36,28,0)</f>
        <v>0</v>
      </c>
      <c r="U12" s="36">
        <f>VLOOKUP($A12,[18]HISTOAOUT23!$A$6:$AU$36,19,0)</f>
        <v>0</v>
      </c>
      <c r="V12" s="36">
        <f>VLOOKUP($A12,[18]HISTOAOUT23!$A$6:$AU$36,20,0)</f>
        <v>0</v>
      </c>
      <c r="W12" s="36">
        <f>VLOOKUP($A12,[18]HISTOAOUT23!$A$6:$AU$36,27,0)</f>
        <v>0</v>
      </c>
      <c r="X12" s="36">
        <f>VLOOKUP($A12,[18]HISTOAOUT23!$A$6:$BM$36,33,0)</f>
        <v>0</v>
      </c>
      <c r="Y12" s="36">
        <f>VLOOKUP($A12,[18]HISTOAOUT23!$A$6:$BM$36,65,0)</f>
        <v>0</v>
      </c>
      <c r="Z12" s="36"/>
      <c r="AA12" s="36">
        <f>VLOOKUP($A12,[18]HISTOAOUT23!$A$6:$AU$36,43,0)</f>
        <v>0</v>
      </c>
      <c r="AB12" s="36">
        <f>VLOOKUP($A12,[18]HISTOAOUT23!$A$6:$AU$36,44,0)</f>
        <v>0</v>
      </c>
      <c r="AC12" s="36">
        <f>VLOOKUP($A12,[18]HISTOAOUT23!$A$6:$AU$36,47,0)</f>
        <v>0</v>
      </c>
      <c r="AD12" s="36">
        <f>VLOOKUP(A12,[18]HISTOAOUT23!$A$6:$BB$36,54,0)</f>
        <v>0</v>
      </c>
      <c r="AE12" s="36">
        <f>VLOOKUP($A12,[18]HISTOAOUT23!$A$6:$CA$36,60,0)</f>
        <v>0</v>
      </c>
      <c r="AF12" s="36">
        <f>VLOOKUP($A12,[18]HISTOAOUT23!$A$6:$CA$36,61,0)</f>
        <v>0</v>
      </c>
      <c r="AG12" s="36">
        <f>VLOOKUP($A12,[18]HISTOAOUT23!$A$6:$CA$36,62,0)</f>
        <v>0</v>
      </c>
      <c r="AH12" s="36">
        <f>VLOOKUP($A12,[18]HISTOAOUT23!$A$6:$CA$36,63,0)</f>
        <v>0</v>
      </c>
      <c r="AI12" s="36">
        <f>VLOOKUP($A12,[18]HISTOAOUT23!$A$6:$CA$36,64,0)</f>
        <v>0</v>
      </c>
      <c r="AJ12" s="36">
        <f>VLOOKUP($A12,[18]HISTOAOUT23!$A$6:$CA$36,65,0)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VLOOKUP($A13,[18]HISTOAOUT23!$A$6:$BA$36,48,0)</f>
        <v>0</v>
      </c>
      <c r="F13" s="5">
        <f>MVTJUIL23!F13+MVTJUIL23!G13-MVTAOUT23!E13+K13</f>
        <v>722561.99685119465</v>
      </c>
      <c r="G13" s="6">
        <v>1914.8753245938192</v>
      </c>
      <c r="H13" s="6">
        <f t="shared" si="0"/>
        <v>724476.87217578851</v>
      </c>
      <c r="I13" s="36">
        <f>VLOOKUP($A13,[18]HISTOAOUT23!$A$6:$AQ$40,22,0)</f>
        <v>0</v>
      </c>
      <c r="J13" s="36">
        <f>VLOOKUP($A13,[18]HISTOAOUT23!$A$6:$AU$36,45,0)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VLOOKUP($A13,[18]HISTOAOUT23!$A$6:$AU$36,7,0)</f>
        <v>0</v>
      </c>
      <c r="P13" s="36">
        <f>VLOOKUP($A13,[18]HISTOAOUT23!$A$6:$AU$36,23,0)</f>
        <v>0</v>
      </c>
      <c r="Q13" s="36">
        <f>VLOOKUP($A13,[18]HISTOAOUT23!$A$6:$AU$36,46,0)</f>
        <v>0</v>
      </c>
      <c r="R13" s="36">
        <f>VLOOKUP($A13,[18]HISTOAOUT23!$A$6:$AU$36,26,0)</f>
        <v>0</v>
      </c>
      <c r="S13" s="36">
        <f>VLOOKUP($A13,[18]HISTOAOUT23!$A$6:$BG$36,58,0)</f>
        <v>0</v>
      </c>
      <c r="T13" s="36">
        <f>VLOOKUP($A13,[18]HISTOAOUT23!$A$6:$AU$36,28,0)</f>
        <v>0</v>
      </c>
      <c r="U13" s="36">
        <f>VLOOKUP($A13,[18]HISTOAOUT23!$A$6:$AU$36,19,0)</f>
        <v>0</v>
      </c>
      <c r="V13" s="36">
        <f>VLOOKUP($A13,[18]HISTOAOUT23!$A$6:$AU$36,20,0)</f>
        <v>0</v>
      </c>
      <c r="W13" s="36">
        <f>VLOOKUP($A13,[18]HISTOAOUT23!$A$6:$AU$36,27,0)</f>
        <v>0</v>
      </c>
      <c r="X13" s="36">
        <f>VLOOKUP($A13,[18]HISTOAOUT23!$A$6:$BM$36,33,0)</f>
        <v>0</v>
      </c>
      <c r="Y13" s="36">
        <f>VLOOKUP($A13,[18]HISTOAOUT23!$A$6:$BM$36,65,0)</f>
        <v>0</v>
      </c>
      <c r="Z13" s="36"/>
      <c r="AA13" s="36">
        <f>VLOOKUP($A13,[18]HISTOAOUT23!$A$6:$AU$36,43,0)</f>
        <v>0</v>
      </c>
      <c r="AB13" s="36">
        <f>VLOOKUP($A13,[18]HISTOAOUT23!$A$6:$AU$36,44,0)</f>
        <v>0</v>
      </c>
      <c r="AC13" s="36">
        <f>VLOOKUP($A13,[18]HISTOAOUT23!$A$6:$AU$36,47,0)</f>
        <v>0</v>
      </c>
      <c r="AD13" s="36">
        <f>VLOOKUP(A13,[18]HISTOAOUT23!$A$6:$BB$36,54,0)</f>
        <v>0</v>
      </c>
      <c r="AE13" s="36">
        <f>VLOOKUP($A13,[18]HISTOAOUT23!$A$6:$CA$36,60,0)</f>
        <v>0</v>
      </c>
      <c r="AF13" s="36">
        <f>VLOOKUP($A13,[18]HISTOAOUT23!$A$6:$CA$36,61,0)</f>
        <v>0</v>
      </c>
      <c r="AG13" s="36">
        <f>VLOOKUP($A13,[18]HISTOAOUT23!$A$6:$CA$36,62,0)</f>
        <v>0</v>
      </c>
      <c r="AH13" s="36">
        <f>VLOOKUP($A13,[18]HISTOAOUT23!$A$6:$CA$36,63,0)</f>
        <v>0</v>
      </c>
      <c r="AI13" s="36">
        <f>VLOOKUP($A13,[18]HISTOAOUT23!$A$6:$CA$36,64,0)</f>
        <v>0</v>
      </c>
      <c r="AJ13" s="36">
        <f>VLOOKUP($A13,[18]HISTOAOUT23!$A$6:$CA$36,65,0)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VLOOKUP($A14,[18]HISTOAOUT23!$A$6:$BA$36,48,0)</f>
        <v>0</v>
      </c>
      <c r="F14" s="5">
        <f>MVTJUIL23!F14+MVTJUIL23!G14-MVTAOUT23!E14+K14</f>
        <v>1217862.0697270841</v>
      </c>
      <c r="G14" s="6">
        <v>3227.4794913680144</v>
      </c>
      <c r="H14" s="6">
        <f t="shared" si="0"/>
        <v>1221089.5492184521</v>
      </c>
      <c r="I14" s="36">
        <f>VLOOKUP($A14,[18]HISTOAOUT23!$A$6:$AQ$40,22,0)</f>
        <v>0</v>
      </c>
      <c r="J14" s="36">
        <f>VLOOKUP($A14,[18]HISTOAOUT23!$A$6:$AU$36,45,0)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VLOOKUP($A14,[18]HISTOAOUT23!$A$6:$AU$36,7,0)</f>
        <v>0</v>
      </c>
      <c r="P14" s="36">
        <f>VLOOKUP($A14,[18]HISTOAOUT23!$A$6:$AU$36,23,0)</f>
        <v>0</v>
      </c>
      <c r="Q14" s="36">
        <f>VLOOKUP($A14,[18]HISTOAOUT23!$A$6:$AU$36,46,0)</f>
        <v>0</v>
      </c>
      <c r="R14" s="36">
        <f>VLOOKUP($A14,[18]HISTOAOUT23!$A$6:$AU$36,26,0)</f>
        <v>0</v>
      </c>
      <c r="S14" s="36">
        <f>VLOOKUP($A14,[18]HISTOAOUT23!$A$6:$BG$36,58,0)</f>
        <v>0</v>
      </c>
      <c r="T14" s="36">
        <f>VLOOKUP($A14,[18]HISTOAOUT23!$A$6:$AU$36,28,0)</f>
        <v>0</v>
      </c>
      <c r="U14" s="36">
        <f>VLOOKUP($A14,[18]HISTOAOUT23!$A$6:$AU$36,19,0)</f>
        <v>0</v>
      </c>
      <c r="V14" s="36">
        <f>VLOOKUP($A14,[18]HISTOAOUT23!$A$6:$AU$36,20,0)</f>
        <v>0</v>
      </c>
      <c r="W14" s="36">
        <f>VLOOKUP($A14,[18]HISTOAOUT23!$A$6:$AU$36,27,0)</f>
        <v>0</v>
      </c>
      <c r="X14" s="36">
        <f>VLOOKUP($A14,[18]HISTOAOUT23!$A$6:$BM$36,33,0)</f>
        <v>0</v>
      </c>
      <c r="Y14" s="36">
        <f>VLOOKUP($A14,[18]HISTOAOUT23!$A$6:$BM$36,65,0)</f>
        <v>0</v>
      </c>
      <c r="Z14" s="36"/>
      <c r="AA14" s="36">
        <f>VLOOKUP($A14,[18]HISTOAOUT23!$A$6:$AU$36,43,0)</f>
        <v>0</v>
      </c>
      <c r="AB14" s="36">
        <f>VLOOKUP($A14,[18]HISTOAOUT23!$A$6:$AU$36,44,0)</f>
        <v>0</v>
      </c>
      <c r="AC14" s="36">
        <f>VLOOKUP($A14,[18]HISTOAOUT23!$A$6:$AU$36,47,0)</f>
        <v>0</v>
      </c>
      <c r="AD14" s="36">
        <f>VLOOKUP(A14,[18]HISTOAOUT23!$A$6:$BB$36,54,0)</f>
        <v>0</v>
      </c>
      <c r="AE14" s="36">
        <f>VLOOKUP($A14,[18]HISTOAOUT23!$A$6:$CA$36,60,0)</f>
        <v>0</v>
      </c>
      <c r="AF14" s="36">
        <f>VLOOKUP($A14,[18]HISTOAOUT23!$A$6:$CA$36,61,0)</f>
        <v>0</v>
      </c>
      <c r="AG14" s="36">
        <f>VLOOKUP($A14,[18]HISTOAOUT23!$A$6:$CA$36,62,0)</f>
        <v>0</v>
      </c>
      <c r="AH14" s="36">
        <f>VLOOKUP($A14,[18]HISTOAOUT23!$A$6:$CA$36,63,0)</f>
        <v>0</v>
      </c>
      <c r="AI14" s="36">
        <f>VLOOKUP($A14,[18]HISTOAOUT23!$A$6:$CA$36,64,0)</f>
        <v>0</v>
      </c>
      <c r="AJ14" s="36">
        <f>VLOOKUP($A14,[18]HISTOAOUT23!$A$6:$CA$36,65,0)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VLOOKUP($A15,[18]HISTOAOUT23!$A$6:$BA$36,48,0)</f>
        <v>0</v>
      </c>
      <c r="F15" s="5">
        <f>MVTJUIL23!F15+MVTJUIL23!G15-MVTAOUT23!E15+K15</f>
        <v>777233.77214251761</v>
      </c>
      <c r="G15" s="6">
        <v>2059.7620386935259</v>
      </c>
      <c r="H15" s="6">
        <f t="shared" si="0"/>
        <v>779293.53418121114</v>
      </c>
      <c r="I15" s="36">
        <f>VLOOKUP($A15,[18]HISTOAOUT23!$A$6:$AQ$40,22,0)</f>
        <v>0</v>
      </c>
      <c r="J15" s="36">
        <f>VLOOKUP($A15,[18]HISTOAOUT23!$A$6:$AU$36,45,0)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VLOOKUP($A15,[18]HISTOAOUT23!$A$6:$AU$36,7,0)</f>
        <v>0</v>
      </c>
      <c r="P15" s="36">
        <f>VLOOKUP($A15,[18]HISTOAOUT23!$A$6:$AU$36,23,0)</f>
        <v>0</v>
      </c>
      <c r="Q15" s="36">
        <f>VLOOKUP($A15,[18]HISTOAOUT23!$A$6:$AU$36,46,0)</f>
        <v>0</v>
      </c>
      <c r="R15" s="36">
        <f>VLOOKUP($A15,[18]HISTOAOUT23!$A$6:$AU$36,26,0)</f>
        <v>0</v>
      </c>
      <c r="S15" s="36">
        <f>VLOOKUP($A15,[18]HISTOAOUT23!$A$6:$BG$36,58,0)</f>
        <v>0</v>
      </c>
      <c r="T15" s="36">
        <f>VLOOKUP($A15,[18]HISTOAOUT23!$A$6:$AU$36,28,0)</f>
        <v>0</v>
      </c>
      <c r="U15" s="36">
        <f>VLOOKUP($A15,[18]HISTOAOUT23!$A$6:$AU$36,19,0)</f>
        <v>0</v>
      </c>
      <c r="V15" s="36">
        <f>VLOOKUP($A15,[18]HISTOAOUT23!$A$6:$AU$36,20,0)</f>
        <v>0</v>
      </c>
      <c r="W15" s="36">
        <f>VLOOKUP($A15,[18]HISTOAOUT23!$A$6:$AU$36,27,0)</f>
        <v>0</v>
      </c>
      <c r="X15" s="36">
        <f>VLOOKUP($A15,[18]HISTOAOUT23!$A$6:$BM$36,33,0)</f>
        <v>0</v>
      </c>
      <c r="Y15" s="36">
        <f>VLOOKUP($A15,[18]HISTOAOUT23!$A$6:$BM$36,65,0)</f>
        <v>0</v>
      </c>
      <c r="Z15" s="36"/>
      <c r="AA15" s="36">
        <f>VLOOKUP($A15,[18]HISTOAOUT23!$A$6:$AU$36,43,0)</f>
        <v>0</v>
      </c>
      <c r="AB15" s="36">
        <f>VLOOKUP($A15,[18]HISTOAOUT23!$A$6:$AU$36,44,0)</f>
        <v>0</v>
      </c>
      <c r="AC15" s="36">
        <f>VLOOKUP($A15,[18]HISTOAOUT23!$A$6:$AU$36,47,0)</f>
        <v>0</v>
      </c>
      <c r="AD15" s="36">
        <f>VLOOKUP(A15,[18]HISTOAOUT23!$A$6:$BB$36,54,0)</f>
        <v>0</v>
      </c>
      <c r="AE15" s="36">
        <f>VLOOKUP($A15,[18]HISTOAOUT23!$A$6:$CA$36,60,0)</f>
        <v>0</v>
      </c>
      <c r="AF15" s="36">
        <f>VLOOKUP($A15,[18]HISTOAOUT23!$A$6:$CA$36,61,0)</f>
        <v>0</v>
      </c>
      <c r="AG15" s="36">
        <f>VLOOKUP($A15,[18]HISTOAOUT23!$A$6:$CA$36,62,0)</f>
        <v>0</v>
      </c>
      <c r="AH15" s="36">
        <f>VLOOKUP($A15,[18]HISTOAOUT23!$A$6:$CA$36,63,0)</f>
        <v>0</v>
      </c>
      <c r="AI15" s="36">
        <f>VLOOKUP($A15,[18]HISTOAOUT23!$A$6:$CA$36,64,0)</f>
        <v>0</v>
      </c>
      <c r="AJ15" s="36">
        <f>VLOOKUP($A15,[18]HISTOAOUT23!$A$6:$CA$36,65,0)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VLOOKUP($A16,[18]HISTOAOUT23!$A$6:$BA$36,48,0)</f>
        <v>0</v>
      </c>
      <c r="F16" s="5">
        <f>MVTJUIL23!F16+MVTJUIL23!G16-MVTAOUT23!E16+K16</f>
        <v>1002174.1555498495</v>
      </c>
      <c r="G16" s="6">
        <v>2655.8808375902781</v>
      </c>
      <c r="H16" s="6">
        <f t="shared" si="0"/>
        <v>1004830.0363874398</v>
      </c>
      <c r="I16" s="36">
        <f>VLOOKUP($A16,[18]HISTOAOUT23!$A$6:$AQ$40,22,0)</f>
        <v>0</v>
      </c>
      <c r="J16" s="36">
        <f>VLOOKUP($A16,[18]HISTOAOUT23!$A$6:$AU$36,45,0)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VLOOKUP($A16,[18]HISTOAOUT23!$A$6:$AU$36,7,0)</f>
        <v>0</v>
      </c>
      <c r="P16" s="36">
        <f>VLOOKUP($A16,[18]HISTOAOUT23!$A$6:$AU$36,23,0)</f>
        <v>0</v>
      </c>
      <c r="Q16" s="36">
        <f>VLOOKUP($A16,[18]HISTOAOUT23!$A$6:$AU$36,46,0)</f>
        <v>0</v>
      </c>
      <c r="R16" s="36">
        <f>VLOOKUP($A16,[18]HISTOAOUT23!$A$6:$AU$36,26,0)</f>
        <v>0</v>
      </c>
      <c r="S16" s="36">
        <f>VLOOKUP($A16,[18]HISTOAOUT23!$A$6:$BG$36,58,0)</f>
        <v>0</v>
      </c>
      <c r="T16" s="36">
        <f>VLOOKUP($A16,[18]HISTOAOUT23!$A$6:$AU$36,28,0)</f>
        <v>0</v>
      </c>
      <c r="U16" s="36">
        <f>VLOOKUP($A16,[18]HISTOAOUT23!$A$6:$AU$36,19,0)</f>
        <v>0</v>
      </c>
      <c r="V16" s="36">
        <f>VLOOKUP($A16,[18]HISTOAOUT23!$A$6:$AU$36,20,0)</f>
        <v>0</v>
      </c>
      <c r="W16" s="36">
        <f>VLOOKUP($A16,[18]HISTOAOUT23!$A$6:$AU$36,27,0)</f>
        <v>0</v>
      </c>
      <c r="X16" s="36">
        <f>VLOOKUP($A16,[18]HISTOAOUT23!$A$6:$BM$36,33,0)</f>
        <v>0</v>
      </c>
      <c r="Y16" s="36">
        <f>VLOOKUP($A16,[18]HISTOAOUT23!$A$6:$BM$36,65,0)</f>
        <v>0</v>
      </c>
      <c r="Z16" s="36"/>
      <c r="AA16" s="36">
        <f>VLOOKUP($A16,[18]HISTOAOUT23!$A$6:$AU$36,43,0)</f>
        <v>0</v>
      </c>
      <c r="AB16" s="36">
        <f>VLOOKUP($A16,[18]HISTOAOUT23!$A$6:$AU$36,44,0)</f>
        <v>0</v>
      </c>
      <c r="AC16" s="36">
        <f>VLOOKUP($A16,[18]HISTOAOUT23!$A$6:$AU$36,47,0)</f>
        <v>0</v>
      </c>
      <c r="AD16" s="36">
        <f>VLOOKUP(A16,[18]HISTOAOUT23!$A$6:$BB$36,54,0)</f>
        <v>0</v>
      </c>
      <c r="AE16" s="36">
        <f>VLOOKUP($A16,[18]HISTOAOUT23!$A$6:$CA$36,60,0)</f>
        <v>0</v>
      </c>
      <c r="AF16" s="36">
        <f>VLOOKUP($A16,[18]HISTOAOUT23!$A$6:$CA$36,61,0)</f>
        <v>0</v>
      </c>
      <c r="AG16" s="36">
        <f>VLOOKUP($A16,[18]HISTOAOUT23!$A$6:$CA$36,62,0)</f>
        <v>0</v>
      </c>
      <c r="AH16" s="36">
        <f>VLOOKUP($A16,[18]HISTOAOUT23!$A$6:$CA$36,63,0)</f>
        <v>0</v>
      </c>
      <c r="AI16" s="36">
        <f>VLOOKUP($A16,[18]HISTOAOUT23!$A$6:$CA$36,64,0)</f>
        <v>0</v>
      </c>
      <c r="AJ16" s="36">
        <f>VLOOKUP($A16,[18]HISTOAOUT23!$A$6:$CA$36,65,0)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VLOOKUP($A17,[18]HISTOAOUT23!$A$6:$BA$36,48,0)</f>
        <v>0</v>
      </c>
      <c r="F17" s="5">
        <f>MVTJUIL23!F17+MVTJUIL23!G17-MVTAOUT23!E17+K17</f>
        <v>779593.44361548289</v>
      </c>
      <c r="G17" s="6">
        <v>2066.0154490547407</v>
      </c>
      <c r="H17" s="6">
        <f t="shared" si="0"/>
        <v>781659.45906453766</v>
      </c>
      <c r="I17" s="36">
        <f>VLOOKUP($A17,[18]HISTOAOUT23!$A$6:$AQ$40,22,0)</f>
        <v>0</v>
      </c>
      <c r="J17" s="36">
        <f>VLOOKUP($A17,[18]HISTOAOUT23!$A$6:$AU$36,45,0)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VLOOKUP($A17,[18]HISTOAOUT23!$A$6:$AU$36,7,0)</f>
        <v>0</v>
      </c>
      <c r="P17" s="36">
        <f>VLOOKUP($A17,[18]HISTOAOUT23!$A$6:$AU$36,23,0)</f>
        <v>0</v>
      </c>
      <c r="Q17" s="36">
        <f>VLOOKUP($A17,[18]HISTOAOUT23!$A$6:$AU$36,46,0)</f>
        <v>0</v>
      </c>
      <c r="R17" s="36">
        <f>VLOOKUP($A17,[18]HISTOAOUT23!$A$6:$AU$36,26,0)</f>
        <v>0</v>
      </c>
      <c r="S17" s="36">
        <f>VLOOKUP($A17,[18]HISTOAOUT23!$A$6:$BG$36,58,0)</f>
        <v>0</v>
      </c>
      <c r="T17" s="36">
        <f>VLOOKUP($A17,[18]HISTOAOUT23!$A$6:$AU$36,28,0)</f>
        <v>0</v>
      </c>
      <c r="U17" s="36">
        <f>VLOOKUP($A17,[18]HISTOAOUT23!$A$6:$AU$36,19,0)</f>
        <v>0</v>
      </c>
      <c r="V17" s="36">
        <f>VLOOKUP($A17,[18]HISTOAOUT23!$A$6:$AU$36,20,0)</f>
        <v>0</v>
      </c>
      <c r="W17" s="36">
        <f>VLOOKUP($A17,[18]HISTOAOUT23!$A$6:$AU$36,27,0)</f>
        <v>0</v>
      </c>
      <c r="X17" s="36">
        <f>VLOOKUP($A17,[18]HISTOAOUT23!$A$6:$BM$36,33,0)</f>
        <v>0</v>
      </c>
      <c r="Y17" s="36">
        <f>VLOOKUP($A17,[18]HISTOAOUT23!$A$6:$BM$36,65,0)</f>
        <v>0</v>
      </c>
      <c r="Z17" s="36"/>
      <c r="AA17" s="36">
        <f>VLOOKUP($A17,[18]HISTOAOUT23!$A$6:$AU$36,43,0)</f>
        <v>0</v>
      </c>
      <c r="AB17" s="36">
        <f>VLOOKUP($A17,[18]HISTOAOUT23!$A$6:$AU$36,44,0)</f>
        <v>0</v>
      </c>
      <c r="AC17" s="36">
        <f>VLOOKUP($A17,[18]HISTOAOUT23!$A$6:$AU$36,47,0)</f>
        <v>0</v>
      </c>
      <c r="AD17" s="36">
        <f>VLOOKUP(A17,[18]HISTOAOUT23!$A$6:$BB$36,54,0)</f>
        <v>0</v>
      </c>
      <c r="AE17" s="36">
        <f>VLOOKUP($A17,[18]HISTOAOUT23!$A$6:$CA$36,60,0)</f>
        <v>0</v>
      </c>
      <c r="AF17" s="36">
        <f>VLOOKUP($A17,[18]HISTOAOUT23!$A$6:$CA$36,61,0)</f>
        <v>0</v>
      </c>
      <c r="AG17" s="36">
        <f>VLOOKUP($A17,[18]HISTOAOUT23!$A$6:$CA$36,62,0)</f>
        <v>0</v>
      </c>
      <c r="AH17" s="36">
        <f>VLOOKUP($A17,[18]HISTOAOUT23!$A$6:$CA$36,63,0)</f>
        <v>0</v>
      </c>
      <c r="AI17" s="36">
        <f>VLOOKUP($A17,[18]HISTOAOUT23!$A$6:$CA$36,64,0)</f>
        <v>0</v>
      </c>
      <c r="AJ17" s="36">
        <f>VLOOKUP($A17,[18]HISTOAOUT23!$A$6:$CA$36,65,0)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VLOOKUP($A18,[18]HISTOAOUT23!$A$6:$BA$36,48,0)</f>
        <v>0</v>
      </c>
      <c r="F18" s="5">
        <f>MVTJUIL23!F18+MVTJUIL23!G18-MVTAOUT23!E18+K18</f>
        <v>728927.66473483329</v>
      </c>
      <c r="G18" s="6">
        <v>1931.745102423346</v>
      </c>
      <c r="H18" s="6">
        <f t="shared" si="0"/>
        <v>730859.40983725665</v>
      </c>
      <c r="I18" s="36">
        <f>VLOOKUP($A18,[18]HISTOAOUT23!$A$6:$AQ$40,22,0)</f>
        <v>0</v>
      </c>
      <c r="J18" s="36">
        <f>VLOOKUP($A18,[18]HISTOAOUT23!$A$6:$AU$36,45,0)</f>
        <v>15000</v>
      </c>
      <c r="K18" s="36">
        <f t="shared" si="1"/>
        <v>9000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VLOOKUP($A18,[18]HISTOAOUT23!$A$6:$AU$36,7,0)</f>
        <v>0</v>
      </c>
      <c r="P18" s="36">
        <f>VLOOKUP($A18,[18]HISTOAOUT23!$A$6:$AU$36,23,0)</f>
        <v>0</v>
      </c>
      <c r="Q18" s="36">
        <f>VLOOKUP($A18,[18]HISTOAOUT23!$A$6:$AU$36,46,0)</f>
        <v>0</v>
      </c>
      <c r="R18" s="36">
        <f>VLOOKUP($A18,[18]HISTOAOUT23!$A$6:$AU$36,26,0)</f>
        <v>0</v>
      </c>
      <c r="S18" s="36">
        <f>VLOOKUP($A18,[18]HISTOAOUT23!$A$6:$BG$36,58,0)</f>
        <v>0</v>
      </c>
      <c r="T18" s="36">
        <f>VLOOKUP($A18,[18]HISTOAOUT23!$A$6:$AU$36,28,0)</f>
        <v>0</v>
      </c>
      <c r="U18" s="36">
        <f>VLOOKUP($A18,[18]HISTOAOUT23!$A$6:$AU$36,19,0)</f>
        <v>0</v>
      </c>
      <c r="V18" s="36">
        <f>VLOOKUP($A18,[18]HISTOAOUT23!$A$6:$AU$36,20,0)</f>
        <v>0</v>
      </c>
      <c r="W18" s="36">
        <f>VLOOKUP($A18,[18]HISTOAOUT23!$A$6:$AU$36,27,0)</f>
        <v>0</v>
      </c>
      <c r="X18" s="36">
        <f>VLOOKUP($A18,[18]HISTOAOUT23!$A$6:$BM$36,33,0)</f>
        <v>0</v>
      </c>
      <c r="Y18" s="36">
        <f>VLOOKUP($A18,[18]HISTOAOUT23!$A$6:$BM$36,65,0)</f>
        <v>0</v>
      </c>
      <c r="Z18" s="36"/>
      <c r="AA18" s="36">
        <f>VLOOKUP($A18,[18]HISTOAOUT23!$A$6:$AU$36,43,0)</f>
        <v>0</v>
      </c>
      <c r="AB18" s="36">
        <f>VLOOKUP($A18,[18]HISTOAOUT23!$A$6:$AU$36,44,0)</f>
        <v>0</v>
      </c>
      <c r="AC18" s="36">
        <f>VLOOKUP($A18,[18]HISTOAOUT23!$A$6:$AU$36,47,0)</f>
        <v>0</v>
      </c>
      <c r="AD18" s="36">
        <f>VLOOKUP(A18,[18]HISTOAOUT23!$A$6:$BB$36,54,0)</f>
        <v>0</v>
      </c>
      <c r="AE18" s="36">
        <f>VLOOKUP($A18,[18]HISTOAOUT23!$A$6:$CA$36,60,0)</f>
        <v>0</v>
      </c>
      <c r="AF18" s="36">
        <f>VLOOKUP($A18,[18]HISTOAOUT23!$A$6:$CA$36,61,0)</f>
        <v>0</v>
      </c>
      <c r="AG18" s="36">
        <f>VLOOKUP($A18,[18]HISTOAOUT23!$A$6:$CA$36,62,0)</f>
        <v>0</v>
      </c>
      <c r="AH18" s="36">
        <f>VLOOKUP($A18,[18]HISTOAOUT23!$A$6:$CA$36,63,0)</f>
        <v>0</v>
      </c>
      <c r="AI18" s="36">
        <f>VLOOKUP($A18,[18]HISTOAOUT23!$A$6:$CA$36,64,0)</f>
        <v>0</v>
      </c>
      <c r="AJ18" s="36">
        <f>VLOOKUP($A18,[18]HISTOAOUT23!$A$6:$CA$36,65,0)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VLOOKUP($A19,[18]HISTOAOUT23!$A$6:$BA$36,48,0)</f>
        <v>0</v>
      </c>
      <c r="F19" s="5">
        <f>MVTJUIL23!F19+MVTJUIL23!G19-MVTAOUT23!E19+K19</f>
        <v>722737.42306413047</v>
      </c>
      <c r="G19" s="6">
        <v>1915.3402249454869</v>
      </c>
      <c r="H19" s="6">
        <f t="shared" si="0"/>
        <v>724652.76328907593</v>
      </c>
      <c r="I19" s="36">
        <f>VLOOKUP($A19,[18]HISTOAOUT23!$A$6:$AQ$40,22,0)</f>
        <v>0</v>
      </c>
      <c r="J19" s="36">
        <f>VLOOKUP($A19,[18]HISTOAOUT23!$A$6:$AU$36,45,0)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VLOOKUP($A19,[18]HISTOAOUT23!$A$6:$AU$36,7,0)</f>
        <v>0</v>
      </c>
      <c r="P19" s="36">
        <f>VLOOKUP($A19,[18]HISTOAOUT23!$A$6:$AU$36,23,0)</f>
        <v>0</v>
      </c>
      <c r="Q19" s="36">
        <f>VLOOKUP($A19,[18]HISTOAOUT23!$A$6:$AU$36,46,0)</f>
        <v>0</v>
      </c>
      <c r="R19" s="36">
        <f>VLOOKUP($A19,[18]HISTOAOUT23!$A$6:$AU$36,26,0)</f>
        <v>0</v>
      </c>
      <c r="S19" s="36">
        <f>VLOOKUP($A19,[18]HISTOAOUT23!$A$6:$BG$36,58,0)</f>
        <v>0</v>
      </c>
      <c r="T19" s="36">
        <f>VLOOKUP($A19,[18]HISTOAOUT23!$A$6:$AU$36,28,0)</f>
        <v>0</v>
      </c>
      <c r="U19" s="36">
        <f>VLOOKUP($A19,[18]HISTOAOUT23!$A$6:$AU$36,19,0)</f>
        <v>300000</v>
      </c>
      <c r="V19" s="36" t="str">
        <f>VLOOKUP($A19,[18]HISTOAOUT23!$A$6:$AU$36,20,0)</f>
        <v>BANQUE</v>
      </c>
      <c r="W19" s="36">
        <f>VLOOKUP($A19,[18]HISTOAOUT23!$A$6:$AU$36,27,0)</f>
        <v>0</v>
      </c>
      <c r="X19" s="36">
        <f>VLOOKUP($A19,[18]HISTOAOUT23!$A$6:$BM$36,33,0)</f>
        <v>0</v>
      </c>
      <c r="Y19" s="36">
        <f>VLOOKUP($A19,[18]HISTOAOUT23!$A$6:$BM$36,65,0)</f>
        <v>0</v>
      </c>
      <c r="Z19" s="36"/>
      <c r="AA19" s="36">
        <f>VLOOKUP($A19,[18]HISTOAOUT23!$A$6:$AU$36,43,0)</f>
        <v>0</v>
      </c>
      <c r="AB19" s="36">
        <f>VLOOKUP($A19,[18]HISTOAOUT23!$A$6:$AU$36,44,0)</f>
        <v>0</v>
      </c>
      <c r="AC19" s="36">
        <f>VLOOKUP($A19,[18]HISTOAOUT23!$A$6:$AU$36,47,0)</f>
        <v>0</v>
      </c>
      <c r="AD19" s="36">
        <f>VLOOKUP(A19,[18]HISTOAOUT23!$A$6:$BB$36,54,0)</f>
        <v>0</v>
      </c>
      <c r="AE19" s="36">
        <f>VLOOKUP($A19,[18]HISTOAOUT23!$A$6:$CA$36,60,0)</f>
        <v>0</v>
      </c>
      <c r="AF19" s="36">
        <f>VLOOKUP($A19,[18]HISTOAOUT23!$A$6:$CA$36,61,0)</f>
        <v>0</v>
      </c>
      <c r="AG19" s="36">
        <f>VLOOKUP($A19,[18]HISTOAOUT23!$A$6:$CA$36,62,0)</f>
        <v>0</v>
      </c>
      <c r="AH19" s="36">
        <f>VLOOKUP($A19,[18]HISTOAOUT23!$A$6:$CA$36,63,0)</f>
        <v>0</v>
      </c>
      <c r="AI19" s="36">
        <f>VLOOKUP($A19,[18]HISTOAOUT23!$A$6:$CA$36,64,0)</f>
        <v>0</v>
      </c>
      <c r="AJ19" s="36">
        <f>VLOOKUP($A19,[18]HISTOAOUT23!$A$6:$CA$36,65,0)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VLOOKUP($A20,[18]HISTOAOUT23!$A$6:$BA$36,48,0)</f>
        <v>0</v>
      </c>
      <c r="F20" s="5">
        <f>MVTJUIL23!F20+MVTJUIL23!G20-MVTAOUT23!E20+K20</f>
        <v>774553.08293076174</v>
      </c>
      <c r="G20" s="6">
        <v>2052.6578931020535</v>
      </c>
      <c r="H20" s="6">
        <f t="shared" si="0"/>
        <v>776605.74082386377</v>
      </c>
      <c r="I20" s="36">
        <f>VLOOKUP($A20,[18]HISTOAOUT23!$A$6:$AQ$40,22,0)</f>
        <v>0</v>
      </c>
      <c r="J20" s="36">
        <f>VLOOKUP($A20,[18]HISTOAOUT23!$A$6:$AU$36,45,0)</f>
        <v>19000</v>
      </c>
      <c r="K20" s="36">
        <f t="shared" si="1"/>
        <v>13000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VLOOKUP($A20,[18]HISTOAOUT23!$A$6:$AU$36,7,0)</f>
        <v>0</v>
      </c>
      <c r="P20" s="36">
        <f>VLOOKUP($A20,[18]HISTOAOUT23!$A$6:$AU$36,23,0)</f>
        <v>0</v>
      </c>
      <c r="Q20" s="36">
        <f>VLOOKUP($A20,[18]HISTOAOUT23!$A$6:$AU$36,46,0)</f>
        <v>0</v>
      </c>
      <c r="R20" s="36">
        <f>VLOOKUP($A20,[18]HISTOAOUT23!$A$6:$AU$36,26,0)</f>
        <v>0</v>
      </c>
      <c r="S20" s="36">
        <f>VLOOKUP($A20,[18]HISTOAOUT23!$A$6:$BG$36,58,0)</f>
        <v>0</v>
      </c>
      <c r="T20" s="36">
        <f>VLOOKUP($A20,[18]HISTOAOUT23!$A$6:$AU$36,28,0)</f>
        <v>0</v>
      </c>
      <c r="U20" s="36">
        <f>VLOOKUP($A20,[18]HISTOAOUT23!$A$6:$AU$36,19,0)</f>
        <v>0</v>
      </c>
      <c r="V20" s="36">
        <f>VLOOKUP($A20,[18]HISTOAOUT23!$A$6:$AU$36,20,0)</f>
        <v>0</v>
      </c>
      <c r="W20" s="36">
        <f>VLOOKUP($A20,[18]HISTOAOUT23!$A$6:$AU$36,27,0)</f>
        <v>0</v>
      </c>
      <c r="X20" s="36">
        <f>VLOOKUP($A20,[18]HISTOAOUT23!$A$6:$BM$36,33,0)</f>
        <v>0</v>
      </c>
      <c r="Y20" s="36">
        <f>VLOOKUP($A20,[18]HISTOAOUT23!$A$6:$BM$36,65,0)</f>
        <v>0</v>
      </c>
      <c r="Z20" s="36"/>
      <c r="AA20" s="36">
        <f>VLOOKUP($A20,[18]HISTOAOUT23!$A$6:$AU$36,43,0)</f>
        <v>0</v>
      </c>
      <c r="AB20" s="36">
        <f>VLOOKUP($A20,[18]HISTOAOUT23!$A$6:$AU$36,44,0)</f>
        <v>0</v>
      </c>
      <c r="AC20" s="36">
        <f>VLOOKUP($A20,[18]HISTOAOUT23!$A$6:$AU$36,47,0)</f>
        <v>0</v>
      </c>
      <c r="AD20" s="36">
        <f>VLOOKUP(A20,[18]HISTOAOUT23!$A$6:$BB$36,54,0)</f>
        <v>0</v>
      </c>
      <c r="AE20" s="36">
        <f>VLOOKUP($A20,[18]HISTOAOUT23!$A$6:$CA$36,60,0)</f>
        <v>0</v>
      </c>
      <c r="AF20" s="36">
        <f>VLOOKUP($A20,[18]HISTOAOUT23!$A$6:$CA$36,61,0)</f>
        <v>0</v>
      </c>
      <c r="AG20" s="36">
        <f>VLOOKUP($A20,[18]HISTOAOUT23!$A$6:$CA$36,62,0)</f>
        <v>0</v>
      </c>
      <c r="AH20" s="36">
        <f>VLOOKUP($A20,[18]HISTOAOUT23!$A$6:$CA$36,63,0)</f>
        <v>0</v>
      </c>
      <c r="AI20" s="36">
        <f>VLOOKUP($A20,[18]HISTOAOUT23!$A$6:$CA$36,64,0)</f>
        <v>0</v>
      </c>
      <c r="AJ20" s="36">
        <f>VLOOKUP($A20,[18]HISTOAOUT23!$A$6:$CA$36,65,0)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VLOOKUP($A21,[18]HISTOAOUT23!$A$6:$BA$36,48,0)</f>
        <v>0</v>
      </c>
      <c r="F21" s="5">
        <f>MVTJUIL23!F21+MVTJUIL23!G21-MVTAOUT23!E21+K21</f>
        <v>777483.22824410524</v>
      </c>
      <c r="G21" s="6">
        <v>2060.4231270646019</v>
      </c>
      <c r="H21" s="6">
        <f t="shared" si="0"/>
        <v>779543.65137116984</v>
      </c>
      <c r="I21" s="36">
        <f>VLOOKUP($A21,[18]HISTOAOUT23!$A$6:$AQ$40,22,0)</f>
        <v>0</v>
      </c>
      <c r="J21" s="36">
        <f>VLOOKUP($A21,[18]HISTOAOUT23!$A$6:$AU$36,45,0)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VLOOKUP($A21,[18]HISTOAOUT23!$A$6:$AU$36,7,0)</f>
        <v>0</v>
      </c>
      <c r="P21" s="36">
        <f>VLOOKUP($A21,[18]HISTOAOUT23!$A$6:$AU$36,23,0)</f>
        <v>0</v>
      </c>
      <c r="Q21" s="36">
        <f>VLOOKUP($A21,[18]HISTOAOUT23!$A$6:$AU$36,46,0)</f>
        <v>0</v>
      </c>
      <c r="R21" s="36">
        <f>VLOOKUP($A21,[18]HISTOAOUT23!$A$6:$AU$36,26,0)</f>
        <v>0</v>
      </c>
      <c r="S21" s="36">
        <f>VLOOKUP($A21,[18]HISTOAOUT23!$A$6:$BG$36,58,0)</f>
        <v>0</v>
      </c>
      <c r="T21" s="36">
        <f>VLOOKUP($A21,[18]HISTOAOUT23!$A$6:$AU$36,28,0)</f>
        <v>0</v>
      </c>
      <c r="U21" s="36">
        <f>VLOOKUP($A21,[18]HISTOAOUT23!$A$6:$AU$36,19,0)</f>
        <v>0</v>
      </c>
      <c r="V21" s="36">
        <f>VLOOKUP($A21,[18]HISTOAOUT23!$A$6:$AU$36,20,0)</f>
        <v>0</v>
      </c>
      <c r="W21" s="36">
        <f>VLOOKUP($A21,[18]HISTOAOUT23!$A$6:$AU$36,27,0)</f>
        <v>0</v>
      </c>
      <c r="X21" s="36">
        <f>VLOOKUP($A21,[18]HISTOAOUT23!$A$6:$BM$36,33,0)</f>
        <v>0</v>
      </c>
      <c r="Y21" s="36">
        <f>VLOOKUP($A21,[18]HISTOAOUT23!$A$6:$BM$36,65,0)</f>
        <v>0</v>
      </c>
      <c r="Z21" s="36"/>
      <c r="AA21" s="36">
        <f>VLOOKUP($A21,[18]HISTOAOUT23!$A$6:$AU$36,43,0)</f>
        <v>0</v>
      </c>
      <c r="AB21" s="36">
        <f>VLOOKUP($A21,[18]HISTOAOUT23!$A$6:$AU$36,44,0)</f>
        <v>0</v>
      </c>
      <c r="AC21" s="36">
        <f>VLOOKUP($A21,[18]HISTOAOUT23!$A$6:$AU$36,47,0)</f>
        <v>0</v>
      </c>
      <c r="AD21" s="36">
        <f>VLOOKUP(A21,[18]HISTOAOUT23!$A$6:$BB$36,54,0)</f>
        <v>70000</v>
      </c>
      <c r="AE21" s="36">
        <f>VLOOKUP($A21,[18]HISTOAOUT23!$A$6:$CA$36,60,0)</f>
        <v>0</v>
      </c>
      <c r="AF21" s="36">
        <f>VLOOKUP($A21,[18]HISTOAOUT23!$A$6:$CA$36,61,0)</f>
        <v>0</v>
      </c>
      <c r="AG21" s="36">
        <f>VLOOKUP($A21,[18]HISTOAOUT23!$A$6:$CA$36,62,0)</f>
        <v>0</v>
      </c>
      <c r="AH21" s="36">
        <f>VLOOKUP($A21,[18]HISTOAOUT23!$A$6:$CA$36,63,0)</f>
        <v>0</v>
      </c>
      <c r="AI21" s="36">
        <f>VLOOKUP($A21,[18]HISTOAOUT23!$A$6:$CA$36,64,0)</f>
        <v>0</v>
      </c>
      <c r="AJ21" s="36">
        <f>VLOOKUP($A21,[18]HISTOAOUT23!$A$6:$CA$36,65,0)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VLOOKUP($A22,[18]HISTOAOUT23!$A$6:$BA$36,48,0)</f>
        <v>0</v>
      </c>
      <c r="F22" s="5">
        <f>MVTJUIL23!F22+MVTJUIL23!G22-MVTAOUT23!E22+K22</f>
        <v>874405.3067821482</v>
      </c>
      <c r="G22" s="6">
        <v>2317.2781753644422</v>
      </c>
      <c r="H22" s="6">
        <f t="shared" si="0"/>
        <v>876722.58495751268</v>
      </c>
      <c r="I22" s="36">
        <f>VLOOKUP($A22,[18]HISTOAOUT23!$A$6:$AQ$40,22,0)</f>
        <v>0</v>
      </c>
      <c r="J22" s="36">
        <f>VLOOKUP($A22,[18]HISTOAOUT23!$A$6:$AU$36,45,0)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VLOOKUP($A22,[18]HISTOAOUT23!$A$6:$AU$36,7,0)</f>
        <v>0</v>
      </c>
      <c r="P22" s="36">
        <f>VLOOKUP($A22,[18]HISTOAOUT23!$A$6:$AU$36,23,0)</f>
        <v>0</v>
      </c>
      <c r="Q22" s="36">
        <f>VLOOKUP($A22,[18]HISTOAOUT23!$A$6:$AU$36,46,0)</f>
        <v>0</v>
      </c>
      <c r="R22" s="36">
        <f>VLOOKUP($A22,[18]HISTOAOUT23!$A$6:$AU$36,26,0)</f>
        <v>0</v>
      </c>
      <c r="S22" s="36">
        <f>VLOOKUP($A22,[18]HISTOAOUT23!$A$6:$BG$36,58,0)</f>
        <v>0</v>
      </c>
      <c r="T22" s="36">
        <f>VLOOKUP($A22,[18]HISTOAOUT23!$A$6:$AU$36,28,0)</f>
        <v>0</v>
      </c>
      <c r="U22" s="36">
        <f>VLOOKUP($A22,[18]HISTOAOUT23!$A$6:$AU$36,19,0)</f>
        <v>0</v>
      </c>
      <c r="V22" s="36">
        <f>VLOOKUP($A22,[18]HISTOAOUT23!$A$6:$AU$36,20,0)</f>
        <v>0</v>
      </c>
      <c r="W22" s="36">
        <f>VLOOKUP($A22,[18]HISTOAOUT23!$A$6:$AU$36,27,0)</f>
        <v>0</v>
      </c>
      <c r="X22" s="36">
        <f>VLOOKUP($A22,[18]HISTOAOUT23!$A$6:$BM$36,33,0)</f>
        <v>0</v>
      </c>
      <c r="Y22" s="36">
        <f>VLOOKUP($A22,[18]HISTOAOUT23!$A$6:$BM$36,65,0)</f>
        <v>0</v>
      </c>
      <c r="Z22" s="36"/>
      <c r="AA22" s="36">
        <f>VLOOKUP($A22,[18]HISTOAOUT23!$A$6:$AU$36,43,0)</f>
        <v>0</v>
      </c>
      <c r="AB22" s="36">
        <f>VLOOKUP($A22,[18]HISTOAOUT23!$A$6:$AU$36,44,0)</f>
        <v>0</v>
      </c>
      <c r="AC22" s="36">
        <f>VLOOKUP($A22,[18]HISTOAOUT23!$A$6:$AU$36,47,0)</f>
        <v>0</v>
      </c>
      <c r="AD22" s="36">
        <f>VLOOKUP(A22,[18]HISTOAOUT23!$A$6:$BB$36,54,0)</f>
        <v>0</v>
      </c>
      <c r="AE22" s="36">
        <f>VLOOKUP($A22,[18]HISTOAOUT23!$A$6:$CA$36,60,0)</f>
        <v>0</v>
      </c>
      <c r="AF22" s="36">
        <f>VLOOKUP($A22,[18]HISTOAOUT23!$A$6:$CA$36,61,0)</f>
        <v>0</v>
      </c>
      <c r="AG22" s="36">
        <f>VLOOKUP($A22,[18]HISTOAOUT23!$A$6:$CA$36,62,0)</f>
        <v>0</v>
      </c>
      <c r="AH22" s="36">
        <f>VLOOKUP($A22,[18]HISTOAOUT23!$A$6:$CA$36,63,0)</f>
        <v>0</v>
      </c>
      <c r="AI22" s="36">
        <f>VLOOKUP($A22,[18]HISTOAOUT23!$A$6:$CA$36,64,0)</f>
        <v>0</v>
      </c>
      <c r="AJ22" s="36">
        <f>VLOOKUP($A22,[18]HISTOAOUT23!$A$6:$CA$36,65,0)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VLOOKUP($A23,[18]HISTOAOUT23!$A$6:$BA$36,48,0)</f>
        <v>0</v>
      </c>
      <c r="F23" s="5">
        <f>MVTJUIL23!F23+MVTJUIL23!G23-MVTAOUT23!E23+K23</f>
        <v>1105171.0088189752</v>
      </c>
      <c r="G23" s="6">
        <v>2928.8347622297383</v>
      </c>
      <c r="H23" s="6">
        <f t="shared" si="0"/>
        <v>1108099.843581205</v>
      </c>
      <c r="I23" s="36">
        <f>VLOOKUP($A23,[18]HISTOAOUT23!$A$6:$AQ$40,22,0)</f>
        <v>0</v>
      </c>
      <c r="J23" s="36">
        <f>VLOOKUP($A23,[18]HISTOAOUT23!$A$6:$AU$36,45,0)</f>
        <v>21000</v>
      </c>
      <c r="K23" s="36">
        <f t="shared" si="1"/>
        <v>15000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VLOOKUP($A23,[18]HISTOAOUT23!$A$6:$AU$36,7,0)</f>
        <v>0</v>
      </c>
      <c r="P23" s="36">
        <f>VLOOKUP($A23,[18]HISTOAOUT23!$A$6:$AU$36,23,0)</f>
        <v>0</v>
      </c>
      <c r="Q23" s="36">
        <f>VLOOKUP($A23,[18]HISTOAOUT23!$A$6:$AU$36,46,0)</f>
        <v>0</v>
      </c>
      <c r="R23" s="36">
        <f>VLOOKUP($A23,[18]HISTOAOUT23!$A$6:$AU$36,26,0)</f>
        <v>600000</v>
      </c>
      <c r="S23" s="36">
        <f>VLOOKUP($A23,[18]HISTOAOUT23!$A$6:$BG$36,58,0)</f>
        <v>24000</v>
      </c>
      <c r="T23" s="36">
        <f>VLOOKUP($A23,[18]HISTOAOUT23!$A$6:$AU$36,28,0)</f>
        <v>0</v>
      </c>
      <c r="U23" s="36">
        <f>VLOOKUP($A23,[18]HISTOAOUT23!$A$6:$AU$36,19,0)</f>
        <v>600000</v>
      </c>
      <c r="V23" s="36" t="str">
        <f>VLOOKUP($A23,[18]HISTOAOUT23!$A$6:$AU$36,20,0)</f>
        <v>BANQUE</v>
      </c>
      <c r="W23" s="36" t="str">
        <f>VLOOKUP($A23,[18]HISTOAOUT23!$A$6:$AU$36,27,0)</f>
        <v>BANQUE</v>
      </c>
      <c r="X23" s="36">
        <f>VLOOKUP($A23,[18]HISTOAOUT23!$A$6:$BM$36,33,0)</f>
        <v>0</v>
      </c>
      <c r="Y23" s="36">
        <f>VLOOKUP($A23,[18]HISTOAOUT23!$A$6:$BM$36,65,0)</f>
        <v>0</v>
      </c>
      <c r="Z23" s="36"/>
      <c r="AA23" s="36">
        <f>VLOOKUP($A23,[18]HISTOAOUT23!$A$6:$AU$36,43,0)</f>
        <v>0</v>
      </c>
      <c r="AB23" s="36">
        <f>VLOOKUP($A23,[18]HISTOAOUT23!$A$6:$AU$36,44,0)</f>
        <v>0</v>
      </c>
      <c r="AC23" s="36">
        <f>VLOOKUP($A23,[18]HISTOAOUT23!$A$6:$AU$36,47,0)</f>
        <v>0</v>
      </c>
      <c r="AD23" s="36">
        <f>VLOOKUP(A23,[18]HISTOAOUT23!$A$6:$BB$36,54,0)</f>
        <v>0</v>
      </c>
      <c r="AE23" s="36">
        <f>VLOOKUP($A23,[18]HISTOAOUT23!$A$6:$CA$36,60,0)</f>
        <v>0</v>
      </c>
      <c r="AF23" s="36">
        <f>VLOOKUP($A23,[18]HISTOAOUT23!$A$6:$CA$36,61,0)</f>
        <v>0</v>
      </c>
      <c r="AG23" s="36">
        <f>VLOOKUP($A23,[18]HISTOAOUT23!$A$6:$CA$36,62,0)</f>
        <v>0</v>
      </c>
      <c r="AH23" s="36">
        <f>VLOOKUP($A23,[18]HISTOAOUT23!$A$6:$CA$36,63,0)</f>
        <v>0</v>
      </c>
      <c r="AI23" s="36">
        <f>VLOOKUP($A23,[18]HISTOAOUT23!$A$6:$CA$36,64,0)</f>
        <v>0</v>
      </c>
      <c r="AJ23" s="36">
        <f>VLOOKUP($A23,[18]HISTOAOUT23!$A$6:$CA$36,65,0)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VLOOKUP($A24,[18]HISTOAOUT23!$A$6:$BA$36,48,0)</f>
        <v>0</v>
      </c>
      <c r="F24" s="5">
        <f>MVTJUIL23!F24+MVTJUIL23!G24-MVTAOUT23!E24+K24</f>
        <v>770988.24064713879</v>
      </c>
      <c r="G24" s="6">
        <v>2043.2106365971088</v>
      </c>
      <c r="H24" s="6">
        <f t="shared" si="0"/>
        <v>773031.45128373592</v>
      </c>
      <c r="I24" s="36">
        <f>VLOOKUP($A24,[18]HISTOAOUT23!$A$6:$AQ$40,22,0)</f>
        <v>0</v>
      </c>
      <c r="J24" s="36">
        <f>VLOOKUP($A24,[18]HISTOAOUT23!$A$6:$AU$36,45,0)</f>
        <v>19000</v>
      </c>
      <c r="K24" s="36">
        <f t="shared" si="1"/>
        <v>13000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VLOOKUP($A24,[18]HISTOAOUT23!$A$6:$AU$36,7,0)</f>
        <v>0</v>
      </c>
      <c r="P24" s="36">
        <f>VLOOKUP($A24,[18]HISTOAOUT23!$A$6:$AU$36,23,0)</f>
        <v>0</v>
      </c>
      <c r="Q24" s="36">
        <f>VLOOKUP($A24,[18]HISTOAOUT23!$A$6:$AU$36,46,0)</f>
        <v>0</v>
      </c>
      <c r="R24" s="36">
        <f>VLOOKUP($A24,[18]HISTOAOUT23!$A$6:$AU$36,26,0)</f>
        <v>0</v>
      </c>
      <c r="S24" s="36">
        <f>VLOOKUP($A24,[18]HISTOAOUT23!$A$6:$BG$36,58,0)</f>
        <v>0</v>
      </c>
      <c r="T24" s="36">
        <f>VLOOKUP($A24,[18]HISTOAOUT23!$A$6:$AU$36,28,0)</f>
        <v>0</v>
      </c>
      <c r="U24" s="36">
        <f>VLOOKUP($A24,[18]HISTOAOUT23!$A$6:$AU$36,19,0)</f>
        <v>0</v>
      </c>
      <c r="V24" s="36">
        <f>VLOOKUP($A24,[18]HISTOAOUT23!$A$6:$AU$36,20,0)</f>
        <v>0</v>
      </c>
      <c r="W24" s="36">
        <f>VLOOKUP($A24,[18]HISTOAOUT23!$A$6:$AU$36,27,0)</f>
        <v>0</v>
      </c>
      <c r="X24" s="36">
        <f>VLOOKUP($A24,[18]HISTOAOUT23!$A$6:$BM$36,33,0)</f>
        <v>0</v>
      </c>
      <c r="Y24" s="36">
        <f>VLOOKUP($A24,[18]HISTOAOUT23!$A$6:$BM$36,65,0)</f>
        <v>0</v>
      </c>
      <c r="Z24" s="36"/>
      <c r="AA24" s="36">
        <f>VLOOKUP($A24,[18]HISTOAOUT23!$A$6:$AU$36,43,0)</f>
        <v>0</v>
      </c>
      <c r="AB24" s="36">
        <f>VLOOKUP($A24,[18]HISTOAOUT23!$A$6:$AU$36,44,0)</f>
        <v>0</v>
      </c>
      <c r="AC24" s="36">
        <f>VLOOKUP($A24,[18]HISTOAOUT23!$A$6:$AU$36,47,0)</f>
        <v>0</v>
      </c>
      <c r="AD24" s="36">
        <f>VLOOKUP(A24,[18]HISTOAOUT23!$A$6:$BB$36,54,0)</f>
        <v>0</v>
      </c>
      <c r="AE24" s="36">
        <f>VLOOKUP($A24,[18]HISTOAOUT23!$A$6:$CA$36,60,0)</f>
        <v>0</v>
      </c>
      <c r="AF24" s="36">
        <f>VLOOKUP($A24,[18]HISTOAOUT23!$A$6:$CA$36,61,0)</f>
        <v>0</v>
      </c>
      <c r="AG24" s="36">
        <f>VLOOKUP($A24,[18]HISTOAOUT23!$A$6:$CA$36,62,0)</f>
        <v>0</v>
      </c>
      <c r="AH24" s="36">
        <f>VLOOKUP($A24,[18]HISTOAOUT23!$A$6:$CA$36,63,0)</f>
        <v>0</v>
      </c>
      <c r="AI24" s="36">
        <f>VLOOKUP($A24,[18]HISTOAOUT23!$A$6:$CA$36,64,0)</f>
        <v>0</v>
      </c>
      <c r="AJ24" s="36">
        <f>VLOOKUP($A24,[18]HISTOAOUT23!$A$6:$CA$36,65,0)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VLOOKUP($A25,[18]HISTOAOUT23!$A$6:$BA$36,48,0)</f>
        <v>0</v>
      </c>
      <c r="F25" s="5">
        <f>MVTJUIL23!F25+MVTJUIL23!G25-MVTAOUT23!E25+K25</f>
        <v>762646.34831835388</v>
      </c>
      <c r="G25" s="6">
        <v>2021.1036286857884</v>
      </c>
      <c r="H25" s="6">
        <f t="shared" si="0"/>
        <v>764667.45194703969</v>
      </c>
      <c r="I25" s="36">
        <f>VLOOKUP($A25,[18]HISTOAOUT23!$A$6:$AQ$40,22,0)</f>
        <v>0</v>
      </c>
      <c r="J25" s="36">
        <f>VLOOKUP($A25,[18]HISTOAOUT23!$A$6:$AU$36,45,0)</f>
        <v>24000</v>
      </c>
      <c r="K25" s="36">
        <f t="shared" si="1"/>
        <v>18000</v>
      </c>
      <c r="L25" s="36">
        <f t="shared" si="3"/>
        <v>1000</v>
      </c>
      <c r="M25" s="36">
        <f t="shared" si="2"/>
        <v>1000</v>
      </c>
      <c r="N25" s="36">
        <f t="shared" si="4"/>
        <v>4000</v>
      </c>
      <c r="O25" s="36">
        <f>VLOOKUP($A25,[18]HISTOAOUT23!$A$6:$AU$36,7,0)</f>
        <v>0</v>
      </c>
      <c r="P25" s="36">
        <f>VLOOKUP($A25,[18]HISTOAOUT23!$A$6:$AU$36,23,0)</f>
        <v>0</v>
      </c>
      <c r="Q25" s="36">
        <f>VLOOKUP($A25,[18]HISTOAOUT23!$A$6:$AU$36,46,0)</f>
        <v>0</v>
      </c>
      <c r="R25" s="36">
        <f>VLOOKUP($A25,[18]HISTOAOUT23!$A$6:$AU$36,26,0)</f>
        <v>0</v>
      </c>
      <c r="S25" s="36">
        <f>VLOOKUP($A25,[18]HISTOAOUT23!$A$6:$BG$36,58,0)</f>
        <v>0</v>
      </c>
      <c r="T25" s="36">
        <f>VLOOKUP($A25,[18]HISTOAOUT23!$A$6:$AU$36,28,0)</f>
        <v>0</v>
      </c>
      <c r="U25" s="36">
        <f>VLOOKUP($A25,[18]HISTOAOUT23!$A$6:$AU$36,19,0)</f>
        <v>0</v>
      </c>
      <c r="V25" s="36">
        <f>VLOOKUP($A25,[18]HISTOAOUT23!$A$6:$AU$36,20,0)</f>
        <v>0</v>
      </c>
      <c r="W25" s="36">
        <f>VLOOKUP($A25,[18]HISTOAOUT23!$A$6:$AU$36,27,0)</f>
        <v>0</v>
      </c>
      <c r="X25" s="36">
        <f>VLOOKUP($A25,[18]HISTOAOUT23!$A$6:$BM$36,33,0)</f>
        <v>0</v>
      </c>
      <c r="Y25" s="36">
        <f>VLOOKUP($A25,[18]HISTOAOUT23!$A$6:$BM$36,65,0)</f>
        <v>0</v>
      </c>
      <c r="Z25" s="36"/>
      <c r="AA25" s="36">
        <f>VLOOKUP($A25,[18]HISTOAOUT23!$A$6:$AU$36,43,0)</f>
        <v>0</v>
      </c>
      <c r="AB25" s="36">
        <f>VLOOKUP($A25,[18]HISTOAOUT23!$A$6:$AU$36,44,0)</f>
        <v>0</v>
      </c>
      <c r="AC25" s="36">
        <f>VLOOKUP($A25,[18]HISTOAOUT23!$A$6:$AU$36,47,0)</f>
        <v>0</v>
      </c>
      <c r="AD25" s="36">
        <f>VLOOKUP(A25,[18]HISTOAOUT23!$A$6:$BB$36,54,0)</f>
        <v>0</v>
      </c>
      <c r="AE25" s="36">
        <f>VLOOKUP($A25,[18]HISTOAOUT23!$A$6:$CA$36,60,0)</f>
        <v>0</v>
      </c>
      <c r="AF25" s="36">
        <f>VLOOKUP($A25,[18]HISTOAOUT23!$A$6:$CA$36,61,0)</f>
        <v>0</v>
      </c>
      <c r="AG25" s="36">
        <f>VLOOKUP($A25,[18]HISTOAOUT23!$A$6:$CA$36,62,0)</f>
        <v>0</v>
      </c>
      <c r="AH25" s="36">
        <f>VLOOKUP($A25,[18]HISTOAOUT23!$A$6:$CA$36,63,0)</f>
        <v>0</v>
      </c>
      <c r="AI25" s="36">
        <f>VLOOKUP($A25,[18]HISTOAOUT23!$A$6:$CA$36,64,0)</f>
        <v>0</v>
      </c>
      <c r="AJ25" s="36">
        <f>VLOOKUP($A25,[18]HISTOAOUT23!$A$6:$CA$36,65,0)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VLOOKUP($A26,[18]HISTOAOUT23!$A$6:$BA$36,48,0)</f>
        <v>0</v>
      </c>
      <c r="F26" s="5">
        <f>MVTJUIL23!F26+MVTJUIL23!G26-MVTAOUT23!E26+K26</f>
        <v>722552.51251832675</v>
      </c>
      <c r="G26" s="6">
        <v>1914.8501899824528</v>
      </c>
      <c r="H26" s="6">
        <f t="shared" si="0"/>
        <v>724467.3627083092</v>
      </c>
      <c r="I26" s="36">
        <f>VLOOKUP($A26,[18]HISTOAOUT23!$A$6:$AQ$40,22,0)</f>
        <v>0</v>
      </c>
      <c r="J26" s="36">
        <f>VLOOKUP($A26,[18]HISTOAOUT23!$A$6:$AU$36,45,0)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VLOOKUP($A26,[18]HISTOAOUT23!$A$6:$AU$36,7,0)</f>
        <v>0</v>
      </c>
      <c r="P26" s="36">
        <f>VLOOKUP($A26,[18]HISTOAOUT23!$A$6:$AU$36,23,0)</f>
        <v>0</v>
      </c>
      <c r="Q26" s="36">
        <f>VLOOKUP($A26,[18]HISTOAOUT23!$A$6:$AU$36,46,0)</f>
        <v>0</v>
      </c>
      <c r="R26" s="36">
        <f>VLOOKUP($A26,[18]HISTOAOUT23!$A$6:$AU$36,26,0)</f>
        <v>1000000</v>
      </c>
      <c r="S26" s="36">
        <f>VLOOKUP($A26,[18]HISTOAOUT23!$A$6:$BG$36,58,0)</f>
        <v>40000</v>
      </c>
      <c r="T26" s="36">
        <f>VLOOKUP($A26,[18]HISTOAOUT23!$A$6:$AU$36,28,0)</f>
        <v>0</v>
      </c>
      <c r="U26" s="36">
        <f>VLOOKUP($A26,[18]HISTOAOUT23!$A$6:$AU$36,19,0)</f>
        <v>1000000</v>
      </c>
      <c r="V26" s="36" t="str">
        <f>VLOOKUP($A26,[18]HISTOAOUT23!$A$6:$AU$36,20,0)</f>
        <v>BANQUE</v>
      </c>
      <c r="W26" s="36" t="str">
        <f>VLOOKUP($A26,[18]HISTOAOUT23!$A$6:$AU$36,27,0)</f>
        <v>BANQUE</v>
      </c>
      <c r="X26" s="36">
        <f>VLOOKUP($A26,[18]HISTOAOUT23!$A$6:$BM$36,33,0)</f>
        <v>0</v>
      </c>
      <c r="Y26" s="36">
        <f>VLOOKUP($A26,[18]HISTOAOUT23!$A$6:$BM$36,65,0)</f>
        <v>0</v>
      </c>
      <c r="Z26" s="36"/>
      <c r="AA26" s="36">
        <f>VLOOKUP($A26,[18]HISTOAOUT23!$A$6:$AU$36,43,0)</f>
        <v>0</v>
      </c>
      <c r="AB26" s="36">
        <f>VLOOKUP($A26,[18]HISTOAOUT23!$A$6:$AU$36,44,0)</f>
        <v>0</v>
      </c>
      <c r="AC26" s="36">
        <f>VLOOKUP($A26,[18]HISTOAOUT23!$A$6:$AU$36,47,0)</f>
        <v>0</v>
      </c>
      <c r="AD26" s="36">
        <f>VLOOKUP(A26,[18]HISTOAOUT23!$A$6:$BB$36,54,0)</f>
        <v>0</v>
      </c>
      <c r="AE26" s="36">
        <f>VLOOKUP($A26,[18]HISTOAOUT23!$A$6:$CA$36,60,0)</f>
        <v>0</v>
      </c>
      <c r="AF26" s="36">
        <f>VLOOKUP($A26,[18]HISTOAOUT23!$A$6:$CA$36,61,0)</f>
        <v>0</v>
      </c>
      <c r="AG26" s="36">
        <f>VLOOKUP($A26,[18]HISTOAOUT23!$A$6:$CA$36,62,0)</f>
        <v>0</v>
      </c>
      <c r="AH26" s="36">
        <f>VLOOKUP($A26,[18]HISTOAOUT23!$A$6:$CA$36,63,0)</f>
        <v>0</v>
      </c>
      <c r="AI26" s="36">
        <f>VLOOKUP($A26,[18]HISTOAOUT23!$A$6:$CA$36,64,0)</f>
        <v>0</v>
      </c>
      <c r="AJ26" s="36">
        <f>VLOOKUP($A26,[18]HISTOAOUT23!$A$6:$CA$36,65,0)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VLOOKUP($A27,[18]HISTOAOUT23!$A$6:$BA$36,48,0)</f>
        <v>0</v>
      </c>
      <c r="F27" s="5">
        <f>MVTJUIL23!F27+MVTJUIL23!G27-MVTAOUT23!E27+K27</f>
        <v>517000</v>
      </c>
      <c r="G27" s="6">
        <v>0</v>
      </c>
      <c r="H27" s="6">
        <f>F27+G27</f>
        <v>517000</v>
      </c>
      <c r="I27" s="36">
        <f>VLOOKUP($A27,[18]HISTOAOUT23!$A$6:$AQ$40,22,0)</f>
        <v>0</v>
      </c>
      <c r="J27" s="36">
        <f>VLOOKUP($A27,[18]HISTOAOUT23!$A$6:$AU$36,45,0)</f>
        <v>25000</v>
      </c>
      <c r="K27" s="36">
        <f t="shared" si="1"/>
        <v>19000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VLOOKUP($A27,[18]HISTOAOUT23!$A$6:$AU$36,7,0)</f>
        <v>0</v>
      </c>
      <c r="P27" s="36">
        <f>VLOOKUP($A27,[18]HISTOAOUT23!$A$6:$AU$36,23,0)</f>
        <v>0</v>
      </c>
      <c r="Q27" s="36">
        <f>VLOOKUP($A27,[18]HISTOAOUT23!$A$6:$AU$36,46,0)</f>
        <v>0</v>
      </c>
      <c r="R27" s="36">
        <f>VLOOKUP($A27,[18]HISTOAOUT23!$A$6:$AU$36,26,0)</f>
        <v>0</v>
      </c>
      <c r="S27" s="36">
        <f>VLOOKUP($A27,[18]HISTOAOUT23!$A$6:$BG$36,58,0)</f>
        <v>0</v>
      </c>
      <c r="T27" s="36">
        <f>VLOOKUP($A27,[18]HISTOAOUT23!$A$6:$AU$36,28,0)</f>
        <v>0</v>
      </c>
      <c r="U27" s="36">
        <f>VLOOKUP($A27,[18]HISTOAOUT23!$A$6:$AU$36,19,0)</f>
        <v>0</v>
      </c>
      <c r="V27" s="36">
        <f>VLOOKUP($A27,[18]HISTOAOUT23!$A$6:$AU$36,20,0)</f>
        <v>0</v>
      </c>
      <c r="W27" s="36">
        <f>VLOOKUP($A27,[18]HISTOAOUT23!$A$6:$AU$36,27,0)</f>
        <v>0</v>
      </c>
      <c r="X27" s="36">
        <f>VLOOKUP($A27,[18]HISTOAOUT23!$A$6:$BM$36,33,0)</f>
        <v>0</v>
      </c>
      <c r="Y27" s="36">
        <f>VLOOKUP($A27,[18]HISTOAOUT23!$A$6:$BM$36,65,0)</f>
        <v>0</v>
      </c>
      <c r="Z27" s="36"/>
      <c r="AA27" s="36">
        <f>VLOOKUP($A27,[18]HISTOAOUT23!$A$6:$AU$36,43,0)</f>
        <v>0</v>
      </c>
      <c r="AB27" s="36">
        <f>VLOOKUP($A27,[18]HISTOAOUT23!$A$6:$AU$36,44,0)</f>
        <v>0</v>
      </c>
      <c r="AC27" s="36">
        <f>VLOOKUP($A27,[18]HISTOAOUT23!$A$6:$AU$36,47,0)</f>
        <v>0</v>
      </c>
      <c r="AD27" s="36">
        <f>VLOOKUP(A27,[18]HISTOAOUT23!$A$6:$BB$36,54,0)</f>
        <v>0</v>
      </c>
      <c r="AE27" s="36">
        <f>VLOOKUP($A27,[18]HISTOAOUT23!$A$6:$CA$36,60,0)</f>
        <v>0</v>
      </c>
      <c r="AF27" s="36">
        <f>VLOOKUP($A27,[18]HISTOAOUT23!$A$6:$CA$36,61,0)</f>
        <v>0</v>
      </c>
      <c r="AG27" s="36">
        <f>VLOOKUP($A27,[18]HISTOAOUT23!$A$6:$CA$36,62,0)</f>
        <v>0</v>
      </c>
      <c r="AH27" s="36">
        <f>VLOOKUP($A27,[18]HISTOAOUT23!$A$6:$CA$36,63,0)</f>
        <v>0</v>
      </c>
      <c r="AI27" s="36">
        <f>VLOOKUP($A27,[18]HISTOAOUT23!$A$6:$CA$36,64,0)</f>
        <v>0</v>
      </c>
      <c r="AJ27" s="36">
        <f>VLOOKUP($A27,[18]HISTOAOUT23!$A$6:$CA$36,65,0)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VLOOKUP($A28,[18]HISTOAOUT23!$A$6:$BA$36,48,0)</f>
        <v>0</v>
      </c>
      <c r="F28" s="5">
        <f>MVTJUIL23!F28+MVTJUIL23!G28-MVTAOUT23!E28+K28</f>
        <v>745141.29658390291</v>
      </c>
      <c r="G28" s="6">
        <v>1974.7131573240049</v>
      </c>
      <c r="H28" s="6">
        <f t="shared" si="0"/>
        <v>747116.00974122691</v>
      </c>
      <c r="I28" s="36">
        <f>VLOOKUP($A28,[18]HISTOAOUT23!$A$6:$AQ$40,22,0)</f>
        <v>0</v>
      </c>
      <c r="J28" s="36">
        <f>VLOOKUP($A28,[18]HISTOAOUT23!$A$6:$AU$36,45,0)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VLOOKUP($A28,[18]HISTOAOUT23!$A$6:$AU$36,7,0)</f>
        <v>0</v>
      </c>
      <c r="P28" s="36">
        <f>VLOOKUP($A28,[18]HISTOAOUT23!$A$6:$AU$36,23,0)</f>
        <v>0</v>
      </c>
      <c r="Q28" s="36">
        <f>VLOOKUP($A28,[18]HISTOAOUT23!$A$6:$AU$36,46,0)</f>
        <v>0</v>
      </c>
      <c r="R28" s="36">
        <f>VLOOKUP($A28,[18]HISTOAOUT23!$A$6:$AU$36,26,0)</f>
        <v>0</v>
      </c>
      <c r="S28" s="36">
        <f>VLOOKUP($A28,[18]HISTOAOUT23!$A$6:$BG$36,58,0)</f>
        <v>0</v>
      </c>
      <c r="T28" s="36">
        <f>VLOOKUP($A28,[18]HISTOAOUT23!$A$6:$AU$36,28,0)</f>
        <v>0</v>
      </c>
      <c r="U28" s="36">
        <f>VLOOKUP($A28,[18]HISTOAOUT23!$A$6:$AU$36,19,0)</f>
        <v>0</v>
      </c>
      <c r="V28" s="36">
        <f>VLOOKUP($A28,[18]HISTOAOUT23!$A$6:$AU$36,20,0)</f>
        <v>0</v>
      </c>
      <c r="W28" s="36">
        <f>VLOOKUP($A28,[18]HISTOAOUT23!$A$6:$AU$36,27,0)</f>
        <v>0</v>
      </c>
      <c r="X28" s="36">
        <f>VLOOKUP($A28,[18]HISTOAOUT23!$A$6:$BM$36,33,0)</f>
        <v>0</v>
      </c>
      <c r="Y28" s="36">
        <f>VLOOKUP($A28,[18]HISTOAOUT23!$A$6:$BM$36,65,0)</f>
        <v>0</v>
      </c>
      <c r="Z28" s="36"/>
      <c r="AA28" s="36">
        <f>VLOOKUP($A28,[18]HISTOAOUT23!$A$6:$AU$36,43,0)</f>
        <v>0</v>
      </c>
      <c r="AB28" s="36">
        <f>VLOOKUP($A28,[18]HISTOAOUT23!$A$6:$AU$36,44,0)</f>
        <v>0</v>
      </c>
      <c r="AC28" s="36">
        <f>VLOOKUP($A28,[18]HISTOAOUT23!$A$6:$AU$36,47,0)</f>
        <v>0</v>
      </c>
      <c r="AD28" s="36">
        <f>VLOOKUP(A28,[18]HISTOAOUT23!$A$6:$BB$36,54,0)</f>
        <v>0</v>
      </c>
      <c r="AE28" s="36">
        <f>VLOOKUP($A28,[18]HISTOAOUT23!$A$6:$CA$36,60,0)</f>
        <v>0</v>
      </c>
      <c r="AF28" s="36">
        <f>VLOOKUP($A28,[18]HISTOAOUT23!$A$6:$CA$36,61,0)</f>
        <v>0</v>
      </c>
      <c r="AG28" s="36">
        <f>VLOOKUP($A28,[18]HISTOAOUT23!$A$6:$CA$36,62,0)</f>
        <v>0</v>
      </c>
      <c r="AH28" s="36">
        <f>VLOOKUP($A28,[18]HISTOAOUT23!$A$6:$CA$36,63,0)</f>
        <v>0</v>
      </c>
      <c r="AI28" s="36">
        <f>VLOOKUP($A28,[18]HISTOAOUT23!$A$6:$CA$36,64,0)</f>
        <v>0</v>
      </c>
      <c r="AJ28" s="36">
        <f>VLOOKUP($A28,[18]HISTOAOUT23!$A$6:$CA$36,65,0)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VLOOKUP($A29,[18]HISTOAOUT23!$A$6:$BA$36,48,0)</f>
        <v>0</v>
      </c>
      <c r="F29" s="5">
        <f>MVTJUIL23!F29+MVTJUIL23!G29-MVTAOUT23!E29+K29</f>
        <v>72000</v>
      </c>
      <c r="G29" s="6">
        <v>0</v>
      </c>
      <c r="H29" s="6">
        <f t="shared" si="0"/>
        <v>72000</v>
      </c>
      <c r="I29" s="36">
        <f>VLOOKUP($A29,[18]HISTOAOUT23!$A$6:$AQ$40,22,0)</f>
        <v>0</v>
      </c>
      <c r="J29" s="36">
        <f>VLOOKUP($A29,[18]HISTOAOUT23!$A$6:$AU$36,45,0)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VLOOKUP($A29,[18]HISTOAOUT23!$A$6:$AU$36,7,0)</f>
        <v>0</v>
      </c>
      <c r="P29" s="36">
        <f>VLOOKUP($A29,[18]HISTOAOUT23!$A$6:$AU$36,23,0)</f>
        <v>0</v>
      </c>
      <c r="Q29" s="36">
        <f>VLOOKUP($A29,[18]HISTOAOUT23!$A$6:$AU$36,46,0)</f>
        <v>0</v>
      </c>
      <c r="R29" s="36">
        <f>VLOOKUP($A29,[18]HISTOAOUT23!$A$6:$AU$36,26,0)</f>
        <v>0</v>
      </c>
      <c r="S29" s="36">
        <f>VLOOKUP($A29,[18]HISTOAOUT23!$A$6:$BG$36,58,0)</f>
        <v>0</v>
      </c>
      <c r="T29" s="36">
        <f>VLOOKUP($A29,[18]HISTOAOUT23!$A$6:$AU$36,28,0)</f>
        <v>0</v>
      </c>
      <c r="U29" s="36">
        <f>VLOOKUP($A29,[18]HISTOAOUT23!$A$6:$AU$36,19,0)</f>
        <v>0</v>
      </c>
      <c r="V29" s="36">
        <f>VLOOKUP($A29,[18]HISTOAOUT23!$A$6:$AU$36,20,0)</f>
        <v>0</v>
      </c>
      <c r="W29" s="36">
        <f>VLOOKUP($A29,[18]HISTOAOUT23!$A$6:$AU$36,27,0)</f>
        <v>0</v>
      </c>
      <c r="X29" s="36">
        <f>VLOOKUP($A29,[18]HISTOAOUT23!$A$6:$BM$36,33,0)</f>
        <v>0</v>
      </c>
      <c r="Y29" s="36">
        <f>VLOOKUP($A29,[18]HISTOAOUT23!$A$6:$BM$36,65,0)</f>
        <v>0</v>
      </c>
      <c r="Z29" s="36"/>
      <c r="AA29" s="36">
        <f>VLOOKUP($A29,[18]HISTOAOUT23!$A$6:$AU$36,43,0)</f>
        <v>0</v>
      </c>
      <c r="AB29" s="36">
        <f>VLOOKUP($A29,[18]HISTOAOUT23!$A$6:$AU$36,44,0)</f>
        <v>0</v>
      </c>
      <c r="AC29" s="36">
        <f>VLOOKUP($A29,[18]HISTOAOUT23!$A$6:$AU$36,47,0)</f>
        <v>0</v>
      </c>
      <c r="AD29" s="36">
        <f>VLOOKUP(A29,[18]HISTOAOUT23!$A$6:$BB$36,54,0)</f>
        <v>0</v>
      </c>
      <c r="AE29" s="36">
        <f>VLOOKUP($A29,[18]HISTOAOUT23!$A$6:$CA$36,60,0)</f>
        <v>0</v>
      </c>
      <c r="AF29" s="36">
        <f>VLOOKUP($A29,[18]HISTOAOUT23!$A$6:$CA$36,61,0)</f>
        <v>0</v>
      </c>
      <c r="AG29" s="36">
        <f>VLOOKUP($A29,[18]HISTOAOUT23!$A$6:$CA$36,62,0)</f>
        <v>0</v>
      </c>
      <c r="AH29" s="36">
        <f>VLOOKUP($A29,[18]HISTOAOUT23!$A$6:$CA$36,63,0)</f>
        <v>0</v>
      </c>
      <c r="AI29" s="36">
        <f>VLOOKUP($A29,[18]HISTOAOUT23!$A$6:$CA$36,64,0)</f>
        <v>0</v>
      </c>
      <c r="AJ29" s="36">
        <f>VLOOKUP($A29,[18]HISTOAOUT23!$A$6:$CA$36,65,0)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VLOOKUP($A30,[18]HISTOAOUT23!$A$6:$BA$36,48,0)</f>
        <v>0</v>
      </c>
      <c r="F30" s="5">
        <f>MVTJUIL23!F30+MVTJUIL23!G30-MVTAOUT23!E30+K30</f>
        <v>939146.29409689386</v>
      </c>
      <c r="G30" s="6">
        <v>2488.8495002321943</v>
      </c>
      <c r="H30" s="6">
        <f t="shared" si="0"/>
        <v>941635.14359712601</v>
      </c>
      <c r="I30" s="36">
        <f>VLOOKUP($A30,[18]HISTOAOUT23!$A$6:$AQ$40,22,0)</f>
        <v>0</v>
      </c>
      <c r="J30" s="36">
        <f>VLOOKUP($A30,[18]HISTOAOUT23!$A$6:$AU$36,45,0)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VLOOKUP($A30,[18]HISTOAOUT23!$A$6:$AU$36,7,0)</f>
        <v>0</v>
      </c>
      <c r="P30" s="36">
        <f>VLOOKUP($A30,[18]HISTOAOUT23!$A$6:$AU$36,23,0)</f>
        <v>0</v>
      </c>
      <c r="Q30" s="36">
        <f>VLOOKUP($A30,[18]HISTOAOUT23!$A$6:$AU$36,46,0)</f>
        <v>0</v>
      </c>
      <c r="R30" s="36">
        <f>VLOOKUP($A30,[18]HISTOAOUT23!$A$6:$AU$36,26,0)</f>
        <v>0</v>
      </c>
      <c r="S30" s="36">
        <f>VLOOKUP($A30,[18]HISTOAOUT23!$A$6:$BG$36,58,0)</f>
        <v>0</v>
      </c>
      <c r="T30" s="36">
        <f>VLOOKUP($A30,[18]HISTOAOUT23!$A$6:$AU$36,28,0)</f>
        <v>0</v>
      </c>
      <c r="U30" s="36">
        <f>VLOOKUP($A30,[18]HISTOAOUT23!$A$6:$AU$36,19,0)</f>
        <v>0</v>
      </c>
      <c r="V30" s="36">
        <f>VLOOKUP($A30,[18]HISTOAOUT23!$A$6:$AU$36,20,0)</f>
        <v>0</v>
      </c>
      <c r="W30" s="36">
        <f>VLOOKUP($A30,[18]HISTOAOUT23!$A$6:$AU$36,27,0)</f>
        <v>0</v>
      </c>
      <c r="X30" s="36">
        <f>VLOOKUP($A30,[18]HISTOAOUT23!$A$6:$BM$36,33,0)</f>
        <v>0</v>
      </c>
      <c r="Y30" s="36">
        <f>VLOOKUP($A30,[18]HISTOAOUT23!$A$6:$BM$36,65,0)</f>
        <v>0</v>
      </c>
      <c r="Z30" s="36"/>
      <c r="AA30" s="36">
        <f>VLOOKUP($A30,[18]HISTOAOUT23!$A$6:$AU$36,43,0)</f>
        <v>0</v>
      </c>
      <c r="AB30" s="36">
        <f>VLOOKUP($A30,[18]HISTOAOUT23!$A$6:$AU$36,44,0)</f>
        <v>0</v>
      </c>
      <c r="AC30" s="36">
        <f>VLOOKUP($A30,[18]HISTOAOUT23!$A$6:$AU$36,47,0)</f>
        <v>0</v>
      </c>
      <c r="AD30" s="36">
        <f>VLOOKUP(A30,[18]HISTOAOUT23!$A$6:$BB$36,54,0)</f>
        <v>70000</v>
      </c>
      <c r="AE30" s="36">
        <f>VLOOKUP($A30,[18]HISTOAOUT23!$A$6:$CA$36,60,0)</f>
        <v>0</v>
      </c>
      <c r="AF30" s="36">
        <f>VLOOKUP($A30,[18]HISTOAOUT23!$A$6:$CA$36,61,0)</f>
        <v>0</v>
      </c>
      <c r="AG30" s="36">
        <f>VLOOKUP($A30,[18]HISTOAOUT23!$A$6:$CA$36,62,0)</f>
        <v>0</v>
      </c>
      <c r="AH30" s="36">
        <f>VLOOKUP($A30,[18]HISTOAOUT23!$A$6:$CA$36,63,0)</f>
        <v>0</v>
      </c>
      <c r="AI30" s="36">
        <f>VLOOKUP($A30,[18]HISTOAOUT23!$A$6:$CA$36,64,0)</f>
        <v>0</v>
      </c>
      <c r="AJ30" s="36">
        <f>VLOOKUP($A30,[18]HISTOAOUT23!$A$6:$CA$36,65,0)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VLOOKUP($A31,[18]HISTOAOUT23!$A$6:$BA$36,48,0)</f>
        <v>0</v>
      </c>
      <c r="F31" s="5">
        <f>MVTJUIL23!F31+MVTJUIL23!G31-MVTAOUT23!E31+K31</f>
        <v>945945.5462680487</v>
      </c>
      <c r="G31" s="6">
        <v>2506.8683280490086</v>
      </c>
      <c r="H31" s="6">
        <f t="shared" si="0"/>
        <v>948452.41459609766</v>
      </c>
      <c r="I31" s="36">
        <f>VLOOKUP($A31,[18]HISTOAOUT23!$A$6:$AQ$40,22,0)</f>
        <v>0</v>
      </c>
      <c r="J31" s="36">
        <f>VLOOKUP($A31,[18]HISTOAOUT23!$A$6:$AU$36,45,0)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VLOOKUP($A31,[18]HISTOAOUT23!$A$6:$AU$36,7,0)</f>
        <v>0</v>
      </c>
      <c r="P31" s="36">
        <f>VLOOKUP($A31,[18]HISTOAOUT23!$A$6:$AU$36,23,0)</f>
        <v>0</v>
      </c>
      <c r="Q31" s="36">
        <f>VLOOKUP($A31,[18]HISTOAOUT23!$A$6:$AU$36,46,0)</f>
        <v>0</v>
      </c>
      <c r="R31" s="36">
        <f>VLOOKUP($A31,[18]HISTOAOUT23!$A$6:$AU$36,26,0)</f>
        <v>0</v>
      </c>
      <c r="S31" s="36">
        <f>VLOOKUP($A31,[18]HISTOAOUT23!$A$6:$BG$36,58,0)</f>
        <v>0</v>
      </c>
      <c r="T31" s="36">
        <f>VLOOKUP($A31,[18]HISTOAOUT23!$A$6:$AU$36,28,0)</f>
        <v>0</v>
      </c>
      <c r="U31" s="36">
        <f>VLOOKUP($A31,[18]HISTOAOUT23!$A$6:$AU$36,19,0)</f>
        <v>0</v>
      </c>
      <c r="V31" s="36">
        <f>VLOOKUP($A31,[18]HISTOAOUT23!$A$6:$AU$36,20,0)</f>
        <v>0</v>
      </c>
      <c r="W31" s="36">
        <f>VLOOKUP($A31,[18]HISTOAOUT23!$A$6:$AU$36,27,0)</f>
        <v>0</v>
      </c>
      <c r="X31" s="36">
        <f>VLOOKUP($A31,[18]HISTOAOUT23!$A$6:$BM$36,33,0)</f>
        <v>0</v>
      </c>
      <c r="Y31" s="36">
        <f>VLOOKUP($A31,[18]HISTOAOUT23!$A$6:$BM$36,65,0)</f>
        <v>0</v>
      </c>
      <c r="Z31" s="36"/>
      <c r="AA31" s="36">
        <f>VLOOKUP($A31,[18]HISTOAOUT23!$A$6:$AU$36,43,0)</f>
        <v>0</v>
      </c>
      <c r="AB31" s="36">
        <f>VLOOKUP($A31,[18]HISTOAOUT23!$A$6:$AU$36,44,0)</f>
        <v>0</v>
      </c>
      <c r="AC31" s="36">
        <f>VLOOKUP($A31,[18]HISTOAOUT23!$A$6:$AU$36,47,0)</f>
        <v>0</v>
      </c>
      <c r="AD31" s="36">
        <f>VLOOKUP(A31,[18]HISTOAOUT23!$A$6:$BB$36,54,0)</f>
        <v>0</v>
      </c>
      <c r="AE31" s="36">
        <f>VLOOKUP($A31,[18]HISTOAOUT23!$A$6:$CA$36,60,0)</f>
        <v>0</v>
      </c>
      <c r="AF31" s="36">
        <f>VLOOKUP($A31,[18]HISTOAOUT23!$A$6:$CA$36,61,0)</f>
        <v>0</v>
      </c>
      <c r="AG31" s="36">
        <f>VLOOKUP($A31,[18]HISTOAOUT23!$A$6:$CA$36,62,0)</f>
        <v>0</v>
      </c>
      <c r="AH31" s="36">
        <f>VLOOKUP($A31,[18]HISTOAOUT23!$A$6:$CA$36,63,0)</f>
        <v>0</v>
      </c>
      <c r="AI31" s="36">
        <f>VLOOKUP($A31,[18]HISTOAOUT23!$A$6:$CA$36,64,0)</f>
        <v>0</v>
      </c>
      <c r="AJ31" s="36">
        <f>VLOOKUP($A31,[18]HISTOAOUT23!$A$6:$CA$36,65,0)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VLOOKUP($A32,[18]HISTOAOUT23!$A$6:$BA$36,48,0)</f>
        <v>0</v>
      </c>
      <c r="F32" s="5">
        <f>MVTJUIL23!F32+MVTJUIL23!G32-MVTAOUT23!E32+K32</f>
        <v>726483.01149706054</v>
      </c>
      <c r="G32" s="6">
        <v>1925.2664802669092</v>
      </c>
      <c r="H32" s="6">
        <f t="shared" si="0"/>
        <v>728408.27797732747</v>
      </c>
      <c r="I32" s="36">
        <f>VLOOKUP($A32,[18]HISTOAOUT23!$A$6:$AQ$40,22,0)</f>
        <v>0</v>
      </c>
      <c r="J32" s="36">
        <f>VLOOKUP($A32,[18]HISTOAOUT23!$A$6:$AU$36,45,0)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VLOOKUP($A32,[18]HISTOAOUT23!$A$6:$AU$36,7,0)</f>
        <v>0</v>
      </c>
      <c r="P32" s="36">
        <f>VLOOKUP($A32,[18]HISTOAOUT23!$A$6:$AU$36,23,0)</f>
        <v>0</v>
      </c>
      <c r="Q32" s="36">
        <f>VLOOKUP($A32,[18]HISTOAOUT23!$A$6:$AU$36,46,0)</f>
        <v>0</v>
      </c>
      <c r="R32" s="36">
        <f>VLOOKUP($A32,[18]HISTOAOUT23!$A$6:$AU$36,26,0)</f>
        <v>0</v>
      </c>
      <c r="S32" s="36">
        <f>VLOOKUP($A32,[18]HISTOAOUT23!$A$6:$BG$36,58,0)</f>
        <v>0</v>
      </c>
      <c r="T32" s="36">
        <f>VLOOKUP($A32,[18]HISTOAOUT23!$A$6:$AU$36,28,0)</f>
        <v>0</v>
      </c>
      <c r="U32" s="36">
        <f>VLOOKUP($A32,[18]HISTOAOUT23!$A$6:$AU$36,19,0)</f>
        <v>250000</v>
      </c>
      <c r="V32" s="36" t="str">
        <f>VLOOKUP($A32,[18]HISTOAOUT23!$A$6:$AU$36,20,0)</f>
        <v>BANQUE</v>
      </c>
      <c r="W32" s="36">
        <f>VLOOKUP($A32,[18]HISTOAOUT23!$A$6:$AU$36,27,0)</f>
        <v>0</v>
      </c>
      <c r="X32" s="36">
        <f>VLOOKUP($A32,[18]HISTOAOUT23!$A$6:$BM$36,33,0)</f>
        <v>0</v>
      </c>
      <c r="Y32" s="36">
        <f>VLOOKUP($A32,[18]HISTOAOUT23!$A$6:$BM$36,65,0)</f>
        <v>0</v>
      </c>
      <c r="Z32" s="36"/>
      <c r="AA32" s="36">
        <f>VLOOKUP($A32,[18]HISTOAOUT23!$A$6:$AU$36,43,0)</f>
        <v>0</v>
      </c>
      <c r="AB32" s="36">
        <f>VLOOKUP($A32,[18]HISTOAOUT23!$A$6:$AU$36,44,0)</f>
        <v>0</v>
      </c>
      <c r="AC32" s="36">
        <f>VLOOKUP($A32,[18]HISTOAOUT23!$A$6:$AU$36,47,0)</f>
        <v>0</v>
      </c>
      <c r="AD32" s="36">
        <f>VLOOKUP(A32,[18]HISTOAOUT23!$A$6:$BB$36,54,0)</f>
        <v>0</v>
      </c>
      <c r="AE32" s="36">
        <f>VLOOKUP($A32,[18]HISTOAOUT23!$A$6:$CA$36,60,0)</f>
        <v>0</v>
      </c>
      <c r="AF32" s="36">
        <f>VLOOKUP($A32,[18]HISTOAOUT23!$A$6:$CA$36,61,0)</f>
        <v>0</v>
      </c>
      <c r="AG32" s="36">
        <f>VLOOKUP($A32,[18]HISTOAOUT23!$A$6:$CA$36,62,0)</f>
        <v>0</v>
      </c>
      <c r="AH32" s="36">
        <f>VLOOKUP($A32,[18]HISTOAOUT23!$A$6:$CA$36,63,0)</f>
        <v>100000</v>
      </c>
      <c r="AI32" s="36">
        <f>VLOOKUP($A32,[18]HISTOAOUT23!$A$6:$CA$36,64,0)</f>
        <v>0</v>
      </c>
      <c r="AJ32" s="36">
        <f>VLOOKUP($A32,[18]HISTOAOUT23!$A$6:$CA$36,65,0)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VLOOKUP($A33,[18]HISTOAOUT23!$A$6:$BA$36,48,0)</f>
        <v>0</v>
      </c>
      <c r="F33" s="5">
        <f>MVTJUIL23!F33+MVTJUIL23!G33-MVTAOUT23!E33+K33</f>
        <v>60000</v>
      </c>
      <c r="G33" s="6">
        <v>0</v>
      </c>
      <c r="H33" s="6">
        <f t="shared" si="0"/>
        <v>60000</v>
      </c>
      <c r="I33" s="36">
        <f>VLOOKUP($A33,[18]HISTOAOUT23!$A$6:$AQ$40,22,0)</f>
        <v>0</v>
      </c>
      <c r="J33" s="36">
        <f>VLOOKUP($A33,[18]HISTOAOUT23!$A$6:$AU$36,45,0)</f>
        <v>15000</v>
      </c>
      <c r="K33" s="36"/>
      <c r="L33" s="36"/>
      <c r="M33" s="36"/>
      <c r="N33" s="36"/>
      <c r="O33" s="36">
        <f>VLOOKUP($A33,[18]HISTOAOUT23!$A$6:$AU$36,7,0)</f>
        <v>0</v>
      </c>
      <c r="P33" s="36">
        <f>VLOOKUP($A33,[18]HISTOAOUT23!$A$6:$AU$36,23,0)</f>
        <v>0</v>
      </c>
      <c r="Q33" s="36">
        <f>VLOOKUP($A33,[18]HISTOAOUT23!$A$6:$AU$36,46,0)</f>
        <v>0</v>
      </c>
      <c r="R33" s="36">
        <f>VLOOKUP($A33,[18]HISTOAOUT23!$A$6:$AU$36,26,0)</f>
        <v>0</v>
      </c>
      <c r="S33" s="36">
        <f>VLOOKUP($A33,[18]HISTOAOUT23!$A$6:$BG$36,58,0)</f>
        <v>0</v>
      </c>
      <c r="T33" s="36">
        <f>VLOOKUP($A33,[18]HISTOAOUT23!$A$6:$AU$36,28,0)</f>
        <v>0</v>
      </c>
      <c r="U33" s="36">
        <f>VLOOKUP($A33,[18]HISTOAOUT23!$A$6:$AU$36,19,0)</f>
        <v>0</v>
      </c>
      <c r="V33" s="36">
        <f>VLOOKUP($A33,[18]HISTOAOUT23!$A$6:$AU$36,20,0)</f>
        <v>0</v>
      </c>
      <c r="W33" s="36">
        <f>VLOOKUP($A33,[18]HISTOAOUT23!$A$6:$AU$36,27,0)</f>
        <v>0</v>
      </c>
      <c r="X33" s="36">
        <f>VLOOKUP($A33,[18]HISTOAOUT23!$A$6:$BM$36,33,0)</f>
        <v>0</v>
      </c>
      <c r="Y33" s="36">
        <f>VLOOKUP($A33,[18]HISTOAOUT23!$A$6:$BM$36,65,0)</f>
        <v>0</v>
      </c>
      <c r="Z33" s="36"/>
      <c r="AA33" s="36">
        <f>VLOOKUP($A33,[18]HISTOAOUT23!$A$6:$AU$36,43,0)</f>
        <v>0</v>
      </c>
      <c r="AB33" s="36">
        <f>VLOOKUP($A33,[18]HISTOAOUT23!$A$6:$AU$36,44,0)</f>
        <v>0</v>
      </c>
      <c r="AC33" s="36">
        <f>VLOOKUP($A33,[18]HISTOAOUT23!$A$6:$AU$36,47,0)</f>
        <v>0</v>
      </c>
      <c r="AD33" s="36">
        <f>VLOOKUP(A33,[18]HISTOAOUT23!$A$6:$BB$36,54,0)</f>
        <v>0</v>
      </c>
      <c r="AE33" s="36">
        <f>VLOOKUP($A33,[18]HISTOAOUT23!$A$6:$CA$36,60,0)</f>
        <v>0</v>
      </c>
      <c r="AF33" s="36">
        <f>VLOOKUP($A33,[18]HISTOAOUT23!$A$6:$CA$36,61,0)</f>
        <v>0</v>
      </c>
      <c r="AG33" s="36">
        <f>VLOOKUP($A33,[18]HISTOAOUT23!$A$6:$CA$36,62,0)</f>
        <v>0</v>
      </c>
      <c r="AH33" s="36">
        <f>VLOOKUP($A33,[18]HISTOAOUT23!$A$6:$CA$36,63,0)</f>
        <v>0</v>
      </c>
      <c r="AI33" s="36">
        <f>VLOOKUP($A33,[18]HISTOAOUT23!$A$6:$CA$36,64,0)</f>
        <v>0</v>
      </c>
      <c r="AJ33" s="36">
        <f>VLOOKUP($A33,[18]HISTOAOUT23!$A$6:$CA$36,65,0)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VLOOKUP($A34,[18]HISTOAOUT23!$A$6:$BA$36,48,0)</f>
        <v>0</v>
      </c>
      <c r="F34" s="5">
        <f>MVTJUIL23!F34+MVTJUIL23!G34-MVTAOUT23!E34+K34</f>
        <v>404000</v>
      </c>
      <c r="G34" s="6">
        <v>0</v>
      </c>
      <c r="H34" s="6">
        <f t="shared" si="0"/>
        <v>404000</v>
      </c>
      <c r="I34" s="36">
        <f>VLOOKUP($A34,[18]HISTOAOUT23!$A$6:$AQ$40,22,0)</f>
        <v>0</v>
      </c>
      <c r="J34" s="36">
        <f>VLOOKUP($A34,[18]HISTOAOUT23!$A$6:$AU$36,45,0)</f>
        <v>75000</v>
      </c>
      <c r="K34" s="36">
        <f t="shared" si="1"/>
        <v>69000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VLOOKUP($A34,[18]HISTOAOUT23!$A$6:$AU$36,7,0)</f>
        <v>0</v>
      </c>
      <c r="P34" s="36">
        <f>VLOOKUP($A34,[18]HISTOAOUT23!$A$6:$AU$36,23,0)</f>
        <v>0</v>
      </c>
      <c r="Q34" s="36">
        <f>VLOOKUP($A34,[18]HISTOAOUT23!$A$6:$AU$36,46,0)</f>
        <v>0</v>
      </c>
      <c r="R34" s="36">
        <f>VLOOKUP($A34,[18]HISTOAOUT23!$A$6:$AU$36,26,0)</f>
        <v>0</v>
      </c>
      <c r="S34" s="36">
        <f>VLOOKUP($A34,[18]HISTOAOUT23!$A$6:$BG$36,58,0)</f>
        <v>0</v>
      </c>
      <c r="T34" s="36">
        <f>VLOOKUP($A34,[18]HISTOAOUT23!$A$6:$AU$36,28,0)</f>
        <v>0</v>
      </c>
      <c r="U34" s="36">
        <f>VLOOKUP($A34,[18]HISTOAOUT23!$A$6:$AU$36,19,0)</f>
        <v>0</v>
      </c>
      <c r="V34" s="36">
        <f>VLOOKUP($A34,[18]HISTOAOUT23!$A$6:$AU$36,20,0)</f>
        <v>0</v>
      </c>
      <c r="W34" s="36">
        <f>VLOOKUP($A34,[18]HISTOAOUT23!$A$6:$AU$36,27,0)</f>
        <v>0</v>
      </c>
      <c r="X34" s="36">
        <f>VLOOKUP($A34,[18]HISTOAOUT23!$A$6:$BM$36,33,0)</f>
        <v>0</v>
      </c>
      <c r="Y34" s="36">
        <f>VLOOKUP($A34,[18]HISTOAOUT23!$A$6:$BM$36,65,0)</f>
        <v>0</v>
      </c>
      <c r="Z34" s="36"/>
      <c r="AA34" s="36">
        <f>VLOOKUP($A34,[18]HISTOAOUT23!$A$6:$AU$36,43,0)</f>
        <v>0</v>
      </c>
      <c r="AB34" s="36">
        <f>VLOOKUP($A34,[18]HISTOAOUT23!$A$6:$AU$36,44,0)</f>
        <v>0</v>
      </c>
      <c r="AC34" s="36">
        <f>VLOOKUP($A34,[18]HISTOAOUT23!$A$6:$AU$36,47,0)</f>
        <v>0</v>
      </c>
      <c r="AD34" s="36">
        <f>VLOOKUP(A34,[18]HISTOAOUT23!$A$6:$BB$36,54,0)</f>
        <v>0</v>
      </c>
      <c r="AE34" s="36">
        <f>VLOOKUP($A34,[18]HISTOAOUT23!$A$6:$CA$36,60,0)</f>
        <v>0</v>
      </c>
      <c r="AF34" s="36">
        <f>VLOOKUP($A34,[18]HISTOAOUT23!$A$6:$CA$36,61,0)</f>
        <v>0</v>
      </c>
      <c r="AG34" s="36">
        <f>VLOOKUP($A34,[18]HISTOAOUT23!$A$6:$CA$36,62,0)</f>
        <v>0</v>
      </c>
      <c r="AH34" s="36">
        <f>VLOOKUP($A34,[18]HISTOAOUT23!$A$6:$CA$36,63,0)</f>
        <v>0</v>
      </c>
      <c r="AI34" s="36">
        <f>VLOOKUP($A34,[18]HISTOAOUT23!$A$6:$CA$36,64,0)</f>
        <v>0</v>
      </c>
      <c r="AJ34" s="36">
        <f>VLOOKUP($A34,[18]HISTOAOUT23!$A$6:$CA$36,65,0)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VLOOKUP($A35,[18]HISTOAOUT23!$A$6:$BA$36,48,0)</f>
        <v>0</v>
      </c>
      <c r="F35" s="5">
        <f>MVTJUIL23!F35+MVTJUIL23!G35-MVTAOUT23!E35+K35</f>
        <v>1704497.3222803324</v>
      </c>
      <c r="G35" s="6">
        <v>4517.1208525972597</v>
      </c>
      <c r="H35" s="6">
        <f t="shared" si="0"/>
        <v>1709014.4431329297</v>
      </c>
      <c r="I35" s="36">
        <f>VLOOKUP($A35,[18]HISTOAOUT23!$A$6:$AQ$40,22,0)</f>
        <v>0</v>
      </c>
      <c r="J35" s="36">
        <f>VLOOKUP($A35,[18]HISTOAOUT23!$A$6:$AU$36,45,0)</f>
        <v>15000</v>
      </c>
      <c r="K35" s="36">
        <f t="shared" si="1"/>
        <v>9000</v>
      </c>
      <c r="L35" s="36">
        <f t="shared" si="3"/>
        <v>1000</v>
      </c>
      <c r="M35" s="36">
        <f t="shared" si="2"/>
        <v>1000</v>
      </c>
      <c r="N35" s="36">
        <f t="shared" si="4"/>
        <v>4000</v>
      </c>
      <c r="O35" s="36">
        <f>VLOOKUP($A35,[18]HISTOAOUT23!$A$6:$AU$36,7,0)</f>
        <v>0</v>
      </c>
      <c r="P35" s="36">
        <f>VLOOKUP($A35,[18]HISTOAOUT23!$A$6:$AU$36,23,0)</f>
        <v>0</v>
      </c>
      <c r="Q35" s="36">
        <f>VLOOKUP($A35,[18]HISTOAOUT23!$A$6:$AU$36,46,0)</f>
        <v>0</v>
      </c>
      <c r="R35" s="36">
        <f>VLOOKUP($A35,[18]HISTOAOUT23!$A$6:$AU$36,26,0)</f>
        <v>0</v>
      </c>
      <c r="S35" s="36">
        <f>VLOOKUP($A35,[18]HISTOAOUT23!$A$6:$BG$36,58,0)</f>
        <v>0</v>
      </c>
      <c r="T35" s="36">
        <f>VLOOKUP($A35,[18]HISTOAOUT23!$A$6:$AU$36,28,0)</f>
        <v>0</v>
      </c>
      <c r="U35" s="36">
        <f>VLOOKUP($A35,[18]HISTOAOUT23!$A$6:$AU$36,19,0)</f>
        <v>0</v>
      </c>
      <c r="V35" s="36">
        <f>VLOOKUP($A35,[18]HISTOAOUT23!$A$6:$AU$36,20,0)</f>
        <v>0</v>
      </c>
      <c r="W35" s="36">
        <f>VLOOKUP($A35,[18]HISTOAOUT23!$A$6:$AU$36,27,0)</f>
        <v>0</v>
      </c>
      <c r="X35" s="36">
        <f>VLOOKUP($A35,[18]HISTOAOUT23!$A$6:$BM$36,33,0)</f>
        <v>0</v>
      </c>
      <c r="Y35" s="36">
        <f>VLOOKUP($A35,[18]HISTOAOUT23!$A$6:$BM$36,65,0)</f>
        <v>0</v>
      </c>
      <c r="Z35" s="36"/>
      <c r="AA35" s="36">
        <f>VLOOKUP($A35,[18]HISTOAOUT23!$A$6:$AU$36,43,0)</f>
        <v>0</v>
      </c>
      <c r="AB35" s="36">
        <f>VLOOKUP($A35,[18]HISTOAOUT23!$A$6:$AU$36,44,0)</f>
        <v>0</v>
      </c>
      <c r="AC35" s="36">
        <f>VLOOKUP($A35,[18]HISTOAOUT23!$A$6:$AU$36,47,0)</f>
        <v>0</v>
      </c>
      <c r="AD35" s="36">
        <f>VLOOKUP(A35,[18]HISTOAOUT23!$A$6:$BB$36,54,0)</f>
        <v>0</v>
      </c>
      <c r="AE35" s="36">
        <f>VLOOKUP($A35,[18]HISTOAOUT23!$A$6:$CA$36,60,0)</f>
        <v>0</v>
      </c>
      <c r="AF35" s="36">
        <f>VLOOKUP($A35,[18]HISTOAOUT23!$A$6:$CA$36,61,0)</f>
        <v>0</v>
      </c>
      <c r="AG35" s="36">
        <f>VLOOKUP($A35,[18]HISTOAOUT23!$A$6:$CA$36,62,0)</f>
        <v>0</v>
      </c>
      <c r="AH35" s="36">
        <f>VLOOKUP($A35,[18]HISTOAOUT23!$A$6:$CA$36,63,0)</f>
        <v>0</v>
      </c>
      <c r="AI35" s="36">
        <f>VLOOKUP($A35,[18]HISTOAOUT23!$A$6:$CA$36,64,0)</f>
        <v>0</v>
      </c>
      <c r="AJ35" s="36">
        <f>VLOOKUP($A35,[18]HISTOAOUT23!$A$6:$CA$36,65,0)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VLOOKUP($A36,[18]HISTOAOUT23!$A$6:$BA$36,48,0)</f>
        <v>0</v>
      </c>
      <c r="F36" s="5">
        <f>MVTJUIL23!F36+MVTJUIL23!G36-MVTAOUT23!E36+K36</f>
        <v>1866452.6169660639</v>
      </c>
      <c r="G36" s="6">
        <v>4946.3216669668191</v>
      </c>
      <c r="H36" s="6">
        <f t="shared" si="0"/>
        <v>1871398.9386330307</v>
      </c>
      <c r="I36" s="36">
        <f>VLOOKUP($A36,[18]HISTOAOUT23!$A$6:$AQ$40,22,0)</f>
        <v>0</v>
      </c>
      <c r="J36" s="36">
        <f>VLOOKUP($A36,[18]HISTOAOUT23!$A$6:$AU$36,45,0)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VLOOKUP($A36,[18]HISTOAOUT23!$A$6:$AU$36,7,0)</f>
        <v>0</v>
      </c>
      <c r="P36" s="36">
        <f>VLOOKUP($A36,[18]HISTOAOUT23!$A$6:$AU$36,23,0)</f>
        <v>0</v>
      </c>
      <c r="Q36" s="36">
        <f>VLOOKUP($A36,[18]HISTOAOUT23!$A$6:$AU$36,46,0)</f>
        <v>0</v>
      </c>
      <c r="R36" s="36">
        <f>VLOOKUP($A36,[18]HISTOAOUT23!$A$6:$AU$36,26,0)</f>
        <v>0</v>
      </c>
      <c r="S36" s="36">
        <f>VLOOKUP($A36,[18]HISTOAOUT23!$A$6:$BG$36,58,0)</f>
        <v>0</v>
      </c>
      <c r="T36" s="36">
        <f>VLOOKUP($A36,[18]HISTOAOUT23!$A$6:$AU$36,28,0)</f>
        <v>0</v>
      </c>
      <c r="U36" s="36">
        <f>VLOOKUP($A36,[18]HISTOAOUT23!$A$6:$AU$36,19,0)</f>
        <v>0</v>
      </c>
      <c r="V36" s="36">
        <f>VLOOKUP($A36,[18]HISTOAOUT23!$A$6:$AU$36,20,0)</f>
        <v>0</v>
      </c>
      <c r="W36" s="36">
        <f>VLOOKUP($A36,[18]HISTOAOUT23!$A$6:$AU$36,27,0)</f>
        <v>0</v>
      </c>
      <c r="X36" s="36">
        <f>VLOOKUP($A36,[18]HISTOAOUT23!$A$6:$BM$36,33,0)</f>
        <v>0</v>
      </c>
      <c r="Y36" s="36">
        <f>VLOOKUP($A36,[18]HISTOAOUT23!$A$6:$BM$36,65,0)</f>
        <v>0</v>
      </c>
      <c r="Z36" s="36"/>
      <c r="AA36" s="36">
        <f>VLOOKUP($A36,[18]HISTOAOUT23!$A$6:$AU$36,43,0)</f>
        <v>0</v>
      </c>
      <c r="AB36" s="36">
        <f>VLOOKUP($A36,[18]HISTOAOUT23!$A$6:$AU$36,44,0)</f>
        <v>0</v>
      </c>
      <c r="AC36" s="36">
        <f>VLOOKUP($A36,[18]HISTOAOUT23!$A$6:$AU$36,47,0)</f>
        <v>0</v>
      </c>
      <c r="AD36" s="36">
        <f>VLOOKUP(A36,[18]HISTOAOUT23!$A$6:$BB$36,54,0)</f>
        <v>0</v>
      </c>
      <c r="AE36" s="36">
        <f>VLOOKUP($A36,[18]HISTOAOUT23!$A$6:$CA$36,60,0)</f>
        <v>0</v>
      </c>
      <c r="AF36" s="36">
        <f>VLOOKUP($A36,[18]HISTOAOUT23!$A$6:$CA$36,61,0)</f>
        <v>0</v>
      </c>
      <c r="AG36" s="36">
        <f>VLOOKUP($A36,[18]HISTOAOUT23!$A$6:$CA$36,62,0)</f>
        <v>0</v>
      </c>
      <c r="AH36" s="36">
        <f>VLOOKUP($A36,[18]HISTOAOUT23!$A$6:$CA$36,63,0)</f>
        <v>0</v>
      </c>
      <c r="AI36" s="36">
        <f>VLOOKUP($A36,[18]HISTOAOUT23!$A$6:$CA$36,64,0)</f>
        <v>0</v>
      </c>
      <c r="AJ36" s="36">
        <f>VLOOKUP($A36,[18]HISTOAOUT23!$A$6:$CA$36,65,0)</f>
        <v>0</v>
      </c>
    </row>
    <row r="37" spans="1:36" x14ac:dyDescent="0.25">
      <c r="A37" s="1" t="s">
        <v>27</v>
      </c>
      <c r="B37" s="1" t="s">
        <v>335</v>
      </c>
      <c r="C37" s="1"/>
      <c r="D37" s="1"/>
      <c r="E37" s="1"/>
      <c r="F37" s="5">
        <v>153468</v>
      </c>
      <c r="G37" s="6">
        <v>0</v>
      </c>
      <c r="H37" s="6">
        <f t="shared" si="0"/>
        <v>153468</v>
      </c>
      <c r="I37" s="6"/>
      <c r="J37" s="6"/>
      <c r="K37" s="3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25356326.324737497</v>
      </c>
      <c r="G40" s="9">
        <f t="shared" si="5"/>
        <v>64000</v>
      </c>
      <c r="H40" s="9">
        <f t="shared" si="5"/>
        <v>25420326.324737497</v>
      </c>
      <c r="I40" s="9">
        <f t="shared" si="5"/>
        <v>0</v>
      </c>
      <c r="J40" s="9">
        <f t="shared" si="5"/>
        <v>583000</v>
      </c>
      <c r="K40" s="9">
        <f t="shared" si="5"/>
        <v>394000</v>
      </c>
      <c r="L40" s="9">
        <f t="shared" si="5"/>
        <v>32000</v>
      </c>
      <c r="M40" s="9">
        <f t="shared" si="5"/>
        <v>29000</v>
      </c>
      <c r="N40" s="9">
        <f t="shared" si="5"/>
        <v>116000</v>
      </c>
      <c r="O40" s="9">
        <f t="shared" si="5"/>
        <v>3000</v>
      </c>
      <c r="P40" s="9">
        <f t="shared" si="5"/>
        <v>0</v>
      </c>
      <c r="Q40" s="9">
        <f t="shared" si="5"/>
        <v>0</v>
      </c>
      <c r="R40" s="9">
        <f t="shared" si="5"/>
        <v>1600000</v>
      </c>
      <c r="S40" s="9">
        <f t="shared" si="5"/>
        <v>64000</v>
      </c>
      <c r="T40" s="9">
        <f t="shared" si="5"/>
        <v>0</v>
      </c>
      <c r="U40" s="9">
        <f t="shared" si="5"/>
        <v>2150000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140000</v>
      </c>
      <c r="AE40" s="9">
        <f t="shared" si="5"/>
        <v>45000</v>
      </c>
      <c r="AF40" s="9">
        <f t="shared" si="5"/>
        <v>155000</v>
      </c>
      <c r="AG40" s="9">
        <f t="shared" si="5"/>
        <v>560000</v>
      </c>
      <c r="AH40" s="9">
        <f t="shared" si="5"/>
        <v>100000</v>
      </c>
      <c r="AI40" s="9">
        <f t="shared" si="5"/>
        <v>0</v>
      </c>
      <c r="AJ40" s="9">
        <f t="shared" si="5"/>
        <v>0</v>
      </c>
    </row>
    <row r="42" spans="1:36" x14ac:dyDescent="0.25">
      <c r="F42" s="5"/>
    </row>
    <row r="43" spans="1:36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44"/>
  <sheetViews>
    <sheetView workbookViewId="0">
      <pane xSplit="2" ySplit="5" topLeftCell="E33" activePane="bottomRight" state="frozen"/>
      <selection activeCell="J4" sqref="J4:O4"/>
      <selection pane="topRight" activeCell="J4" sqref="J4:O4"/>
      <selection pane="bottomLeft" activeCell="J4" sqref="J4:O4"/>
      <selection pane="bottomRight" activeCell="G25" sqref="G2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45186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MVTAOUT23!F6+MVTAOUT23!G6-MVTSEPT23!E6+K6</f>
        <v>885849.86125485715</v>
      </c>
      <c r="G6" s="6">
        <f>$S$40/$F$40*F6</f>
        <v>0</v>
      </c>
      <c r="H6" s="6">
        <f>F6+G6</f>
        <v>885849.86125485715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VLOOKUP($A6,[18]HISTOSEPT23!$A$6:$CA$36,60,0)</f>
        <v>6000</v>
      </c>
      <c r="AF6" s="36">
        <f>VLOOKUP($A6,[18]HISTOSEPT23!$A$6:$CA$36,61,0)</f>
        <v>0</v>
      </c>
      <c r="AG6" s="36">
        <f>VLOOKUP($A6,[18]HISTOSEPT23!$A$6:$CA$36,62,0)</f>
        <v>0</v>
      </c>
      <c r="AH6" s="36">
        <f>VLOOKUP($A6,[18]HISTOSEPT23!$A$6:$CA$36,63,0)</f>
        <v>100000</v>
      </c>
      <c r="AI6" s="36">
        <f>VLOOKUP($A6,[18]HISTOSEPT23!$A$6:$CA$36,64,0)</f>
        <v>0</v>
      </c>
      <c r="AJ6" s="36">
        <f>VLOOKUP($A6,[18]HISTOSEPT23!$A$6:$CA$36,65,0)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VLOOKUP($A7,[18]HISTOSEPT23!$A$6:$BA$36,48,0)</f>
        <v>0</v>
      </c>
      <c r="F7" s="5">
        <f>MVTAOUT23!F7+MVTAOUT23!G7-MVTSEPT23!E7+K7</f>
        <v>690950.41412362608</v>
      </c>
      <c r="G7" s="6">
        <f t="shared" ref="G7:G37" si="0">$S$40/$F$40*F7</f>
        <v>0</v>
      </c>
      <c r="H7" s="6">
        <f t="shared" ref="H7:H37" si="1">F7+G7</f>
        <v>690950.41412362608</v>
      </c>
      <c r="I7" s="36">
        <f>VLOOKUP($A7,[18]HISTOSEPT23!$A$6:$AQ$40,22,0)</f>
        <v>0</v>
      </c>
      <c r="J7" s="36">
        <f>VLOOKUP($A7,[18]HISTOSEPT23!$A$6:$AU$36,45,0)</f>
        <v>15000</v>
      </c>
      <c r="K7" s="36">
        <f t="shared" ref="K7:K36" si="2">IF(J7=0,0,J7-(L7+M7+N7))</f>
        <v>9000</v>
      </c>
      <c r="L7" s="36">
        <f>IF(J7=0,0,1000)</f>
        <v>1000</v>
      </c>
      <c r="M7" s="36">
        <f t="shared" ref="M7:M36" si="3">IF(J7=0,0,1000)</f>
        <v>1000</v>
      </c>
      <c r="N7" s="36">
        <f>IF(J7=0,0,4000)</f>
        <v>4000</v>
      </c>
      <c r="O7" s="36">
        <f>VLOOKUP($A7,[18]HISTOSEPT23!$A$6:$AU$36,7,0)</f>
        <v>0</v>
      </c>
      <c r="P7" s="36">
        <f>VLOOKUP($A7,[18]HISTOSEPT23!$A$6:$AU$36,23,0)</f>
        <v>0</v>
      </c>
      <c r="Q7" s="36">
        <f>VLOOKUP($A7,[18]HISTOSEPT23!$A$6:$AU$36,46,0)</f>
        <v>0</v>
      </c>
      <c r="R7" s="36">
        <f>VLOOKUP($A7,[18]HISTOSEPT23!$A$6:$AU$36,26,0)</f>
        <v>0</v>
      </c>
      <c r="S7" s="36">
        <f>VLOOKUP($A7,[18]HISTOSEPT23!$A$6:$BG$36,58,0)</f>
        <v>0</v>
      </c>
      <c r="T7" s="36">
        <f>VLOOKUP($A7,[18]HISTOSEPT23!$A$6:$AU$36,28,0)</f>
        <v>0</v>
      </c>
      <c r="U7" s="36">
        <f>VLOOKUP($A7,[18]HISTOSEPT23!$A$6:$AU$36,19,0)</f>
        <v>0</v>
      </c>
      <c r="V7" s="36">
        <f>VLOOKUP($A7,[18]HISTOSEPT23!$A$6:$AU$36,20,0)</f>
        <v>0</v>
      </c>
      <c r="W7" s="36">
        <f>VLOOKUP($A7,[18]HISTOSEPT23!$A$6:$AU$36,27,0)</f>
        <v>0</v>
      </c>
      <c r="X7" s="36">
        <f>VLOOKUP($A7,[18]HISTOSEPT23!$A$6:$BM$36,33,0)</f>
        <v>0</v>
      </c>
      <c r="Y7" s="36">
        <f>VLOOKUP($A7,[18]HISTOSEPT23!$A$6:$BM$36,65,0)</f>
        <v>0</v>
      </c>
      <c r="Z7" s="36"/>
      <c r="AA7" s="36">
        <f>VLOOKUP($A7,[18]HISTOSEPT23!$A$6:$AU$36,43,0)</f>
        <v>0</v>
      </c>
      <c r="AB7" s="36">
        <f>VLOOKUP($A7,[18]HISTOSEPT23!$A$6:$AU$36,44,0)</f>
        <v>0</v>
      </c>
      <c r="AC7" s="36">
        <f>VLOOKUP($A7,[18]HISTOSEPT23!$A$6:$AU$36,47,0)</f>
        <v>0</v>
      </c>
      <c r="AD7" s="36">
        <f>VLOOKUP(A7,[18]HISTOSEPT23!$A$6:$BB$36,54,0)</f>
        <v>0</v>
      </c>
      <c r="AE7" s="36">
        <f>VLOOKUP($A7,[18]HISTOSEPT23!$A$6:$CA$36,60,0)</f>
        <v>0</v>
      </c>
      <c r="AF7" s="36">
        <f>VLOOKUP($A7,[18]HISTOSEPT23!$A$6:$CA$36,61,0)</f>
        <v>0</v>
      </c>
      <c r="AG7" s="36">
        <f>VLOOKUP($A7,[18]HISTOSEPT23!$A$6:$CA$36,62,0)</f>
        <v>0</v>
      </c>
      <c r="AH7" s="36">
        <f>VLOOKUP($A7,[18]HISTOSEPT23!$A$6:$CA$36,63,0)</f>
        <v>0</v>
      </c>
      <c r="AI7" s="36">
        <f>VLOOKUP($A7,[18]HISTOSEPT23!$A$6:$CA$36,64,0)</f>
        <v>0</v>
      </c>
      <c r="AJ7" s="36">
        <f>VLOOKUP($A7,[18]HISTOSEPT23!$A$6:$CA$36,65,0)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VLOOKUP($A8,[18]HISTOSEPT23!$A$6:$BA$36,48,0)</f>
        <v>0</v>
      </c>
      <c r="F8" s="5">
        <f>MVTAOUT23!F8+MVTAOUT23!G8-MVTSEPT23!E8+K8</f>
        <v>740463.06706552661</v>
      </c>
      <c r="G8" s="6">
        <f t="shared" si="0"/>
        <v>0</v>
      </c>
      <c r="H8" s="6">
        <f t="shared" si="1"/>
        <v>740463.06706552661</v>
      </c>
      <c r="I8" s="36">
        <f>VLOOKUP($A8,[18]HISTOSEPT23!$A$6:$AQ$40,22,0)</f>
        <v>0</v>
      </c>
      <c r="J8" s="36">
        <f>VLOOKUP($A8,[18]HISTOSEPT23!$A$6:$AU$36,45,0)</f>
        <v>15000</v>
      </c>
      <c r="K8" s="36">
        <f t="shared" si="2"/>
        <v>9000</v>
      </c>
      <c r="L8" s="36">
        <f>IF(J8=0,0,1000)</f>
        <v>1000</v>
      </c>
      <c r="M8" s="36">
        <f t="shared" si="3"/>
        <v>1000</v>
      </c>
      <c r="N8" s="36">
        <f>IF(J8=0,0,4000)</f>
        <v>4000</v>
      </c>
      <c r="O8" s="36">
        <f>VLOOKUP($A8,[18]HISTOSEPT23!$A$6:$AU$36,7,0)</f>
        <v>0</v>
      </c>
      <c r="P8" s="36">
        <f>VLOOKUP($A8,[18]HISTOSEPT23!$A$6:$AU$36,23,0)</f>
        <v>0</v>
      </c>
      <c r="Q8" s="36">
        <f>VLOOKUP($A8,[18]HISTOSEPT23!$A$6:$AU$36,46,0)</f>
        <v>0</v>
      </c>
      <c r="R8" s="36">
        <f>VLOOKUP($A8,[18]HISTOSEPT23!$A$6:$AU$36,26,0)</f>
        <v>0</v>
      </c>
      <c r="S8" s="36">
        <f>VLOOKUP($A8,[18]HISTOSEPT23!$A$6:$BG$36,58,0)</f>
        <v>0</v>
      </c>
      <c r="T8" s="36">
        <f>VLOOKUP($A8,[18]HISTOSEPT23!$A$6:$AU$36,28,0)</f>
        <v>0</v>
      </c>
      <c r="U8" s="36">
        <f>VLOOKUP($A8,[18]HISTOSEPT23!$A$6:$AU$36,19,0)</f>
        <v>0</v>
      </c>
      <c r="V8" s="36">
        <f>VLOOKUP($A8,[18]HISTOSEPT23!$A$6:$AU$36,20,0)</f>
        <v>0</v>
      </c>
      <c r="W8" s="36">
        <f>VLOOKUP($A8,[18]HISTOSEPT23!$A$6:$AU$36,27,0)</f>
        <v>0</v>
      </c>
      <c r="X8" s="36">
        <f>VLOOKUP($A8,[18]HISTOSEPT23!$A$6:$BM$36,33,0)</f>
        <v>0</v>
      </c>
      <c r="Y8" s="36">
        <f>VLOOKUP($A8,[18]HISTOSEPT23!$A$6:$BM$36,65,0)</f>
        <v>0</v>
      </c>
      <c r="Z8" s="36"/>
      <c r="AA8" s="36">
        <f>VLOOKUP($A8,[18]HISTOSEPT23!$A$6:$AU$36,43,0)</f>
        <v>0</v>
      </c>
      <c r="AB8" s="36">
        <f>VLOOKUP($A8,[18]HISTOSEPT23!$A$6:$AU$36,44,0)</f>
        <v>0</v>
      </c>
      <c r="AC8" s="36">
        <f>VLOOKUP($A8,[18]HISTOSEPT23!$A$6:$AU$36,47,0)</f>
        <v>0</v>
      </c>
      <c r="AD8" s="36">
        <f>VLOOKUP(A8,[18]HISTOSEPT23!$A$6:$BB$36,54,0)</f>
        <v>0</v>
      </c>
      <c r="AE8" s="36">
        <f>VLOOKUP($A8,[18]HISTOSEPT23!$A$6:$CA$36,60,0)</f>
        <v>0</v>
      </c>
      <c r="AF8" s="36">
        <f>VLOOKUP($A8,[18]HISTOSEPT23!$A$6:$CA$36,61,0)</f>
        <v>0</v>
      </c>
      <c r="AG8" s="36">
        <f>VLOOKUP($A8,[18]HISTOSEPT23!$A$6:$CA$36,62,0)</f>
        <v>0</v>
      </c>
      <c r="AH8" s="36">
        <f>VLOOKUP($A8,[18]HISTOSEPT23!$A$6:$CA$36,63,0)</f>
        <v>0</v>
      </c>
      <c r="AI8" s="36">
        <f>VLOOKUP($A8,[18]HISTOSEPT23!$A$6:$CA$36,64,0)</f>
        <v>0</v>
      </c>
      <c r="AJ8" s="36">
        <f>VLOOKUP($A8,[18]HISTOSEPT23!$A$6:$CA$36,65,0)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VLOOKUP($A9,[18]HISTOSEPT23!$A$6:$BA$36,48,0)</f>
        <v>0</v>
      </c>
      <c r="F9" s="5">
        <f>MVTAOUT23!F9+MVTAOUT23!G9-MVTSEPT23!E9+K9</f>
        <v>774761.83992121159</v>
      </c>
      <c r="G9" s="6">
        <f t="shared" si="0"/>
        <v>0</v>
      </c>
      <c r="H9" s="6">
        <f t="shared" si="1"/>
        <v>774761.83992121159</v>
      </c>
      <c r="I9" s="36">
        <f>VLOOKUP($A9,[18]HISTOSEPT23!$A$6:$AQ$40,22,0)</f>
        <v>0</v>
      </c>
      <c r="J9" s="36">
        <f>VLOOKUP($A9,[18]HISTOSEPT23!$A$6:$AU$36,45,0)</f>
        <v>13000</v>
      </c>
      <c r="K9" s="36">
        <f t="shared" si="2"/>
        <v>7000</v>
      </c>
      <c r="L9" s="36">
        <f t="shared" ref="L9:L36" si="4">IF(J9=0,0,1000)</f>
        <v>1000</v>
      </c>
      <c r="M9" s="36">
        <f t="shared" si="3"/>
        <v>1000</v>
      </c>
      <c r="N9" s="36">
        <f t="shared" ref="N9:N36" si="5">IF(J9=0,0,4000)</f>
        <v>4000</v>
      </c>
      <c r="O9" s="36">
        <f>VLOOKUP($A9,[18]HISTOSEPT23!$A$6:$AU$36,7,0)</f>
        <v>0</v>
      </c>
      <c r="P9" s="36">
        <f>VLOOKUP($A9,[18]HISTOSEPT23!$A$6:$AU$36,23,0)</f>
        <v>0</v>
      </c>
      <c r="Q9" s="36">
        <f>VLOOKUP($A9,[18]HISTOSEPT23!$A$6:$AU$36,46,0)</f>
        <v>0</v>
      </c>
      <c r="R9" s="36">
        <f>VLOOKUP($A9,[18]HISTOSEPT23!$A$6:$AU$36,26,0)</f>
        <v>0</v>
      </c>
      <c r="S9" s="36">
        <f>VLOOKUP($A9,[18]HISTOSEPT23!$A$6:$BG$36,58,0)</f>
        <v>0</v>
      </c>
      <c r="T9" s="36">
        <f>VLOOKUP($A9,[18]HISTOSEPT23!$A$6:$AU$36,28,0)</f>
        <v>0</v>
      </c>
      <c r="U9" s="36">
        <f>VLOOKUP($A9,[18]HISTOSEPT23!$A$6:$AU$36,19,0)</f>
        <v>0</v>
      </c>
      <c r="V9" s="36">
        <f>VLOOKUP($A9,[18]HISTOSEPT23!$A$6:$AU$36,20,0)</f>
        <v>0</v>
      </c>
      <c r="W9" s="36">
        <f>VLOOKUP($A9,[18]HISTOSEPT23!$A$6:$AU$36,27,0)</f>
        <v>0</v>
      </c>
      <c r="X9" s="36">
        <f>VLOOKUP($A9,[18]HISTOSEPT23!$A$6:$BM$36,33,0)</f>
        <v>0</v>
      </c>
      <c r="Y9" s="36">
        <f>VLOOKUP($A9,[18]HISTOSEPT23!$A$6:$BM$36,65,0)</f>
        <v>0</v>
      </c>
      <c r="Z9" s="36"/>
      <c r="AA9" s="36">
        <f>VLOOKUP($A9,[18]HISTOSEPT23!$A$6:$AU$36,43,0)</f>
        <v>0</v>
      </c>
      <c r="AB9" s="36">
        <f>VLOOKUP($A9,[18]HISTOSEPT23!$A$6:$AU$36,44,0)</f>
        <v>0</v>
      </c>
      <c r="AC9" s="36">
        <f>VLOOKUP($A9,[18]HISTOSEPT23!$A$6:$AU$36,47,0)</f>
        <v>0</v>
      </c>
      <c r="AD9" s="36">
        <f>VLOOKUP(A9,[18]HISTOSEPT23!$A$6:$BB$36,54,0)</f>
        <v>0</v>
      </c>
      <c r="AE9" s="36">
        <f>VLOOKUP($A9,[18]HISTOSEPT23!$A$6:$CA$36,60,0)</f>
        <v>0</v>
      </c>
      <c r="AF9" s="36">
        <f>VLOOKUP($A9,[18]HISTOSEPT23!$A$6:$CA$36,61,0)</f>
        <v>0</v>
      </c>
      <c r="AG9" s="36">
        <f>VLOOKUP($A9,[18]HISTOSEPT23!$A$6:$CA$36,62,0)</f>
        <v>0</v>
      </c>
      <c r="AH9" s="36">
        <f>VLOOKUP($A9,[18]HISTOSEPT23!$A$6:$CA$36,63,0)</f>
        <v>0</v>
      </c>
      <c r="AI9" s="36">
        <f>VLOOKUP($A9,[18]HISTOSEPT23!$A$6:$CA$36,64,0)</f>
        <v>0</v>
      </c>
      <c r="AJ9" s="36">
        <f>VLOOKUP($A9,[18]HISTOSEPT23!$A$6:$CA$36,65,0)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VLOOKUP($A10,[18]HISTOSEPT23!$A$6:$BA$36,48,0)</f>
        <v>0</v>
      </c>
      <c r="F10" s="5">
        <f>MVTAOUT23!F10+MVTAOUT23!G10-MVTSEPT23!E10+K10</f>
        <v>783692.50964313908</v>
      </c>
      <c r="G10" s="6">
        <f t="shared" si="0"/>
        <v>0</v>
      </c>
      <c r="H10" s="6">
        <f t="shared" si="1"/>
        <v>783692.50964313908</v>
      </c>
      <c r="I10" s="36">
        <f>VLOOKUP($A10,[18]HISTOSEPT23!$A$6:$AQ$40,22,0)</f>
        <v>0</v>
      </c>
      <c r="J10" s="36">
        <f>VLOOKUP($A10,[18]HISTOSEPT23!$A$6:$AU$36,45,0)</f>
        <v>15000</v>
      </c>
      <c r="K10" s="36">
        <f t="shared" si="2"/>
        <v>9000</v>
      </c>
      <c r="L10" s="36">
        <f t="shared" si="4"/>
        <v>1000</v>
      </c>
      <c r="M10" s="36">
        <f t="shared" si="3"/>
        <v>1000</v>
      </c>
      <c r="N10" s="36">
        <f t="shared" si="5"/>
        <v>4000</v>
      </c>
      <c r="O10" s="36">
        <f>VLOOKUP($A10,[18]HISTOSEPT23!$A$6:$AU$36,7,0)</f>
        <v>0</v>
      </c>
      <c r="P10" s="36">
        <f>VLOOKUP($A10,[18]HISTOSEPT23!$A$6:$AU$36,23,0)</f>
        <v>0</v>
      </c>
      <c r="Q10" s="36">
        <f>VLOOKUP($A10,[18]HISTOSEPT23!$A$6:$AU$36,46,0)</f>
        <v>0</v>
      </c>
      <c r="R10" s="36">
        <f>VLOOKUP($A10,[18]HISTOSEPT23!$A$6:$AU$36,26,0)</f>
        <v>0</v>
      </c>
      <c r="S10" s="36">
        <f>VLOOKUP($A10,[18]HISTOSEPT23!$A$6:$BG$36,58,0)</f>
        <v>0</v>
      </c>
      <c r="T10" s="36">
        <f>VLOOKUP($A10,[18]HISTOSEPT23!$A$6:$AU$36,28,0)</f>
        <v>0</v>
      </c>
      <c r="U10" s="36">
        <f>VLOOKUP($A10,[18]HISTOSEPT23!$A$6:$AU$36,19,0)</f>
        <v>0</v>
      </c>
      <c r="V10" s="36">
        <f>VLOOKUP($A10,[18]HISTOSEPT23!$A$6:$AU$36,20,0)</f>
        <v>0</v>
      </c>
      <c r="W10" s="36">
        <f>VLOOKUP($A10,[18]HISTOSEPT23!$A$6:$AU$36,27,0)</f>
        <v>0</v>
      </c>
      <c r="X10" s="36">
        <f>VLOOKUP($A10,[18]HISTOSEPT23!$A$6:$BM$36,33,0)</f>
        <v>0</v>
      </c>
      <c r="Y10" s="36">
        <f>VLOOKUP($A10,[18]HISTOSEPT23!$A$6:$BM$36,65,0)</f>
        <v>0</v>
      </c>
      <c r="Z10" s="36"/>
      <c r="AA10" s="36">
        <f>VLOOKUP($A10,[18]HISTOSEPT23!$A$6:$AU$36,43,0)</f>
        <v>0</v>
      </c>
      <c r="AB10" s="36">
        <f>VLOOKUP($A10,[18]HISTOSEPT23!$A$6:$AU$36,44,0)</f>
        <v>0</v>
      </c>
      <c r="AC10" s="36">
        <f>VLOOKUP($A10,[18]HISTOSEPT23!$A$6:$AU$36,47,0)</f>
        <v>0</v>
      </c>
      <c r="AD10" s="36">
        <f>VLOOKUP(A10,[18]HISTOSEPT23!$A$6:$BB$36,54,0)</f>
        <v>0</v>
      </c>
      <c r="AE10" s="36">
        <f>VLOOKUP($A10,[18]HISTOSEPT23!$A$6:$CA$36,60,0)</f>
        <v>0</v>
      </c>
      <c r="AF10" s="36">
        <f>VLOOKUP($A10,[18]HISTOSEPT23!$A$6:$CA$36,61,0)</f>
        <v>0</v>
      </c>
      <c r="AG10" s="36">
        <f>VLOOKUP($A10,[18]HISTOSEPT23!$A$6:$CA$36,62,0)</f>
        <v>0</v>
      </c>
      <c r="AH10" s="36">
        <f>VLOOKUP($A10,[18]HISTOSEPT23!$A$6:$CA$36,63,0)</f>
        <v>0</v>
      </c>
      <c r="AI10" s="36">
        <f>VLOOKUP($A10,[18]HISTOSEPT23!$A$6:$CA$36,64,0)</f>
        <v>0</v>
      </c>
      <c r="AJ10" s="36">
        <f>VLOOKUP($A10,[18]HISTOSEPT23!$A$6:$CA$36,65,0)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VLOOKUP($A11,[18]HISTOSEPT23!$A$6:$BA$36,48,0)</f>
        <v>0</v>
      </c>
      <c r="F11" s="5">
        <f>MVTAOUT23!F11+MVTAOUT23!G11-MVTSEPT23!E11+K11</f>
        <v>747621.68409727688</v>
      </c>
      <c r="G11" s="6">
        <f t="shared" si="0"/>
        <v>0</v>
      </c>
      <c r="H11" s="6">
        <f t="shared" si="1"/>
        <v>747621.68409727688</v>
      </c>
      <c r="I11" s="36">
        <f>VLOOKUP($A11,[18]HISTOSEPT23!$A$6:$AQ$40,22,0)</f>
        <v>0</v>
      </c>
      <c r="J11" s="36">
        <f>VLOOKUP($A11,[18]HISTOSEPT23!$A$6:$AU$36,45,0)</f>
        <v>15500</v>
      </c>
      <c r="K11" s="36">
        <f t="shared" si="2"/>
        <v>9500</v>
      </c>
      <c r="L11" s="36">
        <f t="shared" si="4"/>
        <v>1000</v>
      </c>
      <c r="M11" s="36">
        <f t="shared" si="3"/>
        <v>1000</v>
      </c>
      <c r="N11" s="36">
        <f t="shared" si="5"/>
        <v>4000</v>
      </c>
      <c r="O11" s="36">
        <f>VLOOKUP($A11,[18]HISTOSEPT23!$A$6:$AU$36,7,0)</f>
        <v>0</v>
      </c>
      <c r="P11" s="36">
        <f>VLOOKUP($A11,[18]HISTOSEPT23!$A$6:$AU$36,23,0)</f>
        <v>0</v>
      </c>
      <c r="Q11" s="36">
        <f>VLOOKUP($A11,[18]HISTOSEPT23!$A$6:$AU$36,46,0)</f>
        <v>0</v>
      </c>
      <c r="R11" s="36">
        <f>VLOOKUP($A11,[18]HISTOSEPT23!$A$6:$AU$36,26,0)</f>
        <v>0</v>
      </c>
      <c r="S11" s="36">
        <f>VLOOKUP($A11,[18]HISTOSEPT23!$A$6:$BG$36,58,0)</f>
        <v>0</v>
      </c>
      <c r="T11" s="36">
        <f>VLOOKUP($A11,[18]HISTOSEPT23!$A$6:$AU$36,28,0)</f>
        <v>0</v>
      </c>
      <c r="U11" s="36">
        <f>VLOOKUP($A11,[18]HISTOSEPT23!$A$6:$AU$36,19,0)</f>
        <v>0</v>
      </c>
      <c r="V11" s="36">
        <f>VLOOKUP($A11,[18]HISTOSEPT23!$A$6:$AU$36,20,0)</f>
        <v>0</v>
      </c>
      <c r="W11" s="36">
        <f>VLOOKUP($A11,[18]HISTOSEPT23!$A$6:$AU$36,27,0)</f>
        <v>0</v>
      </c>
      <c r="X11" s="36">
        <f>VLOOKUP($A11,[18]HISTOSEPT23!$A$6:$BM$36,33,0)</f>
        <v>0</v>
      </c>
      <c r="Y11" s="36">
        <f>VLOOKUP($A11,[18]HISTOSEPT23!$A$6:$BM$36,65,0)</f>
        <v>0</v>
      </c>
      <c r="Z11" s="36"/>
      <c r="AA11" s="36">
        <f>VLOOKUP($A11,[18]HISTOSEPT23!$A$6:$AU$36,43,0)</f>
        <v>0</v>
      </c>
      <c r="AB11" s="36">
        <f>VLOOKUP($A11,[18]HISTOSEPT23!$A$6:$AU$36,44,0)</f>
        <v>0</v>
      </c>
      <c r="AC11" s="36">
        <f>VLOOKUP($A11,[18]HISTOSEPT23!$A$6:$AU$36,47,0)</f>
        <v>0</v>
      </c>
      <c r="AD11" s="36">
        <f>VLOOKUP(A11,[18]HISTOSEPT23!$A$6:$BB$36,54,0)</f>
        <v>0</v>
      </c>
      <c r="AE11" s="36">
        <f>VLOOKUP($A11,[18]HISTOSEPT23!$A$6:$CA$36,60,0)</f>
        <v>0</v>
      </c>
      <c r="AF11" s="36">
        <f>VLOOKUP($A11,[18]HISTOSEPT23!$A$6:$CA$36,61,0)</f>
        <v>0</v>
      </c>
      <c r="AG11" s="36">
        <f>VLOOKUP($A11,[18]HISTOSEPT23!$A$6:$CA$36,62,0)</f>
        <v>0</v>
      </c>
      <c r="AH11" s="36">
        <f>VLOOKUP($A11,[18]HISTOSEPT23!$A$6:$CA$36,63,0)</f>
        <v>0</v>
      </c>
      <c r="AI11" s="36">
        <f>VLOOKUP($A11,[18]HISTOSEPT23!$A$6:$CA$36,64,0)</f>
        <v>0</v>
      </c>
      <c r="AJ11" s="36">
        <f>VLOOKUP($A11,[18]HISTOSEPT23!$A$6:$CA$36,65,0)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VLOOKUP($A12,[18]HISTOSEPT23!$A$6:$BA$36,48,0)</f>
        <v>0</v>
      </c>
      <c r="F12" s="5">
        <f>MVTAOUT23!F12+MVTAOUT23!G12-MVTSEPT23!E12+K12</f>
        <v>931994.01012752019</v>
      </c>
      <c r="G12" s="6">
        <f t="shared" si="0"/>
        <v>0</v>
      </c>
      <c r="H12" s="6">
        <f t="shared" si="1"/>
        <v>931994.01012752019</v>
      </c>
      <c r="I12" s="36">
        <f>VLOOKUP($A12,[18]HISTOSEPT23!$A$6:$AQ$40,22,0)</f>
        <v>0</v>
      </c>
      <c r="J12" s="36">
        <f>VLOOKUP($A12,[18]HISTOSEPT23!$A$6:$AU$36,45,0)</f>
        <v>20000</v>
      </c>
      <c r="K12" s="36">
        <f>IF(J12=0,0,J12-(L12+M12+N12))</f>
        <v>14000</v>
      </c>
      <c r="L12" s="36">
        <f t="shared" si="4"/>
        <v>1000</v>
      </c>
      <c r="M12" s="36">
        <f t="shared" si="3"/>
        <v>1000</v>
      </c>
      <c r="N12" s="36">
        <f t="shared" si="5"/>
        <v>4000</v>
      </c>
      <c r="O12" s="36">
        <f>VLOOKUP($A12,[18]HISTOSEPT23!$A$6:$AU$36,7,0)</f>
        <v>0</v>
      </c>
      <c r="P12" s="36">
        <f>VLOOKUP($A12,[18]HISTOSEPT23!$A$6:$AU$36,23,0)</f>
        <v>0</v>
      </c>
      <c r="Q12" s="36">
        <f>VLOOKUP($A12,[18]HISTOSEPT23!$A$6:$AU$36,46,0)</f>
        <v>0</v>
      </c>
      <c r="R12" s="36">
        <f>VLOOKUP($A12,[18]HISTOSEPT23!$A$6:$AU$36,26,0)</f>
        <v>0</v>
      </c>
      <c r="S12" s="36">
        <f>VLOOKUP($A12,[18]HISTOSEPT23!$A$6:$BG$36,58,0)</f>
        <v>0</v>
      </c>
      <c r="T12" s="36">
        <f>VLOOKUP($A12,[18]HISTOSEPT23!$A$6:$AU$36,28,0)</f>
        <v>0</v>
      </c>
      <c r="U12" s="36">
        <f>VLOOKUP($A12,[18]HISTOSEPT23!$A$6:$AU$36,19,0)</f>
        <v>0</v>
      </c>
      <c r="V12" s="36">
        <f>VLOOKUP($A12,[18]HISTOSEPT23!$A$6:$AU$36,20,0)</f>
        <v>0</v>
      </c>
      <c r="W12" s="36">
        <f>VLOOKUP($A12,[18]HISTOSEPT23!$A$6:$AU$36,27,0)</f>
        <v>0</v>
      </c>
      <c r="X12" s="36">
        <f>VLOOKUP($A12,[18]HISTOSEPT23!$A$6:$BM$36,33,0)</f>
        <v>0</v>
      </c>
      <c r="Y12" s="36">
        <f>VLOOKUP($A12,[18]HISTOSEPT23!$A$6:$BM$36,65,0)</f>
        <v>0</v>
      </c>
      <c r="Z12" s="36"/>
      <c r="AA12" s="36">
        <f>VLOOKUP($A12,[18]HISTOSEPT23!$A$6:$AU$36,43,0)</f>
        <v>0</v>
      </c>
      <c r="AB12" s="36">
        <f>VLOOKUP($A12,[18]HISTOSEPT23!$A$6:$AU$36,44,0)</f>
        <v>0</v>
      </c>
      <c r="AC12" s="36">
        <f>VLOOKUP($A12,[18]HISTOSEPT23!$A$6:$AU$36,47,0)</f>
        <v>0</v>
      </c>
      <c r="AD12" s="36">
        <f>VLOOKUP(A12,[18]HISTOSEPT23!$A$6:$BB$36,54,0)</f>
        <v>0</v>
      </c>
      <c r="AE12" s="36">
        <f>VLOOKUP($A12,[18]HISTOSEPT23!$A$6:$CA$36,60,0)</f>
        <v>0</v>
      </c>
      <c r="AF12" s="36">
        <f>VLOOKUP($A12,[18]HISTOSEPT23!$A$6:$CA$36,61,0)</f>
        <v>0</v>
      </c>
      <c r="AG12" s="36">
        <f>VLOOKUP($A12,[18]HISTOSEPT23!$A$6:$CA$36,62,0)</f>
        <v>0</v>
      </c>
      <c r="AH12" s="36">
        <f>VLOOKUP($A12,[18]HISTOSEPT23!$A$6:$CA$36,63,0)</f>
        <v>0</v>
      </c>
      <c r="AI12" s="36">
        <f>VLOOKUP($A12,[18]HISTOSEPT23!$A$6:$CA$36,64,0)</f>
        <v>0</v>
      </c>
      <c r="AJ12" s="36">
        <f>VLOOKUP($A12,[18]HISTOSEPT23!$A$6:$CA$36,65,0)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VLOOKUP($A13,[18]HISTOSEPT23!$A$6:$BA$36,48,0)</f>
        <v>0</v>
      </c>
      <c r="F13" s="5">
        <f>MVTAOUT23!F13+MVTAOUT23!G13-MVTSEPT23!E13+K13</f>
        <v>733476.87217578851</v>
      </c>
      <c r="G13" s="6">
        <f t="shared" si="0"/>
        <v>0</v>
      </c>
      <c r="H13" s="6">
        <f t="shared" si="1"/>
        <v>733476.87217578851</v>
      </c>
      <c r="I13" s="36">
        <f>VLOOKUP($A13,[18]HISTOSEPT23!$A$6:$AQ$40,22,0)</f>
        <v>0</v>
      </c>
      <c r="J13" s="36">
        <f>VLOOKUP($A13,[18]HISTOSEPT23!$A$6:$AU$36,45,0)</f>
        <v>15000</v>
      </c>
      <c r="K13" s="36">
        <f t="shared" si="2"/>
        <v>9000</v>
      </c>
      <c r="L13" s="36">
        <f t="shared" si="4"/>
        <v>1000</v>
      </c>
      <c r="M13" s="36">
        <f t="shared" si="3"/>
        <v>1000</v>
      </c>
      <c r="N13" s="36">
        <f t="shared" si="5"/>
        <v>4000</v>
      </c>
      <c r="O13" s="36">
        <f>VLOOKUP($A13,[18]HISTOSEPT23!$A$6:$AU$36,7,0)</f>
        <v>0</v>
      </c>
      <c r="P13" s="36">
        <f>VLOOKUP($A13,[18]HISTOSEPT23!$A$6:$AU$36,23,0)</f>
        <v>0</v>
      </c>
      <c r="Q13" s="36">
        <f>VLOOKUP($A13,[18]HISTOSEPT23!$A$6:$AU$36,46,0)</f>
        <v>0</v>
      </c>
      <c r="R13" s="36">
        <f>VLOOKUP($A13,[18]HISTOSEPT23!$A$6:$AU$36,26,0)</f>
        <v>0</v>
      </c>
      <c r="S13" s="36">
        <f>VLOOKUP($A13,[18]HISTOSEPT23!$A$6:$BG$36,58,0)</f>
        <v>0</v>
      </c>
      <c r="T13" s="36">
        <f>VLOOKUP($A13,[18]HISTOSEPT23!$A$6:$AU$36,28,0)</f>
        <v>0</v>
      </c>
      <c r="U13" s="36">
        <f>VLOOKUP($A13,[18]HISTOSEPT23!$A$6:$AU$36,19,0)</f>
        <v>0</v>
      </c>
      <c r="V13" s="36">
        <f>VLOOKUP($A13,[18]HISTOSEPT23!$A$6:$AU$36,20,0)</f>
        <v>0</v>
      </c>
      <c r="W13" s="36">
        <f>VLOOKUP($A13,[18]HISTOSEPT23!$A$6:$AU$36,27,0)</f>
        <v>0</v>
      </c>
      <c r="X13" s="36">
        <f>VLOOKUP($A13,[18]HISTOSEPT23!$A$6:$BM$36,33,0)</f>
        <v>0</v>
      </c>
      <c r="Y13" s="36">
        <f>VLOOKUP($A13,[18]HISTOSEPT23!$A$6:$BM$36,65,0)</f>
        <v>0</v>
      </c>
      <c r="Z13" s="36"/>
      <c r="AA13" s="36">
        <f>VLOOKUP($A13,[18]HISTOSEPT23!$A$6:$AU$36,43,0)</f>
        <v>0</v>
      </c>
      <c r="AB13" s="36">
        <f>VLOOKUP($A13,[18]HISTOSEPT23!$A$6:$AU$36,44,0)</f>
        <v>0</v>
      </c>
      <c r="AC13" s="36">
        <f>VLOOKUP($A13,[18]HISTOSEPT23!$A$6:$AU$36,47,0)</f>
        <v>0</v>
      </c>
      <c r="AD13" s="36">
        <f>VLOOKUP(A13,[18]HISTOSEPT23!$A$6:$BB$36,54,0)</f>
        <v>0</v>
      </c>
      <c r="AE13" s="36">
        <f>VLOOKUP($A13,[18]HISTOSEPT23!$A$6:$CA$36,60,0)</f>
        <v>0</v>
      </c>
      <c r="AF13" s="36">
        <f>VLOOKUP($A13,[18]HISTOSEPT23!$A$6:$CA$36,61,0)</f>
        <v>0</v>
      </c>
      <c r="AG13" s="36">
        <f>VLOOKUP($A13,[18]HISTOSEPT23!$A$6:$CA$36,62,0)</f>
        <v>0</v>
      </c>
      <c r="AH13" s="36">
        <f>VLOOKUP($A13,[18]HISTOSEPT23!$A$6:$CA$36,63,0)</f>
        <v>0</v>
      </c>
      <c r="AI13" s="36">
        <f>VLOOKUP($A13,[18]HISTOSEPT23!$A$6:$CA$36,64,0)</f>
        <v>0</v>
      </c>
      <c r="AJ13" s="36">
        <f>VLOOKUP($A13,[18]HISTOSEPT23!$A$6:$CA$36,65,0)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VLOOKUP($A14,[18]HISTOSEPT23!$A$6:$BA$36,48,0)</f>
        <v>0</v>
      </c>
      <c r="F14" s="5">
        <f>MVTAOUT23!F14+MVTAOUT23!G14-MVTSEPT23!E14+K14</f>
        <v>1230089.5492184521</v>
      </c>
      <c r="G14" s="6">
        <f t="shared" si="0"/>
        <v>0</v>
      </c>
      <c r="H14" s="6">
        <f t="shared" si="1"/>
        <v>1230089.5492184521</v>
      </c>
      <c r="I14" s="36">
        <f>VLOOKUP($A14,[18]HISTOSEPT23!$A$6:$AQ$40,22,0)</f>
        <v>0</v>
      </c>
      <c r="J14" s="36">
        <f>VLOOKUP($A14,[18]HISTOSEPT23!$A$6:$AU$36,45,0)</f>
        <v>15000</v>
      </c>
      <c r="K14" s="36">
        <f t="shared" si="2"/>
        <v>9000</v>
      </c>
      <c r="L14" s="36">
        <f t="shared" si="4"/>
        <v>1000</v>
      </c>
      <c r="M14" s="36">
        <f t="shared" si="3"/>
        <v>1000</v>
      </c>
      <c r="N14" s="36">
        <f t="shared" si="5"/>
        <v>4000</v>
      </c>
      <c r="O14" s="36">
        <f>VLOOKUP($A14,[18]HISTOSEPT23!$A$6:$AU$36,7,0)</f>
        <v>0</v>
      </c>
      <c r="P14" s="36">
        <f>VLOOKUP($A14,[18]HISTOSEPT23!$A$6:$AU$36,23,0)</f>
        <v>0</v>
      </c>
      <c r="Q14" s="36">
        <f>VLOOKUP($A14,[18]HISTOSEPT23!$A$6:$AU$36,46,0)</f>
        <v>0</v>
      </c>
      <c r="R14" s="36">
        <f>VLOOKUP($A14,[18]HISTOSEPT23!$A$6:$AU$36,26,0)</f>
        <v>0</v>
      </c>
      <c r="S14" s="36">
        <f>VLOOKUP($A14,[18]HISTOSEPT23!$A$6:$BG$36,58,0)</f>
        <v>0</v>
      </c>
      <c r="T14" s="36">
        <f>VLOOKUP($A14,[18]HISTOSEPT23!$A$6:$AU$36,28,0)</f>
        <v>0</v>
      </c>
      <c r="U14" s="36">
        <f>VLOOKUP($A14,[18]HISTOSEPT23!$A$6:$AU$36,19,0)</f>
        <v>0</v>
      </c>
      <c r="V14" s="36">
        <f>VLOOKUP($A14,[18]HISTOSEPT23!$A$6:$AU$36,20,0)</f>
        <v>0</v>
      </c>
      <c r="W14" s="36">
        <f>VLOOKUP($A14,[18]HISTOSEPT23!$A$6:$AU$36,27,0)</f>
        <v>0</v>
      </c>
      <c r="X14" s="36">
        <f>VLOOKUP($A14,[18]HISTOSEPT23!$A$6:$BM$36,33,0)</f>
        <v>0</v>
      </c>
      <c r="Y14" s="36">
        <f>VLOOKUP($A14,[18]HISTOSEPT23!$A$6:$BM$36,65,0)</f>
        <v>0</v>
      </c>
      <c r="Z14" s="36"/>
      <c r="AA14" s="36">
        <f>VLOOKUP($A14,[18]HISTOSEPT23!$A$6:$AU$36,43,0)</f>
        <v>0</v>
      </c>
      <c r="AB14" s="36">
        <f>VLOOKUP($A14,[18]HISTOSEPT23!$A$6:$AU$36,44,0)</f>
        <v>0</v>
      </c>
      <c r="AC14" s="36">
        <f>VLOOKUP($A14,[18]HISTOSEPT23!$A$6:$AU$36,47,0)</f>
        <v>0</v>
      </c>
      <c r="AD14" s="36">
        <f>VLOOKUP(A14,[18]HISTOSEPT23!$A$6:$BB$36,54,0)</f>
        <v>0</v>
      </c>
      <c r="AE14" s="36">
        <f>VLOOKUP($A14,[18]HISTOSEPT23!$A$6:$CA$36,60,0)</f>
        <v>0</v>
      </c>
      <c r="AF14" s="36">
        <f>VLOOKUP($A14,[18]HISTOSEPT23!$A$6:$CA$36,61,0)</f>
        <v>0</v>
      </c>
      <c r="AG14" s="36">
        <f>VLOOKUP($A14,[18]HISTOSEPT23!$A$6:$CA$36,62,0)</f>
        <v>0</v>
      </c>
      <c r="AH14" s="36">
        <f>VLOOKUP($A14,[18]HISTOSEPT23!$A$6:$CA$36,63,0)</f>
        <v>0</v>
      </c>
      <c r="AI14" s="36">
        <f>VLOOKUP($A14,[18]HISTOSEPT23!$A$6:$CA$36,64,0)</f>
        <v>0</v>
      </c>
      <c r="AJ14" s="36">
        <f>VLOOKUP($A14,[18]HISTOSEPT23!$A$6:$CA$36,65,0)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VLOOKUP($A15,[18]HISTOSEPT23!$A$6:$BA$36,48,0)</f>
        <v>0</v>
      </c>
      <c r="F15" s="5">
        <f>MVTAOUT23!F15+MVTAOUT23!G15-MVTSEPT23!E15+K15</f>
        <v>788293.53418121114</v>
      </c>
      <c r="G15" s="6">
        <f t="shared" si="0"/>
        <v>0</v>
      </c>
      <c r="H15" s="6">
        <f t="shared" si="1"/>
        <v>788293.53418121114</v>
      </c>
      <c r="I15" s="36">
        <f>VLOOKUP($A15,[18]HISTOSEPT23!$A$6:$AQ$40,22,0)</f>
        <v>0</v>
      </c>
      <c r="J15" s="36">
        <f>VLOOKUP($A15,[18]HISTOSEPT23!$A$6:$AU$36,45,0)</f>
        <v>15000</v>
      </c>
      <c r="K15" s="36">
        <f t="shared" si="2"/>
        <v>9000</v>
      </c>
      <c r="L15" s="36">
        <f t="shared" si="4"/>
        <v>1000</v>
      </c>
      <c r="M15" s="36">
        <f t="shared" si="3"/>
        <v>1000</v>
      </c>
      <c r="N15" s="36">
        <f t="shared" si="5"/>
        <v>4000</v>
      </c>
      <c r="O15" s="36">
        <f>VLOOKUP($A15,[18]HISTOSEPT23!$A$6:$AU$36,7,0)</f>
        <v>0</v>
      </c>
      <c r="P15" s="36">
        <f>VLOOKUP($A15,[18]HISTOSEPT23!$A$6:$AU$36,23,0)</f>
        <v>0</v>
      </c>
      <c r="Q15" s="36">
        <f>VLOOKUP($A15,[18]HISTOSEPT23!$A$6:$AU$36,46,0)</f>
        <v>0</v>
      </c>
      <c r="R15" s="36">
        <f>VLOOKUP($A15,[18]HISTOSEPT23!$A$6:$AU$36,26,0)</f>
        <v>0</v>
      </c>
      <c r="S15" s="36">
        <f>VLOOKUP($A15,[18]HISTOSEPT23!$A$6:$BG$36,58,0)</f>
        <v>0</v>
      </c>
      <c r="T15" s="36">
        <f>VLOOKUP($A15,[18]HISTOSEPT23!$A$6:$AU$36,28,0)</f>
        <v>0</v>
      </c>
      <c r="U15" s="36">
        <f>VLOOKUP($A15,[18]HISTOSEPT23!$A$6:$AU$36,19,0)</f>
        <v>0</v>
      </c>
      <c r="V15" s="36">
        <f>VLOOKUP($A15,[18]HISTOSEPT23!$A$6:$AU$36,20,0)</f>
        <v>0</v>
      </c>
      <c r="W15" s="36">
        <f>VLOOKUP($A15,[18]HISTOSEPT23!$A$6:$AU$36,27,0)</f>
        <v>0</v>
      </c>
      <c r="X15" s="36">
        <f>VLOOKUP($A15,[18]HISTOSEPT23!$A$6:$BM$36,33,0)</f>
        <v>0</v>
      </c>
      <c r="Y15" s="36">
        <f>VLOOKUP($A15,[18]HISTOSEPT23!$A$6:$BM$36,65,0)</f>
        <v>0</v>
      </c>
      <c r="Z15" s="36"/>
      <c r="AA15" s="36">
        <f>VLOOKUP($A15,[18]HISTOSEPT23!$A$6:$AU$36,43,0)</f>
        <v>0</v>
      </c>
      <c r="AB15" s="36">
        <f>VLOOKUP($A15,[18]HISTOSEPT23!$A$6:$AU$36,44,0)</f>
        <v>0</v>
      </c>
      <c r="AC15" s="36">
        <f>VLOOKUP($A15,[18]HISTOSEPT23!$A$6:$AU$36,47,0)</f>
        <v>0</v>
      </c>
      <c r="AD15" s="36">
        <f>VLOOKUP(A15,[18]HISTOSEPT23!$A$6:$BB$36,54,0)</f>
        <v>0</v>
      </c>
      <c r="AE15" s="36">
        <f>VLOOKUP($A15,[18]HISTOSEPT23!$A$6:$CA$36,60,0)</f>
        <v>0</v>
      </c>
      <c r="AF15" s="36">
        <f>VLOOKUP($A15,[18]HISTOSEPT23!$A$6:$CA$36,61,0)</f>
        <v>0</v>
      </c>
      <c r="AG15" s="36">
        <f>VLOOKUP($A15,[18]HISTOSEPT23!$A$6:$CA$36,62,0)</f>
        <v>0</v>
      </c>
      <c r="AH15" s="36">
        <f>VLOOKUP($A15,[18]HISTOSEPT23!$A$6:$CA$36,63,0)</f>
        <v>0</v>
      </c>
      <c r="AI15" s="36">
        <f>VLOOKUP($A15,[18]HISTOSEPT23!$A$6:$CA$36,64,0)</f>
        <v>0</v>
      </c>
      <c r="AJ15" s="36">
        <f>VLOOKUP($A15,[18]HISTOSEPT23!$A$6:$CA$36,65,0)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VLOOKUP($A16,[18]HISTOSEPT23!$A$6:$BA$36,48,0)</f>
        <v>0</v>
      </c>
      <c r="F16" s="5">
        <f>MVTAOUT23!F16+MVTAOUT23!G16-MVTSEPT23!E16+K16</f>
        <v>1048830.0363874398</v>
      </c>
      <c r="G16" s="6">
        <f t="shared" si="0"/>
        <v>0</v>
      </c>
      <c r="H16" s="6">
        <f t="shared" si="1"/>
        <v>1048830.0363874398</v>
      </c>
      <c r="I16" s="36">
        <f>VLOOKUP($A16,[18]HISTOSEPT23!$A$6:$AQ$40,22,0)</f>
        <v>0</v>
      </c>
      <c r="J16" s="36">
        <f>VLOOKUP($A16,[18]HISTOSEPT23!$A$6:$AU$36,45,0)</f>
        <v>50000</v>
      </c>
      <c r="K16" s="36">
        <f t="shared" si="2"/>
        <v>44000</v>
      </c>
      <c r="L16" s="36">
        <f t="shared" si="4"/>
        <v>1000</v>
      </c>
      <c r="M16" s="36">
        <f t="shared" si="3"/>
        <v>1000</v>
      </c>
      <c r="N16" s="36">
        <f t="shared" si="5"/>
        <v>4000</v>
      </c>
      <c r="O16" s="36">
        <f>VLOOKUP($A16,[18]HISTOSEPT23!$A$6:$AU$36,7,0)</f>
        <v>0</v>
      </c>
      <c r="P16" s="36">
        <f>VLOOKUP($A16,[18]HISTOSEPT23!$A$6:$AU$36,23,0)</f>
        <v>0</v>
      </c>
      <c r="Q16" s="36">
        <f>VLOOKUP($A16,[18]HISTOSEPT23!$A$6:$AU$36,46,0)</f>
        <v>0</v>
      </c>
      <c r="R16" s="36">
        <f>VLOOKUP($A16,[18]HISTOSEPT23!$A$6:$AU$36,26,0)</f>
        <v>0</v>
      </c>
      <c r="S16" s="36">
        <f>VLOOKUP($A16,[18]HISTOSEPT23!$A$6:$BG$36,58,0)</f>
        <v>0</v>
      </c>
      <c r="T16" s="36">
        <f>VLOOKUP($A16,[18]HISTOSEPT23!$A$6:$AU$36,28,0)</f>
        <v>0</v>
      </c>
      <c r="U16" s="36">
        <f>VLOOKUP($A16,[18]HISTOSEPT23!$A$6:$AU$36,19,0)</f>
        <v>0</v>
      </c>
      <c r="V16" s="36">
        <f>VLOOKUP($A16,[18]HISTOSEPT23!$A$6:$AU$36,20,0)</f>
        <v>0</v>
      </c>
      <c r="W16" s="36">
        <f>VLOOKUP($A16,[18]HISTOSEPT23!$A$6:$AU$36,27,0)</f>
        <v>0</v>
      </c>
      <c r="X16" s="36">
        <f>VLOOKUP($A16,[18]HISTOSEPT23!$A$6:$BM$36,33,0)</f>
        <v>0</v>
      </c>
      <c r="Y16" s="36">
        <f>VLOOKUP($A16,[18]HISTOSEPT23!$A$6:$BM$36,65,0)</f>
        <v>0</v>
      </c>
      <c r="Z16" s="36"/>
      <c r="AA16" s="36">
        <f>VLOOKUP($A16,[18]HISTOSEPT23!$A$6:$AU$36,43,0)</f>
        <v>0</v>
      </c>
      <c r="AB16" s="36">
        <f>VLOOKUP($A16,[18]HISTOSEPT23!$A$6:$AU$36,44,0)</f>
        <v>0</v>
      </c>
      <c r="AC16" s="36">
        <f>VLOOKUP($A16,[18]HISTOSEPT23!$A$6:$AU$36,47,0)</f>
        <v>0</v>
      </c>
      <c r="AD16" s="36">
        <f>VLOOKUP(A16,[18]HISTOSEPT23!$A$6:$BB$36,54,0)</f>
        <v>0</v>
      </c>
      <c r="AE16" s="36">
        <f>VLOOKUP($A16,[18]HISTOSEPT23!$A$6:$CA$36,60,0)</f>
        <v>0</v>
      </c>
      <c r="AF16" s="36">
        <f>VLOOKUP($A16,[18]HISTOSEPT23!$A$6:$CA$36,61,0)</f>
        <v>0</v>
      </c>
      <c r="AG16" s="36">
        <f>VLOOKUP($A16,[18]HISTOSEPT23!$A$6:$CA$36,62,0)</f>
        <v>0</v>
      </c>
      <c r="AH16" s="36">
        <f>VLOOKUP($A16,[18]HISTOSEPT23!$A$6:$CA$36,63,0)</f>
        <v>0</v>
      </c>
      <c r="AI16" s="36">
        <f>VLOOKUP($A16,[18]HISTOSEPT23!$A$6:$CA$36,64,0)</f>
        <v>0</v>
      </c>
      <c r="AJ16" s="36">
        <f>VLOOKUP($A16,[18]HISTOSEPT23!$A$6:$CA$36,65,0)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VLOOKUP($A17,[18]HISTOSEPT23!$A$6:$BA$36,48,0)</f>
        <v>0</v>
      </c>
      <c r="F17" s="5">
        <f>MVTAOUT23!F17+MVTAOUT23!G17-MVTSEPT23!E17+K17</f>
        <v>790659.45906453766</v>
      </c>
      <c r="G17" s="6">
        <f t="shared" si="0"/>
        <v>0</v>
      </c>
      <c r="H17" s="6">
        <f t="shared" si="1"/>
        <v>790659.45906453766</v>
      </c>
      <c r="I17" s="36">
        <f>VLOOKUP($A17,[18]HISTOSEPT23!$A$6:$AQ$40,22,0)</f>
        <v>0</v>
      </c>
      <c r="J17" s="36">
        <f>VLOOKUP($A17,[18]HISTOSEPT23!$A$6:$AU$36,45,0)</f>
        <v>15000</v>
      </c>
      <c r="K17" s="36">
        <f t="shared" si="2"/>
        <v>9000</v>
      </c>
      <c r="L17" s="36">
        <f t="shared" si="4"/>
        <v>1000</v>
      </c>
      <c r="M17" s="36">
        <f t="shared" si="3"/>
        <v>1000</v>
      </c>
      <c r="N17" s="36">
        <f t="shared" si="5"/>
        <v>4000</v>
      </c>
      <c r="O17" s="36">
        <f>VLOOKUP($A17,[18]HISTOSEPT23!$A$6:$AU$36,7,0)</f>
        <v>0</v>
      </c>
      <c r="P17" s="36">
        <f>VLOOKUP($A17,[18]HISTOSEPT23!$A$6:$AU$36,23,0)</f>
        <v>0</v>
      </c>
      <c r="Q17" s="36">
        <f>VLOOKUP($A17,[18]HISTOSEPT23!$A$6:$AU$36,46,0)</f>
        <v>0</v>
      </c>
      <c r="R17" s="36">
        <f>VLOOKUP($A17,[18]HISTOSEPT23!$A$6:$AU$36,26,0)</f>
        <v>0</v>
      </c>
      <c r="S17" s="36">
        <f>VLOOKUP($A17,[18]HISTOSEPT23!$A$6:$BG$36,58,0)</f>
        <v>0</v>
      </c>
      <c r="T17" s="36">
        <f>VLOOKUP($A17,[18]HISTOSEPT23!$A$6:$AU$36,28,0)</f>
        <v>0</v>
      </c>
      <c r="U17" s="36">
        <f>VLOOKUP($A17,[18]HISTOSEPT23!$A$6:$AU$36,19,0)</f>
        <v>0</v>
      </c>
      <c r="V17" s="36">
        <f>VLOOKUP($A17,[18]HISTOSEPT23!$A$6:$AU$36,20,0)</f>
        <v>0</v>
      </c>
      <c r="W17" s="36">
        <f>VLOOKUP($A17,[18]HISTOSEPT23!$A$6:$AU$36,27,0)</f>
        <v>0</v>
      </c>
      <c r="X17" s="36">
        <f>VLOOKUP($A17,[18]HISTOSEPT23!$A$6:$BM$36,33,0)</f>
        <v>0</v>
      </c>
      <c r="Y17" s="36">
        <f>VLOOKUP($A17,[18]HISTOSEPT23!$A$6:$BM$36,65,0)</f>
        <v>0</v>
      </c>
      <c r="Z17" s="36"/>
      <c r="AA17" s="36">
        <f>VLOOKUP($A17,[18]HISTOSEPT23!$A$6:$AU$36,43,0)</f>
        <v>0</v>
      </c>
      <c r="AB17" s="36">
        <f>VLOOKUP($A17,[18]HISTOSEPT23!$A$6:$AU$36,44,0)</f>
        <v>0</v>
      </c>
      <c r="AC17" s="36">
        <f>VLOOKUP($A17,[18]HISTOSEPT23!$A$6:$AU$36,47,0)</f>
        <v>0</v>
      </c>
      <c r="AD17" s="36">
        <f>VLOOKUP(A17,[18]HISTOSEPT23!$A$6:$BB$36,54,0)</f>
        <v>0</v>
      </c>
      <c r="AE17" s="36">
        <f>VLOOKUP($A17,[18]HISTOSEPT23!$A$6:$CA$36,60,0)</f>
        <v>0</v>
      </c>
      <c r="AF17" s="36">
        <f>VLOOKUP($A17,[18]HISTOSEPT23!$A$6:$CA$36,61,0)</f>
        <v>0</v>
      </c>
      <c r="AG17" s="36">
        <f>VLOOKUP($A17,[18]HISTOSEPT23!$A$6:$CA$36,62,0)</f>
        <v>0</v>
      </c>
      <c r="AH17" s="36">
        <f>VLOOKUP($A17,[18]HISTOSEPT23!$A$6:$CA$36,63,0)</f>
        <v>0</v>
      </c>
      <c r="AI17" s="36">
        <f>VLOOKUP($A17,[18]HISTOSEPT23!$A$6:$CA$36,64,0)</f>
        <v>0</v>
      </c>
      <c r="AJ17" s="36">
        <f>VLOOKUP($A17,[18]HISTOSEPT23!$A$6:$CA$36,65,0)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VLOOKUP($A18,[18]HISTOSEPT23!$A$6:$BA$36,48,0)</f>
        <v>0</v>
      </c>
      <c r="F18" s="5">
        <f>MVTAOUT23!F18+MVTAOUT23!G18-MVTSEPT23!E18+K18</f>
        <v>739859.40983725665</v>
      </c>
      <c r="G18" s="6">
        <f t="shared" si="0"/>
        <v>0</v>
      </c>
      <c r="H18" s="6">
        <f t="shared" si="1"/>
        <v>739859.40983725665</v>
      </c>
      <c r="I18" s="36">
        <f>VLOOKUP($A18,[18]HISTOSEPT23!$A$6:$AQ$40,22,0)</f>
        <v>0</v>
      </c>
      <c r="J18" s="36">
        <f>VLOOKUP($A18,[18]HISTOSEPT23!$A$6:$AU$36,45,0)</f>
        <v>15000</v>
      </c>
      <c r="K18" s="36">
        <f t="shared" si="2"/>
        <v>9000</v>
      </c>
      <c r="L18" s="36">
        <f t="shared" si="4"/>
        <v>1000</v>
      </c>
      <c r="M18" s="36">
        <f t="shared" si="3"/>
        <v>1000</v>
      </c>
      <c r="N18" s="36">
        <f t="shared" si="5"/>
        <v>4000</v>
      </c>
      <c r="O18" s="36">
        <f>VLOOKUP($A18,[18]HISTOSEPT23!$A$6:$AU$36,7,0)</f>
        <v>0</v>
      </c>
      <c r="P18" s="36">
        <f>VLOOKUP($A18,[18]HISTOSEPT23!$A$6:$AU$36,23,0)</f>
        <v>0</v>
      </c>
      <c r="Q18" s="36">
        <f>VLOOKUP($A18,[18]HISTOSEPT23!$A$6:$AU$36,46,0)</f>
        <v>0</v>
      </c>
      <c r="R18" s="36">
        <f>VLOOKUP($A18,[18]HISTOSEPT23!$A$6:$AU$36,26,0)</f>
        <v>0</v>
      </c>
      <c r="S18" s="36">
        <f>VLOOKUP($A18,[18]HISTOSEPT23!$A$6:$BG$36,58,0)</f>
        <v>0</v>
      </c>
      <c r="T18" s="36">
        <f>VLOOKUP($A18,[18]HISTOSEPT23!$A$6:$AU$36,28,0)</f>
        <v>0</v>
      </c>
      <c r="U18" s="36">
        <f>VLOOKUP($A18,[18]HISTOSEPT23!$A$6:$AU$36,19,0)</f>
        <v>100000</v>
      </c>
      <c r="V18" s="36" t="str">
        <f>VLOOKUP($A18,[18]HISTOSEPT23!$A$6:$AU$36,20,0)</f>
        <v>BANQUE</v>
      </c>
      <c r="W18" s="36">
        <f>VLOOKUP($A18,[18]HISTOSEPT23!$A$6:$AU$36,27,0)</f>
        <v>0</v>
      </c>
      <c r="X18" s="36">
        <f>VLOOKUP($A18,[18]HISTOSEPT23!$A$6:$BM$36,33,0)</f>
        <v>0</v>
      </c>
      <c r="Y18" s="36">
        <f>VLOOKUP($A18,[18]HISTOSEPT23!$A$6:$BM$36,65,0)</f>
        <v>0</v>
      </c>
      <c r="Z18" s="36"/>
      <c r="AA18" s="36">
        <f>VLOOKUP($A18,[18]HISTOSEPT23!$A$6:$AU$36,43,0)</f>
        <v>0</v>
      </c>
      <c r="AB18" s="36">
        <f>VLOOKUP($A18,[18]HISTOSEPT23!$A$6:$AU$36,44,0)</f>
        <v>0</v>
      </c>
      <c r="AC18" s="36">
        <f>VLOOKUP($A18,[18]HISTOSEPT23!$A$6:$AU$36,47,0)</f>
        <v>0</v>
      </c>
      <c r="AD18" s="36">
        <f>VLOOKUP(A18,[18]HISTOSEPT23!$A$6:$BB$36,54,0)</f>
        <v>0</v>
      </c>
      <c r="AE18" s="36">
        <f>VLOOKUP($A18,[18]HISTOSEPT23!$A$6:$CA$36,60,0)</f>
        <v>0</v>
      </c>
      <c r="AF18" s="36">
        <f>VLOOKUP($A18,[18]HISTOSEPT23!$A$6:$CA$36,61,0)</f>
        <v>0</v>
      </c>
      <c r="AG18" s="36">
        <f>VLOOKUP($A18,[18]HISTOSEPT23!$A$6:$CA$36,62,0)</f>
        <v>0</v>
      </c>
      <c r="AH18" s="36">
        <f>VLOOKUP($A18,[18]HISTOSEPT23!$A$6:$CA$36,63,0)</f>
        <v>0</v>
      </c>
      <c r="AI18" s="36">
        <f>VLOOKUP($A18,[18]HISTOSEPT23!$A$6:$CA$36,64,0)</f>
        <v>0</v>
      </c>
      <c r="AJ18" s="36">
        <f>VLOOKUP($A18,[18]HISTOSEPT23!$A$6:$CA$36,65,0)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VLOOKUP($A19,[18]HISTOSEPT23!$A$6:$BA$36,48,0)</f>
        <v>0</v>
      </c>
      <c r="F19" s="5">
        <f>MVTAOUT23!F19+MVTAOUT23!G19-MVTSEPT23!E19+K19</f>
        <v>733652.76328907593</v>
      </c>
      <c r="G19" s="6">
        <f t="shared" si="0"/>
        <v>0</v>
      </c>
      <c r="H19" s="6">
        <f t="shared" si="1"/>
        <v>733652.76328907593</v>
      </c>
      <c r="I19" s="36">
        <f>VLOOKUP($A19,[18]HISTOSEPT23!$A$6:$AQ$40,22,0)</f>
        <v>0</v>
      </c>
      <c r="J19" s="36">
        <f>VLOOKUP($A19,[18]HISTOSEPT23!$A$6:$AU$36,45,0)</f>
        <v>15000</v>
      </c>
      <c r="K19" s="36">
        <f t="shared" si="2"/>
        <v>9000</v>
      </c>
      <c r="L19" s="36">
        <f t="shared" si="4"/>
        <v>1000</v>
      </c>
      <c r="M19" s="36">
        <f t="shared" si="3"/>
        <v>1000</v>
      </c>
      <c r="N19" s="36">
        <f t="shared" si="5"/>
        <v>4000</v>
      </c>
      <c r="O19" s="36">
        <f>VLOOKUP($A19,[18]HISTOSEPT23!$A$6:$AU$36,7,0)</f>
        <v>0</v>
      </c>
      <c r="P19" s="36">
        <f>VLOOKUP($A19,[18]HISTOSEPT23!$A$6:$AU$36,23,0)</f>
        <v>0</v>
      </c>
      <c r="Q19" s="36">
        <f>VLOOKUP($A19,[18]HISTOSEPT23!$A$6:$AU$36,46,0)</f>
        <v>0</v>
      </c>
      <c r="R19" s="36">
        <f>VLOOKUP($A19,[18]HISTOSEPT23!$A$6:$AU$36,26,0)</f>
        <v>0</v>
      </c>
      <c r="S19" s="36">
        <f>VLOOKUP($A19,[18]HISTOSEPT23!$A$6:$BG$36,58,0)</f>
        <v>0</v>
      </c>
      <c r="T19" s="36">
        <f>VLOOKUP($A19,[18]HISTOSEPT23!$A$6:$AU$36,28,0)</f>
        <v>0</v>
      </c>
      <c r="U19" s="36">
        <f>VLOOKUP($A19,[18]HISTOSEPT23!$A$6:$AU$36,19,0)</f>
        <v>0</v>
      </c>
      <c r="V19" s="36">
        <f>VLOOKUP($A19,[18]HISTOSEPT23!$A$6:$AU$36,20,0)</f>
        <v>0</v>
      </c>
      <c r="W19" s="36">
        <f>VLOOKUP($A19,[18]HISTOSEPT23!$A$6:$AU$36,27,0)</f>
        <v>0</v>
      </c>
      <c r="X19" s="36">
        <f>VLOOKUP($A19,[18]HISTOSEPT23!$A$6:$BM$36,33,0)</f>
        <v>0</v>
      </c>
      <c r="Y19" s="36">
        <f>VLOOKUP($A19,[18]HISTOSEPT23!$A$6:$BM$36,65,0)</f>
        <v>0</v>
      </c>
      <c r="Z19" s="36"/>
      <c r="AA19" s="36">
        <f>VLOOKUP($A19,[18]HISTOSEPT23!$A$6:$AU$36,43,0)</f>
        <v>0</v>
      </c>
      <c r="AB19" s="36">
        <f>VLOOKUP($A19,[18]HISTOSEPT23!$A$6:$AU$36,44,0)</f>
        <v>0</v>
      </c>
      <c r="AC19" s="36">
        <f>VLOOKUP($A19,[18]HISTOSEPT23!$A$6:$AU$36,47,0)</f>
        <v>0</v>
      </c>
      <c r="AD19" s="36">
        <f>VLOOKUP(A19,[18]HISTOSEPT23!$A$6:$BB$36,54,0)</f>
        <v>0</v>
      </c>
      <c r="AE19" s="36">
        <f>VLOOKUP($A19,[18]HISTOSEPT23!$A$6:$CA$36,60,0)</f>
        <v>0</v>
      </c>
      <c r="AF19" s="36">
        <f>VLOOKUP($A19,[18]HISTOSEPT23!$A$6:$CA$36,61,0)</f>
        <v>0</v>
      </c>
      <c r="AG19" s="36">
        <f>VLOOKUP($A19,[18]HISTOSEPT23!$A$6:$CA$36,62,0)</f>
        <v>0</v>
      </c>
      <c r="AH19" s="36">
        <f>VLOOKUP($A19,[18]HISTOSEPT23!$A$6:$CA$36,63,0)</f>
        <v>0</v>
      </c>
      <c r="AI19" s="36">
        <f>VLOOKUP($A19,[18]HISTOSEPT23!$A$6:$CA$36,64,0)</f>
        <v>0</v>
      </c>
      <c r="AJ19" s="36">
        <f>VLOOKUP($A19,[18]HISTOSEPT23!$A$6:$CA$36,65,0)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VLOOKUP($A20,[18]HISTOSEPT23!$A$6:$BA$36,48,0)</f>
        <v>0</v>
      </c>
      <c r="F20" s="5">
        <f>MVTAOUT23!F20+MVTAOUT23!G20-MVTSEPT23!E20+K20</f>
        <v>785105.74082386377</v>
      </c>
      <c r="G20" s="6">
        <f t="shared" si="0"/>
        <v>0</v>
      </c>
      <c r="H20" s="6">
        <f t="shared" si="1"/>
        <v>785105.74082386377</v>
      </c>
      <c r="I20" s="36">
        <f>VLOOKUP($A20,[18]HISTOSEPT23!$A$6:$AQ$40,22,0)</f>
        <v>0</v>
      </c>
      <c r="J20" s="36">
        <f>VLOOKUP($A20,[18]HISTOSEPT23!$A$6:$AU$36,45,0)</f>
        <v>14500</v>
      </c>
      <c r="K20" s="36">
        <f t="shared" si="2"/>
        <v>8500</v>
      </c>
      <c r="L20" s="36">
        <f t="shared" si="4"/>
        <v>1000</v>
      </c>
      <c r="M20" s="36">
        <f t="shared" si="3"/>
        <v>1000</v>
      </c>
      <c r="N20" s="36">
        <f t="shared" si="5"/>
        <v>4000</v>
      </c>
      <c r="O20" s="36">
        <f>VLOOKUP($A20,[18]HISTOSEPT23!$A$6:$AU$36,7,0)</f>
        <v>0</v>
      </c>
      <c r="P20" s="36">
        <f>VLOOKUP($A20,[18]HISTOSEPT23!$A$6:$AU$36,23,0)</f>
        <v>0</v>
      </c>
      <c r="Q20" s="36">
        <f>VLOOKUP($A20,[18]HISTOSEPT23!$A$6:$AU$36,46,0)</f>
        <v>0</v>
      </c>
      <c r="R20" s="36">
        <f>VLOOKUP($A20,[18]HISTOSEPT23!$A$6:$AU$36,26,0)</f>
        <v>0</v>
      </c>
      <c r="S20" s="36">
        <f>VLOOKUP($A20,[18]HISTOSEPT23!$A$6:$BG$36,58,0)</f>
        <v>0</v>
      </c>
      <c r="T20" s="36">
        <f>VLOOKUP($A20,[18]HISTOSEPT23!$A$6:$AU$36,28,0)</f>
        <v>0</v>
      </c>
      <c r="U20" s="36">
        <f>VLOOKUP($A20,[18]HISTOSEPT23!$A$6:$AU$36,19,0)</f>
        <v>0</v>
      </c>
      <c r="V20" s="36">
        <f>VLOOKUP($A20,[18]HISTOSEPT23!$A$6:$AU$36,20,0)</f>
        <v>0</v>
      </c>
      <c r="W20" s="36">
        <f>VLOOKUP($A20,[18]HISTOSEPT23!$A$6:$AU$36,27,0)</f>
        <v>0</v>
      </c>
      <c r="X20" s="36">
        <f>VLOOKUP($A20,[18]HISTOSEPT23!$A$6:$BM$36,33,0)</f>
        <v>0</v>
      </c>
      <c r="Y20" s="36">
        <f>VLOOKUP($A20,[18]HISTOSEPT23!$A$6:$BM$36,65,0)</f>
        <v>0</v>
      </c>
      <c r="Z20" s="36"/>
      <c r="AA20" s="36">
        <f>VLOOKUP($A20,[18]HISTOSEPT23!$A$6:$AU$36,43,0)</f>
        <v>0</v>
      </c>
      <c r="AB20" s="36">
        <f>VLOOKUP($A20,[18]HISTOSEPT23!$A$6:$AU$36,44,0)</f>
        <v>0</v>
      </c>
      <c r="AC20" s="36">
        <f>VLOOKUP($A20,[18]HISTOSEPT23!$A$6:$AU$36,47,0)</f>
        <v>0</v>
      </c>
      <c r="AD20" s="36">
        <f>VLOOKUP(A20,[18]HISTOSEPT23!$A$6:$BB$36,54,0)</f>
        <v>0</v>
      </c>
      <c r="AE20" s="36">
        <f>VLOOKUP($A20,[18]HISTOSEPT23!$A$6:$CA$36,60,0)</f>
        <v>0</v>
      </c>
      <c r="AF20" s="36">
        <f>VLOOKUP($A20,[18]HISTOSEPT23!$A$6:$CA$36,61,0)</f>
        <v>0</v>
      </c>
      <c r="AG20" s="36">
        <f>VLOOKUP($A20,[18]HISTOSEPT23!$A$6:$CA$36,62,0)</f>
        <v>0</v>
      </c>
      <c r="AH20" s="36">
        <f>VLOOKUP($A20,[18]HISTOSEPT23!$A$6:$CA$36,63,0)</f>
        <v>0</v>
      </c>
      <c r="AI20" s="36">
        <f>VLOOKUP($A20,[18]HISTOSEPT23!$A$6:$CA$36,64,0)</f>
        <v>0</v>
      </c>
      <c r="AJ20" s="36">
        <f>VLOOKUP($A20,[18]HISTOSEPT23!$A$6:$CA$36,65,0)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VLOOKUP($A21,[18]HISTOSEPT23!$A$6:$BA$36,48,0)</f>
        <v>0</v>
      </c>
      <c r="F21" s="5">
        <f>MVTAOUT23!F21+MVTAOUT23!G21-MVTSEPT23!E21+K21</f>
        <v>788543.65137116984</v>
      </c>
      <c r="G21" s="6">
        <f t="shared" si="0"/>
        <v>0</v>
      </c>
      <c r="H21" s="6">
        <f t="shared" si="1"/>
        <v>788543.65137116984</v>
      </c>
      <c r="I21" s="36">
        <f>VLOOKUP($A21,[18]HISTOSEPT23!$A$6:$AQ$40,22,0)</f>
        <v>0</v>
      </c>
      <c r="J21" s="36">
        <f>VLOOKUP($A21,[18]HISTOSEPT23!$A$6:$AU$36,45,0)</f>
        <v>15000</v>
      </c>
      <c r="K21" s="36">
        <f t="shared" si="2"/>
        <v>9000</v>
      </c>
      <c r="L21" s="36">
        <f t="shared" si="4"/>
        <v>1000</v>
      </c>
      <c r="M21" s="36">
        <f t="shared" si="3"/>
        <v>1000</v>
      </c>
      <c r="N21" s="36">
        <f t="shared" si="5"/>
        <v>4000</v>
      </c>
      <c r="O21" s="36">
        <f>VLOOKUP($A21,[18]HISTOSEPT23!$A$6:$AU$36,7,0)</f>
        <v>0</v>
      </c>
      <c r="P21" s="36">
        <f>VLOOKUP($A21,[18]HISTOSEPT23!$A$6:$AU$36,23,0)</f>
        <v>0</v>
      </c>
      <c r="Q21" s="36">
        <f>VLOOKUP($A21,[18]HISTOSEPT23!$A$6:$AU$36,46,0)</f>
        <v>0</v>
      </c>
      <c r="R21" s="36">
        <f>VLOOKUP($A21,[18]HISTOSEPT23!$A$6:$AU$36,26,0)</f>
        <v>0</v>
      </c>
      <c r="S21" s="36">
        <f>VLOOKUP($A21,[18]HISTOSEPT23!$A$6:$BG$36,58,0)</f>
        <v>0</v>
      </c>
      <c r="T21" s="36">
        <f>VLOOKUP($A21,[18]HISTOSEPT23!$A$6:$AU$36,28,0)</f>
        <v>0</v>
      </c>
      <c r="U21" s="36">
        <f>VLOOKUP($A21,[18]HISTOSEPT23!$A$6:$AU$36,19,0)</f>
        <v>0</v>
      </c>
      <c r="V21" s="36">
        <f>VLOOKUP($A21,[18]HISTOSEPT23!$A$6:$AU$36,20,0)</f>
        <v>0</v>
      </c>
      <c r="W21" s="36">
        <f>VLOOKUP($A21,[18]HISTOSEPT23!$A$6:$AU$36,27,0)</f>
        <v>0</v>
      </c>
      <c r="X21" s="36">
        <f>VLOOKUP($A21,[18]HISTOSEPT23!$A$6:$BM$36,33,0)</f>
        <v>0</v>
      </c>
      <c r="Y21" s="36">
        <f>VLOOKUP($A21,[18]HISTOSEPT23!$A$6:$BM$36,65,0)</f>
        <v>0</v>
      </c>
      <c r="Z21" s="36"/>
      <c r="AA21" s="36">
        <f>VLOOKUP($A21,[18]HISTOSEPT23!$A$6:$AU$36,43,0)</f>
        <v>0</v>
      </c>
      <c r="AB21" s="36">
        <f>VLOOKUP($A21,[18]HISTOSEPT23!$A$6:$AU$36,44,0)</f>
        <v>0</v>
      </c>
      <c r="AC21" s="36">
        <f>VLOOKUP($A21,[18]HISTOSEPT23!$A$6:$AU$36,47,0)</f>
        <v>0</v>
      </c>
      <c r="AD21" s="36">
        <f>VLOOKUP(A21,[18]HISTOSEPT23!$A$6:$BB$36,54,0)</f>
        <v>0</v>
      </c>
      <c r="AE21" s="36">
        <f>VLOOKUP($A21,[18]HISTOSEPT23!$A$6:$CA$36,60,0)</f>
        <v>0</v>
      </c>
      <c r="AF21" s="36">
        <f>VLOOKUP($A21,[18]HISTOSEPT23!$A$6:$CA$36,61,0)</f>
        <v>0</v>
      </c>
      <c r="AG21" s="36">
        <f>VLOOKUP($A21,[18]HISTOSEPT23!$A$6:$CA$36,62,0)</f>
        <v>0</v>
      </c>
      <c r="AH21" s="36">
        <f>VLOOKUP($A21,[18]HISTOSEPT23!$A$6:$CA$36,63,0)</f>
        <v>0</v>
      </c>
      <c r="AI21" s="36">
        <f>VLOOKUP($A21,[18]HISTOSEPT23!$A$6:$CA$36,64,0)</f>
        <v>0</v>
      </c>
      <c r="AJ21" s="36">
        <f>VLOOKUP($A21,[18]HISTOSEPT23!$A$6:$CA$36,65,0)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VLOOKUP($A22,[18]HISTOSEPT23!$A$6:$BA$36,48,0)</f>
        <v>0</v>
      </c>
      <c r="F22" s="5">
        <f>MVTAOUT23!F22+MVTAOUT23!G22-MVTSEPT23!E22+K22</f>
        <v>885722.58495751268</v>
      </c>
      <c r="G22" s="6">
        <f t="shared" si="0"/>
        <v>0</v>
      </c>
      <c r="H22" s="6">
        <f t="shared" si="1"/>
        <v>885722.58495751268</v>
      </c>
      <c r="I22" s="36">
        <f>VLOOKUP($A22,[18]HISTOSEPT23!$A$6:$AQ$40,22,0)</f>
        <v>0</v>
      </c>
      <c r="J22" s="36">
        <f>VLOOKUP($A22,[18]HISTOSEPT23!$A$6:$AU$36,45,0)</f>
        <v>15000</v>
      </c>
      <c r="K22" s="36">
        <f t="shared" si="2"/>
        <v>9000</v>
      </c>
      <c r="L22" s="36">
        <f t="shared" si="4"/>
        <v>1000</v>
      </c>
      <c r="M22" s="36">
        <f t="shared" si="3"/>
        <v>1000</v>
      </c>
      <c r="N22" s="36">
        <f t="shared" si="5"/>
        <v>4000</v>
      </c>
      <c r="O22" s="36">
        <f>VLOOKUP($A22,[18]HISTOSEPT23!$A$6:$AU$36,7,0)</f>
        <v>0</v>
      </c>
      <c r="P22" s="36">
        <f>VLOOKUP($A22,[18]HISTOSEPT23!$A$6:$AU$36,23,0)</f>
        <v>0</v>
      </c>
      <c r="Q22" s="36">
        <f>VLOOKUP($A22,[18]HISTOSEPT23!$A$6:$AU$36,46,0)</f>
        <v>0</v>
      </c>
      <c r="R22" s="36">
        <f>VLOOKUP($A22,[18]HISTOSEPT23!$A$6:$AU$36,26,0)</f>
        <v>0</v>
      </c>
      <c r="S22" s="36">
        <f>VLOOKUP($A22,[18]HISTOSEPT23!$A$6:$BG$36,58,0)</f>
        <v>0</v>
      </c>
      <c r="T22" s="36">
        <f>VLOOKUP($A22,[18]HISTOSEPT23!$A$6:$AU$36,28,0)</f>
        <v>0</v>
      </c>
      <c r="U22" s="36">
        <f>VLOOKUP($A22,[18]HISTOSEPT23!$A$6:$AU$36,19,0)</f>
        <v>892500</v>
      </c>
      <c r="V22" s="36">
        <f>VLOOKUP($A22,[18]HISTOSEPT23!$A$6:$AU$36,20,0)</f>
        <v>0</v>
      </c>
      <c r="W22" s="36">
        <f>VLOOKUP($A22,[18]HISTOSEPT23!$A$6:$AU$36,27,0)</f>
        <v>0</v>
      </c>
      <c r="X22" s="36">
        <f>VLOOKUP($A22,[18]HISTOSEPT23!$A$6:$BM$36,33,0)</f>
        <v>0</v>
      </c>
      <c r="Y22" s="36">
        <f>VLOOKUP($A22,[18]HISTOSEPT23!$A$6:$BM$36,65,0)</f>
        <v>0</v>
      </c>
      <c r="Z22" s="36"/>
      <c r="AA22" s="36">
        <f>VLOOKUP($A22,[18]HISTOSEPT23!$A$6:$AU$36,43,0)</f>
        <v>0</v>
      </c>
      <c r="AB22" s="36">
        <f>VLOOKUP($A22,[18]HISTOSEPT23!$A$6:$AU$36,44,0)</f>
        <v>0</v>
      </c>
      <c r="AC22" s="36">
        <f>VLOOKUP($A22,[18]HISTOSEPT23!$A$6:$AU$36,47,0)</f>
        <v>0</v>
      </c>
      <c r="AD22" s="36">
        <f>VLOOKUP(A22,[18]HISTOSEPT23!$A$6:$BB$36,54,0)</f>
        <v>0</v>
      </c>
      <c r="AE22" s="36">
        <f>VLOOKUP($A22,[18]HISTOSEPT23!$A$6:$CA$36,60,0)</f>
        <v>0</v>
      </c>
      <c r="AF22" s="36">
        <f>VLOOKUP($A22,[18]HISTOSEPT23!$A$6:$CA$36,61,0)</f>
        <v>0</v>
      </c>
      <c r="AG22" s="36">
        <f>VLOOKUP($A22,[18]HISTOSEPT23!$A$6:$CA$36,62,0)</f>
        <v>0</v>
      </c>
      <c r="AH22" s="36">
        <f>VLOOKUP($A22,[18]HISTOSEPT23!$A$6:$CA$36,63,0)</f>
        <v>0</v>
      </c>
      <c r="AI22" s="36">
        <f>VLOOKUP($A22,[18]HISTOSEPT23!$A$6:$CA$36,64,0)</f>
        <v>0</v>
      </c>
      <c r="AJ22" s="36">
        <f>VLOOKUP($A22,[18]HISTOSEPT23!$A$6:$CA$36,65,0)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VLOOKUP($A23,[18]HISTOSEPT23!$A$6:$BA$36,48,0)</f>
        <v>0</v>
      </c>
      <c r="F23" s="5">
        <f>MVTAOUT23!F23+MVTAOUT23!G23-MVTSEPT23!E23+K23</f>
        <v>1127099.843581205</v>
      </c>
      <c r="G23" s="6">
        <f t="shared" si="0"/>
        <v>0</v>
      </c>
      <c r="H23" s="6">
        <f t="shared" si="1"/>
        <v>1127099.843581205</v>
      </c>
      <c r="I23" s="36">
        <f>VLOOKUP($A23,[18]HISTOSEPT23!$A$6:$AQ$40,22,0)</f>
        <v>0</v>
      </c>
      <c r="J23" s="36">
        <f>VLOOKUP($A23,[18]HISTOSEPT23!$A$6:$AU$36,45,0)</f>
        <v>25000</v>
      </c>
      <c r="K23" s="36">
        <f t="shared" si="2"/>
        <v>19000</v>
      </c>
      <c r="L23" s="36">
        <f t="shared" si="4"/>
        <v>1000</v>
      </c>
      <c r="M23" s="36">
        <f t="shared" si="3"/>
        <v>1000</v>
      </c>
      <c r="N23" s="36">
        <f t="shared" si="5"/>
        <v>4000</v>
      </c>
      <c r="O23" s="36">
        <f>VLOOKUP($A23,[18]HISTOSEPT23!$A$6:$AU$36,7,0)</f>
        <v>0</v>
      </c>
      <c r="P23" s="36">
        <f>VLOOKUP($A23,[18]HISTOSEPT23!$A$6:$AU$36,23,0)</f>
        <v>0</v>
      </c>
      <c r="Q23" s="36">
        <f>VLOOKUP($A23,[18]HISTOSEPT23!$A$6:$AU$36,46,0)</f>
        <v>0</v>
      </c>
      <c r="R23" s="36">
        <f>VLOOKUP($A23,[18]HISTOSEPT23!$A$6:$AU$36,26,0)</f>
        <v>0</v>
      </c>
      <c r="S23" s="36">
        <f>VLOOKUP($A23,[18]HISTOSEPT23!$A$6:$BG$36,58,0)</f>
        <v>0</v>
      </c>
      <c r="T23" s="36">
        <f>VLOOKUP($A23,[18]HISTOSEPT23!$A$6:$AU$36,28,0)</f>
        <v>0</v>
      </c>
      <c r="U23" s="36">
        <f>VLOOKUP($A23,[18]HISTOSEPT23!$A$6:$AU$36,19,0)</f>
        <v>0</v>
      </c>
      <c r="V23" s="36">
        <f>VLOOKUP($A23,[18]HISTOSEPT23!$A$6:$AU$36,20,0)</f>
        <v>0</v>
      </c>
      <c r="W23" s="36">
        <f>VLOOKUP($A23,[18]HISTOSEPT23!$A$6:$AU$36,27,0)</f>
        <v>0</v>
      </c>
      <c r="X23" s="36">
        <f>VLOOKUP($A23,[18]HISTOSEPT23!$A$6:$BM$36,33,0)</f>
        <v>0</v>
      </c>
      <c r="Y23" s="36">
        <f>VLOOKUP($A23,[18]HISTOSEPT23!$A$6:$BM$36,65,0)</f>
        <v>0</v>
      </c>
      <c r="Z23" s="36"/>
      <c r="AA23" s="36">
        <f>VLOOKUP($A23,[18]HISTOSEPT23!$A$6:$AU$36,43,0)</f>
        <v>0</v>
      </c>
      <c r="AB23" s="36">
        <f>VLOOKUP($A23,[18]HISTOSEPT23!$A$6:$AU$36,44,0)</f>
        <v>0</v>
      </c>
      <c r="AC23" s="36">
        <f>VLOOKUP($A23,[18]HISTOSEPT23!$A$6:$AU$36,47,0)</f>
        <v>0</v>
      </c>
      <c r="AD23" s="36">
        <f>VLOOKUP(A23,[18]HISTOSEPT23!$A$6:$BB$36,54,0)</f>
        <v>70000</v>
      </c>
      <c r="AE23" s="36">
        <f>VLOOKUP($A23,[18]HISTOSEPT23!$A$6:$CA$36,60,0)</f>
        <v>0</v>
      </c>
      <c r="AF23" s="36">
        <f>VLOOKUP($A23,[18]HISTOSEPT23!$A$6:$CA$36,61,0)</f>
        <v>0</v>
      </c>
      <c r="AG23" s="36">
        <f>VLOOKUP($A23,[18]HISTOSEPT23!$A$6:$CA$36,62,0)</f>
        <v>0</v>
      </c>
      <c r="AH23" s="36">
        <f>VLOOKUP($A23,[18]HISTOSEPT23!$A$6:$CA$36,63,0)</f>
        <v>0</v>
      </c>
      <c r="AI23" s="36">
        <f>VLOOKUP($A23,[18]HISTOSEPT23!$A$6:$CA$36,64,0)</f>
        <v>0</v>
      </c>
      <c r="AJ23" s="36">
        <f>VLOOKUP($A23,[18]HISTOSEPT23!$A$6:$CA$36,65,0)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VLOOKUP($A24,[18]HISTOSEPT23!$A$6:$BA$36,48,0)</f>
        <v>0</v>
      </c>
      <c r="F24" s="5">
        <f>MVTAOUT23!F24+MVTAOUT23!G24-MVTSEPT23!E24+K24</f>
        <v>782031.45128373592</v>
      </c>
      <c r="G24" s="6">
        <f t="shared" si="0"/>
        <v>0</v>
      </c>
      <c r="H24" s="6">
        <f t="shared" si="1"/>
        <v>782031.45128373592</v>
      </c>
      <c r="I24" s="36">
        <f>VLOOKUP($A24,[18]HISTOSEPT23!$A$6:$AQ$40,22,0)</f>
        <v>0</v>
      </c>
      <c r="J24" s="36">
        <f>VLOOKUP($A24,[18]HISTOSEPT23!$A$6:$AU$36,45,0)</f>
        <v>15000</v>
      </c>
      <c r="K24" s="36">
        <f t="shared" si="2"/>
        <v>9000</v>
      </c>
      <c r="L24" s="36">
        <f t="shared" si="4"/>
        <v>1000</v>
      </c>
      <c r="M24" s="36">
        <f t="shared" si="3"/>
        <v>1000</v>
      </c>
      <c r="N24" s="36">
        <f t="shared" si="5"/>
        <v>4000</v>
      </c>
      <c r="O24" s="36">
        <f>VLOOKUP($A24,[18]HISTOSEPT23!$A$6:$AU$36,7,0)</f>
        <v>0</v>
      </c>
      <c r="P24" s="36">
        <f>VLOOKUP($A24,[18]HISTOSEPT23!$A$6:$AU$36,23,0)</f>
        <v>0</v>
      </c>
      <c r="Q24" s="36">
        <f>VLOOKUP($A24,[18]HISTOSEPT23!$A$6:$AU$36,46,0)</f>
        <v>0</v>
      </c>
      <c r="R24" s="36">
        <f>VLOOKUP($A24,[18]HISTOSEPT23!$A$6:$AU$36,26,0)</f>
        <v>0</v>
      </c>
      <c r="S24" s="36">
        <f>VLOOKUP($A24,[18]HISTOSEPT23!$A$6:$BG$36,58,0)</f>
        <v>0</v>
      </c>
      <c r="T24" s="36">
        <f>VLOOKUP($A24,[18]HISTOSEPT23!$A$6:$AU$36,28,0)</f>
        <v>0</v>
      </c>
      <c r="U24" s="36">
        <f>VLOOKUP($A24,[18]HISTOSEPT23!$A$6:$AU$36,19,0)</f>
        <v>0</v>
      </c>
      <c r="V24" s="36">
        <f>VLOOKUP($A24,[18]HISTOSEPT23!$A$6:$AU$36,20,0)</f>
        <v>0</v>
      </c>
      <c r="W24" s="36">
        <f>VLOOKUP($A24,[18]HISTOSEPT23!$A$6:$AU$36,27,0)</f>
        <v>0</v>
      </c>
      <c r="X24" s="36">
        <f>VLOOKUP($A24,[18]HISTOSEPT23!$A$6:$BM$36,33,0)</f>
        <v>0</v>
      </c>
      <c r="Y24" s="36">
        <f>VLOOKUP($A24,[18]HISTOSEPT23!$A$6:$BM$36,65,0)</f>
        <v>0</v>
      </c>
      <c r="Z24" s="36"/>
      <c r="AA24" s="36">
        <f>VLOOKUP($A24,[18]HISTOSEPT23!$A$6:$AU$36,43,0)</f>
        <v>0</v>
      </c>
      <c r="AB24" s="36">
        <f>VLOOKUP($A24,[18]HISTOSEPT23!$A$6:$AU$36,44,0)</f>
        <v>0</v>
      </c>
      <c r="AC24" s="36">
        <f>VLOOKUP($A24,[18]HISTOSEPT23!$A$6:$AU$36,47,0)</f>
        <v>0</v>
      </c>
      <c r="AD24" s="36">
        <f>VLOOKUP(A24,[18]HISTOSEPT23!$A$6:$BB$36,54,0)</f>
        <v>0</v>
      </c>
      <c r="AE24" s="36">
        <f>VLOOKUP($A24,[18]HISTOSEPT23!$A$6:$CA$36,60,0)</f>
        <v>0</v>
      </c>
      <c r="AF24" s="36">
        <f>VLOOKUP($A24,[18]HISTOSEPT23!$A$6:$CA$36,61,0)</f>
        <v>0</v>
      </c>
      <c r="AG24" s="36">
        <f>VLOOKUP($A24,[18]HISTOSEPT23!$A$6:$CA$36,62,0)</f>
        <v>0</v>
      </c>
      <c r="AH24" s="36">
        <f>VLOOKUP($A24,[18]HISTOSEPT23!$A$6:$CA$36,63,0)</f>
        <v>0</v>
      </c>
      <c r="AI24" s="36">
        <f>VLOOKUP($A24,[18]HISTOSEPT23!$A$6:$CA$36,64,0)</f>
        <v>0</v>
      </c>
      <c r="AJ24" s="36">
        <f>VLOOKUP($A24,[18]HISTOSEPT23!$A$6:$CA$36,65,0)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VLOOKUP($A25,[18]HISTOSEPT23!$A$6:$BA$36,48,0)</f>
        <v>0</v>
      </c>
      <c r="F25" s="5">
        <f>MVTAOUT23!F25+MVTAOUT23!G25-MVTSEPT23!E25+K25</f>
        <v>923667.45194703969</v>
      </c>
      <c r="G25" s="6">
        <f t="shared" si="0"/>
        <v>0</v>
      </c>
      <c r="H25" s="6">
        <f t="shared" si="1"/>
        <v>923667.45194703969</v>
      </c>
      <c r="I25" s="36">
        <f>VLOOKUP($A25,[18]HISTOSEPT23!$A$6:$AQ$40,22,0)</f>
        <v>0</v>
      </c>
      <c r="J25" s="36">
        <f>VLOOKUP($A25,[18]HISTOSEPT23!$A$6:$AU$36,45,0)</f>
        <v>165000</v>
      </c>
      <c r="K25" s="36">
        <f t="shared" si="2"/>
        <v>159000</v>
      </c>
      <c r="L25" s="36">
        <f t="shared" si="4"/>
        <v>1000</v>
      </c>
      <c r="M25" s="36">
        <f t="shared" si="3"/>
        <v>1000</v>
      </c>
      <c r="N25" s="36">
        <f t="shared" si="5"/>
        <v>4000</v>
      </c>
      <c r="O25" s="36">
        <f>VLOOKUP($A25,[18]HISTOSEPT23!$A$6:$AU$36,7,0)</f>
        <v>0</v>
      </c>
      <c r="P25" s="36">
        <f>VLOOKUP($A25,[18]HISTOSEPT23!$A$6:$AU$36,23,0)</f>
        <v>0</v>
      </c>
      <c r="Q25" s="36">
        <f>VLOOKUP($A25,[18]HISTOSEPT23!$A$6:$AU$36,46,0)</f>
        <v>0</v>
      </c>
      <c r="R25" s="36">
        <f>VLOOKUP($A25,[18]HISTOSEPT23!$A$6:$AU$36,26,0)</f>
        <v>0</v>
      </c>
      <c r="S25" s="36">
        <f>VLOOKUP($A25,[18]HISTOSEPT23!$A$6:$BG$36,58,0)</f>
        <v>0</v>
      </c>
      <c r="T25" s="36">
        <f>VLOOKUP($A25,[18]HISTOSEPT23!$A$6:$AU$36,28,0)</f>
        <v>0</v>
      </c>
      <c r="U25" s="36">
        <f>VLOOKUP($A25,[18]HISTOSEPT23!$A$6:$AU$36,19,0)</f>
        <v>0</v>
      </c>
      <c r="V25" s="36">
        <f>VLOOKUP($A25,[18]HISTOSEPT23!$A$6:$AU$36,20,0)</f>
        <v>0</v>
      </c>
      <c r="W25" s="36">
        <f>VLOOKUP($A25,[18]HISTOSEPT23!$A$6:$AU$36,27,0)</f>
        <v>0</v>
      </c>
      <c r="X25" s="36">
        <f>VLOOKUP($A25,[18]HISTOSEPT23!$A$6:$BM$36,33,0)</f>
        <v>0</v>
      </c>
      <c r="Y25" s="36">
        <f>VLOOKUP($A25,[18]HISTOSEPT23!$A$6:$BM$36,65,0)</f>
        <v>0</v>
      </c>
      <c r="Z25" s="36"/>
      <c r="AA25" s="36">
        <f>VLOOKUP($A25,[18]HISTOSEPT23!$A$6:$AU$36,43,0)</f>
        <v>0</v>
      </c>
      <c r="AB25" s="36">
        <f>VLOOKUP($A25,[18]HISTOSEPT23!$A$6:$AU$36,44,0)</f>
        <v>0</v>
      </c>
      <c r="AC25" s="36">
        <f>VLOOKUP($A25,[18]HISTOSEPT23!$A$6:$AU$36,47,0)</f>
        <v>0</v>
      </c>
      <c r="AD25" s="36">
        <f>VLOOKUP(A25,[18]HISTOSEPT23!$A$6:$BB$36,54,0)</f>
        <v>0</v>
      </c>
      <c r="AE25" s="36">
        <f>VLOOKUP($A25,[18]HISTOSEPT23!$A$6:$CA$36,60,0)</f>
        <v>0</v>
      </c>
      <c r="AF25" s="36">
        <f>VLOOKUP($A25,[18]HISTOSEPT23!$A$6:$CA$36,61,0)</f>
        <v>0</v>
      </c>
      <c r="AG25" s="36">
        <f>VLOOKUP($A25,[18]HISTOSEPT23!$A$6:$CA$36,62,0)</f>
        <v>0</v>
      </c>
      <c r="AH25" s="36">
        <f>VLOOKUP($A25,[18]HISTOSEPT23!$A$6:$CA$36,63,0)</f>
        <v>0</v>
      </c>
      <c r="AI25" s="36">
        <f>VLOOKUP($A25,[18]HISTOSEPT23!$A$6:$CA$36,64,0)</f>
        <v>0</v>
      </c>
      <c r="AJ25" s="36">
        <f>VLOOKUP($A25,[18]HISTOSEPT23!$A$6:$CA$36,65,0)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VLOOKUP($A26,[18]HISTOSEPT23!$A$6:$BA$36,48,0)</f>
        <v>0</v>
      </c>
      <c r="F26" s="5">
        <f>MVTAOUT23!F26+MVTAOUT23!G26-MVTSEPT23!E26+K26</f>
        <v>733467.3627083092</v>
      </c>
      <c r="G26" s="6">
        <f t="shared" si="0"/>
        <v>0</v>
      </c>
      <c r="H26" s="6">
        <f t="shared" si="1"/>
        <v>733467.3627083092</v>
      </c>
      <c r="I26" s="36">
        <f>VLOOKUP($A26,[18]HISTOSEPT23!$A$6:$AQ$40,22,0)</f>
        <v>0</v>
      </c>
      <c r="J26" s="36">
        <f>VLOOKUP($A26,[18]HISTOSEPT23!$A$6:$AU$36,45,0)</f>
        <v>15000</v>
      </c>
      <c r="K26" s="36">
        <f t="shared" si="2"/>
        <v>9000</v>
      </c>
      <c r="L26" s="36">
        <f t="shared" si="4"/>
        <v>1000</v>
      </c>
      <c r="M26" s="36">
        <f t="shared" si="3"/>
        <v>1000</v>
      </c>
      <c r="N26" s="36">
        <f t="shared" si="5"/>
        <v>4000</v>
      </c>
      <c r="O26" s="36">
        <f>VLOOKUP($A26,[18]HISTOSEPT23!$A$6:$AU$36,7,0)</f>
        <v>3000</v>
      </c>
      <c r="P26" s="36">
        <f>VLOOKUP($A26,[18]HISTOSEPT23!$A$6:$AU$36,23,0)</f>
        <v>0</v>
      </c>
      <c r="Q26" s="36">
        <f>VLOOKUP($A26,[18]HISTOSEPT23!$A$6:$AU$36,46,0)</f>
        <v>0</v>
      </c>
      <c r="R26" s="36">
        <f>VLOOKUP($A26,[18]HISTOSEPT23!$A$6:$AU$36,26,0)</f>
        <v>0</v>
      </c>
      <c r="S26" s="36">
        <f>VLOOKUP($A26,[18]HISTOSEPT23!$A$6:$BG$36,58,0)</f>
        <v>0</v>
      </c>
      <c r="T26" s="36">
        <f>VLOOKUP($A26,[18]HISTOSEPT23!$A$6:$AU$36,28,0)</f>
        <v>0</v>
      </c>
      <c r="U26" s="36">
        <f>VLOOKUP($A26,[18]HISTOSEPT23!$A$6:$AU$36,19,0)</f>
        <v>0</v>
      </c>
      <c r="V26" s="36">
        <f>VLOOKUP($A26,[18]HISTOSEPT23!$A$6:$AU$36,20,0)</f>
        <v>0</v>
      </c>
      <c r="W26" s="36">
        <f>VLOOKUP($A26,[18]HISTOSEPT23!$A$6:$AU$36,27,0)</f>
        <v>0</v>
      </c>
      <c r="X26" s="36">
        <f>VLOOKUP($A26,[18]HISTOSEPT23!$A$6:$BM$36,33,0)</f>
        <v>0</v>
      </c>
      <c r="Y26" s="36">
        <f>VLOOKUP($A26,[18]HISTOSEPT23!$A$6:$BM$36,65,0)</f>
        <v>0</v>
      </c>
      <c r="Z26" s="36"/>
      <c r="AA26" s="36">
        <f>VLOOKUP($A26,[18]HISTOSEPT23!$A$6:$AU$36,43,0)</f>
        <v>0</v>
      </c>
      <c r="AB26" s="36">
        <f>VLOOKUP($A26,[18]HISTOSEPT23!$A$6:$AU$36,44,0)</f>
        <v>0</v>
      </c>
      <c r="AC26" s="36">
        <f>VLOOKUP($A26,[18]HISTOSEPT23!$A$6:$AU$36,47,0)</f>
        <v>0</v>
      </c>
      <c r="AD26" s="36">
        <f>VLOOKUP(A26,[18]HISTOSEPT23!$A$6:$BB$36,54,0)</f>
        <v>0</v>
      </c>
      <c r="AE26" s="36">
        <f>VLOOKUP($A26,[18]HISTOSEPT23!$A$6:$CA$36,60,0)</f>
        <v>0</v>
      </c>
      <c r="AF26" s="36">
        <f>VLOOKUP($A26,[18]HISTOSEPT23!$A$6:$CA$36,61,0)</f>
        <v>0</v>
      </c>
      <c r="AG26" s="36">
        <f>VLOOKUP($A26,[18]HISTOSEPT23!$A$6:$CA$36,62,0)</f>
        <v>0</v>
      </c>
      <c r="AH26" s="36">
        <f>VLOOKUP($A26,[18]HISTOSEPT23!$A$6:$CA$36,63,0)</f>
        <v>0</v>
      </c>
      <c r="AI26" s="36">
        <f>VLOOKUP($A26,[18]HISTOSEPT23!$A$6:$CA$36,64,0)</f>
        <v>0</v>
      </c>
      <c r="AJ26" s="36">
        <f>VLOOKUP($A26,[18]HISTOSEPT23!$A$6:$CA$36,65,0)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VLOOKUP($A27,[18]HISTOSEPT23!$A$6:$BA$36,48,0)</f>
        <v>0</v>
      </c>
      <c r="F27" s="5">
        <f>MVTAOUT23!F27+MVTAOUT23!G27-MVTSEPT23!E27+K27</f>
        <v>663500</v>
      </c>
      <c r="G27" s="6">
        <f t="shared" si="0"/>
        <v>0</v>
      </c>
      <c r="H27" s="6">
        <f t="shared" si="1"/>
        <v>663500</v>
      </c>
      <c r="I27" s="36">
        <f>VLOOKUP($A27,[18]HISTOSEPT23!$A$6:$AQ$40,22,0)</f>
        <v>0</v>
      </c>
      <c r="J27" s="36">
        <f>VLOOKUP($A27,[18]HISTOSEPT23!$A$6:$AU$36,45,0)</f>
        <v>152500</v>
      </c>
      <c r="K27" s="36">
        <f t="shared" si="2"/>
        <v>146500</v>
      </c>
      <c r="L27" s="36">
        <f t="shared" si="4"/>
        <v>1000</v>
      </c>
      <c r="M27" s="36">
        <f t="shared" si="3"/>
        <v>1000</v>
      </c>
      <c r="N27" s="36">
        <f t="shared" si="5"/>
        <v>4000</v>
      </c>
      <c r="O27" s="36">
        <f>VLOOKUP($A27,[18]HISTOSEPT23!$A$6:$AU$36,7,0)</f>
        <v>0</v>
      </c>
      <c r="P27" s="36">
        <f>VLOOKUP($A27,[18]HISTOSEPT23!$A$6:$AU$36,23,0)</f>
        <v>0</v>
      </c>
      <c r="Q27" s="36">
        <f>VLOOKUP($A27,[18]HISTOSEPT23!$A$6:$AU$36,46,0)</f>
        <v>0</v>
      </c>
      <c r="R27" s="36">
        <f>VLOOKUP($A27,[18]HISTOSEPT23!$A$6:$AU$36,26,0)</f>
        <v>0</v>
      </c>
      <c r="S27" s="36">
        <f>VLOOKUP($A27,[18]HISTOSEPT23!$A$6:$BG$36,58,0)</f>
        <v>0</v>
      </c>
      <c r="T27" s="36">
        <f>VLOOKUP($A27,[18]HISTOSEPT23!$A$6:$AU$36,28,0)</f>
        <v>0</v>
      </c>
      <c r="U27" s="36">
        <f>VLOOKUP($A27,[18]HISTOSEPT23!$A$6:$AU$36,19,0)</f>
        <v>0</v>
      </c>
      <c r="V27" s="36">
        <f>VLOOKUP($A27,[18]HISTOSEPT23!$A$6:$AU$36,20,0)</f>
        <v>0</v>
      </c>
      <c r="W27" s="36">
        <f>VLOOKUP($A27,[18]HISTOSEPT23!$A$6:$AU$36,27,0)</f>
        <v>0</v>
      </c>
      <c r="X27" s="36">
        <f>VLOOKUP($A27,[18]HISTOSEPT23!$A$6:$BM$36,33,0)</f>
        <v>0</v>
      </c>
      <c r="Y27" s="36">
        <f>VLOOKUP($A27,[18]HISTOSEPT23!$A$6:$BM$36,65,0)</f>
        <v>0</v>
      </c>
      <c r="Z27" s="36"/>
      <c r="AA27" s="36">
        <f>VLOOKUP($A27,[18]HISTOSEPT23!$A$6:$AU$36,43,0)</f>
        <v>0</v>
      </c>
      <c r="AB27" s="36">
        <f>VLOOKUP($A27,[18]HISTOSEPT23!$A$6:$AU$36,44,0)</f>
        <v>0</v>
      </c>
      <c r="AC27" s="36">
        <f>VLOOKUP($A27,[18]HISTOSEPT23!$A$6:$AU$36,47,0)</f>
        <v>0</v>
      </c>
      <c r="AD27" s="36">
        <f>VLOOKUP(A27,[18]HISTOSEPT23!$A$6:$BB$36,54,0)</f>
        <v>70000</v>
      </c>
      <c r="AE27" s="36">
        <f>VLOOKUP($A27,[18]HISTOSEPT23!$A$6:$CA$36,60,0)</f>
        <v>0</v>
      </c>
      <c r="AF27" s="36">
        <f>VLOOKUP($A27,[18]HISTOSEPT23!$A$6:$CA$36,61,0)</f>
        <v>0</v>
      </c>
      <c r="AG27" s="36">
        <f>VLOOKUP($A27,[18]HISTOSEPT23!$A$6:$CA$36,62,0)</f>
        <v>0</v>
      </c>
      <c r="AH27" s="36">
        <f>VLOOKUP($A27,[18]HISTOSEPT23!$A$6:$CA$36,63,0)</f>
        <v>0</v>
      </c>
      <c r="AI27" s="36">
        <f>VLOOKUP($A27,[18]HISTOSEPT23!$A$6:$CA$36,64,0)</f>
        <v>0</v>
      </c>
      <c r="AJ27" s="36">
        <f>VLOOKUP($A27,[18]HISTOSEPT23!$A$6:$CA$36,65,0)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VLOOKUP($A28,[18]HISTOSEPT23!$A$6:$BA$36,48,0)</f>
        <v>0</v>
      </c>
      <c r="F28" s="5">
        <f>MVTAOUT23!F28+MVTAOUT23!G28-MVTSEPT23!E28+K28</f>
        <v>756116.00974122691</v>
      </c>
      <c r="G28" s="6">
        <f t="shared" si="0"/>
        <v>0</v>
      </c>
      <c r="H28" s="6">
        <f t="shared" si="1"/>
        <v>756116.00974122691</v>
      </c>
      <c r="I28" s="36">
        <f>VLOOKUP($A28,[18]HISTOSEPT23!$A$6:$AQ$40,22,0)</f>
        <v>0</v>
      </c>
      <c r="J28" s="36">
        <f>VLOOKUP($A28,[18]HISTOSEPT23!$A$6:$AU$36,45,0)</f>
        <v>15000</v>
      </c>
      <c r="K28" s="36">
        <f t="shared" si="2"/>
        <v>9000</v>
      </c>
      <c r="L28" s="36">
        <f t="shared" si="4"/>
        <v>1000</v>
      </c>
      <c r="M28" s="36">
        <f t="shared" si="3"/>
        <v>1000</v>
      </c>
      <c r="N28" s="36">
        <f t="shared" si="5"/>
        <v>4000</v>
      </c>
      <c r="O28" s="36">
        <f>VLOOKUP($A28,[18]HISTOSEPT23!$A$6:$AU$36,7,0)</f>
        <v>0</v>
      </c>
      <c r="P28" s="36">
        <f>VLOOKUP($A28,[18]HISTOSEPT23!$A$6:$AU$36,23,0)</f>
        <v>0</v>
      </c>
      <c r="Q28" s="36">
        <f>VLOOKUP($A28,[18]HISTOSEPT23!$A$6:$AU$36,46,0)</f>
        <v>0</v>
      </c>
      <c r="R28" s="36">
        <f>VLOOKUP($A28,[18]HISTOSEPT23!$A$6:$AU$36,26,0)</f>
        <v>0</v>
      </c>
      <c r="S28" s="36">
        <f>VLOOKUP($A28,[18]HISTOSEPT23!$A$6:$BG$36,58,0)</f>
        <v>0</v>
      </c>
      <c r="T28" s="36">
        <f>VLOOKUP($A28,[18]HISTOSEPT23!$A$6:$AU$36,28,0)</f>
        <v>0</v>
      </c>
      <c r="U28" s="36">
        <f>VLOOKUP($A28,[18]HISTOSEPT23!$A$6:$AU$36,19,0)</f>
        <v>0</v>
      </c>
      <c r="V28" s="36">
        <f>VLOOKUP($A28,[18]HISTOSEPT23!$A$6:$AU$36,20,0)</f>
        <v>0</v>
      </c>
      <c r="W28" s="36">
        <f>VLOOKUP($A28,[18]HISTOSEPT23!$A$6:$AU$36,27,0)</f>
        <v>0</v>
      </c>
      <c r="X28" s="36">
        <f>VLOOKUP($A28,[18]HISTOSEPT23!$A$6:$BM$36,33,0)</f>
        <v>0</v>
      </c>
      <c r="Y28" s="36">
        <f>VLOOKUP($A28,[18]HISTOSEPT23!$A$6:$BM$36,65,0)</f>
        <v>0</v>
      </c>
      <c r="Z28" s="36"/>
      <c r="AA28" s="36">
        <f>VLOOKUP($A28,[18]HISTOSEPT23!$A$6:$AU$36,43,0)</f>
        <v>0</v>
      </c>
      <c r="AB28" s="36">
        <f>VLOOKUP($A28,[18]HISTOSEPT23!$A$6:$AU$36,44,0)</f>
        <v>0</v>
      </c>
      <c r="AC28" s="36">
        <f>VLOOKUP($A28,[18]HISTOSEPT23!$A$6:$AU$36,47,0)</f>
        <v>0</v>
      </c>
      <c r="AD28" s="36">
        <f>VLOOKUP(A28,[18]HISTOSEPT23!$A$6:$BB$36,54,0)</f>
        <v>0</v>
      </c>
      <c r="AE28" s="36">
        <f>VLOOKUP($A28,[18]HISTOSEPT23!$A$6:$CA$36,60,0)</f>
        <v>0</v>
      </c>
      <c r="AF28" s="36">
        <f>VLOOKUP($A28,[18]HISTOSEPT23!$A$6:$CA$36,61,0)</f>
        <v>0</v>
      </c>
      <c r="AG28" s="36">
        <f>VLOOKUP($A28,[18]HISTOSEPT23!$A$6:$CA$36,62,0)</f>
        <v>0</v>
      </c>
      <c r="AH28" s="36">
        <f>VLOOKUP($A28,[18]HISTOSEPT23!$A$6:$CA$36,63,0)</f>
        <v>0</v>
      </c>
      <c r="AI28" s="36">
        <f>VLOOKUP($A28,[18]HISTOSEPT23!$A$6:$CA$36,64,0)</f>
        <v>0</v>
      </c>
      <c r="AJ28" s="36">
        <f>VLOOKUP($A28,[18]HISTOSEPT23!$A$6:$CA$36,65,0)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VLOOKUP($A29,[18]HISTOSEPT23!$A$6:$BA$36,48,0)</f>
        <v>0</v>
      </c>
      <c r="F29" s="5">
        <f>MVTAOUT23!F29+MVTAOUT23!G29-MVTSEPT23!E29+K29</f>
        <v>258500</v>
      </c>
      <c r="G29" s="6">
        <f t="shared" si="0"/>
        <v>0</v>
      </c>
      <c r="H29" s="6">
        <f t="shared" si="1"/>
        <v>258500</v>
      </c>
      <c r="I29" s="36">
        <f>VLOOKUP($A29,[18]HISTOSEPT23!$A$6:$AQ$40,22,0)</f>
        <v>0</v>
      </c>
      <c r="J29" s="36">
        <f>VLOOKUP($A29,[18]HISTOSEPT23!$A$6:$AU$36,45,0)</f>
        <v>192500</v>
      </c>
      <c r="K29" s="36">
        <f t="shared" si="2"/>
        <v>186500</v>
      </c>
      <c r="L29" s="36">
        <f t="shared" si="4"/>
        <v>1000</v>
      </c>
      <c r="M29" s="36">
        <f t="shared" si="3"/>
        <v>1000</v>
      </c>
      <c r="N29" s="36">
        <f t="shared" si="5"/>
        <v>4000</v>
      </c>
      <c r="O29" s="36">
        <f>VLOOKUP($A29,[18]HISTOSEPT23!$A$6:$AU$36,7,0)</f>
        <v>0</v>
      </c>
      <c r="P29" s="36">
        <f>VLOOKUP($A29,[18]HISTOSEPT23!$A$6:$AU$36,23,0)</f>
        <v>0</v>
      </c>
      <c r="Q29" s="36">
        <f>VLOOKUP($A29,[18]HISTOSEPT23!$A$6:$AU$36,46,0)</f>
        <v>0</v>
      </c>
      <c r="R29" s="36">
        <f>VLOOKUP($A29,[18]HISTOSEPT23!$A$6:$AU$36,26,0)</f>
        <v>0</v>
      </c>
      <c r="S29" s="36">
        <f>VLOOKUP($A29,[18]HISTOSEPT23!$A$6:$BG$36,58,0)</f>
        <v>0</v>
      </c>
      <c r="T29" s="36">
        <f>VLOOKUP($A29,[18]HISTOSEPT23!$A$6:$AU$36,28,0)</f>
        <v>0</v>
      </c>
      <c r="U29" s="36">
        <f>VLOOKUP($A29,[18]HISTOSEPT23!$A$6:$AU$36,19,0)</f>
        <v>0</v>
      </c>
      <c r="V29" s="36">
        <f>VLOOKUP($A29,[18]HISTOSEPT23!$A$6:$AU$36,20,0)</f>
        <v>0</v>
      </c>
      <c r="W29" s="36">
        <f>VLOOKUP($A29,[18]HISTOSEPT23!$A$6:$AU$36,27,0)</f>
        <v>0</v>
      </c>
      <c r="X29" s="36">
        <f>VLOOKUP($A29,[18]HISTOSEPT23!$A$6:$BM$36,33,0)</f>
        <v>0</v>
      </c>
      <c r="Y29" s="36">
        <f>VLOOKUP($A29,[18]HISTOSEPT23!$A$6:$BM$36,65,0)</f>
        <v>0</v>
      </c>
      <c r="Z29" s="36"/>
      <c r="AA29" s="36">
        <f>VLOOKUP($A29,[18]HISTOSEPT23!$A$6:$AU$36,43,0)</f>
        <v>0</v>
      </c>
      <c r="AB29" s="36">
        <f>VLOOKUP($A29,[18]HISTOSEPT23!$A$6:$AU$36,44,0)</f>
        <v>0</v>
      </c>
      <c r="AC29" s="36">
        <f>VLOOKUP($A29,[18]HISTOSEPT23!$A$6:$AU$36,47,0)</f>
        <v>0</v>
      </c>
      <c r="AD29" s="36">
        <f>VLOOKUP(A29,[18]HISTOSEPT23!$A$6:$BB$36,54,0)</f>
        <v>70000</v>
      </c>
      <c r="AE29" s="36">
        <f>VLOOKUP($A29,[18]HISTOSEPT23!$A$6:$CA$36,60,0)</f>
        <v>0</v>
      </c>
      <c r="AF29" s="36">
        <f>VLOOKUP($A29,[18]HISTOSEPT23!$A$6:$CA$36,61,0)</f>
        <v>0</v>
      </c>
      <c r="AG29" s="36">
        <f>VLOOKUP($A29,[18]HISTOSEPT23!$A$6:$CA$36,62,0)</f>
        <v>0</v>
      </c>
      <c r="AH29" s="36">
        <f>VLOOKUP($A29,[18]HISTOSEPT23!$A$6:$CA$36,63,0)</f>
        <v>0</v>
      </c>
      <c r="AI29" s="36">
        <f>VLOOKUP($A29,[18]HISTOSEPT23!$A$6:$CA$36,64,0)</f>
        <v>0</v>
      </c>
      <c r="AJ29" s="36">
        <f>VLOOKUP($A29,[18]HISTOSEPT23!$A$6:$CA$36,65,0)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VLOOKUP($A30,[18]HISTOSEPT23!$A$6:$BA$36,48,0)</f>
        <v>0</v>
      </c>
      <c r="F30" s="5">
        <f>MVTAOUT23!F30+MVTAOUT23!G30-MVTSEPT23!E30+K30</f>
        <v>950635.14359712601</v>
      </c>
      <c r="G30" s="6">
        <f t="shared" si="0"/>
        <v>0</v>
      </c>
      <c r="H30" s="6">
        <f t="shared" si="1"/>
        <v>950635.14359712601</v>
      </c>
      <c r="I30" s="36">
        <f>VLOOKUP($A30,[18]HISTOSEPT23!$A$6:$AQ$40,22,0)</f>
        <v>0</v>
      </c>
      <c r="J30" s="36">
        <f>VLOOKUP($A30,[18]HISTOSEPT23!$A$6:$AU$36,45,0)</f>
        <v>15000</v>
      </c>
      <c r="K30" s="36">
        <f t="shared" si="2"/>
        <v>9000</v>
      </c>
      <c r="L30" s="36">
        <f t="shared" si="4"/>
        <v>1000</v>
      </c>
      <c r="M30" s="36">
        <f t="shared" si="3"/>
        <v>1000</v>
      </c>
      <c r="N30" s="36">
        <f t="shared" si="5"/>
        <v>4000</v>
      </c>
      <c r="O30" s="36">
        <f>VLOOKUP($A30,[18]HISTOSEPT23!$A$6:$AU$36,7,0)</f>
        <v>0</v>
      </c>
      <c r="P30" s="36">
        <f>VLOOKUP($A30,[18]HISTOSEPT23!$A$6:$AU$36,23,0)</f>
        <v>0</v>
      </c>
      <c r="Q30" s="36">
        <f>VLOOKUP($A30,[18]HISTOSEPT23!$A$6:$AU$36,46,0)</f>
        <v>0</v>
      </c>
      <c r="R30" s="36">
        <f>VLOOKUP($A30,[18]HISTOSEPT23!$A$6:$AU$36,26,0)</f>
        <v>0</v>
      </c>
      <c r="S30" s="36">
        <f>VLOOKUP($A30,[18]HISTOSEPT23!$A$6:$BG$36,58,0)</f>
        <v>0</v>
      </c>
      <c r="T30" s="36">
        <f>VLOOKUP($A30,[18]HISTOSEPT23!$A$6:$AU$36,28,0)</f>
        <v>0</v>
      </c>
      <c r="U30" s="36">
        <f>VLOOKUP($A30,[18]HISTOSEPT23!$A$6:$AU$36,19,0)</f>
        <v>0</v>
      </c>
      <c r="V30" s="36">
        <f>VLOOKUP($A30,[18]HISTOSEPT23!$A$6:$AU$36,20,0)</f>
        <v>0</v>
      </c>
      <c r="W30" s="36">
        <f>VLOOKUP($A30,[18]HISTOSEPT23!$A$6:$AU$36,27,0)</f>
        <v>0</v>
      </c>
      <c r="X30" s="36">
        <f>VLOOKUP($A30,[18]HISTOSEPT23!$A$6:$BM$36,33,0)</f>
        <v>0</v>
      </c>
      <c r="Y30" s="36">
        <f>VLOOKUP($A30,[18]HISTOSEPT23!$A$6:$BM$36,65,0)</f>
        <v>0</v>
      </c>
      <c r="Z30" s="36"/>
      <c r="AA30" s="36">
        <f>VLOOKUP($A30,[18]HISTOSEPT23!$A$6:$AU$36,43,0)</f>
        <v>0</v>
      </c>
      <c r="AB30" s="36">
        <f>VLOOKUP($A30,[18]HISTOSEPT23!$A$6:$AU$36,44,0)</f>
        <v>0</v>
      </c>
      <c r="AC30" s="36">
        <f>VLOOKUP($A30,[18]HISTOSEPT23!$A$6:$AU$36,47,0)</f>
        <v>0</v>
      </c>
      <c r="AD30" s="36">
        <f>VLOOKUP(A30,[18]HISTOSEPT23!$A$6:$BB$36,54,0)</f>
        <v>0</v>
      </c>
      <c r="AE30" s="36">
        <f>VLOOKUP($A30,[18]HISTOSEPT23!$A$6:$CA$36,60,0)</f>
        <v>0</v>
      </c>
      <c r="AF30" s="36">
        <f>VLOOKUP($A30,[18]HISTOSEPT23!$A$6:$CA$36,61,0)</f>
        <v>0</v>
      </c>
      <c r="AG30" s="36">
        <f>VLOOKUP($A30,[18]HISTOSEPT23!$A$6:$CA$36,62,0)</f>
        <v>0</v>
      </c>
      <c r="AH30" s="36">
        <f>VLOOKUP($A30,[18]HISTOSEPT23!$A$6:$CA$36,63,0)</f>
        <v>0</v>
      </c>
      <c r="AI30" s="36">
        <f>VLOOKUP($A30,[18]HISTOSEPT23!$A$6:$CA$36,64,0)</f>
        <v>0</v>
      </c>
      <c r="AJ30" s="36">
        <f>VLOOKUP($A30,[18]HISTOSEPT23!$A$6:$CA$36,65,0)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VLOOKUP($A31,[18]HISTOSEPT23!$A$6:$BA$36,48,0)</f>
        <v>0</v>
      </c>
      <c r="F31" s="5">
        <f>MVTAOUT23!F31+MVTAOUT23!G31-MVTSEPT23!E31+K31</f>
        <v>957452.41459609766</v>
      </c>
      <c r="G31" s="6">
        <f t="shared" si="0"/>
        <v>0</v>
      </c>
      <c r="H31" s="6">
        <f t="shared" si="1"/>
        <v>957452.41459609766</v>
      </c>
      <c r="I31" s="36">
        <f>VLOOKUP($A31,[18]HISTOSEPT23!$A$6:$AQ$40,22,0)</f>
        <v>0</v>
      </c>
      <c r="J31" s="36">
        <f>VLOOKUP($A31,[18]HISTOSEPT23!$A$6:$AU$36,45,0)</f>
        <v>15000</v>
      </c>
      <c r="K31" s="36">
        <f t="shared" si="2"/>
        <v>9000</v>
      </c>
      <c r="L31" s="36">
        <f t="shared" si="4"/>
        <v>1000</v>
      </c>
      <c r="M31" s="36">
        <f t="shared" si="3"/>
        <v>1000</v>
      </c>
      <c r="N31" s="36">
        <f t="shared" si="5"/>
        <v>4000</v>
      </c>
      <c r="O31" s="36">
        <f>VLOOKUP($A31,[18]HISTOSEPT23!$A$6:$AU$36,7,0)</f>
        <v>0</v>
      </c>
      <c r="P31" s="36">
        <f>VLOOKUP($A31,[18]HISTOSEPT23!$A$6:$AU$36,23,0)</f>
        <v>0</v>
      </c>
      <c r="Q31" s="36">
        <f>VLOOKUP($A31,[18]HISTOSEPT23!$A$6:$AU$36,46,0)</f>
        <v>0</v>
      </c>
      <c r="R31" s="36">
        <f>VLOOKUP($A31,[18]HISTOSEPT23!$A$6:$AU$36,26,0)</f>
        <v>0</v>
      </c>
      <c r="S31" s="36">
        <f>VLOOKUP($A31,[18]HISTOSEPT23!$A$6:$BG$36,58,0)</f>
        <v>0</v>
      </c>
      <c r="T31" s="36">
        <f>VLOOKUP($A31,[18]HISTOSEPT23!$A$6:$AU$36,28,0)</f>
        <v>0</v>
      </c>
      <c r="U31" s="36">
        <f>VLOOKUP($A31,[18]HISTOSEPT23!$A$6:$AU$36,19,0)</f>
        <v>0</v>
      </c>
      <c r="V31" s="36">
        <f>VLOOKUP($A31,[18]HISTOSEPT23!$A$6:$AU$36,20,0)</f>
        <v>0</v>
      </c>
      <c r="W31" s="36">
        <f>VLOOKUP($A31,[18]HISTOSEPT23!$A$6:$AU$36,27,0)</f>
        <v>0</v>
      </c>
      <c r="X31" s="36">
        <f>VLOOKUP($A31,[18]HISTOSEPT23!$A$6:$BM$36,33,0)</f>
        <v>0</v>
      </c>
      <c r="Y31" s="36">
        <f>VLOOKUP($A31,[18]HISTOSEPT23!$A$6:$BM$36,65,0)</f>
        <v>0</v>
      </c>
      <c r="Z31" s="36"/>
      <c r="AA31" s="36">
        <f>VLOOKUP($A31,[18]HISTOSEPT23!$A$6:$AU$36,43,0)</f>
        <v>0</v>
      </c>
      <c r="AB31" s="36">
        <f>VLOOKUP($A31,[18]HISTOSEPT23!$A$6:$AU$36,44,0)</f>
        <v>0</v>
      </c>
      <c r="AC31" s="36">
        <f>VLOOKUP($A31,[18]HISTOSEPT23!$A$6:$AU$36,47,0)</f>
        <v>0</v>
      </c>
      <c r="AD31" s="36">
        <f>VLOOKUP(A31,[18]HISTOSEPT23!$A$6:$BB$36,54,0)</f>
        <v>0</v>
      </c>
      <c r="AE31" s="36">
        <f>VLOOKUP($A31,[18]HISTOSEPT23!$A$6:$CA$36,60,0)</f>
        <v>0</v>
      </c>
      <c r="AF31" s="36">
        <f>VLOOKUP($A31,[18]HISTOSEPT23!$A$6:$CA$36,61,0)</f>
        <v>0</v>
      </c>
      <c r="AG31" s="36">
        <f>VLOOKUP($A31,[18]HISTOSEPT23!$A$6:$CA$36,62,0)</f>
        <v>0</v>
      </c>
      <c r="AH31" s="36">
        <f>VLOOKUP($A31,[18]HISTOSEPT23!$A$6:$CA$36,63,0)</f>
        <v>0</v>
      </c>
      <c r="AI31" s="36">
        <f>VLOOKUP($A31,[18]HISTOSEPT23!$A$6:$CA$36,64,0)</f>
        <v>0</v>
      </c>
      <c r="AJ31" s="36">
        <f>VLOOKUP($A31,[18]HISTOSEPT23!$A$6:$CA$36,65,0)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VLOOKUP($A32,[18]HISTOSEPT23!$A$6:$BA$36,48,0)</f>
        <v>0</v>
      </c>
      <c r="F32" s="5">
        <f>MVTAOUT23!F32+MVTAOUT23!G32-MVTSEPT23!E32+K32</f>
        <v>737408.27797732747</v>
      </c>
      <c r="G32" s="6">
        <f t="shared" si="0"/>
        <v>0</v>
      </c>
      <c r="H32" s="6">
        <f t="shared" si="1"/>
        <v>737408.27797732747</v>
      </c>
      <c r="I32" s="36">
        <f>VLOOKUP($A32,[18]HISTOSEPT23!$A$6:$AQ$40,22,0)</f>
        <v>0</v>
      </c>
      <c r="J32" s="36">
        <f>VLOOKUP($A32,[18]HISTOSEPT23!$A$6:$AU$36,45,0)</f>
        <v>15000</v>
      </c>
      <c r="K32" s="36">
        <f t="shared" si="2"/>
        <v>9000</v>
      </c>
      <c r="L32" s="36">
        <f t="shared" si="4"/>
        <v>1000</v>
      </c>
      <c r="M32" s="36">
        <f t="shared" si="3"/>
        <v>1000</v>
      </c>
      <c r="N32" s="36">
        <f t="shared" si="5"/>
        <v>4000</v>
      </c>
      <c r="O32" s="36">
        <f>VLOOKUP($A32,[18]HISTOSEPT23!$A$6:$AU$36,7,0)</f>
        <v>0</v>
      </c>
      <c r="P32" s="36">
        <f>VLOOKUP($A32,[18]HISTOSEPT23!$A$6:$AU$36,23,0)</f>
        <v>0</v>
      </c>
      <c r="Q32" s="36">
        <f>VLOOKUP($A32,[18]HISTOSEPT23!$A$6:$AU$36,46,0)</f>
        <v>0</v>
      </c>
      <c r="R32" s="36">
        <f>VLOOKUP($A32,[18]HISTOSEPT23!$A$6:$AU$36,26,0)</f>
        <v>0</v>
      </c>
      <c r="S32" s="36">
        <f>VLOOKUP($A32,[18]HISTOSEPT23!$A$6:$BG$36,58,0)</f>
        <v>0</v>
      </c>
      <c r="T32" s="36">
        <f>VLOOKUP($A32,[18]HISTOSEPT23!$A$6:$AU$36,28,0)</f>
        <v>0</v>
      </c>
      <c r="U32" s="36">
        <f>VLOOKUP($A32,[18]HISTOSEPT23!$A$6:$AU$36,19,0)</f>
        <v>0</v>
      </c>
      <c r="V32" s="36">
        <f>VLOOKUP($A32,[18]HISTOSEPT23!$A$6:$AU$36,20,0)</f>
        <v>0</v>
      </c>
      <c r="W32" s="36">
        <f>VLOOKUP($A32,[18]HISTOSEPT23!$A$6:$AU$36,27,0)</f>
        <v>0</v>
      </c>
      <c r="X32" s="36">
        <f>VLOOKUP($A32,[18]HISTOSEPT23!$A$6:$BM$36,33,0)</f>
        <v>0</v>
      </c>
      <c r="Y32" s="36">
        <f>VLOOKUP($A32,[18]HISTOSEPT23!$A$6:$BM$36,65,0)</f>
        <v>0</v>
      </c>
      <c r="Z32" s="36"/>
      <c r="AA32" s="36">
        <f>VLOOKUP($A32,[18]HISTOSEPT23!$A$6:$AU$36,43,0)</f>
        <v>0</v>
      </c>
      <c r="AB32" s="36">
        <f>VLOOKUP($A32,[18]HISTOSEPT23!$A$6:$AU$36,44,0)</f>
        <v>0</v>
      </c>
      <c r="AC32" s="36">
        <f>VLOOKUP($A32,[18]HISTOSEPT23!$A$6:$AU$36,47,0)</f>
        <v>0</v>
      </c>
      <c r="AD32" s="36">
        <f>VLOOKUP(A32,[18]HISTOSEPT23!$A$6:$BB$36,54,0)</f>
        <v>0</v>
      </c>
      <c r="AE32" s="36">
        <f>VLOOKUP($A32,[18]HISTOSEPT23!$A$6:$CA$36,60,0)</f>
        <v>0</v>
      </c>
      <c r="AF32" s="36">
        <f>VLOOKUP($A32,[18]HISTOSEPT23!$A$6:$CA$36,61,0)</f>
        <v>0</v>
      </c>
      <c r="AG32" s="36">
        <f>VLOOKUP($A32,[18]HISTOSEPT23!$A$6:$CA$36,62,0)</f>
        <v>0</v>
      </c>
      <c r="AH32" s="36">
        <f>VLOOKUP($A32,[18]HISTOSEPT23!$A$6:$CA$36,63,0)</f>
        <v>0</v>
      </c>
      <c r="AI32" s="36">
        <f>VLOOKUP($A32,[18]HISTOSEPT23!$A$6:$CA$36,64,0)</f>
        <v>0</v>
      </c>
      <c r="AJ32" s="36">
        <f>VLOOKUP($A32,[18]HISTOSEPT23!$A$6:$CA$36,65,0)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VLOOKUP($A33,[18]HISTOSEPT23!$A$6:$BA$36,48,0)</f>
        <v>0</v>
      </c>
      <c r="F33" s="5">
        <f>MVTAOUT23!F33+MVTAOUT23!G33-MVTSEPT23!E33+K33</f>
        <v>60000</v>
      </c>
      <c r="G33" s="6">
        <f t="shared" si="0"/>
        <v>0</v>
      </c>
      <c r="H33" s="6">
        <f t="shared" si="1"/>
        <v>60000</v>
      </c>
      <c r="I33" s="36">
        <f>VLOOKUP($A33,[18]HISTOSEPT23!$A$6:$AQ$40,22,0)</f>
        <v>0</v>
      </c>
      <c r="J33" s="36"/>
      <c r="K33" s="36"/>
      <c r="L33" s="36"/>
      <c r="M33" s="36"/>
      <c r="N33" s="36"/>
      <c r="O33" s="36">
        <f>VLOOKUP($A33,[18]HISTOSEPT23!$A$6:$AU$36,7,0)</f>
        <v>0</v>
      </c>
      <c r="P33" s="36">
        <f>VLOOKUP($A33,[18]HISTOSEPT23!$A$6:$AU$36,23,0)</f>
        <v>0</v>
      </c>
      <c r="Q33" s="36">
        <f>VLOOKUP($A33,[18]HISTOSEPT23!$A$6:$AU$36,46,0)</f>
        <v>0</v>
      </c>
      <c r="R33" s="36">
        <f>VLOOKUP($A33,[18]HISTOSEPT23!$A$6:$AU$36,26,0)</f>
        <v>0</v>
      </c>
      <c r="S33" s="36">
        <f>VLOOKUP($A33,[18]HISTOSEPT23!$A$6:$BG$36,58,0)</f>
        <v>0</v>
      </c>
      <c r="T33" s="36">
        <f>VLOOKUP($A33,[18]HISTOSEPT23!$A$6:$AU$36,28,0)</f>
        <v>0</v>
      </c>
      <c r="U33" s="36">
        <f>VLOOKUP($A33,[18]HISTOSEPT23!$A$6:$AU$36,19,0)</f>
        <v>0</v>
      </c>
      <c r="V33" s="36">
        <f>VLOOKUP($A33,[18]HISTOSEPT23!$A$6:$AU$36,20,0)</f>
        <v>0</v>
      </c>
      <c r="W33" s="36">
        <f>VLOOKUP($A33,[18]HISTOSEPT23!$A$6:$AU$36,27,0)</f>
        <v>0</v>
      </c>
      <c r="X33" s="36">
        <f>VLOOKUP($A33,[18]HISTOSEPT23!$A$6:$BM$36,33,0)</f>
        <v>0</v>
      </c>
      <c r="Y33" s="36">
        <f>VLOOKUP($A33,[18]HISTOSEPT23!$A$6:$BM$36,65,0)</f>
        <v>0</v>
      </c>
      <c r="Z33" s="36"/>
      <c r="AA33" s="36">
        <f>VLOOKUP($A33,[18]HISTOSEPT23!$A$6:$AU$36,43,0)</f>
        <v>0</v>
      </c>
      <c r="AB33" s="36">
        <f>VLOOKUP($A33,[18]HISTOSEPT23!$A$6:$AU$36,44,0)</f>
        <v>0</v>
      </c>
      <c r="AC33" s="36">
        <f>VLOOKUP($A33,[18]HISTOSEPT23!$A$6:$AU$36,47,0)</f>
        <v>0</v>
      </c>
      <c r="AD33" s="36">
        <f>VLOOKUP(A33,[18]HISTOSEPT23!$A$6:$BB$36,54,0)</f>
        <v>0</v>
      </c>
      <c r="AE33" s="36">
        <f>VLOOKUP($A33,[18]HISTOSEPT23!$A$6:$CA$36,60,0)</f>
        <v>0</v>
      </c>
      <c r="AF33" s="36">
        <f>VLOOKUP($A33,[18]HISTOSEPT23!$A$6:$CA$36,61,0)</f>
        <v>0</v>
      </c>
      <c r="AG33" s="36">
        <f>VLOOKUP($A33,[18]HISTOSEPT23!$A$6:$CA$36,62,0)</f>
        <v>0</v>
      </c>
      <c r="AH33" s="36">
        <f>VLOOKUP($A33,[18]HISTOSEPT23!$A$6:$CA$36,63,0)</f>
        <v>0</v>
      </c>
      <c r="AI33" s="36">
        <f>VLOOKUP($A33,[18]HISTOSEPT23!$A$6:$CA$36,64,0)</f>
        <v>0</v>
      </c>
      <c r="AJ33" s="36">
        <f>VLOOKUP($A33,[18]HISTOSEPT23!$A$6:$CA$36,65,0)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VLOOKUP($A34,[18]HISTOSEPT23!$A$6:$BA$36,48,0)</f>
        <v>0</v>
      </c>
      <c r="F34" s="5">
        <f>MVTAOUT23!F34+MVTAOUT23!G34-MVTSEPT23!E34+K34</f>
        <v>413000</v>
      </c>
      <c r="G34" s="6">
        <f t="shared" si="0"/>
        <v>0</v>
      </c>
      <c r="H34" s="6">
        <f t="shared" si="1"/>
        <v>413000</v>
      </c>
      <c r="I34" s="36">
        <f>VLOOKUP($A34,[18]HISTOSEPT23!$A$6:$AQ$40,22,0)</f>
        <v>0</v>
      </c>
      <c r="J34" s="36">
        <f>VLOOKUP($A34,[18]HISTOSEPT23!$A$6:$AU$36,45,0)</f>
        <v>15000</v>
      </c>
      <c r="K34" s="36">
        <f t="shared" si="2"/>
        <v>9000</v>
      </c>
      <c r="L34" s="36">
        <f t="shared" si="4"/>
        <v>1000</v>
      </c>
      <c r="M34" s="36">
        <f t="shared" si="3"/>
        <v>1000</v>
      </c>
      <c r="N34" s="36">
        <f t="shared" si="5"/>
        <v>4000</v>
      </c>
      <c r="O34" s="36">
        <f>VLOOKUP($A34,[18]HISTOSEPT23!$A$6:$AU$36,7,0)</f>
        <v>0</v>
      </c>
      <c r="P34" s="36">
        <f>VLOOKUP($A34,[18]HISTOSEPT23!$A$6:$AU$36,23,0)</f>
        <v>0</v>
      </c>
      <c r="Q34" s="36">
        <f>VLOOKUP($A34,[18]HISTOSEPT23!$A$6:$AU$36,46,0)</f>
        <v>0</v>
      </c>
      <c r="R34" s="36">
        <f>VLOOKUP($A34,[18]HISTOSEPT23!$A$6:$AU$36,26,0)</f>
        <v>0</v>
      </c>
      <c r="S34" s="36">
        <f>VLOOKUP($A34,[18]HISTOSEPT23!$A$6:$BG$36,58,0)</f>
        <v>0</v>
      </c>
      <c r="T34" s="36">
        <f>VLOOKUP($A34,[18]HISTOSEPT23!$A$6:$AU$36,28,0)</f>
        <v>0</v>
      </c>
      <c r="U34" s="36">
        <f>VLOOKUP($A34,[18]HISTOSEPT23!$A$6:$AU$36,19,0)</f>
        <v>0</v>
      </c>
      <c r="V34" s="36">
        <f>VLOOKUP($A34,[18]HISTOSEPT23!$A$6:$AU$36,20,0)</f>
        <v>0</v>
      </c>
      <c r="W34" s="36">
        <f>VLOOKUP($A34,[18]HISTOSEPT23!$A$6:$AU$36,27,0)</f>
        <v>0</v>
      </c>
      <c r="X34" s="36">
        <f>VLOOKUP($A34,[18]HISTOSEPT23!$A$6:$BM$36,33,0)</f>
        <v>0</v>
      </c>
      <c r="Y34" s="36">
        <f>VLOOKUP($A34,[18]HISTOSEPT23!$A$6:$BM$36,65,0)</f>
        <v>0</v>
      </c>
      <c r="Z34" s="36"/>
      <c r="AA34" s="36">
        <f>VLOOKUP($A34,[18]HISTOSEPT23!$A$6:$AU$36,43,0)</f>
        <v>0</v>
      </c>
      <c r="AB34" s="36">
        <f>VLOOKUP($A34,[18]HISTOSEPT23!$A$6:$AU$36,44,0)</f>
        <v>0</v>
      </c>
      <c r="AC34" s="36">
        <f>VLOOKUP($A34,[18]HISTOSEPT23!$A$6:$AU$36,47,0)</f>
        <v>0</v>
      </c>
      <c r="AD34" s="36">
        <f>VLOOKUP(A34,[18]HISTOSEPT23!$A$6:$BB$36,54,0)</f>
        <v>0</v>
      </c>
      <c r="AE34" s="36">
        <f>VLOOKUP($A34,[18]HISTOSEPT23!$A$6:$CA$36,60,0)</f>
        <v>0</v>
      </c>
      <c r="AF34" s="36">
        <f>VLOOKUP($A34,[18]HISTOSEPT23!$A$6:$CA$36,61,0)</f>
        <v>0</v>
      </c>
      <c r="AG34" s="36">
        <f>VLOOKUP($A34,[18]HISTOSEPT23!$A$6:$CA$36,62,0)</f>
        <v>0</v>
      </c>
      <c r="AH34" s="36">
        <f>VLOOKUP($A34,[18]HISTOSEPT23!$A$6:$CA$36,63,0)</f>
        <v>0</v>
      </c>
      <c r="AI34" s="36">
        <f>VLOOKUP($A34,[18]HISTOSEPT23!$A$6:$CA$36,64,0)</f>
        <v>0</v>
      </c>
      <c r="AJ34" s="36">
        <f>VLOOKUP($A34,[18]HISTOSEPT23!$A$6:$CA$36,65,0)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VLOOKUP($A35,[18]HISTOSEPT23!$A$6:$BA$36,48,0)</f>
        <v>0</v>
      </c>
      <c r="F35" s="5">
        <f>MVTAOUT23!F35+MVTAOUT23!G35-MVTSEPT23!E35+K35</f>
        <v>1718014.4431329297</v>
      </c>
      <c r="G35" s="6">
        <f t="shared" si="0"/>
        <v>0</v>
      </c>
      <c r="H35" s="6">
        <f t="shared" si="1"/>
        <v>1718014.4431329297</v>
      </c>
      <c r="I35" s="36">
        <f>VLOOKUP($A35,[18]HISTOSEPT23!$A$6:$AQ$40,22,0)</f>
        <v>0</v>
      </c>
      <c r="J35" s="36">
        <f>VLOOKUP($A35,[18]HISTOSEPT23!$A$6:$AU$36,45,0)</f>
        <v>15000</v>
      </c>
      <c r="K35" s="36">
        <f t="shared" si="2"/>
        <v>9000</v>
      </c>
      <c r="L35" s="36">
        <f t="shared" si="4"/>
        <v>1000</v>
      </c>
      <c r="M35" s="36">
        <f t="shared" si="3"/>
        <v>1000</v>
      </c>
      <c r="N35" s="36">
        <f t="shared" si="5"/>
        <v>4000</v>
      </c>
      <c r="O35" s="36">
        <f>VLOOKUP($A35,[18]HISTOSEPT23!$A$6:$AU$36,7,0)</f>
        <v>0</v>
      </c>
      <c r="P35" s="36">
        <f>VLOOKUP($A35,[18]HISTOSEPT23!$A$6:$AU$36,23,0)</f>
        <v>0</v>
      </c>
      <c r="Q35" s="36">
        <f>VLOOKUP($A35,[18]HISTOSEPT23!$A$6:$AU$36,46,0)</f>
        <v>0</v>
      </c>
      <c r="R35" s="36">
        <f>VLOOKUP($A35,[18]HISTOSEPT23!$A$6:$AU$36,26,0)</f>
        <v>0</v>
      </c>
      <c r="S35" s="36">
        <f>VLOOKUP($A35,[18]HISTOSEPT23!$A$6:$BG$36,58,0)</f>
        <v>0</v>
      </c>
      <c r="T35" s="36">
        <f>VLOOKUP($A35,[18]HISTOSEPT23!$A$6:$AU$36,28,0)</f>
        <v>0</v>
      </c>
      <c r="U35" s="36">
        <f>VLOOKUP($A35,[18]HISTOSEPT23!$A$6:$AU$36,19,0)</f>
        <v>0</v>
      </c>
      <c r="V35" s="36">
        <f>VLOOKUP($A35,[18]HISTOSEPT23!$A$6:$AU$36,20,0)</f>
        <v>0</v>
      </c>
      <c r="W35" s="36">
        <f>VLOOKUP($A35,[18]HISTOSEPT23!$A$6:$AU$36,27,0)</f>
        <v>0</v>
      </c>
      <c r="X35" s="36">
        <f>VLOOKUP($A35,[18]HISTOSEPT23!$A$6:$BM$36,33,0)</f>
        <v>0</v>
      </c>
      <c r="Y35" s="36">
        <f>VLOOKUP($A35,[18]HISTOSEPT23!$A$6:$BM$36,65,0)</f>
        <v>0</v>
      </c>
      <c r="Z35" s="36"/>
      <c r="AA35" s="36">
        <f>VLOOKUP($A35,[18]HISTOSEPT23!$A$6:$AU$36,43,0)</f>
        <v>0</v>
      </c>
      <c r="AB35" s="36">
        <f>VLOOKUP($A35,[18]HISTOSEPT23!$A$6:$AU$36,44,0)</f>
        <v>0</v>
      </c>
      <c r="AC35" s="36">
        <f>VLOOKUP($A35,[18]HISTOSEPT23!$A$6:$AU$36,47,0)</f>
        <v>0</v>
      </c>
      <c r="AD35" s="36">
        <f>VLOOKUP(A35,[18]HISTOSEPT23!$A$6:$BB$36,54,0)</f>
        <v>0</v>
      </c>
      <c r="AE35" s="36">
        <f>VLOOKUP($A35,[18]HISTOSEPT23!$A$6:$CA$36,60,0)</f>
        <v>0</v>
      </c>
      <c r="AF35" s="36">
        <f>VLOOKUP($A35,[18]HISTOSEPT23!$A$6:$CA$36,61,0)</f>
        <v>0</v>
      </c>
      <c r="AG35" s="36">
        <f>VLOOKUP($A35,[18]HISTOSEPT23!$A$6:$CA$36,62,0)</f>
        <v>0</v>
      </c>
      <c r="AH35" s="36">
        <f>VLOOKUP($A35,[18]HISTOSEPT23!$A$6:$CA$36,63,0)</f>
        <v>0</v>
      </c>
      <c r="AI35" s="36">
        <f>VLOOKUP($A35,[18]HISTOSEPT23!$A$6:$CA$36,64,0)</f>
        <v>0</v>
      </c>
      <c r="AJ35" s="36">
        <f>VLOOKUP($A35,[18]HISTOSEPT23!$A$6:$CA$36,65,0)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VLOOKUP($A36,[18]HISTOSEPT23!$A$6:$BA$36,48,0)</f>
        <v>0</v>
      </c>
      <c r="F36" s="5">
        <f>MVTAOUT23!F36+MVTAOUT23!G36-MVTSEPT23!E36+K36</f>
        <v>1880398.9386330307</v>
      </c>
      <c r="G36" s="6">
        <f t="shared" si="0"/>
        <v>0</v>
      </c>
      <c r="H36" s="6">
        <f t="shared" si="1"/>
        <v>1880398.9386330307</v>
      </c>
      <c r="I36" s="36">
        <f>VLOOKUP($A36,[18]HISTOSEPT23!$A$6:$AQ$40,22,0)</f>
        <v>0</v>
      </c>
      <c r="J36" s="36">
        <f>VLOOKUP($A36,[18]HISTOSEPT23!$A$6:$AU$36,45,0)</f>
        <v>15000</v>
      </c>
      <c r="K36" s="36">
        <f t="shared" si="2"/>
        <v>9000</v>
      </c>
      <c r="L36" s="36">
        <f t="shared" si="4"/>
        <v>1000</v>
      </c>
      <c r="M36" s="36">
        <f t="shared" si="3"/>
        <v>1000</v>
      </c>
      <c r="N36" s="36">
        <f t="shared" si="5"/>
        <v>4000</v>
      </c>
      <c r="O36" s="36">
        <f>VLOOKUP($A36,[18]HISTOSEPT23!$A$6:$AU$36,7,0)</f>
        <v>0</v>
      </c>
      <c r="P36" s="36">
        <f>VLOOKUP($A36,[18]HISTOSEPT23!$A$6:$AU$36,23,0)</f>
        <v>0</v>
      </c>
      <c r="Q36" s="36">
        <f>VLOOKUP($A36,[18]HISTOSEPT23!$A$6:$AU$36,46,0)</f>
        <v>0</v>
      </c>
      <c r="R36" s="36">
        <f>VLOOKUP($A36,[18]HISTOSEPT23!$A$6:$AU$36,26,0)</f>
        <v>0</v>
      </c>
      <c r="S36" s="36">
        <f>VLOOKUP($A36,[18]HISTOSEPT23!$A$6:$BG$36,58,0)</f>
        <v>0</v>
      </c>
      <c r="T36" s="36">
        <f>VLOOKUP($A36,[18]HISTOSEPT23!$A$6:$AU$36,28,0)</f>
        <v>0</v>
      </c>
      <c r="U36" s="36">
        <f>VLOOKUP($A36,[18]HISTOSEPT23!$A$6:$AU$36,19,0)</f>
        <v>110000</v>
      </c>
      <c r="V36" s="36" t="str">
        <f>VLOOKUP($A36,[18]HISTOSEPT23!$A$6:$AU$36,20,0)</f>
        <v>BANQUE</v>
      </c>
      <c r="W36" s="36">
        <f>VLOOKUP($A36,[18]HISTOSEPT23!$A$6:$AU$36,27,0)</f>
        <v>0</v>
      </c>
      <c r="X36" s="36">
        <f>VLOOKUP($A36,[18]HISTOSEPT23!$A$6:$BM$36,33,0)</f>
        <v>0</v>
      </c>
      <c r="Y36" s="36">
        <f>VLOOKUP($A36,[18]HISTOSEPT23!$A$6:$BM$36,65,0)</f>
        <v>0</v>
      </c>
      <c r="Z36" s="36"/>
      <c r="AA36" s="36">
        <f>VLOOKUP($A36,[18]HISTOSEPT23!$A$6:$AU$36,43,0)</f>
        <v>0</v>
      </c>
      <c r="AB36" s="36">
        <f>VLOOKUP($A36,[18]HISTOSEPT23!$A$6:$AU$36,44,0)</f>
        <v>0</v>
      </c>
      <c r="AC36" s="36">
        <f>VLOOKUP($A36,[18]HISTOSEPT23!$A$6:$AU$36,47,0)</f>
        <v>0</v>
      </c>
      <c r="AD36" s="36">
        <f>VLOOKUP(A36,[18]HISTOSEPT23!$A$6:$BB$36,54,0)</f>
        <v>0</v>
      </c>
      <c r="AE36" s="36">
        <f>VLOOKUP($A36,[18]HISTOSEPT23!$A$6:$CA$36,60,0)</f>
        <v>0</v>
      </c>
      <c r="AF36" s="36">
        <f>VLOOKUP($A36,[18]HISTOSEPT23!$A$6:$CA$36,61,0)</f>
        <v>0</v>
      </c>
      <c r="AG36" s="36">
        <f>VLOOKUP($A36,[18]HISTOSEPT23!$A$6:$CA$36,62,0)</f>
        <v>0</v>
      </c>
      <c r="AH36" s="36">
        <f>VLOOKUP($A36,[18]HISTOSEPT23!$A$6:$CA$36,63,0)</f>
        <v>0</v>
      </c>
      <c r="AI36" s="36">
        <f>VLOOKUP($A36,[18]HISTOSEPT23!$A$6:$CA$36,64,0)</f>
        <v>0</v>
      </c>
      <c r="AJ36" s="36">
        <f>VLOOKUP($A36,[18]HISTOSEPT23!$A$6:$CA$36,65,0)</f>
        <v>0</v>
      </c>
    </row>
    <row r="37" spans="1:36" x14ac:dyDescent="0.25">
      <c r="A37" s="1" t="s">
        <v>27</v>
      </c>
      <c r="B37" s="1" t="s">
        <v>335</v>
      </c>
      <c r="C37" s="1"/>
      <c r="D37" s="1"/>
      <c r="E37" s="1"/>
      <c r="F37" s="5">
        <f>MVTAOUT23!F37+MVTAOUT23!G37-MVTSEPT23!E37+K37</f>
        <v>153468</v>
      </c>
      <c r="G37" s="6">
        <f t="shared" si="0"/>
        <v>0</v>
      </c>
      <c r="H37" s="6">
        <f t="shared" si="1"/>
        <v>153468</v>
      </c>
      <c r="I37" s="6"/>
      <c r="J37" s="6"/>
      <c r="K37" s="3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26194326.324737497</v>
      </c>
      <c r="G40" s="9">
        <f t="shared" si="6"/>
        <v>0</v>
      </c>
      <c r="H40" s="9">
        <f t="shared" si="6"/>
        <v>26194326.324737497</v>
      </c>
      <c r="I40" s="9">
        <f t="shared" si="6"/>
        <v>0</v>
      </c>
      <c r="J40" s="9">
        <f t="shared" si="6"/>
        <v>948000</v>
      </c>
      <c r="K40" s="9">
        <f t="shared" si="6"/>
        <v>774000</v>
      </c>
      <c r="L40" s="9">
        <f t="shared" si="6"/>
        <v>29000</v>
      </c>
      <c r="M40" s="9">
        <f t="shared" si="6"/>
        <v>29000</v>
      </c>
      <c r="N40" s="9">
        <f t="shared" si="6"/>
        <v>116000</v>
      </c>
      <c r="O40" s="9">
        <f t="shared" si="6"/>
        <v>3000</v>
      </c>
      <c r="P40" s="9">
        <f t="shared" si="6"/>
        <v>0</v>
      </c>
      <c r="Q40" s="9">
        <f t="shared" si="6"/>
        <v>0</v>
      </c>
      <c r="R40" s="9">
        <f t="shared" si="6"/>
        <v>0</v>
      </c>
      <c r="S40" s="9">
        <f t="shared" si="6"/>
        <v>0</v>
      </c>
      <c r="T40" s="9">
        <f t="shared" si="6"/>
        <v>0</v>
      </c>
      <c r="U40" s="9">
        <f t="shared" si="6"/>
        <v>1102500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210000</v>
      </c>
      <c r="AE40" s="9">
        <f t="shared" si="6"/>
        <v>6000</v>
      </c>
      <c r="AF40" s="9">
        <f t="shared" si="6"/>
        <v>0</v>
      </c>
      <c r="AG40" s="9">
        <f t="shared" si="6"/>
        <v>0</v>
      </c>
      <c r="AH40" s="9">
        <f t="shared" si="6"/>
        <v>100000</v>
      </c>
      <c r="AI40" s="9">
        <f t="shared" si="6"/>
        <v>0</v>
      </c>
      <c r="AJ40" s="9">
        <f t="shared" si="6"/>
        <v>0</v>
      </c>
    </row>
    <row r="42" spans="1:36" ht="18" x14ac:dyDescent="0.25">
      <c r="H42" s="9">
        <v>26194826.524618916</v>
      </c>
    </row>
    <row r="43" spans="1:36" x14ac:dyDescent="0.25">
      <c r="F43" s="2"/>
    </row>
    <row r="44" spans="1:36" x14ac:dyDescent="0.25">
      <c r="H44" s="2">
        <f>H42-H40</f>
        <v>500.19988141953945</v>
      </c>
      <c r="I44" t="s">
        <v>336</v>
      </c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D6" activePane="bottomRight" state="frozen"/>
      <selection activeCell="J4" sqref="J4:O4"/>
      <selection pane="topRight" activeCell="J4" sqref="J4:O4"/>
      <selection pane="bottomLeft" activeCell="J4" sqref="J4:O4"/>
      <selection pane="bottomRight" activeCell="G6" sqref="G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45216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MVTSEPT23!F6+MVTSEPT23!G6-MVTOCT23!E6+K6</f>
        <v>885849.86125485715</v>
      </c>
      <c r="G6" s="6">
        <v>673.39766738458525</v>
      </c>
      <c r="H6" s="6">
        <f>F6+G6</f>
        <v>886523.25892224174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VLOOKUP($A6,[18]HISTOOCT23!$A$6:$CA$36,60,0)</f>
        <v>13500</v>
      </c>
      <c r="AF6" s="36">
        <f>VLOOKUP($A6,[18]HISTOOCT23!$A$6:$CA$36,61,0)</f>
        <v>600000</v>
      </c>
      <c r="AG6" s="36">
        <f>VLOOKUP($A6,[18]HISTOOCT23!$A$6:$CA$36,62,0)</f>
        <v>0</v>
      </c>
      <c r="AH6" s="36">
        <f>VLOOKUP($A6,[18]HISTOOCT23!$A$6:$CA$36,63,0)</f>
        <v>100000</v>
      </c>
      <c r="AI6" s="36">
        <f>VLOOKUP($A6,[18]HISTOOCT23!$A$6:$CA$36,64,0)</f>
        <v>0</v>
      </c>
      <c r="AJ6" s="36">
        <f>VLOOKUP($A6,[18]HISTOOCT23!$A$6:$CA$36,65,0)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VLOOKUP($A7,[18]HISTOOCT23!$A$6:$BA$36,48,0)</f>
        <v>0</v>
      </c>
      <c r="F7" s="5">
        <f>MVTSEPT23!F7+MVTSEPT23!G7-MVTOCT23!E7+K7</f>
        <v>699950.41412362608</v>
      </c>
      <c r="G7" s="6">
        <v>532.08223737602339</v>
      </c>
      <c r="H7" s="6">
        <f t="shared" ref="H7:H37" si="0">F7+G7</f>
        <v>700482.49636100209</v>
      </c>
      <c r="I7" s="36">
        <f>VLOOKUP($A7,[18]HISTOOCT23!$A$6:$AQ$40,22,0)</f>
        <v>0</v>
      </c>
      <c r="J7" s="36">
        <f>VLOOKUP($A7,[18]HISTOOCT23!$A$6:$AU$36,45,0)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VLOOKUP($A7,[18]HISTOOCT23!$A$6:$AU$36,7,0)</f>
        <v>0</v>
      </c>
      <c r="P7" s="36">
        <f>VLOOKUP($A7,[18]HISTOOCT23!$A$6:$AU$36,23,0)</f>
        <v>0</v>
      </c>
      <c r="Q7" s="36">
        <f>VLOOKUP($A7,[18]HISTOOCT23!$A$6:$AU$36,46,0)</f>
        <v>0</v>
      </c>
      <c r="R7" s="36">
        <f>VLOOKUP($A7,[18]HISTOOCT23!$A$6:$AU$36,26,0)</f>
        <v>0</v>
      </c>
      <c r="S7" s="36">
        <f>VLOOKUP($A7,[18]HISTOOCT23!$A$6:$BG$36,58,0)</f>
        <v>0</v>
      </c>
      <c r="T7" s="36">
        <f>VLOOKUP($A7,[18]HISTOOCT23!$A$6:$AU$36,28,0)</f>
        <v>0</v>
      </c>
      <c r="U7" s="36">
        <f>VLOOKUP($A7,[18]HISTOOCT23!$A$6:$AU$36,19,0)</f>
        <v>0</v>
      </c>
      <c r="V7" s="36">
        <f>VLOOKUP($A7,[18]HISTOOCT23!$A$6:$AU$36,20,0)</f>
        <v>0</v>
      </c>
      <c r="W7" s="36">
        <f>VLOOKUP($A7,[18]HISTOOCT23!$A$6:$AU$36,27,0)</f>
        <v>0</v>
      </c>
      <c r="X7" s="36">
        <f>VLOOKUP($A7,[18]HISTOOCT23!$A$6:$BM$36,33,0)</f>
        <v>0</v>
      </c>
      <c r="Y7" s="36">
        <f>VLOOKUP($A7,[18]HISTOOCT23!$A$6:$BM$36,65,0)</f>
        <v>0</v>
      </c>
      <c r="Z7" s="36"/>
      <c r="AA7" s="36">
        <f>VLOOKUP($A7,[18]HISTOOCT23!$A$6:$AU$36,43,0)</f>
        <v>0</v>
      </c>
      <c r="AB7" s="36">
        <f>VLOOKUP($A7,[18]HISTOOCT23!$A$6:$AU$36,44,0)</f>
        <v>0</v>
      </c>
      <c r="AC7" s="36">
        <f>VLOOKUP($A7,[18]HISTOOCT23!$A$6:$AU$36,47,0)</f>
        <v>0</v>
      </c>
      <c r="AD7" s="36">
        <f>VLOOKUP(A7,[18]HISTOOCT23!$A$6:$BB$36,54,0)</f>
        <v>0</v>
      </c>
      <c r="AE7" s="36">
        <f>VLOOKUP($A7,[18]HISTOOCT23!$A$6:$CA$36,60,0)</f>
        <v>0</v>
      </c>
      <c r="AF7" s="36">
        <f>VLOOKUP($A7,[18]HISTOOCT23!$A$6:$CA$36,61,0)</f>
        <v>0</v>
      </c>
      <c r="AG7" s="36">
        <f>VLOOKUP($A7,[18]HISTOOCT23!$A$6:$CA$36,62,0)</f>
        <v>0</v>
      </c>
      <c r="AH7" s="36">
        <f>VLOOKUP($A7,[18]HISTOOCT23!$A$6:$CA$36,63,0)</f>
        <v>0</v>
      </c>
      <c r="AI7" s="36">
        <f>VLOOKUP($A7,[18]HISTOOCT23!$A$6:$CA$36,64,0)</f>
        <v>0</v>
      </c>
      <c r="AJ7" s="36">
        <f>VLOOKUP($A7,[18]HISTOOCT23!$A$6:$CA$36,65,0)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VLOOKUP($A8,[18]HISTOOCT23!$A$6:$BA$36,48,0)</f>
        <v>0</v>
      </c>
      <c r="F8" s="5">
        <f>MVTSEPT23!F8+MVTSEPT23!G8-MVTOCT23!E8+K8</f>
        <v>749463.06706552661</v>
      </c>
      <c r="G8" s="6">
        <v>569.72033662443084</v>
      </c>
      <c r="H8" s="6">
        <f t="shared" si="0"/>
        <v>750032.78740215104</v>
      </c>
      <c r="I8" s="36">
        <f>VLOOKUP($A8,[18]HISTOOCT23!$A$6:$AQ$40,22,0)</f>
        <v>0</v>
      </c>
      <c r="J8" s="36">
        <f>VLOOKUP($A8,[18]HISTOOCT23!$A$6:$AU$36,45,0)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VLOOKUP($A8,[18]HISTOOCT23!$A$6:$AU$36,7,0)</f>
        <v>0</v>
      </c>
      <c r="P8" s="36">
        <f>VLOOKUP($A8,[18]HISTOOCT23!$A$6:$AU$36,23,0)</f>
        <v>0</v>
      </c>
      <c r="Q8" s="36">
        <f>VLOOKUP($A8,[18]HISTOOCT23!$A$6:$AU$36,46,0)</f>
        <v>0</v>
      </c>
      <c r="R8" s="36">
        <f>VLOOKUP($A8,[18]HISTOOCT23!$A$6:$AU$36,26,0)</f>
        <v>0</v>
      </c>
      <c r="S8" s="36">
        <f>VLOOKUP($A8,[18]HISTOOCT23!$A$6:$BG$36,58,0)</f>
        <v>0</v>
      </c>
      <c r="T8" s="36">
        <f>VLOOKUP($A8,[18]HISTOOCT23!$A$6:$AU$36,28,0)</f>
        <v>0</v>
      </c>
      <c r="U8" s="36">
        <f>VLOOKUP($A8,[18]HISTOOCT23!$A$6:$AU$36,19,0)</f>
        <v>0</v>
      </c>
      <c r="V8" s="36">
        <f>VLOOKUP($A8,[18]HISTOOCT23!$A$6:$AU$36,20,0)</f>
        <v>0</v>
      </c>
      <c r="W8" s="36">
        <f>VLOOKUP($A8,[18]HISTOOCT23!$A$6:$AU$36,27,0)</f>
        <v>0</v>
      </c>
      <c r="X8" s="36">
        <f>VLOOKUP($A8,[18]HISTOOCT23!$A$6:$BM$36,33,0)</f>
        <v>0</v>
      </c>
      <c r="Y8" s="36">
        <f>VLOOKUP($A8,[18]HISTOOCT23!$A$6:$BM$36,65,0)</f>
        <v>0</v>
      </c>
      <c r="Z8" s="36"/>
      <c r="AA8" s="36">
        <f>VLOOKUP($A8,[18]HISTOOCT23!$A$6:$AU$36,43,0)</f>
        <v>0</v>
      </c>
      <c r="AB8" s="36">
        <f>VLOOKUP($A8,[18]HISTOOCT23!$A$6:$AU$36,44,0)</f>
        <v>0</v>
      </c>
      <c r="AC8" s="36">
        <f>VLOOKUP($A8,[18]HISTOOCT23!$A$6:$AU$36,47,0)</f>
        <v>0</v>
      </c>
      <c r="AD8" s="36">
        <f>VLOOKUP(A8,[18]HISTOOCT23!$A$6:$BB$36,54,0)</f>
        <v>70000</v>
      </c>
      <c r="AE8" s="36">
        <f>VLOOKUP($A8,[18]HISTOOCT23!$A$6:$CA$36,60,0)</f>
        <v>0</v>
      </c>
      <c r="AF8" s="36">
        <f>VLOOKUP($A8,[18]HISTOOCT23!$A$6:$CA$36,61,0)</f>
        <v>0</v>
      </c>
      <c r="AG8" s="36">
        <f>VLOOKUP($A8,[18]HISTOOCT23!$A$6:$CA$36,62,0)</f>
        <v>0</v>
      </c>
      <c r="AH8" s="36">
        <f>VLOOKUP($A8,[18]HISTOOCT23!$A$6:$CA$36,63,0)</f>
        <v>0</v>
      </c>
      <c r="AI8" s="36">
        <f>VLOOKUP($A8,[18]HISTOOCT23!$A$6:$CA$36,64,0)</f>
        <v>0</v>
      </c>
      <c r="AJ8" s="36">
        <f>VLOOKUP($A8,[18]HISTOOCT23!$A$6:$CA$36,65,0)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VLOOKUP($A9,[18]HISTOOCT23!$A$6:$BA$36,48,0)</f>
        <v>0</v>
      </c>
      <c r="F9" s="5">
        <f>MVTSEPT23!F9+MVTSEPT23!G9-MVTOCT23!E9+K9</f>
        <v>783761.83992121159</v>
      </c>
      <c r="G9" s="6">
        <v>595.79328041024826</v>
      </c>
      <c r="H9" s="6">
        <f t="shared" si="0"/>
        <v>784357.63320162182</v>
      </c>
      <c r="I9" s="36">
        <f>VLOOKUP($A9,[18]HISTOOCT23!$A$6:$AQ$40,22,0)</f>
        <v>0</v>
      </c>
      <c r="J9" s="36">
        <f>VLOOKUP($A9,[18]HISTOOCT23!$A$6:$AU$36,45,0)</f>
        <v>15000</v>
      </c>
      <c r="K9" s="36">
        <f t="shared" si="1"/>
        <v>9000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VLOOKUP($A9,[18]HISTOOCT23!$A$6:$AU$36,7,0)</f>
        <v>0</v>
      </c>
      <c r="P9" s="36">
        <f>VLOOKUP($A9,[18]HISTOOCT23!$A$6:$AU$36,23,0)</f>
        <v>0</v>
      </c>
      <c r="Q9" s="36">
        <f>VLOOKUP($A9,[18]HISTOOCT23!$A$6:$AU$36,46,0)</f>
        <v>0</v>
      </c>
      <c r="R9" s="36">
        <f>VLOOKUP($A9,[18]HISTOOCT23!$A$6:$AU$36,26,0)</f>
        <v>0</v>
      </c>
      <c r="S9" s="36">
        <f>VLOOKUP($A9,[18]HISTOOCT23!$A$6:$BG$36,58,0)</f>
        <v>0</v>
      </c>
      <c r="T9" s="36">
        <f>VLOOKUP($A9,[18]HISTOOCT23!$A$6:$AU$36,28,0)</f>
        <v>0</v>
      </c>
      <c r="U9" s="36">
        <f>VLOOKUP($A9,[18]HISTOOCT23!$A$6:$AU$36,19,0)</f>
        <v>0</v>
      </c>
      <c r="V9" s="36">
        <f>VLOOKUP($A9,[18]HISTOOCT23!$A$6:$AU$36,20,0)</f>
        <v>0</v>
      </c>
      <c r="W9" s="36">
        <f>VLOOKUP($A9,[18]HISTOOCT23!$A$6:$AU$36,27,0)</f>
        <v>0</v>
      </c>
      <c r="X9" s="36">
        <f>VLOOKUP($A9,[18]HISTOOCT23!$A$6:$BM$36,33,0)</f>
        <v>0</v>
      </c>
      <c r="Y9" s="36">
        <f>VLOOKUP($A9,[18]HISTOOCT23!$A$6:$BM$36,65,0)</f>
        <v>0</v>
      </c>
      <c r="Z9" s="36"/>
      <c r="AA9" s="36">
        <f>VLOOKUP($A9,[18]HISTOOCT23!$A$6:$AU$36,43,0)</f>
        <v>0</v>
      </c>
      <c r="AB9" s="36">
        <f>VLOOKUP($A9,[18]HISTOOCT23!$A$6:$AU$36,44,0)</f>
        <v>0</v>
      </c>
      <c r="AC9" s="36">
        <f>VLOOKUP($A9,[18]HISTOOCT23!$A$6:$AU$36,47,0)</f>
        <v>0</v>
      </c>
      <c r="AD9" s="36">
        <f>VLOOKUP(A9,[18]HISTOOCT23!$A$6:$BB$36,54,0)</f>
        <v>0</v>
      </c>
      <c r="AE9" s="36">
        <f>VLOOKUP($A9,[18]HISTOOCT23!$A$6:$CA$36,60,0)</f>
        <v>0</v>
      </c>
      <c r="AF9" s="36">
        <f>VLOOKUP($A9,[18]HISTOOCT23!$A$6:$CA$36,61,0)</f>
        <v>0</v>
      </c>
      <c r="AG9" s="36">
        <f>VLOOKUP($A9,[18]HISTOOCT23!$A$6:$CA$36,62,0)</f>
        <v>0</v>
      </c>
      <c r="AH9" s="36">
        <f>VLOOKUP($A9,[18]HISTOOCT23!$A$6:$CA$36,63,0)</f>
        <v>0</v>
      </c>
      <c r="AI9" s="36">
        <f>VLOOKUP($A9,[18]HISTOOCT23!$A$6:$CA$36,64,0)</f>
        <v>0</v>
      </c>
      <c r="AJ9" s="36">
        <f>VLOOKUP($A9,[18]HISTOOCT23!$A$6:$CA$36,65,0)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VLOOKUP($A10,[18]HISTOOCT23!$A$6:$BA$36,48,0)</f>
        <v>0</v>
      </c>
      <c r="F10" s="5">
        <f>MVTSEPT23!F10+MVTSEPT23!G10-MVTOCT23!E10+K10</f>
        <v>792692.50964313908</v>
      </c>
      <c r="G10" s="6">
        <v>602.58211949231236</v>
      </c>
      <c r="H10" s="6">
        <f t="shared" si="0"/>
        <v>793295.09176263143</v>
      </c>
      <c r="I10" s="36">
        <f>VLOOKUP($A10,[18]HISTOOCT23!$A$6:$AQ$40,22,0)</f>
        <v>0</v>
      </c>
      <c r="J10" s="36">
        <f>VLOOKUP($A10,[18]HISTOOCT23!$A$6:$AU$36,45,0)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VLOOKUP($A10,[18]HISTOOCT23!$A$6:$AU$36,7,0)</f>
        <v>0</v>
      </c>
      <c r="P10" s="36">
        <f>VLOOKUP($A10,[18]HISTOOCT23!$A$6:$AU$36,23,0)</f>
        <v>0</v>
      </c>
      <c r="Q10" s="36">
        <f>VLOOKUP($A10,[18]HISTOOCT23!$A$6:$AU$36,46,0)</f>
        <v>0</v>
      </c>
      <c r="R10" s="36">
        <f>VLOOKUP($A10,[18]HISTOOCT23!$A$6:$AU$36,26,0)</f>
        <v>0</v>
      </c>
      <c r="S10" s="36">
        <f>VLOOKUP($A10,[18]HISTOOCT23!$A$6:$BG$36,58,0)</f>
        <v>0</v>
      </c>
      <c r="T10" s="36">
        <f>VLOOKUP($A10,[18]HISTOOCT23!$A$6:$AU$36,28,0)</f>
        <v>0</v>
      </c>
      <c r="U10" s="36">
        <f>VLOOKUP($A10,[18]HISTOOCT23!$A$6:$AU$36,19,0)</f>
        <v>0</v>
      </c>
      <c r="V10" s="36">
        <f>VLOOKUP($A10,[18]HISTOOCT23!$A$6:$AU$36,20,0)</f>
        <v>0</v>
      </c>
      <c r="W10" s="36">
        <f>VLOOKUP($A10,[18]HISTOOCT23!$A$6:$AU$36,27,0)</f>
        <v>0</v>
      </c>
      <c r="X10" s="36">
        <f>VLOOKUP($A10,[18]HISTOOCT23!$A$6:$BM$36,33,0)</f>
        <v>0</v>
      </c>
      <c r="Y10" s="36">
        <f>VLOOKUP($A10,[18]HISTOOCT23!$A$6:$BM$36,65,0)</f>
        <v>0</v>
      </c>
      <c r="Z10" s="36"/>
      <c r="AA10" s="36">
        <f>VLOOKUP($A10,[18]HISTOOCT23!$A$6:$AU$36,43,0)</f>
        <v>0</v>
      </c>
      <c r="AB10" s="36">
        <f>VLOOKUP($A10,[18]HISTOOCT23!$A$6:$AU$36,44,0)</f>
        <v>0</v>
      </c>
      <c r="AC10" s="36">
        <f>VLOOKUP($A10,[18]HISTOOCT23!$A$6:$AU$36,47,0)</f>
        <v>0</v>
      </c>
      <c r="AD10" s="36">
        <f>VLOOKUP(A10,[18]HISTOOCT23!$A$6:$BB$36,54,0)</f>
        <v>0</v>
      </c>
      <c r="AE10" s="36">
        <f>VLOOKUP($A10,[18]HISTOOCT23!$A$6:$CA$36,60,0)</f>
        <v>0</v>
      </c>
      <c r="AF10" s="36">
        <f>VLOOKUP($A10,[18]HISTOOCT23!$A$6:$CA$36,61,0)</f>
        <v>0</v>
      </c>
      <c r="AG10" s="36">
        <f>VLOOKUP($A10,[18]HISTOOCT23!$A$6:$CA$36,62,0)</f>
        <v>0</v>
      </c>
      <c r="AH10" s="36">
        <f>VLOOKUP($A10,[18]HISTOOCT23!$A$6:$CA$36,63,0)</f>
        <v>0</v>
      </c>
      <c r="AI10" s="36">
        <f>VLOOKUP($A10,[18]HISTOOCT23!$A$6:$CA$36,64,0)</f>
        <v>0</v>
      </c>
      <c r="AJ10" s="36">
        <f>VLOOKUP($A10,[18]HISTOOCT23!$A$6:$CA$36,65,0)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VLOOKUP($A11,[18]HISTOOCT23!$A$6:$BA$36,48,0)</f>
        <v>0</v>
      </c>
      <c r="F11" s="5">
        <f>MVTSEPT23!F11+MVTSEPT23!G11-MVTOCT23!E11+K11</f>
        <v>756621.68409727688</v>
      </c>
      <c r="G11" s="6">
        <v>575.16211205582454</v>
      </c>
      <c r="H11" s="6">
        <f t="shared" si="0"/>
        <v>757196.8462093327</v>
      </c>
      <c r="I11" s="36">
        <f>VLOOKUP($A11,[18]HISTOOCT23!$A$6:$AQ$40,22,0)</f>
        <v>0</v>
      </c>
      <c r="J11" s="36">
        <f>VLOOKUP($A11,[18]HISTOOCT23!$A$6:$AU$36,45,0)</f>
        <v>15000</v>
      </c>
      <c r="K11" s="36">
        <f t="shared" si="1"/>
        <v>9000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VLOOKUP($A11,[18]HISTOOCT23!$A$6:$AU$36,7,0)</f>
        <v>0</v>
      </c>
      <c r="P11" s="36">
        <f>VLOOKUP($A11,[18]HISTOOCT23!$A$6:$AU$36,23,0)</f>
        <v>0</v>
      </c>
      <c r="Q11" s="36">
        <f>VLOOKUP($A11,[18]HISTOOCT23!$A$6:$AU$36,46,0)</f>
        <v>0</v>
      </c>
      <c r="R11" s="36">
        <f>VLOOKUP($A11,[18]HISTOOCT23!$A$6:$AU$36,26,0)</f>
        <v>0</v>
      </c>
      <c r="S11" s="36">
        <f>VLOOKUP($A11,[18]HISTOOCT23!$A$6:$BG$36,58,0)</f>
        <v>0</v>
      </c>
      <c r="T11" s="36">
        <f>VLOOKUP($A11,[18]HISTOOCT23!$A$6:$AU$36,28,0)</f>
        <v>0</v>
      </c>
      <c r="U11" s="36">
        <f>VLOOKUP($A11,[18]HISTOOCT23!$A$6:$AU$36,19,0)</f>
        <v>0</v>
      </c>
      <c r="V11" s="36">
        <f>VLOOKUP($A11,[18]HISTOOCT23!$A$6:$AU$36,20,0)</f>
        <v>0</v>
      </c>
      <c r="W11" s="36">
        <f>VLOOKUP($A11,[18]HISTOOCT23!$A$6:$AU$36,27,0)</f>
        <v>0</v>
      </c>
      <c r="X11" s="36">
        <f>VLOOKUP($A11,[18]HISTOOCT23!$A$6:$BM$36,33,0)</f>
        <v>0</v>
      </c>
      <c r="Y11" s="36">
        <f>VLOOKUP($A11,[18]HISTOOCT23!$A$6:$BM$36,65,0)</f>
        <v>0</v>
      </c>
      <c r="Z11" s="36"/>
      <c r="AA11" s="36">
        <f>VLOOKUP($A11,[18]HISTOOCT23!$A$6:$AU$36,43,0)</f>
        <v>0</v>
      </c>
      <c r="AB11" s="36">
        <f>VLOOKUP($A11,[18]HISTOOCT23!$A$6:$AU$36,44,0)</f>
        <v>0</v>
      </c>
      <c r="AC11" s="36">
        <f>VLOOKUP($A11,[18]HISTOOCT23!$A$6:$AU$36,47,0)</f>
        <v>0</v>
      </c>
      <c r="AD11" s="36">
        <f>VLOOKUP(A11,[18]HISTOOCT23!$A$6:$BB$36,54,0)</f>
        <v>0</v>
      </c>
      <c r="AE11" s="36">
        <f>VLOOKUP($A11,[18]HISTOOCT23!$A$6:$CA$36,60,0)</f>
        <v>0</v>
      </c>
      <c r="AF11" s="36">
        <f>VLOOKUP($A11,[18]HISTOOCT23!$A$6:$CA$36,61,0)</f>
        <v>0</v>
      </c>
      <c r="AG11" s="36">
        <f>VLOOKUP($A11,[18]HISTOOCT23!$A$6:$CA$36,62,0)</f>
        <v>0</v>
      </c>
      <c r="AH11" s="36">
        <f>VLOOKUP($A11,[18]HISTOOCT23!$A$6:$CA$36,63,0)</f>
        <v>0</v>
      </c>
      <c r="AI11" s="36">
        <f>VLOOKUP($A11,[18]HISTOOCT23!$A$6:$CA$36,64,0)</f>
        <v>0</v>
      </c>
      <c r="AJ11" s="36">
        <f>VLOOKUP($A11,[18]HISTOOCT23!$A$6:$CA$36,65,0)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VLOOKUP($A12,[18]HISTOOCT23!$A$6:$BA$36,48,0)</f>
        <v>0</v>
      </c>
      <c r="F12" s="5">
        <f>MVTSEPT23!F12+MVTSEPT23!G12-MVTOCT23!E12+K12</f>
        <v>945994.01012752019</v>
      </c>
      <c r="G12" s="6">
        <v>719.11752503666025</v>
      </c>
      <c r="H12" s="6">
        <f t="shared" si="0"/>
        <v>946713.12765255687</v>
      </c>
      <c r="I12" s="36">
        <f>VLOOKUP($A12,[18]HISTOOCT23!$A$6:$AQ$40,22,0)</f>
        <v>0</v>
      </c>
      <c r="J12" s="36">
        <f>VLOOKUP($A12,[18]HISTOOCT23!$A$6:$AU$36,45,0)</f>
        <v>20000</v>
      </c>
      <c r="K12" s="36">
        <f>IF(J12=0,0,J12-(L12+M12+N12))</f>
        <v>14000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VLOOKUP($A12,[18]HISTOOCT23!$A$6:$AU$36,7,0)</f>
        <v>0</v>
      </c>
      <c r="P12" s="36">
        <f>VLOOKUP($A12,[18]HISTOOCT23!$A$6:$AU$36,23,0)</f>
        <v>0</v>
      </c>
      <c r="Q12" s="36">
        <f>VLOOKUP($A12,[18]HISTOOCT23!$A$6:$AU$36,46,0)</f>
        <v>0</v>
      </c>
      <c r="R12" s="36">
        <f>VLOOKUP($A12,[18]HISTOOCT23!$A$6:$AU$36,26,0)</f>
        <v>0</v>
      </c>
      <c r="S12" s="36">
        <f>VLOOKUP($A12,[18]HISTOOCT23!$A$6:$BG$36,58,0)</f>
        <v>0</v>
      </c>
      <c r="T12" s="36">
        <f>VLOOKUP($A12,[18]HISTOOCT23!$A$6:$AU$36,28,0)</f>
        <v>0</v>
      </c>
      <c r="U12" s="36">
        <f>VLOOKUP($A12,[18]HISTOOCT23!$A$6:$AU$36,19,0)</f>
        <v>0</v>
      </c>
      <c r="V12" s="36">
        <f>VLOOKUP($A12,[18]HISTOOCT23!$A$6:$AU$36,20,0)</f>
        <v>0</v>
      </c>
      <c r="W12" s="36">
        <f>VLOOKUP($A12,[18]HISTOOCT23!$A$6:$AU$36,27,0)</f>
        <v>0</v>
      </c>
      <c r="X12" s="36">
        <f>VLOOKUP($A12,[18]HISTOOCT23!$A$6:$BM$36,33,0)</f>
        <v>0</v>
      </c>
      <c r="Y12" s="36">
        <f>VLOOKUP($A12,[18]HISTOOCT23!$A$6:$BM$36,65,0)</f>
        <v>0</v>
      </c>
      <c r="Z12" s="36"/>
      <c r="AA12" s="36">
        <f>VLOOKUP($A12,[18]HISTOOCT23!$A$6:$AU$36,43,0)</f>
        <v>0</v>
      </c>
      <c r="AB12" s="36">
        <f>VLOOKUP($A12,[18]HISTOOCT23!$A$6:$AU$36,44,0)</f>
        <v>0</v>
      </c>
      <c r="AC12" s="36">
        <f>VLOOKUP($A12,[18]HISTOOCT23!$A$6:$AU$36,47,0)</f>
        <v>0</v>
      </c>
      <c r="AD12" s="36">
        <f>VLOOKUP(A12,[18]HISTOOCT23!$A$6:$BB$36,54,0)</f>
        <v>0</v>
      </c>
      <c r="AE12" s="36">
        <f>VLOOKUP($A12,[18]HISTOOCT23!$A$6:$CA$36,60,0)</f>
        <v>0</v>
      </c>
      <c r="AF12" s="36">
        <f>VLOOKUP($A12,[18]HISTOOCT23!$A$6:$CA$36,61,0)</f>
        <v>0</v>
      </c>
      <c r="AG12" s="36">
        <f>VLOOKUP($A12,[18]HISTOOCT23!$A$6:$CA$36,62,0)</f>
        <v>0</v>
      </c>
      <c r="AH12" s="36">
        <f>VLOOKUP($A12,[18]HISTOOCT23!$A$6:$CA$36,63,0)</f>
        <v>0</v>
      </c>
      <c r="AI12" s="36">
        <f>VLOOKUP($A12,[18]HISTOOCT23!$A$6:$CA$36,64,0)</f>
        <v>0</v>
      </c>
      <c r="AJ12" s="36">
        <f>VLOOKUP($A12,[18]HISTOOCT23!$A$6:$CA$36,65,0)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VLOOKUP($A13,[18]HISTOOCT23!$A$6:$BA$36,48,0)</f>
        <v>0</v>
      </c>
      <c r="F13" s="5">
        <f>MVTSEPT23!F13+MVTSEPT23!G13-MVTOCT23!E13+K13</f>
        <v>742476.87217578851</v>
      </c>
      <c r="G13" s="6">
        <v>564.40963156208591</v>
      </c>
      <c r="H13" s="6">
        <f t="shared" si="0"/>
        <v>743041.28180735058</v>
      </c>
      <c r="I13" s="36">
        <f>VLOOKUP($A13,[18]HISTOOCT23!$A$6:$AQ$40,22,0)</f>
        <v>0</v>
      </c>
      <c r="J13" s="36">
        <f>VLOOKUP($A13,[18]HISTOOCT23!$A$6:$AU$36,45,0)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VLOOKUP($A13,[18]HISTOOCT23!$A$6:$AU$36,7,0)</f>
        <v>0</v>
      </c>
      <c r="P13" s="36">
        <f>VLOOKUP($A13,[18]HISTOOCT23!$A$6:$AU$36,23,0)</f>
        <v>0</v>
      </c>
      <c r="Q13" s="36">
        <f>VLOOKUP($A13,[18]HISTOOCT23!$A$6:$AU$36,46,0)</f>
        <v>0</v>
      </c>
      <c r="R13" s="36">
        <f>VLOOKUP($A13,[18]HISTOOCT23!$A$6:$AU$36,26,0)</f>
        <v>0</v>
      </c>
      <c r="S13" s="36">
        <f>VLOOKUP($A13,[18]HISTOOCT23!$A$6:$BG$36,58,0)</f>
        <v>0</v>
      </c>
      <c r="T13" s="36">
        <f>VLOOKUP($A13,[18]HISTOOCT23!$A$6:$AU$36,28,0)</f>
        <v>0</v>
      </c>
      <c r="U13" s="36">
        <f>VLOOKUP($A13,[18]HISTOOCT23!$A$6:$AU$36,19,0)</f>
        <v>0</v>
      </c>
      <c r="V13" s="36">
        <f>VLOOKUP($A13,[18]HISTOOCT23!$A$6:$AU$36,20,0)</f>
        <v>0</v>
      </c>
      <c r="W13" s="36">
        <f>VLOOKUP($A13,[18]HISTOOCT23!$A$6:$AU$36,27,0)</f>
        <v>0</v>
      </c>
      <c r="X13" s="36">
        <f>VLOOKUP($A13,[18]HISTOOCT23!$A$6:$BM$36,33,0)</f>
        <v>0</v>
      </c>
      <c r="Y13" s="36">
        <f>VLOOKUP($A13,[18]HISTOOCT23!$A$6:$BM$36,65,0)</f>
        <v>0</v>
      </c>
      <c r="Z13" s="36"/>
      <c r="AA13" s="36">
        <f>VLOOKUP($A13,[18]HISTOOCT23!$A$6:$AU$36,43,0)</f>
        <v>0</v>
      </c>
      <c r="AB13" s="36">
        <f>VLOOKUP($A13,[18]HISTOOCT23!$A$6:$AU$36,44,0)</f>
        <v>0</v>
      </c>
      <c r="AC13" s="36">
        <f>VLOOKUP($A13,[18]HISTOOCT23!$A$6:$AU$36,47,0)</f>
        <v>0</v>
      </c>
      <c r="AD13" s="36">
        <f>VLOOKUP(A13,[18]HISTOOCT23!$A$6:$BB$36,54,0)</f>
        <v>0</v>
      </c>
      <c r="AE13" s="36">
        <f>VLOOKUP($A13,[18]HISTOOCT23!$A$6:$CA$36,60,0)</f>
        <v>0</v>
      </c>
      <c r="AF13" s="36">
        <f>VLOOKUP($A13,[18]HISTOOCT23!$A$6:$CA$36,61,0)</f>
        <v>0</v>
      </c>
      <c r="AG13" s="36">
        <f>VLOOKUP($A13,[18]HISTOOCT23!$A$6:$CA$36,62,0)</f>
        <v>0</v>
      </c>
      <c r="AH13" s="36">
        <f>VLOOKUP($A13,[18]HISTOOCT23!$A$6:$CA$36,63,0)</f>
        <v>0</v>
      </c>
      <c r="AI13" s="36">
        <f>VLOOKUP($A13,[18]HISTOOCT23!$A$6:$CA$36,64,0)</f>
        <v>0</v>
      </c>
      <c r="AJ13" s="36">
        <f>VLOOKUP($A13,[18]HISTOOCT23!$A$6:$CA$36,65,0)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VLOOKUP($A14,[18]HISTOOCT23!$A$6:$BA$36,48,0)</f>
        <v>0</v>
      </c>
      <c r="F14" s="5">
        <f>MVTSEPT23!F14+MVTSEPT23!G14-MVTOCT23!E14+K14</f>
        <v>1239089.5492184521</v>
      </c>
      <c r="G14" s="6">
        <v>941.92035086210592</v>
      </c>
      <c r="H14" s="6">
        <f t="shared" si="0"/>
        <v>1240031.4695693143</v>
      </c>
      <c r="I14" s="36">
        <f>VLOOKUP($A14,[18]HISTOOCT23!$A$6:$AQ$40,22,0)</f>
        <v>0</v>
      </c>
      <c r="J14" s="36">
        <f>VLOOKUP($A14,[18]HISTOOCT23!$A$6:$AU$36,45,0)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VLOOKUP($A14,[18]HISTOOCT23!$A$6:$AU$36,7,0)</f>
        <v>0</v>
      </c>
      <c r="P14" s="36">
        <f>VLOOKUP($A14,[18]HISTOOCT23!$A$6:$AU$36,23,0)</f>
        <v>0</v>
      </c>
      <c r="Q14" s="36">
        <f>VLOOKUP($A14,[18]HISTOOCT23!$A$6:$AU$36,46,0)</f>
        <v>0</v>
      </c>
      <c r="R14" s="36">
        <f>VLOOKUP($A14,[18]HISTOOCT23!$A$6:$AU$36,26,0)</f>
        <v>0</v>
      </c>
      <c r="S14" s="36">
        <f>VLOOKUP($A14,[18]HISTOOCT23!$A$6:$BG$36,58,0)</f>
        <v>0</v>
      </c>
      <c r="T14" s="36">
        <f>VLOOKUP($A14,[18]HISTOOCT23!$A$6:$AU$36,28,0)</f>
        <v>0</v>
      </c>
      <c r="U14" s="36">
        <f>VLOOKUP($A14,[18]HISTOOCT23!$A$6:$AU$36,19,0)</f>
        <v>0</v>
      </c>
      <c r="V14" s="36">
        <f>VLOOKUP($A14,[18]HISTOOCT23!$A$6:$AU$36,20,0)</f>
        <v>0</v>
      </c>
      <c r="W14" s="36">
        <f>VLOOKUP($A14,[18]HISTOOCT23!$A$6:$AU$36,27,0)</f>
        <v>0</v>
      </c>
      <c r="X14" s="36">
        <f>VLOOKUP($A14,[18]HISTOOCT23!$A$6:$BM$36,33,0)</f>
        <v>0</v>
      </c>
      <c r="Y14" s="36">
        <f>VLOOKUP($A14,[18]HISTOOCT23!$A$6:$BM$36,65,0)</f>
        <v>0</v>
      </c>
      <c r="Z14" s="36"/>
      <c r="AA14" s="36">
        <f>VLOOKUP($A14,[18]HISTOOCT23!$A$6:$AU$36,43,0)</f>
        <v>0</v>
      </c>
      <c r="AB14" s="36">
        <f>VLOOKUP($A14,[18]HISTOOCT23!$A$6:$AU$36,44,0)</f>
        <v>0</v>
      </c>
      <c r="AC14" s="36">
        <f>VLOOKUP($A14,[18]HISTOOCT23!$A$6:$AU$36,47,0)</f>
        <v>0</v>
      </c>
      <c r="AD14" s="36">
        <f>VLOOKUP(A14,[18]HISTOOCT23!$A$6:$BB$36,54,0)</f>
        <v>0</v>
      </c>
      <c r="AE14" s="36">
        <f>VLOOKUP($A14,[18]HISTOOCT23!$A$6:$CA$36,60,0)</f>
        <v>0</v>
      </c>
      <c r="AF14" s="36">
        <f>VLOOKUP($A14,[18]HISTOOCT23!$A$6:$CA$36,61,0)</f>
        <v>0</v>
      </c>
      <c r="AG14" s="36">
        <f>VLOOKUP($A14,[18]HISTOOCT23!$A$6:$CA$36,62,0)</f>
        <v>0</v>
      </c>
      <c r="AH14" s="36">
        <f>VLOOKUP($A14,[18]HISTOOCT23!$A$6:$CA$36,63,0)</f>
        <v>0</v>
      </c>
      <c r="AI14" s="36">
        <f>VLOOKUP($A14,[18]HISTOOCT23!$A$6:$CA$36,64,0)</f>
        <v>0</v>
      </c>
      <c r="AJ14" s="36">
        <f>VLOOKUP($A14,[18]HISTOOCT23!$A$6:$CA$36,65,0)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VLOOKUP($A15,[18]HISTOOCT23!$A$6:$BA$36,48,0)</f>
        <v>0</v>
      </c>
      <c r="F15" s="5">
        <f>MVTSEPT23!F15+MVTSEPT23!G15-MVTOCT23!E15+K15</f>
        <v>797293.53418121114</v>
      </c>
      <c r="G15" s="6">
        <v>606.07968643568586</v>
      </c>
      <c r="H15" s="6">
        <f t="shared" si="0"/>
        <v>797899.61386764678</v>
      </c>
      <c r="I15" s="36">
        <f>VLOOKUP($A15,[18]HISTOOCT23!$A$6:$AQ$40,22,0)</f>
        <v>0</v>
      </c>
      <c r="J15" s="36">
        <f>VLOOKUP($A15,[18]HISTOOCT23!$A$6:$AU$36,45,0)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VLOOKUP($A15,[18]HISTOOCT23!$A$6:$AU$36,7,0)</f>
        <v>0</v>
      </c>
      <c r="P15" s="36">
        <f>VLOOKUP($A15,[18]HISTOOCT23!$A$6:$AU$36,23,0)</f>
        <v>0</v>
      </c>
      <c r="Q15" s="36">
        <f>VLOOKUP($A15,[18]HISTOOCT23!$A$6:$AU$36,46,0)</f>
        <v>0</v>
      </c>
      <c r="R15" s="36">
        <f>VLOOKUP($A15,[18]HISTOOCT23!$A$6:$AU$36,26,0)</f>
        <v>0</v>
      </c>
      <c r="S15" s="36">
        <f>VLOOKUP($A15,[18]HISTOOCT23!$A$6:$BG$36,58,0)</f>
        <v>0</v>
      </c>
      <c r="T15" s="36">
        <f>VLOOKUP($A15,[18]HISTOOCT23!$A$6:$AU$36,28,0)</f>
        <v>0</v>
      </c>
      <c r="U15" s="36">
        <f>VLOOKUP($A15,[18]HISTOOCT23!$A$6:$AU$36,19,0)</f>
        <v>0</v>
      </c>
      <c r="V15" s="36">
        <f>VLOOKUP($A15,[18]HISTOOCT23!$A$6:$AU$36,20,0)</f>
        <v>0</v>
      </c>
      <c r="W15" s="36">
        <f>VLOOKUP($A15,[18]HISTOOCT23!$A$6:$AU$36,27,0)</f>
        <v>0</v>
      </c>
      <c r="X15" s="36">
        <f>VLOOKUP($A15,[18]HISTOOCT23!$A$6:$BM$36,33,0)</f>
        <v>0</v>
      </c>
      <c r="Y15" s="36">
        <f>VLOOKUP($A15,[18]HISTOOCT23!$A$6:$BM$36,65,0)</f>
        <v>0</v>
      </c>
      <c r="Z15" s="36"/>
      <c r="AA15" s="36">
        <f>VLOOKUP($A15,[18]HISTOOCT23!$A$6:$AU$36,43,0)</f>
        <v>0</v>
      </c>
      <c r="AB15" s="36">
        <f>VLOOKUP($A15,[18]HISTOOCT23!$A$6:$AU$36,44,0)</f>
        <v>0</v>
      </c>
      <c r="AC15" s="36">
        <f>VLOOKUP($A15,[18]HISTOOCT23!$A$6:$AU$36,47,0)</f>
        <v>0</v>
      </c>
      <c r="AD15" s="36">
        <f>VLOOKUP(A15,[18]HISTOOCT23!$A$6:$BB$36,54,0)</f>
        <v>0</v>
      </c>
      <c r="AE15" s="36">
        <f>VLOOKUP($A15,[18]HISTOOCT23!$A$6:$CA$36,60,0)</f>
        <v>0</v>
      </c>
      <c r="AF15" s="36">
        <f>VLOOKUP($A15,[18]HISTOOCT23!$A$6:$CA$36,61,0)</f>
        <v>0</v>
      </c>
      <c r="AG15" s="36">
        <f>VLOOKUP($A15,[18]HISTOOCT23!$A$6:$CA$36,62,0)</f>
        <v>0</v>
      </c>
      <c r="AH15" s="36">
        <f>VLOOKUP($A15,[18]HISTOOCT23!$A$6:$CA$36,63,0)</f>
        <v>0</v>
      </c>
      <c r="AI15" s="36">
        <f>VLOOKUP($A15,[18]HISTOOCT23!$A$6:$CA$36,64,0)</f>
        <v>0</v>
      </c>
      <c r="AJ15" s="36">
        <f>VLOOKUP($A15,[18]HISTOOCT23!$A$6:$CA$36,65,0)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VLOOKUP($A16,[18]HISTOOCT23!$A$6:$BA$36,48,0)</f>
        <v>0</v>
      </c>
      <c r="F16" s="5">
        <f>MVTSEPT23!F16+MVTSEPT23!G16-MVTOCT23!E16+K16</f>
        <v>1092830.0363874398</v>
      </c>
      <c r="G16" s="6">
        <v>830.7380624394475</v>
      </c>
      <c r="H16" s="6">
        <f t="shared" si="0"/>
        <v>1093660.7744498793</v>
      </c>
      <c r="I16" s="36">
        <f>VLOOKUP($A16,[18]HISTOOCT23!$A$6:$AQ$40,22,0)</f>
        <v>0</v>
      </c>
      <c r="J16" s="36">
        <f>VLOOKUP($A16,[18]HISTOOCT23!$A$6:$AU$36,45,0)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VLOOKUP($A16,[18]HISTOOCT23!$A$6:$AU$36,7,0)</f>
        <v>0</v>
      </c>
      <c r="P16" s="36">
        <f>VLOOKUP($A16,[18]HISTOOCT23!$A$6:$AU$36,23,0)</f>
        <v>0</v>
      </c>
      <c r="Q16" s="36">
        <f>VLOOKUP($A16,[18]HISTOOCT23!$A$6:$AU$36,46,0)</f>
        <v>0</v>
      </c>
      <c r="R16" s="36">
        <f>VLOOKUP($A16,[18]HISTOOCT23!$A$6:$AU$36,26,0)</f>
        <v>500000</v>
      </c>
      <c r="S16" s="36">
        <f>VLOOKUP($A16,[18]HISTOOCT23!$A$6:$BG$36,58,0)</f>
        <v>0</v>
      </c>
      <c r="T16" s="36">
        <f>VLOOKUP($A16,[18]HISTOOCT23!$A$6:$AU$36,28,0)</f>
        <v>0</v>
      </c>
      <c r="U16" s="36">
        <f>VLOOKUP($A16,[18]HISTOOCT23!$A$6:$AU$36,19,0)</f>
        <v>0</v>
      </c>
      <c r="V16" s="36">
        <f>VLOOKUP($A16,[18]HISTOOCT23!$A$6:$AU$36,20,0)</f>
        <v>0</v>
      </c>
      <c r="W16" s="36" t="str">
        <f>VLOOKUP($A16,[18]HISTOOCT23!$A$6:$AU$36,27,0)</f>
        <v>BANQUE</v>
      </c>
      <c r="X16" s="36">
        <f>VLOOKUP($A16,[18]HISTOOCT23!$A$6:$BM$36,33,0)</f>
        <v>0</v>
      </c>
      <c r="Y16" s="36">
        <f>VLOOKUP($A16,[18]HISTOOCT23!$A$6:$BM$36,65,0)</f>
        <v>0</v>
      </c>
      <c r="Z16" s="36"/>
      <c r="AA16" s="36">
        <f>VLOOKUP($A16,[18]HISTOOCT23!$A$6:$AU$36,43,0)</f>
        <v>0</v>
      </c>
      <c r="AB16" s="36">
        <f>VLOOKUP($A16,[18]HISTOOCT23!$A$6:$AU$36,44,0)</f>
        <v>0</v>
      </c>
      <c r="AC16" s="36">
        <f>VLOOKUP($A16,[18]HISTOOCT23!$A$6:$AU$36,47,0)</f>
        <v>0</v>
      </c>
      <c r="AD16" s="36">
        <f>VLOOKUP(A16,[18]HISTOOCT23!$A$6:$BB$36,54,0)</f>
        <v>0</v>
      </c>
      <c r="AE16" s="36">
        <f>VLOOKUP($A16,[18]HISTOOCT23!$A$6:$CA$36,60,0)</f>
        <v>0</v>
      </c>
      <c r="AF16" s="36">
        <f>VLOOKUP($A16,[18]HISTOOCT23!$A$6:$CA$36,61,0)</f>
        <v>0</v>
      </c>
      <c r="AG16" s="36">
        <f>VLOOKUP($A16,[18]HISTOOCT23!$A$6:$CA$36,62,0)</f>
        <v>0</v>
      </c>
      <c r="AH16" s="36">
        <f>VLOOKUP($A16,[18]HISTOOCT23!$A$6:$CA$36,63,0)</f>
        <v>0</v>
      </c>
      <c r="AI16" s="36">
        <f>VLOOKUP($A16,[18]HISTOOCT23!$A$6:$CA$36,64,0)</f>
        <v>0</v>
      </c>
      <c r="AJ16" s="36">
        <f>VLOOKUP($A16,[18]HISTOOCT23!$A$6:$CA$36,65,0)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VLOOKUP($A17,[18]HISTOOCT23!$A$6:$BA$36,48,0)</f>
        <v>0</v>
      </c>
      <c r="F17" s="5">
        <f>MVTSEPT23!F17+MVTSEPT23!G17-MVTOCT23!E17+K17</f>
        <v>799659.45906453766</v>
      </c>
      <c r="G17" s="6">
        <v>607.87819470138948</v>
      </c>
      <c r="H17" s="6">
        <f t="shared" si="0"/>
        <v>800267.33725923905</v>
      </c>
      <c r="I17" s="36">
        <f>VLOOKUP($A17,[18]HISTOOCT23!$A$6:$AQ$40,22,0)</f>
        <v>0</v>
      </c>
      <c r="J17" s="36">
        <f>VLOOKUP($A17,[18]HISTOOCT23!$A$6:$AU$36,45,0)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VLOOKUP($A17,[18]HISTOOCT23!$A$6:$AU$36,7,0)</f>
        <v>0</v>
      </c>
      <c r="P17" s="36">
        <f>VLOOKUP($A17,[18]HISTOOCT23!$A$6:$AU$36,23,0)</f>
        <v>0</v>
      </c>
      <c r="Q17" s="36">
        <f>VLOOKUP($A17,[18]HISTOOCT23!$A$6:$AU$36,46,0)</f>
        <v>0</v>
      </c>
      <c r="R17" s="36">
        <f>VLOOKUP($A17,[18]HISTOOCT23!$A$6:$AU$36,26,0)</f>
        <v>0</v>
      </c>
      <c r="S17" s="36">
        <f>VLOOKUP($A17,[18]HISTOOCT23!$A$6:$BG$36,58,0)</f>
        <v>0</v>
      </c>
      <c r="T17" s="36">
        <f>VLOOKUP($A17,[18]HISTOOCT23!$A$6:$AU$36,28,0)</f>
        <v>0</v>
      </c>
      <c r="U17" s="36">
        <f>VLOOKUP($A17,[18]HISTOOCT23!$A$6:$AU$36,19,0)</f>
        <v>0</v>
      </c>
      <c r="V17" s="36">
        <f>VLOOKUP($A17,[18]HISTOOCT23!$A$6:$AU$36,20,0)</f>
        <v>0</v>
      </c>
      <c r="W17" s="36">
        <f>VLOOKUP($A17,[18]HISTOOCT23!$A$6:$AU$36,27,0)</f>
        <v>0</v>
      </c>
      <c r="X17" s="36">
        <f>VLOOKUP($A17,[18]HISTOOCT23!$A$6:$BM$36,33,0)</f>
        <v>0</v>
      </c>
      <c r="Y17" s="36">
        <f>VLOOKUP($A17,[18]HISTOOCT23!$A$6:$BM$36,65,0)</f>
        <v>0</v>
      </c>
      <c r="Z17" s="36"/>
      <c r="AA17" s="36">
        <f>VLOOKUP($A17,[18]HISTOOCT23!$A$6:$AU$36,43,0)</f>
        <v>0</v>
      </c>
      <c r="AB17" s="36">
        <f>VLOOKUP($A17,[18]HISTOOCT23!$A$6:$AU$36,44,0)</f>
        <v>0</v>
      </c>
      <c r="AC17" s="36">
        <f>VLOOKUP($A17,[18]HISTOOCT23!$A$6:$AU$36,47,0)</f>
        <v>0</v>
      </c>
      <c r="AD17" s="36">
        <f>VLOOKUP(A17,[18]HISTOOCT23!$A$6:$BB$36,54,0)</f>
        <v>0</v>
      </c>
      <c r="AE17" s="36">
        <f>VLOOKUP($A17,[18]HISTOOCT23!$A$6:$CA$36,60,0)</f>
        <v>0</v>
      </c>
      <c r="AF17" s="36">
        <f>VLOOKUP($A17,[18]HISTOOCT23!$A$6:$CA$36,61,0)</f>
        <v>0</v>
      </c>
      <c r="AG17" s="36">
        <f>VLOOKUP($A17,[18]HISTOOCT23!$A$6:$CA$36,62,0)</f>
        <v>0</v>
      </c>
      <c r="AH17" s="36">
        <f>VLOOKUP($A17,[18]HISTOOCT23!$A$6:$CA$36,63,0)</f>
        <v>0</v>
      </c>
      <c r="AI17" s="36">
        <f>VLOOKUP($A17,[18]HISTOOCT23!$A$6:$CA$36,64,0)</f>
        <v>0</v>
      </c>
      <c r="AJ17" s="36">
        <f>VLOOKUP($A17,[18]HISTOOCT23!$A$6:$CA$36,65,0)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VLOOKUP($A18,[18]HISTOOCT23!$A$6:$BA$36,48,0)</f>
        <v>0</v>
      </c>
      <c r="F18" s="5">
        <f>MVTSEPT23!F18+MVTSEPT23!G18-MVTOCT23!E18+K18</f>
        <v>748859.40983725665</v>
      </c>
      <c r="G18" s="6">
        <v>569.26145370623408</v>
      </c>
      <c r="H18" s="6">
        <f t="shared" si="0"/>
        <v>749428.67129096284</v>
      </c>
      <c r="I18" s="36">
        <f>VLOOKUP($A18,[18]HISTOOCT23!$A$6:$AQ$40,22,0)</f>
        <v>0</v>
      </c>
      <c r="J18" s="36">
        <f>VLOOKUP($A18,[18]HISTOOCT23!$A$6:$AU$36,45,0)</f>
        <v>15000</v>
      </c>
      <c r="K18" s="36">
        <f t="shared" si="1"/>
        <v>9000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VLOOKUP($A18,[18]HISTOOCT23!$A$6:$AU$36,7,0)</f>
        <v>0</v>
      </c>
      <c r="P18" s="36">
        <f>VLOOKUP($A18,[18]HISTOOCT23!$A$6:$AU$36,23,0)</f>
        <v>0</v>
      </c>
      <c r="Q18" s="36">
        <f>VLOOKUP($A18,[18]HISTOOCT23!$A$6:$AU$36,46,0)</f>
        <v>0</v>
      </c>
      <c r="R18" s="36">
        <f>VLOOKUP($A18,[18]HISTOOCT23!$A$6:$AU$36,26,0)</f>
        <v>1000000</v>
      </c>
      <c r="S18" s="36">
        <f>VLOOKUP($A18,[18]HISTOOCT23!$A$6:$BG$36,58,0)</f>
        <v>20000</v>
      </c>
      <c r="T18" s="36">
        <f>VLOOKUP($A18,[18]HISTOOCT23!$A$6:$AU$36,28,0)</f>
        <v>0</v>
      </c>
      <c r="U18" s="36">
        <f>VLOOKUP($A18,[18]HISTOOCT23!$A$6:$AU$36,19,0)</f>
        <v>150000</v>
      </c>
      <c r="V18" s="36" t="str">
        <f>VLOOKUP($A18,[18]HISTOOCT23!$A$6:$AU$36,20,0)</f>
        <v>BANQUE</v>
      </c>
      <c r="W18" s="36" t="str">
        <f>VLOOKUP($A18,[18]HISTOOCT23!$A$6:$AU$36,27,0)</f>
        <v>BANQUE</v>
      </c>
      <c r="X18" s="36">
        <f>VLOOKUP($A18,[18]HISTOOCT23!$A$6:$BM$36,33,0)</f>
        <v>0</v>
      </c>
      <c r="Y18" s="36">
        <f>VLOOKUP($A18,[18]HISTOOCT23!$A$6:$BM$36,65,0)</f>
        <v>0</v>
      </c>
      <c r="Z18" s="36"/>
      <c r="AA18" s="36">
        <f>VLOOKUP($A18,[18]HISTOOCT23!$A$6:$AU$36,43,0)</f>
        <v>0</v>
      </c>
      <c r="AB18" s="36">
        <f>VLOOKUP($A18,[18]HISTOOCT23!$A$6:$AU$36,44,0)</f>
        <v>0</v>
      </c>
      <c r="AC18" s="36">
        <f>VLOOKUP($A18,[18]HISTOOCT23!$A$6:$AU$36,47,0)</f>
        <v>0</v>
      </c>
      <c r="AD18" s="36">
        <f>VLOOKUP(A18,[18]HISTOOCT23!$A$6:$BB$36,54,0)</f>
        <v>0</v>
      </c>
      <c r="AE18" s="36">
        <f>VLOOKUP($A18,[18]HISTOOCT23!$A$6:$CA$36,60,0)</f>
        <v>0</v>
      </c>
      <c r="AF18" s="36">
        <f>VLOOKUP($A18,[18]HISTOOCT23!$A$6:$CA$36,61,0)</f>
        <v>0</v>
      </c>
      <c r="AG18" s="36">
        <f>VLOOKUP($A18,[18]HISTOOCT23!$A$6:$CA$36,62,0)</f>
        <v>0</v>
      </c>
      <c r="AH18" s="36">
        <f>VLOOKUP($A18,[18]HISTOOCT23!$A$6:$CA$36,63,0)</f>
        <v>0</v>
      </c>
      <c r="AI18" s="36">
        <f>VLOOKUP($A18,[18]HISTOOCT23!$A$6:$CA$36,64,0)</f>
        <v>0</v>
      </c>
      <c r="AJ18" s="36">
        <f>VLOOKUP($A18,[18]HISTOOCT23!$A$6:$CA$36,65,0)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VLOOKUP($A19,[18]HISTOOCT23!$A$6:$BA$36,48,0)</f>
        <v>0</v>
      </c>
      <c r="F19" s="5">
        <f>MVTSEPT23!F19+MVTSEPT23!G19-MVTOCT23!E19+K19</f>
        <v>742652.76328907593</v>
      </c>
      <c r="G19" s="6">
        <v>564.54333894364333</v>
      </c>
      <c r="H19" s="6">
        <f t="shared" si="0"/>
        <v>743217.30662801955</v>
      </c>
      <c r="I19" s="36">
        <f>VLOOKUP($A19,[18]HISTOOCT23!$A$6:$AQ$40,22,0)</f>
        <v>0</v>
      </c>
      <c r="J19" s="36">
        <f>VLOOKUP($A19,[18]HISTOOCT23!$A$6:$AU$36,45,0)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VLOOKUP($A19,[18]HISTOOCT23!$A$6:$AU$36,7,0)</f>
        <v>0</v>
      </c>
      <c r="P19" s="36">
        <f>VLOOKUP($A19,[18]HISTOOCT23!$A$6:$AU$36,23,0)</f>
        <v>0</v>
      </c>
      <c r="Q19" s="36">
        <f>VLOOKUP($A19,[18]HISTOOCT23!$A$6:$AU$36,46,0)</f>
        <v>0</v>
      </c>
      <c r="R19" s="36">
        <f>VLOOKUP($A19,[18]HISTOOCT23!$A$6:$AU$36,26,0)</f>
        <v>0</v>
      </c>
      <c r="S19" s="36">
        <f>VLOOKUP($A19,[18]HISTOOCT23!$A$6:$BG$36,58,0)</f>
        <v>0</v>
      </c>
      <c r="T19" s="36">
        <f>VLOOKUP($A19,[18]HISTOOCT23!$A$6:$AU$36,28,0)</f>
        <v>0</v>
      </c>
      <c r="U19" s="36">
        <f>VLOOKUP($A19,[18]HISTOOCT23!$A$6:$AU$36,19,0)</f>
        <v>0</v>
      </c>
      <c r="V19" s="36">
        <f>VLOOKUP($A19,[18]HISTOOCT23!$A$6:$AU$36,20,0)</f>
        <v>0</v>
      </c>
      <c r="W19" s="36">
        <f>VLOOKUP($A19,[18]HISTOOCT23!$A$6:$AU$36,27,0)</f>
        <v>0</v>
      </c>
      <c r="X19" s="36">
        <f>VLOOKUP($A19,[18]HISTOOCT23!$A$6:$BM$36,33,0)</f>
        <v>0</v>
      </c>
      <c r="Y19" s="36">
        <f>VLOOKUP($A19,[18]HISTOOCT23!$A$6:$BM$36,65,0)</f>
        <v>0</v>
      </c>
      <c r="Z19" s="36"/>
      <c r="AA19" s="36">
        <f>VLOOKUP($A19,[18]HISTOOCT23!$A$6:$AU$36,43,0)</f>
        <v>0</v>
      </c>
      <c r="AB19" s="36">
        <f>VLOOKUP($A19,[18]HISTOOCT23!$A$6:$AU$36,44,0)</f>
        <v>0</v>
      </c>
      <c r="AC19" s="36">
        <f>VLOOKUP($A19,[18]HISTOOCT23!$A$6:$AU$36,47,0)</f>
        <v>0</v>
      </c>
      <c r="AD19" s="36">
        <f>VLOOKUP(A19,[18]HISTOOCT23!$A$6:$BB$36,54,0)</f>
        <v>0</v>
      </c>
      <c r="AE19" s="36">
        <f>VLOOKUP($A19,[18]HISTOOCT23!$A$6:$CA$36,60,0)</f>
        <v>0</v>
      </c>
      <c r="AF19" s="36">
        <f>VLOOKUP($A19,[18]HISTOOCT23!$A$6:$CA$36,61,0)</f>
        <v>0</v>
      </c>
      <c r="AG19" s="36">
        <f>VLOOKUP($A19,[18]HISTOOCT23!$A$6:$CA$36,62,0)</f>
        <v>0</v>
      </c>
      <c r="AH19" s="36">
        <f>VLOOKUP($A19,[18]HISTOOCT23!$A$6:$CA$36,63,0)</f>
        <v>0</v>
      </c>
      <c r="AI19" s="36">
        <f>VLOOKUP($A19,[18]HISTOOCT23!$A$6:$CA$36,64,0)</f>
        <v>0</v>
      </c>
      <c r="AJ19" s="36">
        <f>VLOOKUP($A19,[18]HISTOOCT23!$A$6:$CA$36,65,0)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VLOOKUP($A20,[18]HISTOOCT23!$A$6:$BA$36,48,0)</f>
        <v>0</v>
      </c>
      <c r="F20" s="5">
        <f>MVTSEPT23!F20+MVTSEPT23!G20-MVTOCT23!E20+K20</f>
        <v>794105.74082386377</v>
      </c>
      <c r="G20" s="6">
        <v>603.6564173188392</v>
      </c>
      <c r="H20" s="6">
        <f t="shared" si="0"/>
        <v>794709.39724118263</v>
      </c>
      <c r="I20" s="36">
        <f>VLOOKUP($A20,[18]HISTOOCT23!$A$6:$AQ$40,22,0)</f>
        <v>0</v>
      </c>
      <c r="J20" s="36">
        <f>VLOOKUP($A20,[18]HISTOOCT23!$A$6:$AU$36,45,0)</f>
        <v>15000</v>
      </c>
      <c r="K20" s="36">
        <f t="shared" si="1"/>
        <v>9000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VLOOKUP($A20,[18]HISTOOCT23!$A$6:$AU$36,7,0)</f>
        <v>0</v>
      </c>
      <c r="P20" s="36">
        <f>VLOOKUP($A20,[18]HISTOOCT23!$A$6:$AU$36,23,0)</f>
        <v>0</v>
      </c>
      <c r="Q20" s="36">
        <f>VLOOKUP($A20,[18]HISTOOCT23!$A$6:$AU$36,46,0)</f>
        <v>0</v>
      </c>
      <c r="R20" s="36">
        <f>VLOOKUP($A20,[18]HISTOOCT23!$A$6:$AU$36,26,0)</f>
        <v>0</v>
      </c>
      <c r="S20" s="36">
        <f>VLOOKUP($A20,[18]HISTOOCT23!$A$6:$BG$36,58,0)</f>
        <v>0</v>
      </c>
      <c r="T20" s="36">
        <f>VLOOKUP($A20,[18]HISTOOCT23!$A$6:$AU$36,28,0)</f>
        <v>0</v>
      </c>
      <c r="U20" s="36">
        <f>VLOOKUP($A20,[18]HISTOOCT23!$A$6:$AU$36,19,0)</f>
        <v>0</v>
      </c>
      <c r="V20" s="36">
        <f>VLOOKUP($A20,[18]HISTOOCT23!$A$6:$AU$36,20,0)</f>
        <v>0</v>
      </c>
      <c r="W20" s="36">
        <f>VLOOKUP($A20,[18]HISTOOCT23!$A$6:$AU$36,27,0)</f>
        <v>0</v>
      </c>
      <c r="X20" s="36">
        <f>VLOOKUP($A20,[18]HISTOOCT23!$A$6:$BM$36,33,0)</f>
        <v>0</v>
      </c>
      <c r="Y20" s="36">
        <f>VLOOKUP($A20,[18]HISTOOCT23!$A$6:$BM$36,65,0)</f>
        <v>0</v>
      </c>
      <c r="Z20" s="36"/>
      <c r="AA20" s="36">
        <f>VLOOKUP($A20,[18]HISTOOCT23!$A$6:$AU$36,43,0)</f>
        <v>0</v>
      </c>
      <c r="AB20" s="36">
        <f>VLOOKUP($A20,[18]HISTOOCT23!$A$6:$AU$36,44,0)</f>
        <v>0</v>
      </c>
      <c r="AC20" s="36">
        <f>VLOOKUP($A20,[18]HISTOOCT23!$A$6:$AU$36,47,0)</f>
        <v>0</v>
      </c>
      <c r="AD20" s="36">
        <f>VLOOKUP(A20,[18]HISTOOCT23!$A$6:$BB$36,54,0)</f>
        <v>0</v>
      </c>
      <c r="AE20" s="36">
        <f>VLOOKUP($A20,[18]HISTOOCT23!$A$6:$CA$36,60,0)</f>
        <v>0</v>
      </c>
      <c r="AF20" s="36">
        <f>VLOOKUP($A20,[18]HISTOOCT23!$A$6:$CA$36,61,0)</f>
        <v>0</v>
      </c>
      <c r="AG20" s="36">
        <f>VLOOKUP($A20,[18]HISTOOCT23!$A$6:$CA$36,62,0)</f>
        <v>0</v>
      </c>
      <c r="AH20" s="36">
        <f>VLOOKUP($A20,[18]HISTOOCT23!$A$6:$CA$36,63,0)</f>
        <v>0</v>
      </c>
      <c r="AI20" s="36">
        <f>VLOOKUP($A20,[18]HISTOOCT23!$A$6:$CA$36,64,0)</f>
        <v>0</v>
      </c>
      <c r="AJ20" s="36">
        <f>VLOOKUP($A20,[18]HISTOOCT23!$A$6:$CA$36,65,0)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VLOOKUP($A21,[18]HISTOOCT23!$A$6:$BA$36,48,0)</f>
        <v>0</v>
      </c>
      <c r="F21" s="5">
        <f>MVTSEPT23!F21+MVTSEPT23!G21-MVTOCT23!E21+K21</f>
        <v>797543.65137116984</v>
      </c>
      <c r="G21" s="6">
        <v>606.2698183526818</v>
      </c>
      <c r="H21" s="6">
        <f t="shared" si="0"/>
        <v>798149.92118952249</v>
      </c>
      <c r="I21" s="36">
        <f>VLOOKUP($A21,[18]HISTOOCT23!$A$6:$AQ$40,22,0)</f>
        <v>0</v>
      </c>
      <c r="J21" s="36">
        <f>VLOOKUP($A21,[18]HISTOOCT23!$A$6:$AU$36,45,0)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VLOOKUP($A21,[18]HISTOOCT23!$A$6:$AU$36,7,0)</f>
        <v>0</v>
      </c>
      <c r="P21" s="36">
        <f>VLOOKUP($A21,[18]HISTOOCT23!$A$6:$AU$36,23,0)</f>
        <v>0</v>
      </c>
      <c r="Q21" s="36">
        <f>VLOOKUP($A21,[18]HISTOOCT23!$A$6:$AU$36,46,0)</f>
        <v>0</v>
      </c>
      <c r="R21" s="36">
        <f>VLOOKUP($A21,[18]HISTOOCT23!$A$6:$AU$36,26,0)</f>
        <v>0</v>
      </c>
      <c r="S21" s="36">
        <f>VLOOKUP($A21,[18]HISTOOCT23!$A$6:$BG$36,58,0)</f>
        <v>0</v>
      </c>
      <c r="T21" s="36">
        <f>VLOOKUP($A21,[18]HISTOOCT23!$A$6:$AU$36,28,0)</f>
        <v>0</v>
      </c>
      <c r="U21" s="36">
        <f>VLOOKUP($A21,[18]HISTOOCT23!$A$6:$AU$36,19,0)</f>
        <v>0</v>
      </c>
      <c r="V21" s="36">
        <f>VLOOKUP($A21,[18]HISTOOCT23!$A$6:$AU$36,20,0)</f>
        <v>0</v>
      </c>
      <c r="W21" s="36">
        <f>VLOOKUP($A21,[18]HISTOOCT23!$A$6:$AU$36,27,0)</f>
        <v>0</v>
      </c>
      <c r="X21" s="36">
        <f>VLOOKUP($A21,[18]HISTOOCT23!$A$6:$BM$36,33,0)</f>
        <v>0</v>
      </c>
      <c r="Y21" s="36">
        <f>VLOOKUP($A21,[18]HISTOOCT23!$A$6:$BM$36,65,0)</f>
        <v>0</v>
      </c>
      <c r="Z21" s="36"/>
      <c r="AA21" s="36">
        <f>VLOOKUP($A21,[18]HISTOOCT23!$A$6:$AU$36,43,0)</f>
        <v>0</v>
      </c>
      <c r="AB21" s="36">
        <f>VLOOKUP($A21,[18]HISTOOCT23!$A$6:$AU$36,44,0)</f>
        <v>0</v>
      </c>
      <c r="AC21" s="36">
        <f>VLOOKUP($A21,[18]HISTOOCT23!$A$6:$AU$36,47,0)</f>
        <v>0</v>
      </c>
      <c r="AD21" s="36">
        <f>VLOOKUP(A21,[18]HISTOOCT23!$A$6:$BB$36,54,0)</f>
        <v>0</v>
      </c>
      <c r="AE21" s="36">
        <f>VLOOKUP($A21,[18]HISTOOCT23!$A$6:$CA$36,60,0)</f>
        <v>0</v>
      </c>
      <c r="AF21" s="36">
        <f>VLOOKUP($A21,[18]HISTOOCT23!$A$6:$CA$36,61,0)</f>
        <v>0</v>
      </c>
      <c r="AG21" s="36">
        <f>VLOOKUP($A21,[18]HISTOOCT23!$A$6:$CA$36,62,0)</f>
        <v>0</v>
      </c>
      <c r="AH21" s="36">
        <f>VLOOKUP($A21,[18]HISTOOCT23!$A$6:$CA$36,63,0)</f>
        <v>0</v>
      </c>
      <c r="AI21" s="36">
        <f>VLOOKUP($A21,[18]HISTOOCT23!$A$6:$CA$36,64,0)</f>
        <v>0</v>
      </c>
      <c r="AJ21" s="36">
        <f>VLOOKUP($A21,[18]HISTOOCT23!$A$6:$CA$36,65,0)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VLOOKUP($A22,[18]HISTOOCT23!$A$6:$BA$36,48,0)</f>
        <v>0</v>
      </c>
      <c r="F22" s="5">
        <f>MVTSEPT23!F22+MVTSEPT23!G22-MVTOCT23!E22+K22</f>
        <v>894722.58495751268</v>
      </c>
      <c r="G22" s="6">
        <v>680.14245756409991</v>
      </c>
      <c r="H22" s="6">
        <f t="shared" si="0"/>
        <v>895402.72741507681</v>
      </c>
      <c r="I22" s="36">
        <f>VLOOKUP($A22,[18]HISTOOCT23!$A$6:$AQ$40,22,0)</f>
        <v>0</v>
      </c>
      <c r="J22" s="36">
        <f>VLOOKUP($A22,[18]HISTOOCT23!$A$6:$AU$36,45,0)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VLOOKUP($A22,[18]HISTOOCT23!$A$6:$AU$36,7,0)</f>
        <v>0</v>
      </c>
      <c r="P22" s="36">
        <f>VLOOKUP($A22,[18]HISTOOCT23!$A$6:$AU$36,23,0)</f>
        <v>0</v>
      </c>
      <c r="Q22" s="36">
        <f>VLOOKUP($A22,[18]HISTOOCT23!$A$6:$AU$36,46,0)</f>
        <v>0</v>
      </c>
      <c r="R22" s="36">
        <f>VLOOKUP($A22,[18]HISTOOCT23!$A$6:$AU$36,26,0)</f>
        <v>0</v>
      </c>
      <c r="S22" s="36">
        <f>VLOOKUP($A22,[18]HISTOOCT23!$A$6:$BG$36,58,0)</f>
        <v>0</v>
      </c>
      <c r="T22" s="36">
        <f>VLOOKUP($A22,[18]HISTOOCT23!$A$6:$AU$36,28,0)</f>
        <v>0</v>
      </c>
      <c r="U22" s="36">
        <f>VLOOKUP($A22,[18]HISTOOCT23!$A$6:$AU$36,19,0)</f>
        <v>0</v>
      </c>
      <c r="V22" s="36">
        <f>VLOOKUP($A22,[18]HISTOOCT23!$A$6:$AU$36,20,0)</f>
        <v>0</v>
      </c>
      <c r="W22" s="36">
        <f>VLOOKUP($A22,[18]HISTOOCT23!$A$6:$AU$36,27,0)</f>
        <v>0</v>
      </c>
      <c r="X22" s="36">
        <f>VLOOKUP($A22,[18]HISTOOCT23!$A$6:$BM$36,33,0)</f>
        <v>0</v>
      </c>
      <c r="Y22" s="36">
        <f>VLOOKUP($A22,[18]HISTOOCT23!$A$6:$BM$36,65,0)</f>
        <v>0</v>
      </c>
      <c r="Z22" s="36"/>
      <c r="AA22" s="36">
        <f>VLOOKUP($A22,[18]HISTOOCT23!$A$6:$AU$36,43,0)</f>
        <v>0</v>
      </c>
      <c r="AB22" s="36">
        <f>VLOOKUP($A22,[18]HISTOOCT23!$A$6:$AU$36,44,0)</f>
        <v>0</v>
      </c>
      <c r="AC22" s="36">
        <f>VLOOKUP($A22,[18]HISTOOCT23!$A$6:$AU$36,47,0)</f>
        <v>0</v>
      </c>
      <c r="AD22" s="36">
        <f>VLOOKUP(A22,[18]HISTOOCT23!$A$6:$BB$36,54,0)</f>
        <v>0</v>
      </c>
      <c r="AE22" s="36">
        <f>VLOOKUP($A22,[18]HISTOOCT23!$A$6:$CA$36,60,0)</f>
        <v>0</v>
      </c>
      <c r="AF22" s="36">
        <f>VLOOKUP($A22,[18]HISTOOCT23!$A$6:$CA$36,61,0)</f>
        <v>0</v>
      </c>
      <c r="AG22" s="36">
        <f>VLOOKUP($A22,[18]HISTOOCT23!$A$6:$CA$36,62,0)</f>
        <v>0</v>
      </c>
      <c r="AH22" s="36">
        <f>VLOOKUP($A22,[18]HISTOOCT23!$A$6:$CA$36,63,0)</f>
        <v>0</v>
      </c>
      <c r="AI22" s="36">
        <f>VLOOKUP($A22,[18]HISTOOCT23!$A$6:$CA$36,64,0)</f>
        <v>0</v>
      </c>
      <c r="AJ22" s="36">
        <f>VLOOKUP($A22,[18]HISTOOCT23!$A$6:$CA$36,65,0)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VLOOKUP($A23,[18]HISTOOCT23!$A$6:$BA$36,48,0)</f>
        <v>0</v>
      </c>
      <c r="F23" s="5">
        <f>MVTSEPT23!F23+MVTSEPT23!G23-MVTOCT23!E23+K23</f>
        <v>1146099.843581205</v>
      </c>
      <c r="G23" s="6">
        <v>871.2322426332488</v>
      </c>
      <c r="H23" s="6">
        <f t="shared" si="0"/>
        <v>1146971.0758238384</v>
      </c>
      <c r="I23" s="36">
        <f>VLOOKUP($A23,[18]HISTOOCT23!$A$6:$AQ$40,22,0)</f>
        <v>0</v>
      </c>
      <c r="J23" s="36">
        <f>VLOOKUP($A23,[18]HISTOOCT23!$A$6:$AU$36,45,0)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VLOOKUP($A23,[18]HISTOOCT23!$A$6:$AU$36,7,0)</f>
        <v>0</v>
      </c>
      <c r="P23" s="36">
        <f>VLOOKUP($A23,[18]HISTOOCT23!$A$6:$AU$36,23,0)</f>
        <v>0</v>
      </c>
      <c r="Q23" s="36">
        <f>VLOOKUP($A23,[18]HISTOOCT23!$A$6:$AU$36,46,0)</f>
        <v>0</v>
      </c>
      <c r="R23" s="36">
        <f>VLOOKUP($A23,[18]HISTOOCT23!$A$6:$AU$36,26,0)</f>
        <v>0</v>
      </c>
      <c r="S23" s="36">
        <f>VLOOKUP($A23,[18]HISTOOCT23!$A$6:$BG$36,58,0)</f>
        <v>0</v>
      </c>
      <c r="T23" s="36">
        <f>VLOOKUP($A23,[18]HISTOOCT23!$A$6:$AU$36,28,0)</f>
        <v>0</v>
      </c>
      <c r="U23" s="36">
        <f>VLOOKUP($A23,[18]HISTOOCT23!$A$6:$AU$36,19,0)</f>
        <v>0</v>
      </c>
      <c r="V23" s="36">
        <f>VLOOKUP($A23,[18]HISTOOCT23!$A$6:$AU$36,20,0)</f>
        <v>0</v>
      </c>
      <c r="W23" s="36">
        <f>VLOOKUP($A23,[18]HISTOOCT23!$A$6:$AU$36,27,0)</f>
        <v>0</v>
      </c>
      <c r="X23" s="36">
        <f>VLOOKUP($A23,[18]HISTOOCT23!$A$6:$BM$36,33,0)</f>
        <v>0</v>
      </c>
      <c r="Y23" s="36">
        <f>VLOOKUP($A23,[18]HISTOOCT23!$A$6:$BM$36,65,0)</f>
        <v>0</v>
      </c>
      <c r="Z23" s="36"/>
      <c r="AA23" s="36">
        <f>VLOOKUP($A23,[18]HISTOOCT23!$A$6:$AU$36,43,0)</f>
        <v>0</v>
      </c>
      <c r="AB23" s="36">
        <f>VLOOKUP($A23,[18]HISTOOCT23!$A$6:$AU$36,44,0)</f>
        <v>0</v>
      </c>
      <c r="AC23" s="36">
        <f>VLOOKUP($A23,[18]HISTOOCT23!$A$6:$AU$36,47,0)</f>
        <v>0</v>
      </c>
      <c r="AD23" s="36">
        <f>VLOOKUP(A23,[18]HISTOOCT23!$A$6:$BB$36,54,0)</f>
        <v>0</v>
      </c>
      <c r="AE23" s="36">
        <f>VLOOKUP($A23,[18]HISTOOCT23!$A$6:$CA$36,60,0)</f>
        <v>0</v>
      </c>
      <c r="AF23" s="36">
        <f>VLOOKUP($A23,[18]HISTOOCT23!$A$6:$CA$36,61,0)</f>
        <v>0</v>
      </c>
      <c r="AG23" s="36">
        <f>VLOOKUP($A23,[18]HISTOOCT23!$A$6:$CA$36,62,0)</f>
        <v>0</v>
      </c>
      <c r="AH23" s="36">
        <f>VLOOKUP($A23,[18]HISTOOCT23!$A$6:$CA$36,63,0)</f>
        <v>0</v>
      </c>
      <c r="AI23" s="36">
        <f>VLOOKUP($A23,[18]HISTOOCT23!$A$6:$CA$36,64,0)</f>
        <v>0</v>
      </c>
      <c r="AJ23" s="36">
        <f>VLOOKUP($A23,[18]HISTOOCT23!$A$6:$CA$36,65,0)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VLOOKUP($A24,[18]HISTOOCT23!$A$6:$BA$36,48,0)</f>
        <v>0</v>
      </c>
      <c r="F24" s="5">
        <f>MVTSEPT23!F24+MVTSEPT23!G24-MVTOCT23!E24+K24</f>
        <v>791031.45128373592</v>
      </c>
      <c r="G24" s="6">
        <v>601.31943054971066</v>
      </c>
      <c r="H24" s="6">
        <f t="shared" si="0"/>
        <v>791632.77071428567</v>
      </c>
      <c r="I24" s="36">
        <f>VLOOKUP($A24,[18]HISTOOCT23!$A$6:$AQ$40,22,0)</f>
        <v>0</v>
      </c>
      <c r="J24" s="36">
        <f>VLOOKUP($A24,[18]HISTOOCT23!$A$6:$AU$36,45,0)</f>
        <v>15000</v>
      </c>
      <c r="K24" s="36">
        <f t="shared" si="1"/>
        <v>9000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VLOOKUP($A24,[18]HISTOOCT23!$A$6:$AU$36,7,0)</f>
        <v>0</v>
      </c>
      <c r="P24" s="36">
        <f>VLOOKUP($A24,[18]HISTOOCT23!$A$6:$AU$36,23,0)</f>
        <v>0</v>
      </c>
      <c r="Q24" s="36">
        <f>VLOOKUP($A24,[18]HISTOOCT23!$A$6:$AU$36,46,0)</f>
        <v>0</v>
      </c>
      <c r="R24" s="36">
        <f>VLOOKUP($A24,[18]HISTOOCT23!$A$6:$AU$36,26,0)</f>
        <v>0</v>
      </c>
      <c r="S24" s="36">
        <f>VLOOKUP($A24,[18]HISTOOCT23!$A$6:$BG$36,58,0)</f>
        <v>0</v>
      </c>
      <c r="T24" s="36">
        <f>VLOOKUP($A24,[18]HISTOOCT23!$A$6:$AU$36,28,0)</f>
        <v>0</v>
      </c>
      <c r="U24" s="36">
        <f>VLOOKUP($A24,[18]HISTOOCT23!$A$6:$AU$36,19,0)</f>
        <v>0</v>
      </c>
      <c r="V24" s="36">
        <f>VLOOKUP($A24,[18]HISTOOCT23!$A$6:$AU$36,20,0)</f>
        <v>0</v>
      </c>
      <c r="W24" s="36">
        <f>VLOOKUP($A24,[18]HISTOOCT23!$A$6:$AU$36,27,0)</f>
        <v>0</v>
      </c>
      <c r="X24" s="36">
        <f>VLOOKUP($A24,[18]HISTOOCT23!$A$6:$BM$36,33,0)</f>
        <v>0</v>
      </c>
      <c r="Y24" s="36">
        <f>VLOOKUP($A24,[18]HISTOOCT23!$A$6:$BM$36,65,0)</f>
        <v>0</v>
      </c>
      <c r="Z24" s="36"/>
      <c r="AA24" s="36">
        <f>VLOOKUP($A24,[18]HISTOOCT23!$A$6:$AU$36,43,0)</f>
        <v>0</v>
      </c>
      <c r="AB24" s="36">
        <f>VLOOKUP($A24,[18]HISTOOCT23!$A$6:$AU$36,44,0)</f>
        <v>0</v>
      </c>
      <c r="AC24" s="36">
        <f>VLOOKUP($A24,[18]HISTOOCT23!$A$6:$AU$36,47,0)</f>
        <v>0</v>
      </c>
      <c r="AD24" s="36">
        <f>VLOOKUP(A24,[18]HISTOOCT23!$A$6:$BB$36,54,0)</f>
        <v>0</v>
      </c>
      <c r="AE24" s="36">
        <f>VLOOKUP($A24,[18]HISTOOCT23!$A$6:$CA$36,60,0)</f>
        <v>0</v>
      </c>
      <c r="AF24" s="36">
        <f>VLOOKUP($A24,[18]HISTOOCT23!$A$6:$CA$36,61,0)</f>
        <v>0</v>
      </c>
      <c r="AG24" s="36">
        <f>VLOOKUP($A24,[18]HISTOOCT23!$A$6:$CA$36,62,0)</f>
        <v>0</v>
      </c>
      <c r="AH24" s="36">
        <f>VLOOKUP($A24,[18]HISTOOCT23!$A$6:$CA$36,63,0)</f>
        <v>0</v>
      </c>
      <c r="AI24" s="36">
        <f>VLOOKUP($A24,[18]HISTOOCT23!$A$6:$CA$36,64,0)</f>
        <v>0</v>
      </c>
      <c r="AJ24" s="36">
        <f>VLOOKUP($A24,[18]HISTOOCT23!$A$6:$CA$36,65,0)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VLOOKUP($A25,[18]HISTOOCT23!$A$6:$BA$36,48,0)</f>
        <v>0</v>
      </c>
      <c r="F25" s="5">
        <f>MVTSEPT23!F25+MVTSEPT23!G25-MVTOCT23!E25+K25</f>
        <v>940667.45194703969</v>
      </c>
      <c r="G25" s="6">
        <v>715.06842821923487</v>
      </c>
      <c r="H25" s="6">
        <f t="shared" si="0"/>
        <v>941382.52037525887</v>
      </c>
      <c r="I25" s="36">
        <f>VLOOKUP($A25,[18]HISTOOCT23!$A$6:$AQ$40,22,0)</f>
        <v>0</v>
      </c>
      <c r="J25" s="36">
        <f>VLOOKUP($A25,[18]HISTOOCT23!$A$6:$AU$36,45,0)</f>
        <v>23000</v>
      </c>
      <c r="K25" s="36">
        <f t="shared" si="1"/>
        <v>17000</v>
      </c>
      <c r="L25" s="36">
        <f t="shared" si="3"/>
        <v>1000</v>
      </c>
      <c r="M25" s="36">
        <f t="shared" si="2"/>
        <v>1000</v>
      </c>
      <c r="N25" s="36">
        <f t="shared" si="4"/>
        <v>4000</v>
      </c>
      <c r="O25" s="36">
        <f>VLOOKUP($A25,[18]HISTOOCT23!$A$6:$AU$36,7,0)</f>
        <v>0</v>
      </c>
      <c r="P25" s="36">
        <f>VLOOKUP($A25,[18]HISTOOCT23!$A$6:$AU$36,23,0)</f>
        <v>0</v>
      </c>
      <c r="Q25" s="36">
        <f>VLOOKUP($A25,[18]HISTOOCT23!$A$6:$AU$36,46,0)</f>
        <v>0</v>
      </c>
      <c r="R25" s="36">
        <f>VLOOKUP($A25,[18]HISTOOCT23!$A$6:$AU$36,26,0)</f>
        <v>0</v>
      </c>
      <c r="S25" s="36">
        <f>VLOOKUP($A25,[18]HISTOOCT23!$A$6:$BG$36,58,0)</f>
        <v>0</v>
      </c>
      <c r="T25" s="36">
        <f>VLOOKUP($A25,[18]HISTOOCT23!$A$6:$AU$36,28,0)</f>
        <v>0</v>
      </c>
      <c r="U25" s="36">
        <f>VLOOKUP($A25,[18]HISTOOCT23!$A$6:$AU$36,19,0)</f>
        <v>0</v>
      </c>
      <c r="V25" s="36">
        <f>VLOOKUP($A25,[18]HISTOOCT23!$A$6:$AU$36,20,0)</f>
        <v>0</v>
      </c>
      <c r="W25" s="36">
        <f>VLOOKUP($A25,[18]HISTOOCT23!$A$6:$AU$36,27,0)</f>
        <v>0</v>
      </c>
      <c r="X25" s="36">
        <f>VLOOKUP($A25,[18]HISTOOCT23!$A$6:$BM$36,33,0)</f>
        <v>0</v>
      </c>
      <c r="Y25" s="36">
        <f>VLOOKUP($A25,[18]HISTOOCT23!$A$6:$BM$36,65,0)</f>
        <v>0</v>
      </c>
      <c r="Z25" s="36"/>
      <c r="AA25" s="36">
        <f>VLOOKUP($A25,[18]HISTOOCT23!$A$6:$AU$36,43,0)</f>
        <v>0</v>
      </c>
      <c r="AB25" s="36">
        <f>VLOOKUP($A25,[18]HISTOOCT23!$A$6:$AU$36,44,0)</f>
        <v>0</v>
      </c>
      <c r="AC25" s="36">
        <f>VLOOKUP($A25,[18]HISTOOCT23!$A$6:$AU$36,47,0)</f>
        <v>0</v>
      </c>
      <c r="AD25" s="36">
        <f>VLOOKUP(A25,[18]HISTOOCT23!$A$6:$BB$36,54,0)</f>
        <v>0</v>
      </c>
      <c r="AE25" s="36">
        <f>VLOOKUP($A25,[18]HISTOOCT23!$A$6:$CA$36,60,0)</f>
        <v>0</v>
      </c>
      <c r="AF25" s="36">
        <f>VLOOKUP($A25,[18]HISTOOCT23!$A$6:$CA$36,61,0)</f>
        <v>0</v>
      </c>
      <c r="AG25" s="36">
        <f>VLOOKUP($A25,[18]HISTOOCT23!$A$6:$CA$36,62,0)</f>
        <v>0</v>
      </c>
      <c r="AH25" s="36">
        <f>VLOOKUP($A25,[18]HISTOOCT23!$A$6:$CA$36,63,0)</f>
        <v>0</v>
      </c>
      <c r="AI25" s="36">
        <f>VLOOKUP($A25,[18]HISTOOCT23!$A$6:$CA$36,64,0)</f>
        <v>0</v>
      </c>
      <c r="AJ25" s="36">
        <f>VLOOKUP($A25,[18]HISTOOCT23!$A$6:$CA$36,65,0)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VLOOKUP($A26,[18]HISTOOCT23!$A$6:$BA$36,48,0)</f>
        <v>0</v>
      </c>
      <c r="F26" s="5">
        <f>MVTSEPT23!F26+MVTSEPT23!G26-MVTOCT23!E26+K26</f>
        <v>742467.3627083092</v>
      </c>
      <c r="G26" s="6">
        <v>564.40240273754273</v>
      </c>
      <c r="H26" s="6">
        <f t="shared" si="0"/>
        <v>743031.76511104673</v>
      </c>
      <c r="I26" s="36">
        <f>VLOOKUP($A26,[18]HISTOOCT23!$A$6:$AQ$40,22,0)</f>
        <v>0</v>
      </c>
      <c r="J26" s="36">
        <f>VLOOKUP($A26,[18]HISTOOCT23!$A$6:$AU$36,45,0)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VLOOKUP($A26,[18]HISTOOCT23!$A$6:$AU$36,7,0)</f>
        <v>0</v>
      </c>
      <c r="P26" s="36">
        <f>VLOOKUP($A26,[18]HISTOOCT23!$A$6:$AU$36,23,0)</f>
        <v>0</v>
      </c>
      <c r="Q26" s="36">
        <f>VLOOKUP($A26,[18]HISTOOCT23!$A$6:$AU$36,46,0)</f>
        <v>0</v>
      </c>
      <c r="R26" s="36">
        <f>VLOOKUP($A26,[18]HISTOOCT23!$A$6:$AU$36,26,0)</f>
        <v>0</v>
      </c>
      <c r="S26" s="36">
        <f>VLOOKUP($A26,[18]HISTOOCT23!$A$6:$BG$36,58,0)</f>
        <v>0</v>
      </c>
      <c r="T26" s="36">
        <f>VLOOKUP($A26,[18]HISTOOCT23!$A$6:$AU$36,28,0)</f>
        <v>0</v>
      </c>
      <c r="U26" s="36">
        <f>VLOOKUP($A26,[18]HISTOOCT23!$A$6:$AU$36,19,0)</f>
        <v>0</v>
      </c>
      <c r="V26" s="36">
        <f>VLOOKUP($A26,[18]HISTOOCT23!$A$6:$AU$36,20,0)</f>
        <v>0</v>
      </c>
      <c r="W26" s="36">
        <f>VLOOKUP($A26,[18]HISTOOCT23!$A$6:$AU$36,27,0)</f>
        <v>0</v>
      </c>
      <c r="X26" s="36">
        <f>VLOOKUP($A26,[18]HISTOOCT23!$A$6:$BM$36,33,0)</f>
        <v>0</v>
      </c>
      <c r="Y26" s="36">
        <f>VLOOKUP($A26,[18]HISTOOCT23!$A$6:$BM$36,65,0)</f>
        <v>0</v>
      </c>
      <c r="Z26" s="36"/>
      <c r="AA26" s="36">
        <f>VLOOKUP($A26,[18]HISTOOCT23!$A$6:$AU$36,43,0)</f>
        <v>0</v>
      </c>
      <c r="AB26" s="36">
        <f>VLOOKUP($A26,[18]HISTOOCT23!$A$6:$AU$36,44,0)</f>
        <v>0</v>
      </c>
      <c r="AC26" s="36">
        <f>VLOOKUP($A26,[18]HISTOOCT23!$A$6:$AU$36,47,0)</f>
        <v>0</v>
      </c>
      <c r="AD26" s="36">
        <f>VLOOKUP(A26,[18]HISTOOCT23!$A$6:$BB$36,54,0)</f>
        <v>0</v>
      </c>
      <c r="AE26" s="36">
        <f>VLOOKUP($A26,[18]HISTOOCT23!$A$6:$CA$36,60,0)</f>
        <v>0</v>
      </c>
      <c r="AF26" s="36">
        <f>VLOOKUP($A26,[18]HISTOOCT23!$A$6:$CA$36,61,0)</f>
        <v>0</v>
      </c>
      <c r="AG26" s="36">
        <f>VLOOKUP($A26,[18]HISTOOCT23!$A$6:$CA$36,62,0)</f>
        <v>0</v>
      </c>
      <c r="AH26" s="36">
        <f>VLOOKUP($A26,[18]HISTOOCT23!$A$6:$CA$36,63,0)</f>
        <v>0</v>
      </c>
      <c r="AI26" s="36">
        <f>VLOOKUP($A26,[18]HISTOOCT23!$A$6:$CA$36,64,0)</f>
        <v>0</v>
      </c>
      <c r="AJ26" s="36">
        <f>VLOOKUP($A26,[18]HISTOOCT23!$A$6:$CA$36,65,0)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VLOOKUP($A27,[18]HISTOOCT23!$A$6:$BA$36,48,0)</f>
        <v>0</v>
      </c>
      <c r="F27" s="5">
        <f>MVTSEPT23!F27+MVTSEPT23!G27-MVTOCT23!E27+K27</f>
        <v>682500</v>
      </c>
      <c r="G27" s="6">
        <v>518.81693285918482</v>
      </c>
      <c r="H27" s="6">
        <f t="shared" si="0"/>
        <v>683018.81693285913</v>
      </c>
      <c r="I27" s="36">
        <f>VLOOKUP($A27,[18]HISTOOCT23!$A$6:$AQ$40,22,0)</f>
        <v>0</v>
      </c>
      <c r="J27" s="36">
        <f>VLOOKUP($A27,[18]HISTOOCT23!$A$6:$AU$36,45,0)</f>
        <v>25000</v>
      </c>
      <c r="K27" s="36">
        <f t="shared" si="1"/>
        <v>19000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VLOOKUP($A27,[18]HISTOOCT23!$A$6:$AU$36,7,0)</f>
        <v>0</v>
      </c>
      <c r="P27" s="36">
        <f>VLOOKUP($A27,[18]HISTOOCT23!$A$6:$AU$36,23,0)</f>
        <v>0</v>
      </c>
      <c r="Q27" s="36">
        <f>VLOOKUP($A27,[18]HISTOOCT23!$A$6:$AU$36,46,0)</f>
        <v>0</v>
      </c>
      <c r="R27" s="36">
        <f>VLOOKUP($A27,[18]HISTOOCT23!$A$6:$AU$36,26,0)</f>
        <v>0</v>
      </c>
      <c r="S27" s="36">
        <f>VLOOKUP($A27,[18]HISTOOCT23!$A$6:$BG$36,58,0)</f>
        <v>0</v>
      </c>
      <c r="T27" s="36">
        <f>VLOOKUP($A27,[18]HISTOOCT23!$A$6:$AU$36,28,0)</f>
        <v>0</v>
      </c>
      <c r="U27" s="36">
        <f>VLOOKUP($A27,[18]HISTOOCT23!$A$6:$AU$36,19,0)</f>
        <v>0</v>
      </c>
      <c r="V27" s="36">
        <f>VLOOKUP($A27,[18]HISTOOCT23!$A$6:$AU$36,20,0)</f>
        <v>0</v>
      </c>
      <c r="W27" s="36">
        <f>VLOOKUP($A27,[18]HISTOOCT23!$A$6:$AU$36,27,0)</f>
        <v>0</v>
      </c>
      <c r="X27" s="36">
        <f>VLOOKUP($A27,[18]HISTOOCT23!$A$6:$BM$36,33,0)</f>
        <v>0</v>
      </c>
      <c r="Y27" s="36">
        <f>VLOOKUP($A27,[18]HISTOOCT23!$A$6:$BM$36,65,0)</f>
        <v>0</v>
      </c>
      <c r="Z27" s="36"/>
      <c r="AA27" s="36">
        <f>VLOOKUP($A27,[18]HISTOOCT23!$A$6:$AU$36,43,0)</f>
        <v>0</v>
      </c>
      <c r="AB27" s="36">
        <f>VLOOKUP($A27,[18]HISTOOCT23!$A$6:$AU$36,44,0)</f>
        <v>0</v>
      </c>
      <c r="AC27" s="36">
        <f>VLOOKUP($A27,[18]HISTOOCT23!$A$6:$AU$36,47,0)</f>
        <v>0</v>
      </c>
      <c r="AD27" s="36">
        <f>VLOOKUP(A27,[18]HISTOOCT23!$A$6:$BB$36,54,0)</f>
        <v>0</v>
      </c>
      <c r="AE27" s="36">
        <f>VLOOKUP($A27,[18]HISTOOCT23!$A$6:$CA$36,60,0)</f>
        <v>0</v>
      </c>
      <c r="AF27" s="36">
        <f>VLOOKUP($A27,[18]HISTOOCT23!$A$6:$CA$36,61,0)</f>
        <v>0</v>
      </c>
      <c r="AG27" s="36">
        <f>VLOOKUP($A27,[18]HISTOOCT23!$A$6:$CA$36,62,0)</f>
        <v>0</v>
      </c>
      <c r="AH27" s="36">
        <f>VLOOKUP($A27,[18]HISTOOCT23!$A$6:$CA$36,63,0)</f>
        <v>0</v>
      </c>
      <c r="AI27" s="36">
        <f>VLOOKUP($A27,[18]HISTOOCT23!$A$6:$CA$36,64,0)</f>
        <v>0</v>
      </c>
      <c r="AJ27" s="36">
        <f>VLOOKUP($A27,[18]HISTOOCT23!$A$6:$CA$36,65,0)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VLOOKUP($A28,[18]HISTOOCT23!$A$6:$BA$36,48,0)</f>
        <v>0</v>
      </c>
      <c r="F28" s="5">
        <f>MVTSEPT23!F28+MVTSEPT23!G28-MVTOCT23!E28+K28</f>
        <v>765116.00974122691</v>
      </c>
      <c r="G28" s="6">
        <v>581.61925487970916</v>
      </c>
      <c r="H28" s="6">
        <f t="shared" si="0"/>
        <v>765697.62899610656</v>
      </c>
      <c r="I28" s="36">
        <f>VLOOKUP($A28,[18]HISTOOCT23!$A$6:$AQ$40,22,0)</f>
        <v>0</v>
      </c>
      <c r="J28" s="36">
        <f>VLOOKUP($A28,[18]HISTOOCT23!$A$6:$AU$36,45,0)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VLOOKUP($A28,[18]HISTOOCT23!$A$6:$AU$36,7,0)</f>
        <v>0</v>
      </c>
      <c r="P28" s="36">
        <f>VLOOKUP($A28,[18]HISTOOCT23!$A$6:$AU$36,23,0)</f>
        <v>0</v>
      </c>
      <c r="Q28" s="36">
        <f>VLOOKUP($A28,[18]HISTOOCT23!$A$6:$AU$36,46,0)</f>
        <v>0</v>
      </c>
      <c r="R28" s="36">
        <f>VLOOKUP($A28,[18]HISTOOCT23!$A$6:$AU$36,26,0)</f>
        <v>0</v>
      </c>
      <c r="S28" s="36">
        <f>VLOOKUP($A28,[18]HISTOOCT23!$A$6:$BG$36,58,0)</f>
        <v>0</v>
      </c>
      <c r="T28" s="36">
        <f>VLOOKUP($A28,[18]HISTOOCT23!$A$6:$AU$36,28,0)</f>
        <v>0</v>
      </c>
      <c r="U28" s="36">
        <f>VLOOKUP($A28,[18]HISTOOCT23!$A$6:$AU$36,19,0)</f>
        <v>0</v>
      </c>
      <c r="V28" s="36">
        <f>VLOOKUP($A28,[18]HISTOOCT23!$A$6:$AU$36,20,0)</f>
        <v>0</v>
      </c>
      <c r="W28" s="36">
        <f>VLOOKUP($A28,[18]HISTOOCT23!$A$6:$AU$36,27,0)</f>
        <v>0</v>
      </c>
      <c r="X28" s="36">
        <f>VLOOKUP($A28,[18]HISTOOCT23!$A$6:$BM$36,33,0)</f>
        <v>0</v>
      </c>
      <c r="Y28" s="36">
        <f>VLOOKUP($A28,[18]HISTOOCT23!$A$6:$BM$36,65,0)</f>
        <v>0</v>
      </c>
      <c r="Z28" s="36"/>
      <c r="AA28" s="36">
        <f>VLOOKUP($A28,[18]HISTOOCT23!$A$6:$AU$36,43,0)</f>
        <v>0</v>
      </c>
      <c r="AB28" s="36">
        <f>VLOOKUP($A28,[18]HISTOOCT23!$A$6:$AU$36,44,0)</f>
        <v>0</v>
      </c>
      <c r="AC28" s="36">
        <f>VLOOKUP($A28,[18]HISTOOCT23!$A$6:$AU$36,47,0)</f>
        <v>0</v>
      </c>
      <c r="AD28" s="36">
        <f>VLOOKUP(A28,[18]HISTOOCT23!$A$6:$BB$36,54,0)</f>
        <v>0</v>
      </c>
      <c r="AE28" s="36">
        <f>VLOOKUP($A28,[18]HISTOOCT23!$A$6:$CA$36,60,0)</f>
        <v>0</v>
      </c>
      <c r="AF28" s="36">
        <f>VLOOKUP($A28,[18]HISTOOCT23!$A$6:$CA$36,61,0)</f>
        <v>0</v>
      </c>
      <c r="AG28" s="36">
        <f>VLOOKUP($A28,[18]HISTOOCT23!$A$6:$CA$36,62,0)</f>
        <v>0</v>
      </c>
      <c r="AH28" s="36">
        <f>VLOOKUP($A28,[18]HISTOOCT23!$A$6:$CA$36,63,0)</f>
        <v>0</v>
      </c>
      <c r="AI28" s="36">
        <f>VLOOKUP($A28,[18]HISTOOCT23!$A$6:$CA$36,64,0)</f>
        <v>0</v>
      </c>
      <c r="AJ28" s="36">
        <f>VLOOKUP($A28,[18]HISTOOCT23!$A$6:$CA$36,65,0)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VLOOKUP($A29,[18]HISTOOCT23!$A$6:$BA$36,48,0)</f>
        <v>0</v>
      </c>
      <c r="F29" s="5">
        <f>MVTSEPT23!F29+MVTSEPT23!G29-MVTOCT23!E29+K29</f>
        <v>267500</v>
      </c>
      <c r="G29" s="6">
        <v>0</v>
      </c>
      <c r="H29" s="6">
        <f t="shared" si="0"/>
        <v>267500</v>
      </c>
      <c r="I29" s="36">
        <f>VLOOKUP($A29,[18]HISTOOCT23!$A$6:$AQ$40,22,0)</f>
        <v>0</v>
      </c>
      <c r="J29" s="36">
        <f>VLOOKUP($A29,[18]HISTOOCT23!$A$6:$AU$36,45,0)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VLOOKUP($A29,[18]HISTOOCT23!$A$6:$AU$36,7,0)</f>
        <v>0</v>
      </c>
      <c r="P29" s="36">
        <f>VLOOKUP($A29,[18]HISTOOCT23!$A$6:$AU$36,23,0)</f>
        <v>0</v>
      </c>
      <c r="Q29" s="36">
        <f>VLOOKUP($A29,[18]HISTOOCT23!$A$6:$AU$36,46,0)</f>
        <v>0</v>
      </c>
      <c r="R29" s="36">
        <f>VLOOKUP($A29,[18]HISTOOCT23!$A$6:$AU$36,26,0)</f>
        <v>0</v>
      </c>
      <c r="S29" s="36">
        <f>VLOOKUP($A29,[18]HISTOOCT23!$A$6:$BG$36,58,0)</f>
        <v>0</v>
      </c>
      <c r="T29" s="36">
        <f>VLOOKUP($A29,[18]HISTOOCT23!$A$6:$AU$36,28,0)</f>
        <v>0</v>
      </c>
      <c r="U29" s="36">
        <f>VLOOKUP($A29,[18]HISTOOCT23!$A$6:$AU$36,19,0)</f>
        <v>0</v>
      </c>
      <c r="V29" s="36">
        <f>VLOOKUP($A29,[18]HISTOOCT23!$A$6:$AU$36,20,0)</f>
        <v>0</v>
      </c>
      <c r="W29" s="36">
        <f>VLOOKUP($A29,[18]HISTOOCT23!$A$6:$AU$36,27,0)</f>
        <v>0</v>
      </c>
      <c r="X29" s="36">
        <f>VLOOKUP($A29,[18]HISTOOCT23!$A$6:$BM$36,33,0)</f>
        <v>0</v>
      </c>
      <c r="Y29" s="36">
        <f>VLOOKUP($A29,[18]HISTOOCT23!$A$6:$BM$36,65,0)</f>
        <v>0</v>
      </c>
      <c r="Z29" s="36"/>
      <c r="AA29" s="36">
        <f>VLOOKUP($A29,[18]HISTOOCT23!$A$6:$AU$36,43,0)</f>
        <v>0</v>
      </c>
      <c r="AB29" s="36">
        <f>VLOOKUP($A29,[18]HISTOOCT23!$A$6:$AU$36,44,0)</f>
        <v>0</v>
      </c>
      <c r="AC29" s="36">
        <f>VLOOKUP($A29,[18]HISTOOCT23!$A$6:$AU$36,47,0)</f>
        <v>0</v>
      </c>
      <c r="AD29" s="36">
        <f>VLOOKUP(A29,[18]HISTOOCT23!$A$6:$BB$36,54,0)</f>
        <v>0</v>
      </c>
      <c r="AE29" s="36">
        <f>VLOOKUP($A29,[18]HISTOOCT23!$A$6:$CA$36,60,0)</f>
        <v>0</v>
      </c>
      <c r="AF29" s="36">
        <f>VLOOKUP($A29,[18]HISTOOCT23!$A$6:$CA$36,61,0)</f>
        <v>0</v>
      </c>
      <c r="AG29" s="36">
        <f>VLOOKUP($A29,[18]HISTOOCT23!$A$6:$CA$36,62,0)</f>
        <v>0</v>
      </c>
      <c r="AH29" s="36">
        <f>VLOOKUP($A29,[18]HISTOOCT23!$A$6:$CA$36,63,0)</f>
        <v>0</v>
      </c>
      <c r="AI29" s="36">
        <f>VLOOKUP($A29,[18]HISTOOCT23!$A$6:$CA$36,64,0)</f>
        <v>0</v>
      </c>
      <c r="AJ29" s="36">
        <f>VLOOKUP($A29,[18]HISTOOCT23!$A$6:$CA$36,65,0)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VLOOKUP($A30,[18]HISTOOCT23!$A$6:$BA$36,48,0)</f>
        <v>0</v>
      </c>
      <c r="F30" s="5">
        <f>MVTSEPT23!F30+MVTSEPT23!G30-MVTOCT23!E30+K30</f>
        <v>959635.14359712601</v>
      </c>
      <c r="G30" s="6">
        <v>729.48712361164007</v>
      </c>
      <c r="H30" s="6">
        <f t="shared" si="0"/>
        <v>960364.63072073762</v>
      </c>
      <c r="I30" s="36">
        <f>VLOOKUP($A30,[18]HISTOOCT23!$A$6:$AQ$40,22,0)</f>
        <v>0</v>
      </c>
      <c r="J30" s="36">
        <f>VLOOKUP($A30,[18]HISTOOCT23!$A$6:$AU$36,45,0)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VLOOKUP($A30,[18]HISTOOCT23!$A$6:$AU$36,7,0)</f>
        <v>0</v>
      </c>
      <c r="P30" s="36">
        <f>VLOOKUP($A30,[18]HISTOOCT23!$A$6:$AU$36,23,0)</f>
        <v>0</v>
      </c>
      <c r="Q30" s="36">
        <f>VLOOKUP($A30,[18]HISTOOCT23!$A$6:$AU$36,46,0)</f>
        <v>0</v>
      </c>
      <c r="R30" s="36">
        <f>VLOOKUP($A30,[18]HISTOOCT23!$A$6:$AU$36,26,0)</f>
        <v>0</v>
      </c>
      <c r="S30" s="36">
        <f>VLOOKUP($A30,[18]HISTOOCT23!$A$6:$BG$36,58,0)</f>
        <v>0</v>
      </c>
      <c r="T30" s="36">
        <f>VLOOKUP($A30,[18]HISTOOCT23!$A$6:$AU$36,28,0)</f>
        <v>0</v>
      </c>
      <c r="U30" s="36">
        <f>VLOOKUP($A30,[18]HISTOOCT23!$A$6:$AU$36,19,0)</f>
        <v>0</v>
      </c>
      <c r="V30" s="36">
        <f>VLOOKUP($A30,[18]HISTOOCT23!$A$6:$AU$36,20,0)</f>
        <v>0</v>
      </c>
      <c r="W30" s="36">
        <f>VLOOKUP($A30,[18]HISTOOCT23!$A$6:$AU$36,27,0)</f>
        <v>0</v>
      </c>
      <c r="X30" s="36">
        <f>VLOOKUP($A30,[18]HISTOOCT23!$A$6:$BM$36,33,0)</f>
        <v>0</v>
      </c>
      <c r="Y30" s="36">
        <f>VLOOKUP($A30,[18]HISTOOCT23!$A$6:$BM$36,65,0)</f>
        <v>0</v>
      </c>
      <c r="Z30" s="36"/>
      <c r="AA30" s="36">
        <f>VLOOKUP($A30,[18]HISTOOCT23!$A$6:$AU$36,43,0)</f>
        <v>0</v>
      </c>
      <c r="AB30" s="36">
        <f>VLOOKUP($A30,[18]HISTOOCT23!$A$6:$AU$36,44,0)</f>
        <v>0</v>
      </c>
      <c r="AC30" s="36">
        <f>VLOOKUP($A30,[18]HISTOOCT23!$A$6:$AU$36,47,0)</f>
        <v>0</v>
      </c>
      <c r="AD30" s="36">
        <f>VLOOKUP(A30,[18]HISTOOCT23!$A$6:$BB$36,54,0)</f>
        <v>0</v>
      </c>
      <c r="AE30" s="36">
        <f>VLOOKUP($A30,[18]HISTOOCT23!$A$6:$CA$36,60,0)</f>
        <v>0</v>
      </c>
      <c r="AF30" s="36">
        <f>VLOOKUP($A30,[18]HISTOOCT23!$A$6:$CA$36,61,0)</f>
        <v>0</v>
      </c>
      <c r="AG30" s="36">
        <f>VLOOKUP($A30,[18]HISTOOCT23!$A$6:$CA$36,62,0)</f>
        <v>0</v>
      </c>
      <c r="AH30" s="36">
        <f>VLOOKUP($A30,[18]HISTOOCT23!$A$6:$CA$36,63,0)</f>
        <v>0</v>
      </c>
      <c r="AI30" s="36">
        <f>VLOOKUP($A30,[18]HISTOOCT23!$A$6:$CA$36,64,0)</f>
        <v>0</v>
      </c>
      <c r="AJ30" s="36">
        <f>VLOOKUP($A30,[18]HISTOOCT23!$A$6:$CA$36,65,0)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VLOOKUP($A31,[18]HISTOOCT23!$A$6:$BA$36,48,0)</f>
        <v>0</v>
      </c>
      <c r="F31" s="5">
        <f>MVTSEPT23!F31+MVTSEPT23!G31-MVTOCT23!E31+K31</f>
        <v>966452.41459609766</v>
      </c>
      <c r="G31" s="6">
        <v>734.66941757523909</v>
      </c>
      <c r="H31" s="6">
        <f t="shared" si="0"/>
        <v>967187.08401367289</v>
      </c>
      <c r="I31" s="36">
        <f>VLOOKUP($A31,[18]HISTOOCT23!$A$6:$AQ$40,22,0)</f>
        <v>0</v>
      </c>
      <c r="J31" s="36">
        <f>VLOOKUP($A31,[18]HISTOOCT23!$A$6:$AU$36,45,0)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VLOOKUP($A31,[18]HISTOOCT23!$A$6:$AU$36,7,0)</f>
        <v>0</v>
      </c>
      <c r="P31" s="36">
        <f>VLOOKUP($A31,[18]HISTOOCT23!$A$6:$AU$36,23,0)</f>
        <v>0</v>
      </c>
      <c r="Q31" s="36">
        <f>VLOOKUP($A31,[18]HISTOOCT23!$A$6:$AU$36,46,0)</f>
        <v>0</v>
      </c>
      <c r="R31" s="36">
        <f>VLOOKUP($A31,[18]HISTOOCT23!$A$6:$AU$36,26,0)</f>
        <v>0</v>
      </c>
      <c r="S31" s="36">
        <f>VLOOKUP($A31,[18]HISTOOCT23!$A$6:$BG$36,58,0)</f>
        <v>0</v>
      </c>
      <c r="T31" s="36">
        <f>VLOOKUP($A31,[18]HISTOOCT23!$A$6:$AU$36,28,0)</f>
        <v>0</v>
      </c>
      <c r="U31" s="36">
        <f>VLOOKUP($A31,[18]HISTOOCT23!$A$6:$AU$36,19,0)</f>
        <v>0</v>
      </c>
      <c r="V31" s="36">
        <f>VLOOKUP($A31,[18]HISTOOCT23!$A$6:$AU$36,20,0)</f>
        <v>0</v>
      </c>
      <c r="W31" s="36">
        <f>VLOOKUP($A31,[18]HISTOOCT23!$A$6:$AU$36,27,0)</f>
        <v>0</v>
      </c>
      <c r="X31" s="36">
        <f>VLOOKUP($A31,[18]HISTOOCT23!$A$6:$BM$36,33,0)</f>
        <v>0</v>
      </c>
      <c r="Y31" s="36">
        <f>VLOOKUP($A31,[18]HISTOOCT23!$A$6:$BM$36,65,0)</f>
        <v>0</v>
      </c>
      <c r="Z31" s="36"/>
      <c r="AA31" s="36">
        <f>VLOOKUP($A31,[18]HISTOOCT23!$A$6:$AU$36,43,0)</f>
        <v>0</v>
      </c>
      <c r="AB31" s="36">
        <f>VLOOKUP($A31,[18]HISTOOCT23!$A$6:$AU$36,44,0)</f>
        <v>0</v>
      </c>
      <c r="AC31" s="36">
        <f>VLOOKUP($A31,[18]HISTOOCT23!$A$6:$AU$36,47,0)</f>
        <v>0</v>
      </c>
      <c r="AD31" s="36">
        <f>VLOOKUP(A31,[18]HISTOOCT23!$A$6:$BB$36,54,0)</f>
        <v>0</v>
      </c>
      <c r="AE31" s="36">
        <f>VLOOKUP($A31,[18]HISTOOCT23!$A$6:$CA$36,60,0)</f>
        <v>0</v>
      </c>
      <c r="AF31" s="36">
        <f>VLOOKUP($A31,[18]HISTOOCT23!$A$6:$CA$36,61,0)</f>
        <v>0</v>
      </c>
      <c r="AG31" s="36">
        <f>VLOOKUP($A31,[18]HISTOOCT23!$A$6:$CA$36,62,0)</f>
        <v>0</v>
      </c>
      <c r="AH31" s="36">
        <f>VLOOKUP($A31,[18]HISTOOCT23!$A$6:$CA$36,63,0)</f>
        <v>0</v>
      </c>
      <c r="AI31" s="36">
        <f>VLOOKUP($A31,[18]HISTOOCT23!$A$6:$CA$36,64,0)</f>
        <v>0</v>
      </c>
      <c r="AJ31" s="36">
        <f>VLOOKUP($A31,[18]HISTOOCT23!$A$6:$CA$36,65,0)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VLOOKUP($A32,[18]HISTOOCT23!$A$6:$BA$36,48,0)</f>
        <v>0</v>
      </c>
      <c r="F32" s="5">
        <f>MVTSEPT23!F32+MVTSEPT23!G32-MVTOCT23!E32+K32</f>
        <v>746408.27797732747</v>
      </c>
      <c r="G32" s="6">
        <v>567.39817353978447</v>
      </c>
      <c r="H32" s="6">
        <f t="shared" si="0"/>
        <v>746975.67615086725</v>
      </c>
      <c r="I32" s="36">
        <f>VLOOKUP($A32,[18]HISTOOCT23!$A$6:$AQ$40,22,0)</f>
        <v>0</v>
      </c>
      <c r="J32" s="36">
        <f>VLOOKUP($A32,[18]HISTOOCT23!$A$6:$AU$36,45,0)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VLOOKUP($A32,[18]HISTOOCT23!$A$6:$AU$36,7,0)</f>
        <v>0</v>
      </c>
      <c r="P32" s="36">
        <f>VLOOKUP($A32,[18]HISTOOCT23!$A$6:$AU$36,23,0)</f>
        <v>0</v>
      </c>
      <c r="Q32" s="36">
        <f>VLOOKUP($A32,[18]HISTOOCT23!$A$6:$AU$36,46,0)</f>
        <v>0</v>
      </c>
      <c r="R32" s="36">
        <f>VLOOKUP($A32,[18]HISTOOCT23!$A$6:$AU$36,26,0)</f>
        <v>0</v>
      </c>
      <c r="S32" s="36">
        <f>VLOOKUP($A32,[18]HISTOOCT23!$A$6:$BG$36,58,0)</f>
        <v>0</v>
      </c>
      <c r="T32" s="36">
        <f>VLOOKUP($A32,[18]HISTOOCT23!$A$6:$AU$36,28,0)</f>
        <v>0</v>
      </c>
      <c r="U32" s="36">
        <f>VLOOKUP($A32,[18]HISTOOCT23!$A$6:$AU$36,19,0)</f>
        <v>0</v>
      </c>
      <c r="V32" s="36">
        <f>VLOOKUP($A32,[18]HISTOOCT23!$A$6:$AU$36,20,0)</f>
        <v>0</v>
      </c>
      <c r="W32" s="36">
        <f>VLOOKUP($A32,[18]HISTOOCT23!$A$6:$AU$36,27,0)</f>
        <v>0</v>
      </c>
      <c r="X32" s="36">
        <f>VLOOKUP($A32,[18]HISTOOCT23!$A$6:$BM$36,33,0)</f>
        <v>0</v>
      </c>
      <c r="Y32" s="36">
        <f>VLOOKUP($A32,[18]HISTOOCT23!$A$6:$BM$36,65,0)</f>
        <v>0</v>
      </c>
      <c r="Z32" s="36"/>
      <c r="AA32" s="36">
        <f>VLOOKUP($A32,[18]HISTOOCT23!$A$6:$AU$36,43,0)</f>
        <v>0</v>
      </c>
      <c r="AB32" s="36">
        <f>VLOOKUP($A32,[18]HISTOOCT23!$A$6:$AU$36,44,0)</f>
        <v>0</v>
      </c>
      <c r="AC32" s="36">
        <f>VLOOKUP($A32,[18]HISTOOCT23!$A$6:$AU$36,47,0)</f>
        <v>0</v>
      </c>
      <c r="AD32" s="36">
        <f>VLOOKUP(A32,[18]HISTOOCT23!$A$6:$BB$36,54,0)</f>
        <v>0</v>
      </c>
      <c r="AE32" s="36">
        <f>VLOOKUP($A32,[18]HISTOOCT23!$A$6:$CA$36,60,0)</f>
        <v>0</v>
      </c>
      <c r="AF32" s="36">
        <f>VLOOKUP($A32,[18]HISTOOCT23!$A$6:$CA$36,61,0)</f>
        <v>0</v>
      </c>
      <c r="AG32" s="36">
        <f>VLOOKUP($A32,[18]HISTOOCT23!$A$6:$CA$36,62,0)</f>
        <v>0</v>
      </c>
      <c r="AH32" s="36">
        <f>VLOOKUP($A32,[18]HISTOOCT23!$A$6:$CA$36,63,0)</f>
        <v>0</v>
      </c>
      <c r="AI32" s="36">
        <f>VLOOKUP($A32,[18]HISTOOCT23!$A$6:$CA$36,64,0)</f>
        <v>0</v>
      </c>
      <c r="AJ32" s="36">
        <f>VLOOKUP($A32,[18]HISTOOCT23!$A$6:$CA$36,65,0)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VLOOKUP($A33,[18]HISTOOCT23!$A$6:$BA$36,48,0)</f>
        <v>0</v>
      </c>
      <c r="F33" s="5">
        <f>MVTSEPT23!F33+MVTSEPT23!G33-MVTOCT23!E33+K33</f>
        <v>60000</v>
      </c>
      <c r="G33" s="6">
        <v>0</v>
      </c>
      <c r="H33" s="6">
        <f t="shared" si="0"/>
        <v>60000</v>
      </c>
      <c r="I33" s="36">
        <f>VLOOKUP($A33,[18]HISTOOCT23!$A$6:$AQ$40,22,0)</f>
        <v>0</v>
      </c>
      <c r="J33" s="36">
        <f>VLOOKUP($A33,[18]HISTOOCT23!$A$6:$AU$36,45,0)</f>
        <v>15000</v>
      </c>
      <c r="K33" s="36"/>
      <c r="L33" s="36"/>
      <c r="M33" s="36"/>
      <c r="N33" s="36"/>
      <c r="O33" s="36">
        <f>VLOOKUP($A33,[18]HISTOOCT23!$A$6:$AU$36,7,0)</f>
        <v>0</v>
      </c>
      <c r="P33" s="36">
        <f>VLOOKUP($A33,[18]HISTOOCT23!$A$6:$AU$36,23,0)</f>
        <v>0</v>
      </c>
      <c r="Q33" s="36">
        <f>VLOOKUP($A33,[18]HISTOOCT23!$A$6:$AU$36,46,0)</f>
        <v>0</v>
      </c>
      <c r="R33" s="36">
        <f>VLOOKUP($A33,[18]HISTOOCT23!$A$6:$AU$36,26,0)</f>
        <v>0</v>
      </c>
      <c r="S33" s="36">
        <f>VLOOKUP($A33,[18]HISTOOCT23!$A$6:$BG$36,58,0)</f>
        <v>0</v>
      </c>
      <c r="T33" s="36">
        <f>VLOOKUP($A33,[18]HISTOOCT23!$A$6:$AU$36,28,0)</f>
        <v>0</v>
      </c>
      <c r="U33" s="36">
        <f>VLOOKUP($A33,[18]HISTOOCT23!$A$6:$AU$36,19,0)</f>
        <v>0</v>
      </c>
      <c r="V33" s="36">
        <f>VLOOKUP($A33,[18]HISTOOCT23!$A$6:$AU$36,20,0)</f>
        <v>0</v>
      </c>
      <c r="W33" s="36">
        <f>VLOOKUP($A33,[18]HISTOOCT23!$A$6:$AU$36,27,0)</f>
        <v>0</v>
      </c>
      <c r="X33" s="36">
        <f>VLOOKUP($A33,[18]HISTOOCT23!$A$6:$BM$36,33,0)</f>
        <v>0</v>
      </c>
      <c r="Y33" s="36">
        <f>VLOOKUP($A33,[18]HISTOOCT23!$A$6:$BM$36,65,0)</f>
        <v>0</v>
      </c>
      <c r="Z33" s="36"/>
      <c r="AA33" s="36">
        <f>VLOOKUP($A33,[18]HISTOOCT23!$A$6:$AU$36,43,0)</f>
        <v>0</v>
      </c>
      <c r="AB33" s="36">
        <f>VLOOKUP($A33,[18]HISTOOCT23!$A$6:$AU$36,44,0)</f>
        <v>0</v>
      </c>
      <c r="AC33" s="36">
        <f>VLOOKUP($A33,[18]HISTOOCT23!$A$6:$AU$36,47,0)</f>
        <v>0</v>
      </c>
      <c r="AD33" s="36">
        <f>VLOOKUP(A33,[18]HISTOOCT23!$A$6:$BB$36,54,0)</f>
        <v>0</v>
      </c>
      <c r="AE33" s="36">
        <f>VLOOKUP($A33,[18]HISTOOCT23!$A$6:$CA$36,60,0)</f>
        <v>0</v>
      </c>
      <c r="AF33" s="36">
        <f>VLOOKUP($A33,[18]HISTOOCT23!$A$6:$CA$36,61,0)</f>
        <v>0</v>
      </c>
      <c r="AG33" s="36">
        <f>VLOOKUP($A33,[18]HISTOOCT23!$A$6:$CA$36,62,0)</f>
        <v>0</v>
      </c>
      <c r="AH33" s="36">
        <f>VLOOKUP($A33,[18]HISTOOCT23!$A$6:$CA$36,63,0)</f>
        <v>0</v>
      </c>
      <c r="AI33" s="36">
        <f>VLOOKUP($A33,[18]HISTOOCT23!$A$6:$CA$36,64,0)</f>
        <v>0</v>
      </c>
      <c r="AJ33" s="36">
        <f>VLOOKUP($A33,[18]HISTOOCT23!$A$6:$CA$36,65,0)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VLOOKUP($A34,[18]HISTOOCT23!$A$6:$BA$36,48,0)</f>
        <v>0</v>
      </c>
      <c r="F34" s="5">
        <f>MVTSEPT23!F34+MVTSEPT23!G34-MVTOCT23!E34+K34</f>
        <v>689500</v>
      </c>
      <c r="G34" s="6">
        <v>524.13813217056111</v>
      </c>
      <c r="H34" s="6">
        <f t="shared" si="0"/>
        <v>690024.13813217054</v>
      </c>
      <c r="I34" s="36">
        <f>VLOOKUP($A34,[18]HISTOOCT23!$A$6:$AQ$40,22,0)</f>
        <v>0</v>
      </c>
      <c r="J34" s="36">
        <f>VLOOKUP($A34,[18]HISTOOCT23!$A$6:$AU$36,45,0)</f>
        <v>282500</v>
      </c>
      <c r="K34" s="36">
        <f t="shared" si="1"/>
        <v>276500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VLOOKUP($A34,[18]HISTOOCT23!$A$6:$AU$36,7,0)</f>
        <v>0</v>
      </c>
      <c r="P34" s="36">
        <f>VLOOKUP($A34,[18]HISTOOCT23!$A$6:$AU$36,23,0)</f>
        <v>0</v>
      </c>
      <c r="Q34" s="36">
        <f>VLOOKUP($A34,[18]HISTOOCT23!$A$6:$AU$36,46,0)</f>
        <v>0</v>
      </c>
      <c r="R34" s="36">
        <f>VLOOKUP($A34,[18]HISTOOCT23!$A$6:$AU$36,26,0)</f>
        <v>0</v>
      </c>
      <c r="S34" s="36">
        <f>VLOOKUP($A34,[18]HISTOOCT23!$A$6:$BG$36,58,0)</f>
        <v>0</v>
      </c>
      <c r="T34" s="36">
        <f>VLOOKUP($A34,[18]HISTOOCT23!$A$6:$AU$36,28,0)</f>
        <v>0</v>
      </c>
      <c r="U34" s="36">
        <f>VLOOKUP($A34,[18]HISTOOCT23!$A$6:$AU$36,19,0)</f>
        <v>0</v>
      </c>
      <c r="V34" s="36">
        <f>VLOOKUP($A34,[18]HISTOOCT23!$A$6:$AU$36,20,0)</f>
        <v>0</v>
      </c>
      <c r="W34" s="36">
        <f>VLOOKUP($A34,[18]HISTOOCT23!$A$6:$AU$36,27,0)</f>
        <v>0</v>
      </c>
      <c r="X34" s="36">
        <f>VLOOKUP($A34,[18]HISTOOCT23!$A$6:$BM$36,33,0)</f>
        <v>0</v>
      </c>
      <c r="Y34" s="36">
        <f>VLOOKUP($A34,[18]HISTOOCT23!$A$6:$BM$36,65,0)</f>
        <v>0</v>
      </c>
      <c r="Z34" s="36"/>
      <c r="AA34" s="36">
        <f>VLOOKUP($A34,[18]HISTOOCT23!$A$6:$AU$36,43,0)</f>
        <v>0</v>
      </c>
      <c r="AB34" s="36">
        <f>VLOOKUP($A34,[18]HISTOOCT23!$A$6:$AU$36,44,0)</f>
        <v>0</v>
      </c>
      <c r="AC34" s="36">
        <f>VLOOKUP($A34,[18]HISTOOCT23!$A$6:$AU$36,47,0)</f>
        <v>0</v>
      </c>
      <c r="AD34" s="36">
        <f>VLOOKUP(A34,[18]HISTOOCT23!$A$6:$BB$36,54,0)</f>
        <v>70000</v>
      </c>
      <c r="AE34" s="36">
        <f>VLOOKUP($A34,[18]HISTOOCT23!$A$6:$CA$36,60,0)</f>
        <v>0</v>
      </c>
      <c r="AF34" s="36">
        <f>VLOOKUP($A34,[18]HISTOOCT23!$A$6:$CA$36,61,0)</f>
        <v>0</v>
      </c>
      <c r="AG34" s="36">
        <f>VLOOKUP($A34,[18]HISTOOCT23!$A$6:$CA$36,62,0)</f>
        <v>0</v>
      </c>
      <c r="AH34" s="36">
        <f>VLOOKUP($A34,[18]HISTOOCT23!$A$6:$CA$36,63,0)</f>
        <v>0</v>
      </c>
      <c r="AI34" s="36">
        <f>VLOOKUP($A34,[18]HISTOOCT23!$A$6:$CA$36,64,0)</f>
        <v>0</v>
      </c>
      <c r="AJ34" s="36">
        <f>VLOOKUP($A34,[18]HISTOOCT23!$A$6:$CA$36,65,0)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VLOOKUP($A35,[18]HISTOOCT23!$A$6:$BA$36,48,0)</f>
        <v>0</v>
      </c>
      <c r="F35" s="5">
        <f>MVTSEPT23!F35+MVTSEPT23!G35-MVTOCT23!E35+K35</f>
        <v>1727014.4431329297</v>
      </c>
      <c r="G35" s="6">
        <v>1312.826866505113</v>
      </c>
      <c r="H35" s="6">
        <f t="shared" si="0"/>
        <v>1728327.2699994349</v>
      </c>
      <c r="I35" s="36">
        <f>VLOOKUP($A35,[18]HISTOOCT23!$A$6:$AQ$40,22,0)</f>
        <v>0</v>
      </c>
      <c r="J35" s="36">
        <f>VLOOKUP($A35,[18]HISTOOCT23!$A$6:$AU$36,45,0)</f>
        <v>15000</v>
      </c>
      <c r="K35" s="36">
        <f t="shared" si="1"/>
        <v>9000</v>
      </c>
      <c r="L35" s="36">
        <f t="shared" si="3"/>
        <v>1000</v>
      </c>
      <c r="M35" s="36">
        <f t="shared" si="2"/>
        <v>1000</v>
      </c>
      <c r="N35" s="36">
        <f t="shared" si="4"/>
        <v>4000</v>
      </c>
      <c r="O35" s="36">
        <f>VLOOKUP($A35,[18]HISTOOCT23!$A$6:$AU$36,7,0)</f>
        <v>0</v>
      </c>
      <c r="P35" s="36">
        <f>VLOOKUP($A35,[18]HISTOOCT23!$A$6:$AU$36,23,0)</f>
        <v>0</v>
      </c>
      <c r="Q35" s="36">
        <f>VLOOKUP($A35,[18]HISTOOCT23!$A$6:$AU$36,46,0)</f>
        <v>0</v>
      </c>
      <c r="R35" s="36">
        <f>VLOOKUP($A35,[18]HISTOOCT23!$A$6:$AU$36,26,0)</f>
        <v>0</v>
      </c>
      <c r="S35" s="36">
        <f>VLOOKUP($A35,[18]HISTOOCT23!$A$6:$BG$36,58,0)</f>
        <v>0</v>
      </c>
      <c r="T35" s="36">
        <f>VLOOKUP($A35,[18]HISTOOCT23!$A$6:$AU$36,28,0)</f>
        <v>0</v>
      </c>
      <c r="U35" s="36">
        <f>VLOOKUP($A35,[18]HISTOOCT23!$A$6:$AU$36,19,0)</f>
        <v>0</v>
      </c>
      <c r="V35" s="36">
        <f>VLOOKUP($A35,[18]HISTOOCT23!$A$6:$AU$36,20,0)</f>
        <v>0</v>
      </c>
      <c r="W35" s="36">
        <f>VLOOKUP($A35,[18]HISTOOCT23!$A$6:$AU$36,27,0)</f>
        <v>0</v>
      </c>
      <c r="X35" s="36">
        <f>VLOOKUP($A35,[18]HISTOOCT23!$A$6:$BM$36,33,0)</f>
        <v>0</v>
      </c>
      <c r="Y35" s="36">
        <f>VLOOKUP($A35,[18]HISTOOCT23!$A$6:$BM$36,65,0)</f>
        <v>0</v>
      </c>
      <c r="Z35" s="36"/>
      <c r="AA35" s="36">
        <f>VLOOKUP($A35,[18]HISTOOCT23!$A$6:$AU$36,43,0)</f>
        <v>0</v>
      </c>
      <c r="AB35" s="36">
        <f>VLOOKUP($A35,[18]HISTOOCT23!$A$6:$AU$36,44,0)</f>
        <v>0</v>
      </c>
      <c r="AC35" s="36">
        <f>VLOOKUP($A35,[18]HISTOOCT23!$A$6:$AU$36,47,0)</f>
        <v>0</v>
      </c>
      <c r="AD35" s="36">
        <f>VLOOKUP(A35,[18]HISTOOCT23!$A$6:$BB$36,54,0)</f>
        <v>0</v>
      </c>
      <c r="AE35" s="36">
        <f>VLOOKUP($A35,[18]HISTOOCT23!$A$6:$CA$36,60,0)</f>
        <v>0</v>
      </c>
      <c r="AF35" s="36">
        <f>VLOOKUP($A35,[18]HISTOOCT23!$A$6:$CA$36,61,0)</f>
        <v>0</v>
      </c>
      <c r="AG35" s="36">
        <f>VLOOKUP($A35,[18]HISTOOCT23!$A$6:$CA$36,62,0)</f>
        <v>0</v>
      </c>
      <c r="AH35" s="36">
        <f>VLOOKUP($A35,[18]HISTOOCT23!$A$6:$CA$36,63,0)</f>
        <v>0</v>
      </c>
      <c r="AI35" s="36">
        <f>VLOOKUP($A35,[18]HISTOOCT23!$A$6:$CA$36,64,0)</f>
        <v>0</v>
      </c>
      <c r="AJ35" s="36">
        <f>VLOOKUP($A35,[18]HISTOOCT23!$A$6:$CA$36,65,0)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VLOOKUP($A36,[18]HISTOOCT23!$A$6:$BA$36,48,0)</f>
        <v>0</v>
      </c>
      <c r="F36" s="5">
        <f>MVTSEPT23!F36+MVTSEPT23!G36-MVTOCT23!E36+K36</f>
        <v>1889398.9386330307</v>
      </c>
      <c r="G36" s="6">
        <v>1436.2669044527299</v>
      </c>
      <c r="H36" s="6">
        <f t="shared" si="0"/>
        <v>1890835.2055374836</v>
      </c>
      <c r="I36" s="36">
        <f>VLOOKUP($A36,[18]HISTOOCT23!$A$6:$AQ$40,22,0)</f>
        <v>0</v>
      </c>
      <c r="J36" s="36">
        <f>VLOOKUP($A36,[18]HISTOOCT23!$A$6:$AU$36,45,0)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VLOOKUP($A36,[18]HISTOOCT23!$A$6:$AU$36,7,0)</f>
        <v>0</v>
      </c>
      <c r="P36" s="36">
        <f>VLOOKUP($A36,[18]HISTOOCT23!$A$6:$AU$36,23,0)</f>
        <v>0</v>
      </c>
      <c r="Q36" s="36">
        <f>VLOOKUP($A36,[18]HISTOOCT23!$A$6:$AU$36,46,0)</f>
        <v>0</v>
      </c>
      <c r="R36" s="36">
        <f>VLOOKUP($A36,[18]HISTOOCT23!$A$6:$AU$36,26,0)</f>
        <v>0</v>
      </c>
      <c r="S36" s="36">
        <f>VLOOKUP($A36,[18]HISTOOCT23!$A$6:$BG$36,58,0)</f>
        <v>0</v>
      </c>
      <c r="T36" s="36">
        <f>VLOOKUP($A36,[18]HISTOOCT23!$A$6:$AU$36,28,0)</f>
        <v>0</v>
      </c>
      <c r="U36" s="36">
        <f>VLOOKUP($A36,[18]HISTOOCT23!$A$6:$AU$36,19,0)</f>
        <v>590000</v>
      </c>
      <c r="V36" s="36" t="str">
        <f>VLOOKUP($A36,[18]HISTOOCT23!$A$6:$AU$36,20,0)</f>
        <v>BANQUE</v>
      </c>
      <c r="W36" s="36">
        <f>VLOOKUP($A36,[18]HISTOOCT23!$A$6:$AU$36,27,0)</f>
        <v>0</v>
      </c>
      <c r="X36" s="36">
        <f>VLOOKUP($A36,[18]HISTOOCT23!$A$6:$BM$36,33,0)</f>
        <v>0</v>
      </c>
      <c r="Y36" s="36">
        <f>VLOOKUP($A36,[18]HISTOOCT23!$A$6:$BM$36,65,0)</f>
        <v>0</v>
      </c>
      <c r="Z36" s="36"/>
      <c r="AA36" s="36">
        <f>VLOOKUP($A36,[18]HISTOOCT23!$A$6:$AU$36,43,0)</f>
        <v>0</v>
      </c>
      <c r="AB36" s="36">
        <f>VLOOKUP($A36,[18]HISTOOCT23!$A$6:$AU$36,44,0)</f>
        <v>0</v>
      </c>
      <c r="AC36" s="36">
        <f>VLOOKUP($A36,[18]HISTOOCT23!$A$6:$AU$36,47,0)</f>
        <v>0</v>
      </c>
      <c r="AD36" s="36">
        <f>VLOOKUP(A36,[18]HISTOOCT23!$A$6:$BB$36,54,0)</f>
        <v>0</v>
      </c>
      <c r="AE36" s="36">
        <f>VLOOKUP($A36,[18]HISTOOCT23!$A$6:$CA$36,60,0)</f>
        <v>0</v>
      </c>
      <c r="AF36" s="36">
        <f>VLOOKUP($A36,[18]HISTOOCT23!$A$6:$CA$36,61,0)</f>
        <v>0</v>
      </c>
      <c r="AG36" s="36">
        <f>VLOOKUP($A36,[18]HISTOOCT23!$A$6:$CA$36,62,0)</f>
        <v>0</v>
      </c>
      <c r="AH36" s="36">
        <f>VLOOKUP($A36,[18]HISTOOCT23!$A$6:$CA$36,63,0)</f>
        <v>0</v>
      </c>
      <c r="AI36" s="36">
        <f>VLOOKUP($A36,[18]HISTOOCT23!$A$6:$CA$36,64,0)</f>
        <v>0</v>
      </c>
      <c r="AJ36" s="36">
        <f>VLOOKUP($A36,[18]HISTOOCT23!$A$6:$CA$36,65,0)</f>
        <v>0</v>
      </c>
    </row>
    <row r="37" spans="1:36" x14ac:dyDescent="0.25">
      <c r="A37" s="1" t="s">
        <v>27</v>
      </c>
      <c r="B37" s="1" t="s">
        <v>335</v>
      </c>
      <c r="C37" s="1"/>
      <c r="D37" s="1"/>
      <c r="E37" s="1"/>
      <c r="F37" s="5">
        <f>MVTSEPT23!F37+MVTSEPT23!G37-MVTOCT23!E37+K37</f>
        <v>153468</v>
      </c>
      <c r="G37" s="6">
        <v>0</v>
      </c>
      <c r="H37" s="6">
        <f t="shared" si="0"/>
        <v>153468</v>
      </c>
      <c r="I37" s="6"/>
      <c r="J37" s="6"/>
      <c r="K37" s="3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26790826.324737497</v>
      </c>
      <c r="G40" s="9">
        <f t="shared" si="5"/>
        <v>19999.999999999993</v>
      </c>
      <c r="H40" s="9">
        <f t="shared" si="5"/>
        <v>26810826.324737493</v>
      </c>
      <c r="I40" s="9">
        <f t="shared" si="5"/>
        <v>0</v>
      </c>
      <c r="J40" s="9">
        <f t="shared" si="5"/>
        <v>785500</v>
      </c>
      <c r="K40" s="9">
        <f t="shared" si="5"/>
        <v>596500</v>
      </c>
      <c r="L40" s="9">
        <f t="shared" si="5"/>
        <v>29000</v>
      </c>
      <c r="M40" s="9">
        <f t="shared" si="5"/>
        <v>29000</v>
      </c>
      <c r="N40" s="9">
        <f t="shared" si="5"/>
        <v>116000</v>
      </c>
      <c r="O40" s="9">
        <f t="shared" si="5"/>
        <v>0</v>
      </c>
      <c r="P40" s="9">
        <f t="shared" si="5"/>
        <v>0</v>
      </c>
      <c r="Q40" s="9">
        <f t="shared" si="5"/>
        <v>0</v>
      </c>
      <c r="R40" s="9">
        <f t="shared" si="5"/>
        <v>1500000</v>
      </c>
      <c r="S40" s="9">
        <f t="shared" si="5"/>
        <v>20000</v>
      </c>
      <c r="T40" s="9">
        <f t="shared" si="5"/>
        <v>0</v>
      </c>
      <c r="U40" s="9">
        <f t="shared" si="5"/>
        <v>740000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140000</v>
      </c>
      <c r="AE40" s="9">
        <f t="shared" si="5"/>
        <v>13500</v>
      </c>
      <c r="AF40" s="9">
        <f t="shared" si="5"/>
        <v>600000</v>
      </c>
      <c r="AG40" s="9">
        <f t="shared" si="5"/>
        <v>0</v>
      </c>
      <c r="AH40" s="9">
        <f t="shared" si="5"/>
        <v>100000</v>
      </c>
      <c r="AI40" s="9">
        <f t="shared" si="5"/>
        <v>0</v>
      </c>
      <c r="AJ40" s="9">
        <f t="shared" si="5"/>
        <v>0</v>
      </c>
    </row>
    <row r="43" spans="1:36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C6" activePane="bottomRight" state="frozen"/>
      <selection activeCell="J4" sqref="J4:O4"/>
      <selection pane="topRight" activeCell="J4" sqref="J4:O4"/>
      <selection pane="bottomLeft" activeCell="J4" sqref="J4:O4"/>
      <selection pane="bottomRight" activeCell="G7" sqref="G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4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45247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MVTOCT23!F6+MVTOCT23!G6-MVTNOV23!E6+K6</f>
        <v>886523.25892224174</v>
      </c>
      <c r="G6" s="6">
        <v>0</v>
      </c>
      <c r="H6" s="6">
        <f>F6+G6</f>
        <v>886523.25892224174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VLOOKUP($A6,[18]HISTONOV23!$A$6:$CA$36,60,0)</f>
        <v>6000</v>
      </c>
      <c r="AF6" s="36">
        <f>VLOOKUP($A6,[18]HISTONOV23!$A$6:$CA$36,61,0)</f>
        <v>0</v>
      </c>
      <c r="AG6" s="36">
        <f>VLOOKUP($A6,[18]HISTONOV23!$A$6:$CA$36,62,0)</f>
        <v>0</v>
      </c>
      <c r="AH6" s="36">
        <f>VLOOKUP($A6,[18]HISTONOV23!$A$6:$CA$36,63,0)</f>
        <v>110000</v>
      </c>
      <c r="AI6" s="36">
        <f>VLOOKUP($A6,[18]HISTONOV23!$A$6:$CA$36,64,0)</f>
        <v>0</v>
      </c>
      <c r="AJ6" s="36">
        <f>VLOOKUP($A6,[18]HISTONOV23!$A$6:$CA$36,65,0)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VLOOKUP($A7,[18]HISTONOV23!$A$6:$BA$36,48,0)</f>
        <v>0</v>
      </c>
      <c r="F7" s="5">
        <f>MVTOCT23!F7+MVTOCT23!G7-MVTNOV23!E7+K7</f>
        <v>709482.49636100209</v>
      </c>
      <c r="G7" s="6">
        <v>0</v>
      </c>
      <c r="H7" s="6">
        <f t="shared" ref="H7:H37" si="0">F7+G7</f>
        <v>709482.49636100209</v>
      </c>
      <c r="I7" s="36">
        <f>VLOOKUP($A7,[18]HISTONOV23!$A$6:$AQ$40,22,0)</f>
        <v>0</v>
      </c>
      <c r="J7" s="36">
        <f>VLOOKUP($A7,[18]HISTONOV23!$A$6:$AU$36,45,0)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VLOOKUP($A7,[18]HISTONOV23!$A$6:$AU$36,7,0)</f>
        <v>0</v>
      </c>
      <c r="P7" s="36">
        <f>VLOOKUP($A7,[18]HISTONOV23!$A$6:$AU$36,23,0)</f>
        <v>0</v>
      </c>
      <c r="Q7" s="36">
        <f>VLOOKUP($A7,[18]HISTONOV23!$A$6:$AU$36,46,0)</f>
        <v>0</v>
      </c>
      <c r="R7" s="36">
        <f>VLOOKUP($A7,[18]HISTONOV23!$A$6:$AU$36,26,0)</f>
        <v>0</v>
      </c>
      <c r="S7" s="36">
        <f>VLOOKUP($A7,[18]HISTONOV23!$A$6:$BG$36,58,0)</f>
        <v>0</v>
      </c>
      <c r="T7" s="36">
        <f>VLOOKUP($A7,[18]HISTONOV23!$A$6:$AU$36,28,0)</f>
        <v>0</v>
      </c>
      <c r="U7" s="36">
        <f>VLOOKUP($A7,[18]HISTONOV23!$A$6:$AU$36,19,0)</f>
        <v>0</v>
      </c>
      <c r="V7" s="36">
        <f>VLOOKUP($A7,[18]HISTONOV23!$A$6:$AU$36,20,0)</f>
        <v>0</v>
      </c>
      <c r="W7" s="36">
        <f>VLOOKUP($A7,[18]HISTONOV23!$A$6:$AU$36,27,0)</f>
        <v>0</v>
      </c>
      <c r="X7" s="36">
        <f>VLOOKUP($A7,[18]HISTONOV23!$A$6:$BM$36,33,0)</f>
        <v>0</v>
      </c>
      <c r="Y7" s="36">
        <f>VLOOKUP($A7,[18]HISTONOV23!$A$6:$BM$36,65,0)</f>
        <v>0</v>
      </c>
      <c r="Z7" s="36"/>
      <c r="AA7" s="36">
        <f>VLOOKUP($A7,[18]HISTONOV23!$A$6:$AU$36,43,0)</f>
        <v>0</v>
      </c>
      <c r="AB7" s="36">
        <f>VLOOKUP($A7,[18]HISTONOV23!$A$6:$AU$36,44,0)</f>
        <v>0</v>
      </c>
      <c r="AC7" s="36">
        <f>VLOOKUP($A7,[18]HISTONOV23!$A$6:$AU$36,47,0)</f>
        <v>0</v>
      </c>
      <c r="AD7" s="36">
        <f>VLOOKUP(A7,[18]HISTONOV23!$A$6:$BB$36,54,0)</f>
        <v>0</v>
      </c>
      <c r="AE7" s="36">
        <f>VLOOKUP($A7,[18]HISTONOV23!$A$6:$CA$36,60,0)</f>
        <v>0</v>
      </c>
      <c r="AF7" s="36">
        <f>VLOOKUP($A7,[18]HISTONOV23!$A$6:$CA$36,61,0)</f>
        <v>0</v>
      </c>
      <c r="AG7" s="36">
        <f>VLOOKUP($A7,[18]HISTONOV23!$A$6:$CA$36,62,0)</f>
        <v>0</v>
      </c>
      <c r="AH7" s="36">
        <f>VLOOKUP($A7,[18]HISTONOV23!$A$6:$CA$36,63,0)</f>
        <v>0</v>
      </c>
      <c r="AI7" s="36">
        <f>VLOOKUP($A7,[18]HISTONOV23!$A$6:$CA$36,64,0)</f>
        <v>0</v>
      </c>
      <c r="AJ7" s="36">
        <f>VLOOKUP($A7,[18]HISTONOV23!$A$6:$CA$36,65,0)</f>
        <v>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VLOOKUP($A8,[18]HISTONOV23!$A$6:$BA$36,48,0)</f>
        <v>0</v>
      </c>
      <c r="F8" s="5">
        <f>MVTOCT23!F8+MVTOCT23!G8-MVTNOV23!E8+K8</f>
        <v>759032.78740215104</v>
      </c>
      <c r="G8" s="6">
        <v>0</v>
      </c>
      <c r="H8" s="6">
        <f t="shared" si="0"/>
        <v>759032.78740215104</v>
      </c>
      <c r="I8" s="36">
        <f>VLOOKUP($A8,[18]HISTONOV23!$A$6:$AQ$40,22,0)</f>
        <v>0</v>
      </c>
      <c r="J8" s="36">
        <f>VLOOKUP($A8,[18]HISTONOV23!$A$6:$AU$36,45,0)</f>
        <v>15000</v>
      </c>
      <c r="K8" s="36">
        <f t="shared" si="1"/>
        <v>9000</v>
      </c>
      <c r="L8" s="36">
        <f t="shared" ref="L8:L10" si="3">IF(J8=0,0,1000)</f>
        <v>1000</v>
      </c>
      <c r="M8" s="36">
        <f t="shared" si="2"/>
        <v>1000</v>
      </c>
      <c r="N8" s="36">
        <f t="shared" ref="N8:N9" si="4">IF(J8=0,0,4000)</f>
        <v>4000</v>
      </c>
      <c r="O8" s="36">
        <f>VLOOKUP($A8,[18]HISTONOV23!$A$6:$AU$36,7,0)</f>
        <v>0</v>
      </c>
      <c r="P8" s="36">
        <f>VLOOKUP($A8,[18]HISTONOV23!$A$6:$AU$36,23,0)</f>
        <v>0</v>
      </c>
      <c r="Q8" s="36">
        <f>VLOOKUP($A8,[18]HISTONOV23!$A$6:$AU$36,46,0)</f>
        <v>0</v>
      </c>
      <c r="R8" s="36">
        <f>VLOOKUP($A8,[18]HISTONOV23!$A$6:$AU$36,26,0)</f>
        <v>0</v>
      </c>
      <c r="S8" s="36">
        <f>VLOOKUP($A8,[18]HISTONOV23!$A$6:$BG$36,58,0)</f>
        <v>0</v>
      </c>
      <c r="T8" s="36">
        <f>VLOOKUP($A8,[18]HISTONOV23!$A$6:$AU$36,28,0)</f>
        <v>0</v>
      </c>
      <c r="U8" s="36">
        <f>VLOOKUP($A8,[18]HISTONOV23!$A$6:$AU$36,19,0)</f>
        <v>0</v>
      </c>
      <c r="V8" s="36">
        <f>VLOOKUP($A8,[18]HISTONOV23!$A$6:$AU$36,20,0)</f>
        <v>0</v>
      </c>
      <c r="W8" s="36">
        <f>VLOOKUP($A8,[18]HISTONOV23!$A$6:$AU$36,27,0)</f>
        <v>0</v>
      </c>
      <c r="X8" s="36">
        <f>VLOOKUP($A8,[18]HISTONOV23!$A$6:$BM$36,33,0)</f>
        <v>0</v>
      </c>
      <c r="Y8" s="36">
        <f>VLOOKUP($A8,[18]HISTONOV23!$A$6:$BM$36,65,0)</f>
        <v>0</v>
      </c>
      <c r="Z8" s="36"/>
      <c r="AA8" s="36">
        <f>VLOOKUP($A8,[18]HISTONOV23!$A$6:$AU$36,43,0)</f>
        <v>0</v>
      </c>
      <c r="AB8" s="36">
        <f>VLOOKUP($A8,[18]HISTONOV23!$A$6:$AU$36,44,0)</f>
        <v>0</v>
      </c>
      <c r="AC8" s="36">
        <f>VLOOKUP($A8,[18]HISTONOV23!$A$6:$AU$36,47,0)</f>
        <v>0</v>
      </c>
      <c r="AD8" s="36">
        <f>VLOOKUP(A8,[18]HISTONOV23!$A$6:$BB$36,54,0)</f>
        <v>0</v>
      </c>
      <c r="AE8" s="36">
        <f>VLOOKUP($A8,[18]HISTONOV23!$A$6:$CA$36,60,0)</f>
        <v>0</v>
      </c>
      <c r="AF8" s="36">
        <f>VLOOKUP($A8,[18]HISTONOV23!$A$6:$CA$36,61,0)</f>
        <v>0</v>
      </c>
      <c r="AG8" s="36">
        <f>VLOOKUP($A8,[18]HISTONOV23!$A$6:$CA$36,62,0)</f>
        <v>0</v>
      </c>
      <c r="AH8" s="36">
        <f>VLOOKUP($A8,[18]HISTONOV23!$A$6:$CA$36,63,0)</f>
        <v>0</v>
      </c>
      <c r="AI8" s="36">
        <f>VLOOKUP($A8,[18]HISTONOV23!$A$6:$CA$36,64,0)</f>
        <v>0</v>
      </c>
      <c r="AJ8" s="36">
        <f>VLOOKUP($A8,[18]HISTONOV23!$A$6:$CA$36,65,0)</f>
        <v>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VLOOKUP($A9,[18]HISTONOV23!$A$6:$BA$36,48,0)</f>
        <v>0</v>
      </c>
      <c r="F9" s="5">
        <f>MVTOCT23!F9+MVTOCT23!G9-MVTNOV23!E9+K9</f>
        <v>793357.63320162182</v>
      </c>
      <c r="G9" s="6">
        <v>0</v>
      </c>
      <c r="H9" s="6">
        <f t="shared" si="0"/>
        <v>793357.63320162182</v>
      </c>
      <c r="I9" s="36">
        <f>VLOOKUP($A9,[18]HISTONOV23!$A$6:$AQ$40,22,0)</f>
        <v>0</v>
      </c>
      <c r="J9" s="36">
        <f>VLOOKUP($A9,[18]HISTONOV23!$A$6:$AU$36,45,0)</f>
        <v>15000</v>
      </c>
      <c r="K9" s="36">
        <f t="shared" si="1"/>
        <v>9000</v>
      </c>
      <c r="L9" s="36">
        <f t="shared" si="3"/>
        <v>1000</v>
      </c>
      <c r="M9" s="36">
        <f t="shared" si="2"/>
        <v>1000</v>
      </c>
      <c r="N9" s="36">
        <f t="shared" si="4"/>
        <v>4000</v>
      </c>
      <c r="O9" s="36">
        <f>VLOOKUP($A9,[18]HISTONOV23!$A$6:$AU$36,7,0)</f>
        <v>0</v>
      </c>
      <c r="P9" s="36">
        <f>VLOOKUP($A9,[18]HISTONOV23!$A$6:$AU$36,23,0)</f>
        <v>0</v>
      </c>
      <c r="Q9" s="36">
        <f>VLOOKUP($A9,[18]HISTONOV23!$A$6:$AU$36,46,0)</f>
        <v>0</v>
      </c>
      <c r="R9" s="36">
        <f>VLOOKUP($A9,[18]HISTONOV23!$A$6:$AU$36,26,0)</f>
        <v>0</v>
      </c>
      <c r="S9" s="36">
        <f>VLOOKUP($A9,[18]HISTONOV23!$A$6:$BG$36,58,0)</f>
        <v>0</v>
      </c>
      <c r="T9" s="36">
        <f>VLOOKUP($A9,[18]HISTONOV23!$A$6:$AU$36,28,0)</f>
        <v>0</v>
      </c>
      <c r="U9" s="36">
        <f>VLOOKUP($A9,[18]HISTONOV23!$A$6:$AU$36,19,0)</f>
        <v>0</v>
      </c>
      <c r="V9" s="36">
        <f>VLOOKUP($A9,[18]HISTONOV23!$A$6:$AU$36,20,0)</f>
        <v>0</v>
      </c>
      <c r="W9" s="36">
        <f>VLOOKUP($A9,[18]HISTONOV23!$A$6:$AU$36,27,0)</f>
        <v>0</v>
      </c>
      <c r="X9" s="36">
        <f>VLOOKUP($A9,[18]HISTONOV23!$A$6:$BM$36,33,0)</f>
        <v>0</v>
      </c>
      <c r="Y9" s="36">
        <f>VLOOKUP($A9,[18]HISTONOV23!$A$6:$BM$36,65,0)</f>
        <v>0</v>
      </c>
      <c r="Z9" s="36"/>
      <c r="AA9" s="36">
        <f>VLOOKUP($A9,[18]HISTONOV23!$A$6:$AU$36,43,0)</f>
        <v>0</v>
      </c>
      <c r="AB9" s="36">
        <f>VLOOKUP($A9,[18]HISTONOV23!$A$6:$AU$36,44,0)</f>
        <v>0</v>
      </c>
      <c r="AC9" s="36">
        <f>VLOOKUP($A9,[18]HISTONOV23!$A$6:$AU$36,47,0)</f>
        <v>0</v>
      </c>
      <c r="AD9" s="36">
        <f>VLOOKUP(A9,[18]HISTONOV23!$A$6:$BB$36,54,0)</f>
        <v>0</v>
      </c>
      <c r="AE9" s="36">
        <f>VLOOKUP($A9,[18]HISTONOV23!$A$6:$CA$36,60,0)</f>
        <v>0</v>
      </c>
      <c r="AF9" s="36">
        <f>VLOOKUP($A9,[18]HISTONOV23!$A$6:$CA$36,61,0)</f>
        <v>0</v>
      </c>
      <c r="AG9" s="36">
        <f>VLOOKUP($A9,[18]HISTONOV23!$A$6:$CA$36,62,0)</f>
        <v>0</v>
      </c>
      <c r="AH9" s="36">
        <f>VLOOKUP($A9,[18]HISTONOV23!$A$6:$CA$36,63,0)</f>
        <v>0</v>
      </c>
      <c r="AI9" s="36">
        <f>VLOOKUP($A9,[18]HISTONOV23!$A$6:$CA$36,64,0)</f>
        <v>0</v>
      </c>
      <c r="AJ9" s="36">
        <f>VLOOKUP($A9,[18]HISTONOV23!$A$6:$CA$36,65,0)</f>
        <v>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VLOOKUP($A10,[18]HISTONOV23!$A$6:$BA$36,48,0)</f>
        <v>0</v>
      </c>
      <c r="F10" s="5">
        <f>MVTOCT23!F10+MVTOCT23!G10-MVTNOV23!E10+K10</f>
        <v>802295.09176263143</v>
      </c>
      <c r="G10" s="6">
        <v>0</v>
      </c>
      <c r="H10" s="6">
        <f t="shared" si="0"/>
        <v>802295.09176263143</v>
      </c>
      <c r="I10" s="36">
        <f>VLOOKUP($A10,[18]HISTONOV23!$A$6:$AQ$40,22,0)</f>
        <v>0</v>
      </c>
      <c r="J10" s="36">
        <f>VLOOKUP($A10,[18]HISTONOV23!$A$6:$AU$36,45,0)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ref="N10:N36" si="5">IF(J10=0,0,4000)</f>
        <v>4000</v>
      </c>
      <c r="O10" s="36">
        <f>VLOOKUP($A10,[18]HISTONOV23!$A$6:$AU$36,7,0)</f>
        <v>0</v>
      </c>
      <c r="P10" s="36">
        <f>VLOOKUP($A10,[18]HISTONOV23!$A$6:$AU$36,23,0)</f>
        <v>0</v>
      </c>
      <c r="Q10" s="36">
        <f>VLOOKUP($A10,[18]HISTONOV23!$A$6:$AU$36,46,0)</f>
        <v>0</v>
      </c>
      <c r="R10" s="36">
        <f>VLOOKUP($A10,[18]HISTONOV23!$A$6:$AU$36,26,0)</f>
        <v>0</v>
      </c>
      <c r="S10" s="36">
        <f>VLOOKUP($A10,[18]HISTONOV23!$A$6:$BG$36,58,0)</f>
        <v>0</v>
      </c>
      <c r="T10" s="36">
        <f>VLOOKUP($A10,[18]HISTONOV23!$A$6:$AU$36,28,0)</f>
        <v>0</v>
      </c>
      <c r="U10" s="36">
        <f>VLOOKUP($A10,[18]HISTONOV23!$A$6:$AU$36,19,0)</f>
        <v>0</v>
      </c>
      <c r="V10" s="36">
        <f>VLOOKUP($A10,[18]HISTONOV23!$A$6:$AU$36,20,0)</f>
        <v>0</v>
      </c>
      <c r="W10" s="36">
        <f>VLOOKUP($A10,[18]HISTONOV23!$A$6:$AU$36,27,0)</f>
        <v>0</v>
      </c>
      <c r="X10" s="36">
        <f>VLOOKUP($A10,[18]HISTONOV23!$A$6:$BM$36,33,0)</f>
        <v>0</v>
      </c>
      <c r="Y10" s="36">
        <f>VLOOKUP($A10,[18]HISTONOV23!$A$6:$BM$36,65,0)</f>
        <v>0</v>
      </c>
      <c r="Z10" s="36"/>
      <c r="AA10" s="36">
        <f>VLOOKUP($A10,[18]HISTONOV23!$A$6:$AU$36,43,0)</f>
        <v>0</v>
      </c>
      <c r="AB10" s="36">
        <f>VLOOKUP($A10,[18]HISTONOV23!$A$6:$AU$36,44,0)</f>
        <v>0</v>
      </c>
      <c r="AC10" s="36">
        <f>VLOOKUP($A10,[18]HISTONOV23!$A$6:$AU$36,47,0)</f>
        <v>0</v>
      </c>
      <c r="AD10" s="36">
        <f>VLOOKUP(A10,[18]HISTONOV23!$A$6:$BB$36,54,0)</f>
        <v>0</v>
      </c>
      <c r="AE10" s="36">
        <f>VLOOKUP($A10,[18]HISTONOV23!$A$6:$CA$36,60,0)</f>
        <v>0</v>
      </c>
      <c r="AF10" s="36">
        <f>VLOOKUP($A10,[18]HISTONOV23!$A$6:$CA$36,61,0)</f>
        <v>0</v>
      </c>
      <c r="AG10" s="36">
        <f>VLOOKUP($A10,[18]HISTONOV23!$A$6:$CA$36,62,0)</f>
        <v>0</v>
      </c>
      <c r="AH10" s="36">
        <f>VLOOKUP($A10,[18]HISTONOV23!$A$6:$CA$36,63,0)</f>
        <v>0</v>
      </c>
      <c r="AI10" s="36">
        <f>VLOOKUP($A10,[18]HISTONOV23!$A$6:$CA$36,64,0)</f>
        <v>0</v>
      </c>
      <c r="AJ10" s="36">
        <f>VLOOKUP($A10,[18]HISTONOV23!$A$6:$CA$36,65,0)</f>
        <v>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VLOOKUP($A11,[18]HISTONOV23!$A$6:$BA$36,48,0)</f>
        <v>0</v>
      </c>
      <c r="F11" s="5">
        <f>MVTOCT23!F11+MVTOCT23!G11-MVTNOV23!E11+K11</f>
        <v>766196.8462093327</v>
      </c>
      <c r="G11" s="6">
        <v>0</v>
      </c>
      <c r="H11" s="6">
        <f t="shared" si="0"/>
        <v>766196.8462093327</v>
      </c>
      <c r="I11" s="36">
        <f>VLOOKUP($A11,[18]HISTONOV23!$A$6:$AQ$40,22,0)</f>
        <v>0</v>
      </c>
      <c r="J11" s="36">
        <f>VLOOKUP($A11,[18]HISTONOV23!$A$6:$AU$36,45,0)</f>
        <v>15000</v>
      </c>
      <c r="K11" s="36">
        <f t="shared" si="1"/>
        <v>9000</v>
      </c>
      <c r="L11" s="36">
        <f t="shared" ref="L11:L36" si="6">IF(J11=0,0,1000)</f>
        <v>1000</v>
      </c>
      <c r="M11" s="36">
        <f t="shared" si="2"/>
        <v>1000</v>
      </c>
      <c r="N11" s="36">
        <f t="shared" si="5"/>
        <v>4000</v>
      </c>
      <c r="O11" s="36">
        <f>VLOOKUP($A11,[18]HISTONOV23!$A$6:$AU$36,7,0)</f>
        <v>0</v>
      </c>
      <c r="P11" s="36">
        <f>VLOOKUP($A11,[18]HISTONOV23!$A$6:$AU$36,23,0)</f>
        <v>0</v>
      </c>
      <c r="Q11" s="36">
        <f>VLOOKUP($A11,[18]HISTONOV23!$A$6:$AU$36,46,0)</f>
        <v>0</v>
      </c>
      <c r="R11" s="36">
        <f>VLOOKUP($A11,[18]HISTONOV23!$A$6:$AU$36,26,0)</f>
        <v>0</v>
      </c>
      <c r="S11" s="36">
        <f>VLOOKUP($A11,[18]HISTONOV23!$A$6:$BG$36,58,0)</f>
        <v>0</v>
      </c>
      <c r="T11" s="36">
        <f>VLOOKUP($A11,[18]HISTONOV23!$A$6:$AU$36,28,0)</f>
        <v>0</v>
      </c>
      <c r="U11" s="36">
        <f>VLOOKUP($A11,[18]HISTONOV23!$A$6:$AU$36,19,0)</f>
        <v>0</v>
      </c>
      <c r="V11" s="36">
        <f>VLOOKUP($A11,[18]HISTONOV23!$A$6:$AU$36,20,0)</f>
        <v>0</v>
      </c>
      <c r="W11" s="36">
        <f>VLOOKUP($A11,[18]HISTONOV23!$A$6:$AU$36,27,0)</f>
        <v>0</v>
      </c>
      <c r="X11" s="36">
        <f>VLOOKUP($A11,[18]HISTONOV23!$A$6:$BM$36,33,0)</f>
        <v>0</v>
      </c>
      <c r="Y11" s="36">
        <f>VLOOKUP($A11,[18]HISTONOV23!$A$6:$BM$36,65,0)</f>
        <v>0</v>
      </c>
      <c r="Z11" s="36"/>
      <c r="AA11" s="36">
        <f>VLOOKUP($A11,[18]HISTONOV23!$A$6:$AU$36,43,0)</f>
        <v>0</v>
      </c>
      <c r="AB11" s="36">
        <f>VLOOKUP($A11,[18]HISTONOV23!$A$6:$AU$36,44,0)</f>
        <v>0</v>
      </c>
      <c r="AC11" s="36">
        <f>VLOOKUP($A11,[18]HISTONOV23!$A$6:$AU$36,47,0)</f>
        <v>0</v>
      </c>
      <c r="AD11" s="36">
        <f>VLOOKUP(A11,[18]HISTONOV23!$A$6:$BB$36,54,0)</f>
        <v>0</v>
      </c>
      <c r="AE11" s="36">
        <f>VLOOKUP($A11,[18]HISTONOV23!$A$6:$CA$36,60,0)</f>
        <v>0</v>
      </c>
      <c r="AF11" s="36">
        <f>VLOOKUP($A11,[18]HISTONOV23!$A$6:$CA$36,61,0)</f>
        <v>0</v>
      </c>
      <c r="AG11" s="36">
        <f>VLOOKUP($A11,[18]HISTONOV23!$A$6:$CA$36,62,0)</f>
        <v>0</v>
      </c>
      <c r="AH11" s="36">
        <f>VLOOKUP($A11,[18]HISTONOV23!$A$6:$CA$36,63,0)</f>
        <v>0</v>
      </c>
      <c r="AI11" s="36">
        <f>VLOOKUP($A11,[18]HISTONOV23!$A$6:$CA$36,64,0)</f>
        <v>0</v>
      </c>
      <c r="AJ11" s="36">
        <f>VLOOKUP($A11,[18]HISTONOV23!$A$6:$CA$36,65,0)</f>
        <v>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VLOOKUP($A12,[18]HISTONOV23!$A$6:$BA$36,48,0)</f>
        <v>0</v>
      </c>
      <c r="F12" s="5">
        <f>MVTOCT23!F12+MVTOCT23!G12-MVTNOV23!E12+K12</f>
        <v>960713.12765255687</v>
      </c>
      <c r="G12" s="6">
        <v>0</v>
      </c>
      <c r="H12" s="6">
        <f t="shared" si="0"/>
        <v>960713.12765255687</v>
      </c>
      <c r="I12" s="36">
        <f>VLOOKUP($A12,[18]HISTONOV23!$A$6:$AQ$40,22,0)</f>
        <v>0</v>
      </c>
      <c r="J12" s="36">
        <f>VLOOKUP($A12,[18]HISTONOV23!$A$6:$AU$36,45,0)</f>
        <v>20000</v>
      </c>
      <c r="K12" s="36">
        <f>IF(J12=0,0,J12-(L12+M12+N12))</f>
        <v>14000</v>
      </c>
      <c r="L12" s="36">
        <f t="shared" si="6"/>
        <v>1000</v>
      </c>
      <c r="M12" s="36">
        <f t="shared" si="2"/>
        <v>1000</v>
      </c>
      <c r="N12" s="36">
        <f t="shared" si="5"/>
        <v>4000</v>
      </c>
      <c r="O12" s="36">
        <f>VLOOKUP($A12,[18]HISTONOV23!$A$6:$AU$36,7,0)</f>
        <v>0</v>
      </c>
      <c r="P12" s="36">
        <f>VLOOKUP($A12,[18]HISTONOV23!$A$6:$AU$36,23,0)</f>
        <v>0</v>
      </c>
      <c r="Q12" s="36">
        <f>VLOOKUP($A12,[18]HISTONOV23!$A$6:$AU$36,46,0)</f>
        <v>0</v>
      </c>
      <c r="R12" s="36">
        <f>VLOOKUP($A12,[18]HISTONOV23!$A$6:$AU$36,26,0)</f>
        <v>0</v>
      </c>
      <c r="S12" s="36">
        <f>VLOOKUP($A12,[18]HISTONOV23!$A$6:$BG$36,58,0)</f>
        <v>0</v>
      </c>
      <c r="T12" s="36">
        <f>VLOOKUP($A12,[18]HISTONOV23!$A$6:$AU$36,28,0)</f>
        <v>0</v>
      </c>
      <c r="U12" s="36">
        <f>VLOOKUP($A12,[18]HISTONOV23!$A$6:$AU$36,19,0)</f>
        <v>0</v>
      </c>
      <c r="V12" s="36">
        <f>VLOOKUP($A12,[18]HISTONOV23!$A$6:$AU$36,20,0)</f>
        <v>0</v>
      </c>
      <c r="W12" s="36">
        <f>VLOOKUP($A12,[18]HISTONOV23!$A$6:$AU$36,27,0)</f>
        <v>0</v>
      </c>
      <c r="X12" s="36">
        <f>VLOOKUP($A12,[18]HISTONOV23!$A$6:$BM$36,33,0)</f>
        <v>0</v>
      </c>
      <c r="Y12" s="36">
        <f>VLOOKUP($A12,[18]HISTONOV23!$A$6:$BM$36,65,0)</f>
        <v>0</v>
      </c>
      <c r="Z12" s="36"/>
      <c r="AA12" s="36">
        <f>VLOOKUP($A12,[18]HISTONOV23!$A$6:$AU$36,43,0)</f>
        <v>0</v>
      </c>
      <c r="AB12" s="36">
        <f>VLOOKUP($A12,[18]HISTONOV23!$A$6:$AU$36,44,0)</f>
        <v>0</v>
      </c>
      <c r="AC12" s="36">
        <f>VLOOKUP($A12,[18]HISTONOV23!$A$6:$AU$36,47,0)</f>
        <v>0</v>
      </c>
      <c r="AD12" s="36">
        <f>VLOOKUP(A12,[18]HISTONOV23!$A$6:$BB$36,54,0)</f>
        <v>0</v>
      </c>
      <c r="AE12" s="36">
        <f>VLOOKUP($A12,[18]HISTONOV23!$A$6:$CA$36,60,0)</f>
        <v>0</v>
      </c>
      <c r="AF12" s="36">
        <f>VLOOKUP($A12,[18]HISTONOV23!$A$6:$CA$36,61,0)</f>
        <v>0</v>
      </c>
      <c r="AG12" s="36">
        <f>VLOOKUP($A12,[18]HISTONOV23!$A$6:$CA$36,62,0)</f>
        <v>0</v>
      </c>
      <c r="AH12" s="36">
        <f>VLOOKUP($A12,[18]HISTONOV23!$A$6:$CA$36,63,0)</f>
        <v>0</v>
      </c>
      <c r="AI12" s="36">
        <f>VLOOKUP($A12,[18]HISTONOV23!$A$6:$CA$36,64,0)</f>
        <v>0</v>
      </c>
      <c r="AJ12" s="36">
        <f>VLOOKUP($A12,[18]HISTONOV23!$A$6:$CA$36,65,0)</f>
        <v>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VLOOKUP($A13,[18]HISTONOV23!$A$6:$BA$36,48,0)</f>
        <v>0</v>
      </c>
      <c r="F13" s="5">
        <f>MVTOCT23!F13+MVTOCT23!G13-MVTNOV23!E13+K13</f>
        <v>752041.28180735058</v>
      </c>
      <c r="G13" s="6">
        <v>0</v>
      </c>
      <c r="H13" s="6">
        <f t="shared" si="0"/>
        <v>752041.28180735058</v>
      </c>
      <c r="I13" s="36">
        <f>VLOOKUP($A13,[18]HISTONOV23!$A$6:$AQ$40,22,0)</f>
        <v>0</v>
      </c>
      <c r="J13" s="36">
        <f>VLOOKUP($A13,[18]HISTONOV23!$A$6:$AU$36,45,0)</f>
        <v>15000</v>
      </c>
      <c r="K13" s="36">
        <f t="shared" si="1"/>
        <v>9000</v>
      </c>
      <c r="L13" s="36">
        <f t="shared" si="6"/>
        <v>1000</v>
      </c>
      <c r="M13" s="36">
        <f t="shared" si="2"/>
        <v>1000</v>
      </c>
      <c r="N13" s="36">
        <f t="shared" si="5"/>
        <v>4000</v>
      </c>
      <c r="O13" s="36">
        <f>VLOOKUP($A13,[18]HISTONOV23!$A$6:$AU$36,7,0)</f>
        <v>0</v>
      </c>
      <c r="P13" s="36">
        <f>VLOOKUP($A13,[18]HISTONOV23!$A$6:$AU$36,23,0)</f>
        <v>0</v>
      </c>
      <c r="Q13" s="36">
        <f>VLOOKUP($A13,[18]HISTONOV23!$A$6:$AU$36,46,0)</f>
        <v>0</v>
      </c>
      <c r="R13" s="36">
        <f>VLOOKUP($A13,[18]HISTONOV23!$A$6:$AU$36,26,0)</f>
        <v>0</v>
      </c>
      <c r="S13" s="36">
        <f>VLOOKUP($A13,[18]HISTONOV23!$A$6:$BG$36,58,0)</f>
        <v>0</v>
      </c>
      <c r="T13" s="36">
        <f>VLOOKUP($A13,[18]HISTONOV23!$A$6:$AU$36,28,0)</f>
        <v>0</v>
      </c>
      <c r="U13" s="36">
        <f>VLOOKUP($A13,[18]HISTONOV23!$A$6:$AU$36,19,0)</f>
        <v>0</v>
      </c>
      <c r="V13" s="36">
        <f>VLOOKUP($A13,[18]HISTONOV23!$A$6:$AU$36,20,0)</f>
        <v>0</v>
      </c>
      <c r="W13" s="36">
        <f>VLOOKUP($A13,[18]HISTONOV23!$A$6:$AU$36,27,0)</f>
        <v>0</v>
      </c>
      <c r="X13" s="36">
        <f>VLOOKUP($A13,[18]HISTONOV23!$A$6:$BM$36,33,0)</f>
        <v>0</v>
      </c>
      <c r="Y13" s="36">
        <f>VLOOKUP($A13,[18]HISTONOV23!$A$6:$BM$36,65,0)</f>
        <v>0</v>
      </c>
      <c r="Z13" s="36"/>
      <c r="AA13" s="36">
        <f>VLOOKUP($A13,[18]HISTONOV23!$A$6:$AU$36,43,0)</f>
        <v>0</v>
      </c>
      <c r="AB13" s="36">
        <f>VLOOKUP($A13,[18]HISTONOV23!$A$6:$AU$36,44,0)</f>
        <v>0</v>
      </c>
      <c r="AC13" s="36">
        <f>VLOOKUP($A13,[18]HISTONOV23!$A$6:$AU$36,47,0)</f>
        <v>0</v>
      </c>
      <c r="AD13" s="36">
        <f>VLOOKUP(A13,[18]HISTONOV23!$A$6:$BB$36,54,0)</f>
        <v>0</v>
      </c>
      <c r="AE13" s="36">
        <f>VLOOKUP($A13,[18]HISTONOV23!$A$6:$CA$36,60,0)</f>
        <v>0</v>
      </c>
      <c r="AF13" s="36">
        <f>VLOOKUP($A13,[18]HISTONOV23!$A$6:$CA$36,61,0)</f>
        <v>0</v>
      </c>
      <c r="AG13" s="36">
        <f>VLOOKUP($A13,[18]HISTONOV23!$A$6:$CA$36,62,0)</f>
        <v>0</v>
      </c>
      <c r="AH13" s="36">
        <f>VLOOKUP($A13,[18]HISTONOV23!$A$6:$CA$36,63,0)</f>
        <v>0</v>
      </c>
      <c r="AI13" s="36">
        <f>VLOOKUP($A13,[18]HISTONOV23!$A$6:$CA$36,64,0)</f>
        <v>0</v>
      </c>
      <c r="AJ13" s="36">
        <f>VLOOKUP($A13,[18]HISTONOV23!$A$6:$CA$36,65,0)</f>
        <v>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VLOOKUP($A14,[18]HISTONOV23!$A$6:$BA$36,48,0)</f>
        <v>0</v>
      </c>
      <c r="F14" s="5">
        <f>MVTOCT23!F14+MVTOCT23!G14-MVTNOV23!E14+K14</f>
        <v>1249031.4695693143</v>
      </c>
      <c r="G14" s="6">
        <v>0</v>
      </c>
      <c r="H14" s="6">
        <f t="shared" si="0"/>
        <v>1249031.4695693143</v>
      </c>
      <c r="I14" s="36">
        <f>VLOOKUP($A14,[18]HISTONOV23!$A$6:$AQ$40,22,0)</f>
        <v>0</v>
      </c>
      <c r="J14" s="36">
        <f>VLOOKUP($A14,[18]HISTONOV23!$A$6:$AU$36,45,0)</f>
        <v>15000</v>
      </c>
      <c r="K14" s="36">
        <f t="shared" si="1"/>
        <v>9000</v>
      </c>
      <c r="L14" s="36">
        <f t="shared" si="6"/>
        <v>1000</v>
      </c>
      <c r="M14" s="36">
        <f t="shared" si="2"/>
        <v>1000</v>
      </c>
      <c r="N14" s="36">
        <f t="shared" si="5"/>
        <v>4000</v>
      </c>
      <c r="O14" s="36">
        <f>VLOOKUP($A14,[18]HISTONOV23!$A$6:$AU$36,7,0)</f>
        <v>0</v>
      </c>
      <c r="P14" s="36">
        <f>VLOOKUP($A14,[18]HISTONOV23!$A$6:$AU$36,23,0)</f>
        <v>0</v>
      </c>
      <c r="Q14" s="36">
        <f>VLOOKUP($A14,[18]HISTONOV23!$A$6:$AU$36,46,0)</f>
        <v>0</v>
      </c>
      <c r="R14" s="36">
        <f>VLOOKUP($A14,[18]HISTONOV23!$A$6:$AU$36,26,0)</f>
        <v>0</v>
      </c>
      <c r="S14" s="36">
        <f>VLOOKUP($A14,[18]HISTONOV23!$A$6:$BG$36,58,0)</f>
        <v>0</v>
      </c>
      <c r="T14" s="36">
        <f>VLOOKUP($A14,[18]HISTONOV23!$A$6:$AU$36,28,0)</f>
        <v>0</v>
      </c>
      <c r="U14" s="36">
        <f>VLOOKUP($A14,[18]HISTONOV23!$A$6:$AU$36,19,0)</f>
        <v>0</v>
      </c>
      <c r="V14" s="36">
        <f>VLOOKUP($A14,[18]HISTONOV23!$A$6:$AU$36,20,0)</f>
        <v>0</v>
      </c>
      <c r="W14" s="36">
        <f>VLOOKUP($A14,[18]HISTONOV23!$A$6:$AU$36,27,0)</f>
        <v>0</v>
      </c>
      <c r="X14" s="36">
        <f>VLOOKUP($A14,[18]HISTONOV23!$A$6:$BM$36,33,0)</f>
        <v>0</v>
      </c>
      <c r="Y14" s="36">
        <f>VLOOKUP($A14,[18]HISTONOV23!$A$6:$BM$36,65,0)</f>
        <v>0</v>
      </c>
      <c r="Z14" s="36"/>
      <c r="AA14" s="36">
        <f>VLOOKUP($A14,[18]HISTONOV23!$A$6:$AU$36,43,0)</f>
        <v>0</v>
      </c>
      <c r="AB14" s="36">
        <f>VLOOKUP($A14,[18]HISTONOV23!$A$6:$AU$36,44,0)</f>
        <v>0</v>
      </c>
      <c r="AC14" s="36">
        <f>VLOOKUP($A14,[18]HISTONOV23!$A$6:$AU$36,47,0)</f>
        <v>0</v>
      </c>
      <c r="AD14" s="36">
        <f>VLOOKUP(A14,[18]HISTONOV23!$A$6:$BB$36,54,0)</f>
        <v>70000</v>
      </c>
      <c r="AE14" s="36">
        <f>VLOOKUP($A14,[18]HISTONOV23!$A$6:$CA$36,60,0)</f>
        <v>0</v>
      </c>
      <c r="AF14" s="36">
        <f>VLOOKUP($A14,[18]HISTONOV23!$A$6:$CA$36,61,0)</f>
        <v>0</v>
      </c>
      <c r="AG14" s="36">
        <f>VLOOKUP($A14,[18]HISTONOV23!$A$6:$CA$36,62,0)</f>
        <v>0</v>
      </c>
      <c r="AH14" s="36">
        <f>VLOOKUP($A14,[18]HISTONOV23!$A$6:$CA$36,63,0)</f>
        <v>0</v>
      </c>
      <c r="AI14" s="36">
        <f>VLOOKUP($A14,[18]HISTONOV23!$A$6:$CA$36,64,0)</f>
        <v>0</v>
      </c>
      <c r="AJ14" s="36">
        <f>VLOOKUP($A14,[18]HISTONOV23!$A$6:$CA$36,65,0)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VLOOKUP($A15,[18]HISTONOV23!$A$6:$BA$36,48,0)</f>
        <v>0</v>
      </c>
      <c r="F15" s="5">
        <f>MVTOCT23!F15+MVTOCT23!G15-MVTNOV23!E15+K15</f>
        <v>806899.61386764678</v>
      </c>
      <c r="G15" s="6">
        <v>0</v>
      </c>
      <c r="H15" s="6">
        <f t="shared" si="0"/>
        <v>806899.61386764678</v>
      </c>
      <c r="I15" s="36">
        <f>VLOOKUP($A15,[18]HISTONOV23!$A$6:$AQ$40,22,0)</f>
        <v>0</v>
      </c>
      <c r="J15" s="36">
        <f>VLOOKUP($A15,[18]HISTONOV23!$A$6:$AU$36,45,0)</f>
        <v>15000</v>
      </c>
      <c r="K15" s="36">
        <f t="shared" si="1"/>
        <v>9000</v>
      </c>
      <c r="L15" s="36">
        <f t="shared" si="6"/>
        <v>1000</v>
      </c>
      <c r="M15" s="36">
        <f t="shared" si="2"/>
        <v>1000</v>
      </c>
      <c r="N15" s="36">
        <f t="shared" si="5"/>
        <v>4000</v>
      </c>
      <c r="O15" s="36">
        <f>VLOOKUP($A15,[18]HISTONOV23!$A$6:$AU$36,7,0)</f>
        <v>0</v>
      </c>
      <c r="P15" s="36">
        <f>VLOOKUP($A15,[18]HISTONOV23!$A$6:$AU$36,23,0)</f>
        <v>0</v>
      </c>
      <c r="Q15" s="36">
        <f>VLOOKUP($A15,[18]HISTONOV23!$A$6:$AU$36,46,0)</f>
        <v>0</v>
      </c>
      <c r="R15" s="36">
        <f>VLOOKUP($A15,[18]HISTONOV23!$A$6:$AU$36,26,0)</f>
        <v>0</v>
      </c>
      <c r="S15" s="36">
        <f>VLOOKUP($A15,[18]HISTONOV23!$A$6:$BG$36,58,0)</f>
        <v>0</v>
      </c>
      <c r="T15" s="36">
        <f>VLOOKUP($A15,[18]HISTONOV23!$A$6:$AU$36,28,0)</f>
        <v>0</v>
      </c>
      <c r="U15" s="36">
        <f>VLOOKUP($A15,[18]HISTONOV23!$A$6:$AU$36,19,0)</f>
        <v>0</v>
      </c>
      <c r="V15" s="36">
        <f>VLOOKUP($A15,[18]HISTONOV23!$A$6:$AU$36,20,0)</f>
        <v>0</v>
      </c>
      <c r="W15" s="36">
        <f>VLOOKUP($A15,[18]HISTONOV23!$A$6:$AU$36,27,0)</f>
        <v>0</v>
      </c>
      <c r="X15" s="36">
        <f>VLOOKUP($A15,[18]HISTONOV23!$A$6:$BM$36,33,0)</f>
        <v>0</v>
      </c>
      <c r="Y15" s="36">
        <f>VLOOKUP($A15,[18]HISTONOV23!$A$6:$BM$36,65,0)</f>
        <v>0</v>
      </c>
      <c r="Z15" s="36"/>
      <c r="AA15" s="36">
        <f>VLOOKUP($A15,[18]HISTONOV23!$A$6:$AU$36,43,0)</f>
        <v>0</v>
      </c>
      <c r="AB15" s="36">
        <f>VLOOKUP($A15,[18]HISTONOV23!$A$6:$AU$36,44,0)</f>
        <v>0</v>
      </c>
      <c r="AC15" s="36">
        <f>VLOOKUP($A15,[18]HISTONOV23!$A$6:$AU$36,47,0)</f>
        <v>0</v>
      </c>
      <c r="AD15" s="36">
        <f>VLOOKUP(A15,[18]HISTONOV23!$A$6:$BB$36,54,0)</f>
        <v>0</v>
      </c>
      <c r="AE15" s="36">
        <f>VLOOKUP($A15,[18]HISTONOV23!$A$6:$CA$36,60,0)</f>
        <v>0</v>
      </c>
      <c r="AF15" s="36">
        <f>VLOOKUP($A15,[18]HISTONOV23!$A$6:$CA$36,61,0)</f>
        <v>0</v>
      </c>
      <c r="AG15" s="36">
        <f>VLOOKUP($A15,[18]HISTONOV23!$A$6:$CA$36,62,0)</f>
        <v>0</v>
      </c>
      <c r="AH15" s="36">
        <f>VLOOKUP($A15,[18]HISTONOV23!$A$6:$CA$36,63,0)</f>
        <v>0</v>
      </c>
      <c r="AI15" s="36">
        <f>VLOOKUP($A15,[18]HISTONOV23!$A$6:$CA$36,64,0)</f>
        <v>0</v>
      </c>
      <c r="AJ15" s="36">
        <f>VLOOKUP($A15,[18]HISTONOV23!$A$6:$CA$36,65,0)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VLOOKUP($A16,[18]HISTONOV23!$A$6:$BA$36,48,0)</f>
        <v>0</v>
      </c>
      <c r="F16" s="5">
        <f>MVTOCT23!F16+MVTOCT23!G16-MVTNOV23!E16+K16</f>
        <v>1137660.7744498793</v>
      </c>
      <c r="G16" s="6">
        <v>0</v>
      </c>
      <c r="H16" s="6">
        <f t="shared" si="0"/>
        <v>1137660.7744498793</v>
      </c>
      <c r="I16" s="36">
        <f>VLOOKUP($A16,[18]HISTONOV23!$A$6:$AQ$40,22,0)</f>
        <v>0</v>
      </c>
      <c r="J16" s="36">
        <f>VLOOKUP($A16,[18]HISTONOV23!$A$6:$AU$36,45,0)</f>
        <v>50000</v>
      </c>
      <c r="K16" s="36">
        <f t="shared" si="1"/>
        <v>44000</v>
      </c>
      <c r="L16" s="36">
        <f t="shared" si="6"/>
        <v>1000</v>
      </c>
      <c r="M16" s="36">
        <f t="shared" si="2"/>
        <v>1000</v>
      </c>
      <c r="N16" s="36">
        <f t="shared" si="5"/>
        <v>4000</v>
      </c>
      <c r="O16" s="36">
        <f>VLOOKUP($A16,[18]HISTONOV23!$A$6:$AU$36,7,0)</f>
        <v>0</v>
      </c>
      <c r="P16" s="36">
        <f>VLOOKUP($A16,[18]HISTONOV23!$A$6:$AU$36,23,0)</f>
        <v>0</v>
      </c>
      <c r="Q16" s="36">
        <f>VLOOKUP($A16,[18]HISTONOV23!$A$6:$AU$36,46,0)</f>
        <v>0</v>
      </c>
      <c r="R16" s="36">
        <f>VLOOKUP($A16,[18]HISTONOV23!$A$6:$AU$36,26,0)</f>
        <v>0</v>
      </c>
      <c r="S16" s="36">
        <f>VLOOKUP($A16,[18]HISTONOV23!$A$6:$BG$36,58,0)</f>
        <v>0</v>
      </c>
      <c r="T16" s="36">
        <f>VLOOKUP($A16,[18]HISTONOV23!$A$6:$AU$36,28,0)</f>
        <v>0</v>
      </c>
      <c r="U16" s="36">
        <f>VLOOKUP($A16,[18]HISTONOV23!$A$6:$AU$36,19,0)</f>
        <v>136500</v>
      </c>
      <c r="V16" s="36">
        <f>VLOOKUP($A16,[18]HISTONOV23!$A$6:$AU$36,20,0)</f>
        <v>0</v>
      </c>
      <c r="W16" s="36">
        <f>VLOOKUP($A16,[18]HISTONOV23!$A$6:$AU$36,27,0)</f>
        <v>0</v>
      </c>
      <c r="X16" s="36">
        <f>VLOOKUP($A16,[18]HISTONOV23!$A$6:$BM$36,33,0)</f>
        <v>0</v>
      </c>
      <c r="Y16" s="36">
        <f>VLOOKUP($A16,[18]HISTONOV23!$A$6:$BM$36,65,0)</f>
        <v>0</v>
      </c>
      <c r="Z16" s="36"/>
      <c r="AA16" s="36">
        <f>VLOOKUP($A16,[18]HISTONOV23!$A$6:$AU$36,43,0)</f>
        <v>0</v>
      </c>
      <c r="AB16" s="36">
        <f>VLOOKUP($A16,[18]HISTONOV23!$A$6:$AU$36,44,0)</f>
        <v>0</v>
      </c>
      <c r="AC16" s="36">
        <f>VLOOKUP($A16,[18]HISTONOV23!$A$6:$AU$36,47,0)</f>
        <v>0</v>
      </c>
      <c r="AD16" s="36">
        <f>VLOOKUP(A16,[18]HISTONOV23!$A$6:$BB$36,54,0)</f>
        <v>0</v>
      </c>
      <c r="AE16" s="36">
        <f>VLOOKUP($A16,[18]HISTONOV23!$A$6:$CA$36,60,0)</f>
        <v>0</v>
      </c>
      <c r="AF16" s="36">
        <f>VLOOKUP($A16,[18]HISTONOV23!$A$6:$CA$36,61,0)</f>
        <v>0</v>
      </c>
      <c r="AG16" s="36">
        <f>VLOOKUP($A16,[18]HISTONOV23!$A$6:$CA$36,62,0)</f>
        <v>0</v>
      </c>
      <c r="AH16" s="36">
        <f>VLOOKUP($A16,[18]HISTONOV23!$A$6:$CA$36,63,0)</f>
        <v>0</v>
      </c>
      <c r="AI16" s="36">
        <f>VLOOKUP($A16,[18]HISTONOV23!$A$6:$CA$36,64,0)</f>
        <v>0</v>
      </c>
      <c r="AJ16" s="36">
        <f>VLOOKUP($A16,[18]HISTONOV23!$A$6:$CA$36,65,0)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VLOOKUP($A17,[18]HISTONOV23!$A$6:$BA$36,48,0)</f>
        <v>0</v>
      </c>
      <c r="F17" s="5">
        <f>MVTOCT23!F17+MVTOCT23!G17-MVTNOV23!E17+K17</f>
        <v>809267.33725923905</v>
      </c>
      <c r="G17" s="6">
        <v>0</v>
      </c>
      <c r="H17" s="6">
        <f t="shared" si="0"/>
        <v>809267.33725923905</v>
      </c>
      <c r="I17" s="36">
        <f>VLOOKUP($A17,[18]HISTONOV23!$A$6:$AQ$40,22,0)</f>
        <v>0</v>
      </c>
      <c r="J17" s="36">
        <f>VLOOKUP($A17,[18]HISTONOV23!$A$6:$AU$36,45,0)</f>
        <v>15000</v>
      </c>
      <c r="K17" s="36">
        <f t="shared" si="1"/>
        <v>9000</v>
      </c>
      <c r="L17" s="36">
        <f t="shared" si="6"/>
        <v>1000</v>
      </c>
      <c r="M17" s="36">
        <f t="shared" si="2"/>
        <v>1000</v>
      </c>
      <c r="N17" s="36">
        <f t="shared" si="5"/>
        <v>4000</v>
      </c>
      <c r="O17" s="36">
        <f>VLOOKUP($A17,[18]HISTONOV23!$A$6:$AU$36,7,0)</f>
        <v>0</v>
      </c>
      <c r="P17" s="36">
        <f>VLOOKUP($A17,[18]HISTONOV23!$A$6:$AU$36,23,0)</f>
        <v>0</v>
      </c>
      <c r="Q17" s="36">
        <f>VLOOKUP($A17,[18]HISTONOV23!$A$6:$AU$36,46,0)</f>
        <v>0</v>
      </c>
      <c r="R17" s="36">
        <f>VLOOKUP($A17,[18]HISTONOV23!$A$6:$AU$36,26,0)</f>
        <v>0</v>
      </c>
      <c r="S17" s="36">
        <f>VLOOKUP($A17,[18]HISTONOV23!$A$6:$BG$36,58,0)</f>
        <v>0</v>
      </c>
      <c r="T17" s="36">
        <f>VLOOKUP($A17,[18]HISTONOV23!$A$6:$AU$36,28,0)</f>
        <v>0</v>
      </c>
      <c r="U17" s="36">
        <f>VLOOKUP($A17,[18]HISTONOV23!$A$6:$AU$36,19,0)</f>
        <v>0</v>
      </c>
      <c r="V17" s="36">
        <f>VLOOKUP($A17,[18]HISTONOV23!$A$6:$AU$36,20,0)</f>
        <v>0</v>
      </c>
      <c r="W17" s="36">
        <f>VLOOKUP($A17,[18]HISTONOV23!$A$6:$AU$36,27,0)</f>
        <v>0</v>
      </c>
      <c r="X17" s="36">
        <f>VLOOKUP($A17,[18]HISTONOV23!$A$6:$BM$36,33,0)</f>
        <v>0</v>
      </c>
      <c r="Y17" s="36">
        <f>VLOOKUP($A17,[18]HISTONOV23!$A$6:$BM$36,65,0)</f>
        <v>0</v>
      </c>
      <c r="Z17" s="36"/>
      <c r="AA17" s="36">
        <f>VLOOKUP($A17,[18]HISTONOV23!$A$6:$AU$36,43,0)</f>
        <v>0</v>
      </c>
      <c r="AB17" s="36">
        <f>VLOOKUP($A17,[18]HISTONOV23!$A$6:$AU$36,44,0)</f>
        <v>0</v>
      </c>
      <c r="AC17" s="36">
        <f>VLOOKUP($A17,[18]HISTONOV23!$A$6:$AU$36,47,0)</f>
        <v>0</v>
      </c>
      <c r="AD17" s="36">
        <f>VLOOKUP(A17,[18]HISTONOV23!$A$6:$BB$36,54,0)</f>
        <v>0</v>
      </c>
      <c r="AE17" s="36">
        <f>VLOOKUP($A17,[18]HISTONOV23!$A$6:$CA$36,60,0)</f>
        <v>0</v>
      </c>
      <c r="AF17" s="36">
        <f>VLOOKUP($A17,[18]HISTONOV23!$A$6:$CA$36,61,0)</f>
        <v>0</v>
      </c>
      <c r="AG17" s="36">
        <f>VLOOKUP($A17,[18]HISTONOV23!$A$6:$CA$36,62,0)</f>
        <v>0</v>
      </c>
      <c r="AH17" s="36">
        <f>VLOOKUP($A17,[18]HISTONOV23!$A$6:$CA$36,63,0)</f>
        <v>0</v>
      </c>
      <c r="AI17" s="36">
        <f>VLOOKUP($A17,[18]HISTONOV23!$A$6:$CA$36,64,0)</f>
        <v>0</v>
      </c>
      <c r="AJ17" s="36">
        <f>VLOOKUP($A17,[18]HISTONOV23!$A$6:$CA$36,65,0)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VLOOKUP($A18,[18]HISTONOV23!$A$6:$BA$36,48,0)</f>
        <v>0</v>
      </c>
      <c r="F18" s="5">
        <f>MVTOCT23!F18+MVTOCT23!G18-MVTNOV23!E18+K18</f>
        <v>758428.67129096284</v>
      </c>
      <c r="G18" s="6">
        <v>0</v>
      </c>
      <c r="H18" s="6">
        <f t="shared" si="0"/>
        <v>758428.67129096284</v>
      </c>
      <c r="I18" s="36">
        <f>VLOOKUP($A18,[18]HISTONOV23!$A$6:$AQ$40,22,0)</f>
        <v>0</v>
      </c>
      <c r="J18" s="36">
        <f>VLOOKUP($A18,[18]HISTONOV23!$A$6:$AU$36,45,0)</f>
        <v>15000</v>
      </c>
      <c r="K18" s="36">
        <f t="shared" si="1"/>
        <v>9000</v>
      </c>
      <c r="L18" s="36">
        <f t="shared" si="6"/>
        <v>1000</v>
      </c>
      <c r="M18" s="36">
        <f t="shared" si="2"/>
        <v>1000</v>
      </c>
      <c r="N18" s="36">
        <f t="shared" si="5"/>
        <v>4000</v>
      </c>
      <c r="O18" s="36">
        <f>VLOOKUP($A18,[18]HISTONOV23!$A$6:$AU$36,7,0)</f>
        <v>0</v>
      </c>
      <c r="P18" s="36">
        <f>VLOOKUP($A18,[18]HISTONOV23!$A$6:$AU$36,23,0)</f>
        <v>0</v>
      </c>
      <c r="Q18" s="36">
        <f>VLOOKUP($A18,[18]HISTONOV23!$A$6:$AU$36,46,0)</f>
        <v>0</v>
      </c>
      <c r="R18" s="36">
        <f>VLOOKUP($A18,[18]HISTONOV23!$A$6:$AU$36,26,0)</f>
        <v>0</v>
      </c>
      <c r="S18" s="36">
        <f>VLOOKUP($A18,[18]HISTONOV23!$A$6:$BG$36,58,0)</f>
        <v>0</v>
      </c>
      <c r="T18" s="36">
        <f>VLOOKUP($A18,[18]HISTONOV23!$A$6:$AU$36,28,0)</f>
        <v>0</v>
      </c>
      <c r="U18" s="36">
        <f>VLOOKUP($A18,[18]HISTONOV23!$A$6:$AU$36,19,0)</f>
        <v>0</v>
      </c>
      <c r="V18" s="36">
        <f>VLOOKUP($A18,[18]HISTONOV23!$A$6:$AU$36,20,0)</f>
        <v>0</v>
      </c>
      <c r="W18" s="36">
        <f>VLOOKUP($A18,[18]HISTONOV23!$A$6:$AU$36,27,0)</f>
        <v>0</v>
      </c>
      <c r="X18" s="36">
        <f>VLOOKUP($A18,[18]HISTONOV23!$A$6:$BM$36,33,0)</f>
        <v>0</v>
      </c>
      <c r="Y18" s="36">
        <f>VLOOKUP($A18,[18]HISTONOV23!$A$6:$BM$36,65,0)</f>
        <v>0</v>
      </c>
      <c r="Z18" s="36"/>
      <c r="AA18" s="36">
        <f>VLOOKUP($A18,[18]HISTONOV23!$A$6:$AU$36,43,0)</f>
        <v>0</v>
      </c>
      <c r="AB18" s="36">
        <f>VLOOKUP($A18,[18]HISTONOV23!$A$6:$AU$36,44,0)</f>
        <v>0</v>
      </c>
      <c r="AC18" s="36">
        <f>VLOOKUP($A18,[18]HISTONOV23!$A$6:$AU$36,47,0)</f>
        <v>0</v>
      </c>
      <c r="AD18" s="36">
        <f>VLOOKUP(A18,[18]HISTONOV23!$A$6:$BB$36,54,0)</f>
        <v>0</v>
      </c>
      <c r="AE18" s="36">
        <f>VLOOKUP($A18,[18]HISTONOV23!$A$6:$CA$36,60,0)</f>
        <v>0</v>
      </c>
      <c r="AF18" s="36">
        <f>VLOOKUP($A18,[18]HISTONOV23!$A$6:$CA$36,61,0)</f>
        <v>0</v>
      </c>
      <c r="AG18" s="36">
        <f>VLOOKUP($A18,[18]HISTONOV23!$A$6:$CA$36,62,0)</f>
        <v>0</v>
      </c>
      <c r="AH18" s="36">
        <f>VLOOKUP($A18,[18]HISTONOV23!$A$6:$CA$36,63,0)</f>
        <v>0</v>
      </c>
      <c r="AI18" s="36">
        <f>VLOOKUP($A18,[18]HISTONOV23!$A$6:$CA$36,64,0)</f>
        <v>0</v>
      </c>
      <c r="AJ18" s="36">
        <f>VLOOKUP($A18,[18]HISTONOV23!$A$6:$CA$36,65,0)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VLOOKUP($A19,[18]HISTONOV23!$A$6:$BA$36,48,0)</f>
        <v>0</v>
      </c>
      <c r="F19" s="5">
        <f>MVTOCT23!F19+MVTOCT23!G19-MVTNOV23!E19+K19</f>
        <v>752217.30662801955</v>
      </c>
      <c r="G19" s="6">
        <v>0</v>
      </c>
      <c r="H19" s="6">
        <f t="shared" si="0"/>
        <v>752217.30662801955</v>
      </c>
      <c r="I19" s="36">
        <f>VLOOKUP($A19,[18]HISTONOV23!$A$6:$AQ$40,22,0)</f>
        <v>0</v>
      </c>
      <c r="J19" s="36">
        <f>VLOOKUP($A19,[18]HISTONOV23!$A$6:$AU$36,45,0)</f>
        <v>15000</v>
      </c>
      <c r="K19" s="36">
        <f t="shared" si="1"/>
        <v>9000</v>
      </c>
      <c r="L19" s="36">
        <f t="shared" si="6"/>
        <v>1000</v>
      </c>
      <c r="M19" s="36">
        <f t="shared" si="2"/>
        <v>1000</v>
      </c>
      <c r="N19" s="36">
        <f t="shared" si="5"/>
        <v>4000</v>
      </c>
      <c r="O19" s="36">
        <f>VLOOKUP($A19,[18]HISTONOV23!$A$6:$AU$36,7,0)</f>
        <v>0</v>
      </c>
      <c r="P19" s="36">
        <f>VLOOKUP($A19,[18]HISTONOV23!$A$6:$AU$36,23,0)</f>
        <v>0</v>
      </c>
      <c r="Q19" s="36">
        <f>VLOOKUP($A19,[18]HISTONOV23!$A$6:$AU$36,46,0)</f>
        <v>0</v>
      </c>
      <c r="R19" s="36">
        <f>VLOOKUP($A19,[18]HISTONOV23!$A$6:$AU$36,26,0)</f>
        <v>0</v>
      </c>
      <c r="S19" s="36">
        <f>VLOOKUP($A19,[18]HISTONOV23!$A$6:$BG$36,58,0)</f>
        <v>0</v>
      </c>
      <c r="T19" s="36">
        <f>VLOOKUP($A19,[18]HISTONOV23!$A$6:$AU$36,28,0)</f>
        <v>0</v>
      </c>
      <c r="U19" s="36">
        <f>VLOOKUP($A19,[18]HISTONOV23!$A$6:$AU$36,19,0)</f>
        <v>0</v>
      </c>
      <c r="V19" s="36">
        <f>VLOOKUP($A19,[18]HISTONOV23!$A$6:$AU$36,20,0)</f>
        <v>0</v>
      </c>
      <c r="W19" s="36">
        <f>VLOOKUP($A19,[18]HISTONOV23!$A$6:$AU$36,27,0)</f>
        <v>0</v>
      </c>
      <c r="X19" s="36">
        <f>VLOOKUP($A19,[18]HISTONOV23!$A$6:$BM$36,33,0)</f>
        <v>0</v>
      </c>
      <c r="Y19" s="36">
        <f>VLOOKUP($A19,[18]HISTONOV23!$A$6:$BM$36,65,0)</f>
        <v>0</v>
      </c>
      <c r="Z19" s="36"/>
      <c r="AA19" s="36">
        <f>VLOOKUP($A19,[18]HISTONOV23!$A$6:$AU$36,43,0)</f>
        <v>0</v>
      </c>
      <c r="AB19" s="36">
        <f>VLOOKUP($A19,[18]HISTONOV23!$A$6:$AU$36,44,0)</f>
        <v>0</v>
      </c>
      <c r="AC19" s="36">
        <f>VLOOKUP($A19,[18]HISTONOV23!$A$6:$AU$36,47,0)</f>
        <v>0</v>
      </c>
      <c r="AD19" s="36">
        <f>VLOOKUP(A19,[18]HISTONOV23!$A$6:$BB$36,54,0)</f>
        <v>0</v>
      </c>
      <c r="AE19" s="36">
        <f>VLOOKUP($A19,[18]HISTONOV23!$A$6:$CA$36,60,0)</f>
        <v>0</v>
      </c>
      <c r="AF19" s="36">
        <f>VLOOKUP($A19,[18]HISTONOV23!$A$6:$CA$36,61,0)</f>
        <v>0</v>
      </c>
      <c r="AG19" s="36">
        <f>VLOOKUP($A19,[18]HISTONOV23!$A$6:$CA$36,62,0)</f>
        <v>0</v>
      </c>
      <c r="AH19" s="36">
        <f>VLOOKUP($A19,[18]HISTONOV23!$A$6:$CA$36,63,0)</f>
        <v>0</v>
      </c>
      <c r="AI19" s="36">
        <f>VLOOKUP($A19,[18]HISTONOV23!$A$6:$CA$36,64,0)</f>
        <v>0</v>
      </c>
      <c r="AJ19" s="36">
        <f>VLOOKUP($A19,[18]HISTONOV23!$A$6:$CA$36,65,0)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VLOOKUP($A20,[18]HISTONOV23!$A$6:$BA$36,48,0)</f>
        <v>0</v>
      </c>
      <c r="F20" s="5">
        <f>MVTOCT23!F20+MVTOCT23!G20-MVTNOV23!E20+K20</f>
        <v>803709.39724118263</v>
      </c>
      <c r="G20" s="6">
        <v>0</v>
      </c>
      <c r="H20" s="6">
        <f t="shared" si="0"/>
        <v>803709.39724118263</v>
      </c>
      <c r="I20" s="36">
        <f>VLOOKUP($A20,[18]HISTONOV23!$A$6:$AQ$40,22,0)</f>
        <v>0</v>
      </c>
      <c r="J20" s="36">
        <f>VLOOKUP($A20,[18]HISTONOV23!$A$6:$AU$36,45,0)</f>
        <v>15000</v>
      </c>
      <c r="K20" s="36">
        <f t="shared" si="1"/>
        <v>9000</v>
      </c>
      <c r="L20" s="36">
        <f t="shared" si="6"/>
        <v>1000</v>
      </c>
      <c r="M20" s="36">
        <f t="shared" si="2"/>
        <v>1000</v>
      </c>
      <c r="N20" s="36">
        <f t="shared" si="5"/>
        <v>4000</v>
      </c>
      <c r="O20" s="36">
        <f>VLOOKUP($A20,[18]HISTONOV23!$A$6:$AU$36,7,0)</f>
        <v>0</v>
      </c>
      <c r="P20" s="36">
        <f>VLOOKUP($A20,[18]HISTONOV23!$A$6:$AU$36,23,0)</f>
        <v>0</v>
      </c>
      <c r="Q20" s="36">
        <f>VLOOKUP($A20,[18]HISTONOV23!$A$6:$AU$36,46,0)</f>
        <v>0</v>
      </c>
      <c r="R20" s="36">
        <f>VLOOKUP($A20,[18]HISTONOV23!$A$6:$AU$36,26,0)</f>
        <v>0</v>
      </c>
      <c r="S20" s="36">
        <f>VLOOKUP($A20,[18]HISTONOV23!$A$6:$BG$36,58,0)</f>
        <v>0</v>
      </c>
      <c r="T20" s="36">
        <f>VLOOKUP($A20,[18]HISTONOV23!$A$6:$AU$36,28,0)</f>
        <v>0</v>
      </c>
      <c r="U20" s="36">
        <f>VLOOKUP($A20,[18]HISTONOV23!$A$6:$AU$36,19,0)</f>
        <v>0</v>
      </c>
      <c r="V20" s="36">
        <f>VLOOKUP($A20,[18]HISTONOV23!$A$6:$AU$36,20,0)</f>
        <v>0</v>
      </c>
      <c r="W20" s="36">
        <f>VLOOKUP($A20,[18]HISTONOV23!$A$6:$AU$36,27,0)</f>
        <v>0</v>
      </c>
      <c r="X20" s="36">
        <f>VLOOKUP($A20,[18]HISTONOV23!$A$6:$BM$36,33,0)</f>
        <v>0</v>
      </c>
      <c r="Y20" s="36">
        <f>VLOOKUP($A20,[18]HISTONOV23!$A$6:$BM$36,65,0)</f>
        <v>0</v>
      </c>
      <c r="Z20" s="36"/>
      <c r="AA20" s="36">
        <f>VLOOKUP($A20,[18]HISTONOV23!$A$6:$AU$36,43,0)</f>
        <v>0</v>
      </c>
      <c r="AB20" s="36">
        <f>VLOOKUP($A20,[18]HISTONOV23!$A$6:$AU$36,44,0)</f>
        <v>0</v>
      </c>
      <c r="AC20" s="36">
        <f>VLOOKUP($A20,[18]HISTONOV23!$A$6:$AU$36,47,0)</f>
        <v>0</v>
      </c>
      <c r="AD20" s="36">
        <f>VLOOKUP(A20,[18]HISTONOV23!$A$6:$BB$36,54,0)</f>
        <v>0</v>
      </c>
      <c r="AE20" s="36">
        <f>VLOOKUP($A20,[18]HISTONOV23!$A$6:$CA$36,60,0)</f>
        <v>0</v>
      </c>
      <c r="AF20" s="36">
        <f>VLOOKUP($A20,[18]HISTONOV23!$A$6:$CA$36,61,0)</f>
        <v>0</v>
      </c>
      <c r="AG20" s="36">
        <f>VLOOKUP($A20,[18]HISTONOV23!$A$6:$CA$36,62,0)</f>
        <v>0</v>
      </c>
      <c r="AH20" s="36">
        <f>VLOOKUP($A20,[18]HISTONOV23!$A$6:$CA$36,63,0)</f>
        <v>0</v>
      </c>
      <c r="AI20" s="36">
        <f>VLOOKUP($A20,[18]HISTONOV23!$A$6:$CA$36,64,0)</f>
        <v>0</v>
      </c>
      <c r="AJ20" s="36">
        <f>VLOOKUP($A20,[18]HISTONOV23!$A$6:$CA$36,65,0)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VLOOKUP($A21,[18]HISTONOV23!$A$6:$BA$36,48,0)</f>
        <v>0</v>
      </c>
      <c r="F21" s="5">
        <f>MVTOCT23!F21+MVTOCT23!G21-MVTNOV23!E21+K21</f>
        <v>807149.92118952249</v>
      </c>
      <c r="G21" s="6">
        <v>0</v>
      </c>
      <c r="H21" s="6">
        <f t="shared" si="0"/>
        <v>807149.92118952249</v>
      </c>
      <c r="I21" s="36">
        <f>VLOOKUP($A21,[18]HISTONOV23!$A$6:$AQ$40,22,0)</f>
        <v>0</v>
      </c>
      <c r="J21" s="36">
        <f>VLOOKUP($A21,[18]HISTONOV23!$A$6:$AU$36,45,0)</f>
        <v>15000</v>
      </c>
      <c r="K21" s="36">
        <f t="shared" si="1"/>
        <v>9000</v>
      </c>
      <c r="L21" s="36">
        <f t="shared" si="6"/>
        <v>1000</v>
      </c>
      <c r="M21" s="36">
        <f t="shared" si="2"/>
        <v>1000</v>
      </c>
      <c r="N21" s="36">
        <f t="shared" si="5"/>
        <v>4000</v>
      </c>
      <c r="O21" s="36">
        <f>VLOOKUP($A21,[18]HISTONOV23!$A$6:$AU$36,7,0)</f>
        <v>0</v>
      </c>
      <c r="P21" s="36">
        <f>VLOOKUP($A21,[18]HISTONOV23!$A$6:$AU$36,23,0)</f>
        <v>0</v>
      </c>
      <c r="Q21" s="36">
        <f>VLOOKUP($A21,[18]HISTONOV23!$A$6:$AU$36,46,0)</f>
        <v>0</v>
      </c>
      <c r="R21" s="36">
        <f>VLOOKUP($A21,[18]HISTONOV23!$A$6:$AU$36,26,0)</f>
        <v>0</v>
      </c>
      <c r="S21" s="36">
        <f>VLOOKUP($A21,[18]HISTONOV23!$A$6:$BG$36,58,0)</f>
        <v>0</v>
      </c>
      <c r="T21" s="36">
        <f>VLOOKUP($A21,[18]HISTONOV23!$A$6:$AU$36,28,0)</f>
        <v>0</v>
      </c>
      <c r="U21" s="36">
        <f>VLOOKUP($A21,[18]HISTONOV23!$A$6:$AU$36,19,0)</f>
        <v>0</v>
      </c>
      <c r="V21" s="36">
        <f>VLOOKUP($A21,[18]HISTONOV23!$A$6:$AU$36,20,0)</f>
        <v>0</v>
      </c>
      <c r="W21" s="36">
        <f>VLOOKUP($A21,[18]HISTONOV23!$A$6:$AU$36,27,0)</f>
        <v>0</v>
      </c>
      <c r="X21" s="36">
        <f>VLOOKUP($A21,[18]HISTONOV23!$A$6:$BM$36,33,0)</f>
        <v>0</v>
      </c>
      <c r="Y21" s="36">
        <f>VLOOKUP($A21,[18]HISTONOV23!$A$6:$BM$36,65,0)</f>
        <v>0</v>
      </c>
      <c r="Z21" s="36"/>
      <c r="AA21" s="36">
        <f>VLOOKUP($A21,[18]HISTONOV23!$A$6:$AU$36,43,0)</f>
        <v>0</v>
      </c>
      <c r="AB21" s="36">
        <f>VLOOKUP($A21,[18]HISTONOV23!$A$6:$AU$36,44,0)</f>
        <v>0</v>
      </c>
      <c r="AC21" s="36">
        <f>VLOOKUP($A21,[18]HISTONOV23!$A$6:$AU$36,47,0)</f>
        <v>0</v>
      </c>
      <c r="AD21" s="36">
        <f>VLOOKUP(A21,[18]HISTONOV23!$A$6:$BB$36,54,0)</f>
        <v>0</v>
      </c>
      <c r="AE21" s="36">
        <f>VLOOKUP($A21,[18]HISTONOV23!$A$6:$CA$36,60,0)</f>
        <v>0</v>
      </c>
      <c r="AF21" s="36">
        <f>VLOOKUP($A21,[18]HISTONOV23!$A$6:$CA$36,61,0)</f>
        <v>0</v>
      </c>
      <c r="AG21" s="36">
        <f>VLOOKUP($A21,[18]HISTONOV23!$A$6:$CA$36,62,0)</f>
        <v>0</v>
      </c>
      <c r="AH21" s="36">
        <f>VLOOKUP($A21,[18]HISTONOV23!$A$6:$CA$36,63,0)</f>
        <v>0</v>
      </c>
      <c r="AI21" s="36">
        <f>VLOOKUP($A21,[18]HISTONOV23!$A$6:$CA$36,64,0)</f>
        <v>0</v>
      </c>
      <c r="AJ21" s="36">
        <f>VLOOKUP($A21,[18]HISTONOV23!$A$6:$CA$36,65,0)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VLOOKUP($A22,[18]HISTONOV23!$A$6:$BA$36,48,0)</f>
        <v>0</v>
      </c>
      <c r="F22" s="5">
        <f>MVTOCT23!F22+MVTOCT23!G22-MVTNOV23!E22+K22</f>
        <v>904402.72741507681</v>
      </c>
      <c r="G22" s="6">
        <v>0</v>
      </c>
      <c r="H22" s="6">
        <f t="shared" si="0"/>
        <v>904402.72741507681</v>
      </c>
      <c r="I22" s="36">
        <f>VLOOKUP($A22,[18]HISTONOV23!$A$6:$AQ$40,22,0)</f>
        <v>0</v>
      </c>
      <c r="J22" s="36">
        <f>VLOOKUP($A22,[18]HISTONOV23!$A$6:$AU$36,45,0)</f>
        <v>15000</v>
      </c>
      <c r="K22" s="36">
        <f t="shared" si="1"/>
        <v>9000</v>
      </c>
      <c r="L22" s="36">
        <f t="shared" si="6"/>
        <v>1000</v>
      </c>
      <c r="M22" s="36">
        <f t="shared" si="2"/>
        <v>1000</v>
      </c>
      <c r="N22" s="36">
        <f t="shared" si="5"/>
        <v>4000</v>
      </c>
      <c r="O22" s="36">
        <f>VLOOKUP($A22,[18]HISTONOV23!$A$6:$AU$36,7,0)</f>
        <v>0</v>
      </c>
      <c r="P22" s="36">
        <f>VLOOKUP($A22,[18]HISTONOV23!$A$6:$AU$36,23,0)</f>
        <v>0</v>
      </c>
      <c r="Q22" s="36">
        <f>VLOOKUP($A22,[18]HISTONOV23!$A$6:$AU$36,46,0)</f>
        <v>0</v>
      </c>
      <c r="R22" s="36">
        <f>VLOOKUP($A22,[18]HISTONOV23!$A$6:$AU$36,26,0)</f>
        <v>0</v>
      </c>
      <c r="S22" s="36">
        <f>VLOOKUP($A22,[18]HISTONOV23!$A$6:$BG$36,58,0)</f>
        <v>0</v>
      </c>
      <c r="T22" s="36">
        <f>VLOOKUP($A22,[18]HISTONOV23!$A$6:$AU$36,28,0)</f>
        <v>0</v>
      </c>
      <c r="U22" s="36">
        <f>VLOOKUP($A22,[18]HISTONOV23!$A$6:$AU$36,19,0)</f>
        <v>0</v>
      </c>
      <c r="V22" s="36">
        <f>VLOOKUP($A22,[18]HISTONOV23!$A$6:$AU$36,20,0)</f>
        <v>0</v>
      </c>
      <c r="W22" s="36">
        <f>VLOOKUP($A22,[18]HISTONOV23!$A$6:$AU$36,27,0)</f>
        <v>0</v>
      </c>
      <c r="X22" s="36">
        <f>VLOOKUP($A22,[18]HISTONOV23!$A$6:$BM$36,33,0)</f>
        <v>0</v>
      </c>
      <c r="Y22" s="36">
        <f>VLOOKUP($A22,[18]HISTONOV23!$A$6:$BM$36,65,0)</f>
        <v>0</v>
      </c>
      <c r="Z22" s="36"/>
      <c r="AA22" s="36">
        <f>VLOOKUP($A22,[18]HISTONOV23!$A$6:$AU$36,43,0)</f>
        <v>0</v>
      </c>
      <c r="AB22" s="36">
        <f>VLOOKUP($A22,[18]HISTONOV23!$A$6:$AU$36,44,0)</f>
        <v>0</v>
      </c>
      <c r="AC22" s="36">
        <f>VLOOKUP($A22,[18]HISTONOV23!$A$6:$AU$36,47,0)</f>
        <v>0</v>
      </c>
      <c r="AD22" s="36">
        <f>VLOOKUP(A22,[18]HISTONOV23!$A$6:$BB$36,54,0)</f>
        <v>0</v>
      </c>
      <c r="AE22" s="36">
        <f>VLOOKUP($A22,[18]HISTONOV23!$A$6:$CA$36,60,0)</f>
        <v>0</v>
      </c>
      <c r="AF22" s="36">
        <f>VLOOKUP($A22,[18]HISTONOV23!$A$6:$CA$36,61,0)</f>
        <v>0</v>
      </c>
      <c r="AG22" s="36">
        <f>VLOOKUP($A22,[18]HISTONOV23!$A$6:$CA$36,62,0)</f>
        <v>0</v>
      </c>
      <c r="AH22" s="36">
        <f>VLOOKUP($A22,[18]HISTONOV23!$A$6:$CA$36,63,0)</f>
        <v>0</v>
      </c>
      <c r="AI22" s="36">
        <f>VLOOKUP($A22,[18]HISTONOV23!$A$6:$CA$36,64,0)</f>
        <v>0</v>
      </c>
      <c r="AJ22" s="36">
        <f>VLOOKUP($A22,[18]HISTONOV23!$A$6:$CA$36,65,0)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VLOOKUP($A23,[18]HISTONOV23!$A$6:$BA$36,48,0)</f>
        <v>0</v>
      </c>
      <c r="F23" s="5">
        <f>MVTOCT23!F23+MVTOCT23!G23-MVTNOV23!E23+K23</f>
        <v>1165971.0758238384</v>
      </c>
      <c r="G23" s="6">
        <v>0</v>
      </c>
      <c r="H23" s="6">
        <f t="shared" si="0"/>
        <v>1165971.0758238384</v>
      </c>
      <c r="I23" s="36">
        <f>VLOOKUP($A23,[18]HISTONOV23!$A$6:$AQ$40,22,0)</f>
        <v>0</v>
      </c>
      <c r="J23" s="36">
        <f>VLOOKUP($A23,[18]HISTONOV23!$A$6:$AU$36,45,0)</f>
        <v>25000</v>
      </c>
      <c r="K23" s="36">
        <f t="shared" si="1"/>
        <v>19000</v>
      </c>
      <c r="L23" s="36">
        <f t="shared" si="6"/>
        <v>1000</v>
      </c>
      <c r="M23" s="36">
        <f t="shared" si="2"/>
        <v>1000</v>
      </c>
      <c r="N23" s="36">
        <f t="shared" si="5"/>
        <v>4000</v>
      </c>
      <c r="O23" s="36">
        <f>VLOOKUP($A23,[18]HISTONOV23!$A$6:$AU$36,7,0)</f>
        <v>0</v>
      </c>
      <c r="P23" s="36">
        <f>VLOOKUP($A23,[18]HISTONOV23!$A$6:$AU$36,23,0)</f>
        <v>0</v>
      </c>
      <c r="Q23" s="36">
        <f>VLOOKUP($A23,[18]HISTONOV23!$A$6:$AU$36,46,0)</f>
        <v>0</v>
      </c>
      <c r="R23" s="36">
        <f>VLOOKUP($A23,[18]HISTONOV23!$A$6:$AU$36,26,0)</f>
        <v>0</v>
      </c>
      <c r="S23" s="36">
        <f>VLOOKUP($A23,[18]HISTONOV23!$A$6:$BG$36,58,0)</f>
        <v>0</v>
      </c>
      <c r="T23" s="36">
        <f>VLOOKUP($A23,[18]HISTONOV23!$A$6:$AU$36,28,0)</f>
        <v>0</v>
      </c>
      <c r="U23" s="36">
        <f>VLOOKUP($A23,[18]HISTONOV23!$A$6:$AU$36,19,0)</f>
        <v>0</v>
      </c>
      <c r="V23" s="36">
        <f>VLOOKUP($A23,[18]HISTONOV23!$A$6:$AU$36,20,0)</f>
        <v>0</v>
      </c>
      <c r="W23" s="36">
        <f>VLOOKUP($A23,[18]HISTONOV23!$A$6:$AU$36,27,0)</f>
        <v>0</v>
      </c>
      <c r="X23" s="36">
        <f>VLOOKUP($A23,[18]HISTONOV23!$A$6:$BM$36,33,0)</f>
        <v>0</v>
      </c>
      <c r="Y23" s="36">
        <f>VLOOKUP($A23,[18]HISTONOV23!$A$6:$BM$36,65,0)</f>
        <v>0</v>
      </c>
      <c r="Z23" s="36"/>
      <c r="AA23" s="36">
        <f>VLOOKUP($A23,[18]HISTONOV23!$A$6:$AU$36,43,0)</f>
        <v>0</v>
      </c>
      <c r="AB23" s="36">
        <f>VLOOKUP($A23,[18]HISTONOV23!$A$6:$AU$36,44,0)</f>
        <v>0</v>
      </c>
      <c r="AC23" s="36">
        <f>VLOOKUP($A23,[18]HISTONOV23!$A$6:$AU$36,47,0)</f>
        <v>0</v>
      </c>
      <c r="AD23" s="36">
        <f>VLOOKUP(A23,[18]HISTONOV23!$A$6:$BB$36,54,0)</f>
        <v>0</v>
      </c>
      <c r="AE23" s="36">
        <f>VLOOKUP($A23,[18]HISTONOV23!$A$6:$CA$36,60,0)</f>
        <v>0</v>
      </c>
      <c r="AF23" s="36">
        <f>VLOOKUP($A23,[18]HISTONOV23!$A$6:$CA$36,61,0)</f>
        <v>0</v>
      </c>
      <c r="AG23" s="36">
        <f>VLOOKUP($A23,[18]HISTONOV23!$A$6:$CA$36,62,0)</f>
        <v>0</v>
      </c>
      <c r="AH23" s="36">
        <f>VLOOKUP($A23,[18]HISTONOV23!$A$6:$CA$36,63,0)</f>
        <v>0</v>
      </c>
      <c r="AI23" s="36">
        <f>VLOOKUP($A23,[18]HISTONOV23!$A$6:$CA$36,64,0)</f>
        <v>0</v>
      </c>
      <c r="AJ23" s="36">
        <f>VLOOKUP($A23,[18]HISTONOV23!$A$6:$CA$36,65,0)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VLOOKUP($A24,[18]HISTONOV23!$A$6:$BA$36,48,0)</f>
        <v>0</v>
      </c>
      <c r="F24" s="5">
        <f>MVTOCT23!F24+MVTOCT23!G24-MVTNOV23!E24+K24</f>
        <v>803632.77071428567</v>
      </c>
      <c r="G24" s="6">
        <v>0</v>
      </c>
      <c r="H24" s="6">
        <f t="shared" si="0"/>
        <v>803632.77071428567</v>
      </c>
      <c r="I24" s="36">
        <f>VLOOKUP($A24,[18]HISTONOV23!$A$6:$AQ$40,22,0)</f>
        <v>0</v>
      </c>
      <c r="J24" s="36">
        <f>VLOOKUP($A24,[18]HISTONOV23!$A$6:$AU$36,45,0)</f>
        <v>18000</v>
      </c>
      <c r="K24" s="36">
        <f t="shared" si="1"/>
        <v>12000</v>
      </c>
      <c r="L24" s="36">
        <f t="shared" si="6"/>
        <v>1000</v>
      </c>
      <c r="M24" s="36">
        <f t="shared" si="2"/>
        <v>1000</v>
      </c>
      <c r="N24" s="36">
        <f t="shared" si="5"/>
        <v>4000</v>
      </c>
      <c r="O24" s="36">
        <f>VLOOKUP($A24,[18]HISTONOV23!$A$6:$AU$36,7,0)</f>
        <v>0</v>
      </c>
      <c r="P24" s="36">
        <f>VLOOKUP($A24,[18]HISTONOV23!$A$6:$AU$36,23,0)</f>
        <v>0</v>
      </c>
      <c r="Q24" s="36">
        <f>VLOOKUP($A24,[18]HISTONOV23!$A$6:$AU$36,46,0)</f>
        <v>0</v>
      </c>
      <c r="R24" s="36">
        <f>VLOOKUP($A24,[18]HISTONOV23!$A$6:$AU$36,26,0)</f>
        <v>0</v>
      </c>
      <c r="S24" s="36">
        <f>VLOOKUP($A24,[18]HISTONOV23!$A$6:$BG$36,58,0)</f>
        <v>0</v>
      </c>
      <c r="T24" s="36">
        <f>VLOOKUP($A24,[18]HISTONOV23!$A$6:$AU$36,28,0)</f>
        <v>0</v>
      </c>
      <c r="U24" s="36">
        <f>VLOOKUP($A24,[18]HISTONOV23!$A$6:$AU$36,19,0)</f>
        <v>0</v>
      </c>
      <c r="V24" s="36">
        <f>VLOOKUP($A24,[18]HISTONOV23!$A$6:$AU$36,20,0)</f>
        <v>0</v>
      </c>
      <c r="W24" s="36">
        <f>VLOOKUP($A24,[18]HISTONOV23!$A$6:$AU$36,27,0)</f>
        <v>0</v>
      </c>
      <c r="X24" s="36">
        <f>VLOOKUP($A24,[18]HISTONOV23!$A$6:$BM$36,33,0)</f>
        <v>0</v>
      </c>
      <c r="Y24" s="36">
        <f>VLOOKUP($A24,[18]HISTONOV23!$A$6:$BM$36,65,0)</f>
        <v>0</v>
      </c>
      <c r="Z24" s="36"/>
      <c r="AA24" s="36">
        <f>VLOOKUP($A24,[18]HISTONOV23!$A$6:$AU$36,43,0)</f>
        <v>0</v>
      </c>
      <c r="AB24" s="36">
        <f>VLOOKUP($A24,[18]HISTONOV23!$A$6:$AU$36,44,0)</f>
        <v>0</v>
      </c>
      <c r="AC24" s="36">
        <f>VLOOKUP($A24,[18]HISTONOV23!$A$6:$AU$36,47,0)</f>
        <v>0</v>
      </c>
      <c r="AD24" s="36">
        <f>VLOOKUP(A24,[18]HISTONOV23!$A$6:$BB$36,54,0)</f>
        <v>0</v>
      </c>
      <c r="AE24" s="36">
        <f>VLOOKUP($A24,[18]HISTONOV23!$A$6:$CA$36,60,0)</f>
        <v>0</v>
      </c>
      <c r="AF24" s="36">
        <f>VLOOKUP($A24,[18]HISTONOV23!$A$6:$CA$36,61,0)</f>
        <v>0</v>
      </c>
      <c r="AG24" s="36">
        <f>VLOOKUP($A24,[18]HISTONOV23!$A$6:$CA$36,62,0)</f>
        <v>0</v>
      </c>
      <c r="AH24" s="36">
        <f>VLOOKUP($A24,[18]HISTONOV23!$A$6:$CA$36,63,0)</f>
        <v>0</v>
      </c>
      <c r="AI24" s="36">
        <f>VLOOKUP($A24,[18]HISTONOV23!$A$6:$CA$36,64,0)</f>
        <v>0</v>
      </c>
      <c r="AJ24" s="36">
        <f>VLOOKUP($A24,[18]HISTONOV23!$A$6:$CA$36,65,0)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VLOOKUP($A25,[18]HISTONOV23!$A$6:$BA$36,48,0)</f>
        <v>0</v>
      </c>
      <c r="F25" s="5">
        <f>MVTOCT23!F25+MVTOCT23!G25-MVTNOV23!E25+K25</f>
        <v>958382.52037525887</v>
      </c>
      <c r="G25" s="6">
        <v>0</v>
      </c>
      <c r="H25" s="6">
        <f t="shared" si="0"/>
        <v>958382.52037525887</v>
      </c>
      <c r="I25" s="36">
        <f>VLOOKUP($A25,[18]HISTONOV23!$A$6:$AQ$40,22,0)</f>
        <v>0</v>
      </c>
      <c r="J25" s="36">
        <f>VLOOKUP($A25,[18]HISTONOV23!$A$6:$AU$36,45,0)</f>
        <v>23000</v>
      </c>
      <c r="K25" s="36">
        <f t="shared" si="1"/>
        <v>17000</v>
      </c>
      <c r="L25" s="36">
        <f t="shared" si="6"/>
        <v>1000</v>
      </c>
      <c r="M25" s="36">
        <f t="shared" si="2"/>
        <v>1000</v>
      </c>
      <c r="N25" s="36">
        <f t="shared" si="5"/>
        <v>4000</v>
      </c>
      <c r="O25" s="36">
        <f>VLOOKUP($A25,[18]HISTONOV23!$A$6:$AU$36,7,0)</f>
        <v>0</v>
      </c>
      <c r="P25" s="36">
        <f>VLOOKUP($A25,[18]HISTONOV23!$A$6:$AU$36,23,0)</f>
        <v>0</v>
      </c>
      <c r="Q25" s="36">
        <f>VLOOKUP($A25,[18]HISTONOV23!$A$6:$AU$36,46,0)</f>
        <v>0</v>
      </c>
      <c r="R25" s="36">
        <f>VLOOKUP($A25,[18]HISTONOV23!$A$6:$AU$36,26,0)</f>
        <v>0</v>
      </c>
      <c r="S25" s="36">
        <f>VLOOKUP($A25,[18]HISTONOV23!$A$6:$BG$36,58,0)</f>
        <v>0</v>
      </c>
      <c r="T25" s="36">
        <f>VLOOKUP($A25,[18]HISTONOV23!$A$6:$AU$36,28,0)</f>
        <v>0</v>
      </c>
      <c r="U25" s="36">
        <f>VLOOKUP($A25,[18]HISTONOV23!$A$6:$AU$36,19,0)</f>
        <v>0</v>
      </c>
      <c r="V25" s="36">
        <f>VLOOKUP($A25,[18]HISTONOV23!$A$6:$AU$36,20,0)</f>
        <v>0</v>
      </c>
      <c r="W25" s="36">
        <f>VLOOKUP($A25,[18]HISTONOV23!$A$6:$AU$36,27,0)</f>
        <v>0</v>
      </c>
      <c r="X25" s="36">
        <f>VLOOKUP($A25,[18]HISTONOV23!$A$6:$BM$36,33,0)</f>
        <v>0</v>
      </c>
      <c r="Y25" s="36">
        <f>VLOOKUP($A25,[18]HISTONOV23!$A$6:$BM$36,65,0)</f>
        <v>0</v>
      </c>
      <c r="Z25" s="36"/>
      <c r="AA25" s="36">
        <f>VLOOKUP($A25,[18]HISTONOV23!$A$6:$AU$36,43,0)</f>
        <v>0</v>
      </c>
      <c r="AB25" s="36">
        <f>VLOOKUP($A25,[18]HISTONOV23!$A$6:$AU$36,44,0)</f>
        <v>0</v>
      </c>
      <c r="AC25" s="36">
        <f>VLOOKUP($A25,[18]HISTONOV23!$A$6:$AU$36,47,0)</f>
        <v>0</v>
      </c>
      <c r="AD25" s="36">
        <f>VLOOKUP(A25,[18]HISTONOV23!$A$6:$BB$36,54,0)</f>
        <v>0</v>
      </c>
      <c r="AE25" s="36">
        <f>VLOOKUP($A25,[18]HISTONOV23!$A$6:$CA$36,60,0)</f>
        <v>0</v>
      </c>
      <c r="AF25" s="36">
        <f>VLOOKUP($A25,[18]HISTONOV23!$A$6:$CA$36,61,0)</f>
        <v>0</v>
      </c>
      <c r="AG25" s="36">
        <f>VLOOKUP($A25,[18]HISTONOV23!$A$6:$CA$36,62,0)</f>
        <v>0</v>
      </c>
      <c r="AH25" s="36">
        <f>VLOOKUP($A25,[18]HISTONOV23!$A$6:$CA$36,63,0)</f>
        <v>0</v>
      </c>
      <c r="AI25" s="36">
        <f>VLOOKUP($A25,[18]HISTONOV23!$A$6:$CA$36,64,0)</f>
        <v>0</v>
      </c>
      <c r="AJ25" s="36">
        <f>VLOOKUP($A25,[18]HISTONOV23!$A$6:$CA$36,65,0)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VLOOKUP($A26,[18]HISTONOV23!$A$6:$BA$36,48,0)</f>
        <v>0</v>
      </c>
      <c r="F26" s="5">
        <f>MVTOCT23!F26+MVTOCT23!G26-MVTNOV23!E26+K26</f>
        <v>750031.76511104673</v>
      </c>
      <c r="G26" s="6">
        <v>0</v>
      </c>
      <c r="H26" s="6">
        <f t="shared" si="0"/>
        <v>750031.76511104673</v>
      </c>
      <c r="I26" s="36">
        <f>VLOOKUP($A26,[18]HISTONOV23!$A$6:$AQ$40,22,0)</f>
        <v>0</v>
      </c>
      <c r="J26" s="36">
        <f>VLOOKUP($A26,[18]HISTONOV23!$A$6:$AU$36,45,0)</f>
        <v>13000</v>
      </c>
      <c r="K26" s="36">
        <f t="shared" si="1"/>
        <v>7000</v>
      </c>
      <c r="L26" s="36">
        <f t="shared" si="6"/>
        <v>1000</v>
      </c>
      <c r="M26" s="36">
        <f t="shared" si="2"/>
        <v>1000</v>
      </c>
      <c r="N26" s="36">
        <f t="shared" si="5"/>
        <v>4000</v>
      </c>
      <c r="O26" s="36">
        <f>VLOOKUP($A26,[18]HISTONOV23!$A$6:$AU$36,7,0)</f>
        <v>3000</v>
      </c>
      <c r="P26" s="36">
        <f>VLOOKUP($A26,[18]HISTONOV23!$A$6:$AU$36,23,0)</f>
        <v>0</v>
      </c>
      <c r="Q26" s="36">
        <f>VLOOKUP($A26,[18]HISTONOV23!$A$6:$AU$36,46,0)</f>
        <v>0</v>
      </c>
      <c r="R26" s="36">
        <f>VLOOKUP($A26,[18]HISTONOV23!$A$6:$AU$36,26,0)</f>
        <v>0</v>
      </c>
      <c r="S26" s="36">
        <f>VLOOKUP($A26,[18]HISTONOV23!$A$6:$BG$36,58,0)</f>
        <v>0</v>
      </c>
      <c r="T26" s="36">
        <f>VLOOKUP($A26,[18]HISTONOV23!$A$6:$AU$36,28,0)</f>
        <v>0</v>
      </c>
      <c r="U26" s="36">
        <f>VLOOKUP($A26,[18]HISTONOV23!$A$6:$AU$36,19,0)</f>
        <v>0</v>
      </c>
      <c r="V26" s="36">
        <f>VLOOKUP($A26,[18]HISTONOV23!$A$6:$AU$36,20,0)</f>
        <v>0</v>
      </c>
      <c r="W26" s="36">
        <f>VLOOKUP($A26,[18]HISTONOV23!$A$6:$AU$36,27,0)</f>
        <v>0</v>
      </c>
      <c r="X26" s="36">
        <f>VLOOKUP($A26,[18]HISTONOV23!$A$6:$BM$36,33,0)</f>
        <v>0</v>
      </c>
      <c r="Y26" s="36">
        <f>VLOOKUP($A26,[18]HISTONOV23!$A$6:$BM$36,65,0)</f>
        <v>0</v>
      </c>
      <c r="Z26" s="36"/>
      <c r="AA26" s="36">
        <f>VLOOKUP($A26,[18]HISTONOV23!$A$6:$AU$36,43,0)</f>
        <v>0</v>
      </c>
      <c r="AB26" s="36">
        <f>VLOOKUP($A26,[18]HISTONOV23!$A$6:$AU$36,44,0)</f>
        <v>0</v>
      </c>
      <c r="AC26" s="36">
        <f>VLOOKUP($A26,[18]HISTONOV23!$A$6:$AU$36,47,0)</f>
        <v>0</v>
      </c>
      <c r="AD26" s="36">
        <f>VLOOKUP(A26,[18]HISTONOV23!$A$6:$BB$36,54,0)</f>
        <v>0</v>
      </c>
      <c r="AE26" s="36">
        <f>VLOOKUP($A26,[18]HISTONOV23!$A$6:$CA$36,60,0)</f>
        <v>0</v>
      </c>
      <c r="AF26" s="36">
        <f>VLOOKUP($A26,[18]HISTONOV23!$A$6:$CA$36,61,0)</f>
        <v>0</v>
      </c>
      <c r="AG26" s="36">
        <f>VLOOKUP($A26,[18]HISTONOV23!$A$6:$CA$36,62,0)</f>
        <v>0</v>
      </c>
      <c r="AH26" s="36">
        <f>VLOOKUP($A26,[18]HISTONOV23!$A$6:$CA$36,63,0)</f>
        <v>0</v>
      </c>
      <c r="AI26" s="36">
        <f>VLOOKUP($A26,[18]HISTONOV23!$A$6:$CA$36,64,0)</f>
        <v>0</v>
      </c>
      <c r="AJ26" s="36">
        <f>VLOOKUP($A26,[18]HISTONOV23!$A$6:$CA$36,65,0)</f>
        <v>0</v>
      </c>
    </row>
    <row r="27" spans="1:36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VLOOKUP($A27,[18]HISTONOV23!$A$6:$BA$36,48,0)</f>
        <v>0</v>
      </c>
      <c r="F27" s="5">
        <f>MVTOCT23!F27+MVTOCT23!G27-MVTNOV23!E27+K27</f>
        <v>702018.81693285913</v>
      </c>
      <c r="G27" s="6">
        <v>0</v>
      </c>
      <c r="H27" s="6">
        <f t="shared" si="0"/>
        <v>702018.81693285913</v>
      </c>
      <c r="I27" s="36">
        <f>VLOOKUP($A27,[18]HISTONOV23!$A$6:$AQ$40,22,0)</f>
        <v>0</v>
      </c>
      <c r="J27" s="36">
        <f>VLOOKUP($A27,[18]HISTONOV23!$A$6:$AU$36,45,0)</f>
        <v>25000</v>
      </c>
      <c r="K27" s="36">
        <f t="shared" si="1"/>
        <v>19000</v>
      </c>
      <c r="L27" s="36">
        <f t="shared" si="6"/>
        <v>1000</v>
      </c>
      <c r="M27" s="36">
        <f t="shared" si="2"/>
        <v>1000</v>
      </c>
      <c r="N27" s="36">
        <f t="shared" si="5"/>
        <v>4000</v>
      </c>
      <c r="O27" s="36">
        <f>VLOOKUP($A27,[18]HISTONOV23!$A$6:$AU$36,7,0)</f>
        <v>0</v>
      </c>
      <c r="P27" s="36">
        <f>VLOOKUP($A27,[18]HISTONOV23!$A$6:$AU$36,23,0)</f>
        <v>0</v>
      </c>
      <c r="Q27" s="36">
        <f>VLOOKUP($A27,[18]HISTONOV23!$A$6:$AU$36,46,0)</f>
        <v>0</v>
      </c>
      <c r="R27" s="36">
        <f>VLOOKUP($A27,[18]HISTONOV23!$A$6:$AU$36,26,0)</f>
        <v>0</v>
      </c>
      <c r="S27" s="36">
        <f>VLOOKUP($A27,[18]HISTONOV23!$A$6:$BG$36,58,0)</f>
        <v>0</v>
      </c>
      <c r="T27" s="36">
        <f>VLOOKUP($A27,[18]HISTONOV23!$A$6:$AU$36,28,0)</f>
        <v>0</v>
      </c>
      <c r="U27" s="36">
        <f>VLOOKUP($A27,[18]HISTONOV23!$A$6:$AU$36,19,0)</f>
        <v>0</v>
      </c>
      <c r="V27" s="36">
        <f>VLOOKUP($A27,[18]HISTONOV23!$A$6:$AU$36,20,0)</f>
        <v>0</v>
      </c>
      <c r="W27" s="36">
        <f>VLOOKUP($A27,[18]HISTONOV23!$A$6:$AU$36,27,0)</f>
        <v>0</v>
      </c>
      <c r="X27" s="36">
        <f>VLOOKUP($A27,[18]HISTONOV23!$A$6:$BM$36,33,0)</f>
        <v>0</v>
      </c>
      <c r="Y27" s="36">
        <f>VLOOKUP($A27,[18]HISTONOV23!$A$6:$BM$36,65,0)</f>
        <v>0</v>
      </c>
      <c r="Z27" s="36"/>
      <c r="AA27" s="36">
        <f>VLOOKUP($A27,[18]HISTONOV23!$A$6:$AU$36,43,0)</f>
        <v>0</v>
      </c>
      <c r="AB27" s="36">
        <f>VLOOKUP($A27,[18]HISTONOV23!$A$6:$AU$36,44,0)</f>
        <v>0</v>
      </c>
      <c r="AC27" s="36">
        <f>VLOOKUP($A27,[18]HISTONOV23!$A$6:$AU$36,47,0)</f>
        <v>0</v>
      </c>
      <c r="AD27" s="36">
        <f>VLOOKUP(A27,[18]HISTONOV23!$A$6:$BB$36,54,0)</f>
        <v>0</v>
      </c>
      <c r="AE27" s="36">
        <f>VLOOKUP($A27,[18]HISTONOV23!$A$6:$CA$36,60,0)</f>
        <v>0</v>
      </c>
      <c r="AF27" s="36">
        <f>VLOOKUP($A27,[18]HISTONOV23!$A$6:$CA$36,61,0)</f>
        <v>0</v>
      </c>
      <c r="AG27" s="36">
        <f>VLOOKUP($A27,[18]HISTONOV23!$A$6:$CA$36,62,0)</f>
        <v>0</v>
      </c>
      <c r="AH27" s="36">
        <f>VLOOKUP($A27,[18]HISTONOV23!$A$6:$CA$36,63,0)</f>
        <v>0</v>
      </c>
      <c r="AI27" s="36">
        <f>VLOOKUP($A27,[18]HISTONOV23!$A$6:$CA$36,64,0)</f>
        <v>0</v>
      </c>
      <c r="AJ27" s="36">
        <f>VLOOKUP($A27,[18]HISTONOV23!$A$6:$CA$36,65,0)</f>
        <v>0</v>
      </c>
    </row>
    <row r="28" spans="1:36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VLOOKUP($A28,[18]HISTONOV23!$A$6:$BA$36,48,0)</f>
        <v>0</v>
      </c>
      <c r="F28" s="5">
        <f>MVTOCT23!F28+MVTOCT23!G28-MVTNOV23!E28+K28</f>
        <v>774697.62899610656</v>
      </c>
      <c r="G28" s="6">
        <v>0</v>
      </c>
      <c r="H28" s="6">
        <f t="shared" si="0"/>
        <v>774697.62899610656</v>
      </c>
      <c r="I28" s="36">
        <f>VLOOKUP($A28,[18]HISTONOV23!$A$6:$AQ$40,22,0)</f>
        <v>0</v>
      </c>
      <c r="J28" s="36">
        <f>VLOOKUP($A28,[18]HISTONOV23!$A$6:$AU$36,45,0)</f>
        <v>15000</v>
      </c>
      <c r="K28" s="36">
        <f t="shared" si="1"/>
        <v>9000</v>
      </c>
      <c r="L28" s="36">
        <f t="shared" si="6"/>
        <v>1000</v>
      </c>
      <c r="M28" s="36">
        <f t="shared" si="2"/>
        <v>1000</v>
      </c>
      <c r="N28" s="36">
        <f t="shared" si="5"/>
        <v>4000</v>
      </c>
      <c r="O28" s="36">
        <f>VLOOKUP($A28,[18]HISTONOV23!$A$6:$AU$36,7,0)</f>
        <v>0</v>
      </c>
      <c r="P28" s="36">
        <f>VLOOKUP($A28,[18]HISTONOV23!$A$6:$AU$36,23,0)</f>
        <v>0</v>
      </c>
      <c r="Q28" s="36">
        <f>VLOOKUP($A28,[18]HISTONOV23!$A$6:$AU$36,46,0)</f>
        <v>0</v>
      </c>
      <c r="R28" s="36">
        <f>VLOOKUP($A28,[18]HISTONOV23!$A$6:$AU$36,26,0)</f>
        <v>0</v>
      </c>
      <c r="S28" s="36">
        <f>VLOOKUP($A28,[18]HISTONOV23!$A$6:$BG$36,58,0)</f>
        <v>0</v>
      </c>
      <c r="T28" s="36">
        <f>VLOOKUP($A28,[18]HISTONOV23!$A$6:$AU$36,28,0)</f>
        <v>0</v>
      </c>
      <c r="U28" s="36">
        <f>VLOOKUP($A28,[18]HISTONOV23!$A$6:$AU$36,19,0)</f>
        <v>0</v>
      </c>
      <c r="V28" s="36">
        <f>VLOOKUP($A28,[18]HISTONOV23!$A$6:$AU$36,20,0)</f>
        <v>0</v>
      </c>
      <c r="W28" s="36">
        <f>VLOOKUP($A28,[18]HISTONOV23!$A$6:$AU$36,27,0)</f>
        <v>0</v>
      </c>
      <c r="X28" s="36">
        <f>VLOOKUP($A28,[18]HISTONOV23!$A$6:$BM$36,33,0)</f>
        <v>0</v>
      </c>
      <c r="Y28" s="36">
        <f>VLOOKUP($A28,[18]HISTONOV23!$A$6:$BM$36,65,0)</f>
        <v>0</v>
      </c>
      <c r="Z28" s="36"/>
      <c r="AA28" s="36">
        <f>VLOOKUP($A28,[18]HISTONOV23!$A$6:$AU$36,43,0)</f>
        <v>0</v>
      </c>
      <c r="AB28" s="36">
        <f>VLOOKUP($A28,[18]HISTONOV23!$A$6:$AU$36,44,0)</f>
        <v>0</v>
      </c>
      <c r="AC28" s="36">
        <f>VLOOKUP($A28,[18]HISTONOV23!$A$6:$AU$36,47,0)</f>
        <v>0</v>
      </c>
      <c r="AD28" s="36">
        <f>VLOOKUP(A28,[18]HISTONOV23!$A$6:$BB$36,54,0)</f>
        <v>70000</v>
      </c>
      <c r="AE28" s="36">
        <f>VLOOKUP($A28,[18]HISTONOV23!$A$6:$CA$36,60,0)</f>
        <v>0</v>
      </c>
      <c r="AF28" s="36">
        <f>VLOOKUP($A28,[18]HISTONOV23!$A$6:$CA$36,61,0)</f>
        <v>0</v>
      </c>
      <c r="AG28" s="36">
        <f>VLOOKUP($A28,[18]HISTONOV23!$A$6:$CA$36,62,0)</f>
        <v>0</v>
      </c>
      <c r="AH28" s="36">
        <f>VLOOKUP($A28,[18]HISTONOV23!$A$6:$CA$36,63,0)</f>
        <v>0</v>
      </c>
      <c r="AI28" s="36">
        <f>VLOOKUP($A28,[18]HISTONOV23!$A$6:$CA$36,64,0)</f>
        <v>0</v>
      </c>
      <c r="AJ28" s="36">
        <f>VLOOKUP($A28,[18]HISTONOV23!$A$6:$CA$36,65,0)</f>
        <v>0</v>
      </c>
    </row>
    <row r="29" spans="1:36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VLOOKUP($A29,[18]HISTONOV23!$A$6:$BA$36,48,0)</f>
        <v>0</v>
      </c>
      <c r="F29" s="5">
        <f>MVTOCT23!F29+MVTOCT23!G29-MVTNOV23!E29+K29</f>
        <v>276500</v>
      </c>
      <c r="G29" s="6">
        <v>0</v>
      </c>
      <c r="H29" s="6">
        <f t="shared" si="0"/>
        <v>276500</v>
      </c>
      <c r="I29" s="36">
        <f>VLOOKUP($A29,[18]HISTONOV23!$A$6:$AQ$40,22,0)</f>
        <v>0</v>
      </c>
      <c r="J29" s="36">
        <f>VLOOKUP($A29,[18]HISTONOV23!$A$6:$AU$36,45,0)</f>
        <v>15000</v>
      </c>
      <c r="K29" s="36">
        <f t="shared" si="1"/>
        <v>9000</v>
      </c>
      <c r="L29" s="36">
        <f t="shared" si="6"/>
        <v>1000</v>
      </c>
      <c r="M29" s="36">
        <f t="shared" si="2"/>
        <v>1000</v>
      </c>
      <c r="N29" s="36">
        <f t="shared" si="5"/>
        <v>4000</v>
      </c>
      <c r="O29" s="36">
        <f>VLOOKUP($A29,[18]HISTONOV23!$A$6:$AU$36,7,0)</f>
        <v>0</v>
      </c>
      <c r="P29" s="36">
        <f>VLOOKUP($A29,[18]HISTONOV23!$A$6:$AU$36,23,0)</f>
        <v>0</v>
      </c>
      <c r="Q29" s="36">
        <f>VLOOKUP($A29,[18]HISTONOV23!$A$6:$AU$36,46,0)</f>
        <v>0</v>
      </c>
      <c r="R29" s="36">
        <f>VLOOKUP($A29,[18]HISTONOV23!$A$6:$AU$36,26,0)</f>
        <v>0</v>
      </c>
      <c r="S29" s="36">
        <f>VLOOKUP($A29,[18]HISTONOV23!$A$6:$BG$36,58,0)</f>
        <v>0</v>
      </c>
      <c r="T29" s="36">
        <f>VLOOKUP($A29,[18]HISTONOV23!$A$6:$AU$36,28,0)</f>
        <v>0</v>
      </c>
      <c r="U29" s="36">
        <f>VLOOKUP($A29,[18]HISTONOV23!$A$6:$AU$36,19,0)</f>
        <v>0</v>
      </c>
      <c r="V29" s="36">
        <f>VLOOKUP($A29,[18]HISTONOV23!$A$6:$AU$36,20,0)</f>
        <v>0</v>
      </c>
      <c r="W29" s="36">
        <f>VLOOKUP($A29,[18]HISTONOV23!$A$6:$AU$36,27,0)</f>
        <v>0</v>
      </c>
      <c r="X29" s="36">
        <f>VLOOKUP($A29,[18]HISTONOV23!$A$6:$BM$36,33,0)</f>
        <v>0</v>
      </c>
      <c r="Y29" s="36">
        <f>VLOOKUP($A29,[18]HISTONOV23!$A$6:$BM$36,65,0)</f>
        <v>0</v>
      </c>
      <c r="Z29" s="36"/>
      <c r="AA29" s="36">
        <f>VLOOKUP($A29,[18]HISTONOV23!$A$6:$AU$36,43,0)</f>
        <v>0</v>
      </c>
      <c r="AB29" s="36">
        <f>VLOOKUP($A29,[18]HISTONOV23!$A$6:$AU$36,44,0)</f>
        <v>0</v>
      </c>
      <c r="AC29" s="36">
        <f>VLOOKUP($A29,[18]HISTONOV23!$A$6:$AU$36,47,0)</f>
        <v>0</v>
      </c>
      <c r="AD29" s="36">
        <f>VLOOKUP(A29,[18]HISTONOV23!$A$6:$BB$36,54,0)</f>
        <v>0</v>
      </c>
      <c r="AE29" s="36">
        <f>VLOOKUP($A29,[18]HISTONOV23!$A$6:$CA$36,60,0)</f>
        <v>0</v>
      </c>
      <c r="AF29" s="36">
        <f>VLOOKUP($A29,[18]HISTONOV23!$A$6:$CA$36,61,0)</f>
        <v>0</v>
      </c>
      <c r="AG29" s="36">
        <f>VLOOKUP($A29,[18]HISTONOV23!$A$6:$CA$36,62,0)</f>
        <v>0</v>
      </c>
      <c r="AH29" s="36">
        <f>VLOOKUP($A29,[18]HISTONOV23!$A$6:$CA$36,63,0)</f>
        <v>0</v>
      </c>
      <c r="AI29" s="36">
        <f>VLOOKUP($A29,[18]HISTONOV23!$A$6:$CA$36,64,0)</f>
        <v>0</v>
      </c>
      <c r="AJ29" s="36">
        <f>VLOOKUP($A29,[18]HISTONOV23!$A$6:$CA$36,65,0)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VLOOKUP($A30,[18]HISTONOV23!$A$6:$BA$36,48,0)</f>
        <v>0</v>
      </c>
      <c r="F30" s="5">
        <f>MVTOCT23!F30+MVTOCT23!G30-MVTNOV23!E30+K30</f>
        <v>969364.63072073762</v>
      </c>
      <c r="G30" s="6">
        <v>0</v>
      </c>
      <c r="H30" s="6">
        <f t="shared" si="0"/>
        <v>969364.63072073762</v>
      </c>
      <c r="I30" s="36">
        <f>VLOOKUP($A30,[18]HISTONOV23!$A$6:$AQ$40,22,0)</f>
        <v>0</v>
      </c>
      <c r="J30" s="36">
        <f>VLOOKUP($A30,[18]HISTONOV23!$A$6:$AU$36,45,0)</f>
        <v>15000</v>
      </c>
      <c r="K30" s="36">
        <f t="shared" si="1"/>
        <v>9000</v>
      </c>
      <c r="L30" s="36">
        <f t="shared" si="6"/>
        <v>1000</v>
      </c>
      <c r="M30" s="36">
        <f t="shared" si="2"/>
        <v>1000</v>
      </c>
      <c r="N30" s="36">
        <f t="shared" si="5"/>
        <v>4000</v>
      </c>
      <c r="O30" s="36">
        <f>VLOOKUP($A30,[18]HISTONOV23!$A$6:$AU$36,7,0)</f>
        <v>0</v>
      </c>
      <c r="P30" s="36">
        <f>VLOOKUP($A30,[18]HISTONOV23!$A$6:$AU$36,23,0)</f>
        <v>0</v>
      </c>
      <c r="Q30" s="36">
        <f>VLOOKUP($A30,[18]HISTONOV23!$A$6:$AU$36,46,0)</f>
        <v>0</v>
      </c>
      <c r="R30" s="36">
        <f>VLOOKUP($A30,[18]HISTONOV23!$A$6:$AU$36,26,0)</f>
        <v>0</v>
      </c>
      <c r="S30" s="36">
        <f>VLOOKUP($A30,[18]HISTONOV23!$A$6:$BG$36,58,0)</f>
        <v>0</v>
      </c>
      <c r="T30" s="36">
        <f>VLOOKUP($A30,[18]HISTONOV23!$A$6:$AU$36,28,0)</f>
        <v>0</v>
      </c>
      <c r="U30" s="36">
        <f>VLOOKUP($A30,[18]HISTONOV23!$A$6:$AU$36,19,0)</f>
        <v>0</v>
      </c>
      <c r="V30" s="36">
        <f>VLOOKUP($A30,[18]HISTONOV23!$A$6:$AU$36,20,0)</f>
        <v>0</v>
      </c>
      <c r="W30" s="36">
        <f>VLOOKUP($A30,[18]HISTONOV23!$A$6:$AU$36,27,0)</f>
        <v>0</v>
      </c>
      <c r="X30" s="36">
        <f>VLOOKUP($A30,[18]HISTONOV23!$A$6:$BM$36,33,0)</f>
        <v>0</v>
      </c>
      <c r="Y30" s="36">
        <f>VLOOKUP($A30,[18]HISTONOV23!$A$6:$BM$36,65,0)</f>
        <v>0</v>
      </c>
      <c r="Z30" s="36"/>
      <c r="AA30" s="36">
        <f>VLOOKUP($A30,[18]HISTONOV23!$A$6:$AU$36,43,0)</f>
        <v>0</v>
      </c>
      <c r="AB30" s="36">
        <f>VLOOKUP($A30,[18]HISTONOV23!$A$6:$AU$36,44,0)</f>
        <v>0</v>
      </c>
      <c r="AC30" s="36">
        <f>VLOOKUP($A30,[18]HISTONOV23!$A$6:$AU$36,47,0)</f>
        <v>0</v>
      </c>
      <c r="AD30" s="36">
        <f>VLOOKUP(A30,[18]HISTONOV23!$A$6:$BB$36,54,0)</f>
        <v>0</v>
      </c>
      <c r="AE30" s="36">
        <f>VLOOKUP($A30,[18]HISTONOV23!$A$6:$CA$36,60,0)</f>
        <v>0</v>
      </c>
      <c r="AF30" s="36">
        <f>VLOOKUP($A30,[18]HISTONOV23!$A$6:$CA$36,61,0)</f>
        <v>0</v>
      </c>
      <c r="AG30" s="36">
        <f>VLOOKUP($A30,[18]HISTONOV23!$A$6:$CA$36,62,0)</f>
        <v>0</v>
      </c>
      <c r="AH30" s="36">
        <f>VLOOKUP($A30,[18]HISTONOV23!$A$6:$CA$36,63,0)</f>
        <v>0</v>
      </c>
      <c r="AI30" s="36">
        <f>VLOOKUP($A30,[18]HISTONOV23!$A$6:$CA$36,64,0)</f>
        <v>0</v>
      </c>
      <c r="AJ30" s="36">
        <f>VLOOKUP($A30,[18]HISTONOV23!$A$6:$CA$36,65,0)</f>
        <v>0</v>
      </c>
    </row>
    <row r="31" spans="1:36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VLOOKUP($A31,[18]HISTONOV23!$A$6:$BA$36,48,0)</f>
        <v>0</v>
      </c>
      <c r="F31" s="5">
        <f>MVTOCT23!F31+MVTOCT23!G31-MVTNOV23!E31+K31</f>
        <v>976687.08401367289</v>
      </c>
      <c r="G31" s="6">
        <v>0</v>
      </c>
      <c r="H31" s="6">
        <f t="shared" si="0"/>
        <v>976687.08401367289</v>
      </c>
      <c r="I31" s="36">
        <f>VLOOKUP($A31,[18]HISTONOV23!$A$6:$AQ$40,22,0)</f>
        <v>0</v>
      </c>
      <c r="J31" s="36">
        <f>VLOOKUP($A31,[18]HISTONOV23!$A$6:$AU$36,45,0)</f>
        <v>15500</v>
      </c>
      <c r="K31" s="36">
        <f t="shared" si="1"/>
        <v>9500</v>
      </c>
      <c r="L31" s="36">
        <f t="shared" si="6"/>
        <v>1000</v>
      </c>
      <c r="M31" s="36">
        <f t="shared" si="2"/>
        <v>1000</v>
      </c>
      <c r="N31" s="36">
        <f t="shared" si="5"/>
        <v>4000</v>
      </c>
      <c r="O31" s="36">
        <f>VLOOKUP($A31,[18]HISTONOV23!$A$6:$AU$36,7,0)</f>
        <v>0</v>
      </c>
      <c r="P31" s="36">
        <f>VLOOKUP($A31,[18]HISTONOV23!$A$6:$AU$36,23,0)</f>
        <v>0</v>
      </c>
      <c r="Q31" s="36">
        <f>VLOOKUP($A31,[18]HISTONOV23!$A$6:$AU$36,46,0)</f>
        <v>0</v>
      </c>
      <c r="R31" s="36">
        <f>VLOOKUP($A31,[18]HISTONOV23!$A$6:$AU$36,26,0)</f>
        <v>0</v>
      </c>
      <c r="S31" s="36">
        <f>VLOOKUP($A31,[18]HISTONOV23!$A$6:$BG$36,58,0)</f>
        <v>0</v>
      </c>
      <c r="T31" s="36">
        <f>VLOOKUP($A31,[18]HISTONOV23!$A$6:$AU$36,28,0)</f>
        <v>0</v>
      </c>
      <c r="U31" s="36">
        <f>VLOOKUP($A31,[18]HISTONOV23!$A$6:$AU$36,19,0)</f>
        <v>0</v>
      </c>
      <c r="V31" s="36">
        <f>VLOOKUP($A31,[18]HISTONOV23!$A$6:$AU$36,20,0)</f>
        <v>0</v>
      </c>
      <c r="W31" s="36">
        <f>VLOOKUP($A31,[18]HISTONOV23!$A$6:$AU$36,27,0)</f>
        <v>0</v>
      </c>
      <c r="X31" s="36">
        <f>VLOOKUP($A31,[18]HISTONOV23!$A$6:$BM$36,33,0)</f>
        <v>0</v>
      </c>
      <c r="Y31" s="36">
        <f>VLOOKUP($A31,[18]HISTONOV23!$A$6:$BM$36,65,0)</f>
        <v>0</v>
      </c>
      <c r="Z31" s="36"/>
      <c r="AA31" s="36">
        <f>VLOOKUP($A31,[18]HISTONOV23!$A$6:$AU$36,43,0)</f>
        <v>0</v>
      </c>
      <c r="AB31" s="36">
        <f>VLOOKUP($A31,[18]HISTONOV23!$A$6:$AU$36,44,0)</f>
        <v>0</v>
      </c>
      <c r="AC31" s="36">
        <f>VLOOKUP($A31,[18]HISTONOV23!$A$6:$AU$36,47,0)</f>
        <v>0</v>
      </c>
      <c r="AD31" s="36">
        <f>VLOOKUP(A31,[18]HISTONOV23!$A$6:$BB$36,54,0)</f>
        <v>0</v>
      </c>
      <c r="AE31" s="36">
        <f>VLOOKUP($A31,[18]HISTONOV23!$A$6:$CA$36,60,0)</f>
        <v>0</v>
      </c>
      <c r="AF31" s="36">
        <f>VLOOKUP($A31,[18]HISTONOV23!$A$6:$CA$36,61,0)</f>
        <v>0</v>
      </c>
      <c r="AG31" s="36">
        <f>VLOOKUP($A31,[18]HISTONOV23!$A$6:$CA$36,62,0)</f>
        <v>0</v>
      </c>
      <c r="AH31" s="36">
        <f>VLOOKUP($A31,[18]HISTONOV23!$A$6:$CA$36,63,0)</f>
        <v>0</v>
      </c>
      <c r="AI31" s="36">
        <f>VLOOKUP($A31,[18]HISTONOV23!$A$6:$CA$36,64,0)</f>
        <v>0</v>
      </c>
      <c r="AJ31" s="36">
        <f>VLOOKUP($A31,[18]HISTONOV23!$A$6:$CA$36,65,0)</f>
        <v>0</v>
      </c>
    </row>
    <row r="32" spans="1:36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VLOOKUP($A32,[18]HISTONOV23!$A$6:$BA$36,48,0)</f>
        <v>0</v>
      </c>
      <c r="F32" s="5">
        <f>MVTOCT23!F32+MVTOCT23!G32-MVTNOV23!E32+K32</f>
        <v>755975.67615086725</v>
      </c>
      <c r="G32" s="6">
        <v>0</v>
      </c>
      <c r="H32" s="6">
        <f t="shared" si="0"/>
        <v>755975.67615086725</v>
      </c>
      <c r="I32" s="36">
        <f>VLOOKUP($A32,[18]HISTONOV23!$A$6:$AQ$40,22,0)</f>
        <v>0</v>
      </c>
      <c r="J32" s="36">
        <f>VLOOKUP($A32,[18]HISTONOV23!$A$6:$AU$36,45,0)</f>
        <v>15000</v>
      </c>
      <c r="K32" s="36">
        <f t="shared" si="1"/>
        <v>9000</v>
      </c>
      <c r="L32" s="36">
        <f t="shared" si="6"/>
        <v>1000</v>
      </c>
      <c r="M32" s="36">
        <f t="shared" si="2"/>
        <v>1000</v>
      </c>
      <c r="N32" s="36">
        <f t="shared" si="5"/>
        <v>4000</v>
      </c>
      <c r="O32" s="36">
        <f>VLOOKUP($A32,[18]HISTONOV23!$A$6:$AU$36,7,0)</f>
        <v>0</v>
      </c>
      <c r="P32" s="36">
        <f>VLOOKUP($A32,[18]HISTONOV23!$A$6:$AU$36,23,0)</f>
        <v>0</v>
      </c>
      <c r="Q32" s="36">
        <f>VLOOKUP($A32,[18]HISTONOV23!$A$6:$AU$36,46,0)</f>
        <v>0</v>
      </c>
      <c r="R32" s="36">
        <f>VLOOKUP($A32,[18]HISTONOV23!$A$6:$AU$36,26,0)</f>
        <v>0</v>
      </c>
      <c r="S32" s="36">
        <f>VLOOKUP($A32,[18]HISTONOV23!$A$6:$BG$36,58,0)</f>
        <v>0</v>
      </c>
      <c r="T32" s="36">
        <f>VLOOKUP($A32,[18]HISTONOV23!$A$6:$AU$36,28,0)</f>
        <v>0</v>
      </c>
      <c r="U32" s="36">
        <f>VLOOKUP($A32,[18]HISTONOV23!$A$6:$AU$36,19,0)</f>
        <v>0</v>
      </c>
      <c r="V32" s="36">
        <f>VLOOKUP($A32,[18]HISTONOV23!$A$6:$AU$36,20,0)</f>
        <v>0</v>
      </c>
      <c r="W32" s="36">
        <f>VLOOKUP($A32,[18]HISTONOV23!$A$6:$AU$36,27,0)</f>
        <v>0</v>
      </c>
      <c r="X32" s="36">
        <f>VLOOKUP($A32,[18]HISTONOV23!$A$6:$BM$36,33,0)</f>
        <v>0</v>
      </c>
      <c r="Y32" s="36">
        <f>VLOOKUP($A32,[18]HISTONOV23!$A$6:$BM$36,65,0)</f>
        <v>0</v>
      </c>
      <c r="Z32" s="36"/>
      <c r="AA32" s="36">
        <f>VLOOKUP($A32,[18]HISTONOV23!$A$6:$AU$36,43,0)</f>
        <v>0</v>
      </c>
      <c r="AB32" s="36">
        <f>VLOOKUP($A32,[18]HISTONOV23!$A$6:$AU$36,44,0)</f>
        <v>0</v>
      </c>
      <c r="AC32" s="36">
        <f>VLOOKUP($A32,[18]HISTONOV23!$A$6:$AU$36,47,0)</f>
        <v>0</v>
      </c>
      <c r="AD32" s="36">
        <f>VLOOKUP(A32,[18]HISTONOV23!$A$6:$BB$36,54,0)</f>
        <v>0</v>
      </c>
      <c r="AE32" s="36">
        <f>VLOOKUP($A32,[18]HISTONOV23!$A$6:$CA$36,60,0)</f>
        <v>0</v>
      </c>
      <c r="AF32" s="36">
        <f>VLOOKUP($A32,[18]HISTONOV23!$A$6:$CA$36,61,0)</f>
        <v>0</v>
      </c>
      <c r="AG32" s="36">
        <f>VLOOKUP($A32,[18]HISTONOV23!$A$6:$CA$36,62,0)</f>
        <v>0</v>
      </c>
      <c r="AH32" s="36">
        <f>VLOOKUP($A32,[18]HISTONOV23!$A$6:$CA$36,63,0)</f>
        <v>0</v>
      </c>
      <c r="AI32" s="36">
        <f>VLOOKUP($A32,[18]HISTONOV23!$A$6:$CA$36,64,0)</f>
        <v>0</v>
      </c>
      <c r="AJ32" s="36">
        <f>VLOOKUP($A32,[18]HISTONOV23!$A$6:$CA$36,65,0)</f>
        <v>0</v>
      </c>
    </row>
    <row r="33" spans="1:36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VLOOKUP($A33,[18]HISTONOV23!$A$6:$BA$36,48,0)</f>
        <v>0</v>
      </c>
      <c r="F33" s="5">
        <f>MVTOCT23!F33+MVTOCT23!G33-MVTNOV23!E33+K33</f>
        <v>75000</v>
      </c>
      <c r="G33" s="6">
        <v>0</v>
      </c>
      <c r="H33" s="6">
        <f t="shared" si="0"/>
        <v>75000</v>
      </c>
      <c r="I33" s="36">
        <f>VLOOKUP($A33,[18]HISTONOV23!$A$6:$AQ$40,22,0)</f>
        <v>0</v>
      </c>
      <c r="J33" s="36">
        <f>VLOOKUP($A33,[18]HISTONOV23!$A$6:$AU$36,45,0)+30000</f>
        <v>33000</v>
      </c>
      <c r="K33" s="36">
        <f t="shared" si="1"/>
        <v>15000</v>
      </c>
      <c r="L33" s="36">
        <f>IF(J33=0,0,1000)+2000</f>
        <v>3000</v>
      </c>
      <c r="M33" s="36">
        <f>IF(J33=0,0,1000)+2000</f>
        <v>3000</v>
      </c>
      <c r="N33" s="36">
        <f>IF(J33=0,0,4000)+8000</f>
        <v>12000</v>
      </c>
      <c r="O33" s="36">
        <f>VLOOKUP($A33,[18]HISTONOV23!$A$6:$AU$36,7,0)</f>
        <v>12000</v>
      </c>
      <c r="P33" s="36">
        <f>VLOOKUP($A33,[18]HISTONOV23!$A$6:$AU$36,23,0)</f>
        <v>0</v>
      </c>
      <c r="Q33" s="36">
        <f>VLOOKUP($A33,[18]HISTONOV23!$A$6:$AU$36,46,0)</f>
        <v>0</v>
      </c>
      <c r="R33" s="36">
        <f>VLOOKUP($A33,[18]HISTONOV23!$A$6:$AU$36,26,0)</f>
        <v>0</v>
      </c>
      <c r="S33" s="36">
        <f>VLOOKUP($A33,[18]HISTONOV23!$A$6:$BG$36,58,0)</f>
        <v>0</v>
      </c>
      <c r="T33" s="36">
        <f>VLOOKUP($A33,[18]HISTONOV23!$A$6:$AU$36,28,0)</f>
        <v>0</v>
      </c>
      <c r="U33" s="36">
        <f>VLOOKUP($A33,[18]HISTONOV23!$A$6:$AU$36,19,0)</f>
        <v>0</v>
      </c>
      <c r="V33" s="36">
        <f>VLOOKUP($A33,[18]HISTONOV23!$A$6:$AU$36,20,0)</f>
        <v>0</v>
      </c>
      <c r="W33" s="36">
        <f>VLOOKUP($A33,[18]HISTONOV23!$A$6:$AU$36,27,0)</f>
        <v>0</v>
      </c>
      <c r="X33" s="36">
        <f>VLOOKUP($A33,[18]HISTONOV23!$A$6:$BM$36,33,0)</f>
        <v>0</v>
      </c>
      <c r="Y33" s="36">
        <f>VLOOKUP($A33,[18]HISTONOV23!$A$6:$BM$36,65,0)</f>
        <v>0</v>
      </c>
      <c r="Z33" s="36"/>
      <c r="AA33" s="36">
        <f>VLOOKUP($A33,[18]HISTONOV23!$A$6:$AU$36,43,0)</f>
        <v>0</v>
      </c>
      <c r="AB33" s="36">
        <f>VLOOKUP($A33,[18]HISTONOV23!$A$6:$AU$36,44,0)</f>
        <v>0</v>
      </c>
      <c r="AC33" s="36">
        <f>VLOOKUP($A33,[18]HISTONOV23!$A$6:$AU$36,47,0)</f>
        <v>0</v>
      </c>
      <c r="AD33" s="36">
        <f>VLOOKUP(A33,[18]HISTONOV23!$A$6:$BB$36,54,0)</f>
        <v>0</v>
      </c>
      <c r="AE33" s="36">
        <f>VLOOKUP($A33,[18]HISTONOV23!$A$6:$CA$36,60,0)</f>
        <v>0</v>
      </c>
      <c r="AF33" s="36">
        <f>VLOOKUP($A33,[18]HISTONOV23!$A$6:$CA$36,61,0)</f>
        <v>0</v>
      </c>
      <c r="AG33" s="36">
        <f>VLOOKUP($A33,[18]HISTONOV23!$A$6:$CA$36,62,0)</f>
        <v>0</v>
      </c>
      <c r="AH33" s="36">
        <f>VLOOKUP($A33,[18]HISTONOV23!$A$6:$CA$36,63,0)</f>
        <v>0</v>
      </c>
      <c r="AI33" s="36">
        <f>VLOOKUP($A33,[18]HISTONOV23!$A$6:$CA$36,64,0)</f>
        <v>0</v>
      </c>
      <c r="AJ33" s="36">
        <f>VLOOKUP($A33,[18]HISTONOV23!$A$6:$CA$36,65,0)</f>
        <v>0</v>
      </c>
    </row>
    <row r="34" spans="1:36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VLOOKUP($A34,[18]HISTONOV23!$A$6:$BA$36,48,0)</f>
        <v>0</v>
      </c>
      <c r="F34" s="5">
        <f>MVTOCT23!F34+MVTOCT23!G34-MVTNOV23!E34+K34</f>
        <v>729024.13813217054</v>
      </c>
      <c r="G34" s="6">
        <v>0</v>
      </c>
      <c r="H34" s="6">
        <f t="shared" si="0"/>
        <v>729024.13813217054</v>
      </c>
      <c r="I34" s="36">
        <f>VLOOKUP($A34,[18]HISTONOV23!$A$6:$AQ$40,22,0)</f>
        <v>0</v>
      </c>
      <c r="J34" s="36">
        <f>VLOOKUP($A34,[18]HISTONOV23!$A$6:$AU$36,45,0)</f>
        <v>45000</v>
      </c>
      <c r="K34" s="36">
        <f t="shared" si="1"/>
        <v>39000</v>
      </c>
      <c r="L34" s="36">
        <f t="shared" si="6"/>
        <v>1000</v>
      </c>
      <c r="M34" s="36">
        <f t="shared" si="2"/>
        <v>1000</v>
      </c>
      <c r="N34" s="36">
        <f t="shared" si="5"/>
        <v>4000</v>
      </c>
      <c r="O34" s="36">
        <f>VLOOKUP($A34,[18]HISTONOV23!$A$6:$AU$36,7,0)</f>
        <v>0</v>
      </c>
      <c r="P34" s="36">
        <f>VLOOKUP($A34,[18]HISTONOV23!$A$6:$AU$36,23,0)</f>
        <v>0</v>
      </c>
      <c r="Q34" s="36">
        <f>VLOOKUP($A34,[18]HISTONOV23!$A$6:$AU$36,46,0)</f>
        <v>0</v>
      </c>
      <c r="R34" s="36">
        <f>VLOOKUP($A34,[18]HISTONOV23!$A$6:$AU$36,26,0)</f>
        <v>0</v>
      </c>
      <c r="S34" s="36">
        <f>VLOOKUP($A34,[18]HISTONOV23!$A$6:$BG$36,58,0)</f>
        <v>0</v>
      </c>
      <c r="T34" s="36">
        <f>VLOOKUP($A34,[18]HISTONOV23!$A$6:$AU$36,28,0)</f>
        <v>0</v>
      </c>
      <c r="U34" s="36">
        <f>VLOOKUP($A34,[18]HISTONOV23!$A$6:$AU$36,19,0)</f>
        <v>0</v>
      </c>
      <c r="V34" s="36">
        <f>VLOOKUP($A34,[18]HISTONOV23!$A$6:$AU$36,20,0)</f>
        <v>0</v>
      </c>
      <c r="W34" s="36">
        <f>VLOOKUP($A34,[18]HISTONOV23!$A$6:$AU$36,27,0)</f>
        <v>0</v>
      </c>
      <c r="X34" s="36">
        <f>VLOOKUP($A34,[18]HISTONOV23!$A$6:$BM$36,33,0)</f>
        <v>0</v>
      </c>
      <c r="Y34" s="36">
        <f>VLOOKUP($A34,[18]HISTONOV23!$A$6:$BM$36,65,0)</f>
        <v>0</v>
      </c>
      <c r="Z34" s="36"/>
      <c r="AA34" s="36">
        <f>VLOOKUP($A34,[18]HISTONOV23!$A$6:$AU$36,43,0)</f>
        <v>0</v>
      </c>
      <c r="AB34" s="36">
        <f>VLOOKUP($A34,[18]HISTONOV23!$A$6:$AU$36,44,0)</f>
        <v>0</v>
      </c>
      <c r="AC34" s="36">
        <f>VLOOKUP($A34,[18]HISTONOV23!$A$6:$AU$36,47,0)</f>
        <v>0</v>
      </c>
      <c r="AD34" s="36">
        <f>VLOOKUP(A34,[18]HISTONOV23!$A$6:$BB$36,54,0)</f>
        <v>0</v>
      </c>
      <c r="AE34" s="36">
        <f>VLOOKUP($A34,[18]HISTONOV23!$A$6:$CA$36,60,0)</f>
        <v>0</v>
      </c>
      <c r="AF34" s="36">
        <f>VLOOKUP($A34,[18]HISTONOV23!$A$6:$CA$36,61,0)</f>
        <v>0</v>
      </c>
      <c r="AG34" s="36">
        <f>VLOOKUP($A34,[18]HISTONOV23!$A$6:$CA$36,62,0)</f>
        <v>0</v>
      </c>
      <c r="AH34" s="36">
        <f>VLOOKUP($A34,[18]HISTONOV23!$A$6:$CA$36,63,0)</f>
        <v>0</v>
      </c>
      <c r="AI34" s="36">
        <f>VLOOKUP($A34,[18]HISTONOV23!$A$6:$CA$36,64,0)</f>
        <v>0</v>
      </c>
      <c r="AJ34" s="36">
        <f>VLOOKUP($A34,[18]HISTONOV23!$A$6:$CA$36,65,0)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VLOOKUP($A35,[18]HISTONOV23!$A$6:$BA$36,48,0)</f>
        <v>0</v>
      </c>
      <c r="F35" s="5">
        <f>MVTOCT23!F35+MVTOCT23!G35-MVTNOV23!E35+K35</f>
        <v>1734327.2699994349</v>
      </c>
      <c r="G35" s="6">
        <v>0</v>
      </c>
      <c r="H35" s="6">
        <f t="shared" si="0"/>
        <v>1734327.2699994349</v>
      </c>
      <c r="I35" s="36">
        <f>VLOOKUP($A35,[18]HISTONOV23!$A$6:$AQ$40,22,0)</f>
        <v>0</v>
      </c>
      <c r="J35" s="36">
        <f>VLOOKUP($A35,[18]HISTONOV23!$A$6:$AU$36,45,0)</f>
        <v>12000</v>
      </c>
      <c r="K35" s="36">
        <f t="shared" si="1"/>
        <v>6000</v>
      </c>
      <c r="L35" s="36">
        <f t="shared" si="6"/>
        <v>1000</v>
      </c>
      <c r="M35" s="36">
        <f t="shared" si="2"/>
        <v>1000</v>
      </c>
      <c r="N35" s="36">
        <f t="shared" si="5"/>
        <v>4000</v>
      </c>
      <c r="O35" s="36">
        <f>VLOOKUP($A35,[18]HISTONOV23!$A$6:$AU$36,7,0)</f>
        <v>3000</v>
      </c>
      <c r="P35" s="36">
        <f>VLOOKUP($A35,[18]HISTONOV23!$A$6:$AU$36,23,0)</f>
        <v>0</v>
      </c>
      <c r="Q35" s="36">
        <f>VLOOKUP($A35,[18]HISTONOV23!$A$6:$AU$36,46,0)</f>
        <v>0</v>
      </c>
      <c r="R35" s="36">
        <f>VLOOKUP($A35,[18]HISTONOV23!$A$6:$AU$36,26,0)</f>
        <v>0</v>
      </c>
      <c r="S35" s="36">
        <f>VLOOKUP($A35,[18]HISTONOV23!$A$6:$BG$36,58,0)</f>
        <v>0</v>
      </c>
      <c r="T35" s="36">
        <f>VLOOKUP($A35,[18]HISTONOV23!$A$6:$AU$36,28,0)</f>
        <v>0</v>
      </c>
      <c r="U35" s="36">
        <f>VLOOKUP($A35,[18]HISTONOV23!$A$6:$AU$36,19,0)</f>
        <v>0</v>
      </c>
      <c r="V35" s="36">
        <f>VLOOKUP($A35,[18]HISTONOV23!$A$6:$AU$36,20,0)</f>
        <v>0</v>
      </c>
      <c r="W35" s="36">
        <f>VLOOKUP($A35,[18]HISTONOV23!$A$6:$AU$36,27,0)</f>
        <v>0</v>
      </c>
      <c r="X35" s="36">
        <f>VLOOKUP($A35,[18]HISTONOV23!$A$6:$BM$36,33,0)</f>
        <v>0</v>
      </c>
      <c r="Y35" s="36">
        <f>VLOOKUP($A35,[18]HISTONOV23!$A$6:$BM$36,65,0)</f>
        <v>0</v>
      </c>
      <c r="Z35" s="36"/>
      <c r="AA35" s="36">
        <f>VLOOKUP($A35,[18]HISTONOV23!$A$6:$AU$36,43,0)</f>
        <v>0</v>
      </c>
      <c r="AB35" s="36">
        <f>VLOOKUP($A35,[18]HISTONOV23!$A$6:$AU$36,44,0)</f>
        <v>0</v>
      </c>
      <c r="AC35" s="36">
        <f>VLOOKUP($A35,[18]HISTONOV23!$A$6:$AU$36,47,0)</f>
        <v>0</v>
      </c>
      <c r="AD35" s="36">
        <f>VLOOKUP(A35,[18]HISTONOV23!$A$6:$BB$36,54,0)</f>
        <v>0</v>
      </c>
      <c r="AE35" s="36">
        <f>VLOOKUP($A35,[18]HISTONOV23!$A$6:$CA$36,60,0)</f>
        <v>0</v>
      </c>
      <c r="AF35" s="36">
        <f>VLOOKUP($A35,[18]HISTONOV23!$A$6:$CA$36,61,0)</f>
        <v>0</v>
      </c>
      <c r="AG35" s="36">
        <f>VLOOKUP($A35,[18]HISTONOV23!$A$6:$CA$36,62,0)</f>
        <v>0</v>
      </c>
      <c r="AH35" s="36">
        <f>VLOOKUP($A35,[18]HISTONOV23!$A$6:$CA$36,63,0)</f>
        <v>0</v>
      </c>
      <c r="AI35" s="36">
        <f>VLOOKUP($A35,[18]HISTONOV23!$A$6:$CA$36,64,0)</f>
        <v>0</v>
      </c>
      <c r="AJ35" s="36">
        <f>VLOOKUP($A35,[18]HISTONOV23!$A$6:$CA$36,65,0)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VLOOKUP($A36,[18]HISTONOV23!$A$6:$BA$36,48,0)</f>
        <v>0</v>
      </c>
      <c r="F36" s="5">
        <f>MVTOCT23!F36+MVTOCT23!G36-MVTNOV23!E36+K36</f>
        <v>1899835.2055374836</v>
      </c>
      <c r="G36" s="6">
        <v>0</v>
      </c>
      <c r="H36" s="6">
        <f t="shared" si="0"/>
        <v>1899835.2055374836</v>
      </c>
      <c r="I36" s="36">
        <f>VLOOKUP($A36,[18]HISTONOV23!$A$6:$AQ$40,22,0)</f>
        <v>0</v>
      </c>
      <c r="J36" s="36">
        <f>VLOOKUP($A36,[18]HISTONOV23!$A$6:$AU$36,45,0)</f>
        <v>15000</v>
      </c>
      <c r="K36" s="36">
        <f t="shared" si="1"/>
        <v>9000</v>
      </c>
      <c r="L36" s="36">
        <f t="shared" si="6"/>
        <v>1000</v>
      </c>
      <c r="M36" s="36">
        <f t="shared" si="2"/>
        <v>1000</v>
      </c>
      <c r="N36" s="36">
        <f t="shared" si="5"/>
        <v>4000</v>
      </c>
      <c r="O36" s="36">
        <f>VLOOKUP($A36,[18]HISTONOV23!$A$6:$AU$36,7,0)</f>
        <v>0</v>
      </c>
      <c r="P36" s="36">
        <f>VLOOKUP($A36,[18]HISTONOV23!$A$6:$AU$36,23,0)</f>
        <v>0</v>
      </c>
      <c r="Q36" s="36">
        <f>VLOOKUP($A36,[18]HISTONOV23!$A$6:$AU$36,46,0)</f>
        <v>0</v>
      </c>
      <c r="R36" s="36">
        <f>VLOOKUP($A36,[18]HISTONOV23!$A$6:$AU$36,26,0)</f>
        <v>0</v>
      </c>
      <c r="S36" s="36">
        <f>VLOOKUP($A36,[18]HISTONOV23!$A$6:$BG$36,58,0)</f>
        <v>0</v>
      </c>
      <c r="T36" s="36">
        <f>VLOOKUP($A36,[18]HISTONOV23!$A$6:$AU$36,28,0)</f>
        <v>0</v>
      </c>
      <c r="U36" s="36">
        <f>VLOOKUP($A36,[18]HISTONOV23!$A$6:$AU$36,19,0)</f>
        <v>303000</v>
      </c>
      <c r="V36" s="36" t="str">
        <f>VLOOKUP($A36,[18]HISTONOV23!$A$6:$AU$36,20,0)</f>
        <v>BANQUE</v>
      </c>
      <c r="W36" s="36">
        <f>VLOOKUP($A36,[18]HISTONOV23!$A$6:$AU$36,27,0)</f>
        <v>0</v>
      </c>
      <c r="X36" s="36">
        <f>VLOOKUP($A36,[18]HISTONOV23!$A$6:$BM$36,33,0)</f>
        <v>0</v>
      </c>
      <c r="Y36" s="36">
        <f>VLOOKUP($A36,[18]HISTONOV23!$A$6:$BM$36,65,0)</f>
        <v>0</v>
      </c>
      <c r="Z36" s="36"/>
      <c r="AA36" s="36">
        <f>VLOOKUP($A36,[18]HISTONOV23!$A$6:$AU$36,43,0)</f>
        <v>0</v>
      </c>
      <c r="AB36" s="36">
        <f>VLOOKUP($A36,[18]HISTONOV23!$A$6:$AU$36,44,0)</f>
        <v>0</v>
      </c>
      <c r="AC36" s="36">
        <f>VLOOKUP($A36,[18]HISTONOV23!$A$6:$AU$36,47,0)</f>
        <v>0</v>
      </c>
      <c r="AD36" s="36">
        <f>VLOOKUP(A36,[18]HISTONOV23!$A$6:$BB$36,54,0)</f>
        <v>70000</v>
      </c>
      <c r="AE36" s="36">
        <f>VLOOKUP($A36,[18]HISTONOV23!$A$6:$CA$36,60,0)</f>
        <v>0</v>
      </c>
      <c r="AF36" s="36">
        <f>VLOOKUP($A36,[18]HISTONOV23!$A$6:$CA$36,61,0)</f>
        <v>0</v>
      </c>
      <c r="AG36" s="36">
        <f>VLOOKUP($A36,[18]HISTONOV23!$A$6:$CA$36,62,0)</f>
        <v>0</v>
      </c>
      <c r="AH36" s="36">
        <f>VLOOKUP($A36,[18]HISTONOV23!$A$6:$CA$36,63,0)</f>
        <v>0</v>
      </c>
      <c r="AI36" s="36">
        <f>VLOOKUP($A36,[18]HISTONOV23!$A$6:$CA$36,64,0)</f>
        <v>0</v>
      </c>
      <c r="AJ36" s="36">
        <f>VLOOKUP($A36,[18]HISTONOV23!$A$6:$CA$36,65,0)</f>
        <v>0</v>
      </c>
    </row>
    <row r="37" spans="1:36" x14ac:dyDescent="0.25">
      <c r="A37" s="1" t="s">
        <v>27</v>
      </c>
      <c r="B37" s="1" t="s">
        <v>335</v>
      </c>
      <c r="C37" s="1"/>
      <c r="D37" s="1"/>
      <c r="E37" s="1"/>
      <c r="F37" s="5">
        <f>MVTOCT23!F37+MVTOCT23!G37-MVTNOV23!E37+K37</f>
        <v>153468</v>
      </c>
      <c r="G37" s="1"/>
      <c r="H37" s="6">
        <f t="shared" si="0"/>
        <v>153468</v>
      </c>
      <c r="I37" s="6"/>
      <c r="J37" s="6"/>
      <c r="K37" s="3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J40" si="7">SUM(C6:C39)</f>
        <v>0</v>
      </c>
      <c r="D40" s="9">
        <f t="shared" si="7"/>
        <v>0</v>
      </c>
      <c r="E40" s="9">
        <f t="shared" si="7"/>
        <v>0</v>
      </c>
      <c r="F40" s="9">
        <f t="shared" si="7"/>
        <v>27183326.324737493</v>
      </c>
      <c r="G40" s="9">
        <f t="shared" si="7"/>
        <v>0</v>
      </c>
      <c r="H40" s="9">
        <f t="shared" si="7"/>
        <v>27183326.324737493</v>
      </c>
      <c r="I40" s="9">
        <f t="shared" si="7"/>
        <v>0</v>
      </c>
      <c r="J40" s="9">
        <f t="shared" si="7"/>
        <v>564500</v>
      </c>
      <c r="K40" s="9">
        <f t="shared" si="7"/>
        <v>372500</v>
      </c>
      <c r="L40" s="9">
        <f t="shared" si="7"/>
        <v>32000</v>
      </c>
      <c r="M40" s="9">
        <f t="shared" si="7"/>
        <v>32000</v>
      </c>
      <c r="N40" s="9">
        <f t="shared" si="7"/>
        <v>128000</v>
      </c>
      <c r="O40" s="9">
        <f t="shared" si="7"/>
        <v>18000</v>
      </c>
      <c r="P40" s="9">
        <f t="shared" si="7"/>
        <v>0</v>
      </c>
      <c r="Q40" s="9">
        <f t="shared" si="7"/>
        <v>0</v>
      </c>
      <c r="R40" s="9">
        <f t="shared" si="7"/>
        <v>0</v>
      </c>
      <c r="S40" s="9">
        <f t="shared" si="7"/>
        <v>0</v>
      </c>
      <c r="T40" s="9">
        <f t="shared" si="7"/>
        <v>0</v>
      </c>
      <c r="U40" s="9">
        <f t="shared" si="7"/>
        <v>439500</v>
      </c>
      <c r="V40" s="9">
        <f t="shared" si="7"/>
        <v>0</v>
      </c>
      <c r="W40" s="9">
        <f t="shared" si="7"/>
        <v>0</v>
      </c>
      <c r="X40" s="9">
        <f t="shared" si="7"/>
        <v>0</v>
      </c>
      <c r="Y40" s="9">
        <f t="shared" si="7"/>
        <v>0</v>
      </c>
      <c r="Z40" s="9">
        <f t="shared" si="7"/>
        <v>0</v>
      </c>
      <c r="AA40" s="9">
        <f t="shared" si="7"/>
        <v>0</v>
      </c>
      <c r="AB40" s="9">
        <f t="shared" si="7"/>
        <v>0</v>
      </c>
      <c r="AC40" s="9">
        <f t="shared" si="7"/>
        <v>0</v>
      </c>
      <c r="AD40" s="9">
        <f t="shared" si="7"/>
        <v>210000</v>
      </c>
      <c r="AE40" s="9">
        <f t="shared" si="7"/>
        <v>6000</v>
      </c>
      <c r="AF40" s="9">
        <f t="shared" si="7"/>
        <v>0</v>
      </c>
      <c r="AG40" s="9">
        <f t="shared" si="7"/>
        <v>0</v>
      </c>
      <c r="AH40" s="9">
        <f t="shared" si="7"/>
        <v>110000</v>
      </c>
      <c r="AI40" s="9">
        <f t="shared" si="7"/>
        <v>0</v>
      </c>
      <c r="AJ40" s="9">
        <f t="shared" si="7"/>
        <v>0</v>
      </c>
    </row>
    <row r="43" spans="1:36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tabSelected="1" workbookViewId="0">
      <pane xSplit="2" ySplit="5" topLeftCell="D6" activePane="bottomRight" state="frozen"/>
      <selection activeCell="J4" sqref="J4:O4"/>
      <selection pane="topRight" activeCell="J4" sqref="J4:O4"/>
      <selection pane="bottomLeft" activeCell="J4" sqref="J4:O4"/>
      <selection pane="bottomRight" activeCell="F6" sqref="F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8"/>
      <c r="AL1" s="159"/>
    </row>
    <row r="2" spans="1:38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147"/>
      <c r="J4" s="157">
        <v>45277</v>
      </c>
      <c r="K4" s="157"/>
      <c r="L4" s="157"/>
      <c r="M4" s="157"/>
      <c r="N4" s="157"/>
      <c r="O4" s="157"/>
      <c r="P4"/>
      <c r="Q4"/>
      <c r="AJ4" s="104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  <c r="AK5" s="83" t="s">
        <v>338</v>
      </c>
    </row>
    <row r="6" spans="1:38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MVTNOV23!F6+MVTNOV23!G6-MVTDEC23!E6+K6</f>
        <v>886523.25892224174</v>
      </c>
      <c r="G6" s="6"/>
      <c r="H6" s="6">
        <f>F6+G6</f>
        <v>886523.25892224174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VLOOKUP($A6,[18]HISTODEC23!$A$6:$CA$36,60,0)</f>
        <v>6000</v>
      </c>
      <c r="AF6" s="36">
        <f>VLOOKUP($A6,[18]HISTODEC23!$A$6:$CA$36,61,0)</f>
        <v>0</v>
      </c>
      <c r="AG6" s="36">
        <f>VLOOKUP($A6,[18]HISTODEC23!$A$6:$CA$36,62,0)</f>
        <v>0</v>
      </c>
      <c r="AH6" s="36">
        <f>VLOOKUP($A6,[18]HISTODEC23!$A$6:$CA$36,63,0)</f>
        <v>0</v>
      </c>
      <c r="AI6" s="36">
        <f>VLOOKUP($A6,[18]HISTODEC23!$A$6:$CA$36,64,0)</f>
        <v>0</v>
      </c>
      <c r="AJ6" s="36">
        <f>VLOOKUP($A6,[18]HISTODEC23!$A$6:$CA$36,65,0)</f>
        <v>0</v>
      </c>
      <c r="AK6" s="36">
        <f>VLOOKUP($A6,[20]DETAILFICHECASSATION!$A$6:$R$36,12,0)</f>
        <v>0</v>
      </c>
    </row>
    <row r="7" spans="1:38" x14ac:dyDescent="0.25">
      <c r="A7" s="1" t="s">
        <v>17</v>
      </c>
      <c r="B7" s="1" t="str">
        <f>VLOOKUP(A7,[15]LISTADHERENT!A$5:H$60,3,0)</f>
        <v>BAKOP ACHILLE</v>
      </c>
      <c r="C7" s="5"/>
      <c r="D7" s="5"/>
      <c r="E7" s="36">
        <f>VLOOKUP($A7,[18]HISTODEC23!$A$6:$BA$36,48,0)</f>
        <v>0</v>
      </c>
      <c r="F7" s="5">
        <f>MVTNOV23!F7+MVTNOV23!G7-MVTDEC23!E7+K7</f>
        <v>718482.49636100209</v>
      </c>
      <c r="G7" s="6"/>
      <c r="H7" s="6">
        <f t="shared" ref="H7:H37" si="0">F7+G7</f>
        <v>718482.49636100209</v>
      </c>
      <c r="I7" s="36">
        <f>VLOOKUP($A7,[18]HISTODEC23!$A$6:$AQ$40,22,0)</f>
        <v>0</v>
      </c>
      <c r="J7" s="36">
        <f>VLOOKUP($A7,[18]HISTODEC23!$A$6:$AU$36,45,0)</f>
        <v>15000</v>
      </c>
      <c r="K7" s="36">
        <f t="shared" ref="K7:K36" si="1">IF(J7=0,0,J7-(L7+M7+N7))</f>
        <v>9000</v>
      </c>
      <c r="L7" s="36">
        <f>IF(J7=0,0,1000)</f>
        <v>1000</v>
      </c>
      <c r="M7" s="36">
        <f t="shared" ref="M7:M36" si="2">IF(J7=0,0,1000)</f>
        <v>1000</v>
      </c>
      <c r="N7" s="36">
        <f>IF(J7=0,0,4000)</f>
        <v>4000</v>
      </c>
      <c r="O7" s="36">
        <f>VLOOKUP($A7,[18]HISTODEC23!$A$6:$AU$36,7,0)</f>
        <v>0</v>
      </c>
      <c r="P7" s="36">
        <f>VLOOKUP($A7,[18]HISTODEC23!$A$6:$AU$36,23,0)</f>
        <v>0</v>
      </c>
      <c r="Q7" s="36">
        <f>VLOOKUP($A7,[18]HISTODEC23!$A$6:$AU$36,46,0)</f>
        <v>0</v>
      </c>
      <c r="R7" s="36">
        <f>VLOOKUP($A7,[18]HISTODEC23!$A$6:$AU$36,26,0)</f>
        <v>600000</v>
      </c>
      <c r="S7" s="36">
        <f>VLOOKUP($A7,[18]HISTODEC23!$A$6:$BG$36,58,0)</f>
        <v>36000</v>
      </c>
      <c r="T7" s="36">
        <f>VLOOKUP($A7,[18]HISTODEC23!$A$6:$AU$36,28,0)</f>
        <v>0</v>
      </c>
      <c r="U7" s="36">
        <f>VLOOKUP($A7,[18]HISTODEC23!$A$6:$AU$36,19,0)</f>
        <v>600000</v>
      </c>
      <c r="V7" s="36" t="str">
        <f>VLOOKUP($A7,[18]HISTODEC23!$A$6:$AU$36,20,0)</f>
        <v>BANQUE</v>
      </c>
      <c r="W7" s="36" t="str">
        <f>VLOOKUP($A7,[18]HISTODEC23!$A$6:$AU$36,27,0)</f>
        <v>BANQUE</v>
      </c>
      <c r="X7" s="36">
        <f>VLOOKUP($A7,[18]HISTODEC23!$A$6:$BM$36,33,0)</f>
        <v>0</v>
      </c>
      <c r="Y7" s="36">
        <f>VLOOKUP($A7,[18]HISTODEC23!$A$6:$BM$36,65,0)</f>
        <v>0</v>
      </c>
      <c r="Z7" s="36"/>
      <c r="AA7" s="36">
        <f>VLOOKUP($A7,[18]HISTODEC23!$A$6:$AU$36,43,0)</f>
        <v>0</v>
      </c>
      <c r="AB7" s="36">
        <f>VLOOKUP($A7,[18]HISTODEC23!$A$6:$AU$36,44,0)</f>
        <v>0</v>
      </c>
      <c r="AC7" s="36">
        <f>VLOOKUP($A7,[18]HISTODEC23!$A$6:$AU$36,47,0)</f>
        <v>0</v>
      </c>
      <c r="AD7" s="36">
        <f>VLOOKUP(A7,[18]HISTODEC23!$A$6:$BB$36,54,0)</f>
        <v>0</v>
      </c>
      <c r="AE7" s="36">
        <f>VLOOKUP($A7,[18]HISTODEC23!$A$6:$CA$36,60,0)</f>
        <v>0</v>
      </c>
      <c r="AF7" s="36">
        <f>VLOOKUP($A7,[18]HISTODEC23!$A$6:$CA$36,61,0)</f>
        <v>0</v>
      </c>
      <c r="AG7" s="36">
        <f>VLOOKUP($A7,[18]HISTODEC23!$A$6:$CA$36,62,0)</f>
        <v>0</v>
      </c>
      <c r="AH7" s="36">
        <f>VLOOKUP($A7,[18]HISTODEC23!$A$6:$CA$36,63,0)</f>
        <v>0</v>
      </c>
      <c r="AI7" s="36">
        <f>VLOOKUP($A7,[18]HISTODEC23!$A$6:$CA$36,64,0)</f>
        <v>0</v>
      </c>
      <c r="AJ7" s="36">
        <f>VLOOKUP($A7,[18]HISTODEC23!$A$6:$CA$36,65,0)</f>
        <v>0</v>
      </c>
      <c r="AK7" s="36">
        <f>VLOOKUP($A7,[20]DETAILFICHECASSATION!$A$6:$R$36,12,0)</f>
        <v>700000</v>
      </c>
    </row>
    <row r="8" spans="1:38" x14ac:dyDescent="0.25">
      <c r="A8" s="1" t="s">
        <v>19</v>
      </c>
      <c r="B8" s="1" t="str">
        <f>VLOOKUP(A8,[15]LISTADHERENT!A$5:H$60,3,0)</f>
        <v>BOUTCHOUANG WILLIAM</v>
      </c>
      <c r="C8" s="5"/>
      <c r="D8" s="5"/>
      <c r="E8" s="36">
        <f>VLOOKUP($A8,[18]HISTODEC23!$A$6:$BA$36,48,0)</f>
        <v>0</v>
      </c>
      <c r="F8" s="5">
        <f>MVTNOV23!F8+MVTNOV23!G8-MVTDEC23!E8+K8</f>
        <v>768032.78740215104</v>
      </c>
      <c r="G8" s="6"/>
      <c r="H8" s="6">
        <f t="shared" si="0"/>
        <v>768032.78740215104</v>
      </c>
      <c r="I8" s="36">
        <f>VLOOKUP($A8,[18]HISTODEC23!$A$6:$AQ$40,22,0)</f>
        <v>19000</v>
      </c>
      <c r="J8" s="36">
        <f>VLOOKUP($A8,[18]HISTODEC23!$A$6:$AU$36,45,0)</f>
        <v>15000</v>
      </c>
      <c r="K8" s="36">
        <f t="shared" si="1"/>
        <v>9000</v>
      </c>
      <c r="L8" s="36">
        <f>IF(J8=0,0,1000)</f>
        <v>1000</v>
      </c>
      <c r="M8" s="36">
        <f t="shared" si="2"/>
        <v>1000</v>
      </c>
      <c r="N8" s="36">
        <f>IF(J8=0,0,4000)</f>
        <v>4000</v>
      </c>
      <c r="O8" s="36">
        <f>VLOOKUP($A8,[18]HISTODEC23!$A$6:$AU$36,7,0)</f>
        <v>0</v>
      </c>
      <c r="P8" s="36">
        <f>VLOOKUP($A8,[18]HISTODEC23!$A$6:$AU$36,23,0)</f>
        <v>0</v>
      </c>
      <c r="Q8" s="36">
        <f>VLOOKUP($A8,[18]HISTODEC23!$A$6:$AU$36,46,0)</f>
        <v>0</v>
      </c>
      <c r="R8" s="36">
        <f>VLOOKUP($A8,[18]HISTODEC23!$A$6:$AU$36,26,0)</f>
        <v>500000</v>
      </c>
      <c r="S8" s="36">
        <f>VLOOKUP($A8,[18]HISTODEC23!$A$6:$BG$36,58,0)</f>
        <v>15000</v>
      </c>
      <c r="T8" s="36">
        <f>VLOOKUP($A8,[18]HISTODEC23!$A$6:$AU$36,28,0)</f>
        <v>0</v>
      </c>
      <c r="U8" s="36">
        <f>VLOOKUP($A8,[18]HISTODEC23!$A$6:$AU$36,19,0)</f>
        <v>0</v>
      </c>
      <c r="V8" s="36">
        <f>VLOOKUP($A8,[18]HISTODEC23!$A$6:$AU$36,20,0)</f>
        <v>0</v>
      </c>
      <c r="W8" s="36" t="str">
        <f>VLOOKUP($A8,[18]HISTODEC23!$A$6:$AU$36,27,0)</f>
        <v>BANQUE</v>
      </c>
      <c r="X8" s="36">
        <f>VLOOKUP($A8,[18]HISTODEC23!$A$6:$BM$36,33,0)</f>
        <v>0</v>
      </c>
      <c r="Y8" s="36">
        <f>VLOOKUP($A8,[18]HISTODEC23!$A$6:$BM$36,65,0)</f>
        <v>0</v>
      </c>
      <c r="Z8" s="36"/>
      <c r="AA8" s="36">
        <f>VLOOKUP($A8,[18]HISTODEC23!$A$6:$AU$36,43,0)</f>
        <v>0</v>
      </c>
      <c r="AB8" s="36">
        <f>VLOOKUP($A8,[18]HISTODEC23!$A$6:$AU$36,44,0)</f>
        <v>0</v>
      </c>
      <c r="AC8" s="36">
        <f>VLOOKUP($A8,[18]HISTODEC23!$A$6:$AU$36,47,0)</f>
        <v>0</v>
      </c>
      <c r="AD8" s="36">
        <f>VLOOKUP(A8,[18]HISTODEC23!$A$6:$BB$36,54,0)</f>
        <v>0</v>
      </c>
      <c r="AE8" s="36">
        <f>VLOOKUP($A8,[18]HISTODEC23!$A$6:$CA$36,60,0)</f>
        <v>0</v>
      </c>
      <c r="AF8" s="36">
        <f>VLOOKUP($A8,[18]HISTODEC23!$A$6:$CA$36,61,0)</f>
        <v>0</v>
      </c>
      <c r="AG8" s="36">
        <f>VLOOKUP($A8,[18]HISTODEC23!$A$6:$CA$36,62,0)</f>
        <v>0</v>
      </c>
      <c r="AH8" s="36">
        <f>VLOOKUP($A8,[18]HISTODEC23!$A$6:$CA$36,63,0)</f>
        <v>0</v>
      </c>
      <c r="AI8" s="36">
        <f>VLOOKUP($A8,[18]HISTODEC23!$A$6:$CA$36,64,0)</f>
        <v>0</v>
      </c>
      <c r="AJ8" s="36">
        <f>VLOOKUP($A8,[18]HISTODEC23!$A$6:$CA$36,65,0)</f>
        <v>0</v>
      </c>
      <c r="AK8" s="36">
        <f>VLOOKUP($A8,[20]DETAILFICHECASSATION!$A$6:$R$36,12,0)</f>
        <v>100000</v>
      </c>
    </row>
    <row r="9" spans="1:38" x14ac:dyDescent="0.25">
      <c r="A9" s="1" t="s">
        <v>23</v>
      </c>
      <c r="B9" s="1" t="str">
        <f>VLOOKUP(A9,[15]LISTADHERENT!A$5:H$60,3,0)</f>
        <v xml:space="preserve">DJOMO JEAN PAUL </v>
      </c>
      <c r="C9" s="5"/>
      <c r="D9" s="5"/>
      <c r="E9" s="36">
        <f>VLOOKUP($A9,[18]HISTODEC23!$A$6:$BA$36,48,0)</f>
        <v>0</v>
      </c>
      <c r="F9" s="5">
        <f>MVTNOV23!F9+MVTNOV23!G9-MVTDEC23!E9+K9</f>
        <v>827357.63320162182</v>
      </c>
      <c r="G9" s="6"/>
      <c r="H9" s="6">
        <f t="shared" si="0"/>
        <v>827357.63320162182</v>
      </c>
      <c r="I9" s="36">
        <f>VLOOKUP($A9,[18]HISTODEC23!$A$6:$AQ$40,22,0)</f>
        <v>9000</v>
      </c>
      <c r="J9" s="36">
        <f>VLOOKUP($A9,[18]HISTODEC23!$A$6:$AU$36,45,0)</f>
        <v>40000</v>
      </c>
      <c r="K9" s="36">
        <f t="shared" si="1"/>
        <v>34000</v>
      </c>
      <c r="L9" s="36">
        <f t="shared" ref="L9:L36" si="3">IF(J9=0,0,1000)</f>
        <v>1000</v>
      </c>
      <c r="M9" s="36">
        <f t="shared" si="2"/>
        <v>1000</v>
      </c>
      <c r="N9" s="36">
        <f t="shared" ref="N9:N36" si="4">IF(J9=0,0,4000)</f>
        <v>4000</v>
      </c>
      <c r="O9" s="36">
        <f>VLOOKUP($A9,[18]HISTODEC23!$A$6:$AU$36,7,0)</f>
        <v>0</v>
      </c>
      <c r="P9" s="36">
        <f>VLOOKUP($A9,[18]HISTODEC23!$A$6:$AU$36,23,0)</f>
        <v>0</v>
      </c>
      <c r="Q9" s="36">
        <f>VLOOKUP($A9,[18]HISTODEC23!$A$6:$AU$36,46,0)</f>
        <v>0</v>
      </c>
      <c r="R9" s="36">
        <f>VLOOKUP($A9,[18]HISTODEC23!$A$6:$AU$36,26,0)</f>
        <v>1000000</v>
      </c>
      <c r="S9" s="36">
        <f>VLOOKUP($A9,[18]HISTODEC23!$A$6:$BG$36,58,0)</f>
        <v>120000</v>
      </c>
      <c r="T9" s="36">
        <f>VLOOKUP($A9,[18]HISTODEC23!$A$6:$AU$36,28,0)</f>
        <v>0</v>
      </c>
      <c r="U9" s="36">
        <f>VLOOKUP($A9,[18]HISTODEC23!$A$6:$AU$36,19,0)</f>
        <v>1000000</v>
      </c>
      <c r="V9" s="36" t="str">
        <f>VLOOKUP($A9,[18]HISTODEC23!$A$6:$AU$36,20,0)</f>
        <v>BANQUE</v>
      </c>
      <c r="W9" s="36" t="str">
        <f>VLOOKUP($A9,[18]HISTODEC23!$A$6:$AU$36,27,0)</f>
        <v>BANQUE</v>
      </c>
      <c r="X9" s="36">
        <f>VLOOKUP($A9,[18]HISTODEC23!$A$6:$BM$36,33,0)</f>
        <v>0</v>
      </c>
      <c r="Y9" s="36">
        <f>VLOOKUP($A9,[18]HISTODEC23!$A$6:$BM$36,65,0)</f>
        <v>0</v>
      </c>
      <c r="Z9" s="36"/>
      <c r="AA9" s="36">
        <f>VLOOKUP($A9,[18]HISTODEC23!$A$6:$AU$36,43,0)</f>
        <v>0</v>
      </c>
      <c r="AB9" s="36">
        <f>VLOOKUP($A9,[18]HISTODEC23!$A$6:$AU$36,44,0)</f>
        <v>0</v>
      </c>
      <c r="AC9" s="36">
        <f>VLOOKUP($A9,[18]HISTODEC23!$A$6:$AU$36,47,0)</f>
        <v>0</v>
      </c>
      <c r="AD9" s="36">
        <f>VLOOKUP(A9,[18]HISTODEC23!$A$6:$BB$36,54,0)</f>
        <v>0</v>
      </c>
      <c r="AE9" s="36">
        <f>VLOOKUP($A9,[18]HISTODEC23!$A$6:$CA$36,60,0)</f>
        <v>0</v>
      </c>
      <c r="AF9" s="36">
        <f>VLOOKUP($A9,[18]HISTODEC23!$A$6:$CA$36,61,0)</f>
        <v>0</v>
      </c>
      <c r="AG9" s="36">
        <f>VLOOKUP($A9,[18]HISTODEC23!$A$6:$CA$36,62,0)</f>
        <v>0</v>
      </c>
      <c r="AH9" s="36">
        <f>VLOOKUP($A9,[18]HISTODEC23!$A$6:$CA$36,63,0)</f>
        <v>0</v>
      </c>
      <c r="AI9" s="36">
        <f>VLOOKUP($A9,[18]HISTODEC23!$A$6:$CA$36,64,0)</f>
        <v>0</v>
      </c>
      <c r="AJ9" s="36">
        <f>VLOOKUP($A9,[18]HISTODEC23!$A$6:$CA$36,65,0)</f>
        <v>0</v>
      </c>
      <c r="AK9" s="36">
        <f>VLOOKUP($A9,[20]DETAILFICHECASSATION!$A$6:$R$36,12,0)</f>
        <v>100000</v>
      </c>
    </row>
    <row r="10" spans="1:38" x14ac:dyDescent="0.25">
      <c r="A10" s="1" t="s">
        <v>154</v>
      </c>
      <c r="B10" s="1" t="str">
        <f>VLOOKUP(A10,[15]LISTADHERENT!A$5:H$60,3,0)</f>
        <v>DJOMOU TCHAPDA</v>
      </c>
      <c r="C10" s="5"/>
      <c r="D10" s="5"/>
      <c r="E10" s="36">
        <f>VLOOKUP($A10,[18]HISTODEC23!$A$6:$BA$36,48,0)</f>
        <v>0</v>
      </c>
      <c r="F10" s="5">
        <f>MVTNOV23!F10+MVTNOV23!G10-MVTDEC23!E10+K10</f>
        <v>811295.09176263143</v>
      </c>
      <c r="G10" s="6"/>
      <c r="H10" s="6">
        <f t="shared" si="0"/>
        <v>811295.09176263143</v>
      </c>
      <c r="I10" s="36">
        <f>VLOOKUP($A10,[18]HISTODEC23!$A$6:$AQ$40,22,0)</f>
        <v>22000</v>
      </c>
      <c r="J10" s="36">
        <f>VLOOKUP($A10,[18]HISTODEC23!$A$6:$AU$36,45,0)</f>
        <v>15000</v>
      </c>
      <c r="K10" s="36">
        <f t="shared" si="1"/>
        <v>9000</v>
      </c>
      <c r="L10" s="36">
        <f t="shared" si="3"/>
        <v>1000</v>
      </c>
      <c r="M10" s="36">
        <f t="shared" si="2"/>
        <v>1000</v>
      </c>
      <c r="N10" s="36">
        <f t="shared" si="4"/>
        <v>4000</v>
      </c>
      <c r="O10" s="36">
        <f>VLOOKUP($A10,[18]HISTODEC23!$A$6:$AU$36,7,0)</f>
        <v>0</v>
      </c>
      <c r="P10" s="36">
        <f>VLOOKUP($A10,[18]HISTODEC23!$A$6:$AU$36,23,0)</f>
        <v>0</v>
      </c>
      <c r="Q10" s="36">
        <f>VLOOKUP($A10,[18]HISTODEC23!$A$6:$AU$36,46,0)</f>
        <v>0</v>
      </c>
      <c r="R10" s="36">
        <f>VLOOKUP($A10,[18]HISTODEC23!$A$6:$AU$36,26,0)</f>
        <v>1000000</v>
      </c>
      <c r="S10" s="36">
        <f>VLOOKUP($A10,[18]HISTODEC23!$A$6:$BG$36,58,0)</f>
        <v>120000</v>
      </c>
      <c r="T10" s="36">
        <f>VLOOKUP($A10,[18]HISTODEC23!$A$6:$AU$36,28,0)</f>
        <v>0</v>
      </c>
      <c r="U10" s="36">
        <f>VLOOKUP($A10,[18]HISTODEC23!$A$6:$AU$36,19,0)</f>
        <v>0</v>
      </c>
      <c r="V10" s="36">
        <f>VLOOKUP($A10,[18]HISTODEC23!$A$6:$AU$36,20,0)</f>
        <v>0</v>
      </c>
      <c r="W10" s="36" t="str">
        <f>VLOOKUP($A10,[18]HISTODEC23!$A$6:$AU$36,27,0)</f>
        <v>BANQUE</v>
      </c>
      <c r="X10" s="36">
        <f>VLOOKUP($A10,[18]HISTODEC23!$A$6:$BM$36,33,0)</f>
        <v>0</v>
      </c>
      <c r="Y10" s="36">
        <f>VLOOKUP($A10,[18]HISTODEC23!$A$6:$BM$36,65,0)</f>
        <v>0</v>
      </c>
      <c r="Z10" s="36"/>
      <c r="AA10" s="36">
        <f>VLOOKUP($A10,[18]HISTODEC23!$A$6:$AU$36,43,0)</f>
        <v>0</v>
      </c>
      <c r="AB10" s="36">
        <f>VLOOKUP($A10,[18]HISTODEC23!$A$6:$AU$36,44,0)</f>
        <v>0</v>
      </c>
      <c r="AC10" s="36">
        <f>VLOOKUP($A10,[18]HISTODEC23!$A$6:$AU$36,47,0)</f>
        <v>0</v>
      </c>
      <c r="AD10" s="36">
        <f>VLOOKUP(A10,[18]HISTODEC23!$A$6:$BB$36,54,0)</f>
        <v>0</v>
      </c>
      <c r="AE10" s="36">
        <f>VLOOKUP($A10,[18]HISTODEC23!$A$6:$CA$36,60,0)</f>
        <v>0</v>
      </c>
      <c r="AF10" s="36">
        <f>VLOOKUP($A10,[18]HISTODEC23!$A$6:$CA$36,61,0)</f>
        <v>0</v>
      </c>
      <c r="AG10" s="36">
        <f>VLOOKUP($A10,[18]HISTODEC23!$A$6:$CA$36,62,0)</f>
        <v>0</v>
      </c>
      <c r="AH10" s="36">
        <f>VLOOKUP($A10,[18]HISTODEC23!$A$6:$CA$36,63,0)</f>
        <v>0</v>
      </c>
      <c r="AI10" s="36">
        <f>VLOOKUP($A10,[18]HISTODEC23!$A$6:$CA$36,64,0)</f>
        <v>0</v>
      </c>
      <c r="AJ10" s="36">
        <f>VLOOKUP($A10,[18]HISTODEC23!$A$6:$CA$36,65,0)</f>
        <v>0</v>
      </c>
      <c r="AK10" s="36">
        <f>VLOOKUP($A10,[20]DETAILFICHECASSATION!$A$6:$R$36,12,0)</f>
        <v>100000</v>
      </c>
    </row>
    <row r="11" spans="1:38" x14ac:dyDescent="0.25">
      <c r="A11" s="1" t="s">
        <v>24</v>
      </c>
      <c r="B11" s="1" t="str">
        <f>VLOOKUP(A11,[15]LISTADHERENT!A$5:H$60,3,0)</f>
        <v>DJOUKWE NANGUEN GUY BLAISE</v>
      </c>
      <c r="C11" s="5"/>
      <c r="D11" s="5"/>
      <c r="E11" s="36">
        <f>VLOOKUP($A11,[18]HISTODEC23!$A$6:$BA$36,48,0)</f>
        <v>0</v>
      </c>
      <c r="F11" s="5">
        <f>MVTNOV23!F11+MVTNOV23!G11-MVTDEC23!E11+K11</f>
        <v>775196.8462093327</v>
      </c>
      <c r="G11" s="6"/>
      <c r="H11" s="6">
        <f t="shared" si="0"/>
        <v>775196.8462093327</v>
      </c>
      <c r="I11" s="36">
        <f>VLOOKUP($A11,[18]HISTODEC23!$A$6:$AQ$40,22,0)</f>
        <v>0</v>
      </c>
      <c r="J11" s="36">
        <f>VLOOKUP($A11,[18]HISTODEC23!$A$6:$AU$36,45,0)</f>
        <v>15000</v>
      </c>
      <c r="K11" s="36">
        <f t="shared" si="1"/>
        <v>9000</v>
      </c>
      <c r="L11" s="36">
        <f t="shared" si="3"/>
        <v>1000</v>
      </c>
      <c r="M11" s="36">
        <f t="shared" si="2"/>
        <v>1000</v>
      </c>
      <c r="N11" s="36">
        <f t="shared" si="4"/>
        <v>4000</v>
      </c>
      <c r="O11" s="36">
        <f>VLOOKUP($A11,[18]HISTODEC23!$A$6:$AU$36,7,0)</f>
        <v>0</v>
      </c>
      <c r="P11" s="36">
        <f>VLOOKUP($A11,[18]HISTODEC23!$A$6:$AU$36,23,0)</f>
        <v>0</v>
      </c>
      <c r="Q11" s="36">
        <f>VLOOKUP($A11,[18]HISTODEC23!$A$6:$AU$36,46,0)</f>
        <v>0</v>
      </c>
      <c r="R11" s="36">
        <f>VLOOKUP($A11,[18]HISTODEC23!$A$6:$AU$36,26,0)</f>
        <v>1000000</v>
      </c>
      <c r="S11" s="36">
        <f>VLOOKUP($A11,[18]HISTODEC23!$A$6:$BG$36,58,0)</f>
        <v>20000</v>
      </c>
      <c r="T11" s="36">
        <f>VLOOKUP($A11,[18]HISTODEC23!$A$6:$AU$36,28,0)</f>
        <v>0</v>
      </c>
      <c r="U11" s="36">
        <f>VLOOKUP($A11,[18]HISTODEC23!$A$6:$AU$36,19,0)</f>
        <v>1000000</v>
      </c>
      <c r="V11" s="36" t="str">
        <f>VLOOKUP($A11,[18]HISTODEC23!$A$6:$AU$36,20,0)</f>
        <v>BANQUE</v>
      </c>
      <c r="W11" s="36" t="str">
        <f>VLOOKUP($A11,[18]HISTODEC23!$A$6:$AU$36,27,0)</f>
        <v>BANQUE</v>
      </c>
      <c r="X11" s="36">
        <f>VLOOKUP($A11,[18]HISTODEC23!$A$6:$BM$36,33,0)</f>
        <v>0</v>
      </c>
      <c r="Y11" s="36">
        <f>VLOOKUP($A11,[18]HISTODEC23!$A$6:$BM$36,65,0)</f>
        <v>0</v>
      </c>
      <c r="Z11" s="36"/>
      <c r="AA11" s="36">
        <f>VLOOKUP($A11,[18]HISTODEC23!$A$6:$AU$36,43,0)</f>
        <v>0</v>
      </c>
      <c r="AB11" s="36">
        <f>VLOOKUP($A11,[18]HISTODEC23!$A$6:$AU$36,44,0)</f>
        <v>0</v>
      </c>
      <c r="AC11" s="36">
        <f>VLOOKUP($A11,[18]HISTODEC23!$A$6:$AU$36,47,0)</f>
        <v>0</v>
      </c>
      <c r="AD11" s="36">
        <f>VLOOKUP(A11,[18]HISTODEC23!$A$6:$BB$36,54,0)</f>
        <v>0</v>
      </c>
      <c r="AE11" s="36">
        <f>VLOOKUP($A11,[18]HISTODEC23!$A$6:$CA$36,60,0)</f>
        <v>0</v>
      </c>
      <c r="AF11" s="36">
        <f>VLOOKUP($A11,[18]HISTODEC23!$A$6:$CA$36,61,0)</f>
        <v>0</v>
      </c>
      <c r="AG11" s="36">
        <f>VLOOKUP($A11,[18]HISTODEC23!$A$6:$CA$36,62,0)</f>
        <v>0</v>
      </c>
      <c r="AH11" s="36">
        <f>VLOOKUP($A11,[18]HISTODEC23!$A$6:$CA$36,63,0)</f>
        <v>0</v>
      </c>
      <c r="AI11" s="36">
        <f>VLOOKUP($A11,[18]HISTODEC23!$A$6:$CA$36,64,0)</f>
        <v>0</v>
      </c>
      <c r="AJ11" s="36">
        <f>VLOOKUP($A11,[18]HISTODEC23!$A$6:$CA$36,65,0)</f>
        <v>0</v>
      </c>
      <c r="AK11" s="36">
        <f>VLOOKUP($A11,[20]DETAILFICHECASSATION!$A$6:$R$36,12,0)</f>
        <v>100000</v>
      </c>
    </row>
    <row r="12" spans="1:38" x14ac:dyDescent="0.25">
      <c r="A12" s="1" t="s">
        <v>25</v>
      </c>
      <c r="B12" s="1" t="str">
        <f>VLOOKUP(A12,[15]LISTADHERENT!A$5:H$60,3,0)</f>
        <v>DJUOMBESSY ANTOINE</v>
      </c>
      <c r="C12" s="5"/>
      <c r="D12" s="5"/>
      <c r="E12" s="36">
        <f>VLOOKUP($A12,[18]HISTODEC23!$A$6:$BA$36,48,0)</f>
        <v>0</v>
      </c>
      <c r="F12" s="5">
        <f>MVTNOV23!F12+MVTNOV23!G12-MVTDEC23!E12+K12</f>
        <v>975513.12765255687</v>
      </c>
      <c r="G12" s="6"/>
      <c r="H12" s="6">
        <f t="shared" si="0"/>
        <v>975513.12765255687</v>
      </c>
      <c r="I12" s="36">
        <f>VLOOKUP($A12,[18]HISTODEC23!$A$6:$AQ$40,22,0)</f>
        <v>0</v>
      </c>
      <c r="J12" s="36">
        <f>VLOOKUP($A12,[18]HISTODEC23!$A$6:$AU$36,45,0)</f>
        <v>20800</v>
      </c>
      <c r="K12" s="36">
        <f>IF(J12=0,0,J12-(L12+M12+N12))</f>
        <v>14800</v>
      </c>
      <c r="L12" s="36">
        <f t="shared" si="3"/>
        <v>1000</v>
      </c>
      <c r="M12" s="36">
        <f t="shared" si="2"/>
        <v>1000</v>
      </c>
      <c r="N12" s="36">
        <f t="shared" si="4"/>
        <v>4000</v>
      </c>
      <c r="O12" s="36">
        <f>VLOOKUP($A12,[18]HISTODEC23!$A$6:$AU$36,7,0)</f>
        <v>0</v>
      </c>
      <c r="P12" s="36">
        <f>VLOOKUP($A12,[18]HISTODEC23!$A$6:$AU$36,23,0)</f>
        <v>0</v>
      </c>
      <c r="Q12" s="36">
        <f>VLOOKUP($A12,[18]HISTODEC23!$A$6:$AU$36,46,0)</f>
        <v>0</v>
      </c>
      <c r="R12" s="36">
        <f>VLOOKUP($A12,[18]HISTODEC23!$A$6:$AU$36,26,0)</f>
        <v>1000000</v>
      </c>
      <c r="S12" s="36">
        <f>VLOOKUP($A12,[18]HISTODEC23!$A$6:$BG$36,58,0)</f>
        <v>60000</v>
      </c>
      <c r="T12" s="36">
        <f>VLOOKUP($A12,[18]HISTODEC23!$A$6:$AU$36,28,0)</f>
        <v>0</v>
      </c>
      <c r="U12" s="36">
        <f>VLOOKUP($A12,[18]HISTODEC23!$A$6:$AU$36,19,0)</f>
        <v>719200</v>
      </c>
      <c r="V12" s="36" t="str">
        <f>VLOOKUP($A12,[18]HISTODEC23!$A$6:$AU$36,20,0)</f>
        <v>BANQUE</v>
      </c>
      <c r="W12" s="36" t="str">
        <f>VLOOKUP($A12,[18]HISTODEC23!$A$6:$AU$36,27,0)</f>
        <v>BANQUE</v>
      </c>
      <c r="X12" s="36">
        <f>VLOOKUP($A12,[18]HISTODEC23!$A$6:$BM$36,33,0)</f>
        <v>0</v>
      </c>
      <c r="Y12" s="36">
        <f>VLOOKUP($A12,[18]HISTODEC23!$A$6:$BM$36,65,0)</f>
        <v>0</v>
      </c>
      <c r="Z12" s="36"/>
      <c r="AA12" s="36">
        <f>VLOOKUP($A12,[18]HISTODEC23!$A$6:$AU$36,43,0)</f>
        <v>0</v>
      </c>
      <c r="AB12" s="36">
        <f>VLOOKUP($A12,[18]HISTODEC23!$A$6:$AU$36,44,0)</f>
        <v>0</v>
      </c>
      <c r="AC12" s="36">
        <f>VLOOKUP($A12,[18]HISTODEC23!$A$6:$AU$36,47,0)</f>
        <v>0</v>
      </c>
      <c r="AD12" s="36">
        <f>VLOOKUP(A12,[18]HISTODEC23!$A$6:$BB$36,54,0)</f>
        <v>0</v>
      </c>
      <c r="AE12" s="36">
        <f>VLOOKUP($A12,[18]HISTODEC23!$A$6:$CA$36,60,0)</f>
        <v>0</v>
      </c>
      <c r="AF12" s="36">
        <f>VLOOKUP($A12,[18]HISTODEC23!$A$6:$CA$36,61,0)</f>
        <v>0</v>
      </c>
      <c r="AG12" s="36">
        <f>VLOOKUP($A12,[18]HISTODEC23!$A$6:$CA$36,62,0)</f>
        <v>0</v>
      </c>
      <c r="AH12" s="36">
        <f>VLOOKUP($A12,[18]HISTODEC23!$A$6:$CA$36,63,0)</f>
        <v>0</v>
      </c>
      <c r="AI12" s="36">
        <f>VLOOKUP($A12,[18]HISTODEC23!$A$6:$CA$36,64,0)</f>
        <v>0</v>
      </c>
      <c r="AJ12" s="36">
        <f>VLOOKUP($A12,[18]HISTODEC23!$A$6:$CA$36,65,0)</f>
        <v>0</v>
      </c>
      <c r="AK12" s="36">
        <f>VLOOKUP($A12,[20]DETAILFICHECASSATION!$A$6:$R$36,12,0)</f>
        <v>100000</v>
      </c>
    </row>
    <row r="13" spans="1:38" x14ac:dyDescent="0.25">
      <c r="A13" s="1" t="s">
        <v>79</v>
      </c>
      <c r="B13" s="1" t="str">
        <f>VLOOKUP(A13,[15]LISTADHERENT!A$5:H$60,3,0)</f>
        <v>DOMOU FABIEN</v>
      </c>
      <c r="C13" s="5"/>
      <c r="D13" s="5"/>
      <c r="E13" s="36">
        <f>VLOOKUP($A13,[18]HISTODEC23!$A$6:$BA$36,48,0)</f>
        <v>0</v>
      </c>
      <c r="F13" s="5">
        <f>MVTNOV23!F13+MVTNOV23!G13-MVTDEC23!E13+K13</f>
        <v>761041.28180735058</v>
      </c>
      <c r="G13" s="6"/>
      <c r="H13" s="6">
        <f t="shared" si="0"/>
        <v>761041.28180735058</v>
      </c>
      <c r="I13" s="36">
        <f>VLOOKUP($A13,[18]HISTODEC23!$A$6:$AQ$40,22,0)</f>
        <v>0</v>
      </c>
      <c r="J13" s="36">
        <f>VLOOKUP($A13,[18]HISTODEC23!$A$6:$AU$36,45,0)</f>
        <v>15000</v>
      </c>
      <c r="K13" s="36">
        <f t="shared" si="1"/>
        <v>9000</v>
      </c>
      <c r="L13" s="36">
        <f t="shared" si="3"/>
        <v>1000</v>
      </c>
      <c r="M13" s="36">
        <f t="shared" si="2"/>
        <v>1000</v>
      </c>
      <c r="N13" s="36">
        <f t="shared" si="4"/>
        <v>4000</v>
      </c>
      <c r="O13" s="36">
        <f>VLOOKUP($A13,[18]HISTODEC23!$A$6:$AU$36,7,0)</f>
        <v>0</v>
      </c>
      <c r="P13" s="36">
        <f>VLOOKUP($A13,[18]HISTODEC23!$A$6:$AU$36,23,0)</f>
        <v>0</v>
      </c>
      <c r="Q13" s="36">
        <f>VLOOKUP($A13,[18]HISTODEC23!$A$6:$AU$36,46,0)</f>
        <v>0</v>
      </c>
      <c r="R13" s="36">
        <f>VLOOKUP($A13,[18]HISTODEC23!$A$6:$AU$36,26,0)</f>
        <v>1000000</v>
      </c>
      <c r="S13" s="36">
        <f>VLOOKUP($A13,[18]HISTODEC23!$A$6:$BG$36,58,0)</f>
        <v>120000</v>
      </c>
      <c r="T13" s="36">
        <f>VLOOKUP($A13,[18]HISTODEC23!$A$6:$AU$36,28,0)</f>
        <v>0</v>
      </c>
      <c r="U13" s="36">
        <f>VLOOKUP($A13,[18]HISTODEC23!$A$6:$AU$36,19,0)</f>
        <v>1000000</v>
      </c>
      <c r="V13" s="36" t="str">
        <f>VLOOKUP($A13,[18]HISTODEC23!$A$6:$AU$36,20,0)</f>
        <v>BANQUE</v>
      </c>
      <c r="W13" s="36" t="str">
        <f>VLOOKUP($A13,[18]HISTODEC23!$A$6:$AU$36,27,0)</f>
        <v>BANQUE</v>
      </c>
      <c r="X13" s="36">
        <f>VLOOKUP($A13,[18]HISTODEC23!$A$6:$BM$36,33,0)</f>
        <v>0</v>
      </c>
      <c r="Y13" s="36">
        <f>VLOOKUP($A13,[18]HISTODEC23!$A$6:$BM$36,65,0)</f>
        <v>0</v>
      </c>
      <c r="Z13" s="36"/>
      <c r="AA13" s="36">
        <f>VLOOKUP($A13,[18]HISTODEC23!$A$6:$AU$36,43,0)</f>
        <v>0</v>
      </c>
      <c r="AB13" s="36">
        <f>VLOOKUP($A13,[18]HISTODEC23!$A$6:$AU$36,44,0)</f>
        <v>0</v>
      </c>
      <c r="AC13" s="36">
        <f>VLOOKUP($A13,[18]HISTODEC23!$A$6:$AU$36,47,0)</f>
        <v>0</v>
      </c>
      <c r="AD13" s="36">
        <f>VLOOKUP(A13,[18]HISTODEC23!$A$6:$BB$36,54,0)</f>
        <v>0</v>
      </c>
      <c r="AE13" s="36">
        <f>VLOOKUP($A13,[18]HISTODEC23!$A$6:$CA$36,60,0)</f>
        <v>0</v>
      </c>
      <c r="AF13" s="36">
        <f>VLOOKUP($A13,[18]HISTODEC23!$A$6:$CA$36,61,0)</f>
        <v>0</v>
      </c>
      <c r="AG13" s="36">
        <f>VLOOKUP($A13,[18]HISTODEC23!$A$6:$CA$36,62,0)</f>
        <v>0</v>
      </c>
      <c r="AH13" s="36">
        <f>VLOOKUP($A13,[18]HISTODEC23!$A$6:$CA$36,63,0)</f>
        <v>0</v>
      </c>
      <c r="AI13" s="36">
        <f>VLOOKUP($A13,[18]HISTODEC23!$A$6:$CA$36,64,0)</f>
        <v>0</v>
      </c>
      <c r="AJ13" s="36">
        <f>VLOOKUP($A13,[18]HISTODEC23!$A$6:$CA$36,65,0)</f>
        <v>0</v>
      </c>
      <c r="AK13" s="36">
        <f>VLOOKUP($A13,[20]DETAILFICHECASSATION!$A$6:$R$36,12,0)</f>
        <v>100000</v>
      </c>
    </row>
    <row r="14" spans="1:38" x14ac:dyDescent="0.25">
      <c r="A14" s="1" t="s">
        <v>26</v>
      </c>
      <c r="B14" s="1" t="str">
        <f>VLOOKUP(A14,[15]LISTADHERENT!A$5:H$60,3,0)</f>
        <v>DONHOU DAVID</v>
      </c>
      <c r="C14" s="5"/>
      <c r="D14" s="5"/>
      <c r="E14" s="36">
        <f>VLOOKUP($A14,[18]HISTODEC23!$A$6:$BA$36,48,0)</f>
        <v>0</v>
      </c>
      <c r="F14" s="5">
        <f>MVTNOV23!F14+MVTNOV23!G14-MVTDEC23!E14+K14</f>
        <v>1258031.4695693143</v>
      </c>
      <c r="G14" s="6"/>
      <c r="H14" s="6">
        <f t="shared" si="0"/>
        <v>1258031.4695693143</v>
      </c>
      <c r="I14" s="36">
        <f>VLOOKUP($A14,[18]HISTODEC23!$A$6:$AQ$40,22,0)</f>
        <v>0</v>
      </c>
      <c r="J14" s="36">
        <f>VLOOKUP($A14,[18]HISTODEC23!$A$6:$AU$36,45,0)</f>
        <v>15000</v>
      </c>
      <c r="K14" s="36">
        <f t="shared" si="1"/>
        <v>9000</v>
      </c>
      <c r="L14" s="36">
        <f t="shared" si="3"/>
        <v>1000</v>
      </c>
      <c r="M14" s="36">
        <f t="shared" si="2"/>
        <v>1000</v>
      </c>
      <c r="N14" s="36">
        <f t="shared" si="4"/>
        <v>4000</v>
      </c>
      <c r="O14" s="36">
        <f>VLOOKUP($A14,[18]HISTODEC23!$A$6:$AU$36,7,0)</f>
        <v>0</v>
      </c>
      <c r="P14" s="36">
        <f>VLOOKUP($A14,[18]HISTODEC23!$A$6:$AU$36,23,0)</f>
        <v>0</v>
      </c>
      <c r="Q14" s="36">
        <f>VLOOKUP($A14,[18]HISTODEC23!$A$6:$AU$36,46,0)</f>
        <v>0</v>
      </c>
      <c r="R14" s="36">
        <f>VLOOKUP($A14,[18]HISTODEC23!$A$6:$AU$36,26,0)</f>
        <v>0</v>
      </c>
      <c r="S14" s="36">
        <f>VLOOKUP($A14,[18]HISTODEC23!$A$6:$BG$36,58,0)</f>
        <v>0</v>
      </c>
      <c r="T14" s="36">
        <f>VLOOKUP($A14,[18]HISTODEC23!$A$6:$AU$36,28,0)</f>
        <v>0</v>
      </c>
      <c r="U14" s="36">
        <f>VLOOKUP($A14,[18]HISTODEC23!$A$6:$AU$36,19,0)</f>
        <v>0</v>
      </c>
      <c r="V14" s="36">
        <f>VLOOKUP($A14,[18]HISTODEC23!$A$6:$AU$36,20,0)</f>
        <v>0</v>
      </c>
      <c r="W14" s="36">
        <f>VLOOKUP($A14,[18]HISTODEC23!$A$6:$AU$36,27,0)</f>
        <v>0</v>
      </c>
      <c r="X14" s="36">
        <f>VLOOKUP($A14,[18]HISTODEC23!$A$6:$BM$36,33,0)</f>
        <v>0</v>
      </c>
      <c r="Y14" s="36">
        <f>VLOOKUP($A14,[18]HISTODEC23!$A$6:$BM$36,65,0)</f>
        <v>0</v>
      </c>
      <c r="Z14" s="36"/>
      <c r="AA14" s="36">
        <f>VLOOKUP($A14,[18]HISTODEC23!$A$6:$AU$36,43,0)</f>
        <v>0</v>
      </c>
      <c r="AB14" s="36">
        <f>VLOOKUP($A14,[18]HISTODEC23!$A$6:$AU$36,44,0)</f>
        <v>0</v>
      </c>
      <c r="AC14" s="36">
        <f>VLOOKUP($A14,[18]HISTODEC23!$A$6:$AU$36,47,0)</f>
        <v>0</v>
      </c>
      <c r="AD14" s="36">
        <f>VLOOKUP(A14,[18]HISTODEC23!$A$6:$BB$36,54,0)</f>
        <v>0</v>
      </c>
      <c r="AE14" s="36">
        <f>VLOOKUP($A14,[18]HISTODEC23!$A$6:$CA$36,60,0)</f>
        <v>0</v>
      </c>
      <c r="AF14" s="36">
        <f>VLOOKUP($A14,[18]HISTODEC23!$A$6:$CA$36,61,0)</f>
        <v>0</v>
      </c>
      <c r="AG14" s="36">
        <f>VLOOKUP($A14,[18]HISTODEC23!$A$6:$CA$36,62,0)</f>
        <v>0</v>
      </c>
      <c r="AH14" s="36">
        <f>VLOOKUP($A14,[18]HISTODEC23!$A$6:$CA$36,63,0)</f>
        <v>0</v>
      </c>
      <c r="AI14" s="36">
        <f>VLOOKUP($A14,[18]HISTODEC23!$A$6:$CA$36,64,0)</f>
        <v>0</v>
      </c>
      <c r="AJ14" s="36">
        <f>VLOOKUP($A14,[18]HISTODEC23!$A$6:$CA$36,65,0)</f>
        <v>0</v>
      </c>
      <c r="AK14" s="36">
        <f>VLOOKUP($A14,[20]DETAILFICHECASSATION!$A$6:$R$36,12,0)</f>
        <v>100000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VLOOKUP($A15,[18]HISTODEC23!$A$6:$BA$36,48,0)</f>
        <v>0</v>
      </c>
      <c r="F15" s="5">
        <f>MVTNOV23!F15+MVTNOV23!G15-MVTDEC23!E15+K15</f>
        <v>815899.61386764678</v>
      </c>
      <c r="G15" s="6"/>
      <c r="H15" s="6">
        <f t="shared" si="0"/>
        <v>815899.61386764678</v>
      </c>
      <c r="I15" s="36">
        <f>VLOOKUP($A15,[18]HISTODEC23!$A$6:$AQ$40,22,0)</f>
        <v>18000</v>
      </c>
      <c r="J15" s="36">
        <f>VLOOKUP($A15,[18]HISTODEC23!$A$6:$AU$36,45,0)</f>
        <v>15000</v>
      </c>
      <c r="K15" s="36">
        <f t="shared" si="1"/>
        <v>9000</v>
      </c>
      <c r="L15" s="36">
        <f t="shared" si="3"/>
        <v>1000</v>
      </c>
      <c r="M15" s="36">
        <f t="shared" si="2"/>
        <v>1000</v>
      </c>
      <c r="N15" s="36">
        <f t="shared" si="4"/>
        <v>4000</v>
      </c>
      <c r="O15" s="36">
        <f>VLOOKUP($A15,[18]HISTODEC23!$A$6:$AU$36,7,0)</f>
        <v>0</v>
      </c>
      <c r="P15" s="36">
        <f>VLOOKUP($A15,[18]HISTODEC23!$A$6:$AU$36,23,0)</f>
        <v>0</v>
      </c>
      <c r="Q15" s="36">
        <f>VLOOKUP($A15,[18]HISTODEC23!$A$6:$AU$36,46,0)</f>
        <v>0</v>
      </c>
      <c r="R15" s="36">
        <f>VLOOKUP($A15,[18]HISTODEC23!$A$6:$AU$36,26,0)</f>
        <v>0</v>
      </c>
      <c r="S15" s="36">
        <f>VLOOKUP($A15,[18]HISTODEC23!$A$6:$BG$36,58,0)</f>
        <v>0</v>
      </c>
      <c r="T15" s="36">
        <f>VLOOKUP($A15,[18]HISTODEC23!$A$6:$AU$36,28,0)</f>
        <v>0</v>
      </c>
      <c r="U15" s="36">
        <f>VLOOKUP($A15,[18]HISTODEC23!$A$6:$AU$36,19,0)</f>
        <v>0</v>
      </c>
      <c r="V15" s="36">
        <f>VLOOKUP($A15,[18]HISTODEC23!$A$6:$AU$36,20,0)</f>
        <v>0</v>
      </c>
      <c r="W15" s="36">
        <f>VLOOKUP($A15,[18]HISTODEC23!$A$6:$AU$36,27,0)</f>
        <v>0</v>
      </c>
      <c r="X15" s="36">
        <f>VLOOKUP($A15,[18]HISTODEC23!$A$6:$BM$36,33,0)</f>
        <v>0</v>
      </c>
      <c r="Y15" s="36">
        <f>VLOOKUP($A15,[18]HISTODEC23!$A$6:$BM$36,65,0)</f>
        <v>0</v>
      </c>
      <c r="Z15" s="36"/>
      <c r="AA15" s="36">
        <f>VLOOKUP($A15,[18]HISTODEC23!$A$6:$AU$36,43,0)</f>
        <v>0</v>
      </c>
      <c r="AB15" s="36">
        <f>VLOOKUP($A15,[18]HISTODEC23!$A$6:$AU$36,44,0)</f>
        <v>0</v>
      </c>
      <c r="AC15" s="36">
        <f>VLOOKUP($A15,[18]HISTODEC23!$A$6:$AU$36,47,0)</f>
        <v>0</v>
      </c>
      <c r="AD15" s="36">
        <f>VLOOKUP(A15,[18]HISTODEC23!$A$6:$BB$36,54,0)</f>
        <v>0</v>
      </c>
      <c r="AE15" s="36">
        <f>VLOOKUP($A15,[18]HISTODEC23!$A$6:$CA$36,60,0)</f>
        <v>0</v>
      </c>
      <c r="AF15" s="36">
        <f>VLOOKUP($A15,[18]HISTODEC23!$A$6:$CA$36,61,0)</f>
        <v>0</v>
      </c>
      <c r="AG15" s="36">
        <f>VLOOKUP($A15,[18]HISTODEC23!$A$6:$CA$36,62,0)</f>
        <v>0</v>
      </c>
      <c r="AH15" s="36">
        <f>VLOOKUP($A15,[18]HISTODEC23!$A$6:$CA$36,63,0)</f>
        <v>0</v>
      </c>
      <c r="AI15" s="36">
        <f>VLOOKUP($A15,[18]HISTODEC23!$A$6:$CA$36,64,0)</f>
        <v>0</v>
      </c>
      <c r="AJ15" s="36">
        <f>VLOOKUP($A15,[18]HISTODEC23!$A$6:$CA$36,65,0)</f>
        <v>0</v>
      </c>
      <c r="AK15" s="36">
        <f>VLOOKUP($A15,[20]DETAILFICHECASSATION!$A$6:$R$36,12,0)</f>
        <v>100000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VLOOKUP($A16,[18]HISTODEC23!$A$6:$BA$36,48,0)</f>
        <v>0</v>
      </c>
      <c r="F16" s="5">
        <f>MVTNOV23!F16+MVTNOV23!G16-MVTDEC23!E16+K16</f>
        <v>1181660.7744498793</v>
      </c>
      <c r="G16" s="6"/>
      <c r="H16" s="6">
        <f t="shared" si="0"/>
        <v>1181660.7744498793</v>
      </c>
      <c r="I16" s="36">
        <f>VLOOKUP($A16,[18]HISTODEC23!$A$6:$AQ$40,22,0)</f>
        <v>12000</v>
      </c>
      <c r="J16" s="36">
        <f>VLOOKUP($A16,[18]HISTODEC23!$A$6:$AU$36,45,0)</f>
        <v>50000</v>
      </c>
      <c r="K16" s="36">
        <f t="shared" si="1"/>
        <v>44000</v>
      </c>
      <c r="L16" s="36">
        <f t="shared" si="3"/>
        <v>1000</v>
      </c>
      <c r="M16" s="36">
        <f t="shared" si="2"/>
        <v>1000</v>
      </c>
      <c r="N16" s="36">
        <f t="shared" si="4"/>
        <v>4000</v>
      </c>
      <c r="O16" s="36">
        <f>VLOOKUP($A16,[18]HISTODEC23!$A$6:$AU$36,7,0)</f>
        <v>0</v>
      </c>
      <c r="P16" s="36">
        <f>VLOOKUP($A16,[18]HISTODEC23!$A$6:$AU$36,23,0)</f>
        <v>0</v>
      </c>
      <c r="Q16" s="36">
        <f>VLOOKUP($A16,[18]HISTODEC23!$A$6:$AU$36,46,0)</f>
        <v>0</v>
      </c>
      <c r="R16" s="36">
        <f>VLOOKUP($A16,[18]HISTODEC23!$A$6:$AU$36,26,0)</f>
        <v>363500</v>
      </c>
      <c r="S16" s="36">
        <f>VLOOKUP($A16,[18]HISTODEC23!$A$6:$BG$36,58,0)</f>
        <v>0</v>
      </c>
      <c r="T16" s="36">
        <f>VLOOKUP($A16,[18]HISTODEC23!$A$6:$AU$36,28,0)</f>
        <v>0</v>
      </c>
      <c r="U16" s="36">
        <f>VLOOKUP($A16,[18]HISTODEC23!$A$6:$AU$36,19,0)</f>
        <v>363500</v>
      </c>
      <c r="V16" s="36" t="str">
        <f>VLOOKUP($A16,[18]HISTODEC23!$A$6:$AU$36,20,0)</f>
        <v>BANQUE</v>
      </c>
      <c r="W16" s="36">
        <f>VLOOKUP($A16,[18]HISTODEC23!$A$6:$AU$36,27,0)</f>
        <v>0</v>
      </c>
      <c r="X16" s="36">
        <f>VLOOKUP($A16,[18]HISTODEC23!$A$6:$BM$36,33,0)</f>
        <v>0</v>
      </c>
      <c r="Y16" s="36">
        <f>VLOOKUP($A16,[18]HISTODEC23!$A$6:$BM$36,65,0)</f>
        <v>0</v>
      </c>
      <c r="Z16" s="36"/>
      <c r="AA16" s="36">
        <f>VLOOKUP($A16,[18]HISTODEC23!$A$6:$AU$36,43,0)</f>
        <v>0</v>
      </c>
      <c r="AB16" s="36">
        <f>VLOOKUP($A16,[18]HISTODEC23!$A$6:$AU$36,44,0)</f>
        <v>0</v>
      </c>
      <c r="AC16" s="36">
        <f>VLOOKUP($A16,[18]HISTODEC23!$A$6:$AU$36,47,0)</f>
        <v>0</v>
      </c>
      <c r="AD16" s="36">
        <f>VLOOKUP(A16,[18]HISTODEC23!$A$6:$BB$36,54,0)</f>
        <v>0</v>
      </c>
      <c r="AE16" s="36">
        <f>VLOOKUP($A16,[18]HISTODEC23!$A$6:$CA$36,60,0)</f>
        <v>0</v>
      </c>
      <c r="AF16" s="36">
        <f>VLOOKUP($A16,[18]HISTODEC23!$A$6:$CA$36,61,0)</f>
        <v>0</v>
      </c>
      <c r="AG16" s="36">
        <f>VLOOKUP($A16,[18]HISTODEC23!$A$6:$CA$36,62,0)</f>
        <v>0</v>
      </c>
      <c r="AH16" s="36">
        <f>VLOOKUP($A16,[18]HISTODEC23!$A$6:$CA$36,63,0)</f>
        <v>0</v>
      </c>
      <c r="AI16" s="36">
        <f>VLOOKUP($A16,[18]HISTODEC23!$A$6:$CA$36,64,0)</f>
        <v>0</v>
      </c>
      <c r="AJ16" s="36">
        <f>VLOOKUP($A16,[18]HISTODEC23!$A$6:$CA$36,65,0)</f>
        <v>0</v>
      </c>
      <c r="AK16" s="36">
        <f>VLOOKUP($A16,[20]DETAILFICHECASSATION!$A$6:$R$36,12,0)</f>
        <v>100000</v>
      </c>
    </row>
    <row r="17" spans="1:37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VLOOKUP($A17,[18]HISTODEC23!$A$6:$BA$36,48,0)</f>
        <v>0</v>
      </c>
      <c r="F17" s="5">
        <f>MVTNOV23!F17+MVTNOV23!G17-MVTDEC23!E17+K17</f>
        <v>818267.33725923905</v>
      </c>
      <c r="G17" s="6"/>
      <c r="H17" s="6">
        <f t="shared" si="0"/>
        <v>818267.33725923905</v>
      </c>
      <c r="I17" s="36">
        <f>VLOOKUP($A17,[18]HISTODEC23!$A$6:$AQ$40,22,0)</f>
        <v>9000</v>
      </c>
      <c r="J17" s="36">
        <f>VLOOKUP($A17,[18]HISTODEC23!$A$6:$AU$36,45,0)</f>
        <v>15000</v>
      </c>
      <c r="K17" s="36">
        <f t="shared" si="1"/>
        <v>9000</v>
      </c>
      <c r="L17" s="36">
        <f t="shared" si="3"/>
        <v>1000</v>
      </c>
      <c r="M17" s="36">
        <f t="shared" si="2"/>
        <v>1000</v>
      </c>
      <c r="N17" s="36">
        <f t="shared" si="4"/>
        <v>4000</v>
      </c>
      <c r="O17" s="36">
        <f>VLOOKUP($A17,[18]HISTODEC23!$A$6:$AU$36,7,0)</f>
        <v>0</v>
      </c>
      <c r="P17" s="36">
        <f>VLOOKUP($A17,[18]HISTODEC23!$A$6:$AU$36,23,0)</f>
        <v>0</v>
      </c>
      <c r="Q17" s="36">
        <f>VLOOKUP($A17,[18]HISTODEC23!$A$6:$AU$36,46,0)</f>
        <v>0</v>
      </c>
      <c r="R17" s="36">
        <f>VLOOKUP($A17,[18]HISTODEC23!$A$6:$AU$36,26,0)</f>
        <v>0</v>
      </c>
      <c r="S17" s="36">
        <f>VLOOKUP($A17,[18]HISTODEC23!$A$6:$BG$36,58,0)</f>
        <v>0</v>
      </c>
      <c r="T17" s="36">
        <f>VLOOKUP($A17,[18]HISTODEC23!$A$6:$AU$36,28,0)</f>
        <v>0</v>
      </c>
      <c r="U17" s="36">
        <f>VLOOKUP($A17,[18]HISTODEC23!$A$6:$AU$36,19,0)</f>
        <v>1000000</v>
      </c>
      <c r="V17" s="36" t="str">
        <f>VLOOKUP($A17,[18]HISTODEC23!$A$6:$AU$36,20,0)</f>
        <v>BANQUE</v>
      </c>
      <c r="W17" s="36">
        <f>VLOOKUP($A17,[18]HISTODEC23!$A$6:$AU$36,27,0)</f>
        <v>0</v>
      </c>
      <c r="X17" s="36">
        <f>VLOOKUP($A17,[18]HISTODEC23!$A$6:$BM$36,33,0)</f>
        <v>0</v>
      </c>
      <c r="Y17" s="36">
        <f>VLOOKUP($A17,[18]HISTODEC23!$A$6:$BM$36,65,0)</f>
        <v>0</v>
      </c>
      <c r="Z17" s="36"/>
      <c r="AA17" s="36">
        <f>VLOOKUP($A17,[18]HISTODEC23!$A$6:$AU$36,43,0)</f>
        <v>0</v>
      </c>
      <c r="AB17" s="36">
        <f>VLOOKUP($A17,[18]HISTODEC23!$A$6:$AU$36,44,0)</f>
        <v>0</v>
      </c>
      <c r="AC17" s="36">
        <f>VLOOKUP($A17,[18]HISTODEC23!$A$6:$AU$36,47,0)</f>
        <v>0</v>
      </c>
      <c r="AD17" s="36">
        <f>VLOOKUP(A17,[18]HISTODEC23!$A$6:$BB$36,54,0)</f>
        <v>0</v>
      </c>
      <c r="AE17" s="36">
        <f>VLOOKUP($A17,[18]HISTODEC23!$A$6:$CA$36,60,0)</f>
        <v>0</v>
      </c>
      <c r="AF17" s="36">
        <f>VLOOKUP($A17,[18]HISTODEC23!$A$6:$CA$36,61,0)</f>
        <v>0</v>
      </c>
      <c r="AG17" s="36">
        <f>VLOOKUP($A17,[18]HISTODEC23!$A$6:$CA$36,62,0)</f>
        <v>0</v>
      </c>
      <c r="AH17" s="36">
        <f>VLOOKUP($A17,[18]HISTODEC23!$A$6:$CA$36,63,0)</f>
        <v>0</v>
      </c>
      <c r="AI17" s="36">
        <f>VLOOKUP($A17,[18]HISTODEC23!$A$6:$CA$36,64,0)</f>
        <v>0</v>
      </c>
      <c r="AJ17" s="36">
        <f>VLOOKUP($A17,[18]HISTODEC23!$A$6:$CA$36,65,0)</f>
        <v>0</v>
      </c>
      <c r="AK17" s="36">
        <f>VLOOKUP($A17,[20]DETAILFICHECASSATION!$A$6:$R$36,12,0)</f>
        <v>100000</v>
      </c>
    </row>
    <row r="18" spans="1:37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VLOOKUP($A18,[18]HISTODEC23!$A$6:$BA$36,48,0)</f>
        <v>0</v>
      </c>
      <c r="F18" s="5">
        <f>MVTNOV23!F18+MVTNOV23!G18-MVTDEC23!E18+K18</f>
        <v>767428.67129096284</v>
      </c>
      <c r="G18" s="6"/>
      <c r="H18" s="6">
        <f t="shared" si="0"/>
        <v>767428.67129096284</v>
      </c>
      <c r="I18" s="36">
        <f>VLOOKUP($A18,[18]HISTODEC23!$A$6:$AQ$40,22,0)</f>
        <v>3000</v>
      </c>
      <c r="J18" s="36">
        <f>VLOOKUP($A18,[18]HISTODEC23!$A$6:$AU$36,45,0)</f>
        <v>15000</v>
      </c>
      <c r="K18" s="36">
        <f t="shared" si="1"/>
        <v>9000</v>
      </c>
      <c r="L18" s="36">
        <f t="shared" si="3"/>
        <v>1000</v>
      </c>
      <c r="M18" s="36">
        <f t="shared" si="2"/>
        <v>1000</v>
      </c>
      <c r="N18" s="36">
        <f t="shared" si="4"/>
        <v>4000</v>
      </c>
      <c r="O18" s="36">
        <f>VLOOKUP($A18,[18]HISTODEC23!$A$6:$AU$36,7,0)</f>
        <v>0</v>
      </c>
      <c r="P18" s="36">
        <f>VLOOKUP($A18,[18]HISTODEC23!$A$6:$AU$36,23,0)</f>
        <v>0</v>
      </c>
      <c r="Q18" s="36">
        <f>VLOOKUP($A18,[18]HISTODEC23!$A$6:$AU$36,46,0)</f>
        <v>0</v>
      </c>
      <c r="R18" s="36">
        <f>VLOOKUP($A18,[18]HISTODEC23!$A$6:$AU$36,26,0)</f>
        <v>1000000</v>
      </c>
      <c r="S18" s="36">
        <f>VLOOKUP($A18,[18]HISTODEC23!$A$6:$BG$36,58,0)</f>
        <v>50000</v>
      </c>
      <c r="T18" s="36">
        <f>VLOOKUP($A18,[18]HISTODEC23!$A$6:$AU$36,28,0)</f>
        <v>0</v>
      </c>
      <c r="U18" s="36">
        <f>VLOOKUP($A18,[18]HISTODEC23!$A$6:$AU$36,19,0)</f>
        <v>1000000</v>
      </c>
      <c r="V18" s="36" t="str">
        <f>VLOOKUP($A18,[18]HISTODEC23!$A$6:$AU$36,20,0)</f>
        <v>BANQUE</v>
      </c>
      <c r="W18" s="36" t="str">
        <f>VLOOKUP($A18,[18]HISTODEC23!$A$6:$AU$36,27,0)</f>
        <v>BANQUE</v>
      </c>
      <c r="X18" s="36">
        <f>VLOOKUP($A18,[18]HISTODEC23!$A$6:$BM$36,33,0)</f>
        <v>0</v>
      </c>
      <c r="Y18" s="36">
        <f>VLOOKUP($A18,[18]HISTODEC23!$A$6:$BM$36,65,0)</f>
        <v>0</v>
      </c>
      <c r="Z18" s="36"/>
      <c r="AA18" s="36">
        <f>VLOOKUP($A18,[18]HISTODEC23!$A$6:$AU$36,43,0)</f>
        <v>0</v>
      </c>
      <c r="AB18" s="36">
        <f>VLOOKUP($A18,[18]HISTODEC23!$A$6:$AU$36,44,0)</f>
        <v>0</v>
      </c>
      <c r="AC18" s="36">
        <f>VLOOKUP($A18,[18]HISTODEC23!$A$6:$AU$36,47,0)</f>
        <v>0</v>
      </c>
      <c r="AD18" s="36">
        <f>VLOOKUP(A18,[18]HISTODEC23!$A$6:$BB$36,54,0)</f>
        <v>0</v>
      </c>
      <c r="AE18" s="36">
        <f>VLOOKUP($A18,[18]HISTODEC23!$A$6:$CA$36,60,0)</f>
        <v>0</v>
      </c>
      <c r="AF18" s="36">
        <f>VLOOKUP($A18,[18]HISTODEC23!$A$6:$CA$36,61,0)</f>
        <v>0</v>
      </c>
      <c r="AG18" s="36">
        <f>VLOOKUP($A18,[18]HISTODEC23!$A$6:$CA$36,62,0)</f>
        <v>0</v>
      </c>
      <c r="AH18" s="36">
        <f>VLOOKUP($A18,[18]HISTODEC23!$A$6:$CA$36,63,0)</f>
        <v>0</v>
      </c>
      <c r="AI18" s="36">
        <f>VLOOKUP($A18,[18]HISTODEC23!$A$6:$CA$36,64,0)</f>
        <v>0</v>
      </c>
      <c r="AJ18" s="36">
        <f>VLOOKUP($A18,[18]HISTODEC23!$A$6:$CA$36,65,0)</f>
        <v>0</v>
      </c>
      <c r="AK18" s="36">
        <f>VLOOKUP($A18,[20]DETAILFICHECASSATION!$A$6:$R$36,12,0)</f>
        <v>100000</v>
      </c>
    </row>
    <row r="19" spans="1:37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VLOOKUP($A19,[18]HISTODEC23!$A$6:$BA$36,48,0)</f>
        <v>0</v>
      </c>
      <c r="F19" s="5">
        <f>MVTNOV23!F19+MVTNOV23!G19-MVTDEC23!E19+K19</f>
        <v>761217.30662801955</v>
      </c>
      <c r="G19" s="6"/>
      <c r="H19" s="6">
        <f t="shared" si="0"/>
        <v>761217.30662801955</v>
      </c>
      <c r="I19" s="36">
        <f>VLOOKUP($A19,[18]HISTODEC23!$A$6:$AQ$40,22,0)</f>
        <v>20000</v>
      </c>
      <c r="J19" s="36">
        <f>VLOOKUP($A19,[18]HISTODEC23!$A$6:$AU$36,45,0)</f>
        <v>15000</v>
      </c>
      <c r="K19" s="36">
        <f t="shared" si="1"/>
        <v>9000</v>
      </c>
      <c r="L19" s="36">
        <f t="shared" si="3"/>
        <v>1000</v>
      </c>
      <c r="M19" s="36">
        <f t="shared" si="2"/>
        <v>1000</v>
      </c>
      <c r="N19" s="36">
        <f t="shared" si="4"/>
        <v>4000</v>
      </c>
      <c r="O19" s="36">
        <f>VLOOKUP($A19,[18]HISTODEC23!$A$6:$AU$36,7,0)</f>
        <v>0</v>
      </c>
      <c r="P19" s="36">
        <f>VLOOKUP($A19,[18]HISTODEC23!$A$6:$AU$36,23,0)</f>
        <v>0</v>
      </c>
      <c r="Q19" s="36">
        <f>VLOOKUP($A19,[18]HISTODEC23!$A$6:$AU$36,46,0)</f>
        <v>0</v>
      </c>
      <c r="R19" s="36">
        <f>VLOOKUP($A19,[18]HISTODEC23!$A$6:$AU$36,26,0)</f>
        <v>0</v>
      </c>
      <c r="S19" s="36">
        <f>VLOOKUP($A19,[18]HISTODEC23!$A$6:$BG$36,58,0)</f>
        <v>0</v>
      </c>
      <c r="T19" s="36">
        <f>VLOOKUP($A19,[18]HISTODEC23!$A$6:$AU$36,28,0)</f>
        <v>0</v>
      </c>
      <c r="U19" s="36">
        <f>VLOOKUP($A19,[18]HISTODEC23!$A$6:$AU$36,19,0)</f>
        <v>0</v>
      </c>
      <c r="V19" s="36">
        <f>VLOOKUP($A19,[18]HISTODEC23!$A$6:$AU$36,20,0)</f>
        <v>0</v>
      </c>
      <c r="W19" s="36">
        <f>VLOOKUP($A19,[18]HISTODEC23!$A$6:$AU$36,27,0)</f>
        <v>0</v>
      </c>
      <c r="X19" s="36">
        <f>VLOOKUP($A19,[18]HISTODEC23!$A$6:$BM$36,33,0)</f>
        <v>0</v>
      </c>
      <c r="Y19" s="36">
        <f>VLOOKUP($A19,[18]HISTODEC23!$A$6:$BM$36,65,0)</f>
        <v>0</v>
      </c>
      <c r="Z19" s="36"/>
      <c r="AA19" s="36">
        <f>VLOOKUP($A19,[18]HISTODEC23!$A$6:$AU$36,43,0)</f>
        <v>0</v>
      </c>
      <c r="AB19" s="36">
        <f>VLOOKUP($A19,[18]HISTODEC23!$A$6:$AU$36,44,0)</f>
        <v>0</v>
      </c>
      <c r="AC19" s="36">
        <f>VLOOKUP($A19,[18]HISTODEC23!$A$6:$AU$36,47,0)</f>
        <v>0</v>
      </c>
      <c r="AD19" s="36">
        <f>VLOOKUP(A19,[18]HISTODEC23!$A$6:$BB$36,54,0)</f>
        <v>0</v>
      </c>
      <c r="AE19" s="36">
        <f>VLOOKUP($A19,[18]HISTODEC23!$A$6:$CA$36,60,0)</f>
        <v>0</v>
      </c>
      <c r="AF19" s="36">
        <f>VLOOKUP($A19,[18]HISTODEC23!$A$6:$CA$36,61,0)</f>
        <v>0</v>
      </c>
      <c r="AG19" s="36">
        <f>VLOOKUP($A19,[18]HISTODEC23!$A$6:$CA$36,62,0)</f>
        <v>0</v>
      </c>
      <c r="AH19" s="36">
        <f>VLOOKUP($A19,[18]HISTODEC23!$A$6:$CA$36,63,0)</f>
        <v>0</v>
      </c>
      <c r="AI19" s="36">
        <f>VLOOKUP($A19,[18]HISTODEC23!$A$6:$CA$36,64,0)</f>
        <v>0</v>
      </c>
      <c r="AJ19" s="36">
        <f>VLOOKUP($A19,[18]HISTODEC23!$A$6:$CA$36,65,0)</f>
        <v>0</v>
      </c>
      <c r="AK19" s="36">
        <f>VLOOKUP($A19,[20]DETAILFICHECASSATION!$A$6:$R$36,12,0)</f>
        <v>100000</v>
      </c>
    </row>
    <row r="20" spans="1:37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VLOOKUP($A20,[18]HISTODEC23!$A$6:$BA$36,48,0)</f>
        <v>0</v>
      </c>
      <c r="F20" s="5">
        <f>MVTNOV23!F20+MVTNOV23!G20-MVTDEC23!E20+K20</f>
        <v>812709.39724118263</v>
      </c>
      <c r="G20" s="6"/>
      <c r="H20" s="6">
        <f t="shared" si="0"/>
        <v>812709.39724118263</v>
      </c>
      <c r="I20" s="36">
        <f>VLOOKUP($A20,[18]HISTODEC23!$A$6:$AQ$40,22,0)</f>
        <v>0</v>
      </c>
      <c r="J20" s="36">
        <f>VLOOKUP($A20,[18]HISTODEC23!$A$6:$AU$36,45,0)</f>
        <v>15000</v>
      </c>
      <c r="K20" s="36">
        <f t="shared" si="1"/>
        <v>9000</v>
      </c>
      <c r="L20" s="36">
        <f t="shared" si="3"/>
        <v>1000</v>
      </c>
      <c r="M20" s="36">
        <f t="shared" si="2"/>
        <v>1000</v>
      </c>
      <c r="N20" s="36">
        <f t="shared" si="4"/>
        <v>4000</v>
      </c>
      <c r="O20" s="36">
        <f>VLOOKUP($A20,[18]HISTODEC23!$A$6:$AU$36,7,0)</f>
        <v>0</v>
      </c>
      <c r="P20" s="36">
        <f>VLOOKUP($A20,[18]HISTODEC23!$A$6:$AU$36,23,0)</f>
        <v>0</v>
      </c>
      <c r="Q20" s="36">
        <f>VLOOKUP($A20,[18]HISTODEC23!$A$6:$AU$36,46,0)</f>
        <v>0</v>
      </c>
      <c r="R20" s="36">
        <f>VLOOKUP($A20,[18]HISTODEC23!$A$6:$AU$36,26,0)</f>
        <v>1000000</v>
      </c>
      <c r="S20" s="36">
        <f>VLOOKUP($A20,[18]HISTODEC23!$A$6:$BG$36,58,0)</f>
        <v>60000</v>
      </c>
      <c r="T20" s="36">
        <f>VLOOKUP($A20,[18]HISTODEC23!$A$6:$AU$36,28,0)</f>
        <v>0</v>
      </c>
      <c r="U20" s="36">
        <f>VLOOKUP($A20,[18]HISTODEC23!$A$6:$AU$36,19,0)</f>
        <v>1000000</v>
      </c>
      <c r="V20" s="36" t="str">
        <f>VLOOKUP($A20,[18]HISTODEC23!$A$6:$AU$36,20,0)</f>
        <v>BANQUE</v>
      </c>
      <c r="W20" s="36" t="str">
        <f>VLOOKUP($A20,[18]HISTODEC23!$A$6:$AU$36,27,0)</f>
        <v>BANQUE</v>
      </c>
      <c r="X20" s="36">
        <f>VLOOKUP($A20,[18]HISTODEC23!$A$6:$BM$36,33,0)</f>
        <v>0</v>
      </c>
      <c r="Y20" s="36">
        <f>VLOOKUP($A20,[18]HISTODEC23!$A$6:$BM$36,65,0)</f>
        <v>0</v>
      </c>
      <c r="Z20" s="36"/>
      <c r="AA20" s="36">
        <f>VLOOKUP($A20,[18]HISTODEC23!$A$6:$AU$36,43,0)</f>
        <v>0</v>
      </c>
      <c r="AB20" s="36">
        <f>VLOOKUP($A20,[18]HISTODEC23!$A$6:$AU$36,44,0)</f>
        <v>0</v>
      </c>
      <c r="AC20" s="36">
        <f>VLOOKUP($A20,[18]HISTODEC23!$A$6:$AU$36,47,0)</f>
        <v>0</v>
      </c>
      <c r="AD20" s="36">
        <f>VLOOKUP(A20,[18]HISTODEC23!$A$6:$BB$36,54,0)</f>
        <v>0</v>
      </c>
      <c r="AE20" s="36">
        <f>VLOOKUP($A20,[18]HISTODEC23!$A$6:$CA$36,60,0)</f>
        <v>0</v>
      </c>
      <c r="AF20" s="36">
        <f>VLOOKUP($A20,[18]HISTODEC23!$A$6:$CA$36,61,0)</f>
        <v>0</v>
      </c>
      <c r="AG20" s="36">
        <f>VLOOKUP($A20,[18]HISTODEC23!$A$6:$CA$36,62,0)</f>
        <v>0</v>
      </c>
      <c r="AH20" s="36">
        <f>VLOOKUP($A20,[18]HISTODEC23!$A$6:$CA$36,63,0)</f>
        <v>0</v>
      </c>
      <c r="AI20" s="36">
        <f>VLOOKUP($A20,[18]HISTODEC23!$A$6:$CA$36,64,0)</f>
        <v>0</v>
      </c>
      <c r="AJ20" s="36">
        <f>VLOOKUP($A20,[18]HISTODEC23!$A$6:$CA$36,65,0)</f>
        <v>0</v>
      </c>
      <c r="AK20" s="36">
        <f>VLOOKUP($A20,[20]DETAILFICHECASSATION!$A$6:$R$36,12,0)</f>
        <v>100000</v>
      </c>
    </row>
    <row r="21" spans="1:37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VLOOKUP($A21,[18]HISTODEC23!$A$6:$BA$36,48,0)</f>
        <v>0</v>
      </c>
      <c r="F21" s="5">
        <f>MVTNOV23!F21+MVTNOV23!G21-MVTDEC23!E21+K21</f>
        <v>816149.92118952249</v>
      </c>
      <c r="G21" s="6"/>
      <c r="H21" s="6">
        <f t="shared" si="0"/>
        <v>816149.92118952249</v>
      </c>
      <c r="I21" s="36">
        <f>VLOOKUP($A21,[18]HISTODEC23!$A$6:$AQ$40,22,0)</f>
        <v>0</v>
      </c>
      <c r="J21" s="36">
        <f>VLOOKUP($A21,[18]HISTODEC23!$A$6:$AU$36,45,0)</f>
        <v>15000</v>
      </c>
      <c r="K21" s="36">
        <f t="shared" si="1"/>
        <v>9000</v>
      </c>
      <c r="L21" s="36">
        <f t="shared" si="3"/>
        <v>1000</v>
      </c>
      <c r="M21" s="36">
        <f t="shared" si="2"/>
        <v>1000</v>
      </c>
      <c r="N21" s="36">
        <f t="shared" si="4"/>
        <v>4000</v>
      </c>
      <c r="O21" s="36">
        <f>VLOOKUP($A21,[18]HISTODEC23!$A$6:$AU$36,7,0)</f>
        <v>0</v>
      </c>
      <c r="P21" s="36">
        <f>VLOOKUP($A21,[18]HISTODEC23!$A$6:$AU$36,23,0)</f>
        <v>0</v>
      </c>
      <c r="Q21" s="36">
        <f>VLOOKUP($A21,[18]HISTODEC23!$A$6:$AU$36,46,0)</f>
        <v>0</v>
      </c>
      <c r="R21" s="36">
        <f>VLOOKUP($A21,[18]HISTODEC23!$A$6:$AU$36,26,0)</f>
        <v>300000</v>
      </c>
      <c r="S21" s="36">
        <f>VLOOKUP($A21,[18]HISTODEC23!$A$6:$BG$36,58,0)</f>
        <v>18000</v>
      </c>
      <c r="T21" s="36">
        <f>VLOOKUP($A21,[18]HISTODEC23!$A$6:$AU$36,28,0)</f>
        <v>0</v>
      </c>
      <c r="U21" s="36">
        <f>VLOOKUP($A21,[18]HISTODEC23!$A$6:$AU$36,19,0)</f>
        <v>500000</v>
      </c>
      <c r="V21" s="36" t="str">
        <f>VLOOKUP($A21,[18]HISTODEC23!$A$6:$AU$36,20,0)</f>
        <v>BANQUE</v>
      </c>
      <c r="W21" s="36" t="str">
        <f>VLOOKUP($A21,[18]HISTODEC23!$A$6:$AU$36,27,0)</f>
        <v>BANQUE</v>
      </c>
      <c r="X21" s="36">
        <f>VLOOKUP($A21,[18]HISTODEC23!$A$6:$BM$36,33,0)</f>
        <v>0</v>
      </c>
      <c r="Y21" s="36">
        <f>VLOOKUP($A21,[18]HISTODEC23!$A$6:$BM$36,65,0)</f>
        <v>0</v>
      </c>
      <c r="Z21" s="36"/>
      <c r="AA21" s="36">
        <f>VLOOKUP($A21,[18]HISTODEC23!$A$6:$AU$36,43,0)</f>
        <v>0</v>
      </c>
      <c r="AB21" s="36">
        <f>VLOOKUP($A21,[18]HISTODEC23!$A$6:$AU$36,44,0)</f>
        <v>0</v>
      </c>
      <c r="AC21" s="36">
        <f>VLOOKUP($A21,[18]HISTODEC23!$A$6:$AU$36,47,0)</f>
        <v>0</v>
      </c>
      <c r="AD21" s="36">
        <f>VLOOKUP(A21,[18]HISTODEC23!$A$6:$BB$36,54,0)</f>
        <v>0</v>
      </c>
      <c r="AE21" s="36">
        <f>VLOOKUP($A21,[18]HISTODEC23!$A$6:$CA$36,60,0)</f>
        <v>0</v>
      </c>
      <c r="AF21" s="36">
        <f>VLOOKUP($A21,[18]HISTODEC23!$A$6:$CA$36,61,0)</f>
        <v>0</v>
      </c>
      <c r="AG21" s="36">
        <f>VLOOKUP($A21,[18]HISTODEC23!$A$6:$CA$36,62,0)</f>
        <v>0</v>
      </c>
      <c r="AH21" s="36">
        <f>VLOOKUP($A21,[18]HISTODEC23!$A$6:$CA$36,63,0)</f>
        <v>0</v>
      </c>
      <c r="AI21" s="36">
        <f>VLOOKUP($A21,[18]HISTODEC23!$A$6:$CA$36,64,0)</f>
        <v>0</v>
      </c>
      <c r="AJ21" s="36">
        <f>VLOOKUP($A21,[18]HISTODEC23!$A$6:$CA$36,65,0)</f>
        <v>0</v>
      </c>
      <c r="AK21" s="36">
        <f>VLOOKUP($A21,[20]DETAILFICHECASSATION!$A$6:$R$36,12,0)</f>
        <v>100000</v>
      </c>
    </row>
    <row r="22" spans="1:37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VLOOKUP($A22,[18]HISTODEC23!$A$6:$BA$36,48,0)</f>
        <v>0</v>
      </c>
      <c r="F22" s="5">
        <f>MVTNOV23!F22+MVTNOV23!G22-MVTDEC23!E22+K22</f>
        <v>913402.72741507681</v>
      </c>
      <c r="G22" s="6"/>
      <c r="H22" s="6">
        <f t="shared" si="0"/>
        <v>913402.72741507681</v>
      </c>
      <c r="I22" s="36">
        <f>VLOOKUP($A22,[18]HISTODEC23!$A$6:$AQ$40,22,0)</f>
        <v>20000</v>
      </c>
      <c r="J22" s="36">
        <f>VLOOKUP($A22,[18]HISTODEC23!$A$6:$AU$36,45,0)</f>
        <v>15000</v>
      </c>
      <c r="K22" s="36">
        <f t="shared" si="1"/>
        <v>9000</v>
      </c>
      <c r="L22" s="36">
        <f t="shared" si="3"/>
        <v>1000</v>
      </c>
      <c r="M22" s="36">
        <f t="shared" si="2"/>
        <v>1000</v>
      </c>
      <c r="N22" s="36">
        <f t="shared" si="4"/>
        <v>4000</v>
      </c>
      <c r="O22" s="36">
        <f>VLOOKUP($A22,[18]HISTODEC23!$A$6:$AU$36,7,0)</f>
        <v>0</v>
      </c>
      <c r="P22" s="36">
        <f>VLOOKUP($A22,[18]HISTODEC23!$A$6:$AU$36,23,0)</f>
        <v>0</v>
      </c>
      <c r="Q22" s="36">
        <f>VLOOKUP($A22,[18]HISTODEC23!$A$6:$AU$36,46,0)</f>
        <v>0</v>
      </c>
      <c r="R22" s="36">
        <f>VLOOKUP($A22,[18]HISTODEC23!$A$6:$AU$36,26,0)</f>
        <v>1000000</v>
      </c>
      <c r="S22" s="36">
        <f>VLOOKUP($A22,[18]HISTODEC23!$A$6:$BG$36,58,0)</f>
        <v>120000</v>
      </c>
      <c r="T22" s="36">
        <f>VLOOKUP($A22,[18]HISTODEC23!$A$6:$AU$36,28,0)</f>
        <v>0</v>
      </c>
      <c r="U22" s="36">
        <f>VLOOKUP($A22,[18]HISTODEC23!$A$6:$AU$36,19,0)</f>
        <v>107500</v>
      </c>
      <c r="V22" s="36" t="str">
        <f>VLOOKUP($A22,[18]HISTODEC23!$A$6:$AU$36,20,0)</f>
        <v>BANQUE</v>
      </c>
      <c r="W22" s="36" t="str">
        <f>VLOOKUP($A22,[18]HISTODEC23!$A$6:$AU$36,27,0)</f>
        <v>BANQUE</v>
      </c>
      <c r="X22" s="36">
        <f>VLOOKUP($A22,[18]HISTODEC23!$A$6:$BM$36,33,0)</f>
        <v>0</v>
      </c>
      <c r="Y22" s="36">
        <f>VLOOKUP($A22,[18]HISTODEC23!$A$6:$BM$36,65,0)</f>
        <v>0</v>
      </c>
      <c r="Z22" s="36"/>
      <c r="AA22" s="36">
        <f>VLOOKUP($A22,[18]HISTODEC23!$A$6:$AU$36,43,0)</f>
        <v>0</v>
      </c>
      <c r="AB22" s="36">
        <f>VLOOKUP($A22,[18]HISTODEC23!$A$6:$AU$36,44,0)</f>
        <v>0</v>
      </c>
      <c r="AC22" s="36">
        <f>VLOOKUP($A22,[18]HISTODEC23!$A$6:$AU$36,47,0)</f>
        <v>0</v>
      </c>
      <c r="AD22" s="36">
        <f>VLOOKUP(A22,[18]HISTODEC23!$A$6:$BB$36,54,0)</f>
        <v>0</v>
      </c>
      <c r="AE22" s="36">
        <f>VLOOKUP($A22,[18]HISTODEC23!$A$6:$CA$36,60,0)</f>
        <v>0</v>
      </c>
      <c r="AF22" s="36">
        <f>VLOOKUP($A22,[18]HISTODEC23!$A$6:$CA$36,61,0)</f>
        <v>0</v>
      </c>
      <c r="AG22" s="36">
        <f>VLOOKUP($A22,[18]HISTODEC23!$A$6:$CA$36,62,0)</f>
        <v>0</v>
      </c>
      <c r="AH22" s="36">
        <f>VLOOKUP($A22,[18]HISTODEC23!$A$6:$CA$36,63,0)</f>
        <v>0</v>
      </c>
      <c r="AI22" s="36">
        <f>VLOOKUP($A22,[18]HISTODEC23!$A$6:$CA$36,64,0)</f>
        <v>0</v>
      </c>
      <c r="AJ22" s="36">
        <f>VLOOKUP($A22,[18]HISTODEC23!$A$6:$CA$36,65,0)</f>
        <v>0</v>
      </c>
      <c r="AK22" s="36">
        <f>VLOOKUP($A22,[20]DETAILFICHECASSATION!$A$6:$R$36,12,0)</f>
        <v>100000</v>
      </c>
    </row>
    <row r="23" spans="1:37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VLOOKUP($A23,[18]HISTODEC23!$A$6:$BA$36,48,0)</f>
        <v>0</v>
      </c>
      <c r="F23" s="5">
        <f>MVTNOV23!F23+MVTNOV23!G23-MVTDEC23!E23+K23</f>
        <v>1184971.0758238384</v>
      </c>
      <c r="G23" s="6"/>
      <c r="H23" s="6">
        <f t="shared" si="0"/>
        <v>1184971.0758238384</v>
      </c>
      <c r="I23" s="36">
        <f>VLOOKUP($A23,[18]HISTODEC23!$A$6:$AQ$40,22,0)</f>
        <v>0</v>
      </c>
      <c r="J23" s="36">
        <f>VLOOKUP($A23,[18]HISTODEC23!$A$6:$AU$36,45,0)</f>
        <v>25000</v>
      </c>
      <c r="K23" s="36">
        <f t="shared" si="1"/>
        <v>19000</v>
      </c>
      <c r="L23" s="36">
        <f t="shared" si="3"/>
        <v>1000</v>
      </c>
      <c r="M23" s="36">
        <f t="shared" si="2"/>
        <v>1000</v>
      </c>
      <c r="N23" s="36">
        <f t="shared" si="4"/>
        <v>4000</v>
      </c>
      <c r="O23" s="36">
        <f>VLOOKUP($A23,[18]HISTODEC23!$A$6:$AU$36,7,0)</f>
        <v>0</v>
      </c>
      <c r="P23" s="36">
        <f>VLOOKUP($A23,[18]HISTODEC23!$A$6:$AU$36,23,0)</f>
        <v>0</v>
      </c>
      <c r="Q23" s="36">
        <f>VLOOKUP($A23,[18]HISTODEC23!$A$6:$AU$36,46,0)</f>
        <v>0</v>
      </c>
      <c r="R23" s="36">
        <f>VLOOKUP($A23,[18]HISTODEC23!$A$6:$AU$36,26,0)</f>
        <v>500000</v>
      </c>
      <c r="S23" s="36">
        <f>VLOOKUP($A23,[18]HISTODEC23!$A$6:$BG$36,58,0)</f>
        <v>30000</v>
      </c>
      <c r="T23" s="36">
        <f>VLOOKUP($A23,[18]HISTODEC23!$A$6:$AU$36,28,0)</f>
        <v>0</v>
      </c>
      <c r="U23" s="36">
        <f>VLOOKUP($A23,[18]HISTODEC23!$A$6:$AU$36,19,0)</f>
        <v>600000</v>
      </c>
      <c r="V23" s="36" t="str">
        <f>VLOOKUP($A23,[18]HISTODEC23!$A$6:$AU$36,20,0)</f>
        <v>BANQUE</v>
      </c>
      <c r="W23" s="36" t="str">
        <f>VLOOKUP($A23,[18]HISTODEC23!$A$6:$AU$36,27,0)</f>
        <v>BANQUE</v>
      </c>
      <c r="X23" s="36">
        <f>VLOOKUP($A23,[18]HISTODEC23!$A$6:$BM$36,33,0)</f>
        <v>0</v>
      </c>
      <c r="Y23" s="36">
        <f>VLOOKUP($A23,[18]HISTODEC23!$A$6:$BM$36,65,0)</f>
        <v>0</v>
      </c>
      <c r="Z23" s="36"/>
      <c r="AA23" s="36">
        <f>VLOOKUP($A23,[18]HISTODEC23!$A$6:$AU$36,43,0)</f>
        <v>0</v>
      </c>
      <c r="AB23" s="36">
        <f>VLOOKUP($A23,[18]HISTODEC23!$A$6:$AU$36,44,0)</f>
        <v>0</v>
      </c>
      <c r="AC23" s="36">
        <f>VLOOKUP($A23,[18]HISTODEC23!$A$6:$AU$36,47,0)</f>
        <v>0</v>
      </c>
      <c r="AD23" s="36">
        <f>VLOOKUP(A23,[18]HISTODEC23!$A$6:$BB$36,54,0)</f>
        <v>0</v>
      </c>
      <c r="AE23" s="36">
        <f>VLOOKUP($A23,[18]HISTODEC23!$A$6:$CA$36,60,0)</f>
        <v>0</v>
      </c>
      <c r="AF23" s="36">
        <f>VLOOKUP($A23,[18]HISTODEC23!$A$6:$CA$36,61,0)</f>
        <v>0</v>
      </c>
      <c r="AG23" s="36">
        <f>VLOOKUP($A23,[18]HISTODEC23!$A$6:$CA$36,62,0)</f>
        <v>0</v>
      </c>
      <c r="AH23" s="36">
        <f>VLOOKUP($A23,[18]HISTODEC23!$A$6:$CA$36,63,0)</f>
        <v>0</v>
      </c>
      <c r="AI23" s="36">
        <f>VLOOKUP($A23,[18]HISTODEC23!$A$6:$CA$36,64,0)</f>
        <v>0</v>
      </c>
      <c r="AJ23" s="36">
        <f>VLOOKUP($A23,[18]HISTODEC23!$A$6:$CA$36,65,0)</f>
        <v>0</v>
      </c>
      <c r="AK23" s="36">
        <f>VLOOKUP($A23,[20]DETAILFICHECASSATION!$A$6:$R$36,12,0)</f>
        <v>100000</v>
      </c>
    </row>
    <row r="24" spans="1:37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VLOOKUP($A24,[18]HISTODEC23!$A$6:$BA$36,48,0)</f>
        <v>0</v>
      </c>
      <c r="F24" s="5">
        <f>MVTNOV23!F24+MVTNOV23!G24-MVTDEC23!E24+K24</f>
        <v>812632.77071428567</v>
      </c>
      <c r="G24" s="6"/>
      <c r="H24" s="6">
        <f t="shared" si="0"/>
        <v>812632.77071428567</v>
      </c>
      <c r="I24" s="36">
        <f>VLOOKUP($A24,[18]HISTODEC23!$A$6:$AQ$40,22,0)</f>
        <v>15000</v>
      </c>
      <c r="J24" s="36">
        <f>VLOOKUP($A24,[18]HISTODEC23!$A$6:$AU$36,45,0)</f>
        <v>15000</v>
      </c>
      <c r="K24" s="36">
        <f t="shared" si="1"/>
        <v>9000</v>
      </c>
      <c r="L24" s="36">
        <f t="shared" si="3"/>
        <v>1000</v>
      </c>
      <c r="M24" s="36">
        <f t="shared" si="2"/>
        <v>1000</v>
      </c>
      <c r="N24" s="36">
        <f t="shared" si="4"/>
        <v>4000</v>
      </c>
      <c r="O24" s="36">
        <f>VLOOKUP($A24,[18]HISTODEC23!$A$6:$AU$36,7,0)</f>
        <v>0</v>
      </c>
      <c r="P24" s="36">
        <f>VLOOKUP($A24,[18]HISTODEC23!$A$6:$AU$36,23,0)</f>
        <v>0</v>
      </c>
      <c r="Q24" s="36">
        <f>VLOOKUP($A24,[18]HISTODEC23!$A$6:$AU$36,46,0)</f>
        <v>0</v>
      </c>
      <c r="R24" s="36">
        <f>VLOOKUP($A24,[18]HISTODEC23!$A$6:$AU$36,26,0)</f>
        <v>1000000</v>
      </c>
      <c r="S24" s="36">
        <f>VLOOKUP($A24,[18]HISTODEC23!$A$6:$BG$36,58,0)</f>
        <v>120000</v>
      </c>
      <c r="T24" s="36">
        <f>VLOOKUP($A24,[18]HISTODEC23!$A$6:$AU$36,28,0)</f>
        <v>0</v>
      </c>
      <c r="U24" s="36">
        <f>VLOOKUP($A24,[18]HISTODEC23!$A$6:$AU$36,19,0)</f>
        <v>1000000</v>
      </c>
      <c r="V24" s="36" t="str">
        <f>VLOOKUP($A24,[18]HISTODEC23!$A$6:$AU$36,20,0)</f>
        <v>BANQUE</v>
      </c>
      <c r="W24" s="36" t="str">
        <f>VLOOKUP($A24,[18]HISTODEC23!$A$6:$AU$36,27,0)</f>
        <v>BANQUE</v>
      </c>
      <c r="X24" s="36">
        <f>VLOOKUP($A24,[18]HISTODEC23!$A$6:$BM$36,33,0)</f>
        <v>0</v>
      </c>
      <c r="Y24" s="36">
        <f>VLOOKUP($A24,[18]HISTODEC23!$A$6:$BM$36,65,0)</f>
        <v>0</v>
      </c>
      <c r="Z24" s="36"/>
      <c r="AA24" s="36">
        <f>VLOOKUP($A24,[18]HISTODEC23!$A$6:$AU$36,43,0)</f>
        <v>0</v>
      </c>
      <c r="AB24" s="36">
        <f>VLOOKUP($A24,[18]HISTODEC23!$A$6:$AU$36,44,0)</f>
        <v>0</v>
      </c>
      <c r="AC24" s="36">
        <f>VLOOKUP($A24,[18]HISTODEC23!$A$6:$AU$36,47,0)</f>
        <v>0</v>
      </c>
      <c r="AD24" s="36">
        <f>VLOOKUP(A24,[18]HISTODEC23!$A$6:$BB$36,54,0)</f>
        <v>0</v>
      </c>
      <c r="AE24" s="36">
        <f>VLOOKUP($A24,[18]HISTODEC23!$A$6:$CA$36,60,0)</f>
        <v>0</v>
      </c>
      <c r="AF24" s="36">
        <f>VLOOKUP($A24,[18]HISTODEC23!$A$6:$CA$36,61,0)</f>
        <v>0</v>
      </c>
      <c r="AG24" s="36">
        <f>VLOOKUP($A24,[18]HISTODEC23!$A$6:$CA$36,62,0)</f>
        <v>0</v>
      </c>
      <c r="AH24" s="36">
        <f>VLOOKUP($A24,[18]HISTODEC23!$A$6:$CA$36,63,0)</f>
        <v>0</v>
      </c>
      <c r="AI24" s="36">
        <f>VLOOKUP($A24,[18]HISTODEC23!$A$6:$CA$36,64,0)</f>
        <v>0</v>
      </c>
      <c r="AJ24" s="36">
        <f>VLOOKUP($A24,[18]HISTODEC23!$A$6:$CA$36,65,0)</f>
        <v>0</v>
      </c>
      <c r="AK24" s="36">
        <f>VLOOKUP($A24,[20]DETAILFICHECASSATION!$A$6:$R$36,12,0)</f>
        <v>100000</v>
      </c>
    </row>
    <row r="25" spans="1:37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VLOOKUP($A25,[18]HISTODEC23!$A$6:$BA$36,48,0)</f>
        <v>0</v>
      </c>
      <c r="F25" s="5">
        <f>MVTNOV23!F25+MVTNOV23!G25-MVTDEC23!E25+K25</f>
        <v>1075382.5203752588</v>
      </c>
      <c r="G25" s="6"/>
      <c r="H25" s="6">
        <f t="shared" si="0"/>
        <v>1075382.5203752588</v>
      </c>
      <c r="I25" s="36">
        <f>VLOOKUP($A25,[18]HISTODEC23!$A$6:$AQ$40,22,0)</f>
        <v>15000</v>
      </c>
      <c r="J25" s="36">
        <f>VLOOKUP($A25,[18]HISTODEC23!$A$6:$AU$36,45,0)</f>
        <v>123000</v>
      </c>
      <c r="K25" s="36">
        <f t="shared" si="1"/>
        <v>117000</v>
      </c>
      <c r="L25" s="36">
        <f t="shared" si="3"/>
        <v>1000</v>
      </c>
      <c r="M25" s="36">
        <f t="shared" si="2"/>
        <v>1000</v>
      </c>
      <c r="N25" s="36">
        <f t="shared" si="4"/>
        <v>4000</v>
      </c>
      <c r="O25" s="36">
        <f>VLOOKUP($A25,[18]HISTODEC23!$A$6:$AU$36,7,0)</f>
        <v>0</v>
      </c>
      <c r="P25" s="36">
        <f>VLOOKUP($A25,[18]HISTODEC23!$A$6:$AU$36,23,0)</f>
        <v>0</v>
      </c>
      <c r="Q25" s="36">
        <f>VLOOKUP($A25,[18]HISTODEC23!$A$6:$AU$36,46,0)</f>
        <v>0</v>
      </c>
      <c r="R25" s="36">
        <f>VLOOKUP($A25,[18]HISTODEC23!$A$6:$AU$36,26,0)</f>
        <v>1000000</v>
      </c>
      <c r="S25" s="36">
        <f>VLOOKUP($A25,[18]HISTODEC23!$A$6:$BG$36,58,0)</f>
        <v>120000</v>
      </c>
      <c r="T25" s="36">
        <f>VLOOKUP($A25,[18]HISTODEC23!$A$6:$AU$36,28,0)</f>
        <v>0</v>
      </c>
      <c r="U25" s="36">
        <f>VLOOKUP($A25,[18]HISTODEC23!$A$6:$AU$36,19,0)</f>
        <v>1000000</v>
      </c>
      <c r="V25" s="36" t="str">
        <f>VLOOKUP($A25,[18]HISTODEC23!$A$6:$AU$36,20,0)</f>
        <v>BANQUE</v>
      </c>
      <c r="W25" s="36" t="str">
        <f>VLOOKUP($A25,[18]HISTODEC23!$A$6:$AU$36,27,0)</f>
        <v>BANQUE</v>
      </c>
      <c r="X25" s="36">
        <f>VLOOKUP($A25,[18]HISTODEC23!$A$6:$BM$36,33,0)</f>
        <v>0</v>
      </c>
      <c r="Y25" s="36">
        <f>VLOOKUP($A25,[18]HISTODEC23!$A$6:$BM$36,65,0)</f>
        <v>0</v>
      </c>
      <c r="Z25" s="36"/>
      <c r="AA25" s="36">
        <f>VLOOKUP($A25,[18]HISTODEC23!$A$6:$AU$36,43,0)</f>
        <v>0</v>
      </c>
      <c r="AB25" s="36">
        <f>VLOOKUP($A25,[18]HISTODEC23!$A$6:$AU$36,44,0)</f>
        <v>0</v>
      </c>
      <c r="AC25" s="36">
        <f>VLOOKUP($A25,[18]HISTODEC23!$A$6:$AU$36,47,0)</f>
        <v>0</v>
      </c>
      <c r="AD25" s="36">
        <f>VLOOKUP(A25,[18]HISTODEC23!$A$6:$BB$36,54,0)</f>
        <v>0</v>
      </c>
      <c r="AE25" s="36">
        <f>VLOOKUP($A25,[18]HISTODEC23!$A$6:$CA$36,60,0)</f>
        <v>0</v>
      </c>
      <c r="AF25" s="36">
        <f>VLOOKUP($A25,[18]HISTODEC23!$A$6:$CA$36,61,0)</f>
        <v>0</v>
      </c>
      <c r="AG25" s="36">
        <f>VLOOKUP($A25,[18]HISTODEC23!$A$6:$CA$36,62,0)</f>
        <v>0</v>
      </c>
      <c r="AH25" s="36">
        <f>VLOOKUP($A25,[18]HISTODEC23!$A$6:$CA$36,63,0)</f>
        <v>0</v>
      </c>
      <c r="AI25" s="36">
        <f>VLOOKUP($A25,[18]HISTODEC23!$A$6:$CA$36,64,0)</f>
        <v>0</v>
      </c>
      <c r="AJ25" s="36">
        <f>VLOOKUP($A25,[18]HISTODEC23!$A$6:$CA$36,65,0)</f>
        <v>0</v>
      </c>
      <c r="AK25" s="36">
        <f>VLOOKUP($A25,[20]DETAILFICHECASSATION!$A$6:$R$36,12,0)</f>
        <v>100000</v>
      </c>
    </row>
    <row r="26" spans="1:37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VLOOKUP($A26,[18]HISTODEC23!$A$6:$BA$36,48,0)</f>
        <v>0</v>
      </c>
      <c r="F26" s="5">
        <f>MVTNOV23!F26+MVTNOV23!G26-MVTDEC23!E26+K26</f>
        <v>759031.76511104673</v>
      </c>
      <c r="G26" s="6"/>
      <c r="H26" s="6">
        <f t="shared" si="0"/>
        <v>759031.76511104673</v>
      </c>
      <c r="I26" s="36">
        <f>VLOOKUP($A26,[18]HISTODEC23!$A$6:$AQ$40,22,0)</f>
        <v>0</v>
      </c>
      <c r="J26" s="36">
        <f>VLOOKUP($A26,[18]HISTODEC23!$A$6:$AU$36,45,0)</f>
        <v>15000</v>
      </c>
      <c r="K26" s="36">
        <f t="shared" si="1"/>
        <v>9000</v>
      </c>
      <c r="L26" s="36">
        <f t="shared" si="3"/>
        <v>1000</v>
      </c>
      <c r="M26" s="36">
        <f t="shared" si="2"/>
        <v>1000</v>
      </c>
      <c r="N26" s="36">
        <f t="shared" si="4"/>
        <v>4000</v>
      </c>
      <c r="O26" s="36">
        <f>VLOOKUP($A26,[18]HISTODEC23!$A$6:$AU$36,7,0)</f>
        <v>0</v>
      </c>
      <c r="P26" s="36">
        <f>VLOOKUP($A26,[18]HISTODEC23!$A$6:$AU$36,23,0)</f>
        <v>0</v>
      </c>
      <c r="Q26" s="36">
        <f>VLOOKUP($A26,[18]HISTODEC23!$A$6:$AU$36,46,0)</f>
        <v>0</v>
      </c>
      <c r="R26" s="36">
        <f>VLOOKUP($A26,[18]HISTODEC23!$A$6:$AU$36,26,0)</f>
        <v>1000000</v>
      </c>
      <c r="S26" s="36">
        <f>VLOOKUP($A26,[18]HISTODEC23!$A$6:$BG$36,58,0)</f>
        <v>30000</v>
      </c>
      <c r="T26" s="36">
        <f>VLOOKUP($A26,[18]HISTODEC23!$A$6:$AU$36,28,0)</f>
        <v>0</v>
      </c>
      <c r="U26" s="36">
        <f>VLOOKUP($A26,[18]HISTODEC23!$A$6:$AU$36,19,0)</f>
        <v>1000000</v>
      </c>
      <c r="V26" s="36" t="str">
        <f>VLOOKUP($A26,[18]HISTODEC23!$A$6:$AU$36,20,0)</f>
        <v>BANQUE</v>
      </c>
      <c r="W26" s="36" t="str">
        <f>VLOOKUP($A26,[18]HISTODEC23!$A$6:$AU$36,27,0)</f>
        <v>BANQUE</v>
      </c>
      <c r="X26" s="36">
        <f>VLOOKUP($A26,[18]HISTODEC23!$A$6:$BM$36,33,0)</f>
        <v>0</v>
      </c>
      <c r="Y26" s="36">
        <f>VLOOKUP($A26,[18]HISTODEC23!$A$6:$BM$36,65,0)</f>
        <v>0</v>
      </c>
      <c r="Z26" s="36"/>
      <c r="AA26" s="36">
        <f>VLOOKUP($A26,[18]HISTODEC23!$A$6:$AU$36,43,0)</f>
        <v>0</v>
      </c>
      <c r="AB26" s="36">
        <f>VLOOKUP($A26,[18]HISTODEC23!$A$6:$AU$36,44,0)</f>
        <v>0</v>
      </c>
      <c r="AC26" s="36">
        <f>VLOOKUP($A26,[18]HISTODEC23!$A$6:$AU$36,47,0)</f>
        <v>0</v>
      </c>
      <c r="AD26" s="36">
        <f>VLOOKUP(A26,[18]HISTODEC23!$A$6:$BB$36,54,0)</f>
        <v>0</v>
      </c>
      <c r="AE26" s="36">
        <f>VLOOKUP($A26,[18]HISTODEC23!$A$6:$CA$36,60,0)</f>
        <v>0</v>
      </c>
      <c r="AF26" s="36">
        <f>VLOOKUP($A26,[18]HISTODEC23!$A$6:$CA$36,61,0)</f>
        <v>0</v>
      </c>
      <c r="AG26" s="36">
        <f>VLOOKUP($A26,[18]HISTODEC23!$A$6:$CA$36,62,0)</f>
        <v>0</v>
      </c>
      <c r="AH26" s="36">
        <f>VLOOKUP($A26,[18]HISTODEC23!$A$6:$CA$36,63,0)</f>
        <v>0</v>
      </c>
      <c r="AI26" s="36">
        <f>VLOOKUP($A26,[18]HISTODEC23!$A$6:$CA$36,64,0)</f>
        <v>0</v>
      </c>
      <c r="AJ26" s="36">
        <f>VLOOKUP($A26,[18]HISTODEC23!$A$6:$CA$36,65,0)</f>
        <v>0</v>
      </c>
      <c r="AK26" s="36">
        <f>VLOOKUP($A26,[20]DETAILFICHECASSATION!$A$6:$R$36,12,0)</f>
        <v>100000</v>
      </c>
    </row>
    <row r="27" spans="1:37" x14ac:dyDescent="0.25">
      <c r="A27" s="1" t="s">
        <v>172</v>
      </c>
      <c r="B27" s="1" t="str">
        <f>VLOOKUP(A27,[15]LISTADHERENT!A$5:H$60,3,0)</f>
        <v>NOUBE ETIENNE</v>
      </c>
      <c r="C27" s="5"/>
      <c r="D27" s="5"/>
      <c r="E27" s="36">
        <f>VLOOKUP($A27,[18]HISTODEC23!$A$6:$BA$36,48,0)</f>
        <v>0</v>
      </c>
      <c r="F27" s="5">
        <f>MVTNOV23!F27+MVTNOV23!G27-MVTDEC23!E27+K27</f>
        <v>721018.81693285913</v>
      </c>
      <c r="G27" s="6"/>
      <c r="H27" s="6">
        <f t="shared" si="0"/>
        <v>721018.81693285913</v>
      </c>
      <c r="I27" s="36">
        <f>VLOOKUP($A27,[18]HISTODEC23!$A$6:$AQ$40,22,0)</f>
        <v>0</v>
      </c>
      <c r="J27" s="36">
        <f>VLOOKUP($A27,[18]HISTODEC23!$A$6:$AU$36,45,0)</f>
        <v>25000</v>
      </c>
      <c r="K27" s="36">
        <f t="shared" si="1"/>
        <v>19000</v>
      </c>
      <c r="L27" s="36">
        <f t="shared" si="3"/>
        <v>1000</v>
      </c>
      <c r="M27" s="36">
        <f t="shared" si="2"/>
        <v>1000</v>
      </c>
      <c r="N27" s="36">
        <f t="shared" si="4"/>
        <v>4000</v>
      </c>
      <c r="O27" s="36">
        <f>VLOOKUP($A27,[18]HISTODEC23!$A$6:$AU$36,7,0)</f>
        <v>0</v>
      </c>
      <c r="P27" s="36">
        <f>VLOOKUP($A27,[18]HISTODEC23!$A$6:$AU$36,23,0)</f>
        <v>0</v>
      </c>
      <c r="Q27" s="36">
        <f>VLOOKUP($A27,[18]HISTODEC23!$A$6:$AU$36,46,0)</f>
        <v>0</v>
      </c>
      <c r="R27" s="36">
        <f>VLOOKUP($A27,[18]HISTODEC23!$A$6:$AU$36,26,0)</f>
        <v>0</v>
      </c>
      <c r="S27" s="36">
        <f>VLOOKUP($A27,[18]HISTODEC23!$A$6:$BG$36,58,0)</f>
        <v>0</v>
      </c>
      <c r="T27" s="36">
        <f>VLOOKUP($A27,[18]HISTODEC23!$A$6:$AU$36,28,0)</f>
        <v>0</v>
      </c>
      <c r="U27" s="36">
        <f>VLOOKUP($A27,[18]HISTODEC23!$A$6:$AU$36,19,0)</f>
        <v>0</v>
      </c>
      <c r="V27" s="36">
        <f>VLOOKUP($A27,[18]HISTODEC23!$A$6:$AU$36,20,0)</f>
        <v>0</v>
      </c>
      <c r="W27" s="36">
        <f>VLOOKUP($A27,[18]HISTODEC23!$A$6:$AU$36,27,0)</f>
        <v>0</v>
      </c>
      <c r="X27" s="36">
        <f>VLOOKUP($A27,[18]HISTODEC23!$A$6:$BM$36,33,0)</f>
        <v>0</v>
      </c>
      <c r="Y27" s="36">
        <f>VLOOKUP($A27,[18]HISTODEC23!$A$6:$BM$36,65,0)</f>
        <v>0</v>
      </c>
      <c r="Z27" s="36"/>
      <c r="AA27" s="36">
        <f>VLOOKUP($A27,[18]HISTODEC23!$A$6:$AU$36,43,0)</f>
        <v>0</v>
      </c>
      <c r="AB27" s="36">
        <f>VLOOKUP($A27,[18]HISTODEC23!$A$6:$AU$36,44,0)</f>
        <v>0</v>
      </c>
      <c r="AC27" s="36">
        <f>VLOOKUP($A27,[18]HISTODEC23!$A$6:$AU$36,47,0)</f>
        <v>0</v>
      </c>
      <c r="AD27" s="36">
        <f>VLOOKUP(A27,[18]HISTODEC23!$A$6:$BB$36,54,0)</f>
        <v>0</v>
      </c>
      <c r="AE27" s="36">
        <f>VLOOKUP($A27,[18]HISTODEC23!$A$6:$CA$36,60,0)</f>
        <v>0</v>
      </c>
      <c r="AF27" s="36">
        <f>VLOOKUP($A27,[18]HISTODEC23!$A$6:$CA$36,61,0)</f>
        <v>0</v>
      </c>
      <c r="AG27" s="36">
        <f>VLOOKUP($A27,[18]HISTODEC23!$A$6:$CA$36,62,0)</f>
        <v>0</v>
      </c>
      <c r="AH27" s="36">
        <f>VLOOKUP($A27,[18]HISTODEC23!$A$6:$CA$36,63,0)</f>
        <v>0</v>
      </c>
      <c r="AI27" s="36">
        <f>VLOOKUP($A27,[18]HISTODEC23!$A$6:$CA$36,64,0)</f>
        <v>0</v>
      </c>
      <c r="AJ27" s="36">
        <f>VLOOKUP($A27,[18]HISTODEC23!$A$6:$CA$36,65,0)</f>
        <v>0</v>
      </c>
      <c r="AK27" s="36">
        <f>VLOOKUP($A27,[20]DETAILFICHECASSATION!$A$6:$R$36,12,0)</f>
        <v>700000</v>
      </c>
    </row>
    <row r="28" spans="1:37" x14ac:dyDescent="0.25">
      <c r="A28" s="1" t="s">
        <v>45</v>
      </c>
      <c r="B28" s="1" t="str">
        <f>VLOOKUP(A28,[15]LISTADHERENT!A$5:H$60,3,0)</f>
        <v>PATEGO NJOSSU GUSTAVE</v>
      </c>
      <c r="C28" s="5"/>
      <c r="D28" s="5"/>
      <c r="E28" s="36">
        <f>VLOOKUP($A28,[18]HISTODEC23!$A$6:$BA$36,48,0)</f>
        <v>0</v>
      </c>
      <c r="F28" s="5">
        <f>MVTNOV23!F28+MVTNOV23!G28-MVTDEC23!E28+K28</f>
        <v>783697.62899610656</v>
      </c>
      <c r="G28" s="6"/>
      <c r="H28" s="6">
        <f t="shared" si="0"/>
        <v>783697.62899610656</v>
      </c>
      <c r="I28" s="36">
        <f>VLOOKUP($A28,[18]HISTODEC23!$A$6:$AQ$40,22,0)</f>
        <v>0</v>
      </c>
      <c r="J28" s="36">
        <f>VLOOKUP($A28,[18]HISTODEC23!$A$6:$AU$36,45,0)</f>
        <v>15000</v>
      </c>
      <c r="K28" s="36">
        <f t="shared" si="1"/>
        <v>9000</v>
      </c>
      <c r="L28" s="36">
        <f t="shared" si="3"/>
        <v>1000</v>
      </c>
      <c r="M28" s="36">
        <f t="shared" si="2"/>
        <v>1000</v>
      </c>
      <c r="N28" s="36">
        <f t="shared" si="4"/>
        <v>4000</v>
      </c>
      <c r="O28" s="36">
        <f>VLOOKUP($A28,[18]HISTODEC23!$A$6:$AU$36,7,0)</f>
        <v>0</v>
      </c>
      <c r="P28" s="36">
        <f>VLOOKUP($A28,[18]HISTODEC23!$A$6:$AU$36,23,0)</f>
        <v>0</v>
      </c>
      <c r="Q28" s="36">
        <f>VLOOKUP($A28,[18]HISTODEC23!$A$6:$AU$36,46,0)</f>
        <v>0</v>
      </c>
      <c r="R28" s="36">
        <f>VLOOKUP($A28,[18]HISTODEC23!$A$6:$AU$36,26,0)</f>
        <v>0</v>
      </c>
      <c r="S28" s="36">
        <f>VLOOKUP($A28,[18]HISTODEC23!$A$6:$BG$36,58,0)</f>
        <v>0</v>
      </c>
      <c r="T28" s="36">
        <f>VLOOKUP($A28,[18]HISTODEC23!$A$6:$AU$36,28,0)</f>
        <v>0</v>
      </c>
      <c r="U28" s="36">
        <f>VLOOKUP($A28,[18]HISTODEC23!$A$6:$AU$36,19,0)</f>
        <v>0</v>
      </c>
      <c r="V28" s="36">
        <f>VLOOKUP($A28,[18]HISTODEC23!$A$6:$AU$36,20,0)</f>
        <v>0</v>
      </c>
      <c r="W28" s="36">
        <f>VLOOKUP($A28,[18]HISTODEC23!$A$6:$AU$36,27,0)</f>
        <v>0</v>
      </c>
      <c r="X28" s="36">
        <f>VLOOKUP($A28,[18]HISTODEC23!$A$6:$BM$36,33,0)</f>
        <v>0</v>
      </c>
      <c r="Y28" s="36">
        <f>VLOOKUP($A28,[18]HISTODEC23!$A$6:$BM$36,65,0)</f>
        <v>0</v>
      </c>
      <c r="Z28" s="36"/>
      <c r="AA28" s="36">
        <f>VLOOKUP($A28,[18]HISTODEC23!$A$6:$AU$36,43,0)</f>
        <v>0</v>
      </c>
      <c r="AB28" s="36">
        <f>VLOOKUP($A28,[18]HISTODEC23!$A$6:$AU$36,44,0)</f>
        <v>0</v>
      </c>
      <c r="AC28" s="36">
        <f>VLOOKUP($A28,[18]HISTODEC23!$A$6:$AU$36,47,0)</f>
        <v>0</v>
      </c>
      <c r="AD28" s="36">
        <f>VLOOKUP(A28,[18]HISTODEC23!$A$6:$BB$36,54,0)</f>
        <v>0</v>
      </c>
      <c r="AE28" s="36">
        <f>VLOOKUP($A28,[18]HISTODEC23!$A$6:$CA$36,60,0)</f>
        <v>0</v>
      </c>
      <c r="AF28" s="36">
        <f>VLOOKUP($A28,[18]HISTODEC23!$A$6:$CA$36,61,0)</f>
        <v>0</v>
      </c>
      <c r="AG28" s="36">
        <f>VLOOKUP($A28,[18]HISTODEC23!$A$6:$CA$36,62,0)</f>
        <v>0</v>
      </c>
      <c r="AH28" s="36">
        <f>VLOOKUP($A28,[18]HISTODEC23!$A$6:$CA$36,63,0)</f>
        <v>0</v>
      </c>
      <c r="AI28" s="36">
        <f>VLOOKUP($A28,[18]HISTODEC23!$A$6:$CA$36,64,0)</f>
        <v>0</v>
      </c>
      <c r="AJ28" s="36">
        <f>VLOOKUP($A28,[18]HISTODEC23!$A$6:$CA$36,65,0)</f>
        <v>0</v>
      </c>
      <c r="AK28" s="36">
        <f>VLOOKUP($A28,[20]DETAILFICHECASSATION!$A$6:$R$36,12,0)</f>
        <v>100000</v>
      </c>
    </row>
    <row r="29" spans="1:37" x14ac:dyDescent="0.25">
      <c r="A29" s="1" t="s">
        <v>312</v>
      </c>
      <c r="B29" s="1" t="str">
        <f>VLOOKUP(A29,[15]LISTADHERENT!A$5:H$60,3,0)</f>
        <v>SEUMO POLYCARPE</v>
      </c>
      <c r="C29" s="5"/>
      <c r="D29" s="5"/>
      <c r="E29" s="36">
        <f>VLOOKUP($A29,[18]HISTODEC23!$A$6:$BA$36,48,0)</f>
        <v>0</v>
      </c>
      <c r="F29" s="5">
        <f>MVTNOV23!F29+MVTNOV23!G29-MVTDEC23!E29+K29</f>
        <v>285500</v>
      </c>
      <c r="G29" s="6"/>
      <c r="H29" s="6">
        <f t="shared" si="0"/>
        <v>285500</v>
      </c>
      <c r="I29" s="36">
        <f>VLOOKUP($A29,[18]HISTODEC23!$A$6:$AQ$40,22,0)</f>
        <v>0</v>
      </c>
      <c r="J29" s="36">
        <f>VLOOKUP($A29,[18]HISTODEC23!$A$6:$AU$36,45,0)</f>
        <v>15000</v>
      </c>
      <c r="K29" s="36">
        <f t="shared" si="1"/>
        <v>9000</v>
      </c>
      <c r="L29" s="36">
        <f t="shared" si="3"/>
        <v>1000</v>
      </c>
      <c r="M29" s="36">
        <f t="shared" si="2"/>
        <v>1000</v>
      </c>
      <c r="N29" s="36">
        <f t="shared" si="4"/>
        <v>4000</v>
      </c>
      <c r="O29" s="36">
        <f>VLOOKUP($A29,[18]HISTODEC23!$A$6:$AU$36,7,0)</f>
        <v>0</v>
      </c>
      <c r="P29" s="36">
        <f>VLOOKUP($A29,[18]HISTODEC23!$A$6:$AU$36,23,0)</f>
        <v>0</v>
      </c>
      <c r="Q29" s="36">
        <f>VLOOKUP($A29,[18]HISTODEC23!$A$6:$AU$36,46,0)</f>
        <v>0</v>
      </c>
      <c r="R29" s="36">
        <f>VLOOKUP($A29,[18]HISTODEC23!$A$6:$AU$36,26,0)</f>
        <v>0</v>
      </c>
      <c r="S29" s="36">
        <f>VLOOKUP($A29,[18]HISTODEC23!$A$6:$BG$36,58,0)</f>
        <v>0</v>
      </c>
      <c r="T29" s="36">
        <f>VLOOKUP($A29,[18]HISTODEC23!$A$6:$AU$36,28,0)</f>
        <v>0</v>
      </c>
      <c r="U29" s="36">
        <f>VLOOKUP($A29,[18]HISTODEC23!$A$6:$AU$36,19,0)</f>
        <v>0</v>
      </c>
      <c r="V29" s="36">
        <f>VLOOKUP($A29,[18]HISTODEC23!$A$6:$AU$36,20,0)</f>
        <v>0</v>
      </c>
      <c r="W29" s="36">
        <f>VLOOKUP($A29,[18]HISTODEC23!$A$6:$AU$36,27,0)</f>
        <v>0</v>
      </c>
      <c r="X29" s="36">
        <f>VLOOKUP($A29,[18]HISTODEC23!$A$6:$BM$36,33,0)</f>
        <v>0</v>
      </c>
      <c r="Y29" s="36">
        <f>VLOOKUP($A29,[18]HISTODEC23!$A$6:$BM$36,65,0)</f>
        <v>0</v>
      </c>
      <c r="Z29" s="36"/>
      <c r="AA29" s="36">
        <f>VLOOKUP($A29,[18]HISTODEC23!$A$6:$AU$36,43,0)</f>
        <v>0</v>
      </c>
      <c r="AB29" s="36">
        <f>VLOOKUP($A29,[18]HISTODEC23!$A$6:$AU$36,44,0)</f>
        <v>0</v>
      </c>
      <c r="AC29" s="36">
        <f>VLOOKUP($A29,[18]HISTODEC23!$A$6:$AU$36,47,0)</f>
        <v>0</v>
      </c>
      <c r="AD29" s="36">
        <f>VLOOKUP(A29,[18]HISTODEC23!$A$6:$BB$36,54,0)</f>
        <v>0</v>
      </c>
      <c r="AE29" s="36">
        <f>VLOOKUP($A29,[18]HISTODEC23!$A$6:$CA$36,60,0)</f>
        <v>0</v>
      </c>
      <c r="AF29" s="36">
        <f>VLOOKUP($A29,[18]HISTODEC23!$A$6:$CA$36,61,0)</f>
        <v>0</v>
      </c>
      <c r="AG29" s="36">
        <f>VLOOKUP($A29,[18]HISTODEC23!$A$6:$CA$36,62,0)</f>
        <v>0</v>
      </c>
      <c r="AH29" s="36">
        <f>VLOOKUP($A29,[18]HISTODEC23!$A$6:$CA$36,63,0)</f>
        <v>0</v>
      </c>
      <c r="AI29" s="36">
        <f>VLOOKUP($A29,[18]HISTODEC23!$A$6:$CA$36,64,0)</f>
        <v>0</v>
      </c>
      <c r="AJ29" s="36">
        <f>VLOOKUP($A29,[18]HISTODEC23!$A$6:$CA$36,65,0)</f>
        <v>0</v>
      </c>
      <c r="AK29" s="36">
        <f>VLOOKUP($A29,[20]DETAILFICHECASSATION!$A$6:$R$36,12,0)</f>
        <v>0</v>
      </c>
    </row>
    <row r="30" spans="1:37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VLOOKUP($A30,[18]HISTODEC23!$A$6:$BA$36,48,0)</f>
        <v>0</v>
      </c>
      <c r="F30" s="5">
        <f>MVTNOV23!F30+MVTNOV23!G30-MVTDEC23!E30+K30</f>
        <v>978364.63072073762</v>
      </c>
      <c r="G30" s="6"/>
      <c r="H30" s="6">
        <f t="shared" si="0"/>
        <v>978364.63072073762</v>
      </c>
      <c r="I30" s="36">
        <f>VLOOKUP($A30,[18]HISTODEC23!$A$6:$AQ$40,22,0)</f>
        <v>34000</v>
      </c>
      <c r="J30" s="36">
        <f>VLOOKUP($A30,[18]HISTODEC23!$A$6:$AU$36,45,0)</f>
        <v>15000</v>
      </c>
      <c r="K30" s="36">
        <f t="shared" si="1"/>
        <v>9000</v>
      </c>
      <c r="L30" s="36">
        <f t="shared" si="3"/>
        <v>1000</v>
      </c>
      <c r="M30" s="36">
        <f t="shared" si="2"/>
        <v>1000</v>
      </c>
      <c r="N30" s="36">
        <f t="shared" si="4"/>
        <v>4000</v>
      </c>
      <c r="O30" s="36">
        <f>VLOOKUP($A30,[18]HISTODEC23!$A$6:$AU$36,7,0)</f>
        <v>0</v>
      </c>
      <c r="P30" s="36">
        <f>VLOOKUP($A30,[18]HISTODEC23!$A$6:$AU$36,23,0)</f>
        <v>0</v>
      </c>
      <c r="Q30" s="36">
        <f>VLOOKUP($A30,[18]HISTODEC23!$A$6:$AU$36,46,0)</f>
        <v>0</v>
      </c>
      <c r="R30" s="36">
        <f>VLOOKUP($A30,[18]HISTODEC23!$A$6:$AU$36,26,0)</f>
        <v>1000000</v>
      </c>
      <c r="S30" s="36">
        <f>VLOOKUP($A30,[18]HISTODEC23!$A$6:$BG$36,58,0)</f>
        <v>60000</v>
      </c>
      <c r="T30" s="36">
        <f>VLOOKUP($A30,[18]HISTODEC23!$A$6:$AU$36,28,0)</f>
        <v>0</v>
      </c>
      <c r="U30" s="36">
        <f>VLOOKUP($A30,[18]HISTODEC23!$A$6:$AU$36,19,0)</f>
        <v>0</v>
      </c>
      <c r="V30" s="36">
        <f>VLOOKUP($A30,[18]HISTODEC23!$A$6:$AU$36,20,0)</f>
        <v>0</v>
      </c>
      <c r="W30" s="36" t="str">
        <f>VLOOKUP($A30,[18]HISTODEC23!$A$6:$AU$36,27,0)</f>
        <v>BANQUE</v>
      </c>
      <c r="X30" s="36">
        <f>VLOOKUP($A30,[18]HISTODEC23!$A$6:$BM$36,33,0)</f>
        <v>0</v>
      </c>
      <c r="Y30" s="36">
        <f>VLOOKUP($A30,[18]HISTODEC23!$A$6:$BM$36,65,0)</f>
        <v>0</v>
      </c>
      <c r="Z30" s="36"/>
      <c r="AA30" s="36">
        <f>VLOOKUP($A30,[18]HISTODEC23!$A$6:$AU$36,43,0)</f>
        <v>0</v>
      </c>
      <c r="AB30" s="36">
        <f>VLOOKUP($A30,[18]HISTODEC23!$A$6:$AU$36,44,0)</f>
        <v>0</v>
      </c>
      <c r="AC30" s="36">
        <f>VLOOKUP($A30,[18]HISTODEC23!$A$6:$AU$36,47,0)</f>
        <v>0</v>
      </c>
      <c r="AD30" s="36">
        <f>VLOOKUP(A30,[18]HISTODEC23!$A$6:$BB$36,54,0)</f>
        <v>0</v>
      </c>
      <c r="AE30" s="36">
        <f>VLOOKUP($A30,[18]HISTODEC23!$A$6:$CA$36,60,0)</f>
        <v>0</v>
      </c>
      <c r="AF30" s="36">
        <f>VLOOKUP($A30,[18]HISTODEC23!$A$6:$CA$36,61,0)</f>
        <v>0</v>
      </c>
      <c r="AG30" s="36">
        <f>VLOOKUP($A30,[18]HISTODEC23!$A$6:$CA$36,62,0)</f>
        <v>0</v>
      </c>
      <c r="AH30" s="36">
        <f>VLOOKUP($A30,[18]HISTODEC23!$A$6:$CA$36,63,0)</f>
        <v>0</v>
      </c>
      <c r="AI30" s="36">
        <f>VLOOKUP($A30,[18]HISTODEC23!$A$6:$CA$36,64,0)</f>
        <v>0</v>
      </c>
      <c r="AJ30" s="36">
        <f>VLOOKUP($A30,[18]HISTODEC23!$A$6:$CA$36,65,0)</f>
        <v>0</v>
      </c>
      <c r="AK30" s="36">
        <f>VLOOKUP($A30,[20]DETAILFICHECASSATION!$A$6:$R$36,12,0)</f>
        <v>100000</v>
      </c>
    </row>
    <row r="31" spans="1:37" x14ac:dyDescent="0.25">
      <c r="A31" s="1" t="s">
        <v>49</v>
      </c>
      <c r="B31" s="1" t="str">
        <f>VLOOKUP(A31,[15]LISTADHERENT!A$5:H$60,3,0)</f>
        <v>SIMO PIERRE</v>
      </c>
      <c r="C31" s="5"/>
      <c r="D31" s="5"/>
      <c r="E31" s="36">
        <f>VLOOKUP($A31,[18]HISTODEC23!$A$6:$BA$36,48,0)</f>
        <v>0</v>
      </c>
      <c r="F31" s="5">
        <f>MVTNOV23!F31+MVTNOV23!G31-MVTDEC23!E31+K31</f>
        <v>985687.08401367289</v>
      </c>
      <c r="G31" s="6"/>
      <c r="H31" s="6">
        <f t="shared" si="0"/>
        <v>985687.08401367289</v>
      </c>
      <c r="I31" s="36">
        <f>VLOOKUP($A31,[18]HISTODEC23!$A$6:$AQ$40,22,0)</f>
        <v>0</v>
      </c>
      <c r="J31" s="36">
        <f>VLOOKUP($A31,[18]HISTODEC23!$A$6:$AU$36,45,0)</f>
        <v>15000</v>
      </c>
      <c r="K31" s="36">
        <f t="shared" si="1"/>
        <v>9000</v>
      </c>
      <c r="L31" s="36">
        <f t="shared" si="3"/>
        <v>1000</v>
      </c>
      <c r="M31" s="36">
        <f t="shared" si="2"/>
        <v>1000</v>
      </c>
      <c r="N31" s="36">
        <f t="shared" si="4"/>
        <v>4000</v>
      </c>
      <c r="O31" s="36">
        <f>VLOOKUP($A31,[18]HISTODEC23!$A$6:$AU$36,7,0)</f>
        <v>0</v>
      </c>
      <c r="P31" s="36">
        <f>VLOOKUP($A31,[18]HISTODEC23!$A$6:$AU$36,23,0)</f>
        <v>0</v>
      </c>
      <c r="Q31" s="36">
        <f>VLOOKUP($A31,[18]HISTODEC23!$A$6:$AU$36,46,0)</f>
        <v>0</v>
      </c>
      <c r="R31" s="36">
        <f>VLOOKUP($A31,[18]HISTODEC23!$A$6:$AU$36,26,0)</f>
        <v>250000</v>
      </c>
      <c r="S31" s="36">
        <f>VLOOKUP($A31,[18]HISTODEC23!$A$6:$BG$36,58,0)</f>
        <v>15000</v>
      </c>
      <c r="T31" s="36">
        <f>VLOOKUP($A31,[18]HISTODEC23!$A$6:$AU$36,28,0)</f>
        <v>0</v>
      </c>
      <c r="U31" s="36">
        <f>VLOOKUP($A31,[18]HISTODEC23!$A$6:$AU$36,19,0)</f>
        <v>1000000</v>
      </c>
      <c r="V31" s="36" t="str">
        <f>VLOOKUP($A31,[18]HISTODEC23!$A$6:$AU$36,20,0)</f>
        <v>BANQUE</v>
      </c>
      <c r="W31" s="36" t="str">
        <f>VLOOKUP($A31,[18]HISTODEC23!$A$6:$AU$36,27,0)</f>
        <v>BANQUE</v>
      </c>
      <c r="X31" s="36">
        <f>VLOOKUP($A31,[18]HISTODEC23!$A$6:$BM$36,33,0)</f>
        <v>0</v>
      </c>
      <c r="Y31" s="36">
        <f>VLOOKUP($A31,[18]HISTODEC23!$A$6:$BM$36,65,0)</f>
        <v>0</v>
      </c>
      <c r="Z31" s="36"/>
      <c r="AA31" s="36">
        <f>VLOOKUP($A31,[18]HISTODEC23!$A$6:$AU$36,43,0)</f>
        <v>0</v>
      </c>
      <c r="AB31" s="36">
        <f>VLOOKUP($A31,[18]HISTODEC23!$A$6:$AU$36,44,0)</f>
        <v>0</v>
      </c>
      <c r="AC31" s="36">
        <f>VLOOKUP($A31,[18]HISTODEC23!$A$6:$AU$36,47,0)</f>
        <v>0</v>
      </c>
      <c r="AD31" s="36">
        <f>VLOOKUP(A31,[18]HISTODEC23!$A$6:$BB$36,54,0)</f>
        <v>0</v>
      </c>
      <c r="AE31" s="36">
        <f>VLOOKUP($A31,[18]HISTODEC23!$A$6:$CA$36,60,0)</f>
        <v>0</v>
      </c>
      <c r="AF31" s="36">
        <f>VLOOKUP($A31,[18]HISTODEC23!$A$6:$CA$36,61,0)</f>
        <v>0</v>
      </c>
      <c r="AG31" s="36">
        <f>VLOOKUP($A31,[18]HISTODEC23!$A$6:$CA$36,62,0)</f>
        <v>0</v>
      </c>
      <c r="AH31" s="36">
        <f>VLOOKUP($A31,[18]HISTODEC23!$A$6:$CA$36,63,0)</f>
        <v>0</v>
      </c>
      <c r="AI31" s="36">
        <f>VLOOKUP($A31,[18]HISTODEC23!$A$6:$CA$36,64,0)</f>
        <v>0</v>
      </c>
      <c r="AJ31" s="36">
        <f>VLOOKUP($A31,[18]HISTODEC23!$A$6:$CA$36,65,0)</f>
        <v>0</v>
      </c>
      <c r="AK31" s="36">
        <f>VLOOKUP($A31,[20]DETAILFICHECASSATION!$A$6:$R$36,12,0)</f>
        <v>100000</v>
      </c>
    </row>
    <row r="32" spans="1:37" x14ac:dyDescent="0.25">
      <c r="A32" s="1" t="s">
        <v>51</v>
      </c>
      <c r="B32" s="1" t="str">
        <f>VLOOKUP(A32,[15]LISTADHERENT!A$5:H$60,3,0)</f>
        <v>TCHOUAMOU MATHIEU</v>
      </c>
      <c r="C32" s="5"/>
      <c r="D32" s="5"/>
      <c r="E32" s="36">
        <f>VLOOKUP($A32,[18]HISTODEC23!$A$6:$BA$36,48,0)</f>
        <v>0</v>
      </c>
      <c r="F32" s="5">
        <f>MVTNOV23!F32+MVTNOV23!G32-MVTDEC23!E32+K32</f>
        <v>764975.67615086725</v>
      </c>
      <c r="G32" s="6"/>
      <c r="H32" s="6">
        <f t="shared" si="0"/>
        <v>764975.67615086725</v>
      </c>
      <c r="I32" s="36">
        <f>VLOOKUP($A32,[18]HISTODEC23!$A$6:$AQ$40,22,0)</f>
        <v>0</v>
      </c>
      <c r="J32" s="36">
        <f>VLOOKUP($A32,[18]HISTODEC23!$A$6:$AU$36,45,0)</f>
        <v>15000</v>
      </c>
      <c r="K32" s="36">
        <f t="shared" si="1"/>
        <v>9000</v>
      </c>
      <c r="L32" s="36">
        <f t="shared" si="3"/>
        <v>1000</v>
      </c>
      <c r="M32" s="36">
        <f t="shared" si="2"/>
        <v>1000</v>
      </c>
      <c r="N32" s="36">
        <f t="shared" si="4"/>
        <v>4000</v>
      </c>
      <c r="O32" s="36">
        <f>VLOOKUP($A32,[18]HISTODEC23!$A$6:$AU$36,7,0)</f>
        <v>0</v>
      </c>
      <c r="P32" s="36">
        <f>VLOOKUP($A32,[18]HISTODEC23!$A$6:$AU$36,23,0)</f>
        <v>0</v>
      </c>
      <c r="Q32" s="36">
        <f>VLOOKUP($A32,[18]HISTODEC23!$A$6:$AU$36,46,0)</f>
        <v>0</v>
      </c>
      <c r="R32" s="36">
        <f>VLOOKUP($A32,[18]HISTODEC23!$A$6:$AU$36,26,0)</f>
        <v>0</v>
      </c>
      <c r="S32" s="36">
        <f>VLOOKUP($A32,[18]HISTODEC23!$A$6:$BG$36,58,0)</f>
        <v>0</v>
      </c>
      <c r="T32" s="36">
        <f>VLOOKUP($A32,[18]HISTODEC23!$A$6:$AU$36,28,0)</f>
        <v>0</v>
      </c>
      <c r="U32" s="36">
        <f>VLOOKUP($A32,[18]HISTODEC23!$A$6:$AU$36,19,0)</f>
        <v>200000</v>
      </c>
      <c r="V32" s="36" t="str">
        <f>VLOOKUP($A32,[18]HISTODEC23!$A$6:$AU$36,20,0)</f>
        <v>BANQUE</v>
      </c>
      <c r="W32" s="36">
        <f>VLOOKUP($A32,[18]HISTODEC23!$A$6:$AU$36,27,0)</f>
        <v>0</v>
      </c>
      <c r="X32" s="36">
        <f>VLOOKUP($A32,[18]HISTODEC23!$A$6:$BM$36,33,0)</f>
        <v>0</v>
      </c>
      <c r="Y32" s="36">
        <f>VLOOKUP($A32,[18]HISTODEC23!$A$6:$BM$36,65,0)</f>
        <v>0</v>
      </c>
      <c r="Z32" s="36"/>
      <c r="AA32" s="36">
        <f>VLOOKUP($A32,[18]HISTODEC23!$A$6:$AU$36,43,0)</f>
        <v>0</v>
      </c>
      <c r="AB32" s="36">
        <f>VLOOKUP($A32,[18]HISTODEC23!$A$6:$AU$36,44,0)</f>
        <v>0</v>
      </c>
      <c r="AC32" s="36">
        <f>VLOOKUP($A32,[18]HISTODEC23!$A$6:$AU$36,47,0)</f>
        <v>0</v>
      </c>
      <c r="AD32" s="36">
        <f>VLOOKUP(A32,[18]HISTODEC23!$A$6:$BB$36,54,0)</f>
        <v>0</v>
      </c>
      <c r="AE32" s="36">
        <f>VLOOKUP($A32,[18]HISTODEC23!$A$6:$CA$36,60,0)</f>
        <v>0</v>
      </c>
      <c r="AF32" s="36">
        <f>VLOOKUP($A32,[18]HISTODEC23!$A$6:$CA$36,61,0)</f>
        <v>0</v>
      </c>
      <c r="AG32" s="36">
        <f>VLOOKUP($A32,[18]HISTODEC23!$A$6:$CA$36,62,0)</f>
        <v>0</v>
      </c>
      <c r="AH32" s="36">
        <f>VLOOKUP($A32,[18]HISTODEC23!$A$6:$CA$36,63,0)</f>
        <v>0</v>
      </c>
      <c r="AI32" s="36">
        <f>VLOOKUP($A32,[18]HISTODEC23!$A$6:$CA$36,64,0)</f>
        <v>0</v>
      </c>
      <c r="AJ32" s="36">
        <f>VLOOKUP($A32,[18]HISTODEC23!$A$6:$CA$36,65,0)</f>
        <v>0</v>
      </c>
      <c r="AK32" s="36">
        <f>VLOOKUP($A32,[20]DETAILFICHECASSATION!$A$6:$R$36,12,0)</f>
        <v>100000</v>
      </c>
    </row>
    <row r="33" spans="1:37" x14ac:dyDescent="0.25">
      <c r="A33" s="1" t="s">
        <v>53</v>
      </c>
      <c r="B33" s="1" t="str">
        <f>VLOOKUP(A33,[15]LISTADHERENT!A$5:H$60,3,0)</f>
        <v>TCHOUTOU NANA CLAUDE</v>
      </c>
      <c r="C33" s="5"/>
      <c r="D33" s="5"/>
      <c r="E33" s="36">
        <f>VLOOKUP($A33,[18]HISTODEC23!$A$6:$BA$36,48,0)</f>
        <v>0</v>
      </c>
      <c r="F33" s="5">
        <f>MVTNOV23!F33+MVTNOV23!G33-MVTDEC23!E33+K33</f>
        <v>103000</v>
      </c>
      <c r="G33" s="6"/>
      <c r="H33" s="6">
        <f t="shared" si="0"/>
        <v>103000</v>
      </c>
      <c r="I33" s="36">
        <f>VLOOKUP($A33,[18]HISTODEC23!$A$6:$AQ$40,22,0)</f>
        <v>0</v>
      </c>
      <c r="J33" s="36">
        <f>VLOOKUP($A33,[18]HISTODEC23!$A$6:$AU$36,45,0)</f>
        <v>25000</v>
      </c>
      <c r="K33" s="36">
        <f>18000+10000</f>
        <v>28000</v>
      </c>
      <c r="L33" s="36">
        <f>IF(J33=0,0,1000)+1000</f>
        <v>2000</v>
      </c>
      <c r="M33" s="36">
        <f>IF(J33=0,0,1000)+1000</f>
        <v>2000</v>
      </c>
      <c r="N33" s="36">
        <f>IF(J33=0,0,4000)+4000</f>
        <v>8000</v>
      </c>
      <c r="O33" s="36">
        <f>VLOOKUP($A33,[18]HISTODEC23!$A$6:$AU$36,7,0)</f>
        <v>0</v>
      </c>
      <c r="P33" s="36">
        <f>VLOOKUP($A33,[18]HISTODEC23!$A$6:$AU$36,23,0)</f>
        <v>0</v>
      </c>
      <c r="Q33" s="36">
        <f>VLOOKUP($A33,[18]HISTODEC23!$A$6:$AU$36,46,0)</f>
        <v>0</v>
      </c>
      <c r="R33" s="36">
        <f>VLOOKUP($A33,[18]HISTODEC23!$A$6:$AU$36,26,0)</f>
        <v>0</v>
      </c>
      <c r="S33" s="36">
        <f>VLOOKUP($A33,[18]HISTODEC23!$A$6:$BG$36,58,0)</f>
        <v>0</v>
      </c>
      <c r="T33" s="36">
        <f>VLOOKUP($A33,[18]HISTODEC23!$A$6:$AU$36,28,0)</f>
        <v>0</v>
      </c>
      <c r="U33" s="36">
        <f>VLOOKUP($A33,[18]HISTODEC23!$A$6:$AU$36,19,0)</f>
        <v>0</v>
      </c>
      <c r="V33" s="36">
        <f>VLOOKUP($A33,[18]HISTODEC23!$A$6:$AU$36,20,0)</f>
        <v>0</v>
      </c>
      <c r="W33" s="36">
        <f>VLOOKUP($A33,[18]HISTODEC23!$A$6:$AU$36,27,0)</f>
        <v>0</v>
      </c>
      <c r="X33" s="36">
        <f>VLOOKUP($A33,[18]HISTODEC23!$A$6:$BM$36,33,0)</f>
        <v>0</v>
      </c>
      <c r="Y33" s="36">
        <f>VLOOKUP($A33,[18]HISTODEC23!$A$6:$BM$36,65,0)</f>
        <v>0</v>
      </c>
      <c r="Z33" s="36"/>
      <c r="AA33" s="36">
        <f>VLOOKUP($A33,[18]HISTODEC23!$A$6:$AU$36,43,0)</f>
        <v>0</v>
      </c>
      <c r="AB33" s="36">
        <f>VLOOKUP($A33,[18]HISTODEC23!$A$6:$AU$36,44,0)</f>
        <v>0</v>
      </c>
      <c r="AC33" s="36">
        <f>VLOOKUP($A33,[18]HISTODEC23!$A$6:$AU$36,47,0)</f>
        <v>0</v>
      </c>
      <c r="AD33" s="36">
        <f>VLOOKUP(A33,[18]HISTODEC23!$A$6:$BB$36,54,0)</f>
        <v>70000</v>
      </c>
      <c r="AE33" s="36">
        <f>VLOOKUP($A33,[18]HISTODEC23!$A$6:$CA$36,60,0)</f>
        <v>0</v>
      </c>
      <c r="AF33" s="36">
        <f>VLOOKUP($A33,[18]HISTODEC23!$A$6:$CA$36,61,0)</f>
        <v>0</v>
      </c>
      <c r="AG33" s="36">
        <f>VLOOKUP($A33,[18]HISTODEC23!$A$6:$CA$36,62,0)</f>
        <v>0</v>
      </c>
      <c r="AH33" s="36">
        <f>VLOOKUP($A33,[18]HISTODEC23!$A$6:$CA$36,63,0)</f>
        <v>0</v>
      </c>
      <c r="AI33" s="36">
        <f>VLOOKUP($A33,[18]HISTODEC23!$A$6:$CA$36,64,0)</f>
        <v>0</v>
      </c>
      <c r="AJ33" s="36">
        <f>VLOOKUP($A33,[18]HISTODEC23!$A$6:$CA$36,65,0)</f>
        <v>0</v>
      </c>
      <c r="AK33" s="36">
        <f>VLOOKUP($A33,[20]DETAILFICHECASSATION!$A$6:$R$36,12,0)</f>
        <v>0</v>
      </c>
    </row>
    <row r="34" spans="1:37" x14ac:dyDescent="0.25">
      <c r="A34" s="1" t="s">
        <v>313</v>
      </c>
      <c r="B34" s="1" t="str">
        <f>VLOOKUP(A34,[15]LISTADHERENT!A$5:H$60,3,0)</f>
        <v>YANTCHOU GERVAIS</v>
      </c>
      <c r="C34" s="5"/>
      <c r="D34" s="5"/>
      <c r="E34" s="36">
        <f>VLOOKUP($A34,[18]HISTODEC23!$A$6:$BA$36,48,0)</f>
        <v>0</v>
      </c>
      <c r="F34" s="5">
        <f>MVTNOV23!F34+MVTNOV23!G34-MVTDEC23!E34+K34</f>
        <v>738024.13813217054</v>
      </c>
      <c r="G34" s="6"/>
      <c r="H34" s="6">
        <f t="shared" si="0"/>
        <v>738024.13813217054</v>
      </c>
      <c r="I34" s="36">
        <f>VLOOKUP($A34,[18]HISTODEC23!$A$6:$AQ$40,22,0)</f>
        <v>0</v>
      </c>
      <c r="J34" s="36">
        <f>VLOOKUP($A34,[18]HISTODEC23!$A$6:$AU$36,45,0)</f>
        <v>15000</v>
      </c>
      <c r="K34" s="36">
        <f t="shared" si="1"/>
        <v>9000</v>
      </c>
      <c r="L34" s="36">
        <f t="shared" si="3"/>
        <v>1000</v>
      </c>
      <c r="M34" s="36">
        <f t="shared" si="2"/>
        <v>1000</v>
      </c>
      <c r="N34" s="36">
        <f t="shared" si="4"/>
        <v>4000</v>
      </c>
      <c r="O34" s="36">
        <f>VLOOKUP($A34,[18]HISTODEC23!$A$6:$AU$36,7,0)</f>
        <v>0</v>
      </c>
      <c r="P34" s="36">
        <f>VLOOKUP($A34,[18]HISTODEC23!$A$6:$AU$36,23,0)</f>
        <v>0</v>
      </c>
      <c r="Q34" s="36">
        <f>VLOOKUP($A34,[18]HISTODEC23!$A$6:$AU$36,46,0)</f>
        <v>0</v>
      </c>
      <c r="R34" s="36">
        <f>VLOOKUP($A34,[18]HISTODEC23!$A$6:$AU$36,26,0)</f>
        <v>700000</v>
      </c>
      <c r="S34" s="36">
        <f>VLOOKUP($A34,[18]HISTODEC23!$A$6:$BG$36,58,0)</f>
        <v>84000</v>
      </c>
      <c r="T34" s="36">
        <f>VLOOKUP($A34,[18]HISTODEC23!$A$6:$AU$36,28,0)</f>
        <v>0</v>
      </c>
      <c r="U34" s="36">
        <f>VLOOKUP($A34,[18]HISTODEC23!$A$6:$AU$36,19,0)</f>
        <v>0</v>
      </c>
      <c r="V34" s="36">
        <f>VLOOKUP($A34,[18]HISTODEC23!$A$6:$AU$36,20,0)</f>
        <v>0</v>
      </c>
      <c r="W34" s="36" t="str">
        <f>VLOOKUP($A34,[18]HISTODEC23!$A$6:$AU$36,27,0)</f>
        <v>BANQUE</v>
      </c>
      <c r="X34" s="36">
        <f>VLOOKUP($A34,[18]HISTODEC23!$A$6:$BM$36,33,0)</f>
        <v>0</v>
      </c>
      <c r="Y34" s="36">
        <f>VLOOKUP($A34,[18]HISTODEC23!$A$6:$BM$36,65,0)</f>
        <v>0</v>
      </c>
      <c r="Z34" s="36"/>
      <c r="AA34" s="36">
        <f>VLOOKUP($A34,[18]HISTODEC23!$A$6:$AU$36,43,0)</f>
        <v>0</v>
      </c>
      <c r="AB34" s="36">
        <f>VLOOKUP($A34,[18]HISTODEC23!$A$6:$AU$36,44,0)</f>
        <v>0</v>
      </c>
      <c r="AC34" s="36">
        <f>VLOOKUP($A34,[18]HISTODEC23!$A$6:$AU$36,47,0)</f>
        <v>0</v>
      </c>
      <c r="AD34" s="36">
        <f>VLOOKUP(A34,[18]HISTODEC23!$A$6:$BB$36,54,0)</f>
        <v>0</v>
      </c>
      <c r="AE34" s="36">
        <f>VLOOKUP($A34,[18]HISTODEC23!$A$6:$CA$36,60,0)</f>
        <v>0</v>
      </c>
      <c r="AF34" s="36">
        <f>VLOOKUP($A34,[18]HISTODEC23!$A$6:$CA$36,61,0)</f>
        <v>0</v>
      </c>
      <c r="AG34" s="36">
        <f>VLOOKUP($A34,[18]HISTODEC23!$A$6:$CA$36,62,0)</f>
        <v>0</v>
      </c>
      <c r="AH34" s="36">
        <f>VLOOKUP($A34,[18]HISTODEC23!$A$6:$CA$36,63,0)</f>
        <v>0</v>
      </c>
      <c r="AI34" s="36">
        <f>VLOOKUP($A34,[18]HISTODEC23!$A$6:$CA$36,64,0)</f>
        <v>0</v>
      </c>
      <c r="AJ34" s="36">
        <f>VLOOKUP($A34,[18]HISTODEC23!$A$6:$CA$36,65,0)</f>
        <v>0</v>
      </c>
      <c r="AK34" s="36">
        <f>VLOOKUP($A34,[20]DETAILFICHECASSATION!$A$6:$R$36,12,0)</f>
        <v>700000</v>
      </c>
    </row>
    <row r="35" spans="1:37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VLOOKUP($A35,[18]HISTODEC23!$A$6:$BA$36,48,0)</f>
        <v>0</v>
      </c>
      <c r="F35" s="5">
        <f>MVTNOV23!F35+MVTNOV23!G35-MVTDEC23!E35+K35</f>
        <v>1743327.2699994349</v>
      </c>
      <c r="G35" s="6"/>
      <c r="H35" s="6">
        <f t="shared" si="0"/>
        <v>1743327.2699994349</v>
      </c>
      <c r="I35" s="36">
        <f>VLOOKUP($A35,[18]HISTODEC23!$A$6:$AQ$40,22,0)</f>
        <v>0</v>
      </c>
      <c r="J35" s="36">
        <f>VLOOKUP($A35,[18]HISTODEC23!$A$6:$AU$36,45,0)</f>
        <v>15000</v>
      </c>
      <c r="K35" s="36">
        <f t="shared" si="1"/>
        <v>9000</v>
      </c>
      <c r="L35" s="36">
        <f t="shared" si="3"/>
        <v>1000</v>
      </c>
      <c r="M35" s="36">
        <f t="shared" si="2"/>
        <v>1000</v>
      </c>
      <c r="N35" s="36">
        <f t="shared" si="4"/>
        <v>4000</v>
      </c>
      <c r="O35" s="36">
        <f>VLOOKUP($A35,[18]HISTODEC23!$A$6:$AU$36,7,0)</f>
        <v>0</v>
      </c>
      <c r="P35" s="36">
        <f>VLOOKUP($A35,[18]HISTODEC23!$A$6:$AU$36,23,0)</f>
        <v>0</v>
      </c>
      <c r="Q35" s="36">
        <f>VLOOKUP($A35,[18]HISTODEC23!$A$6:$AU$36,46,0)</f>
        <v>0</v>
      </c>
      <c r="R35" s="36">
        <f>VLOOKUP($A35,[18]HISTODEC23!$A$6:$AU$36,26,0)</f>
        <v>0</v>
      </c>
      <c r="S35" s="36">
        <f>VLOOKUP($A35,[18]HISTODEC23!$A$6:$BG$36,58,0)</f>
        <v>0</v>
      </c>
      <c r="T35" s="36">
        <f>VLOOKUP($A35,[18]HISTODEC23!$A$6:$AU$36,28,0)</f>
        <v>0</v>
      </c>
      <c r="U35" s="36">
        <f>VLOOKUP($A35,[18]HISTODEC23!$A$6:$AU$36,19,0)</f>
        <v>227500</v>
      </c>
      <c r="V35" s="36" t="str">
        <f>VLOOKUP($A35,[18]HISTODEC23!$A$6:$AU$36,20,0)</f>
        <v>BANQUE</v>
      </c>
      <c r="W35" s="36">
        <f>VLOOKUP($A35,[18]HISTODEC23!$A$6:$AU$36,27,0)</f>
        <v>0</v>
      </c>
      <c r="X35" s="36">
        <f>VLOOKUP($A35,[18]HISTODEC23!$A$6:$BM$36,33,0)</f>
        <v>0</v>
      </c>
      <c r="Y35" s="36">
        <f>VLOOKUP($A35,[18]HISTODEC23!$A$6:$BM$36,65,0)</f>
        <v>0</v>
      </c>
      <c r="Z35" s="36"/>
      <c r="AA35" s="36">
        <f>VLOOKUP($A35,[18]HISTODEC23!$A$6:$AU$36,43,0)</f>
        <v>0</v>
      </c>
      <c r="AB35" s="36">
        <f>VLOOKUP($A35,[18]HISTODEC23!$A$6:$AU$36,44,0)</f>
        <v>0</v>
      </c>
      <c r="AC35" s="36">
        <f>VLOOKUP($A35,[18]HISTODEC23!$A$6:$AU$36,47,0)</f>
        <v>0</v>
      </c>
      <c r="AD35" s="36">
        <f>VLOOKUP(A35,[18]HISTODEC23!$A$6:$BB$36,54,0)</f>
        <v>70000</v>
      </c>
      <c r="AE35" s="36">
        <f>VLOOKUP($A35,[18]HISTODEC23!$A$6:$CA$36,60,0)</f>
        <v>0</v>
      </c>
      <c r="AF35" s="36">
        <f>VLOOKUP($A35,[18]HISTODEC23!$A$6:$CA$36,61,0)</f>
        <v>0</v>
      </c>
      <c r="AG35" s="36">
        <f>VLOOKUP($A35,[18]HISTODEC23!$A$6:$CA$36,62,0)</f>
        <v>0</v>
      </c>
      <c r="AH35" s="36">
        <f>VLOOKUP($A35,[18]HISTODEC23!$A$6:$CA$36,63,0)</f>
        <v>0</v>
      </c>
      <c r="AI35" s="36">
        <f>VLOOKUP($A35,[18]HISTODEC23!$A$6:$CA$36,64,0)</f>
        <v>0</v>
      </c>
      <c r="AJ35" s="36">
        <f>VLOOKUP($A35,[18]HISTODEC23!$A$6:$CA$36,65,0)</f>
        <v>0</v>
      </c>
      <c r="AK35" s="36">
        <f>VLOOKUP($A35,[20]DETAILFICHECASSATION!$A$6:$R$36,12,0)</f>
        <v>100000</v>
      </c>
    </row>
    <row r="36" spans="1:37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VLOOKUP($A36,[18]HISTODEC23!$A$6:$BA$36,48,0)</f>
        <v>0</v>
      </c>
      <c r="F36" s="5">
        <f>MVTNOV23!F36+MVTNOV23!G36-MVTDEC23!E36+K36</f>
        <v>1908835.2055374836</v>
      </c>
      <c r="G36" s="6"/>
      <c r="H36" s="6">
        <f t="shared" si="0"/>
        <v>1908835.2055374836</v>
      </c>
      <c r="I36" s="36">
        <f>VLOOKUP($A36,[18]HISTODEC23!$A$6:$AQ$40,22,0)</f>
        <v>11000</v>
      </c>
      <c r="J36" s="36">
        <f>VLOOKUP($A36,[18]HISTODEC23!$A$6:$AU$36,45,0)</f>
        <v>15000</v>
      </c>
      <c r="K36" s="36">
        <f t="shared" si="1"/>
        <v>9000</v>
      </c>
      <c r="L36" s="36">
        <f t="shared" si="3"/>
        <v>1000</v>
      </c>
      <c r="M36" s="36">
        <f t="shared" si="2"/>
        <v>1000</v>
      </c>
      <c r="N36" s="36">
        <f t="shared" si="4"/>
        <v>4000</v>
      </c>
      <c r="O36" s="36">
        <f>VLOOKUP($A36,[18]HISTODEC23!$A$6:$AU$36,7,0)</f>
        <v>0</v>
      </c>
      <c r="P36" s="36">
        <f>VLOOKUP($A36,[18]HISTODEC23!$A$6:$AU$36,23,0)</f>
        <v>0</v>
      </c>
      <c r="Q36" s="36">
        <f>VLOOKUP($A36,[18]HISTODEC23!$A$6:$AU$36,46,0)</f>
        <v>0</v>
      </c>
      <c r="R36" s="36">
        <f>VLOOKUP($A36,[18]HISTODEC23!$A$6:$AU$36,26,0)</f>
        <v>0</v>
      </c>
      <c r="S36" s="36">
        <f>VLOOKUP($A36,[18]HISTODEC23!$A$6:$BG$36,58,0)</f>
        <v>0</v>
      </c>
      <c r="T36" s="36">
        <f>VLOOKUP($A36,[18]HISTODEC23!$A$6:$AU$36,28,0)</f>
        <v>0</v>
      </c>
      <c r="U36" s="36">
        <f>VLOOKUP($A36,[18]HISTODEC23!$A$6:$AU$36,19,0)</f>
        <v>0</v>
      </c>
      <c r="V36" s="36">
        <f>VLOOKUP($A36,[18]HISTODEC23!$A$6:$AU$36,20,0)</f>
        <v>0</v>
      </c>
      <c r="W36" s="36">
        <f>VLOOKUP($A36,[18]HISTODEC23!$A$6:$AU$36,27,0)</f>
        <v>0</v>
      </c>
      <c r="X36" s="36">
        <f>VLOOKUP($A36,[18]HISTODEC23!$A$6:$BM$36,33,0)</f>
        <v>0</v>
      </c>
      <c r="Y36" s="36">
        <f>VLOOKUP($A36,[18]HISTODEC23!$A$6:$BM$36,65,0)</f>
        <v>0</v>
      </c>
      <c r="Z36" s="36"/>
      <c r="AA36" s="36">
        <f>VLOOKUP($A36,[18]HISTODEC23!$A$6:$AU$36,43,0)</f>
        <v>0</v>
      </c>
      <c r="AB36" s="36">
        <f>VLOOKUP($A36,[18]HISTODEC23!$A$6:$AU$36,44,0)</f>
        <v>0</v>
      </c>
      <c r="AC36" s="36">
        <f>VLOOKUP($A36,[18]HISTODEC23!$A$6:$AU$36,47,0)</f>
        <v>0</v>
      </c>
      <c r="AD36" s="36">
        <f>VLOOKUP(A36,[18]HISTODEC23!$A$6:$BB$36,54,0)</f>
        <v>0</v>
      </c>
      <c r="AE36" s="36">
        <f>VLOOKUP($A36,[18]HISTODEC23!$A$6:$CA$36,60,0)</f>
        <v>0</v>
      </c>
      <c r="AF36" s="36">
        <f>VLOOKUP($A36,[18]HISTODEC23!$A$6:$CA$36,61,0)</f>
        <v>0</v>
      </c>
      <c r="AG36" s="36">
        <f>VLOOKUP($A36,[18]HISTODEC23!$A$6:$CA$36,62,0)</f>
        <v>0</v>
      </c>
      <c r="AH36" s="36">
        <f>VLOOKUP($A36,[18]HISTODEC23!$A$6:$CA$36,63,0)</f>
        <v>0</v>
      </c>
      <c r="AI36" s="36">
        <f>VLOOKUP($A36,[18]HISTODEC23!$A$6:$CA$36,64,0)</f>
        <v>0</v>
      </c>
      <c r="AJ36" s="36">
        <f>VLOOKUP($A36,[18]HISTODEC23!$A$6:$CA$36,65,0)</f>
        <v>0</v>
      </c>
      <c r="AK36" s="36">
        <f>VLOOKUP($A36,[20]DETAILFICHECASSATION!$A$6:$R$36,12,0)</f>
        <v>100000</v>
      </c>
    </row>
    <row r="37" spans="1:37" x14ac:dyDescent="0.25">
      <c r="A37" s="1" t="s">
        <v>27</v>
      </c>
      <c r="B37" s="1" t="s">
        <v>335</v>
      </c>
      <c r="C37" s="1"/>
      <c r="D37" s="1"/>
      <c r="E37" s="1"/>
      <c r="F37" s="5">
        <f>MVTNOV23!F37+MVTNOV23!G37-MVTDEC23!E37+K37</f>
        <v>153468</v>
      </c>
      <c r="G37" s="6"/>
      <c r="H37" s="6">
        <f t="shared" si="0"/>
        <v>153468</v>
      </c>
      <c r="I37" s="6"/>
      <c r="J37" s="6"/>
      <c r="K37" s="3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7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7" x14ac:dyDescent="0.25">
      <c r="A39" s="1"/>
      <c r="B39" s="1"/>
      <c r="C39" s="1"/>
      <c r="D39" s="1"/>
      <c r="E39" s="1"/>
      <c r="F39" s="1"/>
      <c r="G39" s="1"/>
      <c r="H39" s="1"/>
    </row>
    <row r="40" spans="1:37" ht="18" x14ac:dyDescent="0.25">
      <c r="A40" s="1" t="s">
        <v>57</v>
      </c>
      <c r="B40" s="1"/>
      <c r="C40" s="9">
        <f t="shared" ref="C40:AJ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27666126.324737493</v>
      </c>
      <c r="G40" s="9">
        <f t="shared" si="5"/>
        <v>0</v>
      </c>
      <c r="H40" s="9">
        <f t="shared" si="5"/>
        <v>27666126.324737493</v>
      </c>
      <c r="I40" s="9">
        <f t="shared" si="5"/>
        <v>207000</v>
      </c>
      <c r="J40" s="9">
        <f t="shared" si="5"/>
        <v>653800</v>
      </c>
      <c r="K40" s="9">
        <f t="shared" si="5"/>
        <v>482800</v>
      </c>
      <c r="L40" s="9">
        <f t="shared" si="5"/>
        <v>31000</v>
      </c>
      <c r="M40" s="9">
        <f t="shared" si="5"/>
        <v>31000</v>
      </c>
      <c r="N40" s="9">
        <f t="shared" si="5"/>
        <v>124000</v>
      </c>
      <c r="O40" s="9">
        <f t="shared" si="5"/>
        <v>0</v>
      </c>
      <c r="P40" s="9">
        <f t="shared" si="5"/>
        <v>0</v>
      </c>
      <c r="Q40" s="9">
        <f t="shared" si="5"/>
        <v>0</v>
      </c>
      <c r="R40" s="9">
        <f t="shared" si="5"/>
        <v>15213500</v>
      </c>
      <c r="S40" s="9">
        <f t="shared" si="5"/>
        <v>1198000</v>
      </c>
      <c r="T40" s="9">
        <f t="shared" si="5"/>
        <v>0</v>
      </c>
      <c r="U40" s="9">
        <f t="shared" si="5"/>
        <v>13317700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140000</v>
      </c>
      <c r="AE40" s="9">
        <f t="shared" si="5"/>
        <v>6000</v>
      </c>
      <c r="AF40" s="9">
        <f t="shared" si="5"/>
        <v>0</v>
      </c>
      <c r="AG40" s="9">
        <f t="shared" si="5"/>
        <v>0</v>
      </c>
      <c r="AH40" s="9">
        <f t="shared" si="5"/>
        <v>0</v>
      </c>
      <c r="AI40" s="9">
        <f t="shared" si="5"/>
        <v>0</v>
      </c>
      <c r="AJ40" s="9">
        <f t="shared" si="5"/>
        <v>0</v>
      </c>
    </row>
    <row r="43" spans="1:37" x14ac:dyDescent="0.25">
      <c r="F43" s="2"/>
    </row>
  </sheetData>
  <autoFilter ref="A5:U36">
    <sortState ref="A5:L48">
      <sortCondition ref="B5:B48"/>
    </sortState>
  </autoFilter>
  <mergeCells count="2">
    <mergeCell ref="AK1:AL1"/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workbookViewId="0">
      <pane xSplit="2" ySplit="5" topLeftCell="W6" activePane="bottomRight" state="frozen"/>
      <selection activeCell="J4" sqref="J4:O4"/>
      <selection pane="topRight" activeCell="J4" sqref="J4:O4"/>
      <selection pane="bottomLeft" activeCell="J4" sqref="J4:O4"/>
      <selection pane="bottomRight" activeCell="L5" sqref="L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48" bestFit="1" customWidth="1"/>
    <col min="11" max="11" width="17.5703125" style="148" customWidth="1"/>
    <col min="12" max="12" width="15.7109375" style="2" customWidth="1"/>
    <col min="13" max="13" width="12.42578125" style="2" customWidth="1"/>
    <col min="14" max="14" width="15" style="2" bestFit="1" customWidth="1"/>
    <col min="15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9.42578125" customWidth="1"/>
    <col min="31" max="31" width="12.42578125" bestFit="1" customWidth="1"/>
    <col min="32" max="34" width="15" bestFit="1" customWidth="1"/>
    <col min="35" max="35" width="12.42578125" bestFit="1" customWidth="1"/>
    <col min="36" max="36" width="17.5703125" customWidth="1"/>
    <col min="37" max="37" width="16.85546875" bestFit="1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51"/>
      <c r="AL1" s="152"/>
    </row>
    <row r="2" spans="1:42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AJ2" s="1"/>
      <c r="AK2" s="104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42" ht="26.25" x14ac:dyDescent="0.4">
      <c r="B4" s="16"/>
      <c r="C4" s="16"/>
      <c r="D4" s="16"/>
      <c r="E4" s="16"/>
      <c r="F4" s="16"/>
      <c r="G4" s="16"/>
      <c r="H4" s="16"/>
      <c r="I4" s="147"/>
      <c r="J4" s="157" t="s">
        <v>321</v>
      </c>
      <c r="K4" s="157"/>
      <c r="L4" s="157"/>
      <c r="M4" s="157"/>
      <c r="N4" s="157"/>
      <c r="O4" s="157"/>
      <c r="P4"/>
      <c r="Q4"/>
      <c r="AJ4" s="104"/>
    </row>
    <row r="5" spans="1:42" ht="72" x14ac:dyDescent="0.25">
      <c r="A5" s="1" t="s">
        <v>4</v>
      </c>
      <c r="B5" s="1" t="s">
        <v>5</v>
      </c>
      <c r="C5" s="4" t="s">
        <v>212</v>
      </c>
      <c r="D5" s="4" t="s">
        <v>337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323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328</v>
      </c>
      <c r="AF5" s="83" t="s">
        <v>327</v>
      </c>
      <c r="AG5" s="83" t="s">
        <v>326</v>
      </c>
      <c r="AH5" s="83" t="s">
        <v>325</v>
      </c>
      <c r="AI5" s="4" t="s">
        <v>65</v>
      </c>
      <c r="AJ5" s="83" t="s">
        <v>324</v>
      </c>
      <c r="AK5" s="83" t="s">
        <v>329</v>
      </c>
      <c r="AL5" s="83" t="s">
        <v>330</v>
      </c>
      <c r="AM5" s="83" t="s">
        <v>332</v>
      </c>
      <c r="AN5" s="83" t="s">
        <v>331</v>
      </c>
      <c r="AO5" s="83" t="s">
        <v>333</v>
      </c>
      <c r="AP5" s="83" t="s">
        <v>338</v>
      </c>
    </row>
    <row r="6" spans="1:42" ht="18.75" x14ac:dyDescent="0.3">
      <c r="A6" s="1" t="s">
        <v>16</v>
      </c>
      <c r="B6" s="1" t="str">
        <f>VLOOKUP(A6,[15]LISTADHERENT!A$5:H$60,3,0)</f>
        <v>ASELBY</v>
      </c>
      <c r="C6" s="36">
        <f>MVTJANV23!C6+MVTFEV23!C6+MVTMARS23!C6+MVTAVRIL23!C6+MVTMAI23!C6+MVTJUIN23!C6+MVTJUIL23!C6+MVTAOUT23!C6+MVTSEPT23!C6+MVTOCT23!C6+MVTNOV23!C6+MVTDEC23!C6</f>
        <v>0</v>
      </c>
      <c r="D6" s="36">
        <f>MVTJANV23!D6+MVTFEV23!D6+MVTMARS23!D6+MVTAVRIL23!D6+MVTMAI23!D6+MVTJUIN23!D6+MVTJUIL23!D6+MVTAOUT23!D6+MVTSEPT23!D6+MVTOCT23!D6+MVTNOV23!D6+MVTDEC23!D6</f>
        <v>816543.52134848095</v>
      </c>
      <c r="E6" s="36">
        <f>MVTJANV23!E6+MVTFEV23!E6+MVTMARS23!E6+MVTAVRIL23!E6+MVTMAI23!E6+MVTJUIN23!E6+MVTJUIL23!E6+MVTAOUT23!E6+MVTSEPT23!E6+MVTOCT23!E6+MVTNOV23!E6+MVTDEC23!E6</f>
        <v>0</v>
      </c>
      <c r="F6" s="5">
        <f>MVTFEV23!F6-MVTRESUME23!E6+K6</f>
        <v>868412.0714604354</v>
      </c>
      <c r="G6" s="6">
        <f>MVTDEC22!G6+MVTJANV23!G6+MVTFEV23!G6+MVTMARS23!G6+MVTAVRIL23!G6+MVTMAI23!G6+MVTJUIN23!G6+MVTJUIL23!G6+MVTAOUT23!G6+MVTSEPT23!G6+MVTOCT23!G6+MVTNOV23!G6+MVTDEC23!G6</f>
        <v>69979.737573760693</v>
      </c>
      <c r="H6" s="6">
        <f>MVTFEV23!H6-MVTRESUME23!E6+MVTRESUME23!K6</f>
        <v>869601.95639859815</v>
      </c>
      <c r="I6" s="36">
        <f>MVTJANV23!I6+MVTFEV23!I6+MVTMARS23!I6+MVTAVRIL23!I6+MVTMAI23!I6+MVTJUIN23!I6+MVTJUIL23!I6+MVTAOUT23!I6+MVTSEPT23!I6+MVTOCT23!I6+MVTNOV23!I6+MVTDEC23!I6</f>
        <v>0</v>
      </c>
      <c r="J6" s="36">
        <f>MVTJANV23!J6+MVTFEV23!J6+MVTMARS23!J6+MVTAVRIL23!J6+MVTMAI23!J6+MVTJUIN23!J6+MVTJUIL23!J6+MVTAOUT23!J6+MVTSEPT23!J6+MVTOCT23!J6+MVTNOV23!J6+MVTDEC23!J6</f>
        <v>0</v>
      </c>
      <c r="K6" s="36">
        <f>MVTJANV23!K6+MVTFEV23!K6+MVTMARS23!K6+MVTAVRIL23!K6+MVTMAI23!K6+MVTJUIN23!K6+MVTJUIL23!K6+MVTAOUT23!K6+MVTSEPT23!K6+MVTOCT23!K6+MVTNOV23!K6+MVTDEC23!K6</f>
        <v>0</v>
      </c>
      <c r="L6" s="36">
        <f>MVTJANV23!L6+MVTFEV23!L6+MVTMARS23!L6+MVTAVRIL23!L6+MVTMAI23!L6+MVTJUIN23!L6+MVTJUIL23!L6+MVTAOUT23!L6+MVTSEPT23!L6+MVTOCT23!L6+MVTNOV23!L6+MVTDEC23!L6</f>
        <v>3000</v>
      </c>
      <c r="M6" s="36">
        <f>MVTJANV23!M6+MVTFEV23!M6+MVTMARS23!M6+MVTAVRIL23!M6+MVTMAI23!M6+MVTJUIN23!M6+MVTJUIL23!M6+MVTAOUT23!M6+MVTSEPT23!M6+MVTOCT23!M6+MVTNOV23!M6+MVTDEC23!M6</f>
        <v>0</v>
      </c>
      <c r="N6" s="36">
        <f>MVTJANV23!N6+MVTFEV23!N6+MVTMARS23!N6+MVTAVRIL23!N6+MVTMAI23!N6+MVTJUIN23!N6+MVTJUIL23!N6+MVTAOUT23!N6+MVTSEPT23!N6+MVTOCT23!N6+MVTNOV23!N6+MVTDEC23!N6</f>
        <v>0</v>
      </c>
      <c r="O6" s="36">
        <f>MVTJANV23!O6+MVTFEV23!O6+MVTMARS23!O6+MVTAVRIL23!O6+MVTMAI23!O6+MVTJUIN23!O6+MVTJUIL23!O6+MVTAOUT23!O6+MVTSEPT23!O6+MVTOCT23!O6+MVTNOV23!O6+MVTDEC23!O6</f>
        <v>4000</v>
      </c>
      <c r="P6" s="36">
        <f>MVTJANV23!P6+MVTFEV23!P6+MVTMARS23!P6+MVTAVRIL23!P6+MVTMAI23!P6+MVTJUIN23!P6+MVTJUIL23!P6+MVTAOUT23!P6+MVTSEPT23!P6+MVTOCT23!P6+MVTNOV23!P6+MVTDEC23!P6</f>
        <v>0</v>
      </c>
      <c r="Q6" s="36">
        <f>MVTJANV23!Q6+MVTFEV23!Q6+MVTMARS23!Q6+MVTAVRIL23!Q6+MVTMAI23!Q6+MVTJUIN23!Q6+MVTJUIL23!Q6+MVTAOUT23!Q6+MVTSEPT23!Q6+MVTOCT23!Q6+MVTNOV23!Q6+MVTDEC23!Q6</f>
        <v>0</v>
      </c>
      <c r="R6" s="36">
        <f>MVTJANV23!R6+MVTFEV23!R6+MVTMARS23!R6+MVTAVRIL23!R6+MVTMAI23!R6+MVTJUIN23!R6+MVTJUIL23!R6+MVTAOUT23!R6+MVTSEPT23!R6+MVTOCT23!R6+MVTNOV23!R6+MVTDEC23!R6</f>
        <v>0</v>
      </c>
      <c r="S6" s="36">
        <f>MVTDEC22!S6+MVTJANV23!S6+MVTFEV23!S6+MVTMARS23!S6+MVTAVRIL23!S6+MVTMAI23!S6+MVTJUIN23!S6+MVTJUIL23!S6+MVTAOUT23!S6+MVTSEPT23!S6+MVTOCT23!S6+MVTNOV23!S6+MVTDEC23!S6</f>
        <v>0</v>
      </c>
      <c r="T6" s="149"/>
      <c r="U6" s="36">
        <f>MVTJANV23!U6+MVTFEV23!U6+MVTMARS23!U6+MVTAVRIL23!U6+MVTMAI23!U6+MVTJUIN23!U6+MVTJUIL23!U6+MVTAOUT23!U6+MVTSEPT23!U6+MVTOCT23!U6+MVTNOV23!U6+MVTDEC23!U6</f>
        <v>0</v>
      </c>
      <c r="V6" s="36"/>
      <c r="W6" s="36"/>
      <c r="X6" s="36">
        <f>MVTJANV23!X6+MVTFEV23!X6+MVTMARS23!X6+MVTAVRIL23!X6+MVTMAI23!X6+MVTJUIN23!X6+MVTJUIL23!X6+MVTAOUT23!X6+MVTSEPT23!X6+MVTOCT23!X6+MVTNOV23!X6+MVTDEC23!X6</f>
        <v>0</v>
      </c>
      <c r="Y6" s="36">
        <f>MVTJANV23!Y6+MVTFEV23!Y6+MVTMARS23!Y6+MVTAVRIL23!Y6+MVTMAI23!Y6+MVTJUIN23!Y6+MVTJUIL23!Y6+MVTAOUT23!Y6+MVTSEPT23!Y6+MVTOCT23!Y6+MVTNOV23!Y6+MVTDEC23!Y6</f>
        <v>0</v>
      </c>
      <c r="Z6" s="36">
        <f>MVTJANV23!Z6+MVTFEV23!Z6+MVTMARS23!Z6+MVTAVRIL23!Z6+MVTMAI23!Z6+MVTJUIN23!Z6+MVTJUIL23!Z6+MVTAOUT23!Z6+MVTSEPT23!Z6+MVTOCT23!Z6+MVTNOV23!Z6+MVTDEC23!Z6</f>
        <v>0</v>
      </c>
      <c r="AA6" s="36">
        <f>MVTJANV23!AA6+MVTFEV23!AA6+MVTMARS23!AA6+MVTAVRIL23!AA6+MVTMAI23!AA6+MVTJUIN23!AA6+MVTJUIL23!AA6+MVTAOUT23!AA6+MVTSEPT23!AA6+MVTOCT23!AA6+MVTNOV23!AA6+MVTDEC23!AA6</f>
        <v>0</v>
      </c>
      <c r="AB6" s="36">
        <f>MVTJANV23!AB6+MVTFEV23!AB6+MVTMARS23!AB6+MVTAVRIL23!AB6+MVTMAI23!AB6+MVTJUIN23!AB6+MVTJUIL23!AB6+MVTAOUT23!AB6+MVTSEPT23!AB6+MVTOCT23!AB6+MVTNOV23!AB6+MVTDEC23!AB6</f>
        <v>0</v>
      </c>
      <c r="AC6" s="36">
        <f>MVTJANV23!AC6+MVTFEV23!AC6+MVTMARS23!AC6+MVTAVRIL23!AC6+MVTMAI23!AC6+MVTJUIN23!AC6+MVTJUIL23!AC6+MVTAOUT23!AC6+MVTSEPT23!AC6+MVTOCT23!AC6+MVTNOV23!AC6+MVTDEC23!AC6</f>
        <v>0</v>
      </c>
      <c r="AD6" s="36">
        <f>MVTJANV23!AD6+MVTFEV23!AD6+MVTMARS23!AD6+MVTAVRIL23!AD6+MVTMAI23!AD6+MVTJUIN23!AD6+MVTJUIL23!AD6+MVTAOUT23!AD6+MVTSEPT23!AD6+MVTOCT23!AD6+MVTNOV23!AD6+MVTDEC23!AD6</f>
        <v>0</v>
      </c>
      <c r="AE6" s="36">
        <f>MVTJANV23!AE6+MVTFEV23!AE6+MVTMARS23!AE6+MVTAVRIL23!AE6+MVTMAI23!AE6+MVTJUIN23!AE6+MVTJUIL23!AE6+MVTAOUT23!AE6+MVTSEPT23!AE6+MVTOCT23!AE6+MVTNOV23!AE6+MVTDEC23!AE6</f>
        <v>199000</v>
      </c>
      <c r="AF6" s="36">
        <f>MVTJANV23!AF6+MVTFEV23!AF6+MVTMARS23!AF6+MVTAVRIL23!AF6+MVTMAI23!AF6+MVTJUIN23!AF6+MVTJUIL23!AF6+MVTAOUT23!AF6+MVTSEPT23!AF6+MVTOCT23!AF6+MVTNOV23!AF6+MVTDEC23!AF6</f>
        <v>825000</v>
      </c>
      <c r="AG6" s="36">
        <f>MVTJANV23!AG6+MVTFEV23!AG6+MVTMARS23!AG6+MVTAVRIL23!AG6+MVTMAI23!AG6+MVTJUIN23!AG6+MVTJUIL23!AG6+MVTAOUT23!AG6+MVTSEPT23!AG6+MVTOCT23!AG6+MVTNOV23!AG6+MVTDEC23!AG6</f>
        <v>1320000</v>
      </c>
      <c r="AH6" s="36">
        <f>MVTJANV23!AH6+MVTFEV23!AH6+MVTMARS23!AH6+MVTAVRIL23!AH6+MVTMAI23!AH6+MVTJUIN23!AH6+MVTJUIL23!AH6+MVTAOUT23!AH6+MVTSEPT23!AH6+MVTOCT23!AH6+MVTNOV23!AH6+MVTDEC23!AH6</f>
        <v>910000</v>
      </c>
      <c r="AI6" s="36">
        <f>MVTJANV23!AI6+MVTFEV23!AI6+MVTMARS23!AI6+MVTAVRIL23!AI6+MVTMAI23!AI6+MVTJUIN23!AI6+MVTJUIL23!AI6+MVTAOUT23!AI6+MVTSEPT23!AI6+MVTOCT23!AI6+MVTNOV23!AI6+MVTDEC23!AI6</f>
        <v>0</v>
      </c>
      <c r="AJ6" s="36">
        <f>MVTJANV23!AJ6+MVTFEV23!AJ6+MVTMARS23!AJ6+MVTAVRIL23!AJ6+MVTMAI23!AJ6+MVTJUIN23!AJ6+MVTJUIL23!AJ6+MVTAOUT23!AJ6+MVTSEPT23!AJ6+MVTOCT23!AJ6+MVTNOV23!AJ6+MVTDEC23!AJ6</f>
        <v>200000</v>
      </c>
      <c r="AK6" s="98">
        <f>R6-U6</f>
        <v>0</v>
      </c>
      <c r="AL6" s="149"/>
      <c r="AM6" s="150">
        <f>S6</f>
        <v>0</v>
      </c>
      <c r="AP6" s="36">
        <f>MVTDEC23!AK6</f>
        <v>0</v>
      </c>
    </row>
    <row r="7" spans="1:42" ht="18.75" x14ac:dyDescent="0.3">
      <c r="A7" s="1" t="s">
        <v>17</v>
      </c>
      <c r="B7" s="1" t="str">
        <f>VLOOKUP(A7,[15]LISTADHERENT!A$5:H$60,3,0)</f>
        <v>BAKOP ACHILLE</v>
      </c>
      <c r="C7" s="36">
        <f>MVTJANV23!C7+MVTFEV23!C7+MVTMARS23!C7+MVTAVRIL23!C7+MVTMAI23!C7+MVTJUIN23!C7+MVTJUIL23!C7+MVTAOUT23!C7+MVTSEPT23!C7+MVTOCT23!C7+MVTNOV23!C7+MVTDEC23!C7</f>
        <v>0</v>
      </c>
      <c r="D7" s="36">
        <f>MVTJANV23!D7+MVTFEV23!D7+MVTMARS23!D7+MVTAVRIL23!D7+MVTMAI23!D7+MVTJUIN23!D7+MVTJUIL23!D7+MVTAOUT23!D7+MVTSEPT23!D7+MVTOCT23!D7+MVTNOV23!D7+MVTDEC23!D7</f>
        <v>0</v>
      </c>
      <c r="E7" s="36">
        <f>MVTJANV23!E7+MVTFEV23!E7+MVTMARS23!E7+MVTAVRIL23!E7+MVTMAI23!E7+MVTJUIN23!E7+MVTJUIL23!E7+MVTAOUT23!E7+MVTSEPT23!E7+MVTOCT23!E7+MVTNOV23!E7+MVTDEC23!E7</f>
        <v>0</v>
      </c>
      <c r="F7" s="5">
        <f>MVTFEV23!F7-MVTRESUME23!E7+K7</f>
        <v>1323000</v>
      </c>
      <c r="G7" s="6">
        <f>MVTDEC22!G7+MVTJANV23!G7+MVTFEV23!G7+MVTMARS23!G7+MVTAVRIL23!G7+MVTMAI23!G7+MVTJUIN23!G7+MVTJUIL23!G7+MVTAOUT23!G7+MVTSEPT23!G7+MVTOCT23!G7+MVTNOV23!G7+MVTDEC23!G7</f>
        <v>13482.496361002119</v>
      </c>
      <c r="H7" s="6">
        <f>MVTFEV23!H7-MVTRESUME23!E7+MVTRESUME23!K7</f>
        <v>1323846.7741478398</v>
      </c>
      <c r="I7" s="36">
        <f>MVTJANV23!I7+MVTFEV23!I7+MVTMARS23!I7+MVTAVRIL23!I7+MVTMAI23!I7+MVTJUIN23!I7+MVTJUIL23!I7+MVTAOUT23!I7+MVTSEPT23!I7+MVTOCT23!I7+MVTNOV23!I7+MVTDEC23!I7</f>
        <v>0</v>
      </c>
      <c r="J7" s="36">
        <f>MVTJANV23!J7+MVTFEV23!J7+MVTMARS23!J7+MVTAVRIL23!J7+MVTMAI23!J7+MVTJUIN23!J7+MVTJUIL23!J7+MVTAOUT23!J7+MVTSEPT23!J7+MVTOCT23!J7+MVTNOV23!J7+MVTDEC23!J7</f>
        <v>241000</v>
      </c>
      <c r="K7" s="36">
        <f>MVTJANV23!K7+MVTFEV23!K7+MVTMARS23!K7+MVTAVRIL23!K7+MVTMAI23!K7+MVTJUIN23!K7+MVTJUIL23!K7+MVTAOUT23!K7+MVTSEPT23!K7+MVTOCT23!K7+MVTNOV23!K7+MVTDEC23!K7</f>
        <v>705000</v>
      </c>
      <c r="L7" s="36">
        <f>MVTJANV23!L7+MVTFEV23!L7+MVTMARS23!L7+MVTAVRIL23!L7+MVTMAI23!L7+MVTJUIN23!L7+MVTJUIL23!L7+MVTAOUT23!L7+MVTSEPT23!L7+MVTOCT23!L7+MVTNOV23!L7+MVTDEC23!L7</f>
        <v>12000</v>
      </c>
      <c r="M7" s="36">
        <f>MVTJANV23!M7+MVTFEV23!M7+MVTMARS23!M7+MVTAVRIL23!M7+MVTMAI23!M7+MVTJUIN23!M7+MVTJUIL23!M7+MVTAOUT23!M7+MVTSEPT23!M7+MVTOCT23!M7+MVTNOV23!M7+MVTDEC23!M7</f>
        <v>12000</v>
      </c>
      <c r="N7" s="36">
        <f>MVTJANV23!N7+MVTFEV23!N7+MVTMARS23!N7+MVTAVRIL23!N7+MVTMAI23!N7+MVTJUIN23!N7+MVTJUIL23!N7+MVTAOUT23!N7+MVTSEPT23!N7+MVTOCT23!N7+MVTNOV23!N7+MVTDEC23!N7</f>
        <v>48000</v>
      </c>
      <c r="O7" s="36">
        <f>MVTJANV23!O7+MVTFEV23!O7+MVTMARS23!O7+MVTAVRIL23!O7+MVTMAI23!O7+MVTJUIN23!O7+MVTJUIL23!O7+MVTAOUT23!O7+MVTSEPT23!O7+MVTOCT23!O7+MVTNOV23!O7+MVTDEC23!O7</f>
        <v>3000</v>
      </c>
      <c r="P7" s="36">
        <f>MVTJANV23!P7+MVTFEV23!P7+MVTMARS23!P7+MVTAVRIL23!P7+MVTMAI23!P7+MVTJUIN23!P7+MVTJUIL23!P7+MVTAOUT23!P7+MVTSEPT23!P7+MVTOCT23!P7+MVTNOV23!P7+MVTDEC23!P7</f>
        <v>0</v>
      </c>
      <c r="Q7" s="36">
        <f>MVTJANV23!Q7+MVTFEV23!Q7+MVTMARS23!Q7+MVTAVRIL23!Q7+MVTMAI23!Q7+MVTJUIN23!Q7+MVTJUIL23!Q7+MVTAOUT23!Q7+MVTSEPT23!Q7+MVTOCT23!Q7+MVTNOV23!Q7+MVTDEC23!Q7</f>
        <v>0</v>
      </c>
      <c r="R7" s="36">
        <f>MVTDEC23!R7</f>
        <v>600000</v>
      </c>
      <c r="S7" s="36">
        <f>MVTDEC23!S7</f>
        <v>36000</v>
      </c>
      <c r="T7" s="149">
        <v>45444</v>
      </c>
      <c r="U7" s="36">
        <f>MVTJANV23!U7+MVTFEV23!U7+MVTMARS23!U7+MVTAVRIL23!U7+MVTMAI23!U7+MVTJUIN23!U7+MVTJUIL23!U7+MVTAOUT23!U7+MVTSEPT23!U7+MVTOCT23!U7+MVTNOV23!U7+MVTDEC23!U7</f>
        <v>600000</v>
      </c>
      <c r="V7" s="36"/>
      <c r="W7" s="36"/>
      <c r="X7" s="36">
        <f>MVTJANV23!X7+MVTFEV23!X7+MVTMARS23!X7+MVTAVRIL23!X7+MVTMAI23!X7+MVTJUIN23!X7+MVTJUIL23!X7+MVTAOUT23!X7+MVTSEPT23!X7+MVTOCT23!X7+MVTNOV23!X7+MVTDEC23!X7</f>
        <v>0</v>
      </c>
      <c r="Y7" s="36">
        <f>MVTJANV23!Y7+MVTFEV23!Y7+MVTMARS23!Y7+MVTAVRIL23!Y7+MVTMAI23!Y7+MVTJUIN23!Y7+MVTJUIL23!Y7+MVTAOUT23!Y7+MVTSEPT23!Y7+MVTOCT23!Y7+MVTNOV23!Y7+MVTDEC23!Y7</f>
        <v>0</v>
      </c>
      <c r="Z7" s="36">
        <f>MVTJANV23!Z7+MVTFEV23!Z7+MVTMARS23!Z7+MVTAVRIL23!Z7+MVTMAI23!Z7+MVTJUIN23!Z7+MVTJUIL23!Z7+MVTAOUT23!Z7+MVTSEPT23!Z7+MVTOCT23!Z7+MVTNOV23!Z7+MVTDEC23!Z7</f>
        <v>0</v>
      </c>
      <c r="AA7" s="36">
        <f>MVTJANV23!AA7+MVTFEV23!AA7+MVTMARS23!AA7+MVTAVRIL23!AA7+MVTMAI23!AA7+MVTJUIN23!AA7+MVTJUIL23!AA7+MVTAOUT23!AA7+MVTSEPT23!AA7+MVTOCT23!AA7+MVTNOV23!AA7+MVTDEC23!AA7</f>
        <v>0</v>
      </c>
      <c r="AB7" s="36">
        <f>MVTJANV23!AB7+MVTFEV23!AB7+MVTMARS23!AB7+MVTAVRIL23!AB7+MVTMAI23!AB7+MVTJUIN23!AB7+MVTJUIL23!AB7+MVTAOUT23!AB7+MVTSEPT23!AB7+MVTOCT23!AB7+MVTNOV23!AB7+MVTDEC23!AB7</f>
        <v>0</v>
      </c>
      <c r="AC7" s="36">
        <f>MVTJANV23!AC7+MVTFEV23!AC7+MVTMARS23!AC7+MVTAVRIL23!AC7+MVTMAI23!AC7+MVTJUIN23!AC7+MVTJUIL23!AC7+MVTAOUT23!AC7+MVTSEPT23!AC7+MVTOCT23!AC7+MVTNOV23!AC7+MVTDEC23!AC7</f>
        <v>0</v>
      </c>
      <c r="AD7" s="36">
        <f>MVTJANV23!AD7+MVTFEV23!AD7+MVTMARS23!AD7+MVTAVRIL23!AD7+MVTMAI23!AD7+MVTJUIN23!AD7+MVTJUIL23!AD7+MVTAOUT23!AD7+MVTSEPT23!AD7+MVTOCT23!AD7+MVTNOV23!AD7+MVTDEC23!AD7</f>
        <v>140000</v>
      </c>
      <c r="AE7" s="36">
        <f>MVTJANV23!AE7+MVTFEV23!AE7+MVTMARS23!AE7+MVTAVRIL23!AE7+MVTMAI23!AE7+MVTJUIN23!AE7+MVTJUIL23!AE7+MVTAOUT23!AE7+MVTSEPT23!AE7+MVTOCT23!AE7+MVTNOV23!AE7+MVTDEC23!AE7</f>
        <v>0</v>
      </c>
      <c r="AF7" s="36">
        <f>MVTJANV23!AF7+MVTFEV23!AF7+MVTMARS23!AF7+MVTAVRIL23!AF7+MVTMAI23!AF7+MVTJUIN23!AF7+MVTJUIL23!AF7+MVTAOUT23!AF7+MVTSEPT23!AF7+MVTOCT23!AF7+MVTNOV23!AF7+MVTDEC23!AF7</f>
        <v>0</v>
      </c>
      <c r="AG7" s="36">
        <f>MVTJANV23!AG7+MVTFEV23!AG7+MVTMARS23!AG7+MVTAVRIL23!AG7+MVTMAI23!AG7+MVTJUIN23!AG7+MVTJUIL23!AG7+MVTAOUT23!AG7+MVTSEPT23!AG7+MVTOCT23!AG7+MVTNOV23!AG7+MVTDEC23!AG7</f>
        <v>0</v>
      </c>
      <c r="AH7" s="36">
        <f>MVTJANV23!AH7+MVTFEV23!AH7+MVTMARS23!AH7+MVTAVRIL23!AH7+MVTMAI23!AH7+MVTJUIN23!AH7+MVTJUIL23!AH7+MVTAOUT23!AH7+MVTSEPT23!AH7+MVTOCT23!AH7+MVTNOV23!AH7+MVTDEC23!AH7</f>
        <v>0</v>
      </c>
      <c r="AI7" s="36">
        <f>MVTJANV23!AI7+MVTFEV23!AI7+MVTMARS23!AI7+MVTAVRIL23!AI7+MVTMAI23!AI7+MVTJUIN23!AI7+MVTJUIL23!AI7+MVTAOUT23!AI7+MVTSEPT23!AI7+MVTOCT23!AI7+MVTNOV23!AI7+MVTDEC23!AI7</f>
        <v>0</v>
      </c>
      <c r="AJ7" s="36">
        <f>MVTJANV23!AJ7+MVTFEV23!AJ7+MVTMARS23!AJ7+MVTAVRIL23!AJ7+MVTMAI23!AJ7+MVTJUIN23!AJ7+MVTJUIL23!AJ7+MVTAOUT23!AJ7+MVTSEPT23!AJ7+MVTOCT23!AJ7+MVTNOV23!AJ7+MVTDEC23!AJ7</f>
        <v>0</v>
      </c>
      <c r="AK7" s="98">
        <f>R7-U7+600000</f>
        <v>600000</v>
      </c>
      <c r="AL7" s="149">
        <v>45444</v>
      </c>
      <c r="AM7" s="150">
        <f t="shared" ref="AM7:AM36" si="0">S7</f>
        <v>36000</v>
      </c>
      <c r="AP7" s="36">
        <f>MVTDEC23!AK7</f>
        <v>700000</v>
      </c>
    </row>
    <row r="8" spans="1:42" ht="18.75" x14ac:dyDescent="0.3">
      <c r="A8" s="1" t="s">
        <v>19</v>
      </c>
      <c r="B8" s="1" t="str">
        <f>VLOOKUP(A8,[15]LISTADHERENT!A$5:H$60,3,0)</f>
        <v>BOUTCHOUANG WILLIAM</v>
      </c>
      <c r="C8" s="36">
        <f>MVTJANV23!C8+MVTFEV23!C8+MVTMARS23!C8+MVTAVRIL23!C8+MVTMAI23!C8+MVTJUIN23!C8+MVTJUIL23!C8+MVTAOUT23!C8+MVTSEPT23!C8+MVTOCT23!C8+MVTNOV23!C8+MVTDEC23!C8</f>
        <v>600000</v>
      </c>
      <c r="D8" s="36">
        <f>MVTJANV23!D8+MVTFEV23!D8+MVTMARS23!D8+MVTAVRIL23!D8+MVTMAI23!D8+MVTJUIN23!D8+MVTJUIL23!D8+MVTAOUT23!D8+MVTSEPT23!D8+MVTOCT23!D8+MVTNOV23!D8+MVTDEC23!D8</f>
        <v>7024</v>
      </c>
      <c r="E8" s="36">
        <f>MVTJANV23!E8+MVTFEV23!E8+MVTMARS23!E8+MVTAVRIL23!E8+MVTMAI23!E8+MVTJUIN23!E8+MVTJUIL23!E8+MVTAOUT23!E8+MVTSEPT23!E8+MVTOCT23!E8+MVTNOV23!E8+MVTDEC23!E8</f>
        <v>0</v>
      </c>
      <c r="F8" s="5">
        <f>MVTFEV23!F8-MVTRESUME23!E8+K8</f>
        <v>771583.07207509631</v>
      </c>
      <c r="G8" s="6">
        <f>MVTDEC22!G8+MVTJANV23!G8+MVTFEV23!G8+MVTMARS23!G8+MVTAVRIL23!G8+MVTMAI23!G8+MVTJUIN23!G8+MVTJUIL23!G8+MVTAOUT23!G8+MVTSEPT23!G8+MVTOCT23!G8+MVTNOV23!G8+MVTDEC23!G8</f>
        <v>53009.126263205231</v>
      </c>
      <c r="H8" s="6">
        <f>MVTFEV23!H8-MVTRESUME23!E8+MVTRESUME23!K8</f>
        <v>772492.30345111119</v>
      </c>
      <c r="I8" s="36">
        <f>MVTJANV23!I8+MVTFEV23!I8+MVTMARS23!I8+MVTAVRIL23!I8+MVTMAI23!I8+MVTJUIN23!I8+MVTJUIL23!I8+MVTAOUT23!I8+MVTSEPT23!I8+MVTOCT23!I8+MVTNOV23!I8+MVTDEC23!I8</f>
        <v>19000</v>
      </c>
      <c r="J8" s="36">
        <f>MVTJANV23!J8+MVTFEV23!J8+MVTMARS23!J8+MVTAVRIL23!J8+MVTMAI23!J8+MVTJUIN23!J8+MVTJUIL23!J8+MVTAOUT23!J8+MVTSEPT23!J8+MVTOCT23!J8+MVTNOV23!J8+MVTDEC23!J8</f>
        <v>180000</v>
      </c>
      <c r="K8" s="36">
        <f>MVTJANV23!K8+MVTFEV23!K8+MVTMARS23!K8+MVTAVRIL23!K8+MVTMAI23!K8+MVTJUIN23!K8+MVTJUIL23!K8+MVTAOUT23!K8+MVTSEPT23!K8+MVTOCT23!K8+MVTNOV23!K8+MVTDEC23!K8</f>
        <v>108000</v>
      </c>
      <c r="L8" s="36">
        <f>MVTJANV23!L8+MVTFEV23!L8+MVTMARS23!L8+MVTAVRIL23!L8+MVTMAI23!L8+MVTJUIN23!L8+MVTJUIL23!L8+MVTAOUT23!L8+MVTSEPT23!L8+MVTOCT23!L8+MVTNOV23!L8+MVTDEC23!L8</f>
        <v>12000</v>
      </c>
      <c r="M8" s="36">
        <f>MVTJANV23!M8+MVTFEV23!M8+MVTMARS23!M8+MVTAVRIL23!M8+MVTMAI23!M8+MVTJUIN23!M8+MVTJUIL23!M8+MVTAOUT23!M8+MVTSEPT23!M8+MVTOCT23!M8+MVTNOV23!M8+MVTDEC23!M8</f>
        <v>12000</v>
      </c>
      <c r="N8" s="36">
        <f>MVTJANV23!N8+MVTFEV23!N8+MVTMARS23!N8+MVTAVRIL23!N8+MVTMAI23!N8+MVTJUIN23!N8+MVTJUIL23!N8+MVTAOUT23!N8+MVTSEPT23!N8+MVTOCT23!N8+MVTNOV23!N8+MVTDEC23!N8</f>
        <v>48000</v>
      </c>
      <c r="O8" s="36">
        <f>MVTJANV23!O8+MVTFEV23!O8+MVTMARS23!O8+MVTAVRIL23!O8+MVTMAI23!O8+MVTJUIN23!O8+MVTJUIL23!O8+MVTAOUT23!O8+MVTSEPT23!O8+MVTOCT23!O8+MVTNOV23!O8+MVTDEC23!O8</f>
        <v>0</v>
      </c>
      <c r="P8" s="36">
        <f>MVTJANV23!P8+MVTFEV23!P8+MVTMARS23!P8+MVTAVRIL23!P8+MVTMAI23!P8+MVTJUIN23!P8+MVTJUIL23!P8+MVTAOUT23!P8+MVTSEPT23!P8+MVTOCT23!P8+MVTNOV23!P8+MVTDEC23!P8</f>
        <v>0</v>
      </c>
      <c r="Q8" s="36">
        <f>MVTJANV23!Q8+MVTFEV23!Q8+MVTMARS23!Q8+MVTAVRIL23!Q8+MVTMAI23!Q8+MVTJUIN23!Q8+MVTJUIL23!Q8+MVTAOUT23!Q8+MVTSEPT23!Q8+MVTOCT23!Q8+MVTNOV23!Q8+MVTDEC23!Q8</f>
        <v>0</v>
      </c>
      <c r="R8" s="36">
        <f>MVTDEC23!R8</f>
        <v>500000</v>
      </c>
      <c r="S8" s="36">
        <f>MVTDEC23!S8</f>
        <v>15000</v>
      </c>
      <c r="T8" s="149">
        <v>45352</v>
      </c>
      <c r="U8" s="36">
        <f>MVTJANV23!U8+MVTFEV23!U8+MVTMARS23!U8+MVTAVRIL23!U8+MVTMAI23!U8+MVTJUIN23!U8+MVTJUIL23!U8+MVTAOUT23!U8+MVTSEPT23!U8+MVTOCT23!U8+MVTNOV23!U8+MVTDEC23!U8-500000</f>
        <v>500000</v>
      </c>
      <c r="V8" s="36"/>
      <c r="W8" s="36"/>
      <c r="X8" s="36">
        <f>MVTJANV23!X8+MVTFEV23!X8+MVTMARS23!X8+MVTAVRIL23!X8+MVTMAI23!X8+MVTJUIN23!X8+MVTJUIL23!X8+MVTAOUT23!X8+MVTSEPT23!X8+MVTOCT23!X8+MVTNOV23!X8+MVTDEC23!X8</f>
        <v>0</v>
      </c>
      <c r="Y8" s="36">
        <f>MVTJANV23!Y8+MVTFEV23!Y8+MVTMARS23!Y8+MVTAVRIL23!Y8+MVTMAI23!Y8+MVTJUIN23!Y8+MVTJUIL23!Y8+MVTAOUT23!Y8+MVTSEPT23!Y8+MVTOCT23!Y8+MVTNOV23!Y8+MVTDEC23!Y8</f>
        <v>0</v>
      </c>
      <c r="Z8" s="36">
        <f>MVTJANV23!Z8+MVTFEV23!Z8+MVTMARS23!Z8+MVTAVRIL23!Z8+MVTMAI23!Z8+MVTJUIN23!Z8+MVTJUIL23!Z8+MVTAOUT23!Z8+MVTSEPT23!Z8+MVTOCT23!Z8+MVTNOV23!Z8+MVTDEC23!Z8</f>
        <v>0</v>
      </c>
      <c r="AA8" s="36">
        <f>MVTJANV23!AA8+MVTFEV23!AA8+MVTMARS23!AA8+MVTAVRIL23!AA8+MVTMAI23!AA8+MVTJUIN23!AA8+MVTJUIL23!AA8+MVTAOUT23!AA8+MVTSEPT23!AA8+MVTOCT23!AA8+MVTNOV23!AA8+MVTDEC23!AA8</f>
        <v>0</v>
      </c>
      <c r="AB8" s="36">
        <f>MVTJANV23!AB8+MVTFEV23!AB8+MVTMARS23!AB8+MVTAVRIL23!AB8+MVTMAI23!AB8+MVTJUIN23!AB8+MVTJUIL23!AB8+MVTAOUT23!AB8+MVTSEPT23!AB8+MVTOCT23!AB8+MVTNOV23!AB8+MVTDEC23!AB8</f>
        <v>0</v>
      </c>
      <c r="AC8" s="36">
        <f>MVTJANV23!AC8+MVTFEV23!AC8+MVTMARS23!AC8+MVTAVRIL23!AC8+MVTMAI23!AC8+MVTJUIN23!AC8+MVTJUIL23!AC8+MVTAOUT23!AC8+MVTSEPT23!AC8+MVTOCT23!AC8+MVTNOV23!AC8+MVTDEC23!AC8</f>
        <v>0</v>
      </c>
      <c r="AD8" s="36">
        <f>MVTJANV23!AD8+MVTFEV23!AD8+MVTMARS23!AD8+MVTAVRIL23!AD8+MVTMAI23!AD8+MVTJUIN23!AD8+MVTJUIL23!AD8+MVTAOUT23!AD8+MVTSEPT23!AD8+MVTOCT23!AD8+MVTNOV23!AD8+MVTDEC23!AD8</f>
        <v>70000</v>
      </c>
      <c r="AE8" s="36">
        <f>MVTJANV23!AE8+MVTFEV23!AE8+MVTMARS23!AE8+MVTAVRIL23!AE8+MVTMAI23!AE8+MVTJUIN23!AE8+MVTJUIL23!AE8+MVTAOUT23!AE8+MVTSEPT23!AE8+MVTOCT23!AE8+MVTNOV23!AE8+MVTDEC23!AE8</f>
        <v>0</v>
      </c>
      <c r="AF8" s="36">
        <f>MVTJANV23!AF8+MVTFEV23!AF8+MVTMARS23!AF8+MVTAVRIL23!AF8+MVTMAI23!AF8+MVTJUIN23!AF8+MVTJUIL23!AF8+MVTAOUT23!AF8+MVTSEPT23!AF8+MVTOCT23!AF8+MVTNOV23!AF8+MVTDEC23!AF8</f>
        <v>0</v>
      </c>
      <c r="AG8" s="36">
        <f>MVTJANV23!AG8+MVTFEV23!AG8+MVTMARS23!AG8+MVTAVRIL23!AG8+MVTMAI23!AG8+MVTJUIN23!AG8+MVTJUIL23!AG8+MVTAOUT23!AG8+MVTSEPT23!AG8+MVTOCT23!AG8+MVTNOV23!AG8+MVTDEC23!AG8</f>
        <v>0</v>
      </c>
      <c r="AH8" s="36">
        <f>MVTJANV23!AH8+MVTFEV23!AH8+MVTMARS23!AH8+MVTAVRIL23!AH8+MVTMAI23!AH8+MVTJUIN23!AH8+MVTJUIL23!AH8+MVTAOUT23!AH8+MVTSEPT23!AH8+MVTOCT23!AH8+MVTNOV23!AH8+MVTDEC23!AH8</f>
        <v>0</v>
      </c>
      <c r="AI8" s="36">
        <f>MVTJANV23!AI8+MVTFEV23!AI8+MVTMARS23!AI8+MVTAVRIL23!AI8+MVTMAI23!AI8+MVTJUIN23!AI8+MVTJUIL23!AI8+MVTAOUT23!AI8+MVTSEPT23!AI8+MVTOCT23!AI8+MVTNOV23!AI8+MVTDEC23!AI8</f>
        <v>0</v>
      </c>
      <c r="AJ8" s="36">
        <f>MVTJANV23!AJ8+MVTFEV23!AJ8+MVTMARS23!AJ8+MVTAVRIL23!AJ8+MVTMAI23!AJ8+MVTJUIN23!AJ8+MVTJUIL23!AJ8+MVTAOUT23!AJ8+MVTSEPT23!AJ8+MVTOCT23!AJ8+MVTNOV23!AJ8+MVTDEC23!AJ8</f>
        <v>0</v>
      </c>
      <c r="AK8" s="98">
        <f t="shared" ref="AK8:AK35" si="1">R8-U8</f>
        <v>0</v>
      </c>
      <c r="AL8" s="149">
        <v>45352</v>
      </c>
      <c r="AM8" s="150">
        <v>15000</v>
      </c>
      <c r="AN8" s="150"/>
      <c r="AP8" s="36">
        <f>MVTDEC23!AK8</f>
        <v>100000</v>
      </c>
    </row>
    <row r="9" spans="1:42" ht="18.75" x14ac:dyDescent="0.3">
      <c r="A9" s="1" t="s">
        <v>23</v>
      </c>
      <c r="B9" s="1" t="str">
        <f>VLOOKUP(A9,[15]LISTADHERENT!A$5:H$60,3,0)</f>
        <v xml:space="preserve">DJOMO JEAN PAUL </v>
      </c>
      <c r="C9" s="36">
        <f>MVTJANV23!C9+MVTFEV23!C9+MVTMARS23!C9+MVTAVRIL23!C9+MVTMAI23!C9+MVTJUIN23!C9+MVTJUIL23!C9+MVTAOUT23!C9+MVTSEPT23!C9+MVTOCT23!C9+MVTNOV23!C9+MVTDEC23!C9</f>
        <v>600000</v>
      </c>
      <c r="D9" s="36">
        <f>MVTJANV23!D9+MVTFEV23!D9+MVTMARS23!D9+MVTAVRIL23!D9+MVTMAI23!D9+MVTJUIN23!D9+MVTJUIL23!D9+MVTAOUT23!D9+MVTSEPT23!D9+MVTOCT23!D9+MVTNOV23!D9+MVTDEC23!D9</f>
        <v>4810</v>
      </c>
      <c r="E9" s="36">
        <f>MVTJANV23!E9+MVTFEV23!E9+MVTMARS23!E9+MVTAVRIL23!E9+MVTMAI23!E9+MVTJUIN23!E9+MVTJUIL23!E9+MVTAOUT23!E9+MVTSEPT23!E9+MVTOCT23!E9+MVTNOV23!E9+MVTDEC23!E9</f>
        <v>0</v>
      </c>
      <c r="F9" s="5">
        <f>MVTFEV23!F9-MVTRESUME23!E9+K9</f>
        <v>858228.58925278904</v>
      </c>
      <c r="G9" s="6">
        <f>MVTDEC22!G9+MVTJANV23!G9+MVTFEV23!G9+MVTMARS23!G9+MVTAVRIL23!G9+MVTMAI23!G9+MVTJUIN23!G9+MVTJUIL23!G9+MVTAOUT23!G9+MVTSEPT23!G9+MVTOCT23!G9+MVTNOV23!G9+MVTDEC23!G9</f>
        <v>53547.826243040035</v>
      </c>
      <c r="H9" s="6">
        <f>MVTFEV23!H9-MVTRESUME23!E9+MVTRESUME23!K9</f>
        <v>859172.95972419891</v>
      </c>
      <c r="I9" s="36">
        <f>MVTJANV23!I9+MVTFEV23!I9+MVTMARS23!I9+MVTAVRIL23!I9+MVTMAI23!I9+MVTJUIN23!I9+MVTJUIL23!I9+MVTAOUT23!I9+MVTSEPT23!I9+MVTOCT23!I9+MVTNOV23!I9+MVTDEC23!I9</f>
        <v>9000</v>
      </c>
      <c r="J9" s="36">
        <f>MVTJANV23!J9+MVTFEV23!J9+MVTMARS23!J9+MVTAVRIL23!J9+MVTMAI23!J9+MVTJUIN23!J9+MVTJUIL23!J9+MVTAOUT23!J9+MVTSEPT23!J9+MVTOCT23!J9+MVTNOV23!J9+MVTDEC23!J9</f>
        <v>241000</v>
      </c>
      <c r="K9" s="36">
        <f>MVTJANV23!K9+MVTFEV23!K9+MVTMARS23!K9+MVTAVRIL23!K9+MVTMAI23!K9+MVTJUIN23!K9+MVTJUIL23!K9+MVTAOUT23!K9+MVTSEPT23!K9+MVTOCT23!K9+MVTNOV23!K9+MVTDEC23!K9</f>
        <v>169000</v>
      </c>
      <c r="L9" s="36">
        <f>MVTJANV23!L9+MVTFEV23!L9+MVTMARS23!L9+MVTAVRIL23!L9+MVTMAI23!L9+MVTJUIN23!L9+MVTJUIL23!L9+MVTAOUT23!L9+MVTSEPT23!L9+MVTOCT23!L9+MVTNOV23!L9+MVTDEC23!L9</f>
        <v>12000</v>
      </c>
      <c r="M9" s="36">
        <f>MVTJANV23!M9+MVTFEV23!M9+MVTMARS23!M9+MVTAVRIL23!M9+MVTMAI23!M9+MVTJUIN23!M9+MVTJUIL23!M9+MVTAOUT23!M9+MVTSEPT23!M9+MVTOCT23!M9+MVTNOV23!M9+MVTDEC23!M9</f>
        <v>12000</v>
      </c>
      <c r="N9" s="36">
        <f>MVTJANV23!N9+MVTFEV23!N9+MVTMARS23!N9+MVTAVRIL23!N9+MVTMAI23!N9+MVTJUIN23!N9+MVTJUIL23!N9+MVTAOUT23!N9+MVTSEPT23!N9+MVTOCT23!N9+MVTNOV23!N9+MVTDEC23!N9</f>
        <v>48000</v>
      </c>
      <c r="O9" s="36">
        <f>MVTJANV23!O9+MVTFEV23!O9+MVTMARS23!O9+MVTAVRIL23!O9+MVTMAI23!O9+MVTJUIN23!O9+MVTJUIL23!O9+MVTAOUT23!O9+MVTSEPT23!O9+MVTOCT23!O9+MVTNOV23!O9+MVTDEC23!O9</f>
        <v>3000</v>
      </c>
      <c r="P9" s="36">
        <f>MVTJANV23!P9+MVTFEV23!P9+MVTMARS23!P9+MVTAVRIL23!P9+MVTMAI23!P9+MVTJUIN23!P9+MVTJUIL23!P9+MVTAOUT23!P9+MVTSEPT23!P9+MVTOCT23!P9+MVTNOV23!P9+MVTDEC23!P9</f>
        <v>0</v>
      </c>
      <c r="Q9" s="36">
        <f>MVTJANV23!Q9+MVTFEV23!Q9+MVTMARS23!Q9+MVTAVRIL23!Q9+MVTMAI23!Q9+MVTJUIN23!Q9+MVTJUIL23!Q9+MVTAOUT23!Q9+MVTSEPT23!Q9+MVTOCT23!Q9+MVTNOV23!Q9+MVTDEC23!Q9</f>
        <v>0</v>
      </c>
      <c r="R9" s="36">
        <f>MVTDEC23!R9</f>
        <v>1000000</v>
      </c>
      <c r="S9" s="36">
        <f>MVTDEC23!S9</f>
        <v>120000</v>
      </c>
      <c r="T9" s="149">
        <v>45627</v>
      </c>
      <c r="U9" s="36">
        <f>MVTJANV23!U9+MVTFEV23!U9+MVTMARS23!U9+MVTAVRIL23!U9+MVTMAI23!U9+MVTJUIN23!U9+MVTJUIL23!U9+MVTAOUT23!U9+MVTSEPT23!U9+MVTOCT23!U9+MVTNOV23!U9+MVTDEC23!U9+310000</f>
        <v>2000000</v>
      </c>
      <c r="V9" s="36"/>
      <c r="W9" s="36"/>
      <c r="X9" s="36">
        <f>MVTJANV23!X9+MVTFEV23!X9+MVTMARS23!X9+MVTAVRIL23!X9+MVTMAI23!X9+MVTJUIN23!X9+MVTJUIL23!X9+MVTAOUT23!X9+MVTSEPT23!X9+MVTOCT23!X9+MVTNOV23!X9+MVTDEC23!X9</f>
        <v>0</v>
      </c>
      <c r="Y9" s="36">
        <f>MVTJANV23!Y9+MVTFEV23!Y9+MVTMARS23!Y9+MVTAVRIL23!Y9+MVTMAI23!Y9+MVTJUIN23!Y9+MVTJUIL23!Y9+MVTAOUT23!Y9+MVTSEPT23!Y9+MVTOCT23!Y9+MVTNOV23!Y9+MVTDEC23!Y9</f>
        <v>0</v>
      </c>
      <c r="Z9" s="36">
        <f>MVTJANV23!Z9+MVTFEV23!Z9+MVTMARS23!Z9+MVTAVRIL23!Z9+MVTMAI23!Z9+MVTJUIN23!Z9+MVTJUIL23!Z9+MVTAOUT23!Z9+MVTSEPT23!Z9+MVTOCT23!Z9+MVTNOV23!Z9+MVTDEC23!Z9</f>
        <v>0</v>
      </c>
      <c r="AA9" s="36">
        <f>MVTJANV23!AA9+MVTFEV23!AA9+MVTMARS23!AA9+MVTAVRIL23!AA9+MVTMAI23!AA9+MVTJUIN23!AA9+MVTJUIL23!AA9+MVTAOUT23!AA9+MVTSEPT23!AA9+MVTOCT23!AA9+MVTNOV23!AA9+MVTDEC23!AA9</f>
        <v>0</v>
      </c>
      <c r="AB9" s="36">
        <f>MVTJANV23!AB9+MVTFEV23!AB9+MVTMARS23!AB9+MVTAVRIL23!AB9+MVTMAI23!AB9+MVTJUIN23!AB9+MVTJUIL23!AB9+MVTAOUT23!AB9+MVTSEPT23!AB9+MVTOCT23!AB9+MVTNOV23!AB9+MVTDEC23!AB9</f>
        <v>0</v>
      </c>
      <c r="AC9" s="36">
        <f>MVTJANV23!AC9+MVTFEV23!AC9+MVTMARS23!AC9+MVTAVRIL23!AC9+MVTMAI23!AC9+MVTJUIN23!AC9+MVTJUIL23!AC9+MVTAOUT23!AC9+MVTSEPT23!AC9+MVTOCT23!AC9+MVTNOV23!AC9+MVTDEC23!AC9</f>
        <v>0</v>
      </c>
      <c r="AD9" s="36">
        <f>MVTJANV23!AD9+MVTFEV23!AD9+MVTMARS23!AD9+MVTAVRIL23!AD9+MVTMAI23!AD9+MVTJUIN23!AD9+MVTJUIL23!AD9+MVTAOUT23!AD9+MVTSEPT23!AD9+MVTOCT23!AD9+MVTNOV23!AD9+MVTDEC23!AD9</f>
        <v>140000</v>
      </c>
      <c r="AE9" s="36">
        <f>MVTJANV23!AE9+MVTFEV23!AE9+MVTMARS23!AE9+MVTAVRIL23!AE9+MVTMAI23!AE9+MVTJUIN23!AE9+MVTJUIL23!AE9+MVTAOUT23!AE9+MVTSEPT23!AE9+MVTOCT23!AE9+MVTNOV23!AE9+MVTDEC23!AE9</f>
        <v>0</v>
      </c>
      <c r="AF9" s="36">
        <f>MVTJANV23!AF9+MVTFEV23!AF9+MVTMARS23!AF9+MVTAVRIL23!AF9+MVTMAI23!AF9+MVTJUIN23!AF9+MVTJUIL23!AF9+MVTAOUT23!AF9+MVTSEPT23!AF9+MVTOCT23!AF9+MVTNOV23!AF9+MVTDEC23!AF9</f>
        <v>0</v>
      </c>
      <c r="AG9" s="36">
        <f>MVTJANV23!AG9+MVTFEV23!AG9+MVTMARS23!AG9+MVTAVRIL23!AG9+MVTMAI23!AG9+MVTJUIN23!AG9+MVTJUIL23!AG9+MVTAOUT23!AG9+MVTSEPT23!AG9+MVTOCT23!AG9+MVTNOV23!AG9+MVTDEC23!AG9</f>
        <v>0</v>
      </c>
      <c r="AH9" s="36">
        <f>MVTJANV23!AH9+MVTFEV23!AH9+MVTMARS23!AH9+MVTAVRIL23!AH9+MVTMAI23!AH9+MVTJUIN23!AH9+MVTJUIL23!AH9+MVTAOUT23!AH9+MVTSEPT23!AH9+MVTOCT23!AH9+MVTNOV23!AH9+MVTDEC23!AH9</f>
        <v>0</v>
      </c>
      <c r="AI9" s="36">
        <f>MVTJANV23!AI9+MVTFEV23!AI9+MVTMARS23!AI9+MVTAVRIL23!AI9+MVTMAI23!AI9+MVTJUIN23!AI9+MVTJUIL23!AI9+MVTAOUT23!AI9+MVTSEPT23!AI9+MVTOCT23!AI9+MVTNOV23!AI9+MVTDEC23!AI9</f>
        <v>0</v>
      </c>
      <c r="AJ9" s="36">
        <f>MVTJANV23!AJ9+MVTFEV23!AJ9+MVTMARS23!AJ9+MVTAVRIL23!AJ9+MVTMAI23!AJ9+MVTJUIN23!AJ9+MVTJUIL23!AJ9+MVTAOUT23!AJ9+MVTSEPT23!AJ9+MVTOCT23!AJ9+MVTNOV23!AJ9+MVTDEC23!AJ9</f>
        <v>0</v>
      </c>
      <c r="AK9" s="98">
        <f t="shared" si="1"/>
        <v>-1000000</v>
      </c>
      <c r="AL9" s="149">
        <v>45627</v>
      </c>
      <c r="AM9" s="150">
        <f>120000</f>
        <v>120000</v>
      </c>
      <c r="AN9" s="150"/>
      <c r="AP9" s="36">
        <f>MVTDEC23!AK9</f>
        <v>100000</v>
      </c>
    </row>
    <row r="10" spans="1:42" ht="18.75" x14ac:dyDescent="0.3">
      <c r="A10" s="1" t="s">
        <v>154</v>
      </c>
      <c r="B10" s="1" t="str">
        <f>VLOOKUP(A10,[15]LISTADHERENT!A$5:H$60,3,0)</f>
        <v>DJOMOU TCHAPDA</v>
      </c>
      <c r="C10" s="36">
        <f>MVTJANV23!C10+MVTFEV23!C10+MVTMARS23!C10+MVTAVRIL23!C10+MVTMAI23!C10+MVTJUIN23!C10+MVTJUIL23!C10+MVTAOUT23!C10+MVTSEPT23!C10+MVTOCT23!C10+MVTNOV23!C10+MVTDEC23!C10</f>
        <v>600000</v>
      </c>
      <c r="D10" s="36">
        <f>MVTJANV23!D10+MVTFEV23!D10+MVTMARS23!D10+MVTAVRIL23!D10+MVTMAI23!D10+MVTJUIN23!D10+MVTJUIL23!D10+MVTAOUT23!D10+MVTSEPT23!D10+MVTOCT23!D10+MVTNOV23!D10+MVTDEC23!D10</f>
        <v>48710</v>
      </c>
      <c r="E10" s="36">
        <f>MVTJANV23!E10+MVTFEV23!E10+MVTMARS23!E10+MVTAVRIL23!E10+MVTMAI23!E10+MVTJUIN23!E10+MVTJUIL23!E10+MVTAOUT23!E10+MVTSEPT23!E10+MVTOCT23!E10+MVTNOV23!E10+MVTDEC23!E10</f>
        <v>0</v>
      </c>
      <c r="F10" s="5">
        <f>MVTFEV23!F10-MVTRESUME23!E10+K10</f>
        <v>813917.8529245347</v>
      </c>
      <c r="G10" s="6">
        <f>MVTDEC22!G10+MVTJANV23!G10+MVTFEV23!G10+MVTMARS23!G10+MVTAVRIL23!G10+MVTMAI23!G10+MVTJUIN23!G10+MVTJUIL23!G10+MVTAOUT23!G10+MVTSEPT23!G10+MVTOCT23!G10+MVTNOV23!G10+MVTDEC23!G10</f>
        <v>56584.679295905429</v>
      </c>
      <c r="H10" s="6">
        <f>MVTFEV23!H10-MVTRESUME23!E10+MVTRESUME23!K10</f>
        <v>814887.83113917976</v>
      </c>
      <c r="I10" s="36">
        <f>MVTJANV23!I10+MVTFEV23!I10+MVTMARS23!I10+MVTAVRIL23!I10+MVTMAI23!I10+MVTJUIN23!I10+MVTJUIL23!I10+MVTAOUT23!I10+MVTSEPT23!I10+MVTOCT23!I10+MVTNOV23!I10+MVTDEC23!I10</f>
        <v>22000</v>
      </c>
      <c r="J10" s="36">
        <f>MVTJANV23!J10+MVTFEV23!J10+MVTMARS23!J10+MVTAVRIL23!J10+MVTMAI23!J10+MVTJUIN23!J10+MVTJUIL23!J10+MVTAOUT23!J10+MVTSEPT23!J10+MVTOCT23!J10+MVTNOV23!J10+MVTDEC23!J10</f>
        <v>178000</v>
      </c>
      <c r="K10" s="36">
        <f>MVTJANV23!K10+MVTFEV23!K10+MVTMARS23!K10+MVTAVRIL23!K10+MVTMAI23!K10+MVTJUIN23!K10+MVTJUIL23!K10+MVTAOUT23!K10+MVTSEPT23!K10+MVTOCT23!K10+MVTNOV23!K10+MVTDEC23!K10</f>
        <v>106000</v>
      </c>
      <c r="L10" s="36">
        <f>MVTJANV23!L10+MVTFEV23!L10+MVTMARS23!L10+MVTAVRIL23!L10+MVTMAI23!L10+MVTJUIN23!L10+MVTJUIL23!L10+MVTAOUT23!L10+MVTSEPT23!L10+MVTOCT23!L10+MVTNOV23!L10+MVTDEC23!L10</f>
        <v>12000</v>
      </c>
      <c r="M10" s="36">
        <f>MVTJANV23!M10+MVTFEV23!M10+MVTMARS23!M10+MVTAVRIL23!M10+MVTMAI23!M10+MVTJUIN23!M10+MVTJUIL23!M10+MVTAOUT23!M10+MVTSEPT23!M10+MVTOCT23!M10+MVTNOV23!M10+MVTDEC23!M10</f>
        <v>12000</v>
      </c>
      <c r="N10" s="36">
        <f>MVTJANV23!N10+MVTFEV23!N10+MVTMARS23!N10+MVTAVRIL23!N10+MVTMAI23!N10+MVTJUIN23!N10+MVTJUIL23!N10+MVTAOUT23!N10+MVTSEPT23!N10+MVTOCT23!N10+MVTNOV23!N10+MVTDEC23!N10</f>
        <v>48000</v>
      </c>
      <c r="O10" s="36">
        <f>MVTJANV23!O10+MVTFEV23!O10+MVTMARS23!O10+MVTAVRIL23!O10+MVTMAI23!O10+MVTJUIN23!O10+MVTJUIL23!O10+MVTAOUT23!O10+MVTSEPT23!O10+MVTOCT23!O10+MVTNOV23!O10+MVTDEC23!O10</f>
        <v>15000</v>
      </c>
      <c r="P10" s="36">
        <f>MVTJANV23!P10+MVTFEV23!P10+MVTMARS23!P10+MVTAVRIL23!P10+MVTMAI23!P10+MVTJUIN23!P10+MVTJUIL23!P10+MVTAOUT23!P10+MVTSEPT23!P10+MVTOCT23!P10+MVTNOV23!P10+MVTDEC23!P10</f>
        <v>0</v>
      </c>
      <c r="Q10" s="36">
        <f>MVTJANV23!Q10+MVTFEV23!Q10+MVTMARS23!Q10+MVTAVRIL23!Q10+MVTMAI23!Q10+MVTJUIN23!Q10+MVTJUIL23!Q10+MVTAOUT23!Q10+MVTSEPT23!Q10+MVTOCT23!Q10+MVTNOV23!Q10+MVTDEC23!Q10</f>
        <v>0</v>
      </c>
      <c r="R10" s="36">
        <f>MVTDEC23!R10</f>
        <v>1000000</v>
      </c>
      <c r="S10" s="36">
        <f>MVTDEC23!S10</f>
        <v>120000</v>
      </c>
      <c r="T10" s="149">
        <v>45627</v>
      </c>
      <c r="U10" s="36">
        <f>MVTJANV23!U10+MVTFEV23!U10+MVTMARS23!U10+MVTAVRIL23!U10+MVTMAI23!U10+MVTJUIN23!U10+MVTJUIL23!U10+MVTAOUT23!U10+MVTSEPT23!U10+MVTOCT23!U10+MVTNOV23!U10+MVTDEC23!U10</f>
        <v>0</v>
      </c>
      <c r="V10" s="36"/>
      <c r="W10" s="36"/>
      <c r="X10" s="36">
        <f>MVTJANV23!X10+MVTFEV23!X10+MVTMARS23!X10+MVTAVRIL23!X10+MVTMAI23!X10+MVTJUIN23!X10+MVTJUIL23!X10+MVTAOUT23!X10+MVTSEPT23!X10+MVTOCT23!X10+MVTNOV23!X10+MVTDEC23!X10</f>
        <v>0</v>
      </c>
      <c r="Y10" s="36">
        <f>MVTJANV23!Y10+MVTFEV23!Y10+MVTMARS23!Y10+MVTAVRIL23!Y10+MVTMAI23!Y10+MVTJUIN23!Y10+MVTJUIL23!Y10+MVTAOUT23!Y10+MVTSEPT23!Y10+MVTOCT23!Y10+MVTNOV23!Y10+MVTDEC23!Y10</f>
        <v>0</v>
      </c>
      <c r="Z10" s="36">
        <f>MVTJANV23!Z10+MVTFEV23!Z10+MVTMARS23!Z10+MVTAVRIL23!Z10+MVTMAI23!Z10+MVTJUIN23!Z10+MVTJUIL23!Z10+MVTAOUT23!Z10+MVTSEPT23!Z10+MVTOCT23!Z10+MVTNOV23!Z10+MVTDEC23!Z10</f>
        <v>0</v>
      </c>
      <c r="AA10" s="36">
        <f>MVTJANV23!AA10+MVTFEV23!AA10+MVTMARS23!AA10+MVTAVRIL23!AA10+MVTMAI23!AA10+MVTJUIN23!AA10+MVTJUIL23!AA10+MVTAOUT23!AA10+MVTSEPT23!AA10+MVTOCT23!AA10+MVTNOV23!AA10+MVTDEC23!AA10</f>
        <v>0</v>
      </c>
      <c r="AB10" s="36">
        <f>MVTJANV23!AB10+MVTFEV23!AB10+MVTMARS23!AB10+MVTAVRIL23!AB10+MVTMAI23!AB10+MVTJUIN23!AB10+MVTJUIL23!AB10+MVTAOUT23!AB10+MVTSEPT23!AB10+MVTOCT23!AB10+MVTNOV23!AB10+MVTDEC23!AB10</f>
        <v>0</v>
      </c>
      <c r="AC10" s="36">
        <f>MVTJANV23!AC10+MVTFEV23!AC10+MVTMARS23!AC10+MVTAVRIL23!AC10+MVTMAI23!AC10+MVTJUIN23!AC10+MVTJUIL23!AC10+MVTAOUT23!AC10+MVTSEPT23!AC10+MVTOCT23!AC10+MVTNOV23!AC10+MVTDEC23!AC10</f>
        <v>0</v>
      </c>
      <c r="AD10" s="36">
        <f>MVTJANV23!AD10+MVTFEV23!AD10+MVTMARS23!AD10+MVTAVRIL23!AD10+MVTMAI23!AD10+MVTJUIN23!AD10+MVTJUIL23!AD10+MVTAOUT23!AD10+MVTSEPT23!AD10+MVTOCT23!AD10+MVTNOV23!AD10+MVTDEC23!AD10</f>
        <v>70000</v>
      </c>
      <c r="AE10" s="36">
        <f>MVTJANV23!AE10+MVTFEV23!AE10+MVTMARS23!AE10+MVTAVRIL23!AE10+MVTMAI23!AE10+MVTJUIN23!AE10+MVTJUIL23!AE10+MVTAOUT23!AE10+MVTSEPT23!AE10+MVTOCT23!AE10+MVTNOV23!AE10+MVTDEC23!AE10</f>
        <v>0</v>
      </c>
      <c r="AF10" s="36">
        <f>MVTJANV23!AF10+MVTFEV23!AF10+MVTMARS23!AF10+MVTAVRIL23!AF10+MVTMAI23!AF10+MVTJUIN23!AF10+MVTJUIL23!AF10+MVTAOUT23!AF10+MVTSEPT23!AF10+MVTOCT23!AF10+MVTNOV23!AF10+MVTDEC23!AF10</f>
        <v>0</v>
      </c>
      <c r="AG10" s="36">
        <f>MVTJANV23!AG10+MVTFEV23!AG10+MVTMARS23!AG10+MVTAVRIL23!AG10+MVTMAI23!AG10+MVTJUIN23!AG10+MVTJUIL23!AG10+MVTAOUT23!AG10+MVTSEPT23!AG10+MVTOCT23!AG10+MVTNOV23!AG10+MVTDEC23!AG10</f>
        <v>0</v>
      </c>
      <c r="AH10" s="36">
        <f>MVTJANV23!AH10+MVTFEV23!AH10+MVTMARS23!AH10+MVTAVRIL23!AH10+MVTMAI23!AH10+MVTJUIN23!AH10+MVTJUIL23!AH10+MVTAOUT23!AH10+MVTSEPT23!AH10+MVTOCT23!AH10+MVTNOV23!AH10+MVTDEC23!AH10</f>
        <v>0</v>
      </c>
      <c r="AI10" s="36">
        <f>MVTJANV23!AI10+MVTFEV23!AI10+MVTMARS23!AI10+MVTAVRIL23!AI10+MVTMAI23!AI10+MVTJUIN23!AI10+MVTJUIL23!AI10+MVTAOUT23!AI10+MVTSEPT23!AI10+MVTOCT23!AI10+MVTNOV23!AI10+MVTDEC23!AI10</f>
        <v>0</v>
      </c>
      <c r="AJ10" s="36">
        <f>MVTJANV23!AJ10+MVTFEV23!AJ10+MVTMARS23!AJ10+MVTAVRIL23!AJ10+MVTMAI23!AJ10+MVTJUIN23!AJ10+MVTJUIL23!AJ10+MVTAOUT23!AJ10+MVTSEPT23!AJ10+MVTOCT23!AJ10+MVTNOV23!AJ10+MVTDEC23!AJ10</f>
        <v>0</v>
      </c>
      <c r="AK10" s="98">
        <f t="shared" si="1"/>
        <v>1000000</v>
      </c>
      <c r="AL10" s="149">
        <v>45627</v>
      </c>
      <c r="AM10" s="150">
        <f t="shared" si="0"/>
        <v>120000</v>
      </c>
      <c r="AN10" s="150"/>
      <c r="AP10" s="36">
        <f>MVTDEC23!AK10</f>
        <v>100000</v>
      </c>
    </row>
    <row r="11" spans="1:42" ht="18.75" x14ac:dyDescent="0.3">
      <c r="A11" s="1" t="s">
        <v>24</v>
      </c>
      <c r="B11" s="1" t="str">
        <f>VLOOKUP(A11,[15]LISTADHERENT!A$5:H$60,3,0)</f>
        <v>DJOUKWE NANGUEN GUY BLAISE</v>
      </c>
      <c r="C11" s="36">
        <f>MVTJANV23!C11+MVTFEV23!C11+MVTMARS23!C11+MVTAVRIL23!C11+MVTMAI23!C11+MVTJUIN23!C11+MVTJUIL23!C11+MVTAOUT23!C11+MVTSEPT23!C11+MVTOCT23!C11+MVTNOV23!C11+MVTDEC23!C11</f>
        <v>600000</v>
      </c>
      <c r="D11" s="36">
        <f>MVTJANV23!D11+MVTFEV23!D11+MVTMARS23!D11+MVTAVRIL23!D11+MVTMAI23!D11+MVTJUIN23!D11+MVTJUIL23!D11+MVTAOUT23!D11+MVTSEPT23!D11+MVTOCT23!D11+MVTNOV23!D11+MVTDEC23!D11</f>
        <v>4750</v>
      </c>
      <c r="E11" s="36">
        <f>MVTJANV23!E11+MVTFEV23!E11+MVTMARS23!E11+MVTAVRIL23!E11+MVTMAI23!E11+MVTJUIN23!E11+MVTJUIL23!E11+MVTAOUT23!E11+MVTSEPT23!E11+MVTOCT23!E11+MVTNOV23!E11+MVTDEC23!E11</f>
        <v>0</v>
      </c>
      <c r="F11" s="5">
        <f>MVTFEV23!F11-MVTRESUME23!E11+K11</f>
        <v>778665.06651773339</v>
      </c>
      <c r="G11" s="6">
        <f>MVTDEC22!G11+MVTJANV23!G11+MVTFEV23!G11+MVTMARS23!G11+MVTAVRIL23!G11+MVTMAI23!G11+MVTJUIN23!G11+MVTJUIL23!G11+MVTAOUT23!G11+MVTSEPT23!G11+MVTOCT23!G11+MVTNOV23!G11+MVTDEC23!G11</f>
        <v>52946.76789740676</v>
      </c>
      <c r="H11" s="6">
        <f>MVTFEV23!H11-MVTRESUME23!E11+MVTRESUME23!K11</f>
        <v>779570.98477951647</v>
      </c>
      <c r="I11" s="36">
        <f>MVTJANV23!I11+MVTFEV23!I11+MVTMARS23!I11+MVTAVRIL23!I11+MVTMAI23!I11+MVTJUIN23!I11+MVTJUIL23!I11+MVTAOUT23!I11+MVTSEPT23!I11+MVTOCT23!I11+MVTNOV23!I11+MVTDEC23!I11</f>
        <v>0</v>
      </c>
      <c r="J11" s="36">
        <f>MVTJANV23!J11+MVTFEV23!J11+MVTMARS23!J11+MVTAVRIL23!J11+MVTMAI23!J11+MVTJUIN23!J11+MVTJUIL23!J11+MVTAOUT23!J11+MVTSEPT23!J11+MVTOCT23!J11+MVTNOV23!J11+MVTDEC23!J11</f>
        <v>189500</v>
      </c>
      <c r="K11" s="36">
        <f>MVTJANV23!K11+MVTFEV23!K11+MVTMARS23!K11+MVTAVRIL23!K11+MVTMAI23!K11+MVTJUIN23!K11+MVTJUIL23!K11+MVTAOUT23!K11+MVTSEPT23!K11+MVTOCT23!K11+MVTNOV23!K11+MVTDEC23!K11</f>
        <v>117500</v>
      </c>
      <c r="L11" s="36">
        <f>MVTJANV23!L11+MVTFEV23!L11+MVTMARS23!L11+MVTAVRIL23!L11+MVTMAI23!L11+MVTJUIN23!L11+MVTJUIL23!L11+MVTAOUT23!L11+MVTSEPT23!L11+MVTOCT23!L11+MVTNOV23!L11+MVTDEC23!L11</f>
        <v>12000</v>
      </c>
      <c r="M11" s="36">
        <f>MVTJANV23!M11+MVTFEV23!M11+MVTMARS23!M11+MVTAVRIL23!M11+MVTMAI23!M11+MVTJUIN23!M11+MVTJUIL23!M11+MVTAOUT23!M11+MVTSEPT23!M11+MVTOCT23!M11+MVTNOV23!M11+MVTDEC23!M11</f>
        <v>12000</v>
      </c>
      <c r="N11" s="36">
        <f>MVTJANV23!N11+MVTFEV23!N11+MVTMARS23!N11+MVTAVRIL23!N11+MVTMAI23!N11+MVTJUIN23!N11+MVTJUIL23!N11+MVTAOUT23!N11+MVTSEPT23!N11+MVTOCT23!N11+MVTNOV23!N11+MVTDEC23!N11</f>
        <v>48000</v>
      </c>
      <c r="O11" s="36">
        <f>MVTJANV23!O11+MVTFEV23!O11+MVTMARS23!O11+MVTAVRIL23!O11+MVTMAI23!O11+MVTJUIN23!O11+MVTJUIL23!O11+MVTAOUT23!O11+MVTSEPT23!O11+MVTOCT23!O11+MVTNOV23!O11+MVTDEC23!O11</f>
        <v>3000</v>
      </c>
      <c r="P11" s="36">
        <f>MVTJANV23!P11+MVTFEV23!P11+MVTMARS23!P11+MVTAVRIL23!P11+MVTMAI23!P11+MVTJUIN23!P11+MVTJUIL23!P11+MVTAOUT23!P11+MVTSEPT23!P11+MVTOCT23!P11+MVTNOV23!P11+MVTDEC23!P11</f>
        <v>0</v>
      </c>
      <c r="Q11" s="36">
        <f>MVTJANV23!Q11+MVTFEV23!Q11+MVTMARS23!Q11+MVTAVRIL23!Q11+MVTMAI23!Q11+MVTJUIN23!Q11+MVTJUIL23!Q11+MVTAOUT23!Q11+MVTSEPT23!Q11+MVTOCT23!Q11+MVTNOV23!Q11+MVTDEC23!Q11</f>
        <v>0</v>
      </c>
      <c r="R11" s="36">
        <f>MVTDEC23!R11</f>
        <v>1000000</v>
      </c>
      <c r="S11" s="36">
        <f>MVTDEC23!S11</f>
        <v>20000</v>
      </c>
      <c r="T11" s="149">
        <v>45627</v>
      </c>
      <c r="U11" s="36">
        <f>MVTJANV23!U11+MVTFEV23!U11+MVTMARS23!U11+MVTAVRIL23!U11+MVTMAI23!U11+MVTJUIN23!U11+MVTJUIL23!U11+MVTAOUT23!U11+MVTSEPT23!U11+MVTOCT23!U11+MVTNOV23!U11+MVTDEC23!U11+8500+99000</f>
        <v>2157500</v>
      </c>
      <c r="V11" s="36"/>
      <c r="W11" s="36"/>
      <c r="X11" s="36">
        <f>MVTJANV23!X11+MVTFEV23!X11+MVTMARS23!X11+MVTAVRIL23!X11+MVTMAI23!X11+MVTJUIN23!X11+MVTJUIL23!X11+MVTAOUT23!X11+MVTSEPT23!X11+MVTOCT23!X11+MVTNOV23!X11+MVTDEC23!X11</f>
        <v>0</v>
      </c>
      <c r="Y11" s="36">
        <f>MVTJANV23!Y11+MVTFEV23!Y11+MVTMARS23!Y11+MVTAVRIL23!Y11+MVTMAI23!Y11+MVTJUIN23!Y11+MVTJUIL23!Y11+MVTAOUT23!Y11+MVTSEPT23!Y11+MVTOCT23!Y11+MVTNOV23!Y11+MVTDEC23!Y11</f>
        <v>0</v>
      </c>
      <c r="Z11" s="36">
        <f>MVTJANV23!Z11+MVTFEV23!Z11+MVTMARS23!Z11+MVTAVRIL23!Z11+MVTMAI23!Z11+MVTJUIN23!Z11+MVTJUIL23!Z11+MVTAOUT23!Z11+MVTSEPT23!Z11+MVTOCT23!Z11+MVTNOV23!Z11+MVTDEC23!Z11</f>
        <v>0</v>
      </c>
      <c r="AA11" s="36">
        <f>MVTJANV23!AA11+MVTFEV23!AA11+MVTMARS23!AA11+MVTAVRIL23!AA11+MVTMAI23!AA11+MVTJUIN23!AA11+MVTJUIL23!AA11+MVTAOUT23!AA11+MVTSEPT23!AA11+MVTOCT23!AA11+MVTNOV23!AA11+MVTDEC23!AA11</f>
        <v>0</v>
      </c>
      <c r="AB11" s="36">
        <f>MVTJANV23!AB11+MVTFEV23!AB11+MVTMARS23!AB11+MVTAVRIL23!AB11+MVTMAI23!AB11+MVTJUIN23!AB11+MVTJUIL23!AB11+MVTAOUT23!AB11+MVTSEPT23!AB11+MVTOCT23!AB11+MVTNOV23!AB11+MVTDEC23!AB11</f>
        <v>0</v>
      </c>
      <c r="AC11" s="36">
        <f>MVTJANV23!AC11+MVTFEV23!AC11+MVTMARS23!AC11+MVTAVRIL23!AC11+MVTMAI23!AC11+MVTJUIN23!AC11+MVTJUIL23!AC11+MVTAOUT23!AC11+MVTSEPT23!AC11+MVTOCT23!AC11+MVTNOV23!AC11+MVTDEC23!AC11</f>
        <v>0</v>
      </c>
      <c r="AD11" s="36">
        <f>MVTJANV23!AD11+MVTFEV23!AD11+MVTMARS23!AD11+MVTAVRIL23!AD11+MVTMAI23!AD11+MVTJUIN23!AD11+MVTJUIL23!AD11+MVTAOUT23!AD11+MVTSEPT23!AD11+MVTOCT23!AD11+MVTNOV23!AD11+MVTDEC23!AD11</f>
        <v>70000</v>
      </c>
      <c r="AE11" s="36">
        <f>MVTJANV23!AE11+MVTFEV23!AE11+MVTMARS23!AE11+MVTAVRIL23!AE11+MVTMAI23!AE11+MVTJUIN23!AE11+MVTJUIL23!AE11+MVTAOUT23!AE11+MVTSEPT23!AE11+MVTOCT23!AE11+MVTNOV23!AE11+MVTDEC23!AE11</f>
        <v>0</v>
      </c>
      <c r="AF11" s="36">
        <f>MVTJANV23!AF11+MVTFEV23!AF11+MVTMARS23!AF11+MVTAVRIL23!AF11+MVTMAI23!AF11+MVTJUIN23!AF11+MVTJUIL23!AF11+MVTAOUT23!AF11+MVTSEPT23!AF11+MVTOCT23!AF11+MVTNOV23!AF11+MVTDEC23!AF11</f>
        <v>0</v>
      </c>
      <c r="AG11" s="36">
        <f>MVTJANV23!AG11+MVTFEV23!AG11+MVTMARS23!AG11+MVTAVRIL23!AG11+MVTMAI23!AG11+MVTJUIN23!AG11+MVTJUIL23!AG11+MVTAOUT23!AG11+MVTSEPT23!AG11+MVTOCT23!AG11+MVTNOV23!AG11+MVTDEC23!AG11</f>
        <v>0</v>
      </c>
      <c r="AH11" s="36">
        <f>MVTJANV23!AH11+MVTFEV23!AH11+MVTMARS23!AH11+MVTAVRIL23!AH11+MVTMAI23!AH11+MVTJUIN23!AH11+MVTJUIL23!AH11+MVTAOUT23!AH11+MVTSEPT23!AH11+MVTOCT23!AH11+MVTNOV23!AH11+MVTDEC23!AH11</f>
        <v>0</v>
      </c>
      <c r="AI11" s="36">
        <f>MVTJANV23!AI11+MVTFEV23!AI11+MVTMARS23!AI11+MVTAVRIL23!AI11+MVTMAI23!AI11+MVTJUIN23!AI11+MVTJUIL23!AI11+MVTAOUT23!AI11+MVTSEPT23!AI11+MVTOCT23!AI11+MVTNOV23!AI11+MVTDEC23!AI11</f>
        <v>0</v>
      </c>
      <c r="AJ11" s="36">
        <f>MVTJANV23!AJ11+MVTFEV23!AJ11+MVTMARS23!AJ11+MVTAVRIL23!AJ11+MVTMAI23!AJ11+MVTJUIN23!AJ11+MVTJUIL23!AJ11+MVTAOUT23!AJ11+MVTSEPT23!AJ11+MVTOCT23!AJ11+MVTNOV23!AJ11+MVTDEC23!AJ11</f>
        <v>0</v>
      </c>
      <c r="AK11" s="98">
        <f>R11-U11+157500</f>
        <v>-1000000</v>
      </c>
      <c r="AL11" s="149">
        <v>45323</v>
      </c>
      <c r="AM11" s="150">
        <v>20000</v>
      </c>
      <c r="AN11" s="150"/>
      <c r="AP11" s="36">
        <f>MVTDEC23!AK11</f>
        <v>100000</v>
      </c>
    </row>
    <row r="12" spans="1:42" ht="18.75" x14ac:dyDescent="0.3">
      <c r="A12" s="1" t="s">
        <v>25</v>
      </c>
      <c r="B12" s="1" t="str">
        <f>VLOOKUP(A12,[15]LISTADHERENT!A$5:H$60,3,0)</f>
        <v>DJUOMBESSY ANTOINE</v>
      </c>
      <c r="C12" s="36">
        <f>MVTJANV23!C12+MVTFEV23!C12+MVTMARS23!C12+MVTAVRIL23!C12+MVTMAI23!C12+MVTJUIN23!C12+MVTJUIL23!C12+MVTAOUT23!C12+MVTSEPT23!C12+MVTOCT23!C12+MVTNOV23!C12+MVTDEC23!C12</f>
        <v>600000</v>
      </c>
      <c r="D12" s="36">
        <f>MVTJANV23!D12+MVTFEV23!D12+MVTMARS23!D12+MVTAVRIL23!D12+MVTMAI23!D12+MVTJUIN23!D12+MVTJUIL23!D12+MVTAOUT23!D12+MVTSEPT23!D12+MVTOCT23!D12+MVTNOV23!D12+MVTDEC23!D12</f>
        <v>10719</v>
      </c>
      <c r="E12" s="36">
        <f>MVTJANV23!E12+MVTFEV23!E12+MVTMARS23!E12+MVTAVRIL23!E12+MVTMAI23!E12+MVTJUIN23!E12+MVTJUIL23!E12+MVTAOUT23!E12+MVTSEPT23!E12+MVTOCT23!E12+MVTNOV23!E12+MVTDEC23!E12</f>
        <v>0</v>
      </c>
      <c r="F12" s="5">
        <f>MVTFEV23!F12-MVTRESUME23!E12+K12</f>
        <v>987112.98726499558</v>
      </c>
      <c r="G12" s="6">
        <f>MVTDEC22!G12+MVTJANV23!G12+MVTFEV23!G12+MVTMARS23!G12+MVTAVRIL23!G12+MVTMAI23!G12+MVTJUIN23!G12+MVTJUIL23!G12+MVTAOUT23!G12+MVTSEPT23!G12+MVTOCT23!G12+MVTNOV23!G12+MVTDEC23!G12</f>
        <v>55194.277451620372</v>
      </c>
      <c r="H12" s="6">
        <f>MVTFEV23!H12-MVTRESUME23!E12+MVTRESUME23!K12</f>
        <v>988041.30519774905</v>
      </c>
      <c r="I12" s="36">
        <f>MVTJANV23!I12+MVTFEV23!I12+MVTMARS23!I12+MVTAVRIL23!I12+MVTMAI23!I12+MVTJUIN23!I12+MVTJUIL23!I12+MVTAOUT23!I12+MVTSEPT23!I12+MVTOCT23!I12+MVTNOV23!I12+MVTDEC23!I12</f>
        <v>0</v>
      </c>
      <c r="J12" s="36">
        <f>MVTJANV23!J12+MVTFEV23!J12+MVTMARS23!J12+MVTAVRIL23!J12+MVTMAI23!J12+MVTJUIN23!J12+MVTJUIL23!J12+MVTAOUT23!J12+MVTSEPT23!J12+MVTOCT23!J12+MVTNOV23!J12+MVTDEC23!J12</f>
        <v>381600</v>
      </c>
      <c r="K12" s="36">
        <f>MVTJANV23!K12+MVTFEV23!K12+MVTMARS23!K12+MVTAVRIL23!K12+MVTMAI23!K12+MVTJUIN23!K12+MVTJUIL23!K12+MVTAOUT23!K12+MVTSEPT23!K12+MVTOCT23!K12+MVTNOV23!K12+MVTDEC23!K12</f>
        <v>309600</v>
      </c>
      <c r="L12" s="36">
        <f>MVTJANV23!L12+MVTFEV23!L12+MVTMARS23!L12+MVTAVRIL23!L12+MVTMAI23!L12+MVTJUIN23!L12+MVTJUIL23!L12+MVTAOUT23!L12+MVTSEPT23!L12+MVTOCT23!L12+MVTNOV23!L12+MVTDEC23!L12</f>
        <v>12000</v>
      </c>
      <c r="M12" s="36">
        <f>MVTJANV23!M12+MVTFEV23!M12+MVTMARS23!M12+MVTAVRIL23!M12+MVTMAI23!M12+MVTJUIN23!M12+MVTJUIL23!M12+MVTAOUT23!M12+MVTSEPT23!M12+MVTOCT23!M12+MVTNOV23!M12+MVTDEC23!M12</f>
        <v>12000</v>
      </c>
      <c r="N12" s="36">
        <f>MVTJANV23!N12+MVTFEV23!N12+MVTMARS23!N12+MVTAVRIL23!N12+MVTMAI23!N12+MVTJUIN23!N12+MVTJUIL23!N12+MVTAOUT23!N12+MVTSEPT23!N12+MVTOCT23!N12+MVTNOV23!N12+MVTDEC23!N12</f>
        <v>48000</v>
      </c>
      <c r="O12" s="36">
        <f>MVTJANV23!O12+MVTFEV23!O12+MVTMARS23!O12+MVTAVRIL23!O12+MVTMAI23!O12+MVTJUIN23!O12+MVTJUIL23!O12+MVTAOUT23!O12+MVTSEPT23!O12+MVTOCT23!O12+MVTNOV23!O12+MVTDEC23!O12</f>
        <v>0</v>
      </c>
      <c r="P12" s="36">
        <f>MVTJANV23!P12+MVTFEV23!P12+MVTMARS23!P12+MVTAVRIL23!P12+MVTMAI23!P12+MVTJUIN23!P12+MVTJUIL23!P12+MVTAOUT23!P12+MVTSEPT23!P12+MVTOCT23!P12+MVTNOV23!P12+MVTDEC23!P12</f>
        <v>0</v>
      </c>
      <c r="Q12" s="36">
        <f>MVTJANV23!Q12+MVTFEV23!Q12+MVTMARS23!Q12+MVTAVRIL23!Q12+MVTMAI23!Q12+MVTJUIN23!Q12+MVTJUIL23!Q12+MVTAOUT23!Q12+MVTSEPT23!Q12+MVTOCT23!Q12+MVTNOV23!Q12+MVTDEC23!Q12</f>
        <v>0</v>
      </c>
      <c r="R12" s="36">
        <f>MVTDEC23!R12</f>
        <v>1000000</v>
      </c>
      <c r="S12" s="36">
        <f>MVTDEC23!S12</f>
        <v>60000</v>
      </c>
      <c r="T12" s="149">
        <v>45444</v>
      </c>
      <c r="U12" s="36">
        <f>MVTJANV23!U12+MVTFEV23!U12+MVTMARS23!U12+MVTAVRIL23!U12+MVTMAI23!U12+MVTJUIN23!U12+MVTJUIL23!U12+MVTAOUT23!U12+MVTSEPT23!U12+MVTOCT23!U12+MVTNOV23!U12+MVTDEC23!U12</f>
        <v>1719200</v>
      </c>
      <c r="V12" s="36"/>
      <c r="W12" s="36"/>
      <c r="X12" s="36">
        <f>MVTJANV23!X12+MVTFEV23!X12+MVTMARS23!X12+MVTAVRIL23!X12+MVTMAI23!X12+MVTJUIN23!X12+MVTJUIL23!X12+MVTAOUT23!X12+MVTSEPT23!X12+MVTOCT23!X12+MVTNOV23!X12+MVTDEC23!X12</f>
        <v>0</v>
      </c>
      <c r="Y12" s="36">
        <f>MVTJANV23!Y12+MVTFEV23!Y12+MVTMARS23!Y12+MVTAVRIL23!Y12+MVTMAI23!Y12+MVTJUIN23!Y12+MVTJUIL23!Y12+MVTAOUT23!Y12+MVTSEPT23!Y12+MVTOCT23!Y12+MVTNOV23!Y12+MVTDEC23!Y12</f>
        <v>0</v>
      </c>
      <c r="Z12" s="36">
        <f>MVTJANV23!Z12+MVTFEV23!Z12+MVTMARS23!Z12+MVTAVRIL23!Z12+MVTMAI23!Z12+MVTJUIN23!Z12+MVTJUIL23!Z12+MVTAOUT23!Z12+MVTSEPT23!Z12+MVTOCT23!Z12+MVTNOV23!Z12+MVTDEC23!Z12</f>
        <v>0</v>
      </c>
      <c r="AA12" s="36">
        <f>MVTJANV23!AA12+MVTFEV23!AA12+MVTMARS23!AA12+MVTAVRIL23!AA12+MVTMAI23!AA12+MVTJUIN23!AA12+MVTJUIL23!AA12+MVTAOUT23!AA12+MVTSEPT23!AA12+MVTOCT23!AA12+MVTNOV23!AA12+MVTDEC23!AA12</f>
        <v>0</v>
      </c>
      <c r="AB12" s="36">
        <f>MVTJANV23!AB12+MVTFEV23!AB12+MVTMARS23!AB12+MVTAVRIL23!AB12+MVTMAI23!AB12+MVTJUIN23!AB12+MVTJUIL23!AB12+MVTAOUT23!AB12+MVTSEPT23!AB12+MVTOCT23!AB12+MVTNOV23!AB12+MVTDEC23!AB12</f>
        <v>0</v>
      </c>
      <c r="AC12" s="36">
        <f>MVTJANV23!AC12+MVTFEV23!AC12+MVTMARS23!AC12+MVTAVRIL23!AC12+MVTMAI23!AC12+MVTJUIN23!AC12+MVTJUIL23!AC12+MVTAOUT23!AC12+MVTSEPT23!AC12+MVTOCT23!AC12+MVTNOV23!AC12+MVTDEC23!AC12</f>
        <v>0</v>
      </c>
      <c r="AD12" s="36">
        <f>MVTJANV23!AD12+MVTFEV23!AD12+MVTMARS23!AD12+MVTAVRIL23!AD12+MVTMAI23!AD12+MVTJUIN23!AD12+MVTJUIL23!AD12+MVTAOUT23!AD12+MVTSEPT23!AD12+MVTOCT23!AD12+MVTNOV23!AD12+MVTDEC23!AD12</f>
        <v>70000</v>
      </c>
      <c r="AE12" s="36">
        <f>MVTJANV23!AE12+MVTFEV23!AE12+MVTMARS23!AE12+MVTAVRIL23!AE12+MVTMAI23!AE12+MVTJUIN23!AE12+MVTJUIL23!AE12+MVTAOUT23!AE12+MVTSEPT23!AE12+MVTOCT23!AE12+MVTNOV23!AE12+MVTDEC23!AE12</f>
        <v>0</v>
      </c>
      <c r="AF12" s="36">
        <f>MVTJANV23!AF12+MVTFEV23!AF12+MVTMARS23!AF12+MVTAVRIL23!AF12+MVTMAI23!AF12+MVTJUIN23!AF12+MVTJUIL23!AF12+MVTAOUT23!AF12+MVTSEPT23!AF12+MVTOCT23!AF12+MVTNOV23!AF12+MVTDEC23!AF12</f>
        <v>0</v>
      </c>
      <c r="AG12" s="36">
        <f>MVTJANV23!AG12+MVTFEV23!AG12+MVTMARS23!AG12+MVTAVRIL23!AG12+MVTMAI23!AG12+MVTJUIN23!AG12+MVTJUIL23!AG12+MVTAOUT23!AG12+MVTSEPT23!AG12+MVTOCT23!AG12+MVTNOV23!AG12+MVTDEC23!AG12</f>
        <v>0</v>
      </c>
      <c r="AH12" s="36">
        <f>MVTJANV23!AH12+MVTFEV23!AH12+MVTMARS23!AH12+MVTAVRIL23!AH12+MVTMAI23!AH12+MVTJUIN23!AH12+MVTJUIL23!AH12+MVTAOUT23!AH12+MVTSEPT23!AH12+MVTOCT23!AH12+MVTNOV23!AH12+MVTDEC23!AH12</f>
        <v>0</v>
      </c>
      <c r="AI12" s="36">
        <f>MVTJANV23!AI12+MVTFEV23!AI12+MVTMARS23!AI12+MVTAVRIL23!AI12+MVTMAI23!AI12+MVTJUIN23!AI12+MVTJUIL23!AI12+MVTAOUT23!AI12+MVTSEPT23!AI12+MVTOCT23!AI12+MVTNOV23!AI12+MVTDEC23!AI12</f>
        <v>0</v>
      </c>
      <c r="AJ12" s="36">
        <f>MVTJANV23!AJ12+MVTFEV23!AJ12+MVTMARS23!AJ12+MVTAVRIL23!AJ12+MVTMAI23!AJ12+MVTJUIN23!AJ12+MVTJUIL23!AJ12+MVTAOUT23!AJ12+MVTSEPT23!AJ12+MVTOCT23!AJ12+MVTNOV23!AJ12+MVTDEC23!AJ12</f>
        <v>0</v>
      </c>
      <c r="AK12" s="98">
        <v>1000000</v>
      </c>
      <c r="AL12" s="149">
        <v>45078</v>
      </c>
      <c r="AM12" s="150">
        <v>60000</v>
      </c>
      <c r="AN12" s="150">
        <f>AK12*1/100*2</f>
        <v>20000</v>
      </c>
      <c r="AP12" s="36">
        <f>MVTDEC23!AK12</f>
        <v>100000</v>
      </c>
    </row>
    <row r="13" spans="1:42" ht="18.75" x14ac:dyDescent="0.3">
      <c r="A13" s="1" t="s">
        <v>79</v>
      </c>
      <c r="B13" s="1" t="str">
        <f>VLOOKUP(A13,[15]LISTADHERENT!A$5:H$60,3,0)</f>
        <v>DOMOU FABIEN</v>
      </c>
      <c r="C13" s="36">
        <f>MVTJANV23!C13+MVTFEV23!C13+MVTMARS23!C13+MVTAVRIL23!C13+MVTMAI23!C13+MVTJUIN23!C13+MVTJUIL23!C13+MVTAOUT23!C13+MVTSEPT23!C13+MVTOCT23!C13+MVTNOV23!C13+MVTDEC23!C13</f>
        <v>600000</v>
      </c>
      <c r="D13" s="36">
        <f>MVTJANV23!D13+MVTFEV23!D13+MVTMARS23!D13+MVTAVRIL23!D13+MVTMAI23!D13+MVTJUIN23!D13+MVTJUIL23!D13+MVTAOUT23!D13+MVTSEPT23!D13+MVTOCT23!D13+MVTNOV23!D13+MVTDEC23!D13</f>
        <v>584</v>
      </c>
      <c r="E13" s="36">
        <f>MVTJANV23!E13+MVTFEV23!E13+MVTMARS23!E13+MVTAVRIL23!E13+MVTMAI23!E13+MVTJUIN23!E13+MVTJUIL23!E13+MVTAOUT23!E13+MVTSEPT23!E13+MVTOCT23!E13+MVTNOV23!E13+MVTDEC23!E13</f>
        <v>0</v>
      </c>
      <c r="F13" s="5">
        <f>MVTFEV23!F13-MVTRESUME23!E13+K13</f>
        <v>764734.39913267479</v>
      </c>
      <c r="G13" s="6">
        <f>MVTDEC22!G13+MVTJANV23!G13+MVTFEV23!G13+MVTMARS23!G13+MVTAVRIL23!G13+MVTMAI23!G13+MVTJUIN23!G13+MVTJUIL23!G13+MVTAOUT23!G13+MVTSEPT23!G13+MVTOCT23!G13+MVTNOV23!G13+MVTDEC23!G13</f>
        <v>52457.235805909797</v>
      </c>
      <c r="H13" s="6">
        <f>MVTFEV23!H13-MVTRESUME23!E13+MVTRESUME23!K13</f>
        <v>765634.24656177277</v>
      </c>
      <c r="I13" s="36">
        <f>MVTJANV23!I13+MVTFEV23!I13+MVTMARS23!I13+MVTAVRIL23!I13+MVTMAI23!I13+MVTJUIN23!I13+MVTJUIL23!I13+MVTAOUT23!I13+MVTSEPT23!I13+MVTOCT23!I13+MVTNOV23!I13+MVTDEC23!I13</f>
        <v>0</v>
      </c>
      <c r="J13" s="36">
        <f>MVTJANV23!J13+MVTFEV23!J13+MVTMARS23!J13+MVTAVRIL23!J13+MVTMAI23!J13+MVTJUIN23!J13+MVTJUIL23!J13+MVTAOUT23!J13+MVTSEPT23!J13+MVTOCT23!J13+MVTNOV23!J13+MVTDEC23!J13</f>
        <v>180000</v>
      </c>
      <c r="K13" s="36">
        <f>MVTJANV23!K13+MVTFEV23!K13+MVTMARS23!K13+MVTAVRIL23!K13+MVTMAI23!K13+MVTJUIN23!K13+MVTJUIL23!K13+MVTAOUT23!K13+MVTSEPT23!K13+MVTOCT23!K13+MVTNOV23!K13+MVTDEC23!K13</f>
        <v>108000</v>
      </c>
      <c r="L13" s="36">
        <f>MVTJANV23!L13+MVTFEV23!L13+MVTMARS23!L13+MVTAVRIL23!L13+MVTMAI23!L13+MVTJUIN23!L13+MVTJUIL23!L13+MVTAOUT23!L13+MVTSEPT23!L13+MVTOCT23!L13+MVTNOV23!L13+MVTDEC23!L13</f>
        <v>12000</v>
      </c>
      <c r="M13" s="36">
        <f>MVTJANV23!M13+MVTFEV23!M13+MVTMARS23!M13+MVTAVRIL23!M13+MVTMAI23!M13+MVTJUIN23!M13+MVTJUIL23!M13+MVTAOUT23!M13+MVTSEPT23!M13+MVTOCT23!M13+MVTNOV23!M13+MVTDEC23!M13</f>
        <v>12000</v>
      </c>
      <c r="N13" s="36">
        <f>MVTJANV23!N13+MVTFEV23!N13+MVTMARS23!N13+MVTAVRIL23!N13+MVTMAI23!N13+MVTJUIN23!N13+MVTJUIL23!N13+MVTAOUT23!N13+MVTSEPT23!N13+MVTOCT23!N13+MVTNOV23!N13+MVTDEC23!N13</f>
        <v>48000</v>
      </c>
      <c r="O13" s="36">
        <f>MVTJANV23!O13+MVTFEV23!O13+MVTMARS23!O13+MVTAVRIL23!O13+MVTMAI23!O13+MVTJUIN23!O13+MVTJUIL23!O13+MVTAOUT23!O13+MVTSEPT23!O13+MVTOCT23!O13+MVTNOV23!O13+MVTDEC23!O13</f>
        <v>0</v>
      </c>
      <c r="P13" s="36">
        <f>MVTJANV23!P13+MVTFEV23!P13+MVTMARS23!P13+MVTAVRIL23!P13+MVTMAI23!P13+MVTJUIN23!P13+MVTJUIL23!P13+MVTAOUT23!P13+MVTSEPT23!P13+MVTOCT23!P13+MVTNOV23!P13+MVTDEC23!P13</f>
        <v>0</v>
      </c>
      <c r="Q13" s="36">
        <f>MVTJANV23!Q13+MVTFEV23!Q13+MVTMARS23!Q13+MVTAVRIL23!Q13+MVTMAI23!Q13+MVTJUIN23!Q13+MVTJUIL23!Q13+MVTAOUT23!Q13+MVTSEPT23!Q13+MVTOCT23!Q13+MVTNOV23!Q13+MVTDEC23!Q13</f>
        <v>0</v>
      </c>
      <c r="R13" s="36">
        <f>MVTDEC23!R13</f>
        <v>1000000</v>
      </c>
      <c r="S13" s="36">
        <f>MVTDEC23!S13</f>
        <v>120000</v>
      </c>
      <c r="T13" s="149">
        <v>45627</v>
      </c>
      <c r="U13" s="36">
        <f>MVTJANV23!U13+MVTFEV23!U13+MVTMARS23!U13+MVTAVRIL23!U13+MVTMAI23!U13+MVTJUIN23!U13+MVTJUIL23!U13+MVTAOUT23!U13+MVTSEPT23!U13+MVTOCT23!U13+MVTNOV23!U13+MVTDEC23!U13</f>
        <v>1000000</v>
      </c>
      <c r="V13" s="36"/>
      <c r="W13" s="36"/>
      <c r="X13" s="36">
        <f>MVTJANV23!X13+MVTFEV23!X13+MVTMARS23!X13+MVTAVRIL23!X13+MVTMAI23!X13+MVTJUIN23!X13+MVTJUIL23!X13+MVTAOUT23!X13+MVTSEPT23!X13+MVTOCT23!X13+MVTNOV23!X13+MVTDEC23!X13</f>
        <v>0</v>
      </c>
      <c r="Y13" s="36">
        <f>MVTJANV23!Y13+MVTFEV23!Y13+MVTMARS23!Y13+MVTAVRIL23!Y13+MVTMAI23!Y13+MVTJUIN23!Y13+MVTJUIL23!Y13+MVTAOUT23!Y13+MVTSEPT23!Y13+MVTOCT23!Y13+MVTNOV23!Y13+MVTDEC23!Y13</f>
        <v>0</v>
      </c>
      <c r="Z13" s="36">
        <f>MVTJANV23!Z13+MVTFEV23!Z13+MVTMARS23!Z13+MVTAVRIL23!Z13+MVTMAI23!Z13+MVTJUIN23!Z13+MVTJUIL23!Z13+MVTAOUT23!Z13+MVTSEPT23!Z13+MVTOCT23!Z13+MVTNOV23!Z13+MVTDEC23!Z13</f>
        <v>0</v>
      </c>
      <c r="AA13" s="36">
        <f>MVTJANV23!AA13+MVTFEV23!AA13+MVTMARS23!AA13+MVTAVRIL23!AA13+MVTMAI23!AA13+MVTJUIN23!AA13+MVTJUIL23!AA13+MVTAOUT23!AA13+MVTSEPT23!AA13+MVTOCT23!AA13+MVTNOV23!AA13+MVTDEC23!AA13</f>
        <v>0</v>
      </c>
      <c r="AB13" s="36">
        <f>MVTJANV23!AB13+MVTFEV23!AB13+MVTMARS23!AB13+MVTAVRIL23!AB13+MVTMAI23!AB13+MVTJUIN23!AB13+MVTJUIL23!AB13+MVTAOUT23!AB13+MVTSEPT23!AB13+MVTOCT23!AB13+MVTNOV23!AB13+MVTDEC23!AB13</f>
        <v>0</v>
      </c>
      <c r="AC13" s="36">
        <f>MVTJANV23!AC13+MVTFEV23!AC13+MVTMARS23!AC13+MVTAVRIL23!AC13+MVTMAI23!AC13+MVTJUIN23!AC13+MVTJUIL23!AC13+MVTAOUT23!AC13+MVTSEPT23!AC13+MVTOCT23!AC13+MVTNOV23!AC13+MVTDEC23!AC13</f>
        <v>0</v>
      </c>
      <c r="AD13" s="36">
        <f>MVTJANV23!AD13+MVTFEV23!AD13+MVTMARS23!AD13+MVTAVRIL23!AD13+MVTMAI23!AD13+MVTJUIN23!AD13+MVTJUIL23!AD13+MVTAOUT23!AD13+MVTSEPT23!AD13+MVTOCT23!AD13+MVTNOV23!AD13+MVTDEC23!AD13</f>
        <v>70000</v>
      </c>
      <c r="AE13" s="36">
        <f>MVTJANV23!AE13+MVTFEV23!AE13+MVTMARS23!AE13+MVTAVRIL23!AE13+MVTMAI23!AE13+MVTJUIN23!AE13+MVTJUIL23!AE13+MVTAOUT23!AE13+MVTSEPT23!AE13+MVTOCT23!AE13+MVTNOV23!AE13+MVTDEC23!AE13</f>
        <v>0</v>
      </c>
      <c r="AF13" s="36">
        <f>MVTJANV23!AF13+MVTFEV23!AF13+MVTMARS23!AF13+MVTAVRIL23!AF13+MVTMAI23!AF13+MVTJUIN23!AF13+MVTJUIL23!AF13+MVTAOUT23!AF13+MVTSEPT23!AF13+MVTOCT23!AF13+MVTNOV23!AF13+MVTDEC23!AF13</f>
        <v>0</v>
      </c>
      <c r="AG13" s="36">
        <f>MVTJANV23!AG13+MVTFEV23!AG13+MVTMARS23!AG13+MVTAVRIL23!AG13+MVTMAI23!AG13+MVTJUIN23!AG13+MVTJUIL23!AG13+MVTAOUT23!AG13+MVTSEPT23!AG13+MVTOCT23!AG13+MVTNOV23!AG13+MVTDEC23!AG13</f>
        <v>0</v>
      </c>
      <c r="AH13" s="36">
        <f>MVTJANV23!AH13+MVTFEV23!AH13+MVTMARS23!AH13+MVTAVRIL23!AH13+MVTMAI23!AH13+MVTJUIN23!AH13+MVTJUIL23!AH13+MVTAOUT23!AH13+MVTSEPT23!AH13+MVTOCT23!AH13+MVTNOV23!AH13+MVTDEC23!AH13</f>
        <v>0</v>
      </c>
      <c r="AI13" s="36">
        <f>MVTJANV23!AI13+MVTFEV23!AI13+MVTMARS23!AI13+MVTAVRIL23!AI13+MVTMAI23!AI13+MVTJUIN23!AI13+MVTJUIL23!AI13+MVTAOUT23!AI13+MVTSEPT23!AI13+MVTOCT23!AI13+MVTNOV23!AI13+MVTDEC23!AI13</f>
        <v>0</v>
      </c>
      <c r="AJ13" s="36">
        <f>MVTJANV23!AJ13+MVTFEV23!AJ13+MVTMARS23!AJ13+MVTAVRIL23!AJ13+MVTMAI23!AJ13+MVTJUIN23!AJ13+MVTJUIL23!AJ13+MVTAOUT23!AJ13+MVTSEPT23!AJ13+MVTOCT23!AJ13+MVTNOV23!AJ13+MVTDEC23!AJ13</f>
        <v>0</v>
      </c>
      <c r="AK13" s="98">
        <f t="shared" si="1"/>
        <v>0</v>
      </c>
      <c r="AL13" s="149">
        <v>45627</v>
      </c>
      <c r="AM13" s="150">
        <v>120000</v>
      </c>
      <c r="AN13" s="150"/>
      <c r="AP13" s="36">
        <f>MVTDEC23!AK13</f>
        <v>100000</v>
      </c>
    </row>
    <row r="14" spans="1:42" ht="18.75" x14ac:dyDescent="0.3">
      <c r="A14" s="1" t="s">
        <v>26</v>
      </c>
      <c r="B14" s="1" t="str">
        <f>VLOOKUP(A14,[15]LISTADHERENT!A$5:H$60,3,0)</f>
        <v>DONHOU DAVID</v>
      </c>
      <c r="C14" s="36">
        <f>MVTJANV23!C14+MVTFEV23!C14+MVTMARS23!C14+MVTAVRIL23!C14+MVTMAI23!C14+MVTJUIN23!C14+MVTJUIL23!C14+MVTAOUT23!C14+MVTSEPT23!C14+MVTOCT23!C14+MVTNOV23!C14+MVTDEC23!C14</f>
        <v>600000</v>
      </c>
      <c r="D14" s="36">
        <f>MVTJANV23!D14+MVTFEV23!D14+MVTMARS23!D14+MVTAVRIL23!D14+MVTMAI23!D14+MVTJUIN23!D14+MVTJUIL23!D14+MVTAOUT23!D14+MVTSEPT23!D14+MVTOCT23!D14+MVTNOV23!D14+MVTDEC23!D14</f>
        <v>458343</v>
      </c>
      <c r="E14" s="36">
        <f>MVTJANV23!E14+MVTFEV23!E14+MVTMARS23!E14+MVTAVRIL23!E14+MVTMAI23!E14+MVTJUIN23!E14+MVTJUIL23!E14+MVTAOUT23!E14+MVTSEPT23!E14+MVTOCT23!E14+MVTNOV23!E14+MVTDEC23!E14</f>
        <v>0</v>
      </c>
      <c r="F14" s="5">
        <f>MVTFEV23!F14-MVTRESUME23!E14+K14</f>
        <v>1251571.3479732168</v>
      </c>
      <c r="G14" s="6">
        <f>MVTDEC22!G14+MVTJANV23!G14+MVTFEV23!G14+MVTMARS23!G14+MVTAVRIL23!G14+MVTMAI23!G14+MVTJUIN23!G14+MVTJUIL23!G14+MVTAOUT23!G14+MVTSEPT23!G14+MVTOCT23!G14+MVTNOV23!G14+MVTDEC23!G14</f>
        <v>91688.291016573858</v>
      </c>
      <c r="H14" s="6">
        <f>MVTFEV23!H14-MVTRESUME23!E14+MVTRESUME23!K14</f>
        <v>1253138.2519435629</v>
      </c>
      <c r="I14" s="36">
        <f>MVTJANV23!I14+MVTFEV23!I14+MVTMARS23!I14+MVTAVRIL23!I14+MVTMAI23!I14+MVTJUIN23!I14+MVTJUIL23!I14+MVTAOUT23!I14+MVTSEPT23!I14+MVTOCT23!I14+MVTNOV23!I14+MVTDEC23!I14</f>
        <v>0</v>
      </c>
      <c r="J14" s="36">
        <f>MVTJANV23!J14+MVTFEV23!J14+MVTMARS23!J14+MVTAVRIL23!J14+MVTMAI23!J14+MVTJUIN23!J14+MVTJUIL23!J14+MVTAOUT23!J14+MVTSEPT23!J14+MVTOCT23!J14+MVTNOV23!J14+MVTDEC23!J14</f>
        <v>180000</v>
      </c>
      <c r="K14" s="36">
        <f>MVTJANV23!K14+MVTFEV23!K14+MVTMARS23!K14+MVTAVRIL23!K14+MVTMAI23!K14+MVTJUIN23!K14+MVTJUIL23!K14+MVTAOUT23!K14+MVTSEPT23!K14+MVTOCT23!K14+MVTNOV23!K14+MVTDEC23!K14</f>
        <v>108000</v>
      </c>
      <c r="L14" s="36">
        <f>MVTJANV23!L14+MVTFEV23!L14+MVTMARS23!L14+MVTAVRIL23!L14+MVTMAI23!L14+MVTJUIN23!L14+MVTJUIL23!L14+MVTAOUT23!L14+MVTSEPT23!L14+MVTOCT23!L14+MVTNOV23!L14+MVTDEC23!L14</f>
        <v>12000</v>
      </c>
      <c r="M14" s="36">
        <f>MVTJANV23!M14+MVTFEV23!M14+MVTMARS23!M14+MVTAVRIL23!M14+MVTMAI23!M14+MVTJUIN23!M14+MVTJUIL23!M14+MVTAOUT23!M14+MVTSEPT23!M14+MVTOCT23!M14+MVTNOV23!M14+MVTDEC23!M14</f>
        <v>12000</v>
      </c>
      <c r="N14" s="36">
        <f>MVTJANV23!N14+MVTFEV23!N14+MVTMARS23!N14+MVTAVRIL23!N14+MVTMAI23!N14+MVTJUIN23!N14+MVTJUIL23!N14+MVTAOUT23!N14+MVTSEPT23!N14+MVTOCT23!N14+MVTNOV23!N14+MVTDEC23!N14</f>
        <v>48000</v>
      </c>
      <c r="O14" s="36">
        <f>MVTJANV23!O14+MVTFEV23!O14+MVTMARS23!O14+MVTAVRIL23!O14+MVTMAI23!O14+MVTJUIN23!O14+MVTJUIL23!O14+MVTAOUT23!O14+MVTSEPT23!O14+MVTOCT23!O14+MVTNOV23!O14+MVTDEC23!O14</f>
        <v>0</v>
      </c>
      <c r="P14" s="36">
        <f>MVTJANV23!P14+MVTFEV23!P14+MVTMARS23!P14+MVTAVRIL23!P14+MVTMAI23!P14+MVTJUIN23!P14+MVTJUIL23!P14+MVTAOUT23!P14+MVTSEPT23!P14+MVTOCT23!P14+MVTNOV23!P14+MVTDEC23!P14</f>
        <v>0</v>
      </c>
      <c r="Q14" s="36">
        <f>MVTJANV23!Q14+MVTFEV23!Q14+MVTMARS23!Q14+MVTAVRIL23!Q14+MVTMAI23!Q14+MVTJUIN23!Q14+MVTJUIL23!Q14+MVTAOUT23!Q14+MVTSEPT23!Q14+MVTOCT23!Q14+MVTNOV23!Q14+MVTDEC23!Q14</f>
        <v>0</v>
      </c>
      <c r="R14" s="36">
        <f>MVTDEC23!R14</f>
        <v>0</v>
      </c>
      <c r="S14" s="36">
        <f>MVTDEC23!S14</f>
        <v>0</v>
      </c>
      <c r="T14" s="149"/>
      <c r="U14" s="36">
        <f>MVTJANV23!U14+MVTFEV23!U14+MVTMARS23!U14+MVTAVRIL23!U14+MVTMAI23!U14+MVTJUIN23!U14+MVTJUIL23!U14+MVTAOUT23!U14+MVTSEPT23!U14+MVTOCT23!U14+MVTNOV23!U14+MVTDEC23!U14</f>
        <v>0</v>
      </c>
      <c r="V14" s="36"/>
      <c r="W14" s="36"/>
      <c r="X14" s="36">
        <f>MVTJANV23!X14+MVTFEV23!X14+MVTMARS23!X14+MVTAVRIL23!X14+MVTMAI23!X14+MVTJUIN23!X14+MVTJUIL23!X14+MVTAOUT23!X14+MVTSEPT23!X14+MVTOCT23!X14+MVTNOV23!X14+MVTDEC23!X14</f>
        <v>0</v>
      </c>
      <c r="Y14" s="36">
        <f>MVTJANV23!Y14+MVTFEV23!Y14+MVTMARS23!Y14+MVTAVRIL23!Y14+MVTMAI23!Y14+MVTJUIN23!Y14+MVTJUIL23!Y14+MVTAOUT23!Y14+MVTSEPT23!Y14+MVTOCT23!Y14+MVTNOV23!Y14+MVTDEC23!Y14</f>
        <v>0</v>
      </c>
      <c r="Z14" s="36">
        <f>MVTJANV23!Z14+MVTFEV23!Z14+MVTMARS23!Z14+MVTAVRIL23!Z14+MVTMAI23!Z14+MVTJUIN23!Z14+MVTJUIL23!Z14+MVTAOUT23!Z14+MVTSEPT23!Z14+MVTOCT23!Z14+MVTNOV23!Z14+MVTDEC23!Z14</f>
        <v>0</v>
      </c>
      <c r="AA14" s="36">
        <f>MVTJANV23!AA14+MVTFEV23!AA14+MVTMARS23!AA14+MVTAVRIL23!AA14+MVTMAI23!AA14+MVTJUIN23!AA14+MVTJUIL23!AA14+MVTAOUT23!AA14+MVTSEPT23!AA14+MVTOCT23!AA14+MVTNOV23!AA14+MVTDEC23!AA14</f>
        <v>0</v>
      </c>
      <c r="AB14" s="36">
        <f>MVTJANV23!AB14+MVTFEV23!AB14+MVTMARS23!AB14+MVTAVRIL23!AB14+MVTMAI23!AB14+MVTJUIN23!AB14+MVTJUIL23!AB14+MVTAOUT23!AB14+MVTSEPT23!AB14+MVTOCT23!AB14+MVTNOV23!AB14+MVTDEC23!AB14</f>
        <v>0</v>
      </c>
      <c r="AC14" s="36">
        <f>MVTJANV23!AC14+MVTFEV23!AC14+MVTMARS23!AC14+MVTAVRIL23!AC14+MVTMAI23!AC14+MVTJUIN23!AC14+MVTJUIL23!AC14+MVTAOUT23!AC14+MVTSEPT23!AC14+MVTOCT23!AC14+MVTNOV23!AC14+MVTDEC23!AC14</f>
        <v>0</v>
      </c>
      <c r="AD14" s="36">
        <f>MVTJANV23!AD14+MVTFEV23!AD14+MVTMARS23!AD14+MVTAVRIL23!AD14+MVTMAI23!AD14+MVTJUIN23!AD14+MVTJUIL23!AD14+MVTAOUT23!AD14+MVTSEPT23!AD14+MVTOCT23!AD14+MVTNOV23!AD14+MVTDEC23!AD14</f>
        <v>70000</v>
      </c>
      <c r="AE14" s="36">
        <f>MVTJANV23!AE14+MVTFEV23!AE14+MVTMARS23!AE14+MVTAVRIL23!AE14+MVTMAI23!AE14+MVTJUIN23!AE14+MVTJUIL23!AE14+MVTAOUT23!AE14+MVTSEPT23!AE14+MVTOCT23!AE14+MVTNOV23!AE14+MVTDEC23!AE14</f>
        <v>0</v>
      </c>
      <c r="AF14" s="36">
        <f>MVTJANV23!AF14+MVTFEV23!AF14+MVTMARS23!AF14+MVTAVRIL23!AF14+MVTMAI23!AF14+MVTJUIN23!AF14+MVTJUIL23!AF14+MVTAOUT23!AF14+MVTSEPT23!AF14+MVTOCT23!AF14+MVTNOV23!AF14+MVTDEC23!AF14</f>
        <v>0</v>
      </c>
      <c r="AG14" s="36">
        <f>MVTJANV23!AG14+MVTFEV23!AG14+MVTMARS23!AG14+MVTAVRIL23!AG14+MVTMAI23!AG14+MVTJUIN23!AG14+MVTJUIL23!AG14+MVTAOUT23!AG14+MVTSEPT23!AG14+MVTOCT23!AG14+MVTNOV23!AG14+MVTDEC23!AG14</f>
        <v>0</v>
      </c>
      <c r="AH14" s="36">
        <f>MVTJANV23!AH14+MVTFEV23!AH14+MVTMARS23!AH14+MVTAVRIL23!AH14+MVTMAI23!AH14+MVTJUIN23!AH14+MVTJUIL23!AH14+MVTAOUT23!AH14+MVTSEPT23!AH14+MVTOCT23!AH14+MVTNOV23!AH14+MVTDEC23!AH14</f>
        <v>0</v>
      </c>
      <c r="AI14" s="36">
        <f>MVTJANV23!AI14+MVTFEV23!AI14+MVTMARS23!AI14+MVTAVRIL23!AI14+MVTMAI23!AI14+MVTJUIN23!AI14+MVTJUIL23!AI14+MVTAOUT23!AI14+MVTSEPT23!AI14+MVTOCT23!AI14+MVTNOV23!AI14+MVTDEC23!AI14</f>
        <v>0</v>
      </c>
      <c r="AJ14" s="36">
        <f>MVTJANV23!AJ14+MVTFEV23!AJ14+MVTMARS23!AJ14+MVTAVRIL23!AJ14+MVTMAI23!AJ14+MVTJUIN23!AJ14+MVTJUIL23!AJ14+MVTAOUT23!AJ14+MVTSEPT23!AJ14+MVTOCT23!AJ14+MVTNOV23!AJ14+MVTDEC23!AJ14</f>
        <v>0</v>
      </c>
      <c r="AK14" s="98">
        <f t="shared" si="1"/>
        <v>0</v>
      </c>
      <c r="AL14" s="149"/>
      <c r="AM14" s="150">
        <f t="shared" si="0"/>
        <v>0</v>
      </c>
      <c r="AN14" s="150"/>
      <c r="AP14" s="36">
        <f>MVTDEC23!AK14</f>
        <v>100000</v>
      </c>
    </row>
    <row r="15" spans="1:42" ht="14.25" customHeight="1" x14ac:dyDescent="0.3">
      <c r="A15" s="1" t="s">
        <v>28</v>
      </c>
      <c r="B15" s="1" t="str">
        <f>VLOOKUP(A15,[15]LISTADHERENT!A$5:H$60,3,0)</f>
        <v>HENGUE PAUL OMER</v>
      </c>
      <c r="C15" s="36">
        <f>MVTJANV23!C15+MVTFEV23!C15+MVTMARS23!C15+MVTAVRIL23!C15+MVTMAI23!C15+MVTJUIN23!C15+MVTJUIL23!C15+MVTAOUT23!C15+MVTSEPT23!C15+MVTOCT23!C15+MVTNOV23!C15+MVTDEC23!C15</f>
        <v>600000</v>
      </c>
      <c r="D15" s="36">
        <f>MVTJANV23!D15+MVTFEV23!D15+MVTMARS23!D15+MVTAVRIL23!D15+MVTMAI23!D15+MVTJUIN23!D15+MVTJUIL23!D15+MVTAOUT23!D15+MVTSEPT23!D15+MVTOCT23!D15+MVTNOV23!D15+MVTDEC23!D15</f>
        <v>51112</v>
      </c>
      <c r="E15" s="36">
        <f>MVTJANV23!E15+MVTFEV23!E15+MVTMARS23!E15+MVTAVRIL23!E15+MVTMAI23!E15+MVTJUIN23!E15+MVTJUIL23!E15+MVTAOUT23!E15+MVTSEPT23!E15+MVTOCT23!E15+MVTNOV23!E15+MVTDEC23!E15</f>
        <v>0</v>
      </c>
      <c r="F15" s="5">
        <f>MVTFEV23!F15-MVTRESUME23!E15+K15</f>
        <v>818472.00533971633</v>
      </c>
      <c r="G15" s="6">
        <f>MVTDEC22!G15+MVTJANV23!G15+MVTFEV23!G15+MVTMARS23!G15+MVTAVRIL23!G15+MVTMAI23!G15+MVTJUIN23!G15+MVTJUIL23!G15+MVTAOUT23!G15+MVTSEPT23!G15+MVTOCT23!G15+MVTNOV23!G15+MVTDEC23!G15</f>
        <v>56787.603500921949</v>
      </c>
      <c r="H15" s="6">
        <f>MVTFEV23!H15-MVTRESUME23!E15+MVTRESUME23!K15</f>
        <v>819445.48321493552</v>
      </c>
      <c r="I15" s="36">
        <f>MVTJANV23!I15+MVTFEV23!I15+MVTMARS23!I15+MVTAVRIL23!I15+MVTMAI23!I15+MVTJUIN23!I15+MVTJUIL23!I15+MVTAOUT23!I15+MVTSEPT23!I15+MVTOCT23!I15+MVTNOV23!I15+MVTDEC23!I15</f>
        <v>18000</v>
      </c>
      <c r="J15" s="36">
        <f>MVTJANV23!J15+MVTFEV23!J15+MVTMARS23!J15+MVTAVRIL23!J15+MVTMAI23!J15+MVTJUIN23!J15+MVTJUIL23!J15+MVTAOUT23!J15+MVTSEPT23!J15+MVTOCT23!J15+MVTNOV23!J15+MVTDEC23!J15</f>
        <v>180000</v>
      </c>
      <c r="K15" s="36">
        <f>MVTJANV23!K15+MVTFEV23!K15+MVTMARS23!K15+MVTAVRIL23!K15+MVTMAI23!K15+MVTJUIN23!K15+MVTJUIL23!K15+MVTAOUT23!K15+MVTSEPT23!K15+MVTOCT23!K15+MVTNOV23!K15+MVTDEC23!K15</f>
        <v>108000</v>
      </c>
      <c r="L15" s="36">
        <f>MVTJANV23!L15+MVTFEV23!L15+MVTMARS23!L15+MVTAVRIL23!L15+MVTMAI23!L15+MVTJUIN23!L15+MVTJUIL23!L15+MVTAOUT23!L15+MVTSEPT23!L15+MVTOCT23!L15+MVTNOV23!L15+MVTDEC23!L15</f>
        <v>12000</v>
      </c>
      <c r="M15" s="36">
        <f>MVTJANV23!M15+MVTFEV23!M15+MVTMARS23!M15+MVTAVRIL23!M15+MVTMAI23!M15+MVTJUIN23!M15+MVTJUIL23!M15+MVTAOUT23!M15+MVTSEPT23!M15+MVTOCT23!M15+MVTNOV23!M15+MVTDEC23!M15</f>
        <v>12000</v>
      </c>
      <c r="N15" s="36">
        <f>MVTJANV23!N15+MVTFEV23!N15+MVTMARS23!N15+MVTAVRIL23!N15+MVTMAI23!N15+MVTJUIN23!N15+MVTJUIL23!N15+MVTAOUT23!N15+MVTSEPT23!N15+MVTOCT23!N15+MVTNOV23!N15+MVTDEC23!N15</f>
        <v>48000</v>
      </c>
      <c r="O15" s="36">
        <f>MVTJANV23!O15+MVTFEV23!O15+MVTMARS23!O15+MVTAVRIL23!O15+MVTMAI23!O15+MVTJUIN23!O15+MVTJUIL23!O15+MVTAOUT23!O15+MVTSEPT23!O15+MVTOCT23!O15+MVTNOV23!O15+MVTDEC23!O15</f>
        <v>3000</v>
      </c>
      <c r="P15" s="36">
        <f>MVTJANV23!P15+MVTFEV23!P15+MVTMARS23!P15+MVTAVRIL23!P15+MVTMAI23!P15+MVTJUIN23!P15+MVTJUIL23!P15+MVTAOUT23!P15+MVTSEPT23!P15+MVTOCT23!P15+MVTNOV23!P15+MVTDEC23!P15</f>
        <v>0</v>
      </c>
      <c r="Q15" s="36">
        <f>MVTJANV23!Q15+MVTFEV23!Q15+MVTMARS23!Q15+MVTAVRIL23!Q15+MVTMAI23!Q15+MVTJUIN23!Q15+MVTJUIL23!Q15+MVTAOUT23!Q15+MVTSEPT23!Q15+MVTOCT23!Q15+MVTNOV23!Q15+MVTDEC23!Q15</f>
        <v>0</v>
      </c>
      <c r="R15" s="36">
        <f>MVTDEC23!R15</f>
        <v>0</v>
      </c>
      <c r="S15" s="36">
        <f>MVTDEC23!S15</f>
        <v>0</v>
      </c>
      <c r="T15" s="149"/>
      <c r="U15" s="36">
        <f>MVTJANV23!U15+MVTFEV23!U15+MVTMARS23!U15+MVTAVRIL23!U15+MVTMAI23!U15+MVTJUIN23!U15+MVTJUIL23!U15+MVTAOUT23!U15+MVTSEPT23!U15+MVTOCT23!U15+MVTNOV23!U15+MVTDEC23!U15</f>
        <v>0</v>
      </c>
      <c r="V15" s="36"/>
      <c r="W15" s="36"/>
      <c r="X15" s="36">
        <f>MVTJANV23!X15+MVTFEV23!X15+MVTMARS23!X15+MVTAVRIL23!X15+MVTMAI23!X15+MVTJUIN23!X15+MVTJUIL23!X15+MVTAOUT23!X15+MVTSEPT23!X15+MVTOCT23!X15+MVTNOV23!X15+MVTDEC23!X15</f>
        <v>0</v>
      </c>
      <c r="Y15" s="36">
        <f>MVTJANV23!Y15+MVTFEV23!Y15+MVTMARS23!Y15+MVTAVRIL23!Y15+MVTMAI23!Y15+MVTJUIN23!Y15+MVTJUIL23!Y15+MVTAOUT23!Y15+MVTSEPT23!Y15+MVTOCT23!Y15+MVTNOV23!Y15+MVTDEC23!Y15</f>
        <v>0</v>
      </c>
      <c r="Z15" s="36">
        <f>MVTJANV23!Z15+MVTFEV23!Z15+MVTMARS23!Z15+MVTAVRIL23!Z15+MVTMAI23!Z15+MVTJUIN23!Z15+MVTJUIL23!Z15+MVTAOUT23!Z15+MVTSEPT23!Z15+MVTOCT23!Z15+MVTNOV23!Z15+MVTDEC23!Z15</f>
        <v>0</v>
      </c>
      <c r="AA15" s="36">
        <f>MVTJANV23!AA15+MVTFEV23!AA15+MVTMARS23!AA15+MVTAVRIL23!AA15+MVTMAI23!AA15+MVTJUIN23!AA15+MVTJUIL23!AA15+MVTAOUT23!AA15+MVTSEPT23!AA15+MVTOCT23!AA15+MVTNOV23!AA15+MVTDEC23!AA15</f>
        <v>0</v>
      </c>
      <c r="AB15" s="36">
        <f>MVTJANV23!AB15+MVTFEV23!AB15+MVTMARS23!AB15+MVTAVRIL23!AB15+MVTMAI23!AB15+MVTJUIN23!AB15+MVTJUIL23!AB15+MVTAOUT23!AB15+MVTSEPT23!AB15+MVTOCT23!AB15+MVTNOV23!AB15+MVTDEC23!AB15</f>
        <v>0</v>
      </c>
      <c r="AC15" s="36">
        <f>MVTJANV23!AC15+MVTFEV23!AC15+MVTMARS23!AC15+MVTAVRIL23!AC15+MVTMAI23!AC15+MVTJUIN23!AC15+MVTJUIL23!AC15+MVTAOUT23!AC15+MVTSEPT23!AC15+MVTOCT23!AC15+MVTNOV23!AC15+MVTDEC23!AC15</f>
        <v>0</v>
      </c>
      <c r="AD15" s="36">
        <f>MVTJANV23!AD15+MVTFEV23!AD15+MVTMARS23!AD15+MVTAVRIL23!AD15+MVTMAI23!AD15+MVTJUIN23!AD15+MVTJUIL23!AD15+MVTAOUT23!AD15+MVTSEPT23!AD15+MVTOCT23!AD15+MVTNOV23!AD15+MVTDEC23!AD15</f>
        <v>70000</v>
      </c>
      <c r="AE15" s="36">
        <f>MVTJANV23!AE15+MVTFEV23!AE15+MVTMARS23!AE15+MVTAVRIL23!AE15+MVTMAI23!AE15+MVTJUIN23!AE15+MVTJUIL23!AE15+MVTAOUT23!AE15+MVTSEPT23!AE15+MVTOCT23!AE15+MVTNOV23!AE15+MVTDEC23!AE15</f>
        <v>0</v>
      </c>
      <c r="AF15" s="36">
        <f>MVTJANV23!AF15+MVTFEV23!AF15+MVTMARS23!AF15+MVTAVRIL23!AF15+MVTMAI23!AF15+MVTJUIN23!AF15+MVTJUIL23!AF15+MVTAOUT23!AF15+MVTSEPT23!AF15+MVTOCT23!AF15+MVTNOV23!AF15+MVTDEC23!AF15</f>
        <v>0</v>
      </c>
      <c r="AG15" s="36">
        <f>MVTJANV23!AG15+MVTFEV23!AG15+MVTMARS23!AG15+MVTAVRIL23!AG15+MVTMAI23!AG15+MVTJUIN23!AG15+MVTJUIL23!AG15+MVTAOUT23!AG15+MVTSEPT23!AG15+MVTOCT23!AG15+MVTNOV23!AG15+MVTDEC23!AG15</f>
        <v>0</v>
      </c>
      <c r="AH15" s="36">
        <f>MVTJANV23!AH15+MVTFEV23!AH15+MVTMARS23!AH15+MVTAVRIL23!AH15+MVTMAI23!AH15+MVTJUIN23!AH15+MVTJUIL23!AH15+MVTAOUT23!AH15+MVTSEPT23!AH15+MVTOCT23!AH15+MVTNOV23!AH15+MVTDEC23!AH15</f>
        <v>0</v>
      </c>
      <c r="AI15" s="36">
        <f>MVTJANV23!AI15+MVTFEV23!AI15+MVTMARS23!AI15+MVTAVRIL23!AI15+MVTMAI23!AI15+MVTJUIN23!AI15+MVTJUIL23!AI15+MVTAOUT23!AI15+MVTSEPT23!AI15+MVTOCT23!AI15+MVTNOV23!AI15+MVTDEC23!AI15</f>
        <v>0</v>
      </c>
      <c r="AJ15" s="36">
        <f>MVTJANV23!AJ15+MVTFEV23!AJ15+MVTMARS23!AJ15+MVTAVRIL23!AJ15+MVTMAI23!AJ15+MVTJUIN23!AJ15+MVTJUIL23!AJ15+MVTAOUT23!AJ15+MVTSEPT23!AJ15+MVTOCT23!AJ15+MVTNOV23!AJ15+MVTDEC23!AJ15</f>
        <v>0</v>
      </c>
      <c r="AK15" s="98">
        <f t="shared" si="1"/>
        <v>0</v>
      </c>
      <c r="AL15" s="149"/>
      <c r="AM15" s="150">
        <f t="shared" si="0"/>
        <v>0</v>
      </c>
      <c r="AN15" s="150"/>
      <c r="AP15" s="36">
        <f>MVTDEC23!AK15</f>
        <v>100000</v>
      </c>
    </row>
    <row r="16" spans="1:42" ht="18.75" x14ac:dyDescent="0.3">
      <c r="A16" s="1" t="s">
        <v>29</v>
      </c>
      <c r="B16" s="1" t="str">
        <f>VLOOKUP(A16,[15]LISTADHERENT!A$5:H$60,3,0)</f>
        <v>HOTCHO BENJAMIN</v>
      </c>
      <c r="C16" s="36">
        <f>MVTJANV23!C16+MVTFEV23!C16+MVTMARS23!C16+MVTAVRIL23!C16+MVTMAI23!C16+MVTJUIN23!C16+MVTJUIL23!C16+MVTAOUT23!C16+MVTSEPT23!C16+MVTOCT23!C16+MVTNOV23!C16+MVTDEC23!C16</f>
        <v>600000</v>
      </c>
      <c r="D16" s="36">
        <f>MVTJANV23!D16+MVTFEV23!D16+MVTMARS23!D16+MVTAVRIL23!D16+MVTMAI23!D16+MVTJUIN23!D16+MVTJUIL23!D16+MVTAOUT23!D16+MVTSEPT23!D16+MVTOCT23!D16+MVTNOV23!D16+MVTDEC23!D16</f>
        <v>16230</v>
      </c>
      <c r="E16" s="36">
        <f>MVTJANV23!E16+MVTFEV23!E16+MVTMARS23!E16+MVTAVRIL23!E16+MVTMAI23!E16+MVTJUIN23!E16+MVTJUIL23!E16+MVTAOUT23!E16+MVTSEPT23!E16+MVTOCT23!E16+MVTNOV23!E16+MVTDEC23!E16</f>
        <v>0</v>
      </c>
      <c r="F16" s="5">
        <f>MVTFEV23!F16-MVTRESUME23!E16+K16</f>
        <v>1251373.7556104097</v>
      </c>
      <c r="G16" s="6">
        <f>MVTDEC22!G16+MVTJANV23!G16+MVTFEV23!G16+MVTMARS23!G16+MVTAVRIL23!G16+MVTMAI23!G16+MVTJUIN23!G16+MVTJUIL23!G16+MVTAOUT23!G16+MVTSEPT23!G16+MVTOCT23!G16+MVTNOV23!G16+MVTDEC23!G16</f>
        <v>57431.20810410157</v>
      </c>
      <c r="H16" s="6">
        <f>MVTFEV23!H16-MVTRESUME23!E16+MVTRESUME23!K16</f>
        <v>1252392.3149606255</v>
      </c>
      <c r="I16" s="36">
        <f>MVTJANV23!I16+MVTFEV23!I16+MVTMARS23!I16+MVTAVRIL23!I16+MVTMAI23!I16+MVTJUIN23!I16+MVTJUIL23!I16+MVTAOUT23!I16+MVTSEPT23!I16+MVTOCT23!I16+MVTNOV23!I16+MVTDEC23!I16</f>
        <v>12000</v>
      </c>
      <c r="J16" s="36">
        <f>MVTJANV23!J16+MVTFEV23!J16+MVTMARS23!J16+MVTAVRIL23!J16+MVTMAI23!J16+MVTJUIN23!J16+MVTJUIL23!J16+MVTAOUT23!J16+MVTSEPT23!J16+MVTOCT23!J16+MVTNOV23!J16+MVTDEC23!J16</f>
        <v>580000</v>
      </c>
      <c r="K16" s="36">
        <f>MVTJANV23!K16+MVTFEV23!K16+MVTMARS23!K16+MVTAVRIL23!K16+MVTMAI23!K16+MVTJUIN23!K16+MVTJUIL23!K16+MVTAOUT23!K16+MVTSEPT23!K16+MVTOCT23!K16+MVTNOV23!K16+MVTDEC23!K16</f>
        <v>508000</v>
      </c>
      <c r="L16" s="36">
        <f>MVTJANV23!L16+MVTFEV23!L16+MVTMARS23!L16+MVTAVRIL23!L16+MVTMAI23!L16+MVTJUIN23!L16+MVTJUIL23!L16+MVTAOUT23!L16+MVTSEPT23!L16+MVTOCT23!L16+MVTNOV23!L16+MVTDEC23!L16</f>
        <v>12000</v>
      </c>
      <c r="M16" s="36">
        <f>MVTJANV23!M16+MVTFEV23!M16+MVTMARS23!M16+MVTAVRIL23!M16+MVTMAI23!M16+MVTJUIN23!M16+MVTJUIL23!M16+MVTAOUT23!M16+MVTSEPT23!M16+MVTOCT23!M16+MVTNOV23!M16+MVTDEC23!M16</f>
        <v>12000</v>
      </c>
      <c r="N16" s="36">
        <f>MVTJANV23!N16+MVTFEV23!N16+MVTMARS23!N16+MVTAVRIL23!N16+MVTMAI23!N16+MVTJUIN23!N16+MVTJUIL23!N16+MVTAOUT23!N16+MVTSEPT23!N16+MVTOCT23!N16+MVTNOV23!N16+MVTDEC23!N16</f>
        <v>48000</v>
      </c>
      <c r="O16" s="36">
        <f>MVTJANV23!O16+MVTFEV23!O16+MVTMARS23!O16+MVTAVRIL23!O16+MVTMAI23!O16+MVTJUIN23!O16+MVTJUIL23!O16+MVTAOUT23!O16+MVTSEPT23!O16+MVTOCT23!O16+MVTNOV23!O16+MVTDEC23!O16</f>
        <v>0</v>
      </c>
      <c r="P16" s="36">
        <f>MVTJANV23!P16+MVTFEV23!P16+MVTMARS23!P16+MVTAVRIL23!P16+MVTMAI23!P16+MVTJUIN23!P16+MVTJUIL23!P16+MVTAOUT23!P16+MVTSEPT23!P16+MVTOCT23!P16+MVTNOV23!P16+MVTDEC23!P16</f>
        <v>0</v>
      </c>
      <c r="Q16" s="36">
        <f>MVTJANV23!Q16+MVTFEV23!Q16+MVTMARS23!Q16+MVTAVRIL23!Q16+MVTMAI23!Q16+MVTJUIN23!Q16+MVTJUIL23!Q16+MVTAOUT23!Q16+MVTSEPT23!Q16+MVTOCT23!Q16+MVTNOV23!Q16+MVTDEC23!Q16</f>
        <v>0</v>
      </c>
      <c r="R16" s="36">
        <f>MVTDEC23!R16</f>
        <v>363500</v>
      </c>
      <c r="S16" s="36">
        <f>MVTDEC23!S16</f>
        <v>0</v>
      </c>
      <c r="T16" s="149">
        <v>45627</v>
      </c>
      <c r="U16" s="36">
        <f>MVTJANV23!U16+MVTFEV23!U16+MVTMARS23!U16+MVTAVRIL23!U16+MVTMAI23!U16+MVTJUIN23!U16+MVTJUIL23!U16+MVTAOUT23!U16+MVTSEPT23!U16+MVTOCT23!U16+MVTNOV23!U16+MVTDEC23!U16</f>
        <v>1500000</v>
      </c>
      <c r="V16" s="36"/>
      <c r="W16" s="36"/>
      <c r="X16" s="36">
        <f>MVTJANV23!X16+MVTFEV23!X16+MVTMARS23!X16+MVTAVRIL23!X16+MVTMAI23!X16+MVTJUIN23!X16+MVTJUIL23!X16+MVTAOUT23!X16+MVTSEPT23!X16+MVTOCT23!X16+MVTNOV23!X16+MVTDEC23!X16</f>
        <v>0</v>
      </c>
      <c r="Y16" s="36">
        <f>MVTJANV23!Y16+MVTFEV23!Y16+MVTMARS23!Y16+MVTAVRIL23!Y16+MVTMAI23!Y16+MVTJUIN23!Y16+MVTJUIL23!Y16+MVTAOUT23!Y16+MVTSEPT23!Y16+MVTOCT23!Y16+MVTNOV23!Y16+MVTDEC23!Y16</f>
        <v>0</v>
      </c>
      <c r="Z16" s="36">
        <f>MVTJANV23!Z16+MVTFEV23!Z16+MVTMARS23!Z16+MVTAVRIL23!Z16+MVTMAI23!Z16+MVTJUIN23!Z16+MVTJUIL23!Z16+MVTAOUT23!Z16+MVTSEPT23!Z16+MVTOCT23!Z16+MVTNOV23!Z16+MVTDEC23!Z16</f>
        <v>0</v>
      </c>
      <c r="AA16" s="36">
        <f>MVTJANV23!AA16+MVTFEV23!AA16+MVTMARS23!AA16+MVTAVRIL23!AA16+MVTMAI23!AA16+MVTJUIN23!AA16+MVTJUIL23!AA16+MVTAOUT23!AA16+MVTSEPT23!AA16+MVTOCT23!AA16+MVTNOV23!AA16+MVTDEC23!AA16</f>
        <v>0</v>
      </c>
      <c r="AB16" s="36">
        <f>MVTJANV23!AB16+MVTFEV23!AB16+MVTMARS23!AB16+MVTAVRIL23!AB16+MVTMAI23!AB16+MVTJUIN23!AB16+MVTJUIL23!AB16+MVTAOUT23!AB16+MVTSEPT23!AB16+MVTOCT23!AB16+MVTNOV23!AB16+MVTDEC23!AB16</f>
        <v>0</v>
      </c>
      <c r="AC16" s="36">
        <f>MVTJANV23!AC16+MVTFEV23!AC16+MVTMARS23!AC16+MVTAVRIL23!AC16+MVTMAI23!AC16+MVTJUIN23!AC16+MVTJUIL23!AC16+MVTAOUT23!AC16+MVTSEPT23!AC16+MVTOCT23!AC16+MVTNOV23!AC16+MVTDEC23!AC16</f>
        <v>0</v>
      </c>
      <c r="AD16" s="36">
        <f>MVTJANV23!AD16+MVTFEV23!AD16+MVTMARS23!AD16+MVTAVRIL23!AD16+MVTMAI23!AD16+MVTJUIN23!AD16+MVTJUIL23!AD16+MVTAOUT23!AD16+MVTSEPT23!AD16+MVTOCT23!AD16+MVTNOV23!AD16+MVTDEC23!AD16</f>
        <v>70000</v>
      </c>
      <c r="AE16" s="36">
        <f>MVTJANV23!AE16+MVTFEV23!AE16+MVTMARS23!AE16+MVTAVRIL23!AE16+MVTMAI23!AE16+MVTJUIN23!AE16+MVTJUIL23!AE16+MVTAOUT23!AE16+MVTSEPT23!AE16+MVTOCT23!AE16+MVTNOV23!AE16+MVTDEC23!AE16</f>
        <v>0</v>
      </c>
      <c r="AF16" s="36">
        <f>MVTJANV23!AF16+MVTFEV23!AF16+MVTMARS23!AF16+MVTAVRIL23!AF16+MVTMAI23!AF16+MVTJUIN23!AF16+MVTJUIL23!AF16+MVTAOUT23!AF16+MVTSEPT23!AF16+MVTOCT23!AF16+MVTNOV23!AF16+MVTDEC23!AF16</f>
        <v>0</v>
      </c>
      <c r="AG16" s="36">
        <f>MVTJANV23!AG16+MVTFEV23!AG16+MVTMARS23!AG16+MVTAVRIL23!AG16+MVTMAI23!AG16+MVTJUIN23!AG16+MVTJUIL23!AG16+MVTAOUT23!AG16+MVTSEPT23!AG16+MVTOCT23!AG16+MVTNOV23!AG16+MVTDEC23!AG16</f>
        <v>0</v>
      </c>
      <c r="AH16" s="36">
        <f>MVTJANV23!AH16+MVTFEV23!AH16+MVTMARS23!AH16+MVTAVRIL23!AH16+MVTMAI23!AH16+MVTJUIN23!AH16+MVTJUIL23!AH16+MVTAOUT23!AH16+MVTSEPT23!AH16+MVTOCT23!AH16+MVTNOV23!AH16+MVTDEC23!AH16</f>
        <v>0</v>
      </c>
      <c r="AI16" s="36">
        <f>MVTJANV23!AI16+MVTFEV23!AI16+MVTMARS23!AI16+MVTAVRIL23!AI16+MVTMAI23!AI16+MVTJUIN23!AI16+MVTJUIL23!AI16+MVTAOUT23!AI16+MVTSEPT23!AI16+MVTOCT23!AI16+MVTNOV23!AI16+MVTDEC23!AI16</f>
        <v>0</v>
      </c>
      <c r="AJ16" s="36">
        <f>MVTJANV23!AJ16+MVTFEV23!AJ16+MVTMARS23!AJ16+MVTAVRIL23!AJ16+MVTMAI23!AJ16+MVTJUIN23!AJ16+MVTJUIL23!AJ16+MVTAOUT23!AJ16+MVTSEPT23!AJ16+MVTOCT23!AJ16+MVTNOV23!AJ16+MVTDEC23!AJ16</f>
        <v>0</v>
      </c>
      <c r="AK16" s="98">
        <f>R16-U16</f>
        <v>-1136500</v>
      </c>
      <c r="AL16" s="149">
        <v>45261</v>
      </c>
      <c r="AM16" s="150">
        <f t="shared" si="0"/>
        <v>0</v>
      </c>
      <c r="AN16" s="150"/>
      <c r="AP16" s="36">
        <f>MVTDEC23!AK16</f>
        <v>100000</v>
      </c>
    </row>
    <row r="17" spans="1:42" ht="18.75" x14ac:dyDescent="0.3">
      <c r="A17" s="1" t="s">
        <v>33</v>
      </c>
      <c r="B17" s="1" t="str">
        <f>VLOOKUP(A17,[15]LISTADHERENT!A$5:H$60,3,0)</f>
        <v>KOUAMOU MOISE</v>
      </c>
      <c r="C17" s="36">
        <f>MVTJANV23!C17+MVTFEV23!C17+MVTMARS23!C17+MVTAVRIL23!C17+MVTMAI23!C17+MVTJUIN23!C17+MVTJUIL23!C17+MVTAOUT23!C17+MVTSEPT23!C17+MVTOCT23!C17+MVTNOV23!C17+MVTDEC23!C17</f>
        <v>600000</v>
      </c>
      <c r="D17" s="36">
        <f>MVTJANV23!D17+MVTFEV23!D17+MVTMARS23!D17+MVTAVRIL23!D17+MVTMAI23!D17+MVTJUIN23!D17+MVTJUIL23!D17+MVTAOUT23!D17+MVTSEPT23!D17+MVTOCT23!D17+MVTNOV23!D17+MVTDEC23!D17</f>
        <v>53293</v>
      </c>
      <c r="E17" s="36">
        <f>MVTJANV23!E17+MVTFEV23!E17+MVTMARS23!E17+MVTAVRIL23!E17+MVTMAI23!E17+MVTJUIN23!E17+MVTJUIL23!E17+MVTAOUT23!E17+MVTSEPT23!E17+MVTOCT23!E17+MVTNOV23!E17+MVTDEC23!E17</f>
        <v>0</v>
      </c>
      <c r="F17" s="5">
        <f>MVTFEV23!F17-MVTRESUME23!E17+K17</f>
        <v>820791.35743165971</v>
      </c>
      <c r="G17" s="6">
        <f>MVTDEC22!G17+MVTJANV23!G17+MVTFEV23!G17+MVTMARS23!G17+MVTAVRIL23!G17+MVTMAI23!G17+MVTJUIN23!G17+MVTJUIL23!G17+MVTAOUT23!G17+MVTSEPT23!G17+MVTOCT23!G17+MVTNOV23!G17+MVTDEC23!G17</f>
        <v>56974.505152878948</v>
      </c>
      <c r="H17" s="6">
        <f>MVTFEV23!H17-MVTRESUME23!E17+MVTRESUME23!K17</f>
        <v>821768.01324764139</v>
      </c>
      <c r="I17" s="36">
        <f>MVTJANV23!I17+MVTFEV23!I17+MVTMARS23!I17+MVTAVRIL23!I17+MVTMAI23!I17+MVTJUIN23!I17+MVTJUIL23!I17+MVTAOUT23!I17+MVTSEPT23!I17+MVTOCT23!I17+MVTNOV23!I17+MVTDEC23!I17</f>
        <v>9000</v>
      </c>
      <c r="J17" s="36">
        <f>MVTJANV23!J17+MVTFEV23!J17+MVTMARS23!J17+MVTAVRIL23!J17+MVTMAI23!J17+MVTJUIN23!J17+MVTJUIL23!J17+MVTAOUT23!J17+MVTSEPT23!J17+MVTOCT23!J17+MVTNOV23!J17+MVTDEC23!J17</f>
        <v>180000</v>
      </c>
      <c r="K17" s="36">
        <f>MVTJANV23!K17+MVTFEV23!K17+MVTMARS23!K17+MVTAVRIL23!K17+MVTMAI23!K17+MVTJUIN23!K17+MVTJUIL23!K17+MVTAOUT23!K17+MVTSEPT23!K17+MVTOCT23!K17+MVTNOV23!K17+MVTDEC23!K17</f>
        <v>108000</v>
      </c>
      <c r="L17" s="36">
        <f>MVTJANV23!L17+MVTFEV23!L17+MVTMARS23!L17+MVTAVRIL23!L17+MVTMAI23!L17+MVTJUIN23!L17+MVTJUIL23!L17+MVTAOUT23!L17+MVTSEPT23!L17+MVTOCT23!L17+MVTNOV23!L17+MVTDEC23!L17</f>
        <v>12000</v>
      </c>
      <c r="M17" s="36">
        <f>MVTJANV23!M17+MVTFEV23!M17+MVTMARS23!M17+MVTAVRIL23!M17+MVTMAI23!M17+MVTJUIN23!M17+MVTJUIL23!M17+MVTAOUT23!M17+MVTSEPT23!M17+MVTOCT23!M17+MVTNOV23!M17+MVTDEC23!M17</f>
        <v>12000</v>
      </c>
      <c r="N17" s="36">
        <f>MVTJANV23!N17+MVTFEV23!N17+MVTMARS23!N17+MVTAVRIL23!N17+MVTMAI23!N17+MVTJUIN23!N17+MVTJUIL23!N17+MVTAOUT23!N17+MVTSEPT23!N17+MVTOCT23!N17+MVTNOV23!N17+MVTDEC23!N17</f>
        <v>48000</v>
      </c>
      <c r="O17" s="36">
        <f>MVTJANV23!O17+MVTFEV23!O17+MVTMARS23!O17+MVTAVRIL23!O17+MVTMAI23!O17+MVTJUIN23!O17+MVTJUIL23!O17+MVTAOUT23!O17+MVTSEPT23!O17+MVTOCT23!O17+MVTNOV23!O17+MVTDEC23!O17</f>
        <v>0</v>
      </c>
      <c r="P17" s="36">
        <f>MVTJANV23!P17+MVTFEV23!P17+MVTMARS23!P17+MVTAVRIL23!P17+MVTMAI23!P17+MVTJUIN23!P17+MVTJUIL23!P17+MVTAOUT23!P17+MVTSEPT23!P17+MVTOCT23!P17+MVTNOV23!P17+MVTDEC23!P17</f>
        <v>0</v>
      </c>
      <c r="Q17" s="36">
        <f>MVTJANV23!Q17+MVTFEV23!Q17+MVTMARS23!Q17+MVTAVRIL23!Q17+MVTMAI23!Q17+MVTJUIN23!Q17+MVTJUIL23!Q17+MVTAOUT23!Q17+MVTSEPT23!Q17+MVTOCT23!Q17+MVTNOV23!Q17+MVTDEC23!Q17</f>
        <v>0</v>
      </c>
      <c r="R17" s="36">
        <f>MVTDEC23!R17</f>
        <v>0</v>
      </c>
      <c r="S17" s="36">
        <f>MVTDEC23!S17</f>
        <v>0</v>
      </c>
      <c r="T17" s="149"/>
      <c r="U17" s="36">
        <f>MVTJANV23!U17+MVTFEV23!U17+MVTMARS23!U17+MVTAVRIL23!U17+MVTMAI23!U17+MVTJUIN23!U17+MVTJUIL23!U17+MVTAOUT23!U17+MVTSEPT23!U17+MVTOCT23!U17+MVTNOV23!U17+MVTDEC23!U17</f>
        <v>1000000</v>
      </c>
      <c r="V17" s="36"/>
      <c r="W17" s="36"/>
      <c r="X17" s="36">
        <f>MVTJANV23!X17+MVTFEV23!X17+MVTMARS23!X17+MVTAVRIL23!X17+MVTMAI23!X17+MVTJUIN23!X17+MVTJUIL23!X17+MVTAOUT23!X17+MVTSEPT23!X17+MVTOCT23!X17+MVTNOV23!X17+MVTDEC23!X17</f>
        <v>0</v>
      </c>
      <c r="Y17" s="36">
        <f>MVTJANV23!Y17+MVTFEV23!Y17+MVTMARS23!Y17+MVTAVRIL23!Y17+MVTMAI23!Y17+MVTJUIN23!Y17+MVTJUIL23!Y17+MVTAOUT23!Y17+MVTSEPT23!Y17+MVTOCT23!Y17+MVTNOV23!Y17+MVTDEC23!Y17</f>
        <v>0</v>
      </c>
      <c r="Z17" s="36">
        <f>MVTJANV23!Z17+MVTFEV23!Z17+MVTMARS23!Z17+MVTAVRIL23!Z17+MVTMAI23!Z17+MVTJUIN23!Z17+MVTJUIL23!Z17+MVTAOUT23!Z17+MVTSEPT23!Z17+MVTOCT23!Z17+MVTNOV23!Z17+MVTDEC23!Z17</f>
        <v>0</v>
      </c>
      <c r="AA17" s="36">
        <f>MVTJANV23!AA17+MVTFEV23!AA17+MVTMARS23!AA17+MVTAVRIL23!AA17+MVTMAI23!AA17+MVTJUIN23!AA17+MVTJUIL23!AA17+MVTAOUT23!AA17+MVTSEPT23!AA17+MVTOCT23!AA17+MVTNOV23!AA17+MVTDEC23!AA17</f>
        <v>0</v>
      </c>
      <c r="AB17" s="36">
        <f>MVTJANV23!AB17+MVTFEV23!AB17+MVTMARS23!AB17+MVTAVRIL23!AB17+MVTMAI23!AB17+MVTJUIN23!AB17+MVTJUIL23!AB17+MVTAOUT23!AB17+MVTSEPT23!AB17+MVTOCT23!AB17+MVTNOV23!AB17+MVTDEC23!AB17</f>
        <v>0</v>
      </c>
      <c r="AC17" s="36">
        <f>MVTJANV23!AC17+MVTFEV23!AC17+MVTMARS23!AC17+MVTAVRIL23!AC17+MVTMAI23!AC17+MVTJUIN23!AC17+MVTJUIL23!AC17+MVTAOUT23!AC17+MVTSEPT23!AC17+MVTOCT23!AC17+MVTNOV23!AC17+MVTDEC23!AC17</f>
        <v>0</v>
      </c>
      <c r="AD17" s="36">
        <f>MVTJANV23!AD17+MVTFEV23!AD17+MVTMARS23!AD17+MVTAVRIL23!AD17+MVTMAI23!AD17+MVTJUIN23!AD17+MVTJUIL23!AD17+MVTAOUT23!AD17+MVTSEPT23!AD17+MVTOCT23!AD17+MVTNOV23!AD17+MVTDEC23!AD17</f>
        <v>70000</v>
      </c>
      <c r="AE17" s="36">
        <f>MVTJANV23!AE17+MVTFEV23!AE17+MVTMARS23!AE17+MVTAVRIL23!AE17+MVTMAI23!AE17+MVTJUIN23!AE17+MVTJUIL23!AE17+MVTAOUT23!AE17+MVTSEPT23!AE17+MVTOCT23!AE17+MVTNOV23!AE17+MVTDEC23!AE17</f>
        <v>0</v>
      </c>
      <c r="AF17" s="36">
        <f>MVTJANV23!AF17+MVTFEV23!AF17+MVTMARS23!AF17+MVTAVRIL23!AF17+MVTMAI23!AF17+MVTJUIN23!AF17+MVTJUIL23!AF17+MVTAOUT23!AF17+MVTSEPT23!AF17+MVTOCT23!AF17+MVTNOV23!AF17+MVTDEC23!AF17</f>
        <v>0</v>
      </c>
      <c r="AG17" s="36">
        <f>MVTJANV23!AG17+MVTFEV23!AG17+MVTMARS23!AG17+MVTAVRIL23!AG17+MVTMAI23!AG17+MVTJUIN23!AG17+MVTJUIL23!AG17+MVTAOUT23!AG17+MVTSEPT23!AG17+MVTOCT23!AG17+MVTNOV23!AG17+MVTDEC23!AG17</f>
        <v>0</v>
      </c>
      <c r="AH17" s="36">
        <f>MVTJANV23!AH17+MVTFEV23!AH17+MVTMARS23!AH17+MVTAVRIL23!AH17+MVTMAI23!AH17+MVTJUIN23!AH17+MVTJUIL23!AH17+MVTAOUT23!AH17+MVTSEPT23!AH17+MVTOCT23!AH17+MVTNOV23!AH17+MVTDEC23!AH17</f>
        <v>0</v>
      </c>
      <c r="AI17" s="36">
        <f>MVTJANV23!AI17+MVTFEV23!AI17+MVTMARS23!AI17+MVTAVRIL23!AI17+MVTMAI23!AI17+MVTJUIN23!AI17+MVTJUIL23!AI17+MVTAOUT23!AI17+MVTSEPT23!AI17+MVTOCT23!AI17+MVTNOV23!AI17+MVTDEC23!AI17</f>
        <v>0</v>
      </c>
      <c r="AJ17" s="36">
        <f>MVTJANV23!AJ17+MVTFEV23!AJ17+MVTMARS23!AJ17+MVTAVRIL23!AJ17+MVTMAI23!AJ17+MVTJUIN23!AJ17+MVTJUIL23!AJ17+MVTAOUT23!AJ17+MVTSEPT23!AJ17+MVTOCT23!AJ17+MVTNOV23!AJ17+MVTDEC23!AJ17</f>
        <v>0</v>
      </c>
      <c r="AK17" s="98">
        <f t="shared" si="1"/>
        <v>-1000000</v>
      </c>
      <c r="AL17" s="149">
        <v>45261</v>
      </c>
      <c r="AM17" s="150">
        <f t="shared" si="0"/>
        <v>0</v>
      </c>
      <c r="AN17" s="150"/>
      <c r="AP17" s="36">
        <f>MVTDEC23!AK17</f>
        <v>100000</v>
      </c>
    </row>
    <row r="18" spans="1:42" ht="18.75" x14ac:dyDescent="0.3">
      <c r="A18" s="1" t="s">
        <v>35</v>
      </c>
      <c r="B18" s="1" t="str">
        <f>VLOOKUP(A18,[15]LISTADHERENT!A$5:H$60,3,0)</f>
        <v>KOUATCHO MESSACK</v>
      </c>
      <c r="C18" s="36">
        <f>MVTJANV23!C18+MVTFEV23!C18+MVTMARS23!C18+MVTAVRIL23!C18+MVTMAI23!C18+MVTJUIN23!C18+MVTJUIL23!C18+MVTAOUT23!C18+MVTSEPT23!C18+MVTOCT23!C18+MVTNOV23!C18+MVTDEC23!C18</f>
        <v>600000</v>
      </c>
      <c r="D18" s="36">
        <f>MVTJANV23!D18+MVTFEV23!D18+MVTMARS23!D18+MVTAVRIL23!D18+MVTMAI23!D18+MVTJUIN23!D18+MVTJUIL23!D18+MVTAOUT23!D18+MVTSEPT23!D18+MVTOCT23!D18+MVTNOV23!D18+MVTDEC23!D18</f>
        <v>6459</v>
      </c>
      <c r="E18" s="36">
        <f>MVTJANV23!E18+MVTFEV23!E18+MVTMARS23!E18+MVTAVRIL23!E18+MVTMAI23!E18+MVTJUIN23!E18+MVTJUIL23!E18+MVTAOUT23!E18+MVTSEPT23!E18+MVTOCT23!E18+MVTNOV23!E18+MVTDEC23!E18</f>
        <v>0</v>
      </c>
      <c r="F18" s="5">
        <f>MVTFEV23!F18-MVTRESUME23!E18+K18</f>
        <v>770982.58845261845</v>
      </c>
      <c r="G18" s="6">
        <f>MVTDEC22!G18+MVTJANV23!G18+MVTFEV23!G18+MVTMARS23!G18+MVTAVRIL23!G18+MVTMAI23!G18+MVTJUIN23!G18+MVTJUIL23!G18+MVTAOUT23!G18+MVTSEPT23!G18+MVTOCT23!G18+MVTNOV23!G18+MVTDEC23!G18</f>
        <v>52969.628065245146</v>
      </c>
      <c r="H18" s="6">
        <f>MVTFEV23!H18-MVTRESUME23!E18+MVTRESUME23!K18</f>
        <v>771890.99705515814</v>
      </c>
      <c r="I18" s="36">
        <f>MVTJANV23!I18+MVTFEV23!I18+MVTMARS23!I18+MVTAVRIL23!I18+MVTMAI23!I18+MVTJUIN23!I18+MVTJUIL23!I18+MVTAOUT23!I18+MVTSEPT23!I18+MVTOCT23!I18+MVTNOV23!I18+MVTDEC23!I18</f>
        <v>3000</v>
      </c>
      <c r="J18" s="36">
        <f>MVTJANV23!J18+MVTFEV23!J18+MVTMARS23!J18+MVTAVRIL23!J18+MVTMAI23!J18+MVTJUIN23!J18+MVTJUIL23!J18+MVTAOUT23!J18+MVTSEPT23!J18+MVTOCT23!J18+MVTNOV23!J18+MVTDEC23!J18</f>
        <v>180000</v>
      </c>
      <c r="K18" s="36">
        <f>MVTJANV23!K18+MVTFEV23!K18+MVTMARS23!K18+MVTAVRIL23!K18+MVTMAI23!K18+MVTJUIN23!K18+MVTJUIL23!K18+MVTAOUT23!K18+MVTSEPT23!K18+MVTOCT23!K18+MVTNOV23!K18+MVTDEC23!K18</f>
        <v>108000</v>
      </c>
      <c r="L18" s="36">
        <f>MVTJANV23!L18+MVTFEV23!L18+MVTMARS23!L18+MVTAVRIL23!L18+MVTMAI23!L18+MVTJUIN23!L18+MVTJUIL23!L18+MVTAOUT23!L18+MVTSEPT23!L18+MVTOCT23!L18+MVTNOV23!L18+MVTDEC23!L18</f>
        <v>12000</v>
      </c>
      <c r="M18" s="36">
        <f>MVTJANV23!M18+MVTFEV23!M18+MVTMARS23!M18+MVTAVRIL23!M18+MVTMAI23!M18+MVTJUIN23!M18+MVTJUIL23!M18+MVTAOUT23!M18+MVTSEPT23!M18+MVTOCT23!M18+MVTNOV23!M18+MVTDEC23!M18</f>
        <v>12000</v>
      </c>
      <c r="N18" s="36">
        <f>MVTJANV23!N18+MVTFEV23!N18+MVTMARS23!N18+MVTAVRIL23!N18+MVTMAI23!N18+MVTJUIN23!N18+MVTJUIL23!N18+MVTAOUT23!N18+MVTSEPT23!N18+MVTOCT23!N18+MVTNOV23!N18+MVTDEC23!N18</f>
        <v>48000</v>
      </c>
      <c r="O18" s="36">
        <f>MVTJANV23!O18+MVTFEV23!O18+MVTMARS23!O18+MVTAVRIL23!O18+MVTMAI23!O18+MVTJUIN23!O18+MVTJUIL23!O18+MVTAOUT23!O18+MVTSEPT23!O18+MVTOCT23!O18+MVTNOV23!O18+MVTDEC23!O18</f>
        <v>0</v>
      </c>
      <c r="P18" s="36">
        <f>MVTJANV23!P18+MVTFEV23!P18+MVTMARS23!P18+MVTAVRIL23!P18+MVTMAI23!P18+MVTJUIN23!P18+MVTJUIL23!P18+MVTAOUT23!P18+MVTSEPT23!P18+MVTOCT23!P18+MVTNOV23!P18+MVTDEC23!P18</f>
        <v>0</v>
      </c>
      <c r="Q18" s="36">
        <f>MVTJANV23!Q18+MVTFEV23!Q18+MVTMARS23!Q18+MVTAVRIL23!Q18+MVTMAI23!Q18+MVTJUIN23!Q18+MVTJUIL23!Q18+MVTAOUT23!Q18+MVTSEPT23!Q18+MVTOCT23!Q18+MVTNOV23!Q18+MVTDEC23!Q18</f>
        <v>0</v>
      </c>
      <c r="R18" s="36">
        <f>MVTDEC23!R18</f>
        <v>1000000</v>
      </c>
      <c r="S18" s="36">
        <f>MVTDEC23!S18</f>
        <v>50000</v>
      </c>
      <c r="T18" s="149">
        <v>45413</v>
      </c>
      <c r="U18" s="36">
        <f>MVTJANV23!U18+MVTFEV23!U18+MVTMARS23!U18+MVTAVRIL23!U18+MVTMAI23!U18+MVTJUIN23!U18+MVTJUIL23!U18+MVTAOUT23!U18+MVTSEPT23!U18+MVTOCT23!U18+MVTNOV23!U18+MVTDEC23!U18</f>
        <v>2250000</v>
      </c>
      <c r="V18" s="36"/>
      <c r="W18" s="36"/>
      <c r="X18" s="36">
        <f>MVTJANV23!X18+MVTFEV23!X18+MVTMARS23!X18+MVTAVRIL23!X18+MVTMAI23!X18+MVTJUIN23!X18+MVTJUIL23!X18+MVTAOUT23!X18+MVTSEPT23!X18+MVTOCT23!X18+MVTNOV23!X18+MVTDEC23!X18</f>
        <v>0</v>
      </c>
      <c r="Y18" s="36">
        <f>MVTJANV23!Y18+MVTFEV23!Y18+MVTMARS23!Y18+MVTAVRIL23!Y18+MVTMAI23!Y18+MVTJUIN23!Y18+MVTJUIL23!Y18+MVTAOUT23!Y18+MVTSEPT23!Y18+MVTOCT23!Y18+MVTNOV23!Y18+MVTDEC23!Y18</f>
        <v>0</v>
      </c>
      <c r="Z18" s="36">
        <f>MVTJANV23!Z18+MVTFEV23!Z18+MVTMARS23!Z18+MVTAVRIL23!Z18+MVTMAI23!Z18+MVTJUIN23!Z18+MVTJUIL23!Z18+MVTAOUT23!Z18+MVTSEPT23!Z18+MVTOCT23!Z18+MVTNOV23!Z18+MVTDEC23!Z18</f>
        <v>0</v>
      </c>
      <c r="AA18" s="36">
        <f>MVTJANV23!AA18+MVTFEV23!AA18+MVTMARS23!AA18+MVTAVRIL23!AA18+MVTMAI23!AA18+MVTJUIN23!AA18+MVTJUIL23!AA18+MVTAOUT23!AA18+MVTSEPT23!AA18+MVTOCT23!AA18+MVTNOV23!AA18+MVTDEC23!AA18</f>
        <v>0</v>
      </c>
      <c r="AB18" s="36">
        <f>MVTJANV23!AB18+MVTFEV23!AB18+MVTMARS23!AB18+MVTAVRIL23!AB18+MVTMAI23!AB18+MVTJUIN23!AB18+MVTJUIL23!AB18+MVTAOUT23!AB18+MVTSEPT23!AB18+MVTOCT23!AB18+MVTNOV23!AB18+MVTDEC23!AB18</f>
        <v>0</v>
      </c>
      <c r="AC18" s="36">
        <f>MVTJANV23!AC18+MVTFEV23!AC18+MVTMARS23!AC18+MVTAVRIL23!AC18+MVTMAI23!AC18+MVTJUIN23!AC18+MVTJUIL23!AC18+MVTAOUT23!AC18+MVTSEPT23!AC18+MVTOCT23!AC18+MVTNOV23!AC18+MVTDEC23!AC18</f>
        <v>0</v>
      </c>
      <c r="AD18" s="36">
        <f>MVTJANV23!AD18+MVTFEV23!AD18+MVTMARS23!AD18+MVTAVRIL23!AD18+MVTMAI23!AD18+MVTJUIN23!AD18+MVTJUIL23!AD18+MVTAOUT23!AD18+MVTSEPT23!AD18+MVTOCT23!AD18+MVTNOV23!AD18+MVTDEC23!AD18</f>
        <v>70000</v>
      </c>
      <c r="AE18" s="36">
        <f>MVTJANV23!AE18+MVTFEV23!AE18+MVTMARS23!AE18+MVTAVRIL23!AE18+MVTMAI23!AE18+MVTJUIN23!AE18+MVTJUIL23!AE18+MVTAOUT23!AE18+MVTSEPT23!AE18+MVTOCT23!AE18+MVTNOV23!AE18+MVTDEC23!AE18</f>
        <v>0</v>
      </c>
      <c r="AF18" s="36">
        <f>MVTJANV23!AF18+MVTFEV23!AF18+MVTMARS23!AF18+MVTAVRIL23!AF18+MVTMAI23!AF18+MVTJUIN23!AF18+MVTJUIL23!AF18+MVTAOUT23!AF18+MVTSEPT23!AF18+MVTOCT23!AF18+MVTNOV23!AF18+MVTDEC23!AF18</f>
        <v>0</v>
      </c>
      <c r="AG18" s="36">
        <f>MVTJANV23!AG18+MVTFEV23!AG18+MVTMARS23!AG18+MVTAVRIL23!AG18+MVTMAI23!AG18+MVTJUIN23!AG18+MVTJUIL23!AG18+MVTAOUT23!AG18+MVTSEPT23!AG18+MVTOCT23!AG18+MVTNOV23!AG18+MVTDEC23!AG18</f>
        <v>0</v>
      </c>
      <c r="AH18" s="36">
        <f>MVTJANV23!AH18+MVTFEV23!AH18+MVTMARS23!AH18+MVTAVRIL23!AH18+MVTMAI23!AH18+MVTJUIN23!AH18+MVTJUIL23!AH18+MVTAOUT23!AH18+MVTSEPT23!AH18+MVTOCT23!AH18+MVTNOV23!AH18+MVTDEC23!AH18</f>
        <v>0</v>
      </c>
      <c r="AI18" s="36">
        <f>MVTJANV23!AI18+MVTFEV23!AI18+MVTMARS23!AI18+MVTAVRIL23!AI18+MVTMAI23!AI18+MVTJUIN23!AI18+MVTJUIL23!AI18+MVTAOUT23!AI18+MVTSEPT23!AI18+MVTOCT23!AI18+MVTNOV23!AI18+MVTDEC23!AI18</f>
        <v>0</v>
      </c>
      <c r="AJ18" s="36">
        <f>MVTJANV23!AJ18+MVTFEV23!AJ18+MVTMARS23!AJ18+MVTAVRIL23!AJ18+MVTMAI23!AJ18+MVTJUIN23!AJ18+MVTJUIL23!AJ18+MVTAOUT23!AJ18+MVTSEPT23!AJ18+MVTOCT23!AJ18+MVTNOV23!AJ18+MVTDEC23!AJ18</f>
        <v>0</v>
      </c>
      <c r="AK18" s="98">
        <f t="shared" si="1"/>
        <v>-1250000</v>
      </c>
      <c r="AL18" s="149">
        <v>45261</v>
      </c>
      <c r="AM18" s="150">
        <f t="shared" si="0"/>
        <v>50000</v>
      </c>
      <c r="AN18" s="150"/>
      <c r="AP18" s="36">
        <f>MVTDEC23!AK18</f>
        <v>100000</v>
      </c>
    </row>
    <row r="19" spans="1:42" ht="18.75" x14ac:dyDescent="0.3">
      <c r="A19" s="1" t="s">
        <v>36</v>
      </c>
      <c r="B19" s="1" t="str">
        <f>VLOOKUP(A19,[15]LISTADHERENT!A$5:H$60,3,0)</f>
        <v>LOWE JEAN</v>
      </c>
      <c r="C19" s="36">
        <f>MVTJANV23!C19+MVTFEV23!C19+MVTMARS23!C19+MVTAVRIL23!C19+MVTMAI23!C19+MVTJUIN23!C19+MVTJUIL23!C19+MVTAOUT23!C19+MVTSEPT23!C19+MVTOCT23!C19+MVTNOV23!C19+MVTDEC23!C19</f>
        <v>600000</v>
      </c>
      <c r="D19" s="36">
        <f>MVTJANV23!D19+MVTFEV23!D19+MVTMARS23!D19+MVTAVRIL23!D19+MVTMAI23!D19+MVTJUIN23!D19+MVTJUIL23!D19+MVTAOUT23!D19+MVTSEPT23!D19+MVTOCT23!D19+MVTNOV23!D19+MVTDEC23!D19</f>
        <v>746</v>
      </c>
      <c r="E19" s="36">
        <f>MVTJANV23!E19+MVTFEV23!E19+MVTMARS23!E19+MVTAVRIL23!E19+MVTMAI23!E19+MVTJUIN23!E19+MVTJUIL23!E19+MVTAOUT23!E19+MVTSEPT23!E19+MVTOCT23!E19+MVTNOV23!E19+MVTDEC23!E19</f>
        <v>0</v>
      </c>
      <c r="F19" s="5">
        <f>MVTFEV23!F19-MVTRESUME23!E19+K19</f>
        <v>764906.8278621044</v>
      </c>
      <c r="G19" s="6">
        <f>MVTDEC22!G19+MVTJANV23!G19+MVTFEV23!G19+MVTMARS23!G19+MVTAVRIL23!G19+MVTMAI23!G19+MVTJUIN23!G19+MVTJUIL23!G19+MVTAOUT23!G19+MVTSEPT23!G19+MVTOCT23!G19+MVTNOV23!G19+MVTDEC23!G19</f>
        <v>52471.13072703332</v>
      </c>
      <c r="H19" s="6">
        <f>MVTFEV23!H19-MVTRESUME23!E19+MVTRESUME23!K19</f>
        <v>765806.91155041021</v>
      </c>
      <c r="I19" s="36">
        <f>MVTJANV23!I19+MVTFEV23!I19+MVTMARS23!I19+MVTAVRIL23!I19+MVTMAI23!I19+MVTJUIN23!I19+MVTJUIL23!I19+MVTAOUT23!I19+MVTSEPT23!I19+MVTOCT23!I19+MVTNOV23!I19+MVTDEC23!I19</f>
        <v>20000</v>
      </c>
      <c r="J19" s="36">
        <f>MVTJANV23!J19+MVTFEV23!J19+MVTMARS23!J19+MVTAVRIL23!J19+MVTMAI23!J19+MVTJUIN23!J19+MVTJUIL23!J19+MVTAOUT23!J19+MVTSEPT23!J19+MVTOCT23!J19+MVTNOV23!J19+MVTDEC23!J19</f>
        <v>180000</v>
      </c>
      <c r="K19" s="36">
        <f>MVTJANV23!K19+MVTFEV23!K19+MVTMARS23!K19+MVTAVRIL23!K19+MVTMAI23!K19+MVTJUIN23!K19+MVTJUIL23!K19+MVTAOUT23!K19+MVTSEPT23!K19+MVTOCT23!K19+MVTNOV23!K19+MVTDEC23!K19</f>
        <v>108000</v>
      </c>
      <c r="L19" s="36">
        <f>MVTJANV23!L19+MVTFEV23!L19+MVTMARS23!L19+MVTAVRIL23!L19+MVTMAI23!L19+MVTJUIN23!L19+MVTJUIL23!L19+MVTAOUT23!L19+MVTSEPT23!L19+MVTOCT23!L19+MVTNOV23!L19+MVTDEC23!L19</f>
        <v>12000</v>
      </c>
      <c r="M19" s="36">
        <f>MVTJANV23!M19+MVTFEV23!M19+MVTMARS23!M19+MVTAVRIL23!M19+MVTMAI23!M19+MVTJUIN23!M19+MVTJUIL23!M19+MVTAOUT23!M19+MVTSEPT23!M19+MVTOCT23!M19+MVTNOV23!M19+MVTDEC23!M19</f>
        <v>12000</v>
      </c>
      <c r="N19" s="36">
        <f>MVTJANV23!N19+MVTFEV23!N19+MVTMARS23!N19+MVTAVRIL23!N19+MVTMAI23!N19+MVTJUIN23!N19+MVTJUIL23!N19+MVTAOUT23!N19+MVTSEPT23!N19+MVTOCT23!N19+MVTNOV23!N19+MVTDEC23!N19</f>
        <v>48000</v>
      </c>
      <c r="O19" s="36">
        <f>MVTJANV23!O19+MVTFEV23!O19+MVTMARS23!O19+MVTAVRIL23!O19+MVTMAI23!O19+MVTJUIN23!O19+MVTJUIL23!O19+MVTAOUT23!O19+MVTSEPT23!O19+MVTOCT23!O19+MVTNOV23!O19+MVTDEC23!O19</f>
        <v>0</v>
      </c>
      <c r="P19" s="36">
        <f>MVTJANV23!P19+MVTFEV23!P19+MVTMARS23!P19+MVTAVRIL23!P19+MVTMAI23!P19+MVTJUIN23!P19+MVTJUIL23!P19+MVTAOUT23!P19+MVTSEPT23!P19+MVTOCT23!P19+MVTNOV23!P19+MVTDEC23!P19</f>
        <v>0</v>
      </c>
      <c r="Q19" s="36">
        <f>MVTJANV23!Q19+MVTFEV23!Q19+MVTMARS23!Q19+MVTAVRIL23!Q19+MVTMAI23!Q19+MVTJUIN23!Q19+MVTJUIL23!Q19+MVTAOUT23!Q19+MVTSEPT23!Q19+MVTOCT23!Q19+MVTNOV23!Q19+MVTDEC23!Q19</f>
        <v>0</v>
      </c>
      <c r="R19" s="36">
        <f>MVTDEC23!R19</f>
        <v>0</v>
      </c>
      <c r="S19" s="36">
        <f>MVTDEC23!S19</f>
        <v>0</v>
      </c>
      <c r="T19" s="149"/>
      <c r="U19" s="36">
        <f>MVTJANV23!U19+MVTFEV23!U19+MVTMARS23!U19+MVTAVRIL23!U19+MVTMAI23!U19+MVTJUIN23!U19+MVTJUIL23!U19+MVTAOUT23!U19+MVTSEPT23!U19+MVTOCT23!U19+MVTNOV23!U19+MVTDEC23!U19</f>
        <v>1300000</v>
      </c>
      <c r="V19" s="36"/>
      <c r="W19" s="36"/>
      <c r="X19" s="36">
        <f>MVTJANV23!X19+MVTFEV23!X19+MVTMARS23!X19+MVTAVRIL23!X19+MVTMAI23!X19+MVTJUIN23!X19+MVTJUIL23!X19+MVTAOUT23!X19+MVTSEPT23!X19+MVTOCT23!X19+MVTNOV23!X19+MVTDEC23!X19</f>
        <v>0</v>
      </c>
      <c r="Y19" s="36">
        <f>MVTJANV23!Y19+MVTFEV23!Y19+MVTMARS23!Y19+MVTAVRIL23!Y19+MVTMAI23!Y19+MVTJUIN23!Y19+MVTJUIL23!Y19+MVTAOUT23!Y19+MVTSEPT23!Y19+MVTOCT23!Y19+MVTNOV23!Y19+MVTDEC23!Y19</f>
        <v>0</v>
      </c>
      <c r="Z19" s="36">
        <f>MVTJANV23!Z19+MVTFEV23!Z19+MVTMARS23!Z19+MVTAVRIL23!Z19+MVTMAI23!Z19+MVTJUIN23!Z19+MVTJUIL23!Z19+MVTAOUT23!Z19+MVTSEPT23!Z19+MVTOCT23!Z19+MVTNOV23!Z19+MVTDEC23!Z19</f>
        <v>0</v>
      </c>
      <c r="AA19" s="36">
        <f>MVTJANV23!AA19+MVTFEV23!AA19+MVTMARS23!AA19+MVTAVRIL23!AA19+MVTMAI23!AA19+MVTJUIN23!AA19+MVTJUIL23!AA19+MVTAOUT23!AA19+MVTSEPT23!AA19+MVTOCT23!AA19+MVTNOV23!AA19+MVTDEC23!AA19</f>
        <v>0</v>
      </c>
      <c r="AB19" s="36">
        <f>MVTJANV23!AB19+MVTFEV23!AB19+MVTMARS23!AB19+MVTAVRIL23!AB19+MVTMAI23!AB19+MVTJUIN23!AB19+MVTJUIL23!AB19+MVTAOUT23!AB19+MVTSEPT23!AB19+MVTOCT23!AB19+MVTNOV23!AB19+MVTDEC23!AB19</f>
        <v>0</v>
      </c>
      <c r="AC19" s="36">
        <f>MVTJANV23!AC19+MVTFEV23!AC19+MVTMARS23!AC19+MVTAVRIL23!AC19+MVTMAI23!AC19+MVTJUIN23!AC19+MVTJUIL23!AC19+MVTAOUT23!AC19+MVTSEPT23!AC19+MVTOCT23!AC19+MVTNOV23!AC19+MVTDEC23!AC19</f>
        <v>0</v>
      </c>
      <c r="AD19" s="36">
        <f>MVTJANV23!AD19+MVTFEV23!AD19+MVTMARS23!AD19+MVTAVRIL23!AD19+MVTMAI23!AD19+MVTJUIN23!AD19+MVTJUIL23!AD19+MVTAOUT23!AD19+MVTSEPT23!AD19+MVTOCT23!AD19+MVTNOV23!AD19+MVTDEC23!AD19</f>
        <v>70000</v>
      </c>
      <c r="AE19" s="36">
        <f>MVTJANV23!AE19+MVTFEV23!AE19+MVTMARS23!AE19+MVTAVRIL23!AE19+MVTMAI23!AE19+MVTJUIN23!AE19+MVTJUIL23!AE19+MVTAOUT23!AE19+MVTSEPT23!AE19+MVTOCT23!AE19+MVTNOV23!AE19+MVTDEC23!AE19</f>
        <v>0</v>
      </c>
      <c r="AF19" s="36">
        <f>MVTJANV23!AF19+MVTFEV23!AF19+MVTMARS23!AF19+MVTAVRIL23!AF19+MVTMAI23!AF19+MVTJUIN23!AF19+MVTJUIL23!AF19+MVTAOUT23!AF19+MVTSEPT23!AF19+MVTOCT23!AF19+MVTNOV23!AF19+MVTDEC23!AF19</f>
        <v>0</v>
      </c>
      <c r="AG19" s="36">
        <f>MVTJANV23!AG19+MVTFEV23!AG19+MVTMARS23!AG19+MVTAVRIL23!AG19+MVTMAI23!AG19+MVTJUIN23!AG19+MVTJUIL23!AG19+MVTAOUT23!AG19+MVTSEPT23!AG19+MVTOCT23!AG19+MVTNOV23!AG19+MVTDEC23!AG19</f>
        <v>0</v>
      </c>
      <c r="AH19" s="36">
        <f>MVTJANV23!AH19+MVTFEV23!AH19+MVTMARS23!AH19+MVTAVRIL23!AH19+MVTMAI23!AH19+MVTJUIN23!AH19+MVTJUIL23!AH19+MVTAOUT23!AH19+MVTSEPT23!AH19+MVTOCT23!AH19+MVTNOV23!AH19+MVTDEC23!AH19</f>
        <v>0</v>
      </c>
      <c r="AI19" s="36">
        <f>MVTJANV23!AI19+MVTFEV23!AI19+MVTMARS23!AI19+MVTAVRIL23!AI19+MVTMAI23!AI19+MVTJUIN23!AI19+MVTJUIL23!AI19+MVTAOUT23!AI19+MVTSEPT23!AI19+MVTOCT23!AI19+MVTNOV23!AI19+MVTDEC23!AI19</f>
        <v>0</v>
      </c>
      <c r="AJ19" s="36">
        <f>MVTJANV23!AJ19+MVTFEV23!AJ19+MVTMARS23!AJ19+MVTAVRIL23!AJ19+MVTMAI23!AJ19+MVTJUIN23!AJ19+MVTJUIL23!AJ19+MVTAOUT23!AJ19+MVTSEPT23!AJ19+MVTOCT23!AJ19+MVTNOV23!AJ19+MVTDEC23!AJ19</f>
        <v>0</v>
      </c>
      <c r="AK19" s="98">
        <f>R19-U19+1000000</f>
        <v>-300000</v>
      </c>
      <c r="AL19" s="149"/>
      <c r="AM19" s="150">
        <f t="shared" si="0"/>
        <v>0</v>
      </c>
      <c r="AN19" s="150"/>
      <c r="AP19" s="36">
        <f>MVTDEC23!AK19</f>
        <v>100000</v>
      </c>
    </row>
    <row r="20" spans="1:42" ht="18.75" x14ac:dyDescent="0.3">
      <c r="A20" s="1" t="s">
        <v>75</v>
      </c>
      <c r="B20" s="1" t="str">
        <f>VLOOKUP(A20,[15]LISTADHERENT!A$5:H$60,3,0)</f>
        <v>MBOGNING TUGMA GUY</v>
      </c>
      <c r="C20" s="36">
        <f>MVTJANV23!C20+MVTFEV23!C20+MVTMARS23!C20+MVTAVRIL23!C20+MVTMAI23!C20+MVTJUIN23!C20+MVTJUIL23!C20+MVTAOUT23!C20+MVTSEPT23!C20+MVTOCT23!C20+MVTNOV23!C20+MVTDEC23!C20</f>
        <v>600000</v>
      </c>
      <c r="D20" s="36">
        <f>MVTJANV23!D20+MVTFEV23!D20+MVTMARS23!D20+MVTAVRIL23!D20+MVTMAI23!D20+MVTJUIN23!D20+MVTJUIL23!D20+MVTAOUT23!D20+MVTSEPT23!D20+MVTOCT23!D20+MVTNOV23!D20+MVTDEC23!D20</f>
        <v>47746</v>
      </c>
      <c r="E20" s="36">
        <f>MVTJANV23!E20+MVTFEV23!E20+MVTMARS23!E20+MVTAVRIL23!E20+MVTMAI23!E20+MVTJUIN23!E20+MVTJUIL23!E20+MVTAOUT23!E20+MVTSEPT23!E20+MVTOCT23!E20+MVTNOV23!E20+MVTDEC23!E20</f>
        <v>0</v>
      </c>
      <c r="F20" s="5">
        <f>MVTFEV23!F20-MVTRESUME23!E20+K20</f>
        <v>815392.17896341055</v>
      </c>
      <c r="G20" s="6">
        <f>MVTDEC22!G20+MVTJANV23!G20+MVTFEV23!G20+MVTMARS23!G20+MVTAVRIL23!G20+MVTMAI23!G20+MVTJUIN23!G20+MVTJUIL23!G20+MVTAOUT23!G20+MVTSEPT23!G20+MVTOCT23!G20+MVTNOV23!G20+MVTDEC23!G20</f>
        <v>56463.397241182596</v>
      </c>
      <c r="H20" s="6">
        <f>MVTFEV23!H20-MVTRESUME23!E20+MVTRESUME23!K20</f>
        <v>816360.75181528158</v>
      </c>
      <c r="I20" s="36">
        <f>MVTJANV23!I20+MVTFEV23!I20+MVTMARS23!I20+MVTAVRIL23!I20+MVTMAI23!I20+MVTJUIN23!I20+MVTJUIL23!I20+MVTAOUT23!I20+MVTSEPT23!I20+MVTOCT23!I20+MVTNOV23!I20+MVTDEC23!I20</f>
        <v>0</v>
      </c>
      <c r="J20" s="36">
        <f>MVTJANV23!J20+MVTFEV23!J20+MVTMARS23!J20+MVTAVRIL23!J20+MVTMAI23!J20+MVTJUIN23!J20+MVTJUIL23!J20+MVTAOUT23!J20+MVTSEPT23!J20+MVTOCT23!J20+MVTNOV23!J20+MVTDEC23!J20</f>
        <v>180500</v>
      </c>
      <c r="K20" s="36">
        <f>MVTJANV23!K20+MVTFEV23!K20+MVTMARS23!K20+MVTAVRIL23!K20+MVTMAI23!K20+MVTJUIN23!K20+MVTJUIL23!K20+MVTAOUT23!K20+MVTSEPT23!K20+MVTOCT23!K20+MVTNOV23!K20+MVTDEC23!K20</f>
        <v>108500</v>
      </c>
      <c r="L20" s="36">
        <f>MVTJANV23!L20+MVTFEV23!L20+MVTMARS23!L20+MVTAVRIL23!L20+MVTMAI23!L20+MVTJUIN23!L20+MVTJUIL23!L20+MVTAOUT23!L20+MVTSEPT23!L20+MVTOCT23!L20+MVTNOV23!L20+MVTDEC23!L20</f>
        <v>12000</v>
      </c>
      <c r="M20" s="36">
        <f>MVTJANV23!M20+MVTFEV23!M20+MVTMARS23!M20+MVTAVRIL23!M20+MVTMAI23!M20+MVTJUIN23!M20+MVTJUIL23!M20+MVTAOUT23!M20+MVTSEPT23!M20+MVTOCT23!M20+MVTNOV23!M20+MVTDEC23!M20</f>
        <v>12000</v>
      </c>
      <c r="N20" s="36">
        <f>MVTJANV23!N20+MVTFEV23!N20+MVTMARS23!N20+MVTAVRIL23!N20+MVTMAI23!N20+MVTJUIN23!N20+MVTJUIL23!N20+MVTAOUT23!N20+MVTSEPT23!N20+MVTOCT23!N20+MVTNOV23!N20+MVTDEC23!N20</f>
        <v>48000</v>
      </c>
      <c r="O20" s="36">
        <f>MVTJANV23!O20+MVTFEV23!O20+MVTMARS23!O20+MVTAVRIL23!O20+MVTMAI23!O20+MVTJUIN23!O20+MVTJUIL23!O20+MVTAOUT23!O20+MVTSEPT23!O20+MVTOCT23!O20+MVTNOV23!O20+MVTDEC23!O20</f>
        <v>0</v>
      </c>
      <c r="P20" s="36">
        <f>MVTJANV23!P20+MVTFEV23!P20+MVTMARS23!P20+MVTAVRIL23!P20+MVTMAI23!P20+MVTJUIN23!P20+MVTJUIL23!P20+MVTAOUT23!P20+MVTSEPT23!P20+MVTOCT23!P20+MVTNOV23!P20+MVTDEC23!P20</f>
        <v>0</v>
      </c>
      <c r="Q20" s="36">
        <f>MVTJANV23!Q20+MVTFEV23!Q20+MVTMARS23!Q20+MVTAVRIL23!Q20+MVTMAI23!Q20+MVTJUIN23!Q20+MVTJUIL23!Q20+MVTAOUT23!Q20+MVTSEPT23!Q20+MVTOCT23!Q20+MVTNOV23!Q20+MVTDEC23!Q20</f>
        <v>0</v>
      </c>
      <c r="R20" s="36">
        <f>MVTDEC23!R20</f>
        <v>1000000</v>
      </c>
      <c r="S20" s="36">
        <f>MVTDEC23!S20</f>
        <v>60000</v>
      </c>
      <c r="T20" s="149">
        <v>45444</v>
      </c>
      <c r="U20" s="36">
        <f>MVTJANV23!U20+MVTFEV23!U20+MVTMARS23!U20+MVTAVRIL23!U20+MVTMAI23!U20+MVTJUIN23!U20+MVTJUIL23!U20+MVTAOUT23!U20+MVTSEPT23!U20+MVTOCT23!U20+MVTNOV23!U20+MVTDEC23!U20</f>
        <v>1000000</v>
      </c>
      <c r="V20" s="36"/>
      <c r="W20" s="36"/>
      <c r="X20" s="36">
        <f>MVTJANV23!X20+MVTFEV23!X20+MVTMARS23!X20+MVTAVRIL23!X20+MVTMAI23!X20+MVTJUIN23!X20+MVTJUIL23!X20+MVTAOUT23!X20+MVTSEPT23!X20+MVTOCT23!X20+MVTNOV23!X20+MVTDEC23!X20</f>
        <v>0</v>
      </c>
      <c r="Y20" s="36">
        <f>MVTJANV23!Y20+MVTFEV23!Y20+MVTMARS23!Y20+MVTAVRIL23!Y20+MVTMAI23!Y20+MVTJUIN23!Y20+MVTJUIL23!Y20+MVTAOUT23!Y20+MVTSEPT23!Y20+MVTOCT23!Y20+MVTNOV23!Y20+MVTDEC23!Y20</f>
        <v>0</v>
      </c>
      <c r="Z20" s="36">
        <f>MVTJANV23!Z20+MVTFEV23!Z20+MVTMARS23!Z20+MVTAVRIL23!Z20+MVTMAI23!Z20+MVTJUIN23!Z20+MVTJUIL23!Z20+MVTAOUT23!Z20+MVTSEPT23!Z20+MVTOCT23!Z20+MVTNOV23!Z20+MVTDEC23!Z20</f>
        <v>0</v>
      </c>
      <c r="AA20" s="36">
        <f>MVTJANV23!AA20+MVTFEV23!AA20+MVTMARS23!AA20+MVTAVRIL23!AA20+MVTMAI23!AA20+MVTJUIN23!AA20+MVTJUIL23!AA20+MVTAOUT23!AA20+MVTSEPT23!AA20+MVTOCT23!AA20+MVTNOV23!AA20+MVTDEC23!AA20</f>
        <v>0</v>
      </c>
      <c r="AB20" s="36">
        <f>MVTJANV23!AB20+MVTFEV23!AB20+MVTMARS23!AB20+MVTAVRIL23!AB20+MVTMAI23!AB20+MVTJUIN23!AB20+MVTJUIL23!AB20+MVTAOUT23!AB20+MVTSEPT23!AB20+MVTOCT23!AB20+MVTNOV23!AB20+MVTDEC23!AB20</f>
        <v>0</v>
      </c>
      <c r="AC20" s="36">
        <f>MVTJANV23!AC20+MVTFEV23!AC20+MVTMARS23!AC20+MVTAVRIL23!AC20+MVTMAI23!AC20+MVTJUIN23!AC20+MVTJUIL23!AC20+MVTAOUT23!AC20+MVTSEPT23!AC20+MVTOCT23!AC20+MVTNOV23!AC20+MVTDEC23!AC20</f>
        <v>0</v>
      </c>
      <c r="AD20" s="36">
        <f>MVTJANV23!AD20+MVTFEV23!AD20+MVTMARS23!AD20+MVTAVRIL23!AD20+MVTMAI23!AD20+MVTJUIN23!AD20+MVTJUIL23!AD20+MVTAOUT23!AD20+MVTSEPT23!AD20+MVTOCT23!AD20+MVTNOV23!AD20+MVTDEC23!AD20</f>
        <v>70000</v>
      </c>
      <c r="AE20" s="36">
        <f>MVTJANV23!AE20+MVTFEV23!AE20+MVTMARS23!AE20+MVTAVRIL23!AE20+MVTMAI23!AE20+MVTJUIN23!AE20+MVTJUIL23!AE20+MVTAOUT23!AE20+MVTSEPT23!AE20+MVTOCT23!AE20+MVTNOV23!AE20+MVTDEC23!AE20</f>
        <v>0</v>
      </c>
      <c r="AF20" s="36">
        <f>MVTJANV23!AF20+MVTFEV23!AF20+MVTMARS23!AF20+MVTAVRIL23!AF20+MVTMAI23!AF20+MVTJUIN23!AF20+MVTJUIL23!AF20+MVTAOUT23!AF20+MVTSEPT23!AF20+MVTOCT23!AF20+MVTNOV23!AF20+MVTDEC23!AF20</f>
        <v>0</v>
      </c>
      <c r="AG20" s="36">
        <f>MVTJANV23!AG20+MVTFEV23!AG20+MVTMARS23!AG20+MVTAVRIL23!AG20+MVTMAI23!AG20+MVTJUIN23!AG20+MVTJUIL23!AG20+MVTAOUT23!AG20+MVTSEPT23!AG20+MVTOCT23!AG20+MVTNOV23!AG20+MVTDEC23!AG20</f>
        <v>0</v>
      </c>
      <c r="AH20" s="36">
        <f>MVTJANV23!AH20+MVTFEV23!AH20+MVTMARS23!AH20+MVTAVRIL23!AH20+MVTMAI23!AH20+MVTJUIN23!AH20+MVTJUIL23!AH20+MVTAOUT23!AH20+MVTSEPT23!AH20+MVTOCT23!AH20+MVTNOV23!AH20+MVTDEC23!AH20</f>
        <v>0</v>
      </c>
      <c r="AI20" s="36">
        <f>MVTJANV23!AI20+MVTFEV23!AI20+MVTMARS23!AI20+MVTAVRIL23!AI20+MVTMAI23!AI20+MVTJUIN23!AI20+MVTJUIL23!AI20+MVTAOUT23!AI20+MVTSEPT23!AI20+MVTOCT23!AI20+MVTNOV23!AI20+MVTDEC23!AI20</f>
        <v>0</v>
      </c>
      <c r="AJ20" s="36">
        <f>MVTJANV23!AJ20+MVTFEV23!AJ20+MVTMARS23!AJ20+MVTAVRIL23!AJ20+MVTMAI23!AJ20+MVTJUIN23!AJ20+MVTJUIL23!AJ20+MVTAOUT23!AJ20+MVTSEPT23!AJ20+MVTOCT23!AJ20+MVTNOV23!AJ20+MVTDEC23!AJ20</f>
        <v>0</v>
      </c>
      <c r="AK20" s="98">
        <f t="shared" si="1"/>
        <v>0</v>
      </c>
      <c r="AL20" s="149">
        <v>45261</v>
      </c>
      <c r="AM20" s="150">
        <f t="shared" si="0"/>
        <v>60000</v>
      </c>
      <c r="AN20" s="150">
        <v>60000</v>
      </c>
      <c r="AP20" s="36">
        <f>MVTDEC23!AK20</f>
        <v>100000</v>
      </c>
    </row>
    <row r="21" spans="1:42" ht="18.75" x14ac:dyDescent="0.3">
      <c r="A21" s="1" t="s">
        <v>50</v>
      </c>
      <c r="B21" s="1" t="str">
        <f>VLOOKUP(A21,[15]LISTADHERENT!A$5:H$60,3,0)</f>
        <v>NANGUEN MARTIN</v>
      </c>
      <c r="C21" s="36">
        <f>MVTJANV23!C21+MVTFEV23!C21+MVTMARS23!C21+MVTAVRIL23!C21+MVTMAI23!C21+MVTJUIN23!C21+MVTJUIL23!C21+MVTAOUT23!C21+MVTSEPT23!C21+MVTOCT23!C21+MVTNOV23!C21+MVTDEC23!C21</f>
        <v>600000</v>
      </c>
      <c r="D21" s="36">
        <f>MVTJANV23!D21+MVTFEV23!D21+MVTMARS23!D21+MVTAVRIL23!D21+MVTMAI23!D21+MVTJUIN23!D21+MVTJUIL23!D21+MVTAOUT23!D21+MVTSEPT23!D21+MVTOCT23!D21+MVTNOV23!D21+MVTDEC23!D21</f>
        <v>51343</v>
      </c>
      <c r="E21" s="36">
        <f>MVTJANV23!E21+MVTFEV23!E21+MVTMARS23!E21+MVTAVRIL23!E21+MVTMAI23!E21+MVTJUIN23!E21+MVTJUIL23!E21+MVTAOUT23!E21+MVTSEPT23!E21+MVTOCT23!E21+MVTNOV23!E21+MVTDEC23!E21</f>
        <v>0</v>
      </c>
      <c r="F21" s="5">
        <f>MVTFEV23!F21-MVTRESUME23!E21+K21</f>
        <v>818717.19901930005</v>
      </c>
      <c r="G21" s="6">
        <f>MVTDEC22!G21+MVTJANV23!G21+MVTFEV23!G21+MVTMARS23!G21+MVTAVRIL23!G21+MVTMAI23!G21+MVTJUIN23!G21+MVTJUIL23!G21+MVTAOUT23!G21+MVTSEPT23!G21+MVTOCT23!G21+MVTNOV23!G21+MVTDEC23!G21</f>
        <v>56807.362080881765</v>
      </c>
      <c r="H21" s="6">
        <f>MVTFEV23!H21-MVTRESUME23!E21+MVTRESUME23!K21</f>
        <v>819691.01285514887</v>
      </c>
      <c r="I21" s="36">
        <f>MVTJANV23!I21+MVTFEV23!I21+MVTMARS23!I21+MVTAVRIL23!I21+MVTMAI23!I21+MVTJUIN23!I21+MVTJUIL23!I21+MVTAOUT23!I21+MVTSEPT23!I21+MVTOCT23!I21+MVTNOV23!I21+MVTDEC23!I21</f>
        <v>0</v>
      </c>
      <c r="J21" s="36">
        <f>MVTJANV23!J21+MVTFEV23!J21+MVTMARS23!J21+MVTAVRIL23!J21+MVTMAI23!J21+MVTJUIN23!J21+MVTJUIL23!J21+MVTAOUT23!J21+MVTSEPT23!J21+MVTOCT23!J21+MVTNOV23!J21+MVTDEC23!J21</f>
        <v>180000</v>
      </c>
      <c r="K21" s="36">
        <f>MVTJANV23!K21+MVTFEV23!K21+MVTMARS23!K21+MVTAVRIL23!K21+MVTMAI23!K21+MVTJUIN23!K21+MVTJUIL23!K21+MVTAOUT23!K21+MVTSEPT23!K21+MVTOCT23!K21+MVTNOV23!K21+MVTDEC23!K21</f>
        <v>108000</v>
      </c>
      <c r="L21" s="36">
        <f>MVTJANV23!L21+MVTFEV23!L21+MVTMARS23!L21+MVTAVRIL23!L21+MVTMAI23!L21+MVTJUIN23!L21+MVTJUIL23!L21+MVTAOUT23!L21+MVTSEPT23!L21+MVTOCT23!L21+MVTNOV23!L21+MVTDEC23!L21</f>
        <v>12000</v>
      </c>
      <c r="M21" s="36">
        <f>MVTJANV23!M21+MVTFEV23!M21+MVTMARS23!M21+MVTAVRIL23!M21+MVTMAI23!M21+MVTJUIN23!M21+MVTJUIL23!M21+MVTAOUT23!M21+MVTSEPT23!M21+MVTOCT23!M21+MVTNOV23!M21+MVTDEC23!M21</f>
        <v>12000</v>
      </c>
      <c r="N21" s="36">
        <f>MVTJANV23!N21+MVTFEV23!N21+MVTMARS23!N21+MVTAVRIL23!N21+MVTMAI23!N21+MVTJUIN23!N21+MVTJUIL23!N21+MVTAOUT23!N21+MVTSEPT23!N21+MVTOCT23!N21+MVTNOV23!N21+MVTDEC23!N21</f>
        <v>48000</v>
      </c>
      <c r="O21" s="36">
        <f>MVTJANV23!O21+MVTFEV23!O21+MVTMARS23!O21+MVTAVRIL23!O21+MVTMAI23!O21+MVTJUIN23!O21+MVTJUIL23!O21+MVTAOUT23!O21+MVTSEPT23!O21+MVTOCT23!O21+MVTNOV23!O21+MVTDEC23!O21</f>
        <v>0</v>
      </c>
      <c r="P21" s="36">
        <f>MVTJANV23!P21+MVTFEV23!P21+MVTMARS23!P21+MVTAVRIL23!P21+MVTMAI23!P21+MVTJUIN23!P21+MVTJUIL23!P21+MVTAOUT23!P21+MVTSEPT23!P21+MVTOCT23!P21+MVTNOV23!P21+MVTDEC23!P21</f>
        <v>0</v>
      </c>
      <c r="Q21" s="36">
        <f>MVTJANV23!Q21+MVTFEV23!Q21+MVTMARS23!Q21+MVTAVRIL23!Q21+MVTMAI23!Q21+MVTJUIN23!Q21+MVTJUIL23!Q21+MVTAOUT23!Q21+MVTSEPT23!Q21+MVTOCT23!Q21+MVTNOV23!Q21+MVTDEC23!Q21</f>
        <v>0</v>
      </c>
      <c r="R21" s="36">
        <f>MVTDEC23!R21</f>
        <v>300000</v>
      </c>
      <c r="S21" s="36">
        <f>MVTDEC23!S21</f>
        <v>18000</v>
      </c>
      <c r="T21" s="149">
        <v>45444</v>
      </c>
      <c r="U21" s="36">
        <f>MVTJANV23!U21+MVTFEV23!U21+MVTMARS23!U21+MVTAVRIL23!U21+MVTMAI23!U21+MVTJUIN23!U21+MVTJUIL23!U21+MVTAOUT23!U21+MVTSEPT23!U21+MVTOCT23!U21+MVTNOV23!U21+MVTDEC23!U21</f>
        <v>500000</v>
      </c>
      <c r="V21" s="36"/>
      <c r="W21" s="36"/>
      <c r="X21" s="36">
        <f>MVTJANV23!X21+MVTFEV23!X21+MVTMARS23!X21+MVTAVRIL23!X21+MVTMAI23!X21+MVTJUIN23!X21+MVTJUIL23!X21+MVTAOUT23!X21+MVTSEPT23!X21+MVTOCT23!X21+MVTNOV23!X21+MVTDEC23!X21</f>
        <v>0</v>
      </c>
      <c r="Y21" s="36">
        <f>MVTJANV23!Y21+MVTFEV23!Y21+MVTMARS23!Y21+MVTAVRIL23!Y21+MVTMAI23!Y21+MVTJUIN23!Y21+MVTJUIL23!Y21+MVTAOUT23!Y21+MVTSEPT23!Y21+MVTOCT23!Y21+MVTNOV23!Y21+MVTDEC23!Y21</f>
        <v>0</v>
      </c>
      <c r="Z21" s="36">
        <f>MVTJANV23!Z21+MVTFEV23!Z21+MVTMARS23!Z21+MVTAVRIL23!Z21+MVTMAI23!Z21+MVTJUIN23!Z21+MVTJUIL23!Z21+MVTAOUT23!Z21+MVTSEPT23!Z21+MVTOCT23!Z21+MVTNOV23!Z21+MVTDEC23!Z21</f>
        <v>0</v>
      </c>
      <c r="AA21" s="36">
        <f>MVTJANV23!AA21+MVTFEV23!AA21+MVTMARS23!AA21+MVTAVRIL23!AA21+MVTMAI23!AA21+MVTJUIN23!AA21+MVTJUIL23!AA21+MVTAOUT23!AA21+MVTSEPT23!AA21+MVTOCT23!AA21+MVTNOV23!AA21+MVTDEC23!AA21</f>
        <v>0</v>
      </c>
      <c r="AB21" s="36">
        <f>MVTJANV23!AB21+MVTFEV23!AB21+MVTMARS23!AB21+MVTAVRIL23!AB21+MVTMAI23!AB21+MVTJUIN23!AB21+MVTJUIL23!AB21+MVTAOUT23!AB21+MVTSEPT23!AB21+MVTOCT23!AB21+MVTNOV23!AB21+MVTDEC23!AB21</f>
        <v>0</v>
      </c>
      <c r="AC21" s="36">
        <f>MVTJANV23!AC21+MVTFEV23!AC21+MVTMARS23!AC21+MVTAVRIL23!AC21+MVTMAI23!AC21+MVTJUIN23!AC21+MVTJUIL23!AC21+MVTAOUT23!AC21+MVTSEPT23!AC21+MVTOCT23!AC21+MVTNOV23!AC21+MVTDEC23!AC21</f>
        <v>0</v>
      </c>
      <c r="AD21" s="36">
        <f>MVTJANV23!AD21+MVTFEV23!AD21+MVTMARS23!AD21+MVTAVRIL23!AD21+MVTMAI23!AD21+MVTJUIN23!AD21+MVTJUIL23!AD21+MVTAOUT23!AD21+MVTSEPT23!AD21+MVTOCT23!AD21+MVTNOV23!AD21+MVTDEC23!AD21</f>
        <v>70000</v>
      </c>
      <c r="AE21" s="36">
        <f>MVTJANV23!AE21+MVTFEV23!AE21+MVTMARS23!AE21+MVTAVRIL23!AE21+MVTMAI23!AE21+MVTJUIN23!AE21+MVTJUIL23!AE21+MVTAOUT23!AE21+MVTSEPT23!AE21+MVTOCT23!AE21+MVTNOV23!AE21+MVTDEC23!AE21</f>
        <v>0</v>
      </c>
      <c r="AF21" s="36">
        <f>MVTJANV23!AF21+MVTFEV23!AF21+MVTMARS23!AF21+MVTAVRIL23!AF21+MVTMAI23!AF21+MVTJUIN23!AF21+MVTJUIL23!AF21+MVTAOUT23!AF21+MVTSEPT23!AF21+MVTOCT23!AF21+MVTNOV23!AF21+MVTDEC23!AF21</f>
        <v>0</v>
      </c>
      <c r="AG21" s="36">
        <f>MVTJANV23!AG21+MVTFEV23!AG21+MVTMARS23!AG21+MVTAVRIL23!AG21+MVTMAI23!AG21+MVTJUIN23!AG21+MVTJUIL23!AG21+MVTAOUT23!AG21+MVTSEPT23!AG21+MVTOCT23!AG21+MVTNOV23!AG21+MVTDEC23!AG21</f>
        <v>0</v>
      </c>
      <c r="AH21" s="36">
        <f>MVTJANV23!AH21+MVTFEV23!AH21+MVTMARS23!AH21+MVTAVRIL23!AH21+MVTMAI23!AH21+MVTJUIN23!AH21+MVTJUIL23!AH21+MVTAOUT23!AH21+MVTSEPT23!AH21+MVTOCT23!AH21+MVTNOV23!AH21+MVTDEC23!AH21</f>
        <v>0</v>
      </c>
      <c r="AI21" s="36">
        <f>MVTJANV23!AI21+MVTFEV23!AI21+MVTMARS23!AI21+MVTAVRIL23!AI21+MVTMAI23!AI21+MVTJUIN23!AI21+MVTJUIL23!AI21+MVTAOUT23!AI21+MVTSEPT23!AI21+MVTOCT23!AI21+MVTNOV23!AI21+MVTDEC23!AI21</f>
        <v>0</v>
      </c>
      <c r="AJ21" s="36">
        <f>MVTJANV23!AJ21+MVTFEV23!AJ21+MVTMARS23!AJ21+MVTAVRIL23!AJ21+MVTMAI23!AJ21+MVTJUIN23!AJ21+MVTJUIL23!AJ21+MVTAOUT23!AJ21+MVTSEPT23!AJ21+MVTOCT23!AJ21+MVTNOV23!AJ21+MVTDEC23!AJ21</f>
        <v>0</v>
      </c>
      <c r="AK21" s="98">
        <f>R21-U21</f>
        <v>-200000</v>
      </c>
      <c r="AL21" s="149">
        <v>45261</v>
      </c>
      <c r="AM21" s="150">
        <f t="shared" si="0"/>
        <v>18000</v>
      </c>
      <c r="AN21" s="150"/>
      <c r="AP21" s="36">
        <f>MVTDEC23!AK21</f>
        <v>100000</v>
      </c>
    </row>
    <row r="22" spans="1:42" ht="18.75" x14ac:dyDescent="0.3">
      <c r="A22" s="1" t="s">
        <v>37</v>
      </c>
      <c r="B22" s="1" t="str">
        <f>VLOOKUP(A22,[15]LISTADHERENT!A$5:H$60,3,0)</f>
        <v>NANKAM APPOLINAIRE</v>
      </c>
      <c r="C22" s="36">
        <f>MVTJANV23!C22+MVTFEV23!C22+MVTMARS23!C22+MVTAVRIL23!C22+MVTMAI23!C22+MVTJUIN23!C22+MVTJUIL23!C22+MVTAOUT23!C22+MVTSEPT23!C22+MVTOCT23!C22+MVTNOV23!C22+MVTDEC23!C22</f>
        <v>600000</v>
      </c>
      <c r="D22" s="36">
        <f>MVTJANV23!D22+MVTFEV23!D22+MVTMARS23!D22+MVTAVRIL23!D22+MVTMAI23!D22+MVTJUIN23!D22+MVTJUIL23!D22+MVTAOUT23!D22+MVTSEPT23!D22+MVTOCT23!D22+MVTNOV23!D22+MVTDEC23!D22</f>
        <v>140918</v>
      </c>
      <c r="E22" s="36">
        <f>MVTJANV23!E22+MVTFEV23!E22+MVTMARS23!E22+MVTAVRIL23!E22+MVTMAI23!E22+MVTJUIN23!E22+MVTJUIL23!E22+MVTAOUT23!E22+MVTSEPT23!E22+MVTOCT23!E22+MVTNOV23!E22+MVTDEC23!E22</f>
        <v>0</v>
      </c>
      <c r="F22" s="5">
        <f>MVTFEV23!F22-MVTRESUME23!E22+K22</f>
        <v>913983.18336848414</v>
      </c>
      <c r="G22" s="6">
        <f>MVTDEC22!G22+MVTJANV23!G22+MVTFEV23!G22+MVTMARS23!G22+MVTAVRIL23!G22+MVTMAI23!G22+MVTJUIN23!G22+MVTJUIL23!G22+MVTAOUT23!G22+MVTSEPT23!G22+MVTOCT23!G22+MVTNOV23!G22+MVTDEC23!G22</f>
        <v>64484.234390188009</v>
      </c>
      <c r="H22" s="6">
        <f>MVTFEV23!H22-MVTRESUME23!E22+MVTRESUME23!K22</f>
        <v>915087.52919901803</v>
      </c>
      <c r="I22" s="36">
        <f>MVTJANV23!I22+MVTFEV23!I22+MVTMARS23!I22+MVTAVRIL23!I22+MVTMAI23!I22+MVTJUIN23!I22+MVTJUIL23!I22+MVTAOUT23!I22+MVTSEPT23!I22+MVTOCT23!I22+MVTNOV23!I22+MVTDEC23!I22</f>
        <v>20000</v>
      </c>
      <c r="J22" s="36">
        <f>MVTJANV23!J22+MVTFEV23!J22+MVTMARS23!J22+MVTAVRIL23!J22+MVTMAI23!J22+MVTJUIN23!J22+MVTJUIL23!J22+MVTAOUT23!J22+MVTSEPT23!J22+MVTOCT23!J22+MVTNOV23!J22+MVTDEC23!J22</f>
        <v>180000</v>
      </c>
      <c r="K22" s="36">
        <f>MVTJANV23!K22+MVTFEV23!K22+MVTMARS23!K22+MVTAVRIL23!K22+MVTMAI23!K22+MVTJUIN23!K22+MVTJUIL23!K22+MVTAOUT23!K22+MVTSEPT23!K22+MVTOCT23!K22+MVTNOV23!K22+MVTDEC23!K22</f>
        <v>108000</v>
      </c>
      <c r="L22" s="36">
        <f>MVTJANV23!L22+MVTFEV23!L22+MVTMARS23!L22+MVTAVRIL23!L22+MVTMAI23!L22+MVTJUIN23!L22+MVTJUIL23!L22+MVTAOUT23!L22+MVTSEPT23!L22+MVTOCT23!L22+MVTNOV23!L22+MVTDEC23!L22</f>
        <v>12000</v>
      </c>
      <c r="M22" s="36">
        <f>MVTJANV23!M22+MVTFEV23!M22+MVTMARS23!M22+MVTAVRIL23!M22+MVTMAI23!M22+MVTJUIN23!M22+MVTJUIL23!M22+MVTAOUT23!M22+MVTSEPT23!M22+MVTOCT23!M22+MVTNOV23!M22+MVTDEC23!M22</f>
        <v>12000</v>
      </c>
      <c r="N22" s="36">
        <f>MVTJANV23!N22+MVTFEV23!N22+MVTMARS23!N22+MVTAVRIL23!N22+MVTMAI23!N22+MVTJUIN23!N22+MVTJUIL23!N22+MVTAOUT23!N22+MVTSEPT23!N22+MVTOCT23!N22+MVTNOV23!N22+MVTDEC23!N22</f>
        <v>48000</v>
      </c>
      <c r="O22" s="36">
        <f>MVTJANV23!O22+MVTFEV23!O22+MVTMARS23!O22+MVTAVRIL23!O22+MVTMAI23!O22+MVTJUIN23!O22+MVTJUIL23!O22+MVTAOUT23!O22+MVTSEPT23!O22+MVTOCT23!O22+MVTNOV23!O22+MVTDEC23!O22</f>
        <v>0</v>
      </c>
      <c r="P22" s="36">
        <f>MVTJANV23!P22+MVTFEV23!P22+MVTMARS23!P22+MVTAVRIL23!P22+MVTMAI23!P22+MVTJUIN23!P22+MVTJUIL23!P22+MVTAOUT23!P22+MVTSEPT23!P22+MVTOCT23!P22+MVTNOV23!P22+MVTDEC23!P22</f>
        <v>0</v>
      </c>
      <c r="Q22" s="36">
        <f>MVTJANV23!Q22+MVTFEV23!Q22+MVTMARS23!Q22+MVTAVRIL23!Q22+MVTMAI23!Q22+MVTJUIN23!Q22+MVTJUIL23!Q22+MVTAOUT23!Q22+MVTSEPT23!Q22+MVTOCT23!Q22+MVTNOV23!Q22+MVTDEC23!Q22</f>
        <v>0</v>
      </c>
      <c r="R22" s="36">
        <f>MVTDEC23!R22</f>
        <v>1000000</v>
      </c>
      <c r="S22" s="36">
        <f>MVTDEC23!S22</f>
        <v>120000</v>
      </c>
      <c r="T22" s="149">
        <v>45627</v>
      </c>
      <c r="U22" s="36">
        <f>MVTJANV23!U22+MVTFEV23!U22+MVTMARS23!U22+MVTAVRIL23!U22+MVTMAI23!U22+MVTJUIN23!U22+MVTJUIL23!U22+MVTAOUT23!U22+MVTSEPT23!U22+MVTOCT23!U22+MVTNOV23!U22+MVTDEC23!U22</f>
        <v>1000000</v>
      </c>
      <c r="V22" s="36"/>
      <c r="W22" s="36"/>
      <c r="X22" s="36">
        <f>MVTJANV23!X22+MVTFEV23!X22+MVTMARS23!X22+MVTAVRIL23!X22+MVTMAI23!X22+MVTJUIN23!X22+MVTJUIL23!X22+MVTAOUT23!X22+MVTSEPT23!X22+MVTOCT23!X22+MVTNOV23!X22+MVTDEC23!X22</f>
        <v>0</v>
      </c>
      <c r="Y22" s="36">
        <f>MVTJANV23!Y22+MVTFEV23!Y22+MVTMARS23!Y22+MVTAVRIL23!Y22+MVTMAI23!Y22+MVTJUIN23!Y22+MVTJUIL23!Y22+MVTAOUT23!Y22+MVTSEPT23!Y22+MVTOCT23!Y22+MVTNOV23!Y22+MVTDEC23!Y22</f>
        <v>0</v>
      </c>
      <c r="Z22" s="36">
        <f>MVTJANV23!Z22+MVTFEV23!Z22+MVTMARS23!Z22+MVTAVRIL23!Z22+MVTMAI23!Z22+MVTJUIN23!Z22+MVTJUIL23!Z22+MVTAOUT23!Z22+MVTSEPT23!Z22+MVTOCT23!Z22+MVTNOV23!Z22+MVTDEC23!Z22</f>
        <v>0</v>
      </c>
      <c r="AA22" s="36">
        <f>MVTJANV23!AA22+MVTFEV23!AA22+MVTMARS23!AA22+MVTAVRIL23!AA22+MVTMAI23!AA22+MVTJUIN23!AA22+MVTJUIL23!AA22+MVTAOUT23!AA22+MVTSEPT23!AA22+MVTOCT23!AA22+MVTNOV23!AA22+MVTDEC23!AA22</f>
        <v>0</v>
      </c>
      <c r="AB22" s="36">
        <f>MVTJANV23!AB22+MVTFEV23!AB22+MVTMARS23!AB22+MVTAVRIL23!AB22+MVTMAI23!AB22+MVTJUIN23!AB22+MVTJUIL23!AB22+MVTAOUT23!AB22+MVTSEPT23!AB22+MVTOCT23!AB22+MVTNOV23!AB22+MVTDEC23!AB22</f>
        <v>0</v>
      </c>
      <c r="AC22" s="36">
        <f>MVTJANV23!AC22+MVTFEV23!AC22+MVTMARS23!AC22+MVTAVRIL23!AC22+MVTMAI23!AC22+MVTJUIN23!AC22+MVTJUIL23!AC22+MVTAOUT23!AC22+MVTSEPT23!AC22+MVTOCT23!AC22+MVTNOV23!AC22+MVTDEC23!AC22</f>
        <v>0</v>
      </c>
      <c r="AD22" s="36">
        <f>MVTJANV23!AD22+MVTFEV23!AD22+MVTMARS23!AD22+MVTAVRIL23!AD22+MVTMAI23!AD22+MVTJUIN23!AD22+MVTJUIL23!AD22+MVTAOUT23!AD22+MVTSEPT23!AD22+MVTOCT23!AD22+MVTNOV23!AD22+MVTDEC23!AD22</f>
        <v>70000</v>
      </c>
      <c r="AE22" s="36">
        <f>MVTJANV23!AE22+MVTFEV23!AE22+MVTMARS23!AE22+MVTAVRIL23!AE22+MVTMAI23!AE22+MVTJUIN23!AE22+MVTJUIL23!AE22+MVTAOUT23!AE22+MVTSEPT23!AE22+MVTOCT23!AE22+MVTNOV23!AE22+MVTDEC23!AE22</f>
        <v>0</v>
      </c>
      <c r="AF22" s="36">
        <f>MVTJANV23!AF22+MVTFEV23!AF22+MVTMARS23!AF22+MVTAVRIL23!AF22+MVTMAI23!AF22+MVTJUIN23!AF22+MVTJUIL23!AF22+MVTAOUT23!AF22+MVTSEPT23!AF22+MVTOCT23!AF22+MVTNOV23!AF22+MVTDEC23!AF22</f>
        <v>0</v>
      </c>
      <c r="AG22" s="36">
        <f>MVTJANV23!AG22+MVTFEV23!AG22+MVTMARS23!AG22+MVTAVRIL23!AG22+MVTMAI23!AG22+MVTJUIN23!AG22+MVTJUIL23!AG22+MVTAOUT23!AG22+MVTSEPT23!AG22+MVTOCT23!AG22+MVTNOV23!AG22+MVTDEC23!AG22</f>
        <v>0</v>
      </c>
      <c r="AH22" s="36">
        <f>MVTJANV23!AH22+MVTFEV23!AH22+MVTMARS23!AH22+MVTAVRIL23!AH22+MVTMAI23!AH22+MVTJUIN23!AH22+MVTJUIL23!AH22+MVTAOUT23!AH22+MVTSEPT23!AH22+MVTOCT23!AH22+MVTNOV23!AH22+MVTDEC23!AH22</f>
        <v>0</v>
      </c>
      <c r="AI22" s="36">
        <f>MVTJANV23!AI22+MVTFEV23!AI22+MVTMARS23!AI22+MVTAVRIL23!AI22+MVTMAI23!AI22+MVTJUIN23!AI22+MVTJUIL23!AI22+MVTAOUT23!AI22+MVTSEPT23!AI22+MVTOCT23!AI22+MVTNOV23!AI22+MVTDEC23!AI22</f>
        <v>0</v>
      </c>
      <c r="AJ22" s="36">
        <f>MVTJANV23!AJ22+MVTFEV23!AJ22+MVTMARS23!AJ22+MVTAVRIL23!AJ22+MVTMAI23!AJ22+MVTJUIN23!AJ22+MVTJUIL23!AJ22+MVTAOUT23!AJ22+MVTSEPT23!AJ22+MVTOCT23!AJ22+MVTNOV23!AJ22+MVTDEC23!AJ22</f>
        <v>0</v>
      </c>
      <c r="AK22" s="98">
        <f>R22-U22</f>
        <v>0</v>
      </c>
      <c r="AL22" s="149">
        <v>45261</v>
      </c>
      <c r="AM22" s="150">
        <f t="shared" si="0"/>
        <v>120000</v>
      </c>
      <c r="AN22" s="150"/>
      <c r="AP22" s="36">
        <f>MVTDEC23!AK22</f>
        <v>100000</v>
      </c>
    </row>
    <row r="23" spans="1:42" ht="18.75" x14ac:dyDescent="0.3">
      <c r="A23" s="1" t="s">
        <v>38</v>
      </c>
      <c r="B23" s="1" t="str">
        <f>VLOOKUP(A23,[15]LISTADHERENT!A$5:H$60,3,0)</f>
        <v>NDJOMO ETIENNE</v>
      </c>
      <c r="C23" s="36">
        <f>MVTJANV23!C23+MVTFEV23!C23+MVTMARS23!C23+MVTAVRIL23!C23+MVTMAI23!C23+MVTJUIN23!C23+MVTJUIL23!C23+MVTAOUT23!C23+MVTSEPT23!C23+MVTOCT23!C23+MVTNOV23!C23+MVTDEC23!C23</f>
        <v>600000</v>
      </c>
      <c r="D23" s="36">
        <f>MVTJANV23!D23+MVTFEV23!D23+MVTMARS23!D23+MVTAVRIL23!D23+MVTMAI23!D23+MVTJUIN23!D23+MVTJUIL23!D23+MVTAOUT23!D23+MVTSEPT23!D23+MVTOCT23!D23+MVTNOV23!D23+MVTDEC23!D23</f>
        <v>283210</v>
      </c>
      <c r="E23" s="36">
        <f>MVTJANV23!E23+MVTFEV23!E23+MVTMARS23!E23+MVTAVRIL23!E23+MVTMAI23!E23+MVTJUIN23!E23+MVTJUIL23!E23+MVTAOUT23!E23+MVTSEPT23!E23+MVTOCT23!E23+MVTNOV23!E23+MVTDEC23!E23</f>
        <v>0</v>
      </c>
      <c r="F23" s="5">
        <f>MVTFEV23!F23-MVTRESUME23!E23+K23</f>
        <v>1201313.8311978166</v>
      </c>
      <c r="G23" s="6">
        <f>MVTDEC22!G23+MVTJANV23!G23+MVTFEV23!G23+MVTMARS23!G23+MVTAVRIL23!G23+MVTMAI23!G23+MVTJUIN23!G23+MVTJUIL23!G23+MVTAOUT23!G23+MVTSEPT23!G23+MVTOCT23!G23+MVTNOV23!G23+MVTDEC23!G23</f>
        <v>77760.61781197961</v>
      </c>
      <c r="H23" s="6">
        <f>MVTFEV23!H23-MVTRESUME23!E23+MVTRESUME23!K23</f>
        <v>1202652.9316615455</v>
      </c>
      <c r="I23" s="36">
        <f>MVTJANV23!I23+MVTFEV23!I23+MVTMARS23!I23+MVTAVRIL23!I23+MVTMAI23!I23+MVTJUIN23!I23+MVTJUIL23!I23+MVTAOUT23!I23+MVTSEPT23!I23+MVTOCT23!I23+MVTNOV23!I23+MVTDEC23!I23</f>
        <v>0</v>
      </c>
      <c r="J23" s="36">
        <f>MVTJANV23!J23+MVTFEV23!J23+MVTMARS23!J23+MVTAVRIL23!J23+MVTMAI23!J23+MVTJUIN23!J23+MVTJUIL23!J23+MVTAOUT23!J23+MVTSEPT23!J23+MVTOCT23!J23+MVTNOV23!J23+MVTDEC23!J23</f>
        <v>296000</v>
      </c>
      <c r="K23" s="36">
        <f>MVTJANV23!K23+MVTFEV23!K23+MVTMARS23!K23+MVTAVRIL23!K23+MVTMAI23!K23+MVTJUIN23!K23+MVTJUIL23!K23+MVTAOUT23!K23+MVTSEPT23!K23+MVTOCT23!K23+MVTNOV23!K23+MVTDEC23!K23</f>
        <v>224000</v>
      </c>
      <c r="L23" s="36">
        <f>MVTJANV23!L23+MVTFEV23!L23+MVTMARS23!L23+MVTAVRIL23!L23+MVTMAI23!L23+MVTJUIN23!L23+MVTJUIL23!L23+MVTAOUT23!L23+MVTSEPT23!L23+MVTOCT23!L23+MVTNOV23!L23+MVTDEC23!L23</f>
        <v>12000</v>
      </c>
      <c r="M23" s="36">
        <f>MVTJANV23!M23+MVTFEV23!M23+MVTMARS23!M23+MVTAVRIL23!M23+MVTMAI23!M23+MVTJUIN23!M23+MVTJUIL23!M23+MVTAOUT23!M23+MVTSEPT23!M23+MVTOCT23!M23+MVTNOV23!M23+MVTDEC23!M23</f>
        <v>12000</v>
      </c>
      <c r="N23" s="36">
        <f>MVTJANV23!N23+MVTFEV23!N23+MVTMARS23!N23+MVTAVRIL23!N23+MVTMAI23!N23+MVTJUIN23!N23+MVTJUIL23!N23+MVTAOUT23!N23+MVTSEPT23!N23+MVTOCT23!N23+MVTNOV23!N23+MVTDEC23!N23</f>
        <v>48000</v>
      </c>
      <c r="O23" s="36">
        <f>MVTJANV23!O23+MVTFEV23!O23+MVTMARS23!O23+MVTAVRIL23!O23+MVTMAI23!O23+MVTJUIN23!O23+MVTJUIL23!O23+MVTAOUT23!O23+MVTSEPT23!O23+MVTOCT23!O23+MVTNOV23!O23+MVTDEC23!O23</f>
        <v>0</v>
      </c>
      <c r="P23" s="36">
        <f>MVTJANV23!P23+MVTFEV23!P23+MVTMARS23!P23+MVTAVRIL23!P23+MVTMAI23!P23+MVTJUIN23!P23+MVTJUIL23!P23+MVTAOUT23!P23+MVTSEPT23!P23+MVTOCT23!P23+MVTNOV23!P23+MVTDEC23!P23</f>
        <v>0</v>
      </c>
      <c r="Q23" s="36">
        <f>MVTJANV23!Q23+MVTFEV23!Q23+MVTMARS23!Q23+MVTAVRIL23!Q23+MVTMAI23!Q23+MVTJUIN23!Q23+MVTJUIL23!Q23+MVTAOUT23!Q23+MVTSEPT23!Q23+MVTOCT23!Q23+MVTNOV23!Q23+MVTDEC23!Q23</f>
        <v>0</v>
      </c>
      <c r="R23" s="36">
        <f>MVTDEC23!R23</f>
        <v>500000</v>
      </c>
      <c r="S23" s="36">
        <f>MVTDEC23!S23</f>
        <v>30000</v>
      </c>
      <c r="T23" s="149">
        <v>45444</v>
      </c>
      <c r="U23" s="36">
        <f>MVTJANV23!U23+MVTFEV23!U23+MVTMARS23!U23+MVTAVRIL23!U23+MVTMAI23!U23+MVTJUIN23!U23+MVTJUIL23!U23+MVTAOUT23!U23+MVTSEPT23!U23+MVTOCT23!U23+MVTNOV23!U23+MVTDEC23!U23</f>
        <v>1200000</v>
      </c>
      <c r="V23" s="36"/>
      <c r="W23" s="36"/>
      <c r="X23" s="36">
        <f>MVTJANV23!X23+MVTFEV23!X23+MVTMARS23!X23+MVTAVRIL23!X23+MVTMAI23!X23+MVTJUIN23!X23+MVTJUIL23!X23+MVTAOUT23!X23+MVTSEPT23!X23+MVTOCT23!X23+MVTNOV23!X23+MVTDEC23!X23</f>
        <v>0</v>
      </c>
      <c r="Y23" s="36">
        <f>MVTJANV23!Y23+MVTFEV23!Y23+MVTMARS23!Y23+MVTAVRIL23!Y23+MVTMAI23!Y23+MVTJUIN23!Y23+MVTJUIL23!Y23+MVTAOUT23!Y23+MVTSEPT23!Y23+MVTOCT23!Y23+MVTNOV23!Y23+MVTDEC23!Y23</f>
        <v>0</v>
      </c>
      <c r="Z23" s="36">
        <f>MVTJANV23!Z23+MVTFEV23!Z23+MVTMARS23!Z23+MVTAVRIL23!Z23+MVTMAI23!Z23+MVTJUIN23!Z23+MVTJUIL23!Z23+MVTAOUT23!Z23+MVTSEPT23!Z23+MVTOCT23!Z23+MVTNOV23!Z23+MVTDEC23!Z23</f>
        <v>0</v>
      </c>
      <c r="AA23" s="36">
        <f>MVTJANV23!AA23+MVTFEV23!AA23+MVTMARS23!AA23+MVTAVRIL23!AA23+MVTMAI23!AA23+MVTJUIN23!AA23+MVTJUIL23!AA23+MVTAOUT23!AA23+MVTSEPT23!AA23+MVTOCT23!AA23+MVTNOV23!AA23+MVTDEC23!AA23</f>
        <v>0</v>
      </c>
      <c r="AB23" s="36">
        <f>MVTJANV23!AB23+MVTFEV23!AB23+MVTMARS23!AB23+MVTAVRIL23!AB23+MVTMAI23!AB23+MVTJUIN23!AB23+MVTJUIL23!AB23+MVTAOUT23!AB23+MVTSEPT23!AB23+MVTOCT23!AB23+MVTNOV23!AB23+MVTDEC23!AB23</f>
        <v>0</v>
      </c>
      <c r="AC23" s="36">
        <f>MVTJANV23!AC23+MVTFEV23!AC23+MVTMARS23!AC23+MVTAVRIL23!AC23+MVTMAI23!AC23+MVTJUIN23!AC23+MVTJUIL23!AC23+MVTAOUT23!AC23+MVTSEPT23!AC23+MVTOCT23!AC23+MVTNOV23!AC23+MVTDEC23!AC23</f>
        <v>0</v>
      </c>
      <c r="AD23" s="36">
        <f>MVTJANV23!AD23+MVTFEV23!AD23+MVTMARS23!AD23+MVTAVRIL23!AD23+MVTMAI23!AD23+MVTJUIN23!AD23+MVTJUIL23!AD23+MVTAOUT23!AD23+MVTSEPT23!AD23+MVTOCT23!AD23+MVTNOV23!AD23+MVTDEC23!AD23</f>
        <v>70000</v>
      </c>
      <c r="AE23" s="36">
        <f>MVTJANV23!AE23+MVTFEV23!AE23+MVTMARS23!AE23+MVTAVRIL23!AE23+MVTMAI23!AE23+MVTJUIN23!AE23+MVTJUIL23!AE23+MVTAOUT23!AE23+MVTSEPT23!AE23+MVTOCT23!AE23+MVTNOV23!AE23+MVTDEC23!AE23</f>
        <v>0</v>
      </c>
      <c r="AF23" s="36">
        <f>MVTJANV23!AF23+MVTFEV23!AF23+MVTMARS23!AF23+MVTAVRIL23!AF23+MVTMAI23!AF23+MVTJUIN23!AF23+MVTJUIL23!AF23+MVTAOUT23!AF23+MVTSEPT23!AF23+MVTOCT23!AF23+MVTNOV23!AF23+MVTDEC23!AF23</f>
        <v>0</v>
      </c>
      <c r="AG23" s="36">
        <f>MVTJANV23!AG23+MVTFEV23!AG23+MVTMARS23!AG23+MVTAVRIL23!AG23+MVTMAI23!AG23+MVTJUIN23!AG23+MVTJUIL23!AG23+MVTAOUT23!AG23+MVTSEPT23!AG23+MVTOCT23!AG23+MVTNOV23!AG23+MVTDEC23!AG23</f>
        <v>0</v>
      </c>
      <c r="AH23" s="36">
        <f>MVTJANV23!AH23+MVTFEV23!AH23+MVTMARS23!AH23+MVTAVRIL23!AH23+MVTMAI23!AH23+MVTJUIN23!AH23+MVTJUIL23!AH23+MVTAOUT23!AH23+MVTSEPT23!AH23+MVTOCT23!AH23+MVTNOV23!AH23+MVTDEC23!AH23</f>
        <v>0</v>
      </c>
      <c r="AI23" s="36">
        <f>MVTJANV23!AI23+MVTFEV23!AI23+MVTMARS23!AI23+MVTAVRIL23!AI23+MVTMAI23!AI23+MVTJUIN23!AI23+MVTJUIL23!AI23+MVTAOUT23!AI23+MVTSEPT23!AI23+MVTOCT23!AI23+MVTNOV23!AI23+MVTDEC23!AI23</f>
        <v>0</v>
      </c>
      <c r="AJ23" s="36">
        <f>MVTJANV23!AJ23+MVTFEV23!AJ23+MVTMARS23!AJ23+MVTAVRIL23!AJ23+MVTMAI23!AJ23+MVTJUIN23!AJ23+MVTJUIL23!AJ23+MVTAOUT23!AJ23+MVTSEPT23!AJ23+MVTOCT23!AJ23+MVTNOV23!AJ23+MVTDEC23!AJ23</f>
        <v>0</v>
      </c>
      <c r="AK23" s="98">
        <f t="shared" si="1"/>
        <v>-700000</v>
      </c>
      <c r="AL23" s="149">
        <v>45261</v>
      </c>
      <c r="AM23" s="150">
        <f t="shared" si="0"/>
        <v>30000</v>
      </c>
      <c r="AN23" s="150"/>
      <c r="AP23" s="36">
        <f>MVTDEC23!AK23</f>
        <v>100000</v>
      </c>
    </row>
    <row r="24" spans="1:42" ht="18.75" x14ac:dyDescent="0.3">
      <c r="A24" s="1" t="s">
        <v>39</v>
      </c>
      <c r="B24" s="1" t="str">
        <f>VLOOKUP(A24,[15]LISTADHERENT!A$5:H$60,3,0)</f>
        <v>NGONDIEP CLAUDE</v>
      </c>
      <c r="C24" s="36">
        <f>MVTJANV23!C24+MVTFEV23!C24+MVTMARS23!C24+MVTAVRIL23!C24+MVTMAI23!C24+MVTJUIN23!C24+MVTJUIL23!C24+MVTAOUT23!C24+MVTSEPT23!C24+MVTOCT23!C24+MVTNOV23!C24+MVTDEC23!C24</f>
        <v>600000</v>
      </c>
      <c r="D24" s="36">
        <f>MVTJANV23!D24+MVTFEV23!D24+MVTMARS23!D24+MVTAVRIL23!D24+MVTMAI23!D24+MVTJUIN23!D24+MVTJUIL23!D24+MVTAOUT23!D24+MVTSEPT23!D24+MVTOCT23!D24+MVTNOV23!D24+MVTDEC23!D24</f>
        <v>39787</v>
      </c>
      <c r="E24" s="36">
        <f>MVTJANV23!E24+MVTFEV23!E24+MVTMARS23!E24+MVTAVRIL23!E24+MVTMAI23!E24+MVTJUIN23!E24+MVTJUIL23!E24+MVTAOUT23!E24+MVTSEPT23!E24+MVTOCT23!E24+MVTNOV23!E24+MVTDEC23!E24</f>
        <v>0</v>
      </c>
      <c r="F24" s="5">
        <f>MVTFEV23!F24-MVTRESUME23!E24+K24</f>
        <v>815427.64754339075</v>
      </c>
      <c r="G24" s="6">
        <f>MVTDEC22!G24+MVTJANV23!G24+MVTFEV23!G24+MVTMARS23!G24+MVTAVRIL23!G24+MVTMAI23!G24+MVTJUIN23!G24+MVTJUIL23!G24+MVTAOUT23!G24+MVTSEPT23!G24+MVTOCT23!G24+MVTNOV23!G24+MVTDEC23!G24</f>
        <v>55845.73227114683</v>
      </c>
      <c r="H24" s="6">
        <f>MVTFEV23!H24-MVTRESUME23!E24+MVTRESUME23!K24</f>
        <v>816384.62242377293</v>
      </c>
      <c r="I24" s="36">
        <f>MVTJANV23!I24+MVTFEV23!I24+MVTMARS23!I24+MVTAVRIL23!I24+MVTMAI23!I24+MVTJUIN23!I24+MVTJUIL23!I24+MVTAOUT23!I24+MVTSEPT23!I24+MVTOCT23!I24+MVTNOV23!I24+MVTDEC23!I24</f>
        <v>15000</v>
      </c>
      <c r="J24" s="36">
        <f>MVTJANV23!J24+MVTFEV23!J24+MVTMARS23!J24+MVTAVRIL23!J24+MVTMAI23!J24+MVTJUIN23!J24+MVTJUIL23!J24+MVTAOUT23!J24+MVTSEPT23!J24+MVTOCT23!J24+MVTNOV23!J24+MVTDEC23!J24</f>
        <v>192000</v>
      </c>
      <c r="K24" s="36">
        <f>MVTJANV23!K24+MVTFEV23!K24+MVTMARS23!K24+MVTAVRIL23!K24+MVTMAI23!K24+MVTJUIN23!K24+MVTJUIL23!K24+MVTAOUT23!K24+MVTSEPT23!K24+MVTOCT23!K24+MVTNOV23!K24+MVTDEC23!K24</f>
        <v>117000</v>
      </c>
      <c r="L24" s="36">
        <f>MVTJANV23!L24+MVTFEV23!L24+MVTMARS23!L24+MVTAVRIL23!L24+MVTMAI23!L24+MVTJUIN23!L24+MVTJUIL23!L24+MVTAOUT23!L24+MVTSEPT23!L24+MVTOCT23!L24+MVTNOV23!L24+MVTDEC23!L24</f>
        <v>12000</v>
      </c>
      <c r="M24" s="36">
        <f>MVTJANV23!M24+MVTFEV23!M24+MVTMARS23!M24+MVTAVRIL23!M24+MVTMAI23!M24+MVTJUIN23!M24+MVTJUIL23!M24+MVTAOUT23!M24+MVTSEPT23!M24+MVTOCT23!M24+MVTNOV23!M24+MVTDEC23!M24</f>
        <v>12000</v>
      </c>
      <c r="N24" s="36">
        <f>MVTJANV23!N24+MVTFEV23!N24+MVTMARS23!N24+MVTAVRIL23!N24+MVTMAI23!N24+MVTJUIN23!N24+MVTJUIL23!N24+MVTAOUT23!N24+MVTSEPT23!N24+MVTOCT23!N24+MVTNOV23!N24+MVTDEC23!N24</f>
        <v>48000</v>
      </c>
      <c r="O24" s="36">
        <f>MVTJANV23!O24+MVTFEV23!O24+MVTMARS23!O24+MVTAVRIL23!O24+MVTMAI23!O24+MVTJUIN23!O24+MVTJUIL23!O24+MVTAOUT23!O24+MVTSEPT23!O24+MVTOCT23!O24+MVTNOV23!O24+MVTDEC23!O24</f>
        <v>3000</v>
      </c>
      <c r="P24" s="36">
        <f>MVTJANV23!P24+MVTFEV23!P24+MVTMARS23!P24+MVTAVRIL23!P24+MVTMAI23!P24+MVTJUIN23!P24+MVTJUIL23!P24+MVTAOUT23!P24+MVTSEPT23!P24+MVTOCT23!P24+MVTNOV23!P24+MVTDEC23!P24</f>
        <v>0</v>
      </c>
      <c r="Q24" s="36">
        <f>MVTJANV23!Q24+MVTFEV23!Q24+MVTMARS23!Q24+MVTAVRIL23!Q24+MVTMAI23!Q24+MVTJUIN23!Q24+MVTJUIL23!Q24+MVTAOUT23!Q24+MVTSEPT23!Q24+MVTOCT23!Q24+MVTNOV23!Q24+MVTDEC23!Q24</f>
        <v>0</v>
      </c>
      <c r="R24" s="36">
        <f>MVTDEC23!R24</f>
        <v>1000000</v>
      </c>
      <c r="S24" s="36">
        <f>MVTDEC23!S24</f>
        <v>120000</v>
      </c>
      <c r="T24" s="149">
        <v>45627</v>
      </c>
      <c r="U24" s="36">
        <f>MVTJANV23!U24+MVTFEV23!U24+MVTMARS23!U24+MVTAVRIL23!U24+MVTMAI23!U24+MVTJUIN23!U24+MVTJUIL23!U24+MVTAOUT23!U24+MVTSEPT23!U24+MVTOCT23!U24+MVTNOV23!U24+MVTDEC23!U24</f>
        <v>1000000</v>
      </c>
      <c r="V24" s="36"/>
      <c r="W24" s="36"/>
      <c r="X24" s="36">
        <f>MVTJANV23!X24+MVTFEV23!X24+MVTMARS23!X24+MVTAVRIL23!X24+MVTMAI23!X24+MVTJUIN23!X24+MVTJUIL23!X24+MVTAOUT23!X24+MVTSEPT23!X24+MVTOCT23!X24+MVTNOV23!X24+MVTDEC23!X24</f>
        <v>0</v>
      </c>
      <c r="Y24" s="36">
        <f>MVTJANV23!Y24+MVTFEV23!Y24+MVTMARS23!Y24+MVTAVRIL23!Y24+MVTMAI23!Y24+MVTJUIN23!Y24+MVTJUIL23!Y24+MVTAOUT23!Y24+MVTSEPT23!Y24+MVTOCT23!Y24+MVTNOV23!Y24+MVTDEC23!Y24</f>
        <v>0</v>
      </c>
      <c r="Z24" s="36">
        <f>MVTJANV23!Z24+MVTFEV23!Z24+MVTMARS23!Z24+MVTAVRIL23!Z24+MVTMAI23!Z24+MVTJUIN23!Z24+MVTJUIL23!Z24+MVTAOUT23!Z24+MVTSEPT23!Z24+MVTOCT23!Z24+MVTNOV23!Z24+MVTDEC23!Z24</f>
        <v>0</v>
      </c>
      <c r="AA24" s="36">
        <f>MVTJANV23!AA24+MVTFEV23!AA24+MVTMARS23!AA24+MVTAVRIL23!AA24+MVTMAI23!AA24+MVTJUIN23!AA24+MVTJUIL23!AA24+MVTAOUT23!AA24+MVTSEPT23!AA24+MVTOCT23!AA24+MVTNOV23!AA24+MVTDEC23!AA24</f>
        <v>0</v>
      </c>
      <c r="AB24" s="36">
        <f>MVTJANV23!AB24+MVTFEV23!AB24+MVTMARS23!AB24+MVTAVRIL23!AB24+MVTMAI23!AB24+MVTJUIN23!AB24+MVTJUIL23!AB24+MVTAOUT23!AB24+MVTSEPT23!AB24+MVTOCT23!AB24+MVTNOV23!AB24+MVTDEC23!AB24</f>
        <v>0</v>
      </c>
      <c r="AC24" s="36">
        <f>MVTJANV23!AC24+MVTFEV23!AC24+MVTMARS23!AC24+MVTAVRIL23!AC24+MVTMAI23!AC24+MVTJUIN23!AC24+MVTJUIL23!AC24+MVTAOUT23!AC24+MVTSEPT23!AC24+MVTOCT23!AC24+MVTNOV23!AC24+MVTDEC23!AC24</f>
        <v>0</v>
      </c>
      <c r="AD24" s="36">
        <f>MVTJANV23!AD24+MVTFEV23!AD24+MVTMARS23!AD24+MVTAVRIL23!AD24+MVTMAI23!AD24+MVTJUIN23!AD24+MVTJUIL23!AD24+MVTAOUT23!AD24+MVTSEPT23!AD24+MVTOCT23!AD24+MVTNOV23!AD24+MVTDEC23!AD24</f>
        <v>70000</v>
      </c>
      <c r="AE24" s="36">
        <f>MVTJANV23!AE24+MVTFEV23!AE24+MVTMARS23!AE24+MVTAVRIL23!AE24+MVTMAI23!AE24+MVTJUIN23!AE24+MVTJUIL23!AE24+MVTAOUT23!AE24+MVTSEPT23!AE24+MVTOCT23!AE24+MVTNOV23!AE24+MVTDEC23!AE24</f>
        <v>0</v>
      </c>
      <c r="AF24" s="36">
        <f>MVTJANV23!AF24+MVTFEV23!AF24+MVTMARS23!AF24+MVTAVRIL23!AF24+MVTMAI23!AF24+MVTJUIN23!AF24+MVTJUIL23!AF24+MVTAOUT23!AF24+MVTSEPT23!AF24+MVTOCT23!AF24+MVTNOV23!AF24+MVTDEC23!AF24</f>
        <v>0</v>
      </c>
      <c r="AG24" s="36">
        <f>MVTJANV23!AG24+MVTFEV23!AG24+MVTMARS23!AG24+MVTAVRIL23!AG24+MVTMAI23!AG24+MVTJUIN23!AG24+MVTJUIL23!AG24+MVTAOUT23!AG24+MVTSEPT23!AG24+MVTOCT23!AG24+MVTNOV23!AG24+MVTDEC23!AG24</f>
        <v>0</v>
      </c>
      <c r="AH24" s="36">
        <f>MVTJANV23!AH24+MVTFEV23!AH24+MVTMARS23!AH24+MVTAVRIL23!AH24+MVTMAI23!AH24+MVTJUIN23!AH24+MVTJUIL23!AH24+MVTAOUT23!AH24+MVTSEPT23!AH24+MVTOCT23!AH24+MVTNOV23!AH24+MVTDEC23!AH24</f>
        <v>0</v>
      </c>
      <c r="AI24" s="36">
        <f>MVTJANV23!AI24+MVTFEV23!AI24+MVTMARS23!AI24+MVTAVRIL23!AI24+MVTMAI23!AI24+MVTJUIN23!AI24+MVTJUIL23!AI24+MVTAOUT23!AI24+MVTSEPT23!AI24+MVTOCT23!AI24+MVTNOV23!AI24+MVTDEC23!AI24</f>
        <v>0</v>
      </c>
      <c r="AJ24" s="36">
        <f>MVTJANV23!AJ24+MVTFEV23!AJ24+MVTMARS23!AJ24+MVTAVRIL23!AJ24+MVTMAI23!AJ24+MVTJUIN23!AJ24+MVTJUIL23!AJ24+MVTAOUT23!AJ24+MVTSEPT23!AJ24+MVTOCT23!AJ24+MVTNOV23!AJ24+MVTDEC23!AJ24</f>
        <v>0</v>
      </c>
      <c r="AK24" s="98">
        <f t="shared" si="1"/>
        <v>0</v>
      </c>
      <c r="AL24" s="149">
        <v>45261</v>
      </c>
      <c r="AM24" s="150">
        <f t="shared" si="0"/>
        <v>120000</v>
      </c>
      <c r="AN24" s="150"/>
      <c r="AP24" s="36">
        <f>MVTDEC23!AK24</f>
        <v>100000</v>
      </c>
    </row>
    <row r="25" spans="1:42" ht="18.75" x14ac:dyDescent="0.3">
      <c r="A25" s="1" t="s">
        <v>41</v>
      </c>
      <c r="B25" s="1" t="str">
        <f>VLOOKUP(A25,[15]LISTADHERENT!A$5:H$60,3,0)</f>
        <v>NGUIEMEGNI MATHIEU BLAISE</v>
      </c>
      <c r="C25" s="36">
        <f>MVTJANV23!C25+MVTFEV23!C25+MVTMARS23!C25+MVTAVRIL23!C25+MVTMAI23!C25+MVTJUIN23!C25+MVTJUIL23!C25+MVTAOUT23!C25+MVTSEPT23!C25+MVTOCT23!C25+MVTNOV23!C25+MVTDEC23!C25</f>
        <v>600000</v>
      </c>
      <c r="D25" s="36">
        <f>MVTJANV23!D25+MVTFEV23!D25+MVTMARS23!D25+MVTAVRIL23!D25+MVTMAI23!D25+MVTJUIN23!D25+MVTJUIL23!D25+MVTAOUT23!D25+MVTSEPT23!D25+MVTOCT23!D25+MVTNOV23!D25+MVTDEC23!D25</f>
        <v>13696</v>
      </c>
      <c r="E25" s="36">
        <f>MVTJANV23!E25+MVTFEV23!E25+MVTMARS23!E25+MVTAVRIL23!E25+MVTMAI23!E25+MVTJUIN23!E25+MVTJUIL23!E25+MVTAOUT23!E25+MVTSEPT23!E25+MVTOCT23!E25+MVTNOV23!E25+MVTDEC23!E25</f>
        <v>0</v>
      </c>
      <c r="F25" s="5">
        <f>MVTFEV23!F25-MVTRESUME23!E25+K25</f>
        <v>1078678.9712208423</v>
      </c>
      <c r="G25" s="6">
        <f>MVTDEC22!G25+MVTJANV23!G25+MVTFEV23!G25+MVTMARS23!G25+MVTAVRIL23!G25+MVTMAI23!G25+MVTJUIN23!G25+MVTJUIL23!G25+MVTAOUT23!G25+MVTSEPT23!G25+MVTOCT23!G25+MVTNOV23!G25+MVTDEC23!G25</f>
        <v>53686.784231808502</v>
      </c>
      <c r="H25" s="6">
        <f>MVTFEV23!H25-MVTRESUME23!E25+MVTRESUME23!K25</f>
        <v>1079597.9252893366</v>
      </c>
      <c r="I25" s="36">
        <f>MVTJANV23!I25+MVTFEV23!I25+MVTMARS23!I25+MVTAVRIL23!I25+MVTMAI23!I25+MVTJUIN23!I25+MVTJUIL23!I25+MVTAOUT23!I25+MVTSEPT23!I25+MVTOCT23!I25+MVTNOV23!I25+MVTDEC23!I25</f>
        <v>15000</v>
      </c>
      <c r="J25" s="36">
        <f>MVTJANV23!J25+MVTFEV23!J25+MVTMARS23!J25+MVTAVRIL23!J25+MVTMAI23!J25+MVTJUIN23!J25+MVTJUIL23!J25+MVTAOUT23!J25+MVTSEPT23!J25+MVTOCT23!J25+MVTNOV23!J25+MVTDEC23!J25</f>
        <v>480000</v>
      </c>
      <c r="K25" s="36">
        <f>MVTJANV23!K25+MVTFEV23!K25+MVTMARS23!K25+MVTAVRIL23!K25+MVTMAI23!K25+MVTJUIN23!K25+MVTJUIL23!K25+MVTAOUT23!K25+MVTSEPT23!K25+MVTOCT23!K25+MVTNOV23!K25+MVTDEC23!K25</f>
        <v>408000</v>
      </c>
      <c r="L25" s="36">
        <f>MVTJANV23!L25+MVTFEV23!L25+MVTMARS23!L25+MVTAVRIL23!L25+MVTMAI23!L25+MVTJUIN23!L25+MVTJUIL23!L25+MVTAOUT23!L25+MVTSEPT23!L25+MVTOCT23!L25+MVTNOV23!L25+MVTDEC23!L25</f>
        <v>12000</v>
      </c>
      <c r="M25" s="36">
        <f>MVTJANV23!M25+MVTFEV23!M25+MVTMARS23!M25+MVTAVRIL23!M25+MVTMAI23!M25+MVTJUIN23!M25+MVTJUIL23!M25+MVTAOUT23!M25+MVTSEPT23!M25+MVTOCT23!M25+MVTNOV23!M25+MVTDEC23!M25</f>
        <v>12000</v>
      </c>
      <c r="N25" s="36">
        <f>MVTJANV23!N25+MVTFEV23!N25+MVTMARS23!N25+MVTAVRIL23!N25+MVTMAI23!N25+MVTJUIN23!N25+MVTJUIL23!N25+MVTAOUT23!N25+MVTSEPT23!N25+MVTOCT23!N25+MVTNOV23!N25+MVTDEC23!N25</f>
        <v>48000</v>
      </c>
      <c r="O25" s="36">
        <f>MVTJANV23!O25+MVTFEV23!O25+MVTMARS23!O25+MVTAVRIL23!O25+MVTMAI23!O25+MVTJUIN23!O25+MVTJUIL23!O25+MVTAOUT23!O25+MVTSEPT23!O25+MVTOCT23!O25+MVTNOV23!O25+MVTDEC23!O25</f>
        <v>0</v>
      </c>
      <c r="P25" s="36">
        <f>MVTJANV23!P25+MVTFEV23!P25+MVTMARS23!P25+MVTAVRIL23!P25+MVTMAI23!P25+MVTJUIN23!P25+MVTJUIL23!P25+MVTAOUT23!P25+MVTSEPT23!P25+MVTOCT23!P25+MVTNOV23!P25+MVTDEC23!P25</f>
        <v>0</v>
      </c>
      <c r="Q25" s="36">
        <f>MVTJANV23!Q25+MVTFEV23!Q25+MVTMARS23!Q25+MVTAVRIL23!Q25+MVTMAI23!Q25+MVTJUIN23!Q25+MVTJUIL23!Q25+MVTAOUT23!Q25+MVTSEPT23!Q25+MVTOCT23!Q25+MVTNOV23!Q25+MVTDEC23!Q25</f>
        <v>0</v>
      </c>
      <c r="R25" s="36">
        <f>MVTDEC23!R25</f>
        <v>1000000</v>
      </c>
      <c r="S25" s="36">
        <f>MVTDEC23!S25</f>
        <v>120000</v>
      </c>
      <c r="T25" s="149">
        <v>45627</v>
      </c>
      <c r="U25" s="36">
        <f>MVTJANV23!U25+MVTFEV23!U25+MVTMARS23!U25+MVTAVRIL23!U25+MVTMAI23!U25+MVTJUIN23!U25+MVTJUIL23!U25+MVTAOUT23!U25+MVTSEPT23!U25+MVTOCT23!U25+MVTNOV23!U25+MVTDEC23!U25</f>
        <v>1000000</v>
      </c>
      <c r="V25" s="36"/>
      <c r="W25" s="36"/>
      <c r="X25" s="36">
        <f>MVTJANV23!X25+MVTFEV23!X25+MVTMARS23!X25+MVTAVRIL23!X25+MVTMAI23!X25+MVTJUIN23!X25+MVTJUIL23!X25+MVTAOUT23!X25+MVTSEPT23!X25+MVTOCT23!X25+MVTNOV23!X25+MVTDEC23!X25</f>
        <v>0</v>
      </c>
      <c r="Y25" s="36">
        <f>MVTJANV23!Y25+MVTFEV23!Y25+MVTMARS23!Y25+MVTAVRIL23!Y25+MVTMAI23!Y25+MVTJUIN23!Y25+MVTJUIL23!Y25+MVTAOUT23!Y25+MVTSEPT23!Y25+MVTOCT23!Y25+MVTNOV23!Y25+MVTDEC23!Y25</f>
        <v>0</v>
      </c>
      <c r="Z25" s="36">
        <f>MVTJANV23!Z25+MVTFEV23!Z25+MVTMARS23!Z25+MVTAVRIL23!Z25+MVTMAI23!Z25+MVTJUIN23!Z25+MVTJUIL23!Z25+MVTAOUT23!Z25+MVTSEPT23!Z25+MVTOCT23!Z25+MVTNOV23!Z25+MVTDEC23!Z25</f>
        <v>0</v>
      </c>
      <c r="AA25" s="36">
        <f>MVTJANV23!AA25+MVTFEV23!AA25+MVTMARS23!AA25+MVTAVRIL23!AA25+MVTMAI23!AA25+MVTJUIN23!AA25+MVTJUIL23!AA25+MVTAOUT23!AA25+MVTSEPT23!AA25+MVTOCT23!AA25+MVTNOV23!AA25+MVTDEC23!AA25</f>
        <v>0</v>
      </c>
      <c r="AB25" s="36">
        <f>MVTJANV23!AB25+MVTFEV23!AB25+MVTMARS23!AB25+MVTAVRIL23!AB25+MVTMAI23!AB25+MVTJUIN23!AB25+MVTJUIL23!AB25+MVTAOUT23!AB25+MVTSEPT23!AB25+MVTOCT23!AB25+MVTNOV23!AB25+MVTDEC23!AB25</f>
        <v>0</v>
      </c>
      <c r="AC25" s="36">
        <f>MVTJANV23!AC25+MVTFEV23!AC25+MVTMARS23!AC25+MVTAVRIL23!AC25+MVTMAI23!AC25+MVTJUIN23!AC25+MVTJUIL23!AC25+MVTAOUT23!AC25+MVTSEPT23!AC25+MVTOCT23!AC25+MVTNOV23!AC25+MVTDEC23!AC25</f>
        <v>0</v>
      </c>
      <c r="AD25" s="36">
        <f>MVTJANV23!AD25+MVTFEV23!AD25+MVTMARS23!AD25+MVTAVRIL23!AD25+MVTMAI23!AD25+MVTJUIN23!AD25+MVTJUIL23!AD25+MVTAOUT23!AD25+MVTSEPT23!AD25+MVTOCT23!AD25+MVTNOV23!AD25+MVTDEC23!AD25</f>
        <v>70000</v>
      </c>
      <c r="AE25" s="36">
        <f>MVTJANV23!AE25+MVTFEV23!AE25+MVTMARS23!AE25+MVTAVRIL23!AE25+MVTMAI23!AE25+MVTJUIN23!AE25+MVTJUIL23!AE25+MVTAOUT23!AE25+MVTSEPT23!AE25+MVTOCT23!AE25+MVTNOV23!AE25+MVTDEC23!AE25</f>
        <v>0</v>
      </c>
      <c r="AF25" s="36">
        <f>MVTJANV23!AF25+MVTFEV23!AF25+MVTMARS23!AF25+MVTAVRIL23!AF25+MVTMAI23!AF25+MVTJUIN23!AF25+MVTJUIL23!AF25+MVTAOUT23!AF25+MVTSEPT23!AF25+MVTOCT23!AF25+MVTNOV23!AF25+MVTDEC23!AF25</f>
        <v>0</v>
      </c>
      <c r="AG25" s="36">
        <f>MVTJANV23!AG25+MVTFEV23!AG25+MVTMARS23!AG25+MVTAVRIL23!AG25+MVTMAI23!AG25+MVTJUIN23!AG25+MVTJUIL23!AG25+MVTAOUT23!AG25+MVTSEPT23!AG25+MVTOCT23!AG25+MVTNOV23!AG25+MVTDEC23!AG25</f>
        <v>0</v>
      </c>
      <c r="AH25" s="36">
        <f>MVTJANV23!AH25+MVTFEV23!AH25+MVTMARS23!AH25+MVTAVRIL23!AH25+MVTMAI23!AH25+MVTJUIN23!AH25+MVTJUIL23!AH25+MVTAOUT23!AH25+MVTSEPT23!AH25+MVTOCT23!AH25+MVTNOV23!AH25+MVTDEC23!AH25</f>
        <v>0</v>
      </c>
      <c r="AI25" s="36">
        <f>MVTJANV23!AI25+MVTFEV23!AI25+MVTMARS23!AI25+MVTAVRIL23!AI25+MVTMAI23!AI25+MVTJUIN23!AI25+MVTJUIL23!AI25+MVTAOUT23!AI25+MVTSEPT23!AI25+MVTOCT23!AI25+MVTNOV23!AI25+MVTDEC23!AI25</f>
        <v>0</v>
      </c>
      <c r="AJ25" s="36">
        <f>MVTJANV23!AJ25+MVTFEV23!AJ25+MVTMARS23!AJ25+MVTAVRIL23!AJ25+MVTMAI23!AJ25+MVTJUIN23!AJ25+MVTJUIL23!AJ25+MVTAOUT23!AJ25+MVTSEPT23!AJ25+MVTOCT23!AJ25+MVTNOV23!AJ25+MVTDEC23!AJ25</f>
        <v>0</v>
      </c>
      <c r="AK25" s="98">
        <f t="shared" si="1"/>
        <v>0</v>
      </c>
      <c r="AL25" s="149">
        <v>45261</v>
      </c>
      <c r="AM25" s="150">
        <f t="shared" si="0"/>
        <v>120000</v>
      </c>
      <c r="AN25" s="150"/>
      <c r="AP25" s="36">
        <f>MVTDEC23!AK25</f>
        <v>100000</v>
      </c>
    </row>
    <row r="26" spans="1:42" ht="18.75" x14ac:dyDescent="0.3">
      <c r="A26" s="1" t="s">
        <v>43</v>
      </c>
      <c r="B26" s="1" t="str">
        <f>VLOOKUP(A26,[15]LISTADHERENT!A$5:H$60,3,0)</f>
        <v>NKAMGANG JUSTIN DEJOLIE</v>
      </c>
      <c r="C26" s="36">
        <f>MVTJANV23!C26+MVTFEV23!C26+MVTMARS23!C26+MVTAVRIL23!C26+MVTMAI23!C26+MVTJUIN23!C26+MVTJUIL23!C26+MVTAOUT23!C26+MVTSEPT23!C26+MVTOCT23!C26+MVTNOV23!C26+MVTDEC23!C26</f>
        <v>600000</v>
      </c>
      <c r="D26" s="36">
        <f>MVTJANV23!D26+MVTFEV23!D26+MVTMARS23!D26+MVTAVRIL23!D26+MVTMAI23!D26+MVTJUIN23!D26+MVTJUIL23!D26+MVTAOUT23!D26+MVTSEPT23!D26+MVTOCT23!D26+MVTNOV23!D26+MVTDEC23!D26</f>
        <v>575</v>
      </c>
      <c r="E26" s="36">
        <f>MVTJANV23!E26+MVTFEV23!E26+MVTMARS23!E26+MVTAVRIL23!E26+MVTMAI23!E26+MVTJUIN23!E26+MVTJUIL23!E26+MVTAOUT23!E26+MVTSEPT23!E26+MVTOCT23!E26+MVTNOV23!E26+MVTDEC23!E26</f>
        <v>0</v>
      </c>
      <c r="F26" s="5">
        <f>MVTFEV23!F26-MVTRESUME23!E26+K26</f>
        <v>762725.07685729465</v>
      </c>
      <c r="G26" s="6">
        <f>MVTDEC22!G26+MVTJANV23!G26+MVTFEV23!G26+MVTMARS23!G26+MVTAVRIL23!G26+MVTMAI23!G26+MVTJUIN23!G26+MVTJUIL23!G26+MVTAOUT23!G26+MVTSEPT23!G26+MVTOCT23!G26+MVTNOV23!G26+MVTDEC23!G26</f>
        <v>52456.484583758327</v>
      </c>
      <c r="H26" s="6">
        <f>MVTFEV23!H26-MVTRESUME23!E26+MVTRESUME23!K26</f>
        <v>763624.91151315358</v>
      </c>
      <c r="I26" s="36">
        <f>MVTJANV23!I26+MVTFEV23!I26+MVTMARS23!I26+MVTAVRIL23!I26+MVTMAI23!I26+MVTJUIN23!I26+MVTJUIL23!I26+MVTAOUT23!I26+MVTSEPT23!I26+MVTOCT23!I26+MVTNOV23!I26+MVTDEC23!I26</f>
        <v>0</v>
      </c>
      <c r="J26" s="36">
        <f>MVTJANV23!J26+MVTFEV23!J26+MVTMARS23!J26+MVTAVRIL23!J26+MVTMAI23!J26+MVTJUIN23!J26+MVTJUIL23!J26+MVTAOUT23!J26+MVTSEPT23!J26+MVTOCT23!J26+MVTNOV23!J26+MVTDEC23!J26</f>
        <v>178000</v>
      </c>
      <c r="K26" s="36">
        <f>MVTJANV23!K26+MVTFEV23!K26+MVTMARS23!K26+MVTAVRIL23!K26+MVTMAI23!K26+MVTJUIN23!K26+MVTJUIL23!K26+MVTAOUT23!K26+MVTSEPT23!K26+MVTOCT23!K26+MVTNOV23!K26+MVTDEC23!K26</f>
        <v>106000</v>
      </c>
      <c r="L26" s="36">
        <f>MVTJANV23!L26+MVTFEV23!L26+MVTMARS23!L26+MVTAVRIL23!L26+MVTMAI23!L26+MVTJUIN23!L26+MVTJUIL23!L26+MVTAOUT23!L26+MVTSEPT23!L26+MVTOCT23!L26+MVTNOV23!L26+MVTDEC23!L26</f>
        <v>12000</v>
      </c>
      <c r="M26" s="36">
        <f>MVTJANV23!M26+MVTFEV23!M26+MVTMARS23!M26+MVTAVRIL23!M26+MVTMAI23!M26+MVTJUIN23!M26+MVTJUIL23!M26+MVTAOUT23!M26+MVTSEPT23!M26+MVTOCT23!M26+MVTNOV23!M26+MVTDEC23!M26</f>
        <v>12000</v>
      </c>
      <c r="N26" s="36">
        <f>MVTJANV23!N26+MVTFEV23!N26+MVTMARS23!N26+MVTAVRIL23!N26+MVTMAI23!N26+MVTJUIN23!N26+MVTJUIL23!N26+MVTAOUT23!N26+MVTSEPT23!N26+MVTOCT23!N26+MVTNOV23!N26+MVTDEC23!N26</f>
        <v>48000</v>
      </c>
      <c r="O26" s="36">
        <f>MVTJANV23!O26+MVTFEV23!O26+MVTMARS23!O26+MVTAVRIL23!O26+MVTMAI23!O26+MVTJUIN23!O26+MVTJUIL23!O26+MVTAOUT23!O26+MVTSEPT23!O26+MVTOCT23!O26+MVTNOV23!O26+MVTDEC23!O26</f>
        <v>18000</v>
      </c>
      <c r="P26" s="36">
        <f>MVTJANV23!P26+MVTFEV23!P26+MVTMARS23!P26+MVTAVRIL23!P26+MVTMAI23!P26+MVTJUIN23!P26+MVTJUIL23!P26+MVTAOUT23!P26+MVTSEPT23!P26+MVTOCT23!P26+MVTNOV23!P26+MVTDEC23!P26</f>
        <v>0</v>
      </c>
      <c r="Q26" s="36">
        <f>MVTJANV23!Q26+MVTFEV23!Q26+MVTMARS23!Q26+MVTAVRIL23!Q26+MVTMAI23!Q26+MVTJUIN23!Q26+MVTJUIL23!Q26+MVTAOUT23!Q26+MVTSEPT23!Q26+MVTOCT23!Q26+MVTNOV23!Q26+MVTDEC23!Q26</f>
        <v>0</v>
      </c>
      <c r="R26" s="36">
        <f>MVTDEC23!R26</f>
        <v>1000000</v>
      </c>
      <c r="S26" s="36">
        <f>MVTDEC23!S26</f>
        <v>30000</v>
      </c>
      <c r="T26" s="149">
        <v>45352</v>
      </c>
      <c r="U26" s="36">
        <f>MVTJANV23!U26+MVTFEV23!U26+MVTMARS23!U26+MVTAVRIL23!U26+MVTMAI23!U26+MVTJUIN23!U26+MVTJUIL23!U26+MVTAOUT23!U26+MVTSEPT23!U26+MVTOCT23!U26+MVTNOV23!U26+MVTDEC23!U26</f>
        <v>3000000</v>
      </c>
      <c r="V26" s="36"/>
      <c r="W26" s="36"/>
      <c r="X26" s="36">
        <f>MVTJANV23!X26+MVTFEV23!X26+MVTMARS23!X26+MVTAVRIL23!X26+MVTMAI23!X26+MVTJUIN23!X26+MVTJUIL23!X26+MVTAOUT23!X26+MVTSEPT23!X26+MVTOCT23!X26+MVTNOV23!X26+MVTDEC23!X26</f>
        <v>0</v>
      </c>
      <c r="Y26" s="36">
        <f>MVTJANV23!Y26+MVTFEV23!Y26+MVTMARS23!Y26+MVTAVRIL23!Y26+MVTMAI23!Y26+MVTJUIN23!Y26+MVTJUIL23!Y26+MVTAOUT23!Y26+MVTSEPT23!Y26+MVTOCT23!Y26+MVTNOV23!Y26+MVTDEC23!Y26</f>
        <v>0</v>
      </c>
      <c r="Z26" s="36">
        <f>MVTJANV23!Z26+MVTFEV23!Z26+MVTMARS23!Z26+MVTAVRIL23!Z26+MVTMAI23!Z26+MVTJUIN23!Z26+MVTJUIL23!Z26+MVTAOUT23!Z26+MVTSEPT23!Z26+MVTOCT23!Z26+MVTNOV23!Z26+MVTDEC23!Z26</f>
        <v>0</v>
      </c>
      <c r="AA26" s="36">
        <f>MVTJANV23!AA26+MVTFEV23!AA26+MVTMARS23!AA26+MVTAVRIL23!AA26+MVTMAI23!AA26+MVTJUIN23!AA26+MVTJUIL23!AA26+MVTAOUT23!AA26+MVTSEPT23!AA26+MVTOCT23!AA26+MVTNOV23!AA26+MVTDEC23!AA26</f>
        <v>0</v>
      </c>
      <c r="AB26" s="36">
        <f>MVTJANV23!AB26+MVTFEV23!AB26+MVTMARS23!AB26+MVTAVRIL23!AB26+MVTMAI23!AB26+MVTJUIN23!AB26+MVTJUIL23!AB26+MVTAOUT23!AB26+MVTSEPT23!AB26+MVTOCT23!AB26+MVTNOV23!AB26+MVTDEC23!AB26</f>
        <v>0</v>
      </c>
      <c r="AC26" s="36">
        <f>MVTJANV23!AC26+MVTFEV23!AC26+MVTMARS23!AC26+MVTAVRIL23!AC26+MVTMAI23!AC26+MVTJUIN23!AC26+MVTJUIL23!AC26+MVTAOUT23!AC26+MVTSEPT23!AC26+MVTOCT23!AC26+MVTNOV23!AC26+MVTDEC23!AC26</f>
        <v>0</v>
      </c>
      <c r="AD26" s="36">
        <f>MVTJANV23!AD26+MVTFEV23!AD26+MVTMARS23!AD26+MVTAVRIL23!AD26+MVTMAI23!AD26+MVTJUIN23!AD26+MVTJUIL23!AD26+MVTAOUT23!AD26+MVTSEPT23!AD26+MVTOCT23!AD26+MVTNOV23!AD26+MVTDEC23!AD26</f>
        <v>70000</v>
      </c>
      <c r="AE26" s="36">
        <f>MVTJANV23!AE26+MVTFEV23!AE26+MVTMARS23!AE26+MVTAVRIL23!AE26+MVTMAI23!AE26+MVTJUIN23!AE26+MVTJUIL23!AE26+MVTAOUT23!AE26+MVTSEPT23!AE26+MVTOCT23!AE26+MVTNOV23!AE26+MVTDEC23!AE26</f>
        <v>0</v>
      </c>
      <c r="AF26" s="36">
        <f>MVTJANV23!AF26+MVTFEV23!AF26+MVTMARS23!AF26+MVTAVRIL23!AF26+MVTMAI23!AF26+MVTJUIN23!AF26+MVTJUIL23!AF26+MVTAOUT23!AF26+MVTSEPT23!AF26+MVTOCT23!AF26+MVTNOV23!AF26+MVTDEC23!AF26</f>
        <v>0</v>
      </c>
      <c r="AG26" s="36">
        <f>MVTJANV23!AG26+MVTFEV23!AG26+MVTMARS23!AG26+MVTAVRIL23!AG26+MVTMAI23!AG26+MVTJUIN23!AG26+MVTJUIL23!AG26+MVTAOUT23!AG26+MVTSEPT23!AG26+MVTOCT23!AG26+MVTNOV23!AG26+MVTDEC23!AG26</f>
        <v>0</v>
      </c>
      <c r="AH26" s="36">
        <f>MVTJANV23!AH26+MVTFEV23!AH26+MVTMARS23!AH26+MVTAVRIL23!AH26+MVTMAI23!AH26+MVTJUIN23!AH26+MVTJUIL23!AH26+MVTAOUT23!AH26+MVTSEPT23!AH26+MVTOCT23!AH26+MVTNOV23!AH26+MVTDEC23!AH26</f>
        <v>0</v>
      </c>
      <c r="AI26" s="36">
        <f>MVTJANV23!AI26+MVTFEV23!AI26+MVTMARS23!AI26+MVTAVRIL23!AI26+MVTMAI23!AI26+MVTJUIN23!AI26+MVTJUIL23!AI26+MVTAOUT23!AI26+MVTSEPT23!AI26+MVTOCT23!AI26+MVTNOV23!AI26+MVTDEC23!AI26</f>
        <v>0</v>
      </c>
      <c r="AJ26" s="36">
        <f>MVTJANV23!AJ26+MVTFEV23!AJ26+MVTMARS23!AJ26+MVTAVRIL23!AJ26+MVTMAI23!AJ26+MVTJUIN23!AJ26+MVTJUIL23!AJ26+MVTAOUT23!AJ26+MVTSEPT23!AJ26+MVTOCT23!AJ26+MVTNOV23!AJ26+MVTDEC23!AJ26</f>
        <v>0</v>
      </c>
      <c r="AK26" s="98">
        <f t="shared" si="1"/>
        <v>-2000000</v>
      </c>
      <c r="AL26" s="149">
        <v>45261</v>
      </c>
      <c r="AM26" s="150">
        <f t="shared" si="0"/>
        <v>30000</v>
      </c>
      <c r="AN26" s="150"/>
      <c r="AP26" s="36">
        <f>MVTDEC23!AK26</f>
        <v>100000</v>
      </c>
    </row>
    <row r="27" spans="1:42" ht="18.75" x14ac:dyDescent="0.3">
      <c r="A27" s="1" t="s">
        <v>172</v>
      </c>
      <c r="B27" s="1" t="str">
        <f>VLOOKUP(A27,[15]LISTADHERENT!A$5:H$60,3,0)</f>
        <v>NOUBE ETIENNE</v>
      </c>
      <c r="C27" s="36">
        <f>MVTJANV23!C27+MVTFEV23!C27+MVTMARS23!C27+MVTAVRIL23!C27+MVTMAI23!C27+MVTJUIN23!C27+MVTJUIL23!C27+MVTAOUT23!C27+MVTSEPT23!C27+MVTOCT23!C27+MVTNOV23!C27+MVTDEC23!C27</f>
        <v>0</v>
      </c>
      <c r="D27" s="36">
        <f>MVTJANV23!D27+MVTFEV23!D27+MVTMARS23!D27+MVTAVRIL23!D27+MVTMAI23!D27+MVTJUIN23!D27+MVTJUIL23!D27+MVTAOUT23!D27+MVTSEPT23!D27+MVTOCT23!D27+MVTNOV23!D27+MVTDEC23!D27</f>
        <v>0</v>
      </c>
      <c r="E27" s="36">
        <f>MVTJANV23!E27+MVTFEV23!E27+MVTMARS23!E27+MVTAVRIL23!E27+MVTMAI23!E27+MVTJUIN23!E27+MVTJUIL23!E27+MVTAOUT23!E27+MVTSEPT23!E27+MVTOCT23!E27+MVTNOV23!E27+MVTDEC23!E27</f>
        <v>0</v>
      </c>
      <c r="F27" s="5">
        <f>MVTFEV23!F27-MVTRESUME23!E27+K27</f>
        <v>738500</v>
      </c>
      <c r="G27" s="6">
        <f>MVTDEC22!G27+MVTJANV23!G27+MVTFEV23!G27+MVTMARS23!G27+MVTAVRIL23!G27+MVTMAI23!G27+MVTJUIN23!G27+MVTJUIL23!G27+MVTAOUT23!G27+MVTSEPT23!G27+MVTOCT23!G27+MVTNOV23!G27+MVTDEC23!G27</f>
        <v>518.81693285918482</v>
      </c>
      <c r="H27" s="6"/>
      <c r="I27" s="36">
        <f>MVTJANV23!I27+MVTFEV23!I27+MVTMARS23!I27+MVTAVRIL23!I27+MVTMAI23!I27+MVTJUIN23!I27+MVTJUIL23!I27+MVTAOUT23!I27+MVTSEPT23!I27+MVTOCT23!I27+MVTNOV23!I27+MVTDEC23!I27</f>
        <v>0</v>
      </c>
      <c r="J27" s="36">
        <f>MVTJANV23!J27+MVTFEV23!J27+MVTMARS23!J27+MVTAVRIL23!J27+MVTMAI23!J27+MVTJUIN23!J27+MVTJUIL23!J27+MVTAOUT23!J27+MVTSEPT23!J27+MVTOCT23!J27+MVTNOV23!J27+MVTDEC23!J27</f>
        <v>792500</v>
      </c>
      <c r="K27" s="36">
        <f>MVTJANV23!K27+MVTFEV23!K27+MVTMARS23!K27+MVTAVRIL23!K27+MVTMAI23!K27+MVTJUIN23!K27+MVTJUIL23!K27+MVTAOUT23!K27+MVTSEPT23!K27+MVTOCT23!K27+MVTNOV23!K27+MVTDEC23!K27</f>
        <v>720500</v>
      </c>
      <c r="L27" s="36">
        <f>MVTJANV23!L27+MVTFEV23!L27+MVTMARS23!L27+MVTAVRIL23!L27+MVTMAI23!L27+MVTJUIN23!L27+MVTJUIL23!L27+MVTAOUT23!L27+MVTSEPT23!L27+MVTOCT23!L27+MVTNOV23!L27+MVTDEC23!L27</f>
        <v>12000</v>
      </c>
      <c r="M27" s="36">
        <f>MVTJANV23!M27+MVTFEV23!M27+MVTMARS23!M27+MVTAVRIL23!M27+MVTMAI23!M27+MVTJUIN23!M27+MVTJUIL23!M27+MVTAOUT23!M27+MVTSEPT23!M27+MVTOCT23!M27+MVTNOV23!M27+MVTDEC23!M27</f>
        <v>12000</v>
      </c>
      <c r="N27" s="36">
        <f>MVTJANV23!N27+MVTFEV23!N27+MVTMARS23!N27+MVTAVRIL23!N27+MVTMAI23!N27+MVTJUIN23!N27+MVTJUIL23!N27+MVTAOUT23!N27+MVTSEPT23!N27+MVTOCT23!N27+MVTNOV23!N27+MVTDEC23!N27</f>
        <v>48000</v>
      </c>
      <c r="O27" s="36">
        <f>MVTJANV23!O27+MVTFEV23!O27+MVTMARS23!O27+MVTAVRIL23!O27+MVTMAI23!O27+MVTJUIN23!O27+MVTJUIL23!O27+MVTAOUT23!O27+MVTSEPT23!O27+MVTOCT23!O27+MVTNOV23!O27+MVTDEC23!O27</f>
        <v>0</v>
      </c>
      <c r="P27" s="36">
        <f>MVTJANV23!P27+MVTFEV23!P27+MVTMARS23!P27+MVTAVRIL23!P27+MVTMAI23!P27+MVTJUIN23!P27+MVTJUIL23!P27+MVTAOUT23!P27+MVTSEPT23!P27+MVTOCT23!P27+MVTNOV23!P27+MVTDEC23!P27</f>
        <v>25000</v>
      </c>
      <c r="Q27" s="36">
        <f>MVTJANV23!Q27+MVTFEV23!Q27+MVTMARS23!Q27+MVTAVRIL23!Q27+MVTMAI23!Q27+MVTJUIN23!Q27+MVTJUIL23!Q27+MVTAOUT23!Q27+MVTSEPT23!Q27+MVTOCT23!Q27+MVTNOV23!Q27+MVTDEC23!Q27</f>
        <v>120000</v>
      </c>
      <c r="R27" s="36">
        <f>MVTDEC23!R27</f>
        <v>0</v>
      </c>
      <c r="S27" s="36">
        <f>MVTDEC23!S27</f>
        <v>0</v>
      </c>
      <c r="T27" s="149"/>
      <c r="U27" s="36">
        <f>MVTJANV23!U27+MVTFEV23!U27+MVTMARS23!U27+MVTAVRIL23!U27+MVTMAI23!U27+MVTJUIN23!U27+MVTJUIL23!U27+MVTAOUT23!U27+MVTSEPT23!U27+MVTOCT23!U27+MVTNOV23!U27+MVTDEC23!U27</f>
        <v>0</v>
      </c>
      <c r="V27" s="36"/>
      <c r="W27" s="36"/>
      <c r="X27" s="36">
        <f>MVTJANV23!X27+MVTFEV23!X27+MVTMARS23!X27+MVTAVRIL23!X27+MVTMAI23!X27+MVTJUIN23!X27+MVTJUIL23!X27+MVTAOUT23!X27+MVTSEPT23!X27+MVTOCT23!X27+MVTNOV23!X27+MVTDEC23!X27</f>
        <v>0</v>
      </c>
      <c r="Y27" s="36">
        <f>MVTJANV23!Y27+MVTFEV23!Y27+MVTMARS23!Y27+MVTAVRIL23!Y27+MVTMAI23!Y27+MVTJUIN23!Y27+MVTJUIL23!Y27+MVTAOUT23!Y27+MVTSEPT23!Y27+MVTOCT23!Y27+MVTNOV23!Y27+MVTDEC23!Y27</f>
        <v>0</v>
      </c>
      <c r="Z27" s="36">
        <f>MVTJANV23!Z27+MVTFEV23!Z27+MVTMARS23!Z27+MVTAVRIL23!Z27+MVTMAI23!Z27+MVTJUIN23!Z27+MVTJUIL23!Z27+MVTAOUT23!Z27+MVTSEPT23!Z27+MVTOCT23!Z27+MVTNOV23!Z27+MVTDEC23!Z27</f>
        <v>0</v>
      </c>
      <c r="AA27" s="36">
        <f>MVTJANV23!AA27+MVTFEV23!AA27+MVTMARS23!AA27+MVTAVRIL23!AA27+MVTMAI23!AA27+MVTJUIN23!AA27+MVTJUIL23!AA27+MVTAOUT23!AA27+MVTSEPT23!AA27+MVTOCT23!AA27+MVTNOV23!AA27+MVTDEC23!AA27</f>
        <v>0</v>
      </c>
      <c r="AB27" s="36">
        <f>MVTJANV23!AB27+MVTFEV23!AB27+MVTMARS23!AB27+MVTAVRIL23!AB27+MVTMAI23!AB27+MVTJUIN23!AB27+MVTJUIL23!AB27+MVTAOUT23!AB27+MVTSEPT23!AB27+MVTOCT23!AB27+MVTNOV23!AB27+MVTDEC23!AB27</f>
        <v>0</v>
      </c>
      <c r="AC27" s="36">
        <f>MVTJANV23!AC27+MVTFEV23!AC27+MVTMARS23!AC27+MVTAVRIL23!AC27+MVTMAI23!AC27+MVTJUIN23!AC27+MVTJUIL23!AC27+MVTAOUT23!AC27+MVTSEPT23!AC27+MVTOCT23!AC27+MVTNOV23!AC27+MVTDEC23!AC27</f>
        <v>0</v>
      </c>
      <c r="AD27" s="36">
        <f>MVTJANV23!AD27+MVTFEV23!AD27+MVTMARS23!AD27+MVTAVRIL23!AD27+MVTMAI23!AD27+MVTJUIN23!AD27+MVTJUIL23!AD27+MVTAOUT23!AD27+MVTSEPT23!AD27+MVTOCT23!AD27+MVTNOV23!AD27+MVTDEC23!AD27</f>
        <v>70000</v>
      </c>
      <c r="AE27" s="36">
        <f>MVTJANV23!AE27+MVTFEV23!AE27+MVTMARS23!AE27+MVTAVRIL23!AE27+MVTMAI23!AE27+MVTJUIN23!AE27+MVTJUIL23!AE27+MVTAOUT23!AE27+MVTSEPT23!AE27+MVTOCT23!AE27+MVTNOV23!AE27+MVTDEC23!AE27</f>
        <v>0</v>
      </c>
      <c r="AF27" s="36">
        <f>MVTJANV23!AF27+MVTFEV23!AF27+MVTMARS23!AF27+MVTAVRIL23!AF27+MVTMAI23!AF27+MVTJUIN23!AF27+MVTJUIL23!AF27+MVTAOUT23!AF27+MVTSEPT23!AF27+MVTOCT23!AF27+MVTNOV23!AF27+MVTDEC23!AF27</f>
        <v>0</v>
      </c>
      <c r="AG27" s="36">
        <f>MVTJANV23!AG27+MVTFEV23!AG27+MVTMARS23!AG27+MVTAVRIL23!AG27+MVTMAI23!AG27+MVTJUIN23!AG27+MVTJUIL23!AG27+MVTAOUT23!AG27+MVTSEPT23!AG27+MVTOCT23!AG27+MVTNOV23!AG27+MVTDEC23!AG27</f>
        <v>0</v>
      </c>
      <c r="AH27" s="36">
        <f>MVTJANV23!AH27+MVTFEV23!AH27+MVTMARS23!AH27+MVTAVRIL23!AH27+MVTMAI23!AH27+MVTJUIN23!AH27+MVTJUIL23!AH27+MVTAOUT23!AH27+MVTSEPT23!AH27+MVTOCT23!AH27+MVTNOV23!AH27+MVTDEC23!AH27</f>
        <v>0</v>
      </c>
      <c r="AI27" s="36">
        <f>MVTJANV23!AI27+MVTFEV23!AI27+MVTMARS23!AI27+MVTAVRIL23!AI27+MVTMAI23!AI27+MVTJUIN23!AI27+MVTJUIL23!AI27+MVTAOUT23!AI27+MVTSEPT23!AI27+MVTOCT23!AI27+MVTNOV23!AI27+MVTDEC23!AI27</f>
        <v>0</v>
      </c>
      <c r="AJ27" s="36">
        <f>MVTJANV23!AJ27+MVTFEV23!AJ27+MVTMARS23!AJ27+MVTAVRIL23!AJ27+MVTMAI23!AJ27+MVTJUIN23!AJ27+MVTJUIL23!AJ27+MVTAOUT23!AJ27+MVTSEPT23!AJ27+MVTOCT23!AJ27+MVTNOV23!AJ27+MVTDEC23!AJ27</f>
        <v>0</v>
      </c>
      <c r="AK27" s="98">
        <f t="shared" si="1"/>
        <v>0</v>
      </c>
      <c r="AL27" s="149"/>
      <c r="AM27" s="150">
        <f t="shared" si="0"/>
        <v>0</v>
      </c>
      <c r="AN27" s="150"/>
      <c r="AP27" s="36">
        <f>MVTDEC23!AK27</f>
        <v>700000</v>
      </c>
    </row>
    <row r="28" spans="1:42" ht="18.75" x14ac:dyDescent="0.3">
      <c r="A28" s="1" t="s">
        <v>45</v>
      </c>
      <c r="B28" s="1" t="str">
        <f>VLOOKUP(A28,[15]LISTADHERENT!A$5:H$60,3,0)</f>
        <v>PATEGO NJOSSU GUSTAVE</v>
      </c>
      <c r="C28" s="36">
        <f>MVTJANV23!C28+MVTFEV23!C28+MVTMARS23!C28+MVTAVRIL23!C28+MVTMAI23!C28+MVTJUIN23!C28+MVTJUIL23!C28+MVTAOUT23!C28+MVTSEPT23!C28+MVTOCT23!C28+MVTNOV23!C28+MVTDEC23!C28</f>
        <v>600000</v>
      </c>
      <c r="D28" s="36">
        <f>MVTJANV23!D28+MVTFEV23!D28+MVTMARS23!D28+MVTAVRIL23!D28+MVTMAI23!D28+MVTJUIN23!D28+MVTJUIL23!D28+MVTAOUT23!D28+MVTSEPT23!D28+MVTOCT23!D28+MVTNOV23!D28+MVTDEC23!D28</f>
        <v>21452</v>
      </c>
      <c r="E28" s="36">
        <f>MVTJANV23!E28+MVTFEV23!E28+MVTMARS23!E28+MVTAVRIL23!E28+MVTMAI23!E28+MVTJUIN23!E28+MVTJUIL23!E28+MVTAOUT23!E28+MVTSEPT23!E28+MVTOCT23!E28+MVTNOV23!E28+MVTDEC23!E28</f>
        <v>0</v>
      </c>
      <c r="F28" s="5">
        <f>MVTFEV23!F28-MVTRESUME23!E28+K28</f>
        <v>786927.88948490063</v>
      </c>
      <c r="G28" s="6">
        <f>MVTDEC22!G28+MVTJANV23!G28+MVTFEV23!G28+MVTMARS23!G28+MVTAVRIL23!G28+MVTMAI23!G28+MVTJUIN23!G28+MVTJUIL23!G28+MVTAOUT23!G28+MVTSEPT23!G28+MVTOCT23!G28+MVTNOV23!G28+MVTDEC23!G28</f>
        <v>54245.666300758479</v>
      </c>
      <c r="H28" s="6">
        <f>MVTFEV23!H28-MVTRESUME23!E28+MVTRESUME23!K28</f>
        <v>787858.14609503525</v>
      </c>
      <c r="I28" s="36">
        <f>MVTJANV23!I28+MVTFEV23!I28+MVTMARS23!I28+MVTAVRIL23!I28+MVTMAI23!I28+MVTJUIN23!I28+MVTJUIL23!I28+MVTAOUT23!I28+MVTSEPT23!I28+MVTOCT23!I28+MVTNOV23!I28+MVTDEC23!I28</f>
        <v>0</v>
      </c>
      <c r="J28" s="36">
        <f>MVTJANV23!J28+MVTFEV23!J28+MVTMARS23!J28+MVTAVRIL23!J28+MVTMAI23!J28+MVTJUIN23!J28+MVTJUIL23!J28+MVTAOUT23!J28+MVTSEPT23!J28+MVTOCT23!J28+MVTNOV23!J28+MVTDEC23!J28</f>
        <v>180000</v>
      </c>
      <c r="K28" s="36">
        <f>MVTJANV23!K28+MVTFEV23!K28+MVTMARS23!K28+MVTAVRIL23!K28+MVTMAI23!K28+MVTJUIN23!K28+MVTJUIL23!K28+MVTAOUT23!K28+MVTSEPT23!K28+MVTOCT23!K28+MVTNOV23!K28+MVTDEC23!K28</f>
        <v>108000</v>
      </c>
      <c r="L28" s="36">
        <f>MVTJANV23!L28+MVTFEV23!L28+MVTMARS23!L28+MVTAVRIL23!L28+MVTMAI23!L28+MVTJUIN23!L28+MVTJUIL23!L28+MVTAOUT23!L28+MVTSEPT23!L28+MVTOCT23!L28+MVTNOV23!L28+MVTDEC23!L28</f>
        <v>12000</v>
      </c>
      <c r="M28" s="36">
        <f>MVTJANV23!M28+MVTFEV23!M28+MVTMARS23!M28+MVTAVRIL23!M28+MVTMAI23!M28+MVTJUIN23!M28+MVTJUIL23!M28+MVTAOUT23!M28+MVTSEPT23!M28+MVTOCT23!M28+MVTNOV23!M28+MVTDEC23!M28</f>
        <v>12000</v>
      </c>
      <c r="N28" s="36">
        <f>MVTJANV23!N28+MVTFEV23!N28+MVTMARS23!N28+MVTAVRIL23!N28+MVTMAI23!N28+MVTJUIN23!N28+MVTJUIL23!N28+MVTAOUT23!N28+MVTSEPT23!N28+MVTOCT23!N28+MVTNOV23!N28+MVTDEC23!N28</f>
        <v>48000</v>
      </c>
      <c r="O28" s="36">
        <f>MVTJANV23!O28+MVTFEV23!O28+MVTMARS23!O28+MVTAVRIL23!O28+MVTMAI23!O28+MVTJUIN23!O28+MVTJUIL23!O28+MVTAOUT23!O28+MVTSEPT23!O28+MVTOCT23!O28+MVTNOV23!O28+MVTDEC23!O28</f>
        <v>0</v>
      </c>
      <c r="P28" s="36">
        <f>MVTJANV23!P28+MVTFEV23!P28+MVTMARS23!P28+MVTAVRIL23!P28+MVTMAI23!P28+MVTJUIN23!P28+MVTJUIL23!P28+MVTAOUT23!P28+MVTSEPT23!P28+MVTOCT23!P28+MVTNOV23!P28+MVTDEC23!P28</f>
        <v>0</v>
      </c>
      <c r="Q28" s="36">
        <f>MVTJANV23!Q28+MVTFEV23!Q28+MVTMARS23!Q28+MVTAVRIL23!Q28+MVTMAI23!Q28+MVTJUIN23!Q28+MVTJUIL23!Q28+MVTAOUT23!Q28+MVTSEPT23!Q28+MVTOCT23!Q28+MVTNOV23!Q28+MVTDEC23!Q28</f>
        <v>0</v>
      </c>
      <c r="R28" s="36">
        <f>MVTDEC23!R28</f>
        <v>0</v>
      </c>
      <c r="S28" s="36">
        <f>MVTDEC23!S28</f>
        <v>0</v>
      </c>
      <c r="T28" s="149"/>
      <c r="U28" s="36">
        <f>MVTJANV23!U28+MVTFEV23!U28+MVTMARS23!U28+MVTAVRIL23!U28+MVTMAI23!U28+MVTJUIN23!U28+MVTJUIL23!U28+MVTAOUT23!U28+MVTSEPT23!U28+MVTOCT23!U28+MVTNOV23!U28+MVTDEC23!U28</f>
        <v>0</v>
      </c>
      <c r="V28" s="36"/>
      <c r="W28" s="36"/>
      <c r="X28" s="36">
        <f>MVTJANV23!X28+MVTFEV23!X28+MVTMARS23!X28+MVTAVRIL23!X28+MVTMAI23!X28+MVTJUIN23!X28+MVTJUIL23!X28+MVTAOUT23!X28+MVTSEPT23!X28+MVTOCT23!X28+MVTNOV23!X28+MVTDEC23!X28</f>
        <v>0</v>
      </c>
      <c r="Y28" s="36">
        <f>MVTJANV23!Y28+MVTFEV23!Y28+MVTMARS23!Y28+MVTAVRIL23!Y28+MVTMAI23!Y28+MVTJUIN23!Y28+MVTJUIL23!Y28+MVTAOUT23!Y28+MVTSEPT23!Y28+MVTOCT23!Y28+MVTNOV23!Y28+MVTDEC23!Y28</f>
        <v>0</v>
      </c>
      <c r="Z28" s="36">
        <f>MVTJANV23!Z28+MVTFEV23!Z28+MVTMARS23!Z28+MVTAVRIL23!Z28+MVTMAI23!Z28+MVTJUIN23!Z28+MVTJUIL23!Z28+MVTAOUT23!Z28+MVTSEPT23!Z28+MVTOCT23!Z28+MVTNOV23!Z28+MVTDEC23!Z28</f>
        <v>0</v>
      </c>
      <c r="AA28" s="36">
        <f>MVTJANV23!AA28+MVTFEV23!AA28+MVTMARS23!AA28+MVTAVRIL23!AA28+MVTMAI23!AA28+MVTJUIN23!AA28+MVTJUIL23!AA28+MVTAOUT23!AA28+MVTSEPT23!AA28+MVTOCT23!AA28+MVTNOV23!AA28+MVTDEC23!AA28</f>
        <v>0</v>
      </c>
      <c r="AB28" s="36">
        <f>MVTJANV23!AB28+MVTFEV23!AB28+MVTMARS23!AB28+MVTAVRIL23!AB28+MVTMAI23!AB28+MVTJUIN23!AB28+MVTJUIL23!AB28+MVTAOUT23!AB28+MVTSEPT23!AB28+MVTOCT23!AB28+MVTNOV23!AB28+MVTDEC23!AB28</f>
        <v>0</v>
      </c>
      <c r="AC28" s="36">
        <f>MVTJANV23!AC28+MVTFEV23!AC28+MVTMARS23!AC28+MVTAVRIL23!AC28+MVTMAI23!AC28+MVTJUIN23!AC28+MVTJUIL23!AC28+MVTAOUT23!AC28+MVTSEPT23!AC28+MVTOCT23!AC28+MVTNOV23!AC28+MVTDEC23!AC28</f>
        <v>0</v>
      </c>
      <c r="AD28" s="36">
        <f>MVTJANV23!AD28+MVTFEV23!AD28+MVTMARS23!AD28+MVTAVRIL23!AD28+MVTMAI23!AD28+MVTJUIN23!AD28+MVTJUIL23!AD28+MVTAOUT23!AD28+MVTSEPT23!AD28+MVTOCT23!AD28+MVTNOV23!AD28+MVTDEC23!AD28</f>
        <v>70000</v>
      </c>
      <c r="AE28" s="36">
        <f>MVTJANV23!AE28+MVTFEV23!AE28+MVTMARS23!AE28+MVTAVRIL23!AE28+MVTMAI23!AE28+MVTJUIN23!AE28+MVTJUIL23!AE28+MVTAOUT23!AE28+MVTSEPT23!AE28+MVTOCT23!AE28+MVTNOV23!AE28+MVTDEC23!AE28</f>
        <v>0</v>
      </c>
      <c r="AF28" s="36">
        <f>MVTJANV23!AF28+MVTFEV23!AF28+MVTMARS23!AF28+MVTAVRIL23!AF28+MVTMAI23!AF28+MVTJUIN23!AF28+MVTJUIL23!AF28+MVTAOUT23!AF28+MVTSEPT23!AF28+MVTOCT23!AF28+MVTNOV23!AF28+MVTDEC23!AF28</f>
        <v>0</v>
      </c>
      <c r="AG28" s="36">
        <f>MVTJANV23!AG28+MVTFEV23!AG28+MVTMARS23!AG28+MVTAVRIL23!AG28+MVTMAI23!AG28+MVTJUIN23!AG28+MVTJUIL23!AG28+MVTAOUT23!AG28+MVTSEPT23!AG28+MVTOCT23!AG28+MVTNOV23!AG28+MVTDEC23!AG28</f>
        <v>0</v>
      </c>
      <c r="AH28" s="36">
        <f>MVTJANV23!AH28+MVTFEV23!AH28+MVTMARS23!AH28+MVTAVRIL23!AH28+MVTMAI23!AH28+MVTJUIN23!AH28+MVTJUIL23!AH28+MVTAOUT23!AH28+MVTSEPT23!AH28+MVTOCT23!AH28+MVTNOV23!AH28+MVTDEC23!AH28</f>
        <v>0</v>
      </c>
      <c r="AI28" s="36">
        <f>MVTJANV23!AI28+MVTFEV23!AI28+MVTMARS23!AI28+MVTAVRIL23!AI28+MVTMAI23!AI28+MVTJUIN23!AI28+MVTJUIL23!AI28+MVTAOUT23!AI28+MVTSEPT23!AI28+MVTOCT23!AI28+MVTNOV23!AI28+MVTDEC23!AI28</f>
        <v>0</v>
      </c>
      <c r="AJ28" s="36">
        <f>MVTJANV23!AJ28+MVTFEV23!AJ28+MVTMARS23!AJ28+MVTAVRIL23!AJ28+MVTMAI23!AJ28+MVTJUIN23!AJ28+MVTJUIL23!AJ28+MVTAOUT23!AJ28+MVTSEPT23!AJ28+MVTOCT23!AJ28+MVTNOV23!AJ28+MVTDEC23!AJ28</f>
        <v>0</v>
      </c>
      <c r="AK28" s="98">
        <f t="shared" si="1"/>
        <v>0</v>
      </c>
      <c r="AL28" s="149"/>
      <c r="AM28" s="150">
        <f t="shared" si="0"/>
        <v>0</v>
      </c>
      <c r="AN28" s="150"/>
      <c r="AP28" s="36">
        <f>MVTDEC23!AK28</f>
        <v>100000</v>
      </c>
    </row>
    <row r="29" spans="1:42" ht="18.75" x14ac:dyDescent="0.3">
      <c r="A29" s="1" t="s">
        <v>312</v>
      </c>
      <c r="B29" s="1" t="str">
        <f>VLOOKUP(A29,[15]LISTADHERENT!A$5:H$60,3,0)</f>
        <v>SEUMO POLYCARPE</v>
      </c>
      <c r="C29" s="36">
        <f>MVTJANV23!C29+MVTFEV23!C29+MVTMARS23!C29+MVTAVRIL23!C29+MVTMAI23!C29+MVTJUIN23!C29+MVTJUIL23!C29+MVTAOUT23!C29+MVTSEPT23!C29+MVTOCT23!C29+MVTNOV23!C29+MVTDEC23!C29</f>
        <v>0</v>
      </c>
      <c r="D29" s="36">
        <f>MVTJANV23!D29+MVTFEV23!D29+MVTMARS23!D29+MVTAVRIL23!D29+MVTMAI23!D29+MVTJUIN23!D29+MVTJUIL23!D29+MVTAOUT23!D29+MVTSEPT23!D29+MVTOCT23!D29+MVTNOV23!D29+MVTDEC23!D29</f>
        <v>0</v>
      </c>
      <c r="E29" s="36">
        <f>MVTJANV23!E29+MVTFEV23!E29+MVTMARS23!E29+MVTAVRIL23!E29+MVTMAI23!E29+MVTJUIN23!E29+MVTJUIL23!E29+MVTAOUT23!E29+MVTSEPT23!E29+MVTOCT23!E29+MVTNOV23!E29+MVTDEC23!E29</f>
        <v>0</v>
      </c>
      <c r="F29" s="5">
        <f>MVTFEV23!F29-MVTRESUME23!E29+K29</f>
        <v>303500</v>
      </c>
      <c r="G29" s="6">
        <f>MVTDEC22!G29+MVTJANV23!G29+MVTFEV23!G29+MVTMARS23!G29+MVTAVRIL23!G29+MVTMAI23!G29+MVTJUIN23!G29+MVTJUIL23!G29+MVTAOUT23!G29+MVTSEPT23!G29+MVTOCT23!G29+MVTNOV23!G29+MVTDEC23!G29</f>
        <v>0</v>
      </c>
      <c r="H29" s="6"/>
      <c r="I29" s="36">
        <f>MVTJANV23!I29+MVTFEV23!I29+MVTMARS23!I29+MVTAVRIL23!I29+MVTMAI23!I29+MVTJUIN23!I29+MVTJUIL23!I29+MVTAOUT23!I29+MVTSEPT23!I29+MVTOCT23!I29+MVTNOV23!I29+MVTDEC23!I29</f>
        <v>0</v>
      </c>
      <c r="J29" s="36">
        <f>MVTJANV23!J29+MVTFEV23!J29+MVTMARS23!J29+MVTAVRIL23!J29+MVTMAI23!J29+MVTJUIN23!J29+MVTJUIL23!J29+MVTAOUT23!J29+MVTSEPT23!J29+MVTOCT23!J29+MVTNOV23!J29+MVTDEC23!J29</f>
        <v>357500</v>
      </c>
      <c r="K29" s="36">
        <f>MVTJANV23!K29+MVTFEV23!K29+MVTMARS23!K29+MVTAVRIL23!K29+MVTMAI23!K29+MVTJUIN23!K29+MVTJUIL23!K29+MVTAOUT23!K29+MVTSEPT23!K29+MVTOCT23!K29+MVTNOV23!K29+MVTDEC23!K29</f>
        <v>285500</v>
      </c>
      <c r="L29" s="36">
        <f>MVTJANV23!L29+MVTFEV23!L29+MVTMARS23!L29+MVTAVRIL23!L29+MVTMAI23!L29+MVTJUIN23!L29+MVTJUIL23!L29+MVTAOUT23!L29+MVTSEPT23!L29+MVTOCT23!L29+MVTNOV23!L29+MVTDEC23!L29</f>
        <v>12000</v>
      </c>
      <c r="M29" s="36">
        <f>MVTJANV23!M29+MVTFEV23!M29+MVTMARS23!M29+MVTAVRIL23!M29+MVTMAI23!M29+MVTJUIN23!M29+MVTJUIL23!M29+MVTAOUT23!M29+MVTSEPT23!M29+MVTOCT23!M29+MVTNOV23!M29+MVTDEC23!M29</f>
        <v>12000</v>
      </c>
      <c r="N29" s="36">
        <f>MVTJANV23!N29+MVTFEV23!N29+MVTMARS23!N29+MVTAVRIL23!N29+MVTMAI23!N29+MVTJUIN23!N29+MVTJUIL23!N29+MVTAOUT23!N29+MVTSEPT23!N29+MVTOCT23!N29+MVTNOV23!N29+MVTDEC23!N29</f>
        <v>48000</v>
      </c>
      <c r="O29" s="36">
        <f>MVTJANV23!O29+MVTFEV23!O29+MVTMARS23!O29+MVTAVRIL23!O29+MVTMAI23!O29+MVTJUIN23!O29+MVTJUIL23!O29+MVTAOUT23!O29+MVTSEPT23!O29+MVTOCT23!O29+MVTNOV23!O29+MVTDEC23!O29</f>
        <v>0</v>
      </c>
      <c r="P29" s="36">
        <f>MVTJANV23!P29+MVTFEV23!P29+MVTMARS23!P29+MVTAVRIL23!P29+MVTMAI23!P29+MVTJUIN23!P29+MVTJUIL23!P29+MVTAOUT23!P29+MVTSEPT23!P29+MVTOCT23!P29+MVTNOV23!P29+MVTDEC23!P29</f>
        <v>25000</v>
      </c>
      <c r="Q29" s="36">
        <f>MVTJANV23!Q29+MVTFEV23!Q29+MVTMARS23!Q29+MVTAVRIL23!Q29+MVTMAI23!Q29+MVTJUIN23!Q29+MVTJUIL23!Q29+MVTAOUT23!Q29+MVTSEPT23!Q29+MVTOCT23!Q29+MVTNOV23!Q29+MVTDEC23!Q29</f>
        <v>120000</v>
      </c>
      <c r="R29" s="36">
        <f>MVTDEC23!R29</f>
        <v>0</v>
      </c>
      <c r="S29" s="36">
        <f>MVTDEC23!S29</f>
        <v>0</v>
      </c>
      <c r="T29" s="149"/>
      <c r="U29" s="36">
        <f>MVTJANV23!U29+MVTFEV23!U29+MVTMARS23!U29+MVTAVRIL23!U29+MVTMAI23!U29+MVTJUIN23!U29+MVTJUIL23!U29+MVTAOUT23!U29+MVTSEPT23!U29+MVTOCT23!U29+MVTNOV23!U29+MVTDEC23!U29</f>
        <v>0</v>
      </c>
      <c r="V29" s="36"/>
      <c r="W29" s="36"/>
      <c r="X29" s="36">
        <f>MVTJANV23!X29+MVTFEV23!X29+MVTMARS23!X29+MVTAVRIL23!X29+MVTMAI23!X29+MVTJUIN23!X29+MVTJUIL23!X29+MVTAOUT23!X29+MVTSEPT23!X29+MVTOCT23!X29+MVTNOV23!X29+MVTDEC23!X29</f>
        <v>0</v>
      </c>
      <c r="Y29" s="36">
        <f>MVTJANV23!Y29+MVTFEV23!Y29+MVTMARS23!Y29+MVTAVRIL23!Y29+MVTMAI23!Y29+MVTJUIN23!Y29+MVTJUIL23!Y29+MVTAOUT23!Y29+MVTSEPT23!Y29+MVTOCT23!Y29+MVTNOV23!Y29+MVTDEC23!Y29</f>
        <v>0</v>
      </c>
      <c r="Z29" s="36">
        <f>MVTJANV23!Z29+MVTFEV23!Z29+MVTMARS23!Z29+MVTAVRIL23!Z29+MVTMAI23!Z29+MVTJUIN23!Z29+MVTJUIL23!Z29+MVTAOUT23!Z29+MVTSEPT23!Z29+MVTOCT23!Z29+MVTNOV23!Z29+MVTDEC23!Z29</f>
        <v>0</v>
      </c>
      <c r="AA29" s="36">
        <f>MVTJANV23!AA29+MVTFEV23!AA29+MVTMARS23!AA29+MVTAVRIL23!AA29+MVTMAI23!AA29+MVTJUIN23!AA29+MVTJUIL23!AA29+MVTAOUT23!AA29+MVTSEPT23!AA29+MVTOCT23!AA29+MVTNOV23!AA29+MVTDEC23!AA29</f>
        <v>0</v>
      </c>
      <c r="AB29" s="36">
        <f>MVTJANV23!AB29+MVTFEV23!AB29+MVTMARS23!AB29+MVTAVRIL23!AB29+MVTMAI23!AB29+MVTJUIN23!AB29+MVTJUIL23!AB29+MVTAOUT23!AB29+MVTSEPT23!AB29+MVTOCT23!AB29+MVTNOV23!AB29+MVTDEC23!AB29</f>
        <v>0</v>
      </c>
      <c r="AC29" s="36">
        <f>MVTJANV23!AC29+MVTFEV23!AC29+MVTMARS23!AC29+MVTAVRIL23!AC29+MVTMAI23!AC29+MVTJUIN23!AC29+MVTJUIL23!AC29+MVTAOUT23!AC29+MVTSEPT23!AC29+MVTOCT23!AC29+MVTNOV23!AC29+MVTDEC23!AC29</f>
        <v>0</v>
      </c>
      <c r="AD29" s="36">
        <f>MVTJANV23!AD29+MVTFEV23!AD29+MVTMARS23!AD29+MVTAVRIL23!AD29+MVTMAI23!AD29+MVTJUIN23!AD29+MVTJUIL23!AD29+MVTAOUT23!AD29+MVTSEPT23!AD29+MVTOCT23!AD29+MVTNOV23!AD29+MVTDEC23!AD29</f>
        <v>70000</v>
      </c>
      <c r="AE29" s="36">
        <f>MVTJANV23!AE29+MVTFEV23!AE29+MVTMARS23!AE29+MVTAVRIL23!AE29+MVTMAI23!AE29+MVTJUIN23!AE29+MVTJUIL23!AE29+MVTAOUT23!AE29+MVTSEPT23!AE29+MVTOCT23!AE29+MVTNOV23!AE29+MVTDEC23!AE29</f>
        <v>0</v>
      </c>
      <c r="AF29" s="36">
        <f>MVTJANV23!AF29+MVTFEV23!AF29+MVTMARS23!AF29+MVTAVRIL23!AF29+MVTMAI23!AF29+MVTJUIN23!AF29+MVTJUIL23!AF29+MVTAOUT23!AF29+MVTSEPT23!AF29+MVTOCT23!AF29+MVTNOV23!AF29+MVTDEC23!AF29</f>
        <v>0</v>
      </c>
      <c r="AG29" s="36">
        <f>MVTJANV23!AG29+MVTFEV23!AG29+MVTMARS23!AG29+MVTAVRIL23!AG29+MVTMAI23!AG29+MVTJUIN23!AG29+MVTJUIL23!AG29+MVTAOUT23!AG29+MVTSEPT23!AG29+MVTOCT23!AG29+MVTNOV23!AG29+MVTDEC23!AG29</f>
        <v>0</v>
      </c>
      <c r="AH29" s="36">
        <f>MVTJANV23!AH29+MVTFEV23!AH29+MVTMARS23!AH29+MVTAVRIL23!AH29+MVTMAI23!AH29+MVTJUIN23!AH29+MVTJUIL23!AH29+MVTAOUT23!AH29+MVTSEPT23!AH29+MVTOCT23!AH29+MVTNOV23!AH29+MVTDEC23!AH29</f>
        <v>0</v>
      </c>
      <c r="AI29" s="36">
        <f>MVTJANV23!AI29+MVTFEV23!AI29+MVTMARS23!AI29+MVTAVRIL23!AI29+MVTMAI23!AI29+MVTJUIN23!AI29+MVTJUIL23!AI29+MVTAOUT23!AI29+MVTSEPT23!AI29+MVTOCT23!AI29+MVTNOV23!AI29+MVTDEC23!AI29</f>
        <v>0</v>
      </c>
      <c r="AJ29" s="36">
        <f>MVTJANV23!AJ29+MVTFEV23!AJ29+MVTMARS23!AJ29+MVTAVRIL23!AJ29+MVTMAI23!AJ29+MVTJUIN23!AJ29+MVTJUIL23!AJ29+MVTAOUT23!AJ29+MVTSEPT23!AJ29+MVTOCT23!AJ29+MVTNOV23!AJ29+MVTDEC23!AJ29</f>
        <v>0</v>
      </c>
      <c r="AK29" s="98">
        <f t="shared" si="1"/>
        <v>0</v>
      </c>
      <c r="AL29" s="149"/>
      <c r="AM29" s="150">
        <f t="shared" si="0"/>
        <v>0</v>
      </c>
      <c r="AN29" s="150"/>
      <c r="AP29" s="36">
        <f>MVTDEC23!AK29</f>
        <v>0</v>
      </c>
    </row>
    <row r="30" spans="1:42" ht="18.75" x14ac:dyDescent="0.3">
      <c r="A30" s="1" t="s">
        <v>81</v>
      </c>
      <c r="B30" s="1" t="str">
        <f>VLOOKUP(A30,[15]LISTADHERENT!A$5:H$60,3,0)</f>
        <v>SIME BRICE</v>
      </c>
      <c r="C30" s="36">
        <f>MVTJANV23!C30+MVTFEV23!C30+MVTMARS23!C30+MVTAVRIL23!C30+MVTMAI23!C30+MVTJUIN23!C30+MVTJUIL23!C30+MVTAOUT23!C30+MVTSEPT23!C30+MVTOCT23!C30+MVTNOV23!C30+MVTDEC23!C30</f>
        <v>600000</v>
      </c>
      <c r="D30" s="36">
        <f>MVTJANV23!D30+MVTFEV23!D30+MVTMARS23!D30+MVTAVRIL23!D30+MVTMAI23!D30+MVTJUIN23!D30+MVTJUIL23!D30+MVTAOUT23!D30+MVTSEPT23!D30+MVTOCT23!D30+MVTNOV23!D30+MVTDEC23!D30</f>
        <v>200752</v>
      </c>
      <c r="E30" s="36">
        <f>MVTJANV23!E30+MVTFEV23!E30+MVTMARS23!E30+MVTAVRIL23!E30+MVTMAI23!E30+MVTJUIN23!E30+MVTJUIL23!E30+MVTAOUT23!E30+MVTSEPT23!E30+MVTOCT23!E30+MVTNOV23!E30+MVTDEC23!E30</f>
        <v>0</v>
      </c>
      <c r="F30" s="5">
        <f>MVTFEV23!F30-MVTRESUME23!E30+K30</f>
        <v>977617.95036181086</v>
      </c>
      <c r="G30" s="6">
        <f>MVTDEC22!G30+MVTJANV23!G30+MVTFEV23!G30+MVTMARS23!G30+MVTAVRIL23!G30+MVTMAI23!G30+MVTJUIN23!G30+MVTJUIL23!G30+MVTAOUT23!G30+MVTSEPT23!G30+MVTOCT23!G30+MVTNOV23!G30+MVTDEC23!G30</f>
        <v>69612.150550164253</v>
      </c>
      <c r="H30" s="6">
        <f>MVTFEV23!H30-MVTRESUME23!E30+MVTRESUME23!K30</f>
        <v>978809.48757680063</v>
      </c>
      <c r="I30" s="36">
        <f>MVTJANV23!I30+MVTFEV23!I30+MVTMARS23!I30+MVTAVRIL23!I30+MVTMAI23!I30+MVTJUIN23!I30+MVTJUIL23!I30+MVTAOUT23!I30+MVTSEPT23!I30+MVTOCT23!I30+MVTNOV23!I30+MVTDEC23!I30</f>
        <v>34000</v>
      </c>
      <c r="J30" s="36">
        <f>MVTJANV23!J30+MVTFEV23!J30+MVTMARS23!J30+MVTAVRIL23!J30+MVTMAI23!J30+MVTJUIN23!J30+MVTJUIL23!J30+MVTAOUT23!J30+MVTSEPT23!J30+MVTOCT23!J30+MVTNOV23!J30+MVTDEC23!J30</f>
        <v>180000</v>
      </c>
      <c r="K30" s="36">
        <f>MVTJANV23!K30+MVTFEV23!K30+MVTMARS23!K30+MVTAVRIL23!K30+MVTMAI23!K30+MVTJUIN23!K30+MVTJUIL23!K30+MVTAOUT23!K30+MVTSEPT23!K30+MVTOCT23!K30+MVTNOV23!K30+MVTDEC23!K30</f>
        <v>108000</v>
      </c>
      <c r="L30" s="36">
        <f>MVTJANV23!L30+MVTFEV23!L30+MVTMARS23!L30+MVTAVRIL23!L30+MVTMAI23!L30+MVTJUIN23!L30+MVTJUIL23!L30+MVTAOUT23!L30+MVTSEPT23!L30+MVTOCT23!L30+MVTNOV23!L30+MVTDEC23!L30</f>
        <v>12000</v>
      </c>
      <c r="M30" s="36">
        <f>MVTJANV23!M30+MVTFEV23!M30+MVTMARS23!M30+MVTAVRIL23!M30+MVTMAI23!M30+MVTJUIN23!M30+MVTJUIL23!M30+MVTAOUT23!M30+MVTSEPT23!M30+MVTOCT23!M30+MVTNOV23!M30+MVTDEC23!M30</f>
        <v>12000</v>
      </c>
      <c r="N30" s="36">
        <f>MVTJANV23!N30+MVTFEV23!N30+MVTMARS23!N30+MVTAVRIL23!N30+MVTMAI23!N30+MVTJUIN23!N30+MVTJUIL23!N30+MVTAOUT23!N30+MVTSEPT23!N30+MVTOCT23!N30+MVTNOV23!N30+MVTDEC23!N30</f>
        <v>48000</v>
      </c>
      <c r="O30" s="36">
        <f>MVTJANV23!O30+MVTFEV23!O30+MVTMARS23!O30+MVTAVRIL23!O30+MVTMAI23!O30+MVTJUIN23!O30+MVTJUIL23!O30+MVTAOUT23!O30+MVTSEPT23!O30+MVTOCT23!O30+MVTNOV23!O30+MVTDEC23!O30</f>
        <v>0</v>
      </c>
      <c r="P30" s="36">
        <f>MVTJANV23!P30+MVTFEV23!P30+MVTMARS23!P30+MVTAVRIL23!P30+MVTMAI23!P30+MVTJUIN23!P30+MVTJUIL23!P30+MVTAOUT23!P30+MVTSEPT23!P30+MVTOCT23!P30+MVTNOV23!P30+MVTDEC23!P30</f>
        <v>0</v>
      </c>
      <c r="Q30" s="36">
        <f>MVTJANV23!Q30+MVTFEV23!Q30+MVTMARS23!Q30+MVTAVRIL23!Q30+MVTMAI23!Q30+MVTJUIN23!Q30+MVTJUIL23!Q30+MVTAOUT23!Q30+MVTSEPT23!Q30+MVTOCT23!Q30+MVTNOV23!Q30+MVTDEC23!Q30</f>
        <v>0</v>
      </c>
      <c r="R30" s="36">
        <f>MVTDEC23!R30</f>
        <v>1000000</v>
      </c>
      <c r="S30" s="36">
        <f>MVTDEC23!S30</f>
        <v>60000</v>
      </c>
      <c r="T30" s="149">
        <v>45444</v>
      </c>
      <c r="U30" s="36">
        <f>MVTJANV23!U30+MVTFEV23!U30+MVTMARS23!U30+MVTAVRIL23!U30+MVTMAI23!U30+MVTJUIN23!U30+MVTJUIL23!U30+MVTAOUT23!U30+MVTSEPT23!U30+MVTOCT23!U30+MVTNOV23!U30+MVTDEC23!U30</f>
        <v>0</v>
      </c>
      <c r="V30" s="36"/>
      <c r="W30" s="36"/>
      <c r="X30" s="36">
        <f>MVTJANV23!X30+MVTFEV23!X30+MVTMARS23!X30+MVTAVRIL23!X30+MVTMAI23!X30+MVTJUIN23!X30+MVTJUIL23!X30+MVTAOUT23!X30+MVTSEPT23!X30+MVTOCT23!X30+MVTNOV23!X30+MVTDEC23!X30</f>
        <v>0</v>
      </c>
      <c r="Y30" s="36">
        <f>MVTJANV23!Y30+MVTFEV23!Y30+MVTMARS23!Y30+MVTAVRIL23!Y30+MVTMAI23!Y30+MVTJUIN23!Y30+MVTJUIL23!Y30+MVTAOUT23!Y30+MVTSEPT23!Y30+MVTOCT23!Y30+MVTNOV23!Y30+MVTDEC23!Y30</f>
        <v>0</v>
      </c>
      <c r="Z30" s="36">
        <f>MVTJANV23!Z30+MVTFEV23!Z30+MVTMARS23!Z30+MVTAVRIL23!Z30+MVTMAI23!Z30+MVTJUIN23!Z30+MVTJUIL23!Z30+MVTAOUT23!Z30+MVTSEPT23!Z30+MVTOCT23!Z30+MVTNOV23!Z30+MVTDEC23!Z30</f>
        <v>0</v>
      </c>
      <c r="AA30" s="36">
        <f>MVTJANV23!AA30+MVTFEV23!AA30+MVTMARS23!AA30+MVTAVRIL23!AA30+MVTMAI23!AA30+MVTJUIN23!AA30+MVTJUIL23!AA30+MVTAOUT23!AA30+MVTSEPT23!AA30+MVTOCT23!AA30+MVTNOV23!AA30+MVTDEC23!AA30</f>
        <v>0</v>
      </c>
      <c r="AB30" s="36">
        <f>MVTJANV23!AB30+MVTFEV23!AB30+MVTMARS23!AB30+MVTAVRIL23!AB30+MVTMAI23!AB30+MVTJUIN23!AB30+MVTJUIL23!AB30+MVTAOUT23!AB30+MVTSEPT23!AB30+MVTOCT23!AB30+MVTNOV23!AB30+MVTDEC23!AB30</f>
        <v>0</v>
      </c>
      <c r="AC30" s="36">
        <f>MVTJANV23!AC30+MVTFEV23!AC30+MVTMARS23!AC30+MVTAVRIL23!AC30+MVTMAI23!AC30+MVTJUIN23!AC30+MVTJUIL23!AC30+MVTAOUT23!AC30+MVTSEPT23!AC30+MVTOCT23!AC30+MVTNOV23!AC30+MVTDEC23!AC30</f>
        <v>0</v>
      </c>
      <c r="AD30" s="36">
        <f>MVTJANV23!AD30+MVTFEV23!AD30+MVTMARS23!AD30+MVTAVRIL23!AD30+MVTMAI23!AD30+MVTJUIN23!AD30+MVTJUIL23!AD30+MVTAOUT23!AD30+MVTSEPT23!AD30+MVTOCT23!AD30+MVTNOV23!AD30+MVTDEC23!AD30</f>
        <v>70000</v>
      </c>
      <c r="AE30" s="36">
        <f>MVTJANV23!AE30+MVTFEV23!AE30+MVTMARS23!AE30+MVTAVRIL23!AE30+MVTMAI23!AE30+MVTJUIN23!AE30+MVTJUIL23!AE30+MVTAOUT23!AE30+MVTSEPT23!AE30+MVTOCT23!AE30+MVTNOV23!AE30+MVTDEC23!AE30</f>
        <v>0</v>
      </c>
      <c r="AF30" s="36">
        <f>MVTJANV23!AF30+MVTFEV23!AF30+MVTMARS23!AF30+MVTAVRIL23!AF30+MVTMAI23!AF30+MVTJUIN23!AF30+MVTJUIL23!AF30+MVTAOUT23!AF30+MVTSEPT23!AF30+MVTOCT23!AF30+MVTNOV23!AF30+MVTDEC23!AF30</f>
        <v>0</v>
      </c>
      <c r="AG30" s="36">
        <f>MVTJANV23!AG30+MVTFEV23!AG30+MVTMARS23!AG30+MVTAVRIL23!AG30+MVTMAI23!AG30+MVTJUIN23!AG30+MVTJUIL23!AG30+MVTAOUT23!AG30+MVTSEPT23!AG30+MVTOCT23!AG30+MVTNOV23!AG30+MVTDEC23!AG30</f>
        <v>0</v>
      </c>
      <c r="AH30" s="36">
        <f>MVTJANV23!AH30+MVTFEV23!AH30+MVTMARS23!AH30+MVTAVRIL23!AH30+MVTMAI23!AH30+MVTJUIN23!AH30+MVTJUIL23!AH30+MVTAOUT23!AH30+MVTSEPT23!AH30+MVTOCT23!AH30+MVTNOV23!AH30+MVTDEC23!AH30</f>
        <v>0</v>
      </c>
      <c r="AI30" s="36">
        <f>MVTJANV23!AI30+MVTFEV23!AI30+MVTMARS23!AI30+MVTAVRIL23!AI30+MVTMAI23!AI30+MVTJUIN23!AI30+MVTJUIL23!AI30+MVTAOUT23!AI30+MVTSEPT23!AI30+MVTOCT23!AI30+MVTNOV23!AI30+MVTDEC23!AI30</f>
        <v>0</v>
      </c>
      <c r="AJ30" s="36">
        <f>MVTJANV23!AJ30+MVTFEV23!AJ30+MVTMARS23!AJ30+MVTAVRIL23!AJ30+MVTMAI23!AJ30+MVTJUIN23!AJ30+MVTJUIL23!AJ30+MVTAOUT23!AJ30+MVTSEPT23!AJ30+MVTOCT23!AJ30+MVTNOV23!AJ30+MVTDEC23!AJ30</f>
        <v>0</v>
      </c>
      <c r="AK30" s="98">
        <f t="shared" si="1"/>
        <v>1000000</v>
      </c>
      <c r="AL30" s="149"/>
      <c r="AM30" s="150">
        <f t="shared" si="0"/>
        <v>60000</v>
      </c>
      <c r="AN30" s="150"/>
      <c r="AP30" s="36">
        <f>MVTDEC23!AK30</f>
        <v>100000</v>
      </c>
    </row>
    <row r="31" spans="1:42" ht="18.75" x14ac:dyDescent="0.3">
      <c r="A31" s="1" t="s">
        <v>49</v>
      </c>
      <c r="B31" s="1" t="str">
        <f>VLOOKUP(A31,[15]LISTADHERENT!A$5:H$60,3,0)</f>
        <v>SIMO PIERRE</v>
      </c>
      <c r="C31" s="36">
        <f>MVTJANV23!C31+MVTFEV23!C31+MVTMARS23!C31+MVTAVRIL23!C31+MVTMAI23!C31+MVTJUIN23!C31+MVTJUIL23!C31+MVTAOUT23!C31+MVTSEPT23!C31+MVTOCT23!C31+MVTNOV23!C31+MVTDEC23!C31</f>
        <v>600000</v>
      </c>
      <c r="D31" s="36">
        <f>MVTJANV23!D31+MVTFEV23!D31+MVTMARS23!D31+MVTAVRIL23!D31+MVTMAI23!D31+MVTJUIN23!D31+MVTJUIL23!D31+MVTAOUT23!D31+MVTSEPT23!D31+MVTOCT23!D31+MVTNOV23!D31+MVTDEC23!D31</f>
        <v>103606</v>
      </c>
      <c r="E31" s="36">
        <f>MVTJANV23!E31+MVTFEV23!E31+MVTMARS23!E31+MVTAVRIL23!E31+MVTMAI23!E31+MVTJUIN23!E31+MVTJUIL23!E31+MVTAOUT23!E31+MVTSEPT23!E31+MVTOCT23!E31+MVTNOV23!E31+MVTDEC23!E31</f>
        <v>0</v>
      </c>
      <c r="F31" s="5">
        <f>MVTFEV23!F31-MVTRESUME23!E31+K31</f>
        <v>1094801.0246488438</v>
      </c>
      <c r="G31" s="6">
        <f>MVTDEC22!G31+MVTJANV23!G31+MVTFEV23!G31+MVTMARS23!G31+MVTAVRIL23!G31+MVTMAI23!G31+MVTJUIN23!G31+MVTJUIL23!G31+MVTAOUT23!G31+MVTSEPT23!G31+MVTOCT23!G31+MVTNOV23!G31+MVTDEC23!G31</f>
        <v>63580.612182999699</v>
      </c>
      <c r="H31" s="6">
        <f>MVTFEV23!H31-MVTRESUME23!E31+MVTRESUME23!K31</f>
        <v>1096001.7189100059</v>
      </c>
      <c r="I31" s="36">
        <f>MVTJANV23!I31+MVTFEV23!I31+MVTMARS23!I31+MVTAVRIL23!I31+MVTMAI23!I31+MVTJUIN23!I31+MVTJUIL23!I31+MVTAOUT23!I31+MVTSEPT23!I31+MVTOCT23!I31+MVTNOV23!I31+MVTDEC23!I31</f>
        <v>0</v>
      </c>
      <c r="J31" s="36">
        <f>MVTJANV23!J31+MVTFEV23!J31+MVTMARS23!J31+MVTAVRIL23!J31+MVTMAI23!J31+MVTJUIN23!J31+MVTJUIL23!J31+MVTAOUT23!J31+MVTSEPT23!J31+MVTOCT23!J31+MVTNOV23!J31+MVTDEC23!J31</f>
        <v>290500</v>
      </c>
      <c r="K31" s="36">
        <f>MVTJANV23!K31+MVTFEV23!K31+MVTMARS23!K31+MVTAVRIL23!K31+MVTMAI23!K31+MVTJUIN23!K31+MVTJUIL23!K31+MVTAOUT23!K31+MVTSEPT23!K31+MVTOCT23!K31+MVTNOV23!K31+MVTDEC23!K31</f>
        <v>218500</v>
      </c>
      <c r="L31" s="36">
        <f>MVTJANV23!L31+MVTFEV23!L31+MVTMARS23!L31+MVTAVRIL23!L31+MVTMAI23!L31+MVTJUIN23!L31+MVTJUIL23!L31+MVTAOUT23!L31+MVTSEPT23!L31+MVTOCT23!L31+MVTNOV23!L31+MVTDEC23!L31</f>
        <v>12000</v>
      </c>
      <c r="M31" s="36">
        <f>MVTJANV23!M31+MVTFEV23!M31+MVTMARS23!M31+MVTAVRIL23!M31+MVTMAI23!M31+MVTJUIN23!M31+MVTJUIL23!M31+MVTAOUT23!M31+MVTSEPT23!M31+MVTOCT23!M31+MVTNOV23!M31+MVTDEC23!M31</f>
        <v>12000</v>
      </c>
      <c r="N31" s="36">
        <f>MVTJANV23!N31+MVTFEV23!N31+MVTMARS23!N31+MVTAVRIL23!N31+MVTMAI23!N31+MVTJUIN23!N31+MVTJUIL23!N31+MVTAOUT23!N31+MVTSEPT23!N31+MVTOCT23!N31+MVTNOV23!N31+MVTDEC23!N31</f>
        <v>48000</v>
      </c>
      <c r="O31" s="36">
        <f>MVTJANV23!O31+MVTFEV23!O31+MVTMARS23!O31+MVTAVRIL23!O31+MVTMAI23!O31+MVTJUIN23!O31+MVTJUIL23!O31+MVTAOUT23!O31+MVTSEPT23!O31+MVTOCT23!O31+MVTNOV23!O31+MVTDEC23!O31</f>
        <v>0</v>
      </c>
      <c r="P31" s="36">
        <f>MVTJANV23!P31+MVTFEV23!P31+MVTMARS23!P31+MVTAVRIL23!P31+MVTMAI23!P31+MVTJUIN23!P31+MVTJUIL23!P31+MVTAOUT23!P31+MVTSEPT23!P31+MVTOCT23!P31+MVTNOV23!P31+MVTDEC23!P31</f>
        <v>0</v>
      </c>
      <c r="Q31" s="36">
        <f>MVTJANV23!Q31+MVTFEV23!Q31+MVTMARS23!Q31+MVTAVRIL23!Q31+MVTMAI23!Q31+MVTJUIN23!Q31+MVTJUIL23!Q31+MVTAOUT23!Q31+MVTSEPT23!Q31+MVTOCT23!Q31+MVTNOV23!Q31+MVTDEC23!Q31</f>
        <v>0</v>
      </c>
      <c r="R31" s="36">
        <f>MVTDEC23!R31</f>
        <v>250000</v>
      </c>
      <c r="S31" s="36">
        <f>MVTDEC23!S31</f>
        <v>15000</v>
      </c>
      <c r="T31" s="149">
        <v>45627</v>
      </c>
      <c r="U31" s="36">
        <f>MVTJANV23!U31+MVTFEV23!U31+MVTMARS23!U31+MVTAVRIL23!U31+MVTMAI23!U31+MVTJUIN23!U31+MVTJUIL23!U31+MVTAOUT23!U31+MVTSEPT23!U31+MVTOCT23!U31+MVTNOV23!U31+MVTDEC23!U31</f>
        <v>1000000</v>
      </c>
      <c r="V31" s="36"/>
      <c r="W31" s="36"/>
      <c r="X31" s="36">
        <f>MVTJANV23!X31+MVTFEV23!X31+MVTMARS23!X31+MVTAVRIL23!X31+MVTMAI23!X31+MVTJUIN23!X31+MVTJUIL23!X31+MVTAOUT23!X31+MVTSEPT23!X31+MVTOCT23!X31+MVTNOV23!X31+MVTDEC23!X31</f>
        <v>0</v>
      </c>
      <c r="Y31" s="36">
        <f>MVTJANV23!Y31+MVTFEV23!Y31+MVTMARS23!Y31+MVTAVRIL23!Y31+MVTMAI23!Y31+MVTJUIN23!Y31+MVTJUIL23!Y31+MVTAOUT23!Y31+MVTSEPT23!Y31+MVTOCT23!Y31+MVTNOV23!Y31+MVTDEC23!Y31</f>
        <v>0</v>
      </c>
      <c r="Z31" s="36">
        <f>MVTJANV23!Z31+MVTFEV23!Z31+MVTMARS23!Z31+MVTAVRIL23!Z31+MVTMAI23!Z31+MVTJUIN23!Z31+MVTJUIL23!Z31+MVTAOUT23!Z31+MVTSEPT23!Z31+MVTOCT23!Z31+MVTNOV23!Z31+MVTDEC23!Z31</f>
        <v>0</v>
      </c>
      <c r="AA31" s="36">
        <f>MVTJANV23!AA31+MVTFEV23!AA31+MVTMARS23!AA31+MVTAVRIL23!AA31+MVTMAI23!AA31+MVTJUIN23!AA31+MVTJUIL23!AA31+MVTAOUT23!AA31+MVTSEPT23!AA31+MVTOCT23!AA31+MVTNOV23!AA31+MVTDEC23!AA31</f>
        <v>0</v>
      </c>
      <c r="AB31" s="36">
        <f>MVTJANV23!AB31+MVTFEV23!AB31+MVTMARS23!AB31+MVTAVRIL23!AB31+MVTMAI23!AB31+MVTJUIN23!AB31+MVTJUIL23!AB31+MVTAOUT23!AB31+MVTSEPT23!AB31+MVTOCT23!AB31+MVTNOV23!AB31+MVTDEC23!AB31</f>
        <v>0</v>
      </c>
      <c r="AC31" s="36">
        <f>MVTJANV23!AC31+MVTFEV23!AC31+MVTMARS23!AC31+MVTAVRIL23!AC31+MVTMAI23!AC31+MVTJUIN23!AC31+MVTJUIL23!AC31+MVTAOUT23!AC31+MVTSEPT23!AC31+MVTOCT23!AC31+MVTNOV23!AC31+MVTDEC23!AC31</f>
        <v>0</v>
      </c>
      <c r="AD31" s="36">
        <f>MVTJANV23!AD31+MVTFEV23!AD31+MVTMARS23!AD31+MVTAVRIL23!AD31+MVTMAI23!AD31+MVTJUIN23!AD31+MVTJUIL23!AD31+MVTAOUT23!AD31+MVTSEPT23!AD31+MVTOCT23!AD31+MVTNOV23!AD31+MVTDEC23!AD31</f>
        <v>70000</v>
      </c>
      <c r="AE31" s="36">
        <f>MVTJANV23!AE31+MVTFEV23!AE31+MVTMARS23!AE31+MVTAVRIL23!AE31+MVTMAI23!AE31+MVTJUIN23!AE31+MVTJUIL23!AE31+MVTAOUT23!AE31+MVTSEPT23!AE31+MVTOCT23!AE31+MVTNOV23!AE31+MVTDEC23!AE31</f>
        <v>0</v>
      </c>
      <c r="AF31" s="36">
        <f>MVTJANV23!AF31+MVTFEV23!AF31+MVTMARS23!AF31+MVTAVRIL23!AF31+MVTMAI23!AF31+MVTJUIN23!AF31+MVTJUIL23!AF31+MVTAOUT23!AF31+MVTSEPT23!AF31+MVTOCT23!AF31+MVTNOV23!AF31+MVTDEC23!AF31</f>
        <v>0</v>
      </c>
      <c r="AG31" s="36">
        <f>MVTJANV23!AG31+MVTFEV23!AG31+MVTMARS23!AG31+MVTAVRIL23!AG31+MVTMAI23!AG31+MVTJUIN23!AG31+MVTJUIL23!AG31+MVTAOUT23!AG31+MVTSEPT23!AG31+MVTOCT23!AG31+MVTNOV23!AG31+MVTDEC23!AG31</f>
        <v>0</v>
      </c>
      <c r="AH31" s="36">
        <f>MVTJANV23!AH31+MVTFEV23!AH31+MVTMARS23!AH31+MVTAVRIL23!AH31+MVTMAI23!AH31+MVTJUIN23!AH31+MVTJUIL23!AH31+MVTAOUT23!AH31+MVTSEPT23!AH31+MVTOCT23!AH31+MVTNOV23!AH31+MVTDEC23!AH31</f>
        <v>0</v>
      </c>
      <c r="AI31" s="36">
        <f>MVTJANV23!AI31+MVTFEV23!AI31+MVTMARS23!AI31+MVTAVRIL23!AI31+MVTMAI23!AI31+MVTJUIN23!AI31+MVTJUIL23!AI31+MVTAOUT23!AI31+MVTSEPT23!AI31+MVTOCT23!AI31+MVTNOV23!AI31+MVTDEC23!AI31</f>
        <v>0</v>
      </c>
      <c r="AJ31" s="36">
        <f>MVTJANV23!AJ31+MVTFEV23!AJ31+MVTMARS23!AJ31+MVTAVRIL23!AJ31+MVTMAI23!AJ31+MVTJUIN23!AJ31+MVTJUIL23!AJ31+MVTAOUT23!AJ31+MVTSEPT23!AJ31+MVTOCT23!AJ31+MVTNOV23!AJ31+MVTDEC23!AJ31</f>
        <v>0</v>
      </c>
      <c r="AK31" s="98">
        <f t="shared" si="1"/>
        <v>-750000</v>
      </c>
      <c r="AL31" s="149">
        <v>45261</v>
      </c>
      <c r="AM31" s="150">
        <f t="shared" si="0"/>
        <v>15000</v>
      </c>
      <c r="AN31" s="150"/>
      <c r="AP31" s="36">
        <f>MVTDEC23!AK31</f>
        <v>100000</v>
      </c>
    </row>
    <row r="32" spans="1:42" ht="18.75" x14ac:dyDescent="0.3">
      <c r="A32" s="1" t="s">
        <v>51</v>
      </c>
      <c r="B32" s="1" t="str">
        <f>VLOOKUP(A32,[15]LISTADHERENT!A$5:H$60,3,0)</f>
        <v>TCHOUAMOU MATHIEU</v>
      </c>
      <c r="C32" s="36">
        <f>MVTJANV23!C32+MVTFEV23!C32+MVTMARS23!C32+MVTAVRIL23!C32+MVTMAI23!C32+MVTJUIN23!C32+MVTJUIL23!C32+MVTAOUT23!C32+MVTSEPT23!C32+MVTOCT23!C32+MVTNOV23!C32+MVTDEC23!C32</f>
        <v>600000</v>
      </c>
      <c r="D32" s="36">
        <f>MVTJANV23!D32+MVTFEV23!D32+MVTMARS23!D32+MVTAVRIL23!D32+MVTMAI23!D32+MVTJUIN23!D32+MVTJUIL23!D32+MVTAOUT23!D32+MVTSEPT23!D32+MVTOCT23!D32+MVTNOV23!D32+MVTDEC23!D32</f>
        <v>4208</v>
      </c>
      <c r="E32" s="36">
        <f>MVTJANV23!E32+MVTFEV23!E32+MVTMARS23!E32+MVTAVRIL23!E32+MVTMAI23!E32+MVTJUIN23!E32+MVTJUIL23!E32+MVTAOUT23!E32+MVTSEPT23!E32+MVTOCT23!E32+MVTNOV23!E32+MVTDEC23!E32</f>
        <v>0</v>
      </c>
      <c r="F32" s="5">
        <f>MVTFEV23!F32-MVTRESUME23!E32+K32</f>
        <v>768588.4159420582</v>
      </c>
      <c r="G32" s="6">
        <f>MVTDEC22!G32+MVTJANV23!G32+MVTFEV23!G32+MVTMARS23!G32+MVTAVRIL23!G32+MVTMAI23!G32+MVTJUIN23!G32+MVTJUIL23!G32+MVTAOUT23!G32+MVTSEPT23!G32+MVTOCT23!G32+MVTNOV23!G32+MVTDEC23!G32</f>
        <v>52767.8062065169</v>
      </c>
      <c r="H32" s="6">
        <f>MVTFEV23!H32-MVTRESUME23!E32+MVTRESUME23!K32</f>
        <v>769493.54408604221</v>
      </c>
      <c r="I32" s="36">
        <f>MVTJANV23!I32+MVTFEV23!I32+MVTMARS23!I32+MVTAVRIL23!I32+MVTMAI23!I32+MVTJUIN23!I32+MVTJUIL23!I32+MVTAOUT23!I32+MVTSEPT23!I32+MVTOCT23!I32+MVTNOV23!I32+MVTDEC23!I32</f>
        <v>0</v>
      </c>
      <c r="J32" s="36">
        <f>MVTJANV23!J32+MVTFEV23!J32+MVTMARS23!J32+MVTAVRIL23!J32+MVTMAI23!J32+MVTJUIN23!J32+MVTJUIL23!J32+MVTAOUT23!J32+MVTSEPT23!J32+MVTOCT23!J32+MVTNOV23!J32+MVTDEC23!J32</f>
        <v>180000</v>
      </c>
      <c r="K32" s="36">
        <f>MVTJANV23!K32+MVTFEV23!K32+MVTMARS23!K32+MVTAVRIL23!K32+MVTMAI23!K32+MVTJUIN23!K32+MVTJUIL23!K32+MVTAOUT23!K32+MVTSEPT23!K32+MVTOCT23!K32+MVTNOV23!K32+MVTDEC23!K32</f>
        <v>108000</v>
      </c>
      <c r="L32" s="36">
        <f>MVTJANV23!L32+MVTFEV23!L32+MVTMARS23!L32+MVTAVRIL23!L32+MVTMAI23!L32+MVTJUIN23!L32+MVTJUIL23!L32+MVTAOUT23!L32+MVTSEPT23!L32+MVTOCT23!L32+MVTNOV23!L32+MVTDEC23!L32</f>
        <v>12000</v>
      </c>
      <c r="M32" s="36">
        <f>MVTJANV23!M32+MVTFEV23!M32+MVTMARS23!M32+MVTAVRIL23!M32+MVTMAI23!M32+MVTJUIN23!M32+MVTJUIL23!M32+MVTAOUT23!M32+MVTSEPT23!M32+MVTOCT23!M32+MVTNOV23!M32+MVTDEC23!M32</f>
        <v>12000</v>
      </c>
      <c r="N32" s="36">
        <f>MVTJANV23!N32+MVTFEV23!N32+MVTMARS23!N32+MVTAVRIL23!N32+MVTMAI23!N32+MVTJUIN23!N32+MVTJUIL23!N32+MVTAOUT23!N32+MVTSEPT23!N32+MVTOCT23!N32+MVTNOV23!N32+MVTDEC23!N32</f>
        <v>48000</v>
      </c>
      <c r="O32" s="36">
        <f>MVTJANV23!O32+MVTFEV23!O32+MVTMARS23!O32+MVTAVRIL23!O32+MVTMAI23!O32+MVTJUIN23!O32+MVTJUIL23!O32+MVTAOUT23!O32+MVTSEPT23!O32+MVTOCT23!O32+MVTNOV23!O32+MVTDEC23!O32</f>
        <v>0</v>
      </c>
      <c r="P32" s="36">
        <f>MVTJANV23!P32+MVTFEV23!P32+MVTMARS23!P32+MVTAVRIL23!P32+MVTMAI23!P32+MVTJUIN23!P32+MVTJUIL23!P32+MVTAOUT23!P32+MVTSEPT23!P32+MVTOCT23!P32+MVTNOV23!P32+MVTDEC23!P32</f>
        <v>0</v>
      </c>
      <c r="Q32" s="36">
        <f>MVTJANV23!Q32+MVTFEV23!Q32+MVTMARS23!Q32+MVTAVRIL23!Q32+MVTMAI23!Q32+MVTJUIN23!Q32+MVTJUIL23!Q32+MVTAOUT23!Q32+MVTSEPT23!Q32+MVTOCT23!Q32+MVTNOV23!Q32+MVTDEC23!Q32</f>
        <v>0</v>
      </c>
      <c r="R32" s="36">
        <f>MVTDEC23!R32</f>
        <v>0</v>
      </c>
      <c r="S32" s="36">
        <f>MVTDEC23!S32</f>
        <v>0</v>
      </c>
      <c r="T32" s="149"/>
      <c r="U32" s="36">
        <f>MVTJANV23!U32+MVTFEV23!U32+MVTMARS23!U32+MVTAVRIL23!U32+MVTMAI23!U32+MVTJUIN23!U32+MVTJUIL23!U32+MVTAOUT23!U32+MVTSEPT23!U32+MVTOCT23!U32+MVTNOV23!U32+MVTDEC23!U32</f>
        <v>900000</v>
      </c>
      <c r="V32" s="36"/>
      <c r="W32" s="36"/>
      <c r="X32" s="36">
        <f>MVTJANV23!X32+MVTFEV23!X32+MVTMARS23!X32+MVTAVRIL23!X32+MVTMAI23!X32+MVTJUIN23!X32+MVTJUIL23!X32+MVTAOUT23!X32+MVTSEPT23!X32+MVTOCT23!X32+MVTNOV23!X32+MVTDEC23!X32</f>
        <v>0</v>
      </c>
      <c r="Y32" s="36">
        <f>MVTJANV23!Y32+MVTFEV23!Y32+MVTMARS23!Y32+MVTAVRIL23!Y32+MVTMAI23!Y32+MVTJUIN23!Y32+MVTJUIL23!Y32+MVTAOUT23!Y32+MVTSEPT23!Y32+MVTOCT23!Y32+MVTNOV23!Y32+MVTDEC23!Y32</f>
        <v>0</v>
      </c>
      <c r="Z32" s="36">
        <f>MVTJANV23!Z32+MVTFEV23!Z32+MVTMARS23!Z32+MVTAVRIL23!Z32+MVTMAI23!Z32+MVTJUIN23!Z32+MVTJUIL23!Z32+MVTAOUT23!Z32+MVTSEPT23!Z32+MVTOCT23!Z32+MVTNOV23!Z32+MVTDEC23!Z32</f>
        <v>0</v>
      </c>
      <c r="AA32" s="36">
        <f>MVTJANV23!AA32+MVTFEV23!AA32+MVTMARS23!AA32+MVTAVRIL23!AA32+MVTMAI23!AA32+MVTJUIN23!AA32+MVTJUIL23!AA32+MVTAOUT23!AA32+MVTSEPT23!AA32+MVTOCT23!AA32+MVTNOV23!AA32+MVTDEC23!AA32</f>
        <v>0</v>
      </c>
      <c r="AB32" s="36">
        <f>MVTJANV23!AB32+MVTFEV23!AB32+MVTMARS23!AB32+MVTAVRIL23!AB32+MVTMAI23!AB32+MVTJUIN23!AB32+MVTJUIL23!AB32+MVTAOUT23!AB32+MVTSEPT23!AB32+MVTOCT23!AB32+MVTNOV23!AB32+MVTDEC23!AB32</f>
        <v>0</v>
      </c>
      <c r="AC32" s="36">
        <f>MVTJANV23!AC32+MVTFEV23!AC32+MVTMARS23!AC32+MVTAVRIL23!AC32+MVTMAI23!AC32+MVTJUIN23!AC32+MVTJUIL23!AC32+MVTAOUT23!AC32+MVTSEPT23!AC32+MVTOCT23!AC32+MVTNOV23!AC32+MVTDEC23!AC32</f>
        <v>0</v>
      </c>
      <c r="AD32" s="36">
        <f>MVTJANV23!AD32+MVTFEV23!AD32+MVTMARS23!AD32+MVTAVRIL23!AD32+MVTMAI23!AD32+MVTJUIN23!AD32+MVTJUIL23!AD32+MVTAOUT23!AD32+MVTSEPT23!AD32+MVTOCT23!AD32+MVTNOV23!AD32+MVTDEC23!AD32</f>
        <v>70000</v>
      </c>
      <c r="AE32" s="36">
        <f>MVTJANV23!AE32+MVTFEV23!AE32+MVTMARS23!AE32+MVTAVRIL23!AE32+MVTMAI23!AE32+MVTJUIN23!AE32+MVTJUIL23!AE32+MVTAOUT23!AE32+MVTSEPT23!AE32+MVTOCT23!AE32+MVTNOV23!AE32+MVTDEC23!AE32</f>
        <v>0</v>
      </c>
      <c r="AF32" s="36">
        <f>MVTJANV23!AF32+MVTFEV23!AF32+MVTMARS23!AF32+MVTAVRIL23!AF32+MVTMAI23!AF32+MVTJUIN23!AF32+MVTJUIL23!AF32+MVTAOUT23!AF32+MVTSEPT23!AF32+MVTOCT23!AF32+MVTNOV23!AF32+MVTDEC23!AF32</f>
        <v>0</v>
      </c>
      <c r="AG32" s="36">
        <f>MVTJANV23!AG32+MVTFEV23!AG32+MVTMARS23!AG32+MVTAVRIL23!AG32+MVTMAI23!AG32+MVTJUIN23!AG32+MVTJUIL23!AG32+MVTAOUT23!AG32+MVTSEPT23!AG32+MVTOCT23!AG32+MVTNOV23!AG32+MVTDEC23!AG32</f>
        <v>0</v>
      </c>
      <c r="AH32" s="36">
        <f>MVTJANV23!AH32+MVTFEV23!AH32+MVTMARS23!AH32+MVTAVRIL23!AH32+MVTMAI23!AH32+MVTJUIN23!AH32+MVTJUIL23!AH32+MVTAOUT23!AH32+MVTSEPT23!AH32+MVTOCT23!AH32+MVTNOV23!AH32+MVTDEC23!AH32</f>
        <v>100000</v>
      </c>
      <c r="AI32" s="36">
        <f>MVTJANV23!AI32+MVTFEV23!AI32+MVTMARS23!AI32+MVTAVRIL23!AI32+MVTMAI23!AI32+MVTJUIN23!AI32+MVTJUIL23!AI32+MVTAOUT23!AI32+MVTSEPT23!AI32+MVTOCT23!AI32+MVTNOV23!AI32+MVTDEC23!AI32</f>
        <v>0</v>
      </c>
      <c r="AJ32" s="36">
        <f>MVTJANV23!AJ32+MVTFEV23!AJ32+MVTMARS23!AJ32+MVTAVRIL23!AJ32+MVTMAI23!AJ32+MVTJUIN23!AJ32+MVTJUIL23!AJ32+MVTAOUT23!AJ32+MVTSEPT23!AJ32+MVTOCT23!AJ32+MVTNOV23!AJ32+MVTDEC23!AJ32</f>
        <v>0</v>
      </c>
      <c r="AK32" s="98">
        <f t="shared" si="1"/>
        <v>-900000</v>
      </c>
      <c r="AL32" s="149">
        <v>45261</v>
      </c>
      <c r="AM32" s="150">
        <f t="shared" si="0"/>
        <v>0</v>
      </c>
      <c r="AN32" s="150"/>
      <c r="AP32" s="36">
        <f>MVTDEC23!AK32</f>
        <v>100000</v>
      </c>
    </row>
    <row r="33" spans="1:44" ht="18.75" x14ac:dyDescent="0.3">
      <c r="A33" s="1" t="s">
        <v>53</v>
      </c>
      <c r="B33" s="1" t="str">
        <f>VLOOKUP(A33,[15]LISTADHERENT!A$5:H$60,3,0)</f>
        <v>TCHOUTOU NANA CLAUDE</v>
      </c>
      <c r="C33" s="36">
        <f>MVTJANV23!C33+MVTFEV23!C33+MVTMARS23!C33+MVTAVRIL23!C33+MVTMAI23!C33+MVTJUIN23!C33+MVTJUIL23!C33+MVTAOUT23!C33+MVTSEPT23!C33+MVTOCT23!C33+MVTNOV23!C33+MVTDEC23!C33</f>
        <v>0</v>
      </c>
      <c r="D33" s="36">
        <f>MVTJANV23!D33+MVTFEV23!D33+MVTMARS23!D33+MVTAVRIL23!D33+MVTMAI23!D33+MVTJUIN23!D33+MVTJUIL23!D33+MVTAOUT23!D33+MVTSEPT23!D33+MVTOCT23!D33+MVTNOV23!D33+MVTDEC23!D33</f>
        <v>0</v>
      </c>
      <c r="E33" s="36">
        <f>MVTJANV23!E33+MVTFEV23!E33+MVTMARS23!E33+MVTAVRIL23!E33+MVTMAI23!E33+MVTJUIN23!E33+MVTJUIL23!E33+MVTAOUT23!E33+MVTSEPT23!E33+MVTOCT23!E33+MVTNOV23!E33+MVTDEC23!E33</f>
        <v>0</v>
      </c>
      <c r="F33" s="5">
        <f>MVTFEV23!F33-MVTRESUME23!E33+K33</f>
        <v>121000</v>
      </c>
      <c r="G33" s="6">
        <f>MVTDEC22!G33+MVTJANV23!G33+MVTFEV23!G33+MVTMARS23!G33+MVTAVRIL23!G33+MVTMAI23!G33+MVTJUIN23!G33+MVTJUIL23!G33+MVTAOUT23!G33+MVTSEPT23!G33+MVTOCT23!G33+MVTNOV23!G33+MVTDEC23!G33</f>
        <v>0</v>
      </c>
      <c r="H33" s="6"/>
      <c r="I33" s="36">
        <f>MVTJANV23!I33+MVTFEV23!I33+MVTMARS23!I33+MVTAVRIL23!I33+MVTMAI23!I33+MVTJUIN23!I33+MVTJUIL23!I33+MVTAOUT23!I33+MVTSEPT23!I33+MVTOCT23!I33+MVTNOV23!I33+MVTDEC23!I33</f>
        <v>0</v>
      </c>
      <c r="J33" s="36">
        <f>MVTJANV23!J33+MVTFEV23!J33+MVTMARS23!J33+MVTAVRIL23!J33+MVTMAI23!J33+MVTJUIN23!J33+MVTJUIL23!J33+MVTAOUT23!J33+MVTSEPT23!J33+MVTOCT23!J33+MVTNOV23!J33+MVTDEC23!J33</f>
        <v>190000</v>
      </c>
      <c r="K33" s="36">
        <f>MVTJANV23!K33+MVTFEV23!K33+MVTMARS23!K33+MVTAVRIL23!K33+MVTMAI23!K33+MVTJUIN23!K33+MVTJUIL23!K33+MVTAOUT23!K33+MVTSEPT23!K33+MVTOCT23!K33+MVTNOV23!K33+MVTDEC23!K33</f>
        <v>103000</v>
      </c>
      <c r="L33" s="36">
        <f>MVTJANV23!L33+MVTFEV23!L33+MVTMARS23!L33+MVTAVRIL23!L33+MVTMAI23!L33+MVTJUIN23!L33+MVTJUIL23!L33+MVTAOUT23!L33+MVTSEPT23!L33+MVTOCT23!L33+MVTNOV23!L33+MVTDEC23!L33</f>
        <v>12000</v>
      </c>
      <c r="M33" s="36">
        <f>MVTJANV23!M33+MVTFEV23!M33+MVTMARS23!M33+MVTAVRIL23!M33+MVTMAI23!M33+MVTJUIN23!M33+MVTJUIL23!M33+MVTAOUT23!M33+MVTSEPT23!M33+MVTOCT23!M33+MVTNOV23!M33+MVTDEC23!M33</f>
        <v>12000</v>
      </c>
      <c r="N33" s="36">
        <f>MVTJANV23!N33+MVTFEV23!N33+MVTMARS23!N33+MVTAVRIL23!N33+MVTMAI23!N33+MVTJUIN23!N33+MVTJUIL23!N33+MVTAOUT23!N33+MVTSEPT23!N33+MVTOCT23!N33+MVTNOV23!N33+MVTDEC23!N33</f>
        <v>48000</v>
      </c>
      <c r="O33" s="36">
        <f>MVTJANV23!O33+MVTFEV23!O33+MVTMARS23!O33+MVTAVRIL23!O33+MVTMAI23!O33+MVTJUIN23!O33+MVTJUIL23!O33+MVTAOUT23!O33+MVTSEPT23!O33+MVTOCT23!O33+MVTNOV23!O33+MVTDEC23!O33</f>
        <v>18000</v>
      </c>
      <c r="P33" s="36">
        <f>MVTJANV23!P33+MVTFEV23!P33+MVTMARS23!P33+MVTAVRIL23!P33+MVTMAI23!P33+MVTJUIN23!P33+MVTJUIL23!P33+MVTAOUT23!P33+MVTSEPT23!P33+MVTOCT23!P33+MVTNOV23!P33+MVTDEC23!P33</f>
        <v>0</v>
      </c>
      <c r="Q33" s="36">
        <f>MVTJANV23!Q33+MVTFEV23!Q33+MVTMARS23!Q33+MVTAVRIL23!Q33+MVTMAI23!Q33+MVTJUIN23!Q33+MVTJUIL23!Q33+MVTAOUT23!Q33+MVTSEPT23!Q33+MVTOCT23!Q33+MVTNOV23!Q33+MVTDEC23!Q33</f>
        <v>0</v>
      </c>
      <c r="R33" s="36">
        <f>MVTDEC23!R33</f>
        <v>0</v>
      </c>
      <c r="S33" s="36">
        <f>MVTDEC23!S33</f>
        <v>0</v>
      </c>
      <c r="T33" s="149"/>
      <c r="U33" s="36">
        <f>MVTJANV23!U33+MVTFEV23!U33+MVTMARS23!U33+MVTAVRIL23!U33+MVTMAI23!U33+MVTJUIN23!U33+MVTJUIL23!U33+MVTAOUT23!U33+MVTSEPT23!U33+MVTOCT23!U33+MVTNOV23!U33+MVTDEC23!U33</f>
        <v>0</v>
      </c>
      <c r="V33" s="36"/>
      <c r="W33" s="36"/>
      <c r="X33" s="36">
        <f>MVTJANV23!X33+MVTFEV23!X33+MVTMARS23!X33+MVTAVRIL23!X33+MVTMAI23!X33+MVTJUIN23!X33+MVTJUIL23!X33+MVTAOUT23!X33+MVTSEPT23!X33+MVTOCT23!X33+MVTNOV23!X33+MVTDEC23!X33</f>
        <v>0</v>
      </c>
      <c r="Y33" s="36">
        <f>MVTJANV23!Y33+MVTFEV23!Y33+MVTMARS23!Y33+MVTAVRIL23!Y33+MVTMAI23!Y33+MVTJUIN23!Y33+MVTJUIL23!Y33+MVTAOUT23!Y33+MVTSEPT23!Y33+MVTOCT23!Y33+MVTNOV23!Y33+MVTDEC23!Y33</f>
        <v>0</v>
      </c>
      <c r="Z33" s="36">
        <f>MVTJANV23!Z33+MVTFEV23!Z33+MVTMARS23!Z33+MVTAVRIL23!Z33+MVTMAI23!Z33+MVTJUIN23!Z33+MVTJUIL23!Z33+MVTAOUT23!Z33+MVTSEPT23!Z33+MVTOCT23!Z33+MVTNOV23!Z33+MVTDEC23!Z33</f>
        <v>0</v>
      </c>
      <c r="AA33" s="36">
        <f>MVTJANV23!AA33+MVTFEV23!AA33+MVTMARS23!AA33+MVTAVRIL23!AA33+MVTMAI23!AA33+MVTJUIN23!AA33+MVTJUIL23!AA33+MVTAOUT23!AA33+MVTSEPT23!AA33+MVTOCT23!AA33+MVTNOV23!AA33+MVTDEC23!AA33</f>
        <v>0</v>
      </c>
      <c r="AB33" s="36">
        <f>MVTJANV23!AB33+MVTFEV23!AB33+MVTMARS23!AB33+MVTAVRIL23!AB33+MVTMAI23!AB33+MVTJUIN23!AB33+MVTJUIL23!AB33+MVTAOUT23!AB33+MVTSEPT23!AB33+MVTOCT23!AB33+MVTNOV23!AB33+MVTDEC23!AB33</f>
        <v>0</v>
      </c>
      <c r="AC33" s="36">
        <f>MVTJANV23!AC33+MVTFEV23!AC33+MVTMARS23!AC33+MVTAVRIL23!AC33+MVTMAI23!AC33+MVTJUIN23!AC33+MVTJUIL23!AC33+MVTAOUT23!AC33+MVTSEPT23!AC33+MVTOCT23!AC33+MVTNOV23!AC33+MVTDEC23!AC33</f>
        <v>0</v>
      </c>
      <c r="AD33" s="36">
        <f>MVTJANV23!AD33+MVTFEV23!AD33+MVTMARS23!AD33+MVTAVRIL23!AD33+MVTMAI23!AD33+MVTJUIN23!AD33+MVTJUIL23!AD33+MVTAOUT23!AD33+MVTSEPT23!AD33+MVTOCT23!AD33+MVTNOV23!AD33+MVTDEC23!AD33</f>
        <v>70000</v>
      </c>
      <c r="AE33" s="36">
        <f>MVTJANV23!AE33+MVTFEV23!AE33+MVTMARS23!AE33+MVTAVRIL23!AE33+MVTMAI23!AE33+MVTJUIN23!AE33+MVTJUIL23!AE33+MVTAOUT23!AE33+MVTSEPT23!AE33+MVTOCT23!AE33+MVTNOV23!AE33+MVTDEC23!AE33</f>
        <v>0</v>
      </c>
      <c r="AF33" s="36">
        <f>MVTJANV23!AF33+MVTFEV23!AF33+MVTMARS23!AF33+MVTAVRIL23!AF33+MVTMAI23!AF33+MVTJUIN23!AF33+MVTJUIL23!AF33+MVTAOUT23!AF33+MVTSEPT23!AF33+MVTOCT23!AF33+MVTNOV23!AF33+MVTDEC23!AF33</f>
        <v>0</v>
      </c>
      <c r="AG33" s="36">
        <f>MVTJANV23!AG33+MVTFEV23!AG33+MVTMARS23!AG33+MVTAVRIL23!AG33+MVTMAI23!AG33+MVTJUIN23!AG33+MVTJUIL23!AG33+MVTAOUT23!AG33+MVTSEPT23!AG33+MVTOCT23!AG33+MVTNOV23!AG33+MVTDEC23!AG33</f>
        <v>0</v>
      </c>
      <c r="AH33" s="36">
        <f>MVTJANV23!AH33+MVTFEV23!AH33+MVTMARS23!AH33+MVTAVRIL23!AH33+MVTMAI23!AH33+MVTJUIN23!AH33+MVTJUIL23!AH33+MVTAOUT23!AH33+MVTSEPT23!AH33+MVTOCT23!AH33+MVTNOV23!AH33+MVTDEC23!AH33</f>
        <v>0</v>
      </c>
      <c r="AI33" s="36">
        <f>MVTJANV23!AI33+MVTFEV23!AI33+MVTMARS23!AI33+MVTAVRIL23!AI33+MVTMAI23!AI33+MVTJUIN23!AI33+MVTJUIL23!AI33+MVTAOUT23!AI33+MVTSEPT23!AI33+MVTOCT23!AI33+MVTNOV23!AI33+MVTDEC23!AI33</f>
        <v>0</v>
      </c>
      <c r="AJ33" s="36">
        <f>MVTJANV23!AJ33+MVTFEV23!AJ33+MVTMARS23!AJ33+MVTAVRIL23!AJ33+MVTMAI23!AJ33+MVTJUIN23!AJ33+MVTJUIL23!AJ33+MVTAOUT23!AJ33+MVTSEPT23!AJ33+MVTOCT23!AJ33+MVTNOV23!AJ33+MVTDEC23!AJ33</f>
        <v>0</v>
      </c>
      <c r="AK33" s="98">
        <f t="shared" si="1"/>
        <v>0</v>
      </c>
      <c r="AL33" s="149"/>
      <c r="AM33" s="150">
        <f t="shared" si="0"/>
        <v>0</v>
      </c>
      <c r="AN33" s="150"/>
      <c r="AO33" s="36"/>
      <c r="AP33" s="36">
        <f>MVTDEC23!AK33</f>
        <v>0</v>
      </c>
    </row>
    <row r="34" spans="1:44" ht="18.75" x14ac:dyDescent="0.3">
      <c r="A34" s="1" t="s">
        <v>313</v>
      </c>
      <c r="B34" s="1" t="str">
        <f>VLOOKUP(A34,[15]LISTADHERENT!A$5:H$60,3,0)</f>
        <v>YANTCHOU GERVAIS</v>
      </c>
      <c r="C34" s="36">
        <f>MVTJANV23!C34+MVTFEV23!C34+MVTMARS23!C34+MVTAVRIL23!C34+MVTMAI23!C34+MVTJUIN23!C34+MVTJUIL23!C34+MVTAOUT23!C34+MVTSEPT23!C34+MVTOCT23!C34+MVTNOV23!C34+MVTDEC23!C34</f>
        <v>0</v>
      </c>
      <c r="D34" s="36">
        <f>MVTJANV23!D34+MVTFEV23!D34+MVTMARS23!D34+MVTAVRIL23!D34+MVTMAI23!D34+MVTJUIN23!D34+MVTJUIL23!D34+MVTAOUT23!D34+MVTSEPT23!D34+MVTOCT23!D34+MVTNOV23!D34+MVTDEC23!D34</f>
        <v>0</v>
      </c>
      <c r="E34" s="36">
        <f>MVTJANV23!E34+MVTFEV23!E34+MVTMARS23!E34+MVTAVRIL23!E34+MVTMAI23!E34+MVTJUIN23!E34+MVTJUIL23!E34+MVTAOUT23!E34+MVTSEPT23!E34+MVTOCT23!E34+MVTNOV23!E34+MVTDEC23!E34</f>
        <v>0</v>
      </c>
      <c r="F34" s="5">
        <f>MVTFEV23!F34-MVTRESUME23!E34+K34</f>
        <v>755500</v>
      </c>
      <c r="G34" s="6">
        <f>MVTDEC22!G34+MVTJANV23!G34+MVTFEV23!G34+MVTMARS23!G34+MVTAVRIL23!G34+MVTMAI23!G34+MVTJUIN23!G34+MVTJUIL23!G34+MVTAOUT23!G34+MVTSEPT23!G34+MVTOCT23!G34+MVTNOV23!G34+MVTDEC23!G34</f>
        <v>524.13813217056111</v>
      </c>
      <c r="H34" s="6"/>
      <c r="I34" s="36">
        <f>MVTJANV23!I34+MVTFEV23!I34+MVTMARS23!I34+MVTAVRIL23!I34+MVTMAI23!I34+MVTJUIN23!I34+MVTJUIL23!I34+MVTAOUT23!I34+MVTSEPT23!I34+MVTOCT23!I34+MVTNOV23!I34+MVTDEC23!I34</f>
        <v>0</v>
      </c>
      <c r="J34" s="36">
        <f>MVTJANV23!J34+MVTFEV23!J34+MVTMARS23!J34+MVTAVRIL23!J34+MVTMAI23!J34+MVTJUIN23!J34+MVTJUIL23!J34+MVTAOUT23!J34+MVTSEPT23!J34+MVTOCT23!J34+MVTNOV23!J34+MVTDEC23!J34</f>
        <v>809500</v>
      </c>
      <c r="K34" s="36">
        <f>MVTJANV23!K34+MVTFEV23!K34+MVTMARS23!K34+MVTAVRIL23!K34+MVTMAI23!K34+MVTJUIN23!K34+MVTJUIL23!K34+MVTAOUT23!K34+MVTSEPT23!K34+MVTOCT23!K34+MVTNOV23!K34+MVTDEC23!K34</f>
        <v>737500</v>
      </c>
      <c r="L34" s="36">
        <f>MVTJANV23!L34+MVTFEV23!L34+MVTMARS23!L34+MVTAVRIL23!L34+MVTMAI23!L34+MVTJUIN23!L34+MVTJUIL23!L34+MVTAOUT23!L34+MVTSEPT23!L34+MVTOCT23!L34+MVTNOV23!L34+MVTDEC23!L34</f>
        <v>12000</v>
      </c>
      <c r="M34" s="36">
        <f>MVTJANV23!M34+MVTFEV23!M34+MVTMARS23!M34+MVTAVRIL23!M34+MVTMAI23!M34+MVTJUIN23!M34+MVTJUIL23!M34+MVTAOUT23!M34+MVTSEPT23!M34+MVTOCT23!M34+MVTNOV23!M34+MVTDEC23!M34</f>
        <v>12000</v>
      </c>
      <c r="N34" s="36">
        <f>MVTJANV23!N34+MVTFEV23!N34+MVTMARS23!N34+MVTAVRIL23!N34+MVTMAI23!N34+MVTJUIN23!N34+MVTJUIL23!N34+MVTAOUT23!N34+MVTSEPT23!N34+MVTOCT23!N34+MVTNOV23!N34+MVTDEC23!N34</f>
        <v>48000</v>
      </c>
      <c r="O34" s="36">
        <f>MVTJANV23!O34+MVTFEV23!O34+MVTMARS23!O34+MVTAVRIL23!O34+MVTMAI23!O34+MVTJUIN23!O34+MVTJUIL23!O34+MVTAOUT23!O34+MVTSEPT23!O34+MVTOCT23!O34+MVTNOV23!O34+MVTDEC23!O34</f>
        <v>3000</v>
      </c>
      <c r="P34" s="36">
        <f>MVTJANV23!P34+MVTFEV23!P34+MVTMARS23!P34+MVTAVRIL23!P34+MVTMAI23!P34+MVTJUIN23!P34+MVTJUIL23!P34+MVTAOUT23!P34+MVTSEPT23!P34+MVTOCT23!P34+MVTNOV23!P34+MVTDEC23!P34</f>
        <v>25000</v>
      </c>
      <c r="Q34" s="36">
        <f>MVTJANV23!Q34+MVTFEV23!Q34+MVTMARS23!Q34+MVTAVRIL23!Q34+MVTMAI23!Q34+MVTJUIN23!Q34+MVTJUIL23!Q34+MVTAOUT23!Q34+MVTSEPT23!Q34+MVTOCT23!Q34+MVTNOV23!Q34+MVTDEC23!Q34</f>
        <v>120000</v>
      </c>
      <c r="R34" s="36">
        <f>MVTDEC23!R34</f>
        <v>700000</v>
      </c>
      <c r="S34" s="36">
        <f>MVTDEC23!S34</f>
        <v>84000</v>
      </c>
      <c r="T34" s="149">
        <v>45627</v>
      </c>
      <c r="U34" s="36">
        <f>MVTJANV23!U34+MVTFEV23!U34+MVTMARS23!U34+MVTAVRIL23!U34+MVTMAI23!U34+MVTJUIN23!U34+MVTJUIL23!U34+MVTAOUT23!U34+MVTSEPT23!U34+MVTOCT23!U34+MVTNOV23!U34+MVTDEC23!U34</f>
        <v>0</v>
      </c>
      <c r="V34" s="36"/>
      <c r="W34" s="36"/>
      <c r="X34" s="36">
        <f>MVTJANV23!X34+MVTFEV23!X34+MVTMARS23!X34+MVTAVRIL23!X34+MVTMAI23!X34+MVTJUIN23!X34+MVTJUIL23!X34+MVTAOUT23!X34+MVTSEPT23!X34+MVTOCT23!X34+MVTNOV23!X34+MVTDEC23!X34</f>
        <v>0</v>
      </c>
      <c r="Y34" s="36">
        <f>MVTJANV23!Y34+MVTFEV23!Y34+MVTMARS23!Y34+MVTAVRIL23!Y34+MVTMAI23!Y34+MVTJUIN23!Y34+MVTJUIL23!Y34+MVTAOUT23!Y34+MVTSEPT23!Y34+MVTOCT23!Y34+MVTNOV23!Y34+MVTDEC23!Y34</f>
        <v>0</v>
      </c>
      <c r="Z34" s="36">
        <f>MVTJANV23!Z34+MVTFEV23!Z34+MVTMARS23!Z34+MVTAVRIL23!Z34+MVTMAI23!Z34+MVTJUIN23!Z34+MVTJUIL23!Z34+MVTAOUT23!Z34+MVTSEPT23!Z34+MVTOCT23!Z34+MVTNOV23!Z34+MVTDEC23!Z34</f>
        <v>0</v>
      </c>
      <c r="AA34" s="36">
        <f>MVTJANV23!AA34+MVTFEV23!AA34+MVTMARS23!AA34+MVTAVRIL23!AA34+MVTMAI23!AA34+MVTJUIN23!AA34+MVTJUIL23!AA34+MVTAOUT23!AA34+MVTSEPT23!AA34+MVTOCT23!AA34+MVTNOV23!AA34+MVTDEC23!AA34</f>
        <v>0</v>
      </c>
      <c r="AB34" s="36">
        <f>MVTJANV23!AB34+MVTFEV23!AB34+MVTMARS23!AB34+MVTAVRIL23!AB34+MVTMAI23!AB34+MVTJUIN23!AB34+MVTJUIL23!AB34+MVTAOUT23!AB34+MVTSEPT23!AB34+MVTOCT23!AB34+MVTNOV23!AB34+MVTDEC23!AB34</f>
        <v>0</v>
      </c>
      <c r="AC34" s="36">
        <f>MVTJANV23!AC34+MVTFEV23!AC34+MVTMARS23!AC34+MVTAVRIL23!AC34+MVTMAI23!AC34+MVTJUIN23!AC34+MVTJUIL23!AC34+MVTAOUT23!AC34+MVTSEPT23!AC34+MVTOCT23!AC34+MVTNOV23!AC34+MVTDEC23!AC34</f>
        <v>0</v>
      </c>
      <c r="AD34" s="36">
        <f>MVTJANV23!AD34+MVTFEV23!AD34+MVTMARS23!AD34+MVTAVRIL23!AD34+MVTMAI23!AD34+MVTJUIN23!AD34+MVTJUIL23!AD34+MVTAOUT23!AD34+MVTSEPT23!AD34+MVTOCT23!AD34+MVTNOV23!AD34+MVTDEC23!AD34</f>
        <v>70000</v>
      </c>
      <c r="AE34" s="36">
        <f>MVTJANV23!AE34+MVTFEV23!AE34+MVTMARS23!AE34+MVTAVRIL23!AE34+MVTMAI23!AE34+MVTJUIN23!AE34+MVTJUIL23!AE34+MVTAOUT23!AE34+MVTSEPT23!AE34+MVTOCT23!AE34+MVTNOV23!AE34+MVTDEC23!AE34</f>
        <v>0</v>
      </c>
      <c r="AF34" s="36">
        <f>MVTJANV23!AF34+MVTFEV23!AF34+MVTMARS23!AF34+MVTAVRIL23!AF34+MVTMAI23!AF34+MVTJUIN23!AF34+MVTJUIL23!AF34+MVTAOUT23!AF34+MVTSEPT23!AF34+MVTOCT23!AF34+MVTNOV23!AF34+MVTDEC23!AF34</f>
        <v>0</v>
      </c>
      <c r="AG34" s="36">
        <f>MVTJANV23!AG34+MVTFEV23!AG34+MVTMARS23!AG34+MVTAVRIL23!AG34+MVTMAI23!AG34+MVTJUIN23!AG34+MVTJUIL23!AG34+MVTAOUT23!AG34+MVTSEPT23!AG34+MVTOCT23!AG34+MVTNOV23!AG34+MVTDEC23!AG34</f>
        <v>0</v>
      </c>
      <c r="AH34" s="36">
        <f>MVTJANV23!AH34+MVTFEV23!AH34+MVTMARS23!AH34+MVTAVRIL23!AH34+MVTMAI23!AH34+MVTJUIN23!AH34+MVTJUIL23!AH34+MVTAOUT23!AH34+MVTSEPT23!AH34+MVTOCT23!AH34+MVTNOV23!AH34+MVTDEC23!AH34</f>
        <v>0</v>
      </c>
      <c r="AI34" s="36">
        <f>MVTJANV23!AI34+MVTFEV23!AI34+MVTMARS23!AI34+MVTAVRIL23!AI34+MVTMAI23!AI34+MVTJUIN23!AI34+MVTJUIL23!AI34+MVTAOUT23!AI34+MVTSEPT23!AI34+MVTOCT23!AI34+MVTNOV23!AI34+MVTDEC23!AI34</f>
        <v>0</v>
      </c>
      <c r="AJ34" s="36">
        <f>MVTJANV23!AJ34+MVTFEV23!AJ34+MVTMARS23!AJ34+MVTAVRIL23!AJ34+MVTMAI23!AJ34+MVTJUIN23!AJ34+MVTJUIL23!AJ34+MVTAOUT23!AJ34+MVTSEPT23!AJ34+MVTOCT23!AJ34+MVTNOV23!AJ34+MVTDEC23!AJ34</f>
        <v>0</v>
      </c>
      <c r="AK34" s="98">
        <f t="shared" si="1"/>
        <v>700000</v>
      </c>
      <c r="AL34" s="149"/>
      <c r="AM34" s="150">
        <f t="shared" si="0"/>
        <v>84000</v>
      </c>
      <c r="AN34" s="150"/>
      <c r="AP34" s="36">
        <f>MVTDEC23!AK34</f>
        <v>700000</v>
      </c>
    </row>
    <row r="35" spans="1:44" ht="18.75" x14ac:dyDescent="0.3">
      <c r="A35" s="1" t="s">
        <v>55</v>
      </c>
      <c r="B35" s="1" t="str">
        <f>VLOOKUP(A35,[15]LISTADHERENT!A$5:H$60,3,0)</f>
        <v>YEPMOU JEAN JACQUES</v>
      </c>
      <c r="C35" s="36">
        <f>MVTJANV23!C35+MVTFEV23!C35+MVTMARS23!C35+MVTAVRIL23!C35+MVTMAI23!C35+MVTJUIN23!C35+MVTJUIL23!C35+MVTAOUT23!C35+MVTSEPT23!C35+MVTOCT23!C35+MVTNOV23!C35+MVTDEC23!C35</f>
        <v>600000</v>
      </c>
      <c r="D35" s="36">
        <f>MVTJANV23!D35+MVTFEV23!D35+MVTMARS23!D35+MVTAVRIL23!D35+MVTMAI23!D35+MVTJUIN23!D35+MVTJUIL23!D35+MVTAOUT23!D35+MVTSEPT23!D35+MVTOCT23!D35+MVTNOV23!D35+MVTDEC23!D35</f>
        <v>914734</v>
      </c>
      <c r="E35" s="36">
        <f>MVTJANV23!E35+MVTFEV23!E35+MVTMARS23!E35+MVTAVRIL23!E35+MVTMAI23!E35+MVTJUIN23!E35+MVTJUIL23!E35+MVTAOUT23!E35+MVTSEPT23!E35+MVTOCT23!E35+MVTNOV23!E35+MVTDEC23!E35</f>
        <v>0</v>
      </c>
      <c r="F35" s="5">
        <f>MVTFEV23!F35-MVTRESUME23!E35+K35</f>
        <v>1726953.5168487167</v>
      </c>
      <c r="G35" s="6">
        <f>MVTDEC22!G35+MVTJANV23!G35+MVTFEV23!G35+MVTMARS23!G35+MVTAVRIL23!G35+MVTMAI23!G35+MVTJUIN23!G35+MVTJUIL23!G35+MVTAOUT23!G35+MVTSEPT23!G35+MVTOCT23!G35+MVTNOV23!G35+MVTDEC23!G35</f>
        <v>130592.84770588134</v>
      </c>
      <c r="H35" s="6">
        <f>MVTFEV23!H35-MVTRESUME23!E35+MVTRESUME23!K35</f>
        <v>1729185.4840430534</v>
      </c>
      <c r="I35" s="36">
        <f>MVTJANV23!I35+MVTFEV23!I35+MVTMARS23!I35+MVTAVRIL23!I35+MVTMAI23!I35+MVTJUIN23!I35+MVTJUIL23!I35+MVTAOUT23!I35+MVTSEPT23!I35+MVTOCT23!I35+MVTNOV23!I35+MVTDEC23!I35</f>
        <v>0</v>
      </c>
      <c r="J35" s="36">
        <f>MVTJANV23!J35+MVTFEV23!J35+MVTMARS23!J35+MVTAVRIL23!J35+MVTMAI23!J35+MVTJUIN23!J35+MVTJUIL23!J35+MVTAOUT23!J35+MVTSEPT23!J35+MVTOCT23!J35+MVTNOV23!J35+MVTDEC23!J35</f>
        <v>184000</v>
      </c>
      <c r="K35" s="36">
        <f>MVTJANV23!K35+MVTFEV23!K35+MVTMARS23!K35+MVTAVRIL23!K35+MVTMAI23!K35+MVTJUIN23!K35+MVTJUIL23!K35+MVTAOUT23!K35+MVTSEPT23!K35+MVTOCT23!K35+MVTNOV23!K35+MVTDEC23!K35</f>
        <v>98000</v>
      </c>
      <c r="L35" s="36">
        <f>MVTJANV23!L35+MVTFEV23!L35+MVTMARS23!L35+MVTAVRIL23!L35+MVTMAI23!L35+MVTJUIN23!L35+MVTJUIL23!L35+MVTAOUT23!L35+MVTSEPT23!L35+MVTOCT23!L35+MVTNOV23!L35+MVTDEC23!L35</f>
        <v>12000</v>
      </c>
      <c r="M35" s="36">
        <f>MVTJANV23!M35+MVTFEV23!M35+MVTMARS23!M35+MVTAVRIL23!M35+MVTMAI23!M35+MVTJUIN23!M35+MVTJUIL23!M35+MVTAOUT23!M35+MVTSEPT23!M35+MVTOCT23!M35+MVTNOV23!M35+MVTDEC23!M35</f>
        <v>12000</v>
      </c>
      <c r="N35" s="36">
        <f>MVTJANV23!N35+MVTFEV23!N35+MVTMARS23!N35+MVTAVRIL23!N35+MVTMAI23!N35+MVTJUIN23!N35+MVTJUIL23!N35+MVTAOUT23!N35+MVTSEPT23!N35+MVTOCT23!N35+MVTNOV23!N35+MVTDEC23!N35</f>
        <v>48000</v>
      </c>
      <c r="O35" s="36">
        <f>MVTJANV23!O35+MVTFEV23!O35+MVTMARS23!O35+MVTAVRIL23!O35+MVTMAI23!O35+MVTJUIN23!O35+MVTJUIL23!O35+MVTAOUT23!O35+MVTSEPT23!O35+MVTOCT23!O35+MVTNOV23!O35+MVTDEC23!O35</f>
        <v>6000</v>
      </c>
      <c r="P35" s="36">
        <f>MVTJANV23!P35+MVTFEV23!P35+MVTMARS23!P35+MVTAVRIL23!P35+MVTMAI23!P35+MVTJUIN23!P35+MVTJUIL23!P35+MVTAOUT23!P35+MVTSEPT23!P35+MVTOCT23!P35+MVTNOV23!P35+MVTDEC23!P35</f>
        <v>0</v>
      </c>
      <c r="Q35" s="36">
        <f>MVTJANV23!Q35+MVTFEV23!Q35+MVTMARS23!Q35+MVTAVRIL23!Q35+MVTMAI23!Q35+MVTJUIN23!Q35+MVTJUIL23!Q35+MVTAOUT23!Q35+MVTSEPT23!Q35+MVTOCT23!Q35+MVTNOV23!Q35+MVTDEC23!Q35</f>
        <v>0</v>
      </c>
      <c r="R35" s="36">
        <f>MVTDEC23!R35</f>
        <v>0</v>
      </c>
      <c r="S35" s="36">
        <f>MVTDEC23!S35</f>
        <v>0</v>
      </c>
      <c r="T35" s="149"/>
      <c r="U35" s="36">
        <f>MVTJANV23!U35+MVTFEV23!U35+MVTMARS23!U35+MVTAVRIL23!U35+MVTMAI23!U35+MVTJUIN23!U35+MVTJUIL23!U35+MVTAOUT23!U35+MVTSEPT23!U35+MVTOCT23!U35+MVTNOV23!U35+MVTDEC23!U35</f>
        <v>227500</v>
      </c>
      <c r="V35" s="36"/>
      <c r="W35" s="36"/>
      <c r="X35" s="36">
        <f>MVTJANV23!X35+MVTFEV23!X35+MVTMARS23!X35+MVTAVRIL23!X35+MVTMAI23!X35+MVTJUIN23!X35+MVTJUIL23!X35+MVTAOUT23!X35+MVTSEPT23!X35+MVTOCT23!X35+MVTNOV23!X35+MVTDEC23!X35</f>
        <v>0</v>
      </c>
      <c r="Y35" s="36">
        <f>MVTJANV23!Y35+MVTFEV23!Y35+MVTMARS23!Y35+MVTAVRIL23!Y35+MVTMAI23!Y35+MVTJUIN23!Y35+MVTJUIL23!Y35+MVTAOUT23!Y35+MVTSEPT23!Y35+MVTOCT23!Y35+MVTNOV23!Y35+MVTDEC23!Y35</f>
        <v>0</v>
      </c>
      <c r="Z35" s="36">
        <f>MVTJANV23!Z35+MVTFEV23!Z35+MVTMARS23!Z35+MVTAVRIL23!Z35+MVTMAI23!Z35+MVTJUIN23!Z35+MVTJUIL23!Z35+MVTAOUT23!Z35+MVTSEPT23!Z35+MVTOCT23!Z35+MVTNOV23!Z35+MVTDEC23!Z35</f>
        <v>0</v>
      </c>
      <c r="AA35" s="36">
        <f>MVTJANV23!AA35+MVTFEV23!AA35+MVTMARS23!AA35+MVTAVRIL23!AA35+MVTMAI23!AA35+MVTJUIN23!AA35+MVTJUIL23!AA35+MVTAOUT23!AA35+MVTSEPT23!AA35+MVTOCT23!AA35+MVTNOV23!AA35+MVTDEC23!AA35</f>
        <v>0</v>
      </c>
      <c r="AB35" s="36">
        <f>MVTJANV23!AB35+MVTFEV23!AB35+MVTMARS23!AB35+MVTAVRIL23!AB35+MVTMAI23!AB35+MVTJUIN23!AB35+MVTJUIL23!AB35+MVTAOUT23!AB35+MVTSEPT23!AB35+MVTOCT23!AB35+MVTNOV23!AB35+MVTDEC23!AB35</f>
        <v>4000</v>
      </c>
      <c r="AC35" s="36">
        <f>MVTJANV23!AC35+MVTFEV23!AC35+MVTMARS23!AC35+MVTAVRIL23!AC35+MVTMAI23!AC35+MVTJUIN23!AC35+MVTJUIL23!AC35+MVTAOUT23!AC35+MVTSEPT23!AC35+MVTOCT23!AC35+MVTNOV23!AC35+MVTDEC23!AC35</f>
        <v>0</v>
      </c>
      <c r="AD35" s="36">
        <f>MVTJANV23!AD35+MVTFEV23!AD35+MVTMARS23!AD35+MVTAVRIL23!AD35+MVTMAI23!AD35+MVTJUIN23!AD35+MVTJUIL23!AD35+MVTAOUT23!AD35+MVTSEPT23!AD35+MVTOCT23!AD35+MVTNOV23!AD35+MVTDEC23!AD35</f>
        <v>70000</v>
      </c>
      <c r="AE35" s="36">
        <f>MVTJANV23!AE35+MVTFEV23!AE35+MVTMARS23!AE35+MVTAVRIL23!AE35+MVTMAI23!AE35+MVTJUIN23!AE35+MVTJUIL23!AE35+MVTAOUT23!AE35+MVTSEPT23!AE35+MVTOCT23!AE35+MVTNOV23!AE35+MVTDEC23!AE35</f>
        <v>0</v>
      </c>
      <c r="AF35" s="36">
        <f>MVTJANV23!AF35+MVTFEV23!AF35+MVTMARS23!AF35+MVTAVRIL23!AF35+MVTMAI23!AF35+MVTJUIN23!AF35+MVTJUIL23!AF35+MVTAOUT23!AF35+MVTSEPT23!AF35+MVTOCT23!AF35+MVTNOV23!AF35+MVTDEC23!AF35</f>
        <v>0</v>
      </c>
      <c r="AG35" s="36">
        <f>MVTJANV23!AG35+MVTFEV23!AG35+MVTMARS23!AG35+MVTAVRIL23!AG35+MVTMAI23!AG35+MVTJUIN23!AG35+MVTJUIL23!AG35+MVTAOUT23!AG35+MVTSEPT23!AG35+MVTOCT23!AG35+MVTNOV23!AG35+MVTDEC23!AG35</f>
        <v>0</v>
      </c>
      <c r="AH35" s="36">
        <f>MVTJANV23!AH35+MVTFEV23!AH35+MVTMARS23!AH35+MVTAVRIL23!AH35+MVTMAI23!AH35+MVTJUIN23!AH35+MVTJUIL23!AH35+MVTAOUT23!AH35+MVTSEPT23!AH35+MVTOCT23!AH35+MVTNOV23!AH35+MVTDEC23!AH35</f>
        <v>0</v>
      </c>
      <c r="AI35" s="36">
        <f>MVTJANV23!AI35+MVTFEV23!AI35+MVTMARS23!AI35+MVTAVRIL23!AI35+MVTMAI23!AI35+MVTJUIN23!AI35+MVTJUIL23!AI35+MVTAOUT23!AI35+MVTSEPT23!AI35+MVTOCT23!AI35+MVTNOV23!AI35+MVTDEC23!AI35</f>
        <v>0</v>
      </c>
      <c r="AJ35" s="36">
        <f>MVTJANV23!AJ35+MVTFEV23!AJ35+MVTMARS23!AJ35+MVTAVRIL23!AJ35+MVTMAI23!AJ35+MVTJUIN23!AJ35+MVTJUIL23!AJ35+MVTAOUT23!AJ35+MVTSEPT23!AJ35+MVTOCT23!AJ35+MVTNOV23!AJ35+MVTDEC23!AJ35</f>
        <v>0</v>
      </c>
      <c r="AK35" s="98">
        <f t="shared" si="1"/>
        <v>-227500</v>
      </c>
      <c r="AL35" s="149"/>
      <c r="AM35" s="150">
        <f t="shared" si="0"/>
        <v>0</v>
      </c>
      <c r="AN35" s="150"/>
      <c r="AP35" s="36">
        <f>MVTDEC23!AK35</f>
        <v>100000</v>
      </c>
    </row>
    <row r="36" spans="1:44" ht="18.75" x14ac:dyDescent="0.3">
      <c r="A36" s="1" t="s">
        <v>56</v>
      </c>
      <c r="B36" s="1" t="str">
        <f>VLOOKUP(A36,[15]LISTADHERENT!A$5:H$60,3,0)</f>
        <v>YOUMBI EMMANUEL</v>
      </c>
      <c r="C36" s="36">
        <f>MVTJANV23!C36+MVTFEV23!C36+MVTMARS23!C36+MVTAVRIL23!C36+MVTMAI23!C36+MVTJUIN23!C36+MVTJUIL23!C36+MVTAOUT23!C36+MVTSEPT23!C36+MVTOCT23!C36+MVTNOV23!C36+MVTDEC23!C36</f>
        <v>600000</v>
      </c>
      <c r="D36" s="36">
        <f>MVTJANV23!D36+MVTFEV23!D36+MVTMARS23!D36+MVTAVRIL23!D36+MVTMAI23!D36+MVTJUIN23!D36+MVTJUIL23!D36+MVTAOUT23!D36+MVTSEPT23!D36+MVTOCT23!D36+MVTNOV23!D36+MVTDEC23!D36</f>
        <v>1057774</v>
      </c>
      <c r="E36" s="36">
        <f>MVTJANV23!E36+MVTFEV23!E36+MVTMARS23!E36+MVTAVRIL23!E36+MVTMAI23!E36+MVTJUIN23!E36+MVTJUIL23!E36+MVTAOUT23!E36+MVTSEPT23!E36+MVTOCT23!E36+MVTNOV23!E36+MVTDEC23!E36</f>
        <v>0</v>
      </c>
      <c r="F36" s="5">
        <f>MVTFEV23!F36-MVTRESUME23!E36+K36</f>
        <v>1889079.5179826394</v>
      </c>
      <c r="G36" s="6">
        <f>MVTDEC22!G36+MVTJANV23!G36+MVTFEV23!G36+MVTMARS23!G36+MVTAVRIL23!G36+MVTMAI23!G36+MVTJUIN23!G36+MVTJUIL23!G36+MVTAOUT23!G36+MVTSEPT23!G36+MVTOCT23!G36+MVTNOV23!G36+MVTDEC23!G36</f>
        <v>143060.96984560182</v>
      </c>
      <c r="H36" s="6">
        <f>MVTFEV23!H36-MVTRESUME23!E36+MVTRESUME23!K36</f>
        <v>1891519.9258969994</v>
      </c>
      <c r="I36" s="36">
        <f>MVTJANV23!I36+MVTFEV23!I36+MVTMARS23!I36+MVTAVRIL23!I36+MVTMAI23!I36+MVTJUIN23!I36+MVTJUIL23!I36+MVTAOUT23!I36+MVTSEPT23!I36+MVTOCT23!I36+MVTNOV23!I36+MVTDEC23!I36</f>
        <v>11000</v>
      </c>
      <c r="J36" s="36">
        <f>MVTJANV23!J36+MVTFEV23!J36+MVTMARS23!J36+MVTAVRIL23!J36+MVTMAI23!J36+MVTJUIN23!J36+MVTJUIL23!J36+MVTAOUT23!J36+MVTSEPT23!J36+MVTOCT23!J36+MVTNOV23!J36+MVTDEC23!J36</f>
        <v>180000</v>
      </c>
      <c r="K36" s="36">
        <f>MVTJANV23!K36+MVTFEV23!K36+MVTMARS23!K36+MVTAVRIL23!K36+MVTMAI23!K36+MVTJUIN23!K36+MVTJUIL23!K36+MVTAOUT23!K36+MVTSEPT23!K36+MVTOCT23!K36+MVTNOV23!K36+MVTDEC23!K36</f>
        <v>108000</v>
      </c>
      <c r="L36" s="36">
        <f>MVTJANV23!L36+MVTFEV23!L36+MVTMARS23!L36+MVTAVRIL23!L36+MVTMAI23!L36+MVTJUIN23!L36+MVTJUIL23!L36+MVTAOUT23!L36+MVTSEPT23!L36+MVTOCT23!L36+MVTNOV23!L36+MVTDEC23!L36</f>
        <v>12000</v>
      </c>
      <c r="M36" s="36">
        <f>MVTJANV23!M36+MVTFEV23!M36+MVTMARS23!M36+MVTAVRIL23!M36+MVTMAI23!M36+MVTJUIN23!M36+MVTJUIL23!M36+MVTAOUT23!M36+MVTSEPT23!M36+MVTOCT23!M36+MVTNOV23!M36+MVTDEC23!M36</f>
        <v>12000</v>
      </c>
      <c r="N36" s="36">
        <f>MVTJANV23!N36+MVTFEV23!N36+MVTMARS23!N36+MVTAVRIL23!N36+MVTMAI23!N36+MVTJUIN23!N36+MVTJUIL23!N36+MVTAOUT23!N36+MVTSEPT23!N36+MVTOCT23!N36+MVTNOV23!N36+MVTDEC23!N36</f>
        <v>48000</v>
      </c>
      <c r="O36" s="36">
        <f>MVTJANV23!O36+MVTFEV23!O36+MVTMARS23!O36+MVTAVRIL23!O36+MVTMAI23!O36+MVTJUIN23!O36+MVTJUIL23!O36+MVTAOUT23!O36+MVTSEPT23!O36+MVTOCT23!O36+MVTNOV23!O36+MVTDEC23!O36</f>
        <v>0</v>
      </c>
      <c r="P36" s="36">
        <f>MVTJANV23!P36+MVTFEV23!P36+MVTMARS23!P36+MVTAVRIL23!P36+MVTMAI23!P36+MVTJUIN23!P36+MVTJUIL23!P36+MVTAOUT23!P36+MVTSEPT23!P36+MVTOCT23!P36+MVTNOV23!P36+MVTDEC23!P36</f>
        <v>0</v>
      </c>
      <c r="Q36" s="36">
        <f>MVTJANV23!Q36+MVTFEV23!Q36+MVTMARS23!Q36+MVTAVRIL23!Q36+MVTMAI23!Q36+MVTJUIN23!Q36+MVTJUIL23!Q36+MVTAOUT23!Q36+MVTSEPT23!Q36+MVTOCT23!Q36+MVTNOV23!Q36+MVTDEC23!Q36</f>
        <v>0</v>
      </c>
      <c r="R36" s="36">
        <f>MVTDEC23!R36</f>
        <v>0</v>
      </c>
      <c r="S36" s="36">
        <f>MVTDEC23!S36</f>
        <v>0</v>
      </c>
      <c r="T36" s="149"/>
      <c r="U36" s="36">
        <f>MVTJANV23!U36+MVTFEV23!U36+MVTMARS23!U36+MVTAVRIL23!U36+MVTMAI23!U36+MVTJUIN23!U36+MVTJUIL23!U36+MVTAOUT23!U36+MVTSEPT23!U36+MVTOCT23!U36+MVTNOV23!U36+MVTDEC23!U36</f>
        <v>1003000</v>
      </c>
      <c r="V36" s="36"/>
      <c r="W36" s="36"/>
      <c r="X36" s="36">
        <f>MVTJANV23!X36+MVTFEV23!X36+MVTMARS23!X36+MVTAVRIL23!X36+MVTMAI23!X36+MVTJUIN23!X36+MVTJUIL23!X36+MVTAOUT23!X36+MVTSEPT23!X36+MVTOCT23!X36+MVTNOV23!X36+MVTDEC23!X36</f>
        <v>0</v>
      </c>
      <c r="Y36" s="36">
        <f>MVTJANV23!Y36+MVTFEV23!Y36+MVTMARS23!Y36+MVTAVRIL23!Y36+MVTMAI23!Y36+MVTJUIN23!Y36+MVTJUIL23!Y36+MVTAOUT23!Y36+MVTSEPT23!Y36+MVTOCT23!Y36+MVTNOV23!Y36+MVTDEC23!Y36</f>
        <v>0</v>
      </c>
      <c r="Z36" s="36">
        <f>MVTJANV23!Z36+MVTFEV23!Z36+MVTMARS23!Z36+MVTAVRIL23!Z36+MVTMAI23!Z36+MVTJUIN23!Z36+MVTJUIL23!Z36+MVTAOUT23!Z36+MVTSEPT23!Z36+MVTOCT23!Z36+MVTNOV23!Z36+MVTDEC23!Z36</f>
        <v>0</v>
      </c>
      <c r="AA36" s="36">
        <f>MVTJANV23!AA36+MVTFEV23!AA36+MVTMARS23!AA36+MVTAVRIL23!AA36+MVTMAI23!AA36+MVTJUIN23!AA36+MVTJUIL23!AA36+MVTAOUT23!AA36+MVTSEPT23!AA36+MVTOCT23!AA36+MVTNOV23!AA36+MVTDEC23!AA36</f>
        <v>0</v>
      </c>
      <c r="AB36" s="36">
        <f>MVTJANV23!AB36+MVTFEV23!AB36+MVTMARS23!AB36+MVTAVRIL23!AB36+MVTMAI23!AB36+MVTJUIN23!AB36+MVTJUIL23!AB36+MVTAOUT23!AB36+MVTSEPT23!AB36+MVTOCT23!AB36+MVTNOV23!AB36+MVTDEC23!AB36</f>
        <v>0</v>
      </c>
      <c r="AC36" s="36">
        <f>MVTJANV23!AC36+MVTFEV23!AC36+MVTMARS23!AC36+MVTAVRIL23!AC36+MVTMAI23!AC36+MVTJUIN23!AC36+MVTJUIL23!AC36+MVTAOUT23!AC36+MVTSEPT23!AC36+MVTOCT23!AC36+MVTNOV23!AC36+MVTDEC23!AC36</f>
        <v>0</v>
      </c>
      <c r="AD36" s="36">
        <f>MVTJANV23!AD36+MVTFEV23!AD36+MVTMARS23!AD36+MVTAVRIL23!AD36+MVTMAI23!AD36+MVTJUIN23!AD36+MVTJUIL23!AD36+MVTAOUT23!AD36+MVTSEPT23!AD36+MVTOCT23!AD36+MVTNOV23!AD36+MVTDEC23!AD36</f>
        <v>70000</v>
      </c>
      <c r="AE36" s="36">
        <f>MVTJANV23!AE36+MVTFEV23!AE36+MVTMARS23!AE36+MVTAVRIL23!AE36+MVTMAI23!AE36+MVTJUIN23!AE36+MVTJUIL23!AE36+MVTAOUT23!AE36+MVTSEPT23!AE36+MVTOCT23!AE36+MVTNOV23!AE36+MVTDEC23!AE36</f>
        <v>0</v>
      </c>
      <c r="AF36" s="36">
        <f>MVTJANV23!AF36+MVTFEV23!AF36+MVTMARS23!AF36+MVTAVRIL23!AF36+MVTMAI23!AF36+MVTJUIN23!AF36+MVTJUIL23!AF36+MVTAOUT23!AF36+MVTSEPT23!AF36+MVTOCT23!AF36+MVTNOV23!AF36+MVTDEC23!AF36</f>
        <v>0</v>
      </c>
      <c r="AG36" s="36">
        <f>MVTJANV23!AG36+MVTFEV23!AG36+MVTMARS23!AG36+MVTAVRIL23!AG36+MVTMAI23!AG36+MVTJUIN23!AG36+MVTJUIL23!AG36+MVTAOUT23!AG36+MVTSEPT23!AG36+MVTOCT23!AG36+MVTNOV23!AG36+MVTDEC23!AG36</f>
        <v>0</v>
      </c>
      <c r="AH36" s="36">
        <f>MVTJANV23!AH36+MVTFEV23!AH36+MVTMARS23!AH36+MVTAVRIL23!AH36+MVTMAI23!AH36+MVTJUIN23!AH36+MVTJUIL23!AH36+MVTAOUT23!AH36+MVTSEPT23!AH36+MVTOCT23!AH36+MVTNOV23!AH36+MVTDEC23!AH36</f>
        <v>0</v>
      </c>
      <c r="AI36" s="36">
        <f>MVTJANV23!AI36+MVTFEV23!AI36+MVTMARS23!AI36+MVTAVRIL23!AI36+MVTMAI23!AI36+MVTJUIN23!AI36+MVTJUIL23!AI36+MVTAOUT23!AI36+MVTSEPT23!AI36+MVTOCT23!AI36+MVTNOV23!AI36+MVTDEC23!AI36</f>
        <v>0</v>
      </c>
      <c r="AJ36" s="36">
        <f>MVTJANV23!AJ36+MVTFEV23!AJ36+MVTMARS23!AJ36+MVTAVRIL23!AJ36+MVTMAI23!AJ36+MVTJUIN23!AJ36+MVTJUIL23!AJ36+MVTAOUT23!AJ36+MVTSEPT23!AJ36+MVTOCT23!AJ36+MVTNOV23!AJ36+MVTDEC23!AJ36</f>
        <v>0</v>
      </c>
      <c r="AK36" s="98">
        <f>R36-U36+3000</f>
        <v>-1000000</v>
      </c>
      <c r="AL36" s="149">
        <v>45261</v>
      </c>
      <c r="AM36" s="150">
        <f t="shared" si="0"/>
        <v>0</v>
      </c>
      <c r="AN36" s="150"/>
      <c r="AP36" s="36">
        <f>MVTDEC23!AK36</f>
        <v>100000</v>
      </c>
    </row>
    <row r="37" spans="1:44" x14ac:dyDescent="0.25">
      <c r="A37" s="1" t="s">
        <v>27</v>
      </c>
      <c r="B37" s="1" t="s">
        <v>335</v>
      </c>
      <c r="C37" s="36">
        <f>MVTMARS23!C37+MVTAVRIL23!C37+MVTMAI23!C37+MVTJUIN23!C37+MVTJUIL23!C37+MVTAOUT23!C37+MVTSEPT23!C37+MVTOCT23!C37+MVTNOV23!C37+MVTDEC23!C37</f>
        <v>0</v>
      </c>
      <c r="D37" s="36">
        <f>MVTMARS23!D37+MVTAVRIL23!D37+MVTMAI23!D37+MVTJUIN23!D37+MVTJUIL23!D37+MVTAOUT23!D37+MVTSEPT23!D37+MVTOCT23!D37+MVTNOV23!D37+MVTDEC23!D37</f>
        <v>0</v>
      </c>
      <c r="E37" s="36">
        <f>MVTMARS23!E37+MVTAVRIL23!E37+MVTMAI23!E37+MVTJUIN23!E37+MVTJUIL23!E37+MVTAOUT23!E37+MVTSEPT23!E37+MVTOCT23!E37+MVTNOV23!E37+MVTDEC23!E37</f>
        <v>0</v>
      </c>
      <c r="F37" s="5">
        <v>153468</v>
      </c>
      <c r="G37" s="1"/>
      <c r="H37" s="6">
        <v>153468</v>
      </c>
      <c r="I37" s="36">
        <f>MVTMARS23!I37+MVTAVRIL23!I37+MVTMAI23!I37+MVTJUIN23!I37+MVTJUIL23!I37+MVTAOUT23!I37+MVTSEPT23!I37+MVTOCT23!I37+MVTNOV23!I37+MVTDEC23!I37</f>
        <v>0</v>
      </c>
      <c r="J37" s="36">
        <f>MVTMARS23!J37+MVTAVRIL23!J37+MVTMAI23!J37+MVTJUIN23!J37+MVTJUIL23!J37+MVTAOUT23!J37+MVTSEPT23!J37+MVTOCT23!J37+MVTNOV23!J37+MVTDEC23!J37</f>
        <v>0</v>
      </c>
      <c r="K37" s="36">
        <f>MVTMARS23!K37+MVTAVRIL23!K37+MVTMAI23!K37+MVTJUIN23!K37+MVTJUIL23!K37+MVTAOUT23!K37+MVTSEPT23!K37+MVTOCT23!K37+MVTNOV23!K37+MVTDEC23!K37</f>
        <v>153468</v>
      </c>
      <c r="L37" s="36">
        <f>MVTMARS23!L37+MVTAVRIL23!L37+MVTMAI23!L37+MVTJUIN23!L37+MVTJUIL23!L37+MVTAOUT23!L37+MVTSEPT23!L37+MVTOCT23!L37+MVTNOV23!L37+MVTDEC23!L37</f>
        <v>0</v>
      </c>
      <c r="M37" s="36">
        <f>MVTMARS23!M37+MVTAVRIL23!M37+MVTMAI23!M37+MVTJUIN23!M37+MVTJUIL23!M37+MVTAOUT23!M37+MVTSEPT23!M37+MVTOCT23!M37+MVTNOV23!M37+MVTDEC23!M37</f>
        <v>0</v>
      </c>
      <c r="N37" s="36">
        <f>MVTMARS23!N37+MVTAVRIL23!N37+MVTMAI23!N37+MVTJUIN23!N37+MVTJUIL23!N37+MVTAOUT23!N37+MVTSEPT23!N37+MVTOCT23!N37+MVTNOV23!N37+MVTDEC23!N37</f>
        <v>0</v>
      </c>
      <c r="O37" s="36">
        <f>MVTMARS23!O37+MVTAVRIL23!O37+MVTMAI23!O37+MVTJUIN23!O37+MVTJUIL23!O37+MVTAOUT23!O37+MVTSEPT23!O37+MVTOCT23!O37+MVTNOV23!O37+MVTDEC23!O37</f>
        <v>0</v>
      </c>
      <c r="P37" s="36">
        <f>MVTMARS23!P37+MVTAVRIL23!P37+MVTMAI23!P37+MVTJUIN23!P37+MVTJUIL23!P37+MVTAOUT23!P37+MVTSEPT23!P37+MVTOCT23!P37+MVTNOV23!P37+MVTDEC23!P37</f>
        <v>0</v>
      </c>
      <c r="Q37" s="36">
        <f>MVTMARS23!Q37+MVTAVRIL23!Q37+MVTMAI23!Q37+MVTJUIN23!Q37+MVTJUIL23!Q37+MVTAOUT23!Q37+MVTSEPT23!Q37+MVTOCT23!Q37+MVTNOV23!Q37+MVTDEC23!Q37</f>
        <v>0</v>
      </c>
      <c r="R37" s="36">
        <f>MVTDEC23!R37</f>
        <v>0</v>
      </c>
      <c r="S37" s="36">
        <f>MVTDEC23!S37</f>
        <v>0</v>
      </c>
      <c r="T37" s="36">
        <f>MVTMARS23!T37+MVTAVRIL23!T37+MVTMAI23!T37+MVTJUIN23!T37+MVTJUIL23!T37+MVTAOUT23!T37+MVTSEPT23!T37+MVTOCT23!T37+MVTNOV23!T37+MVTDEC23!T37</f>
        <v>0</v>
      </c>
      <c r="U37" s="36">
        <f>MVTMARS23!U37+MVTAVRIL23!U37+MVTMAI23!U37+MVTJUIN23!U37+MVTJUIL23!U37+MVTAOUT23!U37+MVTSEPT23!U37+MVTOCT23!U37+MVTNOV23!U37+MVTDEC23!U37</f>
        <v>0</v>
      </c>
      <c r="V37" s="36">
        <f>MVTMARS23!V37+MVTAVRIL23!V37+MVTMAI23!V37+MVTJUIN23!V37+MVTJUIL23!V37+MVTAOUT23!V37+MVTSEPT23!V37+MVTOCT23!V37+MVTNOV23!V37+MVTDEC23!V37</f>
        <v>0</v>
      </c>
      <c r="W37" s="36">
        <f>MVTMARS23!W37+MVTAVRIL23!W37+MVTMAI23!W37+MVTJUIN23!W37+MVTJUIL23!W37+MVTAOUT23!W37+MVTSEPT23!W37+MVTOCT23!W37+MVTNOV23!W37+MVTDEC23!W37</f>
        <v>0</v>
      </c>
      <c r="X37" s="36">
        <f>MVTMARS23!X37+MVTAVRIL23!X37+MVTMAI23!X37+MVTJUIN23!X37+MVTJUIL23!X37+MVTAOUT23!X37+MVTSEPT23!X37+MVTOCT23!X37+MVTNOV23!X37+MVTDEC23!X37</f>
        <v>0</v>
      </c>
      <c r="Y37" s="36">
        <f>MVTMARS23!Y37+MVTAVRIL23!Y37+MVTMAI23!Y37+MVTJUIN23!Y37+MVTJUIL23!Y37+MVTAOUT23!Y37+MVTSEPT23!Y37+MVTOCT23!Y37+MVTNOV23!Y37+MVTDEC23!Y37</f>
        <v>0</v>
      </c>
      <c r="Z37" s="36">
        <f>MVTMARS23!Z37+MVTAVRIL23!Z37+MVTMAI23!Z37+MVTJUIN23!Z37+MVTJUIL23!Z37+MVTAOUT23!Z37+MVTSEPT23!Z37+MVTOCT23!Z37+MVTNOV23!Z37+MVTDEC23!Z37</f>
        <v>0</v>
      </c>
      <c r="AA37" s="36">
        <f>MVTMARS23!AA37+MVTAVRIL23!AA37+MVTMAI23!AA37+MVTJUIN23!AA37+MVTJUIL23!AA37+MVTAOUT23!AA37+MVTSEPT23!AA37+MVTOCT23!AA37+MVTNOV23!AA37+MVTDEC23!AA37</f>
        <v>0</v>
      </c>
      <c r="AB37" s="36">
        <f>MVTMARS23!AB37+MVTAVRIL23!AB37+MVTMAI23!AB37+MVTJUIN23!AB37+MVTJUIL23!AB37+MVTAOUT23!AB37+MVTSEPT23!AB37+MVTOCT23!AB37+MVTNOV23!AB37+MVTDEC23!AB37</f>
        <v>0</v>
      </c>
      <c r="AC37" s="36">
        <f>MVTMARS23!AC37+MVTAVRIL23!AC37+MVTMAI23!AC37+MVTJUIN23!AC37+MVTJUIL23!AC37+MVTAOUT23!AC37+MVTSEPT23!AC37+MVTOCT23!AC37+MVTNOV23!AC37+MVTDEC23!AC37</f>
        <v>0</v>
      </c>
      <c r="AD37" s="36">
        <f>MVTMARS23!AD37+MVTAVRIL23!AD37+MVTMAI23!AD37+MVTJUIN23!AD37+MVTJUIL23!AD37+MVTAOUT23!AD37+MVTSEPT23!AD37+MVTOCT23!AD37+MVTNOV23!AD37+MVTDEC23!AD37</f>
        <v>0</v>
      </c>
      <c r="AE37" s="36">
        <f>MVTMARS23!AE37+MVTAVRIL23!AE37+MVTMAI23!AE37+MVTJUIN23!AE37+MVTJUIL23!AE37+MVTAOUT23!AE37+MVTSEPT23!AE37+MVTOCT23!AE37+MVTNOV23!AE37+MVTDEC23!AE37</f>
        <v>0</v>
      </c>
      <c r="AF37" s="36">
        <f>MVTMARS23!AF37+MVTAVRIL23!AF37+MVTMAI23!AF37+MVTJUIN23!AF37+MVTJUIL23!AF37+MVTAOUT23!AF37+MVTSEPT23!AF37+MVTOCT23!AF37+MVTNOV23!AF37+MVTDEC23!AF37</f>
        <v>0</v>
      </c>
      <c r="AG37" s="36">
        <f>MVTMARS23!AG37+MVTAVRIL23!AG37+MVTMAI23!AG37+MVTJUIN23!AG37+MVTJUIL23!AG37+MVTAOUT23!AG37+MVTSEPT23!AG37+MVTOCT23!AG37+MVTNOV23!AG37+MVTDEC23!AG37</f>
        <v>0</v>
      </c>
      <c r="AH37" s="36">
        <f>MVTMARS23!AH37+MVTAVRIL23!AH37+MVTMAI23!AH37+MVTJUIN23!AH37+MVTJUIL23!AH37+MVTAOUT23!AH37+MVTSEPT23!AH37+MVTOCT23!AH37+MVTNOV23!AH37+MVTDEC23!AH37</f>
        <v>0</v>
      </c>
      <c r="AI37" s="36">
        <f>MVTMARS23!AI37+MVTAVRIL23!AI37+MVTMAI23!AI37+MVTJUIN23!AI37+MVTJUIL23!AI37+MVTAOUT23!AI37+MVTSEPT23!AI37+MVTOCT23!AI37+MVTNOV23!AI37+MVTDEC23!AI37</f>
        <v>0</v>
      </c>
      <c r="AJ37" s="36">
        <f>MVTMARS23!AJ37+MVTAVRIL23!AJ37+MVTMAI23!AJ37+MVTJUIN23!AJ37+MVTJUIL23!AJ37+MVTAOUT23!AJ37+MVTSEPT23!AJ37+MVTOCT23!AJ37+MVTNOV23!AJ37+MVTDEC23!AJ37</f>
        <v>0</v>
      </c>
      <c r="AK37" s="36">
        <f>MVTMARS23!AK37+MVTAVRIL23!AK37+MVTMAI23!AK37+MVTJUIN23!AK37+MVTJUIL23!AK37+MVTAOUT23!AK37+MVTSEPT23!AK37+MVTOCT23!AK37+MVTNOV23!AK37+MVTDEC23!AK37</f>
        <v>0</v>
      </c>
      <c r="AL37" s="36">
        <f>MVTMARS23!AL37+MVTAVRIL23!AL37+MVTMAI23!AL37+MVTJUIN23!AL37+MVTJUIL23!AL37+MVTAOUT23!AL37+MVTSEPT23!AL37+MVTOCT23!AL37+MVTNOV23!AL37+MVTDEC23!AL37</f>
        <v>0</v>
      </c>
      <c r="AM37" s="36">
        <f>MVTMARS23!AM37+MVTAVRIL23!AM37+MVTMAI23!AM37+MVTJUIN23!AM37+MVTJUIL23!AM37+MVTAOUT23!AM37+MVTSEPT23!AM37+MVTOCT23!AM37+MVTNOV23!AM37+MVTDEC23!AM37</f>
        <v>0</v>
      </c>
      <c r="AN37" s="36">
        <f>MVTMARS23!AN37+MVTAVRIL23!AN37+MVTMAI23!AN37+MVTJUIN23!AN37+MVTJUIL23!AN37+MVTAOUT23!AN37+MVTSEPT23!AN37+MVTOCT23!AN37+MVTNOV23!AN37+MVTDEC23!AN37</f>
        <v>0</v>
      </c>
      <c r="AO37" s="36">
        <f>MVTMARS23!AO37+MVTAVRIL23!AO37+MVTMAI23!AO37+MVTJUIN23!AO37+MVTJUIL23!AO37+MVTAOUT23!AO37+MVTSEPT23!AO37+MVTOCT23!AO37+MVTNOV23!AO37+MVTDEC23!AO37</f>
        <v>0</v>
      </c>
      <c r="AP37" s="36">
        <f>MVTDEC23!AK37</f>
        <v>0</v>
      </c>
      <c r="AQ37" s="36"/>
      <c r="AR37" s="36"/>
    </row>
    <row r="38" spans="1:44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44" x14ac:dyDescent="0.25">
      <c r="A39" s="1"/>
      <c r="B39" s="1"/>
      <c r="C39" s="1"/>
      <c r="D39" s="1"/>
      <c r="E39" s="1"/>
      <c r="F39" s="1"/>
      <c r="G39" s="1"/>
      <c r="H39" s="1"/>
    </row>
    <row r="40" spans="1:44" ht="18" x14ac:dyDescent="0.25">
      <c r="A40" s="1" t="s">
        <v>57</v>
      </c>
      <c r="B40" s="1"/>
      <c r="C40" s="9">
        <f t="shared" ref="C40:AP40" si="2">SUM(C6:C39)</f>
        <v>15000000</v>
      </c>
      <c r="D40" s="9">
        <f t="shared" si="2"/>
        <v>4359124.5213484811</v>
      </c>
      <c r="E40" s="9">
        <f t="shared" si="2"/>
        <v>0</v>
      </c>
      <c r="F40" s="9">
        <f t="shared" si="2"/>
        <v>28565926.324737493</v>
      </c>
      <c r="G40" s="9">
        <f t="shared" si="2"/>
        <v>1707932.1339265031</v>
      </c>
      <c r="H40" s="9">
        <f t="shared" si="2"/>
        <v>26677426.324737493</v>
      </c>
      <c r="I40" s="9">
        <f t="shared" si="2"/>
        <v>207000</v>
      </c>
      <c r="J40" s="9">
        <f t="shared" si="2"/>
        <v>8101600</v>
      </c>
      <c r="K40" s="9">
        <f t="shared" si="2"/>
        <v>6599068</v>
      </c>
      <c r="L40" s="9">
        <f t="shared" si="2"/>
        <v>363000</v>
      </c>
      <c r="M40" s="9">
        <f t="shared" si="2"/>
        <v>360000</v>
      </c>
      <c r="N40" s="9">
        <f t="shared" si="2"/>
        <v>1440000</v>
      </c>
      <c r="O40" s="9">
        <f t="shared" si="2"/>
        <v>79000</v>
      </c>
      <c r="P40" s="9">
        <f t="shared" si="2"/>
        <v>75000</v>
      </c>
      <c r="Q40" s="9">
        <f t="shared" si="2"/>
        <v>360000</v>
      </c>
      <c r="R40" s="9">
        <f t="shared" si="2"/>
        <v>15213500</v>
      </c>
      <c r="S40" s="9">
        <f t="shared" si="2"/>
        <v>1198000</v>
      </c>
      <c r="T40" s="9"/>
      <c r="U40" s="9">
        <f t="shared" si="2"/>
        <v>25857200</v>
      </c>
      <c r="V40" s="9">
        <f t="shared" si="2"/>
        <v>0</v>
      </c>
      <c r="W40" s="9">
        <f t="shared" si="2"/>
        <v>0</v>
      </c>
      <c r="X40" s="9">
        <f t="shared" si="2"/>
        <v>0</v>
      </c>
      <c r="Y40" s="9">
        <f t="shared" si="2"/>
        <v>0</v>
      </c>
      <c r="Z40" s="9">
        <f t="shared" si="2"/>
        <v>0</v>
      </c>
      <c r="AA40" s="9">
        <f t="shared" si="2"/>
        <v>0</v>
      </c>
      <c r="AB40" s="9">
        <f t="shared" si="2"/>
        <v>4000</v>
      </c>
      <c r="AC40" s="9">
        <f t="shared" si="2"/>
        <v>0</v>
      </c>
      <c r="AD40" s="9">
        <f t="shared" si="2"/>
        <v>2240000</v>
      </c>
      <c r="AE40" s="9">
        <f t="shared" si="2"/>
        <v>199000</v>
      </c>
      <c r="AF40" s="9">
        <f t="shared" si="2"/>
        <v>825000</v>
      </c>
      <c r="AG40" s="9">
        <f t="shared" si="2"/>
        <v>1320000</v>
      </c>
      <c r="AH40" s="9">
        <f t="shared" si="2"/>
        <v>1010000</v>
      </c>
      <c r="AI40" s="9">
        <f t="shared" si="2"/>
        <v>0</v>
      </c>
      <c r="AJ40" s="9">
        <f t="shared" si="2"/>
        <v>200000</v>
      </c>
      <c r="AK40" s="9">
        <f t="shared" si="2"/>
        <v>-7164000</v>
      </c>
      <c r="AL40" s="9"/>
      <c r="AM40" s="9">
        <f t="shared" si="2"/>
        <v>1198000</v>
      </c>
      <c r="AN40" s="9">
        <f t="shared" si="2"/>
        <v>80000</v>
      </c>
      <c r="AO40" s="9">
        <f t="shared" si="2"/>
        <v>0</v>
      </c>
      <c r="AP40" s="9">
        <f t="shared" si="2"/>
        <v>4600000</v>
      </c>
    </row>
    <row r="43" spans="1:44" x14ac:dyDescent="0.25">
      <c r="F43" s="2"/>
    </row>
  </sheetData>
  <autoFilter ref="A5:U36">
    <sortState ref="A5:L48">
      <sortCondition ref="B5:B48"/>
    </sortState>
  </autoFilter>
  <mergeCells count="1">
    <mergeCell ref="J4:O4"/>
  </mergeCells>
  <dataValidations disablePrompts="1" count="1">
    <dataValidation type="list" allowBlank="1" showInputMessage="1" showErrorMessage="1" sqref="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0" t="s">
        <v>315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2" t="s">
        <v>281</v>
      </c>
      <c r="C3" s="163"/>
      <c r="D3" s="163"/>
      <c r="E3" s="163"/>
      <c r="F3" s="163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4" t="s">
        <v>291</v>
      </c>
      <c r="C27" s="165"/>
      <c r="D27" s="165"/>
      <c r="E27" s="165"/>
      <c r="F27" s="165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41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2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2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2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2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2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2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2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66" t="s">
        <v>186</v>
      </c>
      <c r="B4" s="167"/>
      <c r="C4" s="167"/>
      <c r="D4" s="167"/>
      <c r="E4" s="167"/>
      <c r="F4" s="167"/>
      <c r="G4" s="167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0" t="s">
        <v>247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0" t="s">
        <v>247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57" t="s">
        <v>258</v>
      </c>
      <c r="F4" s="157"/>
      <c r="G4" s="157"/>
      <c r="H4" s="157"/>
      <c r="I4" s="157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G14" sqref="G14"/>
    </sheetView>
  </sheetViews>
  <sheetFormatPr baseColWidth="10" defaultRowHeight="15" x14ac:dyDescent="0.25"/>
  <cols>
    <col min="2" max="2" width="16.140625" bestFit="1" customWidth="1"/>
    <col min="3" max="3" width="16.140625" customWidth="1"/>
    <col min="4" max="4" width="17.140625" bestFit="1" customWidth="1"/>
  </cols>
  <sheetData>
    <row r="2" spans="1:4" x14ac:dyDescent="0.25">
      <c r="B2" t="s">
        <v>158</v>
      </c>
    </row>
    <row r="4" spans="1:4" x14ac:dyDescent="0.25">
      <c r="A4" t="s">
        <v>161</v>
      </c>
      <c r="B4" t="s">
        <v>159</v>
      </c>
      <c r="C4" t="s">
        <v>314</v>
      </c>
      <c r="D4" t="s">
        <v>160</v>
      </c>
    </row>
    <row r="6" spans="1:4" x14ac:dyDescent="0.25">
      <c r="B6" s="6">
        <v>763899.37129714503</v>
      </c>
      <c r="C6" s="6">
        <v>193000</v>
      </c>
      <c r="D6" s="6"/>
    </row>
    <row r="7" spans="1:4" x14ac:dyDescent="0.25">
      <c r="A7" s="62">
        <v>43770</v>
      </c>
      <c r="B7" s="6"/>
      <c r="C7" s="6"/>
      <c r="D7" s="6">
        <v>50000</v>
      </c>
    </row>
    <row r="8" spans="1:4" x14ac:dyDescent="0.25">
      <c r="A8" s="58">
        <v>44031</v>
      </c>
      <c r="B8" s="6"/>
      <c r="C8" s="6"/>
      <c r="D8" s="6">
        <v>75000</v>
      </c>
    </row>
    <row r="9" spans="1:4" x14ac:dyDescent="0.25">
      <c r="A9" s="58">
        <v>44216</v>
      </c>
      <c r="B9" s="6"/>
      <c r="C9" s="6"/>
      <c r="D9" s="6">
        <v>35000</v>
      </c>
    </row>
    <row r="10" spans="1:4" x14ac:dyDescent="0.25">
      <c r="A10" s="58">
        <v>44275</v>
      </c>
      <c r="B10" s="6"/>
      <c r="C10" s="6"/>
      <c r="D10" s="6">
        <v>35000</v>
      </c>
    </row>
    <row r="11" spans="1:4" x14ac:dyDescent="0.25">
      <c r="A11" s="58">
        <v>44304</v>
      </c>
      <c r="B11" s="6"/>
      <c r="C11" s="6"/>
      <c r="D11" s="6">
        <v>35000</v>
      </c>
    </row>
    <row r="12" spans="1:4" x14ac:dyDescent="0.25">
      <c r="A12" s="58">
        <v>44332</v>
      </c>
      <c r="B12" s="6"/>
      <c r="C12" s="6"/>
      <c r="D12" s="6">
        <v>35000</v>
      </c>
    </row>
    <row r="13" spans="1:4" x14ac:dyDescent="0.25">
      <c r="A13" s="58">
        <v>44367</v>
      </c>
      <c r="B13" s="6"/>
      <c r="C13" s="6"/>
      <c r="D13" s="6">
        <v>35000</v>
      </c>
    </row>
    <row r="14" spans="1:4" x14ac:dyDescent="0.25">
      <c r="A14" s="58">
        <v>44397</v>
      </c>
      <c r="B14" s="6"/>
      <c r="C14" s="6"/>
      <c r="D14" s="6">
        <v>35000</v>
      </c>
    </row>
    <row r="15" spans="1:4" x14ac:dyDescent="0.25">
      <c r="A15" s="58"/>
      <c r="B15" s="6"/>
      <c r="C15" s="6"/>
      <c r="D15" s="6"/>
    </row>
    <row r="16" spans="1:4" x14ac:dyDescent="0.25">
      <c r="A16" s="58"/>
      <c r="B16" s="6"/>
      <c r="C16" s="6"/>
      <c r="D16" s="6"/>
    </row>
    <row r="17" spans="1:7" x14ac:dyDescent="0.25">
      <c r="A17" s="58"/>
      <c r="B17" s="6"/>
      <c r="C17" s="6"/>
      <c r="D17" s="6"/>
    </row>
    <row r="18" spans="1:7" x14ac:dyDescent="0.25">
      <c r="A18" s="58"/>
      <c r="B18" s="6"/>
      <c r="C18" s="6"/>
      <c r="D18" s="6"/>
    </row>
    <row r="19" spans="1:7" x14ac:dyDescent="0.25">
      <c r="B19" s="6"/>
      <c r="C19" s="6"/>
      <c r="D19" s="6"/>
    </row>
    <row r="20" spans="1:7" ht="18.75" x14ac:dyDescent="0.3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25">
      <c r="B21" s="6"/>
      <c r="C21" s="6"/>
      <c r="D21" s="6"/>
    </row>
    <row r="22" spans="1:7" x14ac:dyDescent="0.25">
      <c r="B22" s="6"/>
      <c r="C22" s="6"/>
      <c r="D22" s="6"/>
    </row>
    <row r="23" spans="1:7" x14ac:dyDescent="0.25">
      <c r="B23" s="6"/>
      <c r="C23" s="6"/>
      <c r="D23" s="6"/>
    </row>
    <row r="24" spans="1:7" x14ac:dyDescent="0.25">
      <c r="B24" s="6"/>
      <c r="C24" s="6"/>
      <c r="D24" s="6"/>
    </row>
    <row r="25" spans="1:7" x14ac:dyDescent="0.25">
      <c r="B25" s="6"/>
      <c r="C25" s="6"/>
      <c r="D25" s="6"/>
    </row>
    <row r="26" spans="1:7" x14ac:dyDescent="0.25">
      <c r="B26" s="6"/>
      <c r="C26" s="6"/>
      <c r="D26" s="6"/>
    </row>
    <row r="27" spans="1:7" x14ac:dyDescent="0.25">
      <c r="B27" s="6"/>
      <c r="C27" s="6"/>
      <c r="D27" s="6"/>
    </row>
    <row r="28" spans="1:7" x14ac:dyDescent="0.25">
      <c r="B28" s="6"/>
      <c r="C28" s="6"/>
      <c r="D28" s="6"/>
    </row>
    <row r="29" spans="1:7" x14ac:dyDescent="0.25">
      <c r="B29" s="6"/>
      <c r="C29" s="6"/>
      <c r="D29" s="6"/>
    </row>
    <row r="30" spans="1:7" x14ac:dyDescent="0.25">
      <c r="B30" s="6"/>
      <c r="C30" s="6"/>
      <c r="D30" s="6"/>
    </row>
    <row r="31" spans="1:7" x14ac:dyDescent="0.25">
      <c r="B31" s="6"/>
      <c r="C31" s="6"/>
      <c r="D31" s="6"/>
    </row>
    <row r="32" spans="1:7" x14ac:dyDescent="0.25">
      <c r="B32" s="6"/>
      <c r="C32" s="6"/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6"/>
  <sheetViews>
    <sheetView topLeftCell="A13" workbookViewId="0">
      <selection activeCell="D29" sqref="D29"/>
    </sheetView>
  </sheetViews>
  <sheetFormatPr baseColWidth="10" defaultRowHeight="15" x14ac:dyDescent="0.25"/>
  <cols>
    <col min="2" max="2" width="16.140625" bestFit="1" customWidth="1"/>
    <col min="3" max="3" width="17.140625" bestFit="1" customWidth="1"/>
    <col min="4" max="4" width="13.7109375" bestFit="1" customWidth="1"/>
  </cols>
  <sheetData>
    <row r="2" spans="1:7" x14ac:dyDescent="0.25">
      <c r="B2" t="s">
        <v>235</v>
      </c>
    </row>
    <row r="3" spans="1:7" x14ac:dyDescent="0.25">
      <c r="G3">
        <v>1328500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B6" s="6">
        <f>1155000+88000+1275500</f>
        <v>2518500</v>
      </c>
      <c r="C6" s="6"/>
    </row>
    <row r="7" spans="1:7" x14ac:dyDescent="0.25">
      <c r="A7" s="58">
        <v>44250</v>
      </c>
      <c r="B7" s="6"/>
      <c r="C7" s="6">
        <v>30000</v>
      </c>
    </row>
    <row r="8" spans="1:7" x14ac:dyDescent="0.25">
      <c r="A8" s="58">
        <v>44273</v>
      </c>
      <c r="B8" s="6"/>
      <c r="C8" s="6">
        <v>30000</v>
      </c>
    </row>
    <row r="9" spans="1:7" x14ac:dyDescent="0.25">
      <c r="A9" s="58">
        <v>44275</v>
      </c>
      <c r="B9" s="6"/>
      <c r="C9" s="6">
        <v>30000</v>
      </c>
    </row>
    <row r="10" spans="1:7" x14ac:dyDescent="0.25">
      <c r="A10" s="58">
        <v>44302</v>
      </c>
      <c r="B10" s="6"/>
      <c r="C10" s="6">
        <v>30000</v>
      </c>
    </row>
    <row r="11" spans="1:7" x14ac:dyDescent="0.25">
      <c r="A11" s="58">
        <v>44333</v>
      </c>
      <c r="B11" s="6"/>
      <c r="C11" s="6">
        <v>30000</v>
      </c>
    </row>
    <row r="12" spans="1:7" x14ac:dyDescent="0.25">
      <c r="A12" s="58">
        <v>44363</v>
      </c>
      <c r="B12" s="6"/>
      <c r="C12" s="6">
        <v>30000</v>
      </c>
    </row>
    <row r="13" spans="1:7" x14ac:dyDescent="0.25">
      <c r="A13" s="58">
        <v>44394</v>
      </c>
      <c r="B13" s="6"/>
      <c r="C13" s="6">
        <v>30000</v>
      </c>
    </row>
    <row r="14" spans="1:7" x14ac:dyDescent="0.25">
      <c r="A14" s="58">
        <v>44423</v>
      </c>
      <c r="B14" s="6"/>
      <c r="C14" s="6">
        <v>30000</v>
      </c>
    </row>
    <row r="15" spans="1:7" x14ac:dyDescent="0.25">
      <c r="A15" s="58">
        <v>44454</v>
      </c>
      <c r="B15" s="6"/>
      <c r="C15" s="6">
        <v>20000</v>
      </c>
    </row>
    <row r="16" spans="1:7" x14ac:dyDescent="0.25">
      <c r="A16" s="58">
        <v>44484</v>
      </c>
      <c r="B16" s="6"/>
      <c r="C16" s="6">
        <v>30000</v>
      </c>
    </row>
    <row r="17" spans="1:4" x14ac:dyDescent="0.25">
      <c r="A17" s="58">
        <v>44519</v>
      </c>
      <c r="B17" s="6"/>
      <c r="C17" s="6">
        <v>30000</v>
      </c>
    </row>
    <row r="18" spans="1:4" x14ac:dyDescent="0.25">
      <c r="A18" s="58">
        <v>44549</v>
      </c>
      <c r="B18" s="6"/>
      <c r="C18" s="6">
        <v>700000</v>
      </c>
    </row>
    <row r="19" spans="1:4" x14ac:dyDescent="0.25">
      <c r="A19" s="58">
        <v>44577</v>
      </c>
      <c r="B19" s="6"/>
      <c r="C19" s="6">
        <v>30000</v>
      </c>
    </row>
    <row r="20" spans="1:4" x14ac:dyDescent="0.25">
      <c r="A20" s="58">
        <v>44609</v>
      </c>
      <c r="B20" s="6"/>
      <c r="C20" s="6">
        <v>30000</v>
      </c>
    </row>
    <row r="21" spans="1:4" x14ac:dyDescent="0.25">
      <c r="A21" s="58">
        <v>44637</v>
      </c>
      <c r="B21" s="6"/>
      <c r="C21" s="6">
        <v>0</v>
      </c>
    </row>
    <row r="22" spans="1:4" x14ac:dyDescent="0.25">
      <c r="A22" s="58">
        <v>44668</v>
      </c>
      <c r="B22" s="6"/>
      <c r="C22" s="6">
        <v>30000</v>
      </c>
    </row>
    <row r="23" spans="1:4" x14ac:dyDescent="0.25">
      <c r="A23" s="58">
        <v>44699</v>
      </c>
      <c r="B23" s="6"/>
      <c r="C23" s="6">
        <v>20000</v>
      </c>
    </row>
    <row r="24" spans="1:4" x14ac:dyDescent="0.25">
      <c r="A24" s="58">
        <v>44731</v>
      </c>
      <c r="B24" s="6"/>
      <c r="C24" s="6">
        <v>20000</v>
      </c>
    </row>
    <row r="25" spans="1:4" x14ac:dyDescent="0.25">
      <c r="A25" s="58">
        <v>44759</v>
      </c>
      <c r="B25" s="6"/>
      <c r="C25" s="6">
        <v>20000</v>
      </c>
    </row>
    <row r="26" spans="1:4" x14ac:dyDescent="0.25">
      <c r="A26" s="58">
        <v>44792</v>
      </c>
      <c r="B26" s="6"/>
      <c r="C26" s="6">
        <v>20000</v>
      </c>
    </row>
    <row r="27" spans="1:4" x14ac:dyDescent="0.25">
      <c r="A27" s="58">
        <v>44824</v>
      </c>
      <c r="B27" s="6"/>
      <c r="C27" s="6">
        <v>20000</v>
      </c>
    </row>
    <row r="28" spans="1:4" x14ac:dyDescent="0.25">
      <c r="A28" s="58">
        <v>44915</v>
      </c>
      <c r="B28" s="6"/>
      <c r="C28" s="6">
        <v>520000</v>
      </c>
    </row>
    <row r="29" spans="1:4" x14ac:dyDescent="0.25">
      <c r="A29" s="58">
        <v>45004</v>
      </c>
      <c r="B29" s="6" t="s">
        <v>68</v>
      </c>
      <c r="C29" s="6">
        <v>536842</v>
      </c>
    </row>
    <row r="30" spans="1:4" ht="21" x14ac:dyDescent="0.35">
      <c r="B30" s="6"/>
      <c r="C30" s="97">
        <f>SUM(C7:C29)</f>
        <v>2266842</v>
      </c>
      <c r="D30" s="100">
        <f>B6-C30</f>
        <v>251658</v>
      </c>
    </row>
    <row r="31" spans="1:4" x14ac:dyDescent="0.25">
      <c r="B31" s="6"/>
      <c r="C31" s="6"/>
    </row>
    <row r="32" spans="1:4" x14ac:dyDescent="0.25">
      <c r="B32" s="6"/>
      <c r="C32" s="6"/>
    </row>
    <row r="33" spans="2:3" x14ac:dyDescent="0.25">
      <c r="B33" s="6"/>
      <c r="C33" s="6"/>
    </row>
    <row r="34" spans="2:3" x14ac:dyDescent="0.25">
      <c r="B34" s="6"/>
      <c r="C34" s="6"/>
    </row>
    <row r="35" spans="2:3" x14ac:dyDescent="0.25">
      <c r="B35" s="6"/>
      <c r="C35" s="6"/>
    </row>
    <row r="36" spans="2:3" x14ac:dyDescent="0.25">
      <c r="B36" s="6"/>
      <c r="C36" s="6"/>
    </row>
    <row r="37" spans="2:3" x14ac:dyDescent="0.25">
      <c r="B37" s="6"/>
      <c r="C37" s="6"/>
    </row>
    <row r="38" spans="2:3" x14ac:dyDescent="0.25">
      <c r="B38" s="6"/>
      <c r="C38" s="6"/>
    </row>
    <row r="39" spans="2:3" x14ac:dyDescent="0.25">
      <c r="C39" s="6"/>
    </row>
    <row r="40" spans="2:3" x14ac:dyDescent="0.25">
      <c r="C40" s="6"/>
    </row>
    <row r="41" spans="2:3" x14ac:dyDescent="0.25">
      <c r="C41" s="6"/>
    </row>
    <row r="42" spans="2:3" x14ac:dyDescent="0.25">
      <c r="C42" s="6"/>
    </row>
    <row r="43" spans="2:3" x14ac:dyDescent="0.25">
      <c r="C43" s="6"/>
    </row>
    <row r="44" spans="2:3" x14ac:dyDescent="0.25">
      <c r="C44" s="6"/>
    </row>
    <row r="45" spans="2:3" x14ac:dyDescent="0.25">
      <c r="C45" s="6"/>
    </row>
    <row r="46" spans="2:3" x14ac:dyDescent="0.25">
      <c r="C46" s="6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Views>
    <sheetView workbookViewId="0">
      <selection activeCell="E11" sqref="E11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4" x14ac:dyDescent="0.25">
      <c r="B2" t="s">
        <v>236</v>
      </c>
    </row>
    <row r="4" spans="1:4" x14ac:dyDescent="0.25">
      <c r="A4" t="s">
        <v>161</v>
      </c>
      <c r="B4" t="s">
        <v>159</v>
      </c>
      <c r="C4" t="s">
        <v>160</v>
      </c>
    </row>
    <row r="6" spans="1:4" x14ac:dyDescent="0.25">
      <c r="B6" s="6">
        <v>484041.967178263</v>
      </c>
      <c r="C6" s="6"/>
    </row>
    <row r="7" spans="1:4" x14ac:dyDescent="0.25">
      <c r="A7" s="58">
        <v>44278</v>
      </c>
      <c r="B7" s="6"/>
      <c r="C7" s="6">
        <v>484000</v>
      </c>
      <c r="D7" t="s">
        <v>240</v>
      </c>
    </row>
    <row r="8" spans="1:4" x14ac:dyDescent="0.25">
      <c r="A8" s="58"/>
      <c r="B8" s="6"/>
      <c r="C8" s="6"/>
    </row>
    <row r="9" spans="1:4" x14ac:dyDescent="0.25">
      <c r="A9" s="58"/>
      <c r="B9" s="6"/>
      <c r="C9" s="6"/>
    </row>
    <row r="10" spans="1:4" x14ac:dyDescent="0.25">
      <c r="B10" s="6"/>
      <c r="C10" s="6"/>
    </row>
    <row r="11" spans="1:4" x14ac:dyDescent="0.25">
      <c r="B11" s="6"/>
      <c r="C11" s="6"/>
    </row>
    <row r="12" spans="1:4" x14ac:dyDescent="0.25">
      <c r="B12" s="6"/>
      <c r="C12" s="6"/>
    </row>
    <row r="13" spans="1:4" x14ac:dyDescent="0.25">
      <c r="B13" s="6"/>
      <c r="C13" s="6"/>
    </row>
    <row r="14" spans="1:4" x14ac:dyDescent="0.25">
      <c r="B14" s="6"/>
      <c r="C14" s="6"/>
    </row>
    <row r="15" spans="1:4" x14ac:dyDescent="0.25">
      <c r="B15" s="6"/>
      <c r="C15" s="6"/>
    </row>
    <row r="16" spans="1:4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5"/>
  <sheetViews>
    <sheetView workbookViewId="0">
      <selection activeCell="G13" sqref="G13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7" x14ac:dyDescent="0.25">
      <c r="B2" t="s">
        <v>233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A6" t="s">
        <v>257</v>
      </c>
      <c r="B6" s="6">
        <v>319855</v>
      </c>
      <c r="C6" s="6"/>
    </row>
    <row r="7" spans="1:7" x14ac:dyDescent="0.25">
      <c r="A7" s="62"/>
      <c r="B7" s="6"/>
      <c r="C7" s="6"/>
      <c r="G7" s="14">
        <v>131750</v>
      </c>
    </row>
    <row r="8" spans="1:7" x14ac:dyDescent="0.25">
      <c r="A8" s="58"/>
      <c r="B8" s="6"/>
      <c r="C8" s="6">
        <v>76050</v>
      </c>
      <c r="G8" s="11">
        <v>54400</v>
      </c>
    </row>
    <row r="9" spans="1:7" x14ac:dyDescent="0.25">
      <c r="A9" s="58"/>
      <c r="B9" s="6"/>
      <c r="C9" s="6"/>
    </row>
    <row r="10" spans="1:7" x14ac:dyDescent="0.25">
      <c r="B10" s="6"/>
      <c r="C10" s="6"/>
    </row>
    <row r="11" spans="1:7" x14ac:dyDescent="0.25">
      <c r="A11" t="s">
        <v>57</v>
      </c>
      <c r="B11" s="6"/>
      <c r="C11" s="6">
        <f>SUM(C8:C10)</f>
        <v>76050</v>
      </c>
    </row>
    <row r="12" spans="1:7" ht="21" x14ac:dyDescent="0.35">
      <c r="B12" s="6"/>
      <c r="C12" s="6"/>
      <c r="D12" s="99">
        <f>B6-C11</f>
        <v>243805</v>
      </c>
      <c r="E12" t="s">
        <v>249</v>
      </c>
    </row>
    <row r="13" spans="1:7" x14ac:dyDescent="0.25">
      <c r="B13" s="6"/>
      <c r="C13" s="6"/>
    </row>
    <row r="14" spans="1:7" x14ac:dyDescent="0.25">
      <c r="B14" s="6"/>
      <c r="C14" s="6"/>
    </row>
    <row r="15" spans="1:7" x14ac:dyDescent="0.25">
      <c r="B15" s="6"/>
      <c r="C15" s="6"/>
    </row>
    <row r="16" spans="1:7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5"/>
  <sheetViews>
    <sheetView workbookViewId="0">
      <selection activeCell="F5" sqref="F5:G8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7" x14ac:dyDescent="0.25">
      <c r="B2" t="s">
        <v>232</v>
      </c>
    </row>
    <row r="4" spans="1:7" x14ac:dyDescent="0.25">
      <c r="A4" t="s">
        <v>161</v>
      </c>
      <c r="B4" t="s">
        <v>159</v>
      </c>
      <c r="C4" t="s">
        <v>160</v>
      </c>
    </row>
    <row r="5" spans="1:7" x14ac:dyDescent="0.25">
      <c r="F5" s="11"/>
      <c r="G5" s="11"/>
    </row>
    <row r="6" spans="1:7" x14ac:dyDescent="0.25">
      <c r="B6" s="6">
        <v>996118</v>
      </c>
      <c r="C6" s="6"/>
    </row>
    <row r="7" spans="1:7" x14ac:dyDescent="0.25">
      <c r="A7" s="62" t="s">
        <v>256</v>
      </c>
      <c r="B7" s="6"/>
      <c r="C7" s="6">
        <v>500000</v>
      </c>
    </row>
    <row r="8" spans="1:7" x14ac:dyDescent="0.25">
      <c r="A8" s="58"/>
      <c r="B8" s="6"/>
      <c r="C8" s="6"/>
      <c r="F8" s="11"/>
    </row>
    <row r="9" spans="1:7" x14ac:dyDescent="0.25">
      <c r="A9" s="58"/>
      <c r="B9" s="6"/>
      <c r="C9" s="6"/>
    </row>
    <row r="10" spans="1:7" x14ac:dyDescent="0.25">
      <c r="B10" s="6"/>
      <c r="C10" s="6"/>
    </row>
    <row r="11" spans="1:7" ht="21" x14ac:dyDescent="0.35">
      <c r="A11" t="s">
        <v>57</v>
      </c>
      <c r="B11" s="6"/>
      <c r="C11" s="6">
        <f>SUM(C7:C10)</f>
        <v>500000</v>
      </c>
      <c r="D11" s="101">
        <f>B6-C11</f>
        <v>496118</v>
      </c>
      <c r="E11" t="s">
        <v>249</v>
      </c>
    </row>
    <row r="12" spans="1:7" x14ac:dyDescent="0.25">
      <c r="B12" s="6"/>
      <c r="C12" s="6"/>
    </row>
    <row r="13" spans="1:7" x14ac:dyDescent="0.25">
      <c r="B13" s="6"/>
      <c r="C13" s="6"/>
    </row>
    <row r="14" spans="1:7" x14ac:dyDescent="0.25">
      <c r="B14" s="6"/>
      <c r="C14" s="6"/>
    </row>
    <row r="15" spans="1:7" x14ac:dyDescent="0.25">
      <c r="B15" s="6"/>
      <c r="C15" s="6"/>
    </row>
    <row r="16" spans="1:7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5"/>
  <sheetViews>
    <sheetView workbookViewId="0">
      <selection activeCell="C7" sqref="C7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5" x14ac:dyDescent="0.25">
      <c r="B2" t="s">
        <v>231</v>
      </c>
    </row>
    <row r="4" spans="1:5" x14ac:dyDescent="0.25">
      <c r="A4" t="s">
        <v>161</v>
      </c>
      <c r="B4" t="s">
        <v>159</v>
      </c>
      <c r="C4" t="s">
        <v>160</v>
      </c>
    </row>
    <row r="6" spans="1:5" x14ac:dyDescent="0.25">
      <c r="B6" s="6">
        <v>51453.696796924203</v>
      </c>
      <c r="C6" s="6"/>
    </row>
    <row r="7" spans="1:5" x14ac:dyDescent="0.25">
      <c r="A7" s="62"/>
      <c r="B7" s="6"/>
      <c r="C7" s="6">
        <f>51454+76000</f>
        <v>127454</v>
      </c>
    </row>
    <row r="8" spans="1:5" x14ac:dyDescent="0.25">
      <c r="A8" s="58"/>
      <c r="B8" s="6"/>
      <c r="C8" s="6"/>
    </row>
    <row r="9" spans="1:5" x14ac:dyDescent="0.25">
      <c r="A9" s="58"/>
      <c r="B9" s="6"/>
      <c r="C9" s="6"/>
    </row>
    <row r="10" spans="1:5" x14ac:dyDescent="0.25">
      <c r="B10" s="6"/>
      <c r="C10" s="6"/>
    </row>
    <row r="11" spans="1:5" x14ac:dyDescent="0.25">
      <c r="B11" s="6"/>
      <c r="C11" s="6"/>
    </row>
    <row r="12" spans="1:5" ht="21" x14ac:dyDescent="0.35">
      <c r="A12" t="s">
        <v>57</v>
      </c>
      <c r="B12" s="6"/>
      <c r="C12" s="6">
        <f>SUM(C7:C11)</f>
        <v>127454</v>
      </c>
      <c r="D12" s="156">
        <f>-B6+C12</f>
        <v>76000.303203075804</v>
      </c>
      <c r="E12" t="s">
        <v>339</v>
      </c>
    </row>
    <row r="13" spans="1:5" x14ac:dyDescent="0.25">
      <c r="B13" s="6"/>
      <c r="C13" s="6"/>
    </row>
    <row r="14" spans="1:5" x14ac:dyDescent="0.25">
      <c r="B14" s="6"/>
      <c r="C14" s="6"/>
    </row>
    <row r="15" spans="1:5" x14ac:dyDescent="0.25">
      <c r="B15" s="6"/>
      <c r="C15" s="6"/>
    </row>
    <row r="16" spans="1:5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73"/>
  <sheetViews>
    <sheetView workbookViewId="0">
      <pane xSplit="2" ySplit="5" topLeftCell="G6" activePane="bottomRight" state="frozen"/>
      <selection pane="topRight" activeCell="C1" sqref="C1"/>
      <selection pane="bottomLeft" activeCell="A5" sqref="A5"/>
      <selection pane="bottomRight" activeCell="A17" sqref="A17:XFD17"/>
    </sheetView>
  </sheetViews>
  <sheetFormatPr baseColWidth="10" defaultColWidth="11" defaultRowHeight="15" x14ac:dyDescent="0.25"/>
  <cols>
    <col min="1" max="1" width="13.85546875" customWidth="1"/>
    <col min="2" max="3" width="29.5703125" customWidth="1"/>
    <col min="4" max="4" width="15.28515625" customWidth="1"/>
    <col min="5" max="5" width="20.28515625" customWidth="1"/>
    <col min="6" max="6" width="16.85546875" customWidth="1"/>
    <col min="7" max="7" width="15" customWidth="1"/>
    <col min="8" max="8" width="17.5703125" style="3" customWidth="1"/>
    <col min="9" max="9" width="15.7109375" style="2" customWidth="1"/>
    <col min="10" max="10" width="15" style="2" bestFit="1" customWidth="1"/>
    <col min="11" max="12" width="12.42578125" style="2" customWidth="1"/>
    <col min="13" max="13" width="13.42578125" style="2" bestFit="1" customWidth="1"/>
    <col min="14" max="15" width="17.5703125" style="2" customWidth="1"/>
    <col min="16" max="16" width="14.85546875" customWidth="1"/>
    <col min="17" max="17" width="20.42578125" bestFit="1" customWidth="1"/>
    <col min="18" max="18" width="16.5703125" customWidth="1"/>
    <col min="20" max="21" width="16.85546875" bestFit="1" customWidth="1"/>
    <col min="22" max="26" width="16.85546875" customWidth="1"/>
    <col min="27" max="27" width="28.7109375" bestFit="1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</row>
    <row r="2" spans="1:36" x14ac:dyDescent="0.25">
      <c r="A2" s="1" t="s">
        <v>2</v>
      </c>
      <c r="B2" s="1" t="s">
        <v>82</v>
      </c>
      <c r="C2" s="1"/>
      <c r="D2" s="1"/>
      <c r="E2" s="1"/>
      <c r="F2" s="1"/>
      <c r="AA2">
        <f>284000+40000+16008</f>
        <v>340008</v>
      </c>
    </row>
    <row r="3" spans="1:36" x14ac:dyDescent="0.25">
      <c r="A3" s="1" t="s">
        <v>3</v>
      </c>
      <c r="B3" s="5"/>
      <c r="C3" s="5" t="s">
        <v>157</v>
      </c>
      <c r="D3" s="1"/>
      <c r="E3" s="1"/>
      <c r="F3" s="1"/>
    </row>
    <row r="4" spans="1:36" x14ac:dyDescent="0.25">
      <c r="A4" s="1"/>
      <c r="B4" s="5"/>
      <c r="C4" s="5"/>
      <c r="D4" s="1"/>
      <c r="E4" s="1"/>
      <c r="F4" s="1"/>
    </row>
    <row r="5" spans="1:36" ht="43.5" x14ac:dyDescent="0.25">
      <c r="A5" s="1" t="s">
        <v>4</v>
      </c>
      <c r="B5" s="1" t="s">
        <v>5</v>
      </c>
      <c r="C5" s="1" t="s">
        <v>68</v>
      </c>
      <c r="D5" s="4" t="s">
        <v>6</v>
      </c>
      <c r="E5" s="1" t="s">
        <v>69</v>
      </c>
      <c r="F5" s="1" t="s">
        <v>8</v>
      </c>
      <c r="G5" s="1" t="s">
        <v>9</v>
      </c>
      <c r="H5" s="4" t="s">
        <v>10</v>
      </c>
      <c r="I5" s="4" t="s">
        <v>11</v>
      </c>
      <c r="J5" s="4" t="s">
        <v>12</v>
      </c>
      <c r="K5" s="4" t="s">
        <v>72</v>
      </c>
      <c r="L5" s="4" t="s">
        <v>71</v>
      </c>
      <c r="M5" s="4" t="s">
        <v>13</v>
      </c>
      <c r="N5" s="4" t="s">
        <v>61</v>
      </c>
      <c r="O5" s="4" t="s">
        <v>152</v>
      </c>
      <c r="P5" s="4" t="s">
        <v>63</v>
      </c>
      <c r="Q5" s="4" t="s">
        <v>64</v>
      </c>
      <c r="R5" s="4" t="s">
        <v>65</v>
      </c>
      <c r="S5" s="4" t="s">
        <v>14</v>
      </c>
      <c r="T5" s="4" t="s">
        <v>88</v>
      </c>
      <c r="U5" s="4" t="s">
        <v>86</v>
      </c>
      <c r="V5" s="4" t="s">
        <v>135</v>
      </c>
      <c r="W5" s="4" t="s">
        <v>138</v>
      </c>
      <c r="X5" s="4" t="s">
        <v>137</v>
      </c>
      <c r="Y5" s="4" t="s">
        <v>136</v>
      </c>
      <c r="Z5" s="4" t="s">
        <v>69</v>
      </c>
      <c r="AA5" s="4" t="s">
        <v>15</v>
      </c>
      <c r="AC5" s="4" t="s">
        <v>134</v>
      </c>
      <c r="AD5" s="4" t="s">
        <v>9</v>
      </c>
      <c r="AE5" s="4" t="s">
        <v>131</v>
      </c>
      <c r="AF5" s="4" t="s">
        <v>132</v>
      </c>
      <c r="AG5" s="4" t="s">
        <v>139</v>
      </c>
      <c r="AH5" s="4" t="s">
        <v>133</v>
      </c>
      <c r="AI5" s="4" t="s">
        <v>168</v>
      </c>
      <c r="AJ5" s="4" t="s">
        <v>161</v>
      </c>
    </row>
    <row r="6" spans="1:36" ht="15.75" customHeight="1" x14ac:dyDescent="0.25">
      <c r="A6" s="1" t="s">
        <v>16</v>
      </c>
      <c r="B6" s="1" t="s">
        <v>1</v>
      </c>
      <c r="C6" s="5">
        <v>394081.01108374598</v>
      </c>
      <c r="D6" s="5">
        <v>62668.935014227369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62668.935014227369</v>
      </c>
      <c r="V6" s="5">
        <v>0</v>
      </c>
      <c r="W6" s="5"/>
      <c r="X6" s="5"/>
      <c r="Y6" s="5">
        <f>U6-W6</f>
        <v>62668.935014227369</v>
      </c>
      <c r="Z6" s="5">
        <f>Y6-V6</f>
        <v>62668.935014227369</v>
      </c>
    </row>
    <row r="7" spans="1:36" s="14" customFormat="1" x14ac:dyDescent="0.25">
      <c r="A7" s="12" t="s">
        <v>17</v>
      </c>
      <c r="B7" s="12" t="s">
        <v>101</v>
      </c>
      <c r="C7" s="13">
        <v>480000</v>
      </c>
      <c r="D7" s="5">
        <v>0</v>
      </c>
      <c r="E7" s="5">
        <v>0.49369671277236193</v>
      </c>
      <c r="F7" s="13">
        <v>0</v>
      </c>
      <c r="G7" s="5">
        <v>2000</v>
      </c>
      <c r="H7" s="13">
        <v>1000</v>
      </c>
      <c r="I7" s="13">
        <v>2000</v>
      </c>
      <c r="J7" s="13">
        <v>5000</v>
      </c>
      <c r="K7" s="13">
        <v>1000</v>
      </c>
      <c r="L7" s="13">
        <v>0</v>
      </c>
      <c r="M7" s="13">
        <v>0</v>
      </c>
      <c r="N7" s="13">
        <v>500000</v>
      </c>
      <c r="O7" s="5">
        <v>0</v>
      </c>
      <c r="P7" s="5">
        <v>0</v>
      </c>
      <c r="Q7" s="13">
        <v>588000</v>
      </c>
      <c r="R7" s="13">
        <v>88000</v>
      </c>
      <c r="S7" s="13">
        <v>0</v>
      </c>
      <c r="T7" s="13">
        <v>0</v>
      </c>
      <c r="U7" s="13">
        <v>2000.4936967127724</v>
      </c>
      <c r="V7" s="13">
        <v>2000</v>
      </c>
      <c r="W7" s="36"/>
      <c r="X7" s="13"/>
      <c r="Y7" s="5">
        <f t="shared" ref="Y7:Y49" si="0">U7-W7</f>
        <v>2000.4936967127724</v>
      </c>
      <c r="Z7" s="5">
        <f t="shared" ref="Z7:Z49" si="1">Y7-V7</f>
        <v>0.49369671277236193</v>
      </c>
      <c r="AA7" s="35" t="s">
        <v>89</v>
      </c>
      <c r="AB7" s="14" t="s">
        <v>129</v>
      </c>
      <c r="AD7" s="11">
        <v>2000</v>
      </c>
      <c r="AE7" s="11">
        <v>-14000</v>
      </c>
      <c r="AF7" s="11">
        <v>336000</v>
      </c>
      <c r="AG7" s="11"/>
      <c r="AH7" s="7">
        <v>216000.49369671277</v>
      </c>
    </row>
    <row r="8" spans="1:36" x14ac:dyDescent="0.25">
      <c r="A8" s="1" t="s">
        <v>19</v>
      </c>
      <c r="B8" s="1" t="s">
        <v>102</v>
      </c>
      <c r="C8" s="5">
        <v>480000</v>
      </c>
      <c r="D8" s="5">
        <v>79945.737949015122</v>
      </c>
      <c r="E8" s="5">
        <v>1331.2797186755051</v>
      </c>
      <c r="F8" s="5">
        <v>0</v>
      </c>
      <c r="G8" s="5">
        <v>82000</v>
      </c>
      <c r="H8" s="5">
        <v>7000</v>
      </c>
      <c r="I8" s="5">
        <v>14000</v>
      </c>
      <c r="J8" s="5">
        <v>35000</v>
      </c>
      <c r="K8" s="5">
        <v>9000</v>
      </c>
      <c r="L8" s="5">
        <v>0</v>
      </c>
      <c r="M8" s="5">
        <v>0</v>
      </c>
      <c r="N8" s="5">
        <v>1000000</v>
      </c>
      <c r="O8" s="5">
        <v>30000</v>
      </c>
      <c r="P8" s="5">
        <v>0</v>
      </c>
      <c r="Q8" s="5">
        <v>1000000</v>
      </c>
      <c r="R8" s="5">
        <v>0</v>
      </c>
      <c r="S8" s="5">
        <v>0</v>
      </c>
      <c r="T8" s="5">
        <v>0</v>
      </c>
      <c r="U8" s="5">
        <v>163277.01766769064</v>
      </c>
      <c r="V8" s="5">
        <v>130000</v>
      </c>
      <c r="W8" s="36">
        <v>30000</v>
      </c>
      <c r="X8" s="5"/>
      <c r="Y8" s="5">
        <f t="shared" si="0"/>
        <v>133277.01766769064</v>
      </c>
      <c r="Z8" s="5">
        <f t="shared" si="1"/>
        <v>3277.0176676906412</v>
      </c>
      <c r="AA8" s="17"/>
      <c r="AD8" s="11">
        <v>161945.73794901511</v>
      </c>
    </row>
    <row r="9" spans="1:36" s="14" customFormat="1" x14ac:dyDescent="0.25">
      <c r="A9" s="12" t="s">
        <v>21</v>
      </c>
      <c r="B9" s="12" t="s">
        <v>103</v>
      </c>
      <c r="C9" s="13">
        <v>480000</v>
      </c>
      <c r="D9" s="5">
        <v>79896.677076385677</v>
      </c>
      <c r="E9" s="5">
        <v>3703.9516264695849</v>
      </c>
      <c r="F9" s="13">
        <v>0</v>
      </c>
      <c r="G9" s="5">
        <v>54000</v>
      </c>
      <c r="H9" s="13">
        <v>4500</v>
      </c>
      <c r="I9" s="13">
        <v>9000</v>
      </c>
      <c r="J9" s="13">
        <v>22500</v>
      </c>
      <c r="K9" s="13">
        <v>7000</v>
      </c>
      <c r="L9" s="13">
        <v>0</v>
      </c>
      <c r="M9" s="13">
        <v>0</v>
      </c>
      <c r="N9" s="13">
        <v>700000</v>
      </c>
      <c r="O9" s="5">
        <v>84000</v>
      </c>
      <c r="P9" s="5">
        <v>0</v>
      </c>
      <c r="Q9" s="13">
        <v>0</v>
      </c>
      <c r="R9" s="13">
        <v>108500</v>
      </c>
      <c r="S9" s="13">
        <v>0</v>
      </c>
      <c r="T9" s="13">
        <v>808500</v>
      </c>
      <c r="U9" s="13">
        <v>137600.62870285526</v>
      </c>
      <c r="V9" s="13">
        <v>107601</v>
      </c>
      <c r="W9" s="36">
        <v>30000</v>
      </c>
      <c r="X9" s="13"/>
      <c r="Y9" s="5">
        <f t="shared" si="0"/>
        <v>107600.62870285526</v>
      </c>
      <c r="Z9" s="5">
        <f t="shared" si="1"/>
        <v>-0.37129714473849162</v>
      </c>
      <c r="AA9" s="35" t="s">
        <v>94</v>
      </c>
      <c r="AB9" s="14" t="s">
        <v>129</v>
      </c>
      <c r="AC9" s="11">
        <v>108500</v>
      </c>
      <c r="AD9" s="11">
        <v>133896.67707638568</v>
      </c>
      <c r="AE9" s="11">
        <v>-147000</v>
      </c>
      <c r="AF9" s="11">
        <v>-426000</v>
      </c>
      <c r="AG9" s="11"/>
      <c r="AH9" s="7">
        <v>-763899.3712971448</v>
      </c>
      <c r="AI9" s="7">
        <f>50000+75000</f>
        <v>125000</v>
      </c>
      <c r="AJ9" s="60">
        <v>43770</v>
      </c>
    </row>
    <row r="10" spans="1:36" x14ac:dyDescent="0.25">
      <c r="A10" s="1" t="s">
        <v>77</v>
      </c>
      <c r="B10" s="1" t="s">
        <v>78</v>
      </c>
      <c r="C10" s="5">
        <v>0</v>
      </c>
      <c r="D10" s="5">
        <v>1764.4540515245424</v>
      </c>
      <c r="E10" s="5">
        <v>2994.5270055831024</v>
      </c>
      <c r="F10" s="5">
        <v>0</v>
      </c>
      <c r="G10" s="5">
        <v>12000</v>
      </c>
      <c r="H10" s="5">
        <v>1000</v>
      </c>
      <c r="I10" s="5">
        <v>2000</v>
      </c>
      <c r="J10" s="5">
        <v>5000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16758.981057107645</v>
      </c>
      <c r="V10" s="5">
        <v>16759</v>
      </c>
      <c r="W10" s="36"/>
      <c r="X10" s="5"/>
      <c r="Y10" s="5">
        <f t="shared" si="0"/>
        <v>16758.981057107645</v>
      </c>
      <c r="Z10" s="5">
        <f t="shared" si="1"/>
        <v>-1.8942892354971264E-2</v>
      </c>
      <c r="AA10" s="17"/>
      <c r="AD10" s="11">
        <v>13764.454051524543</v>
      </c>
    </row>
    <row r="11" spans="1:36" x14ac:dyDescent="0.25">
      <c r="A11" s="1" t="s">
        <v>23</v>
      </c>
      <c r="B11" s="1" t="s">
        <v>93</v>
      </c>
      <c r="C11" s="5">
        <v>480000</v>
      </c>
      <c r="D11" s="5">
        <v>81380.868527515064</v>
      </c>
      <c r="E11" s="5">
        <v>404.48981912998715</v>
      </c>
      <c r="F11" s="5">
        <v>0</v>
      </c>
      <c r="G11" s="5">
        <v>97500</v>
      </c>
      <c r="H11" s="5">
        <v>7000</v>
      </c>
      <c r="I11" s="5">
        <v>14000</v>
      </c>
      <c r="J11" s="5">
        <v>35000</v>
      </c>
      <c r="K11" s="5">
        <v>6000</v>
      </c>
      <c r="L11" s="5">
        <v>0</v>
      </c>
      <c r="M11" s="5">
        <v>0</v>
      </c>
      <c r="N11" s="5">
        <v>2800000</v>
      </c>
      <c r="O11" s="5">
        <v>218000</v>
      </c>
      <c r="P11" s="5">
        <v>110000</v>
      </c>
      <c r="Q11" s="5">
        <v>1800000</v>
      </c>
      <c r="R11" s="5">
        <v>50000</v>
      </c>
      <c r="S11" s="5">
        <v>0</v>
      </c>
      <c r="T11" s="5">
        <v>1050000</v>
      </c>
      <c r="U11" s="5">
        <v>179285.35834664505</v>
      </c>
      <c r="V11" s="5">
        <v>146000</v>
      </c>
      <c r="W11" s="36">
        <v>30000</v>
      </c>
      <c r="X11" s="5"/>
      <c r="Y11" s="5">
        <f t="shared" si="0"/>
        <v>149285.35834664505</v>
      </c>
      <c r="Z11" s="5">
        <f t="shared" si="1"/>
        <v>3285.3583466450509</v>
      </c>
      <c r="AA11" s="17" t="s">
        <v>90</v>
      </c>
      <c r="AB11" t="s">
        <v>129</v>
      </c>
      <c r="AC11" s="2">
        <v>155000</v>
      </c>
      <c r="AD11" s="11">
        <v>178880.86852751506</v>
      </c>
    </row>
    <row r="12" spans="1:36" x14ac:dyDescent="0.25">
      <c r="A12" s="1" t="s">
        <v>154</v>
      </c>
      <c r="B12" s="1" t="str">
        <f>VLOOKUP(A12,[21]LISTADHERENT!A$5:H$60,3,0)</f>
        <v>DJOMOU TCHANDA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36"/>
      <c r="X12" s="5"/>
      <c r="Y12" s="5"/>
      <c r="Z12" s="5"/>
      <c r="AA12" s="17"/>
      <c r="AD12" s="11"/>
    </row>
    <row r="13" spans="1:36" x14ac:dyDescent="0.25">
      <c r="A13" s="1" t="s">
        <v>24</v>
      </c>
      <c r="B13" s="1" t="s">
        <v>104</v>
      </c>
      <c r="C13" s="5">
        <v>480000</v>
      </c>
      <c r="D13" s="5">
        <v>79798.878874522779</v>
      </c>
      <c r="E13" s="5">
        <v>32.581814608536661</v>
      </c>
      <c r="F13" s="5">
        <v>0</v>
      </c>
      <c r="G13" s="5">
        <v>84000</v>
      </c>
      <c r="H13" s="5">
        <v>7000</v>
      </c>
      <c r="I13" s="5">
        <v>14000</v>
      </c>
      <c r="J13" s="5">
        <v>35000</v>
      </c>
      <c r="K13" s="5">
        <v>7000</v>
      </c>
      <c r="L13" s="5">
        <v>0</v>
      </c>
      <c r="M13" s="5">
        <v>0</v>
      </c>
      <c r="N13" s="5">
        <v>1800000</v>
      </c>
      <c r="O13" s="5">
        <v>160000</v>
      </c>
      <c r="P13" s="5">
        <v>40000</v>
      </c>
      <c r="Q13" s="5">
        <v>1000000</v>
      </c>
      <c r="R13" s="5">
        <v>0</v>
      </c>
      <c r="S13" s="5">
        <v>0</v>
      </c>
      <c r="T13" s="5">
        <v>800000</v>
      </c>
      <c r="U13" s="5">
        <v>163831.46068913132</v>
      </c>
      <c r="V13" s="5">
        <v>35000</v>
      </c>
      <c r="W13" s="36">
        <v>30000</v>
      </c>
      <c r="X13" s="5"/>
      <c r="Y13" s="5">
        <f t="shared" si="0"/>
        <v>133831.46068913132</v>
      </c>
      <c r="Z13" s="5">
        <f t="shared" si="1"/>
        <v>98831.460689131316</v>
      </c>
      <c r="AA13" s="17" t="s">
        <v>91</v>
      </c>
      <c r="AD13" s="11">
        <v>163798.87887452278</v>
      </c>
    </row>
    <row r="14" spans="1:36" x14ac:dyDescent="0.25">
      <c r="A14" s="1" t="s">
        <v>25</v>
      </c>
      <c r="B14" s="1" t="s">
        <v>89</v>
      </c>
      <c r="C14" s="5">
        <v>480000</v>
      </c>
      <c r="D14" s="5">
        <v>79954.051721931959</v>
      </c>
      <c r="E14" s="5">
        <v>8.234061673283577E-2</v>
      </c>
      <c r="F14" s="5">
        <v>0</v>
      </c>
      <c r="G14" s="5">
        <v>93500</v>
      </c>
      <c r="H14" s="5">
        <v>7000</v>
      </c>
      <c r="I14" s="5">
        <v>14000</v>
      </c>
      <c r="J14" s="5">
        <v>35000</v>
      </c>
      <c r="K14" s="5">
        <v>1000</v>
      </c>
      <c r="L14" s="5">
        <v>0</v>
      </c>
      <c r="M14" s="5">
        <v>0</v>
      </c>
      <c r="N14" s="5">
        <v>3000000</v>
      </c>
      <c r="O14" s="5">
        <v>160000</v>
      </c>
      <c r="P14" s="5">
        <v>50000</v>
      </c>
      <c r="Q14" s="5">
        <v>2000000</v>
      </c>
      <c r="R14" s="5">
        <v>0</v>
      </c>
      <c r="S14" s="5">
        <v>0</v>
      </c>
      <c r="T14" s="5">
        <v>1000000</v>
      </c>
      <c r="U14" s="5">
        <v>173454.13406254869</v>
      </c>
      <c r="V14" s="5">
        <v>140000</v>
      </c>
      <c r="W14" s="36">
        <v>30000</v>
      </c>
      <c r="X14" s="5"/>
      <c r="Y14" s="5">
        <f t="shared" si="0"/>
        <v>143454.13406254869</v>
      </c>
      <c r="Z14" s="5">
        <f t="shared" si="1"/>
        <v>3454.1340625486919</v>
      </c>
      <c r="AA14" s="17" t="s">
        <v>92</v>
      </c>
      <c r="AD14" s="11">
        <v>173454.05172193196</v>
      </c>
    </row>
    <row r="15" spans="1:36" x14ac:dyDescent="0.25">
      <c r="A15" s="1" t="s">
        <v>79</v>
      </c>
      <c r="B15" s="1" t="s">
        <v>70</v>
      </c>
      <c r="C15" s="5">
        <v>441596</v>
      </c>
      <c r="D15" s="5">
        <v>73699.144246646392</v>
      </c>
      <c r="E15" s="5">
        <v>0.16900408919900656</v>
      </c>
      <c r="F15" s="5">
        <v>0</v>
      </c>
      <c r="G15" s="5">
        <v>84000</v>
      </c>
      <c r="H15" s="5">
        <v>7000</v>
      </c>
      <c r="I15" s="5">
        <v>14000</v>
      </c>
      <c r="J15" s="5">
        <v>35000</v>
      </c>
      <c r="K15" s="5">
        <v>2000</v>
      </c>
      <c r="L15" s="5">
        <v>0</v>
      </c>
      <c r="M15" s="5">
        <v>0</v>
      </c>
      <c r="N15" s="5">
        <v>2000000</v>
      </c>
      <c r="O15" s="5">
        <v>160000</v>
      </c>
      <c r="P15" s="5">
        <v>50000</v>
      </c>
      <c r="Q15" s="5">
        <v>1000000</v>
      </c>
      <c r="R15" s="5">
        <v>0</v>
      </c>
      <c r="S15" s="5">
        <v>0</v>
      </c>
      <c r="T15" s="5">
        <v>1000000</v>
      </c>
      <c r="U15" s="5">
        <v>157699.31325073558</v>
      </c>
      <c r="V15" s="5">
        <v>86000</v>
      </c>
      <c r="W15" s="36">
        <f>30000+48406</f>
        <v>78406</v>
      </c>
      <c r="X15" s="5"/>
      <c r="Y15" s="5">
        <f t="shared" si="0"/>
        <v>79293.313250735577</v>
      </c>
      <c r="Z15" s="5">
        <f>Y15-V15+6707</f>
        <v>0.31325073557673022</v>
      </c>
      <c r="AA15" s="17"/>
      <c r="AD15" s="11">
        <v>157699.14424664638</v>
      </c>
    </row>
    <row r="16" spans="1:36" x14ac:dyDescent="0.25">
      <c r="A16" s="1" t="s">
        <v>26</v>
      </c>
      <c r="B16" s="1" t="s">
        <v>105</v>
      </c>
      <c r="C16" s="5">
        <v>480000</v>
      </c>
      <c r="D16" s="5">
        <v>97864.943592884913</v>
      </c>
      <c r="E16" s="5">
        <v>113997.13327318276</v>
      </c>
      <c r="F16" s="5">
        <v>0</v>
      </c>
      <c r="G16" s="5">
        <v>84000</v>
      </c>
      <c r="H16" s="5">
        <v>7000</v>
      </c>
      <c r="I16" s="5">
        <v>14000</v>
      </c>
      <c r="J16" s="5">
        <v>35000</v>
      </c>
      <c r="K16" s="5">
        <v>14000</v>
      </c>
      <c r="L16" s="5">
        <v>0</v>
      </c>
      <c r="M16" s="5">
        <v>0</v>
      </c>
      <c r="N16" s="5">
        <v>700000</v>
      </c>
      <c r="O16" s="5">
        <v>108500</v>
      </c>
      <c r="P16" s="5">
        <v>0</v>
      </c>
      <c r="Q16" s="5">
        <v>808500</v>
      </c>
      <c r="R16" s="5">
        <v>108500</v>
      </c>
      <c r="S16" s="5">
        <v>0</v>
      </c>
      <c r="T16" s="5">
        <v>0</v>
      </c>
      <c r="U16" s="5">
        <v>295862.07686606765</v>
      </c>
      <c r="V16" s="5">
        <v>28500</v>
      </c>
      <c r="W16" s="36">
        <v>30000</v>
      </c>
      <c r="X16" s="5"/>
      <c r="Y16" s="5">
        <f t="shared" si="0"/>
        <v>265862.07686606765</v>
      </c>
      <c r="Z16" s="5">
        <f t="shared" si="1"/>
        <v>237362.07686606765</v>
      </c>
      <c r="AA16" s="17"/>
      <c r="AD16" s="11">
        <v>181864.94359288493</v>
      </c>
    </row>
    <row r="17" spans="1:35" x14ac:dyDescent="0.25">
      <c r="A17" s="1" t="s">
        <v>27</v>
      </c>
      <c r="B17" s="1" t="s">
        <v>99</v>
      </c>
      <c r="C17" s="5">
        <v>480000</v>
      </c>
      <c r="D17" s="5">
        <v>80086.550029503749</v>
      </c>
      <c r="E17" s="5">
        <v>2219.5520592769026</v>
      </c>
      <c r="F17" s="5">
        <v>0</v>
      </c>
      <c r="G17" s="5">
        <v>82000</v>
      </c>
      <c r="H17" s="5">
        <v>7000</v>
      </c>
      <c r="I17" s="5">
        <v>14000</v>
      </c>
      <c r="J17" s="5">
        <v>35000</v>
      </c>
      <c r="K17" s="5">
        <v>21000</v>
      </c>
      <c r="L17" s="5">
        <v>0</v>
      </c>
      <c r="M17" s="5">
        <v>0</v>
      </c>
      <c r="N17" s="5">
        <v>2000000</v>
      </c>
      <c r="O17" s="5">
        <v>150000</v>
      </c>
      <c r="P17" s="5">
        <v>30000</v>
      </c>
      <c r="Q17" s="5">
        <v>1000000</v>
      </c>
      <c r="R17" s="5">
        <v>0</v>
      </c>
      <c r="S17" s="5">
        <v>0</v>
      </c>
      <c r="T17" s="5">
        <v>1000000</v>
      </c>
      <c r="U17" s="5">
        <v>164306.10208878067</v>
      </c>
      <c r="V17" s="5">
        <v>130000</v>
      </c>
      <c r="W17" s="36">
        <v>30000</v>
      </c>
      <c r="X17" s="5"/>
      <c r="Y17" s="5">
        <f t="shared" si="0"/>
        <v>134306.10208878067</v>
      </c>
      <c r="Z17" s="5">
        <f t="shared" si="1"/>
        <v>4306.1020887806662</v>
      </c>
      <c r="AA17" s="17" t="s">
        <v>91</v>
      </c>
      <c r="AD17" s="11">
        <v>162086.55002950376</v>
      </c>
    </row>
    <row r="18" spans="1:35" x14ac:dyDescent="0.25">
      <c r="A18" s="1" t="s">
        <v>28</v>
      </c>
      <c r="B18" s="1" t="s">
        <v>106</v>
      </c>
      <c r="C18" s="5">
        <v>480000</v>
      </c>
      <c r="D18" s="5">
        <v>80427.583632271897</v>
      </c>
      <c r="E18" s="5">
        <v>3998.5841971817717</v>
      </c>
      <c r="F18" s="5">
        <v>0</v>
      </c>
      <c r="G18" s="5">
        <v>84000</v>
      </c>
      <c r="H18" s="5">
        <v>7000</v>
      </c>
      <c r="I18" s="5">
        <v>14000</v>
      </c>
      <c r="J18" s="5">
        <v>35000</v>
      </c>
      <c r="K18" s="5">
        <v>1000</v>
      </c>
      <c r="L18" s="5">
        <v>0</v>
      </c>
      <c r="M18" s="5">
        <v>0</v>
      </c>
      <c r="N18" s="5">
        <v>1000000</v>
      </c>
      <c r="O18" s="5">
        <v>120000</v>
      </c>
      <c r="P18" s="5">
        <v>120000</v>
      </c>
      <c r="Q18" s="5">
        <v>0</v>
      </c>
      <c r="R18" s="5">
        <v>0</v>
      </c>
      <c r="S18" s="5">
        <v>0</v>
      </c>
      <c r="T18" s="5">
        <v>1000000</v>
      </c>
      <c r="U18" s="5">
        <v>168426.16782945365</v>
      </c>
      <c r="V18" s="5">
        <v>35000</v>
      </c>
      <c r="W18" s="36">
        <v>30000</v>
      </c>
      <c r="X18" s="5"/>
      <c r="Y18" s="5">
        <f t="shared" si="0"/>
        <v>138426.16782945365</v>
      </c>
      <c r="Z18" s="5">
        <f t="shared" si="1"/>
        <v>103426.16782945365</v>
      </c>
      <c r="AA18" s="17"/>
      <c r="AD18" s="11">
        <v>164427.58363227191</v>
      </c>
    </row>
    <row r="19" spans="1:35" x14ac:dyDescent="0.25">
      <c r="A19" s="1" t="s">
        <v>29</v>
      </c>
      <c r="B19" s="1" t="s">
        <v>92</v>
      </c>
      <c r="C19" s="5">
        <v>480000</v>
      </c>
      <c r="D19" s="5">
        <v>84433.275952127617</v>
      </c>
      <c r="E19" s="5">
        <v>0.44251227390486747</v>
      </c>
      <c r="F19" s="5">
        <v>0</v>
      </c>
      <c r="G19" s="5">
        <v>258500</v>
      </c>
      <c r="H19" s="5">
        <v>7000</v>
      </c>
      <c r="I19" s="5">
        <v>14000</v>
      </c>
      <c r="J19" s="5">
        <v>35000</v>
      </c>
      <c r="K19" s="5">
        <v>2000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342933.71846440155</v>
      </c>
      <c r="V19" s="5">
        <v>250000</v>
      </c>
      <c r="W19" s="36">
        <v>30000</v>
      </c>
      <c r="X19" s="5"/>
      <c r="Y19" s="5">
        <f t="shared" si="0"/>
        <v>312933.71846440155</v>
      </c>
      <c r="Z19" s="5">
        <f t="shared" si="1"/>
        <v>62933.718464401551</v>
      </c>
      <c r="AA19" s="17"/>
      <c r="AD19" s="11">
        <v>342933.27595212765</v>
      </c>
    </row>
    <row r="20" spans="1:35" x14ac:dyDescent="0.25">
      <c r="A20" s="1" t="s">
        <v>31</v>
      </c>
      <c r="B20" s="1" t="s">
        <v>107</v>
      </c>
      <c r="C20" s="5">
        <v>480000</v>
      </c>
      <c r="D20" s="5">
        <v>607034.07913233258</v>
      </c>
      <c r="E20" s="5">
        <v>2903898.728295486</v>
      </c>
      <c r="F20" s="5">
        <v>0</v>
      </c>
      <c r="G20" s="5">
        <v>1296000</v>
      </c>
      <c r="H20" s="5">
        <v>7000</v>
      </c>
      <c r="I20" s="5">
        <v>14000</v>
      </c>
      <c r="J20" s="5">
        <v>35000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4806932.807427818</v>
      </c>
      <c r="V20" s="5">
        <v>0</v>
      </c>
      <c r="W20" s="36">
        <v>30000</v>
      </c>
      <c r="X20" s="5"/>
      <c r="Y20" s="5">
        <f t="shared" si="0"/>
        <v>4776932.807427818</v>
      </c>
      <c r="Z20" s="5">
        <f t="shared" si="1"/>
        <v>4776932.807427818</v>
      </c>
      <c r="AA20" s="17"/>
      <c r="AD20" s="11">
        <v>1903034.0791323325</v>
      </c>
    </row>
    <row r="21" spans="1:35" x14ac:dyDescent="0.25">
      <c r="A21" s="1" t="s">
        <v>34</v>
      </c>
      <c r="B21" s="1" t="s">
        <v>90</v>
      </c>
      <c r="C21" s="5">
        <v>480000</v>
      </c>
      <c r="D21" s="5">
        <v>79661.668675915658</v>
      </c>
      <c r="E21" s="5">
        <v>-0.26072546625800896</v>
      </c>
      <c r="F21" s="5">
        <v>0</v>
      </c>
      <c r="G21" s="5">
        <v>81000</v>
      </c>
      <c r="H21" s="5">
        <v>7000</v>
      </c>
      <c r="I21" s="5">
        <v>14000</v>
      </c>
      <c r="J21" s="5">
        <v>35000</v>
      </c>
      <c r="K21" s="5">
        <v>7000</v>
      </c>
      <c r="L21" s="5">
        <v>0</v>
      </c>
      <c r="M21" s="5">
        <v>0</v>
      </c>
      <c r="N21" s="5">
        <v>1900000</v>
      </c>
      <c r="O21" s="5">
        <v>159000</v>
      </c>
      <c r="P21" s="5">
        <v>60000</v>
      </c>
      <c r="Q21" s="5">
        <v>900000</v>
      </c>
      <c r="R21" s="5">
        <v>139500</v>
      </c>
      <c r="S21" s="5">
        <v>0</v>
      </c>
      <c r="T21" s="5">
        <v>1139500</v>
      </c>
      <c r="U21" s="5">
        <v>160661.40795044939</v>
      </c>
      <c r="V21" s="5">
        <v>0</v>
      </c>
      <c r="W21" s="36">
        <v>30000</v>
      </c>
      <c r="X21" s="5"/>
      <c r="Y21" s="5">
        <f t="shared" si="0"/>
        <v>130661.40795044939</v>
      </c>
      <c r="Z21" s="5">
        <f>Y21-V21-80000</f>
        <v>50661.407950449386</v>
      </c>
      <c r="AA21" s="17" t="s">
        <v>155</v>
      </c>
      <c r="AB21" t="s">
        <v>129</v>
      </c>
      <c r="AC21" s="2">
        <v>139500</v>
      </c>
      <c r="AD21" s="11">
        <v>160661.66867591566</v>
      </c>
      <c r="AH21" s="2">
        <v>139500</v>
      </c>
      <c r="AI21" t="s">
        <v>169</v>
      </c>
    </row>
    <row r="22" spans="1:35" s="14" customFormat="1" x14ac:dyDescent="0.25">
      <c r="A22" s="12" t="s">
        <v>32</v>
      </c>
      <c r="B22" s="12" t="s">
        <v>108</v>
      </c>
      <c r="C22" s="13">
        <v>480000</v>
      </c>
      <c r="D22" s="5">
        <v>78414.920478625208</v>
      </c>
      <c r="E22" s="5">
        <v>643.11234311138105</v>
      </c>
      <c r="F22" s="13">
        <v>0</v>
      </c>
      <c r="G22" s="5">
        <v>30000</v>
      </c>
      <c r="H22" s="13">
        <v>2500</v>
      </c>
      <c r="I22" s="13">
        <v>5000</v>
      </c>
      <c r="J22" s="13">
        <v>12500</v>
      </c>
      <c r="K22" s="13">
        <v>4000</v>
      </c>
      <c r="L22" s="13">
        <v>0</v>
      </c>
      <c r="M22" s="13">
        <v>0</v>
      </c>
      <c r="N22" s="13">
        <v>700000</v>
      </c>
      <c r="O22" s="5">
        <v>77000</v>
      </c>
      <c r="P22" s="5">
        <v>0</v>
      </c>
      <c r="Q22" s="13">
        <v>0</v>
      </c>
      <c r="R22" s="13">
        <v>108500</v>
      </c>
      <c r="S22" s="13">
        <v>0</v>
      </c>
      <c r="T22" s="13">
        <v>808500</v>
      </c>
      <c r="U22" s="13">
        <v>109058.03282173659</v>
      </c>
      <c r="V22" s="13">
        <v>109058</v>
      </c>
      <c r="W22" s="36"/>
      <c r="X22" s="13"/>
      <c r="Y22" s="5">
        <f t="shared" si="0"/>
        <v>109058.03282173659</v>
      </c>
      <c r="Z22" s="5">
        <f t="shared" si="1"/>
        <v>3.2821736589539796E-2</v>
      </c>
      <c r="AA22" s="35" t="s">
        <v>95</v>
      </c>
      <c r="AB22" s="14" t="s">
        <v>129</v>
      </c>
      <c r="AC22" s="11">
        <v>108500</v>
      </c>
      <c r="AD22" s="11">
        <v>108414.92047862521</v>
      </c>
      <c r="AE22" s="11">
        <v>-264600</v>
      </c>
      <c r="AH22" s="7">
        <v>-484041.96717826341</v>
      </c>
      <c r="AI22" s="14">
        <v>484042</v>
      </c>
    </row>
    <row r="23" spans="1:35" x14ac:dyDescent="0.25">
      <c r="A23" s="1" t="s">
        <v>33</v>
      </c>
      <c r="B23" s="1" t="s">
        <v>109</v>
      </c>
      <c r="C23" s="5">
        <v>480000</v>
      </c>
      <c r="D23" s="5">
        <v>80181.060176583385</v>
      </c>
      <c r="E23" s="5">
        <v>2611.7018854503112</v>
      </c>
      <c r="F23" s="5">
        <v>0</v>
      </c>
      <c r="G23" s="5">
        <v>84000</v>
      </c>
      <c r="H23" s="5">
        <v>7000</v>
      </c>
      <c r="I23" s="5">
        <v>14000</v>
      </c>
      <c r="J23" s="5">
        <v>35000</v>
      </c>
      <c r="K23" s="5">
        <v>1000</v>
      </c>
      <c r="L23" s="5">
        <v>0</v>
      </c>
      <c r="M23" s="5">
        <v>0</v>
      </c>
      <c r="N23" s="5">
        <v>1500000</v>
      </c>
      <c r="O23" s="5">
        <v>135000</v>
      </c>
      <c r="P23" s="5">
        <v>25000</v>
      </c>
      <c r="Q23" s="5">
        <v>1000000</v>
      </c>
      <c r="R23" s="5">
        <v>0</v>
      </c>
      <c r="S23" s="5">
        <v>0</v>
      </c>
      <c r="T23" s="5">
        <v>500000</v>
      </c>
      <c r="U23" s="5">
        <v>166792.7620620337</v>
      </c>
      <c r="V23" s="5">
        <v>130000</v>
      </c>
      <c r="W23" s="36">
        <v>30000</v>
      </c>
      <c r="X23" s="5"/>
      <c r="Y23" s="5">
        <f t="shared" si="0"/>
        <v>136792.7620620337</v>
      </c>
      <c r="Z23" s="5">
        <f t="shared" si="1"/>
        <v>6792.7620620336966</v>
      </c>
      <c r="AA23" s="17" t="s">
        <v>96</v>
      </c>
      <c r="AD23" s="11">
        <v>164181.06017658339</v>
      </c>
    </row>
    <row r="24" spans="1:35" x14ac:dyDescent="0.25">
      <c r="A24" s="1" t="s">
        <v>35</v>
      </c>
      <c r="B24" s="1" t="s">
        <v>91</v>
      </c>
      <c r="C24" s="5">
        <v>480000</v>
      </c>
      <c r="D24" s="5">
        <v>79889.68496817023</v>
      </c>
      <c r="E24" s="5">
        <v>605.40582988600363</v>
      </c>
      <c r="F24" s="5">
        <v>0</v>
      </c>
      <c r="G24" s="5">
        <v>84000</v>
      </c>
      <c r="H24" s="5">
        <v>7000</v>
      </c>
      <c r="I24" s="5">
        <v>14000</v>
      </c>
      <c r="J24" s="5">
        <v>35000</v>
      </c>
      <c r="K24" s="5">
        <v>7000</v>
      </c>
      <c r="L24" s="5">
        <v>0</v>
      </c>
      <c r="M24" s="5">
        <v>0</v>
      </c>
      <c r="N24" s="5">
        <v>2000000</v>
      </c>
      <c r="O24" s="5">
        <v>150000</v>
      </c>
      <c r="P24" s="5">
        <v>40000</v>
      </c>
      <c r="Q24" s="5">
        <v>1000000</v>
      </c>
      <c r="R24" s="5">
        <v>0</v>
      </c>
      <c r="S24" s="5">
        <v>0</v>
      </c>
      <c r="T24" s="5">
        <v>1000000</v>
      </c>
      <c r="U24" s="5">
        <v>164495.09079805622</v>
      </c>
      <c r="V24" s="5">
        <v>120000</v>
      </c>
      <c r="W24" s="36">
        <v>30000</v>
      </c>
      <c r="X24" s="5"/>
      <c r="Y24" s="5">
        <f t="shared" si="0"/>
        <v>134495.09079805622</v>
      </c>
      <c r="Z24" s="5">
        <f t="shared" si="1"/>
        <v>14495.090798056219</v>
      </c>
      <c r="AA24" s="17" t="s">
        <v>87</v>
      </c>
      <c r="AD24" s="11">
        <v>163889.68496817024</v>
      </c>
    </row>
    <row r="25" spans="1:35" x14ac:dyDescent="0.25">
      <c r="A25" s="1" t="s">
        <v>36</v>
      </c>
      <c r="B25" s="1" t="s">
        <v>110</v>
      </c>
      <c r="C25" s="5">
        <v>480000</v>
      </c>
      <c r="D25" s="5">
        <v>79644.731049764974</v>
      </c>
      <c r="E25" s="5">
        <v>-0.14820683863945305</v>
      </c>
      <c r="F25" s="5">
        <v>0</v>
      </c>
      <c r="G25" s="5">
        <v>82000</v>
      </c>
      <c r="H25" s="5">
        <v>7000</v>
      </c>
      <c r="I25" s="5">
        <v>14000</v>
      </c>
      <c r="J25" s="5">
        <v>35000</v>
      </c>
      <c r="K25" s="5">
        <v>9000</v>
      </c>
      <c r="L25" s="5">
        <v>0</v>
      </c>
      <c r="M25" s="5">
        <v>0</v>
      </c>
      <c r="N25" s="5">
        <v>260000</v>
      </c>
      <c r="O25" s="5">
        <v>10400</v>
      </c>
      <c r="P25" s="5">
        <v>7800</v>
      </c>
      <c r="Q25" s="5">
        <v>130000</v>
      </c>
      <c r="R25" s="5">
        <v>0</v>
      </c>
      <c r="S25" s="5">
        <v>0</v>
      </c>
      <c r="T25" s="5">
        <v>130000</v>
      </c>
      <c r="U25" s="5">
        <v>161644.58284292632</v>
      </c>
      <c r="V25" s="5">
        <v>128000</v>
      </c>
      <c r="W25" s="36">
        <v>30000</v>
      </c>
      <c r="X25" s="5"/>
      <c r="Y25" s="5">
        <f t="shared" si="0"/>
        <v>131644.58284292632</v>
      </c>
      <c r="Z25" s="5">
        <f t="shared" si="1"/>
        <v>3644.5828429263202</v>
      </c>
      <c r="AA25" s="17" t="s">
        <v>94</v>
      </c>
      <c r="AD25" s="11">
        <v>161644.73104976496</v>
      </c>
    </row>
    <row r="26" spans="1:35" x14ac:dyDescent="0.25">
      <c r="A26" s="1" t="s">
        <v>75</v>
      </c>
      <c r="B26" s="1" t="s">
        <v>76</v>
      </c>
      <c r="C26" s="5">
        <v>30000</v>
      </c>
      <c r="D26" s="5">
        <v>12025.274783900029</v>
      </c>
      <c r="E26" s="5">
        <v>2994.5270055830988</v>
      </c>
      <c r="F26" s="5">
        <v>0</v>
      </c>
      <c r="G26" s="5">
        <v>104000</v>
      </c>
      <c r="H26" s="5">
        <v>7000</v>
      </c>
      <c r="I26" s="5">
        <v>14000</v>
      </c>
      <c r="J26" s="5">
        <v>35000</v>
      </c>
      <c r="K26" s="5">
        <v>0</v>
      </c>
      <c r="L26" s="5">
        <v>0</v>
      </c>
      <c r="M26" s="5">
        <v>0</v>
      </c>
      <c r="N26" s="5">
        <v>900000</v>
      </c>
      <c r="O26" s="5">
        <v>108000</v>
      </c>
      <c r="P26" s="5">
        <v>0</v>
      </c>
      <c r="Q26" s="5">
        <v>900000</v>
      </c>
      <c r="R26" s="5">
        <v>0</v>
      </c>
      <c r="S26" s="5">
        <v>0</v>
      </c>
      <c r="T26" s="5">
        <v>0</v>
      </c>
      <c r="U26" s="5">
        <v>119019.80178948313</v>
      </c>
      <c r="V26" s="5">
        <v>88500</v>
      </c>
      <c r="W26" s="36">
        <v>30000</v>
      </c>
      <c r="X26" s="5"/>
      <c r="Y26" s="5">
        <f t="shared" si="0"/>
        <v>89019.801789483128</v>
      </c>
      <c r="Z26" s="5">
        <f t="shared" si="1"/>
        <v>519.80178948312823</v>
      </c>
      <c r="AA26" s="17" t="s">
        <v>91</v>
      </c>
      <c r="AD26" s="11">
        <v>116025.27478390004</v>
      </c>
    </row>
    <row r="27" spans="1:35" x14ac:dyDescent="0.25">
      <c r="A27" s="1" t="s">
        <v>50</v>
      </c>
      <c r="B27" s="1" t="s">
        <v>97</v>
      </c>
      <c r="C27" s="5">
        <v>450000</v>
      </c>
      <c r="D27" s="5">
        <v>81837.118573991771</v>
      </c>
      <c r="E27" s="5">
        <v>12890.22827698091</v>
      </c>
      <c r="F27" s="5">
        <v>0</v>
      </c>
      <c r="G27" s="5">
        <v>94000</v>
      </c>
      <c r="H27" s="5">
        <v>7000</v>
      </c>
      <c r="I27" s="5">
        <v>14000</v>
      </c>
      <c r="J27" s="5">
        <v>35000</v>
      </c>
      <c r="K27" s="5">
        <v>0</v>
      </c>
      <c r="L27" s="5">
        <v>0</v>
      </c>
      <c r="M27" s="5">
        <v>0</v>
      </c>
      <c r="N27" s="5">
        <v>100000</v>
      </c>
      <c r="O27" s="5">
        <v>5000</v>
      </c>
      <c r="P27" s="5">
        <v>0</v>
      </c>
      <c r="Q27" s="5">
        <v>100000</v>
      </c>
      <c r="R27" s="5">
        <v>0</v>
      </c>
      <c r="S27" s="5">
        <v>0</v>
      </c>
      <c r="T27" s="5">
        <v>0</v>
      </c>
      <c r="U27" s="5">
        <v>188727.34685097268</v>
      </c>
      <c r="V27" s="5">
        <v>95000</v>
      </c>
      <c r="W27" s="36">
        <f>30000+30000</f>
        <v>60000</v>
      </c>
      <c r="X27" s="5"/>
      <c r="Y27" s="5">
        <f t="shared" si="0"/>
        <v>128727.34685097268</v>
      </c>
      <c r="Z27" s="5">
        <f t="shared" si="1"/>
        <v>33727.346850972681</v>
      </c>
      <c r="AA27" s="17" t="s">
        <v>94</v>
      </c>
      <c r="AD27" s="11">
        <v>175837.11857399176</v>
      </c>
    </row>
    <row r="28" spans="1:35" x14ac:dyDescent="0.25">
      <c r="A28" s="1" t="s">
        <v>37</v>
      </c>
      <c r="B28" s="1" t="s">
        <v>111</v>
      </c>
      <c r="C28" s="5">
        <v>480000</v>
      </c>
      <c r="D28" s="5">
        <v>80008.312869354428</v>
      </c>
      <c r="E28" s="5">
        <v>1353.7356825511233</v>
      </c>
      <c r="F28" s="5">
        <v>0</v>
      </c>
      <c r="G28" s="5">
        <v>84000</v>
      </c>
      <c r="H28" s="5">
        <v>7000</v>
      </c>
      <c r="I28" s="5">
        <v>14000</v>
      </c>
      <c r="J28" s="5">
        <v>35000</v>
      </c>
      <c r="K28" s="5">
        <v>5000</v>
      </c>
      <c r="L28" s="5">
        <v>0</v>
      </c>
      <c r="M28" s="5">
        <v>0</v>
      </c>
      <c r="N28" s="5">
        <v>2000000</v>
      </c>
      <c r="O28" s="5">
        <v>230000</v>
      </c>
      <c r="P28" s="5">
        <v>120000</v>
      </c>
      <c r="Q28" s="5">
        <v>1000000</v>
      </c>
      <c r="R28" s="5">
        <v>0</v>
      </c>
      <c r="S28" s="5">
        <v>0</v>
      </c>
      <c r="T28" s="5">
        <v>1000000</v>
      </c>
      <c r="U28" s="5">
        <v>165362.04855190555</v>
      </c>
      <c r="V28" s="5">
        <v>130000</v>
      </c>
      <c r="W28" s="36">
        <v>30000</v>
      </c>
      <c r="X28" s="5"/>
      <c r="Y28" s="5">
        <f t="shared" si="0"/>
        <v>135362.04855190555</v>
      </c>
      <c r="Z28" s="5">
        <f t="shared" si="1"/>
        <v>5362.048551905551</v>
      </c>
      <c r="AA28" s="17"/>
      <c r="AD28" s="11">
        <v>164008.31286935444</v>
      </c>
    </row>
    <row r="29" spans="1:35" x14ac:dyDescent="0.25">
      <c r="A29" s="1" t="s">
        <v>38</v>
      </c>
      <c r="B29" s="1" t="s">
        <v>98</v>
      </c>
      <c r="C29" s="5">
        <v>480000</v>
      </c>
      <c r="D29" s="5">
        <v>91731.680250305682</v>
      </c>
      <c r="E29" s="5">
        <v>57225.614111341449</v>
      </c>
      <c r="F29" s="5">
        <v>0</v>
      </c>
      <c r="G29" s="5">
        <v>151000</v>
      </c>
      <c r="H29" s="5">
        <v>7000</v>
      </c>
      <c r="I29" s="5">
        <v>14000</v>
      </c>
      <c r="J29" s="5">
        <v>35000</v>
      </c>
      <c r="K29" s="5">
        <v>0</v>
      </c>
      <c r="L29" s="5">
        <v>0</v>
      </c>
      <c r="M29" s="5">
        <v>0</v>
      </c>
      <c r="N29" s="5">
        <v>500000</v>
      </c>
      <c r="O29" s="5">
        <v>50000</v>
      </c>
      <c r="P29" s="5">
        <v>0</v>
      </c>
      <c r="Q29" s="5">
        <v>500000</v>
      </c>
      <c r="R29" s="5">
        <v>0</v>
      </c>
      <c r="S29" s="5">
        <v>0</v>
      </c>
      <c r="T29" s="5">
        <v>0</v>
      </c>
      <c r="U29" s="5">
        <v>299957.2943616471</v>
      </c>
      <c r="V29" s="5">
        <v>240000</v>
      </c>
      <c r="W29" s="36">
        <v>30000</v>
      </c>
      <c r="X29" s="5"/>
      <c r="Y29" s="5">
        <f t="shared" si="0"/>
        <v>269957.2943616471</v>
      </c>
      <c r="Z29" s="5">
        <f t="shared" si="1"/>
        <v>29957.294361647102</v>
      </c>
      <c r="AA29" s="17"/>
      <c r="AD29" s="11">
        <v>242731.68025030568</v>
      </c>
    </row>
    <row r="30" spans="1:35" x14ac:dyDescent="0.25">
      <c r="A30" s="1" t="s">
        <v>80</v>
      </c>
      <c r="B30" s="1" t="s">
        <v>112</v>
      </c>
      <c r="C30" s="5">
        <v>0</v>
      </c>
      <c r="D30" s="5">
        <v>2138.4782390296004</v>
      </c>
      <c r="E30" s="5">
        <v>0.16900408919900656</v>
      </c>
      <c r="F30" s="5">
        <v>0</v>
      </c>
      <c r="G30" s="5">
        <v>30000</v>
      </c>
      <c r="H30" s="5">
        <v>2500</v>
      </c>
      <c r="I30" s="5">
        <v>5000</v>
      </c>
      <c r="J30" s="5">
        <v>12500</v>
      </c>
      <c r="K30" s="5">
        <v>2000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32138.647243118801</v>
      </c>
      <c r="V30" s="5">
        <v>2139</v>
      </c>
      <c r="W30" s="36">
        <v>30000</v>
      </c>
      <c r="X30" s="5"/>
      <c r="Y30" s="5">
        <f t="shared" si="0"/>
        <v>2138.6472431188013</v>
      </c>
      <c r="Z30" s="5">
        <f t="shared" si="1"/>
        <v>-0.35275688119872939</v>
      </c>
      <c r="AA30" s="17"/>
      <c r="AD30" s="11">
        <v>32138.478239029602</v>
      </c>
    </row>
    <row r="31" spans="1:35" s="14" customFormat="1" x14ac:dyDescent="0.25">
      <c r="A31" s="12" t="s">
        <v>39</v>
      </c>
      <c r="B31" s="12" t="s">
        <v>113</v>
      </c>
      <c r="C31" s="13">
        <v>480000</v>
      </c>
      <c r="D31" s="5">
        <v>0</v>
      </c>
      <c r="E31" s="5">
        <v>0.28740352351451293</v>
      </c>
      <c r="F31" s="13">
        <v>0</v>
      </c>
      <c r="G31" s="5">
        <v>100000</v>
      </c>
      <c r="H31" s="13">
        <v>7000</v>
      </c>
      <c r="I31" s="13">
        <v>14000</v>
      </c>
      <c r="J31" s="13">
        <v>35000</v>
      </c>
      <c r="K31" s="13">
        <v>6000</v>
      </c>
      <c r="L31" s="13">
        <v>0</v>
      </c>
      <c r="M31" s="13">
        <v>0</v>
      </c>
      <c r="N31" s="13">
        <v>1176000</v>
      </c>
      <c r="O31" s="5">
        <v>0</v>
      </c>
      <c r="P31" s="5">
        <v>0</v>
      </c>
      <c r="Q31" s="13">
        <v>1305360</v>
      </c>
      <c r="R31" s="13">
        <v>129360</v>
      </c>
      <c r="S31" s="13">
        <v>0</v>
      </c>
      <c r="T31" s="13">
        <v>0</v>
      </c>
      <c r="U31" s="13">
        <v>100000.28740352351</v>
      </c>
      <c r="V31" s="13">
        <v>60000</v>
      </c>
      <c r="W31" s="36">
        <v>30000</v>
      </c>
      <c r="X31" s="13"/>
      <c r="Y31" s="5">
        <f t="shared" si="0"/>
        <v>70000.287403523515</v>
      </c>
      <c r="Z31" s="5">
        <f t="shared" si="1"/>
        <v>10000.287403523515</v>
      </c>
      <c r="AA31" s="35"/>
      <c r="AB31" s="14" t="s">
        <v>129</v>
      </c>
      <c r="AD31" s="11">
        <v>100000</v>
      </c>
    </row>
    <row r="32" spans="1:35" s="14" customFormat="1" x14ac:dyDescent="0.25">
      <c r="A32" s="12" t="s">
        <v>40</v>
      </c>
      <c r="B32" s="12" t="s">
        <v>114</v>
      </c>
      <c r="C32" s="13">
        <v>117045</v>
      </c>
      <c r="D32" s="5">
        <v>0</v>
      </c>
      <c r="E32" s="5">
        <v>22.240996590782743</v>
      </c>
      <c r="F32" s="13">
        <v>0</v>
      </c>
      <c r="G32" s="5">
        <v>84000</v>
      </c>
      <c r="H32" s="13">
        <v>7000</v>
      </c>
      <c r="I32" s="13">
        <v>14000</v>
      </c>
      <c r="J32" s="13">
        <v>35000</v>
      </c>
      <c r="K32" s="13">
        <v>3000</v>
      </c>
      <c r="L32" s="13">
        <v>0</v>
      </c>
      <c r="M32" s="13">
        <v>0</v>
      </c>
      <c r="N32" s="13">
        <v>0</v>
      </c>
      <c r="O32" s="5">
        <v>0</v>
      </c>
      <c r="P32" s="5">
        <v>0</v>
      </c>
      <c r="Q32" s="13">
        <v>0</v>
      </c>
      <c r="R32" s="13">
        <v>0</v>
      </c>
      <c r="S32" s="13">
        <v>0</v>
      </c>
      <c r="T32" s="13">
        <v>0</v>
      </c>
      <c r="U32" s="13">
        <v>84022.240996590786</v>
      </c>
      <c r="V32" s="13">
        <v>54022</v>
      </c>
      <c r="W32" s="36">
        <v>30000</v>
      </c>
      <c r="X32" s="13"/>
      <c r="Y32" s="5">
        <f t="shared" si="0"/>
        <v>54022.240996590786</v>
      </c>
      <c r="Z32" s="5">
        <f t="shared" si="1"/>
        <v>0.24099659078638069</v>
      </c>
      <c r="AA32" s="35"/>
      <c r="AD32" s="11">
        <v>84000</v>
      </c>
      <c r="AE32" s="11">
        <v>80000</v>
      </c>
      <c r="AH32" s="7">
        <v>281067.24099659082</v>
      </c>
    </row>
    <row r="33" spans="1:36" x14ac:dyDescent="0.25">
      <c r="A33" s="1" t="s">
        <v>41</v>
      </c>
      <c r="B33" s="1" t="s">
        <v>96</v>
      </c>
      <c r="C33" s="5">
        <v>480000</v>
      </c>
      <c r="D33" s="5">
        <v>91170.310621746714</v>
      </c>
      <c r="E33" s="5">
        <v>72138.254558185639</v>
      </c>
      <c r="F33" s="5">
        <v>0</v>
      </c>
      <c r="G33" s="5">
        <v>82000</v>
      </c>
      <c r="H33" s="5">
        <v>7000</v>
      </c>
      <c r="I33" s="5">
        <v>14000</v>
      </c>
      <c r="J33" s="5">
        <v>35000</v>
      </c>
      <c r="K33" s="5">
        <v>4000</v>
      </c>
      <c r="L33" s="5">
        <v>0</v>
      </c>
      <c r="M33" s="5">
        <v>0</v>
      </c>
      <c r="N33" s="5">
        <v>1150000</v>
      </c>
      <c r="O33" s="5">
        <v>114500</v>
      </c>
      <c r="P33" s="5">
        <v>4500</v>
      </c>
      <c r="Q33" s="5">
        <v>1000000</v>
      </c>
      <c r="R33" s="5">
        <v>0</v>
      </c>
      <c r="S33" s="5">
        <v>0</v>
      </c>
      <c r="T33" s="5">
        <v>150000</v>
      </c>
      <c r="U33" s="5">
        <v>245308.56517993234</v>
      </c>
      <c r="V33" s="5">
        <v>200000</v>
      </c>
      <c r="W33" s="36">
        <v>30000</v>
      </c>
      <c r="X33" s="5"/>
      <c r="Y33" s="5">
        <f t="shared" si="0"/>
        <v>215308.56517993234</v>
      </c>
      <c r="Z33" s="5">
        <f t="shared" si="1"/>
        <v>15308.565179932339</v>
      </c>
      <c r="AA33" s="17" t="s">
        <v>97</v>
      </c>
      <c r="AD33" s="11">
        <v>173170.3106217467</v>
      </c>
    </row>
    <row r="34" spans="1:36" s="14" customFormat="1" x14ac:dyDescent="0.25">
      <c r="A34" s="12" t="s">
        <v>42</v>
      </c>
      <c r="B34" s="12" t="s">
        <v>95</v>
      </c>
      <c r="C34" s="13">
        <v>480000</v>
      </c>
      <c r="D34" s="5">
        <v>78422.245259251824</v>
      </c>
      <c r="E34" s="5">
        <v>689.31860616087215</v>
      </c>
      <c r="F34" s="13">
        <v>0</v>
      </c>
      <c r="G34" s="5">
        <v>30000</v>
      </c>
      <c r="H34" s="13">
        <v>2500</v>
      </c>
      <c r="I34" s="13">
        <v>5000</v>
      </c>
      <c r="J34" s="13">
        <v>12500</v>
      </c>
      <c r="K34" s="13">
        <v>5000</v>
      </c>
      <c r="L34" s="13">
        <v>0</v>
      </c>
      <c r="M34" s="13">
        <v>0</v>
      </c>
      <c r="N34" s="13">
        <v>700000</v>
      </c>
      <c r="O34" s="5">
        <v>84000</v>
      </c>
      <c r="P34" s="5">
        <v>0</v>
      </c>
      <c r="Q34" s="13">
        <v>0</v>
      </c>
      <c r="R34" s="13">
        <v>108500</v>
      </c>
      <c r="S34" s="13">
        <v>0</v>
      </c>
      <c r="T34" s="13">
        <v>808500</v>
      </c>
      <c r="U34" s="13">
        <v>109111.5638654127</v>
      </c>
      <c r="V34" s="13">
        <v>79112</v>
      </c>
      <c r="W34" s="36">
        <v>30000</v>
      </c>
      <c r="X34" s="13"/>
      <c r="Y34" s="5">
        <f t="shared" si="0"/>
        <v>79111.563865412696</v>
      </c>
      <c r="Z34" s="5">
        <f t="shared" si="1"/>
        <v>-0.43613458730396815</v>
      </c>
      <c r="AA34" s="35" t="s">
        <v>94</v>
      </c>
      <c r="AB34" s="14" t="s">
        <v>129</v>
      </c>
      <c r="AC34" s="11">
        <v>108500</v>
      </c>
      <c r="AD34" s="11">
        <v>108422.24525925182</v>
      </c>
      <c r="AE34" s="11">
        <v>-285600</v>
      </c>
      <c r="AF34" s="11">
        <v>-488000</v>
      </c>
      <c r="AG34" s="11"/>
      <c r="AH34" s="7">
        <v>-992988.43613458727</v>
      </c>
    </row>
    <row r="35" spans="1:36" s="8" customFormat="1" x14ac:dyDescent="0.25">
      <c r="A35" s="1" t="s">
        <v>43</v>
      </c>
      <c r="B35" s="1" t="s">
        <v>100</v>
      </c>
      <c r="C35" s="5">
        <v>480000</v>
      </c>
      <c r="D35" s="5">
        <v>80425.990897485564</v>
      </c>
      <c r="E35" s="5">
        <v>36.350487807299942</v>
      </c>
      <c r="F35" s="5">
        <v>0</v>
      </c>
      <c r="G35" s="5">
        <v>144000</v>
      </c>
      <c r="H35" s="5">
        <v>7000</v>
      </c>
      <c r="I35" s="5">
        <v>14000</v>
      </c>
      <c r="J35" s="5">
        <v>35000</v>
      </c>
      <c r="K35" s="5">
        <v>23000</v>
      </c>
      <c r="L35" s="5">
        <v>0</v>
      </c>
      <c r="M35" s="5">
        <v>0</v>
      </c>
      <c r="N35" s="5">
        <v>3000000</v>
      </c>
      <c r="O35" s="5">
        <v>170000</v>
      </c>
      <c r="P35" s="5">
        <v>50000</v>
      </c>
      <c r="Q35" s="5">
        <v>2000000</v>
      </c>
      <c r="R35" s="5">
        <v>0</v>
      </c>
      <c r="S35" s="5">
        <v>0</v>
      </c>
      <c r="T35" s="5">
        <v>1000000</v>
      </c>
      <c r="U35" s="5">
        <v>224462.34138529288</v>
      </c>
      <c r="V35" s="5">
        <v>120000</v>
      </c>
      <c r="W35" s="36">
        <v>30000</v>
      </c>
      <c r="X35" s="5"/>
      <c r="Y35" s="5">
        <f t="shared" si="0"/>
        <v>194462.34138529288</v>
      </c>
      <c r="Z35" s="5">
        <f t="shared" si="1"/>
        <v>74462.341385292879</v>
      </c>
      <c r="AA35" s="17" t="s">
        <v>76</v>
      </c>
      <c r="AD35" s="11">
        <v>224425.99089748558</v>
      </c>
    </row>
    <row r="36" spans="1:36" x14ac:dyDescent="0.25">
      <c r="A36" s="1" t="s">
        <v>30</v>
      </c>
      <c r="B36" s="1" t="s">
        <v>115</v>
      </c>
      <c r="C36" s="5">
        <v>480000</v>
      </c>
      <c r="D36" s="5">
        <v>79900.26982663176</v>
      </c>
      <c r="E36" s="5">
        <v>0.30040658926009201</v>
      </c>
      <c r="F36" s="5">
        <v>0</v>
      </c>
      <c r="G36" s="5">
        <v>86500</v>
      </c>
      <c r="H36" s="5">
        <v>7000</v>
      </c>
      <c r="I36" s="5">
        <v>14000</v>
      </c>
      <c r="J36" s="5">
        <v>35000</v>
      </c>
      <c r="K36" s="5">
        <v>11000</v>
      </c>
      <c r="L36" s="5">
        <v>0</v>
      </c>
      <c r="M36" s="5">
        <v>0</v>
      </c>
      <c r="N36" s="5">
        <v>2000000</v>
      </c>
      <c r="O36" s="5">
        <v>240000</v>
      </c>
      <c r="P36" s="5">
        <v>120000</v>
      </c>
      <c r="Q36" s="5">
        <v>1000000</v>
      </c>
      <c r="R36" s="5">
        <v>0</v>
      </c>
      <c r="S36" s="5">
        <v>0</v>
      </c>
      <c r="T36" s="5">
        <v>1000000</v>
      </c>
      <c r="U36" s="5">
        <v>166400.57023322102</v>
      </c>
      <c r="V36" s="5">
        <v>133000</v>
      </c>
      <c r="W36" s="36">
        <v>30000</v>
      </c>
      <c r="X36" s="5"/>
      <c r="Y36" s="5">
        <f t="shared" si="0"/>
        <v>136400.57023322102</v>
      </c>
      <c r="Z36" s="5">
        <f t="shared" si="1"/>
        <v>3400.5702332210203</v>
      </c>
      <c r="AA36" s="17" t="s">
        <v>87</v>
      </c>
      <c r="AD36" s="11">
        <v>166400.26982663176</v>
      </c>
    </row>
    <row r="37" spans="1:36" x14ac:dyDescent="0.25">
      <c r="A37" s="1" t="s">
        <v>44</v>
      </c>
      <c r="B37" s="1" t="s">
        <v>87</v>
      </c>
      <c r="C37" s="5">
        <v>480000</v>
      </c>
      <c r="D37" s="5">
        <v>80218.625624560562</v>
      </c>
      <c r="E37" s="5">
        <v>109.79976263979916</v>
      </c>
      <c r="F37" s="5">
        <v>0</v>
      </c>
      <c r="G37" s="5">
        <v>94000</v>
      </c>
      <c r="H37" s="5">
        <v>7000</v>
      </c>
      <c r="I37" s="5">
        <v>14000</v>
      </c>
      <c r="J37" s="5">
        <v>35000</v>
      </c>
      <c r="K37" s="5">
        <v>7000</v>
      </c>
      <c r="L37" s="5">
        <v>0</v>
      </c>
      <c r="M37" s="5">
        <v>0</v>
      </c>
      <c r="N37" s="5">
        <v>2000000</v>
      </c>
      <c r="O37" s="5">
        <v>230000</v>
      </c>
      <c r="P37" s="5">
        <v>120000</v>
      </c>
      <c r="Q37" s="5">
        <v>1000000</v>
      </c>
      <c r="R37" s="5">
        <v>0</v>
      </c>
      <c r="S37" s="5">
        <v>0</v>
      </c>
      <c r="T37" s="5">
        <v>1000000</v>
      </c>
      <c r="U37" s="5">
        <v>174328.42538720038</v>
      </c>
      <c r="V37" s="5">
        <v>140000</v>
      </c>
      <c r="W37" s="36">
        <v>30000</v>
      </c>
      <c r="X37" s="5"/>
      <c r="Y37" s="5">
        <f t="shared" si="0"/>
        <v>144328.42538720038</v>
      </c>
      <c r="Z37" s="5">
        <f t="shared" si="1"/>
        <v>4328.4253872003756</v>
      </c>
      <c r="AA37" s="17" t="s">
        <v>98</v>
      </c>
      <c r="AD37" s="11">
        <v>174218.62562456058</v>
      </c>
    </row>
    <row r="38" spans="1:36" x14ac:dyDescent="0.25">
      <c r="A38" s="1" t="s">
        <v>45</v>
      </c>
      <c r="B38" s="1" t="s">
        <v>116</v>
      </c>
      <c r="C38" s="5">
        <v>480000</v>
      </c>
      <c r="D38" s="5">
        <v>82325.064676950074</v>
      </c>
      <c r="E38" s="5">
        <v>15968.295339537319</v>
      </c>
      <c r="F38" s="5">
        <v>0</v>
      </c>
      <c r="G38" s="5">
        <v>84000</v>
      </c>
      <c r="H38" s="5">
        <v>7000</v>
      </c>
      <c r="I38" s="5">
        <v>14000</v>
      </c>
      <c r="J38" s="5">
        <v>35000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182293.36001648739</v>
      </c>
      <c r="V38" s="5">
        <v>3500</v>
      </c>
      <c r="W38" s="36">
        <v>30000</v>
      </c>
      <c r="X38" s="5"/>
      <c r="Y38" s="5">
        <f t="shared" si="0"/>
        <v>152293.36001648739</v>
      </c>
      <c r="Z38" s="5">
        <f t="shared" si="1"/>
        <v>148793.36001648739</v>
      </c>
      <c r="AA38" s="17"/>
      <c r="AD38" s="11">
        <v>166325.06467695007</v>
      </c>
    </row>
    <row r="39" spans="1:36" x14ac:dyDescent="0.25">
      <c r="A39" s="1" t="s">
        <v>46</v>
      </c>
      <c r="B39" s="1" t="s">
        <v>117</v>
      </c>
      <c r="C39" s="5">
        <v>480000</v>
      </c>
      <c r="D39" s="5">
        <v>79309.541006732557</v>
      </c>
      <c r="E39" s="5">
        <v>0.17330693561234511</v>
      </c>
      <c r="F39" s="5">
        <v>0</v>
      </c>
      <c r="G39" s="5">
        <v>54000</v>
      </c>
      <c r="H39" s="5">
        <v>4500</v>
      </c>
      <c r="I39" s="5">
        <v>9000</v>
      </c>
      <c r="J39" s="5">
        <v>22500</v>
      </c>
      <c r="K39" s="5">
        <v>15000</v>
      </c>
      <c r="L39" s="5">
        <v>0</v>
      </c>
      <c r="M39" s="5">
        <v>0</v>
      </c>
      <c r="N39" s="5">
        <v>1000000</v>
      </c>
      <c r="O39" s="5">
        <v>40000</v>
      </c>
      <c r="P39" s="5">
        <v>0</v>
      </c>
      <c r="Q39" s="5">
        <v>1155000</v>
      </c>
      <c r="R39" s="5">
        <v>155000</v>
      </c>
      <c r="S39" s="5">
        <v>0</v>
      </c>
      <c r="T39" s="5">
        <v>0</v>
      </c>
      <c r="U39" s="5">
        <v>133309.71431366817</v>
      </c>
      <c r="V39" s="5">
        <v>103310</v>
      </c>
      <c r="W39" s="36">
        <v>30000</v>
      </c>
      <c r="X39" s="5"/>
      <c r="Y39" s="5">
        <f t="shared" si="0"/>
        <v>103309.71431366817</v>
      </c>
      <c r="Z39" s="5">
        <f t="shared" si="1"/>
        <v>-0.2856863318302203</v>
      </c>
      <c r="AA39" s="17"/>
      <c r="AD39" s="11">
        <v>133309.54100673256</v>
      </c>
    </row>
    <row r="40" spans="1:36" x14ac:dyDescent="0.25">
      <c r="A40" s="1" t="s">
        <v>81</v>
      </c>
      <c r="B40" s="1" t="s">
        <v>118</v>
      </c>
      <c r="C40" s="5">
        <v>0</v>
      </c>
      <c r="D40" s="5">
        <v>3376.913330814542</v>
      </c>
      <c r="E40" s="5">
        <v>0</v>
      </c>
      <c r="F40" s="5">
        <v>0</v>
      </c>
      <c r="G40" s="5">
        <v>104000</v>
      </c>
      <c r="H40" s="5">
        <v>7000</v>
      </c>
      <c r="I40" s="5">
        <v>14000</v>
      </c>
      <c r="J40" s="5">
        <v>35000</v>
      </c>
      <c r="K40" s="5">
        <v>3000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107376.91333081454</v>
      </c>
      <c r="V40" s="5">
        <v>0</v>
      </c>
      <c r="W40" s="36">
        <f>30000+77377</f>
        <v>107377</v>
      </c>
      <c r="X40" s="5"/>
      <c r="Y40" s="5">
        <f t="shared" si="0"/>
        <v>-8.6669185460777953E-2</v>
      </c>
      <c r="Z40" s="5">
        <f t="shared" si="1"/>
        <v>-8.6669185460777953E-2</v>
      </c>
      <c r="AA40" s="17"/>
      <c r="AD40" s="11">
        <v>107376.91333081454</v>
      </c>
    </row>
    <row r="41" spans="1:36" s="14" customFormat="1" x14ac:dyDescent="0.25">
      <c r="A41" s="12" t="s">
        <v>47</v>
      </c>
      <c r="B41" s="12" t="s">
        <v>143</v>
      </c>
      <c r="C41" s="13">
        <v>480000</v>
      </c>
      <c r="D41" s="5">
        <v>80174.992283614876</v>
      </c>
      <c r="E41" s="5">
        <v>2777.4644755606423</v>
      </c>
      <c r="F41" s="13">
        <v>0</v>
      </c>
      <c r="G41" s="5">
        <v>82000</v>
      </c>
      <c r="H41" s="13">
        <v>7000</v>
      </c>
      <c r="I41" s="13">
        <v>14000</v>
      </c>
      <c r="J41" s="13">
        <v>35000</v>
      </c>
      <c r="K41" s="13">
        <v>13000</v>
      </c>
      <c r="L41" s="13">
        <v>0</v>
      </c>
      <c r="M41" s="13">
        <v>0</v>
      </c>
      <c r="N41" s="13">
        <v>1000000</v>
      </c>
      <c r="O41" s="5">
        <v>90000</v>
      </c>
      <c r="P41" s="5">
        <v>0</v>
      </c>
      <c r="Q41" s="13">
        <v>400000</v>
      </c>
      <c r="R41" s="13">
        <v>155000</v>
      </c>
      <c r="S41" s="13">
        <v>0</v>
      </c>
      <c r="T41" s="13">
        <v>755000</v>
      </c>
      <c r="U41" s="13">
        <v>164952.45675917552</v>
      </c>
      <c r="V41" s="13">
        <v>130000</v>
      </c>
      <c r="W41" s="36">
        <v>30000</v>
      </c>
      <c r="X41" s="13"/>
      <c r="Y41" s="5">
        <f t="shared" si="0"/>
        <v>134952.45675917552</v>
      </c>
      <c r="Z41" s="5">
        <f t="shared" si="1"/>
        <v>4952.4567591755185</v>
      </c>
      <c r="AA41" s="35" t="s">
        <v>99</v>
      </c>
      <c r="AB41" s="14" t="s">
        <v>129</v>
      </c>
      <c r="AC41" s="11">
        <v>155000</v>
      </c>
      <c r="AD41" s="11">
        <v>162174.99228361488</v>
      </c>
    </row>
    <row r="42" spans="1:36" x14ac:dyDescent="0.25">
      <c r="A42" s="1" t="s">
        <v>48</v>
      </c>
      <c r="B42" s="1" t="s">
        <v>120</v>
      </c>
      <c r="C42" s="5">
        <v>480000</v>
      </c>
      <c r="D42" s="5">
        <v>79793.71388976372</v>
      </c>
      <c r="E42" s="5">
        <v>0</v>
      </c>
      <c r="F42" s="5">
        <v>0</v>
      </c>
      <c r="G42" s="5">
        <v>84000</v>
      </c>
      <c r="H42" s="5">
        <v>7000</v>
      </c>
      <c r="I42" s="5">
        <v>14000</v>
      </c>
      <c r="J42" s="5">
        <v>35000</v>
      </c>
      <c r="K42" s="5">
        <v>0</v>
      </c>
      <c r="L42" s="5">
        <v>0</v>
      </c>
      <c r="M42" s="5">
        <v>0</v>
      </c>
      <c r="N42" s="5">
        <v>184035</v>
      </c>
      <c r="O42" s="5">
        <v>20243.849999999999</v>
      </c>
      <c r="P42" s="5">
        <v>0</v>
      </c>
      <c r="Q42" s="5">
        <v>184035</v>
      </c>
      <c r="R42" s="5">
        <v>0</v>
      </c>
      <c r="S42" s="5">
        <v>0</v>
      </c>
      <c r="T42" s="5">
        <v>0</v>
      </c>
      <c r="U42" s="5">
        <v>163793.71388976372</v>
      </c>
      <c r="V42" s="5">
        <v>0</v>
      </c>
      <c r="W42" s="36">
        <v>30000</v>
      </c>
      <c r="X42" s="5"/>
      <c r="Y42" s="5">
        <f t="shared" si="0"/>
        <v>133793.71388976372</v>
      </c>
      <c r="Z42" s="5">
        <f t="shared" si="1"/>
        <v>133793.71388976372</v>
      </c>
      <c r="AA42" s="17"/>
      <c r="AD42" s="11">
        <v>163793.71388976372</v>
      </c>
    </row>
    <row r="43" spans="1:36" x14ac:dyDescent="0.25">
      <c r="A43" s="1" t="s">
        <v>49</v>
      </c>
      <c r="B43" s="1" t="s">
        <v>121</v>
      </c>
      <c r="C43" s="5">
        <v>480000</v>
      </c>
      <c r="D43" s="5">
        <v>84611.13302311454</v>
      </c>
      <c r="E43" s="5">
        <v>-0.39887899404857308</v>
      </c>
      <c r="F43" s="5">
        <v>0</v>
      </c>
      <c r="G43" s="5">
        <v>174000</v>
      </c>
      <c r="H43" s="5">
        <v>7000</v>
      </c>
      <c r="I43" s="5">
        <v>14000</v>
      </c>
      <c r="J43" s="5">
        <v>35000</v>
      </c>
      <c r="K43" s="5">
        <v>2000</v>
      </c>
      <c r="L43" s="5">
        <v>0</v>
      </c>
      <c r="M43" s="5">
        <v>0</v>
      </c>
      <c r="N43" s="5">
        <v>1000000</v>
      </c>
      <c r="O43" s="5">
        <v>110000</v>
      </c>
      <c r="P43" s="5">
        <v>60000</v>
      </c>
      <c r="Q43" s="5">
        <v>500000</v>
      </c>
      <c r="R43" s="5">
        <v>0</v>
      </c>
      <c r="S43" s="5">
        <v>0</v>
      </c>
      <c r="T43" s="5">
        <v>500000</v>
      </c>
      <c r="U43" s="5">
        <v>258610.73414412048</v>
      </c>
      <c r="V43" s="5">
        <v>200000</v>
      </c>
      <c r="W43" s="36">
        <v>30000</v>
      </c>
      <c r="X43" s="5"/>
      <c r="Y43" s="5">
        <f t="shared" si="0"/>
        <v>228610.73414412048</v>
      </c>
      <c r="Z43" s="5">
        <f t="shared" si="1"/>
        <v>28610.734144120477</v>
      </c>
      <c r="AA43" s="17"/>
      <c r="AB43" t="s">
        <v>59</v>
      </c>
      <c r="AD43" s="11">
        <v>258611.13302311453</v>
      </c>
    </row>
    <row r="44" spans="1:36" x14ac:dyDescent="0.25">
      <c r="A44" s="1" t="s">
        <v>51</v>
      </c>
      <c r="B44" s="1" t="s">
        <v>122</v>
      </c>
      <c r="C44" s="5">
        <v>480000</v>
      </c>
      <c r="D44" s="5">
        <v>95391.522236883728</v>
      </c>
      <c r="E44" s="5">
        <v>1360.775029899698</v>
      </c>
      <c r="F44" s="5">
        <v>0</v>
      </c>
      <c r="G44" s="5">
        <v>84000</v>
      </c>
      <c r="H44" s="5">
        <v>7000</v>
      </c>
      <c r="I44" s="5">
        <v>14000</v>
      </c>
      <c r="J44" s="5">
        <v>35000</v>
      </c>
      <c r="K44" s="5">
        <v>0</v>
      </c>
      <c r="L44" s="5">
        <v>0</v>
      </c>
      <c r="M44" s="5">
        <v>0</v>
      </c>
      <c r="N44" s="5">
        <v>2000000</v>
      </c>
      <c r="O44" s="5">
        <v>200000</v>
      </c>
      <c r="P44" s="5">
        <v>110000</v>
      </c>
      <c r="Q44" s="5">
        <v>1000000</v>
      </c>
      <c r="R44" s="5">
        <v>0</v>
      </c>
      <c r="S44" s="5">
        <v>0</v>
      </c>
      <c r="T44" s="5">
        <v>1000000</v>
      </c>
      <c r="U44" s="5">
        <v>180752.29726678343</v>
      </c>
      <c r="V44" s="5">
        <v>0</v>
      </c>
      <c r="W44" s="36">
        <v>30000</v>
      </c>
      <c r="X44" s="5"/>
      <c r="Y44" s="5">
        <f t="shared" si="0"/>
        <v>150752.29726678343</v>
      </c>
      <c r="Z44" s="5">
        <f t="shared" si="1"/>
        <v>150752.29726678343</v>
      </c>
      <c r="AA44" s="17" t="s">
        <v>91</v>
      </c>
      <c r="AB44" t="s">
        <v>9</v>
      </c>
      <c r="AD44" s="11">
        <v>179391.52223688373</v>
      </c>
    </row>
    <row r="45" spans="1:36" s="14" customFormat="1" x14ac:dyDescent="0.25">
      <c r="A45" s="12" t="s">
        <v>52</v>
      </c>
      <c r="B45" s="12" t="s">
        <v>123</v>
      </c>
      <c r="C45" s="13">
        <v>480000</v>
      </c>
      <c r="D45" s="5">
        <v>78500.211202080493</v>
      </c>
      <c r="E45" s="5">
        <v>1225.3544029653422</v>
      </c>
      <c r="F45" s="13">
        <v>0</v>
      </c>
      <c r="G45" s="5">
        <v>30000</v>
      </c>
      <c r="H45" s="13">
        <v>2500</v>
      </c>
      <c r="I45" s="13">
        <v>5000</v>
      </c>
      <c r="J45" s="13">
        <v>12500</v>
      </c>
      <c r="K45" s="13">
        <v>4000</v>
      </c>
      <c r="L45" s="13">
        <v>0</v>
      </c>
      <c r="M45" s="13">
        <v>0</v>
      </c>
      <c r="N45" s="13">
        <v>850000</v>
      </c>
      <c r="O45" s="5">
        <v>95000</v>
      </c>
      <c r="P45" s="5">
        <v>0</v>
      </c>
      <c r="Q45" s="13">
        <v>0</v>
      </c>
      <c r="R45" s="13">
        <v>131750</v>
      </c>
      <c r="S45" s="13">
        <v>0</v>
      </c>
      <c r="T45" s="13">
        <v>981750</v>
      </c>
      <c r="U45" s="13">
        <v>109725.56560504583</v>
      </c>
      <c r="V45" s="13">
        <v>109726</v>
      </c>
      <c r="W45" s="36"/>
      <c r="X45" s="13"/>
      <c r="Y45" s="5">
        <f t="shared" si="0"/>
        <v>109725.56560504583</v>
      </c>
      <c r="Z45" s="5">
        <f t="shared" si="1"/>
        <v>-0.43439495416532736</v>
      </c>
      <c r="AA45" s="35" t="s">
        <v>98</v>
      </c>
      <c r="AB45" s="14" t="s">
        <v>129</v>
      </c>
      <c r="AC45" s="14">
        <v>131750</v>
      </c>
      <c r="AD45" s="11">
        <v>108500.21120208049</v>
      </c>
      <c r="AE45" s="11">
        <v>54400</v>
      </c>
      <c r="AH45" s="7">
        <v>-337624.43439495418</v>
      </c>
      <c r="AI45" s="14">
        <v>76650</v>
      </c>
      <c r="AJ45" s="14" t="s">
        <v>171</v>
      </c>
    </row>
    <row r="46" spans="1:36" s="14" customFormat="1" x14ac:dyDescent="0.25">
      <c r="A46" s="12" t="s">
        <v>53</v>
      </c>
      <c r="B46" s="12" t="s">
        <v>124</v>
      </c>
      <c r="C46" s="13">
        <v>30000</v>
      </c>
      <c r="D46" s="5">
        <v>0</v>
      </c>
      <c r="E46" s="5">
        <v>21.303203075842248</v>
      </c>
      <c r="F46" s="13">
        <v>0</v>
      </c>
      <c r="G46" s="5">
        <v>30000</v>
      </c>
      <c r="H46" s="13">
        <v>2500</v>
      </c>
      <c r="I46" s="13">
        <v>5000</v>
      </c>
      <c r="J46" s="13">
        <v>12500</v>
      </c>
      <c r="K46" s="13">
        <v>5500</v>
      </c>
      <c r="L46" s="13">
        <v>0</v>
      </c>
      <c r="M46" s="13">
        <v>0</v>
      </c>
      <c r="N46" s="13">
        <v>0</v>
      </c>
      <c r="O46" s="5">
        <v>0</v>
      </c>
      <c r="P46" s="5">
        <v>0</v>
      </c>
      <c r="Q46" s="13">
        <v>0</v>
      </c>
      <c r="R46" s="13">
        <v>0</v>
      </c>
      <c r="S46" s="13">
        <v>0</v>
      </c>
      <c r="T46" s="13">
        <v>0</v>
      </c>
      <c r="U46" s="13">
        <v>30021.30320307584</v>
      </c>
      <c r="V46" s="13">
        <v>30021</v>
      </c>
      <c r="W46" s="36"/>
      <c r="X46" s="13"/>
      <c r="Y46" s="5">
        <f t="shared" si="0"/>
        <v>30021.30320307584</v>
      </c>
      <c r="Z46" s="5">
        <f t="shared" si="1"/>
        <v>0.30320307584042894</v>
      </c>
      <c r="AA46" s="35"/>
      <c r="AB46" s="14" t="s">
        <v>129</v>
      </c>
      <c r="AD46" s="11">
        <v>30000</v>
      </c>
      <c r="AE46" s="11">
        <v>100000</v>
      </c>
      <c r="AH46" s="7">
        <v>-51453.696796924167</v>
      </c>
    </row>
    <row r="47" spans="1:36" s="14" customFormat="1" x14ac:dyDescent="0.25">
      <c r="A47" s="12" t="s">
        <v>54</v>
      </c>
      <c r="B47" s="12" t="s">
        <v>125</v>
      </c>
      <c r="C47" s="13">
        <v>480000</v>
      </c>
      <c r="D47" s="5">
        <v>77674.987774544497</v>
      </c>
      <c r="E47" s="5">
        <v>0.15040472695545759</v>
      </c>
      <c r="F47" s="13">
        <v>0</v>
      </c>
      <c r="G47" s="5">
        <v>22000</v>
      </c>
      <c r="H47" s="13">
        <v>2000</v>
      </c>
      <c r="I47" s="13">
        <v>4000</v>
      </c>
      <c r="J47" s="13">
        <v>10000</v>
      </c>
      <c r="K47" s="13">
        <v>11000</v>
      </c>
      <c r="L47" s="13">
        <v>0</v>
      </c>
      <c r="M47" s="13">
        <v>0</v>
      </c>
      <c r="N47" s="13">
        <v>2000000</v>
      </c>
      <c r="O47" s="5">
        <v>30000</v>
      </c>
      <c r="P47" s="5">
        <v>0</v>
      </c>
      <c r="Q47" s="13">
        <v>1000000</v>
      </c>
      <c r="R47" s="13">
        <v>155000</v>
      </c>
      <c r="S47" s="13">
        <v>0</v>
      </c>
      <c r="T47" s="13">
        <v>1155000</v>
      </c>
      <c r="U47" s="13">
        <v>99675.138179271453</v>
      </c>
      <c r="V47" s="13">
        <v>69675</v>
      </c>
      <c r="W47" s="36">
        <v>30000</v>
      </c>
      <c r="X47" s="13"/>
      <c r="Y47" s="5">
        <f t="shared" si="0"/>
        <v>69675.138179271453</v>
      </c>
      <c r="Z47" s="5">
        <f t="shared" si="1"/>
        <v>0.13817927145282738</v>
      </c>
      <c r="AA47" s="35" t="s">
        <v>91</v>
      </c>
      <c r="AB47" s="14" t="s">
        <v>129</v>
      </c>
      <c r="AD47" s="11">
        <v>99674.987774544497</v>
      </c>
      <c r="AE47" s="11">
        <v>-7500</v>
      </c>
      <c r="AF47" s="11">
        <v>16000</v>
      </c>
      <c r="AG47" s="11">
        <v>416500</v>
      </c>
      <c r="AH47" s="7">
        <v>-150324.86182072852</v>
      </c>
      <c r="AI47" s="14">
        <v>150325</v>
      </c>
    </row>
    <row r="48" spans="1:36" x14ac:dyDescent="0.25">
      <c r="A48" s="1" t="s">
        <v>55</v>
      </c>
      <c r="B48" s="1" t="s">
        <v>126</v>
      </c>
      <c r="C48" s="5">
        <v>480000</v>
      </c>
      <c r="D48" s="5">
        <v>149658.23869144428</v>
      </c>
      <c r="E48" s="5">
        <v>440720.17653060926</v>
      </c>
      <c r="F48" s="5">
        <v>0</v>
      </c>
      <c r="G48" s="5">
        <v>84000</v>
      </c>
      <c r="H48" s="5">
        <v>7000</v>
      </c>
      <c r="I48" s="5">
        <v>14000</v>
      </c>
      <c r="J48" s="5">
        <v>35000</v>
      </c>
      <c r="K48" s="5">
        <v>17000</v>
      </c>
      <c r="L48" s="5">
        <v>0</v>
      </c>
      <c r="M48" s="5">
        <v>0</v>
      </c>
      <c r="N48" s="5">
        <v>2700000</v>
      </c>
      <c r="O48" s="5">
        <v>151500</v>
      </c>
      <c r="P48" s="5">
        <v>35000</v>
      </c>
      <c r="Q48" s="5">
        <v>2037500</v>
      </c>
      <c r="R48" s="5">
        <v>37500</v>
      </c>
      <c r="S48" s="5">
        <v>0</v>
      </c>
      <c r="T48" s="5">
        <v>700000</v>
      </c>
      <c r="U48" s="5">
        <v>674378.41522205353</v>
      </c>
      <c r="V48" s="5">
        <v>0</v>
      </c>
      <c r="W48" s="36">
        <v>30000</v>
      </c>
      <c r="X48" s="5"/>
      <c r="Y48" s="5">
        <f t="shared" si="0"/>
        <v>644378.41522205353</v>
      </c>
      <c r="Z48" s="5">
        <f t="shared" si="1"/>
        <v>644378.41522205353</v>
      </c>
      <c r="AA48" s="17" t="s">
        <v>100</v>
      </c>
      <c r="AD48" s="11">
        <v>233658.23869144428</v>
      </c>
    </row>
    <row r="49" spans="1:30" x14ac:dyDescent="0.25">
      <c r="A49" s="1" t="s">
        <v>56</v>
      </c>
      <c r="B49" s="1" t="s">
        <v>127</v>
      </c>
      <c r="C49" s="5">
        <v>480000</v>
      </c>
      <c r="D49" s="5">
        <v>317201.9797878497</v>
      </c>
      <c r="E49" s="5">
        <v>1198154.6510912008</v>
      </c>
      <c r="F49" s="5">
        <v>0</v>
      </c>
      <c r="G49" s="5">
        <v>1024000</v>
      </c>
      <c r="H49" s="5">
        <v>7000</v>
      </c>
      <c r="I49" s="5">
        <v>14000</v>
      </c>
      <c r="J49" s="5">
        <v>35000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2539356.6308790506</v>
      </c>
      <c r="V49" s="5">
        <v>0</v>
      </c>
      <c r="W49" s="36">
        <v>30000</v>
      </c>
      <c r="X49" s="5"/>
      <c r="Y49" s="5">
        <f t="shared" si="0"/>
        <v>2509356.6308790506</v>
      </c>
      <c r="Z49" s="5">
        <f t="shared" si="1"/>
        <v>2509356.6308790506</v>
      </c>
      <c r="AA49" s="17"/>
      <c r="AD49" s="11">
        <v>1341201.9797878498</v>
      </c>
    </row>
    <row r="50" spans="1:30" x14ac:dyDescent="0.25">
      <c r="A50" s="1" t="s">
        <v>172</v>
      </c>
      <c r="B50" s="1"/>
      <c r="C50" s="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30" x14ac:dyDescent="0.25">
      <c r="A51" s="1"/>
      <c r="B51" s="1"/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30" x14ac:dyDescent="0.25">
      <c r="A52" s="1"/>
      <c r="B52" s="1"/>
      <c r="C52" s="1"/>
      <c r="D52" s="5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30" ht="18" x14ac:dyDescent="0.25">
      <c r="A53" s="1"/>
      <c r="B53" s="1"/>
      <c r="C53" s="1"/>
      <c r="D53" s="5"/>
      <c r="E53" s="9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5"/>
      <c r="S53" s="5"/>
    </row>
    <row r="54" spans="1:30" ht="18" x14ac:dyDescent="0.25">
      <c r="A54" s="1" t="s">
        <v>57</v>
      </c>
      <c r="B54" s="1"/>
      <c r="C54" s="9">
        <f>SUM(C6:C53)</f>
        <v>17782722.011083744</v>
      </c>
      <c r="D54" s="9">
        <f>SUM(D6:D53)</f>
        <v>3692643.8500000006</v>
      </c>
      <c r="E54" s="9">
        <f t="shared" ref="E54:Z54" si="2">SUM(E6:E49)</f>
        <v>4844130.5976969898</v>
      </c>
      <c r="F54" s="9">
        <f t="shared" si="2"/>
        <v>0</v>
      </c>
      <c r="G54" s="9">
        <f t="shared" si="2"/>
        <v>5614000</v>
      </c>
      <c r="H54" s="9">
        <f t="shared" si="2"/>
        <v>249500</v>
      </c>
      <c r="I54" s="9">
        <f t="shared" si="2"/>
        <v>499000</v>
      </c>
      <c r="J54" s="9">
        <f t="shared" si="2"/>
        <v>1247500</v>
      </c>
      <c r="K54" s="9">
        <f t="shared" si="2"/>
        <v>235500</v>
      </c>
      <c r="L54" s="9">
        <f t="shared" si="2"/>
        <v>0</v>
      </c>
      <c r="M54" s="9">
        <f t="shared" si="2"/>
        <v>0</v>
      </c>
      <c r="N54" s="9">
        <f t="shared" si="2"/>
        <v>46120035</v>
      </c>
      <c r="O54" s="9">
        <f t="shared" si="2"/>
        <v>3690143.85</v>
      </c>
      <c r="P54" s="9">
        <f t="shared" si="2"/>
        <v>1152300</v>
      </c>
      <c r="Q54" s="9">
        <f t="shared" si="2"/>
        <v>27308395</v>
      </c>
      <c r="R54" s="9">
        <f t="shared" si="2"/>
        <v>1475110</v>
      </c>
      <c r="S54" s="9">
        <f t="shared" si="2"/>
        <v>0</v>
      </c>
      <c r="T54" s="9">
        <f t="shared" si="2"/>
        <v>20286750</v>
      </c>
      <c r="U54" s="9">
        <f t="shared" si="2"/>
        <v>14150774.447696989</v>
      </c>
      <c r="V54" s="9">
        <f t="shared" si="2"/>
        <v>3581923</v>
      </c>
      <c r="W54" s="9">
        <f t="shared" si="2"/>
        <v>1265783</v>
      </c>
      <c r="X54" s="9"/>
      <c r="Y54" s="9">
        <f t="shared" si="2"/>
        <v>12884991.447696989</v>
      </c>
      <c r="Z54" s="9">
        <f t="shared" si="2"/>
        <v>9229775.4476969913</v>
      </c>
    </row>
    <row r="56" spans="1:30" ht="18" x14ac:dyDescent="0.25">
      <c r="K56" s="11"/>
      <c r="U56" s="9">
        <f>E54+G54+O54</f>
        <v>14148274.447696989</v>
      </c>
      <c r="V56" s="9"/>
      <c r="W56" s="9"/>
      <c r="X56" s="9"/>
      <c r="Y56" s="9"/>
      <c r="Z56" s="9"/>
    </row>
    <row r="57" spans="1:30" ht="18" x14ac:dyDescent="0.25">
      <c r="F57" s="9"/>
    </row>
    <row r="58" spans="1:30" ht="18" x14ac:dyDescent="0.25">
      <c r="F58" s="9"/>
      <c r="U58" s="9">
        <f>U56-U54</f>
        <v>-2500</v>
      </c>
      <c r="V58" s="9"/>
      <c r="W58" s="9"/>
      <c r="X58" s="9"/>
      <c r="Y58" s="9"/>
      <c r="Z58" s="9"/>
    </row>
    <row r="59" spans="1:30" ht="18" x14ac:dyDescent="0.25">
      <c r="F59" s="9"/>
    </row>
    <row r="60" spans="1:30" ht="18" x14ac:dyDescent="0.25">
      <c r="F60" s="9"/>
    </row>
    <row r="61" spans="1:30" ht="18" x14ac:dyDescent="0.25">
      <c r="F61" s="9"/>
    </row>
    <row r="62" spans="1:30" ht="18" x14ac:dyDescent="0.25">
      <c r="F62" s="9"/>
    </row>
    <row r="63" spans="1:30" ht="18" x14ac:dyDescent="0.25">
      <c r="F63" s="9"/>
    </row>
    <row r="64" spans="1:30" ht="18" x14ac:dyDescent="0.25">
      <c r="F64" s="9"/>
    </row>
    <row r="65" spans="6:6" ht="18" x14ac:dyDescent="0.25">
      <c r="F65" s="9"/>
    </row>
    <row r="66" spans="6:6" ht="18" x14ac:dyDescent="0.25">
      <c r="F66" s="9"/>
    </row>
    <row r="67" spans="6:6" ht="18" x14ac:dyDescent="0.25">
      <c r="F67" s="9"/>
    </row>
    <row r="69" spans="6:6" ht="18" x14ac:dyDescent="0.25">
      <c r="F69" s="9"/>
    </row>
    <row r="70" spans="6:6" ht="18" x14ac:dyDescent="0.25">
      <c r="F70" s="9"/>
    </row>
    <row r="71" spans="6:6" ht="18" x14ac:dyDescent="0.25">
      <c r="F71" s="9"/>
    </row>
    <row r="72" spans="6:6" ht="18" x14ac:dyDescent="0.25">
      <c r="F72" s="9"/>
    </row>
    <row r="73" spans="6:6" ht="18" x14ac:dyDescent="0.25">
      <c r="F73" s="9"/>
    </row>
  </sheetData>
  <autoFilter ref="A5:Q49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45"/>
  <sheetViews>
    <sheetView topLeftCell="A13" workbookViewId="0">
      <selection activeCell="E26" sqref="E26"/>
    </sheetView>
  </sheetViews>
  <sheetFormatPr baseColWidth="10" defaultRowHeight="15" x14ac:dyDescent="0.25"/>
  <cols>
    <col min="2" max="2" width="16.140625" bestFit="1" customWidth="1"/>
    <col min="3" max="3" width="17.140625" bestFit="1" customWidth="1"/>
    <col min="4" max="4" width="13.7109375" bestFit="1" customWidth="1"/>
  </cols>
  <sheetData>
    <row r="2" spans="1:9" x14ac:dyDescent="0.25">
      <c r="B2" t="s">
        <v>230</v>
      </c>
    </row>
    <row r="4" spans="1:9" x14ac:dyDescent="0.25">
      <c r="A4" t="s">
        <v>161</v>
      </c>
      <c r="B4" t="s">
        <v>159</v>
      </c>
      <c r="C4" t="s">
        <v>160</v>
      </c>
    </row>
    <row r="5" spans="1:9" x14ac:dyDescent="0.25">
      <c r="C5" s="6"/>
      <c r="G5" s="11">
        <v>-7500</v>
      </c>
      <c r="H5" s="11">
        <v>16000</v>
      </c>
      <c r="I5" s="11">
        <v>416500</v>
      </c>
    </row>
    <row r="6" spans="1:9" x14ac:dyDescent="0.25">
      <c r="B6" s="6">
        <f>554500+1155000-42500</f>
        <v>1667000</v>
      </c>
      <c r="C6" s="6"/>
    </row>
    <row r="7" spans="1:9" x14ac:dyDescent="0.25">
      <c r="A7" s="62" t="s">
        <v>229</v>
      </c>
      <c r="B7" s="6"/>
      <c r="C7" s="6">
        <v>30000</v>
      </c>
    </row>
    <row r="8" spans="1:9" x14ac:dyDescent="0.25">
      <c r="A8" s="58" t="s">
        <v>198</v>
      </c>
      <c r="B8" s="6"/>
      <c r="C8" s="6">
        <v>30000</v>
      </c>
    </row>
    <row r="9" spans="1:9" x14ac:dyDescent="0.25">
      <c r="A9" s="58" t="s">
        <v>200</v>
      </c>
      <c r="B9" s="6"/>
      <c r="C9" s="6">
        <v>30000</v>
      </c>
    </row>
    <row r="10" spans="1:9" x14ac:dyDescent="0.25">
      <c r="A10" t="s">
        <v>201</v>
      </c>
      <c r="B10" s="6"/>
      <c r="C10" s="6">
        <v>30000</v>
      </c>
      <c r="G10" s="2"/>
    </row>
    <row r="11" spans="1:9" x14ac:dyDescent="0.25">
      <c r="A11" t="s">
        <v>202</v>
      </c>
      <c r="B11" s="6"/>
      <c r="C11" s="6">
        <v>30000</v>
      </c>
    </row>
    <row r="12" spans="1:9" x14ac:dyDescent="0.25">
      <c r="A12" t="s">
        <v>239</v>
      </c>
      <c r="B12" s="6"/>
      <c r="C12" s="6"/>
    </row>
    <row r="13" spans="1:9" x14ac:dyDescent="0.25">
      <c r="A13" t="s">
        <v>241</v>
      </c>
      <c r="B13" s="6"/>
      <c r="C13" s="6">
        <v>30000</v>
      </c>
    </row>
    <row r="14" spans="1:9" x14ac:dyDescent="0.25">
      <c r="A14" t="s">
        <v>243</v>
      </c>
      <c r="B14" s="6"/>
      <c r="C14" s="6">
        <v>120000</v>
      </c>
      <c r="D14" t="s">
        <v>246</v>
      </c>
    </row>
    <row r="15" spans="1:9" x14ac:dyDescent="0.25">
      <c r="A15" t="s">
        <v>245</v>
      </c>
      <c r="B15" s="6"/>
      <c r="C15" s="6">
        <v>60000</v>
      </c>
    </row>
    <row r="16" spans="1:9" x14ac:dyDescent="0.25">
      <c r="A16" t="s">
        <v>250</v>
      </c>
      <c r="B16" s="6"/>
      <c r="C16" s="6">
        <v>30000</v>
      </c>
    </row>
    <row r="17" spans="1:4" x14ac:dyDescent="0.25">
      <c r="A17" s="62">
        <v>44562</v>
      </c>
      <c r="B17" s="6"/>
      <c r="C17" s="6">
        <v>30000</v>
      </c>
    </row>
    <row r="18" spans="1:4" x14ac:dyDescent="0.25">
      <c r="A18" s="62">
        <v>44593</v>
      </c>
      <c r="B18" s="6"/>
      <c r="C18" s="6">
        <v>30000</v>
      </c>
    </row>
    <row r="19" spans="1:4" x14ac:dyDescent="0.25">
      <c r="A19" s="62">
        <v>44621</v>
      </c>
      <c r="B19" s="6"/>
      <c r="C19" s="6">
        <v>30000</v>
      </c>
    </row>
    <row r="20" spans="1:4" x14ac:dyDescent="0.25">
      <c r="A20" s="62">
        <v>44652</v>
      </c>
      <c r="B20" s="6"/>
      <c r="C20" s="6">
        <v>30000</v>
      </c>
    </row>
    <row r="21" spans="1:4" x14ac:dyDescent="0.25">
      <c r="A21" s="62">
        <v>44682</v>
      </c>
      <c r="B21" s="6"/>
      <c r="C21" s="6">
        <v>30000</v>
      </c>
    </row>
    <row r="22" spans="1:4" x14ac:dyDescent="0.25">
      <c r="A22" s="62">
        <v>44713</v>
      </c>
      <c r="B22" s="6"/>
      <c r="C22" s="6">
        <v>30000</v>
      </c>
    </row>
    <row r="23" spans="1:4" x14ac:dyDescent="0.25">
      <c r="A23" s="62">
        <v>44743</v>
      </c>
      <c r="B23" s="6"/>
      <c r="C23" s="6">
        <v>30000</v>
      </c>
    </row>
    <row r="24" spans="1:4" x14ac:dyDescent="0.25">
      <c r="A24" s="62">
        <v>45004</v>
      </c>
      <c r="B24" s="6" t="s">
        <v>68</v>
      </c>
      <c r="C24" s="6">
        <v>537217</v>
      </c>
    </row>
    <row r="25" spans="1:4" x14ac:dyDescent="0.25">
      <c r="A25" s="62"/>
      <c r="B25" s="6"/>
      <c r="C25" s="6"/>
    </row>
    <row r="27" spans="1:4" x14ac:dyDescent="0.25">
      <c r="B27" s="6"/>
      <c r="C27" s="6"/>
    </row>
    <row r="28" spans="1:4" ht="21" x14ac:dyDescent="0.35">
      <c r="A28" t="s">
        <v>57</v>
      </c>
      <c r="B28" s="6"/>
      <c r="C28" s="103">
        <f>SUM(C7:C27)</f>
        <v>1137217</v>
      </c>
      <c r="D28" s="100">
        <f>+B6-C28</f>
        <v>529783</v>
      </c>
    </row>
    <row r="29" spans="1:4" x14ac:dyDescent="0.25">
      <c r="B29" s="6"/>
      <c r="C29" s="6"/>
    </row>
    <row r="30" spans="1:4" x14ac:dyDescent="0.25">
      <c r="B30" s="6"/>
      <c r="C30" s="6"/>
    </row>
    <row r="31" spans="1:4" x14ac:dyDescent="0.25">
      <c r="B31" s="6"/>
      <c r="C31" s="6"/>
    </row>
    <row r="32" spans="1:4" x14ac:dyDescent="0.25">
      <c r="B32" s="6"/>
      <c r="C32" s="6"/>
    </row>
    <row r="33" spans="2:3" x14ac:dyDescent="0.25">
      <c r="B33" s="6"/>
      <c r="C33" s="6"/>
    </row>
    <row r="34" spans="2:3" x14ac:dyDescent="0.25">
      <c r="B34" s="6"/>
      <c r="C34" s="6"/>
    </row>
    <row r="35" spans="2:3" x14ac:dyDescent="0.25">
      <c r="B35" s="6"/>
      <c r="C35" s="6"/>
    </row>
    <row r="36" spans="2:3" x14ac:dyDescent="0.25">
      <c r="B36" s="6"/>
      <c r="C36" s="6"/>
    </row>
    <row r="37" spans="2:3" x14ac:dyDescent="0.25">
      <c r="B37" s="6"/>
      <c r="C37" s="6"/>
    </row>
    <row r="38" spans="2:3" x14ac:dyDescent="0.25">
      <c r="C38" s="6"/>
    </row>
    <row r="39" spans="2:3" x14ac:dyDescent="0.25">
      <c r="C39" s="6"/>
    </row>
    <row r="40" spans="2:3" x14ac:dyDescent="0.25">
      <c r="C40" s="6"/>
    </row>
    <row r="41" spans="2:3" x14ac:dyDescent="0.25">
      <c r="C41" s="6"/>
    </row>
    <row r="42" spans="2:3" x14ac:dyDescent="0.25">
      <c r="C42" s="6"/>
    </row>
    <row r="43" spans="2:3" x14ac:dyDescent="0.25">
      <c r="C43" s="6"/>
    </row>
    <row r="44" spans="2:3" x14ac:dyDescent="0.25">
      <c r="C44" s="6"/>
    </row>
    <row r="45" spans="2:3" x14ac:dyDescent="0.25">
      <c r="C45" s="6"/>
    </row>
  </sheetData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37"/>
  <sheetViews>
    <sheetView workbookViewId="0">
      <selection activeCell="C14" sqref="C14"/>
    </sheetView>
  </sheetViews>
  <sheetFormatPr baseColWidth="10" defaultRowHeight="15" x14ac:dyDescent="0.25"/>
  <cols>
    <col min="2" max="2" width="16.140625" bestFit="1" customWidth="1"/>
    <col min="3" max="3" width="17.140625" bestFit="1" customWidth="1"/>
    <col min="4" max="4" width="13.7109375" bestFit="1" customWidth="1"/>
  </cols>
  <sheetData>
    <row r="2" spans="1:8" x14ac:dyDescent="0.25">
      <c r="B2" t="s">
        <v>237</v>
      </c>
    </row>
    <row r="4" spans="1:8" x14ac:dyDescent="0.25">
      <c r="A4" t="s">
        <v>161</v>
      </c>
      <c r="B4" t="s">
        <v>159</v>
      </c>
      <c r="C4" t="s">
        <v>160</v>
      </c>
    </row>
    <row r="6" spans="1:8" x14ac:dyDescent="0.25">
      <c r="A6" t="s">
        <v>160</v>
      </c>
      <c r="B6" s="6">
        <f>1000000+40000+536000-23000+26000-26000</f>
        <v>1553000</v>
      </c>
      <c r="H6" s="2">
        <f>B6-1553000</f>
        <v>0</v>
      </c>
    </row>
    <row r="7" spans="1:8" x14ac:dyDescent="0.25">
      <c r="B7" s="6"/>
      <c r="C7" s="6"/>
    </row>
    <row r="8" spans="1:8" x14ac:dyDescent="0.25">
      <c r="A8" s="62"/>
      <c r="B8" s="6"/>
      <c r="C8" s="6"/>
    </row>
    <row r="9" spans="1:8" x14ac:dyDescent="0.25">
      <c r="A9" s="58"/>
      <c r="B9" s="6"/>
      <c r="C9" s="6"/>
    </row>
    <row r="10" spans="1:8" x14ac:dyDescent="0.25">
      <c r="A10" s="58"/>
      <c r="B10" s="6"/>
      <c r="C10" s="6"/>
    </row>
    <row r="11" spans="1:8" x14ac:dyDescent="0.25">
      <c r="A11" s="58">
        <v>44460</v>
      </c>
      <c r="C11" s="6">
        <v>100000</v>
      </c>
      <c r="D11" t="s">
        <v>244</v>
      </c>
      <c r="G11" s="2"/>
    </row>
    <row r="12" spans="1:8" x14ac:dyDescent="0.25">
      <c r="A12" s="58">
        <v>45123</v>
      </c>
      <c r="C12" s="6">
        <v>1000000</v>
      </c>
      <c r="G12" s="2"/>
    </row>
    <row r="13" spans="1:8" x14ac:dyDescent="0.25">
      <c r="B13" s="6"/>
      <c r="C13" s="6">
        <v>606468</v>
      </c>
      <c r="D13" t="s">
        <v>334</v>
      </c>
    </row>
    <row r="14" spans="1:8" ht="21" x14ac:dyDescent="0.35">
      <c r="A14" t="s">
        <v>57</v>
      </c>
      <c r="B14" s="6"/>
      <c r="C14" s="6">
        <f>SUM(C7:C13)</f>
        <v>1706468</v>
      </c>
      <c r="D14" s="100">
        <f>B6-C14</f>
        <v>-153468</v>
      </c>
    </row>
    <row r="15" spans="1:8" x14ac:dyDescent="0.25">
      <c r="B15" s="6"/>
      <c r="C15" s="6"/>
    </row>
    <row r="16" spans="1:8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B28" s="6"/>
      <c r="C28" s="6"/>
    </row>
    <row r="29" spans="2:3" x14ac:dyDescent="0.25">
      <c r="B29" s="6"/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6"/>
  <sheetViews>
    <sheetView workbookViewId="0">
      <selection activeCell="F14" sqref="F14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7" x14ac:dyDescent="0.25">
      <c r="B2" t="s">
        <v>238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A6" t="s">
        <v>257</v>
      </c>
      <c r="B6" s="6">
        <f>1000000+80000+98500-46000</f>
        <v>1132500</v>
      </c>
      <c r="D6" t="s">
        <v>249</v>
      </c>
    </row>
    <row r="7" spans="1:7" x14ac:dyDescent="0.25">
      <c r="B7" s="6"/>
      <c r="C7" s="6"/>
    </row>
    <row r="8" spans="1:7" x14ac:dyDescent="0.25">
      <c r="A8" s="62"/>
      <c r="B8" s="6" t="s">
        <v>68</v>
      </c>
      <c r="C8" s="6">
        <v>540421</v>
      </c>
    </row>
    <row r="9" spans="1:7" x14ac:dyDescent="0.25">
      <c r="A9" s="58"/>
      <c r="B9" s="6"/>
      <c r="C9" s="6"/>
    </row>
    <row r="10" spans="1:7" x14ac:dyDescent="0.25">
      <c r="A10" s="58"/>
      <c r="B10" s="6"/>
      <c r="C10" s="6">
        <f>B6-C8</f>
        <v>592079</v>
      </c>
    </row>
    <row r="11" spans="1:7" x14ac:dyDescent="0.25">
      <c r="B11" s="6"/>
      <c r="C11" s="6"/>
      <c r="G11" s="2"/>
    </row>
    <row r="12" spans="1:7" x14ac:dyDescent="0.25">
      <c r="B12" s="6"/>
      <c r="C12" s="6"/>
    </row>
    <row r="13" spans="1:7" x14ac:dyDescent="0.25">
      <c r="B13" s="6"/>
      <c r="C13" s="6"/>
    </row>
    <row r="14" spans="1:7" x14ac:dyDescent="0.25">
      <c r="B14" s="6"/>
      <c r="C14" s="6"/>
    </row>
    <row r="15" spans="1:7" x14ac:dyDescent="0.25">
      <c r="B15" s="6"/>
      <c r="C15" s="6"/>
    </row>
    <row r="16" spans="1:7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B28" s="6"/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workbookViewId="0">
      <selection activeCell="K9" sqref="K9"/>
    </sheetView>
  </sheetViews>
  <sheetFormatPr baseColWidth="10" defaultRowHeight="15" x14ac:dyDescent="0.25"/>
  <cols>
    <col min="3" max="3" width="29.5703125" bestFit="1" customWidth="1"/>
    <col min="4" max="4" width="15.85546875" bestFit="1" customWidth="1"/>
    <col min="5" max="5" width="12.42578125" bestFit="1" customWidth="1"/>
    <col min="7" max="7" width="18.85546875" bestFit="1" customWidth="1"/>
  </cols>
  <sheetData>
    <row r="2" spans="1:7" ht="19.5" thickBot="1" x14ac:dyDescent="0.35">
      <c r="A2" s="84" t="s">
        <v>217</v>
      </c>
    </row>
    <row r="3" spans="1:7" ht="15.75" thickTop="1" x14ac:dyDescent="0.25">
      <c r="A3" s="85"/>
      <c r="B3" s="86"/>
      <c r="C3" s="86"/>
      <c r="D3" s="86"/>
      <c r="E3" s="86"/>
      <c r="F3" s="86"/>
      <c r="G3" s="87"/>
    </row>
    <row r="4" spans="1:7" x14ac:dyDescent="0.25">
      <c r="A4" s="78"/>
      <c r="B4" s="50" t="s">
        <v>218</v>
      </c>
      <c r="C4" s="50"/>
      <c r="D4" s="50" t="s">
        <v>219</v>
      </c>
      <c r="E4" s="50" t="s">
        <v>220</v>
      </c>
      <c r="F4" s="50"/>
      <c r="G4" s="51" t="s">
        <v>219</v>
      </c>
    </row>
    <row r="5" spans="1:7" x14ac:dyDescent="0.25">
      <c r="A5" s="78"/>
      <c r="B5" s="50"/>
      <c r="C5" s="50" t="s">
        <v>221</v>
      </c>
      <c r="D5" s="67">
        <v>510000</v>
      </c>
      <c r="E5" s="50"/>
      <c r="F5" s="50" t="s">
        <v>222</v>
      </c>
      <c r="G5" s="88">
        <v>1000000</v>
      </c>
    </row>
    <row r="6" spans="1:7" x14ac:dyDescent="0.25">
      <c r="A6" s="78"/>
      <c r="B6" s="50"/>
      <c r="C6" s="50" t="s">
        <v>9</v>
      </c>
      <c r="D6" s="67">
        <v>130661</v>
      </c>
      <c r="E6" s="50"/>
      <c r="F6" s="50" t="s">
        <v>9</v>
      </c>
      <c r="G6" s="88">
        <v>80000</v>
      </c>
    </row>
    <row r="7" spans="1:7" x14ac:dyDescent="0.25">
      <c r="A7" s="78"/>
      <c r="B7" s="50"/>
      <c r="C7" s="50" t="s">
        <v>131</v>
      </c>
      <c r="D7" s="67">
        <v>60000</v>
      </c>
      <c r="E7" s="50"/>
      <c r="F7" s="50" t="s">
        <v>131</v>
      </c>
      <c r="G7" s="88">
        <v>300000</v>
      </c>
    </row>
    <row r="8" spans="1:7" x14ac:dyDescent="0.25">
      <c r="A8" s="78"/>
      <c r="B8" s="50"/>
      <c r="C8" s="50" t="s">
        <v>223</v>
      </c>
      <c r="D8" s="67">
        <v>900000</v>
      </c>
      <c r="E8" s="50"/>
      <c r="F8" s="50" t="s">
        <v>223</v>
      </c>
      <c r="G8" s="88">
        <v>1000000</v>
      </c>
    </row>
    <row r="9" spans="1:7" x14ac:dyDescent="0.25">
      <c r="A9" s="78"/>
      <c r="B9" s="50"/>
      <c r="C9" s="50" t="s">
        <v>224</v>
      </c>
      <c r="D9" s="67">
        <v>15000</v>
      </c>
      <c r="E9" s="50"/>
      <c r="F9" s="50"/>
      <c r="G9" s="51"/>
    </row>
    <row r="10" spans="1:7" x14ac:dyDescent="0.25">
      <c r="A10" s="78"/>
      <c r="B10" s="50"/>
      <c r="C10" s="50" t="s">
        <v>225</v>
      </c>
      <c r="D10" s="67">
        <v>260000</v>
      </c>
      <c r="E10" s="50"/>
      <c r="F10" s="50"/>
      <c r="G10" s="51"/>
    </row>
    <row r="11" spans="1:7" x14ac:dyDescent="0.25">
      <c r="A11" s="78"/>
      <c r="B11" s="50"/>
      <c r="C11" s="50" t="s">
        <v>226</v>
      </c>
      <c r="D11" s="67">
        <v>350000</v>
      </c>
      <c r="E11" s="50"/>
      <c r="F11" s="50"/>
      <c r="G11" s="51"/>
    </row>
    <row r="12" spans="1:7" x14ac:dyDescent="0.25">
      <c r="A12" s="78"/>
      <c r="B12" s="50"/>
      <c r="C12" s="50" t="s">
        <v>227</v>
      </c>
      <c r="D12" s="67">
        <v>100000</v>
      </c>
      <c r="E12" s="50"/>
      <c r="F12" s="50"/>
      <c r="G12" s="51"/>
    </row>
    <row r="13" spans="1:7" x14ac:dyDescent="0.25">
      <c r="A13" s="78"/>
      <c r="B13" s="50"/>
      <c r="C13" s="50"/>
      <c r="D13" s="67"/>
      <c r="E13" s="50"/>
      <c r="F13" s="50"/>
      <c r="G13" s="51"/>
    </row>
    <row r="14" spans="1:7" x14ac:dyDescent="0.25">
      <c r="A14" s="78"/>
      <c r="B14" s="50"/>
      <c r="C14" s="50"/>
      <c r="D14" s="67"/>
      <c r="E14" s="50"/>
      <c r="F14" s="50"/>
      <c r="G14" s="51"/>
    </row>
    <row r="15" spans="1:7" x14ac:dyDescent="0.25">
      <c r="A15" s="78"/>
      <c r="B15" s="50"/>
      <c r="C15" s="50"/>
      <c r="D15" s="67"/>
      <c r="E15" s="50"/>
      <c r="F15" s="50"/>
      <c r="G15" s="51"/>
    </row>
    <row r="16" spans="1:7" ht="21" x14ac:dyDescent="0.35">
      <c r="A16" s="89" t="s">
        <v>57</v>
      </c>
      <c r="B16" s="90"/>
      <c r="C16" s="90"/>
      <c r="D16" s="91">
        <f>SUM(D5:D12)</f>
        <v>2325661</v>
      </c>
      <c r="E16" s="90"/>
      <c r="F16" s="90"/>
      <c r="G16" s="92">
        <f>SUM(G5:G10)</f>
        <v>2380000</v>
      </c>
    </row>
    <row r="17" spans="1:7" x14ac:dyDescent="0.25">
      <c r="A17" s="78"/>
      <c r="B17" s="50"/>
      <c r="C17" s="50"/>
      <c r="D17" s="50"/>
      <c r="E17" s="50"/>
      <c r="F17" s="50"/>
      <c r="G17" s="51"/>
    </row>
    <row r="18" spans="1:7" ht="27" thickBot="1" x14ac:dyDescent="0.45">
      <c r="A18" s="80"/>
      <c r="B18" s="96" t="s">
        <v>228</v>
      </c>
      <c r="C18" s="93"/>
      <c r="D18" s="93"/>
      <c r="E18" s="94">
        <f>D16-G16</f>
        <v>-54339</v>
      </c>
      <c r="F18" s="93"/>
      <c r="G18" s="95"/>
    </row>
    <row r="19" spans="1:7" ht="15.75" thickTop="1" x14ac:dyDescent="0.25"/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1"/>
  <sheetViews>
    <sheetView topLeftCell="A13" workbookViewId="0">
      <selection activeCell="C7" sqref="C7"/>
    </sheetView>
  </sheetViews>
  <sheetFormatPr baseColWidth="10" defaultRowHeight="15" x14ac:dyDescent="0.25"/>
  <cols>
    <col min="2" max="2" width="37" customWidth="1"/>
  </cols>
  <sheetData>
    <row r="1" spans="2:3" ht="26.25" x14ac:dyDescent="0.4">
      <c r="B1" s="59" t="s">
        <v>167</v>
      </c>
    </row>
    <row r="4" spans="2:3" x14ac:dyDescent="0.25">
      <c r="B4" t="s">
        <v>68</v>
      </c>
      <c r="C4" s="5">
        <v>510000</v>
      </c>
    </row>
    <row r="5" spans="2:3" x14ac:dyDescent="0.25">
      <c r="B5" t="s">
        <v>69</v>
      </c>
      <c r="C5" s="5">
        <v>4776932.807427818</v>
      </c>
    </row>
    <row r="6" spans="2:3" x14ac:dyDescent="0.25">
      <c r="B6" t="s">
        <v>9</v>
      </c>
      <c r="C6" s="5">
        <v>66000</v>
      </c>
    </row>
    <row r="7" spans="2:3" x14ac:dyDescent="0.25">
      <c r="B7" t="s">
        <v>162</v>
      </c>
      <c r="C7" s="5">
        <v>200000</v>
      </c>
    </row>
    <row r="8" spans="2:3" x14ac:dyDescent="0.25">
      <c r="B8" t="s">
        <v>149</v>
      </c>
      <c r="C8" s="5">
        <v>180246.0585920836</v>
      </c>
    </row>
    <row r="10" spans="2:3" x14ac:dyDescent="0.25">
      <c r="C10" s="5">
        <f>SUM(C4:C9)</f>
        <v>5733178.8660199018</v>
      </c>
    </row>
    <row r="11" spans="2:3" x14ac:dyDescent="0.25">
      <c r="C11" s="5"/>
    </row>
    <row r="12" spans="2:3" x14ac:dyDescent="0.25">
      <c r="B12" t="s">
        <v>135</v>
      </c>
      <c r="C12" s="5">
        <v>3500000</v>
      </c>
    </row>
    <row r="14" spans="2:3" x14ac:dyDescent="0.25">
      <c r="B14" t="s">
        <v>60</v>
      </c>
      <c r="C14" s="5">
        <f>C10-C12</f>
        <v>2233178.8660199018</v>
      </c>
    </row>
    <row r="16" spans="2:3" x14ac:dyDescent="0.25">
      <c r="B16" t="s">
        <v>163</v>
      </c>
      <c r="C16" s="5">
        <v>20000</v>
      </c>
    </row>
    <row r="17" spans="2:3" x14ac:dyDescent="0.25">
      <c r="B17" t="s">
        <v>164</v>
      </c>
      <c r="C17" s="5">
        <v>8000</v>
      </c>
    </row>
    <row r="19" spans="2:3" x14ac:dyDescent="0.25">
      <c r="B19" t="s">
        <v>165</v>
      </c>
      <c r="C19" s="5">
        <f>SUM(C16:C18)</f>
        <v>28000</v>
      </c>
    </row>
    <row r="21" spans="2:3" x14ac:dyDescent="0.25">
      <c r="B21" t="s">
        <v>166</v>
      </c>
      <c r="C21" s="5">
        <f>C14-C19</f>
        <v>2205178.8660199018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workbookViewId="0">
      <selection activeCell="A13" sqref="A13"/>
    </sheetView>
  </sheetViews>
  <sheetFormatPr baseColWidth="10" defaultRowHeight="15" x14ac:dyDescent="0.25"/>
  <sheetData>
    <row r="2" spans="1:5" x14ac:dyDescent="0.25">
      <c r="A2" t="s">
        <v>195</v>
      </c>
      <c r="B2" t="s">
        <v>192</v>
      </c>
      <c r="C2" t="s">
        <v>193</v>
      </c>
      <c r="D2" t="s">
        <v>234</v>
      </c>
    </row>
    <row r="3" spans="1:5" x14ac:dyDescent="0.25">
      <c r="A3" t="s">
        <v>208</v>
      </c>
      <c r="B3" s="2"/>
      <c r="C3" s="2"/>
      <c r="D3" s="2">
        <v>216000</v>
      </c>
    </row>
    <row r="4" spans="1:5" x14ac:dyDescent="0.25">
      <c r="A4" t="s">
        <v>199</v>
      </c>
      <c r="B4" s="2">
        <v>200000</v>
      </c>
      <c r="C4" s="2"/>
      <c r="D4" s="2">
        <f>D3+B4-C4</f>
        <v>416000</v>
      </c>
    </row>
    <row r="5" spans="1:5" x14ac:dyDescent="0.25">
      <c r="A5" t="s">
        <v>200</v>
      </c>
      <c r="B5" s="2">
        <v>30000</v>
      </c>
      <c r="C5" s="2"/>
      <c r="D5" s="2">
        <f>D4+B5-C5</f>
        <v>446000</v>
      </c>
    </row>
    <row r="6" spans="1:5" x14ac:dyDescent="0.25">
      <c r="A6" t="s">
        <v>201</v>
      </c>
      <c r="B6" s="2">
        <v>30000</v>
      </c>
      <c r="C6" s="2"/>
      <c r="D6" s="2">
        <f t="shared" ref="D6:D9" si="0">D5+B6-C6</f>
        <v>476000</v>
      </c>
    </row>
    <row r="7" spans="1:5" x14ac:dyDescent="0.25">
      <c r="A7" t="s">
        <v>239</v>
      </c>
      <c r="B7" s="2">
        <v>30000</v>
      </c>
      <c r="C7" s="2"/>
      <c r="D7" s="2">
        <f t="shared" si="0"/>
        <v>506000</v>
      </c>
    </row>
    <row r="8" spans="1:5" x14ac:dyDescent="0.25">
      <c r="A8" t="s">
        <v>241</v>
      </c>
      <c r="B8" s="2">
        <v>30000</v>
      </c>
      <c r="C8" s="2"/>
      <c r="D8" s="2">
        <f t="shared" si="0"/>
        <v>536000</v>
      </c>
      <c r="E8" t="s">
        <v>20</v>
      </c>
    </row>
    <row r="9" spans="1:5" x14ac:dyDescent="0.25">
      <c r="A9" s="62">
        <v>44927</v>
      </c>
      <c r="B9" s="2">
        <v>64000</v>
      </c>
      <c r="C9" s="2"/>
      <c r="D9" s="2">
        <f t="shared" si="0"/>
        <v>600000</v>
      </c>
      <c r="E9" t="s">
        <v>20</v>
      </c>
    </row>
    <row r="10" spans="1:5" x14ac:dyDescent="0.25">
      <c r="B10" s="2"/>
      <c r="C10" s="2"/>
      <c r="D10" s="2"/>
    </row>
    <row r="11" spans="1:5" x14ac:dyDescent="0.25">
      <c r="B11" s="2"/>
      <c r="C11" s="2"/>
      <c r="D11" s="2"/>
    </row>
    <row r="12" spans="1:5" x14ac:dyDescent="0.25">
      <c r="B12" s="2"/>
      <c r="C12" s="2"/>
      <c r="D12" s="2"/>
    </row>
    <row r="13" spans="1:5" x14ac:dyDescent="0.25">
      <c r="B13" s="2"/>
      <c r="C13" s="2"/>
      <c r="D13" s="2"/>
    </row>
    <row r="14" spans="1:5" x14ac:dyDescent="0.25">
      <c r="B14" s="2"/>
      <c r="C14" s="2"/>
      <c r="D14" s="2"/>
    </row>
    <row r="15" spans="1:5" x14ac:dyDescent="0.25">
      <c r="B15" s="2"/>
      <c r="C15" s="2"/>
      <c r="D15" s="2"/>
    </row>
    <row r="16" spans="1:5" x14ac:dyDescent="0.25">
      <c r="B16" s="2"/>
      <c r="C16" s="2"/>
      <c r="D16" s="2"/>
    </row>
    <row r="17" spans="2:4" x14ac:dyDescent="0.25">
      <c r="B17" s="2"/>
      <c r="C17" s="2"/>
      <c r="D17" s="2"/>
    </row>
    <row r="18" spans="2:4" x14ac:dyDescent="0.25">
      <c r="B18" s="2"/>
      <c r="C18" s="2"/>
      <c r="D18" s="2"/>
    </row>
    <row r="19" spans="2:4" x14ac:dyDescent="0.25">
      <c r="B19" s="2"/>
      <c r="C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2"/>
      <c r="D21" s="2"/>
    </row>
    <row r="22" spans="2:4" x14ac:dyDescent="0.25">
      <c r="B22" s="2"/>
      <c r="C22" s="2"/>
      <c r="D22" s="2"/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A34" workbookViewId="0">
      <selection activeCell="A9" sqref="A9:XFD9"/>
    </sheetView>
  </sheetViews>
  <sheetFormatPr baseColWidth="10" defaultRowHeight="15" x14ac:dyDescent="0.25"/>
  <cols>
    <col min="1" max="1" width="30" bestFit="1" customWidth="1"/>
    <col min="2" max="2" width="13.85546875" bestFit="1" customWidth="1"/>
    <col min="3" max="3" width="19.28515625" bestFit="1" customWidth="1"/>
    <col min="4" max="4" width="30" customWidth="1"/>
    <col min="5" max="5" width="20.85546875" bestFit="1" customWidth="1"/>
    <col min="6" max="6" width="21" bestFit="1" customWidth="1"/>
    <col min="7" max="7" width="27.85546875" bestFit="1" customWidth="1"/>
  </cols>
  <sheetData>
    <row r="1" spans="1:9" x14ac:dyDescent="0.25">
      <c r="A1" s="17" t="s">
        <v>1</v>
      </c>
    </row>
    <row r="2" spans="1:9" x14ac:dyDescent="0.25">
      <c r="A2" s="17" t="s">
        <v>82</v>
      </c>
    </row>
    <row r="3" spans="1:9" ht="31.5" x14ac:dyDescent="0.5">
      <c r="B3" s="27" t="s">
        <v>128</v>
      </c>
    </row>
    <row r="4" spans="1:9" ht="15.75" thickBot="1" x14ac:dyDescent="0.3"/>
    <row r="5" spans="1:9" ht="42.75" thickTop="1" x14ac:dyDescent="0.35">
      <c r="A5" s="28" t="s">
        <v>5</v>
      </c>
      <c r="B5" s="29" t="s">
        <v>61</v>
      </c>
      <c r="C5" s="29" t="s">
        <v>63</v>
      </c>
      <c r="D5" s="29" t="s">
        <v>64</v>
      </c>
      <c r="E5" s="29" t="s">
        <v>65</v>
      </c>
      <c r="F5" s="29" t="s">
        <v>88</v>
      </c>
      <c r="G5" s="30" t="s">
        <v>15</v>
      </c>
      <c r="H5" s="33" t="s">
        <v>20</v>
      </c>
      <c r="I5" s="34" t="s">
        <v>59</v>
      </c>
    </row>
    <row r="6" spans="1:9" ht="18.75" x14ac:dyDescent="0.3">
      <c r="A6" s="24" t="s">
        <v>1</v>
      </c>
      <c r="B6" s="26"/>
      <c r="C6" s="26"/>
      <c r="D6" s="26"/>
      <c r="E6" s="26"/>
      <c r="F6" s="26"/>
      <c r="G6" s="25"/>
    </row>
    <row r="7" spans="1:9" ht="18.75" x14ac:dyDescent="0.3">
      <c r="A7" s="24" t="s">
        <v>101</v>
      </c>
      <c r="B7" s="26">
        <v>500000</v>
      </c>
      <c r="C7" s="26">
        <v>0</v>
      </c>
      <c r="D7" s="26">
        <v>0</v>
      </c>
      <c r="E7" s="26">
        <v>88000</v>
      </c>
      <c r="F7" s="26">
        <v>588000</v>
      </c>
      <c r="G7" s="25" t="s">
        <v>89</v>
      </c>
      <c r="H7" t="s">
        <v>129</v>
      </c>
    </row>
    <row r="8" spans="1:9" ht="18.75" x14ac:dyDescent="0.3">
      <c r="A8" s="24" t="s">
        <v>102</v>
      </c>
      <c r="B8" s="26">
        <v>1000000</v>
      </c>
      <c r="C8" s="26">
        <v>30000</v>
      </c>
      <c r="D8" s="26">
        <v>1000000</v>
      </c>
      <c r="E8" s="26">
        <v>0</v>
      </c>
      <c r="F8" s="26">
        <v>0</v>
      </c>
      <c r="G8" s="25"/>
    </row>
    <row r="9" spans="1:9" ht="18.75" x14ac:dyDescent="0.3">
      <c r="A9" s="24" t="s">
        <v>103</v>
      </c>
      <c r="B9" s="26">
        <v>700000</v>
      </c>
      <c r="C9" s="26">
        <v>84000</v>
      </c>
      <c r="D9" s="26">
        <v>0</v>
      </c>
      <c r="E9" s="26">
        <v>0</v>
      </c>
      <c r="F9" s="26">
        <v>700000</v>
      </c>
      <c r="G9" s="25" t="s">
        <v>94</v>
      </c>
      <c r="H9" t="s">
        <v>129</v>
      </c>
    </row>
    <row r="10" spans="1:9" ht="18.75" x14ac:dyDescent="0.3">
      <c r="A10" s="24" t="s">
        <v>78</v>
      </c>
      <c r="B10" s="26"/>
      <c r="C10" s="26"/>
      <c r="D10" s="26"/>
      <c r="E10" s="26"/>
      <c r="F10" s="26"/>
      <c r="G10" s="25"/>
    </row>
    <row r="11" spans="1:9" ht="18.75" x14ac:dyDescent="0.3">
      <c r="A11" s="24" t="s">
        <v>93</v>
      </c>
      <c r="B11" s="26">
        <v>1800000</v>
      </c>
      <c r="C11" s="26">
        <v>108000</v>
      </c>
      <c r="D11" s="26">
        <v>800000</v>
      </c>
      <c r="E11" s="26">
        <v>0</v>
      </c>
      <c r="F11" s="26">
        <v>1000000</v>
      </c>
      <c r="G11" s="25" t="s">
        <v>90</v>
      </c>
      <c r="H11" t="s">
        <v>129</v>
      </c>
    </row>
    <row r="12" spans="1:9" ht="18.75" x14ac:dyDescent="0.3">
      <c r="A12" s="24" t="s">
        <v>104</v>
      </c>
      <c r="B12" s="26">
        <v>1000000</v>
      </c>
      <c r="C12" s="26">
        <v>120000</v>
      </c>
      <c r="D12" s="26">
        <v>470000</v>
      </c>
      <c r="E12" s="26">
        <v>0</v>
      </c>
      <c r="F12" s="26">
        <v>530000</v>
      </c>
      <c r="G12" s="25" t="s">
        <v>91</v>
      </c>
      <c r="H12" s="31">
        <v>251000</v>
      </c>
      <c r="I12" s="32">
        <v>279000</v>
      </c>
    </row>
    <row r="13" spans="1:9" ht="18.75" x14ac:dyDescent="0.3">
      <c r="A13" s="24" t="s">
        <v>89</v>
      </c>
      <c r="B13" s="26">
        <v>2000000</v>
      </c>
      <c r="C13" s="26">
        <v>110000</v>
      </c>
      <c r="D13" s="26">
        <v>1000000</v>
      </c>
      <c r="E13" s="26">
        <v>0</v>
      </c>
      <c r="F13" s="26">
        <v>1000000</v>
      </c>
      <c r="G13" s="25" t="s">
        <v>92</v>
      </c>
      <c r="H13" t="s">
        <v>130</v>
      </c>
    </row>
    <row r="14" spans="1:9" ht="18.75" x14ac:dyDescent="0.3">
      <c r="A14" s="24" t="s">
        <v>70</v>
      </c>
      <c r="B14" s="26">
        <v>1000000</v>
      </c>
      <c r="C14" s="26">
        <v>110000</v>
      </c>
      <c r="D14" s="26">
        <v>0</v>
      </c>
      <c r="E14" s="26">
        <v>0</v>
      </c>
      <c r="F14" s="26">
        <v>1000000</v>
      </c>
      <c r="G14" s="25"/>
      <c r="H14" t="s">
        <v>130</v>
      </c>
    </row>
    <row r="15" spans="1:9" ht="18.75" x14ac:dyDescent="0.3">
      <c r="A15" s="24" t="s">
        <v>105</v>
      </c>
      <c r="B15" s="26">
        <v>700000</v>
      </c>
      <c r="C15" s="26">
        <v>108500</v>
      </c>
      <c r="D15" s="26">
        <v>808500</v>
      </c>
      <c r="E15" s="26">
        <v>108500</v>
      </c>
      <c r="F15" s="26">
        <v>0</v>
      </c>
      <c r="G15" s="25"/>
    </row>
    <row r="16" spans="1:9" ht="18.75" x14ac:dyDescent="0.3">
      <c r="A16" s="24" t="s">
        <v>99</v>
      </c>
      <c r="B16" s="26">
        <v>1000000</v>
      </c>
      <c r="C16" s="26">
        <v>120000</v>
      </c>
      <c r="D16" s="26">
        <v>0</v>
      </c>
      <c r="E16" s="26">
        <v>0</v>
      </c>
      <c r="F16" s="26">
        <v>1000000</v>
      </c>
      <c r="G16" s="25" t="s">
        <v>91</v>
      </c>
      <c r="H16" t="s">
        <v>130</v>
      </c>
    </row>
    <row r="17" spans="1:8" ht="18.75" x14ac:dyDescent="0.3">
      <c r="A17" s="24" t="s">
        <v>106</v>
      </c>
      <c r="B17" s="26"/>
      <c r="C17" s="26"/>
      <c r="D17" s="26"/>
      <c r="E17" s="26"/>
      <c r="F17" s="26"/>
      <c r="G17" s="25"/>
    </row>
    <row r="18" spans="1:8" ht="18.75" x14ac:dyDescent="0.3">
      <c r="A18" s="24" t="s">
        <v>92</v>
      </c>
      <c r="B18" s="26"/>
      <c r="C18" s="26"/>
      <c r="D18" s="26"/>
      <c r="E18" s="26"/>
      <c r="F18" s="26"/>
      <c r="G18" s="25"/>
    </row>
    <row r="19" spans="1:8" ht="18.75" x14ac:dyDescent="0.3">
      <c r="A19" s="24" t="s">
        <v>107</v>
      </c>
      <c r="B19" s="26"/>
      <c r="C19" s="26"/>
      <c r="D19" s="26"/>
      <c r="E19" s="26"/>
      <c r="F19" s="26"/>
      <c r="G19" s="25"/>
    </row>
    <row r="20" spans="1:8" ht="18.75" x14ac:dyDescent="0.3">
      <c r="A20" s="24" t="s">
        <v>90</v>
      </c>
      <c r="B20" s="26">
        <v>900000</v>
      </c>
      <c r="C20" s="26">
        <v>99000</v>
      </c>
      <c r="D20" s="26">
        <v>0</v>
      </c>
      <c r="E20" s="26">
        <v>0</v>
      </c>
      <c r="F20" s="26">
        <v>900000</v>
      </c>
      <c r="G20" s="25" t="s">
        <v>93</v>
      </c>
      <c r="H20" t="s">
        <v>18</v>
      </c>
    </row>
    <row r="21" spans="1:8" ht="18.75" x14ac:dyDescent="0.3">
      <c r="A21" s="24" t="s">
        <v>108</v>
      </c>
      <c r="B21" s="26">
        <v>700000</v>
      </c>
      <c r="C21" s="26">
        <v>77000</v>
      </c>
      <c r="D21" s="26">
        <v>0</v>
      </c>
      <c r="E21" s="26">
        <v>0</v>
      </c>
      <c r="F21" s="26">
        <v>700000</v>
      </c>
      <c r="G21" s="25" t="s">
        <v>95</v>
      </c>
      <c r="H21" t="s">
        <v>18</v>
      </c>
    </row>
    <row r="22" spans="1:8" ht="18.75" x14ac:dyDescent="0.3">
      <c r="A22" s="24" t="s">
        <v>109</v>
      </c>
      <c r="B22" s="26">
        <v>1000000</v>
      </c>
      <c r="C22" s="26">
        <v>110000</v>
      </c>
      <c r="D22" s="26">
        <v>0</v>
      </c>
      <c r="E22" s="26">
        <v>0</v>
      </c>
      <c r="F22" s="26">
        <v>1000000</v>
      </c>
      <c r="G22" s="25" t="s">
        <v>96</v>
      </c>
      <c r="H22" t="s">
        <v>130</v>
      </c>
    </row>
    <row r="23" spans="1:8" ht="18.75" x14ac:dyDescent="0.3">
      <c r="A23" s="24" t="s">
        <v>91</v>
      </c>
      <c r="B23" s="26">
        <v>1000000</v>
      </c>
      <c r="C23" s="26">
        <v>110000</v>
      </c>
      <c r="D23" s="26">
        <v>0</v>
      </c>
      <c r="E23" s="26">
        <v>0</v>
      </c>
      <c r="F23" s="26">
        <v>1000000</v>
      </c>
      <c r="G23" s="25" t="s">
        <v>87</v>
      </c>
      <c r="H23" t="s">
        <v>130</v>
      </c>
    </row>
    <row r="24" spans="1:8" ht="18.75" x14ac:dyDescent="0.3">
      <c r="A24" s="24" t="s">
        <v>110</v>
      </c>
      <c r="B24" s="26">
        <v>130000</v>
      </c>
      <c r="C24" s="26">
        <v>2600</v>
      </c>
      <c r="D24" s="26">
        <v>0</v>
      </c>
      <c r="E24" s="26">
        <v>0</v>
      </c>
      <c r="F24" s="26">
        <v>130000</v>
      </c>
      <c r="G24" s="25" t="s">
        <v>94</v>
      </c>
      <c r="H24" t="s">
        <v>129</v>
      </c>
    </row>
    <row r="25" spans="1:8" ht="18.75" x14ac:dyDescent="0.3">
      <c r="A25" s="24" t="s">
        <v>76</v>
      </c>
      <c r="B25" s="26">
        <v>900000</v>
      </c>
      <c r="C25" s="26">
        <v>108000</v>
      </c>
      <c r="D25" s="26">
        <v>0</v>
      </c>
      <c r="E25" s="26">
        <v>0</v>
      </c>
      <c r="F25" s="26">
        <v>900000</v>
      </c>
      <c r="G25" s="25" t="s">
        <v>91</v>
      </c>
      <c r="H25" t="s">
        <v>130</v>
      </c>
    </row>
    <row r="26" spans="1:8" ht="18.75" x14ac:dyDescent="0.3">
      <c r="A26" s="24" t="s">
        <v>97</v>
      </c>
      <c r="B26" s="26">
        <v>100000</v>
      </c>
      <c r="C26" s="26">
        <v>5000</v>
      </c>
      <c r="D26" s="26">
        <v>0</v>
      </c>
      <c r="E26" s="26">
        <v>0</v>
      </c>
      <c r="F26" s="26">
        <v>100000</v>
      </c>
      <c r="G26" s="25" t="s">
        <v>94</v>
      </c>
      <c r="H26" t="s">
        <v>130</v>
      </c>
    </row>
    <row r="27" spans="1:8" ht="18.75" x14ac:dyDescent="0.3">
      <c r="A27" s="24" t="s">
        <v>111</v>
      </c>
      <c r="B27" s="26">
        <v>1000000</v>
      </c>
      <c r="C27" s="26">
        <v>110000</v>
      </c>
      <c r="D27" s="26">
        <v>1000000</v>
      </c>
      <c r="E27" s="26">
        <v>0</v>
      </c>
      <c r="F27" s="26">
        <v>0</v>
      </c>
      <c r="G27" s="25"/>
    </row>
    <row r="28" spans="1:8" ht="18.75" x14ac:dyDescent="0.3">
      <c r="A28" s="24" t="s">
        <v>98</v>
      </c>
      <c r="B28" s="26">
        <v>500000</v>
      </c>
      <c r="C28" s="26">
        <v>50000</v>
      </c>
      <c r="D28" s="26">
        <v>500000</v>
      </c>
      <c r="E28" s="26">
        <v>0</v>
      </c>
      <c r="F28" s="26">
        <v>0</v>
      </c>
      <c r="G28" s="25"/>
    </row>
    <row r="29" spans="1:8" ht="18.75" x14ac:dyDescent="0.3">
      <c r="A29" s="24" t="s">
        <v>112</v>
      </c>
      <c r="B29" s="26"/>
      <c r="C29" s="26"/>
      <c r="D29" s="26"/>
      <c r="E29" s="26"/>
      <c r="F29" s="26"/>
      <c r="G29" s="25"/>
    </row>
    <row r="30" spans="1:8" ht="18.75" x14ac:dyDescent="0.3">
      <c r="A30" s="24" t="s">
        <v>113</v>
      </c>
      <c r="B30" s="26">
        <v>1176000</v>
      </c>
      <c r="C30" s="26">
        <v>0</v>
      </c>
      <c r="D30" s="26">
        <v>250000</v>
      </c>
      <c r="E30" s="26">
        <v>129360</v>
      </c>
      <c r="F30" s="26">
        <v>1055360</v>
      </c>
      <c r="G30" s="25"/>
      <c r="H30" t="s">
        <v>18</v>
      </c>
    </row>
    <row r="31" spans="1:8" ht="18.75" x14ac:dyDescent="0.3">
      <c r="A31" s="24" t="s">
        <v>114</v>
      </c>
      <c r="B31" s="26"/>
      <c r="C31" s="26"/>
      <c r="D31" s="26"/>
      <c r="E31" s="26"/>
      <c r="F31" s="26"/>
      <c r="G31" s="25"/>
    </row>
    <row r="32" spans="1:8" ht="18.75" x14ac:dyDescent="0.3">
      <c r="A32" s="24" t="s">
        <v>96</v>
      </c>
      <c r="B32" s="26">
        <v>1000000</v>
      </c>
      <c r="C32" s="26">
        <v>110000</v>
      </c>
      <c r="D32" s="26">
        <v>0</v>
      </c>
      <c r="E32" s="26">
        <v>0</v>
      </c>
      <c r="F32" s="26">
        <v>1000000</v>
      </c>
      <c r="G32" s="25" t="s">
        <v>97</v>
      </c>
    </row>
    <row r="33" spans="1:8" ht="18.75" x14ac:dyDescent="0.3">
      <c r="A33" s="24" t="s">
        <v>95</v>
      </c>
      <c r="B33" s="26">
        <v>700000</v>
      </c>
      <c r="C33" s="26">
        <v>84000</v>
      </c>
      <c r="D33" s="26">
        <v>0</v>
      </c>
      <c r="E33" s="26">
        <v>0</v>
      </c>
      <c r="F33" s="26">
        <v>700000</v>
      </c>
      <c r="G33" s="25" t="s">
        <v>94</v>
      </c>
      <c r="H33" t="s">
        <v>18</v>
      </c>
    </row>
    <row r="34" spans="1:8" ht="18.75" x14ac:dyDescent="0.3">
      <c r="A34" s="24" t="s">
        <v>100</v>
      </c>
      <c r="B34" s="26">
        <v>2000000</v>
      </c>
      <c r="C34" s="26">
        <v>120000</v>
      </c>
      <c r="D34" s="26">
        <v>1000000</v>
      </c>
      <c r="E34" s="26">
        <v>0</v>
      </c>
      <c r="F34" s="26">
        <v>1000000</v>
      </c>
      <c r="G34" s="25" t="s">
        <v>76</v>
      </c>
      <c r="H34" t="s">
        <v>130</v>
      </c>
    </row>
    <row r="35" spans="1:8" ht="18.75" x14ac:dyDescent="0.3">
      <c r="A35" s="24" t="s">
        <v>115</v>
      </c>
      <c r="B35" s="26">
        <v>1000000</v>
      </c>
      <c r="C35" s="26">
        <v>120000</v>
      </c>
      <c r="D35" s="26">
        <v>0</v>
      </c>
      <c r="E35" s="26">
        <v>0</v>
      </c>
      <c r="F35" s="26">
        <v>1000000</v>
      </c>
      <c r="G35" s="25" t="s">
        <v>87</v>
      </c>
      <c r="H35" t="s">
        <v>130</v>
      </c>
    </row>
    <row r="36" spans="1:8" ht="18.75" x14ac:dyDescent="0.3">
      <c r="A36" s="24" t="s">
        <v>87</v>
      </c>
      <c r="B36" s="26">
        <v>1000000</v>
      </c>
      <c r="C36" s="26">
        <v>110000</v>
      </c>
      <c r="D36" s="26">
        <v>0</v>
      </c>
      <c r="E36" s="26">
        <v>0</v>
      </c>
      <c r="F36" s="26">
        <v>1000000</v>
      </c>
      <c r="G36" s="25" t="s">
        <v>98</v>
      </c>
      <c r="H36" t="s">
        <v>130</v>
      </c>
    </row>
    <row r="37" spans="1:8" ht="18.75" x14ac:dyDescent="0.3">
      <c r="A37" s="24" t="s">
        <v>116</v>
      </c>
      <c r="B37" s="26"/>
      <c r="C37" s="26"/>
      <c r="D37" s="26"/>
      <c r="E37" s="26"/>
      <c r="F37" s="26"/>
      <c r="G37" s="25"/>
    </row>
    <row r="38" spans="1:8" ht="18.75" x14ac:dyDescent="0.3">
      <c r="A38" s="24" t="s">
        <v>117</v>
      </c>
      <c r="B38" s="26">
        <v>1000000</v>
      </c>
      <c r="C38" s="26">
        <v>40000</v>
      </c>
      <c r="D38" s="26">
        <v>1155000</v>
      </c>
      <c r="E38" s="26">
        <v>155000</v>
      </c>
      <c r="F38" s="26">
        <v>0</v>
      </c>
      <c r="G38" s="25"/>
    </row>
    <row r="39" spans="1:8" ht="18.75" x14ac:dyDescent="0.3">
      <c r="A39" s="24" t="s">
        <v>118</v>
      </c>
      <c r="B39" s="26"/>
      <c r="C39" s="26"/>
      <c r="D39" s="26"/>
      <c r="E39" s="26"/>
      <c r="F39" s="26"/>
      <c r="G39" s="25"/>
    </row>
    <row r="40" spans="1:8" ht="18.75" x14ac:dyDescent="0.3">
      <c r="A40" s="24" t="s">
        <v>119</v>
      </c>
      <c r="B40" s="26">
        <v>1000000</v>
      </c>
      <c r="C40" s="26">
        <v>90000</v>
      </c>
      <c r="D40" s="26">
        <v>0</v>
      </c>
      <c r="E40" s="26">
        <v>0</v>
      </c>
      <c r="F40" s="26">
        <v>1000000</v>
      </c>
      <c r="G40" s="25" t="s">
        <v>99</v>
      </c>
      <c r="H40" t="s">
        <v>18</v>
      </c>
    </row>
    <row r="41" spans="1:8" ht="18.75" x14ac:dyDescent="0.3">
      <c r="A41" s="24" t="s">
        <v>120</v>
      </c>
      <c r="B41" s="26">
        <v>184035</v>
      </c>
      <c r="C41" s="26">
        <v>20243.849999999999</v>
      </c>
      <c r="D41" s="26">
        <v>184035</v>
      </c>
      <c r="E41" s="26">
        <v>0</v>
      </c>
      <c r="F41" s="26">
        <v>0</v>
      </c>
      <c r="G41" s="25"/>
    </row>
    <row r="42" spans="1:8" ht="18.75" x14ac:dyDescent="0.3">
      <c r="A42" s="24" t="s">
        <v>121</v>
      </c>
      <c r="B42" s="26">
        <v>500000</v>
      </c>
      <c r="C42" s="26">
        <v>50000</v>
      </c>
      <c r="D42" s="26">
        <v>0</v>
      </c>
      <c r="E42" s="26">
        <v>0</v>
      </c>
      <c r="F42" s="26">
        <v>500000</v>
      </c>
      <c r="G42" s="25" t="s">
        <v>94</v>
      </c>
    </row>
    <row r="43" spans="1:8" ht="18.75" x14ac:dyDescent="0.3">
      <c r="A43" s="24" t="s">
        <v>122</v>
      </c>
      <c r="B43" s="26">
        <v>1000000</v>
      </c>
      <c r="C43" s="26">
        <v>90000</v>
      </c>
      <c r="D43" s="26">
        <v>0</v>
      </c>
      <c r="E43" s="26">
        <v>0</v>
      </c>
      <c r="F43" s="26">
        <v>1000000</v>
      </c>
      <c r="G43" s="25" t="s">
        <v>91</v>
      </c>
      <c r="H43" t="s">
        <v>9</v>
      </c>
    </row>
    <row r="44" spans="1:8" ht="18.75" x14ac:dyDescent="0.3">
      <c r="A44" s="24" t="s">
        <v>123</v>
      </c>
      <c r="B44" s="26">
        <v>850000</v>
      </c>
      <c r="C44" s="26">
        <v>95000</v>
      </c>
      <c r="D44" s="26">
        <v>0</v>
      </c>
      <c r="E44" s="26">
        <v>0</v>
      </c>
      <c r="F44" s="26">
        <v>850000</v>
      </c>
      <c r="G44" s="25" t="s">
        <v>98</v>
      </c>
      <c r="H44" t="s">
        <v>18</v>
      </c>
    </row>
    <row r="45" spans="1:8" ht="18.75" x14ac:dyDescent="0.3">
      <c r="A45" s="24" t="s">
        <v>124</v>
      </c>
      <c r="B45" s="26"/>
      <c r="C45" s="26"/>
      <c r="D45" s="26"/>
      <c r="E45" s="26"/>
      <c r="F45" s="26"/>
      <c r="G45" s="25"/>
    </row>
    <row r="46" spans="1:8" ht="18.75" x14ac:dyDescent="0.3">
      <c r="A46" s="24" t="s">
        <v>125</v>
      </c>
      <c r="B46" s="26">
        <v>2000000</v>
      </c>
      <c r="C46" s="26">
        <v>30000</v>
      </c>
      <c r="D46" s="26">
        <v>1000000</v>
      </c>
      <c r="E46" s="26">
        <v>155000</v>
      </c>
      <c r="F46" s="26">
        <v>1155000</v>
      </c>
      <c r="G46" s="25" t="s">
        <v>91</v>
      </c>
      <c r="H46" t="s">
        <v>18</v>
      </c>
    </row>
    <row r="47" spans="1:8" ht="18.75" x14ac:dyDescent="0.3">
      <c r="A47" s="24" t="s">
        <v>126</v>
      </c>
      <c r="B47" s="26">
        <v>2000000</v>
      </c>
      <c r="C47" s="26">
        <v>119000</v>
      </c>
      <c r="D47" s="26">
        <v>1250000</v>
      </c>
      <c r="E47" s="26">
        <v>37500</v>
      </c>
      <c r="F47" s="26">
        <v>787500</v>
      </c>
      <c r="G47" s="25" t="s">
        <v>100</v>
      </c>
      <c r="H47" t="s">
        <v>130</v>
      </c>
    </row>
    <row r="48" spans="1:8" ht="18.75" x14ac:dyDescent="0.3">
      <c r="A48" s="24" t="s">
        <v>127</v>
      </c>
      <c r="B48" s="26"/>
      <c r="C48" s="26"/>
      <c r="D48" s="26"/>
      <c r="E48" s="26"/>
      <c r="F48" s="26"/>
      <c r="G48" s="25"/>
    </row>
    <row r="49" spans="1:7" x14ac:dyDescent="0.25">
      <c r="A49" s="19"/>
      <c r="B49" s="18"/>
      <c r="C49" s="18"/>
      <c r="D49" s="18"/>
      <c r="E49" s="18"/>
      <c r="F49" s="18"/>
      <c r="G49" s="20"/>
    </row>
    <row r="50" spans="1:7" ht="19.5" thickBot="1" x14ac:dyDescent="0.35">
      <c r="A50" s="22" t="s">
        <v>57</v>
      </c>
      <c r="B50" s="23">
        <f>SUM(B6:B49)</f>
        <v>31340035</v>
      </c>
      <c r="C50" s="23">
        <f>SUM(C6:C49)</f>
        <v>2540343.85</v>
      </c>
      <c r="D50" s="23">
        <f>SUM(D6:D49)</f>
        <v>10417535</v>
      </c>
      <c r="E50" s="23">
        <f>SUM(E6:E49)</f>
        <v>673360</v>
      </c>
      <c r="F50" s="23">
        <f>SUM(F6:F49)</f>
        <v>21595860</v>
      </c>
      <c r="G50" s="21"/>
    </row>
    <row r="51" spans="1:7" ht="15.75" thickTop="1" x14ac:dyDescent="0.25"/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1"/>
  <sheetViews>
    <sheetView workbookViewId="0">
      <pane xSplit="1" ySplit="5" topLeftCell="B42" activePane="bottomRight" state="frozen"/>
      <selection pane="topRight" activeCell="C1" sqref="C1"/>
      <selection pane="bottomLeft" activeCell="A5" sqref="A5"/>
      <selection pane="bottomRight" activeCell="I5" sqref="I5"/>
    </sheetView>
  </sheetViews>
  <sheetFormatPr baseColWidth="10" defaultColWidth="11" defaultRowHeight="15" x14ac:dyDescent="0.25"/>
  <cols>
    <col min="1" max="1" width="23.28515625" customWidth="1"/>
    <col min="2" max="2" width="14.140625" customWidth="1"/>
    <col min="3" max="3" width="12.85546875" customWidth="1"/>
    <col min="4" max="4" width="12.5703125" customWidth="1"/>
    <col min="5" max="5" width="13" customWidth="1"/>
    <col min="6" max="6" width="12.7109375" customWidth="1"/>
    <col min="7" max="7" width="14.28515625" customWidth="1"/>
    <col min="8" max="8" width="14.85546875" customWidth="1"/>
    <col min="9" max="9" width="13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/>
      <c r="D1" s="1"/>
      <c r="E1" s="1"/>
    </row>
    <row r="2" spans="1:10" ht="18" x14ac:dyDescent="0.25">
      <c r="A2" s="1" t="s">
        <v>2</v>
      </c>
      <c r="B2" s="1" t="s">
        <v>74</v>
      </c>
      <c r="C2" s="37" t="s">
        <v>141</v>
      </c>
      <c r="D2" s="1"/>
      <c r="E2" s="1"/>
    </row>
    <row r="3" spans="1:10" ht="31.5" x14ac:dyDescent="0.5">
      <c r="A3" s="1"/>
      <c r="B3" s="27" t="s">
        <v>140</v>
      </c>
      <c r="C3" s="5"/>
      <c r="D3" s="1"/>
      <c r="E3" s="1"/>
    </row>
    <row r="4" spans="1:10" ht="15.75" thickBot="1" x14ac:dyDescent="0.3">
      <c r="A4" s="5"/>
      <c r="B4" s="5"/>
      <c r="C4" s="1"/>
      <c r="D4" s="1"/>
    </row>
    <row r="5" spans="1:10" ht="44.25" thickTop="1" x14ac:dyDescent="0.25">
      <c r="A5" s="38" t="s">
        <v>5</v>
      </c>
      <c r="B5" s="40" t="s">
        <v>68</v>
      </c>
      <c r="C5" s="40" t="s">
        <v>142</v>
      </c>
      <c r="D5" s="39" t="s">
        <v>69</v>
      </c>
      <c r="E5" s="39" t="s">
        <v>9</v>
      </c>
      <c r="F5" s="40" t="s">
        <v>65</v>
      </c>
      <c r="G5" s="40" t="s">
        <v>88</v>
      </c>
      <c r="H5" s="40" t="s">
        <v>86</v>
      </c>
      <c r="I5" s="40" t="s">
        <v>138</v>
      </c>
      <c r="J5" s="41" t="s">
        <v>136</v>
      </c>
    </row>
    <row r="6" spans="1:10" ht="15.75" customHeight="1" x14ac:dyDescent="0.25">
      <c r="A6" s="42" t="s">
        <v>1</v>
      </c>
      <c r="B6" s="43">
        <f>MVTRESUME2019!C6</f>
        <v>394081.01108374598</v>
      </c>
      <c r="C6" s="43">
        <f>MVTRESUME2019!D6</f>
        <v>62668.935014227369</v>
      </c>
      <c r="D6" s="43">
        <f>MVTRESUME2019!E6</f>
        <v>0</v>
      </c>
      <c r="E6" s="43">
        <f>MVTRESUME2019!G6</f>
        <v>0</v>
      </c>
      <c r="F6" s="43">
        <v>0</v>
      </c>
      <c r="G6" s="43">
        <v>0</v>
      </c>
      <c r="H6" s="5">
        <f>C6+D6+E6</f>
        <v>62668.935014227369</v>
      </c>
      <c r="I6" s="43"/>
      <c r="J6" s="44">
        <f>H6-I6</f>
        <v>62668.935014227369</v>
      </c>
    </row>
    <row r="7" spans="1:10" s="14" customFormat="1" x14ac:dyDescent="0.25">
      <c r="A7" s="45" t="s">
        <v>101</v>
      </c>
      <c r="B7" s="43">
        <f>MVTRESUME2019!C7</f>
        <v>480000</v>
      </c>
      <c r="C7" s="43">
        <f>MVTRESUME2019!D7</f>
        <v>0</v>
      </c>
      <c r="D7" s="43">
        <f>MVTRESUME2019!E7</f>
        <v>0.49369671277236193</v>
      </c>
      <c r="E7" s="43">
        <f>MVTRESUME2019!G7</f>
        <v>2000</v>
      </c>
      <c r="F7" s="46">
        <v>88000</v>
      </c>
      <c r="G7" s="46">
        <v>0</v>
      </c>
      <c r="H7" s="5">
        <f t="shared" ref="H7:H48" si="0">C7+D7+E7</f>
        <v>2000.4936967127724</v>
      </c>
      <c r="I7" s="43"/>
      <c r="J7" s="44">
        <f t="shared" ref="J7:J48" si="1">H7-I7</f>
        <v>2000.4936967127724</v>
      </c>
    </row>
    <row r="8" spans="1:10" x14ac:dyDescent="0.25">
      <c r="A8" s="42" t="s">
        <v>102</v>
      </c>
      <c r="B8" s="43">
        <f>MVTRESUME2019!C8</f>
        <v>480000</v>
      </c>
      <c r="C8" s="43">
        <f>MVTRESUME2019!D8</f>
        <v>79945.737949015122</v>
      </c>
      <c r="D8" s="43">
        <f>MVTRESUME2019!E8</f>
        <v>1331.2797186755051</v>
      </c>
      <c r="E8" s="43">
        <f>MVTRESUME2019!G8</f>
        <v>82000</v>
      </c>
      <c r="F8" s="43">
        <v>0</v>
      </c>
      <c r="G8" s="43">
        <v>0</v>
      </c>
      <c r="H8" s="5">
        <f t="shared" si="0"/>
        <v>163277.01766769064</v>
      </c>
      <c r="I8" s="43">
        <v>30000</v>
      </c>
      <c r="J8" s="44">
        <f t="shared" si="1"/>
        <v>133277.01766769064</v>
      </c>
    </row>
    <row r="9" spans="1:10" s="14" customFormat="1" x14ac:dyDescent="0.25">
      <c r="A9" s="45" t="s">
        <v>103</v>
      </c>
      <c r="B9" s="43">
        <f>MVTRESUME2019!C9</f>
        <v>480000</v>
      </c>
      <c r="C9" s="43">
        <f>MVTRESUME2019!D9</f>
        <v>79896.677076385677</v>
      </c>
      <c r="D9" s="43">
        <f>MVTRESUME2019!E9</f>
        <v>3703.9516264695849</v>
      </c>
      <c r="E9" s="43">
        <f>MVTRESUME2019!G9</f>
        <v>54000</v>
      </c>
      <c r="F9" s="46">
        <v>108500</v>
      </c>
      <c r="G9" s="46">
        <v>808500</v>
      </c>
      <c r="H9" s="5">
        <f t="shared" si="0"/>
        <v>137600.62870285526</v>
      </c>
      <c r="I9" s="43"/>
      <c r="J9" s="44">
        <f t="shared" si="1"/>
        <v>137600.62870285526</v>
      </c>
    </row>
    <row r="10" spans="1:10" x14ac:dyDescent="0.25">
      <c r="A10" s="42" t="s">
        <v>78</v>
      </c>
      <c r="B10" s="43">
        <f>MVTRESUME2019!C10</f>
        <v>0</v>
      </c>
      <c r="C10" s="43">
        <f>MVTRESUME2019!D10</f>
        <v>1764.4540515245424</v>
      </c>
      <c r="D10" s="43">
        <f>MVTRESUME2019!E10</f>
        <v>2994.5270055831024</v>
      </c>
      <c r="E10" s="43">
        <f>MVTRESUME2019!G10</f>
        <v>12000</v>
      </c>
      <c r="F10" s="43">
        <v>0</v>
      </c>
      <c r="G10" s="43">
        <v>0</v>
      </c>
      <c r="H10" s="5">
        <f t="shared" si="0"/>
        <v>16758.981057107645</v>
      </c>
      <c r="I10" s="43"/>
      <c r="J10" s="44">
        <f t="shared" si="1"/>
        <v>16758.981057107645</v>
      </c>
    </row>
    <row r="11" spans="1:10" x14ac:dyDescent="0.25">
      <c r="A11" s="42" t="s">
        <v>93</v>
      </c>
      <c r="B11" s="43">
        <f>MVTRESUME2019!C11</f>
        <v>480000</v>
      </c>
      <c r="C11" s="43">
        <f>MVTRESUME2019!D11</f>
        <v>81380.868527515064</v>
      </c>
      <c r="D11" s="43">
        <f>MVTRESUME2019!E11</f>
        <v>404.48981912998715</v>
      </c>
      <c r="E11" s="43">
        <f>MVTRESUME2019!G11</f>
        <v>97500</v>
      </c>
      <c r="F11" s="43">
        <v>50000</v>
      </c>
      <c r="G11" s="43">
        <v>1050000</v>
      </c>
      <c r="H11" s="5">
        <f t="shared" si="0"/>
        <v>179285.35834664505</v>
      </c>
      <c r="I11" s="43">
        <v>30000</v>
      </c>
      <c r="J11" s="44">
        <f t="shared" si="1"/>
        <v>149285.35834664505</v>
      </c>
    </row>
    <row r="12" spans="1:10" x14ac:dyDescent="0.25">
      <c r="A12" s="42" t="s">
        <v>104</v>
      </c>
      <c r="B12" s="43">
        <f>MVTRESUME2019!C13</f>
        <v>480000</v>
      </c>
      <c r="C12" s="43">
        <f>MVTRESUME2019!D13</f>
        <v>79798.878874522779</v>
      </c>
      <c r="D12" s="43">
        <f>MVTRESUME2019!E13</f>
        <v>32.581814608536661</v>
      </c>
      <c r="E12" s="43">
        <f>MVTRESUME2019!G13</f>
        <v>84000</v>
      </c>
      <c r="F12" s="43">
        <v>0</v>
      </c>
      <c r="G12" s="43">
        <v>800000</v>
      </c>
      <c r="H12" s="5">
        <f t="shared" si="0"/>
        <v>163831.46068913132</v>
      </c>
      <c r="I12" s="43">
        <v>30000</v>
      </c>
      <c r="J12" s="44">
        <f t="shared" si="1"/>
        <v>133831.46068913132</v>
      </c>
    </row>
    <row r="13" spans="1:10" x14ac:dyDescent="0.25">
      <c r="A13" s="42" t="s">
        <v>89</v>
      </c>
      <c r="B13" s="43">
        <f>MVTRESUME2019!C14</f>
        <v>480000</v>
      </c>
      <c r="C13" s="43">
        <f>MVTRESUME2019!D14</f>
        <v>79954.051721931959</v>
      </c>
      <c r="D13" s="43">
        <f>MVTRESUME2019!E14</f>
        <v>8.234061673283577E-2</v>
      </c>
      <c r="E13" s="43">
        <f>MVTRESUME2019!G14</f>
        <v>93500</v>
      </c>
      <c r="F13" s="43">
        <v>0</v>
      </c>
      <c r="G13" s="43">
        <v>1000000</v>
      </c>
      <c r="H13" s="5">
        <f t="shared" si="0"/>
        <v>173454.13406254869</v>
      </c>
      <c r="I13" s="43">
        <v>30000</v>
      </c>
      <c r="J13" s="44">
        <f t="shared" si="1"/>
        <v>143454.13406254869</v>
      </c>
    </row>
    <row r="14" spans="1:10" x14ac:dyDescent="0.25">
      <c r="A14" s="42" t="s">
        <v>70</v>
      </c>
      <c r="B14" s="43">
        <f>MVTRESUME2019!C15</f>
        <v>441596</v>
      </c>
      <c r="C14" s="43">
        <f>MVTRESUME2019!D15</f>
        <v>73699.144246646392</v>
      </c>
      <c r="D14" s="43">
        <f>MVTRESUME2019!E15</f>
        <v>0.16900408919900656</v>
      </c>
      <c r="E14" s="43">
        <f>MVTRESUME2019!G15</f>
        <v>84000</v>
      </c>
      <c r="F14" s="43">
        <v>0</v>
      </c>
      <c r="G14" s="43">
        <v>1000000</v>
      </c>
      <c r="H14" s="5">
        <f t="shared" si="0"/>
        <v>157699.31325073558</v>
      </c>
      <c r="I14" s="43">
        <v>30000</v>
      </c>
      <c r="J14" s="44">
        <f t="shared" si="1"/>
        <v>127699.31325073558</v>
      </c>
    </row>
    <row r="15" spans="1:10" x14ac:dyDescent="0.25">
      <c r="A15" s="42" t="s">
        <v>105</v>
      </c>
      <c r="B15" s="43">
        <f>MVTRESUME2019!C16</f>
        <v>480000</v>
      </c>
      <c r="C15" s="43">
        <f>MVTRESUME2019!D16</f>
        <v>97864.943592884913</v>
      </c>
      <c r="D15" s="43">
        <f>MVTRESUME2019!E16</f>
        <v>113997.13327318276</v>
      </c>
      <c r="E15" s="43">
        <f>MVTRESUME2019!G16</f>
        <v>84000</v>
      </c>
      <c r="F15" s="43">
        <v>108500</v>
      </c>
      <c r="G15" s="43">
        <v>0</v>
      </c>
      <c r="H15" s="5">
        <f t="shared" si="0"/>
        <v>295862.07686606765</v>
      </c>
      <c r="I15" s="43">
        <v>30000</v>
      </c>
      <c r="J15" s="44">
        <f t="shared" si="1"/>
        <v>265862.07686606765</v>
      </c>
    </row>
    <row r="16" spans="1:10" x14ac:dyDescent="0.25">
      <c r="A16" s="42" t="s">
        <v>99</v>
      </c>
      <c r="B16" s="43">
        <f>MVTRESUME2019!C17</f>
        <v>480000</v>
      </c>
      <c r="C16" s="43">
        <f>MVTRESUME2019!D17</f>
        <v>80086.550029503749</v>
      </c>
      <c r="D16" s="43">
        <f>MVTRESUME2019!E17</f>
        <v>2219.5520592769026</v>
      </c>
      <c r="E16" s="43">
        <f>MVTRESUME2019!G17</f>
        <v>82000</v>
      </c>
      <c r="F16" s="43">
        <v>0</v>
      </c>
      <c r="G16" s="43">
        <v>1000000</v>
      </c>
      <c r="H16" s="5">
        <f t="shared" si="0"/>
        <v>164306.10208878067</v>
      </c>
      <c r="I16" s="43">
        <v>30000</v>
      </c>
      <c r="J16" s="44">
        <f t="shared" si="1"/>
        <v>134306.10208878067</v>
      </c>
    </row>
    <row r="17" spans="1:10" x14ac:dyDescent="0.25">
      <c r="A17" s="42" t="s">
        <v>106</v>
      </c>
      <c r="B17" s="43">
        <f>MVTRESUME2019!C18</f>
        <v>480000</v>
      </c>
      <c r="C17" s="43">
        <f>MVTRESUME2019!D18</f>
        <v>80427.583632271897</v>
      </c>
      <c r="D17" s="43">
        <f>MVTRESUME2019!E18</f>
        <v>3998.5841971817717</v>
      </c>
      <c r="E17" s="43">
        <f>MVTRESUME2019!G18</f>
        <v>84000</v>
      </c>
      <c r="F17" s="43">
        <v>0</v>
      </c>
      <c r="G17" s="43">
        <v>1000000</v>
      </c>
      <c r="H17" s="5">
        <f t="shared" si="0"/>
        <v>168426.16782945365</v>
      </c>
      <c r="I17" s="43">
        <v>30000</v>
      </c>
      <c r="J17" s="44">
        <f t="shared" si="1"/>
        <v>138426.16782945365</v>
      </c>
    </row>
    <row r="18" spans="1:10" x14ac:dyDescent="0.25">
      <c r="A18" s="42" t="s">
        <v>92</v>
      </c>
      <c r="B18" s="43">
        <f>MVTRESUME2019!C19</f>
        <v>480000</v>
      </c>
      <c r="C18" s="43">
        <f>MVTRESUME2019!D19</f>
        <v>84433.275952127617</v>
      </c>
      <c r="D18" s="43">
        <f>MVTRESUME2019!E19</f>
        <v>0.44251227390486747</v>
      </c>
      <c r="E18" s="43">
        <f>MVTRESUME2019!G19</f>
        <v>258500</v>
      </c>
      <c r="F18" s="43">
        <v>0</v>
      </c>
      <c r="G18" s="43">
        <v>0</v>
      </c>
      <c r="H18" s="5">
        <f t="shared" si="0"/>
        <v>342933.71846440155</v>
      </c>
      <c r="I18" s="43">
        <v>30000</v>
      </c>
      <c r="J18" s="44">
        <f t="shared" si="1"/>
        <v>312933.71846440155</v>
      </c>
    </row>
    <row r="19" spans="1:10" x14ac:dyDescent="0.25">
      <c r="A19" s="42" t="s">
        <v>107</v>
      </c>
      <c r="B19" s="43">
        <f>MVTRESUME2019!C20</f>
        <v>480000</v>
      </c>
      <c r="C19" s="43">
        <f>MVTRESUME2019!D20</f>
        <v>607034.07913233258</v>
      </c>
      <c r="D19" s="43">
        <f>MVTRESUME2019!E20</f>
        <v>2903898.728295486</v>
      </c>
      <c r="E19" s="43">
        <f>MVTRESUME2019!G20</f>
        <v>1296000</v>
      </c>
      <c r="F19" s="43">
        <v>0</v>
      </c>
      <c r="G19" s="43">
        <v>0</v>
      </c>
      <c r="H19" s="5">
        <f t="shared" si="0"/>
        <v>4806932.807427818</v>
      </c>
      <c r="I19" s="43">
        <v>30000</v>
      </c>
      <c r="J19" s="44">
        <f t="shared" si="1"/>
        <v>4776932.807427818</v>
      </c>
    </row>
    <row r="20" spans="1:10" x14ac:dyDescent="0.25">
      <c r="A20" s="42" t="s">
        <v>90</v>
      </c>
      <c r="B20" s="43">
        <f>MVTRESUME2019!C21</f>
        <v>480000</v>
      </c>
      <c r="C20" s="43">
        <f>MVTRESUME2019!D21</f>
        <v>79661.668675915658</v>
      </c>
      <c r="D20" s="43">
        <f>MVTRESUME2019!E21</f>
        <v>-0.26072546625800896</v>
      </c>
      <c r="E20" s="43">
        <f>MVTRESUME2019!G21</f>
        <v>81000</v>
      </c>
      <c r="F20" s="43">
        <v>139500</v>
      </c>
      <c r="G20" s="43">
        <v>1139500</v>
      </c>
      <c r="H20" s="5">
        <f t="shared" si="0"/>
        <v>160661.40795044939</v>
      </c>
      <c r="I20" s="43">
        <v>30000</v>
      </c>
      <c r="J20" s="44">
        <f t="shared" si="1"/>
        <v>130661.40795044939</v>
      </c>
    </row>
    <row r="21" spans="1:10" s="14" customFormat="1" x14ac:dyDescent="0.25">
      <c r="A21" s="45" t="s">
        <v>108</v>
      </c>
      <c r="B21" s="43">
        <f>MVTRESUME2019!C22</f>
        <v>480000</v>
      </c>
      <c r="C21" s="43">
        <f>MVTRESUME2019!D22</f>
        <v>78414.920478625208</v>
      </c>
      <c r="D21" s="43">
        <f>MVTRESUME2019!E22</f>
        <v>643.11234311138105</v>
      </c>
      <c r="E21" s="43">
        <f>MVTRESUME2019!G22</f>
        <v>30000</v>
      </c>
      <c r="F21" s="46">
        <v>108500</v>
      </c>
      <c r="G21" s="46">
        <v>808500</v>
      </c>
      <c r="H21" s="5">
        <f t="shared" si="0"/>
        <v>109058.03282173659</v>
      </c>
      <c r="I21" s="43"/>
      <c r="J21" s="44">
        <f t="shared" si="1"/>
        <v>109058.03282173659</v>
      </c>
    </row>
    <row r="22" spans="1:10" x14ac:dyDescent="0.25">
      <c r="A22" s="42" t="s">
        <v>109</v>
      </c>
      <c r="B22" s="43">
        <f>MVTRESUME2019!C23</f>
        <v>480000</v>
      </c>
      <c r="C22" s="43">
        <f>MVTRESUME2019!D23</f>
        <v>80181.060176583385</v>
      </c>
      <c r="D22" s="43">
        <f>MVTRESUME2019!E23</f>
        <v>2611.7018854503112</v>
      </c>
      <c r="E22" s="43">
        <f>MVTRESUME2019!G23</f>
        <v>84000</v>
      </c>
      <c r="F22" s="43">
        <v>0</v>
      </c>
      <c r="G22" s="43">
        <v>500000</v>
      </c>
      <c r="H22" s="5">
        <f t="shared" si="0"/>
        <v>166792.7620620337</v>
      </c>
      <c r="I22" s="43">
        <v>30000</v>
      </c>
      <c r="J22" s="44">
        <f t="shared" si="1"/>
        <v>136792.7620620337</v>
      </c>
    </row>
    <row r="23" spans="1:10" x14ac:dyDescent="0.25">
      <c r="A23" s="42" t="s">
        <v>91</v>
      </c>
      <c r="B23" s="43">
        <f>MVTRESUME2019!C24</f>
        <v>480000</v>
      </c>
      <c r="C23" s="43">
        <f>MVTRESUME2019!D24</f>
        <v>79889.68496817023</v>
      </c>
      <c r="D23" s="43">
        <f>MVTRESUME2019!E24</f>
        <v>605.40582988600363</v>
      </c>
      <c r="E23" s="43">
        <f>MVTRESUME2019!G24</f>
        <v>84000</v>
      </c>
      <c r="F23" s="43">
        <v>0</v>
      </c>
      <c r="G23" s="43">
        <v>1000000</v>
      </c>
      <c r="H23" s="5">
        <f t="shared" si="0"/>
        <v>164495.09079805622</v>
      </c>
      <c r="I23" s="43">
        <v>30000</v>
      </c>
      <c r="J23" s="44">
        <f t="shared" si="1"/>
        <v>134495.09079805622</v>
      </c>
    </row>
    <row r="24" spans="1:10" x14ac:dyDescent="0.25">
      <c r="A24" s="42" t="s">
        <v>110</v>
      </c>
      <c r="B24" s="43">
        <f>MVTRESUME2019!C25</f>
        <v>480000</v>
      </c>
      <c r="C24" s="43">
        <f>MVTRESUME2019!D25</f>
        <v>79644.731049764974</v>
      </c>
      <c r="D24" s="43">
        <f>MVTRESUME2019!E25</f>
        <v>-0.14820683863945305</v>
      </c>
      <c r="E24" s="43">
        <f>MVTRESUME2019!G25</f>
        <v>82000</v>
      </c>
      <c r="F24" s="43">
        <v>0</v>
      </c>
      <c r="G24" s="43">
        <v>130000</v>
      </c>
      <c r="H24" s="5">
        <f t="shared" si="0"/>
        <v>161644.58284292632</v>
      </c>
      <c r="I24" s="43">
        <v>30000</v>
      </c>
      <c r="J24" s="44">
        <f t="shared" si="1"/>
        <v>131644.58284292632</v>
      </c>
    </row>
    <row r="25" spans="1:10" x14ac:dyDescent="0.25">
      <c r="A25" s="42" t="s">
        <v>76</v>
      </c>
      <c r="B25" s="43">
        <f>MVTRESUME2019!C26</f>
        <v>30000</v>
      </c>
      <c r="C25" s="43">
        <f>MVTRESUME2019!D26</f>
        <v>12025.274783900029</v>
      </c>
      <c r="D25" s="43">
        <f>MVTRESUME2019!E26</f>
        <v>2994.5270055830988</v>
      </c>
      <c r="E25" s="43">
        <f>MVTRESUME2019!G26</f>
        <v>104000</v>
      </c>
      <c r="F25" s="43">
        <v>0</v>
      </c>
      <c r="G25" s="43">
        <v>0</v>
      </c>
      <c r="H25" s="5">
        <f t="shared" si="0"/>
        <v>119019.80178948313</v>
      </c>
      <c r="I25" s="43">
        <v>30000</v>
      </c>
      <c r="J25" s="44">
        <f t="shared" si="1"/>
        <v>89019.801789483128</v>
      </c>
    </row>
    <row r="26" spans="1:10" x14ac:dyDescent="0.25">
      <c r="A26" s="42" t="s">
        <v>97</v>
      </c>
      <c r="B26" s="43">
        <f>MVTRESUME2019!C27</f>
        <v>450000</v>
      </c>
      <c r="C26" s="43">
        <f>MVTRESUME2019!D27</f>
        <v>81837.118573991771</v>
      </c>
      <c r="D26" s="43">
        <f>MVTRESUME2019!E27</f>
        <v>12890.22827698091</v>
      </c>
      <c r="E26" s="43">
        <f>MVTRESUME2019!G27</f>
        <v>94000</v>
      </c>
      <c r="F26" s="43">
        <v>0</v>
      </c>
      <c r="G26" s="43">
        <v>0</v>
      </c>
      <c r="H26" s="5">
        <f t="shared" si="0"/>
        <v>188727.34685097268</v>
      </c>
      <c r="I26" s="43">
        <v>30000</v>
      </c>
      <c r="J26" s="44">
        <f t="shared" si="1"/>
        <v>158727.34685097268</v>
      </c>
    </row>
    <row r="27" spans="1:10" x14ac:dyDescent="0.25">
      <c r="A27" s="42" t="s">
        <v>111</v>
      </c>
      <c r="B27" s="43">
        <f>MVTRESUME2019!C28</f>
        <v>480000</v>
      </c>
      <c r="C27" s="43">
        <f>MVTRESUME2019!D28</f>
        <v>80008.312869354428</v>
      </c>
      <c r="D27" s="43">
        <f>MVTRESUME2019!E28</f>
        <v>1353.7356825511233</v>
      </c>
      <c r="E27" s="43">
        <f>MVTRESUME2019!G28</f>
        <v>84000</v>
      </c>
      <c r="F27" s="43">
        <v>0</v>
      </c>
      <c r="G27" s="43">
        <v>1000000</v>
      </c>
      <c r="H27" s="5">
        <f t="shared" si="0"/>
        <v>165362.04855190555</v>
      </c>
      <c r="I27" s="43">
        <v>30000</v>
      </c>
      <c r="J27" s="44">
        <f t="shared" si="1"/>
        <v>135362.04855190555</v>
      </c>
    </row>
    <row r="28" spans="1:10" x14ac:dyDescent="0.25">
      <c r="A28" s="42" t="s">
        <v>98</v>
      </c>
      <c r="B28" s="43">
        <f>MVTRESUME2019!C29</f>
        <v>480000</v>
      </c>
      <c r="C28" s="43">
        <f>MVTRESUME2019!D29</f>
        <v>91731.680250305682</v>
      </c>
      <c r="D28" s="43">
        <f>MVTRESUME2019!E29</f>
        <v>57225.614111341449</v>
      </c>
      <c r="E28" s="43">
        <f>MVTRESUME2019!G29</f>
        <v>151000</v>
      </c>
      <c r="F28" s="43">
        <v>0</v>
      </c>
      <c r="G28" s="43">
        <v>0</v>
      </c>
      <c r="H28" s="5">
        <f t="shared" si="0"/>
        <v>299957.2943616471</v>
      </c>
      <c r="I28" s="43">
        <v>30000</v>
      </c>
      <c r="J28" s="44">
        <f t="shared" si="1"/>
        <v>269957.2943616471</v>
      </c>
    </row>
    <row r="29" spans="1:10" x14ac:dyDescent="0.25">
      <c r="A29" s="42" t="s">
        <v>112</v>
      </c>
      <c r="B29" s="43">
        <f>MVTRESUME2019!C30</f>
        <v>0</v>
      </c>
      <c r="C29" s="43">
        <f>MVTRESUME2019!D30</f>
        <v>2138.4782390296004</v>
      </c>
      <c r="D29" s="43">
        <f>MVTRESUME2019!E30</f>
        <v>0.16900408919900656</v>
      </c>
      <c r="E29" s="43">
        <f>MVTRESUME2019!G30</f>
        <v>30000</v>
      </c>
      <c r="F29" s="43">
        <v>0</v>
      </c>
      <c r="G29" s="43">
        <v>0</v>
      </c>
      <c r="H29" s="5">
        <f t="shared" si="0"/>
        <v>32138.647243118801</v>
      </c>
      <c r="I29" s="43"/>
      <c r="J29" s="44">
        <f t="shared" si="1"/>
        <v>32138.647243118801</v>
      </c>
    </row>
    <row r="30" spans="1:10" s="8" customFormat="1" x14ac:dyDescent="0.25">
      <c r="A30" s="47" t="s">
        <v>113</v>
      </c>
      <c r="B30" s="43">
        <f>MVTRESUME2019!C31</f>
        <v>480000</v>
      </c>
      <c r="C30" s="43">
        <f>MVTRESUME2019!D31</f>
        <v>0</v>
      </c>
      <c r="D30" s="43">
        <f>MVTRESUME2019!E31</f>
        <v>0.28740352351451293</v>
      </c>
      <c r="E30" s="43">
        <f>MVTRESUME2019!G31</f>
        <v>100000</v>
      </c>
      <c r="F30" s="48">
        <v>129360</v>
      </c>
      <c r="G30" s="48">
        <v>0</v>
      </c>
      <c r="H30" s="5">
        <f t="shared" si="0"/>
        <v>100000.28740352351</v>
      </c>
      <c r="I30" s="43">
        <v>30000</v>
      </c>
      <c r="J30" s="44">
        <f t="shared" si="1"/>
        <v>70000.287403523515</v>
      </c>
    </row>
    <row r="31" spans="1:10" s="8" customFormat="1" x14ac:dyDescent="0.25">
      <c r="A31" s="47" t="s">
        <v>114</v>
      </c>
      <c r="B31" s="43">
        <f>MVTRESUME2019!C32</f>
        <v>117045</v>
      </c>
      <c r="C31" s="43">
        <f>MVTRESUME2019!D32</f>
        <v>0</v>
      </c>
      <c r="D31" s="43">
        <f>MVTRESUME2019!E32</f>
        <v>22.240996590782743</v>
      </c>
      <c r="E31" s="43">
        <f>MVTRESUME2019!G32</f>
        <v>84000</v>
      </c>
      <c r="F31" s="48">
        <v>0</v>
      </c>
      <c r="G31" s="48">
        <v>0</v>
      </c>
      <c r="H31" s="5">
        <f t="shared" si="0"/>
        <v>84022.240996590786</v>
      </c>
      <c r="I31" s="43">
        <v>30000</v>
      </c>
      <c r="J31" s="44">
        <f t="shared" si="1"/>
        <v>54022.240996590786</v>
      </c>
    </row>
    <row r="32" spans="1:10" x14ac:dyDescent="0.25">
      <c r="A32" s="42" t="s">
        <v>96</v>
      </c>
      <c r="B32" s="43">
        <f>MVTRESUME2019!C33</f>
        <v>480000</v>
      </c>
      <c r="C32" s="43">
        <f>MVTRESUME2019!D33</f>
        <v>91170.310621746714</v>
      </c>
      <c r="D32" s="43">
        <f>MVTRESUME2019!E33</f>
        <v>72138.254558185639</v>
      </c>
      <c r="E32" s="43">
        <f>MVTRESUME2019!G33</f>
        <v>82000</v>
      </c>
      <c r="F32" s="43">
        <v>0</v>
      </c>
      <c r="G32" s="43">
        <v>150000</v>
      </c>
      <c r="H32" s="5">
        <f t="shared" si="0"/>
        <v>245308.56517993234</v>
      </c>
      <c r="I32" s="43">
        <v>30000</v>
      </c>
      <c r="J32" s="44">
        <f t="shared" si="1"/>
        <v>215308.56517993234</v>
      </c>
    </row>
    <row r="33" spans="1:10" s="14" customFormat="1" x14ac:dyDescent="0.25">
      <c r="A33" s="45" t="s">
        <v>95</v>
      </c>
      <c r="B33" s="43">
        <f>MVTRESUME2019!C34</f>
        <v>480000</v>
      </c>
      <c r="C33" s="43">
        <f>MVTRESUME2019!D34</f>
        <v>78422.245259251824</v>
      </c>
      <c r="D33" s="43">
        <f>MVTRESUME2019!E34</f>
        <v>689.31860616087215</v>
      </c>
      <c r="E33" s="43">
        <f>MVTRESUME2019!G34</f>
        <v>30000</v>
      </c>
      <c r="F33" s="46">
        <v>108500</v>
      </c>
      <c r="G33" s="46">
        <v>808500</v>
      </c>
      <c r="H33" s="5">
        <f t="shared" si="0"/>
        <v>109111.5638654127</v>
      </c>
      <c r="I33" s="43"/>
      <c r="J33" s="44">
        <f t="shared" si="1"/>
        <v>109111.5638654127</v>
      </c>
    </row>
    <row r="34" spans="1:10" s="8" customFormat="1" x14ac:dyDescent="0.25">
      <c r="A34" s="42" t="s">
        <v>100</v>
      </c>
      <c r="B34" s="43">
        <f>MVTRESUME2019!C35</f>
        <v>480000</v>
      </c>
      <c r="C34" s="43">
        <f>MVTRESUME2019!D35</f>
        <v>80425.990897485564</v>
      </c>
      <c r="D34" s="43">
        <f>MVTRESUME2019!E35</f>
        <v>36.350487807299942</v>
      </c>
      <c r="E34" s="43">
        <f>MVTRESUME2019!G35</f>
        <v>144000</v>
      </c>
      <c r="F34" s="43">
        <v>0</v>
      </c>
      <c r="G34" s="43">
        <v>1000000</v>
      </c>
      <c r="H34" s="5">
        <f t="shared" si="0"/>
        <v>224462.34138529288</v>
      </c>
      <c r="I34" s="43">
        <v>30000</v>
      </c>
      <c r="J34" s="44">
        <f t="shared" si="1"/>
        <v>194462.34138529288</v>
      </c>
    </row>
    <row r="35" spans="1:10" x14ac:dyDescent="0.25">
      <c r="A35" s="42" t="s">
        <v>115</v>
      </c>
      <c r="B35" s="43">
        <f>MVTRESUME2019!C36</f>
        <v>480000</v>
      </c>
      <c r="C35" s="43">
        <f>MVTRESUME2019!D36</f>
        <v>79900.26982663176</v>
      </c>
      <c r="D35" s="43">
        <f>MVTRESUME2019!E36</f>
        <v>0.30040658926009201</v>
      </c>
      <c r="E35" s="43">
        <f>MVTRESUME2019!G36</f>
        <v>86500</v>
      </c>
      <c r="F35" s="43">
        <v>0</v>
      </c>
      <c r="G35" s="43">
        <v>1000000</v>
      </c>
      <c r="H35" s="5">
        <f t="shared" si="0"/>
        <v>166400.57023322102</v>
      </c>
      <c r="I35" s="43">
        <v>30000</v>
      </c>
      <c r="J35" s="44">
        <f t="shared" si="1"/>
        <v>136400.57023322102</v>
      </c>
    </row>
    <row r="36" spans="1:10" x14ac:dyDescent="0.25">
      <c r="A36" s="42" t="s">
        <v>87</v>
      </c>
      <c r="B36" s="43">
        <f>MVTRESUME2019!C37</f>
        <v>480000</v>
      </c>
      <c r="C36" s="43">
        <f>MVTRESUME2019!D37</f>
        <v>80218.625624560562</v>
      </c>
      <c r="D36" s="43">
        <f>MVTRESUME2019!E37</f>
        <v>109.79976263979916</v>
      </c>
      <c r="E36" s="43">
        <f>MVTRESUME2019!G37</f>
        <v>94000</v>
      </c>
      <c r="F36" s="43">
        <v>0</v>
      </c>
      <c r="G36" s="43">
        <v>1000000</v>
      </c>
      <c r="H36" s="5">
        <f t="shared" si="0"/>
        <v>174328.42538720038</v>
      </c>
      <c r="I36" s="43">
        <v>30000</v>
      </c>
      <c r="J36" s="44">
        <f t="shared" si="1"/>
        <v>144328.42538720038</v>
      </c>
    </row>
    <row r="37" spans="1:10" x14ac:dyDescent="0.25">
      <c r="A37" s="42" t="s">
        <v>116</v>
      </c>
      <c r="B37" s="43">
        <f>MVTRESUME2019!C38</f>
        <v>480000</v>
      </c>
      <c r="C37" s="43">
        <f>MVTRESUME2019!D38</f>
        <v>82325.064676950074</v>
      </c>
      <c r="D37" s="43">
        <f>MVTRESUME2019!E38</f>
        <v>15968.295339537319</v>
      </c>
      <c r="E37" s="43">
        <f>MVTRESUME2019!G38</f>
        <v>84000</v>
      </c>
      <c r="F37" s="43">
        <v>0</v>
      </c>
      <c r="G37" s="43">
        <v>0</v>
      </c>
      <c r="H37" s="5">
        <f t="shared" si="0"/>
        <v>182293.36001648739</v>
      </c>
      <c r="I37" s="43">
        <v>30000</v>
      </c>
      <c r="J37" s="44">
        <f t="shared" si="1"/>
        <v>152293.36001648739</v>
      </c>
    </row>
    <row r="38" spans="1:10" x14ac:dyDescent="0.25">
      <c r="A38" s="42" t="s">
        <v>117</v>
      </c>
      <c r="B38" s="43">
        <f>MVTRESUME2019!C39</f>
        <v>480000</v>
      </c>
      <c r="C38" s="43">
        <f>MVTRESUME2019!D39</f>
        <v>79309.541006732557</v>
      </c>
      <c r="D38" s="43">
        <f>MVTRESUME2019!E39</f>
        <v>0.17330693561234511</v>
      </c>
      <c r="E38" s="43">
        <f>MVTRESUME2019!G39</f>
        <v>54000</v>
      </c>
      <c r="F38" s="43">
        <v>155000</v>
      </c>
      <c r="G38" s="43">
        <v>0</v>
      </c>
      <c r="H38" s="5">
        <f t="shared" si="0"/>
        <v>133309.71431366817</v>
      </c>
      <c r="I38" s="43">
        <v>30000</v>
      </c>
      <c r="J38" s="44">
        <f t="shared" si="1"/>
        <v>103309.71431366817</v>
      </c>
    </row>
    <row r="39" spans="1:10" x14ac:dyDescent="0.25">
      <c r="A39" s="42" t="s">
        <v>118</v>
      </c>
      <c r="B39" s="43">
        <f>MVTRESUME2019!C40</f>
        <v>0</v>
      </c>
      <c r="C39" s="43">
        <f>MVTRESUME2019!D40</f>
        <v>3376.913330814542</v>
      </c>
      <c r="D39" s="43">
        <f>MVTRESUME2019!E40</f>
        <v>0</v>
      </c>
      <c r="E39" s="43">
        <f>MVTRESUME2019!G40</f>
        <v>104000</v>
      </c>
      <c r="F39" s="43">
        <v>0</v>
      </c>
      <c r="G39" s="43">
        <v>0</v>
      </c>
      <c r="H39" s="5">
        <f t="shared" si="0"/>
        <v>107376.91333081454</v>
      </c>
      <c r="I39" s="43">
        <v>30000</v>
      </c>
      <c r="J39" s="44">
        <f t="shared" si="1"/>
        <v>77376.913330814539</v>
      </c>
    </row>
    <row r="40" spans="1:10" s="8" customFormat="1" x14ac:dyDescent="0.25">
      <c r="A40" s="47" t="s">
        <v>143</v>
      </c>
      <c r="B40" s="43">
        <f>MVTRESUME2019!C41</f>
        <v>480000</v>
      </c>
      <c r="C40" s="43">
        <f>MVTRESUME2019!D41</f>
        <v>80174.992283614876</v>
      </c>
      <c r="D40" s="43">
        <f>MVTRESUME2019!E41</f>
        <v>2777.4644755606423</v>
      </c>
      <c r="E40" s="43">
        <f>MVTRESUME2019!G41</f>
        <v>82000</v>
      </c>
      <c r="F40" s="48">
        <v>155000</v>
      </c>
      <c r="G40" s="48">
        <v>755000</v>
      </c>
      <c r="H40" s="5">
        <f t="shared" si="0"/>
        <v>164952.45675917552</v>
      </c>
      <c r="I40" s="43">
        <v>30000</v>
      </c>
      <c r="J40" s="44">
        <f t="shared" si="1"/>
        <v>134952.45675917552</v>
      </c>
    </row>
    <row r="41" spans="1:10" x14ac:dyDescent="0.25">
      <c r="A41" s="42" t="s">
        <v>120</v>
      </c>
      <c r="B41" s="43">
        <f>MVTRESUME2019!C42</f>
        <v>480000</v>
      </c>
      <c r="C41" s="43">
        <f>MVTRESUME2019!D42</f>
        <v>79793.71388976372</v>
      </c>
      <c r="D41" s="43">
        <f>MVTRESUME2019!E42</f>
        <v>0</v>
      </c>
      <c r="E41" s="43">
        <f>MVTRESUME2019!G42</f>
        <v>84000</v>
      </c>
      <c r="F41" s="43">
        <v>0</v>
      </c>
      <c r="G41" s="43">
        <v>0</v>
      </c>
      <c r="H41" s="5">
        <f t="shared" si="0"/>
        <v>163793.71388976372</v>
      </c>
      <c r="I41" s="43">
        <v>30000</v>
      </c>
      <c r="J41" s="44">
        <f t="shared" si="1"/>
        <v>133793.71388976372</v>
      </c>
    </row>
    <row r="42" spans="1:10" x14ac:dyDescent="0.25">
      <c r="A42" s="42" t="s">
        <v>121</v>
      </c>
      <c r="B42" s="43">
        <f>MVTRESUME2019!C43</f>
        <v>480000</v>
      </c>
      <c r="C42" s="43">
        <f>MVTRESUME2019!D43</f>
        <v>84611.13302311454</v>
      </c>
      <c r="D42" s="43">
        <f>MVTRESUME2019!E43</f>
        <v>-0.39887899404857308</v>
      </c>
      <c r="E42" s="43">
        <f>MVTRESUME2019!G43</f>
        <v>174000</v>
      </c>
      <c r="F42" s="43">
        <v>0</v>
      </c>
      <c r="G42" s="43">
        <v>500000</v>
      </c>
      <c r="H42" s="5">
        <f t="shared" si="0"/>
        <v>258610.73414412048</v>
      </c>
      <c r="I42" s="43">
        <v>30000</v>
      </c>
      <c r="J42" s="44">
        <f t="shared" si="1"/>
        <v>228610.73414412048</v>
      </c>
    </row>
    <row r="43" spans="1:10" x14ac:dyDescent="0.25">
      <c r="A43" s="42" t="s">
        <v>122</v>
      </c>
      <c r="B43" s="43">
        <f>MVTRESUME2019!C44</f>
        <v>480000</v>
      </c>
      <c r="C43" s="43">
        <f>MVTRESUME2019!D44</f>
        <v>95391.522236883728</v>
      </c>
      <c r="D43" s="43">
        <f>MVTRESUME2019!E44</f>
        <v>1360.775029899698</v>
      </c>
      <c r="E43" s="43">
        <f>MVTRESUME2019!G44</f>
        <v>84000</v>
      </c>
      <c r="F43" s="43">
        <v>0</v>
      </c>
      <c r="G43" s="43">
        <v>1000000</v>
      </c>
      <c r="H43" s="5">
        <f t="shared" si="0"/>
        <v>180752.29726678343</v>
      </c>
      <c r="I43" s="43">
        <v>30000</v>
      </c>
      <c r="J43" s="44">
        <f t="shared" si="1"/>
        <v>150752.29726678343</v>
      </c>
    </row>
    <row r="44" spans="1:10" s="14" customFormat="1" x14ac:dyDescent="0.25">
      <c r="A44" s="45" t="s">
        <v>123</v>
      </c>
      <c r="B44" s="43">
        <f>MVTRESUME2019!C45</f>
        <v>480000</v>
      </c>
      <c r="C44" s="43">
        <f>MVTRESUME2019!D45</f>
        <v>78500.211202080493</v>
      </c>
      <c r="D44" s="43">
        <f>MVTRESUME2019!E45</f>
        <v>1225.3544029653422</v>
      </c>
      <c r="E44" s="43">
        <f>MVTRESUME2019!G45</f>
        <v>30000</v>
      </c>
      <c r="F44" s="46">
        <v>131750</v>
      </c>
      <c r="G44" s="46">
        <v>981750</v>
      </c>
      <c r="H44" s="5">
        <f t="shared" si="0"/>
        <v>109725.56560504583</v>
      </c>
      <c r="I44" s="43"/>
      <c r="J44" s="44">
        <f t="shared" si="1"/>
        <v>109725.56560504583</v>
      </c>
    </row>
    <row r="45" spans="1:10" s="14" customFormat="1" x14ac:dyDescent="0.25">
      <c r="A45" s="45" t="s">
        <v>124</v>
      </c>
      <c r="B45" s="43">
        <f>MVTRESUME2019!C46</f>
        <v>30000</v>
      </c>
      <c r="C45" s="43">
        <f>MVTRESUME2019!D46</f>
        <v>0</v>
      </c>
      <c r="D45" s="43">
        <f>MVTRESUME2019!E46</f>
        <v>21.303203075842248</v>
      </c>
      <c r="E45" s="43">
        <f>MVTRESUME2019!G46</f>
        <v>30000</v>
      </c>
      <c r="F45" s="46">
        <v>0</v>
      </c>
      <c r="G45" s="46">
        <v>0</v>
      </c>
      <c r="H45" s="5">
        <f t="shared" si="0"/>
        <v>30021.30320307584</v>
      </c>
      <c r="I45" s="43"/>
      <c r="J45" s="44">
        <f t="shared" si="1"/>
        <v>30021.30320307584</v>
      </c>
    </row>
    <row r="46" spans="1:10" s="14" customFormat="1" x14ac:dyDescent="0.25">
      <c r="A46" s="45" t="s">
        <v>125</v>
      </c>
      <c r="B46" s="43">
        <f>MVTRESUME2019!C47</f>
        <v>480000</v>
      </c>
      <c r="C46" s="43">
        <f>MVTRESUME2019!D47</f>
        <v>77674.987774544497</v>
      </c>
      <c r="D46" s="43">
        <f>MVTRESUME2019!E47</f>
        <v>0.15040472695545759</v>
      </c>
      <c r="E46" s="43">
        <f>MVTRESUME2019!G47</f>
        <v>22000</v>
      </c>
      <c r="F46" s="46">
        <v>155000</v>
      </c>
      <c r="G46" s="46">
        <v>1155000</v>
      </c>
      <c r="H46" s="5">
        <f t="shared" si="0"/>
        <v>99675.138179271453</v>
      </c>
      <c r="I46" s="43">
        <v>30000</v>
      </c>
      <c r="J46" s="44">
        <f t="shared" si="1"/>
        <v>69675.138179271453</v>
      </c>
    </row>
    <row r="47" spans="1:10" x14ac:dyDescent="0.25">
      <c r="A47" s="42" t="s">
        <v>126</v>
      </c>
      <c r="B47" s="43">
        <f>MVTRESUME2019!C48</f>
        <v>480000</v>
      </c>
      <c r="C47" s="43">
        <f>MVTRESUME2019!D48</f>
        <v>149658.23869144428</v>
      </c>
      <c r="D47" s="43">
        <f>MVTRESUME2019!E48</f>
        <v>440720.17653060926</v>
      </c>
      <c r="E47" s="43">
        <f>MVTRESUME2019!G48</f>
        <v>84000</v>
      </c>
      <c r="F47" s="43">
        <v>37500</v>
      </c>
      <c r="G47" s="43">
        <v>700000</v>
      </c>
      <c r="H47" s="5">
        <f t="shared" si="0"/>
        <v>674378.41522205353</v>
      </c>
      <c r="I47" s="43">
        <v>30000</v>
      </c>
      <c r="J47" s="44">
        <f t="shared" si="1"/>
        <v>644378.41522205353</v>
      </c>
    </row>
    <row r="48" spans="1:10" x14ac:dyDescent="0.25">
      <c r="A48" s="42" t="s">
        <v>127</v>
      </c>
      <c r="B48" s="43">
        <f>MVTRESUME2019!C49</f>
        <v>480000</v>
      </c>
      <c r="C48" s="43">
        <f>MVTRESUME2019!D49</f>
        <v>317201.9797878497</v>
      </c>
      <c r="D48" s="43">
        <f>MVTRESUME2019!E49</f>
        <v>1198154.6510912008</v>
      </c>
      <c r="E48" s="43">
        <f>MVTRESUME2019!G49</f>
        <v>1024000</v>
      </c>
      <c r="F48" s="43">
        <v>0</v>
      </c>
      <c r="G48" s="43">
        <v>0</v>
      </c>
      <c r="H48" s="5">
        <f t="shared" si="0"/>
        <v>2539356.6308790506</v>
      </c>
      <c r="I48" s="43">
        <v>30000</v>
      </c>
      <c r="J48" s="44">
        <f t="shared" si="1"/>
        <v>2509356.6308790506</v>
      </c>
    </row>
    <row r="49" spans="1:10" ht="18" x14ac:dyDescent="0.25">
      <c r="A49" s="42"/>
      <c r="B49" s="49"/>
      <c r="C49" s="43"/>
      <c r="D49" s="52"/>
      <c r="E49" s="43"/>
      <c r="F49" s="43"/>
      <c r="G49" s="50"/>
      <c r="H49" s="50"/>
      <c r="I49" s="50"/>
      <c r="J49" s="51"/>
    </row>
    <row r="50" spans="1:10" ht="16.5" thickBot="1" x14ac:dyDescent="0.3">
      <c r="A50" s="53"/>
      <c r="B50" s="54">
        <f t="shared" ref="B50:J50" si="2">SUM(B6:B49)</f>
        <v>17782722.011083744</v>
      </c>
      <c r="C50" s="54">
        <f t="shared" si="2"/>
        <v>3692643.8500000006</v>
      </c>
      <c r="D50" s="54">
        <f t="shared" si="2"/>
        <v>4844130.5976969898</v>
      </c>
      <c r="E50" s="54">
        <f t="shared" si="2"/>
        <v>5614000</v>
      </c>
      <c r="F50" s="54">
        <f t="shared" si="2"/>
        <v>1475110</v>
      </c>
      <c r="G50" s="54">
        <f t="shared" si="2"/>
        <v>20286750</v>
      </c>
      <c r="H50" s="54">
        <f t="shared" si="2"/>
        <v>14150774.447696989</v>
      </c>
      <c r="I50" s="54">
        <f t="shared" si="2"/>
        <v>1020000</v>
      </c>
      <c r="J50" s="55">
        <f t="shared" si="2"/>
        <v>13130774.447696989</v>
      </c>
    </row>
    <row r="51" spans="1:10" ht="15.75" thickTop="1" x14ac:dyDescent="0.25"/>
  </sheetData>
  <autoFilter ref="A5:E48">
    <sortState ref="A5:L48">
      <sortCondition ref="A5:A48"/>
    </sortState>
  </autoFilter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5"/>
  <sheetViews>
    <sheetView workbookViewId="0">
      <pane xSplit="2" ySplit="1" topLeftCell="W27" activePane="bottomRight" state="frozen"/>
      <selection pane="topRight" activeCell="C1" sqref="C1"/>
      <selection pane="bottomLeft" activeCell="A5" sqref="A5"/>
      <selection pane="bottomRight" activeCell="D45" sqref="D45"/>
    </sheetView>
  </sheetViews>
  <sheetFormatPr baseColWidth="10" defaultColWidth="11" defaultRowHeight="15" x14ac:dyDescent="0.25"/>
  <cols>
    <col min="1" max="1" width="13.85546875" customWidth="1"/>
    <col min="2" max="3" width="29.5703125" customWidth="1"/>
    <col min="4" max="4" width="15.28515625" customWidth="1"/>
    <col min="5" max="5" width="20.28515625" customWidth="1"/>
    <col min="6" max="6" width="16.85546875" customWidth="1"/>
    <col min="7" max="7" width="15" customWidth="1"/>
    <col min="8" max="8" width="17.5703125" style="3" customWidth="1"/>
    <col min="9" max="9" width="15.7109375" style="2" customWidth="1"/>
    <col min="10" max="10" width="15" style="2" bestFit="1" customWidth="1"/>
    <col min="11" max="12" width="12.42578125" style="2" customWidth="1"/>
    <col min="13" max="13" width="13.42578125" style="2" bestFit="1" customWidth="1"/>
    <col min="14" max="15" width="17.5703125" style="2" customWidth="1"/>
    <col min="16" max="16" width="14.85546875" customWidth="1"/>
    <col min="17" max="17" width="20.42578125" bestFit="1" customWidth="1"/>
    <col min="18" max="18" width="16.5703125" customWidth="1"/>
    <col min="20" max="21" width="16.85546875" bestFit="1" customWidth="1"/>
    <col min="22" max="25" width="16.85546875" customWidth="1"/>
    <col min="26" max="26" width="28.7109375" bestFit="1" customWidth="1"/>
  </cols>
  <sheetData>
    <row r="1" spans="1:34" ht="44.25" x14ac:dyDescent="0.3">
      <c r="A1" s="1" t="s">
        <v>4</v>
      </c>
      <c r="B1" s="56" t="s">
        <v>144</v>
      </c>
      <c r="C1" t="s">
        <v>145</v>
      </c>
      <c r="D1" t="s">
        <v>149</v>
      </c>
      <c r="E1" s="1" t="s">
        <v>69</v>
      </c>
      <c r="F1" s="1" t="s">
        <v>8</v>
      </c>
      <c r="G1" s="1" t="s">
        <v>9</v>
      </c>
      <c r="H1" s="4" t="s">
        <v>10</v>
      </c>
      <c r="I1" s="4" t="s">
        <v>11</v>
      </c>
      <c r="J1" s="4" t="s">
        <v>12</v>
      </c>
      <c r="K1" s="4" t="s">
        <v>72</v>
      </c>
      <c r="L1" s="4" t="s">
        <v>71</v>
      </c>
      <c r="M1" s="4" t="s">
        <v>13</v>
      </c>
      <c r="N1" t="s">
        <v>146</v>
      </c>
      <c r="O1"/>
      <c r="P1" s="4" t="s">
        <v>63</v>
      </c>
      <c r="Q1" s="4" t="s">
        <v>64</v>
      </c>
      <c r="R1" t="s">
        <v>147</v>
      </c>
      <c r="S1" s="4" t="s">
        <v>14</v>
      </c>
      <c r="T1" t="s">
        <v>151</v>
      </c>
      <c r="U1" s="4" t="s">
        <v>86</v>
      </c>
      <c r="V1" s="4" t="s">
        <v>135</v>
      </c>
      <c r="W1" t="s">
        <v>148</v>
      </c>
      <c r="X1" s="4" t="s">
        <v>137</v>
      </c>
      <c r="Y1" s="4" t="s">
        <v>150</v>
      </c>
      <c r="Z1" s="4" t="s">
        <v>15</v>
      </c>
      <c r="AB1" s="4" t="s">
        <v>134</v>
      </c>
      <c r="AC1" s="4" t="s">
        <v>9</v>
      </c>
      <c r="AD1" s="4" t="s">
        <v>131</v>
      </c>
      <c r="AE1" s="4" t="s">
        <v>132</v>
      </c>
      <c r="AF1" s="4" t="s">
        <v>139</v>
      </c>
      <c r="AG1" s="4" t="s">
        <v>133</v>
      </c>
      <c r="AH1" s="4" t="s">
        <v>9</v>
      </c>
    </row>
    <row r="2" spans="1:34" ht="15.75" customHeight="1" x14ac:dyDescent="0.25">
      <c r="A2" s="1" t="s">
        <v>16</v>
      </c>
      <c r="B2" s="1" t="str">
        <f>VLOOKUP(A2,[21]LISTADHERENT!A$5:H$57,3,0)</f>
        <v>ASELBY</v>
      </c>
      <c r="C2" s="5">
        <f>MVTRESUME2019!C6</f>
        <v>394081.01108374598</v>
      </c>
      <c r="D2" s="5">
        <f>MVTRESUME2019!D6</f>
        <v>62668.935014227369</v>
      </c>
      <c r="E2" s="5">
        <f>MVTRESUME2019!E6</f>
        <v>0</v>
      </c>
      <c r="F2" s="5">
        <f>MVTRESUME2019!F6</f>
        <v>0</v>
      </c>
      <c r="G2" s="5">
        <f>MVTRESUME2019!G6</f>
        <v>0</v>
      </c>
      <c r="H2" s="5">
        <f>MVTRESUME2019!H6</f>
        <v>0</v>
      </c>
      <c r="I2" s="5">
        <f>MVTRESUME2019!I6</f>
        <v>0</v>
      </c>
      <c r="J2" s="5">
        <f>MVTRESUME2019!J6</f>
        <v>0</v>
      </c>
      <c r="K2" s="5">
        <f>MVTRESUME2019!K6</f>
        <v>0</v>
      </c>
      <c r="L2" s="5">
        <f>MVTRESUME2019!L6</f>
        <v>0</v>
      </c>
      <c r="M2" s="5">
        <f>MVTRESUME2019!M6</f>
        <v>0</v>
      </c>
      <c r="N2" s="5">
        <f>MVTRESUME2019!N6</f>
        <v>0</v>
      </c>
      <c r="O2" s="5">
        <f>MVTRESUME2019!O6</f>
        <v>0</v>
      </c>
      <c r="P2" s="5">
        <f>MVTRESUME2019!P6</f>
        <v>0</v>
      </c>
      <c r="Q2" s="5">
        <f>MVTRESUME2019!Q6</f>
        <v>0</v>
      </c>
      <c r="R2" s="5">
        <f>MVTRESUME2019!R6</f>
        <v>0</v>
      </c>
      <c r="S2" s="5">
        <f>MVTRESUME2019!S6</f>
        <v>0</v>
      </c>
      <c r="T2" s="5">
        <f>MVTRESUME2019!T6</f>
        <v>0</v>
      </c>
      <c r="U2" s="5">
        <f>MVTRESUME2019!U6</f>
        <v>62668.935014227369</v>
      </c>
      <c r="V2" s="5">
        <f>MVTRESUME2019!V6</f>
        <v>0</v>
      </c>
      <c r="W2" s="5">
        <f>MVTRESUME2019!W6</f>
        <v>0</v>
      </c>
      <c r="X2" s="5">
        <f>MVTRESUME2019!X6</f>
        <v>0</v>
      </c>
      <c r="Y2" s="5">
        <f>MVTRESUME2019!Y6</f>
        <v>62668.935014227369</v>
      </c>
      <c r="Z2" s="5">
        <f>MVTRESUME2019!Y6</f>
        <v>62668.935014227369</v>
      </c>
      <c r="AA2" s="5">
        <f>MVTRESUME2019!AA6</f>
        <v>0</v>
      </c>
      <c r="AB2" s="5">
        <f>MVTRESUME2019!AB6</f>
        <v>0</v>
      </c>
      <c r="AC2" s="5">
        <f>MVTRESUME2019!AC6</f>
        <v>0</v>
      </c>
      <c r="AD2" s="5">
        <f>MVTRESUME2019!AD6</f>
        <v>0</v>
      </c>
      <c r="AE2" s="5">
        <f>MVTRESUME2019!AE6</f>
        <v>0</v>
      </c>
      <c r="AF2" s="5">
        <f>MVTRESUME2019!AF6</f>
        <v>0</v>
      </c>
      <c r="AG2" s="5">
        <f>MVTRESUME2019!AG6</f>
        <v>0</v>
      </c>
    </row>
    <row r="3" spans="1:34" s="14" customFormat="1" x14ac:dyDescent="0.25">
      <c r="A3" s="12" t="s">
        <v>17</v>
      </c>
      <c r="B3" s="1" t="str">
        <f>VLOOKUP(A3,[21]LISTADHERENT!A$5:H$57,3,0)</f>
        <v>BAKOP ACHILLE</v>
      </c>
      <c r="C3" s="5">
        <f>MVTRESUME2019!C7</f>
        <v>480000</v>
      </c>
      <c r="D3" s="5">
        <f>MVTRESUME2019!D7</f>
        <v>0</v>
      </c>
      <c r="E3" s="5">
        <f>MVTRESUME2019!E7</f>
        <v>0.49369671277236193</v>
      </c>
      <c r="F3" s="5">
        <f>MVTRESUME2019!F7</f>
        <v>0</v>
      </c>
      <c r="G3" s="5">
        <f>MVTRESUME2019!G7</f>
        <v>2000</v>
      </c>
      <c r="H3" s="5">
        <f>MVTRESUME2019!H7</f>
        <v>1000</v>
      </c>
      <c r="I3" s="5">
        <f>MVTRESUME2019!I7</f>
        <v>2000</v>
      </c>
      <c r="J3" s="5">
        <f>MVTRESUME2019!J7</f>
        <v>5000</v>
      </c>
      <c r="K3" s="5">
        <f>MVTRESUME2019!K7</f>
        <v>1000</v>
      </c>
      <c r="L3" s="5">
        <f>MVTRESUME2019!L7</f>
        <v>0</v>
      </c>
      <c r="M3" s="5">
        <f>MVTRESUME2019!M7</f>
        <v>0</v>
      </c>
      <c r="N3" s="5">
        <f>MVTRESUME2019!N7</f>
        <v>500000</v>
      </c>
      <c r="O3" s="5">
        <f>MVTRESUME2019!O7</f>
        <v>0</v>
      </c>
      <c r="P3" s="5">
        <f>MVTRESUME2019!P7</f>
        <v>0</v>
      </c>
      <c r="Q3" s="5">
        <f>MVTRESUME2019!Q7</f>
        <v>588000</v>
      </c>
      <c r="R3" s="5">
        <f>MVTRESUME2019!R7</f>
        <v>88000</v>
      </c>
      <c r="S3" s="5">
        <f>MVTRESUME2019!S7</f>
        <v>0</v>
      </c>
      <c r="T3" s="5">
        <f>MVTRESUME2019!T7</f>
        <v>0</v>
      </c>
      <c r="U3" s="5">
        <f>MVTRESUME2019!U7</f>
        <v>2000.4936967127724</v>
      </c>
      <c r="V3" s="5">
        <f>MVTRESUME2019!V7</f>
        <v>2000</v>
      </c>
      <c r="W3" s="5">
        <f>MVTRESUME2019!W7</f>
        <v>0</v>
      </c>
      <c r="X3" s="5">
        <f>MVTRESUME2019!X7</f>
        <v>0</v>
      </c>
      <c r="Y3" s="5">
        <f>MVTRESUME2019!Y7</f>
        <v>2000.4936967127724</v>
      </c>
      <c r="Z3" s="35" t="s">
        <v>89</v>
      </c>
      <c r="AA3" s="14" t="s">
        <v>129</v>
      </c>
      <c r="AC3" s="11">
        <f>G3+D3</f>
        <v>2000</v>
      </c>
      <c r="AD3" s="11">
        <v>-14000</v>
      </c>
      <c r="AE3" s="11">
        <f>[22]TONTRESUME!$M$6</f>
        <v>336000</v>
      </c>
      <c r="AF3" s="11"/>
      <c r="AG3" s="7">
        <f>C3-T3+U3+AD3+AE3-Q3</f>
        <v>216000.49369671277</v>
      </c>
    </row>
    <row r="4" spans="1:34" x14ac:dyDescent="0.25">
      <c r="A4" s="1" t="s">
        <v>19</v>
      </c>
      <c r="B4" s="1" t="str">
        <f>VLOOKUP(A4,[21]LISTADHERENT!A$5:H$57,3,0)</f>
        <v>BOUTCHOUANG WILLIAM</v>
      </c>
      <c r="C4" s="5">
        <f>MVTRESUME2019!C8</f>
        <v>480000</v>
      </c>
      <c r="D4" s="5">
        <f>MVTRESUME2019!D8</f>
        <v>79945.737949015122</v>
      </c>
      <c r="E4" s="5">
        <f>MVTRESUME2019!E8</f>
        <v>1331.2797186755051</v>
      </c>
      <c r="F4" s="5">
        <f>MVTRESUME2019!F8</f>
        <v>0</v>
      </c>
      <c r="G4" s="5">
        <f>MVTRESUME2019!G8</f>
        <v>82000</v>
      </c>
      <c r="H4" s="5">
        <f>MVTRESUME2019!H8</f>
        <v>7000</v>
      </c>
      <c r="I4" s="5">
        <f>MVTRESUME2019!I8</f>
        <v>14000</v>
      </c>
      <c r="J4" s="5">
        <f>MVTRESUME2019!J8</f>
        <v>35000</v>
      </c>
      <c r="K4" s="5">
        <f>MVTRESUME2019!K8</f>
        <v>9000</v>
      </c>
      <c r="L4" s="5">
        <f>MVTRESUME2019!L8</f>
        <v>0</v>
      </c>
      <c r="M4" s="5">
        <f>MVTRESUME2019!M8</f>
        <v>0</v>
      </c>
      <c r="N4" s="5">
        <f>MVTRESUME2019!N8</f>
        <v>1000000</v>
      </c>
      <c r="O4" s="5">
        <f>MVTRESUME2019!O8</f>
        <v>30000</v>
      </c>
      <c r="P4" s="5">
        <f>MVTRESUME2019!P8</f>
        <v>0</v>
      </c>
      <c r="Q4" s="5">
        <f>MVTRESUME2019!Q8</f>
        <v>1000000</v>
      </c>
      <c r="R4" s="5">
        <f>MVTRESUME2019!R8</f>
        <v>0</v>
      </c>
      <c r="S4" s="5">
        <f>MVTRESUME2019!S8</f>
        <v>0</v>
      </c>
      <c r="T4" s="5">
        <f>MVTRESUME2019!T8</f>
        <v>0</v>
      </c>
      <c r="U4" s="5">
        <f>MVTRESUME2019!U8</f>
        <v>163277.01766769064</v>
      </c>
      <c r="V4" s="5">
        <f>MVTRESUME2019!V8</f>
        <v>130000</v>
      </c>
      <c r="W4" s="5">
        <f>MVTRESUME2019!W8</f>
        <v>30000</v>
      </c>
      <c r="X4" s="5">
        <f>MVTRESUME2019!X8</f>
        <v>0</v>
      </c>
      <c r="Y4" s="5">
        <f>MVTRESUME2019!Y8</f>
        <v>133277.01766769064</v>
      </c>
      <c r="Z4" s="17"/>
      <c r="AC4" s="11">
        <f t="shared" ref="AC4:AC44" si="0">G4+D4</f>
        <v>161945.73794901511</v>
      </c>
    </row>
    <row r="5" spans="1:34" s="14" customFormat="1" x14ac:dyDescent="0.25">
      <c r="A5" s="12" t="s">
        <v>21</v>
      </c>
      <c r="B5" s="1" t="str">
        <f>VLOOKUP(A5,[21]LISTADHERENT!A$5:H$57,3,0)</f>
        <v>CHINGUE FABRICE</v>
      </c>
      <c r="C5" s="5">
        <f>MVTRESUME2019!C9</f>
        <v>480000</v>
      </c>
      <c r="D5" s="5">
        <f>MVTRESUME2019!D9</f>
        <v>79896.677076385677</v>
      </c>
      <c r="E5" s="5">
        <f>MVTRESUME2019!E9</f>
        <v>3703.9516264695849</v>
      </c>
      <c r="F5" s="5">
        <f>MVTRESUME2019!F9</f>
        <v>0</v>
      </c>
      <c r="G5" s="5">
        <f>MVTRESUME2019!G9</f>
        <v>54000</v>
      </c>
      <c r="H5" s="5">
        <f>MVTRESUME2019!H9</f>
        <v>4500</v>
      </c>
      <c r="I5" s="5">
        <f>MVTRESUME2019!I9</f>
        <v>9000</v>
      </c>
      <c r="J5" s="5">
        <f>MVTRESUME2019!J9</f>
        <v>22500</v>
      </c>
      <c r="K5" s="5">
        <f>MVTRESUME2019!K9</f>
        <v>7000</v>
      </c>
      <c r="L5" s="5">
        <f>MVTRESUME2019!L9</f>
        <v>0</v>
      </c>
      <c r="M5" s="5">
        <f>MVTRESUME2019!M9</f>
        <v>0</v>
      </c>
      <c r="N5" s="5">
        <f>MVTRESUME2019!N9</f>
        <v>700000</v>
      </c>
      <c r="O5" s="5">
        <f>MVTRESUME2019!O9</f>
        <v>84000</v>
      </c>
      <c r="P5" s="5">
        <f>MVTRESUME2019!P9</f>
        <v>0</v>
      </c>
      <c r="Q5" s="5">
        <f>MVTRESUME2019!Q9</f>
        <v>0</v>
      </c>
      <c r="R5" s="5">
        <f>MVTRESUME2019!R9</f>
        <v>108500</v>
      </c>
      <c r="S5" s="5">
        <f>MVTRESUME2019!S9</f>
        <v>0</v>
      </c>
      <c r="T5" s="5">
        <f>MVTRESUME2019!T9</f>
        <v>808500</v>
      </c>
      <c r="U5" s="5">
        <f>MVTRESUME2019!U9</f>
        <v>137600.62870285526</v>
      </c>
      <c r="V5" s="5">
        <f>MVTRESUME2019!V9</f>
        <v>107601</v>
      </c>
      <c r="W5" s="5">
        <f>MVTRESUME2019!W9</f>
        <v>30000</v>
      </c>
      <c r="X5" s="5">
        <f>MVTRESUME2019!X9</f>
        <v>0</v>
      </c>
      <c r="Y5" s="5">
        <f>MVTRESUME2019!Y9</f>
        <v>107600.62870285526</v>
      </c>
      <c r="Z5" s="35" t="s">
        <v>94</v>
      </c>
      <c r="AA5" s="14" t="s">
        <v>129</v>
      </c>
      <c r="AB5" s="11">
        <f>35000+73500</f>
        <v>108500</v>
      </c>
      <c r="AC5" s="11">
        <f t="shared" si="0"/>
        <v>133896.67707638568</v>
      </c>
      <c r="AD5" s="11" t="e">
        <f>#REF!</f>
        <v>#REF!</v>
      </c>
      <c r="AE5" s="11">
        <v>-426000</v>
      </c>
      <c r="AF5" s="11"/>
      <c r="AG5" s="7" t="e">
        <f>C5-T5+U5+AD5+AE5</f>
        <v>#REF!</v>
      </c>
    </row>
    <row r="6" spans="1:34" x14ac:dyDescent="0.25">
      <c r="A6" s="1" t="s">
        <v>77</v>
      </c>
      <c r="B6" s="1" t="str">
        <f>VLOOKUP(A6,[21]LISTADHERENT!A$5:H$57,3,0)</f>
        <v>DJOMO DOMO</v>
      </c>
      <c r="C6" s="5">
        <f>MVTRESUME2019!C10</f>
        <v>0</v>
      </c>
      <c r="D6" s="5">
        <f>MVTRESUME2019!D10</f>
        <v>1764.4540515245424</v>
      </c>
      <c r="E6" s="5">
        <f>MVTRESUME2019!E10</f>
        <v>2994.5270055831024</v>
      </c>
      <c r="F6" s="5">
        <f>MVTRESUME2019!F10</f>
        <v>0</v>
      </c>
      <c r="G6" s="5">
        <f>MVTRESUME2019!G10</f>
        <v>12000</v>
      </c>
      <c r="H6" s="5">
        <f>MVTRESUME2019!H10</f>
        <v>1000</v>
      </c>
      <c r="I6" s="5">
        <f>MVTRESUME2019!I10</f>
        <v>2000</v>
      </c>
      <c r="J6" s="5">
        <f>MVTRESUME2019!J10</f>
        <v>5000</v>
      </c>
      <c r="K6" s="5">
        <f>MVTRESUME2019!K10</f>
        <v>0</v>
      </c>
      <c r="L6" s="5">
        <f>MVTRESUME2019!L10</f>
        <v>0</v>
      </c>
      <c r="M6" s="5">
        <f>MVTRESUME2019!M10</f>
        <v>0</v>
      </c>
      <c r="N6" s="5">
        <f>MVTRESUME2019!N10</f>
        <v>0</v>
      </c>
      <c r="O6" s="5">
        <f>MVTRESUME2019!O10</f>
        <v>0</v>
      </c>
      <c r="P6" s="5">
        <f>MVTRESUME2019!P10</f>
        <v>0</v>
      </c>
      <c r="Q6" s="5">
        <f>MVTRESUME2019!Q10</f>
        <v>0</v>
      </c>
      <c r="R6" s="5">
        <f>MVTRESUME2019!R10</f>
        <v>0</v>
      </c>
      <c r="S6" s="5">
        <f>MVTRESUME2019!S10</f>
        <v>0</v>
      </c>
      <c r="T6" s="5">
        <f>MVTRESUME2019!T10</f>
        <v>0</v>
      </c>
      <c r="U6" s="5">
        <f>MVTRESUME2019!U10</f>
        <v>16758.981057107645</v>
      </c>
      <c r="V6" s="5">
        <f>MVTRESUME2019!V10</f>
        <v>16759</v>
      </c>
      <c r="W6" s="5">
        <f>MVTRESUME2019!W10</f>
        <v>0</v>
      </c>
      <c r="X6" s="5">
        <f>MVTRESUME2019!X10</f>
        <v>0</v>
      </c>
      <c r="Y6" s="5">
        <f>MVTRESUME2019!Y10</f>
        <v>16758.981057107645</v>
      </c>
      <c r="Z6" s="17"/>
      <c r="AC6" s="11">
        <f t="shared" si="0"/>
        <v>13764.454051524543</v>
      </c>
    </row>
    <row r="7" spans="1:34" x14ac:dyDescent="0.25">
      <c r="A7" s="1" t="s">
        <v>23</v>
      </c>
      <c r="B7" s="1" t="str">
        <f>VLOOKUP(A7,[21]LISTADHERENT!A$5:H$57,3,0)</f>
        <v xml:space="preserve">DJOMO JEAN PAUL </v>
      </c>
      <c r="C7" s="5">
        <f>MVTRESUME2019!C11</f>
        <v>480000</v>
      </c>
      <c r="D7" s="5">
        <f>MVTRESUME2019!D11</f>
        <v>81380.868527515064</v>
      </c>
      <c r="E7" s="5">
        <f>MVTRESUME2019!E11</f>
        <v>404.48981912998715</v>
      </c>
      <c r="F7" s="5">
        <f>MVTRESUME2019!F11</f>
        <v>0</v>
      </c>
      <c r="G7" s="5">
        <f>MVTRESUME2019!G11</f>
        <v>97500</v>
      </c>
      <c r="H7" s="5">
        <f>MVTRESUME2019!H11</f>
        <v>7000</v>
      </c>
      <c r="I7" s="5">
        <f>MVTRESUME2019!I11</f>
        <v>14000</v>
      </c>
      <c r="J7" s="5">
        <f>MVTRESUME2019!J11</f>
        <v>35000</v>
      </c>
      <c r="K7" s="5">
        <f>MVTRESUME2019!K11</f>
        <v>6000</v>
      </c>
      <c r="L7" s="5">
        <f>MVTRESUME2019!L11</f>
        <v>0</v>
      </c>
      <c r="M7" s="5">
        <f>MVTRESUME2019!M11</f>
        <v>0</v>
      </c>
      <c r="N7" s="5">
        <f>MVTRESUME2019!N11</f>
        <v>2800000</v>
      </c>
      <c r="O7" s="5">
        <f>MVTRESUME2019!O11</f>
        <v>218000</v>
      </c>
      <c r="P7" s="5">
        <f>MVTRESUME2019!P11</f>
        <v>110000</v>
      </c>
      <c r="Q7" s="5">
        <f>MVTRESUME2019!Q11</f>
        <v>1800000</v>
      </c>
      <c r="R7" s="5">
        <f>MVTRESUME2019!R11</f>
        <v>50000</v>
      </c>
      <c r="S7" s="5">
        <f>MVTRESUME2019!S11</f>
        <v>0</v>
      </c>
      <c r="T7" s="5">
        <f>MVTRESUME2019!T11</f>
        <v>1050000</v>
      </c>
      <c r="U7" s="5">
        <f>MVTRESUME2019!U11</f>
        <v>179285.35834664505</v>
      </c>
      <c r="V7" s="5">
        <f>MVTRESUME2019!V11</f>
        <v>146000</v>
      </c>
      <c r="W7" s="5">
        <f>MVTRESUME2019!W11</f>
        <v>30000</v>
      </c>
      <c r="X7" s="5">
        <f>MVTRESUME2019!X11</f>
        <v>0</v>
      </c>
      <c r="Y7" s="5">
        <f>MVTRESUME2019!Y11</f>
        <v>149285.35834664505</v>
      </c>
      <c r="Z7" s="17" t="s">
        <v>90</v>
      </c>
      <c r="AA7" t="s">
        <v>129</v>
      </c>
      <c r="AB7" s="2">
        <f>50000+105000</f>
        <v>155000</v>
      </c>
      <c r="AC7" s="11">
        <f t="shared" si="0"/>
        <v>178880.86852751506</v>
      </c>
    </row>
    <row r="8" spans="1:34" x14ac:dyDescent="0.25">
      <c r="A8" s="1" t="s">
        <v>24</v>
      </c>
      <c r="B8" s="1" t="str">
        <f>VLOOKUP(A8,[21]LISTADHERENT!A$5:H$57,3,0)</f>
        <v>DJOUKWE NANGUEN GUY BLAISE</v>
      </c>
      <c r="C8" s="5">
        <f>MVTRESUME2019!C13</f>
        <v>480000</v>
      </c>
      <c r="D8" s="5">
        <f>MVTRESUME2019!D13</f>
        <v>79798.878874522779</v>
      </c>
      <c r="E8" s="5">
        <f>MVTRESUME2019!E13</f>
        <v>32.581814608536661</v>
      </c>
      <c r="F8" s="5">
        <f>MVTRESUME2019!F13</f>
        <v>0</v>
      </c>
      <c r="G8" s="5">
        <f>MVTRESUME2019!G13</f>
        <v>84000</v>
      </c>
      <c r="H8" s="5">
        <f>MVTRESUME2019!H13</f>
        <v>7000</v>
      </c>
      <c r="I8" s="5">
        <f>MVTRESUME2019!I13</f>
        <v>14000</v>
      </c>
      <c r="J8" s="5">
        <f>MVTRESUME2019!J13</f>
        <v>35000</v>
      </c>
      <c r="K8" s="5">
        <f>MVTRESUME2019!K13</f>
        <v>7000</v>
      </c>
      <c r="L8" s="5">
        <f>MVTRESUME2019!L13</f>
        <v>0</v>
      </c>
      <c r="M8" s="5">
        <f>MVTRESUME2019!M13</f>
        <v>0</v>
      </c>
      <c r="N8" s="5">
        <f>MVTRESUME2019!N13</f>
        <v>1800000</v>
      </c>
      <c r="O8" s="5">
        <f>MVTRESUME2019!O13</f>
        <v>160000</v>
      </c>
      <c r="P8" s="5">
        <f>MVTRESUME2019!P13</f>
        <v>40000</v>
      </c>
      <c r="Q8" s="5">
        <f>MVTRESUME2019!Q13</f>
        <v>1000000</v>
      </c>
      <c r="R8" s="5">
        <f>MVTRESUME2019!R13</f>
        <v>0</v>
      </c>
      <c r="S8" s="5">
        <f>MVTRESUME2019!S13</f>
        <v>0</v>
      </c>
      <c r="T8" s="5">
        <f>MVTRESUME2019!T13</f>
        <v>800000</v>
      </c>
      <c r="U8" s="5">
        <f>MVTRESUME2019!U13</f>
        <v>163831.46068913132</v>
      </c>
      <c r="V8" s="5">
        <f>MVTRESUME2019!V13</f>
        <v>35000</v>
      </c>
      <c r="W8" s="5">
        <f>MVTRESUME2019!W13</f>
        <v>30000</v>
      </c>
      <c r="X8" s="5">
        <f>MVTRESUME2019!X13</f>
        <v>0</v>
      </c>
      <c r="Y8" s="5">
        <f>MVTRESUME2019!Y13</f>
        <v>133831.46068913132</v>
      </c>
      <c r="Z8" s="17" t="s">
        <v>91</v>
      </c>
      <c r="AC8" s="11">
        <f t="shared" si="0"/>
        <v>163798.87887452278</v>
      </c>
    </row>
    <row r="9" spans="1:34" x14ac:dyDescent="0.25">
      <c r="A9" s="1" t="s">
        <v>25</v>
      </c>
      <c r="B9" s="1" t="str">
        <f>VLOOKUP(A9,[21]LISTADHERENT!A$5:H$57,3,0)</f>
        <v>DJUOMBESSY ANTOINE</v>
      </c>
      <c r="C9" s="5">
        <f>MVTRESUME2019!C14</f>
        <v>480000</v>
      </c>
      <c r="D9" s="5">
        <f>MVTRESUME2019!D14</f>
        <v>79954.051721931959</v>
      </c>
      <c r="E9" s="5">
        <f>MVTRESUME2019!E14</f>
        <v>8.234061673283577E-2</v>
      </c>
      <c r="F9" s="5">
        <f>MVTRESUME2019!F14</f>
        <v>0</v>
      </c>
      <c r="G9" s="5">
        <f>MVTRESUME2019!G14</f>
        <v>93500</v>
      </c>
      <c r="H9" s="5">
        <f>MVTRESUME2019!H14</f>
        <v>7000</v>
      </c>
      <c r="I9" s="5">
        <f>MVTRESUME2019!I14</f>
        <v>14000</v>
      </c>
      <c r="J9" s="5">
        <f>MVTRESUME2019!J14</f>
        <v>35000</v>
      </c>
      <c r="K9" s="5">
        <f>MVTRESUME2019!K14</f>
        <v>1000</v>
      </c>
      <c r="L9" s="5">
        <f>MVTRESUME2019!L14</f>
        <v>0</v>
      </c>
      <c r="M9" s="5">
        <f>MVTRESUME2019!M14</f>
        <v>0</v>
      </c>
      <c r="N9" s="5">
        <f>MVTRESUME2019!N14</f>
        <v>3000000</v>
      </c>
      <c r="O9" s="5">
        <f>MVTRESUME2019!O14</f>
        <v>160000</v>
      </c>
      <c r="P9" s="5">
        <f>MVTRESUME2019!P14</f>
        <v>50000</v>
      </c>
      <c r="Q9" s="5">
        <f>MVTRESUME2019!Q14</f>
        <v>2000000</v>
      </c>
      <c r="R9" s="5">
        <f>MVTRESUME2019!R14</f>
        <v>0</v>
      </c>
      <c r="S9" s="5">
        <f>MVTRESUME2019!S14</f>
        <v>0</v>
      </c>
      <c r="T9" s="5">
        <f>MVTRESUME2019!T14</f>
        <v>1000000</v>
      </c>
      <c r="U9" s="5">
        <f>MVTRESUME2019!U14</f>
        <v>173454.13406254869</v>
      </c>
      <c r="V9" s="5">
        <f>MVTRESUME2019!V14</f>
        <v>140000</v>
      </c>
      <c r="W9" s="5">
        <f>MVTRESUME2019!W14</f>
        <v>30000</v>
      </c>
      <c r="X9" s="5">
        <f>MVTRESUME2019!X14</f>
        <v>0</v>
      </c>
      <c r="Y9" s="5">
        <f>MVTRESUME2019!Y14</f>
        <v>143454.13406254869</v>
      </c>
      <c r="Z9" s="17" t="s">
        <v>92</v>
      </c>
      <c r="AC9" s="11">
        <f t="shared" si="0"/>
        <v>173454.05172193196</v>
      </c>
    </row>
    <row r="10" spans="1:34" x14ac:dyDescent="0.25">
      <c r="A10" s="1" t="s">
        <v>79</v>
      </c>
      <c r="B10" s="1" t="str">
        <f>VLOOKUP(A10,[21]LISTADHERENT!A$5:H$57,3,0)</f>
        <v>DOMOU FABIEN</v>
      </c>
      <c r="C10" s="5">
        <f>MVTRESUME2019!C15</f>
        <v>441596</v>
      </c>
      <c r="D10" s="5">
        <f>MVTRESUME2019!D15</f>
        <v>73699.144246646392</v>
      </c>
      <c r="E10" s="5">
        <f>MVTRESUME2019!E15</f>
        <v>0.16900408919900656</v>
      </c>
      <c r="F10" s="5">
        <f>MVTRESUME2019!F15</f>
        <v>0</v>
      </c>
      <c r="G10" s="5">
        <f>MVTRESUME2019!G15</f>
        <v>84000</v>
      </c>
      <c r="H10" s="5">
        <f>MVTRESUME2019!H15</f>
        <v>7000</v>
      </c>
      <c r="I10" s="5">
        <f>MVTRESUME2019!I15</f>
        <v>14000</v>
      </c>
      <c r="J10" s="5">
        <f>MVTRESUME2019!J15</f>
        <v>35000</v>
      </c>
      <c r="K10" s="5">
        <f>MVTRESUME2019!K15</f>
        <v>2000</v>
      </c>
      <c r="L10" s="5">
        <f>MVTRESUME2019!L15</f>
        <v>0</v>
      </c>
      <c r="M10" s="5">
        <f>MVTRESUME2019!M15</f>
        <v>0</v>
      </c>
      <c r="N10" s="5">
        <f>MVTRESUME2019!N15</f>
        <v>2000000</v>
      </c>
      <c r="O10" s="5">
        <f>MVTRESUME2019!O15</f>
        <v>160000</v>
      </c>
      <c r="P10" s="5">
        <f>MVTRESUME2019!P15</f>
        <v>50000</v>
      </c>
      <c r="Q10" s="5">
        <f>MVTRESUME2019!Q15</f>
        <v>1000000</v>
      </c>
      <c r="R10" s="5">
        <f>MVTRESUME2019!R15</f>
        <v>0</v>
      </c>
      <c r="S10" s="5">
        <f>MVTRESUME2019!S15</f>
        <v>0</v>
      </c>
      <c r="T10" s="5">
        <f>MVTRESUME2019!T15</f>
        <v>1000000</v>
      </c>
      <c r="U10" s="5">
        <f>MVTRESUME2019!U15</f>
        <v>157699.31325073558</v>
      </c>
      <c r="V10" s="5">
        <f>MVTRESUME2019!V15</f>
        <v>86000</v>
      </c>
      <c r="W10" s="5">
        <f>MVTRESUME2019!W15</f>
        <v>78406</v>
      </c>
      <c r="X10" s="5">
        <f>MVTRESUME2019!X15</f>
        <v>0</v>
      </c>
      <c r="Y10" s="5">
        <f>MVTRESUME2019!Y15</f>
        <v>79293.313250735577</v>
      </c>
      <c r="Z10" s="17"/>
      <c r="AC10" s="11">
        <f t="shared" si="0"/>
        <v>157699.14424664638</v>
      </c>
    </row>
    <row r="11" spans="1:34" x14ac:dyDescent="0.25">
      <c r="A11" s="1" t="s">
        <v>26</v>
      </c>
      <c r="B11" s="1" t="str">
        <f>VLOOKUP(A11,[21]LISTADHERENT!A$5:H$57,3,0)</f>
        <v>DONHOU DAVID</v>
      </c>
      <c r="C11" s="5">
        <f>MVTRESUME2019!C16</f>
        <v>480000</v>
      </c>
      <c r="D11" s="5">
        <f>MVTRESUME2019!D16</f>
        <v>97864.943592884913</v>
      </c>
      <c r="E11" s="5">
        <f>MVTRESUME2019!E16</f>
        <v>113997.13327318276</v>
      </c>
      <c r="F11" s="5">
        <f>MVTRESUME2019!F16</f>
        <v>0</v>
      </c>
      <c r="G11" s="5">
        <f>MVTRESUME2019!G16</f>
        <v>84000</v>
      </c>
      <c r="H11" s="5">
        <f>MVTRESUME2019!H16</f>
        <v>7000</v>
      </c>
      <c r="I11" s="5">
        <f>MVTRESUME2019!I16</f>
        <v>14000</v>
      </c>
      <c r="J11" s="5">
        <f>MVTRESUME2019!J16</f>
        <v>35000</v>
      </c>
      <c r="K11" s="5">
        <f>MVTRESUME2019!K16</f>
        <v>14000</v>
      </c>
      <c r="L11" s="5">
        <f>MVTRESUME2019!L16</f>
        <v>0</v>
      </c>
      <c r="M11" s="5">
        <f>MVTRESUME2019!M16</f>
        <v>0</v>
      </c>
      <c r="N11" s="5">
        <f>MVTRESUME2019!N16</f>
        <v>700000</v>
      </c>
      <c r="O11" s="5">
        <f>MVTRESUME2019!O16</f>
        <v>108500</v>
      </c>
      <c r="P11" s="5">
        <f>MVTRESUME2019!P16</f>
        <v>0</v>
      </c>
      <c r="Q11" s="5">
        <f>MVTRESUME2019!Q16</f>
        <v>808500</v>
      </c>
      <c r="R11" s="5">
        <f>MVTRESUME2019!R16</f>
        <v>108500</v>
      </c>
      <c r="S11" s="5">
        <f>MVTRESUME2019!S16</f>
        <v>0</v>
      </c>
      <c r="T11" s="5">
        <f>MVTRESUME2019!T16</f>
        <v>0</v>
      </c>
      <c r="U11" s="5">
        <f>MVTRESUME2019!U16</f>
        <v>295862.07686606765</v>
      </c>
      <c r="V11" s="5">
        <f>MVTRESUME2019!V16</f>
        <v>28500</v>
      </c>
      <c r="W11" s="5">
        <f>MVTRESUME2019!W16</f>
        <v>30000</v>
      </c>
      <c r="X11" s="5">
        <f>MVTRESUME2019!X16</f>
        <v>0</v>
      </c>
      <c r="Y11" s="5">
        <f>MVTRESUME2019!Y16</f>
        <v>265862.07686606765</v>
      </c>
      <c r="Z11" s="17"/>
      <c r="AC11" s="11">
        <f t="shared" si="0"/>
        <v>181864.94359288493</v>
      </c>
    </row>
    <row r="12" spans="1:34" x14ac:dyDescent="0.25">
      <c r="A12" s="1" t="s">
        <v>27</v>
      </c>
      <c r="B12" s="1" t="str">
        <f>VLOOKUP(A12,[21]LISTADHERENT!A$5:H$57,3,0)</f>
        <v>FOTSO THOMAS</v>
      </c>
      <c r="C12" s="5">
        <f>MVTRESUME2019!C17</f>
        <v>480000</v>
      </c>
      <c r="D12" s="5">
        <f>MVTRESUME2019!D17</f>
        <v>80086.550029503749</v>
      </c>
      <c r="E12" s="5">
        <f>MVTRESUME2019!E17</f>
        <v>2219.5520592769026</v>
      </c>
      <c r="F12" s="5">
        <f>MVTRESUME2019!F17</f>
        <v>0</v>
      </c>
      <c r="G12" s="5">
        <f>MVTRESUME2019!G17</f>
        <v>82000</v>
      </c>
      <c r="H12" s="5">
        <f>MVTRESUME2019!H17</f>
        <v>7000</v>
      </c>
      <c r="I12" s="5">
        <f>MVTRESUME2019!I17</f>
        <v>14000</v>
      </c>
      <c r="J12" s="5">
        <f>MVTRESUME2019!J17</f>
        <v>35000</v>
      </c>
      <c r="K12" s="5">
        <f>MVTRESUME2019!K17</f>
        <v>21000</v>
      </c>
      <c r="L12" s="5">
        <f>MVTRESUME2019!L17</f>
        <v>0</v>
      </c>
      <c r="M12" s="5">
        <f>MVTRESUME2019!M17</f>
        <v>0</v>
      </c>
      <c r="N12" s="5">
        <f>MVTRESUME2019!N17</f>
        <v>2000000</v>
      </c>
      <c r="O12" s="5">
        <f>MVTRESUME2019!O17</f>
        <v>150000</v>
      </c>
      <c r="P12" s="5">
        <f>MVTRESUME2019!P17</f>
        <v>30000</v>
      </c>
      <c r="Q12" s="5">
        <f>MVTRESUME2019!Q17</f>
        <v>1000000</v>
      </c>
      <c r="R12" s="5">
        <f>MVTRESUME2019!R17</f>
        <v>0</v>
      </c>
      <c r="S12" s="5">
        <f>MVTRESUME2019!S17</f>
        <v>0</v>
      </c>
      <c r="T12" s="5">
        <f>MVTRESUME2019!T17</f>
        <v>1000000</v>
      </c>
      <c r="U12" s="5">
        <f>MVTRESUME2019!U17</f>
        <v>164306.10208878067</v>
      </c>
      <c r="V12" s="5">
        <f>MVTRESUME2019!V17</f>
        <v>130000</v>
      </c>
      <c r="W12" s="5">
        <f>MVTRESUME2019!W17</f>
        <v>30000</v>
      </c>
      <c r="X12" s="5">
        <f>MVTRESUME2019!X17</f>
        <v>0</v>
      </c>
      <c r="Y12" s="5">
        <f>MVTRESUME2019!Y17</f>
        <v>134306.10208878067</v>
      </c>
      <c r="Z12" s="17" t="s">
        <v>91</v>
      </c>
      <c r="AC12" s="11">
        <f t="shared" si="0"/>
        <v>162086.55002950376</v>
      </c>
    </row>
    <row r="13" spans="1:34" x14ac:dyDescent="0.25">
      <c r="A13" s="1" t="s">
        <v>28</v>
      </c>
      <c r="B13" s="1" t="str">
        <f>VLOOKUP(A13,[21]LISTADHERENT!A$5:H$57,3,0)</f>
        <v>HENGUE PAUL OMER</v>
      </c>
      <c r="C13" s="5">
        <f>MVTRESUME2019!C18</f>
        <v>480000</v>
      </c>
      <c r="D13" s="5">
        <f>MVTRESUME2019!D18</f>
        <v>80427.583632271897</v>
      </c>
      <c r="E13" s="5">
        <f>MVTRESUME2019!E18</f>
        <v>3998.5841971817717</v>
      </c>
      <c r="F13" s="5">
        <f>MVTRESUME2019!F18</f>
        <v>0</v>
      </c>
      <c r="G13" s="5">
        <f>MVTRESUME2019!G18</f>
        <v>84000</v>
      </c>
      <c r="H13" s="5">
        <f>MVTRESUME2019!H18</f>
        <v>7000</v>
      </c>
      <c r="I13" s="5">
        <f>MVTRESUME2019!I18</f>
        <v>14000</v>
      </c>
      <c r="J13" s="5">
        <f>MVTRESUME2019!J18</f>
        <v>35000</v>
      </c>
      <c r="K13" s="5">
        <f>MVTRESUME2019!K18</f>
        <v>1000</v>
      </c>
      <c r="L13" s="5">
        <f>MVTRESUME2019!L18</f>
        <v>0</v>
      </c>
      <c r="M13" s="5">
        <f>MVTRESUME2019!M18</f>
        <v>0</v>
      </c>
      <c r="N13" s="5">
        <f>MVTRESUME2019!N18</f>
        <v>1000000</v>
      </c>
      <c r="O13" s="5">
        <f>MVTRESUME2019!O18</f>
        <v>120000</v>
      </c>
      <c r="P13" s="5">
        <f>MVTRESUME2019!P18</f>
        <v>120000</v>
      </c>
      <c r="Q13" s="5">
        <f>MVTRESUME2019!Q18</f>
        <v>0</v>
      </c>
      <c r="R13" s="5">
        <f>MVTRESUME2019!R18</f>
        <v>0</v>
      </c>
      <c r="S13" s="5">
        <f>MVTRESUME2019!S18</f>
        <v>0</v>
      </c>
      <c r="T13" s="5">
        <f>MVTRESUME2019!T18</f>
        <v>1000000</v>
      </c>
      <c r="U13" s="5">
        <f>MVTRESUME2019!U18</f>
        <v>168426.16782945365</v>
      </c>
      <c r="V13" s="5">
        <f>MVTRESUME2019!V18</f>
        <v>35000</v>
      </c>
      <c r="W13" s="5">
        <f>MVTRESUME2019!W18</f>
        <v>30000</v>
      </c>
      <c r="X13" s="5">
        <f>MVTRESUME2019!X18</f>
        <v>0</v>
      </c>
      <c r="Y13" s="5">
        <f>MVTRESUME2019!Y18</f>
        <v>138426.16782945365</v>
      </c>
      <c r="Z13" s="17"/>
      <c r="AC13" s="11">
        <f t="shared" si="0"/>
        <v>164427.58363227191</v>
      </c>
    </row>
    <row r="14" spans="1:34" x14ac:dyDescent="0.25">
      <c r="A14" s="1" t="s">
        <v>29</v>
      </c>
      <c r="B14" s="1" t="str">
        <f>VLOOKUP(A14,[21]LISTADHERENT!A$5:H$57,3,0)</f>
        <v>HOTCHO BENJAMIN</v>
      </c>
      <c r="C14" s="5">
        <f>MVTRESUME2019!C19</f>
        <v>480000</v>
      </c>
      <c r="D14" s="5">
        <f>MVTRESUME2019!D19</f>
        <v>84433.275952127617</v>
      </c>
      <c r="E14" s="5">
        <f>MVTRESUME2019!E19</f>
        <v>0.44251227390486747</v>
      </c>
      <c r="F14" s="5">
        <f>MVTRESUME2019!F19</f>
        <v>0</v>
      </c>
      <c r="G14" s="5">
        <f>MVTRESUME2019!G19</f>
        <v>258500</v>
      </c>
      <c r="H14" s="5">
        <f>MVTRESUME2019!H19</f>
        <v>7000</v>
      </c>
      <c r="I14" s="5">
        <f>MVTRESUME2019!I19</f>
        <v>14000</v>
      </c>
      <c r="J14" s="5">
        <f>MVTRESUME2019!J19</f>
        <v>35000</v>
      </c>
      <c r="K14" s="5">
        <f>MVTRESUME2019!K19</f>
        <v>2000</v>
      </c>
      <c r="L14" s="5">
        <f>MVTRESUME2019!L19</f>
        <v>0</v>
      </c>
      <c r="M14" s="5">
        <f>MVTRESUME2019!M19</f>
        <v>0</v>
      </c>
      <c r="N14" s="5">
        <f>MVTRESUME2019!N19</f>
        <v>0</v>
      </c>
      <c r="O14" s="5">
        <f>MVTRESUME2019!O19</f>
        <v>0</v>
      </c>
      <c r="P14" s="5">
        <f>MVTRESUME2019!P19</f>
        <v>0</v>
      </c>
      <c r="Q14" s="5">
        <f>MVTRESUME2019!Q19</f>
        <v>0</v>
      </c>
      <c r="R14" s="5">
        <f>MVTRESUME2019!R19</f>
        <v>0</v>
      </c>
      <c r="S14" s="5">
        <f>MVTRESUME2019!S19</f>
        <v>0</v>
      </c>
      <c r="T14" s="5">
        <f>MVTRESUME2019!T19</f>
        <v>0</v>
      </c>
      <c r="U14" s="5">
        <f>MVTRESUME2019!U19</f>
        <v>342933.71846440155</v>
      </c>
      <c r="V14" s="5">
        <f>MVTRESUME2019!V19</f>
        <v>250000</v>
      </c>
      <c r="W14" s="5">
        <f>MVTRESUME2019!W19</f>
        <v>30000</v>
      </c>
      <c r="X14" s="5">
        <f>MVTRESUME2019!X19</f>
        <v>0</v>
      </c>
      <c r="Y14" s="5">
        <f>MVTRESUME2019!Y19</f>
        <v>312933.71846440155</v>
      </c>
      <c r="Z14" s="17"/>
      <c r="AC14" s="11">
        <f t="shared" si="0"/>
        <v>342933.27595212765</v>
      </c>
    </row>
    <row r="15" spans="1:34" x14ac:dyDescent="0.25">
      <c r="A15" s="1" t="s">
        <v>31</v>
      </c>
      <c r="B15" s="1" t="str">
        <f>VLOOKUP(A15,[21]LISTADHERENT!A$5:H$57,3,0)</f>
        <v>KEPSEU FRANCIS</v>
      </c>
      <c r="C15" s="5">
        <f>MVTRESUME2019!C20</f>
        <v>480000</v>
      </c>
      <c r="D15" s="5">
        <f>MVTRESUME2019!D20</f>
        <v>607034.07913233258</v>
      </c>
      <c r="E15" s="5">
        <f>MVTRESUME2019!E20</f>
        <v>2903898.728295486</v>
      </c>
      <c r="F15" s="5">
        <f>MVTRESUME2019!F20</f>
        <v>0</v>
      </c>
      <c r="G15" s="5">
        <f>MVTRESUME2019!G20</f>
        <v>1296000</v>
      </c>
      <c r="H15" s="5">
        <f>MVTRESUME2019!H20</f>
        <v>7000</v>
      </c>
      <c r="I15" s="5">
        <f>MVTRESUME2019!I20</f>
        <v>14000</v>
      </c>
      <c r="J15" s="5">
        <f>MVTRESUME2019!J20</f>
        <v>35000</v>
      </c>
      <c r="K15" s="5">
        <f>MVTRESUME2019!K20</f>
        <v>0</v>
      </c>
      <c r="L15" s="5">
        <f>MVTRESUME2019!L20</f>
        <v>0</v>
      </c>
      <c r="M15" s="5">
        <f>MVTRESUME2019!M20</f>
        <v>0</v>
      </c>
      <c r="N15" s="5">
        <f>MVTRESUME2019!N20</f>
        <v>0</v>
      </c>
      <c r="O15" s="5">
        <f>MVTRESUME2019!O20</f>
        <v>0</v>
      </c>
      <c r="P15" s="5">
        <f>MVTRESUME2019!P20</f>
        <v>0</v>
      </c>
      <c r="Q15" s="5">
        <f>MVTRESUME2019!Q20</f>
        <v>0</v>
      </c>
      <c r="R15" s="5">
        <f>MVTRESUME2019!R20</f>
        <v>0</v>
      </c>
      <c r="S15" s="5">
        <f>MVTRESUME2019!S20</f>
        <v>0</v>
      </c>
      <c r="T15" s="5">
        <f>MVTRESUME2019!T20</f>
        <v>0</v>
      </c>
      <c r="U15" s="5">
        <f>MVTRESUME2019!U20</f>
        <v>4806932.807427818</v>
      </c>
      <c r="V15" s="5">
        <f>MVTRESUME2019!V20</f>
        <v>0</v>
      </c>
      <c r="W15" s="5">
        <f>MVTRESUME2019!W20</f>
        <v>30000</v>
      </c>
      <c r="X15" s="5">
        <f>MVTRESUME2019!X20</f>
        <v>0</v>
      </c>
      <c r="Y15" s="5">
        <f>MVTRESUME2019!Y20</f>
        <v>4776932.807427818</v>
      </c>
      <c r="Z15" s="17"/>
      <c r="AC15" s="11">
        <f t="shared" si="0"/>
        <v>1903034.0791323325</v>
      </c>
    </row>
    <row r="16" spans="1:34" x14ac:dyDescent="0.25">
      <c r="A16" s="1" t="s">
        <v>34</v>
      </c>
      <c r="B16" s="1" t="str">
        <f>VLOOKUP(A16,[21]LISTADHERENT!A$5:H$57,3,0)</f>
        <v>KOUAMO VICTOR PEGUY</v>
      </c>
      <c r="C16" s="5">
        <f>MVTRESUME2019!C21</f>
        <v>480000</v>
      </c>
      <c r="D16" s="5">
        <f>MVTRESUME2019!D21</f>
        <v>79661.668675915658</v>
      </c>
      <c r="E16" s="5">
        <f>MVTRESUME2019!E21</f>
        <v>-0.26072546625800896</v>
      </c>
      <c r="F16" s="5">
        <f>MVTRESUME2019!F21</f>
        <v>0</v>
      </c>
      <c r="G16" s="5">
        <f>MVTRESUME2019!G21</f>
        <v>81000</v>
      </c>
      <c r="H16" s="5">
        <f>MVTRESUME2019!H21</f>
        <v>7000</v>
      </c>
      <c r="I16" s="5">
        <f>MVTRESUME2019!I21</f>
        <v>14000</v>
      </c>
      <c r="J16" s="5">
        <f>MVTRESUME2019!J21</f>
        <v>35000</v>
      </c>
      <c r="K16" s="5">
        <f>MVTRESUME2019!K21</f>
        <v>7000</v>
      </c>
      <c r="L16" s="5">
        <f>MVTRESUME2019!L21</f>
        <v>0</v>
      </c>
      <c r="M16" s="5">
        <f>MVTRESUME2019!M21</f>
        <v>0</v>
      </c>
      <c r="N16" s="5">
        <f>MVTRESUME2019!N21</f>
        <v>1900000</v>
      </c>
      <c r="O16" s="5">
        <f>MVTRESUME2019!O21</f>
        <v>159000</v>
      </c>
      <c r="P16" s="5">
        <f>MVTRESUME2019!P21</f>
        <v>60000</v>
      </c>
      <c r="Q16" s="5">
        <f>MVTRESUME2019!Q21</f>
        <v>900000</v>
      </c>
      <c r="R16" s="5">
        <f>MVTRESUME2019!R21</f>
        <v>139500</v>
      </c>
      <c r="S16" s="5">
        <f>MVTRESUME2019!S21</f>
        <v>0</v>
      </c>
      <c r="T16" s="5">
        <f>MVTRESUME2019!T21</f>
        <v>1139500</v>
      </c>
      <c r="U16" s="5">
        <f>MVTRESUME2019!U21</f>
        <v>160661.40795044939</v>
      </c>
      <c r="V16" s="5">
        <f>MVTRESUME2019!V21</f>
        <v>0</v>
      </c>
      <c r="W16" s="5">
        <f>MVTRESUME2019!W21</f>
        <v>30000</v>
      </c>
      <c r="X16" s="5">
        <f>MVTRESUME2019!X21</f>
        <v>0</v>
      </c>
      <c r="Y16" s="5">
        <f>MVTRESUME2019!Y21</f>
        <v>130661.40795044939</v>
      </c>
      <c r="Z16" s="17" t="s">
        <v>93</v>
      </c>
      <c r="AA16" t="s">
        <v>129</v>
      </c>
      <c r="AB16" s="2">
        <f>45000+94500</f>
        <v>139500</v>
      </c>
      <c r="AC16" s="11">
        <f t="shared" si="0"/>
        <v>160661.66867591566</v>
      </c>
      <c r="AG16" s="2">
        <f>AB16</f>
        <v>139500</v>
      </c>
    </row>
    <row r="17" spans="1:33" s="14" customFormat="1" x14ac:dyDescent="0.25">
      <c r="A17" s="12" t="s">
        <v>32</v>
      </c>
      <c r="B17" s="1" t="str">
        <f>VLOOKUP(A17,[21]LISTADHERENT!A$5:H$57,3,0)</f>
        <v>KOUAMOU EMMANUEL</v>
      </c>
      <c r="C17" s="5">
        <f>MVTRESUME2019!C22</f>
        <v>480000</v>
      </c>
      <c r="D17" s="5">
        <f>MVTRESUME2019!D22</f>
        <v>78414.920478625208</v>
      </c>
      <c r="E17" s="5">
        <f>MVTRESUME2019!E22</f>
        <v>643.11234311138105</v>
      </c>
      <c r="F17" s="5">
        <f>MVTRESUME2019!F22</f>
        <v>0</v>
      </c>
      <c r="G17" s="5">
        <f>MVTRESUME2019!G22</f>
        <v>30000</v>
      </c>
      <c r="H17" s="5">
        <f>MVTRESUME2019!H22</f>
        <v>2500</v>
      </c>
      <c r="I17" s="5">
        <f>MVTRESUME2019!I22</f>
        <v>5000</v>
      </c>
      <c r="J17" s="5">
        <f>MVTRESUME2019!J22</f>
        <v>12500</v>
      </c>
      <c r="K17" s="5">
        <f>MVTRESUME2019!K22</f>
        <v>4000</v>
      </c>
      <c r="L17" s="5">
        <f>MVTRESUME2019!L22</f>
        <v>0</v>
      </c>
      <c r="M17" s="5">
        <f>MVTRESUME2019!M22</f>
        <v>0</v>
      </c>
      <c r="N17" s="5">
        <f>MVTRESUME2019!N22</f>
        <v>700000</v>
      </c>
      <c r="O17" s="5">
        <f>MVTRESUME2019!O22</f>
        <v>77000</v>
      </c>
      <c r="P17" s="5">
        <f>MVTRESUME2019!P22</f>
        <v>0</v>
      </c>
      <c r="Q17" s="5">
        <f>MVTRESUME2019!Q22</f>
        <v>0</v>
      </c>
      <c r="R17" s="5">
        <f>MVTRESUME2019!R22</f>
        <v>108500</v>
      </c>
      <c r="S17" s="5">
        <f>MVTRESUME2019!S22</f>
        <v>0</v>
      </c>
      <c r="T17" s="5">
        <f>MVTRESUME2019!T22</f>
        <v>808500</v>
      </c>
      <c r="U17" s="5">
        <f>MVTRESUME2019!U22</f>
        <v>109058.03282173659</v>
      </c>
      <c r="V17" s="5">
        <f>MVTRESUME2019!V22</f>
        <v>109058</v>
      </c>
      <c r="W17" s="5">
        <f>MVTRESUME2019!W22</f>
        <v>0</v>
      </c>
      <c r="X17" s="5">
        <f>MVTRESUME2019!X22</f>
        <v>0</v>
      </c>
      <c r="Y17" s="5">
        <f>MVTRESUME2019!Y22</f>
        <v>109058.03282173659</v>
      </c>
      <c r="Z17" s="35" t="s">
        <v>95</v>
      </c>
      <c r="AA17" s="14" t="s">
        <v>129</v>
      </c>
      <c r="AB17" s="11">
        <f>35000+73500</f>
        <v>108500</v>
      </c>
      <c r="AC17" s="11">
        <f t="shared" si="0"/>
        <v>108414.92047862521</v>
      </c>
      <c r="AD17" s="11" t="e">
        <f>#REF!</f>
        <v>#REF!</v>
      </c>
      <c r="AG17" s="7" t="e">
        <f>C17-T17+U17+AD17+AE17</f>
        <v>#REF!</v>
      </c>
    </row>
    <row r="18" spans="1:33" x14ac:dyDescent="0.25">
      <c r="A18" s="1" t="s">
        <v>33</v>
      </c>
      <c r="B18" s="1" t="str">
        <f>VLOOKUP(A18,[21]LISTADHERENT!A$5:H$57,3,0)</f>
        <v>KOUAMOU MOISE</v>
      </c>
      <c r="C18" s="5">
        <f>MVTRESUME2019!C23</f>
        <v>480000</v>
      </c>
      <c r="D18" s="5">
        <f>MVTRESUME2019!D23</f>
        <v>80181.060176583385</v>
      </c>
      <c r="E18" s="5">
        <f>MVTRESUME2019!E23</f>
        <v>2611.7018854503112</v>
      </c>
      <c r="F18" s="5">
        <f>MVTRESUME2019!F23</f>
        <v>0</v>
      </c>
      <c r="G18" s="5">
        <f>MVTRESUME2019!G23</f>
        <v>84000</v>
      </c>
      <c r="H18" s="5">
        <f>MVTRESUME2019!H23</f>
        <v>7000</v>
      </c>
      <c r="I18" s="5">
        <f>MVTRESUME2019!I23</f>
        <v>14000</v>
      </c>
      <c r="J18" s="5">
        <f>MVTRESUME2019!J23</f>
        <v>35000</v>
      </c>
      <c r="K18" s="5">
        <f>MVTRESUME2019!K23</f>
        <v>1000</v>
      </c>
      <c r="L18" s="5">
        <f>MVTRESUME2019!L23</f>
        <v>0</v>
      </c>
      <c r="M18" s="5">
        <f>MVTRESUME2019!M23</f>
        <v>0</v>
      </c>
      <c r="N18" s="5">
        <f>MVTRESUME2019!N23</f>
        <v>1500000</v>
      </c>
      <c r="O18" s="5">
        <f>MVTRESUME2019!O23</f>
        <v>135000</v>
      </c>
      <c r="P18" s="5">
        <f>MVTRESUME2019!P23</f>
        <v>25000</v>
      </c>
      <c r="Q18" s="5">
        <f>MVTRESUME2019!Q23</f>
        <v>1000000</v>
      </c>
      <c r="R18" s="5">
        <f>MVTRESUME2019!R23</f>
        <v>0</v>
      </c>
      <c r="S18" s="5">
        <f>MVTRESUME2019!S23</f>
        <v>0</v>
      </c>
      <c r="T18" s="5">
        <f>MVTRESUME2019!T23</f>
        <v>500000</v>
      </c>
      <c r="U18" s="5">
        <f>MVTRESUME2019!U23</f>
        <v>166792.7620620337</v>
      </c>
      <c r="V18" s="5">
        <f>MVTRESUME2019!V23</f>
        <v>130000</v>
      </c>
      <c r="W18" s="5">
        <f>MVTRESUME2019!W23</f>
        <v>30000</v>
      </c>
      <c r="X18" s="5">
        <f>MVTRESUME2019!X23</f>
        <v>0</v>
      </c>
      <c r="Y18" s="5">
        <f>MVTRESUME2019!Y23</f>
        <v>136792.7620620337</v>
      </c>
      <c r="Z18" s="17" t="s">
        <v>96</v>
      </c>
      <c r="AC18" s="11">
        <f t="shared" si="0"/>
        <v>164181.06017658339</v>
      </c>
    </row>
    <row r="19" spans="1:33" x14ac:dyDescent="0.25">
      <c r="A19" s="1" t="s">
        <v>35</v>
      </c>
      <c r="B19" s="1" t="str">
        <f>VLOOKUP(A19,[21]LISTADHERENT!A$5:H$57,3,0)</f>
        <v>KOUATCHO MESSACK</v>
      </c>
      <c r="C19" s="5">
        <f>MVTRESUME2019!C24</f>
        <v>480000</v>
      </c>
      <c r="D19" s="5">
        <f>MVTRESUME2019!D24</f>
        <v>79889.68496817023</v>
      </c>
      <c r="E19" s="5">
        <f>MVTRESUME2019!E24</f>
        <v>605.40582988600363</v>
      </c>
      <c r="F19" s="5">
        <f>MVTRESUME2019!F24</f>
        <v>0</v>
      </c>
      <c r="G19" s="5">
        <f>MVTRESUME2019!G24</f>
        <v>84000</v>
      </c>
      <c r="H19" s="5">
        <f>MVTRESUME2019!H24</f>
        <v>7000</v>
      </c>
      <c r="I19" s="5">
        <f>MVTRESUME2019!I24</f>
        <v>14000</v>
      </c>
      <c r="J19" s="5">
        <f>MVTRESUME2019!J24</f>
        <v>35000</v>
      </c>
      <c r="K19" s="5">
        <f>MVTRESUME2019!K24</f>
        <v>7000</v>
      </c>
      <c r="L19" s="5">
        <f>MVTRESUME2019!L24</f>
        <v>0</v>
      </c>
      <c r="M19" s="5">
        <f>MVTRESUME2019!M24</f>
        <v>0</v>
      </c>
      <c r="N19" s="5">
        <f>MVTRESUME2019!N24</f>
        <v>2000000</v>
      </c>
      <c r="O19" s="5">
        <f>MVTRESUME2019!O24</f>
        <v>150000</v>
      </c>
      <c r="P19" s="5">
        <f>MVTRESUME2019!P24</f>
        <v>40000</v>
      </c>
      <c r="Q19" s="5">
        <f>MVTRESUME2019!Q24</f>
        <v>1000000</v>
      </c>
      <c r="R19" s="5">
        <f>MVTRESUME2019!R24</f>
        <v>0</v>
      </c>
      <c r="S19" s="5">
        <f>MVTRESUME2019!S24</f>
        <v>0</v>
      </c>
      <c r="T19" s="5">
        <f>MVTRESUME2019!T24</f>
        <v>1000000</v>
      </c>
      <c r="U19" s="5">
        <f>MVTRESUME2019!U24</f>
        <v>164495.09079805622</v>
      </c>
      <c r="V19" s="5">
        <f>MVTRESUME2019!V24</f>
        <v>120000</v>
      </c>
      <c r="W19" s="5">
        <f>MVTRESUME2019!W24</f>
        <v>30000</v>
      </c>
      <c r="X19" s="5">
        <f>MVTRESUME2019!X24</f>
        <v>0</v>
      </c>
      <c r="Y19" s="5">
        <f>MVTRESUME2019!Y24</f>
        <v>134495.09079805622</v>
      </c>
      <c r="Z19" s="17" t="s">
        <v>87</v>
      </c>
      <c r="AC19" s="11">
        <f t="shared" si="0"/>
        <v>163889.68496817024</v>
      </c>
    </row>
    <row r="20" spans="1:33" x14ac:dyDescent="0.25">
      <c r="A20" s="1" t="s">
        <v>36</v>
      </c>
      <c r="B20" s="1" t="str">
        <f>VLOOKUP(A20,[21]LISTADHERENT!A$5:H$57,3,0)</f>
        <v>LOWE JEAN</v>
      </c>
      <c r="C20" s="5">
        <f>MVTRESUME2019!C25</f>
        <v>480000</v>
      </c>
      <c r="D20" s="5">
        <f>MVTRESUME2019!D25</f>
        <v>79644.731049764974</v>
      </c>
      <c r="E20" s="5">
        <f>MVTRESUME2019!E25</f>
        <v>-0.14820683863945305</v>
      </c>
      <c r="F20" s="5">
        <f>MVTRESUME2019!F25</f>
        <v>0</v>
      </c>
      <c r="G20" s="5">
        <f>MVTRESUME2019!G25</f>
        <v>82000</v>
      </c>
      <c r="H20" s="5">
        <f>MVTRESUME2019!H25</f>
        <v>7000</v>
      </c>
      <c r="I20" s="5">
        <f>MVTRESUME2019!I25</f>
        <v>14000</v>
      </c>
      <c r="J20" s="5">
        <f>MVTRESUME2019!J25</f>
        <v>35000</v>
      </c>
      <c r="K20" s="5">
        <f>MVTRESUME2019!K25</f>
        <v>9000</v>
      </c>
      <c r="L20" s="5">
        <f>MVTRESUME2019!L25</f>
        <v>0</v>
      </c>
      <c r="M20" s="5">
        <f>MVTRESUME2019!M25</f>
        <v>0</v>
      </c>
      <c r="N20" s="5">
        <f>MVTRESUME2019!N25</f>
        <v>260000</v>
      </c>
      <c r="O20" s="5">
        <f>MVTRESUME2019!O25</f>
        <v>10400</v>
      </c>
      <c r="P20" s="5">
        <f>MVTRESUME2019!P25</f>
        <v>7800</v>
      </c>
      <c r="Q20" s="5">
        <f>MVTRESUME2019!Q25</f>
        <v>130000</v>
      </c>
      <c r="R20" s="5">
        <f>MVTRESUME2019!R25</f>
        <v>0</v>
      </c>
      <c r="S20" s="5">
        <f>MVTRESUME2019!S25</f>
        <v>0</v>
      </c>
      <c r="T20" s="5">
        <f>MVTRESUME2019!T25</f>
        <v>130000</v>
      </c>
      <c r="U20" s="5">
        <f>MVTRESUME2019!U25</f>
        <v>161644.58284292632</v>
      </c>
      <c r="V20" s="5">
        <f>MVTRESUME2019!V25</f>
        <v>128000</v>
      </c>
      <c r="W20" s="5">
        <f>MVTRESUME2019!W25</f>
        <v>30000</v>
      </c>
      <c r="X20" s="5">
        <f>MVTRESUME2019!X25</f>
        <v>0</v>
      </c>
      <c r="Y20" s="5">
        <f>MVTRESUME2019!Y25</f>
        <v>131644.58284292632</v>
      </c>
      <c r="Z20" s="17" t="s">
        <v>94</v>
      </c>
      <c r="AC20" s="11">
        <f t="shared" si="0"/>
        <v>161644.73104976496</v>
      </c>
    </row>
    <row r="21" spans="1:33" x14ac:dyDescent="0.25">
      <c r="A21" s="1" t="s">
        <v>75</v>
      </c>
      <c r="B21" s="1" t="str">
        <f>VLOOKUP(A21,[21]LISTADHERENT!A$5:H$57,3,0)</f>
        <v>MBOGNING TUGMA GUY</v>
      </c>
      <c r="C21" s="5">
        <f>MVTRESUME2019!C26</f>
        <v>30000</v>
      </c>
      <c r="D21" s="5">
        <f>MVTRESUME2019!D26</f>
        <v>12025.274783900029</v>
      </c>
      <c r="E21" s="5">
        <f>MVTRESUME2019!E26</f>
        <v>2994.5270055830988</v>
      </c>
      <c r="F21" s="5">
        <f>MVTRESUME2019!F26</f>
        <v>0</v>
      </c>
      <c r="G21" s="5">
        <f>MVTRESUME2019!G26</f>
        <v>104000</v>
      </c>
      <c r="H21" s="5">
        <f>MVTRESUME2019!H26</f>
        <v>7000</v>
      </c>
      <c r="I21" s="5">
        <f>MVTRESUME2019!I26</f>
        <v>14000</v>
      </c>
      <c r="J21" s="5">
        <f>MVTRESUME2019!J26</f>
        <v>35000</v>
      </c>
      <c r="K21" s="5">
        <f>MVTRESUME2019!K26</f>
        <v>0</v>
      </c>
      <c r="L21" s="5">
        <f>MVTRESUME2019!L26</f>
        <v>0</v>
      </c>
      <c r="M21" s="5">
        <f>MVTRESUME2019!M26</f>
        <v>0</v>
      </c>
      <c r="N21" s="5">
        <f>MVTRESUME2019!N26</f>
        <v>900000</v>
      </c>
      <c r="O21" s="5">
        <f>MVTRESUME2019!O26</f>
        <v>108000</v>
      </c>
      <c r="P21" s="5">
        <f>MVTRESUME2019!P26</f>
        <v>0</v>
      </c>
      <c r="Q21" s="5">
        <f>MVTRESUME2019!Q26</f>
        <v>900000</v>
      </c>
      <c r="R21" s="5">
        <f>MVTRESUME2019!R26</f>
        <v>0</v>
      </c>
      <c r="S21" s="5">
        <f>MVTRESUME2019!S26</f>
        <v>0</v>
      </c>
      <c r="T21" s="5">
        <f>MVTRESUME2019!T26</f>
        <v>0</v>
      </c>
      <c r="U21" s="5">
        <f>MVTRESUME2019!U26</f>
        <v>119019.80178948313</v>
      </c>
      <c r="V21" s="5">
        <f>MVTRESUME2019!V26</f>
        <v>88500</v>
      </c>
      <c r="W21" s="5">
        <f>MVTRESUME2019!W26</f>
        <v>30000</v>
      </c>
      <c r="X21" s="5">
        <f>MVTRESUME2019!X26</f>
        <v>0</v>
      </c>
      <c r="Y21" s="5">
        <f>MVTRESUME2019!Y26</f>
        <v>89019.801789483128</v>
      </c>
      <c r="Z21" s="17" t="s">
        <v>91</v>
      </c>
      <c r="AC21" s="11">
        <f t="shared" si="0"/>
        <v>116025.27478390004</v>
      </c>
    </row>
    <row r="22" spans="1:33" x14ac:dyDescent="0.25">
      <c r="A22" s="1" t="s">
        <v>50</v>
      </c>
      <c r="B22" s="1" t="str">
        <f>VLOOKUP(A22,[21]LISTADHERENT!A$5:H$57,3,0)</f>
        <v>NANGUEN MARTIN</v>
      </c>
      <c r="C22" s="5">
        <f>MVTRESUME2019!C27</f>
        <v>450000</v>
      </c>
      <c r="D22" s="5">
        <f>MVTRESUME2019!D27</f>
        <v>81837.118573991771</v>
      </c>
      <c r="E22" s="5">
        <f>MVTRESUME2019!E27</f>
        <v>12890.22827698091</v>
      </c>
      <c r="F22" s="5">
        <f>MVTRESUME2019!F27</f>
        <v>0</v>
      </c>
      <c r="G22" s="5">
        <f>MVTRESUME2019!G27</f>
        <v>94000</v>
      </c>
      <c r="H22" s="5">
        <f>MVTRESUME2019!H27</f>
        <v>7000</v>
      </c>
      <c r="I22" s="5">
        <f>MVTRESUME2019!I27</f>
        <v>14000</v>
      </c>
      <c r="J22" s="5">
        <f>MVTRESUME2019!J27</f>
        <v>35000</v>
      </c>
      <c r="K22" s="5">
        <f>MVTRESUME2019!K27</f>
        <v>0</v>
      </c>
      <c r="L22" s="5">
        <f>MVTRESUME2019!L27</f>
        <v>0</v>
      </c>
      <c r="M22" s="5">
        <f>MVTRESUME2019!M27</f>
        <v>0</v>
      </c>
      <c r="N22" s="5">
        <f>MVTRESUME2019!N27</f>
        <v>100000</v>
      </c>
      <c r="O22" s="5">
        <f>MVTRESUME2019!O27</f>
        <v>5000</v>
      </c>
      <c r="P22" s="5">
        <f>MVTRESUME2019!P27</f>
        <v>0</v>
      </c>
      <c r="Q22" s="5">
        <f>MVTRESUME2019!Q27</f>
        <v>100000</v>
      </c>
      <c r="R22" s="5">
        <f>MVTRESUME2019!R27</f>
        <v>0</v>
      </c>
      <c r="S22" s="5">
        <f>MVTRESUME2019!S27</f>
        <v>0</v>
      </c>
      <c r="T22" s="5">
        <f>MVTRESUME2019!T27</f>
        <v>0</v>
      </c>
      <c r="U22" s="5">
        <f>MVTRESUME2019!U27</f>
        <v>188727.34685097268</v>
      </c>
      <c r="V22" s="5">
        <f>MVTRESUME2019!V27</f>
        <v>95000</v>
      </c>
      <c r="W22" s="5">
        <f>MVTRESUME2019!W27</f>
        <v>60000</v>
      </c>
      <c r="X22" s="5">
        <f>MVTRESUME2019!X27</f>
        <v>0</v>
      </c>
      <c r="Y22" s="5">
        <f>MVTRESUME2019!Y27</f>
        <v>128727.34685097268</v>
      </c>
      <c r="Z22" s="17" t="s">
        <v>94</v>
      </c>
      <c r="AC22" s="11">
        <f t="shared" si="0"/>
        <v>175837.11857399176</v>
      </c>
    </row>
    <row r="23" spans="1:33" x14ac:dyDescent="0.25">
      <c r="A23" s="1" t="s">
        <v>37</v>
      </c>
      <c r="B23" s="1" t="str">
        <f>VLOOKUP(A23,[21]LISTADHERENT!A$5:H$57,3,0)</f>
        <v>NANKAM APPOLINAIRE</v>
      </c>
      <c r="C23" s="5">
        <f>MVTRESUME2019!C28</f>
        <v>480000</v>
      </c>
      <c r="D23" s="5">
        <f>MVTRESUME2019!D28</f>
        <v>80008.312869354428</v>
      </c>
      <c r="E23" s="5">
        <f>MVTRESUME2019!E28</f>
        <v>1353.7356825511233</v>
      </c>
      <c r="F23" s="5">
        <f>MVTRESUME2019!F28</f>
        <v>0</v>
      </c>
      <c r="G23" s="5">
        <f>MVTRESUME2019!G28</f>
        <v>84000</v>
      </c>
      <c r="H23" s="5">
        <f>MVTRESUME2019!H28</f>
        <v>7000</v>
      </c>
      <c r="I23" s="5">
        <f>MVTRESUME2019!I28</f>
        <v>14000</v>
      </c>
      <c r="J23" s="5">
        <f>MVTRESUME2019!J28</f>
        <v>35000</v>
      </c>
      <c r="K23" s="5">
        <f>MVTRESUME2019!K28</f>
        <v>5000</v>
      </c>
      <c r="L23" s="5">
        <f>MVTRESUME2019!L28</f>
        <v>0</v>
      </c>
      <c r="M23" s="5">
        <f>MVTRESUME2019!M28</f>
        <v>0</v>
      </c>
      <c r="N23" s="5">
        <f>MVTRESUME2019!N28</f>
        <v>2000000</v>
      </c>
      <c r="O23" s="5">
        <f>MVTRESUME2019!O28</f>
        <v>230000</v>
      </c>
      <c r="P23" s="5">
        <f>MVTRESUME2019!P28</f>
        <v>120000</v>
      </c>
      <c r="Q23" s="5">
        <f>MVTRESUME2019!Q28</f>
        <v>1000000</v>
      </c>
      <c r="R23" s="5">
        <f>MVTRESUME2019!R28</f>
        <v>0</v>
      </c>
      <c r="S23" s="5">
        <f>MVTRESUME2019!S28</f>
        <v>0</v>
      </c>
      <c r="T23" s="5">
        <f>MVTRESUME2019!T28</f>
        <v>1000000</v>
      </c>
      <c r="U23" s="5">
        <f>MVTRESUME2019!U28</f>
        <v>165362.04855190555</v>
      </c>
      <c r="V23" s="5">
        <f>MVTRESUME2019!V28</f>
        <v>130000</v>
      </c>
      <c r="W23" s="5">
        <f>MVTRESUME2019!W28</f>
        <v>30000</v>
      </c>
      <c r="X23" s="5">
        <f>MVTRESUME2019!X28</f>
        <v>0</v>
      </c>
      <c r="Y23" s="5">
        <f>MVTRESUME2019!Y28</f>
        <v>135362.04855190555</v>
      </c>
      <c r="Z23" s="17"/>
      <c r="AC23" s="11">
        <f t="shared" si="0"/>
        <v>164008.31286935444</v>
      </c>
    </row>
    <row r="24" spans="1:33" x14ac:dyDescent="0.25">
      <c r="A24" s="1" t="s">
        <v>38</v>
      </c>
      <c r="B24" s="1" t="str">
        <f>VLOOKUP(A24,[21]LISTADHERENT!A$5:H$57,3,0)</f>
        <v>NDJOMO ETIENNE</v>
      </c>
      <c r="C24" s="5">
        <f>MVTRESUME2019!C29</f>
        <v>480000</v>
      </c>
      <c r="D24" s="5">
        <f>MVTRESUME2019!D29</f>
        <v>91731.680250305682</v>
      </c>
      <c r="E24" s="5">
        <f>MVTRESUME2019!E29</f>
        <v>57225.614111341449</v>
      </c>
      <c r="F24" s="5">
        <f>MVTRESUME2019!F29</f>
        <v>0</v>
      </c>
      <c r="G24" s="5">
        <f>MVTRESUME2019!G29</f>
        <v>151000</v>
      </c>
      <c r="H24" s="5">
        <f>MVTRESUME2019!H29</f>
        <v>7000</v>
      </c>
      <c r="I24" s="5">
        <f>MVTRESUME2019!I29</f>
        <v>14000</v>
      </c>
      <c r="J24" s="5">
        <f>MVTRESUME2019!J29</f>
        <v>35000</v>
      </c>
      <c r="K24" s="5">
        <f>MVTRESUME2019!K29</f>
        <v>0</v>
      </c>
      <c r="L24" s="5">
        <f>MVTRESUME2019!L29</f>
        <v>0</v>
      </c>
      <c r="M24" s="5">
        <f>MVTRESUME2019!M29</f>
        <v>0</v>
      </c>
      <c r="N24" s="5">
        <f>MVTRESUME2019!N29</f>
        <v>500000</v>
      </c>
      <c r="O24" s="5">
        <f>MVTRESUME2019!O29</f>
        <v>50000</v>
      </c>
      <c r="P24" s="5">
        <f>MVTRESUME2019!P29</f>
        <v>0</v>
      </c>
      <c r="Q24" s="5">
        <f>MVTRESUME2019!Q29</f>
        <v>500000</v>
      </c>
      <c r="R24" s="5">
        <f>MVTRESUME2019!R29</f>
        <v>0</v>
      </c>
      <c r="S24" s="5">
        <f>MVTRESUME2019!S29</f>
        <v>0</v>
      </c>
      <c r="T24" s="5">
        <f>MVTRESUME2019!T29</f>
        <v>0</v>
      </c>
      <c r="U24" s="5">
        <f>MVTRESUME2019!U29</f>
        <v>299957.2943616471</v>
      </c>
      <c r="V24" s="5">
        <f>MVTRESUME2019!V29</f>
        <v>240000</v>
      </c>
      <c r="W24" s="5">
        <f>MVTRESUME2019!W29</f>
        <v>30000</v>
      </c>
      <c r="X24" s="5">
        <f>MVTRESUME2019!X29</f>
        <v>0</v>
      </c>
      <c r="Y24" s="5">
        <f>MVTRESUME2019!Y29</f>
        <v>269957.2943616471</v>
      </c>
      <c r="Z24" s="17"/>
      <c r="AC24" s="11">
        <f t="shared" si="0"/>
        <v>242731.68025030568</v>
      </c>
    </row>
    <row r="25" spans="1:33" x14ac:dyDescent="0.25">
      <c r="A25" s="1" t="s">
        <v>80</v>
      </c>
      <c r="B25" s="1" t="str">
        <f>VLOOKUP(A25,[21]LISTADHERENT!A$5:H$57,3,0)</f>
        <v>NGANHOU JEAN</v>
      </c>
      <c r="C25" s="5">
        <f>MVTRESUME2019!C30</f>
        <v>0</v>
      </c>
      <c r="D25" s="5">
        <f>MVTRESUME2019!D30</f>
        <v>2138.4782390296004</v>
      </c>
      <c r="E25" s="5">
        <f>MVTRESUME2019!E30</f>
        <v>0.16900408919900656</v>
      </c>
      <c r="F25" s="5">
        <f>MVTRESUME2019!F30</f>
        <v>0</v>
      </c>
      <c r="G25" s="5">
        <f>MVTRESUME2019!G30</f>
        <v>30000</v>
      </c>
      <c r="H25" s="5">
        <f>MVTRESUME2019!H30</f>
        <v>2500</v>
      </c>
      <c r="I25" s="5">
        <f>MVTRESUME2019!I30</f>
        <v>5000</v>
      </c>
      <c r="J25" s="5">
        <f>MVTRESUME2019!J30</f>
        <v>12500</v>
      </c>
      <c r="K25" s="5">
        <f>MVTRESUME2019!K30</f>
        <v>2000</v>
      </c>
      <c r="L25" s="5">
        <f>MVTRESUME2019!L30</f>
        <v>0</v>
      </c>
      <c r="M25" s="5">
        <f>MVTRESUME2019!M30</f>
        <v>0</v>
      </c>
      <c r="N25" s="5">
        <f>MVTRESUME2019!N30</f>
        <v>0</v>
      </c>
      <c r="O25" s="5">
        <f>MVTRESUME2019!O30</f>
        <v>0</v>
      </c>
      <c r="P25" s="5">
        <f>MVTRESUME2019!P30</f>
        <v>0</v>
      </c>
      <c r="Q25" s="5">
        <f>MVTRESUME2019!Q30</f>
        <v>0</v>
      </c>
      <c r="R25" s="5">
        <f>MVTRESUME2019!R30</f>
        <v>0</v>
      </c>
      <c r="S25" s="5">
        <f>MVTRESUME2019!S30</f>
        <v>0</v>
      </c>
      <c r="T25" s="5">
        <f>MVTRESUME2019!T30</f>
        <v>0</v>
      </c>
      <c r="U25" s="5">
        <f>MVTRESUME2019!U30</f>
        <v>32138.647243118801</v>
      </c>
      <c r="V25" s="5">
        <f>MVTRESUME2019!V30</f>
        <v>2139</v>
      </c>
      <c r="W25" s="5">
        <f>MVTRESUME2019!W30</f>
        <v>30000</v>
      </c>
      <c r="X25" s="5">
        <f>MVTRESUME2019!X30</f>
        <v>0</v>
      </c>
      <c r="Y25" s="5">
        <f>MVTRESUME2019!Y30</f>
        <v>2138.6472431188013</v>
      </c>
      <c r="Z25" s="17"/>
      <c r="AC25" s="11">
        <f t="shared" si="0"/>
        <v>32138.478239029602</v>
      </c>
    </row>
    <row r="26" spans="1:33" s="14" customFormat="1" x14ac:dyDescent="0.25">
      <c r="A26" s="12" t="s">
        <v>39</v>
      </c>
      <c r="B26" s="1" t="str">
        <f>VLOOKUP(A26,[21]LISTADHERENT!A$5:H$57,3,0)</f>
        <v>NGONDIEP CLAUDE</v>
      </c>
      <c r="C26" s="5">
        <f>MVTRESUME2019!C31</f>
        <v>480000</v>
      </c>
      <c r="D26" s="5">
        <f>MVTRESUME2019!D31</f>
        <v>0</v>
      </c>
      <c r="E26" s="5">
        <f>MVTRESUME2019!E31</f>
        <v>0.28740352351451293</v>
      </c>
      <c r="F26" s="5">
        <f>MVTRESUME2019!F31</f>
        <v>0</v>
      </c>
      <c r="G26" s="5">
        <f>MVTRESUME2019!G31</f>
        <v>100000</v>
      </c>
      <c r="H26" s="5">
        <f>MVTRESUME2019!H31</f>
        <v>7000</v>
      </c>
      <c r="I26" s="5">
        <f>MVTRESUME2019!I31</f>
        <v>14000</v>
      </c>
      <c r="J26" s="5">
        <f>MVTRESUME2019!J31</f>
        <v>35000</v>
      </c>
      <c r="K26" s="5">
        <f>MVTRESUME2019!K31</f>
        <v>6000</v>
      </c>
      <c r="L26" s="5">
        <f>MVTRESUME2019!L31</f>
        <v>0</v>
      </c>
      <c r="M26" s="5">
        <f>MVTRESUME2019!M31</f>
        <v>0</v>
      </c>
      <c r="N26" s="5">
        <f>MVTRESUME2019!N31</f>
        <v>1176000</v>
      </c>
      <c r="O26" s="5">
        <f>MVTRESUME2019!O31</f>
        <v>0</v>
      </c>
      <c r="P26" s="5">
        <f>MVTRESUME2019!P31</f>
        <v>0</v>
      </c>
      <c r="Q26" s="5">
        <f>MVTRESUME2019!Q31</f>
        <v>1305360</v>
      </c>
      <c r="R26" s="5">
        <f>MVTRESUME2019!R31</f>
        <v>129360</v>
      </c>
      <c r="S26" s="5">
        <f>MVTRESUME2019!S31</f>
        <v>0</v>
      </c>
      <c r="T26" s="5">
        <f>MVTRESUME2019!T31</f>
        <v>0</v>
      </c>
      <c r="U26" s="5">
        <f>MVTRESUME2019!U31</f>
        <v>100000.28740352351</v>
      </c>
      <c r="V26" s="5">
        <f>MVTRESUME2019!V31</f>
        <v>60000</v>
      </c>
      <c r="W26" s="5">
        <f>MVTRESUME2019!W31</f>
        <v>30000</v>
      </c>
      <c r="X26" s="5">
        <f>MVTRESUME2019!X31</f>
        <v>0</v>
      </c>
      <c r="Y26" s="5">
        <f>MVTRESUME2019!Y31</f>
        <v>70000.287403523515</v>
      </c>
      <c r="Z26" s="35"/>
      <c r="AA26" s="14" t="s">
        <v>129</v>
      </c>
      <c r="AC26" s="11">
        <f t="shared" si="0"/>
        <v>100000</v>
      </c>
    </row>
    <row r="27" spans="1:33" s="14" customFormat="1" x14ac:dyDescent="0.25">
      <c r="A27" s="12" t="s">
        <v>40</v>
      </c>
      <c r="B27" s="1" t="str">
        <f>VLOOKUP(A27,[21]LISTADHERENT!A$5:H$57,3,0)</f>
        <v>NGONGANG JEAN THEODORE</v>
      </c>
      <c r="C27" s="5">
        <f>MVTRESUME2019!C32</f>
        <v>117045</v>
      </c>
      <c r="D27" s="5">
        <f>MVTRESUME2019!D32</f>
        <v>0</v>
      </c>
      <c r="E27" s="5">
        <f>MVTRESUME2019!E32</f>
        <v>22.240996590782743</v>
      </c>
      <c r="F27" s="5">
        <f>MVTRESUME2019!F32</f>
        <v>0</v>
      </c>
      <c r="G27" s="5">
        <f>MVTRESUME2019!G32</f>
        <v>84000</v>
      </c>
      <c r="H27" s="5">
        <f>MVTRESUME2019!H32</f>
        <v>7000</v>
      </c>
      <c r="I27" s="5">
        <f>MVTRESUME2019!I32</f>
        <v>14000</v>
      </c>
      <c r="J27" s="5">
        <f>MVTRESUME2019!J32</f>
        <v>35000</v>
      </c>
      <c r="K27" s="5">
        <f>MVTRESUME2019!K32</f>
        <v>3000</v>
      </c>
      <c r="L27" s="5">
        <f>MVTRESUME2019!L32</f>
        <v>0</v>
      </c>
      <c r="M27" s="5">
        <f>MVTRESUME2019!M32</f>
        <v>0</v>
      </c>
      <c r="N27" s="5">
        <f>MVTRESUME2019!N32</f>
        <v>0</v>
      </c>
      <c r="O27" s="5">
        <f>MVTRESUME2019!O32</f>
        <v>0</v>
      </c>
      <c r="P27" s="5">
        <f>MVTRESUME2019!P32</f>
        <v>0</v>
      </c>
      <c r="Q27" s="5">
        <f>MVTRESUME2019!Q32</f>
        <v>0</v>
      </c>
      <c r="R27" s="5">
        <f>MVTRESUME2019!R32</f>
        <v>0</v>
      </c>
      <c r="S27" s="5">
        <f>MVTRESUME2019!S32</f>
        <v>0</v>
      </c>
      <c r="T27" s="5">
        <f>MVTRESUME2019!T32</f>
        <v>0</v>
      </c>
      <c r="U27" s="5">
        <f>MVTRESUME2019!U32</f>
        <v>84022.240996590786</v>
      </c>
      <c r="V27" s="5">
        <f>MVTRESUME2019!V32</f>
        <v>54022</v>
      </c>
      <c r="W27" s="5">
        <f>MVTRESUME2019!W32</f>
        <v>30000</v>
      </c>
      <c r="X27" s="5">
        <f>MVTRESUME2019!X32</f>
        <v>0</v>
      </c>
      <c r="Y27" s="5">
        <f>MVTRESUME2019!Y32</f>
        <v>54022.240996590786</v>
      </c>
      <c r="Z27" s="35"/>
      <c r="AC27" s="11">
        <f t="shared" si="0"/>
        <v>84000</v>
      </c>
      <c r="AD27" s="11">
        <v>80000</v>
      </c>
      <c r="AG27" s="7">
        <f>C27-T27+U27+AD27+AE27</f>
        <v>281067.24099659082</v>
      </c>
    </row>
    <row r="28" spans="1:33" x14ac:dyDescent="0.25">
      <c r="A28" s="1" t="s">
        <v>41</v>
      </c>
      <c r="B28" s="1" t="str">
        <f>VLOOKUP(A28,[21]LISTADHERENT!A$5:H$57,3,0)</f>
        <v>NGUIEMEGNI MATHIEU BLAISE</v>
      </c>
      <c r="C28" s="5">
        <f>MVTRESUME2019!C33</f>
        <v>480000</v>
      </c>
      <c r="D28" s="5">
        <f>MVTRESUME2019!D33</f>
        <v>91170.310621746714</v>
      </c>
      <c r="E28" s="5">
        <f>MVTRESUME2019!E33</f>
        <v>72138.254558185639</v>
      </c>
      <c r="F28" s="5">
        <f>MVTRESUME2019!F33</f>
        <v>0</v>
      </c>
      <c r="G28" s="5">
        <f>MVTRESUME2019!G33</f>
        <v>82000</v>
      </c>
      <c r="H28" s="5">
        <f>MVTRESUME2019!H33</f>
        <v>7000</v>
      </c>
      <c r="I28" s="5">
        <f>MVTRESUME2019!I33</f>
        <v>14000</v>
      </c>
      <c r="J28" s="5">
        <f>MVTRESUME2019!J33</f>
        <v>35000</v>
      </c>
      <c r="K28" s="5">
        <f>MVTRESUME2019!K33</f>
        <v>4000</v>
      </c>
      <c r="L28" s="5">
        <f>MVTRESUME2019!L33</f>
        <v>0</v>
      </c>
      <c r="M28" s="5">
        <f>MVTRESUME2019!M33</f>
        <v>0</v>
      </c>
      <c r="N28" s="5">
        <f>MVTRESUME2019!N33</f>
        <v>1150000</v>
      </c>
      <c r="O28" s="5">
        <f>MVTRESUME2019!O33</f>
        <v>114500</v>
      </c>
      <c r="P28" s="5">
        <f>MVTRESUME2019!P33</f>
        <v>4500</v>
      </c>
      <c r="Q28" s="5">
        <f>MVTRESUME2019!Q33</f>
        <v>1000000</v>
      </c>
      <c r="R28" s="5">
        <f>MVTRESUME2019!R33</f>
        <v>0</v>
      </c>
      <c r="S28" s="5">
        <f>MVTRESUME2019!S33</f>
        <v>0</v>
      </c>
      <c r="T28" s="5">
        <f>MVTRESUME2019!T33</f>
        <v>150000</v>
      </c>
      <c r="U28" s="5">
        <f>MVTRESUME2019!U33</f>
        <v>245308.56517993234</v>
      </c>
      <c r="V28" s="5">
        <f>MVTRESUME2019!V33</f>
        <v>200000</v>
      </c>
      <c r="W28" s="5">
        <f>MVTRESUME2019!W33</f>
        <v>30000</v>
      </c>
      <c r="X28" s="5">
        <f>MVTRESUME2019!X33</f>
        <v>0</v>
      </c>
      <c r="Y28" s="5">
        <f>MVTRESUME2019!Y33</f>
        <v>215308.56517993234</v>
      </c>
      <c r="Z28" s="17" t="s">
        <v>97</v>
      </c>
      <c r="AC28" s="11">
        <f t="shared" si="0"/>
        <v>173170.3106217467</v>
      </c>
    </row>
    <row r="29" spans="1:33" s="14" customFormat="1" x14ac:dyDescent="0.25">
      <c r="A29" s="12" t="s">
        <v>42</v>
      </c>
      <c r="B29" s="1" t="str">
        <f>VLOOKUP(A29,[21]LISTADHERENT!A$5:H$57,3,0)</f>
        <v>NJEPDJIO MBOUKAM DELUXE</v>
      </c>
      <c r="C29" s="5">
        <f>MVTRESUME2019!C34</f>
        <v>480000</v>
      </c>
      <c r="D29" s="5">
        <f>MVTRESUME2019!D34</f>
        <v>78422.245259251824</v>
      </c>
      <c r="E29" s="5">
        <f>MVTRESUME2019!E34</f>
        <v>689.31860616087215</v>
      </c>
      <c r="F29" s="5">
        <f>MVTRESUME2019!F34</f>
        <v>0</v>
      </c>
      <c r="G29" s="5">
        <f>MVTRESUME2019!G34</f>
        <v>30000</v>
      </c>
      <c r="H29" s="5">
        <f>MVTRESUME2019!H34</f>
        <v>2500</v>
      </c>
      <c r="I29" s="5">
        <f>MVTRESUME2019!I34</f>
        <v>5000</v>
      </c>
      <c r="J29" s="5">
        <f>MVTRESUME2019!J34</f>
        <v>12500</v>
      </c>
      <c r="K29" s="5">
        <f>MVTRESUME2019!K34</f>
        <v>5000</v>
      </c>
      <c r="L29" s="5">
        <f>MVTRESUME2019!L34</f>
        <v>0</v>
      </c>
      <c r="M29" s="5">
        <f>MVTRESUME2019!M34</f>
        <v>0</v>
      </c>
      <c r="N29" s="5">
        <f>MVTRESUME2019!N34</f>
        <v>700000</v>
      </c>
      <c r="O29" s="5">
        <f>MVTRESUME2019!O34</f>
        <v>84000</v>
      </c>
      <c r="P29" s="5">
        <f>MVTRESUME2019!P34</f>
        <v>0</v>
      </c>
      <c r="Q29" s="5">
        <f>MVTRESUME2019!Q34</f>
        <v>0</v>
      </c>
      <c r="R29" s="5">
        <f>MVTRESUME2019!R34</f>
        <v>108500</v>
      </c>
      <c r="S29" s="5">
        <f>MVTRESUME2019!S34</f>
        <v>0</v>
      </c>
      <c r="T29" s="5">
        <f>MVTRESUME2019!T34</f>
        <v>808500</v>
      </c>
      <c r="U29" s="5">
        <f>MVTRESUME2019!U34</f>
        <v>109111.5638654127</v>
      </c>
      <c r="V29" s="5">
        <f>MVTRESUME2019!V34</f>
        <v>79112</v>
      </c>
      <c r="W29" s="5">
        <f>MVTRESUME2019!W34</f>
        <v>30000</v>
      </c>
      <c r="X29" s="5">
        <f>MVTRESUME2019!X34</f>
        <v>0</v>
      </c>
      <c r="Y29" s="5">
        <f>MVTRESUME2019!Y34</f>
        <v>79111.563865412696</v>
      </c>
      <c r="Z29" s="35" t="s">
        <v>94</v>
      </c>
      <c r="AA29" s="14" t="s">
        <v>129</v>
      </c>
      <c r="AB29" s="11">
        <f>35000+73500</f>
        <v>108500</v>
      </c>
      <c r="AC29" s="11">
        <f t="shared" si="0"/>
        <v>108422.24525925182</v>
      </c>
      <c r="AD29" s="11" t="e">
        <f>#REF!</f>
        <v>#REF!</v>
      </c>
      <c r="AE29" s="11">
        <v>-488000</v>
      </c>
      <c r="AF29" s="11"/>
      <c r="AG29" s="7" t="e">
        <f>C29-T29+U29+AD29+AE29</f>
        <v>#REF!</v>
      </c>
    </row>
    <row r="30" spans="1:33" s="8" customFormat="1" x14ac:dyDescent="0.25">
      <c r="A30" s="1" t="s">
        <v>43</v>
      </c>
      <c r="B30" s="1" t="str">
        <f>VLOOKUP(A30,[21]LISTADHERENT!A$5:H$57,3,0)</f>
        <v>NKAMGANG JUSTIN DEJOLIE</v>
      </c>
      <c r="C30" s="5">
        <f>MVTRESUME2019!C35</f>
        <v>480000</v>
      </c>
      <c r="D30" s="5">
        <f>MVTRESUME2019!D35</f>
        <v>80425.990897485564</v>
      </c>
      <c r="E30" s="5">
        <f>MVTRESUME2019!E35</f>
        <v>36.350487807299942</v>
      </c>
      <c r="F30" s="5">
        <f>MVTRESUME2019!F35</f>
        <v>0</v>
      </c>
      <c r="G30" s="5">
        <f>MVTRESUME2019!G35</f>
        <v>144000</v>
      </c>
      <c r="H30" s="5">
        <f>MVTRESUME2019!H35</f>
        <v>7000</v>
      </c>
      <c r="I30" s="5">
        <f>MVTRESUME2019!I35</f>
        <v>14000</v>
      </c>
      <c r="J30" s="5">
        <f>MVTRESUME2019!J35</f>
        <v>35000</v>
      </c>
      <c r="K30" s="5">
        <f>MVTRESUME2019!K35</f>
        <v>23000</v>
      </c>
      <c r="L30" s="5">
        <f>MVTRESUME2019!L35</f>
        <v>0</v>
      </c>
      <c r="M30" s="5">
        <f>MVTRESUME2019!M35</f>
        <v>0</v>
      </c>
      <c r="N30" s="5">
        <f>MVTRESUME2019!N35</f>
        <v>3000000</v>
      </c>
      <c r="O30" s="5">
        <f>MVTRESUME2019!O35</f>
        <v>170000</v>
      </c>
      <c r="P30" s="5">
        <f>MVTRESUME2019!P35</f>
        <v>50000</v>
      </c>
      <c r="Q30" s="5">
        <f>MVTRESUME2019!Q35</f>
        <v>2000000</v>
      </c>
      <c r="R30" s="5">
        <f>MVTRESUME2019!R35</f>
        <v>0</v>
      </c>
      <c r="S30" s="5">
        <f>MVTRESUME2019!S35</f>
        <v>0</v>
      </c>
      <c r="T30" s="5">
        <f>MVTRESUME2019!T35</f>
        <v>1000000</v>
      </c>
      <c r="U30" s="5">
        <f>MVTRESUME2019!U35</f>
        <v>224462.34138529288</v>
      </c>
      <c r="V30" s="5">
        <f>MVTRESUME2019!V35</f>
        <v>120000</v>
      </c>
      <c r="W30" s="5">
        <f>MVTRESUME2019!W35</f>
        <v>30000</v>
      </c>
      <c r="X30" s="5">
        <f>MVTRESUME2019!X35</f>
        <v>0</v>
      </c>
      <c r="Y30" s="5">
        <f>MVTRESUME2019!Y35</f>
        <v>194462.34138529288</v>
      </c>
      <c r="Z30" s="17" t="s">
        <v>76</v>
      </c>
      <c r="AC30" s="11">
        <f t="shared" si="0"/>
        <v>224425.99089748558</v>
      </c>
    </row>
    <row r="31" spans="1:33" x14ac:dyDescent="0.25">
      <c r="A31" s="1" t="s">
        <v>30</v>
      </c>
      <c r="B31" s="1" t="str">
        <f>VLOOKUP(A31,[21]LISTADHERENT!A$5:H$57,3,0)</f>
        <v>NKEHE DAVID</v>
      </c>
      <c r="C31" s="5">
        <f>MVTRESUME2019!C36</f>
        <v>480000</v>
      </c>
      <c r="D31" s="5">
        <f>MVTRESUME2019!D36</f>
        <v>79900.26982663176</v>
      </c>
      <c r="E31" s="5">
        <f>MVTRESUME2019!E36</f>
        <v>0.30040658926009201</v>
      </c>
      <c r="F31" s="5">
        <f>MVTRESUME2019!F36</f>
        <v>0</v>
      </c>
      <c r="G31" s="5">
        <f>MVTRESUME2019!G36</f>
        <v>86500</v>
      </c>
      <c r="H31" s="5">
        <f>MVTRESUME2019!H36</f>
        <v>7000</v>
      </c>
      <c r="I31" s="5">
        <f>MVTRESUME2019!I36</f>
        <v>14000</v>
      </c>
      <c r="J31" s="5">
        <f>MVTRESUME2019!J36</f>
        <v>35000</v>
      </c>
      <c r="K31" s="5">
        <f>MVTRESUME2019!K36</f>
        <v>11000</v>
      </c>
      <c r="L31" s="5">
        <f>MVTRESUME2019!L36</f>
        <v>0</v>
      </c>
      <c r="M31" s="5">
        <f>MVTRESUME2019!M36</f>
        <v>0</v>
      </c>
      <c r="N31" s="5">
        <f>MVTRESUME2019!N36</f>
        <v>2000000</v>
      </c>
      <c r="O31" s="5">
        <f>MVTRESUME2019!O36</f>
        <v>240000</v>
      </c>
      <c r="P31" s="5">
        <f>MVTRESUME2019!P36</f>
        <v>120000</v>
      </c>
      <c r="Q31" s="5">
        <f>MVTRESUME2019!Q36</f>
        <v>1000000</v>
      </c>
      <c r="R31" s="5">
        <f>MVTRESUME2019!R36</f>
        <v>0</v>
      </c>
      <c r="S31" s="5">
        <f>MVTRESUME2019!S36</f>
        <v>0</v>
      </c>
      <c r="T31" s="5">
        <f>MVTRESUME2019!T36</f>
        <v>1000000</v>
      </c>
      <c r="U31" s="5">
        <f>MVTRESUME2019!U36</f>
        <v>166400.57023322102</v>
      </c>
      <c r="V31" s="5">
        <f>MVTRESUME2019!V36</f>
        <v>133000</v>
      </c>
      <c r="W31" s="5">
        <f>MVTRESUME2019!W36</f>
        <v>30000</v>
      </c>
      <c r="X31" s="5">
        <f>MVTRESUME2019!X36</f>
        <v>0</v>
      </c>
      <c r="Y31" s="5">
        <f>MVTRESUME2019!Y36</f>
        <v>136400.57023322102</v>
      </c>
      <c r="Z31" s="17" t="s">
        <v>87</v>
      </c>
      <c r="AC31" s="11">
        <f t="shared" si="0"/>
        <v>166400.26982663176</v>
      </c>
    </row>
    <row r="32" spans="1:33" x14ac:dyDescent="0.25">
      <c r="A32" s="1" t="s">
        <v>44</v>
      </c>
      <c r="B32" s="1" t="str">
        <f>VLOOKUP(A32,[21]LISTADHERENT!A$5:H$57,3,0)</f>
        <v>NKEPSEU DIEUDONNE</v>
      </c>
      <c r="C32" s="5">
        <f>MVTRESUME2019!C37</f>
        <v>480000</v>
      </c>
      <c r="D32" s="5">
        <f>MVTRESUME2019!D37</f>
        <v>80218.625624560562</v>
      </c>
      <c r="E32" s="5">
        <f>MVTRESUME2019!E37</f>
        <v>109.79976263979916</v>
      </c>
      <c r="F32" s="5">
        <f>MVTRESUME2019!F37</f>
        <v>0</v>
      </c>
      <c r="G32" s="5">
        <f>MVTRESUME2019!G37</f>
        <v>94000</v>
      </c>
      <c r="H32" s="5">
        <f>MVTRESUME2019!H37</f>
        <v>7000</v>
      </c>
      <c r="I32" s="5">
        <f>MVTRESUME2019!I37</f>
        <v>14000</v>
      </c>
      <c r="J32" s="5">
        <f>MVTRESUME2019!J37</f>
        <v>35000</v>
      </c>
      <c r="K32" s="5">
        <f>MVTRESUME2019!K37</f>
        <v>7000</v>
      </c>
      <c r="L32" s="5">
        <f>MVTRESUME2019!L37</f>
        <v>0</v>
      </c>
      <c r="M32" s="5">
        <f>MVTRESUME2019!M37</f>
        <v>0</v>
      </c>
      <c r="N32" s="5">
        <f>MVTRESUME2019!N37</f>
        <v>2000000</v>
      </c>
      <c r="O32" s="5">
        <f>MVTRESUME2019!O37</f>
        <v>230000</v>
      </c>
      <c r="P32" s="5">
        <f>MVTRESUME2019!P37</f>
        <v>120000</v>
      </c>
      <c r="Q32" s="5">
        <f>MVTRESUME2019!Q37</f>
        <v>1000000</v>
      </c>
      <c r="R32" s="5">
        <f>MVTRESUME2019!R37</f>
        <v>0</v>
      </c>
      <c r="S32" s="5">
        <f>MVTRESUME2019!S37</f>
        <v>0</v>
      </c>
      <c r="T32" s="5">
        <f>MVTRESUME2019!T37</f>
        <v>1000000</v>
      </c>
      <c r="U32" s="5">
        <f>MVTRESUME2019!U37</f>
        <v>174328.42538720038</v>
      </c>
      <c r="V32" s="5">
        <f>MVTRESUME2019!V37</f>
        <v>140000</v>
      </c>
      <c r="W32" s="5">
        <f>MVTRESUME2019!W37</f>
        <v>30000</v>
      </c>
      <c r="X32" s="5">
        <f>MVTRESUME2019!X37</f>
        <v>0</v>
      </c>
      <c r="Y32" s="5">
        <f>MVTRESUME2019!Y37</f>
        <v>144328.42538720038</v>
      </c>
      <c r="Z32" s="17" t="s">
        <v>98</v>
      </c>
      <c r="AC32" s="11">
        <f t="shared" si="0"/>
        <v>174218.62562456058</v>
      </c>
    </row>
    <row r="33" spans="1:33" x14ac:dyDescent="0.25">
      <c r="A33" s="1" t="s">
        <v>45</v>
      </c>
      <c r="B33" s="1" t="str">
        <f>VLOOKUP(A33,[21]LISTADHERENT!A$5:H$57,3,0)</f>
        <v>PATEGO NJOSSU GUSTAVE</v>
      </c>
      <c r="C33" s="5">
        <f>MVTRESUME2019!C38</f>
        <v>480000</v>
      </c>
      <c r="D33" s="5">
        <f>MVTRESUME2019!D38</f>
        <v>82325.064676950074</v>
      </c>
      <c r="E33" s="5">
        <f>MVTRESUME2019!E38</f>
        <v>15968.295339537319</v>
      </c>
      <c r="F33" s="5">
        <f>MVTRESUME2019!F38</f>
        <v>0</v>
      </c>
      <c r="G33" s="5">
        <f>MVTRESUME2019!G38</f>
        <v>84000</v>
      </c>
      <c r="H33" s="5">
        <f>MVTRESUME2019!H38</f>
        <v>7000</v>
      </c>
      <c r="I33" s="5">
        <f>MVTRESUME2019!I38</f>
        <v>14000</v>
      </c>
      <c r="J33" s="5">
        <f>MVTRESUME2019!J38</f>
        <v>35000</v>
      </c>
      <c r="K33" s="5">
        <f>MVTRESUME2019!K38</f>
        <v>0</v>
      </c>
      <c r="L33" s="5">
        <f>MVTRESUME2019!L38</f>
        <v>0</v>
      </c>
      <c r="M33" s="5">
        <f>MVTRESUME2019!M38</f>
        <v>0</v>
      </c>
      <c r="N33" s="5">
        <f>MVTRESUME2019!N38</f>
        <v>0</v>
      </c>
      <c r="O33" s="5">
        <f>MVTRESUME2019!O38</f>
        <v>0</v>
      </c>
      <c r="P33" s="5">
        <f>MVTRESUME2019!P38</f>
        <v>0</v>
      </c>
      <c r="Q33" s="5">
        <f>MVTRESUME2019!Q38</f>
        <v>0</v>
      </c>
      <c r="R33" s="5">
        <f>MVTRESUME2019!R38</f>
        <v>0</v>
      </c>
      <c r="S33" s="5">
        <f>MVTRESUME2019!S38</f>
        <v>0</v>
      </c>
      <c r="T33" s="5">
        <f>MVTRESUME2019!T38</f>
        <v>0</v>
      </c>
      <c r="U33" s="5">
        <f>MVTRESUME2019!U38</f>
        <v>182293.36001648739</v>
      </c>
      <c r="V33" s="5">
        <f>MVTRESUME2019!V38</f>
        <v>3500</v>
      </c>
      <c r="W33" s="5">
        <f>MVTRESUME2019!W38</f>
        <v>30000</v>
      </c>
      <c r="X33" s="5">
        <f>MVTRESUME2019!X38</f>
        <v>0</v>
      </c>
      <c r="Y33" s="5">
        <f>MVTRESUME2019!Y38</f>
        <v>152293.36001648739</v>
      </c>
      <c r="Z33" s="17"/>
      <c r="AC33" s="11">
        <f t="shared" si="0"/>
        <v>166325.06467695007</v>
      </c>
    </row>
    <row r="34" spans="1:33" x14ac:dyDescent="0.25">
      <c r="A34" s="1" t="s">
        <v>46</v>
      </c>
      <c r="B34" s="1" t="str">
        <f>VLOOKUP(A34,[21]LISTADHERENT!A$5:H$57,3,0)</f>
        <v>SEUNOU RICHELOT</v>
      </c>
      <c r="C34" s="5">
        <f>MVTRESUME2019!C39</f>
        <v>480000</v>
      </c>
      <c r="D34" s="5">
        <f>MVTRESUME2019!D39</f>
        <v>79309.541006732557</v>
      </c>
      <c r="E34" s="5">
        <f>MVTRESUME2019!E39</f>
        <v>0.17330693561234511</v>
      </c>
      <c r="F34" s="5">
        <f>MVTRESUME2019!F39</f>
        <v>0</v>
      </c>
      <c r="G34" s="5">
        <f>MVTRESUME2019!G39</f>
        <v>54000</v>
      </c>
      <c r="H34" s="5">
        <f>MVTRESUME2019!H39</f>
        <v>4500</v>
      </c>
      <c r="I34" s="5">
        <f>MVTRESUME2019!I39</f>
        <v>9000</v>
      </c>
      <c r="J34" s="5">
        <f>MVTRESUME2019!J39</f>
        <v>22500</v>
      </c>
      <c r="K34" s="5">
        <f>MVTRESUME2019!K39</f>
        <v>15000</v>
      </c>
      <c r="L34" s="5">
        <f>MVTRESUME2019!L39</f>
        <v>0</v>
      </c>
      <c r="M34" s="5">
        <f>MVTRESUME2019!M39</f>
        <v>0</v>
      </c>
      <c r="N34" s="5">
        <f>MVTRESUME2019!N39</f>
        <v>1000000</v>
      </c>
      <c r="O34" s="5">
        <f>MVTRESUME2019!O39</f>
        <v>40000</v>
      </c>
      <c r="P34" s="5">
        <f>MVTRESUME2019!P39</f>
        <v>0</v>
      </c>
      <c r="Q34" s="5">
        <f>MVTRESUME2019!Q39</f>
        <v>1155000</v>
      </c>
      <c r="R34" s="5">
        <f>MVTRESUME2019!R39</f>
        <v>155000</v>
      </c>
      <c r="S34" s="5">
        <f>MVTRESUME2019!S39</f>
        <v>0</v>
      </c>
      <c r="T34" s="5">
        <f>MVTRESUME2019!T39</f>
        <v>0</v>
      </c>
      <c r="U34" s="5">
        <f>MVTRESUME2019!U39</f>
        <v>133309.71431366817</v>
      </c>
      <c r="V34" s="5">
        <f>MVTRESUME2019!V39</f>
        <v>103310</v>
      </c>
      <c r="W34" s="5">
        <f>MVTRESUME2019!W39</f>
        <v>30000</v>
      </c>
      <c r="X34" s="5">
        <f>MVTRESUME2019!X39</f>
        <v>0</v>
      </c>
      <c r="Y34" s="5">
        <f>MVTRESUME2019!Y39</f>
        <v>103309.71431366817</v>
      </c>
      <c r="Z34" s="17"/>
      <c r="AC34" s="11">
        <f t="shared" si="0"/>
        <v>133309.54100673256</v>
      </c>
    </row>
    <row r="35" spans="1:33" x14ac:dyDescent="0.25">
      <c r="A35" s="1" t="s">
        <v>81</v>
      </c>
      <c r="B35" s="1" t="str">
        <f>VLOOKUP(A35,[21]LISTADHERENT!A$5:H$57,3,0)</f>
        <v>SIME BRICE</v>
      </c>
      <c r="C35" s="5">
        <f>MVTRESUME2019!C40</f>
        <v>0</v>
      </c>
      <c r="D35" s="5">
        <f>MVTRESUME2019!D40</f>
        <v>3376.913330814542</v>
      </c>
      <c r="E35" s="5">
        <f>MVTRESUME2019!E40</f>
        <v>0</v>
      </c>
      <c r="F35" s="5">
        <f>MVTRESUME2019!F40</f>
        <v>0</v>
      </c>
      <c r="G35" s="5">
        <f>MVTRESUME2019!G40</f>
        <v>104000</v>
      </c>
      <c r="H35" s="5">
        <f>MVTRESUME2019!H40</f>
        <v>7000</v>
      </c>
      <c r="I35" s="5">
        <f>MVTRESUME2019!I40</f>
        <v>14000</v>
      </c>
      <c r="J35" s="5">
        <f>MVTRESUME2019!J40</f>
        <v>35000</v>
      </c>
      <c r="K35" s="5">
        <f>MVTRESUME2019!K40</f>
        <v>3000</v>
      </c>
      <c r="L35" s="5">
        <f>MVTRESUME2019!L40</f>
        <v>0</v>
      </c>
      <c r="M35" s="5">
        <f>MVTRESUME2019!M40</f>
        <v>0</v>
      </c>
      <c r="N35" s="5">
        <f>MVTRESUME2019!N40</f>
        <v>0</v>
      </c>
      <c r="O35" s="5">
        <f>MVTRESUME2019!O40</f>
        <v>0</v>
      </c>
      <c r="P35" s="5">
        <f>MVTRESUME2019!P40</f>
        <v>0</v>
      </c>
      <c r="Q35" s="5">
        <f>MVTRESUME2019!Q40</f>
        <v>0</v>
      </c>
      <c r="R35" s="5">
        <f>MVTRESUME2019!R40</f>
        <v>0</v>
      </c>
      <c r="S35" s="5">
        <f>MVTRESUME2019!S40</f>
        <v>0</v>
      </c>
      <c r="T35" s="5">
        <f>MVTRESUME2019!T40</f>
        <v>0</v>
      </c>
      <c r="U35" s="5">
        <f>MVTRESUME2019!U40</f>
        <v>107376.91333081454</v>
      </c>
      <c r="V35" s="5">
        <f>MVTRESUME2019!V40</f>
        <v>0</v>
      </c>
      <c r="W35" s="5">
        <f>MVTRESUME2019!W40</f>
        <v>107377</v>
      </c>
      <c r="X35" s="5">
        <f>MVTRESUME2019!X40</f>
        <v>0</v>
      </c>
      <c r="Y35" s="5">
        <f>MVTRESUME2019!Y40</f>
        <v>-8.6669185460777953E-2</v>
      </c>
      <c r="Z35" s="17"/>
      <c r="AC35" s="11">
        <f t="shared" si="0"/>
        <v>107376.91333081454</v>
      </c>
    </row>
    <row r="36" spans="1:33" s="14" customFormat="1" x14ac:dyDescent="0.25">
      <c r="A36" s="12" t="s">
        <v>47</v>
      </c>
      <c r="B36" s="1" t="str">
        <f>VLOOKUP(A36,[21]LISTADHERENT!A$5:H$57,3,0)</f>
        <v>SIMO FONGANG ERIC</v>
      </c>
      <c r="C36" s="5">
        <f>MVTRESUME2019!C41</f>
        <v>480000</v>
      </c>
      <c r="D36" s="5">
        <f>MVTRESUME2019!D41</f>
        <v>80174.992283614876</v>
      </c>
      <c r="E36" s="5">
        <f>MVTRESUME2019!E41</f>
        <v>2777.4644755606423</v>
      </c>
      <c r="F36" s="5">
        <f>MVTRESUME2019!F41</f>
        <v>0</v>
      </c>
      <c r="G36" s="5">
        <f>MVTRESUME2019!G41</f>
        <v>82000</v>
      </c>
      <c r="H36" s="5">
        <f>MVTRESUME2019!H41</f>
        <v>7000</v>
      </c>
      <c r="I36" s="5">
        <f>MVTRESUME2019!I41</f>
        <v>14000</v>
      </c>
      <c r="J36" s="5">
        <f>MVTRESUME2019!J41</f>
        <v>35000</v>
      </c>
      <c r="K36" s="5">
        <f>MVTRESUME2019!K41</f>
        <v>13000</v>
      </c>
      <c r="L36" s="5">
        <f>MVTRESUME2019!L41</f>
        <v>0</v>
      </c>
      <c r="M36" s="5">
        <f>MVTRESUME2019!M41</f>
        <v>0</v>
      </c>
      <c r="N36" s="5">
        <f>MVTRESUME2019!N41</f>
        <v>1000000</v>
      </c>
      <c r="O36" s="5">
        <f>MVTRESUME2019!O41</f>
        <v>90000</v>
      </c>
      <c r="P36" s="5">
        <f>MVTRESUME2019!P41</f>
        <v>0</v>
      </c>
      <c r="Q36" s="5">
        <f>MVTRESUME2019!Q41</f>
        <v>400000</v>
      </c>
      <c r="R36" s="5">
        <f>MVTRESUME2019!R41</f>
        <v>155000</v>
      </c>
      <c r="S36" s="5">
        <f>MVTRESUME2019!S41</f>
        <v>0</v>
      </c>
      <c r="T36" s="5">
        <f>MVTRESUME2019!T41</f>
        <v>755000</v>
      </c>
      <c r="U36" s="5">
        <f>MVTRESUME2019!U41</f>
        <v>164952.45675917552</v>
      </c>
      <c r="V36" s="5">
        <f>MVTRESUME2019!V41</f>
        <v>130000</v>
      </c>
      <c r="W36" s="5">
        <f>MVTRESUME2019!W41</f>
        <v>30000</v>
      </c>
      <c r="X36" s="5">
        <f>MVTRESUME2019!X41</f>
        <v>0</v>
      </c>
      <c r="Y36" s="5">
        <f>MVTRESUME2019!Y41</f>
        <v>134952.45675917552</v>
      </c>
      <c r="Z36" s="35" t="s">
        <v>99</v>
      </c>
      <c r="AA36" s="14" t="s">
        <v>129</v>
      </c>
      <c r="AB36" s="11">
        <f>50000+105000</f>
        <v>155000</v>
      </c>
      <c r="AC36" s="11">
        <f t="shared" si="0"/>
        <v>162174.99228361488</v>
      </c>
    </row>
    <row r="37" spans="1:33" x14ac:dyDescent="0.25">
      <c r="A37" s="1" t="s">
        <v>48</v>
      </c>
      <c r="B37" s="1" t="str">
        <f>VLOOKUP(A37,[21]LISTADHERENT!A$5:H$57,3,0)</f>
        <v>SIME MATHIEU</v>
      </c>
      <c r="C37" s="5">
        <f>MVTRESUME2019!C42</f>
        <v>480000</v>
      </c>
      <c r="D37" s="5">
        <f>MVTRESUME2019!D42</f>
        <v>79793.71388976372</v>
      </c>
      <c r="E37" s="5">
        <f>MVTRESUME2019!E42</f>
        <v>0</v>
      </c>
      <c r="F37" s="5">
        <f>MVTRESUME2019!F42</f>
        <v>0</v>
      </c>
      <c r="G37" s="5">
        <f>MVTRESUME2019!G42</f>
        <v>84000</v>
      </c>
      <c r="H37" s="5">
        <f>MVTRESUME2019!H42</f>
        <v>7000</v>
      </c>
      <c r="I37" s="5">
        <f>MVTRESUME2019!I42</f>
        <v>14000</v>
      </c>
      <c r="J37" s="5">
        <f>MVTRESUME2019!J42</f>
        <v>35000</v>
      </c>
      <c r="K37" s="5">
        <f>MVTRESUME2019!K42</f>
        <v>0</v>
      </c>
      <c r="L37" s="5">
        <f>MVTRESUME2019!L42</f>
        <v>0</v>
      </c>
      <c r="M37" s="5">
        <f>MVTRESUME2019!M42</f>
        <v>0</v>
      </c>
      <c r="N37" s="5">
        <f>MVTRESUME2019!N42</f>
        <v>184035</v>
      </c>
      <c r="O37" s="5">
        <f>MVTRESUME2019!O42</f>
        <v>20243.849999999999</v>
      </c>
      <c r="P37" s="5">
        <f>MVTRESUME2019!P42</f>
        <v>0</v>
      </c>
      <c r="Q37" s="5">
        <f>MVTRESUME2019!Q42</f>
        <v>184035</v>
      </c>
      <c r="R37" s="5">
        <f>MVTRESUME2019!R42</f>
        <v>0</v>
      </c>
      <c r="S37" s="5">
        <f>MVTRESUME2019!S42</f>
        <v>0</v>
      </c>
      <c r="T37" s="5">
        <f>MVTRESUME2019!T42</f>
        <v>0</v>
      </c>
      <c r="U37" s="5">
        <f>MVTRESUME2019!U42</f>
        <v>163793.71388976372</v>
      </c>
      <c r="V37" s="5">
        <f>MVTRESUME2019!V42</f>
        <v>0</v>
      </c>
      <c r="W37" s="5">
        <f>MVTRESUME2019!W42</f>
        <v>30000</v>
      </c>
      <c r="X37" s="5">
        <f>MVTRESUME2019!X42</f>
        <v>0</v>
      </c>
      <c r="Y37" s="5">
        <f>MVTRESUME2019!Y42</f>
        <v>133793.71388976372</v>
      </c>
      <c r="Z37" s="17"/>
      <c r="AC37" s="11">
        <f t="shared" si="0"/>
        <v>163793.71388976372</v>
      </c>
    </row>
    <row r="38" spans="1:33" x14ac:dyDescent="0.25">
      <c r="A38" s="1" t="s">
        <v>49</v>
      </c>
      <c r="B38" s="1" t="str">
        <f>VLOOKUP(A38,[21]LISTADHERENT!A$5:H$57,3,0)</f>
        <v>SIMO PIERRE</v>
      </c>
      <c r="C38" s="5">
        <f>MVTRESUME2019!C43</f>
        <v>480000</v>
      </c>
      <c r="D38" s="5">
        <f>MVTRESUME2019!D43</f>
        <v>84611.13302311454</v>
      </c>
      <c r="E38" s="5">
        <f>MVTRESUME2019!E43</f>
        <v>-0.39887899404857308</v>
      </c>
      <c r="F38" s="5">
        <f>MVTRESUME2019!F43</f>
        <v>0</v>
      </c>
      <c r="G38" s="5">
        <f>MVTRESUME2019!G43</f>
        <v>174000</v>
      </c>
      <c r="H38" s="5">
        <f>MVTRESUME2019!H43</f>
        <v>7000</v>
      </c>
      <c r="I38" s="5">
        <f>MVTRESUME2019!I43</f>
        <v>14000</v>
      </c>
      <c r="J38" s="5">
        <f>MVTRESUME2019!J43</f>
        <v>35000</v>
      </c>
      <c r="K38" s="5">
        <f>MVTRESUME2019!K43</f>
        <v>2000</v>
      </c>
      <c r="L38" s="5">
        <f>MVTRESUME2019!L43</f>
        <v>0</v>
      </c>
      <c r="M38" s="5">
        <f>MVTRESUME2019!M43</f>
        <v>0</v>
      </c>
      <c r="N38" s="5">
        <f>MVTRESUME2019!N43</f>
        <v>1000000</v>
      </c>
      <c r="O38" s="5">
        <f>MVTRESUME2019!O43</f>
        <v>110000</v>
      </c>
      <c r="P38" s="5">
        <f>MVTRESUME2019!P43</f>
        <v>60000</v>
      </c>
      <c r="Q38" s="5">
        <f>MVTRESUME2019!Q43</f>
        <v>500000</v>
      </c>
      <c r="R38" s="5">
        <f>MVTRESUME2019!R43</f>
        <v>0</v>
      </c>
      <c r="S38" s="5">
        <f>MVTRESUME2019!S43</f>
        <v>0</v>
      </c>
      <c r="T38" s="5">
        <f>MVTRESUME2019!T43</f>
        <v>500000</v>
      </c>
      <c r="U38" s="5">
        <f>MVTRESUME2019!U43</f>
        <v>258610.73414412048</v>
      </c>
      <c r="V38" s="5">
        <f>MVTRESUME2019!V43</f>
        <v>200000</v>
      </c>
      <c r="W38" s="5">
        <f>MVTRESUME2019!W43</f>
        <v>30000</v>
      </c>
      <c r="X38" s="5">
        <f>MVTRESUME2019!X43</f>
        <v>0</v>
      </c>
      <c r="Y38" s="5">
        <f>MVTRESUME2019!Y43</f>
        <v>228610.73414412048</v>
      </c>
      <c r="Z38" s="17"/>
      <c r="AA38" t="s">
        <v>59</v>
      </c>
      <c r="AC38" s="11">
        <f t="shared" si="0"/>
        <v>258611.13302311453</v>
      </c>
    </row>
    <row r="39" spans="1:33" x14ac:dyDescent="0.25">
      <c r="A39" s="1" t="s">
        <v>51</v>
      </c>
      <c r="B39" s="1" t="str">
        <f>VLOOKUP(A39,[21]LISTADHERENT!A$5:H$57,3,0)</f>
        <v>TCHOUAMOU MATHIEU</v>
      </c>
      <c r="C39" s="5">
        <f>MVTRESUME2019!C44</f>
        <v>480000</v>
      </c>
      <c r="D39" s="5">
        <f>MVTRESUME2019!D44</f>
        <v>95391.522236883728</v>
      </c>
      <c r="E39" s="5">
        <f>MVTRESUME2019!E44</f>
        <v>1360.775029899698</v>
      </c>
      <c r="F39" s="5">
        <f>MVTRESUME2019!F44</f>
        <v>0</v>
      </c>
      <c r="G39" s="5">
        <f>MVTRESUME2019!G44</f>
        <v>84000</v>
      </c>
      <c r="H39" s="5">
        <f>MVTRESUME2019!H44</f>
        <v>7000</v>
      </c>
      <c r="I39" s="5">
        <f>MVTRESUME2019!I44</f>
        <v>14000</v>
      </c>
      <c r="J39" s="5">
        <f>MVTRESUME2019!J44</f>
        <v>35000</v>
      </c>
      <c r="K39" s="5">
        <f>MVTRESUME2019!K44</f>
        <v>0</v>
      </c>
      <c r="L39" s="5">
        <f>MVTRESUME2019!L44</f>
        <v>0</v>
      </c>
      <c r="M39" s="5">
        <f>MVTRESUME2019!M44</f>
        <v>0</v>
      </c>
      <c r="N39" s="5">
        <f>MVTRESUME2019!N44</f>
        <v>2000000</v>
      </c>
      <c r="O39" s="5">
        <f>MVTRESUME2019!O44</f>
        <v>200000</v>
      </c>
      <c r="P39" s="5">
        <f>MVTRESUME2019!P44</f>
        <v>110000</v>
      </c>
      <c r="Q39" s="5">
        <f>MVTRESUME2019!Q44</f>
        <v>1000000</v>
      </c>
      <c r="R39" s="5">
        <f>MVTRESUME2019!R44</f>
        <v>0</v>
      </c>
      <c r="S39" s="5">
        <f>MVTRESUME2019!S44</f>
        <v>0</v>
      </c>
      <c r="T39" s="5">
        <f>MVTRESUME2019!T44</f>
        <v>1000000</v>
      </c>
      <c r="U39" s="5">
        <f>MVTRESUME2019!U44</f>
        <v>180752.29726678343</v>
      </c>
      <c r="V39" s="5">
        <f>MVTRESUME2019!V44</f>
        <v>0</v>
      </c>
      <c r="W39" s="5">
        <f>MVTRESUME2019!W44</f>
        <v>30000</v>
      </c>
      <c r="X39" s="5">
        <f>MVTRESUME2019!X44</f>
        <v>0</v>
      </c>
      <c r="Y39" s="5">
        <f>MVTRESUME2019!Y44</f>
        <v>150752.29726678343</v>
      </c>
      <c r="Z39" s="17" t="s">
        <v>91</v>
      </c>
      <c r="AA39" t="s">
        <v>9</v>
      </c>
      <c r="AC39" s="11">
        <f t="shared" si="0"/>
        <v>179391.52223688373</v>
      </c>
    </row>
    <row r="40" spans="1:33" s="14" customFormat="1" x14ac:dyDescent="0.25">
      <c r="A40" s="12" t="s">
        <v>52</v>
      </c>
      <c r="B40" s="1" t="str">
        <f>VLOOKUP(A40,[21]LISTADHERENT!A$5:H$57,3,0)</f>
        <v>TCHOUANTE FRANCOIS</v>
      </c>
      <c r="C40" s="5">
        <f>MVTRESUME2019!C45</f>
        <v>480000</v>
      </c>
      <c r="D40" s="5">
        <f>MVTRESUME2019!D45</f>
        <v>78500.211202080493</v>
      </c>
      <c r="E40" s="5">
        <f>MVTRESUME2019!E45</f>
        <v>1225.3544029653422</v>
      </c>
      <c r="F40" s="5">
        <f>MVTRESUME2019!F45</f>
        <v>0</v>
      </c>
      <c r="G40" s="5">
        <f>MVTRESUME2019!G45</f>
        <v>30000</v>
      </c>
      <c r="H40" s="5">
        <f>MVTRESUME2019!H45</f>
        <v>2500</v>
      </c>
      <c r="I40" s="5">
        <f>MVTRESUME2019!I45</f>
        <v>5000</v>
      </c>
      <c r="J40" s="5">
        <f>MVTRESUME2019!J45</f>
        <v>12500</v>
      </c>
      <c r="K40" s="5">
        <f>MVTRESUME2019!K45</f>
        <v>4000</v>
      </c>
      <c r="L40" s="5">
        <f>MVTRESUME2019!L45</f>
        <v>0</v>
      </c>
      <c r="M40" s="5">
        <f>MVTRESUME2019!M45</f>
        <v>0</v>
      </c>
      <c r="N40" s="5">
        <f>MVTRESUME2019!N45</f>
        <v>850000</v>
      </c>
      <c r="O40" s="5">
        <f>MVTRESUME2019!O45</f>
        <v>95000</v>
      </c>
      <c r="P40" s="5">
        <f>MVTRESUME2019!P45</f>
        <v>0</v>
      </c>
      <c r="Q40" s="5">
        <f>MVTRESUME2019!Q45</f>
        <v>0</v>
      </c>
      <c r="R40" s="5">
        <f>MVTRESUME2019!R45</f>
        <v>131750</v>
      </c>
      <c r="S40" s="5">
        <f>MVTRESUME2019!S45</f>
        <v>0</v>
      </c>
      <c r="T40" s="5">
        <f>MVTRESUME2019!T45</f>
        <v>981750</v>
      </c>
      <c r="U40" s="5">
        <f>MVTRESUME2019!U45</f>
        <v>109725.56560504583</v>
      </c>
      <c r="V40" s="5">
        <f>MVTRESUME2019!V45</f>
        <v>109726</v>
      </c>
      <c r="W40" s="5">
        <f>MVTRESUME2019!W45</f>
        <v>0</v>
      </c>
      <c r="X40" s="5">
        <f>MVTRESUME2019!X45</f>
        <v>0</v>
      </c>
      <c r="Y40" s="5">
        <f>MVTRESUME2019!Y45</f>
        <v>109725.56560504583</v>
      </c>
      <c r="Z40" s="35" t="s">
        <v>98</v>
      </c>
      <c r="AA40" s="14" t="s">
        <v>129</v>
      </c>
      <c r="AB40" s="14">
        <f>42500+89250</f>
        <v>131750</v>
      </c>
      <c r="AC40" s="11">
        <f t="shared" si="0"/>
        <v>108500.21120208049</v>
      </c>
      <c r="AD40" s="11" t="e">
        <f>#REF!</f>
        <v>#REF!</v>
      </c>
      <c r="AG40" s="7" t="e">
        <f>C40-T40+U40+AD40+AE40</f>
        <v>#REF!</v>
      </c>
    </row>
    <row r="41" spans="1:33" s="14" customFormat="1" x14ac:dyDescent="0.25">
      <c r="A41" s="12" t="s">
        <v>53</v>
      </c>
      <c r="B41" s="1" t="str">
        <f>VLOOKUP(A41,[21]LISTADHERENT!A$5:H$57,3,0)</f>
        <v>TCHOUTOU NANA CLAUDE</v>
      </c>
      <c r="C41" s="5">
        <f>MVTRESUME2019!C46</f>
        <v>30000</v>
      </c>
      <c r="D41" s="5">
        <f>MVTRESUME2019!D46</f>
        <v>0</v>
      </c>
      <c r="E41" s="5">
        <f>MVTRESUME2019!E46</f>
        <v>21.303203075842248</v>
      </c>
      <c r="F41" s="5">
        <f>MVTRESUME2019!F46</f>
        <v>0</v>
      </c>
      <c r="G41" s="5">
        <f>MVTRESUME2019!G46</f>
        <v>30000</v>
      </c>
      <c r="H41" s="5">
        <f>MVTRESUME2019!H46</f>
        <v>2500</v>
      </c>
      <c r="I41" s="5">
        <f>MVTRESUME2019!I46</f>
        <v>5000</v>
      </c>
      <c r="J41" s="5">
        <f>MVTRESUME2019!J46</f>
        <v>12500</v>
      </c>
      <c r="K41" s="5">
        <f>MVTRESUME2019!K46</f>
        <v>5500</v>
      </c>
      <c r="L41" s="5">
        <f>MVTRESUME2019!L46</f>
        <v>0</v>
      </c>
      <c r="M41" s="5">
        <f>MVTRESUME2019!M46</f>
        <v>0</v>
      </c>
      <c r="N41" s="5">
        <f>MVTRESUME2019!N46</f>
        <v>0</v>
      </c>
      <c r="O41" s="5">
        <f>MVTRESUME2019!O46</f>
        <v>0</v>
      </c>
      <c r="P41" s="5">
        <f>MVTRESUME2019!P46</f>
        <v>0</v>
      </c>
      <c r="Q41" s="5">
        <f>MVTRESUME2019!Q46</f>
        <v>0</v>
      </c>
      <c r="R41" s="5">
        <f>MVTRESUME2019!R46</f>
        <v>0</v>
      </c>
      <c r="S41" s="5">
        <f>MVTRESUME2019!S46</f>
        <v>0</v>
      </c>
      <c r="T41" s="5">
        <f>MVTRESUME2019!T46</f>
        <v>0</v>
      </c>
      <c r="U41" s="5">
        <f>MVTRESUME2019!U46</f>
        <v>30021.30320307584</v>
      </c>
      <c r="V41" s="5">
        <f>MVTRESUME2019!V46</f>
        <v>30021</v>
      </c>
      <c r="W41" s="5">
        <f>MVTRESUME2019!W46</f>
        <v>0</v>
      </c>
      <c r="X41" s="5">
        <f>MVTRESUME2019!X46</f>
        <v>0</v>
      </c>
      <c r="Y41" s="5">
        <f>MVTRESUME2019!Y46</f>
        <v>30021.30320307584</v>
      </c>
      <c r="Z41" s="35"/>
      <c r="AA41" s="14" t="s">
        <v>129</v>
      </c>
      <c r="AC41" s="11">
        <f t="shared" si="0"/>
        <v>30000</v>
      </c>
      <c r="AD41" s="11" t="e">
        <f>+#REF!</f>
        <v>#REF!</v>
      </c>
      <c r="AG41" s="7" t="e">
        <f>C41-T41+U41+AD41+AE41-211475</f>
        <v>#REF!</v>
      </c>
    </row>
    <row r="42" spans="1:33" s="14" customFormat="1" x14ac:dyDescent="0.25">
      <c r="A42" s="12" t="s">
        <v>54</v>
      </c>
      <c r="B42" s="1" t="str">
        <f>VLOOKUP(A42,[21]LISTADHERENT!A$5:H$57,3,0)</f>
        <v>TIEYAM ERNEST</v>
      </c>
      <c r="C42" s="5">
        <f>MVTRESUME2019!C47</f>
        <v>480000</v>
      </c>
      <c r="D42" s="5">
        <f>MVTRESUME2019!D47</f>
        <v>77674.987774544497</v>
      </c>
      <c r="E42" s="5">
        <f>MVTRESUME2019!E47</f>
        <v>0.15040472695545759</v>
      </c>
      <c r="F42" s="5">
        <f>MVTRESUME2019!F47</f>
        <v>0</v>
      </c>
      <c r="G42" s="5">
        <f>MVTRESUME2019!G47</f>
        <v>22000</v>
      </c>
      <c r="H42" s="5">
        <f>MVTRESUME2019!H47</f>
        <v>2000</v>
      </c>
      <c r="I42" s="5">
        <f>MVTRESUME2019!I47</f>
        <v>4000</v>
      </c>
      <c r="J42" s="5">
        <f>MVTRESUME2019!J47</f>
        <v>10000</v>
      </c>
      <c r="K42" s="5">
        <f>MVTRESUME2019!K47</f>
        <v>11000</v>
      </c>
      <c r="L42" s="5">
        <f>MVTRESUME2019!L47</f>
        <v>0</v>
      </c>
      <c r="M42" s="5">
        <f>MVTRESUME2019!M47</f>
        <v>0</v>
      </c>
      <c r="N42" s="5">
        <f>MVTRESUME2019!N47</f>
        <v>2000000</v>
      </c>
      <c r="O42" s="5">
        <f>MVTRESUME2019!O47</f>
        <v>30000</v>
      </c>
      <c r="P42" s="5">
        <f>MVTRESUME2019!P47</f>
        <v>0</v>
      </c>
      <c r="Q42" s="5">
        <f>MVTRESUME2019!Q47</f>
        <v>1000000</v>
      </c>
      <c r="R42" s="5">
        <f>MVTRESUME2019!R47</f>
        <v>155000</v>
      </c>
      <c r="S42" s="5">
        <f>MVTRESUME2019!S47</f>
        <v>0</v>
      </c>
      <c r="T42" s="5">
        <f>MVTRESUME2019!T47</f>
        <v>1155000</v>
      </c>
      <c r="U42" s="5">
        <f>MVTRESUME2019!U47</f>
        <v>99675.138179271453</v>
      </c>
      <c r="V42" s="5">
        <f>MVTRESUME2019!V47</f>
        <v>69675</v>
      </c>
      <c r="W42" s="5">
        <f>MVTRESUME2019!W47</f>
        <v>30000</v>
      </c>
      <c r="X42" s="5">
        <f>MVTRESUME2019!X47</f>
        <v>0</v>
      </c>
      <c r="Y42" s="5">
        <f>MVTRESUME2019!Y47</f>
        <v>69675.138179271453</v>
      </c>
      <c r="Z42" s="35" t="s">
        <v>91</v>
      </c>
      <c r="AA42" s="14" t="s">
        <v>129</v>
      </c>
      <c r="AC42" s="11">
        <f t="shared" si="0"/>
        <v>99674.987774544497</v>
      </c>
      <c r="AD42" s="11" t="e">
        <f>#REF!</f>
        <v>#REF!</v>
      </c>
      <c r="AE42" s="11">
        <f>[22]TONTRESUME!$M$32</f>
        <v>16000</v>
      </c>
      <c r="AF42" s="11" t="e">
        <f>[14]TONTRESUME!$I$28</f>
        <v>#REF!</v>
      </c>
      <c r="AG42" s="7" t="e">
        <f>C42-T42+U42+AD42+AE42+AF42</f>
        <v>#REF!</v>
      </c>
    </row>
    <row r="43" spans="1:33" x14ac:dyDescent="0.25">
      <c r="A43" s="1" t="s">
        <v>55</v>
      </c>
      <c r="B43" s="1" t="str">
        <f>VLOOKUP(A43,[21]LISTADHERENT!A$5:H$57,3,0)</f>
        <v>YEPMOU JEAN JACQUES</v>
      </c>
      <c r="C43" s="5">
        <f>MVTRESUME2019!C48</f>
        <v>480000</v>
      </c>
      <c r="D43" s="5">
        <f>MVTRESUME2019!D48</f>
        <v>149658.23869144428</v>
      </c>
      <c r="E43" s="5">
        <f>MVTRESUME2019!E48</f>
        <v>440720.17653060926</v>
      </c>
      <c r="F43" s="5">
        <f>MVTRESUME2019!F48</f>
        <v>0</v>
      </c>
      <c r="G43" s="5">
        <f>MVTRESUME2019!G48</f>
        <v>84000</v>
      </c>
      <c r="H43" s="5">
        <f>MVTRESUME2019!H48</f>
        <v>7000</v>
      </c>
      <c r="I43" s="5">
        <f>MVTRESUME2019!I48</f>
        <v>14000</v>
      </c>
      <c r="J43" s="5">
        <f>MVTRESUME2019!J48</f>
        <v>35000</v>
      </c>
      <c r="K43" s="5">
        <f>MVTRESUME2019!K48</f>
        <v>17000</v>
      </c>
      <c r="L43" s="5">
        <f>MVTRESUME2019!L48</f>
        <v>0</v>
      </c>
      <c r="M43" s="5">
        <f>MVTRESUME2019!M48</f>
        <v>0</v>
      </c>
      <c r="N43" s="5">
        <f>MVTRESUME2019!N48</f>
        <v>2700000</v>
      </c>
      <c r="O43" s="5">
        <f>MVTRESUME2019!O48</f>
        <v>151500</v>
      </c>
      <c r="P43" s="5">
        <f>MVTRESUME2019!P48</f>
        <v>35000</v>
      </c>
      <c r="Q43" s="5">
        <f>MVTRESUME2019!Q48</f>
        <v>2037500</v>
      </c>
      <c r="R43" s="5">
        <f>MVTRESUME2019!R48</f>
        <v>37500</v>
      </c>
      <c r="S43" s="5">
        <f>MVTRESUME2019!S48</f>
        <v>0</v>
      </c>
      <c r="T43" s="5">
        <f>MVTRESUME2019!T48</f>
        <v>700000</v>
      </c>
      <c r="U43" s="5">
        <f>MVTRESUME2019!U48</f>
        <v>674378.41522205353</v>
      </c>
      <c r="V43" s="5">
        <f>MVTRESUME2019!V48</f>
        <v>0</v>
      </c>
      <c r="W43" s="5">
        <f>MVTRESUME2019!W48</f>
        <v>30000</v>
      </c>
      <c r="X43" s="5">
        <f>MVTRESUME2019!X48</f>
        <v>0</v>
      </c>
      <c r="Y43" s="5">
        <f>MVTRESUME2019!Y48</f>
        <v>644378.41522205353</v>
      </c>
      <c r="Z43" s="17" t="s">
        <v>100</v>
      </c>
      <c r="AC43" s="11">
        <f t="shared" si="0"/>
        <v>233658.23869144428</v>
      </c>
    </row>
    <row r="44" spans="1:33" x14ac:dyDescent="0.25">
      <c r="A44" s="1" t="s">
        <v>56</v>
      </c>
      <c r="B44" s="1" t="str">
        <f>VLOOKUP(A44,[21]LISTADHERENT!A$5:H$57,3,0)</f>
        <v>YOUMBI EMMANUEL</v>
      </c>
      <c r="C44" s="5">
        <f>MVTRESUME2019!C49</f>
        <v>480000</v>
      </c>
      <c r="D44" s="5">
        <f>MVTRESUME2019!D49</f>
        <v>317201.9797878497</v>
      </c>
      <c r="E44" s="5">
        <f>MVTRESUME2019!E49</f>
        <v>1198154.6510912008</v>
      </c>
      <c r="F44" s="5">
        <f>MVTRESUME2019!F49</f>
        <v>0</v>
      </c>
      <c r="G44" s="5">
        <f>MVTRESUME2019!G49</f>
        <v>1024000</v>
      </c>
      <c r="H44" s="5">
        <f>MVTRESUME2019!H49</f>
        <v>7000</v>
      </c>
      <c r="I44" s="5">
        <f>MVTRESUME2019!I49</f>
        <v>14000</v>
      </c>
      <c r="J44" s="5">
        <f>MVTRESUME2019!J49</f>
        <v>35000</v>
      </c>
      <c r="K44" s="5">
        <f>MVTRESUME2019!K49</f>
        <v>0</v>
      </c>
      <c r="L44" s="5">
        <f>MVTRESUME2019!L49</f>
        <v>0</v>
      </c>
      <c r="M44" s="5">
        <f>MVTRESUME2019!M49</f>
        <v>0</v>
      </c>
      <c r="N44" s="5">
        <f>MVTRESUME2019!N49</f>
        <v>0</v>
      </c>
      <c r="O44" s="5">
        <f>MVTRESUME2019!O49</f>
        <v>0</v>
      </c>
      <c r="P44" s="5">
        <f>MVTRESUME2019!P49</f>
        <v>0</v>
      </c>
      <c r="Q44" s="5">
        <f>MVTRESUME2019!Q49</f>
        <v>0</v>
      </c>
      <c r="R44" s="5">
        <f>MVTRESUME2019!R49</f>
        <v>0</v>
      </c>
      <c r="S44" s="5">
        <f>MVTRESUME2019!S49</f>
        <v>0</v>
      </c>
      <c r="T44" s="5">
        <f>MVTRESUME2019!T49</f>
        <v>0</v>
      </c>
      <c r="U44" s="5">
        <f>MVTRESUME2019!U49</f>
        <v>2539356.6308790506</v>
      </c>
      <c r="V44" s="5">
        <f>MVTRESUME2019!V49</f>
        <v>0</v>
      </c>
      <c r="W44" s="5">
        <f>MVTRESUME2019!W49</f>
        <v>30000</v>
      </c>
      <c r="X44" s="5">
        <f>MVTRESUME2019!X49</f>
        <v>0</v>
      </c>
      <c r="Y44" s="5">
        <f>MVTRESUME2019!Y49</f>
        <v>2509356.6308790506</v>
      </c>
      <c r="Z44" s="17"/>
      <c r="AC44" s="11">
        <f t="shared" si="0"/>
        <v>1341201.9797878498</v>
      </c>
    </row>
    <row r="45" spans="1:33" ht="18" x14ac:dyDescent="0.25">
      <c r="A45" s="1" t="s">
        <v>57</v>
      </c>
      <c r="B45" s="1"/>
      <c r="C45" s="9">
        <f>SUM(C2:C44)</f>
        <v>17782722.011083744</v>
      </c>
      <c r="D45" s="9">
        <f>SUM(D2:D44)</f>
        <v>3692643.8500000006</v>
      </c>
      <c r="E45" s="9">
        <f t="shared" ref="E45:Y45" si="1">SUM(E2:E44)</f>
        <v>4844130.5976969898</v>
      </c>
      <c r="F45" s="9">
        <f t="shared" si="1"/>
        <v>0</v>
      </c>
      <c r="G45" s="9">
        <f t="shared" si="1"/>
        <v>5614000</v>
      </c>
      <c r="H45" s="9">
        <f t="shared" si="1"/>
        <v>249500</v>
      </c>
      <c r="I45" s="9">
        <f t="shared" si="1"/>
        <v>499000</v>
      </c>
      <c r="J45" s="9">
        <f t="shared" si="1"/>
        <v>1247500</v>
      </c>
      <c r="K45" s="9">
        <f t="shared" si="1"/>
        <v>235500</v>
      </c>
      <c r="L45" s="9">
        <f t="shared" si="1"/>
        <v>0</v>
      </c>
      <c r="M45" s="9">
        <f t="shared" si="1"/>
        <v>0</v>
      </c>
      <c r="N45" s="9">
        <f t="shared" si="1"/>
        <v>46120035</v>
      </c>
      <c r="O45" s="9">
        <f t="shared" si="1"/>
        <v>3690143.85</v>
      </c>
      <c r="P45" s="9">
        <f t="shared" si="1"/>
        <v>1152300</v>
      </c>
      <c r="Q45" s="9">
        <f t="shared" si="1"/>
        <v>27308395</v>
      </c>
      <c r="R45" s="9">
        <f t="shared" si="1"/>
        <v>1475110</v>
      </c>
      <c r="S45" s="9">
        <f t="shared" si="1"/>
        <v>0</v>
      </c>
      <c r="T45" s="9">
        <f t="shared" si="1"/>
        <v>20286750</v>
      </c>
      <c r="U45" s="9">
        <f t="shared" si="1"/>
        <v>14150774.447696989</v>
      </c>
      <c r="V45" s="9">
        <f t="shared" si="1"/>
        <v>3581923</v>
      </c>
      <c r="W45" s="9">
        <f t="shared" si="1"/>
        <v>1265783</v>
      </c>
      <c r="X45" s="9"/>
      <c r="Y45" s="9">
        <f t="shared" si="1"/>
        <v>12884991.447696989</v>
      </c>
    </row>
  </sheetData>
  <autoFilter ref="A1:Q44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F3" sqref="F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.28515625" customWidth="1"/>
    <col min="4" max="4" width="16.85546875" customWidth="1"/>
    <col min="5" max="5" width="20.7109375" customWidth="1"/>
    <col min="6" max="6" width="15" bestFit="1" customWidth="1"/>
    <col min="7" max="7" width="17.5703125" style="3" bestFit="1" customWidth="1"/>
    <col min="8" max="8" width="15.7109375" style="2" customWidth="1"/>
    <col min="9" max="11" width="12.42578125" style="2" customWidth="1"/>
    <col min="12" max="12" width="12.42578125" style="2" bestFit="1" customWidth="1"/>
    <col min="13" max="13" width="16.85546875" style="2" bestFit="1" customWidth="1"/>
    <col min="14" max="14" width="15" bestFit="1" customWidth="1"/>
    <col min="15" max="15" width="15" customWidth="1"/>
    <col min="16" max="16" width="18.140625" customWidth="1"/>
  </cols>
  <sheetData>
    <row r="1" spans="1:28" x14ac:dyDescent="0.25">
      <c r="A1" s="1" t="s">
        <v>0</v>
      </c>
      <c r="B1" s="1" t="s">
        <v>1</v>
      </c>
      <c r="C1" s="1"/>
      <c r="D1" s="1"/>
      <c r="E1" s="1"/>
    </row>
    <row r="2" spans="1:28" x14ac:dyDescent="0.25">
      <c r="A2" s="1" t="s">
        <v>2</v>
      </c>
      <c r="B2" s="1" t="s">
        <v>153</v>
      </c>
      <c r="C2" s="1"/>
      <c r="D2" s="1"/>
      <c r="E2" s="1"/>
    </row>
    <row r="3" spans="1:28" x14ac:dyDescent="0.25">
      <c r="A3" s="1" t="s">
        <v>3</v>
      </c>
      <c r="B3" s="5">
        <v>30000</v>
      </c>
      <c r="C3" s="1"/>
      <c r="D3" s="1"/>
      <c r="E3" s="1"/>
    </row>
    <row r="4" spans="1:28" ht="26.25" x14ac:dyDescent="0.4">
      <c r="B4" s="16"/>
      <c r="C4" s="157" t="s">
        <v>156</v>
      </c>
      <c r="D4" s="157"/>
      <c r="E4" s="157"/>
      <c r="F4" s="157"/>
      <c r="G4" s="57"/>
      <c r="H4" s="57"/>
      <c r="I4" s="57"/>
      <c r="J4"/>
      <c r="K4"/>
      <c r="L4"/>
      <c r="M4"/>
    </row>
    <row r="5" spans="1:28" ht="43.5" x14ac:dyDescent="0.25">
      <c r="A5" s="1" t="s">
        <v>4</v>
      </c>
      <c r="B5" s="1" t="s">
        <v>5</v>
      </c>
      <c r="C5" s="4" t="s">
        <v>6</v>
      </c>
      <c r="D5" s="1" t="s">
        <v>8</v>
      </c>
      <c r="E5" s="4" t="s">
        <v>60</v>
      </c>
      <c r="F5" s="1" t="s">
        <v>9</v>
      </c>
      <c r="G5" s="4" t="s">
        <v>10</v>
      </c>
      <c r="H5" s="4" t="s">
        <v>11</v>
      </c>
      <c r="I5" s="4" t="s">
        <v>12</v>
      </c>
      <c r="J5" s="4" t="s">
        <v>72</v>
      </c>
      <c r="K5" s="4" t="s">
        <v>73</v>
      </c>
      <c r="L5" s="4" t="s">
        <v>13</v>
      </c>
      <c r="M5" s="4" t="s">
        <v>61</v>
      </c>
      <c r="N5" s="4" t="s">
        <v>63</v>
      </c>
      <c r="O5" s="4" t="s">
        <v>83</v>
      </c>
      <c r="P5" s="4" t="s">
        <v>64</v>
      </c>
      <c r="Q5" s="4" t="s">
        <v>65</v>
      </c>
      <c r="R5" s="4" t="s">
        <v>14</v>
      </c>
      <c r="S5" s="4" t="s">
        <v>15</v>
      </c>
    </row>
    <row r="6" spans="1:28" x14ac:dyDescent="0.25">
      <c r="A6" s="1" t="s">
        <v>16</v>
      </c>
      <c r="B6" s="1" t="str">
        <f>VLOOKUP(A6,[21]LISTADHERENT!A$5:H$60,3,0)</f>
        <v>ASELBY</v>
      </c>
      <c r="C6" s="5" t="e">
        <f>#REF!+#REF!+#REF!+#REF!+#REF!+#REF!+#REF!+#REF!+#REF!+#REF!+#REF!+#REF!+#REF!+#REF!</f>
        <v>#REF!</v>
      </c>
      <c r="D6" s="5" t="e">
        <f>#REF!+#REF!+#REF!+#REF!+#REF!+#REF!+#REF!+#REF!+#REF!+#REF!+#REF!+#REF!+#REF!+#REF!</f>
        <v>#REF!</v>
      </c>
      <c r="E6" s="5" t="e">
        <f>#REF!+#REF!+#REF!+#REF!+#REF!+#REF!+#REF!+#REF!+#REF!+#REF!+#REF!+#REF!+#REF!+#REF!</f>
        <v>#REF!</v>
      </c>
      <c r="F6" s="5" t="e">
        <f>#REF!+#REF!+#REF!+#REF!+#REF!+#REF!+#REF!+#REF!+#REF!+#REF!+#REF!+#REF!+#REF!+#REF!</f>
        <v>#REF!</v>
      </c>
      <c r="G6" s="5" t="e">
        <f>#REF!+#REF!+#REF!+#REF!+#REF!+#REF!+#REF!+#REF!+#REF!+#REF!+#REF!+#REF!+#REF!+#REF!</f>
        <v>#REF!</v>
      </c>
      <c r="H6" s="5" t="e">
        <f>#REF!+#REF!+#REF!+#REF!+#REF!+#REF!+#REF!+#REF!+#REF!+#REF!+#REF!+#REF!+#REF!+#REF!</f>
        <v>#REF!</v>
      </c>
      <c r="I6" s="5" t="e">
        <f>#REF!+#REF!+#REF!+#REF!+#REF!+#REF!+#REF!+#REF!+#REF!+#REF!+#REF!+#REF!+#REF!+#REF!</f>
        <v>#REF!</v>
      </c>
      <c r="J6" s="5" t="e">
        <f>#REF!+#REF!+#REF!+#REF!+#REF!+#REF!+#REF!+#REF!+#REF!+#REF!+#REF!+#REF!+#REF!+#REF!</f>
        <v>#REF!</v>
      </c>
      <c r="K6" s="5" t="e">
        <f>#REF!+#REF!+#REF!+#REF!+#REF!+#REF!+#REF!+#REF!+#REF!+#REF!+#REF!+#REF!+#REF!+#REF!</f>
        <v>#REF!</v>
      </c>
      <c r="L6" s="5" t="e">
        <f>#REF!+#REF!+#REF!+#REF!+#REF!+#REF!+#REF!+#REF!+#REF!+#REF!+#REF!+#REF!+#REF!+#REF!</f>
        <v>#REF!</v>
      </c>
      <c r="M6" s="5" t="e">
        <f>#REF!+#REF!+#REF!+#REF!+#REF!+#REF!+#REF!+#REF!+#REF!+#REF!+#REF!+#REF!+#REF!+#REF!</f>
        <v>#REF!</v>
      </c>
      <c r="N6" s="5" t="e">
        <f>#REF!+#REF!+#REF!+#REF!+#REF!+#REF!+#REF!+#REF!+#REF!+#REF!+#REF!+#REF!+#REF!+#REF!</f>
        <v>#REF!</v>
      </c>
      <c r="O6" s="5" t="e">
        <f>#REF!+#REF!+#REF!+#REF!+#REF!+#REF!+#REF!+#REF!+#REF!+#REF!+#REF!+#REF!+#REF!+#REF!</f>
        <v>#REF!</v>
      </c>
      <c r="P6" s="5" t="e">
        <f>#REF!+#REF!+#REF!+#REF!+#REF!+#REF!+#REF!+#REF!+#REF!+#REF!+#REF!+#REF!+#REF!+#REF!</f>
        <v>#REF!</v>
      </c>
      <c r="Q6" s="5" t="e">
        <f>#REF!+#REF!+#REF!+#REF!+#REF!+#REF!+#REF!+#REF!+#REF!+#REF!+#REF!+#REF!+#REF!+#REF!</f>
        <v>#REF!</v>
      </c>
      <c r="R6" s="5" t="e">
        <f>#REF!+#REF!+#REF!+#REF!+#REF!+#REF!+#REF!+#REF!+#REF!+#REF!+#REF!+#REF!+#REF!+#REF!</f>
        <v>#REF!</v>
      </c>
      <c r="S6" s="5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5">
      <c r="A7" s="1" t="s">
        <v>19</v>
      </c>
      <c r="B7" s="1" t="str">
        <f>VLOOKUP(A7,[21]LISTADHERENT!A$5:H$60,3,0)</f>
        <v>BOUTCHOUANG WILLIAM</v>
      </c>
      <c r="C7" s="5" t="e">
        <f>#REF!+#REF!+#REF!+#REF!+#REF!+#REF!+#REF!+#REF!+#REF!+#REF!+#REF!+#REF!+#REF!+#REF!</f>
        <v>#REF!</v>
      </c>
      <c r="D7" s="5" t="e">
        <f>#REF!+#REF!+#REF!+#REF!+#REF!+#REF!+#REF!+#REF!+#REF!+#REF!+#REF!+#REF!+#REF!+#REF!</f>
        <v>#REF!</v>
      </c>
      <c r="E7" s="5" t="e">
        <f>#REF!+#REF!+#REF!+#REF!+#REF!+#REF!+#REF!+#REF!+#REF!+#REF!+#REF!+#REF!+#REF!+#REF!</f>
        <v>#REF!</v>
      </c>
      <c r="F7" s="5" t="e">
        <f>#REF!+#REF!+#REF!+#REF!+#REF!+#REF!+#REF!+#REF!+#REF!+#REF!+#REF!+#REF!+#REF!+#REF!</f>
        <v>#REF!</v>
      </c>
      <c r="G7" s="5" t="e">
        <f>#REF!+#REF!+#REF!+#REF!+#REF!+#REF!+#REF!+#REF!+#REF!+#REF!+#REF!+#REF!+#REF!+#REF!</f>
        <v>#REF!</v>
      </c>
      <c r="H7" s="5" t="e">
        <f>#REF!+#REF!+#REF!+#REF!+#REF!+#REF!+#REF!+#REF!+#REF!+#REF!+#REF!+#REF!+#REF!+#REF!</f>
        <v>#REF!</v>
      </c>
      <c r="I7" s="5" t="e">
        <f>#REF!+#REF!+#REF!+#REF!+#REF!+#REF!+#REF!+#REF!+#REF!+#REF!+#REF!+#REF!+#REF!+#REF!</f>
        <v>#REF!</v>
      </c>
      <c r="J7" s="5" t="e">
        <f>#REF!+#REF!+#REF!+#REF!+#REF!+#REF!+#REF!+#REF!+#REF!+#REF!+#REF!+#REF!+#REF!+#REF!</f>
        <v>#REF!</v>
      </c>
      <c r="K7" s="5" t="e">
        <f>#REF!+#REF!+#REF!+#REF!+#REF!+#REF!+#REF!+#REF!+#REF!+#REF!+#REF!+#REF!+#REF!+#REF!</f>
        <v>#REF!</v>
      </c>
      <c r="L7" s="5" t="e">
        <f>#REF!+#REF!+#REF!+#REF!+#REF!+#REF!+#REF!+#REF!+#REF!+#REF!+#REF!+#REF!+#REF!+#REF!</f>
        <v>#REF!</v>
      </c>
      <c r="M7" s="5" t="e">
        <f>#REF!+#REF!+#REF!+#REF!+#REF!+#REF!+#REF!+#REF!+#REF!+#REF!+#REF!+#REF!+#REF!+#REF!</f>
        <v>#REF!</v>
      </c>
      <c r="N7" s="5" t="e">
        <f>#REF!+#REF!+#REF!+#REF!+#REF!+#REF!+#REF!+#REF!+#REF!+#REF!+#REF!+#REF!+#REF!+#REF!</f>
        <v>#REF!</v>
      </c>
      <c r="O7" s="5" t="e">
        <f>#REF!+#REF!+#REF!+#REF!+#REF!+#REF!+#REF!+#REF!+#REF!+#REF!+#REF!+#REF!+#REF!+#REF!</f>
        <v>#REF!</v>
      </c>
      <c r="P7" s="5" t="e">
        <f>#REF!+#REF!+#REF!+#REF!+#REF!+#REF!+#REF!+#REF!+#REF!+#REF!+#REF!+#REF!+#REF!+#REF!</f>
        <v>#REF!</v>
      </c>
      <c r="Q7" s="5" t="e">
        <f>#REF!+#REF!+#REF!+#REF!+#REF!+#REF!+#REF!+#REF!+#REF!+#REF!+#REF!+#REF!+#REF!+#REF!</f>
        <v>#REF!</v>
      </c>
      <c r="R7" s="5" t="e">
        <f>#REF!+#REF!+#REF!+#REF!+#REF!+#REF!+#REF!+#REF!+#REF!+#REF!+#REF!+#REF!+#REF!+#REF!</f>
        <v>#REF!</v>
      </c>
      <c r="S7" s="5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5">
      <c r="A8" s="1" t="s">
        <v>23</v>
      </c>
      <c r="B8" s="1" t="str">
        <f>VLOOKUP(A8,[21]LISTADHERENT!A$5:H$60,3,0)</f>
        <v xml:space="preserve">DJOMO JEAN PAUL </v>
      </c>
      <c r="C8" s="5" t="e">
        <f>#REF!+#REF!+#REF!+#REF!+#REF!+#REF!+#REF!+#REF!+#REF!+#REF!+#REF!+#REF!+#REF!+#REF!</f>
        <v>#REF!</v>
      </c>
      <c r="D8" s="5" t="e">
        <f>#REF!+#REF!+#REF!+#REF!+#REF!+#REF!+#REF!+#REF!+#REF!+#REF!+#REF!+#REF!+#REF!+#REF!</f>
        <v>#REF!</v>
      </c>
      <c r="E8" s="5" t="e">
        <f>#REF!+#REF!+#REF!+#REF!+#REF!+#REF!+#REF!+#REF!+#REF!+#REF!+#REF!+#REF!+#REF!+#REF!</f>
        <v>#REF!</v>
      </c>
      <c r="F8" s="5" t="e">
        <f>#REF!+#REF!+#REF!+#REF!+#REF!+#REF!+#REF!+#REF!+#REF!+#REF!+#REF!+#REF!+#REF!+#REF!</f>
        <v>#REF!</v>
      </c>
      <c r="G8" s="5" t="e">
        <f>#REF!+#REF!+#REF!+#REF!+#REF!+#REF!+#REF!+#REF!+#REF!+#REF!+#REF!+#REF!+#REF!+#REF!</f>
        <v>#REF!</v>
      </c>
      <c r="H8" s="5" t="e">
        <f>#REF!+#REF!+#REF!+#REF!+#REF!+#REF!+#REF!+#REF!+#REF!+#REF!+#REF!+#REF!+#REF!+#REF!</f>
        <v>#REF!</v>
      </c>
      <c r="I8" s="5" t="e">
        <f>#REF!+#REF!+#REF!+#REF!+#REF!+#REF!+#REF!+#REF!+#REF!+#REF!+#REF!+#REF!+#REF!+#REF!</f>
        <v>#REF!</v>
      </c>
      <c r="J8" s="5" t="e">
        <f>#REF!+#REF!+#REF!+#REF!+#REF!+#REF!+#REF!+#REF!+#REF!+#REF!+#REF!+#REF!+#REF!+#REF!</f>
        <v>#REF!</v>
      </c>
      <c r="K8" s="5" t="e">
        <f>#REF!+#REF!+#REF!+#REF!+#REF!+#REF!+#REF!+#REF!+#REF!+#REF!+#REF!+#REF!+#REF!+#REF!</f>
        <v>#REF!</v>
      </c>
      <c r="L8" s="5" t="e">
        <f>#REF!+#REF!+#REF!+#REF!+#REF!+#REF!+#REF!+#REF!+#REF!+#REF!+#REF!+#REF!+#REF!+#REF!</f>
        <v>#REF!</v>
      </c>
      <c r="M8" s="5" t="e">
        <f>#REF!+#REF!+#REF!+#REF!+#REF!+#REF!+#REF!+#REF!+#REF!+#REF!+#REF!+#REF!+#REF!+#REF!</f>
        <v>#REF!</v>
      </c>
      <c r="N8" s="5" t="e">
        <f>#REF!+#REF!+#REF!+#REF!+#REF!+#REF!+#REF!+#REF!+#REF!+#REF!+#REF!+#REF!+#REF!+#REF!</f>
        <v>#REF!</v>
      </c>
      <c r="O8" s="5" t="e">
        <f>#REF!+#REF!+#REF!+#REF!+#REF!+#REF!+#REF!+#REF!+#REF!+#REF!+#REF!+#REF!+#REF!+#REF!</f>
        <v>#REF!</v>
      </c>
      <c r="P8" s="5" t="e">
        <f>#REF!+#REF!+#REF!+#REF!+#REF!+#REF!+#REF!+#REF!+#REF!+#REF!+#REF!+#REF!+#REF!+#REF!</f>
        <v>#REF!</v>
      </c>
      <c r="Q8" s="5" t="e">
        <f>#REF!+#REF!+#REF!+#REF!+#REF!+#REF!+#REF!+#REF!+#REF!+#REF!+#REF!+#REF!+#REF!+#REF!</f>
        <v>#REF!</v>
      </c>
      <c r="R8" s="5" t="e">
        <f>#REF!+#REF!+#REF!+#REF!+#REF!+#REF!+#REF!+#REF!+#REF!+#REF!+#REF!+#REF!+#REF!+#REF!</f>
        <v>#REF!</v>
      </c>
      <c r="S8" s="5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1" t="s">
        <v>154</v>
      </c>
      <c r="B9" s="1" t="str">
        <f>VLOOKUP(A9,[21]LISTADHERENT!A$5:H$60,3,0)</f>
        <v>DJOMOU TCHANDA</v>
      </c>
      <c r="C9" s="5" t="e">
        <f>#REF!+#REF!+#REF!+#REF!+#REF!+#REF!+#REF!+#REF!+#REF!+#REF!+#REF!+#REF!+#REF!+#REF!</f>
        <v>#REF!</v>
      </c>
      <c r="D9" s="5" t="e">
        <f>#REF!+#REF!+#REF!+#REF!+#REF!+#REF!+#REF!+#REF!+#REF!+#REF!+#REF!+#REF!+#REF!+#REF!</f>
        <v>#REF!</v>
      </c>
      <c r="E9" s="5" t="e">
        <f>#REF!+#REF!+#REF!+#REF!+#REF!+#REF!+#REF!+#REF!+#REF!+#REF!+#REF!+#REF!+#REF!+#REF!</f>
        <v>#REF!</v>
      </c>
      <c r="F9" s="5" t="e">
        <f>#REF!+#REF!+#REF!+#REF!+#REF!+#REF!+#REF!+#REF!+#REF!+#REF!+#REF!+#REF!+#REF!+#REF!</f>
        <v>#REF!</v>
      </c>
      <c r="G9" s="5" t="e">
        <f>#REF!+#REF!+#REF!+#REF!+#REF!+#REF!+#REF!+#REF!+#REF!+#REF!+#REF!+#REF!+#REF!+#REF!</f>
        <v>#REF!</v>
      </c>
      <c r="H9" s="5" t="e">
        <f>#REF!+#REF!+#REF!+#REF!+#REF!+#REF!+#REF!+#REF!+#REF!+#REF!+#REF!+#REF!+#REF!+#REF!</f>
        <v>#REF!</v>
      </c>
      <c r="I9" s="5" t="e">
        <f>#REF!+#REF!+#REF!+#REF!+#REF!+#REF!+#REF!+#REF!+#REF!+#REF!+#REF!+#REF!+#REF!+#REF!</f>
        <v>#REF!</v>
      </c>
      <c r="J9" s="5" t="e">
        <f>#REF!+#REF!+#REF!+#REF!+#REF!+#REF!+#REF!+#REF!+#REF!+#REF!+#REF!+#REF!+#REF!+#REF!</f>
        <v>#REF!</v>
      </c>
      <c r="K9" s="5" t="e">
        <f>#REF!+#REF!+#REF!+#REF!+#REF!+#REF!+#REF!+#REF!+#REF!+#REF!+#REF!+#REF!+#REF!+#REF!</f>
        <v>#REF!</v>
      </c>
      <c r="L9" s="5" t="e">
        <f>#REF!+#REF!+#REF!+#REF!+#REF!+#REF!+#REF!+#REF!+#REF!+#REF!+#REF!+#REF!+#REF!+#REF!</f>
        <v>#REF!</v>
      </c>
      <c r="M9" s="5" t="e">
        <f>#REF!+#REF!+#REF!+#REF!+#REF!+#REF!+#REF!+#REF!+#REF!+#REF!+#REF!+#REF!+#REF!+#REF!</f>
        <v>#REF!</v>
      </c>
      <c r="N9" s="5" t="e">
        <f>#REF!+#REF!+#REF!+#REF!+#REF!+#REF!+#REF!+#REF!+#REF!+#REF!+#REF!+#REF!+#REF!+#REF!</f>
        <v>#REF!</v>
      </c>
      <c r="O9" s="5" t="e">
        <f>#REF!+#REF!+#REF!+#REF!+#REF!+#REF!+#REF!+#REF!+#REF!+#REF!+#REF!+#REF!+#REF!+#REF!</f>
        <v>#REF!</v>
      </c>
      <c r="P9" s="5" t="e">
        <f>#REF!+#REF!+#REF!+#REF!+#REF!+#REF!+#REF!+#REF!+#REF!+#REF!+#REF!+#REF!+#REF!+#REF!</f>
        <v>#REF!</v>
      </c>
      <c r="Q9" s="5" t="e">
        <f>#REF!+#REF!+#REF!+#REF!+#REF!+#REF!+#REF!+#REF!+#REF!+#REF!+#REF!+#REF!+#REF!+#REF!</f>
        <v>#REF!</v>
      </c>
      <c r="R9" s="5" t="e">
        <f>#REF!+#REF!+#REF!+#REF!+#REF!+#REF!+#REF!+#REF!+#REF!+#REF!+#REF!+#REF!+#REF!+#REF!</f>
        <v>#REF!</v>
      </c>
      <c r="S9" s="5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1" t="s">
        <v>24</v>
      </c>
      <c r="B10" s="1" t="str">
        <f>VLOOKUP(A10,[21]LISTADHERENT!A$5:H$60,3,0)</f>
        <v>DJOUKWE NANGUEN GUY BLAISE</v>
      </c>
      <c r="C10" s="5" t="e">
        <f>#REF!+#REF!+#REF!+#REF!+#REF!+#REF!+#REF!+#REF!+#REF!+#REF!+#REF!+#REF!+#REF!+#REF!</f>
        <v>#REF!</v>
      </c>
      <c r="D10" s="5" t="e">
        <f>#REF!+#REF!+#REF!+#REF!+#REF!+#REF!+#REF!+#REF!+#REF!+#REF!+#REF!+#REF!+#REF!+#REF!</f>
        <v>#REF!</v>
      </c>
      <c r="E10" s="5" t="e">
        <f>#REF!+#REF!+#REF!+#REF!+#REF!+#REF!+#REF!+#REF!+#REF!+#REF!+#REF!+#REF!+#REF!+#REF!</f>
        <v>#REF!</v>
      </c>
      <c r="F10" s="5" t="e">
        <f>#REF!+#REF!+#REF!+#REF!+#REF!+#REF!+#REF!+#REF!+#REF!+#REF!+#REF!+#REF!+#REF!+#REF!</f>
        <v>#REF!</v>
      </c>
      <c r="G10" s="5" t="e">
        <f>#REF!+#REF!+#REF!+#REF!+#REF!+#REF!+#REF!+#REF!+#REF!+#REF!+#REF!+#REF!+#REF!+#REF!</f>
        <v>#REF!</v>
      </c>
      <c r="H10" s="5" t="e">
        <f>#REF!+#REF!+#REF!+#REF!+#REF!+#REF!+#REF!+#REF!+#REF!+#REF!+#REF!+#REF!+#REF!+#REF!</f>
        <v>#REF!</v>
      </c>
      <c r="I10" s="5" t="e">
        <f>#REF!+#REF!+#REF!+#REF!+#REF!+#REF!+#REF!+#REF!+#REF!+#REF!+#REF!+#REF!+#REF!+#REF!</f>
        <v>#REF!</v>
      </c>
      <c r="J10" s="5" t="e">
        <f>#REF!+#REF!+#REF!+#REF!+#REF!+#REF!+#REF!+#REF!+#REF!+#REF!+#REF!+#REF!+#REF!+#REF!</f>
        <v>#REF!</v>
      </c>
      <c r="K10" s="5" t="e">
        <f>#REF!+#REF!+#REF!+#REF!+#REF!+#REF!+#REF!+#REF!+#REF!+#REF!+#REF!+#REF!+#REF!+#REF!</f>
        <v>#REF!</v>
      </c>
      <c r="L10" s="5" t="e">
        <f>#REF!+#REF!+#REF!+#REF!+#REF!+#REF!+#REF!+#REF!+#REF!+#REF!+#REF!+#REF!+#REF!+#REF!</f>
        <v>#REF!</v>
      </c>
      <c r="M10" s="5" t="e">
        <f>#REF!+#REF!+#REF!+#REF!+#REF!+#REF!+#REF!+#REF!+#REF!+#REF!+#REF!+#REF!+#REF!+#REF!</f>
        <v>#REF!</v>
      </c>
      <c r="N10" s="5" t="e">
        <f>#REF!+#REF!+#REF!+#REF!+#REF!+#REF!+#REF!+#REF!+#REF!+#REF!+#REF!+#REF!+#REF!+#REF!</f>
        <v>#REF!</v>
      </c>
      <c r="O10" s="5" t="e">
        <f>#REF!+#REF!+#REF!+#REF!+#REF!+#REF!+#REF!+#REF!+#REF!+#REF!+#REF!+#REF!+#REF!+#REF!</f>
        <v>#REF!</v>
      </c>
      <c r="P10" s="5" t="e">
        <f>#REF!+#REF!+#REF!+#REF!+#REF!+#REF!+#REF!+#REF!+#REF!+#REF!+#REF!+#REF!+#REF!+#REF!</f>
        <v>#REF!</v>
      </c>
      <c r="Q10" s="5" t="e">
        <f>#REF!+#REF!+#REF!+#REF!+#REF!+#REF!+#REF!+#REF!+#REF!+#REF!+#REF!+#REF!+#REF!+#REF!</f>
        <v>#REF!</v>
      </c>
      <c r="R10" s="5" t="e">
        <f>#REF!+#REF!+#REF!+#REF!+#REF!+#REF!+#REF!+#REF!+#REF!+#REF!+#REF!+#REF!+#REF!+#REF!</f>
        <v>#REF!</v>
      </c>
      <c r="S10" s="5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1" t="s">
        <v>25</v>
      </c>
      <c r="B11" s="1" t="str">
        <f>VLOOKUP(A11,[21]LISTADHERENT!A$5:H$60,3,0)</f>
        <v>DJUOMBESSY ANTOINE</v>
      </c>
      <c r="C11" s="5" t="e">
        <f>#REF!+#REF!+#REF!+#REF!+#REF!+#REF!+#REF!+#REF!+#REF!+#REF!+#REF!+#REF!+#REF!+#REF!</f>
        <v>#REF!</v>
      </c>
      <c r="D11" s="5" t="e">
        <f>#REF!+#REF!+#REF!+#REF!+#REF!+#REF!+#REF!+#REF!+#REF!+#REF!+#REF!+#REF!+#REF!+#REF!</f>
        <v>#REF!</v>
      </c>
      <c r="E11" s="5" t="e">
        <f>#REF!+#REF!+#REF!+#REF!+#REF!+#REF!+#REF!+#REF!+#REF!+#REF!+#REF!+#REF!+#REF!+#REF!</f>
        <v>#REF!</v>
      </c>
      <c r="F11" s="5" t="e">
        <f>#REF!+#REF!+#REF!+#REF!+#REF!+#REF!+#REF!+#REF!+#REF!+#REF!+#REF!+#REF!+#REF!+#REF!</f>
        <v>#REF!</v>
      </c>
      <c r="G11" s="5" t="e">
        <f>#REF!+#REF!+#REF!+#REF!+#REF!+#REF!+#REF!+#REF!+#REF!+#REF!+#REF!+#REF!+#REF!+#REF!</f>
        <v>#REF!</v>
      </c>
      <c r="H11" s="5" t="e">
        <f>#REF!+#REF!+#REF!+#REF!+#REF!+#REF!+#REF!+#REF!+#REF!+#REF!+#REF!+#REF!+#REF!+#REF!</f>
        <v>#REF!</v>
      </c>
      <c r="I11" s="5" t="e">
        <f>#REF!+#REF!+#REF!+#REF!+#REF!+#REF!+#REF!+#REF!+#REF!+#REF!+#REF!+#REF!+#REF!+#REF!</f>
        <v>#REF!</v>
      </c>
      <c r="J11" s="5" t="e">
        <f>#REF!+#REF!+#REF!+#REF!+#REF!+#REF!+#REF!+#REF!+#REF!+#REF!+#REF!+#REF!+#REF!+#REF!</f>
        <v>#REF!</v>
      </c>
      <c r="K11" s="5" t="e">
        <f>#REF!+#REF!+#REF!+#REF!+#REF!+#REF!+#REF!+#REF!+#REF!+#REF!+#REF!+#REF!+#REF!+#REF!</f>
        <v>#REF!</v>
      </c>
      <c r="L11" s="5" t="e">
        <f>#REF!+#REF!+#REF!+#REF!+#REF!+#REF!+#REF!+#REF!+#REF!+#REF!+#REF!+#REF!+#REF!+#REF!</f>
        <v>#REF!</v>
      </c>
      <c r="M11" s="5" t="e">
        <f>#REF!+#REF!+#REF!+#REF!+#REF!+#REF!+#REF!+#REF!+#REF!+#REF!+#REF!+#REF!+#REF!+#REF!</f>
        <v>#REF!</v>
      </c>
      <c r="N11" s="5" t="e">
        <f>#REF!+#REF!+#REF!+#REF!+#REF!+#REF!+#REF!+#REF!+#REF!+#REF!+#REF!+#REF!+#REF!+#REF!</f>
        <v>#REF!</v>
      </c>
      <c r="O11" s="5" t="e">
        <f>#REF!+#REF!+#REF!+#REF!+#REF!+#REF!+#REF!+#REF!+#REF!+#REF!+#REF!+#REF!+#REF!+#REF!</f>
        <v>#REF!</v>
      </c>
      <c r="P11" s="5" t="e">
        <f>#REF!+#REF!+#REF!+#REF!+#REF!+#REF!+#REF!+#REF!+#REF!+#REF!+#REF!+#REF!+#REF!+#REF!</f>
        <v>#REF!</v>
      </c>
      <c r="Q11" s="5" t="e">
        <f>#REF!+#REF!+#REF!+#REF!+#REF!+#REF!+#REF!+#REF!+#REF!+#REF!+#REF!+#REF!+#REF!+#REF!</f>
        <v>#REF!</v>
      </c>
      <c r="R11" s="5" t="e">
        <f>#REF!+#REF!+#REF!+#REF!+#REF!+#REF!+#REF!+#REF!+#REF!+#REF!+#REF!+#REF!+#REF!+#REF!</f>
        <v>#REF!</v>
      </c>
      <c r="S11" s="5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1" t="s">
        <v>79</v>
      </c>
      <c r="B12" s="1" t="str">
        <f>VLOOKUP(A12,[21]LISTADHERENT!A$5:H$60,3,0)</f>
        <v>DOMOU FABIEN</v>
      </c>
      <c r="C12" s="5" t="e">
        <f>#REF!+#REF!+#REF!+#REF!+#REF!+#REF!+#REF!+#REF!+#REF!+#REF!+#REF!+#REF!+#REF!+#REF!</f>
        <v>#REF!</v>
      </c>
      <c r="D12" s="5" t="e">
        <f>#REF!+#REF!+#REF!+#REF!+#REF!+#REF!+#REF!+#REF!+#REF!+#REF!+#REF!+#REF!+#REF!+#REF!</f>
        <v>#REF!</v>
      </c>
      <c r="E12" s="5" t="e">
        <f>#REF!+#REF!+#REF!+#REF!+#REF!+#REF!+#REF!+#REF!+#REF!+#REF!+#REF!+#REF!+#REF!+#REF!</f>
        <v>#REF!</v>
      </c>
      <c r="F12" s="5" t="e">
        <f>#REF!+#REF!+#REF!+#REF!+#REF!+#REF!+#REF!+#REF!+#REF!+#REF!+#REF!+#REF!+#REF!+#REF!</f>
        <v>#REF!</v>
      </c>
      <c r="G12" s="5" t="e">
        <f>#REF!+#REF!+#REF!+#REF!+#REF!+#REF!+#REF!+#REF!+#REF!+#REF!+#REF!+#REF!+#REF!+#REF!</f>
        <v>#REF!</v>
      </c>
      <c r="H12" s="5" t="e">
        <f>#REF!+#REF!+#REF!+#REF!+#REF!+#REF!+#REF!+#REF!+#REF!+#REF!+#REF!+#REF!+#REF!+#REF!</f>
        <v>#REF!</v>
      </c>
      <c r="I12" s="5" t="e">
        <f>#REF!+#REF!+#REF!+#REF!+#REF!+#REF!+#REF!+#REF!+#REF!+#REF!+#REF!+#REF!+#REF!+#REF!</f>
        <v>#REF!</v>
      </c>
      <c r="J12" s="5" t="e">
        <f>#REF!+#REF!+#REF!+#REF!+#REF!+#REF!+#REF!+#REF!+#REF!+#REF!+#REF!+#REF!+#REF!+#REF!</f>
        <v>#REF!</v>
      </c>
      <c r="K12" s="5" t="e">
        <f>#REF!+#REF!+#REF!+#REF!+#REF!+#REF!+#REF!+#REF!+#REF!+#REF!+#REF!+#REF!+#REF!+#REF!</f>
        <v>#REF!</v>
      </c>
      <c r="L12" s="5" t="e">
        <f>#REF!+#REF!+#REF!+#REF!+#REF!+#REF!+#REF!+#REF!+#REF!+#REF!+#REF!+#REF!+#REF!+#REF!</f>
        <v>#REF!</v>
      </c>
      <c r="M12" s="5" t="e">
        <f>#REF!+#REF!+#REF!+#REF!+#REF!+#REF!+#REF!+#REF!+#REF!+#REF!+#REF!+#REF!+#REF!+#REF!</f>
        <v>#REF!</v>
      </c>
      <c r="N12" s="5" t="e">
        <f>#REF!+#REF!+#REF!+#REF!+#REF!+#REF!+#REF!+#REF!+#REF!+#REF!+#REF!+#REF!+#REF!+#REF!</f>
        <v>#REF!</v>
      </c>
      <c r="O12" s="5" t="e">
        <f>#REF!+#REF!+#REF!+#REF!+#REF!+#REF!+#REF!+#REF!+#REF!+#REF!+#REF!+#REF!+#REF!+#REF!</f>
        <v>#REF!</v>
      </c>
      <c r="P12" s="5" t="e">
        <f>#REF!+#REF!+#REF!+#REF!+#REF!+#REF!+#REF!+#REF!+#REF!+#REF!+#REF!+#REF!+#REF!+#REF!</f>
        <v>#REF!</v>
      </c>
      <c r="Q12" s="5" t="e">
        <f>#REF!+#REF!+#REF!+#REF!+#REF!+#REF!+#REF!+#REF!+#REF!+#REF!+#REF!+#REF!+#REF!+#REF!</f>
        <v>#REF!</v>
      </c>
      <c r="R12" s="5" t="e">
        <f>#REF!+#REF!+#REF!+#REF!+#REF!+#REF!+#REF!+#REF!+#REF!+#REF!+#REF!+#REF!+#REF!+#REF!</f>
        <v>#REF!</v>
      </c>
      <c r="V12" s="2"/>
      <c r="W12" s="2"/>
      <c r="X12" s="2"/>
      <c r="Y12" s="2"/>
      <c r="Z12" s="2"/>
      <c r="AA12" s="2"/>
      <c r="AB12" s="2"/>
    </row>
    <row r="13" spans="1:28" x14ac:dyDescent="0.25">
      <c r="A13" s="1" t="s">
        <v>26</v>
      </c>
      <c r="B13" s="1" t="str">
        <f>VLOOKUP(A13,[21]LISTADHERENT!A$5:H$60,3,0)</f>
        <v>DONHOU DAVID</v>
      </c>
      <c r="C13" s="5" t="e">
        <f>#REF!+#REF!+#REF!+#REF!+#REF!+#REF!+#REF!+#REF!+#REF!+#REF!+#REF!+#REF!+#REF!+#REF!</f>
        <v>#REF!</v>
      </c>
      <c r="D13" s="5" t="e">
        <f>#REF!+#REF!+#REF!+#REF!+#REF!+#REF!+#REF!+#REF!+#REF!+#REF!+#REF!+#REF!+#REF!+#REF!</f>
        <v>#REF!</v>
      </c>
      <c r="E13" s="5" t="e">
        <f>#REF!+#REF!+#REF!+#REF!+#REF!+#REF!+#REF!+#REF!+#REF!+#REF!+#REF!+#REF!+#REF!+#REF!</f>
        <v>#REF!</v>
      </c>
      <c r="F13" s="5" t="e">
        <f>#REF!+#REF!+#REF!+#REF!+#REF!+#REF!+#REF!+#REF!+#REF!+#REF!+#REF!+#REF!+#REF!+#REF!</f>
        <v>#REF!</v>
      </c>
      <c r="G13" s="5" t="e">
        <f>#REF!+#REF!+#REF!+#REF!+#REF!+#REF!+#REF!+#REF!+#REF!+#REF!+#REF!+#REF!+#REF!+#REF!</f>
        <v>#REF!</v>
      </c>
      <c r="H13" s="5" t="e">
        <f>#REF!+#REF!+#REF!+#REF!+#REF!+#REF!+#REF!+#REF!+#REF!+#REF!+#REF!+#REF!+#REF!+#REF!</f>
        <v>#REF!</v>
      </c>
      <c r="I13" s="5" t="e">
        <f>#REF!+#REF!+#REF!+#REF!+#REF!+#REF!+#REF!+#REF!+#REF!+#REF!+#REF!+#REF!+#REF!+#REF!</f>
        <v>#REF!</v>
      </c>
      <c r="J13" s="5" t="e">
        <f>#REF!+#REF!+#REF!+#REF!+#REF!+#REF!+#REF!+#REF!+#REF!+#REF!+#REF!+#REF!+#REF!+#REF!</f>
        <v>#REF!</v>
      </c>
      <c r="K13" s="5" t="e">
        <f>#REF!+#REF!+#REF!+#REF!+#REF!+#REF!+#REF!+#REF!+#REF!+#REF!+#REF!+#REF!+#REF!+#REF!</f>
        <v>#REF!</v>
      </c>
      <c r="L13" s="5" t="e">
        <f>#REF!+#REF!+#REF!+#REF!+#REF!+#REF!+#REF!+#REF!+#REF!+#REF!+#REF!+#REF!+#REF!+#REF!</f>
        <v>#REF!</v>
      </c>
      <c r="M13" s="5" t="e">
        <f>#REF!+#REF!+#REF!+#REF!+#REF!+#REF!+#REF!+#REF!+#REF!+#REF!+#REF!+#REF!+#REF!+#REF!</f>
        <v>#REF!</v>
      </c>
      <c r="N13" s="5" t="e">
        <f>#REF!+#REF!+#REF!+#REF!+#REF!+#REF!+#REF!+#REF!+#REF!+#REF!+#REF!+#REF!+#REF!+#REF!</f>
        <v>#REF!</v>
      </c>
      <c r="O13" s="5" t="e">
        <f>#REF!+#REF!+#REF!+#REF!+#REF!+#REF!+#REF!+#REF!+#REF!+#REF!+#REF!+#REF!+#REF!+#REF!</f>
        <v>#REF!</v>
      </c>
      <c r="P13" s="5" t="e">
        <f>#REF!+#REF!+#REF!+#REF!+#REF!+#REF!+#REF!+#REF!+#REF!+#REF!+#REF!+#REF!+#REF!+#REF!</f>
        <v>#REF!</v>
      </c>
      <c r="Q13" s="5" t="e">
        <f>#REF!+#REF!+#REF!+#REF!+#REF!+#REF!+#REF!+#REF!+#REF!+#REF!+#REF!+#REF!+#REF!+#REF!</f>
        <v>#REF!</v>
      </c>
      <c r="R13" s="5" t="e">
        <f>#REF!+#REF!+#REF!+#REF!+#REF!+#REF!+#REF!+#REF!+#REF!+#REF!+#REF!+#REF!+#REF!+#REF!</f>
        <v>#REF!</v>
      </c>
      <c r="S13" s="5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1" t="s">
        <v>27</v>
      </c>
      <c r="B14" s="1" t="str">
        <f>VLOOKUP(A14,[21]LISTADHERENT!A$5:H$60,3,0)</f>
        <v>FOTSO THOMAS</v>
      </c>
      <c r="C14" s="5" t="e">
        <f>#REF!+#REF!+#REF!+#REF!+#REF!+#REF!+#REF!+#REF!+#REF!+#REF!+#REF!+#REF!+#REF!+#REF!</f>
        <v>#REF!</v>
      </c>
      <c r="D14" s="5" t="e">
        <f>#REF!+#REF!+#REF!+#REF!+#REF!+#REF!+#REF!+#REF!+#REF!+#REF!+#REF!+#REF!+#REF!+#REF!</f>
        <v>#REF!</v>
      </c>
      <c r="E14" s="5" t="e">
        <f>#REF!+#REF!+#REF!+#REF!+#REF!+#REF!+#REF!+#REF!+#REF!+#REF!+#REF!+#REF!+#REF!+#REF!</f>
        <v>#REF!</v>
      </c>
      <c r="F14" s="5" t="e">
        <f>#REF!+#REF!+#REF!+#REF!+#REF!+#REF!+#REF!+#REF!+#REF!+#REF!+#REF!+#REF!+#REF!+#REF!</f>
        <v>#REF!</v>
      </c>
      <c r="G14" s="5" t="e">
        <f>#REF!+#REF!+#REF!+#REF!+#REF!+#REF!+#REF!+#REF!+#REF!+#REF!+#REF!+#REF!+#REF!+#REF!</f>
        <v>#REF!</v>
      </c>
      <c r="H14" s="5" t="e">
        <f>#REF!+#REF!+#REF!+#REF!+#REF!+#REF!+#REF!+#REF!+#REF!+#REF!+#REF!+#REF!+#REF!+#REF!</f>
        <v>#REF!</v>
      </c>
      <c r="I14" s="5" t="e">
        <f>#REF!+#REF!+#REF!+#REF!+#REF!+#REF!+#REF!+#REF!+#REF!+#REF!+#REF!+#REF!+#REF!+#REF!</f>
        <v>#REF!</v>
      </c>
      <c r="J14" s="5" t="e">
        <f>#REF!+#REF!+#REF!+#REF!+#REF!+#REF!+#REF!+#REF!+#REF!+#REF!+#REF!+#REF!+#REF!+#REF!</f>
        <v>#REF!</v>
      </c>
      <c r="K14" s="5" t="e">
        <f>#REF!+#REF!+#REF!+#REF!+#REF!+#REF!+#REF!+#REF!+#REF!+#REF!+#REF!+#REF!+#REF!+#REF!</f>
        <v>#REF!</v>
      </c>
      <c r="L14" s="5" t="e">
        <f>#REF!+#REF!+#REF!+#REF!+#REF!+#REF!+#REF!+#REF!+#REF!+#REF!+#REF!+#REF!+#REF!+#REF!</f>
        <v>#REF!</v>
      </c>
      <c r="M14" s="5" t="e">
        <f>#REF!+#REF!+#REF!+#REF!+#REF!+#REF!+#REF!+#REF!+#REF!+#REF!+#REF!+#REF!+#REF!+#REF!</f>
        <v>#REF!</v>
      </c>
      <c r="N14" s="5" t="e">
        <f>#REF!+#REF!+#REF!+#REF!+#REF!+#REF!+#REF!+#REF!+#REF!+#REF!+#REF!+#REF!+#REF!+#REF!</f>
        <v>#REF!</v>
      </c>
      <c r="O14" s="5" t="e">
        <f>#REF!+#REF!+#REF!+#REF!+#REF!+#REF!+#REF!+#REF!+#REF!+#REF!+#REF!+#REF!+#REF!+#REF!</f>
        <v>#REF!</v>
      </c>
      <c r="P14" s="5" t="e">
        <f>#REF!+#REF!+#REF!+#REF!+#REF!+#REF!+#REF!+#REF!+#REF!+#REF!+#REF!+#REF!+#REF!+#REF!</f>
        <v>#REF!</v>
      </c>
      <c r="Q14" s="5" t="e">
        <f>#REF!+#REF!+#REF!+#REF!+#REF!+#REF!+#REF!+#REF!+#REF!+#REF!+#REF!+#REF!+#REF!+#REF!</f>
        <v>#REF!</v>
      </c>
      <c r="R14" s="5" t="e">
        <f>#REF!+#REF!+#REF!+#REF!+#REF!+#REF!+#REF!+#REF!+#REF!+#REF!+#REF!+#REF!+#REF!+#REF!</f>
        <v>#REF!</v>
      </c>
      <c r="S14" s="5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25">
      <c r="A15" s="1" t="s">
        <v>28</v>
      </c>
      <c r="B15" s="1" t="str">
        <f>VLOOKUP(A15,[21]LISTADHERENT!A$5:H$60,3,0)</f>
        <v>HENGUE PAUL OMER</v>
      </c>
      <c r="C15" s="5" t="e">
        <f>#REF!+#REF!+#REF!+#REF!+#REF!+#REF!+#REF!+#REF!+#REF!+#REF!+#REF!+#REF!+#REF!+#REF!</f>
        <v>#REF!</v>
      </c>
      <c r="D15" s="5" t="e">
        <f>#REF!+#REF!+#REF!+#REF!+#REF!+#REF!+#REF!+#REF!+#REF!+#REF!+#REF!+#REF!+#REF!+#REF!</f>
        <v>#REF!</v>
      </c>
      <c r="E15" s="5" t="e">
        <f>#REF!+#REF!+#REF!+#REF!+#REF!+#REF!+#REF!+#REF!+#REF!+#REF!+#REF!+#REF!+#REF!+#REF!</f>
        <v>#REF!</v>
      </c>
      <c r="F15" s="5" t="e">
        <f>#REF!+#REF!+#REF!+#REF!+#REF!+#REF!+#REF!+#REF!+#REF!+#REF!+#REF!+#REF!+#REF!+#REF!</f>
        <v>#REF!</v>
      </c>
      <c r="G15" s="5" t="e">
        <f>#REF!+#REF!+#REF!+#REF!+#REF!+#REF!+#REF!+#REF!+#REF!+#REF!+#REF!+#REF!+#REF!+#REF!</f>
        <v>#REF!</v>
      </c>
      <c r="H15" s="5" t="e">
        <f>#REF!+#REF!+#REF!+#REF!+#REF!+#REF!+#REF!+#REF!+#REF!+#REF!+#REF!+#REF!+#REF!+#REF!</f>
        <v>#REF!</v>
      </c>
      <c r="I15" s="5" t="e">
        <f>#REF!+#REF!+#REF!+#REF!+#REF!+#REF!+#REF!+#REF!+#REF!+#REF!+#REF!+#REF!+#REF!+#REF!</f>
        <v>#REF!</v>
      </c>
      <c r="J15" s="5" t="e">
        <f>#REF!+#REF!+#REF!+#REF!+#REF!+#REF!+#REF!+#REF!+#REF!+#REF!+#REF!+#REF!+#REF!+#REF!</f>
        <v>#REF!</v>
      </c>
      <c r="K15" s="5" t="e">
        <f>#REF!+#REF!+#REF!+#REF!+#REF!+#REF!+#REF!+#REF!+#REF!+#REF!+#REF!+#REF!+#REF!+#REF!</f>
        <v>#REF!</v>
      </c>
      <c r="L15" s="5" t="e">
        <f>#REF!+#REF!+#REF!+#REF!+#REF!+#REF!+#REF!+#REF!+#REF!+#REF!+#REF!+#REF!+#REF!+#REF!</f>
        <v>#REF!</v>
      </c>
      <c r="M15" s="5" t="e">
        <f>#REF!+#REF!+#REF!+#REF!+#REF!+#REF!+#REF!+#REF!+#REF!+#REF!+#REF!+#REF!+#REF!+#REF!</f>
        <v>#REF!</v>
      </c>
      <c r="N15" s="5" t="e">
        <f>#REF!+#REF!+#REF!+#REF!+#REF!+#REF!+#REF!+#REF!+#REF!+#REF!+#REF!+#REF!+#REF!+#REF!</f>
        <v>#REF!</v>
      </c>
      <c r="O15" s="5" t="e">
        <f>#REF!+#REF!+#REF!+#REF!+#REF!+#REF!+#REF!+#REF!+#REF!+#REF!+#REF!+#REF!+#REF!+#REF!</f>
        <v>#REF!</v>
      </c>
      <c r="P15" s="5" t="e">
        <f>#REF!+#REF!+#REF!+#REF!+#REF!+#REF!+#REF!+#REF!+#REF!+#REF!+#REF!+#REF!+#REF!+#REF!</f>
        <v>#REF!</v>
      </c>
      <c r="Q15" s="5" t="e">
        <f>#REF!+#REF!+#REF!+#REF!+#REF!+#REF!+#REF!+#REF!+#REF!+#REF!+#REF!+#REF!+#REF!+#REF!</f>
        <v>#REF!</v>
      </c>
      <c r="R15" s="5" t="e">
        <f>#REF!+#REF!+#REF!+#REF!+#REF!+#REF!+#REF!+#REF!+#REF!+#REF!+#REF!+#REF!+#REF!+#REF!</f>
        <v>#REF!</v>
      </c>
      <c r="S15" s="5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1" t="s">
        <v>29</v>
      </c>
      <c r="B16" s="1" t="str">
        <f>VLOOKUP(A16,[21]LISTADHERENT!A$5:H$60,3,0)</f>
        <v>HOTCHO BENJAMIN</v>
      </c>
      <c r="C16" s="5" t="e">
        <f>#REF!+#REF!+#REF!+#REF!+#REF!+#REF!+#REF!+#REF!+#REF!+#REF!+#REF!+#REF!+#REF!+#REF!</f>
        <v>#REF!</v>
      </c>
      <c r="D16" s="5" t="e">
        <f>#REF!+#REF!+#REF!+#REF!+#REF!+#REF!+#REF!+#REF!+#REF!+#REF!+#REF!+#REF!+#REF!+#REF!</f>
        <v>#REF!</v>
      </c>
      <c r="E16" s="5" t="e">
        <f>#REF!+#REF!+#REF!+#REF!+#REF!+#REF!+#REF!+#REF!+#REF!+#REF!+#REF!+#REF!+#REF!+#REF!</f>
        <v>#REF!</v>
      </c>
      <c r="F16" s="5" t="e">
        <f>#REF!+#REF!+#REF!+#REF!+#REF!+#REF!+#REF!+#REF!+#REF!+#REF!+#REF!+#REF!+#REF!+#REF!</f>
        <v>#REF!</v>
      </c>
      <c r="G16" s="5" t="e">
        <f>#REF!+#REF!+#REF!+#REF!+#REF!+#REF!+#REF!+#REF!+#REF!+#REF!+#REF!+#REF!+#REF!+#REF!</f>
        <v>#REF!</v>
      </c>
      <c r="H16" s="5" t="e">
        <f>#REF!+#REF!+#REF!+#REF!+#REF!+#REF!+#REF!+#REF!+#REF!+#REF!+#REF!+#REF!+#REF!+#REF!</f>
        <v>#REF!</v>
      </c>
      <c r="I16" s="5" t="e">
        <f>#REF!+#REF!+#REF!+#REF!+#REF!+#REF!+#REF!+#REF!+#REF!+#REF!+#REF!+#REF!+#REF!+#REF!</f>
        <v>#REF!</v>
      </c>
      <c r="J16" s="5" t="e">
        <f>#REF!+#REF!+#REF!+#REF!+#REF!+#REF!+#REF!+#REF!+#REF!+#REF!+#REF!+#REF!+#REF!+#REF!</f>
        <v>#REF!</v>
      </c>
      <c r="K16" s="5" t="e">
        <f>#REF!+#REF!+#REF!+#REF!+#REF!+#REF!+#REF!+#REF!+#REF!+#REF!+#REF!+#REF!+#REF!+#REF!</f>
        <v>#REF!</v>
      </c>
      <c r="L16" s="5" t="e">
        <f>#REF!+#REF!+#REF!+#REF!+#REF!+#REF!+#REF!+#REF!+#REF!+#REF!+#REF!+#REF!+#REF!+#REF!</f>
        <v>#REF!</v>
      </c>
      <c r="M16" s="5" t="e">
        <f>#REF!+#REF!+#REF!+#REF!+#REF!+#REF!+#REF!+#REF!+#REF!+#REF!+#REF!+#REF!+#REF!+#REF!</f>
        <v>#REF!</v>
      </c>
      <c r="N16" s="5" t="e">
        <f>#REF!+#REF!+#REF!+#REF!+#REF!+#REF!+#REF!+#REF!+#REF!+#REF!+#REF!+#REF!+#REF!+#REF!</f>
        <v>#REF!</v>
      </c>
      <c r="O16" s="5" t="e">
        <f>#REF!+#REF!+#REF!+#REF!+#REF!+#REF!+#REF!+#REF!+#REF!+#REF!+#REF!+#REF!+#REF!+#REF!</f>
        <v>#REF!</v>
      </c>
      <c r="P16" s="5" t="e">
        <f>#REF!+#REF!+#REF!+#REF!+#REF!+#REF!+#REF!+#REF!+#REF!+#REF!+#REF!+#REF!+#REF!+#REF!</f>
        <v>#REF!</v>
      </c>
      <c r="Q16" s="5" t="e">
        <f>#REF!+#REF!+#REF!+#REF!+#REF!+#REF!+#REF!+#REF!+#REF!+#REF!+#REF!+#REF!+#REF!+#REF!</f>
        <v>#REF!</v>
      </c>
      <c r="R16" s="5" t="e">
        <f>#REF!+#REF!+#REF!+#REF!+#REF!+#REF!+#REF!+#REF!+#REF!+#REF!+#REF!+#REF!+#REF!+#REF!</f>
        <v>#REF!</v>
      </c>
      <c r="S16" s="5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1" t="s">
        <v>31</v>
      </c>
      <c r="B17" s="1" t="str">
        <f>VLOOKUP(A17,[21]LISTADHERENT!A$5:H$60,3,0)</f>
        <v>KEPSEU FRANCIS</v>
      </c>
      <c r="C17" s="5" t="e">
        <f>#REF!+#REF!+#REF!+#REF!+#REF!+#REF!+#REF!+#REF!+#REF!+#REF!+#REF!+#REF!+#REF!+#REF!</f>
        <v>#REF!</v>
      </c>
      <c r="D17" s="5" t="e">
        <f>#REF!+#REF!+#REF!+#REF!+#REF!+#REF!+#REF!+#REF!+#REF!+#REF!+#REF!+#REF!+#REF!+#REF!</f>
        <v>#REF!</v>
      </c>
      <c r="E17" s="5" t="e">
        <f>#REF!+#REF!+#REF!+#REF!+#REF!+#REF!+#REF!+#REF!+#REF!+#REF!+#REF!+#REF!+#REF!+#REF!</f>
        <v>#REF!</v>
      </c>
      <c r="F17" s="5" t="e">
        <f>#REF!+#REF!+#REF!+#REF!+#REF!+#REF!+#REF!+#REF!+#REF!+#REF!+#REF!+#REF!+#REF!+#REF!</f>
        <v>#REF!</v>
      </c>
      <c r="G17" s="5" t="e">
        <f>#REF!+#REF!+#REF!+#REF!+#REF!+#REF!+#REF!+#REF!+#REF!+#REF!+#REF!+#REF!+#REF!+#REF!</f>
        <v>#REF!</v>
      </c>
      <c r="H17" s="5" t="e">
        <f>#REF!+#REF!+#REF!+#REF!+#REF!+#REF!+#REF!+#REF!+#REF!+#REF!+#REF!+#REF!+#REF!+#REF!</f>
        <v>#REF!</v>
      </c>
      <c r="I17" s="5" t="e">
        <f>#REF!+#REF!+#REF!+#REF!+#REF!+#REF!+#REF!+#REF!+#REF!+#REF!+#REF!+#REF!+#REF!+#REF!</f>
        <v>#REF!</v>
      </c>
      <c r="J17" s="5" t="e">
        <f>#REF!+#REF!+#REF!+#REF!+#REF!+#REF!+#REF!+#REF!+#REF!+#REF!+#REF!+#REF!+#REF!+#REF!</f>
        <v>#REF!</v>
      </c>
      <c r="K17" s="5" t="e">
        <f>#REF!+#REF!+#REF!+#REF!+#REF!+#REF!+#REF!+#REF!+#REF!+#REF!+#REF!+#REF!+#REF!+#REF!</f>
        <v>#REF!</v>
      </c>
      <c r="L17" s="5" t="e">
        <f>#REF!+#REF!+#REF!+#REF!+#REF!+#REF!+#REF!+#REF!+#REF!+#REF!+#REF!+#REF!+#REF!+#REF!</f>
        <v>#REF!</v>
      </c>
      <c r="M17" s="5" t="e">
        <f>#REF!+#REF!+#REF!+#REF!+#REF!+#REF!+#REF!+#REF!+#REF!+#REF!+#REF!+#REF!+#REF!+#REF!</f>
        <v>#REF!</v>
      </c>
      <c r="N17" s="5" t="e">
        <f>#REF!+#REF!+#REF!+#REF!+#REF!+#REF!+#REF!+#REF!+#REF!+#REF!+#REF!+#REF!+#REF!+#REF!</f>
        <v>#REF!</v>
      </c>
      <c r="O17" s="5" t="e">
        <f>#REF!+#REF!+#REF!+#REF!+#REF!+#REF!+#REF!+#REF!+#REF!+#REF!+#REF!+#REF!+#REF!+#REF!</f>
        <v>#REF!</v>
      </c>
      <c r="P17" s="5" t="e">
        <f>#REF!+#REF!+#REF!+#REF!+#REF!+#REF!+#REF!+#REF!+#REF!+#REF!+#REF!+#REF!+#REF!+#REF!</f>
        <v>#REF!</v>
      </c>
      <c r="Q17" s="5" t="e">
        <f>#REF!+#REF!+#REF!+#REF!+#REF!+#REF!+#REF!+#REF!+#REF!+#REF!+#REF!+#REF!+#REF!+#REF!</f>
        <v>#REF!</v>
      </c>
      <c r="R17" s="5" t="e">
        <f>#REF!+#REF!+#REF!+#REF!+#REF!+#REF!+#REF!+#REF!+#REF!+#REF!+#REF!+#REF!+#REF!+#REF!</f>
        <v>#REF!</v>
      </c>
      <c r="S17" s="5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1" t="s">
        <v>34</v>
      </c>
      <c r="B18" s="1" t="str">
        <f>VLOOKUP(A18,[21]LISTADHERENT!A$5:H$60,3,0)</f>
        <v>KOUAMO VICTOR PEGUY</v>
      </c>
      <c r="C18" s="5" t="e">
        <f>#REF!+#REF!+#REF!+#REF!+#REF!+#REF!+#REF!+#REF!+#REF!+#REF!+#REF!+#REF!+#REF!+#REF!</f>
        <v>#REF!</v>
      </c>
      <c r="D18" s="5" t="e">
        <f>#REF!+#REF!+#REF!+#REF!+#REF!+#REF!+#REF!+#REF!+#REF!+#REF!+#REF!+#REF!+#REF!+#REF!</f>
        <v>#REF!</v>
      </c>
      <c r="E18" s="5" t="e">
        <f>#REF!+#REF!+#REF!+#REF!+#REF!+#REF!+#REF!+#REF!+#REF!+#REF!+#REF!+#REF!+#REF!+#REF!</f>
        <v>#REF!</v>
      </c>
      <c r="F18" s="5" t="e">
        <f>#REF!+#REF!+#REF!+#REF!+#REF!+#REF!+#REF!+#REF!+#REF!+#REF!+#REF!+#REF!+#REF!+#REF!</f>
        <v>#REF!</v>
      </c>
      <c r="G18" s="5" t="e">
        <f>#REF!+#REF!+#REF!+#REF!+#REF!+#REF!+#REF!+#REF!+#REF!+#REF!+#REF!+#REF!+#REF!+#REF!</f>
        <v>#REF!</v>
      </c>
      <c r="H18" s="5" t="e">
        <f>#REF!+#REF!+#REF!+#REF!+#REF!+#REF!+#REF!+#REF!+#REF!+#REF!+#REF!+#REF!+#REF!+#REF!</f>
        <v>#REF!</v>
      </c>
      <c r="I18" s="5" t="e">
        <f>#REF!+#REF!+#REF!+#REF!+#REF!+#REF!+#REF!+#REF!+#REF!+#REF!+#REF!+#REF!+#REF!+#REF!</f>
        <v>#REF!</v>
      </c>
      <c r="J18" s="5" t="e">
        <f>#REF!+#REF!+#REF!+#REF!+#REF!+#REF!+#REF!+#REF!+#REF!+#REF!+#REF!+#REF!+#REF!+#REF!</f>
        <v>#REF!</v>
      </c>
      <c r="K18" s="5" t="e">
        <f>#REF!+#REF!+#REF!+#REF!+#REF!+#REF!+#REF!+#REF!+#REF!+#REF!+#REF!+#REF!+#REF!+#REF!</f>
        <v>#REF!</v>
      </c>
      <c r="L18" s="5" t="e">
        <f>#REF!+#REF!+#REF!+#REF!+#REF!+#REF!+#REF!+#REF!+#REF!+#REF!+#REF!+#REF!+#REF!+#REF!</f>
        <v>#REF!</v>
      </c>
      <c r="M18" s="5" t="e">
        <f>#REF!+#REF!+#REF!+#REF!+#REF!+#REF!+#REF!+#REF!+#REF!+#REF!+#REF!+#REF!+#REF!+#REF!</f>
        <v>#REF!</v>
      </c>
      <c r="N18" s="5" t="e">
        <f>#REF!+#REF!+#REF!+#REF!+#REF!+#REF!+#REF!+#REF!+#REF!+#REF!+#REF!+#REF!+#REF!+#REF!</f>
        <v>#REF!</v>
      </c>
      <c r="O18" s="5" t="e">
        <f>#REF!+#REF!+#REF!+#REF!+#REF!+#REF!+#REF!+#REF!+#REF!+#REF!+#REF!+#REF!+#REF!+#REF!</f>
        <v>#REF!</v>
      </c>
      <c r="P18" s="5" t="e">
        <f>#REF!+#REF!+#REF!+#REF!+#REF!+#REF!+#REF!+#REF!+#REF!+#REF!+#REF!+#REF!+#REF!+#REF!</f>
        <v>#REF!</v>
      </c>
      <c r="Q18" s="5" t="e">
        <f>#REF!+#REF!+#REF!+#REF!+#REF!+#REF!+#REF!+#REF!+#REF!+#REF!+#REF!+#REF!+#REF!+#REF!</f>
        <v>#REF!</v>
      </c>
      <c r="R18" s="5" t="e">
        <f>#REF!+#REF!+#REF!+#REF!+#REF!+#REF!+#REF!+#REF!+#REF!+#REF!+#REF!+#REF!+#REF!+#REF!</f>
        <v>#REF!</v>
      </c>
      <c r="S18" s="5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1" t="s">
        <v>33</v>
      </c>
      <c r="B19" s="1" t="str">
        <f>VLOOKUP(A19,[21]LISTADHERENT!A$5:H$60,3,0)</f>
        <v>KOUAMOU MOISE</v>
      </c>
      <c r="C19" s="5" t="e">
        <f>#REF!+#REF!+#REF!+#REF!+#REF!+#REF!+#REF!+#REF!+#REF!+#REF!+#REF!+#REF!+#REF!+#REF!</f>
        <v>#REF!</v>
      </c>
      <c r="D19" s="5" t="e">
        <f>#REF!+#REF!+#REF!+#REF!+#REF!+#REF!+#REF!+#REF!+#REF!+#REF!+#REF!+#REF!+#REF!+#REF!</f>
        <v>#REF!</v>
      </c>
      <c r="E19" s="5" t="e">
        <f>#REF!+#REF!+#REF!+#REF!+#REF!+#REF!+#REF!+#REF!+#REF!+#REF!+#REF!+#REF!+#REF!+#REF!</f>
        <v>#REF!</v>
      </c>
      <c r="F19" s="5" t="e">
        <f>#REF!+#REF!+#REF!+#REF!+#REF!+#REF!+#REF!+#REF!+#REF!+#REF!+#REF!+#REF!+#REF!+#REF!</f>
        <v>#REF!</v>
      </c>
      <c r="G19" s="5" t="e">
        <f>#REF!+#REF!+#REF!+#REF!+#REF!+#REF!+#REF!+#REF!+#REF!+#REF!+#REF!+#REF!+#REF!+#REF!</f>
        <v>#REF!</v>
      </c>
      <c r="H19" s="5" t="e">
        <f>#REF!+#REF!+#REF!+#REF!+#REF!+#REF!+#REF!+#REF!+#REF!+#REF!+#REF!+#REF!+#REF!+#REF!</f>
        <v>#REF!</v>
      </c>
      <c r="I19" s="5" t="e">
        <f>#REF!+#REF!+#REF!+#REF!+#REF!+#REF!+#REF!+#REF!+#REF!+#REF!+#REF!+#REF!+#REF!+#REF!</f>
        <v>#REF!</v>
      </c>
      <c r="J19" s="5" t="e">
        <f>#REF!+#REF!+#REF!+#REF!+#REF!+#REF!+#REF!+#REF!+#REF!+#REF!+#REF!+#REF!+#REF!+#REF!</f>
        <v>#REF!</v>
      </c>
      <c r="K19" s="5" t="e">
        <f>#REF!+#REF!+#REF!+#REF!+#REF!+#REF!+#REF!+#REF!+#REF!+#REF!+#REF!+#REF!+#REF!+#REF!</f>
        <v>#REF!</v>
      </c>
      <c r="L19" s="5" t="e">
        <f>#REF!+#REF!+#REF!+#REF!+#REF!+#REF!+#REF!+#REF!+#REF!+#REF!+#REF!+#REF!+#REF!+#REF!</f>
        <v>#REF!</v>
      </c>
      <c r="M19" s="5" t="e">
        <f>#REF!+#REF!+#REF!+#REF!+#REF!+#REF!+#REF!+#REF!+#REF!+#REF!+#REF!+#REF!+#REF!+#REF!</f>
        <v>#REF!</v>
      </c>
      <c r="N19" s="5" t="e">
        <f>#REF!+#REF!+#REF!+#REF!+#REF!+#REF!+#REF!+#REF!+#REF!+#REF!+#REF!+#REF!+#REF!+#REF!</f>
        <v>#REF!</v>
      </c>
      <c r="O19" s="5" t="e">
        <f>#REF!+#REF!+#REF!+#REF!+#REF!+#REF!+#REF!+#REF!+#REF!+#REF!+#REF!+#REF!+#REF!+#REF!</f>
        <v>#REF!</v>
      </c>
      <c r="P19" s="5" t="e">
        <f>#REF!+#REF!+#REF!+#REF!+#REF!+#REF!+#REF!+#REF!+#REF!+#REF!+#REF!+#REF!+#REF!+#REF!</f>
        <v>#REF!</v>
      </c>
      <c r="Q19" s="5" t="e">
        <f>#REF!+#REF!+#REF!+#REF!+#REF!+#REF!+#REF!+#REF!+#REF!+#REF!+#REF!+#REF!+#REF!+#REF!</f>
        <v>#REF!</v>
      </c>
      <c r="R19" s="5" t="e">
        <f>#REF!+#REF!+#REF!+#REF!+#REF!+#REF!+#REF!+#REF!+#REF!+#REF!+#REF!+#REF!+#REF!+#REF!</f>
        <v>#REF!</v>
      </c>
      <c r="S19" s="5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1" t="s">
        <v>35</v>
      </c>
      <c r="B20" s="1" t="str">
        <f>VLOOKUP(A20,[21]LISTADHERENT!A$5:H$60,3,0)</f>
        <v>KOUATCHO MESSACK</v>
      </c>
      <c r="C20" s="5" t="e">
        <f>#REF!+#REF!+#REF!+#REF!+#REF!+#REF!+#REF!+#REF!+#REF!+#REF!+#REF!+#REF!+#REF!+#REF!</f>
        <v>#REF!</v>
      </c>
      <c r="D20" s="5" t="e">
        <f>#REF!+#REF!+#REF!+#REF!+#REF!+#REF!+#REF!+#REF!+#REF!+#REF!+#REF!+#REF!+#REF!+#REF!</f>
        <v>#REF!</v>
      </c>
      <c r="E20" s="5" t="e">
        <f>#REF!+#REF!+#REF!+#REF!+#REF!+#REF!+#REF!+#REF!+#REF!+#REF!+#REF!+#REF!+#REF!+#REF!</f>
        <v>#REF!</v>
      </c>
      <c r="F20" s="5" t="e">
        <f>#REF!+#REF!+#REF!+#REF!+#REF!+#REF!+#REF!+#REF!+#REF!+#REF!+#REF!+#REF!+#REF!+#REF!</f>
        <v>#REF!</v>
      </c>
      <c r="G20" s="5" t="e">
        <f>#REF!+#REF!+#REF!+#REF!+#REF!+#REF!+#REF!+#REF!+#REF!+#REF!+#REF!+#REF!+#REF!+#REF!</f>
        <v>#REF!</v>
      </c>
      <c r="H20" s="5" t="e">
        <f>#REF!+#REF!+#REF!+#REF!+#REF!+#REF!+#REF!+#REF!+#REF!+#REF!+#REF!+#REF!+#REF!+#REF!</f>
        <v>#REF!</v>
      </c>
      <c r="I20" s="5" t="e">
        <f>#REF!+#REF!+#REF!+#REF!+#REF!+#REF!+#REF!+#REF!+#REF!+#REF!+#REF!+#REF!+#REF!+#REF!</f>
        <v>#REF!</v>
      </c>
      <c r="J20" s="5" t="e">
        <f>#REF!+#REF!+#REF!+#REF!+#REF!+#REF!+#REF!+#REF!+#REF!+#REF!+#REF!+#REF!+#REF!+#REF!</f>
        <v>#REF!</v>
      </c>
      <c r="K20" s="5" t="e">
        <f>#REF!+#REF!+#REF!+#REF!+#REF!+#REF!+#REF!+#REF!+#REF!+#REF!+#REF!+#REF!+#REF!+#REF!</f>
        <v>#REF!</v>
      </c>
      <c r="L20" s="5" t="e">
        <f>#REF!+#REF!+#REF!+#REF!+#REF!+#REF!+#REF!+#REF!+#REF!+#REF!+#REF!+#REF!+#REF!+#REF!</f>
        <v>#REF!</v>
      </c>
      <c r="M20" s="5" t="e">
        <f>#REF!+#REF!+#REF!+#REF!+#REF!+#REF!+#REF!+#REF!+#REF!+#REF!+#REF!+#REF!+#REF!+#REF!</f>
        <v>#REF!</v>
      </c>
      <c r="N20" s="5" t="e">
        <f>#REF!+#REF!+#REF!+#REF!+#REF!+#REF!+#REF!+#REF!+#REF!+#REF!+#REF!+#REF!+#REF!+#REF!</f>
        <v>#REF!</v>
      </c>
      <c r="O20" s="5" t="e">
        <f>#REF!+#REF!+#REF!+#REF!+#REF!+#REF!+#REF!+#REF!+#REF!+#REF!+#REF!+#REF!+#REF!+#REF!</f>
        <v>#REF!</v>
      </c>
      <c r="P20" s="5" t="e">
        <f>#REF!+#REF!+#REF!+#REF!+#REF!+#REF!+#REF!+#REF!+#REF!+#REF!+#REF!+#REF!+#REF!+#REF!</f>
        <v>#REF!</v>
      </c>
      <c r="Q20" s="5" t="e">
        <f>#REF!+#REF!+#REF!+#REF!+#REF!+#REF!+#REF!+#REF!+#REF!+#REF!+#REF!+#REF!+#REF!+#REF!</f>
        <v>#REF!</v>
      </c>
      <c r="R20" s="5" t="e">
        <f>#REF!+#REF!+#REF!+#REF!+#REF!+#REF!+#REF!+#REF!+#REF!+#REF!+#REF!+#REF!+#REF!+#REF!</f>
        <v>#REF!</v>
      </c>
      <c r="S20" s="5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1" t="s">
        <v>36</v>
      </c>
      <c r="B21" s="1" t="str">
        <f>VLOOKUP(A21,[21]LISTADHERENT!A$5:H$60,3,0)</f>
        <v>LOWE JEAN</v>
      </c>
      <c r="C21" s="5" t="e">
        <f>#REF!+#REF!+#REF!+#REF!+#REF!+#REF!+#REF!+#REF!+#REF!+#REF!+#REF!+#REF!+#REF!+#REF!</f>
        <v>#REF!</v>
      </c>
      <c r="D21" s="5" t="e">
        <f>#REF!+#REF!+#REF!+#REF!+#REF!+#REF!+#REF!+#REF!+#REF!+#REF!+#REF!+#REF!+#REF!+#REF!</f>
        <v>#REF!</v>
      </c>
      <c r="E21" s="5" t="e">
        <f>#REF!+#REF!+#REF!+#REF!+#REF!+#REF!+#REF!+#REF!+#REF!+#REF!+#REF!+#REF!+#REF!+#REF!</f>
        <v>#REF!</v>
      </c>
      <c r="F21" s="5" t="e">
        <f>#REF!+#REF!+#REF!+#REF!+#REF!+#REF!+#REF!+#REF!+#REF!+#REF!+#REF!+#REF!+#REF!+#REF!</f>
        <v>#REF!</v>
      </c>
      <c r="G21" s="5" t="e">
        <f>#REF!+#REF!+#REF!+#REF!+#REF!+#REF!+#REF!+#REF!+#REF!+#REF!+#REF!+#REF!+#REF!+#REF!</f>
        <v>#REF!</v>
      </c>
      <c r="H21" s="5" t="e">
        <f>#REF!+#REF!+#REF!+#REF!+#REF!+#REF!+#REF!+#REF!+#REF!+#REF!+#REF!+#REF!+#REF!+#REF!</f>
        <v>#REF!</v>
      </c>
      <c r="I21" s="5" t="e">
        <f>#REF!+#REF!+#REF!+#REF!+#REF!+#REF!+#REF!+#REF!+#REF!+#REF!+#REF!+#REF!+#REF!+#REF!</f>
        <v>#REF!</v>
      </c>
      <c r="J21" s="5" t="e">
        <f>#REF!+#REF!+#REF!+#REF!+#REF!+#REF!+#REF!+#REF!+#REF!+#REF!+#REF!+#REF!+#REF!+#REF!</f>
        <v>#REF!</v>
      </c>
      <c r="K21" s="5" t="e">
        <f>#REF!+#REF!+#REF!+#REF!+#REF!+#REF!+#REF!+#REF!+#REF!+#REF!+#REF!+#REF!+#REF!+#REF!</f>
        <v>#REF!</v>
      </c>
      <c r="L21" s="5" t="e">
        <f>#REF!+#REF!+#REF!+#REF!+#REF!+#REF!+#REF!+#REF!+#REF!+#REF!+#REF!+#REF!+#REF!+#REF!</f>
        <v>#REF!</v>
      </c>
      <c r="M21" s="5" t="e">
        <f>#REF!+#REF!+#REF!+#REF!+#REF!+#REF!+#REF!+#REF!+#REF!+#REF!+#REF!+#REF!+#REF!+#REF!</f>
        <v>#REF!</v>
      </c>
      <c r="N21" s="5" t="e">
        <f>#REF!+#REF!+#REF!+#REF!+#REF!+#REF!+#REF!+#REF!+#REF!+#REF!+#REF!+#REF!+#REF!+#REF!</f>
        <v>#REF!</v>
      </c>
      <c r="O21" s="5" t="e">
        <f>#REF!+#REF!+#REF!+#REF!+#REF!+#REF!+#REF!+#REF!+#REF!+#REF!+#REF!+#REF!+#REF!+#REF!</f>
        <v>#REF!</v>
      </c>
      <c r="P21" s="5" t="e">
        <f>#REF!+#REF!+#REF!+#REF!+#REF!+#REF!+#REF!+#REF!+#REF!+#REF!+#REF!+#REF!+#REF!+#REF!</f>
        <v>#REF!</v>
      </c>
      <c r="Q21" s="5" t="e">
        <f>#REF!+#REF!+#REF!+#REF!+#REF!+#REF!+#REF!+#REF!+#REF!+#REF!+#REF!+#REF!+#REF!+#REF!</f>
        <v>#REF!</v>
      </c>
      <c r="R21" s="5" t="e">
        <f>#REF!+#REF!+#REF!+#REF!+#REF!+#REF!+#REF!+#REF!+#REF!+#REF!+#REF!+#REF!+#REF!+#REF!</f>
        <v>#REF!</v>
      </c>
      <c r="S21" s="5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1" t="s">
        <v>75</v>
      </c>
      <c r="B22" s="1" t="str">
        <f>VLOOKUP(A22,[21]LISTADHERENT!A$5:H$60,3,0)</f>
        <v>MBOGNING TUGMA GUY</v>
      </c>
      <c r="C22" s="5" t="e">
        <f>#REF!+#REF!+#REF!+#REF!+#REF!+#REF!+#REF!+#REF!+#REF!+#REF!+#REF!+#REF!+#REF!+#REF!</f>
        <v>#REF!</v>
      </c>
      <c r="D22" s="5" t="e">
        <f>#REF!+#REF!+#REF!+#REF!+#REF!+#REF!+#REF!+#REF!+#REF!+#REF!+#REF!+#REF!+#REF!+#REF!</f>
        <v>#REF!</v>
      </c>
      <c r="E22" s="5" t="e">
        <f>#REF!+#REF!+#REF!+#REF!+#REF!+#REF!+#REF!+#REF!+#REF!+#REF!+#REF!+#REF!+#REF!+#REF!</f>
        <v>#REF!</v>
      </c>
      <c r="F22" s="5" t="e">
        <f>#REF!+#REF!+#REF!+#REF!+#REF!+#REF!+#REF!+#REF!+#REF!+#REF!+#REF!+#REF!+#REF!+#REF!</f>
        <v>#REF!</v>
      </c>
      <c r="G22" s="5" t="e">
        <f>#REF!+#REF!+#REF!+#REF!+#REF!+#REF!+#REF!+#REF!+#REF!+#REF!+#REF!+#REF!+#REF!+#REF!</f>
        <v>#REF!</v>
      </c>
      <c r="H22" s="5" t="e">
        <f>#REF!+#REF!+#REF!+#REF!+#REF!+#REF!+#REF!+#REF!+#REF!+#REF!+#REF!+#REF!+#REF!+#REF!</f>
        <v>#REF!</v>
      </c>
      <c r="I22" s="5" t="e">
        <f>#REF!+#REF!+#REF!+#REF!+#REF!+#REF!+#REF!+#REF!+#REF!+#REF!+#REF!+#REF!+#REF!+#REF!</f>
        <v>#REF!</v>
      </c>
      <c r="J22" s="5" t="e">
        <f>#REF!+#REF!+#REF!+#REF!+#REF!+#REF!+#REF!+#REF!+#REF!+#REF!+#REF!+#REF!+#REF!+#REF!</f>
        <v>#REF!</v>
      </c>
      <c r="K22" s="5" t="e">
        <f>#REF!+#REF!+#REF!+#REF!+#REF!+#REF!+#REF!+#REF!+#REF!+#REF!+#REF!+#REF!+#REF!+#REF!</f>
        <v>#REF!</v>
      </c>
      <c r="L22" s="5" t="e">
        <f>#REF!+#REF!+#REF!+#REF!+#REF!+#REF!+#REF!+#REF!+#REF!+#REF!+#REF!+#REF!+#REF!+#REF!</f>
        <v>#REF!</v>
      </c>
      <c r="M22" s="5" t="e">
        <f>#REF!+#REF!+#REF!+#REF!+#REF!+#REF!+#REF!+#REF!+#REF!+#REF!+#REF!+#REF!+#REF!+#REF!</f>
        <v>#REF!</v>
      </c>
      <c r="N22" s="5" t="e">
        <f>#REF!+#REF!+#REF!+#REF!+#REF!+#REF!+#REF!+#REF!+#REF!+#REF!+#REF!+#REF!+#REF!+#REF!</f>
        <v>#REF!</v>
      </c>
      <c r="O22" s="5" t="e">
        <f>#REF!+#REF!+#REF!+#REF!+#REF!+#REF!+#REF!+#REF!+#REF!+#REF!+#REF!+#REF!+#REF!+#REF!</f>
        <v>#REF!</v>
      </c>
      <c r="P22" s="5" t="e">
        <f>#REF!+#REF!+#REF!+#REF!+#REF!+#REF!+#REF!+#REF!+#REF!+#REF!+#REF!+#REF!+#REF!+#REF!</f>
        <v>#REF!</v>
      </c>
      <c r="Q22" s="5" t="e">
        <f>#REF!+#REF!+#REF!+#REF!+#REF!+#REF!+#REF!+#REF!+#REF!+#REF!+#REF!+#REF!+#REF!+#REF!</f>
        <v>#REF!</v>
      </c>
      <c r="R22" s="5" t="e">
        <f>#REF!+#REF!+#REF!+#REF!+#REF!+#REF!+#REF!+#REF!+#REF!+#REF!+#REF!+#REF!+#REF!+#REF!</f>
        <v>#REF!</v>
      </c>
      <c r="V22" s="2"/>
      <c r="W22" s="2"/>
      <c r="X22" s="2"/>
      <c r="Y22" s="2"/>
      <c r="Z22" s="2"/>
      <c r="AA22" s="2"/>
      <c r="AB22" s="2"/>
    </row>
    <row r="23" spans="1:28" x14ac:dyDescent="0.25">
      <c r="A23" s="1" t="s">
        <v>50</v>
      </c>
      <c r="B23" s="1" t="str">
        <f>VLOOKUP(A23,[21]LISTADHERENT!A$5:H$60,3,0)</f>
        <v>NANGUEN MARTIN</v>
      </c>
      <c r="C23" s="5" t="e">
        <f>#REF!+#REF!+#REF!+#REF!+#REF!+#REF!+#REF!+#REF!+#REF!+#REF!+#REF!+#REF!+#REF!+#REF!</f>
        <v>#REF!</v>
      </c>
      <c r="D23" s="5" t="e">
        <f>#REF!+#REF!+#REF!+#REF!+#REF!+#REF!+#REF!+#REF!+#REF!+#REF!+#REF!+#REF!+#REF!+#REF!</f>
        <v>#REF!</v>
      </c>
      <c r="E23" s="5" t="e">
        <f>#REF!+#REF!+#REF!+#REF!+#REF!+#REF!+#REF!+#REF!+#REF!+#REF!+#REF!+#REF!+#REF!+#REF!</f>
        <v>#REF!</v>
      </c>
      <c r="F23" s="5" t="e">
        <f>#REF!+#REF!+#REF!+#REF!+#REF!+#REF!+#REF!+#REF!+#REF!+#REF!+#REF!+#REF!+#REF!+#REF!</f>
        <v>#REF!</v>
      </c>
      <c r="G23" s="5" t="e">
        <f>#REF!+#REF!+#REF!+#REF!+#REF!+#REF!+#REF!+#REF!+#REF!+#REF!+#REF!+#REF!+#REF!+#REF!</f>
        <v>#REF!</v>
      </c>
      <c r="H23" s="5" t="e">
        <f>#REF!+#REF!+#REF!+#REF!+#REF!+#REF!+#REF!+#REF!+#REF!+#REF!+#REF!+#REF!+#REF!+#REF!</f>
        <v>#REF!</v>
      </c>
      <c r="I23" s="5" t="e">
        <f>#REF!+#REF!+#REF!+#REF!+#REF!+#REF!+#REF!+#REF!+#REF!+#REF!+#REF!+#REF!+#REF!+#REF!</f>
        <v>#REF!</v>
      </c>
      <c r="J23" s="5" t="e">
        <f>#REF!+#REF!+#REF!+#REF!+#REF!+#REF!+#REF!+#REF!+#REF!+#REF!+#REF!+#REF!+#REF!+#REF!</f>
        <v>#REF!</v>
      </c>
      <c r="K23" s="5" t="e">
        <f>#REF!+#REF!+#REF!+#REF!+#REF!+#REF!+#REF!+#REF!+#REF!+#REF!+#REF!+#REF!+#REF!+#REF!</f>
        <v>#REF!</v>
      </c>
      <c r="L23" s="5" t="e">
        <f>#REF!+#REF!+#REF!+#REF!+#REF!+#REF!+#REF!+#REF!+#REF!+#REF!+#REF!+#REF!+#REF!+#REF!</f>
        <v>#REF!</v>
      </c>
      <c r="M23" s="5" t="e">
        <f>#REF!+#REF!+#REF!+#REF!+#REF!+#REF!+#REF!+#REF!+#REF!+#REF!+#REF!+#REF!+#REF!+#REF!</f>
        <v>#REF!</v>
      </c>
      <c r="N23" s="5" t="e">
        <f>#REF!+#REF!+#REF!+#REF!+#REF!+#REF!+#REF!+#REF!+#REF!+#REF!+#REF!+#REF!+#REF!+#REF!</f>
        <v>#REF!</v>
      </c>
      <c r="O23" s="5" t="e">
        <f>#REF!+#REF!+#REF!+#REF!+#REF!+#REF!+#REF!+#REF!+#REF!+#REF!+#REF!+#REF!+#REF!+#REF!</f>
        <v>#REF!</v>
      </c>
      <c r="P23" s="5" t="e">
        <f>#REF!+#REF!+#REF!+#REF!+#REF!+#REF!+#REF!+#REF!+#REF!+#REF!+#REF!+#REF!+#REF!+#REF!</f>
        <v>#REF!</v>
      </c>
      <c r="Q23" s="5" t="e">
        <f>#REF!+#REF!+#REF!+#REF!+#REF!+#REF!+#REF!+#REF!+#REF!+#REF!+#REF!+#REF!+#REF!+#REF!</f>
        <v>#REF!</v>
      </c>
      <c r="R23" s="5" t="e">
        <f>#REF!+#REF!+#REF!+#REF!+#REF!+#REF!+#REF!+#REF!+#REF!+#REF!+#REF!+#REF!+#REF!+#REF!</f>
        <v>#REF!</v>
      </c>
      <c r="S23" s="5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1" t="s">
        <v>37</v>
      </c>
      <c r="B24" s="1" t="str">
        <f>VLOOKUP(A24,[21]LISTADHERENT!A$5:H$60,3,0)</f>
        <v>NANKAM APPOLINAIRE</v>
      </c>
      <c r="C24" s="5" t="e">
        <f>#REF!+#REF!+#REF!+#REF!+#REF!+#REF!+#REF!+#REF!+#REF!+#REF!+#REF!+#REF!+#REF!+#REF!</f>
        <v>#REF!</v>
      </c>
      <c r="D24" s="5" t="e">
        <f>#REF!+#REF!+#REF!+#REF!+#REF!+#REF!+#REF!+#REF!+#REF!+#REF!+#REF!+#REF!+#REF!+#REF!</f>
        <v>#REF!</v>
      </c>
      <c r="E24" s="5" t="e">
        <f>#REF!+#REF!+#REF!+#REF!+#REF!+#REF!+#REF!+#REF!+#REF!+#REF!+#REF!+#REF!+#REF!+#REF!</f>
        <v>#REF!</v>
      </c>
      <c r="F24" s="5" t="e">
        <f>#REF!+#REF!+#REF!+#REF!+#REF!+#REF!+#REF!+#REF!+#REF!+#REF!+#REF!+#REF!+#REF!+#REF!</f>
        <v>#REF!</v>
      </c>
      <c r="G24" s="5" t="e">
        <f>#REF!+#REF!+#REF!+#REF!+#REF!+#REF!+#REF!+#REF!+#REF!+#REF!+#REF!+#REF!+#REF!+#REF!</f>
        <v>#REF!</v>
      </c>
      <c r="H24" s="5" t="e">
        <f>#REF!+#REF!+#REF!+#REF!+#REF!+#REF!+#REF!+#REF!+#REF!+#REF!+#REF!+#REF!+#REF!+#REF!</f>
        <v>#REF!</v>
      </c>
      <c r="I24" s="5" t="e">
        <f>#REF!+#REF!+#REF!+#REF!+#REF!+#REF!+#REF!+#REF!+#REF!+#REF!+#REF!+#REF!+#REF!+#REF!</f>
        <v>#REF!</v>
      </c>
      <c r="J24" s="5" t="e">
        <f>#REF!+#REF!+#REF!+#REF!+#REF!+#REF!+#REF!+#REF!+#REF!+#REF!+#REF!+#REF!+#REF!+#REF!</f>
        <v>#REF!</v>
      </c>
      <c r="K24" s="5" t="e">
        <f>#REF!+#REF!+#REF!+#REF!+#REF!+#REF!+#REF!+#REF!+#REF!+#REF!+#REF!+#REF!+#REF!+#REF!</f>
        <v>#REF!</v>
      </c>
      <c r="L24" s="5" t="e">
        <f>#REF!+#REF!+#REF!+#REF!+#REF!+#REF!+#REF!+#REF!+#REF!+#REF!+#REF!+#REF!+#REF!+#REF!</f>
        <v>#REF!</v>
      </c>
      <c r="M24" s="5" t="e">
        <f>#REF!+#REF!+#REF!+#REF!+#REF!+#REF!+#REF!+#REF!+#REF!+#REF!+#REF!+#REF!+#REF!+#REF!</f>
        <v>#REF!</v>
      </c>
      <c r="N24" s="5" t="e">
        <f>#REF!+#REF!+#REF!+#REF!+#REF!+#REF!+#REF!+#REF!+#REF!+#REF!+#REF!+#REF!+#REF!+#REF!</f>
        <v>#REF!</v>
      </c>
      <c r="O24" s="5" t="e">
        <f>#REF!+#REF!+#REF!+#REF!+#REF!+#REF!+#REF!+#REF!+#REF!+#REF!+#REF!+#REF!+#REF!+#REF!</f>
        <v>#REF!</v>
      </c>
      <c r="P24" s="5" t="e">
        <f>#REF!+#REF!+#REF!+#REF!+#REF!+#REF!+#REF!+#REF!+#REF!+#REF!+#REF!+#REF!+#REF!+#REF!</f>
        <v>#REF!</v>
      </c>
      <c r="Q24" s="5" t="e">
        <f>#REF!+#REF!+#REF!+#REF!+#REF!+#REF!+#REF!+#REF!+#REF!+#REF!+#REF!+#REF!+#REF!+#REF!</f>
        <v>#REF!</v>
      </c>
      <c r="R24" s="5" t="e">
        <f>#REF!+#REF!+#REF!+#REF!+#REF!+#REF!+#REF!+#REF!+#REF!+#REF!+#REF!+#REF!+#REF!+#REF!</f>
        <v>#REF!</v>
      </c>
      <c r="S24" s="5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1" t="s">
        <v>38</v>
      </c>
      <c r="B25" s="1" t="str">
        <f>VLOOKUP(A25,[21]LISTADHERENT!A$5:H$60,3,0)</f>
        <v>NDJOMO ETIENNE</v>
      </c>
      <c r="C25" s="5" t="e">
        <f>#REF!+#REF!+#REF!+#REF!+#REF!+#REF!+#REF!+#REF!+#REF!+#REF!+#REF!+#REF!+#REF!+#REF!</f>
        <v>#REF!</v>
      </c>
      <c r="D25" s="5" t="e">
        <f>#REF!+#REF!+#REF!+#REF!+#REF!+#REF!+#REF!+#REF!+#REF!+#REF!+#REF!+#REF!+#REF!+#REF!</f>
        <v>#REF!</v>
      </c>
      <c r="E25" s="5" t="e">
        <f>#REF!+#REF!+#REF!+#REF!+#REF!+#REF!+#REF!+#REF!+#REF!+#REF!+#REF!+#REF!+#REF!+#REF!</f>
        <v>#REF!</v>
      </c>
      <c r="F25" s="5" t="e">
        <f>#REF!+#REF!+#REF!+#REF!+#REF!+#REF!+#REF!+#REF!+#REF!+#REF!+#REF!+#REF!+#REF!+#REF!</f>
        <v>#REF!</v>
      </c>
      <c r="G25" s="5" t="e">
        <f>#REF!+#REF!+#REF!+#REF!+#REF!+#REF!+#REF!+#REF!+#REF!+#REF!+#REF!+#REF!+#REF!+#REF!</f>
        <v>#REF!</v>
      </c>
      <c r="H25" s="5" t="e">
        <f>#REF!+#REF!+#REF!+#REF!+#REF!+#REF!+#REF!+#REF!+#REF!+#REF!+#REF!+#REF!+#REF!+#REF!</f>
        <v>#REF!</v>
      </c>
      <c r="I25" s="5" t="e">
        <f>#REF!+#REF!+#REF!+#REF!+#REF!+#REF!+#REF!+#REF!+#REF!+#REF!+#REF!+#REF!+#REF!+#REF!</f>
        <v>#REF!</v>
      </c>
      <c r="J25" s="5" t="e">
        <f>#REF!+#REF!+#REF!+#REF!+#REF!+#REF!+#REF!+#REF!+#REF!+#REF!+#REF!+#REF!+#REF!+#REF!</f>
        <v>#REF!</v>
      </c>
      <c r="K25" s="5" t="e">
        <f>#REF!+#REF!+#REF!+#REF!+#REF!+#REF!+#REF!+#REF!+#REF!+#REF!+#REF!+#REF!+#REF!+#REF!</f>
        <v>#REF!</v>
      </c>
      <c r="L25" s="5" t="e">
        <f>#REF!+#REF!+#REF!+#REF!+#REF!+#REF!+#REF!+#REF!+#REF!+#REF!+#REF!+#REF!+#REF!+#REF!</f>
        <v>#REF!</v>
      </c>
      <c r="M25" s="5" t="e">
        <f>#REF!+#REF!+#REF!+#REF!+#REF!+#REF!+#REF!+#REF!+#REF!+#REF!+#REF!+#REF!+#REF!+#REF!</f>
        <v>#REF!</v>
      </c>
      <c r="N25" s="5" t="e">
        <f>#REF!+#REF!+#REF!+#REF!+#REF!+#REF!+#REF!+#REF!+#REF!+#REF!+#REF!+#REF!+#REF!+#REF!</f>
        <v>#REF!</v>
      </c>
      <c r="O25" s="5" t="e">
        <f>#REF!+#REF!+#REF!+#REF!+#REF!+#REF!+#REF!+#REF!+#REF!+#REF!+#REF!+#REF!+#REF!+#REF!</f>
        <v>#REF!</v>
      </c>
      <c r="P25" s="5" t="e">
        <f>#REF!+#REF!+#REF!+#REF!+#REF!+#REF!+#REF!+#REF!+#REF!+#REF!+#REF!+#REF!+#REF!+#REF!</f>
        <v>#REF!</v>
      </c>
      <c r="Q25" s="5" t="e">
        <f>#REF!+#REF!+#REF!+#REF!+#REF!+#REF!+#REF!+#REF!+#REF!+#REF!+#REF!+#REF!+#REF!+#REF!</f>
        <v>#REF!</v>
      </c>
      <c r="R25" s="5" t="e">
        <f>#REF!+#REF!+#REF!+#REF!+#REF!+#REF!+#REF!+#REF!+#REF!+#REF!+#REF!+#REF!+#REF!+#REF!</f>
        <v>#REF!</v>
      </c>
      <c r="S25" s="5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1" t="s">
        <v>39</v>
      </c>
      <c r="B26" s="1" t="str">
        <f>VLOOKUP(A26,[21]LISTADHERENT!A$5:H$60,3,0)</f>
        <v>NGONDIEP CLAUDE</v>
      </c>
      <c r="C26" s="5" t="e">
        <f>#REF!+#REF!+#REF!+#REF!+#REF!+#REF!+#REF!+#REF!+#REF!+#REF!+#REF!+#REF!+#REF!+#REF!</f>
        <v>#REF!</v>
      </c>
      <c r="D26" s="5" t="e">
        <f>#REF!+#REF!+#REF!+#REF!+#REF!+#REF!+#REF!+#REF!+#REF!+#REF!+#REF!+#REF!+#REF!+#REF!</f>
        <v>#REF!</v>
      </c>
      <c r="E26" s="5" t="e">
        <f>#REF!+#REF!+#REF!+#REF!+#REF!+#REF!+#REF!+#REF!+#REF!+#REF!+#REF!+#REF!+#REF!+#REF!</f>
        <v>#REF!</v>
      </c>
      <c r="F26" s="5" t="e">
        <f>#REF!+#REF!+#REF!+#REF!+#REF!+#REF!+#REF!+#REF!+#REF!+#REF!+#REF!+#REF!+#REF!+#REF!</f>
        <v>#REF!</v>
      </c>
      <c r="G26" s="5" t="e">
        <f>#REF!+#REF!+#REF!+#REF!+#REF!+#REF!+#REF!+#REF!+#REF!+#REF!+#REF!+#REF!+#REF!+#REF!</f>
        <v>#REF!</v>
      </c>
      <c r="H26" s="5" t="e">
        <f>#REF!+#REF!+#REF!+#REF!+#REF!+#REF!+#REF!+#REF!+#REF!+#REF!+#REF!+#REF!+#REF!+#REF!</f>
        <v>#REF!</v>
      </c>
      <c r="I26" s="5" t="e">
        <f>#REF!+#REF!+#REF!+#REF!+#REF!+#REF!+#REF!+#REF!+#REF!+#REF!+#REF!+#REF!+#REF!+#REF!</f>
        <v>#REF!</v>
      </c>
      <c r="J26" s="5" t="e">
        <f>#REF!+#REF!+#REF!+#REF!+#REF!+#REF!+#REF!+#REF!+#REF!+#REF!+#REF!+#REF!+#REF!+#REF!</f>
        <v>#REF!</v>
      </c>
      <c r="K26" s="5" t="e">
        <f>#REF!+#REF!+#REF!+#REF!+#REF!+#REF!+#REF!+#REF!+#REF!+#REF!+#REF!+#REF!+#REF!+#REF!</f>
        <v>#REF!</v>
      </c>
      <c r="L26" s="5" t="e">
        <f>#REF!+#REF!+#REF!+#REF!+#REF!+#REF!+#REF!+#REF!+#REF!+#REF!+#REF!+#REF!+#REF!+#REF!</f>
        <v>#REF!</v>
      </c>
      <c r="M26" s="5" t="e">
        <f>#REF!+#REF!+#REF!+#REF!+#REF!+#REF!+#REF!+#REF!+#REF!+#REF!+#REF!+#REF!+#REF!+#REF!</f>
        <v>#REF!</v>
      </c>
      <c r="N26" s="5" t="e">
        <f>#REF!+#REF!+#REF!+#REF!+#REF!+#REF!+#REF!+#REF!+#REF!+#REF!+#REF!+#REF!+#REF!+#REF!</f>
        <v>#REF!</v>
      </c>
      <c r="O26" s="5" t="e">
        <f>#REF!+#REF!+#REF!+#REF!+#REF!+#REF!+#REF!+#REF!+#REF!+#REF!+#REF!+#REF!+#REF!+#REF!</f>
        <v>#REF!</v>
      </c>
      <c r="P26" s="5" t="e">
        <f>#REF!+#REF!+#REF!+#REF!+#REF!+#REF!+#REF!+#REF!+#REF!+#REF!+#REF!+#REF!+#REF!+#REF!</f>
        <v>#REF!</v>
      </c>
      <c r="Q26" s="5" t="e">
        <f>#REF!+#REF!+#REF!+#REF!+#REF!+#REF!+#REF!+#REF!+#REF!+#REF!+#REF!+#REF!+#REF!+#REF!</f>
        <v>#REF!</v>
      </c>
      <c r="R26" s="5" t="e">
        <f>#REF!+#REF!+#REF!+#REF!+#REF!+#REF!+#REF!+#REF!+#REF!+#REF!+#REF!+#REF!+#REF!+#REF!</f>
        <v>#REF!</v>
      </c>
      <c r="S26" s="5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1" t="s">
        <v>41</v>
      </c>
      <c r="B27" s="1" t="str">
        <f>VLOOKUP(A27,[21]LISTADHERENT!A$5:H$60,3,0)</f>
        <v>NGUIEMEGNI MATHIEU BLAISE</v>
      </c>
      <c r="C27" s="5" t="e">
        <f>#REF!+#REF!+#REF!+#REF!+#REF!+#REF!+#REF!+#REF!+#REF!+#REF!+#REF!+#REF!+#REF!+#REF!</f>
        <v>#REF!</v>
      </c>
      <c r="D27" s="5" t="e">
        <f>#REF!+#REF!+#REF!+#REF!+#REF!+#REF!+#REF!+#REF!+#REF!+#REF!+#REF!+#REF!+#REF!+#REF!</f>
        <v>#REF!</v>
      </c>
      <c r="E27" s="5" t="e">
        <f>#REF!+#REF!+#REF!+#REF!+#REF!+#REF!+#REF!+#REF!+#REF!+#REF!+#REF!+#REF!+#REF!+#REF!</f>
        <v>#REF!</v>
      </c>
      <c r="F27" s="5" t="e">
        <f>#REF!+#REF!+#REF!+#REF!+#REF!+#REF!+#REF!+#REF!+#REF!+#REF!+#REF!+#REF!+#REF!+#REF!</f>
        <v>#REF!</v>
      </c>
      <c r="G27" s="5" t="e">
        <f>#REF!+#REF!+#REF!+#REF!+#REF!+#REF!+#REF!+#REF!+#REF!+#REF!+#REF!+#REF!+#REF!+#REF!</f>
        <v>#REF!</v>
      </c>
      <c r="H27" s="5" t="e">
        <f>#REF!+#REF!+#REF!+#REF!+#REF!+#REF!+#REF!+#REF!+#REF!+#REF!+#REF!+#REF!+#REF!+#REF!</f>
        <v>#REF!</v>
      </c>
      <c r="I27" s="5" t="e">
        <f>#REF!+#REF!+#REF!+#REF!+#REF!+#REF!+#REF!+#REF!+#REF!+#REF!+#REF!+#REF!+#REF!+#REF!</f>
        <v>#REF!</v>
      </c>
      <c r="J27" s="5" t="e">
        <f>#REF!+#REF!+#REF!+#REF!+#REF!+#REF!+#REF!+#REF!+#REF!+#REF!+#REF!+#REF!+#REF!+#REF!</f>
        <v>#REF!</v>
      </c>
      <c r="K27" s="5" t="e">
        <f>#REF!+#REF!+#REF!+#REF!+#REF!+#REF!+#REF!+#REF!+#REF!+#REF!+#REF!+#REF!+#REF!+#REF!</f>
        <v>#REF!</v>
      </c>
      <c r="L27" s="5" t="e">
        <f>#REF!+#REF!+#REF!+#REF!+#REF!+#REF!+#REF!+#REF!+#REF!+#REF!+#REF!+#REF!+#REF!+#REF!</f>
        <v>#REF!</v>
      </c>
      <c r="M27" s="5" t="e">
        <f>#REF!+#REF!+#REF!+#REF!+#REF!+#REF!+#REF!+#REF!+#REF!+#REF!+#REF!+#REF!+#REF!+#REF!</f>
        <v>#REF!</v>
      </c>
      <c r="N27" s="5" t="e">
        <f>#REF!+#REF!+#REF!+#REF!+#REF!+#REF!+#REF!+#REF!+#REF!+#REF!+#REF!+#REF!+#REF!+#REF!</f>
        <v>#REF!</v>
      </c>
      <c r="O27" s="5" t="e">
        <f>#REF!+#REF!+#REF!+#REF!+#REF!+#REF!+#REF!+#REF!+#REF!+#REF!+#REF!+#REF!+#REF!+#REF!</f>
        <v>#REF!</v>
      </c>
      <c r="P27" s="5" t="e">
        <f>#REF!+#REF!+#REF!+#REF!+#REF!+#REF!+#REF!+#REF!+#REF!+#REF!+#REF!+#REF!+#REF!+#REF!</f>
        <v>#REF!</v>
      </c>
      <c r="Q27" s="5" t="e">
        <f>#REF!+#REF!+#REF!+#REF!+#REF!+#REF!+#REF!+#REF!+#REF!+#REF!+#REF!+#REF!+#REF!+#REF!</f>
        <v>#REF!</v>
      </c>
      <c r="R27" s="5" t="e">
        <f>#REF!+#REF!+#REF!+#REF!+#REF!+#REF!+#REF!+#REF!+#REF!+#REF!+#REF!+#REF!+#REF!+#REF!</f>
        <v>#REF!</v>
      </c>
      <c r="S27" s="5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1" t="s">
        <v>43</v>
      </c>
      <c r="B28" s="1" t="str">
        <f>VLOOKUP(A28,[21]LISTADHERENT!A$5:H$60,3,0)</f>
        <v>NKAMGANG JUSTIN DEJOLIE</v>
      </c>
      <c r="C28" s="5" t="e">
        <f>#REF!+#REF!+#REF!+#REF!+#REF!+#REF!+#REF!+#REF!+#REF!+#REF!+#REF!+#REF!+#REF!+#REF!</f>
        <v>#REF!</v>
      </c>
      <c r="D28" s="5" t="e">
        <f>#REF!+#REF!+#REF!+#REF!+#REF!+#REF!+#REF!+#REF!+#REF!+#REF!+#REF!+#REF!+#REF!+#REF!</f>
        <v>#REF!</v>
      </c>
      <c r="E28" s="5" t="e">
        <f>#REF!+#REF!+#REF!+#REF!+#REF!+#REF!+#REF!+#REF!+#REF!+#REF!+#REF!+#REF!+#REF!+#REF!</f>
        <v>#REF!</v>
      </c>
      <c r="F28" s="5" t="e">
        <f>#REF!+#REF!+#REF!+#REF!+#REF!+#REF!+#REF!+#REF!+#REF!+#REF!+#REF!+#REF!+#REF!+#REF!</f>
        <v>#REF!</v>
      </c>
      <c r="G28" s="5" t="e">
        <f>#REF!+#REF!+#REF!+#REF!+#REF!+#REF!+#REF!+#REF!+#REF!+#REF!+#REF!+#REF!+#REF!+#REF!</f>
        <v>#REF!</v>
      </c>
      <c r="H28" s="5" t="e">
        <f>#REF!+#REF!+#REF!+#REF!+#REF!+#REF!+#REF!+#REF!+#REF!+#REF!+#REF!+#REF!+#REF!+#REF!</f>
        <v>#REF!</v>
      </c>
      <c r="I28" s="5" t="e">
        <f>#REF!+#REF!+#REF!+#REF!+#REF!+#REF!+#REF!+#REF!+#REF!+#REF!+#REF!+#REF!+#REF!+#REF!</f>
        <v>#REF!</v>
      </c>
      <c r="J28" s="5" t="e">
        <f>#REF!+#REF!+#REF!+#REF!+#REF!+#REF!+#REF!+#REF!+#REF!+#REF!+#REF!+#REF!+#REF!+#REF!</f>
        <v>#REF!</v>
      </c>
      <c r="K28" s="5" t="e">
        <f>#REF!+#REF!+#REF!+#REF!+#REF!+#REF!+#REF!+#REF!+#REF!+#REF!+#REF!+#REF!+#REF!+#REF!</f>
        <v>#REF!</v>
      </c>
      <c r="L28" s="5" t="e">
        <f>#REF!+#REF!+#REF!+#REF!+#REF!+#REF!+#REF!+#REF!+#REF!+#REF!+#REF!+#REF!+#REF!+#REF!</f>
        <v>#REF!</v>
      </c>
      <c r="M28" s="5" t="e">
        <f>#REF!+#REF!+#REF!+#REF!+#REF!+#REF!+#REF!+#REF!+#REF!+#REF!+#REF!+#REF!+#REF!+#REF!</f>
        <v>#REF!</v>
      </c>
      <c r="N28" s="5" t="e">
        <f>#REF!+#REF!+#REF!+#REF!+#REF!+#REF!+#REF!+#REF!+#REF!+#REF!+#REF!+#REF!+#REF!+#REF!</f>
        <v>#REF!</v>
      </c>
      <c r="O28" s="5" t="e">
        <f>#REF!+#REF!+#REF!+#REF!+#REF!+#REF!+#REF!+#REF!+#REF!+#REF!+#REF!+#REF!+#REF!+#REF!</f>
        <v>#REF!</v>
      </c>
      <c r="P28" s="5" t="e">
        <f>#REF!+#REF!+#REF!+#REF!+#REF!+#REF!+#REF!+#REF!+#REF!+#REF!+#REF!+#REF!+#REF!+#REF!</f>
        <v>#REF!</v>
      </c>
      <c r="Q28" s="5" t="e">
        <f>#REF!+#REF!+#REF!+#REF!+#REF!+#REF!+#REF!+#REF!+#REF!+#REF!+#REF!+#REF!+#REF!+#REF!</f>
        <v>#REF!</v>
      </c>
      <c r="R28" s="5" t="e">
        <f>#REF!+#REF!+#REF!+#REF!+#REF!+#REF!+#REF!+#REF!+#REF!+#REF!+#REF!+#REF!+#REF!+#REF!</f>
        <v>#REF!</v>
      </c>
      <c r="S28" s="5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1" t="s">
        <v>30</v>
      </c>
      <c r="B29" s="1" t="str">
        <f>VLOOKUP(A29,[21]LISTADHERENT!A$5:H$60,3,0)</f>
        <v>NKEHE DAVID</v>
      </c>
      <c r="C29" s="5" t="e">
        <f>#REF!+#REF!+#REF!+#REF!+#REF!+#REF!+#REF!+#REF!+#REF!+#REF!+#REF!+#REF!+#REF!+#REF!</f>
        <v>#REF!</v>
      </c>
      <c r="D29" s="5" t="e">
        <f>#REF!+#REF!+#REF!+#REF!+#REF!+#REF!+#REF!+#REF!+#REF!+#REF!+#REF!+#REF!+#REF!+#REF!</f>
        <v>#REF!</v>
      </c>
      <c r="E29" s="5" t="e">
        <f>#REF!+#REF!+#REF!+#REF!+#REF!+#REF!+#REF!+#REF!+#REF!+#REF!+#REF!+#REF!+#REF!+#REF!</f>
        <v>#REF!</v>
      </c>
      <c r="F29" s="5" t="e">
        <f>#REF!+#REF!+#REF!+#REF!+#REF!+#REF!+#REF!+#REF!+#REF!+#REF!+#REF!+#REF!+#REF!+#REF!</f>
        <v>#REF!</v>
      </c>
      <c r="G29" s="5" t="e">
        <f>#REF!+#REF!+#REF!+#REF!+#REF!+#REF!+#REF!+#REF!+#REF!+#REF!+#REF!+#REF!+#REF!+#REF!</f>
        <v>#REF!</v>
      </c>
      <c r="H29" s="5" t="e">
        <f>#REF!+#REF!+#REF!+#REF!+#REF!+#REF!+#REF!+#REF!+#REF!+#REF!+#REF!+#REF!+#REF!+#REF!</f>
        <v>#REF!</v>
      </c>
      <c r="I29" s="5" t="e">
        <f>#REF!+#REF!+#REF!+#REF!+#REF!+#REF!+#REF!+#REF!+#REF!+#REF!+#REF!+#REF!+#REF!+#REF!</f>
        <v>#REF!</v>
      </c>
      <c r="J29" s="5" t="e">
        <f>#REF!+#REF!+#REF!+#REF!+#REF!+#REF!+#REF!+#REF!+#REF!+#REF!+#REF!+#REF!+#REF!+#REF!</f>
        <v>#REF!</v>
      </c>
      <c r="K29" s="5" t="e">
        <f>#REF!+#REF!+#REF!+#REF!+#REF!+#REF!+#REF!+#REF!+#REF!+#REF!+#REF!+#REF!+#REF!+#REF!</f>
        <v>#REF!</v>
      </c>
      <c r="L29" s="5" t="e">
        <f>#REF!+#REF!+#REF!+#REF!+#REF!+#REF!+#REF!+#REF!+#REF!+#REF!+#REF!+#REF!+#REF!+#REF!</f>
        <v>#REF!</v>
      </c>
      <c r="M29" s="5" t="e">
        <f>#REF!+#REF!+#REF!+#REF!+#REF!+#REF!+#REF!+#REF!+#REF!+#REF!+#REF!+#REF!+#REF!+#REF!</f>
        <v>#REF!</v>
      </c>
      <c r="N29" s="5" t="e">
        <f>#REF!+#REF!+#REF!+#REF!+#REF!+#REF!+#REF!+#REF!+#REF!+#REF!+#REF!+#REF!+#REF!+#REF!</f>
        <v>#REF!</v>
      </c>
      <c r="O29" s="5" t="e">
        <f>#REF!+#REF!+#REF!+#REF!+#REF!+#REF!+#REF!+#REF!+#REF!+#REF!+#REF!+#REF!+#REF!+#REF!</f>
        <v>#REF!</v>
      </c>
      <c r="P29" s="5" t="e">
        <f>#REF!+#REF!+#REF!+#REF!+#REF!+#REF!+#REF!+#REF!+#REF!+#REF!+#REF!+#REF!+#REF!+#REF!</f>
        <v>#REF!</v>
      </c>
      <c r="Q29" s="5" t="e">
        <f>#REF!+#REF!+#REF!+#REF!+#REF!+#REF!+#REF!+#REF!+#REF!+#REF!+#REF!+#REF!+#REF!+#REF!</f>
        <v>#REF!</v>
      </c>
      <c r="R29" s="5" t="e">
        <f>#REF!+#REF!+#REF!+#REF!+#REF!+#REF!+#REF!+#REF!+#REF!+#REF!+#REF!+#REF!+#REF!+#REF!</f>
        <v>#REF!</v>
      </c>
      <c r="S29" s="5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1" t="s">
        <v>44</v>
      </c>
      <c r="B30" s="1" t="str">
        <f>VLOOKUP(A30,[21]LISTADHERENT!A$5:H$60,3,0)</f>
        <v>NKEPSEU DIEUDONNE</v>
      </c>
      <c r="C30" s="5" t="e">
        <f>#REF!+#REF!+#REF!+#REF!+#REF!+#REF!+#REF!+#REF!+#REF!+#REF!+#REF!+#REF!+#REF!+#REF!</f>
        <v>#REF!</v>
      </c>
      <c r="D30" s="5" t="e">
        <f>#REF!+#REF!+#REF!+#REF!+#REF!+#REF!+#REF!+#REF!+#REF!+#REF!+#REF!+#REF!+#REF!+#REF!</f>
        <v>#REF!</v>
      </c>
      <c r="E30" s="5" t="e">
        <f>#REF!+#REF!+#REF!+#REF!+#REF!+#REF!+#REF!+#REF!+#REF!+#REF!+#REF!+#REF!+#REF!+#REF!</f>
        <v>#REF!</v>
      </c>
      <c r="F30" s="5" t="e">
        <f>#REF!+#REF!+#REF!+#REF!+#REF!+#REF!+#REF!+#REF!+#REF!+#REF!+#REF!+#REF!+#REF!+#REF!</f>
        <v>#REF!</v>
      </c>
      <c r="G30" s="5" t="e">
        <f>#REF!+#REF!+#REF!+#REF!+#REF!+#REF!+#REF!+#REF!+#REF!+#REF!+#REF!+#REF!+#REF!+#REF!</f>
        <v>#REF!</v>
      </c>
      <c r="H30" s="5" t="e">
        <f>#REF!+#REF!+#REF!+#REF!+#REF!+#REF!+#REF!+#REF!+#REF!+#REF!+#REF!+#REF!+#REF!+#REF!</f>
        <v>#REF!</v>
      </c>
      <c r="I30" s="5" t="e">
        <f>#REF!+#REF!+#REF!+#REF!+#REF!+#REF!+#REF!+#REF!+#REF!+#REF!+#REF!+#REF!+#REF!+#REF!</f>
        <v>#REF!</v>
      </c>
      <c r="J30" s="5" t="e">
        <f>#REF!+#REF!+#REF!+#REF!+#REF!+#REF!+#REF!+#REF!+#REF!+#REF!+#REF!+#REF!+#REF!+#REF!</f>
        <v>#REF!</v>
      </c>
      <c r="K30" s="5" t="e">
        <f>#REF!+#REF!+#REF!+#REF!+#REF!+#REF!+#REF!+#REF!+#REF!+#REF!+#REF!+#REF!+#REF!+#REF!</f>
        <v>#REF!</v>
      </c>
      <c r="L30" s="5" t="e">
        <f>#REF!+#REF!+#REF!+#REF!+#REF!+#REF!+#REF!+#REF!+#REF!+#REF!+#REF!+#REF!+#REF!+#REF!</f>
        <v>#REF!</v>
      </c>
      <c r="M30" s="5" t="e">
        <f>#REF!+#REF!+#REF!+#REF!+#REF!+#REF!+#REF!+#REF!+#REF!+#REF!+#REF!+#REF!+#REF!+#REF!</f>
        <v>#REF!</v>
      </c>
      <c r="N30" s="5" t="e">
        <f>#REF!+#REF!+#REF!+#REF!+#REF!+#REF!+#REF!+#REF!+#REF!+#REF!+#REF!+#REF!+#REF!+#REF!</f>
        <v>#REF!</v>
      </c>
      <c r="O30" s="5" t="e">
        <f>#REF!+#REF!+#REF!+#REF!+#REF!+#REF!+#REF!+#REF!+#REF!+#REF!+#REF!+#REF!+#REF!+#REF!</f>
        <v>#REF!</v>
      </c>
      <c r="P30" s="5" t="e">
        <f>#REF!+#REF!+#REF!+#REF!+#REF!+#REF!+#REF!+#REF!+#REF!+#REF!+#REF!+#REF!+#REF!+#REF!</f>
        <v>#REF!</v>
      </c>
      <c r="Q30" s="5" t="e">
        <f>#REF!+#REF!+#REF!+#REF!+#REF!+#REF!+#REF!+#REF!+#REF!+#REF!+#REF!+#REF!+#REF!+#REF!</f>
        <v>#REF!</v>
      </c>
      <c r="R30" s="5" t="e">
        <f>#REF!+#REF!+#REF!+#REF!+#REF!+#REF!+#REF!+#REF!+#REF!+#REF!+#REF!+#REF!+#REF!+#REF!</f>
        <v>#REF!</v>
      </c>
      <c r="S30" s="5"/>
      <c r="T30" s="7"/>
      <c r="U30" s="7"/>
      <c r="V30" s="2"/>
      <c r="W30" s="2"/>
      <c r="X30" s="2"/>
      <c r="Y30" s="2"/>
      <c r="Z30" s="2"/>
      <c r="AA30" s="2"/>
      <c r="AB30" s="2"/>
    </row>
    <row r="31" spans="1:28" x14ac:dyDescent="0.25">
      <c r="A31" s="1" t="s">
        <v>45</v>
      </c>
      <c r="B31" s="1" t="str">
        <f>VLOOKUP(A31,[21]LISTADHERENT!A$5:H$60,3,0)</f>
        <v>PATEGO NJOSSU GUSTAVE</v>
      </c>
      <c r="C31" s="5" t="e">
        <f>#REF!+#REF!+#REF!+#REF!+#REF!+#REF!+#REF!+#REF!+#REF!+#REF!+#REF!+#REF!+#REF!+#REF!</f>
        <v>#REF!</v>
      </c>
      <c r="D31" s="5" t="e">
        <f>#REF!+#REF!+#REF!+#REF!+#REF!+#REF!+#REF!+#REF!+#REF!+#REF!+#REF!+#REF!+#REF!+#REF!</f>
        <v>#REF!</v>
      </c>
      <c r="E31" s="5" t="e">
        <f>#REF!+#REF!+#REF!+#REF!+#REF!+#REF!+#REF!+#REF!+#REF!+#REF!+#REF!+#REF!+#REF!+#REF!</f>
        <v>#REF!</v>
      </c>
      <c r="F31" s="5" t="e">
        <f>#REF!+#REF!+#REF!+#REF!+#REF!+#REF!+#REF!+#REF!+#REF!+#REF!+#REF!+#REF!+#REF!+#REF!</f>
        <v>#REF!</v>
      </c>
      <c r="G31" s="5" t="e">
        <f>#REF!+#REF!+#REF!+#REF!+#REF!+#REF!+#REF!+#REF!+#REF!+#REF!+#REF!+#REF!+#REF!+#REF!</f>
        <v>#REF!</v>
      </c>
      <c r="H31" s="5" t="e">
        <f>#REF!+#REF!+#REF!+#REF!+#REF!+#REF!+#REF!+#REF!+#REF!+#REF!+#REF!+#REF!+#REF!+#REF!</f>
        <v>#REF!</v>
      </c>
      <c r="I31" s="5" t="e">
        <f>#REF!+#REF!+#REF!+#REF!+#REF!+#REF!+#REF!+#REF!+#REF!+#REF!+#REF!+#REF!+#REF!+#REF!</f>
        <v>#REF!</v>
      </c>
      <c r="J31" s="5" t="e">
        <f>#REF!+#REF!+#REF!+#REF!+#REF!+#REF!+#REF!+#REF!+#REF!+#REF!+#REF!+#REF!+#REF!+#REF!</f>
        <v>#REF!</v>
      </c>
      <c r="K31" s="5" t="e">
        <f>#REF!+#REF!+#REF!+#REF!+#REF!+#REF!+#REF!+#REF!+#REF!+#REF!+#REF!+#REF!+#REF!+#REF!</f>
        <v>#REF!</v>
      </c>
      <c r="L31" s="5" t="e">
        <f>#REF!+#REF!+#REF!+#REF!+#REF!+#REF!+#REF!+#REF!+#REF!+#REF!+#REF!+#REF!+#REF!+#REF!</f>
        <v>#REF!</v>
      </c>
      <c r="M31" s="5" t="e">
        <f>#REF!+#REF!+#REF!+#REF!+#REF!+#REF!+#REF!+#REF!+#REF!+#REF!+#REF!+#REF!+#REF!+#REF!</f>
        <v>#REF!</v>
      </c>
      <c r="N31" s="5" t="e">
        <f>#REF!+#REF!+#REF!+#REF!+#REF!+#REF!+#REF!+#REF!+#REF!+#REF!+#REF!+#REF!+#REF!+#REF!</f>
        <v>#REF!</v>
      </c>
      <c r="O31" s="5" t="e">
        <f>#REF!+#REF!+#REF!+#REF!+#REF!+#REF!+#REF!+#REF!+#REF!+#REF!+#REF!+#REF!+#REF!+#REF!</f>
        <v>#REF!</v>
      </c>
      <c r="P31" s="5" t="e">
        <f>#REF!+#REF!+#REF!+#REF!+#REF!+#REF!+#REF!+#REF!+#REF!+#REF!+#REF!+#REF!+#REF!+#REF!</f>
        <v>#REF!</v>
      </c>
      <c r="Q31" s="5" t="e">
        <f>#REF!+#REF!+#REF!+#REF!+#REF!+#REF!+#REF!+#REF!+#REF!+#REF!+#REF!+#REF!+#REF!+#REF!</f>
        <v>#REF!</v>
      </c>
      <c r="R31" s="5" t="e">
        <f>#REF!+#REF!+#REF!+#REF!+#REF!+#REF!+#REF!+#REF!+#REF!+#REF!+#REF!+#REF!+#REF!+#REF!</f>
        <v>#REF!</v>
      </c>
      <c r="S31" s="5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1" t="s">
        <v>81</v>
      </c>
      <c r="B32" s="1" t="str">
        <f>VLOOKUP(A32,[21]LISTADHERENT!A$5:H$60,3,0)</f>
        <v>SIME BRICE</v>
      </c>
      <c r="C32" s="5" t="e">
        <f>#REF!+#REF!+#REF!+#REF!+#REF!+#REF!+#REF!+#REF!+#REF!+#REF!+#REF!+#REF!+#REF!+#REF!</f>
        <v>#REF!</v>
      </c>
      <c r="D32" s="5" t="e">
        <f>#REF!+#REF!+#REF!+#REF!+#REF!+#REF!+#REF!+#REF!+#REF!+#REF!+#REF!+#REF!+#REF!+#REF!</f>
        <v>#REF!</v>
      </c>
      <c r="E32" s="5" t="e">
        <f>#REF!+#REF!+#REF!+#REF!+#REF!+#REF!+#REF!+#REF!+#REF!+#REF!+#REF!+#REF!+#REF!+#REF!</f>
        <v>#REF!</v>
      </c>
      <c r="F32" s="5" t="e">
        <f>#REF!+#REF!+#REF!+#REF!+#REF!+#REF!+#REF!+#REF!+#REF!+#REF!+#REF!+#REF!+#REF!+#REF!</f>
        <v>#REF!</v>
      </c>
      <c r="G32" s="5" t="e">
        <f>#REF!+#REF!+#REF!+#REF!+#REF!+#REF!+#REF!+#REF!+#REF!+#REF!+#REF!+#REF!+#REF!+#REF!</f>
        <v>#REF!</v>
      </c>
      <c r="H32" s="5" t="e">
        <f>#REF!+#REF!+#REF!+#REF!+#REF!+#REF!+#REF!+#REF!+#REF!+#REF!+#REF!+#REF!+#REF!+#REF!</f>
        <v>#REF!</v>
      </c>
      <c r="I32" s="5" t="e">
        <f>#REF!+#REF!+#REF!+#REF!+#REF!+#REF!+#REF!+#REF!+#REF!+#REF!+#REF!+#REF!+#REF!+#REF!</f>
        <v>#REF!</v>
      </c>
      <c r="J32" s="5" t="e">
        <f>#REF!+#REF!+#REF!+#REF!+#REF!+#REF!+#REF!+#REF!+#REF!+#REF!+#REF!+#REF!+#REF!+#REF!</f>
        <v>#REF!</v>
      </c>
      <c r="K32" s="5" t="e">
        <f>#REF!+#REF!+#REF!+#REF!+#REF!+#REF!+#REF!+#REF!+#REF!+#REF!+#REF!+#REF!+#REF!+#REF!</f>
        <v>#REF!</v>
      </c>
      <c r="L32" s="5" t="e">
        <f>#REF!+#REF!+#REF!+#REF!+#REF!+#REF!+#REF!+#REF!+#REF!+#REF!+#REF!+#REF!+#REF!+#REF!</f>
        <v>#REF!</v>
      </c>
      <c r="M32" s="5" t="e">
        <f>#REF!+#REF!+#REF!+#REF!+#REF!+#REF!+#REF!+#REF!+#REF!+#REF!+#REF!+#REF!+#REF!+#REF!</f>
        <v>#REF!</v>
      </c>
      <c r="N32" s="5" t="e">
        <f>#REF!+#REF!+#REF!+#REF!+#REF!+#REF!+#REF!+#REF!+#REF!+#REF!+#REF!+#REF!+#REF!+#REF!</f>
        <v>#REF!</v>
      </c>
      <c r="O32" s="5" t="e">
        <f>#REF!+#REF!+#REF!+#REF!+#REF!+#REF!+#REF!+#REF!+#REF!+#REF!+#REF!+#REF!+#REF!+#REF!</f>
        <v>#REF!</v>
      </c>
      <c r="P32" s="5" t="e">
        <f>#REF!+#REF!+#REF!+#REF!+#REF!+#REF!+#REF!+#REF!+#REF!+#REF!+#REF!+#REF!+#REF!+#REF!</f>
        <v>#REF!</v>
      </c>
      <c r="Q32" s="5" t="e">
        <f>#REF!+#REF!+#REF!+#REF!+#REF!+#REF!+#REF!+#REF!+#REF!+#REF!+#REF!+#REF!+#REF!+#REF!</f>
        <v>#REF!</v>
      </c>
      <c r="R32" s="5" t="e">
        <f>#REF!+#REF!+#REF!+#REF!+#REF!+#REF!+#REF!+#REF!+#REF!+#REF!+#REF!+#REF!+#REF!+#REF!</f>
        <v>#REF!</v>
      </c>
      <c r="V32" s="2"/>
      <c r="W32" s="2"/>
      <c r="X32" s="2"/>
      <c r="Y32" s="2"/>
      <c r="Z32" s="2"/>
      <c r="AA32" s="2"/>
      <c r="AB32" s="2"/>
    </row>
    <row r="33" spans="1:28" x14ac:dyDescent="0.25">
      <c r="A33" s="1" t="s">
        <v>47</v>
      </c>
      <c r="B33" s="1" t="str">
        <f>VLOOKUP(A33,[21]LISTADHERENT!A$5:H$60,3,0)</f>
        <v>SIMO FONGANG ERIC</v>
      </c>
      <c r="C33" s="5" t="e">
        <f>#REF!+#REF!+#REF!+#REF!+#REF!+#REF!+#REF!+#REF!+#REF!+#REF!+#REF!+#REF!+#REF!+#REF!</f>
        <v>#REF!</v>
      </c>
      <c r="D33" s="5" t="e">
        <f>#REF!+#REF!+#REF!+#REF!+#REF!+#REF!+#REF!+#REF!+#REF!+#REF!+#REF!+#REF!+#REF!+#REF!</f>
        <v>#REF!</v>
      </c>
      <c r="E33" s="5" t="e">
        <f>#REF!+#REF!+#REF!+#REF!+#REF!+#REF!+#REF!+#REF!+#REF!+#REF!+#REF!+#REF!+#REF!+#REF!</f>
        <v>#REF!</v>
      </c>
      <c r="F33" s="5" t="e">
        <f>#REF!+#REF!+#REF!+#REF!+#REF!+#REF!+#REF!+#REF!+#REF!+#REF!+#REF!+#REF!+#REF!+#REF!</f>
        <v>#REF!</v>
      </c>
      <c r="G33" s="5" t="e">
        <f>#REF!+#REF!+#REF!+#REF!+#REF!+#REF!+#REF!+#REF!+#REF!+#REF!+#REF!+#REF!+#REF!+#REF!</f>
        <v>#REF!</v>
      </c>
      <c r="H33" s="5" t="e">
        <f>#REF!+#REF!+#REF!+#REF!+#REF!+#REF!+#REF!+#REF!+#REF!+#REF!+#REF!+#REF!+#REF!+#REF!</f>
        <v>#REF!</v>
      </c>
      <c r="I33" s="5" t="e">
        <f>#REF!+#REF!+#REF!+#REF!+#REF!+#REF!+#REF!+#REF!+#REF!+#REF!+#REF!+#REF!+#REF!+#REF!</f>
        <v>#REF!</v>
      </c>
      <c r="J33" s="5" t="e">
        <f>#REF!+#REF!+#REF!+#REF!+#REF!+#REF!+#REF!+#REF!+#REF!+#REF!+#REF!+#REF!+#REF!+#REF!</f>
        <v>#REF!</v>
      </c>
      <c r="K33" s="5" t="e">
        <f>#REF!+#REF!+#REF!+#REF!+#REF!+#REF!+#REF!+#REF!+#REF!+#REF!+#REF!+#REF!+#REF!+#REF!</f>
        <v>#REF!</v>
      </c>
      <c r="L33" s="5" t="e">
        <f>#REF!+#REF!+#REF!+#REF!+#REF!+#REF!+#REF!+#REF!+#REF!+#REF!+#REF!+#REF!+#REF!+#REF!</f>
        <v>#REF!</v>
      </c>
      <c r="M33" s="5" t="e">
        <f>#REF!+#REF!+#REF!+#REF!+#REF!+#REF!+#REF!+#REF!+#REF!+#REF!+#REF!+#REF!+#REF!+#REF!</f>
        <v>#REF!</v>
      </c>
      <c r="N33" s="5" t="e">
        <f>#REF!+#REF!+#REF!+#REF!+#REF!+#REF!+#REF!+#REF!+#REF!+#REF!+#REF!+#REF!+#REF!+#REF!</f>
        <v>#REF!</v>
      </c>
      <c r="O33" s="5" t="e">
        <f>#REF!+#REF!+#REF!+#REF!+#REF!+#REF!+#REF!+#REF!+#REF!+#REF!+#REF!+#REF!+#REF!+#REF!</f>
        <v>#REF!</v>
      </c>
      <c r="P33" s="5" t="e">
        <f>#REF!+#REF!+#REF!+#REF!+#REF!+#REF!+#REF!+#REF!+#REF!+#REF!+#REF!+#REF!+#REF!+#REF!</f>
        <v>#REF!</v>
      </c>
      <c r="Q33" s="5" t="e">
        <f>#REF!+#REF!+#REF!+#REF!+#REF!+#REF!+#REF!+#REF!+#REF!+#REF!+#REF!+#REF!+#REF!+#REF!</f>
        <v>#REF!</v>
      </c>
      <c r="R33" s="5" t="e">
        <f>#REF!+#REF!+#REF!+#REF!+#REF!+#REF!+#REF!+#REF!+#REF!+#REF!+#REF!+#REF!+#REF!+#REF!</f>
        <v>#REF!</v>
      </c>
      <c r="S33" s="5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1" t="s">
        <v>48</v>
      </c>
      <c r="B34" s="1" t="str">
        <f>VLOOKUP(A34,[21]LISTADHERENT!A$5:H$60,3,0)</f>
        <v>SIME MATHIEU</v>
      </c>
      <c r="C34" s="5" t="e">
        <f>#REF!+#REF!+#REF!+#REF!+#REF!+#REF!+#REF!+#REF!+#REF!+#REF!+#REF!+#REF!+#REF!+#REF!</f>
        <v>#REF!</v>
      </c>
      <c r="D34" s="5" t="e">
        <f>#REF!+#REF!+#REF!+#REF!+#REF!+#REF!+#REF!+#REF!+#REF!+#REF!+#REF!+#REF!+#REF!+#REF!</f>
        <v>#REF!</v>
      </c>
      <c r="E34" s="5" t="e">
        <f>#REF!+#REF!+#REF!+#REF!+#REF!+#REF!+#REF!+#REF!+#REF!+#REF!+#REF!+#REF!+#REF!+#REF!</f>
        <v>#REF!</v>
      </c>
      <c r="F34" s="5" t="e">
        <f>#REF!+#REF!+#REF!+#REF!+#REF!+#REF!+#REF!+#REF!+#REF!+#REF!+#REF!+#REF!+#REF!+#REF!</f>
        <v>#REF!</v>
      </c>
      <c r="G34" s="5" t="e">
        <f>#REF!+#REF!+#REF!+#REF!+#REF!+#REF!+#REF!+#REF!+#REF!+#REF!+#REF!+#REF!+#REF!+#REF!</f>
        <v>#REF!</v>
      </c>
      <c r="H34" s="5" t="e">
        <f>#REF!+#REF!+#REF!+#REF!+#REF!+#REF!+#REF!+#REF!+#REF!+#REF!+#REF!+#REF!+#REF!+#REF!</f>
        <v>#REF!</v>
      </c>
      <c r="I34" s="5" t="e">
        <f>#REF!+#REF!+#REF!+#REF!+#REF!+#REF!+#REF!+#REF!+#REF!+#REF!+#REF!+#REF!+#REF!+#REF!</f>
        <v>#REF!</v>
      </c>
      <c r="J34" s="5" t="e">
        <f>#REF!+#REF!+#REF!+#REF!+#REF!+#REF!+#REF!+#REF!+#REF!+#REF!+#REF!+#REF!+#REF!+#REF!</f>
        <v>#REF!</v>
      </c>
      <c r="K34" s="5" t="e">
        <f>#REF!+#REF!+#REF!+#REF!+#REF!+#REF!+#REF!+#REF!+#REF!+#REF!+#REF!+#REF!+#REF!+#REF!</f>
        <v>#REF!</v>
      </c>
      <c r="L34" s="5" t="e">
        <f>#REF!+#REF!+#REF!+#REF!+#REF!+#REF!+#REF!+#REF!+#REF!+#REF!+#REF!+#REF!+#REF!+#REF!</f>
        <v>#REF!</v>
      </c>
      <c r="M34" s="5" t="e">
        <f>#REF!+#REF!+#REF!+#REF!+#REF!+#REF!+#REF!+#REF!+#REF!+#REF!+#REF!+#REF!+#REF!+#REF!</f>
        <v>#REF!</v>
      </c>
      <c r="N34" s="5" t="e">
        <f>#REF!+#REF!+#REF!+#REF!+#REF!+#REF!+#REF!+#REF!+#REF!+#REF!+#REF!+#REF!+#REF!+#REF!</f>
        <v>#REF!</v>
      </c>
      <c r="O34" s="5" t="e">
        <f>#REF!+#REF!+#REF!+#REF!+#REF!+#REF!+#REF!+#REF!+#REF!+#REF!+#REF!+#REF!+#REF!+#REF!</f>
        <v>#REF!</v>
      </c>
      <c r="P34" s="5" t="e">
        <f>#REF!+#REF!+#REF!+#REF!+#REF!+#REF!+#REF!+#REF!+#REF!+#REF!+#REF!+#REF!+#REF!+#REF!</f>
        <v>#REF!</v>
      </c>
      <c r="Q34" s="5" t="e">
        <f>#REF!+#REF!+#REF!+#REF!+#REF!+#REF!+#REF!+#REF!+#REF!+#REF!+#REF!+#REF!+#REF!+#REF!</f>
        <v>#REF!</v>
      </c>
      <c r="R34" s="5" t="e">
        <f>#REF!+#REF!+#REF!+#REF!+#REF!+#REF!+#REF!+#REF!+#REF!+#REF!+#REF!+#REF!+#REF!+#REF!</f>
        <v>#REF!</v>
      </c>
      <c r="S34" s="5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1" t="s">
        <v>49</v>
      </c>
      <c r="B35" s="1" t="str">
        <f>VLOOKUP(A35,[21]LISTADHERENT!A$5:H$60,3,0)</f>
        <v>SIMO PIERRE</v>
      </c>
      <c r="C35" s="5" t="e">
        <f>#REF!+#REF!+#REF!+#REF!+#REF!+#REF!+#REF!+#REF!+#REF!+#REF!+#REF!+#REF!+#REF!+#REF!</f>
        <v>#REF!</v>
      </c>
      <c r="D35" s="5" t="e">
        <f>#REF!+#REF!+#REF!+#REF!+#REF!+#REF!+#REF!+#REF!+#REF!+#REF!+#REF!+#REF!+#REF!+#REF!</f>
        <v>#REF!</v>
      </c>
      <c r="E35" s="5" t="e">
        <f>#REF!+#REF!+#REF!+#REF!+#REF!+#REF!+#REF!+#REF!+#REF!+#REF!+#REF!+#REF!+#REF!+#REF!</f>
        <v>#REF!</v>
      </c>
      <c r="F35" s="5" t="e">
        <f>#REF!+#REF!+#REF!+#REF!+#REF!+#REF!+#REF!+#REF!+#REF!+#REF!+#REF!+#REF!+#REF!+#REF!</f>
        <v>#REF!</v>
      </c>
      <c r="G35" s="5" t="e">
        <f>#REF!+#REF!+#REF!+#REF!+#REF!+#REF!+#REF!+#REF!+#REF!+#REF!+#REF!+#REF!+#REF!+#REF!</f>
        <v>#REF!</v>
      </c>
      <c r="H35" s="5" t="e">
        <f>#REF!+#REF!+#REF!+#REF!+#REF!+#REF!+#REF!+#REF!+#REF!+#REF!+#REF!+#REF!+#REF!+#REF!</f>
        <v>#REF!</v>
      </c>
      <c r="I35" s="5" t="e">
        <f>#REF!+#REF!+#REF!+#REF!+#REF!+#REF!+#REF!+#REF!+#REF!+#REF!+#REF!+#REF!+#REF!+#REF!</f>
        <v>#REF!</v>
      </c>
      <c r="J35" s="5" t="e">
        <f>#REF!+#REF!+#REF!+#REF!+#REF!+#REF!+#REF!+#REF!+#REF!+#REF!+#REF!+#REF!+#REF!+#REF!</f>
        <v>#REF!</v>
      </c>
      <c r="K35" s="5" t="e">
        <f>#REF!+#REF!+#REF!+#REF!+#REF!+#REF!+#REF!+#REF!+#REF!+#REF!+#REF!+#REF!+#REF!+#REF!</f>
        <v>#REF!</v>
      </c>
      <c r="L35" s="5" t="e">
        <f>#REF!+#REF!+#REF!+#REF!+#REF!+#REF!+#REF!+#REF!+#REF!+#REF!+#REF!+#REF!+#REF!+#REF!</f>
        <v>#REF!</v>
      </c>
      <c r="M35" s="5" t="e">
        <f>#REF!+#REF!+#REF!+#REF!+#REF!+#REF!+#REF!+#REF!+#REF!+#REF!+#REF!+#REF!+#REF!+#REF!</f>
        <v>#REF!</v>
      </c>
      <c r="N35" s="5" t="e">
        <f>#REF!+#REF!+#REF!+#REF!+#REF!+#REF!+#REF!+#REF!+#REF!+#REF!+#REF!+#REF!+#REF!+#REF!</f>
        <v>#REF!</v>
      </c>
      <c r="O35" s="5" t="e">
        <f>#REF!+#REF!+#REF!+#REF!+#REF!+#REF!+#REF!+#REF!+#REF!+#REF!+#REF!+#REF!+#REF!+#REF!</f>
        <v>#REF!</v>
      </c>
      <c r="P35" s="5" t="e">
        <f>#REF!+#REF!+#REF!+#REF!+#REF!+#REF!+#REF!+#REF!+#REF!+#REF!+#REF!+#REF!+#REF!+#REF!</f>
        <v>#REF!</v>
      </c>
      <c r="Q35" s="5" t="e">
        <f>#REF!+#REF!+#REF!+#REF!+#REF!+#REF!+#REF!+#REF!+#REF!+#REF!+#REF!+#REF!+#REF!+#REF!</f>
        <v>#REF!</v>
      </c>
      <c r="R35" s="5" t="e">
        <f>#REF!+#REF!+#REF!+#REF!+#REF!+#REF!+#REF!+#REF!+#REF!+#REF!+#REF!+#REF!+#REF!+#REF!</f>
        <v>#REF!</v>
      </c>
      <c r="S35" s="5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1" t="s">
        <v>51</v>
      </c>
      <c r="B36" s="1" t="str">
        <f>VLOOKUP(A36,[21]LISTADHERENT!A$5:H$60,3,0)</f>
        <v>TCHOUAMOU MATHIEU</v>
      </c>
      <c r="C36" s="5" t="e">
        <f>#REF!+#REF!+#REF!+#REF!+#REF!+#REF!+#REF!+#REF!+#REF!+#REF!+#REF!+#REF!+#REF!+#REF!</f>
        <v>#REF!</v>
      </c>
      <c r="D36" s="5" t="e">
        <f>#REF!+#REF!+#REF!+#REF!+#REF!+#REF!+#REF!+#REF!+#REF!+#REF!+#REF!+#REF!+#REF!+#REF!</f>
        <v>#REF!</v>
      </c>
      <c r="E36" s="5" t="e">
        <f>#REF!+#REF!+#REF!+#REF!+#REF!+#REF!+#REF!+#REF!+#REF!+#REF!+#REF!+#REF!+#REF!+#REF!</f>
        <v>#REF!</v>
      </c>
      <c r="F36" s="5" t="e">
        <f>#REF!+#REF!+#REF!+#REF!+#REF!+#REF!+#REF!+#REF!+#REF!+#REF!+#REF!+#REF!+#REF!+#REF!</f>
        <v>#REF!</v>
      </c>
      <c r="G36" s="5" t="e">
        <f>#REF!+#REF!+#REF!+#REF!+#REF!+#REF!+#REF!+#REF!+#REF!+#REF!+#REF!+#REF!+#REF!+#REF!</f>
        <v>#REF!</v>
      </c>
      <c r="H36" s="5" t="e">
        <f>#REF!+#REF!+#REF!+#REF!+#REF!+#REF!+#REF!+#REF!+#REF!+#REF!+#REF!+#REF!+#REF!+#REF!</f>
        <v>#REF!</v>
      </c>
      <c r="I36" s="5" t="e">
        <f>#REF!+#REF!+#REF!+#REF!+#REF!+#REF!+#REF!+#REF!+#REF!+#REF!+#REF!+#REF!+#REF!+#REF!</f>
        <v>#REF!</v>
      </c>
      <c r="J36" s="5" t="e">
        <f>#REF!+#REF!+#REF!+#REF!+#REF!+#REF!+#REF!+#REF!+#REF!+#REF!+#REF!+#REF!+#REF!+#REF!</f>
        <v>#REF!</v>
      </c>
      <c r="K36" s="5" t="e">
        <f>#REF!+#REF!+#REF!+#REF!+#REF!+#REF!+#REF!+#REF!+#REF!+#REF!+#REF!+#REF!+#REF!+#REF!</f>
        <v>#REF!</v>
      </c>
      <c r="L36" s="5" t="e">
        <f>#REF!+#REF!+#REF!+#REF!+#REF!+#REF!+#REF!+#REF!+#REF!+#REF!+#REF!+#REF!+#REF!+#REF!</f>
        <v>#REF!</v>
      </c>
      <c r="M36" s="5" t="e">
        <f>#REF!+#REF!+#REF!+#REF!+#REF!+#REF!+#REF!+#REF!+#REF!+#REF!+#REF!+#REF!+#REF!+#REF!</f>
        <v>#REF!</v>
      </c>
      <c r="N36" s="5" t="e">
        <f>#REF!+#REF!+#REF!+#REF!+#REF!+#REF!+#REF!+#REF!+#REF!+#REF!+#REF!+#REF!+#REF!+#REF!</f>
        <v>#REF!</v>
      </c>
      <c r="O36" s="5" t="e">
        <f>#REF!+#REF!+#REF!+#REF!+#REF!+#REF!+#REF!+#REF!+#REF!+#REF!+#REF!+#REF!+#REF!+#REF!</f>
        <v>#REF!</v>
      </c>
      <c r="P36" s="5" t="e">
        <f>#REF!+#REF!+#REF!+#REF!+#REF!+#REF!+#REF!+#REF!+#REF!+#REF!+#REF!+#REF!+#REF!+#REF!</f>
        <v>#REF!</v>
      </c>
      <c r="Q36" s="5" t="e">
        <f>#REF!+#REF!+#REF!+#REF!+#REF!+#REF!+#REF!+#REF!+#REF!+#REF!+#REF!+#REF!+#REF!+#REF!</f>
        <v>#REF!</v>
      </c>
      <c r="R36" s="5" t="e">
        <f>#REF!+#REF!+#REF!+#REF!+#REF!+#REF!+#REF!+#REF!+#REF!+#REF!+#REF!+#REF!+#REF!+#REF!</f>
        <v>#REF!</v>
      </c>
      <c r="S36" s="5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1" t="s">
        <v>54</v>
      </c>
      <c r="B37" s="1" t="str">
        <f>VLOOKUP(A37,[21]LISTADHERENT!A$5:H$60,3,0)</f>
        <v>TIEYAM ERNEST</v>
      </c>
      <c r="C37" s="5" t="e">
        <f>#REF!+#REF!+#REF!+#REF!+#REF!+#REF!+#REF!+#REF!+#REF!+#REF!+#REF!+#REF!+#REF!+#REF!</f>
        <v>#REF!</v>
      </c>
      <c r="D37" s="5" t="e">
        <f>#REF!+#REF!+#REF!+#REF!+#REF!+#REF!+#REF!+#REF!+#REF!+#REF!+#REF!+#REF!+#REF!+#REF!</f>
        <v>#REF!</v>
      </c>
      <c r="E37" s="5" t="e">
        <f>#REF!+#REF!+#REF!+#REF!+#REF!+#REF!+#REF!+#REF!+#REF!+#REF!+#REF!+#REF!+#REF!+#REF!</f>
        <v>#REF!</v>
      </c>
      <c r="F37" s="5" t="e">
        <f>#REF!+#REF!+#REF!+#REF!+#REF!+#REF!+#REF!+#REF!+#REF!+#REF!+#REF!+#REF!+#REF!+#REF!</f>
        <v>#REF!</v>
      </c>
      <c r="G37" s="5" t="e">
        <f>#REF!+#REF!+#REF!+#REF!+#REF!+#REF!+#REF!+#REF!+#REF!+#REF!+#REF!+#REF!+#REF!+#REF!</f>
        <v>#REF!</v>
      </c>
      <c r="H37" s="5" t="e">
        <f>#REF!+#REF!+#REF!+#REF!+#REF!+#REF!+#REF!+#REF!+#REF!+#REF!+#REF!+#REF!+#REF!+#REF!</f>
        <v>#REF!</v>
      </c>
      <c r="I37" s="5" t="e">
        <f>#REF!+#REF!+#REF!+#REF!+#REF!+#REF!+#REF!+#REF!+#REF!+#REF!+#REF!+#REF!+#REF!+#REF!</f>
        <v>#REF!</v>
      </c>
      <c r="J37" s="5" t="e">
        <f>#REF!+#REF!+#REF!+#REF!+#REF!+#REF!+#REF!+#REF!+#REF!+#REF!+#REF!+#REF!+#REF!+#REF!</f>
        <v>#REF!</v>
      </c>
      <c r="K37" s="5" t="e">
        <f>#REF!+#REF!+#REF!+#REF!+#REF!+#REF!+#REF!+#REF!+#REF!+#REF!+#REF!+#REF!+#REF!+#REF!</f>
        <v>#REF!</v>
      </c>
      <c r="L37" s="5" t="e">
        <f>#REF!+#REF!+#REF!+#REF!+#REF!+#REF!+#REF!+#REF!+#REF!+#REF!+#REF!+#REF!+#REF!+#REF!</f>
        <v>#REF!</v>
      </c>
      <c r="M37" s="5" t="e">
        <f>#REF!+#REF!+#REF!+#REF!+#REF!+#REF!+#REF!+#REF!+#REF!+#REF!+#REF!+#REF!+#REF!+#REF!</f>
        <v>#REF!</v>
      </c>
      <c r="N37" s="5" t="e">
        <f>#REF!+#REF!+#REF!+#REF!+#REF!+#REF!+#REF!+#REF!+#REF!+#REF!+#REF!+#REF!+#REF!+#REF!</f>
        <v>#REF!</v>
      </c>
      <c r="O37" s="5" t="e">
        <f>#REF!+#REF!+#REF!+#REF!+#REF!+#REF!+#REF!+#REF!+#REF!+#REF!+#REF!+#REF!+#REF!+#REF!</f>
        <v>#REF!</v>
      </c>
      <c r="P37" s="5" t="e">
        <f>#REF!+#REF!+#REF!+#REF!+#REF!+#REF!+#REF!+#REF!+#REF!+#REF!+#REF!+#REF!+#REF!+#REF!</f>
        <v>#REF!</v>
      </c>
      <c r="Q37" s="5" t="e">
        <f>#REF!+#REF!+#REF!+#REF!+#REF!+#REF!+#REF!+#REF!+#REF!+#REF!+#REF!+#REF!+#REF!+#REF!</f>
        <v>#REF!</v>
      </c>
      <c r="R37" s="5" t="e">
        <f>#REF!+#REF!+#REF!+#REF!+#REF!+#REF!+#REF!+#REF!+#REF!+#REF!+#REF!+#REF!+#REF!+#REF!</f>
        <v>#REF!</v>
      </c>
      <c r="S37" s="5"/>
      <c r="T37" s="2"/>
      <c r="U37" s="2"/>
    </row>
    <row r="38" spans="1:28" x14ac:dyDescent="0.25">
      <c r="A38" s="1" t="s">
        <v>55</v>
      </c>
      <c r="B38" s="1" t="str">
        <f>VLOOKUP(A38,[21]LISTADHERENT!A$5:H$60,3,0)</f>
        <v>YEPMOU JEAN JACQUES</v>
      </c>
      <c r="C38" s="5" t="e">
        <f>#REF!+#REF!+#REF!+#REF!+#REF!+#REF!+#REF!+#REF!+#REF!+#REF!+#REF!+#REF!+#REF!+#REF!</f>
        <v>#REF!</v>
      </c>
      <c r="D38" s="5" t="e">
        <f>#REF!+#REF!+#REF!+#REF!+#REF!+#REF!+#REF!+#REF!+#REF!+#REF!+#REF!+#REF!+#REF!+#REF!</f>
        <v>#REF!</v>
      </c>
      <c r="E38" s="5" t="e">
        <f>#REF!+#REF!+#REF!+#REF!+#REF!+#REF!+#REF!+#REF!+#REF!+#REF!+#REF!+#REF!+#REF!+#REF!</f>
        <v>#REF!</v>
      </c>
      <c r="F38" s="5" t="e">
        <f>#REF!+#REF!+#REF!+#REF!+#REF!+#REF!+#REF!+#REF!+#REF!+#REF!+#REF!+#REF!+#REF!+#REF!</f>
        <v>#REF!</v>
      </c>
      <c r="G38" s="5" t="e">
        <f>#REF!+#REF!+#REF!+#REF!+#REF!+#REF!+#REF!+#REF!+#REF!+#REF!+#REF!+#REF!+#REF!+#REF!</f>
        <v>#REF!</v>
      </c>
      <c r="H38" s="5" t="e">
        <f>#REF!+#REF!+#REF!+#REF!+#REF!+#REF!+#REF!+#REF!+#REF!+#REF!+#REF!+#REF!+#REF!+#REF!</f>
        <v>#REF!</v>
      </c>
      <c r="I38" s="5" t="e">
        <f>#REF!+#REF!+#REF!+#REF!+#REF!+#REF!+#REF!+#REF!+#REF!+#REF!+#REF!+#REF!+#REF!+#REF!</f>
        <v>#REF!</v>
      </c>
      <c r="J38" s="5" t="e">
        <f>#REF!+#REF!+#REF!+#REF!+#REF!+#REF!+#REF!+#REF!+#REF!+#REF!+#REF!+#REF!+#REF!+#REF!</f>
        <v>#REF!</v>
      </c>
      <c r="K38" s="5" t="e">
        <f>#REF!+#REF!+#REF!+#REF!+#REF!+#REF!+#REF!+#REF!+#REF!+#REF!+#REF!+#REF!+#REF!+#REF!</f>
        <v>#REF!</v>
      </c>
      <c r="L38" s="5" t="e">
        <f>#REF!+#REF!+#REF!+#REF!+#REF!+#REF!+#REF!+#REF!+#REF!+#REF!+#REF!+#REF!+#REF!+#REF!</f>
        <v>#REF!</v>
      </c>
      <c r="M38" s="5" t="e">
        <f>#REF!+#REF!+#REF!+#REF!+#REF!+#REF!+#REF!+#REF!+#REF!+#REF!+#REF!+#REF!+#REF!+#REF!</f>
        <v>#REF!</v>
      </c>
      <c r="N38" s="5" t="e">
        <f>#REF!+#REF!+#REF!+#REF!+#REF!+#REF!+#REF!+#REF!+#REF!+#REF!+#REF!+#REF!+#REF!+#REF!</f>
        <v>#REF!</v>
      </c>
      <c r="O38" s="5" t="e">
        <f>#REF!+#REF!+#REF!+#REF!+#REF!+#REF!+#REF!+#REF!+#REF!+#REF!+#REF!+#REF!+#REF!+#REF!</f>
        <v>#REF!</v>
      </c>
      <c r="P38" s="5" t="e">
        <f>#REF!+#REF!+#REF!+#REF!+#REF!+#REF!+#REF!+#REF!+#REF!+#REF!+#REF!+#REF!+#REF!+#REF!</f>
        <v>#REF!</v>
      </c>
      <c r="Q38" s="5" t="e">
        <f>#REF!+#REF!+#REF!+#REF!+#REF!+#REF!+#REF!+#REF!+#REF!+#REF!+#REF!+#REF!+#REF!+#REF!</f>
        <v>#REF!</v>
      </c>
      <c r="R38" s="5" t="e">
        <f>#REF!+#REF!+#REF!+#REF!+#REF!+#REF!+#REF!+#REF!+#REF!+#REF!+#REF!+#REF!+#REF!+#REF!</f>
        <v>#REF!</v>
      </c>
      <c r="S38" s="5"/>
      <c r="T38" s="2"/>
      <c r="U38" s="2"/>
    </row>
    <row r="39" spans="1:28" x14ac:dyDescent="0.25">
      <c r="A39" s="1" t="s">
        <v>56</v>
      </c>
      <c r="B39" s="1" t="str">
        <f>VLOOKUP(A39,[21]LISTADHERENT!A$5:H$60,3,0)</f>
        <v>YOUMBI EMMANUEL</v>
      </c>
      <c r="C39" s="5" t="e">
        <f>#REF!+#REF!+#REF!+#REF!+#REF!+#REF!+#REF!+#REF!+#REF!+#REF!+#REF!+#REF!+#REF!+#REF!</f>
        <v>#REF!</v>
      </c>
      <c r="D39" s="5" t="e">
        <f>#REF!+#REF!+#REF!+#REF!+#REF!+#REF!+#REF!+#REF!+#REF!+#REF!+#REF!+#REF!+#REF!+#REF!</f>
        <v>#REF!</v>
      </c>
      <c r="E39" s="5" t="e">
        <f>#REF!+#REF!+#REF!+#REF!+#REF!+#REF!+#REF!+#REF!+#REF!+#REF!+#REF!+#REF!+#REF!+#REF!</f>
        <v>#REF!</v>
      </c>
      <c r="F39" s="5" t="e">
        <f>#REF!+#REF!+#REF!+#REF!+#REF!+#REF!+#REF!+#REF!+#REF!+#REF!+#REF!+#REF!+#REF!+#REF!</f>
        <v>#REF!</v>
      </c>
      <c r="G39" s="5" t="e">
        <f>#REF!+#REF!+#REF!+#REF!+#REF!+#REF!+#REF!+#REF!+#REF!+#REF!+#REF!+#REF!+#REF!+#REF!</f>
        <v>#REF!</v>
      </c>
      <c r="H39" s="5" t="e">
        <f>#REF!+#REF!+#REF!+#REF!+#REF!+#REF!+#REF!+#REF!+#REF!+#REF!+#REF!+#REF!+#REF!+#REF!</f>
        <v>#REF!</v>
      </c>
      <c r="I39" s="5" t="e">
        <f>#REF!+#REF!+#REF!+#REF!+#REF!+#REF!+#REF!+#REF!+#REF!+#REF!+#REF!+#REF!+#REF!+#REF!</f>
        <v>#REF!</v>
      </c>
      <c r="J39" s="5" t="e">
        <f>#REF!+#REF!+#REF!+#REF!+#REF!+#REF!+#REF!+#REF!+#REF!+#REF!+#REF!+#REF!+#REF!+#REF!</f>
        <v>#REF!</v>
      </c>
      <c r="K39" s="5" t="e">
        <f>#REF!+#REF!+#REF!+#REF!+#REF!+#REF!+#REF!+#REF!+#REF!+#REF!+#REF!+#REF!+#REF!+#REF!</f>
        <v>#REF!</v>
      </c>
      <c r="L39" s="5" t="e">
        <f>#REF!+#REF!+#REF!+#REF!+#REF!+#REF!+#REF!+#REF!+#REF!+#REF!+#REF!+#REF!+#REF!+#REF!</f>
        <v>#REF!</v>
      </c>
      <c r="M39" s="5" t="e">
        <f>#REF!+#REF!+#REF!+#REF!+#REF!+#REF!+#REF!+#REF!+#REF!+#REF!+#REF!+#REF!+#REF!+#REF!</f>
        <v>#REF!</v>
      </c>
      <c r="N39" s="5" t="e">
        <f>#REF!+#REF!+#REF!+#REF!+#REF!+#REF!+#REF!+#REF!+#REF!+#REF!+#REF!+#REF!+#REF!+#REF!</f>
        <v>#REF!</v>
      </c>
      <c r="O39" s="5" t="e">
        <f>#REF!+#REF!+#REF!+#REF!+#REF!+#REF!+#REF!+#REF!+#REF!+#REF!+#REF!+#REF!+#REF!+#REF!</f>
        <v>#REF!</v>
      </c>
      <c r="P39" s="5" t="e">
        <f>#REF!+#REF!+#REF!+#REF!+#REF!+#REF!+#REF!+#REF!+#REF!+#REF!+#REF!+#REF!+#REF!+#REF!</f>
        <v>#REF!</v>
      </c>
      <c r="Q39" s="5" t="e">
        <f>#REF!+#REF!+#REF!+#REF!+#REF!+#REF!+#REF!+#REF!+#REF!+#REF!+#REF!+#REF!+#REF!+#REF!</f>
        <v>#REF!</v>
      </c>
      <c r="R39" s="5" t="e">
        <f>#REF!+#REF!+#REF!+#REF!+#REF!+#REF!+#REF!+#REF!+#REF!+#REF!+#REF!+#REF!+#REF!+#REF!</f>
        <v>#REF!</v>
      </c>
      <c r="S39" s="5"/>
      <c r="T39" s="2"/>
      <c r="U39" s="2"/>
    </row>
    <row r="40" spans="1:28" x14ac:dyDescent="0.25">
      <c r="A40" s="15"/>
      <c r="B40" s="1"/>
      <c r="C40" s="5"/>
      <c r="D40" s="5"/>
      <c r="E40" s="6"/>
      <c r="F40" s="6"/>
      <c r="G40" s="6"/>
      <c r="H40" s="6"/>
      <c r="I40" s="6"/>
      <c r="J40" s="6"/>
      <c r="K40" s="6"/>
      <c r="N40" s="6"/>
      <c r="O40" s="6"/>
      <c r="P40" s="6"/>
      <c r="Q40" s="2"/>
    </row>
    <row r="41" spans="1:28" x14ac:dyDescent="0.25">
      <c r="A41" s="15"/>
      <c r="B41" s="1"/>
      <c r="C41" s="5"/>
      <c r="D41" s="5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  <c r="Q41" s="2"/>
    </row>
    <row r="42" spans="1:28" x14ac:dyDescent="0.25">
      <c r="A42" s="15"/>
      <c r="B42" s="1"/>
      <c r="C42" s="5"/>
      <c r="D42" s="5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  <c r="Q42" s="2"/>
    </row>
    <row r="43" spans="1:28" x14ac:dyDescent="0.25">
      <c r="A43" s="1"/>
      <c r="B43" s="1"/>
      <c r="C43" s="1"/>
      <c r="D43" s="1"/>
      <c r="E43" s="1"/>
    </row>
    <row r="44" spans="1:28" ht="18" x14ac:dyDescent="0.25">
      <c r="A44" s="1" t="s">
        <v>57</v>
      </c>
      <c r="B44" s="1"/>
      <c r="C44" s="9" t="e">
        <f t="shared" ref="C44:L44" si="0">SUM(C6:C40)</f>
        <v>#REF!</v>
      </c>
      <c r="D44" s="9" t="e">
        <f t="shared" si="0"/>
        <v>#REF!</v>
      </c>
      <c r="E44" s="9" t="e">
        <f t="shared" si="0"/>
        <v>#REF!</v>
      </c>
      <c r="F44" s="9" t="e">
        <f t="shared" si="0"/>
        <v>#REF!</v>
      </c>
      <c r="G44" s="9" t="e">
        <f t="shared" si="0"/>
        <v>#REF!</v>
      </c>
      <c r="H44" s="9" t="e">
        <f t="shared" si="0"/>
        <v>#REF!</v>
      </c>
      <c r="I44" s="9" t="e">
        <f t="shared" si="0"/>
        <v>#REF!</v>
      </c>
      <c r="J44" s="9" t="e">
        <f t="shared" si="0"/>
        <v>#REF!</v>
      </c>
      <c r="K44" s="9" t="e">
        <f t="shared" si="0"/>
        <v>#REF!</v>
      </c>
      <c r="L44" s="9" t="e">
        <f t="shared" si="0"/>
        <v>#REF!</v>
      </c>
      <c r="M44" s="9" t="e">
        <f>SUM(M6:M38)</f>
        <v>#REF!</v>
      </c>
      <c r="N44" s="9" t="e">
        <f>SUM(N6:N40)</f>
        <v>#REF!</v>
      </c>
      <c r="O44" s="9"/>
      <c r="P44" s="9" t="e">
        <f>SUM(P6:P40)</f>
        <v>#REF!</v>
      </c>
      <c r="Q44" s="9" t="e">
        <f>SUM(Q6:Q37)</f>
        <v>#REF!</v>
      </c>
      <c r="R44" s="9" t="e">
        <f>SUM(R6:R37)</f>
        <v>#REF!</v>
      </c>
    </row>
  </sheetData>
  <autoFilter ref="A5:P39">
    <sortState ref="A5:L48">
      <sortCondition ref="B5:B48"/>
    </sortState>
  </autoFilter>
  <mergeCells count="1"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workbookViewId="0">
      <pane xSplit="1" ySplit="4" topLeftCell="AF8" activePane="bottomRight" state="frozen"/>
      <selection pane="topRight" activeCell="B1" sqref="B1"/>
      <selection pane="bottomLeft" activeCell="A5" sqref="A5"/>
      <selection pane="bottomRight" activeCell="AQ17" sqref="AQ17"/>
    </sheetView>
  </sheetViews>
  <sheetFormatPr baseColWidth="10" defaultRowHeight="15" x14ac:dyDescent="0.25"/>
  <cols>
    <col min="2" max="2" width="12.42578125" bestFit="1" customWidth="1"/>
    <col min="3" max="3" width="11.5703125" bestFit="1" customWidth="1"/>
    <col min="4" max="4" width="12.42578125" bestFit="1" customWidth="1"/>
    <col min="5" max="5" width="11.5703125" bestFit="1" customWidth="1"/>
    <col min="6" max="6" width="14.7109375" bestFit="1" customWidth="1"/>
    <col min="7" max="7" width="14.42578125" bestFit="1" customWidth="1"/>
    <col min="8" max="10" width="12.42578125" bestFit="1" customWidth="1"/>
    <col min="12" max="12" width="13.28515625" bestFit="1" customWidth="1"/>
    <col min="13" max="16" width="12.42578125" bestFit="1" customWidth="1"/>
    <col min="19" max="19" width="12.42578125" bestFit="1" customWidth="1"/>
    <col min="20" max="20" width="13.85546875" bestFit="1" customWidth="1"/>
    <col min="21" max="21" width="12.42578125" bestFit="1" customWidth="1"/>
    <col min="22" max="22" width="13.85546875" bestFit="1" customWidth="1"/>
    <col min="24" max="24" width="13.28515625" bestFit="1" customWidth="1"/>
    <col min="25" max="28" width="12.42578125" bestFit="1" customWidth="1"/>
    <col min="30" max="30" width="13.28515625" bestFit="1" customWidth="1"/>
    <col min="31" max="31" width="12.42578125" bestFit="1" customWidth="1"/>
    <col min="32" max="32" width="13.85546875" bestFit="1" customWidth="1"/>
    <col min="33" max="33" width="12.42578125" bestFit="1" customWidth="1"/>
    <col min="34" max="34" width="13.85546875" bestFit="1" customWidth="1"/>
    <col min="36" max="36" width="13.28515625" bestFit="1" customWidth="1"/>
    <col min="37" max="37" width="12.42578125" bestFit="1" customWidth="1"/>
    <col min="38" max="40" width="13.85546875" bestFit="1" customWidth="1"/>
    <col min="42" max="42" width="15.5703125" customWidth="1"/>
    <col min="43" max="43" width="13.85546875" bestFit="1" customWidth="1"/>
  </cols>
  <sheetData>
    <row r="1" spans="1:43" ht="15.75" thickBot="1" x14ac:dyDescent="0.3"/>
    <row r="2" spans="1:43" ht="15.75" thickTop="1" x14ac:dyDescent="0.25">
      <c r="A2" s="74"/>
      <c r="B2" s="170" t="s">
        <v>187</v>
      </c>
      <c r="C2" s="170"/>
      <c r="D2" s="170"/>
      <c r="E2" s="170"/>
      <c r="F2" s="170"/>
      <c r="G2" s="171"/>
      <c r="H2" s="170" t="s">
        <v>188</v>
      </c>
      <c r="I2" s="170"/>
      <c r="J2" s="170"/>
      <c r="K2" s="170"/>
      <c r="L2" s="170"/>
      <c r="M2" s="171"/>
      <c r="N2" s="170" t="s">
        <v>131</v>
      </c>
      <c r="O2" s="170"/>
      <c r="P2" s="170"/>
      <c r="Q2" s="170"/>
      <c r="R2" s="170"/>
      <c r="S2" s="171"/>
      <c r="T2" s="170" t="s">
        <v>189</v>
      </c>
      <c r="U2" s="170"/>
      <c r="V2" s="170"/>
      <c r="W2" s="170"/>
      <c r="X2" s="170"/>
      <c r="Y2" s="171"/>
      <c r="Z2" s="170" t="s">
        <v>139</v>
      </c>
      <c r="AA2" s="170"/>
      <c r="AB2" s="170"/>
      <c r="AC2" s="170"/>
      <c r="AD2" s="170"/>
      <c r="AE2" s="171"/>
      <c r="AF2" s="170" t="s">
        <v>190</v>
      </c>
      <c r="AG2" s="170"/>
      <c r="AH2" s="170"/>
      <c r="AI2" s="170"/>
      <c r="AJ2" s="170"/>
      <c r="AK2" s="171"/>
      <c r="AL2" s="170" t="s">
        <v>191</v>
      </c>
      <c r="AM2" s="170"/>
      <c r="AN2" s="170"/>
      <c r="AO2" s="170"/>
      <c r="AP2" s="170"/>
      <c r="AQ2" s="171"/>
    </row>
    <row r="3" spans="1:43" x14ac:dyDescent="0.25">
      <c r="A3" s="75"/>
      <c r="B3" s="168" t="s">
        <v>192</v>
      </c>
      <c r="C3" s="168"/>
      <c r="D3" s="168" t="s">
        <v>193</v>
      </c>
      <c r="E3" s="168"/>
      <c r="F3" s="168" t="s">
        <v>194</v>
      </c>
      <c r="G3" s="169"/>
      <c r="H3" s="168" t="s">
        <v>192</v>
      </c>
      <c r="I3" s="168"/>
      <c r="J3" s="168" t="s">
        <v>193</v>
      </c>
      <c r="K3" s="168"/>
      <c r="L3" s="168" t="s">
        <v>194</v>
      </c>
      <c r="M3" s="169"/>
      <c r="N3" s="168" t="s">
        <v>192</v>
      </c>
      <c r="O3" s="168"/>
      <c r="P3" s="168" t="s">
        <v>193</v>
      </c>
      <c r="Q3" s="168"/>
      <c r="R3" s="168" t="s">
        <v>194</v>
      </c>
      <c r="S3" s="169"/>
      <c r="T3" s="168" t="s">
        <v>192</v>
      </c>
      <c r="U3" s="168"/>
      <c r="V3" s="168" t="s">
        <v>193</v>
      </c>
      <c r="W3" s="168"/>
      <c r="X3" s="168" t="s">
        <v>194</v>
      </c>
      <c r="Y3" s="169"/>
      <c r="Z3" s="168" t="s">
        <v>192</v>
      </c>
      <c r="AA3" s="168"/>
      <c r="AB3" s="168" t="s">
        <v>193</v>
      </c>
      <c r="AC3" s="168"/>
      <c r="AD3" s="168" t="s">
        <v>194</v>
      </c>
      <c r="AE3" s="169"/>
      <c r="AF3" s="168" t="s">
        <v>192</v>
      </c>
      <c r="AG3" s="168"/>
      <c r="AH3" s="168" t="s">
        <v>193</v>
      </c>
      <c r="AI3" s="168"/>
      <c r="AJ3" s="168" t="s">
        <v>194</v>
      </c>
      <c r="AK3" s="169"/>
      <c r="AL3" s="168" t="s">
        <v>192</v>
      </c>
      <c r="AM3" s="168"/>
      <c r="AN3" s="168" t="s">
        <v>193</v>
      </c>
      <c r="AO3" s="168"/>
      <c r="AP3" s="168" t="s">
        <v>194</v>
      </c>
      <c r="AQ3" s="169"/>
    </row>
    <row r="4" spans="1:43" x14ac:dyDescent="0.25">
      <c r="A4" s="75" t="s">
        <v>195</v>
      </c>
      <c r="B4" s="76" t="s">
        <v>22</v>
      </c>
      <c r="C4" s="76" t="s">
        <v>20</v>
      </c>
      <c r="D4" s="76" t="s">
        <v>22</v>
      </c>
      <c r="E4" s="76" t="s">
        <v>20</v>
      </c>
      <c r="F4" s="76" t="s">
        <v>22</v>
      </c>
      <c r="G4" s="77" t="s">
        <v>20</v>
      </c>
      <c r="H4" s="76" t="s">
        <v>22</v>
      </c>
      <c r="I4" s="76" t="s">
        <v>20</v>
      </c>
      <c r="J4" s="76" t="s">
        <v>22</v>
      </c>
      <c r="K4" s="76" t="s">
        <v>20</v>
      </c>
      <c r="L4" s="76" t="s">
        <v>22</v>
      </c>
      <c r="M4" s="77" t="s">
        <v>20</v>
      </c>
      <c r="N4" s="76" t="s">
        <v>22</v>
      </c>
      <c r="O4" s="76" t="s">
        <v>20</v>
      </c>
      <c r="P4" s="76" t="s">
        <v>22</v>
      </c>
      <c r="Q4" s="76" t="s">
        <v>20</v>
      </c>
      <c r="R4" s="76" t="s">
        <v>22</v>
      </c>
      <c r="S4" s="77" t="s">
        <v>20</v>
      </c>
      <c r="T4" s="76" t="s">
        <v>22</v>
      </c>
      <c r="U4" s="76" t="s">
        <v>20</v>
      </c>
      <c r="V4" s="76" t="s">
        <v>22</v>
      </c>
      <c r="W4" s="76" t="s">
        <v>20</v>
      </c>
      <c r="X4" s="76" t="s">
        <v>22</v>
      </c>
      <c r="Y4" s="77" t="s">
        <v>20</v>
      </c>
      <c r="Z4" s="76" t="s">
        <v>22</v>
      </c>
      <c r="AA4" s="76" t="s">
        <v>20</v>
      </c>
      <c r="AB4" s="76" t="s">
        <v>22</v>
      </c>
      <c r="AC4" s="76" t="s">
        <v>20</v>
      </c>
      <c r="AD4" s="76" t="s">
        <v>22</v>
      </c>
      <c r="AE4" s="77" t="s">
        <v>20</v>
      </c>
      <c r="AF4" s="76" t="s">
        <v>22</v>
      </c>
      <c r="AG4" s="76" t="s">
        <v>20</v>
      </c>
      <c r="AH4" s="76" t="s">
        <v>22</v>
      </c>
      <c r="AI4" s="76" t="s">
        <v>20</v>
      </c>
      <c r="AJ4" s="76" t="s">
        <v>22</v>
      </c>
      <c r="AK4" s="77" t="s">
        <v>20</v>
      </c>
      <c r="AL4" s="76" t="s">
        <v>22</v>
      </c>
      <c r="AM4" s="76" t="s">
        <v>20</v>
      </c>
      <c r="AN4" s="76" t="s">
        <v>22</v>
      </c>
      <c r="AO4" s="76" t="s">
        <v>20</v>
      </c>
      <c r="AP4" s="76" t="s">
        <v>22</v>
      </c>
      <c r="AQ4" s="77" t="s">
        <v>20</v>
      </c>
    </row>
    <row r="5" spans="1:43" ht="18.75" x14ac:dyDescent="0.3">
      <c r="A5" s="78" t="s">
        <v>208</v>
      </c>
      <c r="B5" s="50"/>
      <c r="C5" s="50"/>
      <c r="D5" s="50"/>
      <c r="E5" s="50"/>
      <c r="F5" s="50"/>
      <c r="G5" s="51"/>
      <c r="H5" s="50"/>
      <c r="I5" s="50"/>
      <c r="J5" s="50"/>
      <c r="K5" s="50"/>
      <c r="L5" s="50"/>
      <c r="M5" s="51"/>
      <c r="N5" s="50"/>
      <c r="O5" s="50"/>
      <c r="P5" s="50"/>
      <c r="Q5" s="50"/>
      <c r="R5" s="50"/>
      <c r="S5" s="51"/>
      <c r="T5" s="50"/>
      <c r="U5" s="50"/>
      <c r="V5" s="50"/>
      <c r="W5" s="50"/>
      <c r="X5" s="50"/>
      <c r="Y5" s="51"/>
      <c r="Z5" s="50"/>
      <c r="AA5" s="50"/>
      <c r="AB5" s="50"/>
      <c r="AC5" s="50"/>
      <c r="AD5" s="50"/>
      <c r="AE5" s="51"/>
      <c r="AF5" s="50"/>
      <c r="AG5" s="50"/>
      <c r="AH5" s="50"/>
      <c r="AI5" s="50"/>
      <c r="AJ5" s="50"/>
      <c r="AK5" s="51"/>
      <c r="AL5" s="50"/>
      <c r="AM5" s="50"/>
      <c r="AN5" s="50"/>
      <c r="AO5" s="50"/>
      <c r="AP5" s="26">
        <v>0</v>
      </c>
      <c r="AQ5" s="82">
        <v>0</v>
      </c>
    </row>
    <row r="6" spans="1:43" ht="18.75" x14ac:dyDescent="0.3">
      <c r="A6" s="78" t="s">
        <v>196</v>
      </c>
      <c r="B6" s="26">
        <f>[23]TONTJANV!$E$60</f>
        <v>180000</v>
      </c>
      <c r="C6" s="26">
        <f>[23]TONTJANV!$E$59</f>
        <v>90000</v>
      </c>
      <c r="D6" s="26">
        <f>[23]TONTJANV!$K$60</f>
        <v>113500</v>
      </c>
      <c r="E6" s="26">
        <f>[23]TONTJANV!$K$59</f>
        <v>0</v>
      </c>
      <c r="F6" s="26">
        <f>B6-D6</f>
        <v>66500</v>
      </c>
      <c r="G6" s="79">
        <f>C6-E6</f>
        <v>90000</v>
      </c>
      <c r="H6" s="26">
        <f>[24]TONTJANV!$E$49</f>
        <v>380000</v>
      </c>
      <c r="I6" s="26">
        <f>[24]TONTJANV!$E$48</f>
        <v>180000</v>
      </c>
      <c r="J6" s="26">
        <f>[24]TONTJANV!$K$49</f>
        <v>225000</v>
      </c>
      <c r="K6" s="26">
        <f>[24]TONTJANV!$K$48</f>
        <v>0</v>
      </c>
      <c r="L6" s="26">
        <f>H6-J6</f>
        <v>155000</v>
      </c>
      <c r="M6" s="79">
        <f>I6-K6</f>
        <v>180000</v>
      </c>
      <c r="N6" s="26">
        <f>[25]TONTJANV!$E$38</f>
        <v>360000</v>
      </c>
      <c r="O6" s="26">
        <f>[25]TONTJANV!$E$37</f>
        <v>120000</v>
      </c>
      <c r="P6" s="26">
        <f>[25]TONTJANV!$K$38</f>
        <v>345000</v>
      </c>
      <c r="Q6" s="26">
        <f>[25]TONTJANV!$K$37</f>
        <v>0</v>
      </c>
      <c r="R6" s="26">
        <f>N6-P6</f>
        <v>15000</v>
      </c>
      <c r="S6" s="79">
        <f>O6-Q6</f>
        <v>120000</v>
      </c>
      <c r="T6" s="26">
        <f>[26]TONTJANV!$E$44</f>
        <v>950000</v>
      </c>
      <c r="U6" s="26">
        <f>[26]TONTJANV!$E$43</f>
        <v>300000</v>
      </c>
      <c r="V6" s="26">
        <f>[26]TONTJANV!$K$44</f>
        <v>557500</v>
      </c>
      <c r="W6" s="26">
        <f>[26]TONTJANV!$K$43</f>
        <v>0</v>
      </c>
      <c r="X6" s="26">
        <f>T6-V6</f>
        <v>392500</v>
      </c>
      <c r="Y6" s="79">
        <f>U6-W6</f>
        <v>300000</v>
      </c>
      <c r="Z6" s="26">
        <f>[27]TONTJANV!$E$32</f>
        <v>1100000</v>
      </c>
      <c r="AA6" s="26">
        <f>[27]TONTJANV!$E$31</f>
        <v>200000</v>
      </c>
      <c r="AB6" s="26">
        <f>[27]TONTJANV!$K$32</f>
        <v>1110000</v>
      </c>
      <c r="AC6" s="26">
        <f>[27]TONTJANV!$K$31</f>
        <v>0</v>
      </c>
      <c r="AD6" s="26">
        <f>Z6-AB6</f>
        <v>-10000</v>
      </c>
      <c r="AE6" s="79">
        <f>AA6-AC6</f>
        <v>200000</v>
      </c>
      <c r="AF6" s="26">
        <f>[28]TONTJANV!$E$35</f>
        <v>1950000</v>
      </c>
      <c r="AG6" s="26">
        <f>[28]TONTJANV!$E$34</f>
        <v>600000</v>
      </c>
      <c r="AH6" s="26">
        <f>[28]TONTJANV!$K$35</f>
        <v>1685000</v>
      </c>
      <c r="AI6" s="26">
        <f>[28]TONTJANV!$K$34</f>
        <v>0</v>
      </c>
      <c r="AJ6" s="26">
        <f>AF6-AH6</f>
        <v>265000</v>
      </c>
      <c r="AK6" s="79">
        <f>AG6-AI6</f>
        <v>600000</v>
      </c>
      <c r="AL6" s="26">
        <f>B6+H6+N6+T6+Z6+AF6</f>
        <v>4920000</v>
      </c>
      <c r="AM6" s="26">
        <f t="shared" ref="AM6:AO17" si="0">C6+I6+O6+U6+AA6+AG6</f>
        <v>1490000</v>
      </c>
      <c r="AN6" s="26">
        <f t="shared" si="0"/>
        <v>4036000</v>
      </c>
      <c r="AO6" s="26">
        <f t="shared" si="0"/>
        <v>0</v>
      </c>
      <c r="AP6" s="26">
        <f>AP5+AL6-AN6</f>
        <v>884000</v>
      </c>
      <c r="AQ6" s="79">
        <f>AQ5+AM6-AO6</f>
        <v>1490000</v>
      </c>
    </row>
    <row r="7" spans="1:43" ht="18.75" x14ac:dyDescent="0.3">
      <c r="A7" s="78" t="s">
        <v>197</v>
      </c>
      <c r="B7" s="26">
        <f>[23]TONTFEV!$E$60</f>
        <v>220000</v>
      </c>
      <c r="C7" s="26">
        <f>[23]TONTFEV!$E$59</f>
        <v>60000</v>
      </c>
      <c r="D7" s="26">
        <f>[23]TONTFEV!$K$60</f>
        <v>116000</v>
      </c>
      <c r="E7" s="26">
        <f>[23]TONTFEV!$K$59</f>
        <v>0</v>
      </c>
      <c r="F7" s="26">
        <f t="shared" ref="F7:G17" si="1">B7-D7</f>
        <v>104000</v>
      </c>
      <c r="G7" s="79">
        <f t="shared" si="1"/>
        <v>60000</v>
      </c>
      <c r="H7" s="26">
        <f>[24]TONTFEV!$E$49</f>
        <v>500000</v>
      </c>
      <c r="I7" s="26">
        <f>[24]TONTFEV!$E$48</f>
        <v>80000</v>
      </c>
      <c r="J7" s="26">
        <f>[24]TONTFEV!$K$49</f>
        <v>476000</v>
      </c>
      <c r="K7" s="26">
        <f>[24]TONTFEV!$K$48</f>
        <v>0</v>
      </c>
      <c r="L7" s="26">
        <f t="shared" ref="L7:M17" si="2">H7-J7</f>
        <v>24000</v>
      </c>
      <c r="M7" s="79">
        <f t="shared" si="2"/>
        <v>80000</v>
      </c>
      <c r="N7" s="26">
        <f>[25]TONTFEV!$E$38</f>
        <v>390000</v>
      </c>
      <c r="O7" s="26">
        <f>[25]TONTFEV!$E$37</f>
        <v>90000</v>
      </c>
      <c r="P7" s="26">
        <f>[25]TONTFEV!$K$38</f>
        <v>357000</v>
      </c>
      <c r="Q7" s="26">
        <f>[25]TONTFEV!$K$37</f>
        <v>0</v>
      </c>
      <c r="R7" s="26">
        <f t="shared" ref="R7:S17" si="3">N7-P7</f>
        <v>33000</v>
      </c>
      <c r="S7" s="79">
        <f t="shared" si="3"/>
        <v>90000</v>
      </c>
      <c r="T7" s="26">
        <f>[26]TONTFEV!$E$44</f>
        <v>1100000</v>
      </c>
      <c r="U7" s="26">
        <f>[26]TONTFEV!$E$43</f>
        <v>150000</v>
      </c>
      <c r="V7" s="26">
        <f>[26]TONTFEV!$K$44</f>
        <v>595000</v>
      </c>
      <c r="W7" s="26">
        <f>[26]TONTFEV!$K$43</f>
        <v>0</v>
      </c>
      <c r="X7" s="26">
        <f t="shared" ref="X7:Y17" si="4">T7-V7</f>
        <v>505000</v>
      </c>
      <c r="Y7" s="79">
        <f t="shared" si="4"/>
        <v>150000</v>
      </c>
      <c r="Z7" s="26">
        <f>[24]TONTFEV!$E$49</f>
        <v>500000</v>
      </c>
      <c r="AA7" s="26">
        <f>[24]TONTFEV!$E$48</f>
        <v>80000</v>
      </c>
      <c r="AB7" s="26">
        <f>[24]TONTFEV!$K$49</f>
        <v>476000</v>
      </c>
      <c r="AC7" s="26">
        <f>[24]TONTFEV!$K$48</f>
        <v>0</v>
      </c>
      <c r="AD7" s="26">
        <f t="shared" ref="AD7:AE17" si="5">Z7-AB7</f>
        <v>24000</v>
      </c>
      <c r="AE7" s="79">
        <f t="shared" si="5"/>
        <v>80000</v>
      </c>
      <c r="AF7" s="26">
        <f>[28]TONTFEV!$E$35</f>
        <v>2250000</v>
      </c>
      <c r="AG7" s="26">
        <f>[28]TONTFEV!$E$34</f>
        <v>300000</v>
      </c>
      <c r="AH7" s="26">
        <f>[28]TONTFEV!$K$35</f>
        <v>1685000</v>
      </c>
      <c r="AI7" s="26">
        <f>[28]TONTFEV!$K$34</f>
        <v>0</v>
      </c>
      <c r="AJ7" s="26">
        <f t="shared" ref="AJ7:AK17" si="6">AF7-AH7</f>
        <v>565000</v>
      </c>
      <c r="AK7" s="79">
        <f t="shared" si="6"/>
        <v>300000</v>
      </c>
      <c r="AL7" s="26">
        <f t="shared" ref="AL7:AL17" si="7">B7+H7+N7+T7+Z7+AF7</f>
        <v>4960000</v>
      </c>
      <c r="AM7" s="26">
        <f t="shared" si="0"/>
        <v>760000</v>
      </c>
      <c r="AN7" s="26">
        <f t="shared" si="0"/>
        <v>3705000</v>
      </c>
      <c r="AO7" s="26">
        <f t="shared" si="0"/>
        <v>0</v>
      </c>
      <c r="AP7" s="26">
        <f t="shared" ref="AP7:AP17" si="8">AP6+AL7-AN7</f>
        <v>2139000</v>
      </c>
      <c r="AQ7" s="79">
        <f t="shared" ref="AQ7:AQ17" si="9">AQ6+AM7-AO7</f>
        <v>2250000</v>
      </c>
    </row>
    <row r="8" spans="1:43" ht="18.75" x14ac:dyDescent="0.3">
      <c r="A8" s="78" t="s">
        <v>198</v>
      </c>
      <c r="B8" s="26">
        <f>[23]TONTMARS!$E$60</f>
        <v>230000</v>
      </c>
      <c r="C8" s="26">
        <f>[23]TONTMARS!$E$59</f>
        <v>40000</v>
      </c>
      <c r="D8" s="26">
        <f>[23]TONTMARS!$K$60</f>
        <v>238000</v>
      </c>
      <c r="E8" s="26">
        <f>[23]TONTMARS!$K$59</f>
        <v>0</v>
      </c>
      <c r="F8" s="26">
        <f t="shared" si="1"/>
        <v>-8000</v>
      </c>
      <c r="G8" s="79">
        <f t="shared" si="1"/>
        <v>40000</v>
      </c>
      <c r="H8" s="26">
        <f>[24]TONTMARS!$E$49</f>
        <v>520000</v>
      </c>
      <c r="I8" s="26">
        <f>[24]TONTMARS!$E$48</f>
        <v>40000</v>
      </c>
      <c r="J8" s="26">
        <f>[24]TONTMARS!$K$49</f>
        <v>714000</v>
      </c>
      <c r="K8" s="26">
        <f>[24]TONTMARS!$K$48</f>
        <v>0</v>
      </c>
      <c r="L8" s="26">
        <f t="shared" si="2"/>
        <v>-194000</v>
      </c>
      <c r="M8" s="79">
        <f t="shared" si="2"/>
        <v>40000</v>
      </c>
      <c r="N8" s="26">
        <f>[25]TONTMARS!$E$38</f>
        <v>420000</v>
      </c>
      <c r="O8" s="26">
        <f>[25]TONTMARS!$E$37</f>
        <v>60000</v>
      </c>
      <c r="P8" s="26">
        <f>[25]TONTMARS!$K$38</f>
        <v>661000</v>
      </c>
      <c r="Q8" s="26">
        <f>[25]TONTMARS!$K$37</f>
        <v>0</v>
      </c>
      <c r="R8" s="26">
        <f t="shared" si="3"/>
        <v>-241000</v>
      </c>
      <c r="S8" s="79">
        <f t="shared" si="3"/>
        <v>60000</v>
      </c>
      <c r="T8" s="26">
        <f>[26]TONTMARS!$E$44</f>
        <v>1200000</v>
      </c>
      <c r="U8" s="26">
        <f>[26]TONTMARS!$E$43</f>
        <v>50000</v>
      </c>
      <c r="V8" s="26">
        <f>[26]TONTMARS!$K$44</f>
        <v>1190000</v>
      </c>
      <c r="W8" s="26">
        <f>[26]TONTMARS!$K$43</f>
        <v>0</v>
      </c>
      <c r="X8" s="26">
        <f t="shared" si="4"/>
        <v>10000</v>
      </c>
      <c r="Y8" s="79">
        <f t="shared" si="4"/>
        <v>50000</v>
      </c>
      <c r="Z8" s="26">
        <f>[24]TONTMARS!$E$49</f>
        <v>520000</v>
      </c>
      <c r="AA8" s="26">
        <f>[24]TONTMARS!$E$48</f>
        <v>40000</v>
      </c>
      <c r="AB8" s="26">
        <f>[24]TONTMARS!$K$49</f>
        <v>714000</v>
      </c>
      <c r="AC8" s="26">
        <f>[24]TONTMARS!$K$48</f>
        <v>0</v>
      </c>
      <c r="AD8" s="26">
        <f t="shared" si="5"/>
        <v>-194000</v>
      </c>
      <c r="AE8" s="79">
        <f t="shared" si="5"/>
        <v>40000</v>
      </c>
      <c r="AF8" s="26">
        <f>[28]TONTMARS!$E$35</f>
        <v>2400000</v>
      </c>
      <c r="AG8" s="26">
        <f>[28]TONTMARS!$E$34</f>
        <v>150000</v>
      </c>
      <c r="AH8" s="26">
        <f>[28]TONTMARS!$K$35</f>
        <v>3565000</v>
      </c>
      <c r="AI8" s="26">
        <f>[28]TONTMARS!$K$34</f>
        <v>0</v>
      </c>
      <c r="AJ8" s="26">
        <f t="shared" si="6"/>
        <v>-1165000</v>
      </c>
      <c r="AK8" s="79">
        <f t="shared" si="6"/>
        <v>150000</v>
      </c>
      <c r="AL8" s="26">
        <f t="shared" si="7"/>
        <v>5290000</v>
      </c>
      <c r="AM8" s="26">
        <f t="shared" si="0"/>
        <v>380000</v>
      </c>
      <c r="AN8" s="26">
        <f t="shared" si="0"/>
        <v>7082000</v>
      </c>
      <c r="AO8" s="26">
        <f t="shared" si="0"/>
        <v>0</v>
      </c>
      <c r="AP8" s="26">
        <f t="shared" si="8"/>
        <v>347000</v>
      </c>
      <c r="AQ8" s="79">
        <f t="shared" si="9"/>
        <v>2630000</v>
      </c>
    </row>
    <row r="9" spans="1:43" ht="18.75" x14ac:dyDescent="0.3">
      <c r="A9" s="78" t="s">
        <v>199</v>
      </c>
      <c r="B9" s="26">
        <f>[23]TONTAVRIL!$E$60</f>
        <v>200000</v>
      </c>
      <c r="C9" s="26">
        <f>[23]TONTAVRIL!$E$59</f>
        <v>70000</v>
      </c>
      <c r="D9" s="26">
        <f>[23]TONTAVRIL!$K$60</f>
        <v>119000</v>
      </c>
      <c r="E9" s="26">
        <f>[23]TONTAVRIL!$K$59</f>
        <v>0</v>
      </c>
      <c r="F9" s="26">
        <f t="shared" si="1"/>
        <v>81000</v>
      </c>
      <c r="G9" s="79">
        <f t="shared" si="1"/>
        <v>70000</v>
      </c>
      <c r="H9" s="26">
        <f>[24]TONTAVRIL!$E$49</f>
        <v>460000</v>
      </c>
      <c r="I9" s="26">
        <f>[24]TONTAVRIL!$E$48</f>
        <v>80000</v>
      </c>
      <c r="J9" s="26">
        <f>[24]TONTAVRIL!$K$49</f>
        <v>238000</v>
      </c>
      <c r="K9" s="26">
        <f>[24]TONTAVRIL!$K$48</f>
        <v>0</v>
      </c>
      <c r="L9" s="26">
        <f t="shared" si="2"/>
        <v>222000</v>
      </c>
      <c r="M9" s="79">
        <f t="shared" si="2"/>
        <v>80000</v>
      </c>
      <c r="N9" s="26">
        <f>[25]TONTAVRIL!$E$38</f>
        <v>420000</v>
      </c>
      <c r="O9" s="26">
        <f>[25]TONTAVRIL!$E$37</f>
        <v>60000</v>
      </c>
      <c r="P9" s="26">
        <f>[25]TONTAVRIL!$K$38</f>
        <v>342000</v>
      </c>
      <c r="Q9" s="26">
        <f>[25]TONTAVRIL!$K$37</f>
        <v>0</v>
      </c>
      <c r="R9" s="26">
        <f t="shared" si="3"/>
        <v>78000</v>
      </c>
      <c r="S9" s="79">
        <f t="shared" si="3"/>
        <v>60000</v>
      </c>
      <c r="T9" s="26">
        <f>[26]TONTAVRIL!$E$44</f>
        <v>1100000</v>
      </c>
      <c r="U9" s="26">
        <f>[26]TONTAVRIL!$E$43</f>
        <v>150000</v>
      </c>
      <c r="V9" s="26">
        <f>[26]TONTAVRIL!$K$44</f>
        <v>595000</v>
      </c>
      <c r="W9" s="26">
        <f>[26]TONTAVRIL!$K$43</f>
        <v>0</v>
      </c>
      <c r="X9" s="26">
        <f t="shared" si="4"/>
        <v>505000</v>
      </c>
      <c r="Y9" s="79">
        <f t="shared" si="4"/>
        <v>150000</v>
      </c>
      <c r="Z9" s="26">
        <f>[24]TONTAVRIL!$E$49</f>
        <v>460000</v>
      </c>
      <c r="AA9" s="26">
        <f>[24]TONTAVRIL!$E$48</f>
        <v>80000</v>
      </c>
      <c r="AB9" s="26">
        <f>[24]TONTAVRIL!$K$49</f>
        <v>238000</v>
      </c>
      <c r="AC9" s="26">
        <f>[24]TONTAVRIL!$K$48</f>
        <v>0</v>
      </c>
      <c r="AD9" s="26">
        <f t="shared" si="5"/>
        <v>222000</v>
      </c>
      <c r="AE9" s="79">
        <f t="shared" si="5"/>
        <v>80000</v>
      </c>
      <c r="AF9" s="26">
        <f>[28]TONTAVRIL!$E$35</f>
        <v>2100000</v>
      </c>
      <c r="AG9" s="26">
        <f>[28]TONTAVRIL!$E$34</f>
        <v>450000</v>
      </c>
      <c r="AH9" s="26">
        <f>[28]TONTAVRIL!$K$35</f>
        <v>1785000</v>
      </c>
      <c r="AI9" s="26">
        <f>[28]TONTAVRIL!$K$34</f>
        <v>0</v>
      </c>
      <c r="AJ9" s="26">
        <f t="shared" si="6"/>
        <v>315000</v>
      </c>
      <c r="AK9" s="79">
        <f t="shared" si="6"/>
        <v>450000</v>
      </c>
      <c r="AL9" s="26">
        <f t="shared" si="7"/>
        <v>4740000</v>
      </c>
      <c r="AM9" s="26">
        <f t="shared" si="0"/>
        <v>890000</v>
      </c>
      <c r="AN9" s="26">
        <f t="shared" si="0"/>
        <v>3317000</v>
      </c>
      <c r="AO9" s="26">
        <f t="shared" si="0"/>
        <v>0</v>
      </c>
      <c r="AP9" s="26">
        <f t="shared" si="8"/>
        <v>1770000</v>
      </c>
      <c r="AQ9" s="79">
        <f t="shared" si="9"/>
        <v>3520000</v>
      </c>
    </row>
    <row r="10" spans="1:43" ht="18.75" x14ac:dyDescent="0.3">
      <c r="A10" s="78" t="s">
        <v>200</v>
      </c>
      <c r="B10" s="26">
        <f>[23]TONTMAI!$E$60</f>
        <v>230000</v>
      </c>
      <c r="C10" s="26">
        <f>[23]TONTMAI!$E$59</f>
        <v>40000</v>
      </c>
      <c r="D10" s="26">
        <f>[23]TONTMAI!$K$60</f>
        <v>238000</v>
      </c>
      <c r="E10" s="26">
        <f>[23]TONTMAI!$K$59</f>
        <v>0</v>
      </c>
      <c r="F10" s="26">
        <f t="shared" si="1"/>
        <v>-8000</v>
      </c>
      <c r="G10" s="79">
        <f t="shared" si="1"/>
        <v>40000</v>
      </c>
      <c r="H10" s="26">
        <f>[24]TONTMAI!$E$49</f>
        <v>500000</v>
      </c>
      <c r="I10" s="26">
        <f>[24]TONTMAI!$E$48</f>
        <v>60000</v>
      </c>
      <c r="J10" s="26">
        <f>[24]TONTMAI!$K$49</f>
        <v>475000</v>
      </c>
      <c r="K10" s="26">
        <f>[24]TONTMAI!$K$48</f>
        <v>0</v>
      </c>
      <c r="L10" s="26">
        <f t="shared" si="2"/>
        <v>25000</v>
      </c>
      <c r="M10" s="79">
        <f t="shared" si="2"/>
        <v>60000</v>
      </c>
      <c r="N10" s="26">
        <f>[25]TONTMAI!$E$38</f>
        <v>360000</v>
      </c>
      <c r="O10" s="26">
        <f>[25]TONTMAI!$E$37</f>
        <v>90000</v>
      </c>
      <c r="P10" s="26">
        <f>[25]TONTMAI!$K$38</f>
        <v>342000</v>
      </c>
      <c r="Q10" s="26">
        <f>[25]TONTMAI!$K$37</f>
        <v>0</v>
      </c>
      <c r="R10" s="26">
        <f t="shared" si="3"/>
        <v>18000</v>
      </c>
      <c r="S10" s="79">
        <f t="shared" si="3"/>
        <v>90000</v>
      </c>
      <c r="T10" s="26">
        <f>[26]TONTMAI!$E$44</f>
        <v>1100000</v>
      </c>
      <c r="U10" s="26">
        <f>[26]TONTMAI!$E$43</f>
        <v>100000</v>
      </c>
      <c r="V10" s="26">
        <f>[26]TONTMAI!$K$44</f>
        <v>0</v>
      </c>
      <c r="W10" s="26">
        <f>[26]TONTMAI!$K$43</f>
        <v>0</v>
      </c>
      <c r="X10" s="26">
        <f t="shared" si="4"/>
        <v>1100000</v>
      </c>
      <c r="Y10" s="79">
        <f t="shared" si="4"/>
        <v>100000</v>
      </c>
      <c r="Z10" s="26">
        <f>[24]TONTMAI!$E$49</f>
        <v>500000</v>
      </c>
      <c r="AA10" s="26">
        <f>[24]TONTMAI!$E$48</f>
        <v>60000</v>
      </c>
      <c r="AB10" s="26">
        <f>[24]TONTMAI!$K$49</f>
        <v>475000</v>
      </c>
      <c r="AC10" s="26">
        <f>[24]TONTMAI!$K$48</f>
        <v>0</v>
      </c>
      <c r="AD10" s="26">
        <f t="shared" si="5"/>
        <v>25000</v>
      </c>
      <c r="AE10" s="79">
        <f t="shared" si="5"/>
        <v>60000</v>
      </c>
      <c r="AF10" s="26">
        <f>[28]TONTMAI!$E$35</f>
        <v>2100000</v>
      </c>
      <c r="AG10" s="26">
        <f>[28]TONTMAI!$E$34</f>
        <v>450000</v>
      </c>
      <c r="AH10" s="26">
        <f>[28]TONTMAI!$K$35</f>
        <v>3570000</v>
      </c>
      <c r="AI10" s="26">
        <f>[28]TONTMAI!$K$34</f>
        <v>0</v>
      </c>
      <c r="AJ10" s="26">
        <f t="shared" si="6"/>
        <v>-1470000</v>
      </c>
      <c r="AK10" s="79">
        <f t="shared" si="6"/>
        <v>450000</v>
      </c>
      <c r="AL10" s="26">
        <f t="shared" si="7"/>
        <v>4790000</v>
      </c>
      <c r="AM10" s="26">
        <f t="shared" si="0"/>
        <v>800000</v>
      </c>
      <c r="AN10" s="26">
        <f t="shared" si="0"/>
        <v>5100000</v>
      </c>
      <c r="AO10" s="26">
        <f t="shared" si="0"/>
        <v>0</v>
      </c>
      <c r="AP10" s="26">
        <f t="shared" si="8"/>
        <v>1460000</v>
      </c>
      <c r="AQ10" s="79">
        <f t="shared" si="9"/>
        <v>4320000</v>
      </c>
    </row>
    <row r="11" spans="1:43" ht="18.75" x14ac:dyDescent="0.3">
      <c r="A11" s="78" t="s">
        <v>201</v>
      </c>
      <c r="B11" s="26">
        <f>[23]TONTJUIN!$E$60</f>
        <v>220000</v>
      </c>
      <c r="C11" s="26">
        <f>[23]TONTJUIN!$E$59</f>
        <v>60000</v>
      </c>
      <c r="D11" s="26">
        <f>[23]TONTJUIN!$K$60</f>
        <v>0</v>
      </c>
      <c r="E11" s="26">
        <f>[23]TONTJUIN!$K$59</f>
        <v>0</v>
      </c>
      <c r="F11" s="26">
        <f t="shared" si="1"/>
        <v>220000</v>
      </c>
      <c r="G11" s="79">
        <f t="shared" si="1"/>
        <v>60000</v>
      </c>
      <c r="H11" s="26">
        <f>[24]TONTJUIN!$E$49</f>
        <v>420000</v>
      </c>
      <c r="I11" s="26">
        <f>[24]TONTJUIN!$E$48</f>
        <v>120000</v>
      </c>
      <c r="J11" s="26">
        <f>[24]TONTJUIN!$K$49</f>
        <v>476000</v>
      </c>
      <c r="K11" s="26">
        <f>[24]TONTJUIN!$K$48</f>
        <v>0</v>
      </c>
      <c r="L11" s="26">
        <f t="shared" si="2"/>
        <v>-56000</v>
      </c>
      <c r="M11" s="79">
        <f t="shared" si="2"/>
        <v>120000</v>
      </c>
      <c r="N11" s="26">
        <f>[25]TONTJUIN!$E$38</f>
        <v>390000</v>
      </c>
      <c r="O11" s="26">
        <f>[25]TONTJUIN!$E$37</f>
        <v>90000</v>
      </c>
      <c r="P11" s="26">
        <f>[25]TONTJUIN!$K$38</f>
        <v>357000</v>
      </c>
      <c r="Q11" s="26">
        <f>[25]TONTJUIN!$K$37</f>
        <v>0</v>
      </c>
      <c r="R11" s="26">
        <f t="shared" si="3"/>
        <v>33000</v>
      </c>
      <c r="S11" s="79">
        <f t="shared" si="3"/>
        <v>90000</v>
      </c>
      <c r="T11" s="26">
        <f>[26]TONTJUIN!$E$44</f>
        <v>1100000</v>
      </c>
      <c r="U11" s="26">
        <f>[26]TONTJUIN!$E$43</f>
        <v>100000</v>
      </c>
      <c r="V11" s="26">
        <f>[26]TONTJUIN!$K$44</f>
        <v>595000</v>
      </c>
      <c r="W11" s="26">
        <f>[26]TONTJUIN!$K$43</f>
        <v>0</v>
      </c>
      <c r="X11" s="26">
        <f t="shared" si="4"/>
        <v>505000</v>
      </c>
      <c r="Y11" s="79">
        <f t="shared" si="4"/>
        <v>100000</v>
      </c>
      <c r="Z11" s="26">
        <f>[24]TONTJUIN!$E$49</f>
        <v>420000</v>
      </c>
      <c r="AA11" s="26">
        <f>[24]TONTJUIN!$E$48</f>
        <v>120000</v>
      </c>
      <c r="AB11" s="26">
        <f>[24]TONTJUIN!$K$49</f>
        <v>476000</v>
      </c>
      <c r="AC11" s="26">
        <f>[24]TONTJUIN!$K$48</f>
        <v>0</v>
      </c>
      <c r="AD11" s="26">
        <f t="shared" si="5"/>
        <v>-56000</v>
      </c>
      <c r="AE11" s="79">
        <f t="shared" si="5"/>
        <v>120000</v>
      </c>
      <c r="AF11" s="26">
        <f>[28]TONTJUIN!$E$35</f>
        <v>1950000</v>
      </c>
      <c r="AG11" s="26">
        <f>[28]TONTJUIN!$E$34</f>
        <v>600000</v>
      </c>
      <c r="AH11" s="26">
        <f>[28]TONTJUIN!$K$35</f>
        <v>0</v>
      </c>
      <c r="AI11" s="26">
        <f>[28]TONTJUIN!$K$34</f>
        <v>0</v>
      </c>
      <c r="AJ11" s="26">
        <f t="shared" si="6"/>
        <v>1950000</v>
      </c>
      <c r="AK11" s="79">
        <f t="shared" si="6"/>
        <v>600000</v>
      </c>
      <c r="AL11" s="26">
        <f t="shared" si="7"/>
        <v>4500000</v>
      </c>
      <c r="AM11" s="26">
        <f t="shared" si="0"/>
        <v>1090000</v>
      </c>
      <c r="AN11" s="26">
        <f t="shared" si="0"/>
        <v>1904000</v>
      </c>
      <c r="AO11" s="26">
        <f t="shared" si="0"/>
        <v>0</v>
      </c>
      <c r="AP11" s="26">
        <f t="shared" si="8"/>
        <v>4056000</v>
      </c>
      <c r="AQ11" s="79">
        <f t="shared" si="9"/>
        <v>5410000</v>
      </c>
    </row>
    <row r="12" spans="1:43" ht="18.75" x14ac:dyDescent="0.3">
      <c r="A12" s="78" t="s">
        <v>202</v>
      </c>
      <c r="B12" s="26">
        <f>[23]TONTJUIL!$E$60</f>
        <v>190000</v>
      </c>
      <c r="C12" s="26">
        <f>[23]TONTJUIL!$E$59</f>
        <v>80000</v>
      </c>
      <c r="D12" s="26">
        <f>[23]TONTJUIL!$K$60</f>
        <v>238000</v>
      </c>
      <c r="E12" s="26">
        <f>[23]TONTJUIL!$K$59</f>
        <v>0</v>
      </c>
      <c r="F12" s="26">
        <f t="shared" si="1"/>
        <v>-48000</v>
      </c>
      <c r="G12" s="79">
        <f t="shared" si="1"/>
        <v>80000</v>
      </c>
      <c r="H12" s="26">
        <f>[24]TONTJUIL!$E$49</f>
        <v>420000</v>
      </c>
      <c r="I12" s="26">
        <f>[24]TONTJUIL!$E$48</f>
        <v>140000</v>
      </c>
      <c r="J12" s="26">
        <f>[24]TONTJUIL!$K$49</f>
        <v>476000</v>
      </c>
      <c r="K12" s="26">
        <f>[24]TONTJUIL!$K$48</f>
        <v>0</v>
      </c>
      <c r="L12" s="26">
        <f t="shared" si="2"/>
        <v>-56000</v>
      </c>
      <c r="M12" s="79">
        <f t="shared" si="2"/>
        <v>140000</v>
      </c>
      <c r="N12" s="26">
        <f>[25]TONTJUIL!$E$38</f>
        <v>270000</v>
      </c>
      <c r="O12" s="26">
        <f>[25]TONTJUIL!$E$37</f>
        <v>150000</v>
      </c>
      <c r="P12" s="26">
        <f>[25]TONTJUIL!$K$38</f>
        <v>0</v>
      </c>
      <c r="Q12" s="26">
        <f>[25]TONTJUIL!$K$37</f>
        <v>0</v>
      </c>
      <c r="R12" s="26">
        <f t="shared" si="3"/>
        <v>270000</v>
      </c>
      <c r="S12" s="79">
        <f t="shared" si="3"/>
        <v>150000</v>
      </c>
      <c r="T12" s="26">
        <f>[26]TONTJUIL!$E$44</f>
        <v>1050000</v>
      </c>
      <c r="U12" s="26">
        <f>[26]TONTJUIL!$E$43</f>
        <v>150000</v>
      </c>
      <c r="V12" s="26">
        <f>[26]TONTJUIL!$K$44</f>
        <v>1710000</v>
      </c>
      <c r="W12" s="26">
        <f>[26]TONTJUIL!$K$43</f>
        <v>0</v>
      </c>
      <c r="X12" s="26">
        <f t="shared" si="4"/>
        <v>-660000</v>
      </c>
      <c r="Y12" s="79">
        <f t="shared" si="4"/>
        <v>150000</v>
      </c>
      <c r="Z12" s="26">
        <f>[24]TONTJUIL!$E$49</f>
        <v>420000</v>
      </c>
      <c r="AA12" s="26">
        <f>[24]TONTJUIL!$E$48</f>
        <v>140000</v>
      </c>
      <c r="AB12" s="26">
        <f>[24]TONTJUIL!$K$49</f>
        <v>476000</v>
      </c>
      <c r="AC12" s="26">
        <f>[24]TONTJUIL!$K$48</f>
        <v>0</v>
      </c>
      <c r="AD12" s="26">
        <f t="shared" si="5"/>
        <v>-56000</v>
      </c>
      <c r="AE12" s="79">
        <f t="shared" si="5"/>
        <v>140000</v>
      </c>
      <c r="AF12" s="26">
        <f>[28]TONTJUIL!$E$35</f>
        <v>2400000</v>
      </c>
      <c r="AG12" s="26">
        <f>[28]TONTJUIL!$E$34</f>
        <v>150000</v>
      </c>
      <c r="AH12" s="26">
        <f>[28]TONTJUIL!$K$35</f>
        <v>3530000</v>
      </c>
      <c r="AI12" s="26">
        <f>[28]TONTJUIL!$K$34</f>
        <v>0</v>
      </c>
      <c r="AJ12" s="26">
        <f t="shared" si="6"/>
        <v>-1130000</v>
      </c>
      <c r="AK12" s="79">
        <f t="shared" si="6"/>
        <v>150000</v>
      </c>
      <c r="AL12" s="26">
        <f t="shared" si="7"/>
        <v>4750000</v>
      </c>
      <c r="AM12" s="26">
        <f t="shared" si="0"/>
        <v>810000</v>
      </c>
      <c r="AN12" s="26">
        <f t="shared" si="0"/>
        <v>6430000</v>
      </c>
      <c r="AO12" s="26">
        <f t="shared" si="0"/>
        <v>0</v>
      </c>
      <c r="AP12" s="26">
        <f t="shared" si="8"/>
        <v>2376000</v>
      </c>
      <c r="AQ12" s="79">
        <f t="shared" si="9"/>
        <v>6220000</v>
      </c>
    </row>
    <row r="13" spans="1:43" ht="18.75" x14ac:dyDescent="0.3">
      <c r="A13" s="78" t="s">
        <v>203</v>
      </c>
      <c r="B13" s="26">
        <f>[23]TONTAOUT!$E$60</f>
        <v>200000</v>
      </c>
      <c r="C13" s="26">
        <f>[23]TONTAOUT!$E$59</f>
        <v>70000</v>
      </c>
      <c r="D13" s="26">
        <f>[23]TONTAOUT!$K$60</f>
        <v>0</v>
      </c>
      <c r="E13" s="26">
        <f>[23]TONTAOUT!$K$59</f>
        <v>0</v>
      </c>
      <c r="F13" s="26">
        <f t="shared" si="1"/>
        <v>200000</v>
      </c>
      <c r="G13" s="79">
        <f t="shared" si="1"/>
        <v>70000</v>
      </c>
      <c r="H13" s="26">
        <f>[24]TONTAOUT!$E$49</f>
        <v>380000</v>
      </c>
      <c r="I13" s="26">
        <f>[24]TONTAOUT!$E$48</f>
        <v>180000</v>
      </c>
      <c r="J13" s="26">
        <f>[24]TONTAOUT!$K$49</f>
        <v>0</v>
      </c>
      <c r="K13" s="26">
        <f>[24]TONTAOUT!$K$48</f>
        <v>0</v>
      </c>
      <c r="L13" s="26">
        <f t="shared" si="2"/>
        <v>380000</v>
      </c>
      <c r="M13" s="79">
        <f t="shared" si="2"/>
        <v>180000</v>
      </c>
      <c r="N13" s="26">
        <f>[25]TONTAOUT!$E$38</f>
        <v>270000</v>
      </c>
      <c r="O13" s="26">
        <f>[25]TONTAOUT!$E$37</f>
        <v>180000</v>
      </c>
      <c r="P13" s="26">
        <f>[25]TONTAOUT!$K$38</f>
        <v>357000</v>
      </c>
      <c r="Q13" s="26">
        <f>[25]TONTAOUT!$K$37</f>
        <v>0</v>
      </c>
      <c r="R13" s="26">
        <f t="shared" si="3"/>
        <v>-87000</v>
      </c>
      <c r="S13" s="79">
        <f t="shared" si="3"/>
        <v>180000</v>
      </c>
      <c r="T13" s="26">
        <f>[26]TONTAOUT!$E$44</f>
        <v>1050000</v>
      </c>
      <c r="U13" s="26">
        <f>[26]TONTAOUT!$E$43</f>
        <v>150000</v>
      </c>
      <c r="V13" s="26">
        <f>[26]TONTAOUT!$K$44</f>
        <v>0</v>
      </c>
      <c r="W13" s="26">
        <f>[26]TONTAOUT!$K$43</f>
        <v>0</v>
      </c>
      <c r="X13" s="26">
        <f t="shared" si="4"/>
        <v>1050000</v>
      </c>
      <c r="Y13" s="79">
        <f t="shared" si="4"/>
        <v>150000</v>
      </c>
      <c r="Z13" s="26">
        <f>[24]TONTAOUT!$E$49</f>
        <v>380000</v>
      </c>
      <c r="AA13" s="26">
        <f>[24]TONTAOUT!$E$48</f>
        <v>180000</v>
      </c>
      <c r="AB13" s="26">
        <f>[24]TONTAOUT!$K$49</f>
        <v>0</v>
      </c>
      <c r="AC13" s="26">
        <f>[24]TONTAOUT!$K$48</f>
        <v>0</v>
      </c>
      <c r="AD13" s="26">
        <f t="shared" si="5"/>
        <v>380000</v>
      </c>
      <c r="AE13" s="79">
        <f t="shared" si="5"/>
        <v>180000</v>
      </c>
      <c r="AF13" s="26">
        <f>[28]TONTAOUT!$E$35</f>
        <v>2250000</v>
      </c>
      <c r="AG13" s="26">
        <f>[28]TONTAOUT!$E$34</f>
        <v>300000</v>
      </c>
      <c r="AH13" s="26">
        <f>[28]TONTAOUT!$K$35</f>
        <v>1785000</v>
      </c>
      <c r="AI13" s="26">
        <f>[28]TONTAOUT!$K$34</f>
        <v>0</v>
      </c>
      <c r="AJ13" s="26">
        <f t="shared" si="6"/>
        <v>465000</v>
      </c>
      <c r="AK13" s="79">
        <f t="shared" si="6"/>
        <v>300000</v>
      </c>
      <c r="AL13" s="26">
        <f t="shared" si="7"/>
        <v>4530000</v>
      </c>
      <c r="AM13" s="26">
        <f t="shared" si="0"/>
        <v>1060000</v>
      </c>
      <c r="AN13" s="26">
        <f t="shared" si="0"/>
        <v>2142000</v>
      </c>
      <c r="AO13" s="26">
        <f t="shared" si="0"/>
        <v>0</v>
      </c>
      <c r="AP13" s="26">
        <f t="shared" si="8"/>
        <v>4764000</v>
      </c>
      <c r="AQ13" s="79">
        <f t="shared" si="9"/>
        <v>7280000</v>
      </c>
    </row>
    <row r="14" spans="1:43" ht="18.75" x14ac:dyDescent="0.3">
      <c r="A14" s="78" t="s">
        <v>204</v>
      </c>
      <c r="B14" s="26">
        <f>[23]TONTSEPT!$E$60</f>
        <v>170000</v>
      </c>
      <c r="C14" s="26">
        <f>[23]TONTSEPT!$E$59</f>
        <v>80000</v>
      </c>
      <c r="D14" s="26">
        <f>[23]TONTSEPT!$K$60</f>
        <v>0</v>
      </c>
      <c r="E14" s="26">
        <f>[23]TONTSEPT!$K$59</f>
        <v>0</v>
      </c>
      <c r="F14" s="26">
        <f t="shared" si="1"/>
        <v>170000</v>
      </c>
      <c r="G14" s="79">
        <f t="shared" si="1"/>
        <v>80000</v>
      </c>
      <c r="H14" s="26">
        <f>[24]TONTSEPT!$E$49</f>
        <v>380000</v>
      </c>
      <c r="I14" s="26">
        <f>[24]TONTSEPT!$E$48</f>
        <v>140000</v>
      </c>
      <c r="J14" s="26">
        <f>[24]TONTSEPT!$K$49</f>
        <v>238000</v>
      </c>
      <c r="K14" s="26">
        <f>[24]TONTSEPT!$K$48</f>
        <v>0</v>
      </c>
      <c r="L14" s="26">
        <f t="shared" si="2"/>
        <v>142000</v>
      </c>
      <c r="M14" s="79">
        <f t="shared" si="2"/>
        <v>140000</v>
      </c>
      <c r="N14" s="26">
        <f>[25]TONTSEPT!$E$38</f>
        <v>330000</v>
      </c>
      <c r="O14" s="26">
        <f>[25]TONTSEPT!$E$37</f>
        <v>120000</v>
      </c>
      <c r="P14" s="26">
        <f>[25]TONTSEPT!$K$38</f>
        <v>0</v>
      </c>
      <c r="Q14" s="26">
        <f>[25]TONTSEPT!$K$37</f>
        <v>0</v>
      </c>
      <c r="R14" s="26">
        <f t="shared" si="3"/>
        <v>330000</v>
      </c>
      <c r="S14" s="79">
        <f t="shared" si="3"/>
        <v>120000</v>
      </c>
      <c r="T14" s="26">
        <f>[26]TONTSEPT!$E$44</f>
        <v>1000000</v>
      </c>
      <c r="U14" s="26">
        <f>[26]TONTSEPT!$E$43</f>
        <v>250000</v>
      </c>
      <c r="V14" s="26">
        <f>[26]TONTSEPT!$K$44</f>
        <v>595000</v>
      </c>
      <c r="W14" s="26">
        <f>[26]TONTSEPT!$K$43</f>
        <v>0</v>
      </c>
      <c r="X14" s="26">
        <f t="shared" si="4"/>
        <v>405000</v>
      </c>
      <c r="Y14" s="79">
        <f t="shared" si="4"/>
        <v>250000</v>
      </c>
      <c r="Z14" s="26">
        <f>[24]TONTSEPT!$E$49</f>
        <v>380000</v>
      </c>
      <c r="AA14" s="26">
        <f>[24]TONTSEPT!$E$48</f>
        <v>140000</v>
      </c>
      <c r="AB14" s="26">
        <f>[24]TONTSEPT!$K$49</f>
        <v>238000</v>
      </c>
      <c r="AC14" s="26">
        <f>[24]TONTSEPT!$K$48</f>
        <v>0</v>
      </c>
      <c r="AD14" s="26">
        <f t="shared" si="5"/>
        <v>142000</v>
      </c>
      <c r="AE14" s="79">
        <f t="shared" si="5"/>
        <v>140000</v>
      </c>
      <c r="AF14" s="26">
        <f>[28]TONTSEPT!$E$35</f>
        <v>2250000</v>
      </c>
      <c r="AG14" s="26">
        <f>[28]TONTSEPT!$E$34</f>
        <v>300000</v>
      </c>
      <c r="AH14" s="26">
        <f>[28]TONTSEPT!$K$35</f>
        <v>0</v>
      </c>
      <c r="AI14" s="26">
        <f>[28]TONTSEPT!$K$34</f>
        <v>0</v>
      </c>
      <c r="AJ14" s="26">
        <f t="shared" si="6"/>
        <v>2250000</v>
      </c>
      <c r="AK14" s="79">
        <f t="shared" si="6"/>
        <v>300000</v>
      </c>
      <c r="AL14" s="26">
        <f t="shared" si="7"/>
        <v>4510000</v>
      </c>
      <c r="AM14" s="26">
        <f t="shared" si="0"/>
        <v>1030000</v>
      </c>
      <c r="AN14" s="26">
        <f t="shared" si="0"/>
        <v>1071000</v>
      </c>
      <c r="AO14" s="26">
        <f t="shared" si="0"/>
        <v>0</v>
      </c>
      <c r="AP14" s="26">
        <f t="shared" si="8"/>
        <v>8203000</v>
      </c>
      <c r="AQ14" s="79">
        <f t="shared" si="9"/>
        <v>8310000</v>
      </c>
    </row>
    <row r="15" spans="1:43" ht="18.75" x14ac:dyDescent="0.3">
      <c r="A15" s="78" t="s">
        <v>205</v>
      </c>
      <c r="B15" s="26">
        <f>[23]TONTOCT!$E$60</f>
        <v>170000</v>
      </c>
      <c r="C15" s="26">
        <f>[23]TONTOCT!$E$59</f>
        <v>80000</v>
      </c>
      <c r="D15" s="26">
        <f>[23]TONTOCT!$K$60</f>
        <v>0</v>
      </c>
      <c r="E15" s="26">
        <f>[23]TONTOCT!$K$59</f>
        <v>0</v>
      </c>
      <c r="F15" s="26">
        <f t="shared" si="1"/>
        <v>170000</v>
      </c>
      <c r="G15" s="79">
        <f t="shared" si="1"/>
        <v>80000</v>
      </c>
      <c r="H15" s="26">
        <f>[24]TONTOCT!$E$49</f>
        <v>400000</v>
      </c>
      <c r="I15" s="26">
        <f>[24]TONTOCT!$E$48</f>
        <v>140000</v>
      </c>
      <c r="J15" s="26">
        <f>[24]TONTOCT!$K$49</f>
        <v>1428000</v>
      </c>
      <c r="K15" s="26">
        <f>[24]TONTOCT!$K$48</f>
        <v>0</v>
      </c>
      <c r="L15" s="26">
        <f t="shared" si="2"/>
        <v>-1028000</v>
      </c>
      <c r="M15" s="79">
        <f t="shared" si="2"/>
        <v>140000</v>
      </c>
      <c r="N15" s="26">
        <f>[25]TONTOCT!$E$38</f>
        <v>300000</v>
      </c>
      <c r="O15" s="26">
        <f>[25]TONTOCT!$E$37</f>
        <v>120000</v>
      </c>
      <c r="P15" s="26">
        <f>[25]TONTOCT!$K$38</f>
        <v>357000</v>
      </c>
      <c r="Q15" s="26">
        <f>[25]TONTOCT!$K$37</f>
        <v>0</v>
      </c>
      <c r="R15" s="26">
        <f t="shared" si="3"/>
        <v>-57000</v>
      </c>
      <c r="S15" s="79">
        <f t="shared" si="3"/>
        <v>120000</v>
      </c>
      <c r="T15" s="26">
        <f>[26]TONTOCT!$E$44</f>
        <v>1050000</v>
      </c>
      <c r="U15" s="26">
        <f>[26]TONTOCT!$E$43</f>
        <v>200000</v>
      </c>
      <c r="V15" s="26">
        <f>[26]TONTOCT!$K$44</f>
        <v>2380000</v>
      </c>
      <c r="W15" s="26">
        <f>[26]TONTOCT!$K$43</f>
        <v>0</v>
      </c>
      <c r="X15" s="26">
        <f t="shared" si="4"/>
        <v>-1330000</v>
      </c>
      <c r="Y15" s="79">
        <f t="shared" si="4"/>
        <v>200000</v>
      </c>
      <c r="Z15" s="26">
        <f>[24]TONTOCT!$E$49</f>
        <v>400000</v>
      </c>
      <c r="AA15" s="26">
        <f>[24]TONTOCT!$E$48</f>
        <v>140000</v>
      </c>
      <c r="AB15" s="26">
        <f>[24]TONTOCT!$K$49</f>
        <v>1428000</v>
      </c>
      <c r="AC15" s="26">
        <f>[24]TONTOCT!$K$48</f>
        <v>0</v>
      </c>
      <c r="AD15" s="26">
        <f t="shared" si="5"/>
        <v>-1028000</v>
      </c>
      <c r="AE15" s="79">
        <f t="shared" si="5"/>
        <v>140000</v>
      </c>
      <c r="AF15" s="26">
        <f>[28]TONTOCT!$E$35</f>
        <v>2250000</v>
      </c>
      <c r="AG15" s="26">
        <f>[28]TONTOCT!$E$34</f>
        <v>300000</v>
      </c>
      <c r="AH15" s="26">
        <f>[28]TONTOCT!$K$35</f>
        <v>3570000</v>
      </c>
      <c r="AI15" s="26">
        <f>[28]TONTOCT!$K$34</f>
        <v>0</v>
      </c>
      <c r="AJ15" s="26">
        <f t="shared" si="6"/>
        <v>-1320000</v>
      </c>
      <c r="AK15" s="79">
        <f t="shared" si="6"/>
        <v>300000</v>
      </c>
      <c r="AL15" s="26">
        <f t="shared" si="7"/>
        <v>4570000</v>
      </c>
      <c r="AM15" s="26">
        <f t="shared" si="0"/>
        <v>980000</v>
      </c>
      <c r="AN15" s="26">
        <f t="shared" si="0"/>
        <v>9163000</v>
      </c>
      <c r="AO15" s="26">
        <f t="shared" si="0"/>
        <v>0</v>
      </c>
      <c r="AP15" s="26">
        <f t="shared" si="8"/>
        <v>3610000</v>
      </c>
      <c r="AQ15" s="79">
        <f t="shared" si="9"/>
        <v>9290000</v>
      </c>
    </row>
    <row r="16" spans="1:43" ht="18.75" x14ac:dyDescent="0.3">
      <c r="A16" s="78" t="s">
        <v>206</v>
      </c>
      <c r="B16" s="26">
        <f>[23]TONTNOV20!$E$60</f>
        <v>180000</v>
      </c>
      <c r="C16" s="26">
        <f>[23]TONTNOV20!$E$59</f>
        <v>60000</v>
      </c>
      <c r="D16" s="26">
        <f>[23]TONTNOV20!$K$60</f>
        <v>476000</v>
      </c>
      <c r="E16" s="26">
        <f>[23]TONTNOV20!$K$59</f>
        <v>0</v>
      </c>
      <c r="F16" s="26">
        <f t="shared" si="1"/>
        <v>-296000</v>
      </c>
      <c r="G16" s="79">
        <f t="shared" si="1"/>
        <v>60000</v>
      </c>
      <c r="H16" s="26">
        <f>[24]TONTNOV20!$E$49</f>
        <v>360000</v>
      </c>
      <c r="I16" s="26">
        <f>[24]TONTNOV20!$E$48</f>
        <v>160000</v>
      </c>
      <c r="J16" s="26">
        <f>[24]TONTNOV20!$K$49</f>
        <v>237000</v>
      </c>
      <c r="K16" s="26">
        <f>[24]TONTNOV20!$K$48</f>
        <v>0</v>
      </c>
      <c r="L16" s="26">
        <f t="shared" si="2"/>
        <v>123000</v>
      </c>
      <c r="M16" s="79">
        <f t="shared" si="2"/>
        <v>160000</v>
      </c>
      <c r="N16" s="26">
        <f>[25]TONTNOV20!$E$38</f>
        <v>330000</v>
      </c>
      <c r="O16" s="26">
        <f>[25]TONTNOV20!$E$37</f>
        <v>120000</v>
      </c>
      <c r="P16" s="26">
        <f>[25]TONTNOV20!$K$38</f>
        <v>714000</v>
      </c>
      <c r="Q16" s="26">
        <f>[25]TONTNOV20!$K$37</f>
        <v>0</v>
      </c>
      <c r="R16" s="26">
        <f t="shared" si="3"/>
        <v>-384000</v>
      </c>
      <c r="S16" s="79">
        <f t="shared" si="3"/>
        <v>120000</v>
      </c>
      <c r="T16" s="26">
        <f>[26]TONTNOV20!$E$44</f>
        <v>1050000</v>
      </c>
      <c r="U16" s="26">
        <f>[26]TONTNOV20!$E$43</f>
        <v>200000</v>
      </c>
      <c r="V16" s="26">
        <f>[26]TONTNOV20!$K$44</f>
        <v>1780000</v>
      </c>
      <c r="W16" s="26">
        <f>[26]TONTNOV20!$K$43</f>
        <v>0</v>
      </c>
      <c r="X16" s="26">
        <f t="shared" si="4"/>
        <v>-730000</v>
      </c>
      <c r="Y16" s="79">
        <f t="shared" si="4"/>
        <v>200000</v>
      </c>
      <c r="Z16" s="26">
        <f>[24]TONTNOV20!$E$49</f>
        <v>360000</v>
      </c>
      <c r="AA16" s="26">
        <f>[24]TONTNOV20!$E$48</f>
        <v>160000</v>
      </c>
      <c r="AB16" s="26">
        <f>[24]TONTNOV20!$K$49</f>
        <v>237000</v>
      </c>
      <c r="AC16" s="26">
        <f>[24]TONTNOV20!$K$48</f>
        <v>0</v>
      </c>
      <c r="AD16" s="26">
        <f t="shared" si="5"/>
        <v>123000</v>
      </c>
      <c r="AE16" s="79">
        <f t="shared" si="5"/>
        <v>160000</v>
      </c>
      <c r="AF16" s="26">
        <f>[28]TONTNOV20!$E$35</f>
        <v>2400000</v>
      </c>
      <c r="AG16" s="26">
        <f>[28]TONTNOV20!$E$34</f>
        <v>150000</v>
      </c>
      <c r="AH16" s="26">
        <f>[28]TONTNOV20!$K$35</f>
        <v>0</v>
      </c>
      <c r="AI16" s="26">
        <f>[28]TONTNOV20!$K$34</f>
        <v>0</v>
      </c>
      <c r="AJ16" s="26">
        <f t="shared" si="6"/>
        <v>2400000</v>
      </c>
      <c r="AK16" s="79">
        <f t="shared" si="6"/>
        <v>150000</v>
      </c>
      <c r="AL16" s="26">
        <f t="shared" si="7"/>
        <v>4680000</v>
      </c>
      <c r="AM16" s="26">
        <f t="shared" si="0"/>
        <v>850000</v>
      </c>
      <c r="AN16" s="26">
        <f t="shared" si="0"/>
        <v>3444000</v>
      </c>
      <c r="AO16" s="26">
        <f t="shared" si="0"/>
        <v>0</v>
      </c>
      <c r="AP16" s="26">
        <f t="shared" si="8"/>
        <v>4846000</v>
      </c>
      <c r="AQ16" s="79">
        <f t="shared" si="9"/>
        <v>10140000</v>
      </c>
    </row>
    <row r="17" spans="1:43" ht="18.75" x14ac:dyDescent="0.3">
      <c r="A17" s="78" t="s">
        <v>207</v>
      </c>
      <c r="B17" s="26">
        <f>[23]TONTDEC20!$E$60</f>
        <v>160000</v>
      </c>
      <c r="C17" s="26">
        <f>[23]TONTDEC20!$E$59</f>
        <v>60000</v>
      </c>
      <c r="D17" s="26">
        <f>[23]TONTDEC20!$K$60</f>
        <v>714000</v>
      </c>
      <c r="E17" s="26">
        <f>[23]TONTDEC20!$K$59</f>
        <v>0</v>
      </c>
      <c r="F17" s="26">
        <f t="shared" si="1"/>
        <v>-554000</v>
      </c>
      <c r="G17" s="79">
        <f t="shared" si="1"/>
        <v>60000</v>
      </c>
      <c r="H17" s="26">
        <f>[24]TONTDEC20!$E$49</f>
        <v>360000</v>
      </c>
      <c r="I17" s="26">
        <f>[24]TONTDEC20!$E$48</f>
        <v>80000</v>
      </c>
      <c r="J17" s="26">
        <f>[24]TONTDEC20!$K$49</f>
        <v>1426000</v>
      </c>
      <c r="K17" s="26">
        <f>[24]TONTDEC20!$K$48</f>
        <v>0</v>
      </c>
      <c r="L17" s="26">
        <f t="shared" si="2"/>
        <v>-1066000</v>
      </c>
      <c r="M17" s="79">
        <f t="shared" si="2"/>
        <v>80000</v>
      </c>
      <c r="N17" s="26">
        <f>[25]TONTDEC20!$E$38</f>
        <v>300000</v>
      </c>
      <c r="O17" s="26">
        <f>[25]TONTDEC20!$E$37</f>
        <v>60000</v>
      </c>
      <c r="P17" s="26">
        <f>[25]TONTDEC20!$K$38</f>
        <v>1071000</v>
      </c>
      <c r="Q17" s="26">
        <f>[25]TONTDEC20!$K$37</f>
        <v>0</v>
      </c>
      <c r="R17" s="26">
        <f t="shared" si="3"/>
        <v>-771000</v>
      </c>
      <c r="S17" s="79">
        <f t="shared" si="3"/>
        <v>60000</v>
      </c>
      <c r="T17" s="26">
        <f>[26]TONTDEC20!$E$44</f>
        <v>1000000</v>
      </c>
      <c r="U17" s="26">
        <f>[26]TONTDEC20!$E$43</f>
        <v>100000</v>
      </c>
      <c r="V17" s="26">
        <f>[26]TONTDEC20!$K$44</f>
        <v>2975000</v>
      </c>
      <c r="W17" s="26">
        <f>[26]TONTDEC20!$K$43</f>
        <v>0</v>
      </c>
      <c r="X17" s="26">
        <f t="shared" si="4"/>
        <v>-1975000</v>
      </c>
      <c r="Y17" s="79">
        <f t="shared" si="4"/>
        <v>100000</v>
      </c>
      <c r="Z17" s="26">
        <f>[24]TONTDEC20!$E$49</f>
        <v>360000</v>
      </c>
      <c r="AA17" s="26">
        <f>[24]TONTDEC20!$E$48</f>
        <v>80000</v>
      </c>
      <c r="AB17" s="26">
        <f>[24]TONTDEC20!$K$49</f>
        <v>1426000</v>
      </c>
      <c r="AC17" s="26">
        <f>[24]TONTDEC20!$K$48</f>
        <v>0</v>
      </c>
      <c r="AD17" s="26">
        <f t="shared" si="5"/>
        <v>-1066000</v>
      </c>
      <c r="AE17" s="79">
        <f t="shared" si="5"/>
        <v>80000</v>
      </c>
      <c r="AF17" s="26">
        <f>[28]TONTDEC20!$E$35</f>
        <v>1650000</v>
      </c>
      <c r="AG17" s="26">
        <f>[28]TONTDEC20!$E$34</f>
        <v>600000</v>
      </c>
      <c r="AH17" s="26">
        <f>[28]TONTDEC20!$K$35</f>
        <v>5355000</v>
      </c>
      <c r="AI17" s="26">
        <f>[28]TONTDEC20!$K$34</f>
        <v>0</v>
      </c>
      <c r="AJ17" s="26">
        <f t="shared" si="6"/>
        <v>-3705000</v>
      </c>
      <c r="AK17" s="79">
        <f t="shared" si="6"/>
        <v>600000</v>
      </c>
      <c r="AL17" s="26">
        <f t="shared" si="7"/>
        <v>3830000</v>
      </c>
      <c r="AM17" s="26">
        <f t="shared" si="0"/>
        <v>980000</v>
      </c>
      <c r="AN17" s="26">
        <f t="shared" si="0"/>
        <v>12967000</v>
      </c>
      <c r="AO17" s="26">
        <f t="shared" si="0"/>
        <v>0</v>
      </c>
      <c r="AP17" s="26">
        <f t="shared" si="8"/>
        <v>-4291000</v>
      </c>
      <c r="AQ17" s="79">
        <f t="shared" si="9"/>
        <v>11120000</v>
      </c>
    </row>
    <row r="18" spans="1:43" x14ac:dyDescent="0.25">
      <c r="A18" s="78"/>
      <c r="B18" s="50"/>
      <c r="C18" s="50"/>
      <c r="D18" s="50"/>
      <c r="E18" s="50"/>
      <c r="F18" s="50"/>
      <c r="G18" s="51"/>
      <c r="H18" s="50"/>
      <c r="I18" s="50"/>
      <c r="J18" s="50"/>
      <c r="K18" s="50"/>
      <c r="L18" s="50"/>
      <c r="M18" s="51"/>
      <c r="N18" s="50"/>
      <c r="O18" s="50"/>
      <c r="P18" s="50"/>
      <c r="Q18" s="50"/>
      <c r="R18" s="50"/>
      <c r="S18" s="51"/>
      <c r="T18" s="50"/>
      <c r="U18" s="50"/>
      <c r="V18" s="50"/>
      <c r="W18" s="50"/>
      <c r="X18" s="50"/>
      <c r="Y18" s="51"/>
      <c r="Z18" s="50"/>
      <c r="AA18" s="50"/>
      <c r="AB18" s="50"/>
      <c r="AC18" s="50"/>
      <c r="AD18" s="50"/>
      <c r="AE18" s="51"/>
      <c r="AF18" s="50"/>
      <c r="AG18" s="50"/>
      <c r="AH18" s="50"/>
      <c r="AI18" s="50"/>
      <c r="AJ18" s="50"/>
      <c r="AK18" s="51"/>
      <c r="AL18" s="50"/>
      <c r="AM18" s="50"/>
      <c r="AN18" s="50"/>
      <c r="AO18" s="50"/>
      <c r="AP18" s="50"/>
      <c r="AQ18" s="51"/>
    </row>
    <row r="19" spans="1:43" ht="19.5" thickBot="1" x14ac:dyDescent="0.35">
      <c r="A19" s="80" t="s">
        <v>191</v>
      </c>
      <c r="B19" s="23">
        <f t="shared" ref="B19:AO19" si="10">SUM(B6:B18)</f>
        <v>2350000</v>
      </c>
      <c r="C19" s="23">
        <f t="shared" si="10"/>
        <v>790000</v>
      </c>
      <c r="D19" s="23">
        <f t="shared" si="10"/>
        <v>2252500</v>
      </c>
      <c r="E19" s="23">
        <f t="shared" si="10"/>
        <v>0</v>
      </c>
      <c r="F19" s="23">
        <f t="shared" si="10"/>
        <v>97500</v>
      </c>
      <c r="G19" s="81">
        <f t="shared" si="10"/>
        <v>790000</v>
      </c>
      <c r="H19" s="23">
        <f t="shared" si="10"/>
        <v>5080000</v>
      </c>
      <c r="I19" s="23">
        <f t="shared" si="10"/>
        <v>1400000</v>
      </c>
      <c r="J19" s="23">
        <f t="shared" si="10"/>
        <v>6409000</v>
      </c>
      <c r="K19" s="23">
        <f t="shared" si="10"/>
        <v>0</v>
      </c>
      <c r="L19" s="23">
        <f t="shared" si="10"/>
        <v>-1329000</v>
      </c>
      <c r="M19" s="81">
        <f t="shared" si="10"/>
        <v>1400000</v>
      </c>
      <c r="N19" s="23">
        <f t="shared" si="10"/>
        <v>4140000</v>
      </c>
      <c r="O19" s="23">
        <f t="shared" si="10"/>
        <v>1260000</v>
      </c>
      <c r="P19" s="23">
        <f t="shared" si="10"/>
        <v>4903000</v>
      </c>
      <c r="Q19" s="23">
        <f t="shared" si="10"/>
        <v>0</v>
      </c>
      <c r="R19" s="23">
        <f t="shared" si="10"/>
        <v>-763000</v>
      </c>
      <c r="S19" s="81">
        <f t="shared" si="10"/>
        <v>1260000</v>
      </c>
      <c r="T19" s="23">
        <f t="shared" si="10"/>
        <v>12750000</v>
      </c>
      <c r="U19" s="23">
        <f t="shared" si="10"/>
        <v>1900000</v>
      </c>
      <c r="V19" s="23">
        <f t="shared" si="10"/>
        <v>12972500</v>
      </c>
      <c r="W19" s="23">
        <f t="shared" si="10"/>
        <v>0</v>
      </c>
      <c r="X19" s="23">
        <f t="shared" si="10"/>
        <v>-222500</v>
      </c>
      <c r="Y19" s="81">
        <f t="shared" si="10"/>
        <v>1900000</v>
      </c>
      <c r="Z19" s="23">
        <f t="shared" si="10"/>
        <v>5800000</v>
      </c>
      <c r="AA19" s="23">
        <f t="shared" si="10"/>
        <v>1420000</v>
      </c>
      <c r="AB19" s="23">
        <f t="shared" si="10"/>
        <v>7294000</v>
      </c>
      <c r="AC19" s="23">
        <f t="shared" si="10"/>
        <v>0</v>
      </c>
      <c r="AD19" s="23">
        <f t="shared" si="10"/>
        <v>-1494000</v>
      </c>
      <c r="AE19" s="81">
        <f t="shared" si="10"/>
        <v>1420000</v>
      </c>
      <c r="AF19" s="23">
        <f t="shared" si="10"/>
        <v>25950000</v>
      </c>
      <c r="AG19" s="23">
        <f t="shared" si="10"/>
        <v>4350000</v>
      </c>
      <c r="AH19" s="23">
        <f t="shared" si="10"/>
        <v>26530000</v>
      </c>
      <c r="AI19" s="23">
        <f t="shared" si="10"/>
        <v>0</v>
      </c>
      <c r="AJ19" s="23">
        <f t="shared" si="10"/>
        <v>-580000</v>
      </c>
      <c r="AK19" s="81">
        <f t="shared" si="10"/>
        <v>4350000</v>
      </c>
      <c r="AL19" s="23">
        <f t="shared" si="10"/>
        <v>56070000</v>
      </c>
      <c r="AM19" s="23">
        <f t="shared" si="10"/>
        <v>11120000</v>
      </c>
      <c r="AN19" s="23">
        <f t="shared" si="10"/>
        <v>60361000</v>
      </c>
      <c r="AO19" s="23">
        <f t="shared" si="10"/>
        <v>0</v>
      </c>
      <c r="AP19" s="23"/>
      <c r="AQ19" s="81"/>
    </row>
    <row r="20" spans="1:43" ht="15.75" thickTop="1" x14ac:dyDescent="0.25"/>
  </sheetData>
  <mergeCells count="28">
    <mergeCell ref="AL2:AQ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2:G2"/>
    <mergeCell ref="H2:M2"/>
    <mergeCell ref="N2:S2"/>
    <mergeCell ref="T2:Y2"/>
    <mergeCell ref="Z2:AE2"/>
    <mergeCell ref="AF2:AK2"/>
    <mergeCell ref="AP3:AQ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"/>
  <sheetViews>
    <sheetView workbookViewId="0">
      <pane xSplit="2" ySplit="5" topLeftCell="G6" activePane="bottomRight" state="frozen"/>
      <selection activeCell="C32" sqref="C32"/>
      <selection pane="topRight" activeCell="C32" sqref="C32"/>
      <selection pane="bottomLeft" activeCell="C32" sqref="C32"/>
      <selection pane="bottomRight" activeCell="I5" sqref="I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16.85546875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34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34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34" x14ac:dyDescent="0.25">
      <c r="A3" s="1" t="s">
        <v>3</v>
      </c>
      <c r="B3" s="5">
        <v>30000</v>
      </c>
      <c r="C3" s="5"/>
      <c r="D3" s="5"/>
      <c r="E3" s="1"/>
      <c r="F3" s="5"/>
      <c r="G3" s="1"/>
      <c r="H3" s="1"/>
    </row>
    <row r="4" spans="1:34" ht="26.25" x14ac:dyDescent="0.4">
      <c r="B4" s="16"/>
      <c r="C4" s="16"/>
      <c r="D4" s="16"/>
      <c r="E4" s="157">
        <v>44185</v>
      </c>
      <c r="F4" s="157"/>
      <c r="G4" s="157"/>
      <c r="H4" s="157"/>
      <c r="I4" s="157"/>
      <c r="J4" s="57"/>
      <c r="K4" s="57"/>
      <c r="L4" s="57"/>
      <c r="M4"/>
      <c r="N4"/>
      <c r="O4"/>
      <c r="P4"/>
    </row>
    <row r="5" spans="1:34" ht="57.75" x14ac:dyDescent="0.25">
      <c r="A5" s="1" t="s">
        <v>4</v>
      </c>
      <c r="B5" s="1" t="s">
        <v>5</v>
      </c>
      <c r="C5" s="1" t="s">
        <v>68</v>
      </c>
      <c r="D5" s="1" t="s">
        <v>69</v>
      </c>
      <c r="E5" s="4" t="s">
        <v>6</v>
      </c>
      <c r="F5" s="4" t="s">
        <v>7</v>
      </c>
      <c r="G5" s="1" t="s">
        <v>8</v>
      </c>
      <c r="H5" s="4" t="s">
        <v>60</v>
      </c>
      <c r="I5" s="1" t="s">
        <v>9</v>
      </c>
      <c r="J5" s="4" t="s">
        <v>10</v>
      </c>
      <c r="K5" s="4" t="s">
        <v>11</v>
      </c>
      <c r="L5" s="4" t="s">
        <v>12</v>
      </c>
      <c r="M5" s="4" t="s">
        <v>72</v>
      </c>
      <c r="N5" s="4" t="s">
        <v>73</v>
      </c>
      <c r="O5" s="4" t="s">
        <v>13</v>
      </c>
      <c r="P5" s="4" t="s">
        <v>61</v>
      </c>
      <c r="Q5" s="4" t="s">
        <v>63</v>
      </c>
      <c r="R5" s="4" t="s">
        <v>83</v>
      </c>
      <c r="S5" s="4" t="s">
        <v>64</v>
      </c>
      <c r="T5" s="4" t="s">
        <v>67</v>
      </c>
      <c r="U5" s="4" t="s">
        <v>209</v>
      </c>
      <c r="V5" s="4" t="s">
        <v>83</v>
      </c>
      <c r="W5" s="4" t="s">
        <v>65</v>
      </c>
      <c r="X5" s="4" t="s">
        <v>14</v>
      </c>
      <c r="Y5" s="4" t="s">
        <v>210</v>
      </c>
      <c r="Z5" s="4" t="s">
        <v>211</v>
      </c>
    </row>
    <row r="6" spans="1:34" x14ac:dyDescent="0.25">
      <c r="A6" s="1" t="s">
        <v>16</v>
      </c>
      <c r="B6" s="1" t="str">
        <f>VLOOKUP(A6,[21]LISTADHERENT!A$5:H$60,3,0)</f>
        <v>ASELBY</v>
      </c>
      <c r="C6" s="1"/>
      <c r="D6" s="1"/>
      <c r="E6" s="5" t="e">
        <f t="shared" ref="E6:E38" si="0">$Q$42/$F$42*F6</f>
        <v>#REF!</v>
      </c>
      <c r="F6" s="5" t="e">
        <f>+#REF!+#REF!+I6</f>
        <v>#REF!</v>
      </c>
      <c r="G6" s="6" t="e">
        <f>VLOOKUP($A6,#REF!,25,0)</f>
        <v>#REF!</v>
      </c>
      <c r="H6" s="6" t="e">
        <f>VLOOKUP($A6,[29]TONTJANV21!$A$6:$T$41,4,0)</f>
        <v>#N/A</v>
      </c>
      <c r="I6" s="6"/>
      <c r="J6" s="6"/>
      <c r="K6" s="6"/>
      <c r="L6" s="6"/>
      <c r="M6" s="6" t="e">
        <f>VLOOKUP($A6,#REF!,5,0)</f>
        <v>#REF!</v>
      </c>
      <c r="N6" s="6" t="e">
        <f>VLOOKUP($A6,#REF!,27,0)</f>
        <v>#REF!</v>
      </c>
      <c r="O6" s="6" t="e">
        <f>VLOOKUP($A6,#REF!,26,0)</f>
        <v>#REF!</v>
      </c>
      <c r="P6" s="6" t="e">
        <f>VLOOKUP($A6,#REF!,20,0)</f>
        <v>#REF!</v>
      </c>
      <c r="Q6" s="6" t="e">
        <f>(P6*12/100)</f>
        <v>#REF!</v>
      </c>
      <c r="R6" s="6" t="e">
        <f>VLOOKUP($A6,#REF!,23,0)</f>
        <v>#REF!</v>
      </c>
      <c r="S6" s="6" t="e">
        <f>VLOOKUP($A6,#REF!,17,0)</f>
        <v>#REF!</v>
      </c>
      <c r="T6" s="6" t="e">
        <f>VLOOKUP($A6,#REF!,18,0)</f>
        <v>#REF!</v>
      </c>
      <c r="U6" s="6" t="e">
        <f>VLOOKUP($A6,#REF!,21,0)</f>
        <v>#REF!</v>
      </c>
      <c r="V6" s="6" t="e">
        <f>VLOOKUP($A6,#REF!,22,0)</f>
        <v>#REF!</v>
      </c>
      <c r="W6" s="6"/>
      <c r="X6" s="6"/>
      <c r="Y6" s="6" t="e">
        <f>VLOOKUP($A6,#REF!,40,0)</f>
        <v>#REF!</v>
      </c>
      <c r="Z6" s="6" t="e">
        <f>VLOOKUP($A6,#REF!,41,0)</f>
        <v>#REF!</v>
      </c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19</v>
      </c>
      <c r="B7" s="1" t="str">
        <f>VLOOKUP(A7,[21]LISTADHERENT!A$5:H$60,3,0)</f>
        <v>BOUTCHOUANG WILLIAM</v>
      </c>
      <c r="C7" s="1"/>
      <c r="D7" s="1"/>
      <c r="E7" s="5" t="e">
        <f t="shared" si="0"/>
        <v>#REF!</v>
      </c>
      <c r="F7" s="5" t="e">
        <f>+#REF!+#REF!+I7</f>
        <v>#REF!</v>
      </c>
      <c r="G7" s="6" t="e">
        <f>VLOOKUP($A7,#REF!,25,0)</f>
        <v>#REF!</v>
      </c>
      <c r="H7" s="6">
        <f>VLOOKUP($A7,[29]TONTJANV21!$A$6:$T$41,4,0)</f>
        <v>23000</v>
      </c>
      <c r="I7" s="6">
        <f t="shared" ref="I7:I38" si="1">H7-(J7+K7+L7)</f>
        <v>19000</v>
      </c>
      <c r="J7" s="6">
        <f t="shared" ref="J7:J38" si="2">IF(H7=0,0,500)</f>
        <v>500</v>
      </c>
      <c r="K7" s="6">
        <f t="shared" ref="K7:K38" si="3">IF(H7=0,0,1000)</f>
        <v>1000</v>
      </c>
      <c r="L7" s="6">
        <f t="shared" ref="L7:L38" si="4">IF(H7=0,0,2500)</f>
        <v>2500</v>
      </c>
      <c r="M7" s="6" t="e">
        <f>VLOOKUP($A7,#REF!,5,0)</f>
        <v>#REF!</v>
      </c>
      <c r="N7" s="6" t="e">
        <f>VLOOKUP($A7,#REF!,27,0)</f>
        <v>#REF!</v>
      </c>
      <c r="O7" s="6" t="e">
        <f>VLOOKUP($A7,#REF!,26,0)</f>
        <v>#REF!</v>
      </c>
      <c r="P7" s="6" t="e">
        <f>VLOOKUP($A7,#REF!,20,0)</f>
        <v>#REF!</v>
      </c>
      <c r="Q7" s="6" t="e">
        <f>(P7*12/100)</f>
        <v>#REF!</v>
      </c>
      <c r="R7" s="6" t="e">
        <f>VLOOKUP($A7,#REF!,23,0)</f>
        <v>#REF!</v>
      </c>
      <c r="S7" s="6" t="e">
        <f>VLOOKUP($A7,#REF!,17,0)</f>
        <v>#REF!</v>
      </c>
      <c r="T7" s="6" t="e">
        <f>VLOOKUP($A7,#REF!,18,0)</f>
        <v>#REF!</v>
      </c>
      <c r="U7" s="6" t="e">
        <f>VLOOKUP($A7,#REF!,21,0)</f>
        <v>#REF!</v>
      </c>
      <c r="V7" s="6" t="e">
        <f>VLOOKUP($A7,#REF!,22,0)</f>
        <v>#REF!</v>
      </c>
      <c r="W7" s="2"/>
      <c r="X7" s="2"/>
      <c r="Y7" s="6" t="e">
        <f>VLOOKUP(A7,#REF!,40,0)</f>
        <v>#REF!</v>
      </c>
      <c r="Z7" s="6" t="e">
        <f>VLOOKUP($A7,#REF!,41,0)</f>
        <v>#REF!</v>
      </c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 t="s">
        <v>23</v>
      </c>
      <c r="B8" s="1" t="str">
        <f>VLOOKUP(A8,[21]LISTADHERENT!A$5:H$60,3,0)</f>
        <v xml:space="preserve">DJOMO JEAN PAUL </v>
      </c>
      <c r="C8" s="1"/>
      <c r="D8" s="1"/>
      <c r="E8" s="5" t="e">
        <f t="shared" si="0"/>
        <v>#REF!</v>
      </c>
      <c r="F8" s="5" t="e">
        <f>+#REF!+#REF!+I8</f>
        <v>#REF!</v>
      </c>
      <c r="G8" s="6" t="e">
        <f>VLOOKUP($A8,#REF!,25,0)</f>
        <v>#REF!</v>
      </c>
      <c r="H8" s="6">
        <f>VLOOKUP($A8,[29]TONTJANV21!$A$6:$T$41,4,0)</f>
        <v>23000</v>
      </c>
      <c r="I8" s="6">
        <f t="shared" si="1"/>
        <v>19000</v>
      </c>
      <c r="J8" s="6">
        <f t="shared" si="2"/>
        <v>500</v>
      </c>
      <c r="K8" s="6">
        <f t="shared" si="3"/>
        <v>1000</v>
      </c>
      <c r="L8" s="6">
        <f t="shared" si="4"/>
        <v>2500</v>
      </c>
      <c r="M8" s="6" t="e">
        <f>VLOOKUP($A8,#REF!,5,0)</f>
        <v>#REF!</v>
      </c>
      <c r="N8" s="6" t="e">
        <f>VLOOKUP($A8,#REF!,27,0)</f>
        <v>#REF!</v>
      </c>
      <c r="O8" s="6" t="e">
        <f>VLOOKUP($A8,#REF!,26,0)</f>
        <v>#REF!</v>
      </c>
      <c r="P8" s="6" t="e">
        <f>VLOOKUP($A8,#REF!,20,0)</f>
        <v>#REF!</v>
      </c>
      <c r="Q8" s="6" t="e">
        <f t="shared" ref="Q8:Q38" si="5">(P8*12/100)</f>
        <v>#REF!</v>
      </c>
      <c r="R8" s="6" t="e">
        <f>VLOOKUP($A8,#REF!,23,0)</f>
        <v>#REF!</v>
      </c>
      <c r="S8" s="6" t="e">
        <f>VLOOKUP($A8,#REF!,17,0)</f>
        <v>#REF!</v>
      </c>
      <c r="T8" s="6" t="e">
        <f>VLOOKUP($A8,#REF!,18,0)</f>
        <v>#REF!</v>
      </c>
      <c r="U8" s="6" t="e">
        <f>VLOOKUP($A8,#REF!,21,0)</f>
        <v>#REF!</v>
      </c>
      <c r="V8" s="6" t="e">
        <f>VLOOKUP($A8,#REF!,22,0)</f>
        <v>#REF!</v>
      </c>
      <c r="W8" s="2"/>
      <c r="X8" s="2"/>
      <c r="Y8" s="6" t="e">
        <f>VLOOKUP(A8,#REF!,40,0)</f>
        <v>#REF!</v>
      </c>
      <c r="Z8" s="6" t="e">
        <f>VLOOKUP($A8,#REF!,41,0)</f>
        <v>#REF!</v>
      </c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154</v>
      </c>
      <c r="B9" s="1" t="str">
        <f>VLOOKUP(A9,[21]LISTADHERENT!A$5:H$60,3,0)</f>
        <v>DJOMOU TCHANDA</v>
      </c>
      <c r="C9" s="1"/>
      <c r="D9" s="1"/>
      <c r="E9" s="5" t="e">
        <f t="shared" si="0"/>
        <v>#REF!</v>
      </c>
      <c r="F9" s="5" t="e">
        <f>+#REF!+#REF!+I9</f>
        <v>#REF!</v>
      </c>
      <c r="G9" s="6" t="e">
        <f>VLOOKUP($A9,#REF!,25,0)</f>
        <v>#REF!</v>
      </c>
      <c r="H9" s="6">
        <f>VLOOKUP($A9,[29]TONTJANV21!$A$6:$T$41,4,0)</f>
        <v>23000</v>
      </c>
      <c r="I9" s="6">
        <f t="shared" si="1"/>
        <v>19000</v>
      </c>
      <c r="J9" s="6">
        <f t="shared" si="2"/>
        <v>500</v>
      </c>
      <c r="K9" s="6">
        <f t="shared" si="3"/>
        <v>1000</v>
      </c>
      <c r="L9" s="6">
        <f t="shared" si="4"/>
        <v>2500</v>
      </c>
      <c r="M9" s="6" t="e">
        <f>VLOOKUP($A9,#REF!,5,0)</f>
        <v>#REF!</v>
      </c>
      <c r="N9" s="6" t="e">
        <f>VLOOKUP($A9,#REF!,27,0)</f>
        <v>#REF!</v>
      </c>
      <c r="O9" s="6" t="e">
        <f>VLOOKUP($A9,#REF!,26,0)</f>
        <v>#REF!</v>
      </c>
      <c r="P9" s="6" t="e">
        <f>VLOOKUP($A9,#REF!,20,0)</f>
        <v>#REF!</v>
      </c>
      <c r="Q9" s="6" t="e">
        <f t="shared" si="5"/>
        <v>#REF!</v>
      </c>
      <c r="R9" s="6" t="e">
        <f>VLOOKUP($A9,#REF!,23,0)</f>
        <v>#REF!</v>
      </c>
      <c r="S9" s="6" t="e">
        <f>VLOOKUP($A9,#REF!,17,0)</f>
        <v>#REF!</v>
      </c>
      <c r="T9" s="6" t="e">
        <f>VLOOKUP($A9,#REF!,18,0)</f>
        <v>#REF!</v>
      </c>
      <c r="U9" s="6" t="e">
        <f>VLOOKUP($A9,#REF!,21,0)</f>
        <v>#REF!</v>
      </c>
      <c r="V9" s="6" t="e">
        <f>VLOOKUP($A9,#REF!,22,0)</f>
        <v>#REF!</v>
      </c>
      <c r="W9" s="2"/>
      <c r="X9" s="2"/>
      <c r="Y9" s="6" t="e">
        <f>VLOOKUP(A9,#REF!,40,0)</f>
        <v>#REF!</v>
      </c>
      <c r="Z9" s="6" t="e">
        <f>VLOOKUP($A9,#REF!,41,0)</f>
        <v>#REF!</v>
      </c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 t="s">
        <v>24</v>
      </c>
      <c r="B10" s="1" t="str">
        <f>VLOOKUP(A10,[21]LISTADHERENT!A$5:H$60,3,0)</f>
        <v>DJOUKWE NANGUEN GUY BLAISE</v>
      </c>
      <c r="C10" s="1"/>
      <c r="D10" s="1"/>
      <c r="E10" s="5" t="e">
        <f t="shared" si="0"/>
        <v>#REF!</v>
      </c>
      <c r="F10" s="5" t="e">
        <f>+#REF!+#REF!+I10</f>
        <v>#REF!</v>
      </c>
      <c r="G10" s="6" t="e">
        <f>VLOOKUP($A10,#REF!,25,0)</f>
        <v>#REF!</v>
      </c>
      <c r="H10" s="6">
        <f>VLOOKUP($A10,[29]TONTJANV21!$A$6:$T$41,4,0)</f>
        <v>23000</v>
      </c>
      <c r="I10" s="6">
        <f t="shared" si="1"/>
        <v>19000</v>
      </c>
      <c r="J10" s="6">
        <f t="shared" si="2"/>
        <v>500</v>
      </c>
      <c r="K10" s="6">
        <f t="shared" si="3"/>
        <v>1000</v>
      </c>
      <c r="L10" s="6">
        <f t="shared" si="4"/>
        <v>2500</v>
      </c>
      <c r="M10" s="6" t="e">
        <f>VLOOKUP($A10,#REF!,5,0)</f>
        <v>#REF!</v>
      </c>
      <c r="N10" s="6" t="e">
        <f>VLOOKUP($A10,#REF!,27,0)</f>
        <v>#REF!</v>
      </c>
      <c r="O10" s="6" t="e">
        <f>VLOOKUP($A10,#REF!,26,0)</f>
        <v>#REF!</v>
      </c>
      <c r="P10" s="6" t="e">
        <f>VLOOKUP($A10,#REF!,20,0)</f>
        <v>#REF!</v>
      </c>
      <c r="Q10" s="6" t="e">
        <f t="shared" si="5"/>
        <v>#REF!</v>
      </c>
      <c r="R10" s="6" t="e">
        <f>VLOOKUP($A10,#REF!,23,0)</f>
        <v>#REF!</v>
      </c>
      <c r="S10" s="6" t="e">
        <f>VLOOKUP($A10,#REF!,17,0)</f>
        <v>#REF!</v>
      </c>
      <c r="T10" s="6" t="e">
        <f>VLOOKUP($A10,#REF!,18,0)</f>
        <v>#REF!</v>
      </c>
      <c r="U10" s="6" t="e">
        <f>VLOOKUP($A10,#REF!,21,0)</f>
        <v>#REF!</v>
      </c>
      <c r="V10" s="6" t="e">
        <f>VLOOKUP($A10,#REF!,22,0)</f>
        <v>#REF!</v>
      </c>
      <c r="W10" s="2"/>
      <c r="X10" s="2"/>
      <c r="Y10" s="6" t="e">
        <f>VLOOKUP(A10,#REF!,40,0)</f>
        <v>#REF!</v>
      </c>
      <c r="Z10" s="6" t="e">
        <f>VLOOKUP($A10,#REF!,41,0)</f>
        <v>#REF!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25</v>
      </c>
      <c r="B11" s="1" t="str">
        <f>VLOOKUP(A11,[21]LISTADHERENT!A$5:H$60,3,0)</f>
        <v>DJUOMBESSY ANTOINE</v>
      </c>
      <c r="C11" s="1"/>
      <c r="D11" s="1"/>
      <c r="E11" s="5" t="e">
        <f t="shared" si="0"/>
        <v>#REF!</v>
      </c>
      <c r="F11" s="5" t="e">
        <f>+#REF!+#REF!+I11</f>
        <v>#REF!</v>
      </c>
      <c r="G11" s="6" t="e">
        <f>VLOOKUP($A11,#REF!,25,0)</f>
        <v>#REF!</v>
      </c>
      <c r="H11" s="6">
        <f>VLOOKUP($A11,[29]TONTJANV21!$A$6:$T$41,4,0)</f>
        <v>23000</v>
      </c>
      <c r="I11" s="6">
        <f t="shared" si="1"/>
        <v>19000</v>
      </c>
      <c r="J11" s="6">
        <f t="shared" si="2"/>
        <v>500</v>
      </c>
      <c r="K11" s="6">
        <f t="shared" si="3"/>
        <v>1000</v>
      </c>
      <c r="L11" s="6">
        <f t="shared" si="4"/>
        <v>2500</v>
      </c>
      <c r="M11" s="6" t="e">
        <f>VLOOKUP($A11,#REF!,5,0)</f>
        <v>#REF!</v>
      </c>
      <c r="N11" s="6" t="e">
        <f>VLOOKUP($A11,#REF!,27,0)</f>
        <v>#REF!</v>
      </c>
      <c r="O11" s="6" t="e">
        <f>VLOOKUP($A11,#REF!,26,0)</f>
        <v>#REF!</v>
      </c>
      <c r="P11" s="6" t="e">
        <f>VLOOKUP($A11,#REF!,20,0)</f>
        <v>#REF!</v>
      </c>
      <c r="Q11" s="6" t="e">
        <f t="shared" si="5"/>
        <v>#REF!</v>
      </c>
      <c r="R11" s="6" t="e">
        <f>VLOOKUP($A11,#REF!,23,0)</f>
        <v>#REF!</v>
      </c>
      <c r="S11" s="6" t="e">
        <f>VLOOKUP($A11,#REF!,17,0)</f>
        <v>#REF!</v>
      </c>
      <c r="T11" s="6" t="e">
        <f>VLOOKUP($A11,#REF!,18,0)</f>
        <v>#REF!</v>
      </c>
      <c r="U11" s="6" t="e">
        <f>VLOOKUP($A11,#REF!,21,0)</f>
        <v>#REF!</v>
      </c>
      <c r="V11" s="6" t="e">
        <f>VLOOKUP($A11,#REF!,22,0)</f>
        <v>#REF!</v>
      </c>
      <c r="W11" s="2"/>
      <c r="X11" s="2"/>
      <c r="Y11" s="6" t="e">
        <f>VLOOKUP(A11,#REF!,40,0)</f>
        <v>#REF!</v>
      </c>
      <c r="Z11" s="6" t="e">
        <f>VLOOKUP($A11,#REF!,41,0)</f>
        <v>#REF!</v>
      </c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 t="s">
        <v>79</v>
      </c>
      <c r="B12" s="1" t="str">
        <f>VLOOKUP(A12,[21]LISTADHERENT!A$5:H$60,3,0)</f>
        <v>DOMOU FABIEN</v>
      </c>
      <c r="C12" s="1"/>
      <c r="D12" s="1"/>
      <c r="E12" s="5" t="e">
        <f t="shared" si="0"/>
        <v>#REF!</v>
      </c>
      <c r="F12" s="5" t="e">
        <f>+#REF!+#REF!+I12</f>
        <v>#REF!</v>
      </c>
      <c r="G12" s="6" t="e">
        <f>VLOOKUP($A12,#REF!,25,0)</f>
        <v>#REF!</v>
      </c>
      <c r="H12" s="6">
        <f>VLOOKUP($A12,[29]TONTJANV21!$A$6:$T$41,4,0)</f>
        <v>23000</v>
      </c>
      <c r="I12" s="6">
        <f t="shared" si="1"/>
        <v>19000</v>
      </c>
      <c r="J12" s="6">
        <f t="shared" si="2"/>
        <v>500</v>
      </c>
      <c r="K12" s="6">
        <f t="shared" si="3"/>
        <v>1000</v>
      </c>
      <c r="L12" s="6">
        <f t="shared" si="4"/>
        <v>2500</v>
      </c>
      <c r="M12" s="6" t="e">
        <f>VLOOKUP($A12,#REF!,5,0)</f>
        <v>#REF!</v>
      </c>
      <c r="N12" s="6" t="e">
        <f>VLOOKUP($A12,#REF!,27,0)</f>
        <v>#REF!</v>
      </c>
      <c r="O12" s="6" t="e">
        <f>VLOOKUP($A12,#REF!,26,0)</f>
        <v>#REF!</v>
      </c>
      <c r="P12" s="6" t="e">
        <f>VLOOKUP($A12,#REF!,20,0)</f>
        <v>#REF!</v>
      </c>
      <c r="Q12" s="6" t="e">
        <f t="shared" si="5"/>
        <v>#REF!</v>
      </c>
      <c r="R12" s="6" t="e">
        <f>VLOOKUP($A12,#REF!,23,0)</f>
        <v>#REF!</v>
      </c>
      <c r="S12" s="6" t="e">
        <f>VLOOKUP($A12,#REF!,17,0)</f>
        <v>#REF!</v>
      </c>
      <c r="T12" s="6" t="e">
        <f>VLOOKUP($A12,#REF!,18,0)</f>
        <v>#REF!</v>
      </c>
      <c r="U12" s="6" t="e">
        <f>VLOOKUP($A12,#REF!,21,0)</f>
        <v>#REF!</v>
      </c>
      <c r="V12" s="6" t="e">
        <f>VLOOKUP($A12,#REF!,22,0)</f>
        <v>#REF!</v>
      </c>
      <c r="W12" s="2"/>
      <c r="Y12" s="6" t="e">
        <f>VLOOKUP(A12,#REF!,40,0)</f>
        <v>#REF!</v>
      </c>
      <c r="Z12" s="6" t="e">
        <f>VLOOKUP($A12,#REF!,41,0)</f>
        <v>#REF!</v>
      </c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26</v>
      </c>
      <c r="B13" s="1" t="str">
        <f>VLOOKUP(A13,[21]LISTADHERENT!A$5:H$60,3,0)</f>
        <v>DONHOU DAVID</v>
      </c>
      <c r="C13" s="1"/>
      <c r="D13" s="1"/>
      <c r="E13" s="5" t="e">
        <f t="shared" si="0"/>
        <v>#REF!</v>
      </c>
      <c r="F13" s="5" t="e">
        <f>+#REF!+#REF!+I13</f>
        <v>#REF!</v>
      </c>
      <c r="G13" s="6" t="e">
        <f>VLOOKUP($A13,#REF!,25,0)</f>
        <v>#REF!</v>
      </c>
      <c r="H13" s="6">
        <f>VLOOKUP($A13,[29]TONTJANV21!$A$6:$T$41,4,0)</f>
        <v>23000</v>
      </c>
      <c r="I13" s="6">
        <f t="shared" si="1"/>
        <v>19000</v>
      </c>
      <c r="J13" s="6">
        <f t="shared" si="2"/>
        <v>500</v>
      </c>
      <c r="K13" s="6">
        <f t="shared" si="3"/>
        <v>1000</v>
      </c>
      <c r="L13" s="6">
        <f t="shared" si="4"/>
        <v>2500</v>
      </c>
      <c r="M13" s="6" t="e">
        <f>VLOOKUP($A13,#REF!,5,0)</f>
        <v>#REF!</v>
      </c>
      <c r="N13" s="6" t="e">
        <f>VLOOKUP($A13,#REF!,27,0)</f>
        <v>#REF!</v>
      </c>
      <c r="O13" s="6" t="e">
        <f>VLOOKUP($A13,#REF!,26,0)</f>
        <v>#REF!</v>
      </c>
      <c r="P13" s="6" t="e">
        <f>VLOOKUP($A13,#REF!,20,0)</f>
        <v>#REF!</v>
      </c>
      <c r="Q13" s="6" t="e">
        <f t="shared" si="5"/>
        <v>#REF!</v>
      </c>
      <c r="R13" s="6" t="e">
        <f>VLOOKUP($A13,#REF!,23,0)</f>
        <v>#REF!</v>
      </c>
      <c r="S13" s="6" t="e">
        <f>VLOOKUP($A13,#REF!,17,0)</f>
        <v>#REF!</v>
      </c>
      <c r="T13" s="6" t="e">
        <f>VLOOKUP($A13,#REF!,18,0)</f>
        <v>#REF!</v>
      </c>
      <c r="U13" s="6" t="e">
        <f>VLOOKUP($A13,#REF!,21,0)</f>
        <v>#REF!</v>
      </c>
      <c r="V13" s="6" t="e">
        <f>VLOOKUP($A13,#REF!,22,0)</f>
        <v>#REF!</v>
      </c>
      <c r="W13" s="2"/>
      <c r="X13" s="2"/>
      <c r="Y13" s="6" t="e">
        <f>VLOOKUP(A13,#REF!,40,0)</f>
        <v>#REF!</v>
      </c>
      <c r="Z13" s="6" t="e">
        <f>VLOOKUP($A13,#REF!,41,0)</f>
        <v>#REF!</v>
      </c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 t="s">
        <v>27</v>
      </c>
      <c r="B14" s="1" t="str">
        <f>VLOOKUP(A14,[21]LISTADHERENT!A$5:H$60,3,0)</f>
        <v>FOTSO THOMAS</v>
      </c>
      <c r="C14" s="1"/>
      <c r="D14" s="1"/>
      <c r="E14" s="5" t="e">
        <f t="shared" si="0"/>
        <v>#REF!</v>
      </c>
      <c r="F14" s="5" t="e">
        <f>+#REF!+#REF!+I14</f>
        <v>#REF!</v>
      </c>
      <c r="G14" s="6" t="e">
        <f>VLOOKUP($A14,#REF!,25,0)</f>
        <v>#REF!</v>
      </c>
      <c r="H14" s="6">
        <f>VLOOKUP($A14,[29]TONTJANV21!$A$6:$T$41,4,0)</f>
        <v>0</v>
      </c>
      <c r="I14" s="6">
        <f t="shared" si="1"/>
        <v>0</v>
      </c>
      <c r="J14" s="6">
        <f t="shared" si="2"/>
        <v>0</v>
      </c>
      <c r="K14" s="6">
        <f t="shared" si="3"/>
        <v>0</v>
      </c>
      <c r="L14" s="6">
        <f t="shared" si="4"/>
        <v>0</v>
      </c>
      <c r="M14" s="6" t="e">
        <f>VLOOKUP($A14,#REF!,5,0)</f>
        <v>#REF!</v>
      </c>
      <c r="N14" s="6" t="e">
        <f>VLOOKUP($A14,#REF!,27,0)</f>
        <v>#REF!</v>
      </c>
      <c r="O14" s="6" t="e">
        <f>VLOOKUP($A14,#REF!,26,0)</f>
        <v>#REF!</v>
      </c>
      <c r="P14" s="6" t="e">
        <f>VLOOKUP($A14,#REF!,20,0)</f>
        <v>#REF!</v>
      </c>
      <c r="Q14" s="6" t="e">
        <f t="shared" si="5"/>
        <v>#REF!</v>
      </c>
      <c r="R14" s="6" t="e">
        <f>VLOOKUP($A14,#REF!,23,0)</f>
        <v>#REF!</v>
      </c>
      <c r="S14" s="6" t="e">
        <f>VLOOKUP($A14,#REF!,17,0)</f>
        <v>#REF!</v>
      </c>
      <c r="T14" s="6" t="e">
        <f>VLOOKUP($A14,#REF!,18,0)</f>
        <v>#REF!</v>
      </c>
      <c r="U14" s="6" t="e">
        <f>VLOOKUP($A14,#REF!,21,0)</f>
        <v>#REF!</v>
      </c>
      <c r="V14" s="6" t="e">
        <f>VLOOKUP($A14,#REF!,22,0)</f>
        <v>#REF!</v>
      </c>
      <c r="W14" s="2"/>
      <c r="X14" s="2"/>
      <c r="Y14" s="6" t="e">
        <f>VLOOKUP(A14,#REF!,40,0)</f>
        <v>#REF!</v>
      </c>
      <c r="Z14" s="6" t="e">
        <f>VLOOKUP($A14,#REF!,41,0)</f>
        <v>#REF!</v>
      </c>
      <c r="AA14" s="2"/>
      <c r="AB14" s="2"/>
      <c r="AC14" s="2"/>
      <c r="AD14" s="2"/>
      <c r="AE14" s="2"/>
      <c r="AF14" s="2"/>
      <c r="AG14" s="2"/>
      <c r="AH14" s="2"/>
    </row>
    <row r="15" spans="1:34" ht="14.25" customHeight="1" x14ac:dyDescent="0.25">
      <c r="A15" s="1" t="s">
        <v>28</v>
      </c>
      <c r="B15" s="1" t="str">
        <f>VLOOKUP(A15,[21]LISTADHERENT!A$5:H$60,3,0)</f>
        <v>HENGUE PAUL OMER</v>
      </c>
      <c r="C15" s="1"/>
      <c r="D15" s="1"/>
      <c r="E15" s="5" t="e">
        <f t="shared" si="0"/>
        <v>#REF!</v>
      </c>
      <c r="F15" s="5" t="e">
        <f>+#REF!+#REF!+I15</f>
        <v>#REF!</v>
      </c>
      <c r="G15" s="6" t="e">
        <f>VLOOKUP($A15,#REF!,25,0)</f>
        <v>#REF!</v>
      </c>
      <c r="H15" s="6">
        <f>VLOOKUP($A15,[29]TONTJANV21!$A$6:$T$41,4,0)</f>
        <v>23000</v>
      </c>
      <c r="I15" s="6">
        <f t="shared" si="1"/>
        <v>19000</v>
      </c>
      <c r="J15" s="6">
        <f t="shared" si="2"/>
        <v>500</v>
      </c>
      <c r="K15" s="6">
        <f t="shared" si="3"/>
        <v>1000</v>
      </c>
      <c r="L15" s="6">
        <f t="shared" si="4"/>
        <v>2500</v>
      </c>
      <c r="M15" s="6" t="e">
        <f>VLOOKUP($A15,#REF!,5,0)</f>
        <v>#REF!</v>
      </c>
      <c r="N15" s="6" t="e">
        <f>VLOOKUP($A15,#REF!,27,0)</f>
        <v>#REF!</v>
      </c>
      <c r="O15" s="6" t="e">
        <f>VLOOKUP($A15,#REF!,26,0)</f>
        <v>#REF!</v>
      </c>
      <c r="P15" s="6" t="e">
        <f>VLOOKUP($A15,#REF!,20,0)</f>
        <v>#REF!</v>
      </c>
      <c r="Q15" s="6" t="e">
        <f t="shared" si="5"/>
        <v>#REF!</v>
      </c>
      <c r="R15" s="6" t="e">
        <f>VLOOKUP($A15,#REF!,23,0)</f>
        <v>#REF!</v>
      </c>
      <c r="S15" s="6" t="e">
        <f>VLOOKUP($A15,#REF!,17,0)</f>
        <v>#REF!</v>
      </c>
      <c r="T15" s="6" t="e">
        <f>VLOOKUP($A15,#REF!,18,0)</f>
        <v>#REF!</v>
      </c>
      <c r="U15" s="6" t="e">
        <f>VLOOKUP($A15,#REF!,21,0)</f>
        <v>#REF!</v>
      </c>
      <c r="V15" s="6" t="e">
        <f>VLOOKUP($A15,#REF!,22,0)</f>
        <v>#REF!</v>
      </c>
      <c r="W15" s="2"/>
      <c r="X15" s="2"/>
      <c r="Y15" s="6" t="e">
        <f>VLOOKUP(A15,#REF!,40,0)</f>
        <v>#REF!</v>
      </c>
      <c r="Z15" s="6" t="e">
        <f>VLOOKUP($A15,#REF!,41,0)</f>
        <v>#REF!</v>
      </c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 t="s">
        <v>29</v>
      </c>
      <c r="B16" s="1" t="str">
        <f>VLOOKUP(A16,[21]LISTADHERENT!A$5:H$60,3,0)</f>
        <v>HOTCHO BENJAMIN</v>
      </c>
      <c r="C16" s="1"/>
      <c r="D16" s="1"/>
      <c r="E16" s="5" t="e">
        <f t="shared" si="0"/>
        <v>#REF!</v>
      </c>
      <c r="F16" s="5" t="e">
        <f>+#REF!+#REF!+I16</f>
        <v>#REF!</v>
      </c>
      <c r="G16" s="6" t="e">
        <f>VLOOKUP($A16,#REF!,25,0)</f>
        <v>#REF!</v>
      </c>
      <c r="H16" s="6">
        <f>VLOOKUP($A16,[29]TONTJANV21!$A$6:$T$41,4,0)</f>
        <v>23000</v>
      </c>
      <c r="I16" s="6">
        <f t="shared" si="1"/>
        <v>19000</v>
      </c>
      <c r="J16" s="6">
        <f t="shared" si="2"/>
        <v>500</v>
      </c>
      <c r="K16" s="6">
        <f t="shared" si="3"/>
        <v>1000</v>
      </c>
      <c r="L16" s="6">
        <f t="shared" si="4"/>
        <v>2500</v>
      </c>
      <c r="M16" s="6" t="e">
        <f>VLOOKUP($A16,#REF!,5,0)</f>
        <v>#REF!</v>
      </c>
      <c r="N16" s="6" t="e">
        <f>VLOOKUP($A16,#REF!,27,0)</f>
        <v>#REF!</v>
      </c>
      <c r="O16" s="6" t="e">
        <f>VLOOKUP($A16,#REF!,26,0)</f>
        <v>#REF!</v>
      </c>
      <c r="P16" s="6" t="e">
        <f>VLOOKUP($A16,#REF!,20,0)</f>
        <v>#REF!</v>
      </c>
      <c r="Q16" s="6" t="e">
        <f t="shared" si="5"/>
        <v>#REF!</v>
      </c>
      <c r="R16" s="6" t="e">
        <f>VLOOKUP($A16,#REF!,23,0)</f>
        <v>#REF!</v>
      </c>
      <c r="S16" s="6" t="e">
        <f>VLOOKUP($A16,#REF!,17,0)</f>
        <v>#REF!</v>
      </c>
      <c r="T16" s="6" t="e">
        <f>VLOOKUP($A16,#REF!,18,0)</f>
        <v>#REF!</v>
      </c>
      <c r="U16" s="6" t="e">
        <f>VLOOKUP($A16,#REF!,21,0)</f>
        <v>#REF!</v>
      </c>
      <c r="V16" s="6" t="e">
        <f>VLOOKUP($A16,#REF!,22,0)</f>
        <v>#REF!</v>
      </c>
      <c r="W16" s="2"/>
      <c r="X16" s="2"/>
      <c r="Y16" s="6" t="e">
        <f>VLOOKUP(A16,#REF!,40,0)</f>
        <v>#REF!</v>
      </c>
      <c r="Z16" s="6" t="e">
        <f>VLOOKUP($A16,#REF!,41,0)</f>
        <v>#REF!</v>
      </c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33</v>
      </c>
      <c r="B17" s="1" t="str">
        <f>VLOOKUP(A17,[21]LISTADHERENT!A$5:H$60,3,0)</f>
        <v>KOUAMOU MOISE</v>
      </c>
      <c r="C17" s="1"/>
      <c r="D17" s="1"/>
      <c r="E17" s="5" t="e">
        <f t="shared" si="0"/>
        <v>#REF!</v>
      </c>
      <c r="F17" s="5" t="e">
        <f>+#REF!+#REF!+I17</f>
        <v>#REF!</v>
      </c>
      <c r="G17" s="6" t="e">
        <f>VLOOKUP($A17,#REF!,25,0)</f>
        <v>#REF!</v>
      </c>
      <c r="H17" s="6">
        <f>VLOOKUP($A17,[29]TONTJANV21!$A$6:$T$41,4,0)</f>
        <v>23000</v>
      </c>
      <c r="I17" s="6">
        <f t="shared" si="1"/>
        <v>19000</v>
      </c>
      <c r="J17" s="6">
        <f t="shared" si="2"/>
        <v>500</v>
      </c>
      <c r="K17" s="6">
        <f t="shared" si="3"/>
        <v>1000</v>
      </c>
      <c r="L17" s="6">
        <f t="shared" si="4"/>
        <v>2500</v>
      </c>
      <c r="M17" s="6" t="e">
        <f>VLOOKUP($A17,#REF!,5,0)</f>
        <v>#REF!</v>
      </c>
      <c r="N17" s="6" t="e">
        <f>VLOOKUP($A17,#REF!,27,0)</f>
        <v>#REF!</v>
      </c>
      <c r="O17" s="6" t="e">
        <f>VLOOKUP($A17,#REF!,26,0)</f>
        <v>#REF!</v>
      </c>
      <c r="P17" s="6" t="e">
        <f>VLOOKUP($A17,#REF!,20,0)</f>
        <v>#REF!</v>
      </c>
      <c r="Q17" s="6" t="e">
        <f t="shared" si="5"/>
        <v>#REF!</v>
      </c>
      <c r="R17" s="6" t="e">
        <f>VLOOKUP($A17,#REF!,23,0)</f>
        <v>#REF!</v>
      </c>
      <c r="S17" s="6" t="e">
        <f>VLOOKUP($A17,#REF!,17,0)</f>
        <v>#REF!</v>
      </c>
      <c r="T17" s="6" t="e">
        <f>VLOOKUP($A17,#REF!,18,0)</f>
        <v>#REF!</v>
      </c>
      <c r="U17" s="6" t="e">
        <f>VLOOKUP($A17,#REF!,21,0)</f>
        <v>#REF!</v>
      </c>
      <c r="V17" s="6" t="e">
        <f>VLOOKUP($A17,#REF!,22,0)</f>
        <v>#REF!</v>
      </c>
      <c r="W17" s="2"/>
      <c r="X17" s="2"/>
      <c r="Y17" s="6" t="e">
        <f>VLOOKUP(A17,#REF!,40,0)</f>
        <v>#REF!</v>
      </c>
      <c r="Z17" s="6" t="e">
        <f>VLOOKUP($A17,#REF!,41,0)</f>
        <v>#REF!</v>
      </c>
      <c r="AA17" s="2"/>
      <c r="AB17" s="2"/>
      <c r="AC17" s="2"/>
      <c r="AD17" s="2"/>
      <c r="AE17" s="2"/>
      <c r="AF17" s="2"/>
      <c r="AG17" s="2"/>
      <c r="AH17" s="2"/>
    </row>
    <row r="18" spans="1:34" x14ac:dyDescent="0.25">
      <c r="A18" s="1" t="s">
        <v>35</v>
      </c>
      <c r="B18" s="1" t="str">
        <f>VLOOKUP(A18,[21]LISTADHERENT!A$5:H$60,3,0)</f>
        <v>KOUATCHO MESSACK</v>
      </c>
      <c r="C18" s="1"/>
      <c r="D18" s="1"/>
      <c r="E18" s="5" t="e">
        <f t="shared" si="0"/>
        <v>#REF!</v>
      </c>
      <c r="F18" s="5" t="e">
        <f>+#REF!+#REF!+I18</f>
        <v>#REF!</v>
      </c>
      <c r="G18" s="6" t="e">
        <f>VLOOKUP($A18,#REF!,25,0)</f>
        <v>#REF!</v>
      </c>
      <c r="H18" s="6">
        <f>VLOOKUP($A18,[29]TONTJANV21!$A$6:$T$41,4,0)</f>
        <v>23000</v>
      </c>
      <c r="I18" s="6">
        <f t="shared" si="1"/>
        <v>19000</v>
      </c>
      <c r="J18" s="6">
        <f t="shared" si="2"/>
        <v>500</v>
      </c>
      <c r="K18" s="6">
        <f t="shared" si="3"/>
        <v>1000</v>
      </c>
      <c r="L18" s="6">
        <f t="shared" si="4"/>
        <v>2500</v>
      </c>
      <c r="M18" s="6" t="e">
        <f>VLOOKUP($A18,#REF!,5,0)</f>
        <v>#REF!</v>
      </c>
      <c r="N18" s="6" t="e">
        <f>VLOOKUP($A18,#REF!,27,0)</f>
        <v>#REF!</v>
      </c>
      <c r="O18" s="6" t="e">
        <f>VLOOKUP($A18,#REF!,26,0)</f>
        <v>#REF!</v>
      </c>
      <c r="P18" s="6" t="e">
        <f>VLOOKUP($A18,#REF!,20,0)</f>
        <v>#REF!</v>
      </c>
      <c r="Q18" s="6" t="e">
        <f t="shared" si="5"/>
        <v>#REF!</v>
      </c>
      <c r="R18" s="6" t="e">
        <f>VLOOKUP($A18,#REF!,23,0)</f>
        <v>#REF!</v>
      </c>
      <c r="S18" s="6" t="e">
        <f>VLOOKUP($A18,#REF!,17,0)</f>
        <v>#REF!</v>
      </c>
      <c r="T18" s="6" t="e">
        <f>VLOOKUP($A18,#REF!,18,0)</f>
        <v>#REF!</v>
      </c>
      <c r="U18" s="6" t="e">
        <f>VLOOKUP($A18,#REF!,21,0)</f>
        <v>#REF!</v>
      </c>
      <c r="V18" s="6" t="e">
        <f>VLOOKUP($A18,#REF!,22,0)</f>
        <v>#REF!</v>
      </c>
      <c r="W18" s="2"/>
      <c r="X18" s="2"/>
      <c r="Y18" s="6" t="e">
        <f>VLOOKUP(A18,#REF!,40,0)</f>
        <v>#REF!</v>
      </c>
      <c r="Z18" s="6" t="e">
        <f>VLOOKUP($A18,#REF!,41,0)</f>
        <v>#REF!</v>
      </c>
      <c r="AA18" s="2"/>
      <c r="AB18" s="2"/>
      <c r="AC18" s="2"/>
      <c r="AD18" s="2"/>
      <c r="AE18" s="2"/>
      <c r="AF18" s="2"/>
      <c r="AG18" s="2"/>
      <c r="AH18" s="2"/>
    </row>
    <row r="19" spans="1:34" x14ac:dyDescent="0.25">
      <c r="A19" s="1" t="s">
        <v>36</v>
      </c>
      <c r="B19" s="1" t="str">
        <f>VLOOKUP(A19,[21]LISTADHERENT!A$5:H$60,3,0)</f>
        <v>LOWE JEAN</v>
      </c>
      <c r="C19" s="1"/>
      <c r="D19" s="1"/>
      <c r="E19" s="5" t="e">
        <f t="shared" si="0"/>
        <v>#REF!</v>
      </c>
      <c r="F19" s="5" t="e">
        <f>+#REF!+#REF!+I19</f>
        <v>#REF!</v>
      </c>
      <c r="G19" s="6" t="e">
        <f>VLOOKUP($A19,#REF!,25,0)</f>
        <v>#REF!</v>
      </c>
      <c r="H19" s="6">
        <f>VLOOKUP($A19,[29]TONTJANV21!$A$6:$T$41,4,0)</f>
        <v>23000</v>
      </c>
      <c r="I19" s="6">
        <f t="shared" si="1"/>
        <v>19000</v>
      </c>
      <c r="J19" s="6">
        <f t="shared" si="2"/>
        <v>500</v>
      </c>
      <c r="K19" s="6">
        <f t="shared" si="3"/>
        <v>1000</v>
      </c>
      <c r="L19" s="6">
        <f t="shared" si="4"/>
        <v>2500</v>
      </c>
      <c r="M19" s="6" t="e">
        <f>VLOOKUP($A19,#REF!,5,0)</f>
        <v>#REF!</v>
      </c>
      <c r="N19" s="6" t="e">
        <f>VLOOKUP($A19,#REF!,27,0)</f>
        <v>#REF!</v>
      </c>
      <c r="O19" s="6" t="e">
        <f>VLOOKUP($A19,#REF!,26,0)</f>
        <v>#REF!</v>
      </c>
      <c r="P19" s="6" t="e">
        <f>VLOOKUP($A19,#REF!,20,0)</f>
        <v>#REF!</v>
      </c>
      <c r="Q19" s="6" t="e">
        <f t="shared" si="5"/>
        <v>#REF!</v>
      </c>
      <c r="R19" s="6" t="e">
        <f>VLOOKUP($A19,#REF!,23,0)</f>
        <v>#REF!</v>
      </c>
      <c r="S19" s="6" t="e">
        <f>VLOOKUP($A19,#REF!,17,0)</f>
        <v>#REF!</v>
      </c>
      <c r="T19" s="6" t="e">
        <f>VLOOKUP($A19,#REF!,18,0)</f>
        <v>#REF!</v>
      </c>
      <c r="U19" s="6" t="e">
        <f>VLOOKUP($A19,#REF!,21,0)</f>
        <v>#REF!</v>
      </c>
      <c r="V19" s="6" t="e">
        <f>VLOOKUP($A19,#REF!,22,0)</f>
        <v>#REF!</v>
      </c>
      <c r="W19" s="2"/>
      <c r="X19" s="2"/>
      <c r="Y19" s="6" t="e">
        <f>VLOOKUP(A19,#REF!,40,0)</f>
        <v>#REF!</v>
      </c>
      <c r="Z19" s="6" t="e">
        <f>VLOOKUP($A19,#REF!,41,0)</f>
        <v>#REF!</v>
      </c>
      <c r="AA19" s="2"/>
      <c r="AB19" s="2"/>
      <c r="AC19" s="2"/>
      <c r="AD19" s="2"/>
      <c r="AE19" s="2"/>
      <c r="AF19" s="2"/>
      <c r="AG19" s="2"/>
      <c r="AH19" s="2"/>
    </row>
    <row r="20" spans="1:34" x14ac:dyDescent="0.25">
      <c r="A20" s="1" t="s">
        <v>75</v>
      </c>
      <c r="B20" s="1" t="str">
        <f>VLOOKUP(A20,[21]LISTADHERENT!A$5:H$60,3,0)</f>
        <v>MBOGNING TUGMA GUY</v>
      </c>
      <c r="C20" s="1"/>
      <c r="D20" s="1"/>
      <c r="E20" s="5" t="e">
        <f t="shared" si="0"/>
        <v>#REF!</v>
      </c>
      <c r="F20" s="5" t="e">
        <f>+#REF!+#REF!+I20</f>
        <v>#REF!</v>
      </c>
      <c r="G20" s="6" t="e">
        <f>VLOOKUP($A20,#REF!,25,0)</f>
        <v>#REF!</v>
      </c>
      <c r="H20" s="6">
        <f>VLOOKUP($A20,[29]TONTJANV21!$A$6:$T$41,4,0)</f>
        <v>23000</v>
      </c>
      <c r="I20" s="6">
        <f t="shared" si="1"/>
        <v>19000</v>
      </c>
      <c r="J20" s="6">
        <f t="shared" si="2"/>
        <v>500</v>
      </c>
      <c r="K20" s="6">
        <f t="shared" si="3"/>
        <v>1000</v>
      </c>
      <c r="L20" s="6">
        <f t="shared" si="4"/>
        <v>2500</v>
      </c>
      <c r="M20" s="6" t="e">
        <f>VLOOKUP($A20,#REF!,5,0)</f>
        <v>#REF!</v>
      </c>
      <c r="N20" s="6" t="e">
        <f>VLOOKUP($A20,#REF!,27,0)</f>
        <v>#REF!</v>
      </c>
      <c r="O20" s="6" t="e">
        <f>VLOOKUP($A20,#REF!,26,0)</f>
        <v>#REF!</v>
      </c>
      <c r="P20" s="6" t="e">
        <f>VLOOKUP($A20,#REF!,20,0)</f>
        <v>#REF!</v>
      </c>
      <c r="Q20" s="6" t="e">
        <f t="shared" si="5"/>
        <v>#REF!</v>
      </c>
      <c r="R20" s="6" t="e">
        <f>VLOOKUP($A20,#REF!,23,0)</f>
        <v>#REF!</v>
      </c>
      <c r="S20" s="6" t="e">
        <f>VLOOKUP($A20,#REF!,17,0)</f>
        <v>#REF!</v>
      </c>
      <c r="T20" s="6" t="e">
        <f>VLOOKUP($A20,#REF!,18,0)</f>
        <v>#REF!</v>
      </c>
      <c r="U20" s="6" t="e">
        <f>VLOOKUP($A20,#REF!,21,0)</f>
        <v>#REF!</v>
      </c>
      <c r="V20" s="6" t="e">
        <f>VLOOKUP($A20,#REF!,22,0)</f>
        <v>#REF!</v>
      </c>
      <c r="W20" s="2"/>
      <c r="Y20" s="6" t="e">
        <f>VLOOKUP(A20,#REF!,40,0)</f>
        <v>#REF!</v>
      </c>
      <c r="Z20" s="6" t="e">
        <f>VLOOKUP($A20,#REF!,41,0)</f>
        <v>#REF!</v>
      </c>
      <c r="AB20" s="2"/>
      <c r="AC20" s="2"/>
      <c r="AD20" s="2"/>
      <c r="AE20" s="2"/>
      <c r="AF20" s="2"/>
      <c r="AG20" s="2"/>
      <c r="AH20" s="2"/>
    </row>
    <row r="21" spans="1:34" x14ac:dyDescent="0.25">
      <c r="A21" s="1" t="s">
        <v>50</v>
      </c>
      <c r="B21" s="1" t="str">
        <f>VLOOKUP(A21,[21]LISTADHERENT!A$5:H$60,3,0)</f>
        <v>NANGUEN MARTIN</v>
      </c>
      <c r="C21" s="1"/>
      <c r="D21" s="1"/>
      <c r="E21" s="5" t="e">
        <f t="shared" si="0"/>
        <v>#REF!</v>
      </c>
      <c r="F21" s="5" t="e">
        <f>+#REF!+#REF!+I21</f>
        <v>#REF!</v>
      </c>
      <c r="G21" s="6" t="e">
        <f>VLOOKUP($A21,#REF!,25,0)</f>
        <v>#REF!</v>
      </c>
      <c r="H21" s="6">
        <f>VLOOKUP($A21,[29]TONTJANV21!$A$6:$T$41,4,0)</f>
        <v>23000</v>
      </c>
      <c r="I21" s="6">
        <f t="shared" si="1"/>
        <v>19000</v>
      </c>
      <c r="J21" s="6">
        <f t="shared" si="2"/>
        <v>500</v>
      </c>
      <c r="K21" s="6">
        <f t="shared" si="3"/>
        <v>1000</v>
      </c>
      <c r="L21" s="6">
        <f t="shared" si="4"/>
        <v>2500</v>
      </c>
      <c r="M21" s="6" t="e">
        <f>VLOOKUP($A21,#REF!,5,0)</f>
        <v>#REF!</v>
      </c>
      <c r="N21" s="6" t="e">
        <f>VLOOKUP($A21,#REF!,27,0)</f>
        <v>#REF!</v>
      </c>
      <c r="O21" s="6" t="e">
        <f>VLOOKUP($A21,#REF!,26,0)</f>
        <v>#REF!</v>
      </c>
      <c r="P21" s="6" t="e">
        <f>VLOOKUP($A21,#REF!,20,0)</f>
        <v>#REF!</v>
      </c>
      <c r="Q21" s="6" t="e">
        <f t="shared" si="5"/>
        <v>#REF!</v>
      </c>
      <c r="R21" s="6" t="e">
        <f>VLOOKUP($A21,#REF!,23,0)</f>
        <v>#REF!</v>
      </c>
      <c r="S21" s="6" t="e">
        <f>VLOOKUP($A21,#REF!,17,0)</f>
        <v>#REF!</v>
      </c>
      <c r="T21" s="6" t="e">
        <f>VLOOKUP($A21,#REF!,18,0)</f>
        <v>#REF!</v>
      </c>
      <c r="U21" s="6" t="e">
        <f>VLOOKUP($A21,#REF!,21,0)</f>
        <v>#REF!</v>
      </c>
      <c r="V21" s="6" t="e">
        <f>VLOOKUP($A21,#REF!,22,0)</f>
        <v>#REF!</v>
      </c>
      <c r="W21" s="2"/>
      <c r="X21" s="2"/>
      <c r="Y21" s="6" t="e">
        <f>VLOOKUP(A21,#REF!,40,0)</f>
        <v>#REF!</v>
      </c>
      <c r="Z21" s="6" t="e">
        <f>VLOOKUP($A21,#REF!,41,0)</f>
        <v>#REF!</v>
      </c>
      <c r="AA21" s="2"/>
      <c r="AB21" s="2"/>
      <c r="AC21" s="2"/>
      <c r="AD21" s="2"/>
      <c r="AE21" s="2"/>
      <c r="AF21" s="2"/>
      <c r="AG21" s="2"/>
      <c r="AH21" s="2"/>
    </row>
    <row r="22" spans="1:34" x14ac:dyDescent="0.25">
      <c r="A22" s="1" t="s">
        <v>37</v>
      </c>
      <c r="B22" s="1" t="str">
        <f>VLOOKUP(A22,[21]LISTADHERENT!A$5:H$60,3,0)</f>
        <v>NANKAM APPOLINAIRE</v>
      </c>
      <c r="C22" s="1"/>
      <c r="D22" s="1"/>
      <c r="E22" s="5" t="e">
        <f t="shared" si="0"/>
        <v>#REF!</v>
      </c>
      <c r="F22" s="5" t="e">
        <f>+#REF!+#REF!+I22</f>
        <v>#REF!</v>
      </c>
      <c r="G22" s="6" t="e">
        <f>VLOOKUP($A22,#REF!,25,0)</f>
        <v>#REF!</v>
      </c>
      <c r="H22" s="6">
        <f>VLOOKUP($A22,[29]TONTJANV21!$A$6:$T$41,4,0)</f>
        <v>23000</v>
      </c>
      <c r="I22" s="6">
        <f t="shared" si="1"/>
        <v>19000</v>
      </c>
      <c r="J22" s="6">
        <f t="shared" si="2"/>
        <v>500</v>
      </c>
      <c r="K22" s="6">
        <f t="shared" si="3"/>
        <v>1000</v>
      </c>
      <c r="L22" s="6">
        <f t="shared" si="4"/>
        <v>2500</v>
      </c>
      <c r="M22" s="6" t="e">
        <f>VLOOKUP($A22,#REF!,5,0)</f>
        <v>#REF!</v>
      </c>
      <c r="N22" s="6" t="e">
        <f>VLOOKUP($A22,#REF!,27,0)</f>
        <v>#REF!</v>
      </c>
      <c r="O22" s="6" t="e">
        <f>VLOOKUP($A22,#REF!,26,0)</f>
        <v>#REF!</v>
      </c>
      <c r="P22" s="6" t="e">
        <f>VLOOKUP($A22,#REF!,20,0)</f>
        <v>#REF!</v>
      </c>
      <c r="Q22" s="6" t="e">
        <f t="shared" si="5"/>
        <v>#REF!</v>
      </c>
      <c r="R22" s="6" t="e">
        <f>VLOOKUP($A22,#REF!,23,0)</f>
        <v>#REF!</v>
      </c>
      <c r="S22" s="6" t="e">
        <f>VLOOKUP($A22,#REF!,17,0)</f>
        <v>#REF!</v>
      </c>
      <c r="T22" s="6" t="e">
        <f>VLOOKUP($A22,#REF!,18,0)</f>
        <v>#REF!</v>
      </c>
      <c r="U22" s="6" t="e">
        <f>VLOOKUP($A22,#REF!,21,0)</f>
        <v>#REF!</v>
      </c>
      <c r="V22" s="6" t="e">
        <f>VLOOKUP($A22,#REF!,22,0)</f>
        <v>#REF!</v>
      </c>
      <c r="W22" s="2"/>
      <c r="X22" s="2"/>
      <c r="Y22" s="6" t="e">
        <f>VLOOKUP(A22,#REF!,40,0)</f>
        <v>#REF!</v>
      </c>
      <c r="Z22" s="6" t="e">
        <f>VLOOKUP($A22,#REF!,41,0)</f>
        <v>#REF!</v>
      </c>
      <c r="AA22" s="2"/>
      <c r="AB22" s="2"/>
      <c r="AC22" s="2"/>
      <c r="AD22" s="2"/>
      <c r="AE22" s="2"/>
      <c r="AF22" s="2"/>
      <c r="AG22" s="2"/>
      <c r="AH22" s="2"/>
    </row>
    <row r="23" spans="1:34" x14ac:dyDescent="0.25">
      <c r="A23" s="1" t="s">
        <v>38</v>
      </c>
      <c r="B23" s="1" t="str">
        <f>VLOOKUP(A23,[21]LISTADHERENT!A$5:H$60,3,0)</f>
        <v>NDJOMO ETIENNE</v>
      </c>
      <c r="C23" s="1"/>
      <c r="D23" s="1"/>
      <c r="E23" s="5" t="e">
        <f t="shared" si="0"/>
        <v>#REF!</v>
      </c>
      <c r="F23" s="5" t="e">
        <f>+#REF!+#REF!+I23</f>
        <v>#REF!</v>
      </c>
      <c r="G23" s="6" t="e">
        <f>VLOOKUP($A23,#REF!,25,0)</f>
        <v>#REF!</v>
      </c>
      <c r="H23" s="6">
        <f>VLOOKUP($A23,[29]TONTJANV21!$A$6:$T$41,4,0)</f>
        <v>23000</v>
      </c>
      <c r="I23" s="6">
        <f t="shared" si="1"/>
        <v>19000</v>
      </c>
      <c r="J23" s="6">
        <f t="shared" si="2"/>
        <v>500</v>
      </c>
      <c r="K23" s="6">
        <f t="shared" si="3"/>
        <v>1000</v>
      </c>
      <c r="L23" s="6">
        <f t="shared" si="4"/>
        <v>2500</v>
      </c>
      <c r="M23" s="6" t="e">
        <f>VLOOKUP($A23,#REF!,5,0)</f>
        <v>#REF!</v>
      </c>
      <c r="N23" s="6" t="e">
        <f>VLOOKUP($A23,#REF!,27,0)</f>
        <v>#REF!</v>
      </c>
      <c r="O23" s="6" t="e">
        <f>VLOOKUP($A23,#REF!,26,0)</f>
        <v>#REF!</v>
      </c>
      <c r="P23" s="6" t="e">
        <f>VLOOKUP($A23,#REF!,20,0)</f>
        <v>#REF!</v>
      </c>
      <c r="Q23" s="6" t="e">
        <f t="shared" si="5"/>
        <v>#REF!</v>
      </c>
      <c r="R23" s="6" t="e">
        <f>VLOOKUP($A23,#REF!,23,0)</f>
        <v>#REF!</v>
      </c>
      <c r="S23" s="6" t="e">
        <f>VLOOKUP($A23,#REF!,17,0)</f>
        <v>#REF!</v>
      </c>
      <c r="T23" s="6" t="e">
        <f>VLOOKUP($A23,#REF!,18,0)</f>
        <v>#REF!</v>
      </c>
      <c r="U23" s="6" t="e">
        <f>VLOOKUP($A23,#REF!,21,0)</f>
        <v>#REF!</v>
      </c>
      <c r="V23" s="6" t="e">
        <f>VLOOKUP($A23,#REF!,22,0)</f>
        <v>#REF!</v>
      </c>
      <c r="W23" s="2"/>
      <c r="X23" s="2"/>
      <c r="Y23" s="6" t="e">
        <f>VLOOKUP(A23,#REF!,40,0)</f>
        <v>#REF!</v>
      </c>
      <c r="Z23" s="6" t="e">
        <f>VLOOKUP($A23,#REF!,41,0)</f>
        <v>#REF!</v>
      </c>
      <c r="AA23" s="2"/>
      <c r="AB23" s="2"/>
      <c r="AC23" s="2"/>
      <c r="AD23" s="2"/>
      <c r="AE23" s="2"/>
      <c r="AF23" s="2"/>
      <c r="AG23" s="2"/>
      <c r="AH23" s="2"/>
    </row>
    <row r="24" spans="1:34" x14ac:dyDescent="0.25">
      <c r="A24" s="1" t="s">
        <v>39</v>
      </c>
      <c r="B24" s="1" t="str">
        <f>VLOOKUP(A24,[21]LISTADHERENT!A$5:H$60,3,0)</f>
        <v>NGONDIEP CLAUDE</v>
      </c>
      <c r="C24" s="1"/>
      <c r="D24" s="1"/>
      <c r="E24" s="5" t="e">
        <f t="shared" si="0"/>
        <v>#REF!</v>
      </c>
      <c r="F24" s="5" t="e">
        <f>+#REF!+#REF!+I24</f>
        <v>#REF!</v>
      </c>
      <c r="G24" s="6" t="e">
        <f>VLOOKUP($A24,#REF!,25,0)</f>
        <v>#REF!</v>
      </c>
      <c r="H24" s="6">
        <f>VLOOKUP($A24,[29]TONTJANV21!$A$6:$T$41,4,0)</f>
        <v>23000</v>
      </c>
      <c r="I24" s="6">
        <f t="shared" si="1"/>
        <v>19000</v>
      </c>
      <c r="J24" s="6">
        <f t="shared" si="2"/>
        <v>500</v>
      </c>
      <c r="K24" s="6">
        <f t="shared" si="3"/>
        <v>1000</v>
      </c>
      <c r="L24" s="6">
        <f t="shared" si="4"/>
        <v>2500</v>
      </c>
      <c r="M24" s="6" t="e">
        <f>VLOOKUP($A24,#REF!,5,0)</f>
        <v>#REF!</v>
      </c>
      <c r="N24" s="6" t="e">
        <f>VLOOKUP($A24,#REF!,27,0)</f>
        <v>#REF!</v>
      </c>
      <c r="O24" s="6" t="e">
        <f>VLOOKUP($A24,#REF!,26,0)</f>
        <v>#REF!</v>
      </c>
      <c r="P24" s="6" t="e">
        <f>VLOOKUP($A24,#REF!,20,0)</f>
        <v>#REF!</v>
      </c>
      <c r="Q24" s="6" t="e">
        <f t="shared" si="5"/>
        <v>#REF!</v>
      </c>
      <c r="R24" s="6" t="e">
        <f>VLOOKUP($A24,#REF!,23,0)</f>
        <v>#REF!</v>
      </c>
      <c r="S24" s="6" t="e">
        <f>VLOOKUP($A24,#REF!,17,0)</f>
        <v>#REF!</v>
      </c>
      <c r="T24" s="6" t="e">
        <f>VLOOKUP($A24,#REF!,18,0)</f>
        <v>#REF!</v>
      </c>
      <c r="U24" s="6" t="e">
        <f>VLOOKUP($A24,#REF!,21,0)</f>
        <v>#REF!</v>
      </c>
      <c r="V24" s="6" t="e">
        <f>VLOOKUP($A24,#REF!,22,0)</f>
        <v>#REF!</v>
      </c>
      <c r="W24" s="2"/>
      <c r="X24" s="2"/>
      <c r="Y24" s="6" t="e">
        <f>VLOOKUP(A24,#REF!,40,0)</f>
        <v>#REF!</v>
      </c>
      <c r="Z24" s="6" t="e">
        <f>VLOOKUP($A24,#REF!,41,0)</f>
        <v>#REF!</v>
      </c>
      <c r="AA24" s="2"/>
      <c r="AB24" s="2"/>
      <c r="AC24" s="2"/>
      <c r="AD24" s="2"/>
      <c r="AE24" s="2"/>
      <c r="AF24" s="2"/>
      <c r="AG24" s="2"/>
      <c r="AH24" s="2"/>
    </row>
    <row r="25" spans="1:34" x14ac:dyDescent="0.25">
      <c r="A25" s="1" t="s">
        <v>41</v>
      </c>
      <c r="B25" s="1" t="str">
        <f>VLOOKUP(A25,[21]LISTADHERENT!A$5:H$60,3,0)</f>
        <v>NGUIEMEGNI MATHIEU BLAISE</v>
      </c>
      <c r="C25" s="1"/>
      <c r="D25" s="1"/>
      <c r="E25" s="5" t="e">
        <f t="shared" si="0"/>
        <v>#REF!</v>
      </c>
      <c r="F25" s="5" t="e">
        <f>+#REF!+#REF!+I25</f>
        <v>#REF!</v>
      </c>
      <c r="G25" s="6" t="e">
        <f>VLOOKUP($A25,#REF!,25,0)</f>
        <v>#REF!</v>
      </c>
      <c r="H25" s="6">
        <f>VLOOKUP($A25,[29]TONTJANV21!$A$6:$T$41,4,0)</f>
        <v>23000</v>
      </c>
      <c r="I25" s="6">
        <f t="shared" si="1"/>
        <v>19000</v>
      </c>
      <c r="J25" s="6">
        <f t="shared" si="2"/>
        <v>500</v>
      </c>
      <c r="K25" s="6">
        <f t="shared" si="3"/>
        <v>1000</v>
      </c>
      <c r="L25" s="6">
        <f t="shared" si="4"/>
        <v>2500</v>
      </c>
      <c r="M25" s="6" t="e">
        <f>VLOOKUP($A25,#REF!,5,0)</f>
        <v>#REF!</v>
      </c>
      <c r="N25" s="6" t="e">
        <f>VLOOKUP($A25,#REF!,27,0)</f>
        <v>#REF!</v>
      </c>
      <c r="O25" s="6" t="e">
        <f>VLOOKUP($A25,#REF!,26,0)</f>
        <v>#REF!</v>
      </c>
      <c r="P25" s="6" t="e">
        <f>VLOOKUP($A25,#REF!,20,0)</f>
        <v>#REF!</v>
      </c>
      <c r="Q25" s="6" t="e">
        <f t="shared" si="5"/>
        <v>#REF!</v>
      </c>
      <c r="R25" s="6" t="e">
        <f>VLOOKUP($A25,#REF!,23,0)</f>
        <v>#REF!</v>
      </c>
      <c r="S25" s="6" t="e">
        <f>VLOOKUP($A25,#REF!,17,0)</f>
        <v>#REF!</v>
      </c>
      <c r="T25" s="6" t="e">
        <f>VLOOKUP($A25,#REF!,18,0)</f>
        <v>#REF!</v>
      </c>
      <c r="U25" s="6" t="e">
        <f>VLOOKUP($A25,#REF!,21,0)</f>
        <v>#REF!</v>
      </c>
      <c r="V25" s="6" t="e">
        <f>VLOOKUP($A25,#REF!,22,0)</f>
        <v>#REF!</v>
      </c>
      <c r="W25" s="2"/>
      <c r="X25" s="2"/>
      <c r="Y25" s="6" t="e">
        <f>VLOOKUP(A25,#REF!,40,0)</f>
        <v>#REF!</v>
      </c>
      <c r="Z25" s="6" t="e">
        <f>VLOOKUP($A25,#REF!,41,0)</f>
        <v>#REF!</v>
      </c>
      <c r="AA25" s="2"/>
      <c r="AB25" s="2"/>
      <c r="AC25" s="2"/>
      <c r="AD25" s="2"/>
      <c r="AE25" s="2"/>
      <c r="AF25" s="2"/>
      <c r="AG25" s="2"/>
      <c r="AH25" s="2"/>
    </row>
    <row r="26" spans="1:34" x14ac:dyDescent="0.25">
      <c r="A26" s="1" t="s">
        <v>43</v>
      </c>
      <c r="B26" s="1" t="str">
        <f>VLOOKUP(A26,[21]LISTADHERENT!A$5:H$60,3,0)</f>
        <v>NKAMGANG JUSTIN DEJOLIE</v>
      </c>
      <c r="C26" s="1"/>
      <c r="D26" s="1"/>
      <c r="E26" s="5" t="e">
        <f t="shared" si="0"/>
        <v>#REF!</v>
      </c>
      <c r="F26" s="5" t="e">
        <f>+#REF!+#REF!+I26</f>
        <v>#REF!</v>
      </c>
      <c r="G26" s="6" t="e">
        <f>VLOOKUP($A26,#REF!,25,0)</f>
        <v>#REF!</v>
      </c>
      <c r="H26" s="6">
        <f>VLOOKUP($A26,[29]TONTJANV21!$A$6:$T$41,4,0)</f>
        <v>23000</v>
      </c>
      <c r="I26" s="6">
        <f t="shared" si="1"/>
        <v>19000</v>
      </c>
      <c r="J26" s="6">
        <f t="shared" si="2"/>
        <v>500</v>
      </c>
      <c r="K26" s="6">
        <f t="shared" si="3"/>
        <v>1000</v>
      </c>
      <c r="L26" s="6">
        <f t="shared" si="4"/>
        <v>2500</v>
      </c>
      <c r="M26" s="6" t="e">
        <f>VLOOKUP($A26,#REF!,5,0)</f>
        <v>#REF!</v>
      </c>
      <c r="N26" s="6" t="e">
        <f>VLOOKUP($A26,#REF!,27,0)</f>
        <v>#REF!</v>
      </c>
      <c r="O26" s="6" t="e">
        <f>VLOOKUP($A26,#REF!,26,0)</f>
        <v>#REF!</v>
      </c>
      <c r="P26" s="6" t="e">
        <f>VLOOKUP($A26,#REF!,20,0)</f>
        <v>#REF!</v>
      </c>
      <c r="Q26" s="6" t="e">
        <f t="shared" si="5"/>
        <v>#REF!</v>
      </c>
      <c r="R26" s="6" t="e">
        <f>VLOOKUP($A26,#REF!,23,0)</f>
        <v>#REF!</v>
      </c>
      <c r="S26" s="6" t="e">
        <f>VLOOKUP($A26,#REF!,17,0)</f>
        <v>#REF!</v>
      </c>
      <c r="T26" s="6" t="e">
        <f>VLOOKUP($A26,#REF!,18,0)</f>
        <v>#REF!</v>
      </c>
      <c r="U26" s="6" t="e">
        <f>VLOOKUP($A26,#REF!,21,0)</f>
        <v>#REF!</v>
      </c>
      <c r="V26" s="6" t="e">
        <f>VLOOKUP($A26,#REF!,22,0)</f>
        <v>#REF!</v>
      </c>
      <c r="W26" s="2"/>
      <c r="X26" s="2"/>
      <c r="Y26" s="6" t="e">
        <f>VLOOKUP(A26,#REF!,40,0)</f>
        <v>#REF!</v>
      </c>
      <c r="Z26" s="6" t="e">
        <f>VLOOKUP($A26,#REF!,41,0)</f>
        <v>#REF!</v>
      </c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s="1" t="s">
        <v>30</v>
      </c>
      <c r="B27" s="1" t="str">
        <f>VLOOKUP(A27,[21]LISTADHERENT!A$5:H$60,3,0)</f>
        <v>NKEHE DAVID</v>
      </c>
      <c r="C27" s="1"/>
      <c r="D27" s="1"/>
      <c r="E27" s="5" t="e">
        <f t="shared" si="0"/>
        <v>#REF!</v>
      </c>
      <c r="F27" s="5" t="e">
        <f>+#REF!+#REF!+I27</f>
        <v>#REF!</v>
      </c>
      <c r="G27" s="6" t="e">
        <f>VLOOKUP($A27,#REF!,25,0)</f>
        <v>#REF!</v>
      </c>
      <c r="H27" s="6" t="e">
        <f>VLOOKUP($A27,[29]TONTJANV21!$A$6:$T$41,4,0)</f>
        <v>#N/A</v>
      </c>
      <c r="I27" s="6" t="e">
        <f t="shared" si="1"/>
        <v>#N/A</v>
      </c>
      <c r="J27" s="6" t="e">
        <f t="shared" si="2"/>
        <v>#N/A</v>
      </c>
      <c r="K27" s="6" t="e">
        <f t="shared" si="3"/>
        <v>#N/A</v>
      </c>
      <c r="L27" s="6" t="e">
        <f t="shared" si="4"/>
        <v>#N/A</v>
      </c>
      <c r="M27" s="6" t="e">
        <f>VLOOKUP($A27,#REF!,5,0)</f>
        <v>#REF!</v>
      </c>
      <c r="N27" s="6" t="e">
        <f>VLOOKUP($A27,#REF!,27,0)</f>
        <v>#REF!</v>
      </c>
      <c r="O27" s="6" t="e">
        <f>VLOOKUP($A27,#REF!,26,0)</f>
        <v>#REF!</v>
      </c>
      <c r="P27" s="6" t="e">
        <f>VLOOKUP($A27,#REF!,20,0)</f>
        <v>#REF!</v>
      </c>
      <c r="Q27" s="6" t="e">
        <f t="shared" si="5"/>
        <v>#REF!</v>
      </c>
      <c r="R27" s="6" t="e">
        <f>VLOOKUP($A27,#REF!,23,0)</f>
        <v>#REF!</v>
      </c>
      <c r="S27" s="6" t="e">
        <f>VLOOKUP($A27,#REF!,17,0)</f>
        <v>#REF!</v>
      </c>
      <c r="T27" s="6" t="e">
        <f>VLOOKUP($A27,#REF!,18,0)</f>
        <v>#REF!</v>
      </c>
      <c r="U27" s="6" t="e">
        <f>VLOOKUP($A27,#REF!,21,0)</f>
        <v>#REF!</v>
      </c>
      <c r="V27" s="6" t="e">
        <f>VLOOKUP($A27,#REF!,22,0)</f>
        <v>#REF!</v>
      </c>
      <c r="W27" s="2"/>
      <c r="X27" s="2"/>
      <c r="Y27" s="6" t="e">
        <f>VLOOKUP(A27,#REF!,40,0)</f>
        <v>#REF!</v>
      </c>
      <c r="Z27" s="6" t="e">
        <f>VLOOKUP($A27,#REF!,41,0)</f>
        <v>#REF!</v>
      </c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1" t="s">
        <v>44</v>
      </c>
      <c r="B28" s="1" t="str">
        <f>VLOOKUP(A28,[21]LISTADHERENT!A$5:H$60,3,0)</f>
        <v>NKEPSEU DIEUDONNE</v>
      </c>
      <c r="C28" s="1"/>
      <c r="D28" s="1"/>
      <c r="E28" s="5" t="e">
        <f t="shared" si="0"/>
        <v>#REF!</v>
      </c>
      <c r="F28" s="5" t="e">
        <f>+#REF!+#REF!+I28</f>
        <v>#REF!</v>
      </c>
      <c r="G28" s="6" t="e">
        <f>VLOOKUP($A28,#REF!,25,0)</f>
        <v>#REF!</v>
      </c>
      <c r="H28" s="6">
        <f>VLOOKUP($A28,[29]TONTJANV21!$A$6:$T$41,4,0)</f>
        <v>23000</v>
      </c>
      <c r="I28" s="6">
        <f t="shared" si="1"/>
        <v>19000</v>
      </c>
      <c r="J28" s="6">
        <f t="shared" si="2"/>
        <v>500</v>
      </c>
      <c r="K28" s="6">
        <f t="shared" si="3"/>
        <v>1000</v>
      </c>
      <c r="L28" s="6">
        <f t="shared" si="4"/>
        <v>2500</v>
      </c>
      <c r="M28" s="6" t="e">
        <f>VLOOKUP($A28,#REF!,5,0)</f>
        <v>#REF!</v>
      </c>
      <c r="N28" s="6" t="e">
        <f>VLOOKUP($A28,#REF!,27,0)</f>
        <v>#REF!</v>
      </c>
      <c r="O28" s="6" t="e">
        <f>VLOOKUP($A28,#REF!,26,0)</f>
        <v>#REF!</v>
      </c>
      <c r="P28" s="6" t="e">
        <f>VLOOKUP($A28,#REF!,20,0)</f>
        <v>#REF!</v>
      </c>
      <c r="Q28" s="6" t="e">
        <f t="shared" si="5"/>
        <v>#REF!</v>
      </c>
      <c r="R28" s="6" t="e">
        <f>VLOOKUP($A28,#REF!,23,0)</f>
        <v>#REF!</v>
      </c>
      <c r="S28" s="6" t="e">
        <f>VLOOKUP($A28,#REF!,17,0)</f>
        <v>#REF!</v>
      </c>
      <c r="T28" s="6" t="e">
        <f>VLOOKUP($A28,#REF!,18,0)</f>
        <v>#REF!</v>
      </c>
      <c r="U28" s="6" t="e">
        <f>VLOOKUP($A28,#REF!,21,0)</f>
        <v>#REF!</v>
      </c>
      <c r="V28" s="6" t="e">
        <f>VLOOKUP($A28,#REF!,22,0)</f>
        <v>#REF!</v>
      </c>
      <c r="W28" s="7"/>
      <c r="X28" s="7"/>
      <c r="Y28" s="6" t="e">
        <f>VLOOKUP(A28,#REF!,40,0)</f>
        <v>#REF!</v>
      </c>
      <c r="Z28" s="6" t="e">
        <f>VLOOKUP($A28,#REF!,41,0)</f>
        <v>#REF!</v>
      </c>
      <c r="AA28" s="7"/>
      <c r="AB28" s="2"/>
      <c r="AC28" s="2"/>
      <c r="AD28" s="2"/>
      <c r="AE28" s="2"/>
      <c r="AF28" s="2"/>
      <c r="AG28" s="2"/>
      <c r="AH28" s="2"/>
    </row>
    <row r="29" spans="1:34" x14ac:dyDescent="0.25">
      <c r="A29" s="1" t="s">
        <v>45</v>
      </c>
      <c r="B29" s="1" t="str">
        <f>VLOOKUP(A29,[21]LISTADHERENT!A$5:H$60,3,0)</f>
        <v>PATEGO NJOSSU GUSTAVE</v>
      </c>
      <c r="C29" s="1"/>
      <c r="D29" s="1"/>
      <c r="E29" s="5" t="e">
        <f t="shared" si="0"/>
        <v>#REF!</v>
      </c>
      <c r="F29" s="5" t="e">
        <f>+#REF!+#REF!+I29</f>
        <v>#REF!</v>
      </c>
      <c r="G29" s="6" t="e">
        <f>VLOOKUP($A29,#REF!,25,0)</f>
        <v>#REF!</v>
      </c>
      <c r="H29" s="6">
        <f>VLOOKUP($A29,[29]TONTJANV21!$A$6:$T$41,4,0)</f>
        <v>23000</v>
      </c>
      <c r="I29" s="6">
        <f t="shared" si="1"/>
        <v>19000</v>
      </c>
      <c r="J29" s="6">
        <f t="shared" si="2"/>
        <v>500</v>
      </c>
      <c r="K29" s="6">
        <f t="shared" si="3"/>
        <v>1000</v>
      </c>
      <c r="L29" s="6">
        <f t="shared" si="4"/>
        <v>2500</v>
      </c>
      <c r="M29" s="6" t="e">
        <f>VLOOKUP($A29,#REF!,5,0)</f>
        <v>#REF!</v>
      </c>
      <c r="N29" s="6" t="e">
        <f>VLOOKUP($A29,#REF!,27,0)</f>
        <v>#REF!</v>
      </c>
      <c r="O29" s="6" t="e">
        <f>VLOOKUP($A29,#REF!,26,0)</f>
        <v>#REF!</v>
      </c>
      <c r="P29" s="6" t="e">
        <f>VLOOKUP($A29,#REF!,20,0)</f>
        <v>#REF!</v>
      </c>
      <c r="Q29" s="6" t="e">
        <f t="shared" si="5"/>
        <v>#REF!</v>
      </c>
      <c r="R29" s="6" t="e">
        <f>VLOOKUP($A29,#REF!,23,0)</f>
        <v>#REF!</v>
      </c>
      <c r="S29" s="6" t="e">
        <f>VLOOKUP($A29,#REF!,17,0)</f>
        <v>#REF!</v>
      </c>
      <c r="T29" s="6" t="e">
        <f>VLOOKUP($A29,#REF!,18,0)</f>
        <v>#REF!</v>
      </c>
      <c r="U29" s="6" t="e">
        <f>VLOOKUP($A29,#REF!,21,0)</f>
        <v>#REF!</v>
      </c>
      <c r="V29" s="6" t="e">
        <f>VLOOKUP($A29,#REF!,22,0)</f>
        <v>#REF!</v>
      </c>
      <c r="W29" s="2"/>
      <c r="X29" s="2"/>
      <c r="Y29" s="6" t="e">
        <f>VLOOKUP(A29,#REF!,40,0)</f>
        <v>#REF!</v>
      </c>
      <c r="Z29" s="6" t="e">
        <f>VLOOKUP($A29,#REF!,41,0)</f>
        <v>#REF!</v>
      </c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1" t="s">
        <v>81</v>
      </c>
      <c r="B30" s="1" t="str">
        <f>VLOOKUP(A30,[21]LISTADHERENT!A$5:H$60,3,0)</f>
        <v>SIME BRICE</v>
      </c>
      <c r="C30" s="1"/>
      <c r="D30" s="1"/>
      <c r="E30" s="5" t="e">
        <f t="shared" si="0"/>
        <v>#REF!</v>
      </c>
      <c r="F30" s="5" t="e">
        <f>+#REF!+#REF!+I30</f>
        <v>#REF!</v>
      </c>
      <c r="G30" s="6" t="e">
        <f>VLOOKUP($A30,#REF!,25,0)</f>
        <v>#REF!</v>
      </c>
      <c r="H30" s="6">
        <f>VLOOKUP($A30,[29]TONTJANV21!$A$6:$T$41,4,0)</f>
        <v>23000</v>
      </c>
      <c r="I30" s="6">
        <f t="shared" si="1"/>
        <v>19000</v>
      </c>
      <c r="J30" s="6">
        <f t="shared" si="2"/>
        <v>500</v>
      </c>
      <c r="K30" s="6">
        <f t="shared" si="3"/>
        <v>1000</v>
      </c>
      <c r="L30" s="6">
        <f t="shared" si="4"/>
        <v>2500</v>
      </c>
      <c r="M30" s="6" t="e">
        <f>VLOOKUP($A30,#REF!,5,0)</f>
        <v>#REF!</v>
      </c>
      <c r="N30" s="6" t="e">
        <f>VLOOKUP($A30,#REF!,27,0)</f>
        <v>#REF!</v>
      </c>
      <c r="O30" s="6" t="e">
        <f>VLOOKUP($A30,#REF!,26,0)</f>
        <v>#REF!</v>
      </c>
      <c r="P30" s="6" t="e">
        <f>VLOOKUP($A30,#REF!,20,0)</f>
        <v>#REF!</v>
      </c>
      <c r="Q30" s="6" t="e">
        <f t="shared" si="5"/>
        <v>#REF!</v>
      </c>
      <c r="R30" s="6" t="e">
        <f>VLOOKUP($A30,#REF!,23,0)</f>
        <v>#REF!</v>
      </c>
      <c r="S30" s="6" t="e">
        <f>VLOOKUP($A30,#REF!,17,0)</f>
        <v>#REF!</v>
      </c>
      <c r="T30" s="6" t="e">
        <f>VLOOKUP($A30,#REF!,18,0)</f>
        <v>#REF!</v>
      </c>
      <c r="U30" s="6" t="e">
        <f>VLOOKUP($A30,#REF!,21,0)</f>
        <v>#REF!</v>
      </c>
      <c r="V30" s="6" t="e">
        <f>VLOOKUP($A30,#REF!,22,0)</f>
        <v>#REF!</v>
      </c>
      <c r="W30" s="2"/>
      <c r="Y30" s="6" t="e">
        <f>VLOOKUP(A30,#REF!,40,0)</f>
        <v>#REF!</v>
      </c>
      <c r="Z30" s="6" t="e">
        <f>VLOOKUP($A30,#REF!,41,0)</f>
        <v>#REF!</v>
      </c>
      <c r="AB30" s="2"/>
      <c r="AC30" s="2"/>
      <c r="AD30" s="2"/>
      <c r="AE30" s="2"/>
      <c r="AF30" s="2"/>
      <c r="AG30" s="2"/>
      <c r="AH30" s="2"/>
    </row>
    <row r="31" spans="1:34" x14ac:dyDescent="0.25">
      <c r="A31" s="1" t="s">
        <v>48</v>
      </c>
      <c r="B31" s="1" t="str">
        <f>VLOOKUP(A31,[21]LISTADHERENT!A$5:H$60,3,0)</f>
        <v>SIME MATHIEU</v>
      </c>
      <c r="C31" s="1"/>
      <c r="D31" s="1"/>
      <c r="E31" s="5" t="e">
        <f t="shared" si="0"/>
        <v>#REF!</v>
      </c>
      <c r="F31" s="5" t="e">
        <f>+#REF!+#REF!+I31</f>
        <v>#REF!</v>
      </c>
      <c r="G31" s="6" t="e">
        <f>VLOOKUP($A31,#REF!,25,0)</f>
        <v>#REF!</v>
      </c>
      <c r="H31" s="6">
        <f>VLOOKUP($A31,[29]TONTJANV21!$A$6:$T$41,4,0)</f>
        <v>23000</v>
      </c>
      <c r="I31" s="6">
        <f t="shared" si="1"/>
        <v>19000</v>
      </c>
      <c r="J31" s="6">
        <f t="shared" si="2"/>
        <v>500</v>
      </c>
      <c r="K31" s="6">
        <f t="shared" si="3"/>
        <v>1000</v>
      </c>
      <c r="L31" s="6">
        <f t="shared" si="4"/>
        <v>2500</v>
      </c>
      <c r="M31" s="6" t="e">
        <f>VLOOKUP($A31,#REF!,5,0)</f>
        <v>#REF!</v>
      </c>
      <c r="N31" s="6" t="e">
        <f>VLOOKUP($A31,#REF!,27,0)</f>
        <v>#REF!</v>
      </c>
      <c r="O31" s="6" t="e">
        <f>VLOOKUP($A31,#REF!,26,0)</f>
        <v>#REF!</v>
      </c>
      <c r="P31" s="6" t="e">
        <f>VLOOKUP($A31,#REF!,20,0)</f>
        <v>#REF!</v>
      </c>
      <c r="Q31" s="6" t="e">
        <f t="shared" si="5"/>
        <v>#REF!</v>
      </c>
      <c r="R31" s="6" t="e">
        <f>VLOOKUP($A31,#REF!,23,0)</f>
        <v>#REF!</v>
      </c>
      <c r="S31" s="6" t="e">
        <f>VLOOKUP($A31,#REF!,17,0)</f>
        <v>#REF!</v>
      </c>
      <c r="T31" s="6" t="e">
        <f>VLOOKUP($A31,#REF!,18,0)</f>
        <v>#REF!</v>
      </c>
      <c r="U31" s="6" t="e">
        <f>VLOOKUP($A31,#REF!,21,0)</f>
        <v>#REF!</v>
      </c>
      <c r="V31" s="6" t="e">
        <f>VLOOKUP($A31,#REF!,22,0)</f>
        <v>#REF!</v>
      </c>
      <c r="W31" s="2"/>
      <c r="X31" s="2"/>
      <c r="Y31" s="6" t="e">
        <f>VLOOKUP(A31,#REF!,40,0)</f>
        <v>#REF!</v>
      </c>
      <c r="Z31" s="6" t="e">
        <f>VLOOKUP($A31,#REF!,41,0)</f>
        <v>#REF!</v>
      </c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1" t="s">
        <v>47</v>
      </c>
      <c r="B32" s="1" t="str">
        <f>VLOOKUP(A32,[21]LISTADHERENT!A$5:H$60,3,0)</f>
        <v>SIMO FONGANG ERIC</v>
      </c>
      <c r="C32" s="1"/>
      <c r="D32" s="1"/>
      <c r="E32" s="5" t="e">
        <f t="shared" si="0"/>
        <v>#REF!</v>
      </c>
      <c r="F32" s="5" t="e">
        <f>+#REF!+#REF!+I32</f>
        <v>#REF!</v>
      </c>
      <c r="G32" s="6" t="e">
        <f>VLOOKUP($A32,#REF!,25,0)</f>
        <v>#REF!</v>
      </c>
      <c r="H32" s="6">
        <f>VLOOKUP($A32,[29]TONTJANV21!$A$6:$T$41,4,0)</f>
        <v>23000</v>
      </c>
      <c r="I32" s="6">
        <f t="shared" si="1"/>
        <v>19000</v>
      </c>
      <c r="J32" s="6">
        <f t="shared" si="2"/>
        <v>500</v>
      </c>
      <c r="K32" s="6">
        <f t="shared" si="3"/>
        <v>1000</v>
      </c>
      <c r="L32" s="6">
        <f t="shared" si="4"/>
        <v>2500</v>
      </c>
      <c r="M32" s="6" t="e">
        <f>VLOOKUP($A32,#REF!,5,0)</f>
        <v>#REF!</v>
      </c>
      <c r="N32" s="6" t="e">
        <f>VLOOKUP($A32,#REF!,27,0)</f>
        <v>#REF!</v>
      </c>
      <c r="O32" s="6" t="e">
        <f>VLOOKUP($A32,#REF!,26,0)</f>
        <v>#REF!</v>
      </c>
      <c r="P32" s="6" t="e">
        <f>VLOOKUP($A32,#REF!,20,0)</f>
        <v>#REF!</v>
      </c>
      <c r="Q32" s="6" t="e">
        <f t="shared" si="5"/>
        <v>#REF!</v>
      </c>
      <c r="R32" s="6" t="e">
        <f>VLOOKUP($A32,#REF!,23,0)</f>
        <v>#REF!</v>
      </c>
      <c r="S32" s="6" t="e">
        <f>VLOOKUP($A32,#REF!,17,0)</f>
        <v>#REF!</v>
      </c>
      <c r="T32" s="6" t="e">
        <f>VLOOKUP($A32,#REF!,18,0)</f>
        <v>#REF!</v>
      </c>
      <c r="U32" s="6" t="e">
        <f>VLOOKUP($A32,#REF!,21,0)</f>
        <v>#REF!</v>
      </c>
      <c r="V32" s="6" t="e">
        <f>VLOOKUP($A32,#REF!,22,0)</f>
        <v>#REF!</v>
      </c>
      <c r="W32" s="2"/>
      <c r="X32" s="2"/>
      <c r="Y32" s="6" t="e">
        <f>VLOOKUP(A32,#REF!,40,0)</f>
        <v>#REF!</v>
      </c>
      <c r="Z32" s="6" t="e">
        <f>VLOOKUP($A32,#REF!,41,0)</f>
        <v>#REF!</v>
      </c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1" t="s">
        <v>49</v>
      </c>
      <c r="B33" s="1" t="str">
        <f>VLOOKUP(A33,[21]LISTADHERENT!A$5:H$60,3,0)</f>
        <v>SIMO PIERRE</v>
      </c>
      <c r="C33" s="1"/>
      <c r="D33" s="1"/>
      <c r="E33" s="5" t="e">
        <f t="shared" si="0"/>
        <v>#REF!</v>
      </c>
      <c r="F33" s="5" t="e">
        <f>+#REF!+#REF!+I33</f>
        <v>#REF!</v>
      </c>
      <c r="G33" s="6" t="e">
        <f>VLOOKUP($A33,#REF!,25,0)</f>
        <v>#REF!</v>
      </c>
      <c r="H33" s="6">
        <f>VLOOKUP($A33,[29]TONTJANV21!$A$6:$T$41,4,0)</f>
        <v>23000</v>
      </c>
      <c r="I33" s="6">
        <f t="shared" si="1"/>
        <v>19000</v>
      </c>
      <c r="J33" s="6">
        <f t="shared" si="2"/>
        <v>500</v>
      </c>
      <c r="K33" s="6">
        <f t="shared" si="3"/>
        <v>1000</v>
      </c>
      <c r="L33" s="6">
        <f t="shared" si="4"/>
        <v>2500</v>
      </c>
      <c r="M33" s="6" t="e">
        <f>VLOOKUP($A33,#REF!,5,0)</f>
        <v>#REF!</v>
      </c>
      <c r="N33" s="6" t="e">
        <f>VLOOKUP($A33,#REF!,27,0)</f>
        <v>#REF!</v>
      </c>
      <c r="O33" s="6" t="e">
        <f>VLOOKUP($A33,#REF!,26,0)</f>
        <v>#REF!</v>
      </c>
      <c r="P33" s="6" t="e">
        <f>VLOOKUP($A33,#REF!,20,0)</f>
        <v>#REF!</v>
      </c>
      <c r="Q33" s="6" t="e">
        <f t="shared" si="5"/>
        <v>#REF!</v>
      </c>
      <c r="R33" s="6" t="e">
        <f>VLOOKUP($A33,#REF!,23,0)</f>
        <v>#REF!</v>
      </c>
      <c r="S33" s="6" t="e">
        <f>VLOOKUP($A33,#REF!,17,0)</f>
        <v>#REF!</v>
      </c>
      <c r="T33" s="6" t="e">
        <f>VLOOKUP($A33,#REF!,18,0)</f>
        <v>#REF!</v>
      </c>
      <c r="U33" s="6" t="e">
        <f>VLOOKUP($A33,#REF!,21,0)</f>
        <v>#REF!</v>
      </c>
      <c r="V33" s="6" t="e">
        <f>VLOOKUP($A33,#REF!,22,0)</f>
        <v>#REF!</v>
      </c>
      <c r="W33" s="2"/>
      <c r="X33" s="2"/>
      <c r="Y33" s="6" t="e">
        <f>VLOOKUP(A33,#REF!,40,0)</f>
        <v>#REF!</v>
      </c>
      <c r="Z33" s="6" t="e">
        <f>VLOOKUP($A33,#REF!,41,0)</f>
        <v>#REF!</v>
      </c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s="1" t="s">
        <v>170</v>
      </c>
      <c r="B34" s="1" t="str">
        <f>VLOOKUP(A34,[21]LISTADHERENT!A$5:H$60,3,0)</f>
        <v>TCHEMHOU EMMANUEL</v>
      </c>
      <c r="C34" s="1"/>
      <c r="D34" s="1"/>
      <c r="E34" s="5" t="e">
        <f t="shared" si="0"/>
        <v>#REF!</v>
      </c>
      <c r="F34" s="5">
        <v>0</v>
      </c>
      <c r="G34" s="6" t="e">
        <f>VLOOKUP($A34,#REF!,25,0)</f>
        <v>#REF!</v>
      </c>
      <c r="H34" s="6" t="e">
        <f>VLOOKUP($A34,[29]TONTJANV21!$A$6:$T$41,4,0)</f>
        <v>#N/A</v>
      </c>
      <c r="I34" s="6" t="e">
        <f t="shared" si="1"/>
        <v>#N/A</v>
      </c>
      <c r="J34" s="6" t="e">
        <f t="shared" si="2"/>
        <v>#N/A</v>
      </c>
      <c r="K34" s="6" t="e">
        <f t="shared" si="3"/>
        <v>#N/A</v>
      </c>
      <c r="L34" s="6" t="e">
        <f t="shared" si="4"/>
        <v>#N/A</v>
      </c>
      <c r="M34" s="6" t="e">
        <f>VLOOKUP($A34,#REF!,5,0)</f>
        <v>#REF!</v>
      </c>
      <c r="N34" s="6" t="e">
        <f>VLOOKUP($A34,#REF!,27,0)</f>
        <v>#REF!</v>
      </c>
      <c r="O34" s="6" t="e">
        <f>VLOOKUP($A34,#REF!,26,0)</f>
        <v>#REF!</v>
      </c>
      <c r="P34" s="6" t="e">
        <f>VLOOKUP($A34,#REF!,20,0)</f>
        <v>#REF!</v>
      </c>
      <c r="Q34" s="6" t="e">
        <f t="shared" si="5"/>
        <v>#REF!</v>
      </c>
      <c r="R34" s="6" t="e">
        <f>VLOOKUP($A34,#REF!,23,0)</f>
        <v>#REF!</v>
      </c>
      <c r="S34" s="6" t="e">
        <f>VLOOKUP($A34,#REF!,17,0)</f>
        <v>#REF!</v>
      </c>
      <c r="T34" s="6" t="e">
        <f>VLOOKUP($A34,#REF!,18,0)</f>
        <v>#REF!</v>
      </c>
      <c r="U34" s="6" t="e">
        <f>VLOOKUP($A34,#REF!,21,0)</f>
        <v>#REF!</v>
      </c>
      <c r="V34" s="6" t="e">
        <f>VLOOKUP($A34,#REF!,22,0)</f>
        <v>#REF!</v>
      </c>
      <c r="W34" s="2"/>
      <c r="X34" s="2"/>
      <c r="Y34" s="6" t="e">
        <f>VLOOKUP(A34,#REF!,40,0)</f>
        <v>#REF!</v>
      </c>
      <c r="Z34" s="6" t="e">
        <f>VLOOKUP($A34,#REF!,41,0)</f>
        <v>#REF!</v>
      </c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s="1" t="s">
        <v>51</v>
      </c>
      <c r="B35" s="1" t="str">
        <f>VLOOKUP(A35,[21]LISTADHERENT!A$5:H$60,3,0)</f>
        <v>TCHOUAMOU MATHIEU</v>
      </c>
      <c r="C35" s="1"/>
      <c r="D35" s="1"/>
      <c r="E35" s="5" t="e">
        <f t="shared" si="0"/>
        <v>#REF!</v>
      </c>
      <c r="F35" s="5" t="e">
        <f>+#REF!+#REF!+I35</f>
        <v>#REF!</v>
      </c>
      <c r="G35" s="6" t="e">
        <f>VLOOKUP($A35,#REF!,25,0)</f>
        <v>#REF!</v>
      </c>
      <c r="H35" s="6">
        <f>VLOOKUP($A35,[29]TONTJANV21!$A$6:$T$41,4,0)</f>
        <v>23000</v>
      </c>
      <c r="I35" s="6">
        <f t="shared" si="1"/>
        <v>19000</v>
      </c>
      <c r="J35" s="6">
        <f t="shared" si="2"/>
        <v>500</v>
      </c>
      <c r="K35" s="6">
        <f t="shared" si="3"/>
        <v>1000</v>
      </c>
      <c r="L35" s="6">
        <f t="shared" si="4"/>
        <v>2500</v>
      </c>
      <c r="M35" s="6" t="e">
        <f>VLOOKUP($A35,#REF!,5,0)</f>
        <v>#REF!</v>
      </c>
      <c r="N35" s="6" t="e">
        <f>VLOOKUP($A35,#REF!,27,0)</f>
        <v>#REF!</v>
      </c>
      <c r="O35" s="6" t="e">
        <f>VLOOKUP($A35,#REF!,26,0)</f>
        <v>#REF!</v>
      </c>
      <c r="P35" s="6" t="e">
        <f>VLOOKUP($A35,#REF!,20,0)</f>
        <v>#REF!</v>
      </c>
      <c r="Q35" s="6" t="e">
        <f t="shared" si="5"/>
        <v>#REF!</v>
      </c>
      <c r="R35" s="6" t="e">
        <f>VLOOKUP($A35,#REF!,23,0)</f>
        <v>#REF!</v>
      </c>
      <c r="S35" s="6" t="e">
        <f>VLOOKUP($A35,#REF!,17,0)</f>
        <v>#REF!</v>
      </c>
      <c r="T35" s="6" t="e">
        <f>VLOOKUP($A35,#REF!,18,0)</f>
        <v>#REF!</v>
      </c>
      <c r="U35" s="6" t="e">
        <f>VLOOKUP($A35,#REF!,21,0)</f>
        <v>#REF!</v>
      </c>
      <c r="V35" s="6" t="e">
        <f>VLOOKUP($A35,#REF!,22,0)</f>
        <v>#REF!</v>
      </c>
      <c r="W35" s="2"/>
      <c r="X35" s="2"/>
      <c r="Y35" s="6" t="e">
        <f>VLOOKUP(A35,#REF!,40,0)</f>
        <v>#REF!</v>
      </c>
      <c r="Z35" s="6" t="e">
        <f>VLOOKUP($A35,#REF!,41,0)</f>
        <v>#REF!</v>
      </c>
      <c r="AA35" s="2"/>
    </row>
    <row r="36" spans="1:34" x14ac:dyDescent="0.25">
      <c r="A36" s="1" t="s">
        <v>54</v>
      </c>
      <c r="B36" s="1" t="str">
        <f>VLOOKUP(A36,[21]LISTADHERENT!A$5:H$60,3,0)</f>
        <v>TIEYAM ERNEST</v>
      </c>
      <c r="C36" s="1"/>
      <c r="D36" s="1"/>
      <c r="E36" s="5" t="e">
        <f t="shared" si="0"/>
        <v>#REF!</v>
      </c>
      <c r="F36" s="5" t="e">
        <f>+#REF!+#REF!+I36</f>
        <v>#REF!</v>
      </c>
      <c r="G36" s="6" t="e">
        <f>VLOOKUP($A36,#REF!,25,0)</f>
        <v>#REF!</v>
      </c>
      <c r="H36" s="6" t="e">
        <f>VLOOKUP($A36,[29]TONTJANV21!$A$6:$T$41,4,0)</f>
        <v>#N/A</v>
      </c>
      <c r="I36" s="6" t="e">
        <f t="shared" si="1"/>
        <v>#N/A</v>
      </c>
      <c r="J36" s="6" t="e">
        <f t="shared" si="2"/>
        <v>#N/A</v>
      </c>
      <c r="K36" s="6" t="e">
        <f t="shared" si="3"/>
        <v>#N/A</v>
      </c>
      <c r="L36" s="6" t="e">
        <f t="shared" si="4"/>
        <v>#N/A</v>
      </c>
      <c r="M36" s="6" t="e">
        <f>VLOOKUP($A36,#REF!,5,0)</f>
        <v>#REF!</v>
      </c>
      <c r="N36" s="6" t="e">
        <f>VLOOKUP($A36,#REF!,27,0)</f>
        <v>#REF!</v>
      </c>
      <c r="O36" s="6" t="e">
        <f>VLOOKUP($A36,#REF!,26,0)</f>
        <v>#REF!</v>
      </c>
      <c r="P36" s="6" t="e">
        <f>VLOOKUP($A36,#REF!,20,0)</f>
        <v>#REF!</v>
      </c>
      <c r="Q36" s="6" t="e">
        <f t="shared" si="5"/>
        <v>#REF!</v>
      </c>
      <c r="R36" s="6" t="e">
        <f>VLOOKUP($A36,#REF!,23,0)</f>
        <v>#REF!</v>
      </c>
      <c r="S36" s="6" t="e">
        <f>VLOOKUP($A36,#REF!,17,0)</f>
        <v>#REF!</v>
      </c>
      <c r="T36" s="6" t="e">
        <f>VLOOKUP($A36,#REF!,18,0)</f>
        <v>#REF!</v>
      </c>
      <c r="U36" s="6" t="e">
        <f>VLOOKUP($A36,#REF!,21,0)</f>
        <v>#REF!</v>
      </c>
      <c r="V36" s="6" t="e">
        <f>VLOOKUP($A36,#REF!,22,0)</f>
        <v>#REF!</v>
      </c>
      <c r="W36" s="2"/>
      <c r="X36" s="2"/>
      <c r="Y36" s="6" t="e">
        <f>VLOOKUP(A36,#REF!,40,0)</f>
        <v>#REF!</v>
      </c>
      <c r="Z36" s="6" t="e">
        <f>VLOOKUP($A36,#REF!,41,0)</f>
        <v>#REF!</v>
      </c>
      <c r="AA36" s="2"/>
    </row>
    <row r="37" spans="1:34" x14ac:dyDescent="0.25">
      <c r="A37" s="1" t="s">
        <v>55</v>
      </c>
      <c r="B37" s="1" t="str">
        <f>VLOOKUP(A37,[21]LISTADHERENT!A$5:H$60,3,0)</f>
        <v>YEPMOU JEAN JACQUES</v>
      </c>
      <c r="C37" s="1"/>
      <c r="D37" s="1"/>
      <c r="E37" s="5" t="e">
        <f t="shared" si="0"/>
        <v>#REF!</v>
      </c>
      <c r="F37" s="5" t="e">
        <f>+#REF!+#REF!+I37</f>
        <v>#REF!</v>
      </c>
      <c r="G37" s="6" t="e">
        <f>VLOOKUP($A37,#REF!,25,0)</f>
        <v>#REF!</v>
      </c>
      <c r="H37" s="6">
        <f>VLOOKUP($A37,[29]TONTJANV21!$A$6:$T$41,4,0)</f>
        <v>23000</v>
      </c>
      <c r="I37" s="6">
        <f t="shared" si="1"/>
        <v>19000</v>
      </c>
      <c r="J37" s="6">
        <f t="shared" si="2"/>
        <v>500</v>
      </c>
      <c r="K37" s="6">
        <f t="shared" si="3"/>
        <v>1000</v>
      </c>
      <c r="L37" s="6">
        <f t="shared" si="4"/>
        <v>2500</v>
      </c>
      <c r="M37" s="6" t="e">
        <f>VLOOKUP($A37,#REF!,5,0)</f>
        <v>#REF!</v>
      </c>
      <c r="N37" s="6" t="e">
        <f>VLOOKUP($A37,#REF!,27,0)</f>
        <v>#REF!</v>
      </c>
      <c r="O37" s="6" t="e">
        <f>VLOOKUP($A37,#REF!,26,0)</f>
        <v>#REF!</v>
      </c>
      <c r="P37" s="6" t="e">
        <f>VLOOKUP($A37,#REF!,20,0)</f>
        <v>#REF!</v>
      </c>
      <c r="Q37" s="6" t="e">
        <f t="shared" si="5"/>
        <v>#REF!</v>
      </c>
      <c r="R37" s="6" t="e">
        <f>VLOOKUP($A37,#REF!,23,0)</f>
        <v>#REF!</v>
      </c>
      <c r="S37" s="6" t="e">
        <f>VLOOKUP($A37,#REF!,17,0)</f>
        <v>#REF!</v>
      </c>
      <c r="T37" s="6" t="e">
        <f>VLOOKUP($A37,#REF!,18,0)</f>
        <v>#REF!</v>
      </c>
      <c r="U37" s="6" t="e">
        <f>VLOOKUP($A37,#REF!,21,0)</f>
        <v>#REF!</v>
      </c>
      <c r="V37" s="6" t="e">
        <f>VLOOKUP($A37,#REF!,22,0)</f>
        <v>#REF!</v>
      </c>
      <c r="W37" s="2"/>
      <c r="X37" s="2"/>
      <c r="Y37" s="6" t="e">
        <f>VLOOKUP(A37,#REF!,40,0)</f>
        <v>#REF!</v>
      </c>
      <c r="Z37" s="6" t="e">
        <f>VLOOKUP($A37,#REF!,41,0)</f>
        <v>#REF!</v>
      </c>
      <c r="AA37" s="2"/>
    </row>
    <row r="38" spans="1:34" x14ac:dyDescent="0.25">
      <c r="A38" s="1" t="s">
        <v>56</v>
      </c>
      <c r="B38" s="1" t="str">
        <f>VLOOKUP(A38,[21]LISTADHERENT!A$5:H$60,3,0)</f>
        <v>YOUMBI EMMANUEL</v>
      </c>
      <c r="C38" s="1"/>
      <c r="D38" s="1"/>
      <c r="E38" s="5" t="e">
        <f t="shared" si="0"/>
        <v>#REF!</v>
      </c>
      <c r="F38" s="5" t="e">
        <f>+#REF!+#REF!+I38</f>
        <v>#REF!</v>
      </c>
      <c r="G38" s="6" t="e">
        <f>VLOOKUP($A38,#REF!,25,0)</f>
        <v>#REF!</v>
      </c>
      <c r="H38" s="6">
        <f>VLOOKUP($A38,[29]TONTJANV21!$A$6:$T$41,4,0)</f>
        <v>23000</v>
      </c>
      <c r="I38" s="6">
        <f t="shared" si="1"/>
        <v>19000</v>
      </c>
      <c r="J38" s="6">
        <f t="shared" si="2"/>
        <v>500</v>
      </c>
      <c r="K38" s="6">
        <f t="shared" si="3"/>
        <v>1000</v>
      </c>
      <c r="L38" s="6">
        <f t="shared" si="4"/>
        <v>2500</v>
      </c>
      <c r="M38" s="6" t="e">
        <f>VLOOKUP($A38,#REF!,5,0)</f>
        <v>#REF!</v>
      </c>
      <c r="N38" s="6" t="e">
        <f>VLOOKUP($A38,#REF!,27,0)</f>
        <v>#REF!</v>
      </c>
      <c r="O38" s="6" t="e">
        <f>VLOOKUP($A38,#REF!,26,0)</f>
        <v>#REF!</v>
      </c>
      <c r="P38" s="6" t="e">
        <f>VLOOKUP($A38,#REF!,20,0)</f>
        <v>#REF!</v>
      </c>
      <c r="Q38" s="6" t="e">
        <f t="shared" si="5"/>
        <v>#REF!</v>
      </c>
      <c r="R38" s="6" t="e">
        <f>VLOOKUP($A38,#REF!,23,0)</f>
        <v>#REF!</v>
      </c>
      <c r="S38" s="6" t="e">
        <f>VLOOKUP($A38,#REF!,17,0)</f>
        <v>#REF!</v>
      </c>
      <c r="T38" s="6" t="e">
        <f>VLOOKUP($A38,#REF!,18,0)</f>
        <v>#REF!</v>
      </c>
      <c r="U38" s="6" t="e">
        <f>VLOOKUP($A38,#REF!,21,0)</f>
        <v>#REF!</v>
      </c>
      <c r="V38" s="6" t="e">
        <f>VLOOKUP($A38,#REF!,22,0)</f>
        <v>#REF!</v>
      </c>
      <c r="W38" s="2"/>
      <c r="X38" s="2"/>
      <c r="Y38" s="6" t="e">
        <f>VLOOKUP(A38,#REF!,40,0)</f>
        <v>#REF!</v>
      </c>
      <c r="Z38" s="6" t="e">
        <f>VLOOKUP($A38,#REF!,41,0)</f>
        <v>#REF!</v>
      </c>
    </row>
    <row r="39" spans="1:34" x14ac:dyDescent="0.25">
      <c r="A39" s="15"/>
      <c r="B39" s="1"/>
      <c r="C39" s="1"/>
      <c r="D39" s="1"/>
      <c r="E39" s="5"/>
      <c r="F39" s="5"/>
      <c r="G39" s="5"/>
      <c r="H39" s="6"/>
      <c r="I39" s="6"/>
      <c r="J39" s="6"/>
      <c r="K39" s="6"/>
      <c r="L39" s="6"/>
      <c r="M39" s="6"/>
      <c r="N39" s="6"/>
      <c r="P39" s="6"/>
      <c r="Q39" s="6"/>
      <c r="R39" s="6"/>
      <c r="S39" s="6"/>
      <c r="T39" s="10"/>
      <c r="U39" s="10"/>
      <c r="V39" s="10"/>
      <c r="W39" s="2"/>
    </row>
    <row r="40" spans="1:34" x14ac:dyDescent="0.25">
      <c r="A40" s="15"/>
      <c r="B40" s="1"/>
      <c r="C40" s="1"/>
      <c r="D40" s="1"/>
      <c r="E40" s="5"/>
      <c r="F40" s="5"/>
      <c r="G40" s="5"/>
      <c r="H40" s="6"/>
      <c r="I40" s="6"/>
      <c r="J40" s="6"/>
      <c r="K40" s="6"/>
      <c r="L40" s="6"/>
      <c r="M40" s="6"/>
      <c r="N40" s="6"/>
      <c r="P40" s="6"/>
      <c r="Q40" s="6"/>
      <c r="R40" s="6"/>
      <c r="S40" s="6"/>
      <c r="T40" s="10"/>
      <c r="U40" s="10"/>
      <c r="V40" s="10"/>
      <c r="W40" s="2"/>
    </row>
    <row r="41" spans="1:34" x14ac:dyDescent="0.25">
      <c r="A41" s="1"/>
      <c r="B41" s="1"/>
      <c r="C41" s="1"/>
      <c r="D41" s="1"/>
      <c r="E41" s="1"/>
      <c r="F41" s="5"/>
      <c r="G41" s="1"/>
      <c r="H41" s="1"/>
    </row>
    <row r="42" spans="1:34" ht="18" x14ac:dyDescent="0.25">
      <c r="A42" s="1" t="s">
        <v>57</v>
      </c>
      <c r="B42" s="1"/>
      <c r="C42" s="1"/>
      <c r="D42" s="1"/>
      <c r="E42" s="9" t="e">
        <f t="shared" ref="E42:O42" si="6">SUM(E6:E38)</f>
        <v>#REF!</v>
      </c>
      <c r="F42" s="9" t="e">
        <f t="shared" si="6"/>
        <v>#REF!</v>
      </c>
      <c r="G42" s="9" t="e">
        <f t="shared" si="6"/>
        <v>#REF!</v>
      </c>
      <c r="H42" s="9" t="e">
        <f t="shared" si="6"/>
        <v>#N/A</v>
      </c>
      <c r="I42" s="9" t="e">
        <f t="shared" si="6"/>
        <v>#N/A</v>
      </c>
      <c r="J42" s="9" t="e">
        <f t="shared" si="6"/>
        <v>#N/A</v>
      </c>
      <c r="K42" s="9" t="e">
        <f t="shared" si="6"/>
        <v>#N/A</v>
      </c>
      <c r="L42" s="9" t="e">
        <f t="shared" si="6"/>
        <v>#N/A</v>
      </c>
      <c r="M42" s="9" t="e">
        <f t="shared" si="6"/>
        <v>#REF!</v>
      </c>
      <c r="N42" s="9" t="e">
        <f t="shared" si="6"/>
        <v>#REF!</v>
      </c>
      <c r="O42" s="9" t="e">
        <f t="shared" si="6"/>
        <v>#REF!</v>
      </c>
      <c r="P42" s="9" t="e">
        <f>SUM(P6:P36)</f>
        <v>#REF!</v>
      </c>
      <c r="Q42" s="9" t="e">
        <f>SUM(Q6:Q38)</f>
        <v>#REF!</v>
      </c>
      <c r="R42" s="9"/>
      <c r="S42" s="9" t="e">
        <f>SUM(S6:S38)</f>
        <v>#REF!</v>
      </c>
      <c r="T42" s="9"/>
      <c r="U42" s="9"/>
      <c r="V42" s="9"/>
      <c r="W42" s="9">
        <f>SUM(W6:W35)</f>
        <v>0</v>
      </c>
      <c r="X42" s="9">
        <f>SUM(X6:X35)</f>
        <v>0</v>
      </c>
      <c r="Z42" s="9" t="e">
        <f>SUM(Z6:Z35)</f>
        <v>#REF!</v>
      </c>
    </row>
    <row r="45" spans="1:34" ht="18" x14ac:dyDescent="0.25">
      <c r="E45" s="4"/>
      <c r="F45" s="9" t="s">
        <v>59</v>
      </c>
      <c r="G45" s="9">
        <f>[3]TONTDEC20!$E$51</f>
        <v>600000</v>
      </c>
    </row>
    <row r="46" spans="1:34" ht="18" x14ac:dyDescent="0.25">
      <c r="E46" s="4"/>
      <c r="F46" s="9" t="s">
        <v>84</v>
      </c>
      <c r="G46" s="9" t="e">
        <f>+M42</f>
        <v>#REF!</v>
      </c>
    </row>
    <row r="47" spans="1:34" ht="18" x14ac:dyDescent="0.25">
      <c r="E47" s="4"/>
      <c r="F47" s="9" t="s">
        <v>8</v>
      </c>
      <c r="G47" s="9" t="e">
        <f>+G42</f>
        <v>#REF!</v>
      </c>
    </row>
    <row r="48" spans="1:34" ht="18" x14ac:dyDescent="0.25">
      <c r="E48" s="4"/>
      <c r="F48" s="9" t="s">
        <v>9</v>
      </c>
      <c r="G48" s="9" t="e">
        <f>+I42</f>
        <v>#N/A</v>
      </c>
    </row>
    <row r="49" spans="5:8" ht="18" x14ac:dyDescent="0.25">
      <c r="E49" s="4"/>
      <c r="F49" s="9" t="s">
        <v>10</v>
      </c>
      <c r="G49" s="9" t="e">
        <f>+J42</f>
        <v>#N/A</v>
      </c>
    </row>
    <row r="50" spans="5:8" ht="18" x14ac:dyDescent="0.25">
      <c r="E50" s="4"/>
      <c r="F50" s="9" t="s">
        <v>58</v>
      </c>
      <c r="G50" s="9" t="e">
        <f>+K42</f>
        <v>#N/A</v>
      </c>
    </row>
    <row r="51" spans="5:8" ht="18" x14ac:dyDescent="0.25">
      <c r="E51" s="4"/>
      <c r="F51" s="9" t="s">
        <v>12</v>
      </c>
      <c r="G51" s="9" t="e">
        <f>+L42</f>
        <v>#N/A</v>
      </c>
    </row>
    <row r="52" spans="5:8" ht="18" x14ac:dyDescent="0.25">
      <c r="E52" s="4"/>
      <c r="F52" s="9" t="s">
        <v>71</v>
      </c>
      <c r="G52" s="9">
        <f>+N41</f>
        <v>0</v>
      </c>
    </row>
    <row r="53" spans="5:8" ht="18" x14ac:dyDescent="0.25">
      <c r="E53" s="4"/>
      <c r="F53" s="9" t="s">
        <v>13</v>
      </c>
      <c r="G53" s="9" t="e">
        <f>+O42</f>
        <v>#REF!</v>
      </c>
    </row>
    <row r="54" spans="5:8" ht="18" x14ac:dyDescent="0.25">
      <c r="E54" s="4"/>
      <c r="F54" s="9" t="s">
        <v>85</v>
      </c>
      <c r="G54" s="9" t="e">
        <f>+P42</f>
        <v>#REF!</v>
      </c>
    </row>
    <row r="55" spans="5:8" ht="18" x14ac:dyDescent="0.25">
      <c r="E55" s="4"/>
      <c r="F55" s="9" t="s">
        <v>62</v>
      </c>
      <c r="G55" s="9" t="e">
        <f>+Q42</f>
        <v>#REF!</v>
      </c>
    </row>
    <row r="56" spans="5:8" ht="18" x14ac:dyDescent="0.25">
      <c r="E56" s="4"/>
      <c r="F56" s="9" t="s">
        <v>66</v>
      </c>
      <c r="G56" s="9" t="e">
        <f>+S42</f>
        <v>#REF!</v>
      </c>
    </row>
    <row r="57" spans="5:8" ht="18" x14ac:dyDescent="0.25">
      <c r="E57" s="4"/>
      <c r="F57" s="9" t="s">
        <v>65</v>
      </c>
      <c r="G57" s="9">
        <f>+W43</f>
        <v>0</v>
      </c>
    </row>
    <row r="58" spans="5:8" ht="18" x14ac:dyDescent="0.25">
      <c r="E58" s="4"/>
      <c r="F58" s="9" t="s">
        <v>14</v>
      </c>
      <c r="G58" s="9">
        <f>X42</f>
        <v>0</v>
      </c>
      <c r="H58" s="9"/>
    </row>
  </sheetData>
  <autoFilter ref="A5:U37">
    <sortState ref="A5:L48">
      <sortCondition ref="B5:B48"/>
    </sortState>
  </autoFilter>
  <sortState ref="A6:Y38">
    <sortCondition ref="B6:B38"/>
  </sortState>
  <mergeCells count="1">
    <mergeCell ref="E4:I4"/>
  </mergeCells>
  <dataValidations disablePrompts="1" count="1">
    <dataValidation type="list" allowBlank="1" showInputMessage="1" showErrorMessage="1" sqref="T39:V40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49"/>
  <sheetViews>
    <sheetView zoomScaleNormal="100" zoomScaleSheetLayoutView="106" workbookViewId="0">
      <pane xSplit="2" ySplit="5" topLeftCell="R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V6" sqref="V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4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0" t="s">
        <v>247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VLOOKUP(A6,[21]LISTADHERENT!A$5:H$60,3,0)</f>
        <v>ASELBY</v>
      </c>
      <c r="C6" s="6" t="e">
        <f>VLOOKUP($A6,#REF!,3,0)</f>
        <v>#REF!</v>
      </c>
      <c r="D6" s="6" t="e">
        <f>VLOOKUP($A6,#REF!,4,0)</f>
        <v>#REF!</v>
      </c>
      <c r="E6" s="6" t="e">
        <f>VLOOKUP($A6,#REF!,5,0)</f>
        <v>#REF!</v>
      </c>
      <c r="F6" s="6" t="e">
        <f>VLOOKUP($A6,#REF!,6,0)</f>
        <v>#REF!</v>
      </c>
      <c r="G6" s="6" t="e">
        <f>VLOOKUP($A6,#REF!,7,0)</f>
        <v>#REF!</v>
      </c>
      <c r="H6" s="6" t="e">
        <f>VLOOKUP($A6,#REF!,11,0)</f>
        <v>#REF!</v>
      </c>
      <c r="I6" s="43"/>
      <c r="J6" s="43"/>
      <c r="K6" s="43" t="e">
        <f>D6+G6+H6</f>
        <v>#REF!</v>
      </c>
      <c r="L6" s="43"/>
      <c r="M6" s="43"/>
      <c r="N6" s="43"/>
      <c r="O6" s="43">
        <f>M6+N6</f>
        <v>0</v>
      </c>
      <c r="P6" s="43"/>
      <c r="Q6" s="43"/>
      <c r="R6" s="43" t="e">
        <f>VLOOKUP($A6,#REF!,35,0)</f>
        <v>#REF!</v>
      </c>
      <c r="S6" s="43"/>
      <c r="T6" s="43"/>
      <c r="U6" s="43">
        <v>816544</v>
      </c>
      <c r="V6" s="44" t="e">
        <f>F6+N6</f>
        <v>#REF!</v>
      </c>
      <c r="W6" s="43">
        <v>0</v>
      </c>
      <c r="X6" s="11" t="e">
        <f>IF(Q6=0,70000,0)+Q6+R6+(600000-V6)</f>
        <v>#REF!</v>
      </c>
      <c r="Y6" s="2"/>
      <c r="Z6" s="2"/>
    </row>
    <row r="7" spans="1:26" x14ac:dyDescent="0.25">
      <c r="A7" s="1" t="s">
        <v>19</v>
      </c>
      <c r="B7" s="1" t="str">
        <f>VLOOKUP(A7,[21]LISTADHERENT!A$5:H$60,3,0)</f>
        <v>BOUTCHOUANG WILLIAM</v>
      </c>
      <c r="C7" s="6" t="e">
        <f>VLOOKUP($A7,#REF!,3,0)</f>
        <v>#REF!</v>
      </c>
      <c r="D7" s="6" t="e">
        <f>VLOOKUP($A7,#REF!,4,0)</f>
        <v>#REF!</v>
      </c>
      <c r="E7" s="6" t="e">
        <f>VLOOKUP($A7,#REF!,5,0)</f>
        <v>#REF!</v>
      </c>
      <c r="F7" s="6" t="e">
        <f>VLOOKUP($A7,#REF!,6,0)</f>
        <v>#REF!</v>
      </c>
      <c r="G7" s="6" t="e">
        <f>VLOOKUP($A7,#REF!,7,0)</f>
        <v>#REF!</v>
      </c>
      <c r="H7" s="6" t="e">
        <f>VLOOKUP($A7,#REF!,11,0)</f>
        <v>#REF!</v>
      </c>
      <c r="I7" s="43"/>
      <c r="J7" s="43"/>
      <c r="K7" s="43" t="e">
        <f t="shared" ref="K7:K36" si="0">D7+G7+H7</f>
        <v>#REF!</v>
      </c>
      <c r="L7" s="43"/>
      <c r="M7" s="43">
        <v>20000</v>
      </c>
      <c r="N7" s="43">
        <v>30000</v>
      </c>
      <c r="O7" s="43">
        <f t="shared" ref="O7:O36" si="1">M7+N7</f>
        <v>50000</v>
      </c>
      <c r="P7" s="43" t="e">
        <f>IF(Q7&lt;70000,K7-O7-(70000-Q7),K7-O7)</f>
        <v>#REF!</v>
      </c>
      <c r="Q7" s="43" t="e">
        <f>VLOOKUP($A7,#REF!,30,0)</f>
        <v>#REF!</v>
      </c>
      <c r="R7" s="43" t="e">
        <f>VLOOKUP($A7,#REF!,35,0)</f>
        <v>#REF!</v>
      </c>
      <c r="S7" s="43" t="e">
        <f>IF(Q7=0,P7-R7-Q7,P7-R7)-W7</f>
        <v>#REF!</v>
      </c>
      <c r="T7" s="43">
        <v>40000</v>
      </c>
      <c r="U7" s="43"/>
      <c r="V7" s="44" t="e">
        <f t="shared" ref="V7:V36" si="2">F7+N7</f>
        <v>#REF!</v>
      </c>
      <c r="W7" s="43">
        <v>0</v>
      </c>
      <c r="X7" s="11"/>
      <c r="Y7" s="2"/>
      <c r="Z7" s="2"/>
    </row>
    <row r="8" spans="1:26" x14ac:dyDescent="0.25">
      <c r="A8" s="1" t="s">
        <v>23</v>
      </c>
      <c r="B8" s="1" t="str">
        <f>VLOOKUP(A8,[21]LISTADHERENT!A$5:H$60,3,0)</f>
        <v xml:space="preserve">DJOMO JEAN PAUL </v>
      </c>
      <c r="C8" s="6" t="e">
        <f>VLOOKUP($A8,#REF!,3,0)</f>
        <v>#REF!</v>
      </c>
      <c r="D8" s="6" t="e">
        <f>VLOOKUP($A8,#REF!,4,0)</f>
        <v>#REF!</v>
      </c>
      <c r="E8" s="6" t="e">
        <f>VLOOKUP($A8,#REF!,5,0)</f>
        <v>#REF!</v>
      </c>
      <c r="F8" s="6" t="e">
        <f>VLOOKUP($A8,#REF!,6,0)</f>
        <v>#REF!</v>
      </c>
      <c r="G8" s="6" t="e">
        <f>VLOOKUP($A8,#REF!,7,0)</f>
        <v>#REF!</v>
      </c>
      <c r="H8" s="6" t="e">
        <f>VLOOKUP($A8,#REF!,11,0)</f>
        <v>#REF!</v>
      </c>
      <c r="I8" s="43"/>
      <c r="J8" s="43"/>
      <c r="K8" s="43" t="e">
        <f t="shared" si="0"/>
        <v>#REF!</v>
      </c>
      <c r="L8" s="43"/>
      <c r="M8" s="43">
        <v>20000</v>
      </c>
      <c r="N8" s="43">
        <v>30000</v>
      </c>
      <c r="O8" s="43">
        <f t="shared" si="1"/>
        <v>50000</v>
      </c>
      <c r="P8" s="43" t="e">
        <f>IF(Q8&lt;70000,K8-O8-(70000-Q8),K8-O8)+70000</f>
        <v>#REF!</v>
      </c>
      <c r="Q8" s="43" t="e">
        <f>VLOOKUP($A8,#REF!,30,0)</f>
        <v>#REF!</v>
      </c>
      <c r="R8" s="43" t="e">
        <f>VLOOKUP($A8,#REF!,35,0)</f>
        <v>#REF!</v>
      </c>
      <c r="S8" s="43" t="e">
        <f>IF(Q8=0,P8-R8-Q8,P8-R8)-W8</f>
        <v>#REF!</v>
      </c>
      <c r="T8" s="43">
        <v>50000</v>
      </c>
      <c r="U8" s="43"/>
      <c r="V8" s="44" t="e">
        <f t="shared" si="2"/>
        <v>#REF!</v>
      </c>
      <c r="W8" s="43">
        <v>0</v>
      </c>
      <c r="X8" s="11"/>
      <c r="Y8" s="2"/>
      <c r="Z8" s="2"/>
    </row>
    <row r="9" spans="1:26" x14ac:dyDescent="0.25">
      <c r="A9" s="1" t="s">
        <v>154</v>
      </c>
      <c r="B9" s="1" t="str">
        <f>VLOOKUP(A9,[21]LISTADHERENT!A$5:H$60,3,0)</f>
        <v>DJOMOU TCHANDA</v>
      </c>
      <c r="C9" s="6" t="e">
        <f>VLOOKUP($A9,#REF!,3,0)</f>
        <v>#REF!</v>
      </c>
      <c r="D9" s="6" t="e">
        <f>VLOOKUP($A9,#REF!,4,0)</f>
        <v>#REF!</v>
      </c>
      <c r="E9" s="6" t="e">
        <f>VLOOKUP($A9,#REF!,5,0)</f>
        <v>#REF!</v>
      </c>
      <c r="F9" s="6" t="e">
        <f>VLOOKUP($A9,#REF!,6,0)</f>
        <v>#REF!</v>
      </c>
      <c r="G9" s="6" t="e">
        <f>VLOOKUP($A9,#REF!,7,0)</f>
        <v>#REF!</v>
      </c>
      <c r="H9" s="6" t="e">
        <f>VLOOKUP($A9,#REF!,11,0)</f>
        <v>#REF!</v>
      </c>
      <c r="I9" s="43"/>
      <c r="J9" s="43"/>
      <c r="K9" s="43" t="e">
        <f t="shared" si="0"/>
        <v>#REF!</v>
      </c>
      <c r="L9" s="43"/>
      <c r="M9" s="43">
        <v>20000</v>
      </c>
      <c r="N9" s="43">
        <v>30000</v>
      </c>
      <c r="O9" s="43">
        <f t="shared" si="1"/>
        <v>50000</v>
      </c>
      <c r="P9" s="43" t="e">
        <f t="shared" ref="P9:P36" si="3">IF(Q9&lt;70000,K9-O9-(70000-Q9),K9-O9)</f>
        <v>#REF!</v>
      </c>
      <c r="Q9" s="43" t="e">
        <f>VLOOKUP($A9,#REF!,30,0)</f>
        <v>#REF!</v>
      </c>
      <c r="R9" s="43" t="e">
        <f>VLOOKUP($A9,#REF!,35,0)</f>
        <v>#REF!</v>
      </c>
      <c r="S9" s="43" t="e">
        <f t="shared" ref="S9:S36" si="4">IF(Q9=0,P9-R9-Q9,P9-R9)-W9</f>
        <v>#REF!</v>
      </c>
      <c r="T9" s="43">
        <v>0</v>
      </c>
      <c r="U9" s="43"/>
      <c r="V9" s="44" t="e">
        <f t="shared" si="2"/>
        <v>#REF!</v>
      </c>
      <c r="W9" s="43">
        <v>0</v>
      </c>
      <c r="X9" s="11"/>
      <c r="Y9" s="2"/>
      <c r="Z9" s="2"/>
    </row>
    <row r="10" spans="1:26" x14ac:dyDescent="0.25">
      <c r="A10" s="1" t="s">
        <v>24</v>
      </c>
      <c r="B10" s="1" t="str">
        <f>VLOOKUP(A10,[21]LISTADHERENT!A$5:H$60,3,0)</f>
        <v>DJOUKWE NANGUEN GUY BLAISE</v>
      </c>
      <c r="C10" s="6" t="e">
        <f>VLOOKUP($A10,#REF!,3,0)</f>
        <v>#REF!</v>
      </c>
      <c r="D10" s="6" t="e">
        <f>VLOOKUP($A10,#REF!,4,0)</f>
        <v>#REF!</v>
      </c>
      <c r="E10" s="6" t="e">
        <f>VLOOKUP($A10,#REF!,5,0)</f>
        <v>#REF!</v>
      </c>
      <c r="F10" s="6" t="e">
        <f>VLOOKUP($A10,#REF!,6,0)</f>
        <v>#REF!</v>
      </c>
      <c r="G10" s="6" t="e">
        <f>VLOOKUP($A10,#REF!,7,0)</f>
        <v>#REF!</v>
      </c>
      <c r="H10" s="6" t="e">
        <f>VLOOKUP($A10,#REF!,11,0)</f>
        <v>#REF!</v>
      </c>
      <c r="I10" s="43"/>
      <c r="J10" s="43"/>
      <c r="K10" s="43" t="e">
        <f t="shared" si="0"/>
        <v>#REF!</v>
      </c>
      <c r="L10" s="43"/>
      <c r="M10" s="43">
        <v>20000</v>
      </c>
      <c r="N10" s="43">
        <v>30000</v>
      </c>
      <c r="O10" s="43">
        <f t="shared" si="1"/>
        <v>50000</v>
      </c>
      <c r="P10" s="43" t="e">
        <f t="shared" si="3"/>
        <v>#REF!</v>
      </c>
      <c r="Q10" s="43" t="e">
        <f>VLOOKUP($A10,#REF!,30,0)</f>
        <v>#REF!</v>
      </c>
      <c r="R10" s="43" t="e">
        <f>VLOOKUP($A10,#REF!,35,0)</f>
        <v>#REF!</v>
      </c>
      <c r="S10" s="43" t="e">
        <f t="shared" si="4"/>
        <v>#REF!</v>
      </c>
      <c r="T10" s="43">
        <v>20000</v>
      </c>
      <c r="U10" s="43"/>
      <c r="V10" s="44" t="e">
        <f t="shared" si="2"/>
        <v>#REF!</v>
      </c>
      <c r="W10" s="43">
        <v>0</v>
      </c>
      <c r="X10" s="11"/>
      <c r="Y10" s="2"/>
      <c r="Z10" s="2"/>
    </row>
    <row r="11" spans="1:26" x14ac:dyDescent="0.25">
      <c r="A11" s="1" t="s">
        <v>25</v>
      </c>
      <c r="B11" s="1" t="str">
        <f>VLOOKUP(A11,[21]LISTADHERENT!A$5:H$60,3,0)</f>
        <v>DJUOMBESSY ANTOINE</v>
      </c>
      <c r="C11" s="6" t="e">
        <f>VLOOKUP($A11,#REF!,3,0)</f>
        <v>#REF!</v>
      </c>
      <c r="D11" s="6" t="e">
        <f>VLOOKUP($A11,#REF!,4,0)</f>
        <v>#REF!</v>
      </c>
      <c r="E11" s="6" t="e">
        <f>VLOOKUP($A11,#REF!,5,0)</f>
        <v>#REF!</v>
      </c>
      <c r="F11" s="6" t="e">
        <f>VLOOKUP($A11,#REF!,6,0)</f>
        <v>#REF!</v>
      </c>
      <c r="G11" s="6" t="e">
        <f>VLOOKUP($A11,#REF!,7,0)</f>
        <v>#REF!</v>
      </c>
      <c r="H11" s="6" t="e">
        <f>VLOOKUP($A11,#REF!,11,0)</f>
        <v>#REF!</v>
      </c>
      <c r="I11" s="43"/>
      <c r="J11" s="43"/>
      <c r="K11" s="43" t="e">
        <f t="shared" si="0"/>
        <v>#REF!</v>
      </c>
      <c r="L11" s="43"/>
      <c r="M11" s="43">
        <v>20000</v>
      </c>
      <c r="N11" s="43">
        <v>30000</v>
      </c>
      <c r="O11" s="43">
        <f t="shared" si="1"/>
        <v>50000</v>
      </c>
      <c r="P11" s="43" t="e">
        <f t="shared" si="3"/>
        <v>#REF!</v>
      </c>
      <c r="Q11" s="43" t="e">
        <f>VLOOKUP($A11,#REF!,30,0)</f>
        <v>#REF!</v>
      </c>
      <c r="R11" s="43" t="e">
        <f>VLOOKUP($A11,#REF!,35,0)</f>
        <v>#REF!</v>
      </c>
      <c r="S11" s="43" t="e">
        <f t="shared" si="4"/>
        <v>#REF!</v>
      </c>
      <c r="T11" s="43">
        <v>60000</v>
      </c>
      <c r="U11" s="43"/>
      <c r="V11" s="44" t="e">
        <f t="shared" si="2"/>
        <v>#REF!</v>
      </c>
      <c r="W11" s="43">
        <v>0</v>
      </c>
      <c r="X11" s="11"/>
      <c r="Y11" s="2"/>
      <c r="Z11" s="2"/>
    </row>
    <row r="12" spans="1:26" x14ac:dyDescent="0.25">
      <c r="A12" s="1" t="s">
        <v>79</v>
      </c>
      <c r="B12" s="1" t="str">
        <f>VLOOKUP(A12,[21]LISTADHERENT!A$5:H$60,3,0)</f>
        <v>DOMOU FABIEN</v>
      </c>
      <c r="C12" s="6" t="e">
        <f>VLOOKUP($A12,#REF!,3,0)</f>
        <v>#REF!</v>
      </c>
      <c r="D12" s="6" t="e">
        <f>VLOOKUP($A12,#REF!,4,0)</f>
        <v>#REF!</v>
      </c>
      <c r="E12" s="6" t="e">
        <f>VLOOKUP($A12,#REF!,5,0)</f>
        <v>#REF!</v>
      </c>
      <c r="F12" s="6" t="e">
        <f>VLOOKUP($A12,#REF!,6,0)</f>
        <v>#REF!</v>
      </c>
      <c r="G12" s="6" t="e">
        <f>VLOOKUP($A12,#REF!,7,0)</f>
        <v>#REF!</v>
      </c>
      <c r="H12" s="6" t="e">
        <f>VLOOKUP($A12,#REF!,11,0)</f>
        <v>#REF!</v>
      </c>
      <c r="I12" s="43"/>
      <c r="J12" s="43"/>
      <c r="K12" s="43" t="e">
        <f t="shared" si="0"/>
        <v>#REF!</v>
      </c>
      <c r="L12" s="43"/>
      <c r="M12" s="43">
        <v>20000</v>
      </c>
      <c r="N12" s="43">
        <v>30000</v>
      </c>
      <c r="O12" s="43">
        <f t="shared" si="1"/>
        <v>50000</v>
      </c>
      <c r="P12" s="43" t="e">
        <f t="shared" si="3"/>
        <v>#REF!</v>
      </c>
      <c r="Q12" s="43" t="e">
        <f>VLOOKUP($A12,#REF!,30,0)</f>
        <v>#REF!</v>
      </c>
      <c r="R12" s="43" t="e">
        <f>VLOOKUP($A12,#REF!,35,0)</f>
        <v>#REF!</v>
      </c>
      <c r="S12" s="43" t="e">
        <f t="shared" si="4"/>
        <v>#REF!</v>
      </c>
      <c r="T12" s="43">
        <v>115000</v>
      </c>
      <c r="U12" s="43"/>
      <c r="V12" s="44" t="e">
        <f t="shared" si="2"/>
        <v>#REF!</v>
      </c>
      <c r="W12" s="43">
        <v>0</v>
      </c>
      <c r="X12" s="11"/>
      <c r="Y12" s="2"/>
      <c r="Z12" s="2"/>
    </row>
    <row r="13" spans="1:26" x14ac:dyDescent="0.25">
      <c r="A13" s="1" t="s">
        <v>26</v>
      </c>
      <c r="B13" s="1" t="str">
        <f>VLOOKUP(A13,[21]LISTADHERENT!A$5:H$60,3,0)</f>
        <v>DONHOU DAVID</v>
      </c>
      <c r="C13" s="6" t="e">
        <f>VLOOKUP($A13,#REF!,3,0)</f>
        <v>#REF!</v>
      </c>
      <c r="D13" s="6" t="e">
        <f>VLOOKUP($A13,#REF!,4,0)</f>
        <v>#REF!</v>
      </c>
      <c r="E13" s="6" t="e">
        <f>VLOOKUP($A13,#REF!,5,0)</f>
        <v>#REF!</v>
      </c>
      <c r="F13" s="6" t="e">
        <f>VLOOKUP($A13,#REF!,6,0)</f>
        <v>#REF!</v>
      </c>
      <c r="G13" s="6" t="e">
        <f>VLOOKUP($A13,#REF!,7,0)</f>
        <v>#REF!</v>
      </c>
      <c r="H13" s="6" t="e">
        <f>VLOOKUP($A13,#REF!,11,0)</f>
        <v>#REF!</v>
      </c>
      <c r="I13" s="43"/>
      <c r="J13" s="43"/>
      <c r="K13" s="43" t="e">
        <f t="shared" si="0"/>
        <v>#REF!</v>
      </c>
      <c r="L13" s="43"/>
      <c r="M13" s="43">
        <v>20000</v>
      </c>
      <c r="N13" s="43">
        <v>30000</v>
      </c>
      <c r="O13" s="43">
        <f t="shared" si="1"/>
        <v>50000</v>
      </c>
      <c r="P13" s="43" t="e">
        <f t="shared" si="3"/>
        <v>#REF!</v>
      </c>
      <c r="Q13" s="43" t="e">
        <f>VLOOKUP($A13,#REF!,30,0)</f>
        <v>#REF!</v>
      </c>
      <c r="R13" s="43" t="e">
        <f>VLOOKUP($A13,#REF!,35,0)</f>
        <v>#REF!</v>
      </c>
      <c r="S13" s="43" t="e">
        <f t="shared" si="4"/>
        <v>#REF!</v>
      </c>
      <c r="T13" s="43">
        <v>0</v>
      </c>
      <c r="U13" s="43"/>
      <c r="V13" s="44" t="e">
        <f t="shared" si="2"/>
        <v>#REF!</v>
      </c>
      <c r="W13" s="43">
        <v>0</v>
      </c>
      <c r="X13" s="11"/>
      <c r="Y13" s="2"/>
      <c r="Z13" s="2"/>
    </row>
    <row r="14" spans="1:26" x14ac:dyDescent="0.25">
      <c r="A14" s="1" t="s">
        <v>27</v>
      </c>
      <c r="B14" s="1" t="str">
        <f>VLOOKUP(A14,[21]LISTADHERENT!A$5:H$60,3,0)</f>
        <v>FOTSO THOMAS</v>
      </c>
      <c r="C14" s="6" t="e">
        <f>VLOOKUP($A14,#REF!,3,0)</f>
        <v>#REF!</v>
      </c>
      <c r="D14" s="6" t="e">
        <f>VLOOKUP($A14,#REF!,4,0)</f>
        <v>#REF!</v>
      </c>
      <c r="E14" s="6" t="e">
        <f>VLOOKUP($A14,#REF!,5,0)</f>
        <v>#REF!</v>
      </c>
      <c r="F14" s="6" t="e">
        <f>VLOOKUP($A14,#REF!,6,0)</f>
        <v>#REF!</v>
      </c>
      <c r="G14" s="6" t="e">
        <f>VLOOKUP($A14,#REF!,7,0)</f>
        <v>#REF!</v>
      </c>
      <c r="H14" s="6" t="e">
        <f>VLOOKUP($A14,#REF!,11,0)</f>
        <v>#REF!</v>
      </c>
      <c r="I14" s="43"/>
      <c r="J14" s="43"/>
      <c r="K14" s="43" t="e">
        <f t="shared" si="0"/>
        <v>#REF!</v>
      </c>
      <c r="L14" s="43"/>
      <c r="M14" s="43"/>
      <c r="N14" s="43"/>
      <c r="O14" s="43">
        <f t="shared" si="1"/>
        <v>0</v>
      </c>
      <c r="P14" s="43">
        <v>0</v>
      </c>
      <c r="Q14" s="43" t="e">
        <f>VLOOKUP($A14,#REF!,30,0)</f>
        <v>#REF!</v>
      </c>
      <c r="R14" s="43" t="e">
        <f>VLOOKUP($A14,#REF!,35,0)</f>
        <v>#REF!</v>
      </c>
      <c r="S14" s="43" t="e">
        <f>IF(Q14=0,P14-R14-Q14,P14-R14)</f>
        <v>#REF!</v>
      </c>
      <c r="T14" s="43"/>
      <c r="U14" s="43"/>
      <c r="V14" s="44" t="e">
        <f t="shared" si="2"/>
        <v>#REF!</v>
      </c>
      <c r="W14" s="43">
        <v>122105.098582853</v>
      </c>
      <c r="X14" s="11" t="e">
        <f t="shared" ref="X14:X34" si="5">IF(Q14=0,70000,0)+Q14+R14+(600000-V14)</f>
        <v>#REF!</v>
      </c>
      <c r="Y14" s="2"/>
      <c r="Z14" s="2"/>
    </row>
    <row r="15" spans="1:26" ht="14.25" customHeight="1" x14ac:dyDescent="0.25">
      <c r="A15" s="1" t="s">
        <v>28</v>
      </c>
      <c r="B15" s="1" t="str">
        <f>VLOOKUP(A15,[21]LISTADHERENT!A$5:H$60,3,0)</f>
        <v>HENGUE PAUL OMER</v>
      </c>
      <c r="C15" s="6" t="e">
        <f>VLOOKUP($A15,#REF!,3,0)</f>
        <v>#REF!</v>
      </c>
      <c r="D15" s="6" t="e">
        <f>VLOOKUP($A15,#REF!,4,0)</f>
        <v>#REF!</v>
      </c>
      <c r="E15" s="6" t="e">
        <f>VLOOKUP($A15,#REF!,5,0)</f>
        <v>#REF!</v>
      </c>
      <c r="F15" s="6" t="e">
        <f>VLOOKUP($A15,#REF!,6,0)</f>
        <v>#REF!</v>
      </c>
      <c r="G15" s="6" t="e">
        <f>VLOOKUP($A15,#REF!,7,0)</f>
        <v>#REF!</v>
      </c>
      <c r="H15" s="6" t="e">
        <f>VLOOKUP($A15,#REF!,11,0)</f>
        <v>#REF!</v>
      </c>
      <c r="I15" s="43"/>
      <c r="J15" s="43"/>
      <c r="K15" s="43" t="e">
        <f t="shared" si="0"/>
        <v>#REF!</v>
      </c>
      <c r="L15" s="43"/>
      <c r="M15" s="43">
        <v>20000</v>
      </c>
      <c r="N15" s="43">
        <v>30000</v>
      </c>
      <c r="O15" s="43">
        <f t="shared" si="1"/>
        <v>50000</v>
      </c>
      <c r="P15" s="43" t="e">
        <f t="shared" si="3"/>
        <v>#REF!</v>
      </c>
      <c r="Q15" s="43" t="e">
        <f>VLOOKUP($A15,#REF!,30,0)</f>
        <v>#REF!</v>
      </c>
      <c r="R15" s="43" t="e">
        <f>VLOOKUP($A15,#REF!,35,0)</f>
        <v>#REF!</v>
      </c>
      <c r="S15" s="43" t="e">
        <f t="shared" si="4"/>
        <v>#REF!</v>
      </c>
      <c r="T15" s="43">
        <v>0</v>
      </c>
      <c r="U15" s="43"/>
      <c r="V15" s="44" t="e">
        <f t="shared" si="2"/>
        <v>#REF!</v>
      </c>
      <c r="W15" s="43">
        <v>0</v>
      </c>
      <c r="X15" s="11"/>
      <c r="Y15" s="2"/>
      <c r="Z15" s="2"/>
    </row>
    <row r="16" spans="1:26" x14ac:dyDescent="0.25">
      <c r="A16" s="1" t="s">
        <v>29</v>
      </c>
      <c r="B16" s="1" t="str">
        <f>VLOOKUP(A16,[21]LISTADHERENT!A$5:H$60,3,0)</f>
        <v>HOTCHO BENJAMIN</v>
      </c>
      <c r="C16" s="6" t="e">
        <f>VLOOKUP($A16,#REF!,3,0)</f>
        <v>#REF!</v>
      </c>
      <c r="D16" s="6" t="e">
        <f>VLOOKUP($A16,#REF!,4,0)</f>
        <v>#REF!</v>
      </c>
      <c r="E16" s="6" t="e">
        <f>VLOOKUP($A16,#REF!,5,0)</f>
        <v>#REF!</v>
      </c>
      <c r="F16" s="6" t="e">
        <f>VLOOKUP($A16,#REF!,6,0)</f>
        <v>#REF!</v>
      </c>
      <c r="G16" s="6" t="e">
        <f>VLOOKUP($A16,#REF!,7,0)</f>
        <v>#REF!</v>
      </c>
      <c r="H16" s="6" t="e">
        <f>VLOOKUP($A16,#REF!,11,0)</f>
        <v>#REF!</v>
      </c>
      <c r="I16" s="43"/>
      <c r="J16" s="43"/>
      <c r="K16" s="43" t="e">
        <f t="shared" si="0"/>
        <v>#REF!</v>
      </c>
      <c r="L16" s="43"/>
      <c r="M16" s="43">
        <v>20000</v>
      </c>
      <c r="N16" s="43">
        <v>30000</v>
      </c>
      <c r="O16" s="43">
        <f t="shared" si="1"/>
        <v>50000</v>
      </c>
      <c r="P16" s="43" t="e">
        <f t="shared" si="3"/>
        <v>#REF!</v>
      </c>
      <c r="Q16" s="43" t="e">
        <f>VLOOKUP($A16,#REF!,30,0)</f>
        <v>#REF!</v>
      </c>
      <c r="R16" s="43" t="e">
        <f>VLOOKUP($A16,#REF!,35,0)</f>
        <v>#REF!</v>
      </c>
      <c r="S16" s="43" t="e">
        <f>IF(Q16=0,P16-R16-Q16,P16-R16)-W16-500000</f>
        <v>#REF!</v>
      </c>
      <c r="T16" s="43">
        <v>100000</v>
      </c>
      <c r="U16" s="43"/>
      <c r="V16" s="44" t="e">
        <f>F16+N16+500000</f>
        <v>#REF!</v>
      </c>
      <c r="W16" s="43">
        <v>0</v>
      </c>
      <c r="X16" s="11"/>
      <c r="Y16" s="2"/>
      <c r="Z16" s="2"/>
    </row>
    <row r="17" spans="1:26" s="14" customFormat="1" ht="13.5" customHeight="1" x14ac:dyDescent="0.25">
      <c r="A17" s="1" t="s">
        <v>33</v>
      </c>
      <c r="B17" s="1" t="str">
        <f>VLOOKUP(A17,[21]LISTADHERENT!A$5:H$60,3,0)</f>
        <v>KOUAMOU MOISE</v>
      </c>
      <c r="C17" s="6" t="e">
        <f>VLOOKUP($A17,#REF!,3,0)</f>
        <v>#REF!</v>
      </c>
      <c r="D17" s="6" t="e">
        <f>VLOOKUP($A17,#REF!,4,0)</f>
        <v>#REF!</v>
      </c>
      <c r="E17" s="6" t="e">
        <f>VLOOKUP($A17,#REF!,5,0)</f>
        <v>#REF!</v>
      </c>
      <c r="F17" s="6" t="e">
        <f>VLOOKUP($A17,#REF!,6,0)</f>
        <v>#REF!</v>
      </c>
      <c r="G17" s="6" t="e">
        <f>VLOOKUP($A17,#REF!,7,0)</f>
        <v>#REF!</v>
      </c>
      <c r="H17" s="6" t="e">
        <f>VLOOKUP($A17,#REF!,11,0)</f>
        <v>#REF!</v>
      </c>
      <c r="I17" s="46"/>
      <c r="J17" s="43"/>
      <c r="K17" s="43" t="e">
        <f t="shared" si="0"/>
        <v>#REF!</v>
      </c>
      <c r="L17" s="46"/>
      <c r="M17" s="43">
        <v>20000</v>
      </c>
      <c r="N17" s="43">
        <v>30000</v>
      </c>
      <c r="O17" s="43">
        <f t="shared" si="1"/>
        <v>50000</v>
      </c>
      <c r="P17" s="43" t="e">
        <f t="shared" si="3"/>
        <v>#REF!</v>
      </c>
      <c r="Q17" s="43" t="e">
        <f>VLOOKUP($A17,#REF!,30,0)</f>
        <v>#REF!</v>
      </c>
      <c r="R17" s="43" t="e">
        <f>VLOOKUP($A17,#REF!,35,0)</f>
        <v>#REF!</v>
      </c>
      <c r="S17" s="43" t="e">
        <f t="shared" si="4"/>
        <v>#REF!</v>
      </c>
      <c r="T17" s="43"/>
      <c r="U17" s="43"/>
      <c r="V17" s="44" t="e">
        <f t="shared" si="2"/>
        <v>#REF!</v>
      </c>
      <c r="W17" s="43">
        <v>0</v>
      </c>
      <c r="X17" s="11"/>
      <c r="Y17" s="11"/>
      <c r="Z17" s="11"/>
    </row>
    <row r="18" spans="1:26" s="14" customFormat="1" x14ac:dyDescent="0.25">
      <c r="A18" s="1" t="s">
        <v>35</v>
      </c>
      <c r="B18" s="1" t="str">
        <f>VLOOKUP(A18,[21]LISTADHERENT!A$5:H$60,3,0)</f>
        <v>KOUATCHO MESSACK</v>
      </c>
      <c r="C18" s="6" t="e">
        <f>VLOOKUP($A18,#REF!,3,0)</f>
        <v>#REF!</v>
      </c>
      <c r="D18" s="6" t="e">
        <f>VLOOKUP($A18,#REF!,4,0)</f>
        <v>#REF!</v>
      </c>
      <c r="E18" s="6" t="e">
        <f>VLOOKUP($A18,#REF!,5,0)</f>
        <v>#REF!</v>
      </c>
      <c r="F18" s="6" t="e">
        <f>VLOOKUP($A18,#REF!,6,0)</f>
        <v>#REF!</v>
      </c>
      <c r="G18" s="6" t="e">
        <f>VLOOKUP($A18,#REF!,7,0)</f>
        <v>#REF!</v>
      </c>
      <c r="H18" s="6" t="e">
        <f>VLOOKUP($A18,#REF!,11,0)</f>
        <v>#REF!</v>
      </c>
      <c r="I18" s="46"/>
      <c r="J18" s="43"/>
      <c r="K18" s="43" t="e">
        <f t="shared" si="0"/>
        <v>#REF!</v>
      </c>
      <c r="L18" s="46"/>
      <c r="M18" s="43">
        <v>20000</v>
      </c>
      <c r="N18" s="43">
        <v>30000</v>
      </c>
      <c r="O18" s="43">
        <f t="shared" si="1"/>
        <v>50000</v>
      </c>
      <c r="P18" s="43" t="e">
        <f t="shared" si="3"/>
        <v>#REF!</v>
      </c>
      <c r="Q18" s="43" t="e">
        <f>VLOOKUP($A18,#REF!,30,0)</f>
        <v>#REF!</v>
      </c>
      <c r="R18" s="43" t="e">
        <f>VLOOKUP($A18,#REF!,35,0)</f>
        <v>#REF!</v>
      </c>
      <c r="S18" s="43" t="e">
        <f t="shared" si="4"/>
        <v>#REF!</v>
      </c>
      <c r="T18" s="43">
        <v>50000</v>
      </c>
      <c r="U18" s="43"/>
      <c r="V18" s="44" t="e">
        <f t="shared" si="2"/>
        <v>#REF!</v>
      </c>
      <c r="W18" s="43">
        <v>0</v>
      </c>
      <c r="X18" s="11"/>
      <c r="Y18" s="11"/>
      <c r="Z18" s="11"/>
    </row>
    <row r="19" spans="1:26" x14ac:dyDescent="0.25">
      <c r="A19" s="1" t="s">
        <v>36</v>
      </c>
      <c r="B19" s="1" t="str">
        <f>VLOOKUP(A19,[21]LISTADHERENT!A$5:H$60,3,0)</f>
        <v>LOWE JEAN</v>
      </c>
      <c r="C19" s="6" t="e">
        <f>VLOOKUP($A19,#REF!,3,0)</f>
        <v>#REF!</v>
      </c>
      <c r="D19" s="6" t="e">
        <f>VLOOKUP($A19,#REF!,4,0)</f>
        <v>#REF!</v>
      </c>
      <c r="E19" s="6" t="e">
        <f>VLOOKUP($A19,#REF!,5,0)</f>
        <v>#REF!</v>
      </c>
      <c r="F19" s="6" t="e">
        <f>VLOOKUP($A19,#REF!,6,0)</f>
        <v>#REF!</v>
      </c>
      <c r="G19" s="6" t="e">
        <f>VLOOKUP($A19,#REF!,7,0)</f>
        <v>#REF!</v>
      </c>
      <c r="H19" s="6" t="e">
        <f>VLOOKUP($A19,#REF!,11,0)</f>
        <v>#REF!</v>
      </c>
      <c r="I19" s="43"/>
      <c r="J19" s="43"/>
      <c r="K19" s="43" t="e">
        <f t="shared" si="0"/>
        <v>#REF!</v>
      </c>
      <c r="L19" s="43"/>
      <c r="M19" s="43">
        <v>20000</v>
      </c>
      <c r="N19" s="43">
        <v>30000</v>
      </c>
      <c r="O19" s="43">
        <f t="shared" si="1"/>
        <v>50000</v>
      </c>
      <c r="P19" s="43" t="e">
        <f t="shared" si="3"/>
        <v>#REF!</v>
      </c>
      <c r="Q19" s="43" t="e">
        <f>VLOOKUP($A19,#REF!,30,0)</f>
        <v>#REF!</v>
      </c>
      <c r="R19" s="43" t="e">
        <f>VLOOKUP($A19,#REF!,35,0)</f>
        <v>#REF!</v>
      </c>
      <c r="S19" s="43" t="e">
        <f t="shared" si="4"/>
        <v>#REF!</v>
      </c>
      <c r="T19" s="43">
        <v>47000</v>
      </c>
      <c r="U19" s="43"/>
      <c r="V19" s="44" t="e">
        <f t="shared" si="2"/>
        <v>#REF!</v>
      </c>
      <c r="W19" s="43">
        <v>14388.173915576999</v>
      </c>
      <c r="X19" s="11" t="e">
        <f t="shared" si="5"/>
        <v>#REF!</v>
      </c>
      <c r="Y19" s="2"/>
      <c r="Z19" s="2"/>
    </row>
    <row r="20" spans="1:26" x14ac:dyDescent="0.25">
      <c r="A20" s="1" t="s">
        <v>75</v>
      </c>
      <c r="B20" s="1" t="str">
        <f>VLOOKUP(A20,[21]LISTADHERENT!A$5:H$60,3,0)</f>
        <v>MBOGNING TUGMA GUY</v>
      </c>
      <c r="C20" s="6" t="e">
        <f>VLOOKUP($A20,#REF!,3,0)</f>
        <v>#REF!</v>
      </c>
      <c r="D20" s="6" t="e">
        <f>VLOOKUP($A20,#REF!,4,0)</f>
        <v>#REF!</v>
      </c>
      <c r="E20" s="6" t="e">
        <f>VLOOKUP($A20,#REF!,5,0)</f>
        <v>#REF!</v>
      </c>
      <c r="F20" s="6" t="e">
        <f>VLOOKUP($A20,#REF!,6,0)</f>
        <v>#REF!</v>
      </c>
      <c r="G20" s="6" t="e">
        <f>VLOOKUP($A20,#REF!,7,0)</f>
        <v>#REF!</v>
      </c>
      <c r="H20" s="6" t="e">
        <f>VLOOKUP($A20,#REF!,11,0)</f>
        <v>#REF!</v>
      </c>
      <c r="I20" s="43"/>
      <c r="J20" s="43"/>
      <c r="K20" s="43" t="e">
        <f t="shared" si="0"/>
        <v>#REF!</v>
      </c>
      <c r="L20" s="43"/>
      <c r="M20" s="43">
        <v>20000</v>
      </c>
      <c r="N20" s="43">
        <v>30000</v>
      </c>
      <c r="O20" s="43">
        <f t="shared" si="1"/>
        <v>50000</v>
      </c>
      <c r="P20" s="43" t="e">
        <f t="shared" si="3"/>
        <v>#REF!</v>
      </c>
      <c r="Q20" s="43" t="e">
        <f>VLOOKUP($A20,#REF!,30,0)</f>
        <v>#REF!</v>
      </c>
      <c r="R20" s="43" t="e">
        <f>VLOOKUP($A20,#REF!,35,0)</f>
        <v>#REF!</v>
      </c>
      <c r="S20" s="43" t="e">
        <f t="shared" si="4"/>
        <v>#REF!</v>
      </c>
      <c r="T20" s="43"/>
      <c r="U20" s="43"/>
      <c r="V20" s="44" t="e">
        <f t="shared" si="2"/>
        <v>#REF!</v>
      </c>
      <c r="W20" s="43">
        <v>0</v>
      </c>
      <c r="X20" s="11"/>
      <c r="Y20" s="2"/>
      <c r="Z20" s="2"/>
    </row>
    <row r="21" spans="1:26" x14ac:dyDescent="0.25">
      <c r="A21" s="1" t="s">
        <v>50</v>
      </c>
      <c r="B21" s="1" t="str">
        <f>VLOOKUP(A21,[21]LISTADHERENT!A$5:H$60,3,0)</f>
        <v>NANGUEN MARTIN</v>
      </c>
      <c r="C21" s="6" t="e">
        <f>VLOOKUP($A21,#REF!,3,0)</f>
        <v>#REF!</v>
      </c>
      <c r="D21" s="6" t="e">
        <f>VLOOKUP($A21,#REF!,4,0)</f>
        <v>#REF!</v>
      </c>
      <c r="E21" s="6" t="e">
        <f>VLOOKUP($A21,#REF!,5,0)</f>
        <v>#REF!</v>
      </c>
      <c r="F21" s="6" t="e">
        <f>VLOOKUP($A21,#REF!,6,0)</f>
        <v>#REF!</v>
      </c>
      <c r="G21" s="6" t="e">
        <f>VLOOKUP($A21,#REF!,7,0)</f>
        <v>#REF!</v>
      </c>
      <c r="H21" s="6" t="e">
        <f>VLOOKUP($A21,#REF!,11,0)</f>
        <v>#REF!</v>
      </c>
      <c r="I21" s="43"/>
      <c r="J21" s="43"/>
      <c r="K21" s="43" t="e">
        <f t="shared" si="0"/>
        <v>#REF!</v>
      </c>
      <c r="L21" s="43"/>
      <c r="M21" s="43">
        <v>20000</v>
      </c>
      <c r="N21" s="43">
        <v>30000</v>
      </c>
      <c r="O21" s="43">
        <f t="shared" si="1"/>
        <v>50000</v>
      </c>
      <c r="P21" s="43" t="e">
        <f t="shared" si="3"/>
        <v>#REF!</v>
      </c>
      <c r="Q21" s="43" t="e">
        <f>VLOOKUP($A21,#REF!,30,0)</f>
        <v>#REF!</v>
      </c>
      <c r="R21" s="43" t="e">
        <f>VLOOKUP($A21,#REF!,35,0)</f>
        <v>#REF!</v>
      </c>
      <c r="S21" s="43" t="e">
        <f t="shared" si="4"/>
        <v>#REF!</v>
      </c>
      <c r="T21" s="43"/>
      <c r="U21" s="43"/>
      <c r="V21" s="44" t="e">
        <f t="shared" si="2"/>
        <v>#REF!</v>
      </c>
      <c r="W21" s="43">
        <v>0</v>
      </c>
      <c r="X21" s="11"/>
      <c r="Y21" s="2" t="s">
        <v>22</v>
      </c>
      <c r="Z21" s="2"/>
    </row>
    <row r="22" spans="1:26" x14ac:dyDescent="0.25">
      <c r="A22" s="1" t="s">
        <v>37</v>
      </c>
      <c r="B22" s="1" t="str">
        <f>VLOOKUP(A22,[21]LISTADHERENT!A$5:H$60,3,0)</f>
        <v>NANKAM APPOLINAIRE</v>
      </c>
      <c r="C22" s="6" t="e">
        <f>VLOOKUP($A22,#REF!,3,0)</f>
        <v>#REF!</v>
      </c>
      <c r="D22" s="6" t="e">
        <f>VLOOKUP($A22,#REF!,4,0)</f>
        <v>#REF!</v>
      </c>
      <c r="E22" s="6" t="e">
        <f>VLOOKUP($A22,#REF!,5,0)</f>
        <v>#REF!</v>
      </c>
      <c r="F22" s="6" t="e">
        <f>VLOOKUP($A22,#REF!,6,0)</f>
        <v>#REF!</v>
      </c>
      <c r="G22" s="6" t="e">
        <f>VLOOKUP($A22,#REF!,7,0)</f>
        <v>#REF!</v>
      </c>
      <c r="H22" s="6" t="e">
        <f>VLOOKUP($A22,#REF!,11,0)</f>
        <v>#REF!</v>
      </c>
      <c r="I22" s="43"/>
      <c r="J22" s="43"/>
      <c r="K22" s="43" t="e">
        <f t="shared" si="0"/>
        <v>#REF!</v>
      </c>
      <c r="L22" s="43"/>
      <c r="M22" s="43">
        <v>20000</v>
      </c>
      <c r="N22" s="43">
        <v>30000</v>
      </c>
      <c r="O22" s="43">
        <f t="shared" si="1"/>
        <v>50000</v>
      </c>
      <c r="P22" s="43" t="e">
        <f t="shared" si="3"/>
        <v>#REF!</v>
      </c>
      <c r="Q22" s="43" t="e">
        <f>VLOOKUP($A22,#REF!,30,0)</f>
        <v>#REF!</v>
      </c>
      <c r="R22" s="43" t="e">
        <f>VLOOKUP($A22,#REF!,35,0)</f>
        <v>#REF!</v>
      </c>
      <c r="S22" s="43" t="e">
        <f t="shared" si="4"/>
        <v>#REF!</v>
      </c>
      <c r="T22" s="43"/>
      <c r="U22" s="43"/>
      <c r="V22" s="44" t="e">
        <f t="shared" si="2"/>
        <v>#REF!</v>
      </c>
      <c r="W22" s="43">
        <v>0</v>
      </c>
      <c r="X22" s="11"/>
      <c r="Y22" s="2"/>
      <c r="Z22" s="2"/>
    </row>
    <row r="23" spans="1:26" x14ac:dyDescent="0.25">
      <c r="A23" s="1" t="s">
        <v>38</v>
      </c>
      <c r="B23" s="1" t="str">
        <f>VLOOKUP(A23,[21]LISTADHERENT!A$5:H$60,3,0)</f>
        <v>NDJOMO ETIENNE</v>
      </c>
      <c r="C23" s="6" t="e">
        <f>VLOOKUP($A23,#REF!,3,0)</f>
        <v>#REF!</v>
      </c>
      <c r="D23" s="6" t="e">
        <f>VLOOKUP($A23,#REF!,4,0)</f>
        <v>#REF!</v>
      </c>
      <c r="E23" s="6" t="e">
        <f>VLOOKUP($A23,#REF!,5,0)</f>
        <v>#REF!</v>
      </c>
      <c r="F23" s="6" t="e">
        <f>VLOOKUP($A23,#REF!,6,0)</f>
        <v>#REF!</v>
      </c>
      <c r="G23" s="6" t="e">
        <f>VLOOKUP($A23,#REF!,7,0)</f>
        <v>#REF!</v>
      </c>
      <c r="H23" s="6" t="e">
        <f>VLOOKUP($A23,#REF!,11,0)</f>
        <v>#REF!</v>
      </c>
      <c r="I23" s="43"/>
      <c r="J23" s="43"/>
      <c r="K23" s="43" t="e">
        <f t="shared" si="0"/>
        <v>#REF!</v>
      </c>
      <c r="L23" s="43"/>
      <c r="M23" s="43">
        <v>20000</v>
      </c>
      <c r="N23" s="43">
        <v>30000</v>
      </c>
      <c r="O23" s="43">
        <f t="shared" si="1"/>
        <v>50000</v>
      </c>
      <c r="P23" s="43" t="e">
        <f t="shared" si="3"/>
        <v>#REF!</v>
      </c>
      <c r="Q23" s="43" t="e">
        <f>VLOOKUP($A23,#REF!,30,0)</f>
        <v>#REF!</v>
      </c>
      <c r="R23" s="43" t="e">
        <f>VLOOKUP($A23,#REF!,35,0)</f>
        <v>#REF!</v>
      </c>
      <c r="S23" s="43" t="e">
        <f t="shared" si="4"/>
        <v>#REF!</v>
      </c>
      <c r="T23" s="43">
        <v>100000</v>
      </c>
      <c r="U23" s="43"/>
      <c r="V23" s="44" t="e">
        <f t="shared" si="2"/>
        <v>#REF!</v>
      </c>
      <c r="W23" s="43">
        <v>0</v>
      </c>
      <c r="X23" s="11"/>
      <c r="Y23" s="2"/>
      <c r="Z23" s="2"/>
    </row>
    <row r="24" spans="1:26" x14ac:dyDescent="0.25">
      <c r="A24" s="1" t="s">
        <v>39</v>
      </c>
      <c r="B24" s="1" t="str">
        <f>VLOOKUP(A24,[21]LISTADHERENT!A$5:H$60,3,0)</f>
        <v>NGONDIEP CLAUDE</v>
      </c>
      <c r="C24" s="6" t="e">
        <f>VLOOKUP($A24,#REF!,3,0)</f>
        <v>#REF!</v>
      </c>
      <c r="D24" s="6" t="e">
        <f>VLOOKUP($A24,#REF!,4,0)</f>
        <v>#REF!</v>
      </c>
      <c r="E24" s="6" t="e">
        <f>VLOOKUP($A24,#REF!,5,0)</f>
        <v>#REF!</v>
      </c>
      <c r="F24" s="6" t="e">
        <f>VLOOKUP($A24,#REF!,6,0)</f>
        <v>#REF!</v>
      </c>
      <c r="G24" s="6" t="e">
        <f>VLOOKUP($A24,#REF!,7,0)</f>
        <v>#REF!</v>
      </c>
      <c r="H24" s="6" t="e">
        <f>VLOOKUP($A24,#REF!,11,0)</f>
        <v>#REF!</v>
      </c>
      <c r="I24" s="43"/>
      <c r="J24" s="43"/>
      <c r="K24" s="43" t="e">
        <f t="shared" si="0"/>
        <v>#REF!</v>
      </c>
      <c r="L24" s="43"/>
      <c r="M24" s="43">
        <v>20000</v>
      </c>
      <c r="N24" s="43">
        <v>30000</v>
      </c>
      <c r="O24" s="43">
        <f t="shared" si="1"/>
        <v>50000</v>
      </c>
      <c r="P24" s="43" t="e">
        <f t="shared" si="3"/>
        <v>#REF!</v>
      </c>
      <c r="Q24" s="43" t="e">
        <f>VLOOKUP($A24,#REF!,30,0)</f>
        <v>#REF!</v>
      </c>
      <c r="R24" s="43" t="e">
        <f>VLOOKUP($A24,#REF!,35,0)</f>
        <v>#REF!</v>
      </c>
      <c r="S24" s="43" t="e">
        <f t="shared" si="4"/>
        <v>#REF!</v>
      </c>
      <c r="T24" s="43">
        <v>150000</v>
      </c>
      <c r="U24" s="43"/>
      <c r="V24" s="44" t="e">
        <f t="shared" si="2"/>
        <v>#REF!</v>
      </c>
      <c r="W24" s="43">
        <v>0</v>
      </c>
      <c r="X24" s="11"/>
      <c r="Y24" s="2"/>
      <c r="Z24" s="2"/>
    </row>
    <row r="25" spans="1:26" x14ac:dyDescent="0.25">
      <c r="A25" s="1" t="s">
        <v>41</v>
      </c>
      <c r="B25" s="1" t="str">
        <f>VLOOKUP(A25,[21]LISTADHERENT!A$5:H$60,3,0)</f>
        <v>NGUIEMEGNI MATHIEU BLAISE</v>
      </c>
      <c r="C25" s="6" t="e">
        <f>VLOOKUP($A25,#REF!,3,0)</f>
        <v>#REF!</v>
      </c>
      <c r="D25" s="6" t="e">
        <f>VLOOKUP($A25,#REF!,4,0)</f>
        <v>#REF!</v>
      </c>
      <c r="E25" s="6" t="e">
        <f>VLOOKUP($A25,#REF!,5,0)</f>
        <v>#REF!</v>
      </c>
      <c r="F25" s="6" t="e">
        <f>VLOOKUP($A25,#REF!,6,0)</f>
        <v>#REF!</v>
      </c>
      <c r="G25" s="6" t="e">
        <f>VLOOKUP($A25,#REF!,7,0)</f>
        <v>#REF!</v>
      </c>
      <c r="H25" s="6" t="e">
        <f>VLOOKUP($A25,#REF!,11,0)</f>
        <v>#REF!</v>
      </c>
      <c r="I25" s="43"/>
      <c r="J25" s="43"/>
      <c r="K25" s="43" t="e">
        <f t="shared" si="0"/>
        <v>#REF!</v>
      </c>
      <c r="L25" s="43"/>
      <c r="M25" s="43">
        <v>20000</v>
      </c>
      <c r="N25" s="43">
        <v>30000</v>
      </c>
      <c r="O25" s="43">
        <f t="shared" si="1"/>
        <v>50000</v>
      </c>
      <c r="P25" s="43" t="e">
        <f t="shared" si="3"/>
        <v>#REF!</v>
      </c>
      <c r="Q25" s="43" t="e">
        <f>VLOOKUP($A25,#REF!,30,0)</f>
        <v>#REF!</v>
      </c>
      <c r="R25" s="43" t="e">
        <f>VLOOKUP($A25,#REF!,35,0)</f>
        <v>#REF!</v>
      </c>
      <c r="S25" s="43" t="e">
        <f t="shared" si="4"/>
        <v>#REF!</v>
      </c>
      <c r="T25" s="43">
        <v>100000</v>
      </c>
      <c r="U25" s="43"/>
      <c r="V25" s="44" t="e">
        <f t="shared" si="2"/>
        <v>#REF!</v>
      </c>
      <c r="W25" s="43">
        <v>0</v>
      </c>
      <c r="X25" s="11"/>
      <c r="Y25" s="2"/>
      <c r="Z25" s="2"/>
    </row>
    <row r="26" spans="1:26" x14ac:dyDescent="0.25">
      <c r="A26" s="1" t="s">
        <v>43</v>
      </c>
      <c r="B26" s="1" t="str">
        <f>VLOOKUP(A26,[21]LISTADHERENT!A$5:H$60,3,0)</f>
        <v>NKAMGANG JUSTIN DEJOLIE</v>
      </c>
      <c r="C26" s="6" t="e">
        <f>VLOOKUP($A26,#REF!,3,0)</f>
        <v>#REF!</v>
      </c>
      <c r="D26" s="6" t="e">
        <f>VLOOKUP($A26,#REF!,4,0)</f>
        <v>#REF!</v>
      </c>
      <c r="E26" s="6" t="e">
        <f>VLOOKUP($A26,#REF!,5,0)</f>
        <v>#REF!</v>
      </c>
      <c r="F26" s="6" t="e">
        <f>VLOOKUP($A26,#REF!,6,0)</f>
        <v>#REF!</v>
      </c>
      <c r="G26" s="6" t="e">
        <f>VLOOKUP($A26,#REF!,7,0)</f>
        <v>#REF!</v>
      </c>
      <c r="H26" s="6" t="e">
        <f>VLOOKUP($A26,#REF!,11,0)</f>
        <v>#REF!</v>
      </c>
      <c r="I26" s="43"/>
      <c r="J26" s="43"/>
      <c r="K26" s="43" t="e">
        <f t="shared" si="0"/>
        <v>#REF!</v>
      </c>
      <c r="L26" s="43"/>
      <c r="M26" s="43">
        <v>20000</v>
      </c>
      <c r="N26" s="43">
        <v>30000</v>
      </c>
      <c r="O26" s="43">
        <f t="shared" si="1"/>
        <v>50000</v>
      </c>
      <c r="P26" s="43" t="e">
        <f t="shared" si="3"/>
        <v>#REF!</v>
      </c>
      <c r="Q26" s="43" t="e">
        <f>VLOOKUP($A26,#REF!,30,0)</f>
        <v>#REF!</v>
      </c>
      <c r="R26" s="43" t="e">
        <f>VLOOKUP($A26,#REF!,35,0)</f>
        <v>#REF!</v>
      </c>
      <c r="S26" s="43" t="e">
        <f t="shared" si="4"/>
        <v>#REF!</v>
      </c>
      <c r="T26" s="43">
        <v>59000</v>
      </c>
      <c r="U26" s="43"/>
      <c r="V26" s="44" t="e">
        <f t="shared" si="2"/>
        <v>#REF!</v>
      </c>
      <c r="W26" s="43">
        <v>0</v>
      </c>
      <c r="X26" s="11"/>
      <c r="Y26" s="2"/>
      <c r="Z26" s="2"/>
    </row>
    <row r="27" spans="1:26" x14ac:dyDescent="0.25">
      <c r="A27" s="1" t="s">
        <v>30</v>
      </c>
      <c r="B27" s="1" t="str">
        <f>VLOOKUP(A27,[21]LISTADHERENT!A$5:H$60,3,0)</f>
        <v>NKEHE DAVID</v>
      </c>
      <c r="C27" s="6" t="e">
        <f>VLOOKUP($A27,#REF!,3,0)</f>
        <v>#REF!</v>
      </c>
      <c r="D27" s="6" t="e">
        <f>VLOOKUP($A27,#REF!,4,0)</f>
        <v>#REF!</v>
      </c>
      <c r="E27" s="6" t="e">
        <f>VLOOKUP($A27,#REF!,5,0)</f>
        <v>#REF!</v>
      </c>
      <c r="F27" s="6" t="e">
        <f>VLOOKUP($A27,#REF!,6,0)</f>
        <v>#REF!</v>
      </c>
      <c r="G27" s="6" t="e">
        <f>VLOOKUP($A27,#REF!,7,0)</f>
        <v>#REF!</v>
      </c>
      <c r="H27" s="6" t="e">
        <f>VLOOKUP($A27,#REF!,11,0)</f>
        <v>#REF!</v>
      </c>
      <c r="I27" s="43"/>
      <c r="J27" s="43"/>
      <c r="K27" s="43" t="e">
        <f t="shared" si="0"/>
        <v>#REF!</v>
      </c>
      <c r="L27" s="43"/>
      <c r="M27" s="43"/>
      <c r="N27" s="43"/>
      <c r="O27" s="43">
        <f t="shared" si="1"/>
        <v>0</v>
      </c>
      <c r="P27" s="43"/>
      <c r="Q27" s="43" t="e">
        <f>VLOOKUP($A27,#REF!,30,0)</f>
        <v>#REF!</v>
      </c>
      <c r="R27" s="43" t="e">
        <f>VLOOKUP($A27,#REF!,35,0)</f>
        <v>#REF!</v>
      </c>
      <c r="S27" s="43" t="e">
        <f>IF(Q27=0,P27-R27-Q27,P27-R27)</f>
        <v>#REF!</v>
      </c>
      <c r="T27" s="43"/>
      <c r="U27" s="43"/>
      <c r="V27" s="44" t="e">
        <f t="shared" si="2"/>
        <v>#REF!</v>
      </c>
      <c r="W27" s="43">
        <v>125025.722491623</v>
      </c>
      <c r="X27" s="11" t="e">
        <f t="shared" si="5"/>
        <v>#REF!</v>
      </c>
      <c r="Y27" s="2"/>
      <c r="Z27" s="2"/>
    </row>
    <row r="28" spans="1:26" x14ac:dyDescent="0.25">
      <c r="A28" s="1" t="s">
        <v>44</v>
      </c>
      <c r="B28" s="1" t="str">
        <f>VLOOKUP(A28,[21]LISTADHERENT!A$5:H$60,3,0)</f>
        <v>NKEPSEU DIEUDONNE</v>
      </c>
      <c r="C28" s="6" t="e">
        <f>VLOOKUP($A28,#REF!,3,0)</f>
        <v>#REF!</v>
      </c>
      <c r="D28" s="6" t="e">
        <f>VLOOKUP($A28,#REF!,4,0)</f>
        <v>#REF!</v>
      </c>
      <c r="E28" s="6" t="e">
        <f>VLOOKUP($A28,#REF!,5,0)</f>
        <v>#REF!</v>
      </c>
      <c r="F28" s="6" t="e">
        <f>VLOOKUP($A28,#REF!,6,0)</f>
        <v>#REF!</v>
      </c>
      <c r="G28" s="6" t="e">
        <f>VLOOKUP($A28,#REF!,7,0)</f>
        <v>#REF!</v>
      </c>
      <c r="H28" s="6" t="e">
        <f>VLOOKUP($A28,#REF!,11,0)</f>
        <v>#REF!</v>
      </c>
      <c r="I28" s="43"/>
      <c r="J28" s="43"/>
      <c r="K28" s="43" t="e">
        <f t="shared" si="0"/>
        <v>#REF!</v>
      </c>
      <c r="L28" s="43"/>
      <c r="M28" s="43">
        <v>20000</v>
      </c>
      <c r="N28" s="43">
        <v>30000</v>
      </c>
      <c r="O28" s="43">
        <f t="shared" si="1"/>
        <v>50000</v>
      </c>
      <c r="P28" s="43" t="e">
        <f t="shared" si="3"/>
        <v>#REF!</v>
      </c>
      <c r="Q28" s="43" t="e">
        <f>VLOOKUP($A28,#REF!,30,0)</f>
        <v>#REF!</v>
      </c>
      <c r="R28" s="43" t="e">
        <f>VLOOKUP($A28,#REF!,35,0)</f>
        <v>#REF!</v>
      </c>
      <c r="S28" s="43" t="e">
        <f t="shared" si="4"/>
        <v>#REF!</v>
      </c>
      <c r="T28" s="43">
        <v>70000</v>
      </c>
      <c r="U28" s="43"/>
      <c r="V28" s="44" t="e">
        <f t="shared" si="2"/>
        <v>#REF!</v>
      </c>
      <c r="W28" s="43">
        <v>0</v>
      </c>
      <c r="X28" s="11"/>
      <c r="Y28" s="2" t="s">
        <v>20</v>
      </c>
      <c r="Z28" s="2"/>
    </row>
    <row r="29" spans="1:26" s="14" customFormat="1" x14ac:dyDescent="0.25">
      <c r="A29" s="1" t="s">
        <v>45</v>
      </c>
      <c r="B29" s="1" t="str">
        <f>VLOOKUP(A29,[21]LISTADHERENT!A$5:H$60,3,0)</f>
        <v>PATEGO NJOSSU GUSTAVE</v>
      </c>
      <c r="C29" s="6" t="e">
        <f>VLOOKUP($A29,#REF!,3,0)</f>
        <v>#REF!</v>
      </c>
      <c r="D29" s="6" t="e">
        <f>VLOOKUP($A29,#REF!,4,0)</f>
        <v>#REF!</v>
      </c>
      <c r="E29" s="6" t="e">
        <f>VLOOKUP($A29,#REF!,5,0)</f>
        <v>#REF!</v>
      </c>
      <c r="F29" s="6" t="e">
        <f>VLOOKUP($A29,#REF!,6,0)</f>
        <v>#REF!</v>
      </c>
      <c r="G29" s="6" t="e">
        <f>VLOOKUP($A29,#REF!,7,0)</f>
        <v>#REF!</v>
      </c>
      <c r="H29" s="6" t="e">
        <f>VLOOKUP($A29,#REF!,11,0)</f>
        <v>#REF!</v>
      </c>
      <c r="I29" s="46"/>
      <c r="J29" s="46"/>
      <c r="K29" s="43" t="e">
        <f t="shared" si="0"/>
        <v>#REF!</v>
      </c>
      <c r="L29" s="46"/>
      <c r="M29" s="43">
        <v>20000</v>
      </c>
      <c r="N29" s="43">
        <v>30000</v>
      </c>
      <c r="O29" s="43">
        <f t="shared" si="1"/>
        <v>50000</v>
      </c>
      <c r="P29" s="43" t="e">
        <f t="shared" si="3"/>
        <v>#REF!</v>
      </c>
      <c r="Q29" s="43" t="e">
        <f>VLOOKUP($A29,#REF!,30,0)</f>
        <v>#REF!</v>
      </c>
      <c r="R29" s="43" t="e">
        <f>VLOOKUP($A29,#REF!,35,0)</f>
        <v>#REF!</v>
      </c>
      <c r="S29" s="43" t="e">
        <f t="shared" si="4"/>
        <v>#REF!</v>
      </c>
      <c r="T29" s="43">
        <v>50000</v>
      </c>
      <c r="U29" s="43"/>
      <c r="V29" s="44" t="e">
        <f t="shared" si="2"/>
        <v>#REF!</v>
      </c>
      <c r="W29" s="43">
        <v>0</v>
      </c>
      <c r="X29" s="11"/>
      <c r="Y29" s="11"/>
      <c r="Z29" s="11"/>
    </row>
    <row r="30" spans="1:26" ht="14.25" customHeight="1" x14ac:dyDescent="0.25">
      <c r="A30" s="1" t="s">
        <v>81</v>
      </c>
      <c r="B30" s="1" t="str">
        <f>VLOOKUP(A30,[21]LISTADHERENT!A$5:H$60,3,0)</f>
        <v>SIME BRICE</v>
      </c>
      <c r="C30" s="6" t="e">
        <f>VLOOKUP($A30,#REF!,3,0)</f>
        <v>#REF!</v>
      </c>
      <c r="D30" s="6" t="e">
        <f>VLOOKUP($A30,#REF!,4,0)</f>
        <v>#REF!</v>
      </c>
      <c r="E30" s="6" t="e">
        <f>VLOOKUP($A30,#REF!,5,0)</f>
        <v>#REF!</v>
      </c>
      <c r="F30" s="6" t="e">
        <f>VLOOKUP($A30,#REF!,6,0)</f>
        <v>#REF!</v>
      </c>
      <c r="G30" s="6" t="e">
        <f>VLOOKUP($A30,#REF!,7,0)</f>
        <v>#REF!</v>
      </c>
      <c r="H30" s="6" t="e">
        <f>VLOOKUP($A30,#REF!,11,0)</f>
        <v>#REF!</v>
      </c>
      <c r="I30" s="43"/>
      <c r="J30" s="43"/>
      <c r="K30" s="43" t="e">
        <f t="shared" si="0"/>
        <v>#REF!</v>
      </c>
      <c r="L30" s="43"/>
      <c r="M30" s="43">
        <v>20000</v>
      </c>
      <c r="N30" s="43">
        <v>30000</v>
      </c>
      <c r="O30" s="43">
        <f t="shared" si="1"/>
        <v>50000</v>
      </c>
      <c r="P30" s="43" t="e">
        <f t="shared" si="3"/>
        <v>#REF!</v>
      </c>
      <c r="Q30" s="43" t="e">
        <f>VLOOKUP($A30,#REF!,30,0)+100000</f>
        <v>#REF!</v>
      </c>
      <c r="R30" s="43" t="e">
        <f>VLOOKUP($A30,#REF!,35,0)</f>
        <v>#REF!</v>
      </c>
      <c r="S30" s="43" t="e">
        <f>IF(Q30=0,P30-R30-Q30,P30-R30)-W30-100000</f>
        <v>#REF!</v>
      </c>
      <c r="T30" s="43">
        <v>50000</v>
      </c>
      <c r="U30" s="43"/>
      <c r="V30" s="44" t="e">
        <f t="shared" si="2"/>
        <v>#REF!</v>
      </c>
      <c r="W30" s="43">
        <v>0</v>
      </c>
      <c r="X30" s="11"/>
      <c r="Y30" s="2"/>
      <c r="Z30" s="2"/>
    </row>
    <row r="31" spans="1:26" x14ac:dyDescent="0.25">
      <c r="A31" s="1" t="s">
        <v>47</v>
      </c>
      <c r="B31" s="1" t="str">
        <f>VLOOKUP(A31,[21]LISTADHERENT!A$5:H$60,3,0)</f>
        <v>SIMO FONGANG ERIC</v>
      </c>
      <c r="C31" s="6" t="e">
        <f>VLOOKUP($A31,#REF!,3,0)</f>
        <v>#REF!</v>
      </c>
      <c r="D31" s="6" t="e">
        <f>VLOOKUP($A31,#REF!,4,0)</f>
        <v>#REF!</v>
      </c>
      <c r="E31" s="6" t="e">
        <f>VLOOKUP($A31,#REF!,5,0)</f>
        <v>#REF!</v>
      </c>
      <c r="F31" s="6" t="e">
        <f>VLOOKUP($A31,#REF!,6,0)</f>
        <v>#REF!</v>
      </c>
      <c r="G31" s="6" t="e">
        <f>VLOOKUP($A31,#REF!,7,0)</f>
        <v>#REF!</v>
      </c>
      <c r="H31" s="6" t="e">
        <f>VLOOKUP($A31,#REF!,11,0)</f>
        <v>#REF!</v>
      </c>
      <c r="I31" s="43"/>
      <c r="J31" s="43"/>
      <c r="K31" s="43" t="e">
        <f t="shared" si="0"/>
        <v>#REF!</v>
      </c>
      <c r="L31" s="43"/>
      <c r="M31" s="43">
        <v>20000</v>
      </c>
      <c r="N31" s="43">
        <v>30000</v>
      </c>
      <c r="O31" s="43">
        <f t="shared" si="1"/>
        <v>50000</v>
      </c>
      <c r="P31" s="43"/>
      <c r="Q31" s="43" t="e">
        <f>VLOOKUP($A31,#REF!,30,0)</f>
        <v>#REF!</v>
      </c>
      <c r="R31" s="43" t="e">
        <f>VLOOKUP($A31,#REF!,35,0)</f>
        <v>#REF!</v>
      </c>
      <c r="S31" s="43" t="e">
        <f>IF(Q31=0,P31-R31-Q31,P31-R31)</f>
        <v>#REF!</v>
      </c>
      <c r="T31" s="43"/>
      <c r="U31" s="43"/>
      <c r="V31" s="44" t="e">
        <f t="shared" si="2"/>
        <v>#REF!</v>
      </c>
      <c r="W31" s="43">
        <v>96690.6257568859</v>
      </c>
      <c r="X31" s="11" t="e">
        <f t="shared" si="5"/>
        <v>#REF!</v>
      </c>
      <c r="Y31" s="2"/>
      <c r="Z31" s="2"/>
    </row>
    <row r="32" spans="1:26" x14ac:dyDescent="0.25">
      <c r="A32" s="1" t="s">
        <v>49</v>
      </c>
      <c r="B32" s="1" t="str">
        <f>VLOOKUP(A32,[21]LISTADHERENT!A$5:H$60,3,0)</f>
        <v>SIMO PIERRE</v>
      </c>
      <c r="C32" s="6" t="e">
        <f>VLOOKUP($A32,#REF!,3,0)</f>
        <v>#REF!</v>
      </c>
      <c r="D32" s="6" t="e">
        <f>VLOOKUP($A32,#REF!,4,0)</f>
        <v>#REF!</v>
      </c>
      <c r="E32" s="6" t="e">
        <f>VLOOKUP($A32,#REF!,5,0)</f>
        <v>#REF!</v>
      </c>
      <c r="F32" s="6" t="e">
        <f>VLOOKUP($A32,#REF!,6,0)</f>
        <v>#REF!</v>
      </c>
      <c r="G32" s="6" t="e">
        <f>VLOOKUP($A32,#REF!,7,0)</f>
        <v>#REF!</v>
      </c>
      <c r="H32" s="6" t="e">
        <f>VLOOKUP($A32,#REF!,11,0)</f>
        <v>#REF!</v>
      </c>
      <c r="I32" s="43"/>
      <c r="J32" s="43"/>
      <c r="K32" s="43" t="e">
        <f t="shared" si="0"/>
        <v>#REF!</v>
      </c>
      <c r="L32" s="43"/>
      <c r="M32" s="43">
        <v>20000</v>
      </c>
      <c r="N32" s="43">
        <v>30000</v>
      </c>
      <c r="O32" s="43">
        <f t="shared" si="1"/>
        <v>50000</v>
      </c>
      <c r="P32" s="43" t="e">
        <f t="shared" si="3"/>
        <v>#REF!</v>
      </c>
      <c r="Q32" s="43" t="e">
        <f>VLOOKUP($A32,#REF!,30,0)</f>
        <v>#REF!</v>
      </c>
      <c r="R32" s="43" t="e">
        <f>VLOOKUP($A32,#REF!,35,0)</f>
        <v>#REF!</v>
      </c>
      <c r="S32" s="43" t="e">
        <f t="shared" si="4"/>
        <v>#REF!</v>
      </c>
      <c r="T32" s="43">
        <v>100000</v>
      </c>
      <c r="U32" s="43"/>
      <c r="V32" s="44" t="e">
        <f t="shared" si="2"/>
        <v>#REF!</v>
      </c>
      <c r="W32" s="43">
        <v>0</v>
      </c>
      <c r="X32" s="11"/>
      <c r="Y32" s="2"/>
      <c r="Z32" s="2"/>
    </row>
    <row r="33" spans="1:26" x14ac:dyDescent="0.25">
      <c r="A33" s="1" t="s">
        <v>51</v>
      </c>
      <c r="B33" s="1" t="str">
        <f>VLOOKUP(A33,[21]LISTADHERENT!A$5:H$60,3,0)</f>
        <v>TCHOUAMOU MATHIEU</v>
      </c>
      <c r="C33" s="6" t="e">
        <f>VLOOKUP($A33,#REF!,3,0)</f>
        <v>#REF!</v>
      </c>
      <c r="D33" s="6" t="e">
        <f>VLOOKUP($A33,#REF!,4,0)</f>
        <v>#REF!</v>
      </c>
      <c r="E33" s="6" t="e">
        <f>VLOOKUP($A33,#REF!,5,0)</f>
        <v>#REF!</v>
      </c>
      <c r="F33" s="6" t="e">
        <f>VLOOKUP($A33,#REF!,6,0)</f>
        <v>#REF!</v>
      </c>
      <c r="G33" s="6" t="e">
        <f>VLOOKUP($A33,#REF!,7,0)</f>
        <v>#REF!</v>
      </c>
      <c r="H33" s="6" t="e">
        <f>VLOOKUP($A33,#REF!,11,0)</f>
        <v>#REF!</v>
      </c>
      <c r="I33" s="43"/>
      <c r="J33" s="43"/>
      <c r="K33" s="43" t="e">
        <f t="shared" si="0"/>
        <v>#REF!</v>
      </c>
      <c r="L33" s="43"/>
      <c r="M33" s="43">
        <v>20000</v>
      </c>
      <c r="N33" s="43">
        <v>30000</v>
      </c>
      <c r="O33" s="43">
        <f t="shared" si="1"/>
        <v>50000</v>
      </c>
      <c r="P33" s="43" t="e">
        <f t="shared" si="3"/>
        <v>#REF!</v>
      </c>
      <c r="Q33" s="43" t="e">
        <f>VLOOKUP($A33,#REF!,30,0)</f>
        <v>#REF!</v>
      </c>
      <c r="R33" s="43" t="e">
        <f>VLOOKUP($A33,#REF!,35,0)</f>
        <v>#REF!</v>
      </c>
      <c r="S33" s="43" t="e">
        <f t="shared" si="4"/>
        <v>#REF!</v>
      </c>
      <c r="T33" s="43">
        <v>40000</v>
      </c>
      <c r="U33" s="43"/>
      <c r="V33" s="44" t="e">
        <f t="shared" si="2"/>
        <v>#REF!</v>
      </c>
      <c r="W33" s="43">
        <v>0</v>
      </c>
      <c r="X33" s="11"/>
      <c r="Y33" s="2"/>
      <c r="Z33" s="2"/>
    </row>
    <row r="34" spans="1:26" ht="14.25" customHeight="1" x14ac:dyDescent="0.25">
      <c r="A34" s="1" t="s">
        <v>54</v>
      </c>
      <c r="B34" s="1" t="str">
        <f>VLOOKUP(A34,[21]LISTADHERENT!A$5:H$60,3,0)</f>
        <v>TIEYAM ERNEST</v>
      </c>
      <c r="C34" s="6" t="e">
        <f>VLOOKUP($A34,#REF!,3,0)</f>
        <v>#REF!</v>
      </c>
      <c r="D34" s="6" t="e">
        <f>VLOOKUP($A34,#REF!,4,0)</f>
        <v>#REF!</v>
      </c>
      <c r="E34" s="6" t="e">
        <f>VLOOKUP($A34,#REF!,5,0)</f>
        <v>#REF!</v>
      </c>
      <c r="F34" s="6" t="e">
        <f>VLOOKUP($A34,#REF!,6,0)</f>
        <v>#REF!</v>
      </c>
      <c r="G34" s="6" t="e">
        <f>VLOOKUP($A34,#REF!,7,0)</f>
        <v>#REF!</v>
      </c>
      <c r="H34" s="6" t="e">
        <f>VLOOKUP($A34,#REF!,11,0)</f>
        <v>#REF!</v>
      </c>
      <c r="I34" s="43"/>
      <c r="J34" s="43"/>
      <c r="K34" s="43" t="e">
        <f t="shared" si="0"/>
        <v>#REF!</v>
      </c>
      <c r="L34" s="43"/>
      <c r="M34" s="43"/>
      <c r="N34" s="43"/>
      <c r="O34" s="43">
        <f t="shared" si="1"/>
        <v>0</v>
      </c>
      <c r="P34" s="43"/>
      <c r="Q34" s="43" t="e">
        <f>VLOOKUP($A34,#REF!,30,0)</f>
        <v>#REF!</v>
      </c>
      <c r="R34" s="43" t="e">
        <f>VLOOKUP($A34,#REF!,35,0)</f>
        <v>#REF!</v>
      </c>
      <c r="S34" s="43" t="e">
        <f>IF(Q34=0,P34-R34-Q34,P34-R34)</f>
        <v>#REF!</v>
      </c>
      <c r="T34" s="43"/>
      <c r="U34" s="43"/>
      <c r="V34" s="44" t="e">
        <f t="shared" si="2"/>
        <v>#REF!</v>
      </c>
      <c r="W34" s="43">
        <v>124491.721682991</v>
      </c>
      <c r="X34" s="11" t="e">
        <f t="shared" si="5"/>
        <v>#REF!</v>
      </c>
      <c r="Y34" s="2"/>
      <c r="Z34" s="2"/>
    </row>
    <row r="35" spans="1:26" s="14" customFormat="1" ht="13.5" customHeight="1" x14ac:dyDescent="0.25">
      <c r="A35" s="1" t="s">
        <v>55</v>
      </c>
      <c r="B35" s="1" t="str">
        <f>VLOOKUP(A35,[21]LISTADHERENT!A$5:H$60,3,0)</f>
        <v>YEPMOU JEAN JACQUES</v>
      </c>
      <c r="C35" s="6" t="e">
        <f>VLOOKUP($A35,#REF!,3,0)</f>
        <v>#REF!</v>
      </c>
      <c r="D35" s="6" t="e">
        <f>VLOOKUP($A35,#REF!,4,0)</f>
        <v>#REF!</v>
      </c>
      <c r="E35" s="6" t="e">
        <f>VLOOKUP($A35,#REF!,5,0)</f>
        <v>#REF!</v>
      </c>
      <c r="F35" s="6" t="e">
        <f>VLOOKUP($A35,#REF!,6,0)</f>
        <v>#REF!</v>
      </c>
      <c r="G35" s="6" t="e">
        <f>VLOOKUP($A35,#REF!,7,0)</f>
        <v>#REF!</v>
      </c>
      <c r="H35" s="6" t="e">
        <f>VLOOKUP($A35,#REF!,11,0)</f>
        <v>#REF!</v>
      </c>
      <c r="I35" s="46"/>
      <c r="J35" s="46"/>
      <c r="K35" s="43" t="e">
        <f t="shared" si="0"/>
        <v>#REF!</v>
      </c>
      <c r="L35" s="46"/>
      <c r="M35" s="43">
        <v>20000</v>
      </c>
      <c r="N35" s="43">
        <v>30000</v>
      </c>
      <c r="O35" s="43">
        <f t="shared" si="1"/>
        <v>50000</v>
      </c>
      <c r="P35" s="43" t="e">
        <f>IF(Q35&lt;70000,K35-O35-(70000-Q35),K35-O35)-30000</f>
        <v>#REF!</v>
      </c>
      <c r="Q35" s="43" t="e">
        <f>VLOOKUP($A35,#REF!,30,0)</f>
        <v>#REF!</v>
      </c>
      <c r="R35" s="43" t="e">
        <f>VLOOKUP($A35,#REF!,35,0)</f>
        <v>#REF!</v>
      </c>
      <c r="S35" s="43" t="e">
        <f t="shared" si="4"/>
        <v>#REF!</v>
      </c>
      <c r="T35" s="43"/>
      <c r="U35" s="43"/>
      <c r="V35" s="44" t="e">
        <f t="shared" si="2"/>
        <v>#REF!</v>
      </c>
      <c r="W35" s="43">
        <v>0</v>
      </c>
      <c r="X35" s="11"/>
    </row>
    <row r="36" spans="1:26" x14ac:dyDescent="0.25">
      <c r="A36" s="1" t="s">
        <v>56</v>
      </c>
      <c r="B36" s="1" t="str">
        <f>VLOOKUP(A36,[21]LISTADHERENT!A$5:H$60,3,0)</f>
        <v>YOUMBI EMMANUEL</v>
      </c>
      <c r="C36" s="6" t="e">
        <f>VLOOKUP($A36,#REF!,3,0)</f>
        <v>#REF!</v>
      </c>
      <c r="D36" s="6" t="e">
        <f>VLOOKUP($A36,#REF!,4,0)</f>
        <v>#REF!</v>
      </c>
      <c r="E36" s="6" t="e">
        <f>VLOOKUP($A36,#REF!,5,0)</f>
        <v>#REF!</v>
      </c>
      <c r="F36" s="6" t="e">
        <f>VLOOKUP($A36,#REF!,6,0)</f>
        <v>#REF!</v>
      </c>
      <c r="G36" s="6" t="e">
        <f>VLOOKUP($A36,#REF!,7,0)</f>
        <v>#REF!</v>
      </c>
      <c r="H36" s="6" t="e">
        <f>VLOOKUP($A36,#REF!,11,0)</f>
        <v>#REF!</v>
      </c>
      <c r="I36" s="43"/>
      <c r="J36" s="43"/>
      <c r="K36" s="43" t="e">
        <f t="shared" si="0"/>
        <v>#REF!</v>
      </c>
      <c r="L36" s="43"/>
      <c r="M36" s="43">
        <v>20000</v>
      </c>
      <c r="N36" s="43">
        <v>30000</v>
      </c>
      <c r="O36" s="43">
        <f t="shared" si="1"/>
        <v>50000</v>
      </c>
      <c r="P36" s="43" t="e">
        <f t="shared" si="3"/>
        <v>#REF!</v>
      </c>
      <c r="Q36" s="43" t="e">
        <f>VLOOKUP($A36,#REF!,30,0)</f>
        <v>#REF!</v>
      </c>
      <c r="R36" s="43" t="e">
        <f>VLOOKUP($A36,#REF!,35,0)</f>
        <v>#REF!</v>
      </c>
      <c r="S36" s="43" t="e">
        <f t="shared" si="4"/>
        <v>#REF!</v>
      </c>
      <c r="T36" s="43"/>
      <c r="U36" s="43"/>
      <c r="V36" s="44" t="e">
        <f t="shared" si="2"/>
        <v>#REF!</v>
      </c>
      <c r="W36" s="43">
        <v>0</v>
      </c>
      <c r="X36" s="11"/>
    </row>
    <row r="37" spans="1:26" x14ac:dyDescent="0.25">
      <c r="A37" s="133"/>
      <c r="B37" s="1"/>
      <c r="C37" s="130"/>
      <c r="D37" s="130"/>
      <c r="E37" s="6"/>
      <c r="F37" s="6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43"/>
      <c r="T37" s="130"/>
      <c r="U37" s="130"/>
      <c r="V37" s="134"/>
      <c r="W37" s="43"/>
    </row>
    <row r="38" spans="1:26" ht="18.75" thickBot="1" x14ac:dyDescent="0.3">
      <c r="A38" s="53" t="s">
        <v>57</v>
      </c>
      <c r="B38" s="68"/>
      <c r="C38" s="73" t="e">
        <f>SUM(C6:C37)</f>
        <v>#REF!</v>
      </c>
      <c r="D38" s="73" t="e">
        <f t="shared" ref="D38:X38" si="6">SUM(D6:D37)</f>
        <v>#REF!</v>
      </c>
      <c r="E38" s="73" t="e">
        <f t="shared" si="6"/>
        <v>#REF!</v>
      </c>
      <c r="F38" s="73" t="e">
        <f t="shared" si="6"/>
        <v>#REF!</v>
      </c>
      <c r="G38" s="73" t="e">
        <f t="shared" si="6"/>
        <v>#REF!</v>
      </c>
      <c r="H38" s="73" t="e">
        <f t="shared" si="6"/>
        <v>#REF!</v>
      </c>
      <c r="I38" s="73">
        <f t="shared" si="6"/>
        <v>0</v>
      </c>
      <c r="J38" s="73">
        <f t="shared" si="6"/>
        <v>0</v>
      </c>
      <c r="K38" s="73" t="e">
        <f t="shared" si="6"/>
        <v>#REF!</v>
      </c>
      <c r="L38" s="73">
        <f t="shared" si="6"/>
        <v>0</v>
      </c>
      <c r="M38" s="73">
        <f t="shared" si="6"/>
        <v>540000</v>
      </c>
      <c r="N38" s="73">
        <f t="shared" si="6"/>
        <v>810000</v>
      </c>
      <c r="O38" s="73">
        <f t="shared" si="6"/>
        <v>1350000</v>
      </c>
      <c r="P38" s="73" t="e">
        <f t="shared" si="6"/>
        <v>#REF!</v>
      </c>
      <c r="Q38" s="73" t="e">
        <f t="shared" si="6"/>
        <v>#REF!</v>
      </c>
      <c r="R38" s="73" t="e">
        <f t="shared" si="6"/>
        <v>#REF!</v>
      </c>
      <c r="S38" s="73" t="e">
        <f t="shared" si="6"/>
        <v>#REF!</v>
      </c>
      <c r="T38" s="73">
        <f t="shared" si="6"/>
        <v>1201000</v>
      </c>
      <c r="U38" s="73">
        <f t="shared" si="6"/>
        <v>816544</v>
      </c>
      <c r="V38" s="73" t="e">
        <f t="shared" si="6"/>
        <v>#REF!</v>
      </c>
      <c r="W38" s="73">
        <f t="shared" si="6"/>
        <v>482701.34242992994</v>
      </c>
      <c r="X38" s="73" t="e">
        <f t="shared" si="6"/>
        <v>#REF!</v>
      </c>
    </row>
    <row r="39" spans="1:26" ht="15.75" thickTop="1" x14ac:dyDescent="0.25">
      <c r="G39" t="s">
        <v>311</v>
      </c>
    </row>
    <row r="40" spans="1:26" x14ac:dyDescent="0.25">
      <c r="E40" s="6">
        <v>30000</v>
      </c>
      <c r="F40" s="6"/>
      <c r="G40" s="6"/>
      <c r="H40" s="6"/>
      <c r="I40" s="6"/>
      <c r="J40" s="6"/>
      <c r="K40" s="6"/>
      <c r="L40" s="6"/>
    </row>
    <row r="41" spans="1:26" x14ac:dyDescent="0.25">
      <c r="F41" s="6">
        <v>23000</v>
      </c>
      <c r="G41" s="6">
        <v>2000</v>
      </c>
      <c r="H41" s="6">
        <f>F41+G41</f>
        <v>25000</v>
      </c>
      <c r="I41" s="6"/>
      <c r="J41" s="6"/>
      <c r="K41" s="6"/>
      <c r="L41" s="6"/>
      <c r="O41" s="2"/>
    </row>
    <row r="42" spans="1:26" x14ac:dyDescent="0.25">
      <c r="E42" t="s">
        <v>308</v>
      </c>
      <c r="F42" s="6">
        <v>500</v>
      </c>
      <c r="G42" s="6">
        <v>500</v>
      </c>
      <c r="H42" s="6">
        <f t="shared" ref="H42:H45" si="7">F42+G42</f>
        <v>1000</v>
      </c>
      <c r="I42" s="6"/>
      <c r="J42" s="6"/>
      <c r="K42" s="6"/>
      <c r="L42" s="6"/>
    </row>
    <row r="43" spans="1:26" x14ac:dyDescent="0.25">
      <c r="A43" s="1" t="s">
        <v>17</v>
      </c>
      <c r="B43" s="1" t="str">
        <f>VLOOKUP(A43,[21]LISTADHERENT!A$5:H$60,3,0)</f>
        <v>BAKOP ACHILLE</v>
      </c>
      <c r="C43" s="6" t="e">
        <f>VLOOKUP($A43,#REF!,3,0)</f>
        <v>#REF!</v>
      </c>
      <c r="E43" t="s">
        <v>309</v>
      </c>
      <c r="F43" s="6">
        <v>1000</v>
      </c>
      <c r="G43" s="6"/>
      <c r="H43" s="6">
        <f t="shared" si="7"/>
        <v>1000</v>
      </c>
      <c r="I43" s="6"/>
      <c r="J43" s="6"/>
      <c r="K43" s="6"/>
      <c r="L43" s="6"/>
    </row>
    <row r="44" spans="1:26" x14ac:dyDescent="0.25">
      <c r="A44" s="1" t="s">
        <v>301</v>
      </c>
      <c r="B44" s="1" t="str">
        <f>VLOOKUP(A44,[21]LISTADHERENT!A$5:H$60,3,0)</f>
        <v>HODIEP JULES</v>
      </c>
      <c r="C44" s="6" t="e">
        <f>VLOOKUP($A44,#REF!,3,0)</f>
        <v>#REF!</v>
      </c>
      <c r="E44" t="s">
        <v>310</v>
      </c>
      <c r="F44" s="6">
        <v>3000</v>
      </c>
      <c r="G44" s="6">
        <v>6000</v>
      </c>
      <c r="H44" s="6">
        <f t="shared" si="7"/>
        <v>9000</v>
      </c>
      <c r="I44" s="6">
        <f>H44*12</f>
        <v>108000</v>
      </c>
      <c r="J44" s="6"/>
      <c r="K44" s="6"/>
      <c r="L44" s="6"/>
    </row>
    <row r="45" spans="1:26" x14ac:dyDescent="0.25">
      <c r="A45" s="1" t="s">
        <v>300</v>
      </c>
      <c r="B45" s="1" t="str">
        <f>VLOOKUP(A45,[21]LISTADHERENT!A$5:H$60,3,0)</f>
        <v>NDOMBOU JEAN CLAUDE</v>
      </c>
      <c r="C45" s="6" t="e">
        <f>VLOOKUP($A45,#REF!,3,0)</f>
        <v>#REF!</v>
      </c>
      <c r="E45" t="s">
        <v>12</v>
      </c>
      <c r="F45" s="6">
        <v>2500</v>
      </c>
      <c r="G45" s="6">
        <v>1500</v>
      </c>
      <c r="H45" s="6">
        <f t="shared" si="7"/>
        <v>4000</v>
      </c>
      <c r="I45" s="6">
        <f>H45*26</f>
        <v>104000</v>
      </c>
      <c r="J45" s="6"/>
      <c r="K45" s="6"/>
      <c r="L45" s="6"/>
    </row>
    <row r="46" spans="1:26" x14ac:dyDescent="0.25">
      <c r="A46" s="1" t="s">
        <v>40</v>
      </c>
      <c r="B46" s="1" t="str">
        <f>VLOOKUP(A46,[21]LISTADHERENT!A$5:H$60,3,0)</f>
        <v>NGONGANG JEAN THEODORE</v>
      </c>
      <c r="C46" s="6" t="e">
        <f>VLOOKUP($A46,#REF!,3,0)</f>
        <v>#REF!</v>
      </c>
    </row>
    <row r="47" spans="1:26" x14ac:dyDescent="0.25">
      <c r="A47" s="1" t="s">
        <v>80</v>
      </c>
      <c r="B47" s="1" t="str">
        <f>VLOOKUP(A47,[21]LISTADHERENT!A$5:H$60,3,0)</f>
        <v>NGANHOU JEAN</v>
      </c>
      <c r="C47" s="6" t="e">
        <f>VLOOKUP($A47,#REF!,3,0)</f>
        <v>#REF!</v>
      </c>
      <c r="F47" s="6">
        <f t="shared" ref="F47:H47" si="8">SUM(F41:F46)</f>
        <v>30000</v>
      </c>
      <c r="G47" s="6">
        <f t="shared" si="8"/>
        <v>10000</v>
      </c>
      <c r="H47" s="6">
        <f t="shared" si="8"/>
        <v>40000</v>
      </c>
      <c r="I47" s="6"/>
      <c r="J47" s="6"/>
      <c r="K47" s="6"/>
    </row>
    <row r="49" spans="1:21" ht="18" x14ac:dyDescent="0.25">
      <c r="A49" s="1" t="s">
        <v>57</v>
      </c>
      <c r="B49" s="1"/>
      <c r="C49" s="9" t="e">
        <f>SUM(C43:C48)</f>
        <v>#REF!</v>
      </c>
      <c r="L49" s="140"/>
      <c r="M49" s="140"/>
      <c r="N49" s="2"/>
      <c r="O49" s="2"/>
      <c r="P49" s="2"/>
      <c r="Q49" s="2"/>
      <c r="R49" s="2"/>
      <c r="S49" s="2"/>
      <c r="T49" s="2"/>
      <c r="U49"/>
    </row>
  </sheetData>
  <autoFilter ref="A5:U38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9</vt:i4>
      </vt:variant>
    </vt:vector>
  </HeadingPairs>
  <TitlesOfParts>
    <vt:vector size="53" baseType="lpstr">
      <vt:lpstr>TAF</vt:lpstr>
      <vt:lpstr>MODEVERSEMENT</vt:lpstr>
      <vt:lpstr>MODET25000</vt:lpstr>
      <vt:lpstr>MVTDEC21</vt:lpstr>
      <vt:lpstr>MVTDEC22</vt:lpstr>
      <vt:lpstr>MVTJANV23</vt:lpstr>
      <vt:lpstr>MVTFEV23</vt:lpstr>
      <vt:lpstr>MVTMARS23</vt:lpstr>
      <vt:lpstr>MVTAVRIL23</vt:lpstr>
      <vt:lpstr>MVTMAI23</vt:lpstr>
      <vt:lpstr>MVTJUIN23</vt:lpstr>
      <vt:lpstr>MVTJUIL23</vt:lpstr>
      <vt:lpstr>MVTAOUT23</vt:lpstr>
      <vt:lpstr>MVTSEPT23</vt:lpstr>
      <vt:lpstr>MVTOCT23</vt:lpstr>
      <vt:lpstr>MVTNOV23</vt:lpstr>
      <vt:lpstr>MVTDEC23</vt:lpstr>
      <vt:lpstr>MVTRESUME23</vt:lpstr>
      <vt:lpstr>MVTREPARTITION2022</vt:lpstr>
      <vt:lpstr>BILAN 2022</vt:lpstr>
      <vt:lpstr>MVTREPARTITIONEDIT (2)</vt:lpstr>
      <vt:lpstr>MVTREPARTITION2021 (2)</vt:lpstr>
      <vt:lpstr>MVTREPARTITION2021DEF</vt:lpstr>
      <vt:lpstr>PARTAGE INTERET T100</vt:lpstr>
      <vt:lpstr>CPTECHINGUE</vt:lpstr>
      <vt:lpstr>CPTEKEHEPDAVID)</vt:lpstr>
      <vt:lpstr>CPTEKOUAMOEMMANUEL</vt:lpstr>
      <vt:lpstr>CPTETCHOUANTE</vt:lpstr>
      <vt:lpstr>CPTENJEPDJIO</vt:lpstr>
      <vt:lpstr>CPTETCHOUTOU</vt:lpstr>
      <vt:lpstr>MVTRESUME2019</vt:lpstr>
      <vt:lpstr>CPTETYAMERNEST</vt:lpstr>
      <vt:lpstr>CPTEFOGANGERIC</vt:lpstr>
      <vt:lpstr>CPTEFOTSOTHOMAS</vt:lpstr>
      <vt:lpstr>VP KOUAMOPEGUY</vt:lpstr>
      <vt:lpstr>SITUATION KEPSEU</vt:lpstr>
      <vt:lpstr>BAKOPACHILLE</vt:lpstr>
      <vt:lpstr>Feuil1</vt:lpstr>
      <vt:lpstr>MVTRESUMEEDIT2019</vt:lpstr>
      <vt:lpstr>MVTRESUMETAB</vt:lpstr>
      <vt:lpstr>MVTRESUME20BACKUP</vt:lpstr>
      <vt:lpstr>GESTTRESORERIE</vt:lpstr>
      <vt:lpstr>MVTJANV212</vt:lpstr>
      <vt:lpstr>MVTREPARTITION2022 (2)</vt:lpstr>
      <vt:lpstr>'MVTREPARTITION2021 (2)'!Impression_des_titres</vt:lpstr>
      <vt:lpstr>MVTREPARTITION2021DEF!Impression_des_titres</vt:lpstr>
      <vt:lpstr>MVTREPARTITION2022!Impression_des_titres</vt:lpstr>
      <vt:lpstr>'MVTREPARTITION2022 (2)'!Impression_des_titres</vt:lpstr>
      <vt:lpstr>'MVTREPARTITIONEDIT (2)'!Impression_des_titres</vt:lpstr>
      <vt:lpstr>MVTRESUMEEDIT2019!Impression_des_titres</vt:lpstr>
      <vt:lpstr>MODEPAIDOK</vt:lpstr>
      <vt:lpstr>MODET25000!MODEVERSEMENTS</vt:lpstr>
      <vt:lpstr>MODEVERSEMENT!MODEVERSEMENTS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cp:lastPrinted>2020-12-03T08:08:57Z</cp:lastPrinted>
  <dcterms:created xsi:type="dcterms:W3CDTF">2017-07-22T11:02:10Z</dcterms:created>
  <dcterms:modified xsi:type="dcterms:W3CDTF">2024-03-20T09:00:57Z</dcterms:modified>
</cp:coreProperties>
</file>