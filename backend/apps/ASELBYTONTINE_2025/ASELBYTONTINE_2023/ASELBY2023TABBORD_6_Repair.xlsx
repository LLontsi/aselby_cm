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</sheets>
</workbook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<sst xmlns="http://schemas.openxmlformats.org/spreadsheetml/2006/main" count="2566" uniqueCount="336">
  <si>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</si>
  <si>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</si>
  <si>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</si>
  <si>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</si>
  <si>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</si>
  <si>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</si>
  <si>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</si>
  <si>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</si>
  <si>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</si>
  <si>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</si>
  <si>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</si>
  <si>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</si>
  <si>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</si>
  <si>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</si>
  <si>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</si>
  <si>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</si>
  <si>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</si>
  <si>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</si>
  <si>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</si>
  <si>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</si>
  <si>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</si>
  <si>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</si>
  <si>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</si>
  <si>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</si>
  <si>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</si>
  <si>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</si>
  <si>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</si>
  <si>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</si>
  <si>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</si>
  <si>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</si>
  <si>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</si>
  <si>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</si>
  <si>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</si>
  <si>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</si>
  <si>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</si>
  <si>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</si>
  <si>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</si>
  <si>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</si>
  <si>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</si>
  <si>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</si>
  <si>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</si>
  <si>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</si>
  <si>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</si>
  <si>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</si>
  <si>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</si>
  <si>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</si>
  <si>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</si>
  <si>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</si>
  <si>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</si>
  <si>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</si>
  <si>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</si>
  <si>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</si>
  <si>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</si>
  <si>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</si>
  <si>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</si>
  <si>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</si>
  <si>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</si>
  <si>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</si>
  <si>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</si>
  <si>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</si>
  <si>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</si>
  <si>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</si>
  <si>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</si>
  <si>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</si>
  <si>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</si>
  <si>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</si>
  <si>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</si>
  <si>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</si>
  <si>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</si>
  <si>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</si>
  <si>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</si>
  <si>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</si>
  <si>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</si>
  <si>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</si>
  <si>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</si>
  <si>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</si>
  <si>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</si>
  <si>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</si>
  <si>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</si>
  <si>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</si>
  <si>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</si>
  <si>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</si>
  <si>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</si>
  <si>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</si>
  <si>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</si>
  <si>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</si>
  <si>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</si>
  <si>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</si>
  <si>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</si>
  <si>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</si>
  <si>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</si>
  <si>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</si>
  <si>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</si>
  <si>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</si>
  <si>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</si>
  <si>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</si>
  <si>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</si>
  <si>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</si>
  <si>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</si>
  <si>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</si>
  <si>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</si>
  <si>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</si>
  <si>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</si>
  <si>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</si>
  <si>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</si>
  <si>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</si>
  <si>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</si>
  <si>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</si>
  <si>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</si>
  <si>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</si>
  <si>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</si>
  <si>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</si>
  <si>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</si>
  <si>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</si>
  <si>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</si>
  <si>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</si>
  <si>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</si>
  <si>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</si>
  <si>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</si>
  <si>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</si>
  <si>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</si>
  <si>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</si>
  <si>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</si>
  <si>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</si>
  <si>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</si>
  <si>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</si>
  <si>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</si>
  <si>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</si>
  <si>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</si>
  <si>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</si>
  <si>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</si>
  <si>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</si>
  <si>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</si>
  <si>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</si>
  <si>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</si>
  <si>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</si>
  <si>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</si>
  <si>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</si>
  <si>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</si>
  <si>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</si>
  <si>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</si>
  <si>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</si>
  <si>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</si>
  <si>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</si>
  <si>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</si>
  <si>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</si>
  <si>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</si>
  <si>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</si>
  <si>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</si>
  <si>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</si>
  <si>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</si>
  <si>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</si>
  <si>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</si>
  <si>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</si>
  <si>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</si>
  <si>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</si>
  <si>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</si>
  <si>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</si>
  <si>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</si>
  <si>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</si>
  <si>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</si>
  <si>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</si>
  <si>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</si>
  <si>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</si>
  <si>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</si>
  <si>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</si>
  <si>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</si>
  <si>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</si>
  <si>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</si>
  <si>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</si>
  <si>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</si>
  <si>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</si>
  <si>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</si>
  <si>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</si>
  <si>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</si>
  <si>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</si>
  <si>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</si>
  <si>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</si>
  <si>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</si>
  <si>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</si>
  <si>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</si>
  <si>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</si>
  <si>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</si>
  <si>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</si>
  <si>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</si>
  <si>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</si>
  <si>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</si>
  <si>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</si>
  <si>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</si>
  <si>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</si>
  <si>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</si>
  <si>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</si>
  <si>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</si>
  <si>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</si>
  <si>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</si>
  <si>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</si>
  <si>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</si>
  <si>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</si>
  <si>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</si>
  <si>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</si>
  <si>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</si>
  <si>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</si>
  <si>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</si>
  <si>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</si>
  <si>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</si>
  <si>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</si>
  <si>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</si>
  <si>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</si>
  <si>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</si>
  <si>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</si>
  <si>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</si>
  <si>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</si>
  <si>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</si>
  <si>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</si>
  <si>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</si>
  <si>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</si>
  <si>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</si>
  <si>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</si>
  <si>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</si>
  <si>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</si>
  <si>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</si>
  <si>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</si>
  <si>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</si>
  <si>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</si>
  <si>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</si>
  <si>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</si>
  <si>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</si>
  <si>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</si>
  <si>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</si>
  <si>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</si>
  <si>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</si>
  <si>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</si>
  <si>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</si>
  <si>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</si>
  <si>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</si>
  <si>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</si>
  <si>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</si>
  <si>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</si>
  <si>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</si>
  <si>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</si>
  <si>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</si>
  <si>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</si>
  <si>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</si>
  <si>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</si>
  <si>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</si>
  <si>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</si>
  <si>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</si>
  <si>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</si>
  <si>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</si>
  <si>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</si>
  <si>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</si>
  <si>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</si>
  <si>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</si>
  <si>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</si>
  <si>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</si>
  <si>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</si>
  <si>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</si>
  <si>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</si>
  <si>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</si>
  <si>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</si>
  <si>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</si>
  <si>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</si>
  <si>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</si>
  <si>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</si>
  <si>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</si>
  <si>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</si>
  <si>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</si>
  <si>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</si>
  <si>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</si>
  <si>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</si>
  <si>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</si>
  <si>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</si>
  <si>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</si>
  <si>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</si>
  <si>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</si>
  <si>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</si>
  <si>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</si>
  <si>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</si>
  <si>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</si>
  <si>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</si>
  <si>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</si>
  <si>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</si>
  <si>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</si>
  <si>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</si>
  <si>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</si>
  <si>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</si>
  <si>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</si>
  <si>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</si>
  <si>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</si>
  <si>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</si>
  <si>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</si>
  <si>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</si>
  <si>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</si>
  <si>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</si>
  <si>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</si>
  <si>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</si>
  <si>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</si>
  <si>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</si>
  <si>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</si>
  <si>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</si>
  <si>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</si>
  <si>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</si>
  <si>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</si>
  <si>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</si>
  <si>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</si>
  <si>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</si>
  <si>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</si>
  <si>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</si>
  <si>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</si>
  <si>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</si>
  <si>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</si>
  <si>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</si>
  <si>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</si>
  <si>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</si>
  <si>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</si>
  <si>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</si>
  <si>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</si>
  <si>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</si>
  <si>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</si>
  <si>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</si>
  <si>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</si>
  <si>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</si>
  <si>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</si>
  <si>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</si>
  <si>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</si>
  <si>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</si>
  <si>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</si>
  <si>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</si>
  <si>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</si>
  <si>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</si>
  <si>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</si>
  <si>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</si>
  <si>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</si>
  <si>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</si>
  <si>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PRÊT DEFINITIF</t>
  </si>
  <si>
    <t>INTERET  PRÊT EXERCISE</t>
  </si>
</sst>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<sst xmlns="http://schemas.openxmlformats.org/spreadsheetml/2006/main" count="2566" uniqueCount="336">
  <si>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</si>
  <si>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</si>
  <si>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</si>
  <si>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</si>
  <si>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</si>
  <si>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</si>
  <si>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</si>
  <si>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</si>
  <si>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</si>
  <si>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</si>
  <si>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</si>
  <si>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</si>
  <si>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</si>
  <si>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</si>
  <si>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</si>
  <si>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</si>
  <si>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</si>
  <si>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</si>
  <si>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</si>
  <si>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</si>
  <si>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</si>
  <si>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</si>
  <si>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</si>
  <si>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</si>
  <si>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</si>
  <si>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</si>
  <si>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</si>
  <si>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</si>
  <si>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</si>
  <si>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</si>
  <si>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</si>
  <si>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</si>
  <si>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</si>
  <si>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</si>
  <si>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</si>
  <si>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</si>
  <si>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</si>
  <si>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</si>
  <si>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</si>
  <si>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</si>
  <si>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</si>
  <si>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</si>
  <si>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</si>
  <si>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</si>
  <si>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</si>
  <si>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</si>
  <si>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</si>
  <si>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</si>
  <si>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</si>
  <si>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</si>
  <si>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</si>
  <si>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</si>
  <si>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</si>
  <si>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</si>
  <si>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</si>
  <si>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</si>
  <si>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</si>
  <si>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</si>
  <si>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</si>
  <si>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</si>
  <si>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</si>
  <si>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</si>
  <si>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</si>
  <si>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</si>
  <si>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</si>
  <si>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</si>
  <si>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</si>
  <si>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</si>
  <si>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</si>
  <si>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</si>
  <si>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</si>
  <si>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</si>
  <si>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</si>
  <si>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</si>
  <si>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</si>
  <si>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</si>
  <si>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</si>
  <si>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</si>
  <si>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</si>
  <si>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</si>
  <si>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</si>
  <si>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</si>
  <si>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</si>
  <si>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</si>
  <si>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</si>
  <si>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</si>
  <si>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</si>
  <si>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</si>
  <si>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</si>
  <si>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</si>
  <si>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</si>
  <si>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</si>
  <si>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</si>
  <si>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</si>
  <si>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</si>
  <si>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</si>
  <si>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</si>
  <si>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</si>
  <si>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</si>
  <si>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</si>
  <si>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</si>
  <si>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</si>
  <si>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</si>
  <si>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</si>
  <si>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</si>
  <si>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</si>
  <si>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</si>
  <si>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</si>
  <si>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</si>
  <si>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</si>
  <si>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</si>
  <si>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</si>
  <si>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</si>
  <si>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</si>
  <si>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</si>
  <si>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</si>
  <si>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</si>
  <si>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</si>
  <si>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</si>
  <si>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</si>
  <si>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</si>
  <si>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</si>
  <si>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</si>
  <si>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</si>
  <si>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</si>
  <si>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</si>
  <si>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</si>
  <si>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</si>
  <si>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</si>
  <si>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</si>
  <si>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</si>
  <si>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</si>
  <si>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</si>
  <si>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</si>
  <si>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</si>
  <si>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</si>
  <si>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</si>
  <si>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</si>
  <si>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</si>
  <si>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</si>
  <si>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</si>
  <si>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</si>
  <si>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</si>
  <si>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</si>
  <si>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</si>
  <si>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</si>
  <si>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</si>
  <si>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</si>
  <si>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</si>
  <si>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</si>
  <si>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</si>
  <si>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</si>
  <si>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</si>
  <si>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</si>
  <si>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</si>
  <si>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</si>
  <si>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</si>
  <si>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</si>
  <si>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</si>
  <si>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</si>
  <si>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</si>
  <si>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</si>
  <si>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</si>
  <si>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</si>
  <si>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</si>
  <si>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</si>
  <si>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</si>
  <si>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</si>
  <si>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</si>
  <si>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</si>
  <si>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</si>
  <si>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</si>
  <si>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</si>
  <si>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</si>
  <si>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</si>
  <si>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</si>
  <si>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</si>
  <si>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</si>
  <si>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</si>
  <si>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</si>
  <si>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</si>
  <si>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</si>
  <si>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</si>
  <si>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</si>
  <si>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</si>
  <si>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</si>
  <si>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</si>
  <si>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</si>
  <si>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</si>
  <si>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</si>
  <si>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</si>
  <si>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</si>
  <si>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</si>
  <si>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</si>
  <si>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</si>
  <si>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</si>
  <si>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</si>
  <si>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</si>
  <si>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</si>
  <si>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</si>
  <si>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</si>
  <si>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</si>
  <si>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</si>
  <si>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</si>
  <si>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</si>
  <si>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</si>
  <si>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</si>
  <si>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</si>
  <si>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</si>
  <si>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</si>
  <si>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</si>
  <si>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</si>
  <si>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</si>
  <si>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</si>
  <si>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</si>
  <si>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</si>
  <si>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</si>
  <si>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</si>
  <si>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</si>
  <si>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</si>
  <si>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</si>
  <si>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</si>
  <si>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</si>
  <si>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</si>
  <si>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</si>
  <si>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</si>
  <si>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</si>
  <si>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</si>
  <si>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</si>
  <si>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</si>
  <si>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</si>
  <si>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</si>
  <si>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</si>
  <si>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</si>
  <si>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</si>
  <si>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</si>
  <si>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</si>
  <si>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</si>
  <si>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</si>
  <si>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</si>
  <si>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</si>
  <si>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</si>
  <si>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</si>
  <si>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</si>
  <si>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</si>
  <si>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</si>
  <si>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</si>
  <si>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</si>
  <si>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</si>
  <si>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</si>
  <si>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</si>
  <si>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</si>
  <si>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</si>
  <si>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</si>
  <si>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</si>
  <si>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</si>
  <si>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</si>
  <si>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</si>
  <si>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</si>
  <si>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</si>
  <si>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</si>
  <si>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</si>
  <si>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</si>
  <si>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</si>
  <si>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</si>
  <si>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</si>
  <si>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</si>
  <si>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</si>
  <si>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</si>
  <si>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</si>
  <si>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</si>
  <si>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</si>
  <si>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</si>
  <si>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</si>
  <si>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</si>
  <si>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</si>
  <si>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</si>
  <si>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</si>
  <si>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</si>
  <si>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</si>
  <si>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</si>
  <si>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</si>
  <si>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</si>
  <si>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</si>
  <si>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</si>
  <si>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</si>
  <si>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</si>
  <si>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</si>
  <si>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</si>
  <si>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</si>
  <si>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</si>
  <si>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</si>
  <si>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</si>
  <si>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</si>
  <si>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</si>
  <si>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</si>
  <si>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</si>
  <si>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</si>
  <si>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</si>
  <si>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</si>
  <si>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</si>
  <si>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</si>
  <si>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</si>
  <si>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</si>
  <si>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</si>
  <si>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</si>
  <si>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</si>
  <si>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</si>
  <si>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</si>
  <si>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</si>
  <si>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</si>
  <si>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</si>
  <si>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</si>
  <si>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</si>
  <si>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</si>
  <si>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</si>
  <si>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</si>
  <si>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</si>
  <si>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</si>
  <si>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</si>
  <si>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</si>
  <si>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</si>
  <si>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</si>
  <si>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</si>
  <si>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</si>
  <si>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</si>
  <si>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</si>
  <si>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</si>
  <si>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</si>
  <si>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</si>
  <si>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</si>
  <si>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</si>
  <si>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</si>
  <si>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</si>
  <si>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PRÊT DEFINITIF</t>
  </si>
  <si>
    <t>INTERET  PRÊT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</si>
</sst>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workbookViewId="0">
      <pane xSplit="2" ySplit="5" topLeftCell="N6" activePane="bottomRight" state="frozen"/>
      <selection activeCell="B43" sqref="B43"/>
      <selection pane="topRight" activeCell="B43" sqref="B43"/>
      <selection pane="bottomLeft" activeCell="B43" sqref="B43"/>
      <selection pane="bottomRight" activeCell="R6" sqref="R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30" max="30" width="12.42578125" bestFit="1" customWidth="1"/>
  </cols>
  <sheetData>
    <row r="1" spans="1:32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25">
      <c r="A3" s="1" t="s">
        <v>3</v>
      </c>
      <c r="B3" s="5"/>
      <c r="C3" s="5"/>
      <c r="D3" s="5"/>
      <c r="E3" s="5"/>
      <c r="F3" s="5"/>
      <c r="G3" s="5"/>
      <c r="H3" s="5"/>
    </row>
    <row r="4" spans="1:32" ht="26.25" x14ac:dyDescent="0.4">
      <c r="B4" s="16"/>
      <c r="C4" s="16"/>
      <c r="D4" s="16"/>
      <c r="E4" s="16"/>
      <c r="F4" s="16"/>
      <c r="G4" s="16"/>
      <c r="H4" s="16"/>
      <c r="I4" s="102"/>
      <c r="J4" s="160">
        <v>44578</v>
      </c>
      <c r="K4" s="160"/>
      <c r="L4" s="160"/>
      <c r="M4" s="160"/>
      <c r="N4" s="160"/>
      <c r="O4" s="160"/>
      <c r="P4"/>
      <c r="Q4"/>
    </row>
    <row r="5" spans="1:32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4" t="s">
        <v>255</v>
      </c>
    </row>
    <row r="6" spans="1:32" x14ac:dyDescent="0.25">
      <c r="A6" s="1" t="s">
        <v>16</v>
      </c>
      <c r="B6" s="1" t="str">
        <f>VLOOKUP(A6,[15]LISTADHERENT!$A$5:$J$50,3,0)</f>
        <v>ASELBY</v>
      </c>
      <c r="C6" s="5" t="e">
        <f>#REF!</f>
        <v>#REF!</v>
      </c>
      <c r="D6" s="5" t="e">
        <f>#REF!</f>
        <v>#REF!</v>
      </c>
      <c r="E6" s="36"/>
      <c r="F6" s="5" t="e">
        <f>C6+D6-E6+K6</f>
        <v>#REF!</v>
      </c>
      <c r="G6" s="6" t="e">
        <f t="shared" ref="G6:G36" si="0">$S$40/$H$40*H6</f>
        <v>#REF!</v>
      </c>
      <c r="H6" s="6" t="e">
        <f>F6+D6+K6</f>
        <v>#REF!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25">
      <c r="A7" s="1" t="s">
        <v>17</v>
      </c>
      <c r="B7" s="1" t="str">
        <f>VLOOKUP(A7,[15]LISTADHERENT!$A$5:$J$50,3,0)</f>
        <v>BAKOP ACHILLE</v>
      </c>
      <c r="C7" s="5" t="e">
        <f>#REF!</f>
        <v>#REF!</v>
      </c>
      <c r="D7" s="5" t="e">
        <f>#REF!</f>
        <v>#REF!</v>
      </c>
      <c r="E7" s="36"/>
      <c r="F7" s="5" t="e">
        <f t="shared" ref="F7:F36" si="1">C7+D7-E7+K7</f>
        <v>#REF!</v>
      </c>
      <c r="G7" s="6" t="e">
        <f t="shared" si="0"/>
        <v>#REF!</v>
      </c>
      <c r="H7" s="6" t="e">
        <f t="shared" ref="H7:H36" si="2">F7+D7+K7</f>
        <v>#REF!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4000</v>
      </c>
      <c r="Z7" s="36"/>
      <c r="AA7" s="36"/>
      <c r="AB7" s="36"/>
      <c r="AC7" s="36"/>
      <c r="AD7" s="36"/>
      <c r="AE7" s="2"/>
      <c r="AF7" s="2"/>
    </row>
    <row r="8" spans="1:32" x14ac:dyDescent="0.25">
      <c r="A8" s="1" t="s">
        <v>19</v>
      </c>
      <c r="B8" s="1" t="str">
        <f>VLOOKUP(A8,[15]LISTADHERENT!$A$5:$J$50,3,0)</f>
        <v>BOUTCHOUANG WILLIAM</v>
      </c>
      <c r="C8" s="5" t="e">
        <f>#REF!</f>
        <v>#REF!</v>
      </c>
      <c r="D8" s="5" t="e">
        <f>#REF!</f>
        <v>#REF!</v>
      </c>
      <c r="E8" s="36"/>
      <c r="F8" s="5" t="e">
        <f t="shared" si="1"/>
        <v>#REF!</v>
      </c>
      <c r="G8" s="6" t="e">
        <f t="shared" si="0"/>
        <v>#REF!</v>
      </c>
      <c r="H8" s="6" t="e">
        <f t="shared" si="2"/>
        <v>#REF!</v>
      </c>
      <c r="I8" s="36">
        <f>VLOOKUP($A8,[16]HISTOJANV22!$A$6:$AQ$37,22,0)</f>
        <v>0</v>
      </c>
      <c r="J8" s="36">
        <f>VLOOKUP($A8,[16]HISTOJANV22!$A$6:$AU$39,45,0)</f>
        <v>7000</v>
      </c>
      <c r="K8" s="36">
        <f t="shared" ref="K8:K36" si="3">IF(J8=0,0,J8-(L8+M8+N8))</f>
        <v>3000</v>
      </c>
      <c r="L8" s="36">
        <f t="shared" ref="L8:L36" si="4">IF(J8=0,0,500)</f>
        <v>500</v>
      </c>
      <c r="M8" s="36">
        <f t="shared" ref="M8:M36" si="5">IF(J8=0,0,1000)</f>
        <v>1000</v>
      </c>
      <c r="N8" s="36">
        <f t="shared" ref="N8:N36" si="6">IF(J8=0,0,2500)</f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525000</v>
      </c>
      <c r="S8" s="36">
        <f t="shared" ref="S8:S36" si="7">R8*12/1200*12</f>
        <v>63000</v>
      </c>
      <c r="T8" s="36">
        <f>VLOOKUP($A8,[16]HISTOJANV22!$A$6:$AU$39,28,0)</f>
        <v>0</v>
      </c>
      <c r="U8" s="36">
        <f>VLOOKUP($A8,[16]HISTOJANV22!$A$6:$AU$39,19,0)</f>
        <v>0</v>
      </c>
      <c r="V8" s="36">
        <f>VLOOKUP($A8,[16]HISTOJANV22!$A$6:$AU$39,20,0)</f>
        <v>0</v>
      </c>
      <c r="W8" s="36">
        <f>VLOOKUP($A8,[16]HISTOJANV22!$A$6:$AU$39,27,0)</f>
        <v>0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25">
      <c r="A9" s="1" t="s">
        <v>23</v>
      </c>
      <c r="B9" s="1" t="str">
        <f>VLOOKUP(A9,[15]LISTADHERENT!$A$5:$J$50,3,0)</f>
        <v xml:space="preserve">DJOMO JEAN PAUL </v>
      </c>
      <c r="C9" s="5" t="e">
        <f>#REF!</f>
        <v>#REF!</v>
      </c>
      <c r="D9" s="5" t="e">
        <f>#REF!</f>
        <v>#REF!</v>
      </c>
      <c r="E9" s="36"/>
      <c r="F9" s="5" t="e">
        <f t="shared" si="1"/>
        <v>#REF!</v>
      </c>
      <c r="G9" s="6" t="e">
        <f t="shared" si="0"/>
        <v>#REF!</v>
      </c>
      <c r="H9" s="6" t="e">
        <f t="shared" si="2"/>
        <v>#REF!</v>
      </c>
      <c r="I9" s="36">
        <f>VLOOKUP($A9,[16]HISTOJANV22!$A$6:$AQ$37,22,0)</f>
        <v>0</v>
      </c>
      <c r="J9" s="36">
        <f>VLOOKUP($A9,[16]HISTOJANV22!$A$6:$AU$39,45,0)</f>
        <v>52000</v>
      </c>
      <c r="K9" s="36">
        <f t="shared" si="3"/>
        <v>48000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1000000</v>
      </c>
      <c r="S9" s="36">
        <f t="shared" si="7"/>
        <v>120000</v>
      </c>
      <c r="T9" s="36" t="str">
        <f>VLOOKUP($A9,[16]HISTOJANV22!$A$6:$AU$39,28,0)</f>
        <v>OKK</v>
      </c>
      <c r="U9" s="36">
        <f>VLOOKUP($A9,[16]HISTOJANV22!$A$6:$AU$39,19,0)</f>
        <v>0</v>
      </c>
      <c r="V9" s="36">
        <f>VLOOKUP($A9,[16]HISTOJANV22!$A$6:$AU$39,20,0)</f>
        <v>0</v>
      </c>
      <c r="W9" s="36" t="str">
        <f>VLOOKUP($A9,[16]HISTOJANV22!$A$6:$AU$39,27,0)</f>
        <v>BANQUE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25">
      <c r="A10" s="1" t="s">
        <v>154</v>
      </c>
      <c r="B10" s="1" t="str">
        <f>VLOOKUP(A10,[15]LISTADHERENT!$A$5:$J$50,3,0)</f>
        <v>DJOMOU TCHAPDA</v>
      </c>
      <c r="C10" s="5" t="e">
        <f>#REF!</f>
        <v>#REF!</v>
      </c>
      <c r="D10" s="5" t="e">
        <f>#REF!</f>
        <v>#REF!</v>
      </c>
      <c r="E10" s="36"/>
      <c r="F10" s="5" t="e">
        <f t="shared" si="1"/>
        <v>#REF!</v>
      </c>
      <c r="G10" s="6" t="e">
        <f t="shared" si="0"/>
        <v>#REF!</v>
      </c>
      <c r="H10" s="6" t="e">
        <f t="shared" si="2"/>
        <v>#REF!</v>
      </c>
      <c r="I10" s="36">
        <f>VLOOKUP($A10,[16]HISTOJANV22!$A$6:$AQ$37,22,0)</f>
        <v>0</v>
      </c>
      <c r="J10" s="36">
        <f>VLOOKUP($A10,[16]HISTOJANV22!$A$6:$AU$39,45,0)</f>
        <v>7000</v>
      </c>
      <c r="K10" s="36">
        <f t="shared" si="3"/>
        <v>3000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 t="e">
        <f>VLOOKUP($A10,[16]HISTODEC21!$A$6:$AU$39,26,0)</f>
        <v>#REF!</v>
      </c>
      <c r="S10" s="36" t="e">
        <f>R10*1/1200*12</f>
        <v>#REF!</v>
      </c>
      <c r="T10" s="36">
        <f>VLOOKUP($A10,[16]HISTOJANV22!$A$6:$AU$39,28,0)</f>
        <v>0</v>
      </c>
      <c r="U10" s="36">
        <f>VLOOKUP($A10,[16]HISTOJANV22!$A$6:$AU$39,19,0)</f>
        <v>0</v>
      </c>
      <c r="V10" s="36">
        <f>VLOOKUP($A10,[16]HISTOJANV22!$A$6:$AU$39,20,0)</f>
        <v>0</v>
      </c>
      <c r="W10" s="36">
        <f>VLOOKUP($A10,[16]HISTOJANV22!$A$6:$AU$39,27,0)</f>
        <v>0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25">
      <c r="A11" s="1" t="s">
        <v>24</v>
      </c>
      <c r="B11" s="1" t="str">
        <f>VLOOKUP(A11,[15]LISTADHERENT!$A$5:$J$50,3,0)</f>
        <v>DJOUKWE NANGUEN GUY BLAISE</v>
      </c>
      <c r="C11" s="5" t="e">
        <f>#REF!</f>
        <v>#REF!</v>
      </c>
      <c r="D11" s="5" t="e">
        <f>#REF!</f>
        <v>#REF!</v>
      </c>
      <c r="E11" s="36"/>
      <c r="F11" s="5" t="e">
        <f t="shared" si="1"/>
        <v>#REF!</v>
      </c>
      <c r="G11" s="6" t="e">
        <f t="shared" si="0"/>
        <v>#REF!</v>
      </c>
      <c r="H11" s="6" t="e">
        <f t="shared" si="2"/>
        <v>#REF!</v>
      </c>
      <c r="I11" s="36">
        <f>VLOOKUP($A11,[16]HISTOJANV22!$A$6:$AQ$37,22,0)</f>
        <v>0</v>
      </c>
      <c r="J11" s="36">
        <f>VLOOKUP($A11,[16]HISTOJANV22!$A$6:$AU$39,45,0)</f>
        <v>12000</v>
      </c>
      <c r="K11" s="36">
        <f t="shared" si="3"/>
        <v>8000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1000000</v>
      </c>
      <c r="S11" s="36">
        <f>R11*1/1200*12</f>
        <v>10000</v>
      </c>
      <c r="T11" s="36" t="str">
        <f>VLOOKUP($A11,[16]HISTOJANV22!$A$6:$AU$39,28,0)</f>
        <v>OKK</v>
      </c>
      <c r="U11" s="36">
        <f>VLOOKUP($A11,[16]HISTOJANV22!$A$6:$AU$39,19,0)</f>
        <v>0</v>
      </c>
      <c r="V11" s="36">
        <f>VLOOKUP($A11,[16]HISTOJANV22!$A$6:$AU$39,20,0)</f>
        <v>0</v>
      </c>
      <c r="W11" s="36" t="str">
        <f>VLOOKUP($A11,[16]HISTOJANV22!$A$6:$AU$39,27,0)</f>
        <v>BANQUE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0</v>
      </c>
      <c r="AE11" s="2"/>
      <c r="AF11" s="2"/>
    </row>
    <row r="12" spans="1:32" x14ac:dyDescent="0.25">
      <c r="A12" s="1" t="s">
        <v>25</v>
      </c>
      <c r="B12" s="1" t="str">
        <f>VLOOKUP(A12,[15]LISTADHERENT!$A$5:$J$50,3,0)</f>
        <v>DJUOMBESSY ANTOINE</v>
      </c>
      <c r="C12" s="5" t="e">
        <f>#REF!</f>
        <v>#REF!</v>
      </c>
      <c r="D12" s="5" t="e">
        <f>#REF!</f>
        <v>#REF!</v>
      </c>
      <c r="E12" s="36"/>
      <c r="F12" s="5" t="e">
        <f t="shared" si="1"/>
        <v>#REF!</v>
      </c>
      <c r="G12" s="6" t="e">
        <f t="shared" si="0"/>
        <v>#REF!</v>
      </c>
      <c r="H12" s="6" t="e">
        <f t="shared" si="2"/>
        <v>#REF!</v>
      </c>
      <c r="I12" s="36">
        <f>VLOOKUP($A12,[16]HISTOJANV22!$A$6:$AQ$37,22,0)</f>
        <v>0</v>
      </c>
      <c r="J12" s="36">
        <f>VLOOKUP($A12,[16]HISTOJANV22!$A$6:$AU$39,45,0)</f>
        <v>7000</v>
      </c>
      <c r="K12" s="36">
        <f t="shared" si="3"/>
        <v>3000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1029000</v>
      </c>
      <c r="S12" s="36">
        <f t="shared" si="7"/>
        <v>123480</v>
      </c>
      <c r="T12" s="36">
        <f>VLOOKUP($A12,[16]HISTOJANV22!$A$6:$AU$39,28,0)</f>
        <v>0</v>
      </c>
      <c r="U12" s="36">
        <f>VLOOKUP($A12,[16]HISTOJANV22!$A$6:$AU$39,19,0)</f>
        <v>1000000</v>
      </c>
      <c r="V12" s="36" t="str">
        <f>VLOOKUP($A12,[16]HISTOJANV22!$A$6:$AU$39,20,0)</f>
        <v>BANQUE</v>
      </c>
      <c r="W12" s="36">
        <f>VLOOKUP($A12,[16]HISTOJANV22!$A$6:$AU$39,27,0)</f>
        <v>0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61000</v>
      </c>
      <c r="AE12" s="2"/>
      <c r="AF12" s="2"/>
    </row>
    <row r="13" spans="1:32" x14ac:dyDescent="0.25">
      <c r="A13" s="1" t="s">
        <v>79</v>
      </c>
      <c r="B13" s="1" t="str">
        <f>VLOOKUP(A13,[15]LISTADHERENT!$A$5:$J$50,3,0)</f>
        <v>DOMOU FABIEN</v>
      </c>
      <c r="C13" s="5" t="e">
        <f>#REF!</f>
        <v>#REF!</v>
      </c>
      <c r="D13" s="5" t="e">
        <f>#REF!</f>
        <v>#REF!</v>
      </c>
      <c r="E13" s="36"/>
      <c r="F13" s="5" t="e">
        <f t="shared" si="1"/>
        <v>#REF!</v>
      </c>
      <c r="G13" s="6" t="e">
        <f t="shared" si="0"/>
        <v>#REF!</v>
      </c>
      <c r="H13" s="6" t="e">
        <f t="shared" si="2"/>
        <v>#REF!</v>
      </c>
      <c r="I13" s="36">
        <f>VLOOKUP($A13,[16]HISTOJANV22!$A$6:$AQ$37,22,0)</f>
        <v>0</v>
      </c>
      <c r="J13" s="36">
        <f>VLOOKUP($A13,[16]HISTOJANV22!$A$6:$AU$39,45,0)</f>
        <v>12000</v>
      </c>
      <c r="K13" s="36">
        <f t="shared" si="3"/>
        <v>8000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1000000</v>
      </c>
      <c r="S13" s="36">
        <f t="shared" si="7"/>
        <v>120000</v>
      </c>
      <c r="T13" s="36" t="str">
        <f>VLOOKUP($A13,[16]HISTOJANV22!$A$6:$AU$39,28,0)</f>
        <v>OKK</v>
      </c>
      <c r="U13" s="36">
        <f>VLOOKUP($A13,[16]HISTOJANV22!$A$6:$AU$39,19,0)</f>
        <v>0</v>
      </c>
      <c r="V13" s="36">
        <f>VLOOKUP($A13,[16]HISTOJANV22!$A$6:$AU$39,20,0)</f>
        <v>0</v>
      </c>
      <c r="W13" s="36" t="str">
        <f>VLOOKUP($A13,[16]HISTOJANV22!$A$6:$AU$39,27,0)</f>
        <v>BANQUE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57000</v>
      </c>
      <c r="AE13" s="2"/>
      <c r="AF13" s="2"/>
    </row>
    <row r="14" spans="1:32" x14ac:dyDescent="0.25">
      <c r="A14" s="1" t="s">
        <v>26</v>
      </c>
      <c r="B14" s="1" t="str">
        <f>VLOOKUP(A14,[15]LISTADHERENT!$A$5:$J$50,3,0)</f>
        <v>DONHOU DAVID</v>
      </c>
      <c r="C14" s="5" t="e">
        <f>#REF!</f>
        <v>#REF!</v>
      </c>
      <c r="D14" s="5" t="e">
        <f>#REF!</f>
        <v>#REF!</v>
      </c>
      <c r="E14" s="36"/>
      <c r="F14" s="5" t="e">
        <f t="shared" si="1"/>
        <v>#REF!</v>
      </c>
      <c r="G14" s="6" t="e">
        <f t="shared" si="0"/>
        <v>#REF!</v>
      </c>
      <c r="H14" s="6" t="e">
        <f t="shared" si="2"/>
        <v>#REF!</v>
      </c>
      <c r="I14" s="36">
        <f>VLOOKUP($A14,[16]HISTOJANV22!$A$6:$AQ$37,22,0)</f>
        <v>0</v>
      </c>
      <c r="J14" s="36">
        <f>VLOOKUP($A14,[16]HISTOJANV22!$A$6:$AU$39,45,0)</f>
        <v>7000</v>
      </c>
      <c r="K14" s="36">
        <f t="shared" si="3"/>
        <v>3000</v>
      </c>
      <c r="L14" s="36">
        <f t="shared" si="4"/>
        <v>500</v>
      </c>
      <c r="M14" s="36">
        <f t="shared" si="5"/>
        <v>1000</v>
      </c>
      <c r="N14" s="36">
        <f t="shared" si="6"/>
        <v>2500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 t="e">
        <f>VLOOKUP($A14,[16]HISTODEC21!$A$6:$AU$39,26,0)</f>
        <v>#REF!</v>
      </c>
      <c r="S14" s="36" t="e">
        <f>R14*0/1200*12</f>
        <v>#REF!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>
        <f>VLOOKUP($A14,[16]HISTOJANV22!$A$6:$AU$39,27,0)</f>
        <v>0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70000</v>
      </c>
      <c r="AE14" s="2"/>
      <c r="AF14" s="2"/>
    </row>
    <row r="15" spans="1:32" ht="14.25" customHeight="1" x14ac:dyDescent="0.25">
      <c r="A15" s="1" t="s">
        <v>28</v>
      </c>
      <c r="B15" s="1" t="str">
        <f>VLOOKUP(A15,[15]LISTADHERENT!$A$5:$J$50,3,0)</f>
        <v>HENGUE PAUL OMER</v>
      </c>
      <c r="C15" s="5" t="e">
        <f>#REF!</f>
        <v>#REF!</v>
      </c>
      <c r="D15" s="5" t="e">
        <f>#REF!</f>
        <v>#REF!</v>
      </c>
      <c r="E15" s="36"/>
      <c r="F15" s="5" t="e">
        <f t="shared" si="1"/>
        <v>#REF!</v>
      </c>
      <c r="G15" s="6" t="e">
        <f t="shared" si="0"/>
        <v>#REF!</v>
      </c>
      <c r="H15" s="6" t="e">
        <f t="shared" si="2"/>
        <v>#REF!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 t="e">
        <f>VLOOKUP($A15,[16]HISTODEC21!$A$6:$AU$39,26,0)</f>
        <v>#REF!</v>
      </c>
      <c r="S15" s="36" t="e">
        <f t="shared" si="7"/>
        <v>#REF!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25">
      <c r="A16" s="1" t="s">
        <v>29</v>
      </c>
      <c r="B16" s="1" t="str">
        <f>VLOOKUP(A16,[15]LISTADHERENT!$A$5:$J$50,3,0)</f>
        <v>HOTCHO BENJAMIN</v>
      </c>
      <c r="C16" s="5" t="e">
        <f>#REF!</f>
        <v>#REF!</v>
      </c>
      <c r="D16" s="5" t="e">
        <f>#REF!</f>
        <v>#REF!</v>
      </c>
      <c r="E16" s="36"/>
      <c r="F16" s="5" t="e">
        <f t="shared" si="1"/>
        <v>#REF!</v>
      </c>
      <c r="G16" s="6" t="e">
        <f t="shared" si="0"/>
        <v>#REF!</v>
      </c>
      <c r="H16" s="6" t="e">
        <f t="shared" si="2"/>
        <v>#REF!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 t="e">
        <f>VLOOKUP($A16,[16]HISTODEC21!$A$6:$AU$39,26,0)</f>
        <v>#REF!</v>
      </c>
      <c r="S16" s="36" t="e">
        <f t="shared" si="7"/>
        <v>#REF!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25">
      <c r="A17" s="1" t="s">
        <v>33</v>
      </c>
      <c r="B17" s="1" t="str">
        <f>VLOOKUP(A17,[15]LISTADHERENT!$A$5:$J$50,3,0)</f>
        <v>KOUAMOU MOISE</v>
      </c>
      <c r="C17" s="5" t="e">
        <f>#REF!</f>
        <v>#REF!</v>
      </c>
      <c r="D17" s="5" t="e">
        <f>#REF!</f>
        <v>#REF!</v>
      </c>
      <c r="E17" s="36"/>
      <c r="F17" s="5" t="e">
        <f t="shared" si="1"/>
        <v>#REF!</v>
      </c>
      <c r="G17" s="6" t="e">
        <f t="shared" si="0"/>
        <v>#REF!</v>
      </c>
      <c r="H17" s="6" t="e">
        <f t="shared" si="2"/>
        <v>#REF!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 t="e">
        <f>VLOOKUP($A17,[16]HISTODEC21!$A$6:$AU$39,26,0)</f>
        <v>#REF!</v>
      </c>
      <c r="S17" s="36" t="e">
        <f t="shared" si="7"/>
        <v>#REF!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25">
      <c r="A18" s="1" t="s">
        <v>35</v>
      </c>
      <c r="B18" s="1" t="str">
        <f>VLOOKUP(A18,[15]LISTADHERENT!$A$5:$J$50,3,0)</f>
        <v>KOUATCHO MESSACK</v>
      </c>
      <c r="C18" s="5" t="e">
        <f>#REF!</f>
        <v>#REF!</v>
      </c>
      <c r="D18" s="5" t="e">
        <f>#REF!</f>
        <v>#REF!</v>
      </c>
      <c r="E18" s="36"/>
      <c r="F18" s="5" t="e">
        <f t="shared" si="1"/>
        <v>#REF!</v>
      </c>
      <c r="G18" s="6" t="e">
        <f t="shared" si="0"/>
        <v>#REF!</v>
      </c>
      <c r="H18" s="6" t="e">
        <f t="shared" si="2"/>
        <v>#REF!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25">
      <c r="A19" s="1" t="s">
        <v>36</v>
      </c>
      <c r="B19" s="1" t="str">
        <f>VLOOKUP(A19,[15]LISTADHERENT!$A$5:$J$50,3,0)</f>
        <v>LOWE JEAN</v>
      </c>
      <c r="C19" s="5" t="e">
        <f>#REF!</f>
        <v>#REF!</v>
      </c>
      <c r="D19" s="5" t="e">
        <f>#REF!</f>
        <v>#REF!</v>
      </c>
      <c r="E19" s="36"/>
      <c r="F19" s="5" t="e">
        <f t="shared" si="1"/>
        <v>#REF!</v>
      </c>
      <c r="G19" s="6" t="e">
        <f t="shared" si="0"/>
        <v>#REF!</v>
      </c>
      <c r="H19" s="6" t="e">
        <f t="shared" si="2"/>
        <v>#REF!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25">
      <c r="A20" s="1" t="s">
        <v>75</v>
      </c>
      <c r="B20" s="1" t="str">
        <f>VLOOKUP(A20,[15]LISTADHERENT!$A$5:$J$50,3,0)</f>
        <v>MBOGNING TUGMA GUY</v>
      </c>
      <c r="C20" s="5" t="e">
        <f>#REF!</f>
        <v>#REF!</v>
      </c>
      <c r="D20" s="5" t="e">
        <f>#REF!</f>
        <v>#REF!</v>
      </c>
      <c r="E20" s="36"/>
      <c r="F20" s="5" t="e">
        <f t="shared" si="1"/>
        <v>#REF!</v>
      </c>
      <c r="G20" s="6" t="e">
        <f t="shared" si="0"/>
        <v>#REF!</v>
      </c>
      <c r="H20" s="6" t="e">
        <f t="shared" si="2"/>
        <v>#REF!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25">
      <c r="A21" s="1" t="s">
        <v>50</v>
      </c>
      <c r="B21" s="1" t="str">
        <f>VLOOKUP(A21,[15]LISTADHERENT!$A$5:$J$50,3,0)</f>
        <v>NANGUEN MARTIN</v>
      </c>
      <c r="C21" s="5" t="e">
        <f>#REF!</f>
        <v>#REF!</v>
      </c>
      <c r="D21" s="5" t="e">
        <f>#REF!</f>
        <v>#REF!</v>
      </c>
      <c r="E21" s="36"/>
      <c r="F21" s="5" t="e">
        <f t="shared" si="1"/>
        <v>#REF!</v>
      </c>
      <c r="G21" s="6" t="e">
        <f t="shared" si="0"/>
        <v>#REF!</v>
      </c>
      <c r="H21" s="6" t="e">
        <f t="shared" si="2"/>
        <v>#REF!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 t="e">
        <f>VLOOKUP($A21,[16]HISTODEC21!$A$6:$AU$39,26,0)</f>
        <v>#REF!</v>
      </c>
      <c r="S21" s="36" t="e">
        <f t="shared" si="7"/>
        <v>#REF!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25">
      <c r="A22" s="1" t="s">
        <v>37</v>
      </c>
      <c r="B22" s="1" t="str">
        <f>VLOOKUP(A22,[15]LISTADHERENT!$A$5:$J$50,3,0)</f>
        <v>NANKAM APPOLINAIRE</v>
      </c>
      <c r="C22" s="5" t="e">
        <f>#REF!</f>
        <v>#REF!</v>
      </c>
      <c r="D22" s="5" t="e">
        <f>#REF!</f>
        <v>#REF!</v>
      </c>
      <c r="E22" s="36"/>
      <c r="F22" s="5" t="e">
        <f t="shared" si="1"/>
        <v>#REF!</v>
      </c>
      <c r="G22" s="6" t="e">
        <f t="shared" si="0"/>
        <v>#REF!</v>
      </c>
      <c r="H22" s="6" t="e">
        <f t="shared" si="2"/>
        <v>#REF!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25">
      <c r="A23" s="1" t="s">
        <v>38</v>
      </c>
      <c r="B23" s="1" t="str">
        <f>VLOOKUP(A23,[15]LISTADHERENT!$A$5:$J$50,3,0)</f>
        <v>NDJOMO ETIENNE</v>
      </c>
      <c r="C23" s="5" t="e">
        <f>#REF!</f>
        <v>#REF!</v>
      </c>
      <c r="D23" s="5" t="e">
        <f>#REF!</f>
        <v>#REF!</v>
      </c>
      <c r="E23" s="36"/>
      <c r="F23" s="5" t="e">
        <f t="shared" si="1"/>
        <v>#REF!</v>
      </c>
      <c r="G23" s="6" t="e">
        <f t="shared" si="0"/>
        <v>#REF!</v>
      </c>
      <c r="H23" s="6" t="e">
        <f t="shared" si="2"/>
        <v>#REF!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25">
      <c r="A24" s="1" t="s">
        <v>39</v>
      </c>
      <c r="B24" s="1" t="str">
        <f>VLOOKUP(A24,[15]LISTADHERENT!$A$5:$J$50,3,0)</f>
        <v>NGONDIEP CLAUDE</v>
      </c>
      <c r="C24" s="5" t="e">
        <f>#REF!</f>
        <v>#REF!</v>
      </c>
      <c r="D24" s="5" t="e">
        <f>#REF!</f>
        <v>#REF!</v>
      </c>
      <c r="E24" s="36"/>
      <c r="F24" s="5" t="e">
        <f t="shared" si="1"/>
        <v>#REF!</v>
      </c>
      <c r="G24" s="6" t="e">
        <f t="shared" si="0"/>
        <v>#REF!</v>
      </c>
      <c r="H24" s="6" t="e">
        <f t="shared" si="2"/>
        <v>#REF!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25">
      <c r="A25" s="1" t="s">
        <v>41</v>
      </c>
      <c r="B25" s="1" t="str">
        <f>VLOOKUP(A25,[15]LISTADHERENT!$A$5:$J$50,3,0)</f>
        <v>NGUIEMEGNI MATHIEU BLAISE</v>
      </c>
      <c r="C25" s="5" t="e">
        <f>#REF!</f>
        <v>#REF!</v>
      </c>
      <c r="D25" s="5" t="e">
        <f>#REF!</f>
        <v>#REF!</v>
      </c>
      <c r="E25" s="36"/>
      <c r="F25" s="5" t="e">
        <f t="shared" si="1"/>
        <v>#REF!</v>
      </c>
      <c r="G25" s="6" t="e">
        <f t="shared" si="0"/>
        <v>#REF!</v>
      </c>
      <c r="H25" s="6" t="e">
        <f t="shared" si="2"/>
        <v>#REF!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25">
      <c r="A26" s="1" t="s">
        <v>43</v>
      </c>
      <c r="B26" s="1" t="str">
        <f>VLOOKUP(A26,[15]LISTADHERENT!$A$5:$J$50,3,0)</f>
        <v>NKAMGANG JUSTIN DEJOLIE</v>
      </c>
      <c r="C26" s="5" t="e">
        <f>#REF!</f>
        <v>#REF!</v>
      </c>
      <c r="D26" s="5" t="e">
        <f>#REF!</f>
        <v>#REF!</v>
      </c>
      <c r="E26" s="36"/>
      <c r="F26" s="5" t="e">
        <f t="shared" si="1"/>
        <v>#REF!</v>
      </c>
      <c r="G26" s="6" t="e">
        <f t="shared" si="0"/>
        <v>#REF!</v>
      </c>
      <c r="H26" s="6" t="e">
        <f t="shared" si="2"/>
        <v>#REF!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25">
      <c r="A27" s="1" t="s">
        <v>172</v>
      </c>
      <c r="B27" s="1" t="str">
        <f>VLOOKUP(A27,[15]LISTADHERENT!$A$5:$J$50,3,0)</f>
        <v>NOUBE ETIENNE</v>
      </c>
      <c r="C27" s="5" t="e">
        <f>#REF!</f>
        <v>#REF!</v>
      </c>
      <c r="D27" s="5" t="e">
        <f>#REF!</f>
        <v>#REF!</v>
      </c>
      <c r="E27" s="36"/>
      <c r="F27" s="5" t="e">
        <f t="shared" si="1"/>
        <v>#REF!</v>
      </c>
      <c r="G27" s="6" t="e">
        <f t="shared" si="0"/>
        <v>#REF!</v>
      </c>
      <c r="H27" s="6" t="e">
        <f t="shared" si="2"/>
        <v>#REF!</v>
      </c>
      <c r="I27" s="36" t="e">
        <f>VLOOKUP($A27,[16]HISTOJANV22!$A$6:$AQ$37,22,0)</f>
        <v>#N/A</v>
      </c>
      <c r="J27" s="36" t="e">
        <f>VLOOKUP($A27,[16]HISTOJANV22!$A$6:$AU$39,45,0)</f>
        <v>#N/A</v>
      </c>
      <c r="K27" s="36" t="e">
        <f t="shared" si="3"/>
        <v>#N/A</v>
      </c>
      <c r="L27" s="36" t="e">
        <f t="shared" si="4"/>
        <v>#N/A</v>
      </c>
      <c r="M27" s="36" t="e">
        <f t="shared" si="5"/>
        <v>#N/A</v>
      </c>
      <c r="N27" s="36" t="e">
        <f t="shared" si="6"/>
        <v>#N/A</v>
      </c>
      <c r="O27" s="36" t="e">
        <f>VLOOKUP($A27,[16]HISTOJANV22!$A$6:$AU$39,7,0)</f>
        <v>#N/A</v>
      </c>
      <c r="P27" s="36" t="e">
        <f>VLOOKUP($A27,[16]HISTOJANV22!$A$6:$AU$39,23,0)</f>
        <v>#N/A</v>
      </c>
      <c r="Q27" s="36" t="e">
        <f>VLOOKUP($A27,[16]HISTOJANV22!$A$6:$AU$39,46,0)</f>
        <v>#N/A</v>
      </c>
      <c r="R27" s="36" t="e">
        <f>VLOOKUP($A27,[16]HISTODEC21!$A$6:$AU$39,26,0)</f>
        <v>#N/A</v>
      </c>
      <c r="S27" s="36" t="e">
        <f t="shared" si="7"/>
        <v>#N/A</v>
      </c>
      <c r="T27" s="36" t="e">
        <f>VLOOKUP($A27,[16]HISTOJANV22!$A$6:$AU$39,28,0)</f>
        <v>#N/A</v>
      </c>
      <c r="U27" s="36" t="e">
        <f>VLOOKUP($A27,[16]HISTOJANV22!$A$6:$AU$39,19,0)</f>
        <v>#N/A</v>
      </c>
      <c r="V27" s="36" t="e">
        <f>VLOOKUP($A27,[16]HISTOJANV22!$A$6:$AU$39,20,0)</f>
        <v>#N/A</v>
      </c>
      <c r="W27" s="36" t="e">
        <f>VLOOKUP($A27,[16]HISTOJANV22!$A$6:$AU$39,27,0)</f>
        <v>#N/A</v>
      </c>
      <c r="X27" s="36" t="e">
        <f>VLOOKUP($A27,[16]HISTOJANV22!$A$6:$AU$39,33,0)</f>
        <v>#N/A</v>
      </c>
      <c r="Y27" s="36"/>
      <c r="Z27" s="36"/>
      <c r="AA27" s="36" t="e">
        <f>VLOOKUP($A27,[16]HISTOJANV22!$A$6:$AU$39,43,0)</f>
        <v>#N/A</v>
      </c>
      <c r="AB27" s="36" t="e">
        <f>VLOOKUP($A27,[16]HISTOJANV22!$A$6:$AU$39,44,0)</f>
        <v>#N/A</v>
      </c>
      <c r="AC27" s="36" t="e">
        <f>VLOOKUP($A27,[16]HISTOJANV22!$A$6:$AU$39,47,0)</f>
        <v>#N/A</v>
      </c>
      <c r="AD27" s="36" t="e">
        <f>VLOOKUP(A27,[16]HISTOJANV22!$A$6:$BB$36,54,0)</f>
        <v>#N/A</v>
      </c>
      <c r="AE27" s="2"/>
      <c r="AF27" s="2"/>
    </row>
    <row r="28" spans="1:32" x14ac:dyDescent="0.25">
      <c r="A28" s="1" t="s">
        <v>45</v>
      </c>
      <c r="B28" s="1" t="str">
        <f>VLOOKUP(A28,[15]LISTADHERENT!$A$5:$J$50,3,0)</f>
        <v>PATEGO NJOSSU GUSTAVE</v>
      </c>
      <c r="C28" s="5" t="e">
        <f>#REF!</f>
        <v>#REF!</v>
      </c>
      <c r="D28" s="5" t="e">
        <f>#REF!</f>
        <v>#REF!</v>
      </c>
      <c r="E28" s="36"/>
      <c r="F28" s="5" t="e">
        <f t="shared" si="1"/>
        <v>#REF!</v>
      </c>
      <c r="G28" s="6" t="e">
        <f t="shared" si="0"/>
        <v>#REF!</v>
      </c>
      <c r="H28" s="6" t="e">
        <f t="shared" si="2"/>
        <v>#REF!</v>
      </c>
      <c r="I28" s="36">
        <f>VLOOKUP($A28,[16]HISTOJANV22!$A$6:$AQ$37,22,0)</f>
        <v>0</v>
      </c>
      <c r="J28" s="36">
        <f>VLOOKUP($A28,[16]HISTOJANV22!$A$6:$AU$39,45,0)</f>
        <v>7000</v>
      </c>
      <c r="K28" s="36">
        <f t="shared" si="3"/>
        <v>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 t="e">
        <f>VLOOKUP($A28,[16]HISTODEC21!$A$6:$AU$39,26,0)</f>
        <v>#REF!</v>
      </c>
      <c r="S28" s="36" t="e">
        <f t="shared" si="7"/>
        <v>#REF!</v>
      </c>
      <c r="T28" s="36">
        <f>VLOOKUP($A28,[16]HISTOJANV22!$A$6:$AU$39,28,0)</f>
        <v>0</v>
      </c>
      <c r="U28" s="36">
        <f>VLOOKUP($A28,[16]HISTOJANV22!$A$6:$AU$39,19,0)</f>
        <v>0</v>
      </c>
      <c r="V28" s="36">
        <f>VLOOKUP($A28,[16]HISTOJANV22!$A$6:$AU$39,20,0)</f>
        <v>0</v>
      </c>
      <c r="W28" s="36">
        <f>VLOOKUP($A28,[16]HISTOJANV22!$A$6:$AU$39,27,0)</f>
        <v>0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25">
      <c r="A29" s="1" t="s">
        <v>312</v>
      </c>
      <c r="B29" s="1" t="str">
        <f>VLOOKUP(A29,[15]LISTADHERENT!$A$5:$J$50,3,0)</f>
        <v>SEUMO POLYCARPE</v>
      </c>
      <c r="C29" s="5" t="e">
        <f>#REF!</f>
        <v>#REF!</v>
      </c>
      <c r="D29" s="5" t="e">
        <f>#REF!</f>
        <v>#REF!</v>
      </c>
      <c r="E29" s="36"/>
      <c r="F29" s="5" t="e">
        <f t="shared" si="1"/>
        <v>#REF!</v>
      </c>
      <c r="G29" s="6" t="e">
        <f t="shared" si="0"/>
        <v>#REF!</v>
      </c>
      <c r="H29" s="6" t="e">
        <f t="shared" si="2"/>
        <v>#REF!</v>
      </c>
      <c r="I29" s="36" t="e">
        <f>VLOOKUP($A29,[16]HISTOJANV22!$A$6:$AQ$37,22,0)</f>
        <v>#N/A</v>
      </c>
      <c r="J29" s="36" t="e">
        <f>VLOOKUP($A29,[16]HISTOJANV22!$A$6:$AU$39,45,0)</f>
        <v>#N/A</v>
      </c>
      <c r="K29" s="36" t="e">
        <f t="shared" si="3"/>
        <v>#N/A</v>
      </c>
      <c r="L29" s="36" t="e">
        <f t="shared" si="4"/>
        <v>#N/A</v>
      </c>
      <c r="M29" s="36" t="e">
        <f t="shared" si="5"/>
        <v>#N/A</v>
      </c>
      <c r="N29" s="36" t="e">
        <f t="shared" si="6"/>
        <v>#N/A</v>
      </c>
      <c r="O29" s="36" t="e">
        <f>VLOOKUP($A29,[16]HISTOJANV22!$A$6:$AU$39,7,0)</f>
        <v>#N/A</v>
      </c>
      <c r="P29" s="36" t="e">
        <f>VLOOKUP($A29,[16]HISTOJANV22!$A$6:$AU$39,23,0)</f>
        <v>#N/A</v>
      </c>
      <c r="Q29" s="36" t="e">
        <f>VLOOKUP($A29,[16]HISTOJANV22!$A$6:$AU$39,46,0)</f>
        <v>#N/A</v>
      </c>
      <c r="R29" s="36" t="e">
        <f>VLOOKUP($A29,[16]HISTODEC21!$A$6:$AU$39,26,0)</f>
        <v>#N/A</v>
      </c>
      <c r="S29" s="36" t="e">
        <f t="shared" si="7"/>
        <v>#N/A</v>
      </c>
      <c r="T29" s="36" t="e">
        <f>VLOOKUP($A29,[16]HISTOJANV22!$A$6:$AU$39,28,0)</f>
        <v>#N/A</v>
      </c>
      <c r="U29" s="36" t="e">
        <f>VLOOKUP($A29,[16]HISTOJANV22!$A$6:$AU$39,19,0)</f>
        <v>#N/A</v>
      </c>
      <c r="V29" s="36" t="e">
        <f>VLOOKUP($A29,[16]HISTOJANV22!$A$6:$AU$39,20,0)</f>
        <v>#N/A</v>
      </c>
      <c r="W29" s="36" t="e">
        <f>VLOOKUP($A29,[16]HISTOJANV22!$A$6:$AU$39,27,0)</f>
        <v>#N/A</v>
      </c>
      <c r="X29" s="36" t="e">
        <f>VLOOKUP($A29,[16]HISTOJANV22!$A$6:$AU$39,33,0)</f>
        <v>#N/A</v>
      </c>
      <c r="Y29" s="36"/>
      <c r="Z29" s="36"/>
      <c r="AA29" s="36" t="e">
        <f>VLOOKUP($A29,[16]HISTOJANV22!$A$6:$AU$39,43,0)</f>
        <v>#N/A</v>
      </c>
      <c r="AB29" s="36" t="e">
        <f>VLOOKUP($A29,[16]HISTOJANV22!$A$6:$AU$39,44,0)</f>
        <v>#N/A</v>
      </c>
      <c r="AC29" s="36" t="e">
        <f>VLOOKUP($A29,[16]HISTOJANV22!$A$6:$AU$39,47,0)</f>
        <v>#N/A</v>
      </c>
      <c r="AD29" s="36" t="e">
        <f>VLOOKUP(A29,[16]HISTOJANV22!$A$6:$BB$36,54,0)</f>
        <v>#N/A</v>
      </c>
      <c r="AE29" s="2"/>
      <c r="AF29" s="2"/>
    </row>
    <row r="30" spans="1:32" x14ac:dyDescent="0.25">
      <c r="A30" s="1" t="s">
        <v>81</v>
      </c>
      <c r="B30" s="1" t="str">
        <f>VLOOKUP(A30,[15]LISTADHERENT!$A$5:$J$50,3,0)</f>
        <v>SIME BRICE</v>
      </c>
      <c r="C30" s="5" t="e">
        <f>#REF!</f>
        <v>#REF!</v>
      </c>
      <c r="D30" s="5" t="e">
        <f>#REF!</f>
        <v>#REF!</v>
      </c>
      <c r="E30" s="36"/>
      <c r="F30" s="5" t="e">
        <f t="shared" si="1"/>
        <v>#REF!</v>
      </c>
      <c r="G30" s="6" t="e">
        <f t="shared" si="0"/>
        <v>#REF!</v>
      </c>
      <c r="H30" s="6" t="e">
        <f t="shared" si="2"/>
        <v>#REF!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 t="e">
        <f>VLOOKUP($A30,[16]HISTODEC21!$A$6:$AU$39,26,0)</f>
        <v>#REF!</v>
      </c>
      <c r="S30" s="36" t="e">
        <f t="shared" si="7"/>
        <v>#REF!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25">
      <c r="A31" s="1" t="s">
        <v>49</v>
      </c>
      <c r="B31" s="1" t="str">
        <f>VLOOKUP(A31,[15]LISTADHERENT!$A$5:$J$50,3,0)</f>
        <v>SIMO PIERRE</v>
      </c>
      <c r="C31" s="5" t="e">
        <f>#REF!</f>
        <v>#REF!</v>
      </c>
      <c r="D31" s="5" t="e">
        <f>#REF!</f>
        <v>#REF!</v>
      </c>
      <c r="E31" s="36"/>
      <c r="F31" s="5" t="e">
        <f t="shared" si="1"/>
        <v>#REF!</v>
      </c>
      <c r="G31" s="6" t="e">
        <f t="shared" si="0"/>
        <v>#REF!</v>
      </c>
      <c r="H31" s="6" t="e">
        <f t="shared" si="2"/>
        <v>#REF!</v>
      </c>
      <c r="I31" s="36">
        <f>VLOOKUP($A31,[16]HISTOJANV22!$A$6:$AQ$37,22,0)</f>
        <v>0</v>
      </c>
      <c r="J31" s="36">
        <f>VLOOKUP($A31,[16]HISTOJANV22!$A$6:$AU$39,45,0)</f>
        <v>22000</v>
      </c>
      <c r="K31" s="36">
        <f t="shared" si="3"/>
        <v>18000</v>
      </c>
      <c r="L31" s="36">
        <f t="shared" si="4"/>
        <v>500</v>
      </c>
      <c r="M31" s="36">
        <f t="shared" si="5"/>
        <v>1000</v>
      </c>
      <c r="N31" s="36">
        <f t="shared" si="6"/>
        <v>2500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 t="e">
        <f>VLOOKUP($A31,[16]HISTODEC21!$A$6:$AU$39,26,0)</f>
        <v>#REF!</v>
      </c>
      <c r="S31" s="36" t="e">
        <f t="shared" si="7"/>
        <v>#REF!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70000</v>
      </c>
      <c r="AE31" s="2"/>
      <c r="AF31" s="2"/>
    </row>
    <row r="32" spans="1:32" x14ac:dyDescent="0.25">
      <c r="A32" s="1" t="s">
        <v>51</v>
      </c>
      <c r="B32" s="1" t="str">
        <f>VLOOKUP(A32,[15]LISTADHERENT!$A$5:$J$50,3,0)</f>
        <v>TCHOUAMOU MATHIEU</v>
      </c>
      <c r="C32" s="5" t="e">
        <f>#REF!</f>
        <v>#REF!</v>
      </c>
      <c r="D32" s="5" t="e">
        <f>#REF!</f>
        <v>#REF!</v>
      </c>
      <c r="E32" s="36"/>
      <c r="F32" s="5" t="e">
        <f t="shared" si="1"/>
        <v>#REF!</v>
      </c>
      <c r="G32" s="6" t="e">
        <f t="shared" si="0"/>
        <v>#REF!</v>
      </c>
      <c r="H32" s="6" t="e">
        <f t="shared" si="2"/>
        <v>#REF!</v>
      </c>
      <c r="I32" s="36">
        <f>VLOOKUP($A32,[16]HISTOJANV22!$A$6:$AQ$37,22,0)</f>
        <v>0</v>
      </c>
      <c r="J32" s="36">
        <f>VLOOKUP($A32,[16]HISTOJANV22!$A$6:$AU$39,45,0)</f>
        <v>7000</v>
      </c>
      <c r="K32" s="36">
        <f t="shared" si="3"/>
        <v>3000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560000</v>
      </c>
      <c r="S32" s="36">
        <f t="shared" si="7"/>
        <v>67200</v>
      </c>
      <c r="T32" s="36" t="str">
        <f>VLOOKUP($A32,[16]HISTOJANV22!$A$6:$AU$39,28,0)</f>
        <v>OKK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0</v>
      </c>
      <c r="AE32" s="2"/>
      <c r="AF32" s="2"/>
    </row>
    <row r="33" spans="1:32" x14ac:dyDescent="0.25">
      <c r="A33" s="1" t="s">
        <v>53</v>
      </c>
      <c r="B33" s="1" t="str">
        <f>VLOOKUP(A33,[15]LISTADHERENT!$A$5:$J$50,3,0)</f>
        <v>TCHOUTOU NANA CLAUDE</v>
      </c>
      <c r="C33" s="5" t="e">
        <f>#REF!</f>
        <v>#REF!</v>
      </c>
      <c r="D33" s="5" t="e">
        <f>#REF!</f>
        <v>#REF!</v>
      </c>
      <c r="E33" s="36"/>
      <c r="F33" s="5" t="e">
        <f t="shared" si="1"/>
        <v>#REF!</v>
      </c>
      <c r="G33" s="6" t="e">
        <f t="shared" si="0"/>
        <v>#REF!</v>
      </c>
      <c r="H33" s="6" t="e">
        <f t="shared" si="2"/>
        <v>#REF!</v>
      </c>
      <c r="I33" s="36" t="e">
        <f>VLOOKUP($A33,[16]HISTOJANV22!$A$6:$AQ$37,22,0)</f>
        <v>#N/A</v>
      </c>
      <c r="J33" s="36" t="e">
        <f>VLOOKUP($A33,[16]HISTOJANV22!$A$6:$AU$39,45,0)</f>
        <v>#N/A</v>
      </c>
      <c r="K33" s="36" t="e">
        <f t="shared" si="3"/>
        <v>#N/A</v>
      </c>
      <c r="L33" s="36" t="e">
        <f t="shared" si="4"/>
        <v>#N/A</v>
      </c>
      <c r="M33" s="36" t="e">
        <f t="shared" si="5"/>
        <v>#N/A</v>
      </c>
      <c r="N33" s="36" t="e">
        <f t="shared" si="6"/>
        <v>#N/A</v>
      </c>
      <c r="O33" s="36" t="e">
        <f>VLOOKUP($A33,[16]HISTOJANV22!$A$6:$AU$39,7,0)</f>
        <v>#N/A</v>
      </c>
      <c r="P33" s="36" t="e">
        <f>VLOOKUP($A33,[16]HISTOJANV22!$A$6:$AU$39,23,0)</f>
        <v>#N/A</v>
      </c>
      <c r="Q33" s="36" t="e">
        <f>VLOOKUP($A33,[16]HISTOJANV22!$A$6:$AU$39,46,0)</f>
        <v>#N/A</v>
      </c>
      <c r="R33" s="36" t="e">
        <f>VLOOKUP($A33,[16]HISTODEC21!$A$6:$AU$39,26,0)</f>
        <v>#N/A</v>
      </c>
      <c r="S33" s="36" t="e">
        <f t="shared" si="7"/>
        <v>#N/A</v>
      </c>
      <c r="T33" s="36" t="e">
        <f>VLOOKUP($A33,[16]HISTOJANV22!$A$6:$AU$39,28,0)</f>
        <v>#N/A</v>
      </c>
      <c r="U33" s="36" t="e">
        <f>VLOOKUP($A33,[16]HISTOJANV22!$A$6:$AU$39,19,0)</f>
        <v>#N/A</v>
      </c>
      <c r="V33" s="36" t="e">
        <f>VLOOKUP($A33,[16]HISTOJANV22!$A$6:$AU$39,20,0)</f>
        <v>#N/A</v>
      </c>
      <c r="W33" s="36" t="e">
        <f>VLOOKUP($A33,[16]HISTOJANV22!$A$6:$AU$39,27,0)</f>
        <v>#N/A</v>
      </c>
      <c r="X33" s="36" t="e">
        <f>VLOOKUP($A33,[16]HISTOJANV22!$A$6:$AU$39,33,0)</f>
        <v>#N/A</v>
      </c>
      <c r="Y33" s="36"/>
      <c r="Z33" s="36"/>
      <c r="AA33" s="36" t="e">
        <f>VLOOKUP($A33,[16]HISTOJANV22!$A$6:$AU$39,43,0)</f>
        <v>#N/A</v>
      </c>
      <c r="AB33" s="36" t="e">
        <f>VLOOKUP($A33,[16]HISTOJANV22!$A$6:$AU$39,44,0)</f>
        <v>#N/A</v>
      </c>
      <c r="AC33" s="36" t="e">
        <f>VLOOKUP($A33,[16]HISTOJANV22!$A$6:$AU$39,47,0)</f>
        <v>#N/A</v>
      </c>
      <c r="AD33" s="36" t="e">
        <f>VLOOKUP(A33,[16]HISTOJANV22!$A$6:$BB$36,54,0)</f>
        <v>#N/A</v>
      </c>
      <c r="AE33" s="2"/>
      <c r="AF33" s="2"/>
    </row>
    <row r="34" spans="1:32" x14ac:dyDescent="0.25">
      <c r="A34" s="1" t="s">
        <v>313</v>
      </c>
      <c r="B34" s="1" t="str">
        <f>VLOOKUP(A34,[15]LISTADHERENT!$A$5:$J$50,3,0)</f>
        <v>YANTCHOU GERVAIS</v>
      </c>
      <c r="C34" s="5" t="e">
        <f>#REF!</f>
        <v>#REF!</v>
      </c>
      <c r="D34" s="5" t="e">
        <f>#REF!</f>
        <v>#REF!</v>
      </c>
      <c r="E34" s="36"/>
      <c r="F34" s="5" t="e">
        <f t="shared" si="1"/>
        <v>#REF!</v>
      </c>
      <c r="G34" s="6" t="e">
        <f t="shared" si="0"/>
        <v>#REF!</v>
      </c>
      <c r="H34" s="6" t="e">
        <f t="shared" si="2"/>
        <v>#REF!</v>
      </c>
      <c r="I34" s="36" t="e">
        <f>VLOOKUP($A34,[16]HISTOJANV22!$A$6:$AQ$37,22,0)</f>
        <v>#N/A</v>
      </c>
      <c r="J34" s="36" t="e">
        <f>VLOOKUP($A34,[16]HISTOJANV22!$A$6:$AU$39,45,0)</f>
        <v>#N/A</v>
      </c>
      <c r="K34" s="36" t="e">
        <f t="shared" si="3"/>
        <v>#N/A</v>
      </c>
      <c r="L34" s="36" t="e">
        <f t="shared" si="4"/>
        <v>#N/A</v>
      </c>
      <c r="M34" s="36" t="e">
        <f t="shared" si="5"/>
        <v>#N/A</v>
      </c>
      <c r="N34" s="36" t="e">
        <f t="shared" si="6"/>
        <v>#N/A</v>
      </c>
      <c r="O34" s="36" t="e">
        <f>VLOOKUP($A34,[16]HISTOJANV22!$A$6:$AU$39,7,0)</f>
        <v>#N/A</v>
      </c>
      <c r="P34" s="36" t="e">
        <f>VLOOKUP($A34,[16]HISTOJANV22!$A$6:$AU$39,23,0)</f>
        <v>#N/A</v>
      </c>
      <c r="Q34" s="36" t="e">
        <f>VLOOKUP($A34,[16]HISTOJANV22!$A$6:$AU$39,46,0)</f>
        <v>#N/A</v>
      </c>
      <c r="R34" s="36" t="e">
        <f>VLOOKUP($A34,[16]HISTODEC21!$A$6:$AU$39,26,0)</f>
        <v>#N/A</v>
      </c>
      <c r="S34" s="36" t="e">
        <f t="shared" si="7"/>
        <v>#N/A</v>
      </c>
      <c r="T34" s="36" t="e">
        <f>VLOOKUP($A34,[16]HISTOJANV22!$A$6:$AU$39,28,0)</f>
        <v>#N/A</v>
      </c>
      <c r="U34" s="36" t="e">
        <f>VLOOKUP($A34,[16]HISTOJANV22!$A$6:$AU$39,19,0)</f>
        <v>#N/A</v>
      </c>
      <c r="V34" s="36" t="e">
        <f>VLOOKUP($A34,[16]HISTOJANV22!$A$6:$AU$39,20,0)</f>
        <v>#N/A</v>
      </c>
      <c r="W34" s="36" t="e">
        <f>VLOOKUP($A34,[16]HISTOJANV22!$A$6:$AU$39,27,0)</f>
        <v>#N/A</v>
      </c>
      <c r="X34" s="36" t="e">
        <f>VLOOKUP($A34,[16]HISTOJANV22!$A$6:$AU$39,33,0)</f>
        <v>#N/A</v>
      </c>
      <c r="Y34" s="36"/>
      <c r="Z34" s="36"/>
      <c r="AA34" s="36" t="e">
        <f>VLOOKUP($A34,[16]HISTOJANV22!$A$6:$AU$39,43,0)</f>
        <v>#N/A</v>
      </c>
      <c r="AB34" s="36" t="e">
        <f>VLOOKUP($A34,[16]HISTOJANV22!$A$6:$AU$39,44,0)</f>
        <v>#N/A</v>
      </c>
      <c r="AC34" s="36" t="e">
        <f>VLOOKUP($A34,[16]HISTOJANV22!$A$6:$AU$39,47,0)</f>
        <v>#N/A</v>
      </c>
      <c r="AD34" s="36" t="e">
        <f>VLOOKUP(A34,[16]HISTOJANV22!$A$6:$BB$36,54,0)</f>
        <v>#N/A</v>
      </c>
      <c r="AE34" s="2"/>
      <c r="AF34" s="2"/>
    </row>
    <row r="35" spans="1:32" x14ac:dyDescent="0.25">
      <c r="A35" s="1" t="s">
        <v>55</v>
      </c>
      <c r="B35" s="1" t="str">
        <f>VLOOKUP(A35,[15]LISTADHERENT!$A$5:$J$50,3,0)</f>
        <v>YEPMOU JEAN JACQUES</v>
      </c>
      <c r="C35" s="5" t="e">
        <f>#REF!</f>
        <v>#REF!</v>
      </c>
      <c r="D35" s="5" t="e">
        <f>#REF!</f>
        <v>#REF!</v>
      </c>
      <c r="E35" s="36"/>
      <c r="F35" s="5" t="e">
        <f t="shared" si="1"/>
        <v>#REF!</v>
      </c>
      <c r="G35" s="6" t="e">
        <f t="shared" si="0"/>
        <v>#REF!</v>
      </c>
      <c r="H35" s="6" t="e">
        <f t="shared" si="2"/>
        <v>#REF!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25">
      <c r="A36" s="1" t="s">
        <v>56</v>
      </c>
      <c r="B36" s="1" t="str">
        <f>VLOOKUP(A36,[15]LISTADHERENT!$A$5:$J$50,3,0)</f>
        <v>YOUMBI EMMANUEL</v>
      </c>
      <c r="C36" s="5" t="e">
        <f>#REF!</f>
        <v>#REF!</v>
      </c>
      <c r="D36" s="5" t="e">
        <f>#REF!</f>
        <v>#REF!</v>
      </c>
      <c r="E36" s="36"/>
      <c r="F36" s="5" t="e">
        <f t="shared" si="1"/>
        <v>#REF!</v>
      </c>
      <c r="G36" s="6" t="e">
        <f t="shared" si="0"/>
        <v>#REF!</v>
      </c>
      <c r="H36" s="6" t="e">
        <f t="shared" si="2"/>
        <v>#REF!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 t="e">
        <f>VLOOKUP($A36,[16]HISTODEC21!$A$6:$AU$39,26,0)</f>
        <v>#REF!</v>
      </c>
      <c r="S36" s="36" t="e">
        <f t="shared" si="7"/>
        <v>#REF!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25">
      <c r="A37" s="15"/>
      <c r="B37" s="1"/>
      <c r="C37" s="5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25">
      <c r="A39" s="1"/>
      <c r="B39" s="1"/>
      <c r="C39" s="1"/>
      <c r="D39" s="1"/>
      <c r="E39" s="1"/>
      <c r="F39" s="1"/>
      <c r="G39" s="1"/>
      <c r="H39" s="1"/>
    </row>
    <row r="40" spans="1:32" ht="18" x14ac:dyDescent="0.25">
      <c r="A40" s="1" t="s">
        <v>57</v>
      </c>
      <c r="B40" s="1"/>
      <c r="C40" s="9" t="e">
        <f t="shared" ref="C40:AE40" si="8">SUM(C6:C39)</f>
        <v>#REF!</v>
      </c>
      <c r="D40" s="9" t="e">
        <f t="shared" si="8"/>
        <v>#REF!</v>
      </c>
      <c r="E40" s="9">
        <f t="shared" si="8"/>
        <v>0</v>
      </c>
      <c r="F40" s="9" t="e">
        <f t="shared" si="8"/>
        <v>#REF!</v>
      </c>
      <c r="G40" s="9" t="e">
        <f t="shared" si="8"/>
        <v>#REF!</v>
      </c>
      <c r="H40" s="9" t="e">
        <f t="shared" si="8"/>
        <v>#REF!</v>
      </c>
      <c r="I40" s="9" t="e">
        <f t="shared" si="8"/>
        <v>#N/A</v>
      </c>
      <c r="J40" s="9" t="e">
        <f t="shared" si="8"/>
        <v>#N/A</v>
      </c>
      <c r="K40" s="9" t="e">
        <f t="shared" si="8"/>
        <v>#N/A</v>
      </c>
      <c r="L40" s="9" t="e">
        <f t="shared" si="8"/>
        <v>#N/A</v>
      </c>
      <c r="M40" s="9" t="e">
        <f t="shared" si="8"/>
        <v>#N/A</v>
      </c>
      <c r="N40" s="9" t="e">
        <f t="shared" si="8"/>
        <v>#N/A</v>
      </c>
      <c r="O40" s="9" t="e">
        <f t="shared" si="8"/>
        <v>#N/A</v>
      </c>
      <c r="P40" s="9" t="e">
        <f t="shared" si="8"/>
        <v>#N/A</v>
      </c>
      <c r="Q40" s="9" t="e">
        <f t="shared" si="8"/>
        <v>#N/A</v>
      </c>
      <c r="R40" s="9" t="e">
        <f t="shared" si="8"/>
        <v>#REF!</v>
      </c>
      <c r="S40" s="9" t="e">
        <f t="shared" si="8"/>
        <v>#REF!</v>
      </c>
      <c r="T40" s="9" t="e">
        <f t="shared" si="8"/>
        <v>#N/A</v>
      </c>
      <c r="U40" s="9" t="e">
        <f t="shared" si="8"/>
        <v>#N/A</v>
      </c>
      <c r="V40" s="9" t="e">
        <f t="shared" si="8"/>
        <v>#N/A</v>
      </c>
      <c r="W40" s="9" t="e">
        <f t="shared" si="8"/>
        <v>#N/A</v>
      </c>
      <c r="X40" s="9" t="e">
        <f t="shared" si="8"/>
        <v>#N/A</v>
      </c>
      <c r="Y40" s="9">
        <f t="shared" si="8"/>
        <v>548000</v>
      </c>
      <c r="Z40" s="9">
        <f t="shared" si="8"/>
        <v>0</v>
      </c>
      <c r="AA40" s="9" t="e">
        <f t="shared" si="8"/>
        <v>#N/A</v>
      </c>
      <c r="AB40" s="9" t="e">
        <f t="shared" si="8"/>
        <v>#N/A</v>
      </c>
      <c r="AC40" s="9" t="e">
        <f t="shared" si="8"/>
        <v>#N/A</v>
      </c>
      <c r="AD40" s="9" t="e">
        <f t="shared" si="8"/>
        <v>#N/A</v>
      </c>
      <c r="AE40" s="9">
        <f t="shared" si="8"/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E13" sqref="E1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38" bestFit="1" customWidth="1"/>
    <col min="11" max="11" width="17.5703125" style="13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6.8554687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37"/>
      <c r="J4" s="160">
        <v>44912</v>
      </c>
      <c r="K4" s="160"/>
      <c r="L4" s="160"/>
      <c r="M4" s="160"/>
      <c r="N4" s="160"/>
      <c r="O4" s="160"/>
      <c r="P4"/>
      <c r="Q4"/>
      <c r="AJ4" s="104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6" x14ac:dyDescent="0.25">
      <c r="A6" s="1" t="s">
        <v>16</v>
      </c>
      <c r="B6" s="1" t="str">
        <f>VLOOKUP(A6,[15]LISTADHERENT!$A$5:$J$45,3,0)</f>
        <v>ASELBY</v>
      </c>
      <c r="C6" s="5">
        <v>0</v>
      </c>
      <c r="D6" s="43">
        <f>VLOOKUP(A6,'[17]EPARGNE 2023'!$A$5:$BF$47,4,0)</f>
        <v>816543.52134848095</v>
      </c>
      <c r="E6" s="36"/>
      <c r="F6" s="5">
        <f>C6+D6-E6</f>
        <v>816543.52134848095</v>
      </c>
      <c r="G6" s="6">
        <v>51868.550111954391</v>
      </c>
      <c r="H6" s="6">
        <f>+F6+G6</f>
        <v>868412.0714604354</v>
      </c>
      <c r="I6" s="36"/>
      <c r="J6" s="36"/>
      <c r="K6" s="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25">
      <c r="A7" s="1" t="s">
        <v>17</v>
      </c>
      <c r="B7" s="1" t="str">
        <f>VLOOKUP(A7,[15]LISTADHERENT!$A$5:$J$45,3,0)</f>
        <v>BAKOP ACHILLE</v>
      </c>
      <c r="C7" s="5">
        <v>0</v>
      </c>
      <c r="D7" s="43">
        <f>VLOOKUP(A7,'[17]EPARGNE 2023'!$A$5:$BF$47,4,0)</f>
        <v>0</v>
      </c>
      <c r="E7" s="36"/>
      <c r="F7" s="5">
        <f t="shared" ref="F7:F37" si="0">C7+D7-E7</f>
        <v>0</v>
      </c>
      <c r="G7" s="6">
        <v>0</v>
      </c>
      <c r="H7" s="6">
        <f t="shared" ref="H7:H37" si="1">+F7+G7</f>
        <v>0</v>
      </c>
      <c r="I7" s="36"/>
      <c r="J7" s="36"/>
      <c r="K7" s="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x14ac:dyDescent="0.25">
      <c r="A8" s="1" t="s">
        <v>19</v>
      </c>
      <c r="B8" s="1" t="str">
        <f>VLOOKUP(A8,[15]LISTADHERENT!$A$5:$J$45,3,0)</f>
        <v>BOUTCHOUANG WILLIAM</v>
      </c>
      <c r="C8" s="5">
        <v>600000</v>
      </c>
      <c r="D8" s="43">
        <f>VLOOKUP(A8,'[17]EPARGNE 2023'!$A$5:$BF$47,4,0)</f>
        <v>7023.6611389458412</v>
      </c>
      <c r="E8" s="36"/>
      <c r="F8" s="5">
        <f t="shared" si="0"/>
        <v>607023.66113894584</v>
      </c>
      <c r="G8" s="6">
        <v>38559.410936150474</v>
      </c>
      <c r="H8" s="6">
        <f t="shared" si="1"/>
        <v>645583.07207509631</v>
      </c>
      <c r="I8" s="36">
        <f>VLOOKUP($A8,[16]HISTODEC22!$A$6:$AQ$37,22,0)</f>
        <v>0</v>
      </c>
      <c r="J8" s="36">
        <f>VLOOKUP($A8,[16]HISTODEC22!$A$6:$AU$39,45,0)</f>
        <v>7000</v>
      </c>
      <c r="K8" s="6"/>
      <c r="L8" s="36">
        <f t="shared" ref="L8:L32" si="2">IF(J8=0,0,500)</f>
        <v>500</v>
      </c>
      <c r="M8" s="36">
        <f t="shared" ref="M8:M32" si="3">IF(J8=0,0,1000)</f>
        <v>1000</v>
      </c>
      <c r="N8" s="36">
        <f t="shared" ref="N8:N32" si="4">IF(J8=0,0,2500)</f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VLOOKUP($A8,[18]HISTODEC22!$A$6:$AU$39,26,0)</f>
        <v>500000</v>
      </c>
      <c r="S8" s="36">
        <f>VLOOKUP($A8,[18]HISTODEC22!$A$6:$BG$39,58,0)</f>
        <v>10000</v>
      </c>
      <c r="T8" s="36">
        <f>VLOOKUP($A8,[16]HISTODEC22!$A$6:$AU$39,28,0)</f>
        <v>0</v>
      </c>
      <c r="U8" s="36">
        <f>VLOOKUP($A8,[16]HISTODEC22!$A$6:$AU$39,19,0)</f>
        <v>0</v>
      </c>
      <c r="V8" s="36">
        <f>VLOOKUP($A8,[16]HISTODEC22!$A$6:$AU$39,20,0)</f>
        <v>0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25">
      <c r="A9" s="1" t="s">
        <v>23</v>
      </c>
      <c r="B9" s="1" t="str">
        <f>VLOOKUP(A9,[15]LISTADHERENT!$A$5:$J$45,3,0)</f>
        <v xml:space="preserve">DJOMO JEAN PAUL </v>
      </c>
      <c r="C9" s="5">
        <v>600000</v>
      </c>
      <c r="D9" s="43">
        <f>VLOOKUP(A9,'[17]EPARGNE 2023'!$A$5:$BF$47,4,0)</f>
        <v>4809.8069585817866</v>
      </c>
      <c r="E9" s="36"/>
      <c r="F9" s="5">
        <f t="shared" si="0"/>
        <v>604809.80695858179</v>
      </c>
      <c r="G9" s="6">
        <v>38418.782294207253</v>
      </c>
      <c r="H9" s="6">
        <f t="shared" si="1"/>
        <v>643228.58925278904</v>
      </c>
      <c r="I9" s="36">
        <f>VLOOKUP($A9,[16]HISTODEC22!$A$6:$AQ$37,22,0)</f>
        <v>0</v>
      </c>
      <c r="J9" s="36">
        <f>VLOOKUP($A9,[16]HISTODEC22!$A$6:$AU$39,45,0)</f>
        <v>7000</v>
      </c>
      <c r="K9" s="6"/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VLOOKUP($A9,[18]HISTODEC22!$A$6:$AU$39,26,0)</f>
        <v>1000000</v>
      </c>
      <c r="S9" s="36">
        <f>VLOOKUP($A9,[18]HISTODEC22!$A$6:$BG$39,58,0)</f>
        <v>120000</v>
      </c>
      <c r="T9" s="36">
        <f>VLOOKUP($A9,[16]HISTODEC22!$A$6:$AU$39,28,0)</f>
        <v>0</v>
      </c>
      <c r="U9" s="36">
        <f>VLOOKUP($A9,[16]HISTODEC22!$A$6:$AU$39,19,0)</f>
        <v>1000000</v>
      </c>
      <c r="V9" s="36" t="str">
        <f>VLOOKUP($A9,[16]HISTODEC22!$A$6:$AU$39,20,0)</f>
        <v>BANQUE</v>
      </c>
      <c r="W9" s="36" t="str">
        <f>VLOOKUP($A9,[16]HISTODEC22!$A$6:$AU$39,27,0)</f>
        <v>BANQUE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25">
      <c r="A10" s="1" t="s">
        <v>154</v>
      </c>
      <c r="B10" s="1" t="str">
        <f>VLOOKUP(A10,[15]LISTADHERENT!$A$5:$J$45,3,0)</f>
        <v>DJOMOU TCHAPDA</v>
      </c>
      <c r="C10" s="5">
        <v>600000</v>
      </c>
      <c r="D10" s="43">
        <f>VLOOKUP(A10,'[17]EPARGNE 2023'!$A$5:$BF$47,4,0)</f>
        <v>48710.412466726033</v>
      </c>
      <c r="E10" s="36"/>
      <c r="F10" s="5">
        <f t="shared" si="0"/>
        <v>648710.41246672603</v>
      </c>
      <c r="G10" s="6">
        <v>41207.440457808705</v>
      </c>
      <c r="H10" s="6">
        <f t="shared" si="1"/>
        <v>689917.8529245347</v>
      </c>
      <c r="I10" s="36">
        <f>VLOOKUP($A10,[16]HISTODEC22!$A$6:$AQ$37,22,0)</f>
        <v>0</v>
      </c>
      <c r="J10" s="36">
        <f>VLOOKUP($A10,[16]HISTODEC22!$A$6:$AU$39,45,0)</f>
        <v>7000</v>
      </c>
      <c r="K10" s="6"/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VLOOKUP($A10,[18]HISTODEC22!$A$6:$AU$39,26,0)</f>
        <v>0</v>
      </c>
      <c r="S10" s="36">
        <f>VLOOKUP($A10,[18]HISTODEC22!$A$6:$BG$39,58,0)</f>
        <v>0</v>
      </c>
      <c r="T10" s="36">
        <f>VLOOKUP($A10,[16]HISTODEC22!$A$6:$AU$39,28,0)</f>
        <v>0</v>
      </c>
      <c r="U10" s="36">
        <f>VLOOKUP($A10,[16]HISTODEC22!$A$6:$AU$39,19,0)</f>
        <v>0</v>
      </c>
      <c r="V10" s="36">
        <f>VLOOKUP($A10,[16]HISTODEC22!$A$6:$AU$39,20,0)</f>
        <v>0</v>
      </c>
      <c r="W10" s="36">
        <f>VLOOKUP($A10,[16]HISTODEC22!$A$6:$AU$39,27,0)</f>
        <v>0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25">
      <c r="A11" s="1" t="s">
        <v>24</v>
      </c>
      <c r="B11" s="1" t="str">
        <f>VLOOKUP(A11,[15]LISTADHERENT!$A$5:$J$45,3,0)</f>
        <v>DJOUKWE NANGUEN GUY BLAISE</v>
      </c>
      <c r="C11" s="5">
        <v>600000</v>
      </c>
      <c r="D11" s="43">
        <f>VLOOKUP(A11,'[17]EPARGNE 2023'!$A$5:$BF$47,4,0)</f>
        <v>4750.0783119258704</v>
      </c>
      <c r="E11" s="36"/>
      <c r="F11" s="5">
        <f t="shared" si="0"/>
        <v>604750.07831192587</v>
      </c>
      <c r="G11" s="6">
        <v>38414.98820580756</v>
      </c>
      <c r="H11" s="6">
        <f t="shared" si="1"/>
        <v>643165.06651773339</v>
      </c>
      <c r="I11" s="36">
        <f>VLOOKUP($A11,[16]HISTODEC22!$A$6:$AQ$37,22,0)</f>
        <v>0</v>
      </c>
      <c r="J11" s="36">
        <f>VLOOKUP($A11,[16]HISTODEC22!$A$6:$AU$39,45,0)</f>
        <v>7000</v>
      </c>
      <c r="K11" s="6"/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VLOOKUP($A11,[18]HISTODEC22!$A$6:$AU$39,26,0)</f>
        <v>1000000</v>
      </c>
      <c r="S11" s="36">
        <f>VLOOKUP($A11,[18]HISTODEC22!$A$6:$BG$39,58,0)</f>
        <v>40000</v>
      </c>
      <c r="T11" s="36">
        <f>VLOOKUP($A11,[16]HISTODEC22!$A$6:$AU$39,28,0)</f>
        <v>0</v>
      </c>
      <c r="U11" s="36">
        <f>VLOOKUP($A11,[16]HISTODEC22!$A$6:$AU$39,19,0)</f>
        <v>1000000</v>
      </c>
      <c r="V11" s="36" t="str">
        <f>VLOOKUP($A11,[16]HISTODEC22!$A$6:$AU$39,20,0)</f>
        <v>BANQUE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25">
      <c r="A12" s="1" t="s">
        <v>25</v>
      </c>
      <c r="B12" s="1" t="str">
        <f>VLOOKUP(A12,[15]LISTADHERENT!$A$5:$J$45,3,0)</f>
        <v>DJUOMBESSY ANTOINE</v>
      </c>
      <c r="C12" s="5">
        <v>600000</v>
      </c>
      <c r="D12" s="43">
        <f>VLOOKUP(A12,'[17]EPARGNE 2023'!$A$5:$BF$47,4,0)</f>
        <v>10718.850200936431</v>
      </c>
      <c r="E12" s="36"/>
      <c r="F12" s="5">
        <f t="shared" si="0"/>
        <v>610718.85020093643</v>
      </c>
      <c r="G12" s="6">
        <v>38794.137064059098</v>
      </c>
      <c r="H12" s="6">
        <f t="shared" si="1"/>
        <v>649512.98726499558</v>
      </c>
      <c r="I12" s="36">
        <f>VLOOKUP($A12,[16]HISTODEC22!$A$6:$AQ$37,22,0)</f>
        <v>0</v>
      </c>
      <c r="J12" s="36">
        <f>VLOOKUP($A12,[16]HISTODEC22!$A$6:$AU$39,45,0)</f>
        <v>8000</v>
      </c>
      <c r="K12" s="6"/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VLOOKUP($A12,[18]HISTODEC22!$A$6:$AU$39,26,0)</f>
        <v>1000000</v>
      </c>
      <c r="S12" s="36">
        <f>VLOOKUP($A12,[18]HISTODEC22!$A$6:$BG$39,58,0)</f>
        <v>60000</v>
      </c>
      <c r="T12" s="36">
        <f>VLOOKUP($A12,[16]HISTODEC22!$A$6:$AU$39,28,0)</f>
        <v>0</v>
      </c>
      <c r="U12" s="36">
        <f>VLOOKUP($A12,[16]HISTODEC22!$A$6:$AU$39,19,0)</f>
        <v>0</v>
      </c>
      <c r="V12" s="36">
        <f>VLOOKUP($A12,[16]HISTODEC22!$A$6:$AU$39,20,0)</f>
        <v>0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9000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25">
      <c r="A13" s="1" t="s">
        <v>79</v>
      </c>
      <c r="B13" s="1" t="str">
        <f>VLOOKUP(A13,[15]LISTADHERENT!$A$5:$J$45,3,0)</f>
        <v>DOMOU FABIEN</v>
      </c>
      <c r="C13" s="5">
        <v>600000</v>
      </c>
      <c r="D13" s="43">
        <f>VLOOKUP(A13,'[17]EPARGNE 2023'!$A$5:$BF$47,4,0)</f>
        <v>584.0460014406126</v>
      </c>
      <c r="E13" s="36"/>
      <c r="F13" s="5">
        <f t="shared" si="0"/>
        <v>600584.04600144061</v>
      </c>
      <c r="G13" s="6">
        <v>38150.353131234224</v>
      </c>
      <c r="H13" s="6">
        <f t="shared" si="1"/>
        <v>638734.39913267479</v>
      </c>
      <c r="I13" s="36">
        <f>VLOOKUP($A13,[16]HISTODEC22!$A$6:$AQ$37,22,0)</f>
        <v>0</v>
      </c>
      <c r="J13" s="36">
        <f>VLOOKUP($A13,[16]HISTODEC22!$A$6:$AU$39,45,0)</f>
        <v>12000</v>
      </c>
      <c r="K13" s="6"/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VLOOKUP($A13,[18]HISTODEC22!$A$6:$AU$39,26,0)</f>
        <v>1000000</v>
      </c>
      <c r="S13" s="36">
        <f>VLOOKUP($A13,[18]HISTODEC22!$A$6:$BG$39,58,0)</f>
        <v>120000</v>
      </c>
      <c r="T13" s="36">
        <f>VLOOKUP($A13,[16]HISTODEC22!$A$6:$AU$39,28,0)</f>
        <v>0</v>
      </c>
      <c r="U13" s="36">
        <f>VLOOKUP($A13,[16]HISTODEC22!$A$6:$AU$39,19,0)</f>
        <v>1000000</v>
      </c>
      <c r="V13" s="36" t="str">
        <f>VLOOKUP($A13,[16]HISTODEC22!$A$6:$AU$39,20,0)</f>
        <v>BANQUE</v>
      </c>
      <c r="W13" s="36" t="str">
        <f>VLOOKUP($A13,[16]HISTODEC22!$A$6:$AU$39,27,0)</f>
        <v>BANQUE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ht="14.25" customHeight="1" x14ac:dyDescent="0.25">
      <c r="A14" s="1" t="s">
        <v>26</v>
      </c>
      <c r="B14" s="1" t="str">
        <f>VLOOKUP(A14,[15]LISTADHERENT!$A$5:$J$45,3,0)</f>
        <v>DONHOU DAVID</v>
      </c>
      <c r="C14" s="5">
        <v>600000</v>
      </c>
      <c r="D14" s="43">
        <f>VLOOKUP(A14,'[17]EPARGNE 2023'!$A$5:$BF$47,4,0)</f>
        <v>458343.17855274049</v>
      </c>
      <c r="E14" s="36"/>
      <c r="F14" s="5">
        <f t="shared" si="0"/>
        <v>1058343.1785527405</v>
      </c>
      <c r="G14" s="6">
        <v>67228.169420476217</v>
      </c>
      <c r="H14" s="6">
        <f t="shared" si="1"/>
        <v>1125571.3479732168</v>
      </c>
      <c r="I14" s="36">
        <f>VLOOKUP($A14,[16]HISTODEC22!$A$6:$AQ$37,22,0)</f>
        <v>0</v>
      </c>
      <c r="J14" s="36">
        <f>VLOOKUP($A14,[16]HISTODEC22!$A$6:$AU$39,45,0)</f>
        <v>12000</v>
      </c>
      <c r="K14" s="6"/>
      <c r="L14" s="36">
        <f t="shared" si="2"/>
        <v>500</v>
      </c>
      <c r="M14" s="36">
        <f t="shared" si="3"/>
        <v>1000</v>
      </c>
      <c r="N14" s="36">
        <f t="shared" si="4"/>
        <v>2500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VLOOKUP($A14,[18]HISTODEC22!$A$6:$AU$39,26,0)</f>
        <v>0</v>
      </c>
      <c r="S14" s="36">
        <f>VLOOKUP($A14,[18]HISTODEC22!$A$6:$BG$39,58,0)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x14ac:dyDescent="0.25">
      <c r="A15" s="1" t="s">
        <v>28</v>
      </c>
      <c r="B15" s="1" t="str">
        <f>VLOOKUP(A15,[15]LISTADHERENT!$A$5:$J$45,3,0)</f>
        <v>HENGUE PAUL OMER</v>
      </c>
      <c r="C15" s="5">
        <v>600000</v>
      </c>
      <c r="D15" s="43">
        <f>VLOOKUP(A15,'[17]EPARGNE 2023'!$A$5:$BF$47,4,0)</f>
        <v>51112.01036672492</v>
      </c>
      <c r="E15" s="36"/>
      <c r="F15" s="5">
        <f t="shared" si="0"/>
        <v>651112.01036672492</v>
      </c>
      <c r="G15" s="6">
        <v>41359.994972991364</v>
      </c>
      <c r="H15" s="6">
        <f t="shared" si="1"/>
        <v>692472.00533971633</v>
      </c>
      <c r="I15" s="36">
        <f>VLOOKUP($A15,[16]HISTODEC22!$A$6:$AQ$37,22,0)</f>
        <v>0</v>
      </c>
      <c r="J15" s="36">
        <f>VLOOKUP($A15,[16]HISTODEC22!$A$6:$AU$39,45,0)</f>
        <v>7000</v>
      </c>
      <c r="K15" s="6"/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VLOOKUP($A15,[18]HISTODEC22!$A$6:$AU$39,26,0)</f>
        <v>0</v>
      </c>
      <c r="S15" s="36">
        <f>VLOOKUP($A15,[18]HISTODEC22!$A$6:$BG$39,58,0)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25">
      <c r="A16" s="1" t="s">
        <v>29</v>
      </c>
      <c r="B16" s="1" t="str">
        <f>VLOOKUP(A16,[15]LISTADHERENT!$A$5:$J$45,3,0)</f>
        <v>HOTCHO BENJAMIN</v>
      </c>
      <c r="C16" s="5">
        <v>600000</v>
      </c>
      <c r="D16" s="43">
        <f>VLOOKUP(A16,'[17]EPARGNE 2023'!$A$5:$BF$47,4,0)</f>
        <v>16229.566345777828</v>
      </c>
      <c r="E16" s="36"/>
      <c r="F16" s="5">
        <f t="shared" si="0"/>
        <v>616229.56634577783</v>
      </c>
      <c r="G16" s="6">
        <v>39144.189264631852</v>
      </c>
      <c r="H16" s="6">
        <f t="shared" si="1"/>
        <v>655373.75561040966</v>
      </c>
      <c r="I16" s="36">
        <f>VLOOKUP($A16,[16]HISTODEC22!$A$6:$AQ$37,22,0)</f>
        <v>0</v>
      </c>
      <c r="J16" s="36">
        <f>VLOOKUP($A16,[16]HISTODEC22!$A$6:$AU$39,45,0)</f>
        <v>52000</v>
      </c>
      <c r="K16" s="6"/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VLOOKUP($A16,[18]HISTODEC22!$A$6:$AU$39,26,0)</f>
        <v>1000000</v>
      </c>
      <c r="S16" s="36">
        <f>VLOOKUP($A16,[18]HISTODEC22!$A$6:$BG$39,58,0)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25">
      <c r="A17" s="1" t="s">
        <v>33</v>
      </c>
      <c r="B17" s="1" t="str">
        <f>VLOOKUP(A17,[15]LISTADHERENT!$A$5:$J$45,3,0)</f>
        <v>KOUAMOU MOISE</v>
      </c>
      <c r="C17" s="5">
        <v>600000</v>
      </c>
      <c r="D17" s="43">
        <f>VLOOKUP(A17,'[17]EPARGNE 2023'!$A$5:$BF$47,4,0)</f>
        <v>53292.832106360001</v>
      </c>
      <c r="E17" s="36"/>
      <c r="F17" s="5">
        <f t="shared" si="0"/>
        <v>653292.83210636</v>
      </c>
      <c r="G17" s="6">
        <v>41498.525325299706</v>
      </c>
      <c r="H17" s="6">
        <f t="shared" si="1"/>
        <v>694791.35743165971</v>
      </c>
      <c r="I17" s="36">
        <f>VLOOKUP($A17,[16]HISTODEC22!$A$6:$AQ$37,22,0)</f>
        <v>0</v>
      </c>
      <c r="J17" s="36">
        <f>VLOOKUP($A17,[16]HISTODEC22!$A$6:$AU$39,45,0)</f>
        <v>7000</v>
      </c>
      <c r="K17" s="6"/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VLOOKUP($A17,[18]HISTODEC22!$A$6:$AU$39,26,0)</f>
        <v>0</v>
      </c>
      <c r="S17" s="36">
        <f>VLOOKUP($A17,[18]HISTODEC22!$A$6:$BG$39,58,0)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25">
      <c r="A18" s="1" t="s">
        <v>35</v>
      </c>
      <c r="B18" s="1" t="str">
        <f>VLOOKUP(A18,[15]LISTADHERENT!$A$5:$J$45,3,0)</f>
        <v>KOUATCHO MESSACK</v>
      </c>
      <c r="C18" s="5">
        <v>600000</v>
      </c>
      <c r="D18" s="43">
        <f>VLOOKUP(A18,'[17]EPARGNE 2023'!$A$5:$BF$47,4,0)</f>
        <v>6459.0432257176144</v>
      </c>
      <c r="E18" s="36"/>
      <c r="F18" s="5">
        <f t="shared" si="0"/>
        <v>606459.04322571761</v>
      </c>
      <c r="G18" s="6">
        <v>38523.545226900802</v>
      </c>
      <c r="H18" s="6">
        <f t="shared" si="1"/>
        <v>644982.58845261845</v>
      </c>
      <c r="I18" s="36">
        <f>VLOOKUP($A18,[16]HISTODEC22!$A$6:$AQ$37,22,0)</f>
        <v>0</v>
      </c>
      <c r="J18" s="36">
        <f>VLOOKUP($A18,[16]HISTODEC22!$A$6:$AU$39,45,0)</f>
        <v>7000</v>
      </c>
      <c r="K18" s="6"/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VLOOKUP($A18,[18]HISTODEC22!$A$6:$AU$39,26,0)</f>
        <v>1000000</v>
      </c>
      <c r="S18" s="36">
        <f>VLOOKUP($A18,[18]HISTODEC22!$A$6:$BG$39,58,0)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25">
      <c r="A19" s="1" t="s">
        <v>36</v>
      </c>
      <c r="B19" s="1" t="str">
        <f>VLOOKUP(A19,[15]LISTADHERENT!$A$5:$J$45,3,0)</f>
        <v>LOWE JEAN</v>
      </c>
      <c r="C19" s="5">
        <v>600000</v>
      </c>
      <c r="D19" s="43">
        <f>VLOOKUP(A19,'[17]EPARGNE 2023'!$A$5:$BF$47,4,0)</f>
        <v>746.1759009861853</v>
      </c>
      <c r="E19" s="36"/>
      <c r="F19" s="5">
        <f t="shared" si="0"/>
        <v>600746.17590098619</v>
      </c>
      <c r="G19" s="6">
        <v>38160.651961118194</v>
      </c>
      <c r="H19" s="6">
        <f t="shared" si="1"/>
        <v>638906.8278621044</v>
      </c>
      <c r="I19" s="36">
        <f>VLOOKUP($A19,[16]HISTODEC22!$A$6:$AQ$37,22,0)</f>
        <v>0</v>
      </c>
      <c r="J19" s="36">
        <f>VLOOKUP($A19,[16]HISTODEC22!$A$6:$AU$39,45,0)</f>
        <v>7000</v>
      </c>
      <c r="K19" s="6"/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VLOOKUP($A19,[18]HISTODEC22!$A$6:$AU$39,26,0)</f>
        <v>1000000</v>
      </c>
      <c r="S19" s="36">
        <f>VLOOKUP($A19,[18]HISTODEC22!$A$6:$BG$39,58,0)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25">
      <c r="A20" s="1" t="s">
        <v>75</v>
      </c>
      <c r="B20" s="1" t="str">
        <f>VLOOKUP(A20,[15]LISTADHERENT!$A$5:$J$45,3,0)</f>
        <v>MBOGNING TUGMA GUY</v>
      </c>
      <c r="C20" s="5">
        <v>600000</v>
      </c>
      <c r="D20" s="43">
        <f>VLOOKUP(A20,'[17]EPARGNE 2023'!$A$5:$BF$47,4,0)</f>
        <v>47746</v>
      </c>
      <c r="E20" s="36"/>
      <c r="F20" s="5">
        <f t="shared" si="0"/>
        <v>647746</v>
      </c>
      <c r="G20" s="6">
        <v>41146.178963410508</v>
      </c>
      <c r="H20" s="6">
        <f t="shared" si="1"/>
        <v>688892.17896341055</v>
      </c>
      <c r="I20" s="36">
        <f>VLOOKUP($A20,[16]HISTODEC22!$A$6:$AQ$37,22,0)</f>
        <v>0</v>
      </c>
      <c r="J20" s="36">
        <f>VLOOKUP($A20,[16]HISTODEC22!$A$6:$AU$39,45,0)</f>
        <v>7000</v>
      </c>
      <c r="K20" s="6"/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VLOOKUP($A20,[18]HISTODEC22!$A$6:$AU$39,26,0)</f>
        <v>1000000</v>
      </c>
      <c r="S20" s="36">
        <f>VLOOKUP($A20,[18]HISTODEC22!$A$6:$BG$39,58,0)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25">
      <c r="A21" s="1" t="s">
        <v>50</v>
      </c>
      <c r="B21" s="1" t="str">
        <f>VLOOKUP(A21,[15]LISTADHERENT!$A$5:$J$45,3,0)</f>
        <v>NANGUEN MARTIN</v>
      </c>
      <c r="C21" s="5">
        <v>600000</v>
      </c>
      <c r="D21" s="43">
        <f>VLOOKUP(A21,'[17]EPARGNE 2023'!$A$5:$BF$47,4,0)</f>
        <v>51342.559108640766</v>
      </c>
      <c r="E21" s="36"/>
      <c r="F21" s="5">
        <f t="shared" si="0"/>
        <v>651342.55910864077</v>
      </c>
      <c r="G21" s="6">
        <v>41374.639910659302</v>
      </c>
      <c r="H21" s="6">
        <f t="shared" si="1"/>
        <v>692717.19901930005</v>
      </c>
      <c r="I21" s="36">
        <f>VLOOKUP($A21,[16]HISTODEC22!$A$6:$AQ$37,22,0)</f>
        <v>0</v>
      </c>
      <c r="J21" s="36">
        <f>VLOOKUP($A21,[16]HISTODEC22!$A$6:$AU$39,45,0)</f>
        <v>7000</v>
      </c>
      <c r="K21" s="6"/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VLOOKUP($A21,[18]HISTODEC22!$A$6:$AU$39,26,0)</f>
        <v>500000</v>
      </c>
      <c r="S21" s="36">
        <f>VLOOKUP($A21,[18]HISTODEC22!$A$6:$BG$39,58,0)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25">
      <c r="A22" s="1" t="s">
        <v>37</v>
      </c>
      <c r="B22" s="1" t="str">
        <f>VLOOKUP(A22,[15]LISTADHERENT!$A$5:$J$45,3,0)</f>
        <v>NANKAM APPOLINAIRE</v>
      </c>
      <c r="C22" s="5">
        <v>600000</v>
      </c>
      <c r="D22" s="43">
        <f>VLOOKUP(A22,'[17]EPARGNE 2023'!$A$5:$BF$47,4,0)</f>
        <v>140918.4930248888</v>
      </c>
      <c r="E22" s="36"/>
      <c r="F22" s="5">
        <f t="shared" si="0"/>
        <v>740918.4930248888</v>
      </c>
      <c r="G22" s="6">
        <v>47064.690343595321</v>
      </c>
      <c r="H22" s="6">
        <f t="shared" si="1"/>
        <v>787983.18336848414</v>
      </c>
      <c r="I22" s="36">
        <f>VLOOKUP($A22,[16]HISTODEC22!$A$6:$AQ$37,22,0)</f>
        <v>0</v>
      </c>
      <c r="J22" s="36">
        <f>VLOOKUP($A22,[16]HISTODEC22!$A$6:$AU$39,45,0)</f>
        <v>7000</v>
      </c>
      <c r="K22" s="6"/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VLOOKUP($A22,[18]HISTODEC22!$A$6:$AU$39,26,0)</f>
        <v>1000000</v>
      </c>
      <c r="S22" s="36">
        <f>VLOOKUP($A22,[18]HISTODEC22!$A$6:$BG$39,58,0)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25">
      <c r="A23" s="1" t="s">
        <v>38</v>
      </c>
      <c r="B23" s="1" t="str">
        <f>VLOOKUP(A23,[15]LISTADHERENT!$A$5:$J$45,3,0)</f>
        <v>NDJOMO ETIENNE</v>
      </c>
      <c r="C23" s="5">
        <v>600000</v>
      </c>
      <c r="D23" s="43">
        <f>VLOOKUP(A23,'[17]EPARGNE 2023'!$A$5:$BF$47,4,0)</f>
        <v>283210.4580118584</v>
      </c>
      <c r="E23" s="36"/>
      <c r="F23" s="5">
        <f t="shared" si="0"/>
        <v>883210.4580118584</v>
      </c>
      <c r="G23" s="6">
        <v>56103.373185958211</v>
      </c>
      <c r="H23" s="6">
        <f t="shared" si="1"/>
        <v>939313.83119781665</v>
      </c>
      <c r="I23" s="36">
        <f>VLOOKUP($A23,[16]HISTODEC22!$A$6:$AQ$37,22,0)</f>
        <v>0</v>
      </c>
      <c r="J23" s="36">
        <f>VLOOKUP($A23,[16]HISTODEC22!$A$6:$AU$39,45,0)</f>
        <v>27000</v>
      </c>
      <c r="K23" s="6"/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VLOOKUP($A23,[18]HISTODEC22!$A$6:$AU$39,26,0)</f>
        <v>600000</v>
      </c>
      <c r="S23" s="36">
        <f>VLOOKUP($A23,[18]HISTODEC22!$A$6:$BG$39,58,0)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25">
      <c r="A24" s="1" t="s">
        <v>39</v>
      </c>
      <c r="B24" s="1" t="str">
        <f>VLOOKUP(A24,[15]LISTADHERENT!$A$5:$J$45,3,0)</f>
        <v>NGONDIEP CLAUDE</v>
      </c>
      <c r="C24" s="5">
        <v>600000</v>
      </c>
      <c r="D24" s="43">
        <f>VLOOKUP(A24,'[17]EPARGNE 2023'!$A$5:$BF$47,4,0)</f>
        <v>39787.038443138823</v>
      </c>
      <c r="E24" s="36"/>
      <c r="F24" s="5">
        <f t="shared" si="0"/>
        <v>639787.03844313882</v>
      </c>
      <c r="G24" s="6">
        <v>40640.609100251932</v>
      </c>
      <c r="H24" s="6">
        <f t="shared" si="1"/>
        <v>680427.64754339075</v>
      </c>
      <c r="I24" s="36">
        <f>VLOOKUP($A24,[16]HISTODEC22!$A$6:$AQ$37,22,0)</f>
        <v>0</v>
      </c>
      <c r="J24" s="36">
        <f>VLOOKUP($A24,[16]HISTODEC22!$A$6:$AU$39,45,0)</f>
        <v>42000</v>
      </c>
      <c r="K24" s="6"/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VLOOKUP($A24,[18]HISTODEC22!$A$6:$AU$39,26,0)</f>
        <v>1000000</v>
      </c>
      <c r="S24" s="36">
        <f>VLOOKUP($A24,[18]HISTODEC22!$A$6:$BG$39,58,0)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25">
      <c r="A25" s="1" t="s">
        <v>41</v>
      </c>
      <c r="B25" s="1" t="str">
        <f>VLOOKUP(A25,[15]LISTADHERENT!$A$5:$J$45,3,0)</f>
        <v>NGUIEMEGNI MATHIEU BLAISE</v>
      </c>
      <c r="C25" s="5">
        <v>600000</v>
      </c>
      <c r="D25" s="43">
        <f>VLOOKUP(A25,'[17]EPARGNE 2023'!$A$5:$BF$47,4,0)</f>
        <v>13695.736143450369</v>
      </c>
      <c r="E25" s="36"/>
      <c r="F25" s="5">
        <f t="shared" si="0"/>
        <v>613695.73614345037</v>
      </c>
      <c r="G25" s="6">
        <v>38983.235077392012</v>
      </c>
      <c r="H25" s="6">
        <f t="shared" si="1"/>
        <v>652678.97122084233</v>
      </c>
      <c r="I25" s="36">
        <f>VLOOKUP($A25,[16]HISTODEC22!$A$6:$AQ$37,22,0)</f>
        <v>0</v>
      </c>
      <c r="J25" s="36">
        <f>VLOOKUP($A25,[16]HISTODEC22!$A$6:$AU$39,45,0)</f>
        <v>7000</v>
      </c>
      <c r="K25" s="6"/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VLOOKUP($A25,[18]HISTODEC22!$A$6:$AU$39,26,0)</f>
        <v>1000000</v>
      </c>
      <c r="S25" s="36">
        <f>VLOOKUP($A25,[18]HISTODEC22!$A$6:$BG$39,58,0)</f>
        <v>120000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25">
      <c r="A26" s="1" t="s">
        <v>43</v>
      </c>
      <c r="B26" s="1" t="str">
        <f>VLOOKUP(A26,[15]LISTADHERENT!$A$5:$J$45,3,0)</f>
        <v>NKAMGANG JUSTIN DEJOLIE</v>
      </c>
      <c r="C26" s="5">
        <v>600000</v>
      </c>
      <c r="D26" s="43">
        <f>VLOOKUP(A26,'[17]EPARGNE 2023'!$A$5:$BF$47,4,0)</f>
        <v>575.28052728832699</v>
      </c>
      <c r="E26" s="36"/>
      <c r="F26" s="5">
        <f t="shared" si="0"/>
        <v>600575.28052728833</v>
      </c>
      <c r="G26" s="6">
        <v>38149.796330006327</v>
      </c>
      <c r="H26" s="6">
        <f t="shared" si="1"/>
        <v>638725.07685729465</v>
      </c>
      <c r="I26" s="36">
        <f>VLOOKUP($A26,[16]HISTODEC22!$A$6:$AQ$37,22,0)</f>
        <v>0</v>
      </c>
      <c r="J26" s="36">
        <f>VLOOKUP($A26,[16]HISTODEC22!$A$6:$AU$39,45,0)</f>
        <v>7000</v>
      </c>
      <c r="K26" s="6"/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VLOOKUP($A26,[18]HISTODEC22!$A$6:$AU$39,26,0)</f>
        <v>1000000</v>
      </c>
      <c r="S26" s="36">
        <f>VLOOKUP($A26,[18]HISTODEC22!$A$6:$BG$39,58,0)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25">
      <c r="A27" s="1" t="s">
        <v>172</v>
      </c>
      <c r="B27" s="1" t="str">
        <f>VLOOKUP(A27,[15]LISTADHERENT!$A$5:$J$45,3,0)</f>
        <v>NOUBE ETIENNE</v>
      </c>
      <c r="C27" s="5">
        <v>0</v>
      </c>
      <c r="D27" s="43">
        <f>VLOOKUP(A27,'[17]EPARGNE 2023'!$A$5:$BF$47,4,0)</f>
        <v>0</v>
      </c>
      <c r="E27" s="36"/>
      <c r="F27" s="5">
        <f t="shared" si="0"/>
        <v>0</v>
      </c>
      <c r="G27" s="6">
        <v>0</v>
      </c>
      <c r="H27" s="6">
        <f t="shared" si="1"/>
        <v>0</v>
      </c>
      <c r="I27" s="36"/>
      <c r="J27" s="36"/>
      <c r="K27" s="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x14ac:dyDescent="0.25">
      <c r="A28" s="1" t="s">
        <v>45</v>
      </c>
      <c r="B28" s="1" t="str">
        <f>VLOOKUP(A28,[15]LISTADHERENT!$A$5:$J$45,3,0)</f>
        <v>PATEGO NJOSSU GUSTAVE</v>
      </c>
      <c r="C28" s="5">
        <v>600000</v>
      </c>
      <c r="D28" s="43">
        <f>VLOOKUP(A28,'[17]EPARGNE 2023'!$A$5:$BF$47,4,0)</f>
        <v>21451.962695348077</v>
      </c>
      <c r="E28" s="36"/>
      <c r="F28" s="5">
        <f t="shared" si="0"/>
        <v>621451.96269534808</v>
      </c>
      <c r="G28" s="6">
        <v>39475.926789552548</v>
      </c>
      <c r="H28" s="6">
        <f t="shared" si="1"/>
        <v>660927.88948490063</v>
      </c>
      <c r="I28" s="36">
        <f>VLOOKUP($A28,[16]HISTODEC22!$A$6:$AQ$37,22,0)</f>
        <v>0</v>
      </c>
      <c r="J28" s="36">
        <f>VLOOKUP($A28,[16]HISTODEC22!$A$6:$AU$39,45,0)</f>
        <v>7000</v>
      </c>
      <c r="K28" s="6"/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VLOOKUP($A28,[18]HISTODEC22!$A$6:$AU$39,26,0)</f>
        <v>0</v>
      </c>
      <c r="S28" s="36">
        <f>VLOOKUP($A28,[18]HISTODEC22!$A$6:$BG$39,58,0)</f>
        <v>0</v>
      </c>
      <c r="T28" s="36">
        <f>VLOOKUP($A28,[16]HISTODEC22!$A$6:$AU$39,28,0)</f>
        <v>0</v>
      </c>
      <c r="U28" s="36">
        <f>VLOOKUP($A28,[16]HISTODEC22!$A$6:$AU$39,19,0)</f>
        <v>0</v>
      </c>
      <c r="V28" s="36">
        <f>VLOOKUP($A28,[16]HISTODEC22!$A$6:$AU$39,20,0)</f>
        <v>0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25">
      <c r="A29" s="1" t="s">
        <v>312</v>
      </c>
      <c r="B29" s="1" t="str">
        <f>VLOOKUP(A29,[15]LISTADHERENT!$A$5:$J$45,3,0)</f>
        <v>SEUMO POLYCARPE</v>
      </c>
      <c r="C29" s="5">
        <v>0</v>
      </c>
      <c r="D29" s="43">
        <f>VLOOKUP(A29,'[17]EPARGNE 2023'!$A$5:$BF$47,4,0)</f>
        <v>0</v>
      </c>
      <c r="E29" s="36"/>
      <c r="F29" s="5">
        <f t="shared" si="0"/>
        <v>0</v>
      </c>
      <c r="G29" s="6">
        <v>0</v>
      </c>
      <c r="H29" s="6">
        <f t="shared" si="1"/>
        <v>0</v>
      </c>
      <c r="I29" s="36"/>
      <c r="J29" s="36"/>
      <c r="K29" s="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x14ac:dyDescent="0.25">
      <c r="A30" s="1" t="s">
        <v>81</v>
      </c>
      <c r="B30" s="1" t="str">
        <f>VLOOKUP(A30,[15]LISTADHERENT!$A$5:$J$45,3,0)</f>
        <v>SIME BRICE</v>
      </c>
      <c r="C30" s="5">
        <v>600000</v>
      </c>
      <c r="D30" s="43">
        <f>VLOOKUP(A30,'[17]EPARGNE 2023'!$A$5:$BF$47,4,0)</f>
        <v>200752.48017057346</v>
      </c>
      <c r="E30" s="36"/>
      <c r="F30" s="5">
        <f t="shared" si="0"/>
        <v>800752.48017057346</v>
      </c>
      <c r="G30" s="6">
        <v>50865.470191237371</v>
      </c>
      <c r="H30" s="6">
        <f t="shared" si="1"/>
        <v>851617.95036181086</v>
      </c>
      <c r="I30" s="36">
        <f>VLOOKUP($A30,[16]HISTODEC22!$A$6:$AQ$37,22,0)</f>
        <v>0</v>
      </c>
      <c r="J30" s="36">
        <f>VLOOKUP($A30,[16]HISTODEC22!$A$6:$AU$39,45,0)</f>
        <v>7000</v>
      </c>
      <c r="K30" s="6"/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VLOOKUP($A30,[18]HISTODEC22!$A$6:$AU$39,26,0)</f>
        <v>0</v>
      </c>
      <c r="S30" s="36">
        <f>VLOOKUP($A30,[18]HISTODEC22!$A$6:$BG$39,58,0)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25">
      <c r="A31" s="1" t="s">
        <v>49</v>
      </c>
      <c r="B31" s="1" t="str">
        <f>VLOOKUP(A31,[15]LISTADHERENT!$A$5:$J$45,3,0)</f>
        <v>SIMO PIERRE</v>
      </c>
      <c r="C31" s="5">
        <v>600000</v>
      </c>
      <c r="D31" s="43">
        <f>VLOOKUP(A31,'[17]EPARGNE 2023'!$A$5:$BF$47,4,0)</f>
        <v>103606.47183067317</v>
      </c>
      <c r="E31" s="36"/>
      <c r="F31" s="5">
        <f t="shared" si="0"/>
        <v>703606.47183067317</v>
      </c>
      <c r="G31" s="6">
        <v>44694.552818170603</v>
      </c>
      <c r="H31" s="6">
        <f t="shared" si="1"/>
        <v>748301.0246488438</v>
      </c>
      <c r="I31" s="36">
        <f>VLOOKUP($A31,[16]HISTODEC22!$A$6:$AQ$37,22,0)</f>
        <v>0</v>
      </c>
      <c r="J31" s="36">
        <f>VLOOKUP($A31,[16]HISTODEC22!$A$6:$AU$39,45,0)</f>
        <v>7000</v>
      </c>
      <c r="K31" s="6"/>
      <c r="L31" s="36">
        <f t="shared" si="2"/>
        <v>500</v>
      </c>
      <c r="M31" s="36">
        <f t="shared" si="3"/>
        <v>1000</v>
      </c>
      <c r="N31" s="36">
        <f t="shared" si="4"/>
        <v>2500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VLOOKUP($A31,[18]HISTODEC22!$A$6:$AU$39,26,0)</f>
        <v>1000000</v>
      </c>
      <c r="S31" s="36">
        <f>VLOOKUP($A31,[18]HISTODEC22!$A$6:$BG$39,58,0)</f>
        <v>120000</v>
      </c>
      <c r="T31" s="36">
        <f>VLOOKUP($A31,[16]HISTODEC22!$A$6:$AU$39,28,0)</f>
        <v>0</v>
      </c>
      <c r="U31" s="36">
        <f>VLOOKUP($A31,[16]HISTODEC22!$A$6:$AU$39,19,0)</f>
        <v>800000</v>
      </c>
      <c r="V31" s="36" t="str">
        <f>VLOOKUP($A31,[16]HISTODEC22!$A$6:$AU$39,20,0)</f>
        <v>BANQUE</v>
      </c>
      <c r="W31" s="36" t="str">
        <f>VLOOKUP($A31,[16]HISTODEC22!$A$6:$AU$39,27,0)</f>
        <v>BANQUE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25">
      <c r="A32" s="1" t="s">
        <v>51</v>
      </c>
      <c r="B32" s="1" t="str">
        <f>VLOOKUP(A32,[15]LISTADHERENT!$A$5:$J$45,3,0)</f>
        <v>TCHOUAMOU MATHIEU</v>
      </c>
      <c r="C32" s="5">
        <v>600000</v>
      </c>
      <c r="D32" s="43">
        <f>VLOOKUP(A32,'[17]EPARGNE 2023'!$A$5:$BF$47,4,0)</f>
        <v>4207.8699443503283</v>
      </c>
      <c r="E32" s="36"/>
      <c r="F32" s="5">
        <f t="shared" si="0"/>
        <v>604207.86994435033</v>
      </c>
      <c r="G32" s="6">
        <v>38380.545997707901</v>
      </c>
      <c r="H32" s="6">
        <f t="shared" si="1"/>
        <v>642588.4159420582</v>
      </c>
      <c r="I32" s="36">
        <f>VLOOKUP($A32,[16]HISTODEC22!$A$6:$AQ$37,22,0)</f>
        <v>0</v>
      </c>
      <c r="J32" s="36">
        <f>VLOOKUP($A32,[16]HISTODEC22!$A$6:$AU$39,45,0)</f>
        <v>7000</v>
      </c>
      <c r="K32" s="6"/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VLOOKUP($A32,[18]HISTODEC22!$A$6:$AU$39,26,0)</f>
        <v>1000000</v>
      </c>
      <c r="S32" s="36">
        <f>VLOOKUP($A32,[18]HISTODEC22!$A$6:$BG$39,58,0)</f>
        <v>30000</v>
      </c>
      <c r="T32" s="36">
        <f>VLOOKUP($A32,[16]HISTODEC22!$A$6:$AU$39,28,0)</f>
        <v>0</v>
      </c>
      <c r="U32" s="36">
        <f>VLOOKUP($A32,[16]HISTODEC22!$A$6:$AU$39,19,0)</f>
        <v>1000000</v>
      </c>
      <c r="V32" s="36" t="str">
        <f>VLOOKUP($A32,[16]HISTODEC22!$A$6:$AU$39,20,0)</f>
        <v>BANQUE</v>
      </c>
      <c r="W32" s="36">
        <f>VLOOKUP($A32,[16]HISTODEC22!$A$6:$AU$39,27,0)</f>
        <v>0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25">
      <c r="A33" s="1" t="s">
        <v>53</v>
      </c>
      <c r="B33" s="1" t="str">
        <f>VLOOKUP(A33,[15]LISTADHERENT!$A$5:$J$45,3,0)</f>
        <v>TCHOUTOU NANA CLAUDE</v>
      </c>
      <c r="C33" s="5">
        <v>0</v>
      </c>
      <c r="D33" s="43">
        <f>VLOOKUP(A33,'[17]EPARGNE 2023'!$A$5:$BF$47,4,0)</f>
        <v>0</v>
      </c>
      <c r="E33" s="36"/>
      <c r="F33" s="5">
        <f t="shared" si="0"/>
        <v>0</v>
      </c>
      <c r="G33" s="6">
        <v>0</v>
      </c>
      <c r="H33" s="6">
        <f t="shared" si="1"/>
        <v>0</v>
      </c>
      <c r="I33" s="36"/>
      <c r="J33" s="36"/>
      <c r="K33" s="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x14ac:dyDescent="0.25">
      <c r="A34" s="1" t="s">
        <v>313</v>
      </c>
      <c r="B34" s="1" t="str">
        <f>VLOOKUP(A34,[15]LISTADHERENT!$A$5:$J$45,3,0)</f>
        <v>YANTCHOU GERVAIS</v>
      </c>
      <c r="C34" s="5">
        <v>0</v>
      </c>
      <c r="D34" s="43">
        <f>VLOOKUP(A34,'[17]EPARGNE 2023'!$A$5:$BF$47,4,0)</f>
        <v>0</v>
      </c>
      <c r="E34" s="36"/>
      <c r="F34" s="5">
        <f t="shared" si="0"/>
        <v>0</v>
      </c>
      <c r="G34" s="6">
        <v>0</v>
      </c>
      <c r="H34" s="6">
        <f t="shared" si="1"/>
        <v>0</v>
      </c>
      <c r="I34" s="36"/>
      <c r="J34" s="36"/>
      <c r="K34" s="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x14ac:dyDescent="0.25">
      <c r="A35" s="1" t="s">
        <v>55</v>
      </c>
      <c r="B35" s="1" t="str">
        <f>VLOOKUP(A35,[15]LISTADHERENT!$A$5:$J$45,3,0)</f>
        <v>YEPMOU JEAN JACQUES</v>
      </c>
      <c r="C35" s="5">
        <v>600000</v>
      </c>
      <c r="D35" s="43">
        <f>VLOOKUP(A35,'[17]EPARGNE 2023'!$A$5:$BF$47,4,0)</f>
        <v>914734.42229355336</v>
      </c>
      <c r="E35" s="1"/>
      <c r="F35" s="5">
        <f t="shared" si="0"/>
        <v>1514734.4222935534</v>
      </c>
      <c r="G35" s="6">
        <v>96219.094555163261</v>
      </c>
      <c r="H35" s="6">
        <f t="shared" si="1"/>
        <v>1610953.5168487167</v>
      </c>
      <c r="I35" s="36">
        <f>VLOOKUP($A35,[16]HISTODEC22!$A$6:$AQ$37,22,0)</f>
        <v>0</v>
      </c>
      <c r="J35" s="36">
        <f>VLOOKUP($A35,[16]HISTODEC22!$A$6:$AU$39,45,0)</f>
        <v>7000</v>
      </c>
      <c r="K35" s="6"/>
      <c r="L35" s="36">
        <f t="shared" ref="L35:L36" si="5">IF(J35=0,0,500)</f>
        <v>500</v>
      </c>
      <c r="M35" s="36">
        <f t="shared" ref="M35:M36" si="6">IF(J35=0,0,1000)</f>
        <v>1000</v>
      </c>
      <c r="N35" s="36">
        <f t="shared" ref="N35:N36" si="7">IF(J35=0,0,2500)</f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VLOOKUP($A35,[18]HISTODEC22!$A$6:$AU$39,26,0)</f>
        <v>0</v>
      </c>
      <c r="S35" s="36">
        <f>VLOOKUP($A35,[18]HISTODEC22!$A$6:$BG$39,58,0)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25">
      <c r="A36" s="1" t="s">
        <v>56</v>
      </c>
      <c r="B36" s="1" t="str">
        <f>VLOOKUP(A36,[15]LISTADHERENT!$A$5:$J$45,3,0)</f>
        <v>YOUMBI EMMANUEL</v>
      </c>
      <c r="C36" s="5">
        <v>600000</v>
      </c>
      <c r="D36" s="43">
        <f>VLOOKUP(A36,'[17]EPARGNE 2023'!$A$5:$BF$47,4,0)</f>
        <v>1057774.2356918815</v>
      </c>
      <c r="E36" s="1"/>
      <c r="F36" s="5">
        <f t="shared" si="0"/>
        <v>1657774.2356918815</v>
      </c>
      <c r="G36" s="6">
        <v>105305.28229075785</v>
      </c>
      <c r="H36" s="6">
        <f t="shared" si="1"/>
        <v>1763079.5179826394</v>
      </c>
      <c r="I36" s="36">
        <f>VLOOKUP($A36,[16]HISTODEC22!$A$6:$AQ$37,22,0)</f>
        <v>0</v>
      </c>
      <c r="J36" s="36">
        <f>VLOOKUP($A36,[16]HISTODEC22!$A$6:$AU$39,45,0)</f>
        <v>7000</v>
      </c>
      <c r="K36" s="6"/>
      <c r="L36" s="36">
        <f t="shared" si="5"/>
        <v>500</v>
      </c>
      <c r="M36" s="36">
        <f t="shared" si="6"/>
        <v>1000</v>
      </c>
      <c r="N36" s="36">
        <f t="shared" si="7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VLOOKUP($A36,[18]HISTODEC22!$A$6:$AU$39,26,0)</f>
        <v>0</v>
      </c>
      <c r="S36" s="36">
        <f>VLOOKUP($A36,[18]HISTODEC22!$A$6:$BG$39,58,0)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25">
      <c r="A37" s="147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/>
      <c r="F37" s="5">
        <f t="shared" si="0"/>
        <v>602434</v>
      </c>
      <c r="G37" s="6">
        <v>38267.866073496785</v>
      </c>
      <c r="H37" s="6">
        <f t="shared" si="1"/>
        <v>640701.86607349676</v>
      </c>
      <c r="K37" s="6"/>
    </row>
    <row r="38" spans="1:36" x14ac:dyDescent="0.25">
      <c r="A38" s="148"/>
      <c r="B38" s="1"/>
      <c r="C38" s="5"/>
      <c r="D38" s="5"/>
      <c r="E38" s="5"/>
      <c r="F38" s="5"/>
      <c r="G38" s="6"/>
      <c r="H38" s="6"/>
      <c r="J38" s="146"/>
      <c r="K38" s="146"/>
    </row>
    <row r="39" spans="1:36" ht="18" x14ac:dyDescent="0.25">
      <c r="A39" s="1" t="s">
        <v>57</v>
      </c>
      <c r="B39" s="1"/>
      <c r="C39" s="9">
        <f t="shared" ref="C39:AJ39" si="8">SUM(C6:C37)</f>
        <v>15600000</v>
      </c>
      <c r="D39" s="9">
        <f t="shared" si="8"/>
        <v>4361560.1908109896</v>
      </c>
      <c r="E39" s="9">
        <f t="shared" si="8"/>
        <v>0</v>
      </c>
      <c r="F39" s="9">
        <f t="shared" si="8"/>
        <v>19961560.190810993</v>
      </c>
      <c r="G39" s="9">
        <f t="shared" si="8"/>
        <v>1267999.9999999998</v>
      </c>
      <c r="H39" s="9">
        <f t="shared" si="8"/>
        <v>21229560.19081099</v>
      </c>
      <c r="I39" s="9">
        <f t="shared" si="8"/>
        <v>0</v>
      </c>
      <c r="J39" s="9">
        <f t="shared" si="8"/>
        <v>286000</v>
      </c>
      <c r="K39" s="9">
        <f t="shared" si="8"/>
        <v>0</v>
      </c>
      <c r="L39" s="9">
        <f t="shared" si="8"/>
        <v>12500</v>
      </c>
      <c r="M39" s="9">
        <f t="shared" si="8"/>
        <v>25000</v>
      </c>
      <c r="N39" s="9">
        <f t="shared" si="8"/>
        <v>62500</v>
      </c>
      <c r="O39" s="9">
        <f t="shared" si="8"/>
        <v>0</v>
      </c>
      <c r="P39" s="9">
        <f t="shared" si="8"/>
        <v>0</v>
      </c>
      <c r="Q39" s="9">
        <f t="shared" si="8"/>
        <v>0</v>
      </c>
      <c r="R39" s="9">
        <f t="shared" si="8"/>
        <v>15600000</v>
      </c>
      <c r="S39" s="9">
        <f t="shared" si="8"/>
        <v>1268000</v>
      </c>
      <c r="T39" s="9">
        <f t="shared" si="8"/>
        <v>0</v>
      </c>
      <c r="U39" s="9">
        <f t="shared" si="8"/>
        <v>15041250</v>
      </c>
      <c r="V39" s="9">
        <f t="shared" si="8"/>
        <v>0</v>
      </c>
      <c r="W39" s="9">
        <f t="shared" si="8"/>
        <v>0</v>
      </c>
      <c r="X39" s="9">
        <f t="shared" si="8"/>
        <v>0</v>
      </c>
      <c r="Y39" s="9">
        <f t="shared" si="8"/>
        <v>0</v>
      </c>
      <c r="Z39" s="9">
        <f t="shared" si="8"/>
        <v>0</v>
      </c>
      <c r="AA39" s="9">
        <f t="shared" si="8"/>
        <v>0</v>
      </c>
      <c r="AB39" s="9">
        <f t="shared" si="8"/>
        <v>0</v>
      </c>
      <c r="AC39" s="9">
        <f t="shared" si="8"/>
        <v>0</v>
      </c>
      <c r="AD39" s="9">
        <f t="shared" si="8"/>
        <v>9000</v>
      </c>
      <c r="AE39" s="9">
        <f t="shared" si="8"/>
        <v>6000</v>
      </c>
      <c r="AF39" s="9">
        <f t="shared" si="8"/>
        <v>0</v>
      </c>
      <c r="AG39" s="9">
        <f t="shared" si="8"/>
        <v>0</v>
      </c>
      <c r="AH39" s="9">
        <f t="shared" si="8"/>
        <v>70000</v>
      </c>
      <c r="AI39" s="9">
        <f t="shared" si="8"/>
        <v>0</v>
      </c>
      <c r="AJ39" s="9">
        <f t="shared" si="8"/>
        <v>0</v>
      </c>
    </row>
    <row r="41" spans="1:36" ht="18" x14ac:dyDescent="0.25">
      <c r="C41">
        <v>536000</v>
      </c>
      <c r="D41">
        <v>4361500</v>
      </c>
      <c r="H41" s="9"/>
    </row>
    <row r="42" spans="1:36" ht="18" x14ac:dyDescent="0.25">
      <c r="C42" s="2">
        <f>C39-C41</f>
        <v>15064000</v>
      </c>
      <c r="D42" s="2">
        <f>D39-D41</f>
        <v>60.190810989588499</v>
      </c>
      <c r="F42" s="9">
        <v>19359126.190810993</v>
      </c>
    </row>
    <row r="43" spans="1:36" x14ac:dyDescent="0.25">
      <c r="H43" s="2">
        <f>H39-H41</f>
        <v>21229560.19081099</v>
      </c>
    </row>
  </sheetData>
  <autoFilter ref="A5:U34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7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VLOOKUP(A7,[14]TONTMAI24!$A$6:$R$39,12,0)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VLOOKUP(A8,[14]TONTMAI24!$A$6:$R$39,12,0)</f>
        <v>0</v>
      </c>
      <c r="Q8" s="2">
        <f>VLOOKUP(A8,[15]TONTMAI24!$A$7:$P$23,10,0)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VLOOKUP(A9,[14]TONTMAI24!$A$6:$R$39,12,0)</f>
        <v>0</v>
      </c>
      <c r="Q9" s="2"/>
      <c r="R9" s="2">
        <f>VLOOKUP(A9,[16]TONTMAI24!$A$7:$P$20,10,0)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VLOOKUP(A10,[14]TONTMAI24!$A$6:$R$39,12,0)</f>
        <v>0</v>
      </c>
      <c r="Q10" s="2">
        <f>VLOOKUP(A10,[15]TONTMAI24!$A$7:$P$23,10,0)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VLOOKUP(A11,[14]TONTMAI24!$A$6:$R$39,12,0)</f>
        <v>0</v>
      </c>
      <c r="Q11" s="2">
        <f>VLOOKUP(A11,[15]TONTMAI24!$A$7:$P$23,10,0)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VLOOKUP(A12,[14]TONTMAI24!$A$6:$R$39,12,0)</f>
        <v>0</v>
      </c>
      <c r="Q12" s="2">
        <f>VLOOKUP(A12,[15]TONTMAI24!$A$7:$P$23,10,0)</f>
        <v>0</v>
      </c>
      <c r="R12" s="2">
        <f>VLOOKUP(A12,[16]TONTMAI24!$A$7:$P$20,10,0)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VLOOKUP(A13,[14]TONTMAI24!$A$6:$R$39,12,0)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VLOOKUP(A14,[14]TONTMAI24!$A$6:$R$39,12,0)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VLOOKUP(A15,[14]TONTMAI24!$A$6:$R$39,12,0)</f>
        <v>0</v>
      </c>
      <c r="Q15" s="2">
        <f>VLOOKUP(A15,[15]TONTMAI24!$A$7:$P$23,10,0)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VLOOKUP(A16,[14]TONTMAI24!$A$6:$R$39,12,0)</f>
        <v>0</v>
      </c>
      <c r="Q16" s="2">
        <f>VLOOKUP(A16,[15]TONTMAI24!$A$7:$P$23,10,0)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VLOOKUP(A17,[14]TONTMAI24!$A$6:$R$39,12,0)</f>
        <v>0</v>
      </c>
      <c r="Q17" s="2"/>
      <c r="R17" s="2">
        <f>VLOOKUP(A17,[16]TONTMAI24!$A$7:$P$20,10,0)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VLOOKUP(A18,[14]TONTMAI24!$A$6:$R$39,12,0)</f>
        <v>0</v>
      </c>
      <c r="Q18" s="2"/>
      <c r="R18" s="2">
        <f>VLOOKUP(A18,[16]TONTMAI24!$A$7:$P$20,10,0)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VLOOKUP(A19,[14]TONTMAI24!$A$6:$R$39,12,0)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VLOOKUP(A20,[14]TONTMAI24!$A$6:$R$39,12,0)</f>
        <v>0</v>
      </c>
      <c r="Q20" s="2">
        <f>VLOOKUP(A20,[15]TONTMAI24!$A$7:$P$23,10,0)</f>
        <v>0</v>
      </c>
      <c r="R20" s="2">
        <f>VLOOKUP(A20,[16]TONTMAI24!$A$7:$P$20,10,0)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VLOOKUP(A21,[14]TONTMAI24!$A$6:$R$39,12,0)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VLOOKUP(A22,[14]TONTMAI24!$A$6:$R$39,12,0)</f>
        <v>0</v>
      </c>
      <c r="Q22" s="2">
        <f>VLOOKUP(A22,[15]TONTMAI24!$A$7:$P$23,10,0)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VLOOKUP(A23,[14]TONTMAI24!$A$6:$R$39,12,0)</f>
        <v>0</v>
      </c>
      <c r="Q23" s="2"/>
      <c r="R23" s="2">
        <f>VLOOKUP(A23,[16]TONTMAI24!$A$7:$P$20,10,0)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VLOOKUP(A24,[14]TONTMAI24!$A$6:$R$39,12,0)</f>
        <v>0</v>
      </c>
      <c r="Q24" s="2">
        <f>VLOOKUP(A24,[15]TONTMAI24!$A$7:$P$23,10,0)</f>
        <v>0</v>
      </c>
      <c r="R24" s="2">
        <f>VLOOKUP(A24,[16]TONTMAI24!$A$7:$P$20,10,0)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VLOOKUP(A25,[14]TONTMAI24!$A$6:$R$39,12,0)</f>
        <v>0</v>
      </c>
      <c r="Q25" s="2">
        <f>VLOOKUP(A25,[15]TONTMAI24!$A$7:$P$23,10,0)</f>
        <v>0</v>
      </c>
      <c r="R25" s="2">
        <f>VLOOKUP(A25,[16]TONTMAI24!$A$7:$P$20,10,0)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VLOOKUP(A26,[14]TONTMAI24!$A$6:$R$39,12,0)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VLOOKUP(A27,[14]TONTMAI24!$A$6:$R$39,12,0)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VLOOKUP(A28,[14]TONTMAI24!$A$6:$R$39,12,0)</f>
        <v>0</v>
      </c>
      <c r="Q28" s="2">
        <f>VLOOKUP(A28,[15]TONTMAI24!$A$7:$P$23,10,0)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VLOOKUP(A29,[14]TONTMAI24!$A$6:$R$39,12,0)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VLOOKUP(A30,[14]TONTMAI24!$A$6:$R$39,12,0)</f>
        <v>0</v>
      </c>
      <c r="Q30" s="2"/>
      <c r="R30" s="2">
        <f>VLOOKUP(A30,[16]TONTMAI24!$A$7:$P$20,10,0)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VLOOKUP(A31,[14]TONTMAI24!$A$6:$R$39,12,0)</f>
        <v>0</v>
      </c>
      <c r="Q31" s="2"/>
      <c r="R31" s="2">
        <f>VLOOKUP(A31,[16]TONTMAI24!$A$7:$P$20,10,0)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VLOOKUP(A32,[14]TONTMAI24!$A$6:$R$39,12,0)</f>
        <v>0</v>
      </c>
      <c r="Q32" s="2">
        <f>VLOOKUP(A32,[15]TONTMAI24!$A$7:$P$23,10,0)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VLOOKUP(A33,[14]TONTMAI24!$A$6:$R$39,12,0)</f>
        <v>0</v>
      </c>
      <c r="Q33" s="2"/>
      <c r="R33" s="2">
        <f>VLOOKUP(A33,[16]TONTMAI24!$A$7:$P$20,10,0)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VLOOKUP(A34,[14]TONTMAI24!$A$6:$R$39,12,0)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VLOOKUP(A35,[14]TONTMAI24!$A$6:$R$39,12,0)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VLOOKUP(A36,[14]TONTMAI24!$A$6:$R$39,12,0)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VLOOKUP(A37,[14]TONTMAI24!$A$6:$R$39,12,0)</f>
        <v>0</v>
      </c>
      <c r="Q37" s="2"/>
      <c r="R37" s="2">
        <f>VLOOKUP(A37,[16]TONTMAI24!$A$7:$P$20,10,0)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VLOOKUP(A38,[14]TONTMAI24!$A$6:$R$39,12,0)</f>
        <v>0</v>
      </c>
      <c r="Q38" s="2">
        <f>VLOOKUP(A38,[15]TONTMAI24!$A$7:$P$23,10,0)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6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VLOOKUP(A7,[14]TONTJUIN24!$A$6:$R$39,12,0)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VLOOKUP(A8,[14]TONTJUIN24!$A$6:$R$39,12,0)</f>
        <v>0</v>
      </c>
      <c r="Q8" s="2">
        <f>VLOOKUP(A8,[15]TONTJUIN24!$A$7:$P$23,10,0)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VLOOKUP(A9,[14]TONTJUIN24!$A$6:$R$39,12,0)</f>
        <v>0</v>
      </c>
      <c r="Q9" s="2"/>
      <c r="R9" s="2">
        <f>VLOOKUP(A9,[16]TONTJUIN24!$A$7:$P$20,10,0)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VLOOKUP(A10,[14]TONTJUIN24!$A$6:$R$39,12,0)</f>
        <v>0</v>
      </c>
      <c r="Q10" s="2">
        <f>VLOOKUP(A10,[15]TONTJUIN24!$A$7:$P$23,10,0)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VLOOKUP(A11,[14]TONTJUIN24!$A$6:$R$39,12,0)</f>
        <v>0</v>
      </c>
      <c r="Q11" s="2">
        <f>VLOOKUP(A11,[15]TONTJUIN24!$A$7:$P$23,10,0)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VLOOKUP(A12,[14]TONTJUIN24!$A$6:$R$39,12,0)</f>
        <v>0</v>
      </c>
      <c r="Q12" s="2">
        <f>VLOOKUP(A12,[15]TONTJUIN24!$A$7:$P$23,10,0)</f>
        <v>0</v>
      </c>
      <c r="R12" s="2">
        <f>VLOOKUP(A12,[16]TONTJUIN24!$A$7:$P$20,10,0)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VLOOKUP(A13,[14]TONTJUIN24!$A$6:$R$39,12,0)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VLOOKUP(A14,[14]TONTJUIN24!$A$6:$R$39,12,0)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VLOOKUP(A15,[14]TONTJUIN24!$A$6:$R$39,12,0)</f>
        <v>0</v>
      </c>
      <c r="Q15" s="2">
        <f>VLOOKUP(A15,[15]TONTJUIN24!$A$7:$P$23,10,0)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VLOOKUP(A16,[14]TONTJUIN24!$A$6:$R$39,12,0)</f>
        <v>0</v>
      </c>
      <c r="Q16" s="2">
        <f>VLOOKUP(A16,[15]TONTJUIN24!$A$7:$P$23,10,0)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VLOOKUP(A17,[14]TONTJUIN24!$A$6:$R$39,12,0)</f>
        <v>0</v>
      </c>
      <c r="Q17" s="2"/>
      <c r="R17" s="2">
        <f>VLOOKUP(A17,[16]TONTJUIN24!$A$7:$P$20,10,0)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VLOOKUP(A18,[14]TONTJUIN24!$A$6:$R$39,12,0)</f>
        <v>0</v>
      </c>
      <c r="Q18" s="2"/>
      <c r="R18" s="2">
        <f>VLOOKUP(A18,[16]TONTJUIN24!$A$7:$P$20,10,0)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VLOOKUP(A19,[14]TONTJUIN24!$A$6:$R$39,12,0)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VLOOKUP(A20,[14]TONTJUIN24!$A$6:$R$39,12,0)</f>
        <v>0</v>
      </c>
      <c r="Q20" s="2">
        <f>VLOOKUP(A20,[15]TONTJUIN24!$A$7:$P$23,10,0)</f>
        <v>0</v>
      </c>
      <c r="R20" s="2">
        <f>VLOOKUP(A20,[16]TONTJUIN24!$A$7:$P$20,10,0)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VLOOKUP(A21,[14]TONTJUIN24!$A$6:$R$39,12,0)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VLOOKUP(A22,[14]TONTJUIN24!$A$6:$R$39,12,0)</f>
        <v>0</v>
      </c>
      <c r="Q22" s="2">
        <f>VLOOKUP(A22,[15]TONTJUIN24!$A$7:$P$23,10,0)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VLOOKUP(A23,[14]TONTJUIN24!$A$6:$R$39,12,0)</f>
        <v>0</v>
      </c>
      <c r="Q23" s="2"/>
      <c r="R23" s="2">
        <f>VLOOKUP(A23,[16]TONTJUIN24!$A$7:$P$20,10,0)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VLOOKUP(A24,[14]TONTJUIN24!$A$6:$R$39,12,0)</f>
        <v>0</v>
      </c>
      <c r="Q24" s="2">
        <f>VLOOKUP(A24,[15]TONTJUIN24!$A$7:$P$23,10,0)</f>
        <v>0</v>
      </c>
      <c r="R24" s="2">
        <f>VLOOKUP(A24,[16]TONTJUIN24!$A$7:$P$20,10,0)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VLOOKUP(A25,[14]TONTJUIN24!$A$6:$R$39,12,0)</f>
        <v>0</v>
      </c>
      <c r="Q25" s="2">
        <f>VLOOKUP(A25,[15]TONTJUIN24!$A$7:$P$23,10,0)</f>
        <v>0</v>
      </c>
      <c r="R25" s="2">
        <f>VLOOKUP(A25,[16]TONTJUIN24!$A$7:$P$20,10,0)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VLOOKUP(A26,[14]TONTJUIN24!$A$6:$R$39,12,0)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VLOOKUP(A27,[14]TONTJUIN24!$A$6:$R$39,12,0)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VLOOKUP(A28,[14]TONTJUIN24!$A$6:$R$39,12,0)</f>
        <v>0</v>
      </c>
      <c r="Q28" s="2">
        <f>VLOOKUP(A28,[15]TONTJUIN24!$A$7:$P$23,10,0)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VLOOKUP(A29,[14]TONTJUIN24!$A$6:$R$39,12,0)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VLOOKUP(A30,[14]TONTJUIN24!$A$6:$R$39,12,0)</f>
        <v>0</v>
      </c>
      <c r="Q30" s="2"/>
      <c r="R30" s="2">
        <f>VLOOKUP(A30,[16]TONTJUIN24!$A$7:$P$20,10,0)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VLOOKUP(A31,[14]TONTJUIN24!$A$6:$R$39,12,0)</f>
        <v>0</v>
      </c>
      <c r="Q31" s="2"/>
      <c r="R31" s="2">
        <f>VLOOKUP(A31,[16]TONTJUIN24!$A$7:$P$20,10,0)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VLOOKUP(A32,[14]TONTJUIN24!$A$6:$R$39,12,0)</f>
        <v>0</v>
      </c>
      <c r="Q32" s="2">
        <f>VLOOKUP(A32,[15]TONTJUIN24!$A$7:$P$23,10,0)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VLOOKUP(A33,[14]TONTJUIN24!$A$6:$R$39,12,0)</f>
        <v>0</v>
      </c>
      <c r="Q33" s="2"/>
      <c r="R33" s="2">
        <f>VLOOKUP(A33,[16]TONTJUIN24!$A$7:$P$20,10,0)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VLOOKUP(A34,[14]TONTJUIN24!$A$6:$R$39,12,0)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VLOOKUP(A35,[14]TONTJUIN24!$A$6:$R$39,12,0)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VLOOKUP(A36,[14]TONTJUIN24!$A$6:$R$39,12,0)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VLOOKUP(A37,[14]TONTJUIN24!$A$6:$R$39,12,0)</f>
        <v>0</v>
      </c>
      <c r="Q37" s="2"/>
      <c r="R37" s="2">
        <f>VLOOKUP(A37,[16]TONTJUIN24!$A$7:$P$20,10,0)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VLOOKUP(A38,[14]TONTJUIN24!$A$6:$R$39,12,0)</f>
        <v>0</v>
      </c>
      <c r="Q38" s="2">
        <f>VLOOKUP(A38,[15]TONTJUIN24!$A$7:$P$23,10,0)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38" sqref="P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5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VLOOKUP(A7,[14]TONTJUIL24!$A$6:$R$39,12,0)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VLOOKUP(A8,[14]TONTJUIL24!$A$6:$R$39,12,0)</f>
        <v>0</v>
      </c>
      <c r="Q8" s="2">
        <f>VLOOKUP(A8,[15]TONTJUIL24!$A$7:$P$23,10,0)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VLOOKUP(A9,[14]TONTJUIL24!$A$6:$R$39,12,0)</f>
        <v>0</v>
      </c>
      <c r="Q9" s="2"/>
      <c r="R9" s="2">
        <f>VLOOKUP(A9,[16]TONTJUIL24!$A$7:$P$20,10,0)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VLOOKUP(A10,[14]TONTJUIL24!$A$6:$R$39,12,0)</f>
        <v>0</v>
      </c>
      <c r="Q10" s="2">
        <f>VLOOKUP(A10,[15]TONTJUIL24!$A$7:$P$23,10,0)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VLOOKUP(A11,[14]TONTJUIL24!$A$6:$R$39,12,0)</f>
        <v>0</v>
      </c>
      <c r="Q11" s="2">
        <f>VLOOKUP(A11,[15]TONTJUIL24!$A$7:$P$23,10,0)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VLOOKUP(A12,[14]TONTJUIL24!$A$6:$R$39,12,0)</f>
        <v>0</v>
      </c>
      <c r="Q12" s="2">
        <f>VLOOKUP(A12,[15]TONTJUIL24!$A$7:$P$23,10,0)</f>
        <v>0</v>
      </c>
      <c r="R12" s="2">
        <f>VLOOKUP(A12,[16]TONTJUIL24!$A$7:$P$20,10,0)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VLOOKUP(A13,[14]TONTJUIL24!$A$6:$R$39,12,0)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VLOOKUP(A14,[14]TONTJUIL24!$A$6:$R$39,12,0)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VLOOKUP(A15,[14]TONTJUIL24!$A$6:$R$39,12,0)</f>
        <v>0</v>
      </c>
      <c r="Q15" s="2">
        <f>VLOOKUP(A15,[15]TONTJUIL24!$A$7:$P$23,10,0)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VLOOKUP(A16,[14]TONTJUIL24!$A$6:$R$39,12,0)</f>
        <v>0</v>
      </c>
      <c r="Q16" s="2">
        <f>VLOOKUP(A16,[15]TONTJUIL24!$A$7:$P$23,10,0)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VLOOKUP(A17,[14]TONTJUIL24!$A$6:$R$39,12,0)</f>
        <v>0</v>
      </c>
      <c r="Q17" s="2"/>
      <c r="R17" s="2">
        <f>VLOOKUP(A17,[16]TONTJUIL24!$A$7:$P$20,10,0)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VLOOKUP(A18,[14]TONTJUIL24!$A$6:$R$39,12,0)</f>
        <v>0</v>
      </c>
      <c r="Q18" s="2"/>
      <c r="R18" s="2">
        <f>VLOOKUP(A18,[16]TONTJUIL24!$A$7:$P$20,10,0)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VLOOKUP(A19,[14]TONTJUIL24!$A$6:$R$39,12,0)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VLOOKUP(A20,[14]TONTJUIL24!$A$6:$R$39,12,0)</f>
        <v>0</v>
      </c>
      <c r="Q20" s="2">
        <f>VLOOKUP(A20,[15]TONTJUIL24!$A$7:$P$23,10,0)</f>
        <v>0</v>
      </c>
      <c r="R20" s="2">
        <f>VLOOKUP(A20,[16]TONTJUIL24!$A$7:$P$20,10,0)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VLOOKUP(A21,[14]TONTJUIL24!$A$6:$R$39,12,0)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VLOOKUP(A22,[14]TONTJUIL24!$A$6:$R$39,12,0)</f>
        <v>0</v>
      </c>
      <c r="Q22" s="2">
        <f>VLOOKUP(A22,[15]TONTJUIL24!$A$7:$P$23,10,0)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VLOOKUP(A23,[14]TONTJUIL24!$A$6:$R$39,12,0)</f>
        <v>0</v>
      </c>
      <c r="Q23" s="2"/>
      <c r="R23" s="2">
        <f>VLOOKUP(A23,[16]TONTJUIL24!$A$7:$P$20,10,0)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5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VLOOKUP(A24,[14]TONTJUIL24!$A$6:$R$39,12,0)</f>
        <v>0</v>
      </c>
      <c r="Q24" s="2">
        <f>VLOOKUP(A24,[15]TONTJUIL24!$A$7:$P$23,10,0)</f>
        <v>0</v>
      </c>
      <c r="R24" s="2">
        <f>VLOOKUP(A24,[16]TONTJUIL24!$A$7:$P$20,10,0)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VLOOKUP(A25,[14]TONTJUIL24!$A$6:$R$39,12,0)</f>
        <v>0</v>
      </c>
      <c r="Q25" s="2">
        <f>VLOOKUP(A25,[15]TONTJUIL24!$A$7:$P$23,10,0)</f>
        <v>0</v>
      </c>
      <c r="R25" s="2">
        <f>VLOOKUP(A25,[16]TONTJUIL24!$A$7:$P$20,10,0)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VLOOKUP(A26,[14]TONTJUIL24!$A$6:$R$39,12,0)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5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VLOOKUP(A27,[14]TONTJUIL24!$A$6:$R$39,12,0)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VLOOKUP(A28,[14]TONTJUIL24!$A$6:$R$39,12,0)</f>
        <v>0</v>
      </c>
      <c r="Q28" s="2">
        <f>VLOOKUP(A28,[15]TONTJUIL24!$A$7:$P$23,10,0)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VLOOKUP(A29,[14]TONTJUIL24!$A$6:$R$39,12,0)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VLOOKUP(A30,[14]TONTJUIL24!$A$6:$R$39,12,0)</f>
        <v>0</v>
      </c>
      <c r="Q30" s="2"/>
      <c r="R30" s="2">
        <f>VLOOKUP(A30,[16]TONTJUIL24!$A$7:$P$20,10,0)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VLOOKUP(A31,[14]TONTJUIL24!$A$6:$R$39,12,0)</f>
        <v>0</v>
      </c>
      <c r="Q31" s="2"/>
      <c r="R31" s="2">
        <f>VLOOKUP(A31,[16]TONTJUIL24!$A$7:$P$20,10,0)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VLOOKUP(A32,[14]TONTJUIL24!$A$6:$R$39,12,0)</f>
        <v>0</v>
      </c>
      <c r="Q32" s="2">
        <f>VLOOKUP(A32,[15]TONTJUIL24!$A$7:$P$23,10,0)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VLOOKUP(A33,[14]TONTJUIL24!$A$6:$R$39,12,0)</f>
        <v>0</v>
      </c>
      <c r="Q33" s="2"/>
      <c r="R33" s="2">
        <f>VLOOKUP(A33,[16]TONTJUIL24!$A$7:$P$20,10,0)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VLOOKUP(A34,[14]TONTJUIL24!$A$6:$R$39,12,0)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VLOOKUP(A35,[14]TONTJUIL24!$A$6:$R$39,12,0)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VLOOKUP(A36,[14]TONTJUIL24!$A$6:$R$39,12,0)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5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VLOOKUP(A37,[14]TONTJUIL24!$A$6:$R$39,12,0)</f>
        <v>0</v>
      </c>
      <c r="Q37" s="2"/>
      <c r="R37" s="2">
        <f>VLOOKUP(A37,[16]TONTJUIL24!$A$7:$P$20,10,0)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VLOOKUP(A38,[14]TONTJUIL24!$A$6:$R$39,12,0)</f>
        <v>0</v>
      </c>
      <c r="Q38" s="2">
        <f>VLOOKUP(A38,[15]TONTJUIL24!$A$7:$P$23,10,0)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45521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852791.19348721951</v>
      </c>
      <c r="G7" s="5">
        <f>IF(MVTJUIL24!I7+L7&gt;700000,(MVTJUIL24!I7-E7+L7),0)</f>
        <v>852791.19348721951</v>
      </c>
      <c r="H7" s="36">
        <f t="shared" si="0"/>
        <v>0</v>
      </c>
      <c r="I7" s="6">
        <f t="shared" ref="I7:I39" si="2">F7+H7</f>
        <v>852791.19348721951</v>
      </c>
      <c r="J7" s="36">
        <f>VLOOKUP($A7,[24]HISTOAOUT24!$A$6:$AQ$42,22,0)</f>
        <v>0</v>
      </c>
      <c r="K7" s="36">
        <f>VLOOKUP($A7,[24]HISTOAOUT24!$A$6:$AU$38,45,0)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VLOOKUP($A7,[24]HISTOAOUT24!$A$6:$AU$38,7,0)</f>
        <v>3000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896533.31236524263</v>
      </c>
      <c r="G8" s="5">
        <f>IF(MVTJUIL24!I8+L8&gt;700000,(MVTJUIL24!I8-E8+L8),0)</f>
        <v>896533.31236524263</v>
      </c>
      <c r="H8" s="36">
        <f t="shared" si="0"/>
        <v>0</v>
      </c>
      <c r="I8" s="6">
        <f t="shared" si="2"/>
        <v>896533.31236524263</v>
      </c>
      <c r="J8" s="36">
        <f>VLOOKUP($A8,[24]HISTOAOUT24!$A$6:$AQ$42,22,0)</f>
        <v>0</v>
      </c>
      <c r="K8" s="36">
        <f>VLOOKUP($A8,[24]HISTOAOUT24!$A$6:$AU$38,45,0)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953962.00686817756</v>
      </c>
      <c r="G9" s="5">
        <f>IF(MVTJUIL24!I9+L9&gt;700000,(MVTJUIL24!I9-E9+L9),0)</f>
        <v>953962.00686817756</v>
      </c>
      <c r="H9" s="36">
        <f t="shared" si="0"/>
        <v>0</v>
      </c>
      <c r="I9" s="6">
        <f t="shared" si="2"/>
        <v>953962.00686817756</v>
      </c>
      <c r="J9" s="36">
        <f>VLOOKUP($A9,[24]HISTOAOUT24!$A$6:$AQ$42,22,0)</f>
        <v>0</v>
      </c>
      <c r="K9" s="36">
        <f>VLOOKUP($A9,[24]HISTOAOUT24!$A$6:$AU$38,45,0)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893805.20622596238</v>
      </c>
      <c r="G10" s="5">
        <f>IF(MVTJUIL24!I10+L10&gt;700000,(MVTJUIL24!I10-E10+L10),0)</f>
        <v>893805.20622596238</v>
      </c>
      <c r="H10" s="36">
        <f t="shared" si="0"/>
        <v>0</v>
      </c>
      <c r="I10" s="6">
        <f t="shared" si="2"/>
        <v>893805.20622596238</v>
      </c>
      <c r="J10" s="36">
        <f>VLOOKUP($A10,[24]HISTOAOUT24!$A$6:$AQ$42,22,0)</f>
        <v>0</v>
      </c>
      <c r="K10" s="36">
        <f>VLOOKUP($A10,[24]HISTOAOUT24!$A$6:$AU$38,45,0)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911855.82895949238</v>
      </c>
      <c r="G11" s="5">
        <f>IF(MVTJUIL24!I11+L11&gt;700000,(MVTJUIL24!I11-E11+L11),0)</f>
        <v>911855.82895949238</v>
      </c>
      <c r="H11" s="36">
        <f t="shared" si="0"/>
        <v>0</v>
      </c>
      <c r="I11" s="6">
        <f t="shared" si="2"/>
        <v>911855.82895949238</v>
      </c>
      <c r="J11" s="36">
        <f>VLOOKUP($A11,[24]HISTOAOUT24!$A$6:$AQ$42,22,0)</f>
        <v>0</v>
      </c>
      <c r="K11" s="36">
        <f>VLOOKUP($A11,[24]HISTOAOUT24!$A$6:$AU$38,45,0)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935100.14741339569</v>
      </c>
      <c r="G12" s="5">
        <f>IF(MVTJUIL24!I12+L12&gt;700000,(MVTJUIL24!I12-E12+L12),0)</f>
        <v>935100.14741339569</v>
      </c>
      <c r="H12" s="36">
        <f t="shared" si="0"/>
        <v>0</v>
      </c>
      <c r="I12" s="6">
        <f t="shared" si="2"/>
        <v>935100.14741339569</v>
      </c>
      <c r="J12" s="36">
        <f>VLOOKUP($A12,[24]HISTOAOUT24!$A$6:$AQ$42,22,0)</f>
        <v>0</v>
      </c>
      <c r="K12" s="36">
        <f>VLOOKUP($A12,[24]HISTOAOUT24!$A$6:$AU$38,45,0)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899555.14612214814</v>
      </c>
      <c r="G13" s="5">
        <f>IF(MVTJUIL24!I13+L13&gt;700000,(MVTJUIL24!I13-E13+L13),0)</f>
        <v>899555.14612214814</v>
      </c>
      <c r="H13" s="36">
        <f t="shared" si="0"/>
        <v>0</v>
      </c>
      <c r="I13" s="6">
        <f t="shared" si="2"/>
        <v>899555.14612214814</v>
      </c>
      <c r="J13" s="36">
        <f>VLOOKUP($A13,[24]HISTOAOUT24!$A$6:$AQ$42,22,0)</f>
        <v>0</v>
      </c>
      <c r="K13" s="36">
        <f>VLOOKUP($A13,[24]HISTOAOUT24!$A$6:$AU$38,45,0)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1452425.9823482623</v>
      </c>
      <c r="G14" s="5">
        <f>IF(MVTJUIL24!I14+L14&gt;700000,(MVTJUIL24!I14-E14+L14),0)</f>
        <v>1452425.9823482623</v>
      </c>
      <c r="H14" s="36">
        <f t="shared" si="0"/>
        <v>0</v>
      </c>
      <c r="I14" s="6">
        <f t="shared" si="2"/>
        <v>1452425.9823482623</v>
      </c>
      <c r="J14" s="36">
        <f>VLOOKUP($A14,[24]HISTOAOUT24!$A$6:$AQ$42,22,0)</f>
        <v>0</v>
      </c>
      <c r="K14" s="36">
        <f>VLOOKUP($A14,[24]HISTOAOUT24!$A$6:$AU$38,45,0)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961309.62153810938</v>
      </c>
      <c r="G15" s="5">
        <f>IF(MVTJUIL24!I15+L15&gt;700000,(MVTJUIL24!I15-E15+L15),0)</f>
        <v>961309.62153810938</v>
      </c>
      <c r="H15" s="36">
        <f t="shared" si="0"/>
        <v>0</v>
      </c>
      <c r="I15" s="6">
        <f t="shared" si="2"/>
        <v>961309.62153810938</v>
      </c>
      <c r="J15" s="36">
        <f>VLOOKUP($A15,[24]HISTOAOUT24!$A$6:$AQ$42,22,0)</f>
        <v>0</v>
      </c>
      <c r="K15" s="36">
        <f>VLOOKUP($A15,[24]HISTOAOUT24!$A$6:$AU$38,45,0)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1071858.7065070483</v>
      </c>
      <c r="G16" s="5">
        <f>IF(MVTJUIL24!I16+L16&gt;700000,(MVTJUIL24!I16-E16+L16),0)</f>
        <v>1071858.7065070483</v>
      </c>
      <c r="H16" s="36">
        <f t="shared" si="0"/>
        <v>0</v>
      </c>
      <c r="I16" s="6">
        <f t="shared" si="2"/>
        <v>1071858.7065070483</v>
      </c>
      <c r="J16" s="36">
        <f>VLOOKUP($A16,[24]HISTOAOUT24!$A$6:$AQ$42,22,0)</f>
        <v>0</v>
      </c>
      <c r="K16" s="36">
        <f>VLOOKUP($A16,[24]HISTOAOUT24!$A$6:$AU$38,45,0)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909402.7005255461</v>
      </c>
      <c r="G17" s="5">
        <f>IF(MVTJUIL24!I17+L17&gt;700000,(MVTJUIL24!I17-E17+L17),0)</f>
        <v>909402.7005255461</v>
      </c>
      <c r="H17" s="36">
        <f t="shared" si="0"/>
        <v>0</v>
      </c>
      <c r="I17" s="6">
        <f t="shared" si="2"/>
        <v>909402.7005255461</v>
      </c>
      <c r="J17" s="36">
        <f>VLOOKUP($A17,[24]HISTOAOUT24!$A$6:$AQ$42,22,0)</f>
        <v>0</v>
      </c>
      <c r="K17" s="36">
        <f>VLOOKUP($A17,[24]HISTOAOUT24!$A$6:$AU$38,45,0)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955662.76419736946</v>
      </c>
      <c r="G18" s="5">
        <f>IF(MVTJUIL24!I18+L18&gt;700000,(MVTJUIL24!I18-E18+L18),0)</f>
        <v>955662.76419736946</v>
      </c>
      <c r="H18" s="36">
        <f t="shared" si="0"/>
        <v>0</v>
      </c>
      <c r="I18" s="6">
        <f t="shared" si="2"/>
        <v>955662.76419736946</v>
      </c>
      <c r="J18" s="36">
        <f>VLOOKUP($A18,[24]HISTOAOUT24!$A$6:$AQ$42,22,0)</f>
        <v>0</v>
      </c>
      <c r="K18" s="36">
        <f>VLOOKUP($A18,[24]HISTOAOUT24!$A$6:$AU$38,45,0)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VLOOKUP($A20,[24]HISTOAOUT24!$A$6:$AQ$42,22,0)</f>
        <v>0</v>
      </c>
      <c r="K20" s="36">
        <f>VLOOKUP($A20,[24]HISTOAOUT24!$A$6:$AU$38,45,0)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932355.80062958295</v>
      </c>
      <c r="G21" s="5">
        <f>IF(MVTJUIL24!I21+L21&gt;700000,(MVTJUIL24!I21-E21+L21),0)</f>
        <v>932355.80062958295</v>
      </c>
      <c r="H21" s="36">
        <f t="shared" si="0"/>
        <v>0</v>
      </c>
      <c r="I21" s="6">
        <f t="shared" si="2"/>
        <v>932355.80062958295</v>
      </c>
      <c r="J21" s="36">
        <f>VLOOKUP($A21,[24]HISTOAOUT24!$A$6:$AQ$42,22,0)</f>
        <v>0</v>
      </c>
      <c r="K21" s="36">
        <f>VLOOKUP($A21,[24]HISTOAOUT24!$A$6:$AU$38,45,0)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900738.95952735876</v>
      </c>
      <c r="G22" s="5">
        <f>IF(MVTJUIL24!I22+L22&gt;700000,(MVTJUIL24!I22-E22+L22),0)</f>
        <v>900738.95952735876</v>
      </c>
      <c r="H22" s="36">
        <f t="shared" si="0"/>
        <v>0</v>
      </c>
      <c r="I22" s="6">
        <f t="shared" si="2"/>
        <v>900738.95952735876</v>
      </c>
      <c r="J22" s="36">
        <f>VLOOKUP($A22,[24]HISTOAOUT24!$A$6:$AQ$42,22,0)</f>
        <v>0</v>
      </c>
      <c r="K22" s="36">
        <f>VLOOKUP($A22,[24]HISTOAOUT24!$A$6:$AU$38,45,0)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1006674.3246731948</v>
      </c>
      <c r="G23" s="5">
        <f>IF(MVTJUIL24!I23+L23&gt;700000,(MVTJUIL24!I23-E23+L23),0)</f>
        <v>1006674.3246731948</v>
      </c>
      <c r="H23" s="36">
        <f t="shared" si="0"/>
        <v>0</v>
      </c>
      <c r="I23" s="6">
        <f t="shared" si="2"/>
        <v>1006674.3246731948</v>
      </c>
      <c r="J23" s="36">
        <f>VLOOKUP($A23,[24]HISTOAOUT24!$A$6:$AQ$42,22,0)</f>
        <v>0</v>
      </c>
      <c r="K23" s="36">
        <f>VLOOKUP($A23,[24]HISTOAOUT24!$A$6:$AU$38,45,0)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1179827.8441992993</v>
      </c>
      <c r="G24" s="5">
        <f>IF(MVTJUIL24!I24+L24&gt;700000,(MVTJUIL24!I24-E24+L24),0)</f>
        <v>1179827.8441992993</v>
      </c>
      <c r="H24" s="36">
        <f t="shared" si="0"/>
        <v>0</v>
      </c>
      <c r="I24" s="6">
        <f t="shared" si="2"/>
        <v>1179827.8441992993</v>
      </c>
      <c r="J24" s="36">
        <f>VLOOKUP($A24,[24]HISTOAOUT24!$A$6:$AQ$42,22,0)</f>
        <v>0</v>
      </c>
      <c r="K24" s="36">
        <f>VLOOKUP($A24,[24]HISTOAOUT24!$A$6:$AU$38,45,0)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991141.79504321574</v>
      </c>
      <c r="G25" s="5">
        <f>IF(MVTJUIL24!I25+L25&gt;700000,(MVTJUIL24!I25-E25+L25),0)</f>
        <v>991141.79504321574</v>
      </c>
      <c r="H25" s="36">
        <f t="shared" si="0"/>
        <v>0</v>
      </c>
      <c r="I25" s="6">
        <f t="shared" si="2"/>
        <v>991141.79504321574</v>
      </c>
      <c r="J25" s="36">
        <f>VLOOKUP($A25,[24]HISTOAOUT24!$A$6:$AQ$42,22,0)</f>
        <v>0</v>
      </c>
      <c r="K25" s="36">
        <f>VLOOKUP($A25,[24]HISTOAOUT24!$A$6:$AU$38,45,0)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VLOOKUP($A25,[24]HISTOAOUT24!$A$6:$AU$38,7,0)</f>
        <v>3000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919266.46813543816</v>
      </c>
      <c r="G26" s="5">
        <f>IF(MVTJUIL24!I26+L26&gt;700000,(MVTJUIL24!I26-E26+L26),0)</f>
        <v>919266.46813543816</v>
      </c>
      <c r="H26" s="36">
        <f t="shared" si="0"/>
        <v>0</v>
      </c>
      <c r="I26" s="6">
        <f t="shared" si="2"/>
        <v>919266.46813543816</v>
      </c>
      <c r="J26" s="36">
        <f>VLOOKUP($A26,[24]HISTOAOUT24!$A$6:$AQ$42,22,0)</f>
        <v>0</v>
      </c>
      <c r="K26" s="36">
        <f>VLOOKUP($A26,[24]HISTOAOUT24!$A$6:$AU$38,45,0)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919824.17371512204</v>
      </c>
      <c r="G27" s="5">
        <f>IF(MVTJUIL24!I27+L27&gt;700000,(MVTJUIL24!I27-E27+L27),0)</f>
        <v>919824.17371512204</v>
      </c>
      <c r="H27" s="36">
        <f t="shared" si="0"/>
        <v>0</v>
      </c>
      <c r="I27" s="6">
        <f t="shared" si="2"/>
        <v>919824.17371512204</v>
      </c>
      <c r="J27" s="36">
        <f>VLOOKUP($A27,[24]HISTOAOUT24!$A$6:$AQ$42,22,0)</f>
        <v>0</v>
      </c>
      <c r="K27" s="36">
        <f>VLOOKUP($A27,[24]HISTOAOUT24!$A$6:$AU$38,45,0)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821176.12513194664</v>
      </c>
      <c r="G28" s="5">
        <f>IF(MVTJUIL24!I28+L28&gt;700000,(MVTJUIL24!I28-E28+L28),0)</f>
        <v>821176.12513194664</v>
      </c>
      <c r="H28" s="36">
        <f t="shared" si="0"/>
        <v>0</v>
      </c>
      <c r="I28" s="6">
        <f t="shared" si="2"/>
        <v>821176.12513194664</v>
      </c>
      <c r="J28" s="36">
        <f>VLOOKUP($A28,[24]HISTOAOUT24!$A$6:$AQ$42,22,0)</f>
        <v>0</v>
      </c>
      <c r="K28" s="36">
        <f>VLOOKUP($A28,[24]HISTOAOUT24!$A$6:$AU$38,45,0)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946151.34423741512</v>
      </c>
      <c r="G29" s="5">
        <f>IF(MVTJUIL24!I29+L29&gt;700000,(MVTJUIL24!I29-E29+L29),0)</f>
        <v>946151.34423741512</v>
      </c>
      <c r="H29" s="36">
        <f t="shared" si="0"/>
        <v>0</v>
      </c>
      <c r="I29" s="6">
        <f t="shared" si="2"/>
        <v>946151.34423741512</v>
      </c>
      <c r="J29" s="36">
        <f>VLOOKUP($A29,[24]HISTOAOUT24!$A$6:$AQ$42,22,0)</f>
        <v>0</v>
      </c>
      <c r="K29" s="36">
        <f>VLOOKUP($A29,[24]HISTOAOUT24!$A$6:$AU$38,45,0)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850786.81046782702</v>
      </c>
      <c r="G30" s="5">
        <f>IF(MVTJUIL24!I30+L30&gt;700000,(MVTJUIL24!I30-E30+L30),0)</f>
        <v>850786.81046782702</v>
      </c>
      <c r="H30" s="36">
        <f t="shared" si="0"/>
        <v>0</v>
      </c>
      <c r="I30" s="6">
        <f t="shared" si="2"/>
        <v>850786.81046782702</v>
      </c>
      <c r="J30" s="36">
        <f>VLOOKUP($A30,[24]HISTOAOUT24!$A$6:$AQ$42,22,0)</f>
        <v>0</v>
      </c>
      <c r="K30" s="36">
        <f>VLOOKUP($A30,[24]HISTOAOUT24!$A$6:$AU$38,45,0)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1010903.0311481348</v>
      </c>
      <c r="G31" s="5">
        <f>IF(MVTJUIL24!I31+L31&gt;700000,(MVTJUIL24!I31-E31+L31),0)</f>
        <v>1010903.0311481348</v>
      </c>
      <c r="H31" s="36">
        <f t="shared" si="0"/>
        <v>0</v>
      </c>
      <c r="I31" s="6">
        <f t="shared" si="2"/>
        <v>1010903.0311481348</v>
      </c>
      <c r="J31" s="36">
        <f>VLOOKUP($A31,[24]HISTOAOUT24!$A$6:$AQ$42,22,0)</f>
        <v>0</v>
      </c>
      <c r="K31" s="36">
        <f>VLOOKUP($A31,[24]HISTOAOUT24!$A$6:$AU$38,45,0)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900243.98131057119</v>
      </c>
      <c r="G32" s="5">
        <f>IF(MVTJUIL24!I32+L32&gt;700000,(MVTJUIL24!I32-E32+L32),0)</f>
        <v>900243.98131057119</v>
      </c>
      <c r="H32" s="36">
        <f t="shared" si="0"/>
        <v>0</v>
      </c>
      <c r="I32" s="6">
        <f t="shared" si="2"/>
        <v>900243.98131057119</v>
      </c>
      <c r="J32" s="36">
        <f>VLOOKUP($A32,[24]HISTOAOUT24!$A$6:$AQ$42,22,0)</f>
        <v>0</v>
      </c>
      <c r="K32" s="36">
        <f>VLOOKUP($A32,[24]HISTOAOUT24!$A$6:$AU$38,45,0)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900552.64928596013</v>
      </c>
      <c r="G33" s="5">
        <f>IF(MVTJUIL24!I33+L33&gt;700000,(MVTJUIL24!I33-E33+L33),0)</f>
        <v>900552.64928596013</v>
      </c>
      <c r="H33" s="36">
        <f t="shared" si="0"/>
        <v>0</v>
      </c>
      <c r="I33" s="6">
        <f t="shared" si="2"/>
        <v>900552.64928596013</v>
      </c>
      <c r="J33" s="36">
        <f>VLOOKUP($A33,[24]HISTOAOUT24!$A$6:$AQ$42,22,0)</f>
        <v>0</v>
      </c>
      <c r="K33" s="36">
        <f>VLOOKUP($A33,[24]HISTOAOUT24!$A$6:$AU$38,45,0)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557000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557000</v>
      </c>
      <c r="J34" s="36">
        <f>VLOOKUP($A34,[24]HISTOAOUT24!$A$6:$AQ$42,22,0)</f>
        <v>0</v>
      </c>
      <c r="K34" s="36">
        <f>VLOOKUP($A34,[24]HISTOAOUT24!$A$6:$AU$38,45,0)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252000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252000</v>
      </c>
      <c r="J35" s="36">
        <f>VLOOKUP($A35,[24]HISTOAOUT24!$A$6:$AQ$42,22,0)</f>
        <v>0</v>
      </c>
      <c r="K35" s="36">
        <f>VLOOKUP($A35,[24]HISTOAOUT24!$A$6:$AU$38,45,0)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VLOOKUP($A35,[24]HISTOAOUT24!$A$6:$AU$38,7,0)</f>
        <v>3000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937599.08181867818</v>
      </c>
      <c r="G36" s="5">
        <f>IF(MVTJUIL24!I36+L36&gt;700000,(MVTJUIL24!I36-E36+L36),0)</f>
        <v>937599.08181867818</v>
      </c>
      <c r="H36" s="36">
        <f t="shared" si="0"/>
        <v>0</v>
      </c>
      <c r="I36" s="6">
        <f t="shared" si="2"/>
        <v>937599.08181867818</v>
      </c>
      <c r="J36" s="36">
        <f>VLOOKUP($A36,[24]HISTOAOUT24!$A$6:$AQ$42,22,0)</f>
        <v>0</v>
      </c>
      <c r="K36" s="36">
        <f>VLOOKUP($A36,[24]HISTOAOUT24!$A$6:$AU$38,45,0)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1970400.7147676253</v>
      </c>
      <c r="G37" s="5">
        <f>IF(MVTJUIL24!I37+L37&gt;700000,(MVTJUIL24!I37-E37+L37),0)</f>
        <v>1970400.7147676253</v>
      </c>
      <c r="H37" s="36">
        <f t="shared" si="0"/>
        <v>0</v>
      </c>
      <c r="I37" s="6">
        <f t="shared" si="2"/>
        <v>1970400.7147676253</v>
      </c>
      <c r="J37" s="36">
        <f>VLOOKUP($A37,[24]HISTOAOUT24!$A$6:$AQ$42,22,0)</f>
        <v>0</v>
      </c>
      <c r="K37" s="36">
        <f>VLOOKUP($A37,[24]HISTOAOUT24!$A$6:$AU$38,45,0)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VLOOKUP($A37,[24]HISTOAOUT24!$A$6:$AU$38,7,0)</f>
        <v>3000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VLOOKUP($A38,[24]HISTOAOUT24!$A$6:$AQ$42,22,0)</f>
        <v>0</v>
      </c>
      <c r="K38" s="36">
        <f>VLOOKUP($A38,[24]HISTOAOUT24!$A$6:$AU$38,45,0)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2135313.2142100567</v>
      </c>
      <c r="G39" s="5">
        <f>IF(MVTJUIL24!I39+L39&gt;700000,(MVTJUIL24!I39-E39+L39),0)</f>
        <v>2135313.2142100567</v>
      </c>
      <c r="H39" s="36">
        <f t="shared" si="0"/>
        <v>0</v>
      </c>
      <c r="I39" s="6">
        <f t="shared" si="2"/>
        <v>2135313.2142100567</v>
      </c>
      <c r="J39" s="36">
        <f>VLOOKUP($A39,[24]HISTOAOUT24!$A$6:$AQ$42,22,0)</f>
        <v>0</v>
      </c>
      <c r="K39" s="36">
        <f>VLOOKUP($A39,[24]HISTOAOUT24!$A$6:$AU$38,45,0)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31752656.655274987</v>
      </c>
      <c r="G41" s="9">
        <f t="shared" si="10"/>
        <v>29963439.524547949</v>
      </c>
      <c r="H41" s="36">
        <f t="shared" si="10"/>
        <v>0</v>
      </c>
      <c r="I41" s="9">
        <f t="shared" si="10"/>
        <v>31752656.655274987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45521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852791.19348721951</v>
      </c>
      <c r="G7" s="5">
        <f>IF(MVTJUIL24!I7+L7&gt;700000,(MVTJUIL24!I7-E7+L7),0)</f>
        <v>852791.19348721951</v>
      </c>
      <c r="H7" s="36">
        <f t="shared" si="0"/>
        <v>0</v>
      </c>
      <c r="I7" s="6">
        <f t="shared" ref="I7:I39" si="2">F7+H7</f>
        <v>852791.19348721951</v>
      </c>
      <c r="J7" s="36">
        <f>VLOOKUP($A7,[24]HISTOAOUT24!$A$6:$AQ$42,22,0)</f>
        <v>0</v>
      </c>
      <c r="K7" s="36">
        <f>VLOOKUP($A7,[24]HISTOAOUT24!$A$6:$AU$38,45,0)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VLOOKUP($A7,[24]HISTOAOUT24!$A$6:$AU$38,7,0)</f>
        <v>3000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896533.31236524263</v>
      </c>
      <c r="G8" s="5">
        <f>IF(MVTJUIL24!I8+L8&gt;700000,(MVTJUIL24!I8-E8+L8),0)</f>
        <v>896533.31236524263</v>
      </c>
      <c r="H8" s="36">
        <f t="shared" si="0"/>
        <v>0</v>
      </c>
      <c r="I8" s="6">
        <f t="shared" si="2"/>
        <v>896533.31236524263</v>
      </c>
      <c r="J8" s="36">
        <f>VLOOKUP($A8,[24]HISTOAOUT24!$A$6:$AQ$42,22,0)</f>
        <v>0</v>
      </c>
      <c r="K8" s="36">
        <f>VLOOKUP($A8,[24]HISTOAOUT24!$A$6:$AU$38,45,0)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953962.00686817756</v>
      </c>
      <c r="G9" s="5">
        <f>IF(MVTJUIL24!I9+L9&gt;700000,(MVTJUIL24!I9-E9+L9),0)</f>
        <v>953962.00686817756</v>
      </c>
      <c r="H9" s="36">
        <f t="shared" si="0"/>
        <v>0</v>
      </c>
      <c r="I9" s="6">
        <f t="shared" si="2"/>
        <v>953962.00686817756</v>
      </c>
      <c r="J9" s="36">
        <f>VLOOKUP($A9,[24]HISTOAOUT24!$A$6:$AQ$42,22,0)</f>
        <v>0</v>
      </c>
      <c r="K9" s="36">
        <f>VLOOKUP($A9,[24]HISTOAOUT24!$A$6:$AU$38,45,0)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893805.20622596238</v>
      </c>
      <c r="G10" s="5">
        <f>IF(MVTJUIL24!I10+L10&gt;700000,(MVTJUIL24!I10-E10+L10),0)</f>
        <v>893805.20622596238</v>
      </c>
      <c r="H10" s="36">
        <f t="shared" si="0"/>
        <v>0</v>
      </c>
      <c r="I10" s="6">
        <f t="shared" si="2"/>
        <v>893805.20622596238</v>
      </c>
      <c r="J10" s="36">
        <f>VLOOKUP($A10,[24]HISTOAOUT24!$A$6:$AQ$42,22,0)</f>
        <v>0</v>
      </c>
      <c r="K10" s="36">
        <f>VLOOKUP($A10,[24]HISTOAOUT24!$A$6:$AU$38,45,0)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911855.82895949238</v>
      </c>
      <c r="G11" s="5">
        <f>IF(MVTJUIL24!I11+L11&gt;700000,(MVTJUIL24!I11-E11+L11),0)</f>
        <v>911855.82895949238</v>
      </c>
      <c r="H11" s="36">
        <f t="shared" si="0"/>
        <v>0</v>
      </c>
      <c r="I11" s="6">
        <f t="shared" si="2"/>
        <v>911855.82895949238</v>
      </c>
      <c r="J11" s="36">
        <f>VLOOKUP($A11,[24]HISTOAOUT24!$A$6:$AQ$42,22,0)</f>
        <v>0</v>
      </c>
      <c r="K11" s="36">
        <f>VLOOKUP($A11,[24]HISTOAOUT24!$A$6:$AU$38,45,0)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935100.14741339569</v>
      </c>
      <c r="G12" s="5">
        <f>IF(MVTJUIL24!I12+L12&gt;700000,(MVTJUIL24!I12-E12+L12),0)</f>
        <v>935100.14741339569</v>
      </c>
      <c r="H12" s="36">
        <f t="shared" si="0"/>
        <v>0</v>
      </c>
      <c r="I12" s="6">
        <f t="shared" si="2"/>
        <v>935100.14741339569</v>
      </c>
      <c r="J12" s="36">
        <f>VLOOKUP($A12,[24]HISTOAOUT24!$A$6:$AQ$42,22,0)</f>
        <v>0</v>
      </c>
      <c r="K12" s="36">
        <f>VLOOKUP($A12,[24]HISTOAOUT24!$A$6:$AU$38,45,0)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899555.14612214814</v>
      </c>
      <c r="G13" s="5">
        <f>IF(MVTJUIL24!I13+L13&gt;700000,(MVTJUIL24!I13-E13+L13),0)</f>
        <v>899555.14612214814</v>
      </c>
      <c r="H13" s="36">
        <f t="shared" si="0"/>
        <v>0</v>
      </c>
      <c r="I13" s="6">
        <f t="shared" si="2"/>
        <v>899555.14612214814</v>
      </c>
      <c r="J13" s="36">
        <f>VLOOKUP($A13,[24]HISTOAOUT24!$A$6:$AQ$42,22,0)</f>
        <v>0</v>
      </c>
      <c r="K13" s="36">
        <f>VLOOKUP($A13,[24]HISTOAOUT24!$A$6:$AU$38,45,0)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1452425.9823482623</v>
      </c>
      <c r="G14" s="5">
        <f>IF(MVTJUIL24!I14+L14&gt;700000,(MVTJUIL24!I14-E14+L14),0)</f>
        <v>1452425.9823482623</v>
      </c>
      <c r="H14" s="36">
        <f t="shared" si="0"/>
        <v>0</v>
      </c>
      <c r="I14" s="6">
        <f t="shared" si="2"/>
        <v>1452425.9823482623</v>
      </c>
      <c r="J14" s="36">
        <f>VLOOKUP($A14,[24]HISTOAOUT24!$A$6:$AQ$42,22,0)</f>
        <v>0</v>
      </c>
      <c r="K14" s="36">
        <f>VLOOKUP($A14,[24]HISTOAOUT24!$A$6:$AU$38,45,0)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961309.62153810938</v>
      </c>
      <c r="G15" s="5">
        <f>IF(MVTJUIL24!I15+L15&gt;700000,(MVTJUIL24!I15-E15+L15),0)</f>
        <v>961309.62153810938</v>
      </c>
      <c r="H15" s="36">
        <f t="shared" si="0"/>
        <v>0</v>
      </c>
      <c r="I15" s="6">
        <f t="shared" si="2"/>
        <v>961309.62153810938</v>
      </c>
      <c r="J15" s="36">
        <f>VLOOKUP($A15,[24]HISTOAOUT24!$A$6:$AQ$42,22,0)</f>
        <v>0</v>
      </c>
      <c r="K15" s="36">
        <f>VLOOKUP($A15,[24]HISTOAOUT24!$A$6:$AU$38,45,0)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1071858.7065070483</v>
      </c>
      <c r="G16" s="5">
        <f>IF(MVTJUIL24!I16+L16&gt;700000,(MVTJUIL24!I16-E16+L16),0)</f>
        <v>1071858.7065070483</v>
      </c>
      <c r="H16" s="36">
        <f t="shared" si="0"/>
        <v>0</v>
      </c>
      <c r="I16" s="6">
        <f t="shared" si="2"/>
        <v>1071858.7065070483</v>
      </c>
      <c r="J16" s="36">
        <f>VLOOKUP($A16,[24]HISTOAOUT24!$A$6:$AQ$42,22,0)</f>
        <v>0</v>
      </c>
      <c r="K16" s="36">
        <f>VLOOKUP($A16,[24]HISTOAOUT24!$A$6:$AU$38,45,0)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909402.7005255461</v>
      </c>
      <c r="G17" s="5">
        <f>IF(MVTJUIL24!I17+L17&gt;700000,(MVTJUIL24!I17-E17+L17),0)</f>
        <v>909402.7005255461</v>
      </c>
      <c r="H17" s="36">
        <f t="shared" si="0"/>
        <v>0</v>
      </c>
      <c r="I17" s="6">
        <f t="shared" si="2"/>
        <v>909402.7005255461</v>
      </c>
      <c r="J17" s="36">
        <f>VLOOKUP($A17,[24]HISTOAOUT24!$A$6:$AQ$42,22,0)</f>
        <v>0</v>
      </c>
      <c r="K17" s="36">
        <f>VLOOKUP($A17,[24]HISTOAOUT24!$A$6:$AU$38,45,0)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955662.76419736946</v>
      </c>
      <c r="G18" s="5">
        <f>IF(MVTJUIL24!I18+L18&gt;700000,(MVTJUIL24!I18-E18+L18),0)</f>
        <v>955662.76419736946</v>
      </c>
      <c r="H18" s="36">
        <f t="shared" si="0"/>
        <v>0</v>
      </c>
      <c r="I18" s="6">
        <f t="shared" si="2"/>
        <v>955662.76419736946</v>
      </c>
      <c r="J18" s="36">
        <f>VLOOKUP($A18,[24]HISTOAOUT24!$A$6:$AQ$42,22,0)</f>
        <v>0</v>
      </c>
      <c r="K18" s="36">
        <f>VLOOKUP($A18,[24]HISTOAOUT24!$A$6:$AU$38,45,0)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VLOOKUP($A20,[24]HISTOAOUT24!$A$6:$AQ$42,22,0)</f>
        <v>0</v>
      </c>
      <c r="K20" s="36">
        <f>VLOOKUP($A20,[24]HISTOAOUT24!$A$6:$AU$38,45,0)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932355.80062958295</v>
      </c>
      <c r="G21" s="5">
        <f>IF(MVTJUIL24!I21+L21&gt;700000,(MVTJUIL24!I21-E21+L21),0)</f>
        <v>932355.80062958295</v>
      </c>
      <c r="H21" s="36">
        <f t="shared" si="0"/>
        <v>0</v>
      </c>
      <c r="I21" s="6">
        <f t="shared" si="2"/>
        <v>932355.80062958295</v>
      </c>
      <c r="J21" s="36">
        <f>VLOOKUP($A21,[24]HISTOAOUT24!$A$6:$AQ$42,22,0)</f>
        <v>0</v>
      </c>
      <c r="K21" s="36">
        <f>VLOOKUP($A21,[24]HISTOAOUT24!$A$6:$AU$38,45,0)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900738.95952735876</v>
      </c>
      <c r="G22" s="5">
        <f>IF(MVTJUIL24!I22+L22&gt;700000,(MVTJUIL24!I22-E22+L22),0)</f>
        <v>900738.95952735876</v>
      </c>
      <c r="H22" s="36">
        <f t="shared" si="0"/>
        <v>0</v>
      </c>
      <c r="I22" s="6">
        <f t="shared" si="2"/>
        <v>900738.95952735876</v>
      </c>
      <c r="J22" s="36">
        <f>VLOOKUP($A22,[24]HISTOAOUT24!$A$6:$AQ$42,22,0)</f>
        <v>0</v>
      </c>
      <c r="K22" s="36">
        <f>VLOOKUP($A22,[24]HISTOAOUT24!$A$6:$AU$38,45,0)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1006674.3246731948</v>
      </c>
      <c r="G23" s="5">
        <f>IF(MVTJUIL24!I23+L23&gt;700000,(MVTJUIL24!I23-E23+L23),0)</f>
        <v>1006674.3246731948</v>
      </c>
      <c r="H23" s="36">
        <f t="shared" si="0"/>
        <v>0</v>
      </c>
      <c r="I23" s="6">
        <f t="shared" si="2"/>
        <v>1006674.3246731948</v>
      </c>
      <c r="J23" s="36">
        <f>VLOOKUP($A23,[24]HISTOAOUT24!$A$6:$AQ$42,22,0)</f>
        <v>0</v>
      </c>
      <c r="K23" s="36">
        <f>VLOOKUP($A23,[24]HISTOAOUT24!$A$6:$AU$38,45,0)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1179827.8441992993</v>
      </c>
      <c r="G24" s="5">
        <f>IF(MVTJUIL24!I24+L24&gt;700000,(MVTJUIL24!I24-E24+L24),0)</f>
        <v>1179827.8441992993</v>
      </c>
      <c r="H24" s="36">
        <f t="shared" si="0"/>
        <v>0</v>
      </c>
      <c r="I24" s="6">
        <f t="shared" si="2"/>
        <v>1179827.8441992993</v>
      </c>
      <c r="J24" s="36">
        <f>VLOOKUP($A24,[24]HISTOAOUT24!$A$6:$AQ$42,22,0)</f>
        <v>0</v>
      </c>
      <c r="K24" s="36">
        <f>VLOOKUP($A24,[24]HISTOAOUT24!$A$6:$AU$38,45,0)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991141.79504321574</v>
      </c>
      <c r="G25" s="5">
        <f>IF(MVTJUIL24!I25+L25&gt;700000,(MVTJUIL24!I25-E25+L25),0)</f>
        <v>991141.79504321574</v>
      </c>
      <c r="H25" s="36">
        <f t="shared" si="0"/>
        <v>0</v>
      </c>
      <c r="I25" s="6">
        <f t="shared" si="2"/>
        <v>991141.79504321574</v>
      </c>
      <c r="J25" s="36">
        <f>VLOOKUP($A25,[24]HISTOAOUT24!$A$6:$AQ$42,22,0)</f>
        <v>0</v>
      </c>
      <c r="K25" s="36">
        <f>VLOOKUP($A25,[24]HISTOAOUT24!$A$6:$AU$38,45,0)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VLOOKUP($A25,[24]HISTOAOUT24!$A$6:$AU$38,7,0)</f>
        <v>3000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919266.46813543816</v>
      </c>
      <c r="G26" s="5">
        <f>IF(MVTJUIL24!I26+L26&gt;700000,(MVTJUIL24!I26-E26+L26),0)</f>
        <v>919266.46813543816</v>
      </c>
      <c r="H26" s="36">
        <f t="shared" si="0"/>
        <v>0</v>
      </c>
      <c r="I26" s="6">
        <f t="shared" si="2"/>
        <v>919266.46813543816</v>
      </c>
      <c r="J26" s="36">
        <f>VLOOKUP($A26,[24]HISTOAOUT24!$A$6:$AQ$42,22,0)</f>
        <v>0</v>
      </c>
      <c r="K26" s="36">
        <f>VLOOKUP($A26,[24]HISTOAOUT24!$A$6:$AU$38,45,0)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919824.17371512204</v>
      </c>
      <c r="G27" s="5">
        <f>IF(MVTJUIL24!I27+L27&gt;700000,(MVTJUIL24!I27-E27+L27),0)</f>
        <v>919824.17371512204</v>
      </c>
      <c r="H27" s="36">
        <f t="shared" si="0"/>
        <v>0</v>
      </c>
      <c r="I27" s="6">
        <f t="shared" si="2"/>
        <v>919824.17371512204</v>
      </c>
      <c r="J27" s="36">
        <f>VLOOKUP($A27,[24]HISTOAOUT24!$A$6:$AQ$42,22,0)</f>
        <v>0</v>
      </c>
      <c r="K27" s="36">
        <f>VLOOKUP($A27,[24]HISTOAOUT24!$A$6:$AU$38,45,0)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821176.12513194664</v>
      </c>
      <c r="G28" s="5">
        <f>IF(MVTJUIL24!I28+L28&gt;700000,(MVTJUIL24!I28-E28+L28),0)</f>
        <v>821176.12513194664</v>
      </c>
      <c r="H28" s="36">
        <f t="shared" si="0"/>
        <v>0</v>
      </c>
      <c r="I28" s="6">
        <f t="shared" si="2"/>
        <v>821176.12513194664</v>
      </c>
      <c r="J28" s="36">
        <f>VLOOKUP($A28,[24]HISTOAOUT24!$A$6:$AQ$42,22,0)</f>
        <v>0</v>
      </c>
      <c r="K28" s="36">
        <f>VLOOKUP($A28,[24]HISTOAOUT24!$A$6:$AU$38,45,0)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946151.34423741512</v>
      </c>
      <c r="G29" s="5">
        <f>IF(MVTJUIL24!I29+L29&gt;700000,(MVTJUIL24!I29-E29+L29),0)</f>
        <v>946151.34423741512</v>
      </c>
      <c r="H29" s="36">
        <f t="shared" si="0"/>
        <v>0</v>
      </c>
      <c r="I29" s="6">
        <f t="shared" si="2"/>
        <v>946151.34423741512</v>
      </c>
      <c r="J29" s="36">
        <f>VLOOKUP($A29,[24]HISTOAOUT24!$A$6:$AQ$42,22,0)</f>
        <v>0</v>
      </c>
      <c r="K29" s="36">
        <f>VLOOKUP($A29,[24]HISTOAOUT24!$A$6:$AU$38,45,0)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850786.81046782702</v>
      </c>
      <c r="G30" s="5">
        <f>IF(MVTJUIL24!I30+L30&gt;700000,(MVTJUIL24!I30-E30+L30),0)</f>
        <v>850786.81046782702</v>
      </c>
      <c r="H30" s="36">
        <f t="shared" si="0"/>
        <v>0</v>
      </c>
      <c r="I30" s="6">
        <f t="shared" si="2"/>
        <v>850786.81046782702</v>
      </c>
      <c r="J30" s="36">
        <f>VLOOKUP($A30,[24]HISTOAOUT24!$A$6:$AQ$42,22,0)</f>
        <v>0</v>
      </c>
      <c r="K30" s="36">
        <f>VLOOKUP($A30,[24]HISTOAOUT24!$A$6:$AU$38,45,0)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1010903.0311481348</v>
      </c>
      <c r="G31" s="5">
        <f>IF(MVTJUIL24!I31+L31&gt;700000,(MVTJUIL24!I31-E31+L31),0)</f>
        <v>1010903.0311481348</v>
      </c>
      <c r="H31" s="36">
        <f t="shared" si="0"/>
        <v>0</v>
      </c>
      <c r="I31" s="6">
        <f t="shared" si="2"/>
        <v>1010903.0311481348</v>
      </c>
      <c r="J31" s="36">
        <f>VLOOKUP($A31,[24]HISTOAOUT24!$A$6:$AQ$42,22,0)</f>
        <v>0</v>
      </c>
      <c r="K31" s="36">
        <f>VLOOKUP($A31,[24]HISTOAOUT24!$A$6:$AU$38,45,0)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900243.98131057119</v>
      </c>
      <c r="G32" s="5">
        <f>IF(MVTJUIL24!I32+L32&gt;700000,(MVTJUIL24!I32-E32+L32),0)</f>
        <v>900243.98131057119</v>
      </c>
      <c r="H32" s="36">
        <f t="shared" si="0"/>
        <v>0</v>
      </c>
      <c r="I32" s="6">
        <f t="shared" si="2"/>
        <v>900243.98131057119</v>
      </c>
      <c r="J32" s="36">
        <f>VLOOKUP($A32,[24]HISTOAOUT24!$A$6:$AQ$42,22,0)</f>
        <v>0</v>
      </c>
      <c r="K32" s="36">
        <f>VLOOKUP($A32,[24]HISTOAOUT24!$A$6:$AU$38,45,0)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900552.64928596013</v>
      </c>
      <c r="G33" s="5">
        <f>IF(MVTJUIL24!I33+L33&gt;700000,(MVTJUIL24!I33-E33+L33),0)</f>
        <v>900552.64928596013</v>
      </c>
      <c r="H33" s="36">
        <f t="shared" si="0"/>
        <v>0</v>
      </c>
      <c r="I33" s="6">
        <f t="shared" si="2"/>
        <v>900552.64928596013</v>
      </c>
      <c r="J33" s="36">
        <f>VLOOKUP($A33,[24]HISTOAOUT24!$A$6:$AQ$42,22,0)</f>
        <v>0</v>
      </c>
      <c r="K33" s="36">
        <f>VLOOKUP($A33,[24]HISTOAOUT24!$A$6:$AU$38,45,0)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557000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557000</v>
      </c>
      <c r="J34" s="36">
        <f>VLOOKUP($A34,[24]HISTOAOUT24!$A$6:$AQ$42,22,0)</f>
        <v>0</v>
      </c>
      <c r="K34" s="36">
        <f>VLOOKUP($A34,[24]HISTOAOUT24!$A$6:$AU$38,45,0)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252000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252000</v>
      </c>
      <c r="J35" s="36">
        <f>VLOOKUP($A35,[24]HISTOAOUT24!$A$6:$AQ$42,22,0)</f>
        <v>0</v>
      </c>
      <c r="K35" s="36">
        <f>VLOOKUP($A35,[24]HISTOAOUT24!$A$6:$AU$38,45,0)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VLOOKUP($A35,[24]HISTOAOUT24!$A$6:$AU$38,7,0)</f>
        <v>3000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937599.08181867818</v>
      </c>
      <c r="G36" s="5">
        <f>IF(MVTJUIL24!I36+L36&gt;700000,(MVTJUIL24!I36-E36+L36),0)</f>
        <v>937599.08181867818</v>
      </c>
      <c r="H36" s="36">
        <f t="shared" si="0"/>
        <v>0</v>
      </c>
      <c r="I36" s="6">
        <f t="shared" si="2"/>
        <v>937599.08181867818</v>
      </c>
      <c r="J36" s="36">
        <f>VLOOKUP($A36,[24]HISTOAOUT24!$A$6:$AQ$42,22,0)</f>
        <v>0</v>
      </c>
      <c r="K36" s="36">
        <f>VLOOKUP($A36,[24]HISTOAOUT24!$A$6:$AU$38,45,0)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1970400.7147676253</v>
      </c>
      <c r="G37" s="5">
        <f>IF(MVTJUIL24!I37+L37&gt;700000,(MVTJUIL24!I37-E37+L37),0)</f>
        <v>1970400.7147676253</v>
      </c>
      <c r="H37" s="36">
        <f t="shared" si="0"/>
        <v>0</v>
      </c>
      <c r="I37" s="6">
        <f t="shared" si="2"/>
        <v>1970400.7147676253</v>
      </c>
      <c r="J37" s="36">
        <f>VLOOKUP($A37,[24]HISTOAOUT24!$A$6:$AQ$42,22,0)</f>
        <v>0</v>
      </c>
      <c r="K37" s="36">
        <f>VLOOKUP($A37,[24]HISTOAOUT24!$A$6:$AU$38,45,0)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VLOOKUP($A37,[24]HISTOAOUT24!$A$6:$AU$38,7,0)</f>
        <v>3000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VLOOKUP($A38,[24]HISTOAOUT24!$A$6:$AQ$42,22,0)</f>
        <v>0</v>
      </c>
      <c r="K38" s="36">
        <f>VLOOKUP($A38,[24]HISTOAOUT24!$A$6:$AU$38,45,0)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2135313.2142100567</v>
      </c>
      <c r="G39" s="5">
        <f>IF(MVTJUIL24!I39+L39&gt;700000,(MVTJUIL24!I39-E39+L39),0)</f>
        <v>2135313.2142100567</v>
      </c>
      <c r="H39" s="36">
        <f t="shared" si="0"/>
        <v>0</v>
      </c>
      <c r="I39" s="6">
        <f t="shared" si="2"/>
        <v>2135313.2142100567</v>
      </c>
      <c r="J39" s="36">
        <f>VLOOKUP($A39,[24]HISTOAOUT24!$A$6:$AQ$42,22,0)</f>
        <v>0</v>
      </c>
      <c r="K39" s="36">
        <f>VLOOKUP($A39,[24]HISTOAOUT24!$A$6:$AU$38,45,0)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31752656.655274987</v>
      </c>
      <c r="G41" s="9">
        <f t="shared" si="10"/>
        <v>29963439.524547949</v>
      </c>
      <c r="H41" s="36">
        <f t="shared" si="10"/>
        <v>0</v>
      </c>
      <c r="I41" s="9">
        <f t="shared" si="10"/>
        <v>31752656.655274987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45582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VLOOKUP($A6,[24]HISTOOCT24!$A$6:$BA$38,48,0)</f>
        <v>0</v>
      </c>
      <c r="F6" s="36">
        <f>MVTSEPT24!I6-E6+L6</f>
        <v>946220.58968855068</v>
      </c>
      <c r="G6" s="5">
        <f>IF(MVTSEPT24!I6+L6&gt;700000,(MVTSEPT24!I6-E6+L6),0)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VLOOKUP($A6,[24]HISTOOCT24!$A$6:$AQ$42,22,0)</f>
        <v>0</v>
      </c>
      <c r="K6" s="36">
        <f>VLOOKUP($A6,[24]HISTOOCT24!$A$6:$AU$38,45,0)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VLOOKUP($A6,[24]HISTOOCT24!$A$6:$AU$38,7,0)</f>
        <v>0</v>
      </c>
      <c r="Q6" s="36">
        <f>VLOOKUP($A6,[24]HISTOOCT24!$A$6:$AU$38,23,0)</f>
        <v>0</v>
      </c>
      <c r="R6" s="36">
        <f>VLOOKUP($A6,[24]HISTOOCT24!$A$6:$AU$38,46,0)</f>
        <v>0</v>
      </c>
      <c r="S6" s="36">
        <f>VLOOKUP($A6,[24]HISTOOCT24!$A$6:$AU$38,26,0)</f>
        <v>0</v>
      </c>
      <c r="T6" s="36">
        <f>VLOOKUP($A6,[24]HISTOOCT24!$A$6:$BG$38,58,0)</f>
        <v>0</v>
      </c>
      <c r="U6" s="36">
        <f>VLOOKUP($A6,[24]HISTOOCT24!$A$6:$AU$38,28,0)</f>
        <v>0</v>
      </c>
      <c r="V6" s="36">
        <f>VLOOKUP($A6,[24]HISTOOCT24!$A$6:$AU$38,19,0)</f>
        <v>0</v>
      </c>
      <c r="W6" s="36">
        <f>VLOOKUP($A6,[24]HISTOOCT24!$A$6:$AU$38,20,0)</f>
        <v>0</v>
      </c>
      <c r="X6" s="36">
        <f>VLOOKUP($A6,[24]HISTOOCT24!$A$6:$AU$38,27,0)</f>
        <v>0</v>
      </c>
      <c r="Y6" s="36">
        <f>VLOOKUP($A6,[24]HISTOOCT24!$A$6:$BM$38,33,0)</f>
        <v>0</v>
      </c>
      <c r="Z6" s="36">
        <f>VLOOKUP($A6,[24]HISTOOCT24!$A$6:$BM$38,65,0)</f>
        <v>0</v>
      </c>
      <c r="AA6" s="36"/>
      <c r="AB6" s="36">
        <f>VLOOKUP($A6,[24]HISTOOCT24!$A$6:$AU$38,43,0)</f>
        <v>0</v>
      </c>
      <c r="AC6" s="36">
        <f>VLOOKUP($A6,[24]HISTOOCT24!$A$6:$AU$38,44,0)</f>
        <v>0</v>
      </c>
      <c r="AD6" s="36">
        <f>VLOOKUP($A6,[24]HISTOOCT24!$A$6:$AU$38,47,0)</f>
        <v>0</v>
      </c>
      <c r="AE6" s="36">
        <f>VLOOKUP(A6,[24]HISTOOCT24!$A$6:$BB$38,54,0)</f>
        <v>0</v>
      </c>
      <c r="AF6" s="36">
        <f>VLOOKUP($A6,[24]HISTOOCT24!$A$6:$CA$38,60,0)</f>
        <v>0</v>
      </c>
      <c r="AG6" s="36">
        <f>VLOOKUP($A6,[24]HISTOOCT24!$A$6:$CA$38,61,0)</f>
        <v>0</v>
      </c>
      <c r="AH6" s="36">
        <f>VLOOKUP($A6,[24]HISTOOCT24!$A$6:$CA$38,62,0)</f>
        <v>0</v>
      </c>
      <c r="AI6" s="36">
        <f>VLOOKUP($A6,[24]HISTOOCT24!$A$6:$CA$38,63,0)</f>
        <v>0</v>
      </c>
      <c r="AJ6" s="36">
        <f>VLOOKUP($A6,[24]HISTOOCT24!$A$6:$CA$38,64,0)</f>
        <v>0</v>
      </c>
      <c r="AK6" s="36">
        <f>VLOOKUP($A6,[24]HISTOOCT24!$A$6:$CA$38,65,0)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VLOOKUP($A7,[24]HISTOOCT24!$A$6:$BA$38,48,0)</f>
        <v>0</v>
      </c>
      <c r="F7" s="36">
        <f>MVTSEPT24!I7-E7+L7</f>
        <v>890791.19348721951</v>
      </c>
      <c r="G7" s="5">
        <f>IF(MVTSEPT24!I7+L7&gt;700000,(MVTSEPT24!I7-E7+L7),0)</f>
        <v>890791.19348721951</v>
      </c>
      <c r="H7" s="36">
        <f t="shared" si="0"/>
        <v>0</v>
      </c>
      <c r="I7" s="6">
        <f t="shared" ref="I7:I39" si="2">F7+H7</f>
        <v>890791.19348721951</v>
      </c>
      <c r="J7" s="36">
        <f>VLOOKUP($A7,[24]HISTOOCT24!$A$6:$AQ$42,22,0)</f>
        <v>0</v>
      </c>
      <c r="K7" s="36">
        <f>VLOOKUP($A7,[24]HISTOOCT24!$A$6:$AU$38,45,0)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VLOOKUP($A7,[24]HISTOOCT24!$A$6:$AU$38,7,0)</f>
        <v>3000</v>
      </c>
      <c r="Q7" s="36">
        <f>VLOOKUP($A7,[24]HISTOOCT24!$A$6:$AU$38,23,0)</f>
        <v>0</v>
      </c>
      <c r="R7" s="36">
        <f>VLOOKUP($A7,[24]HISTOOCT24!$A$6:$AU$38,46,0)</f>
        <v>0</v>
      </c>
      <c r="S7" s="36">
        <f>VLOOKUP($A7,[24]HISTOOCT24!$A$6:$AU$38,26,0)</f>
        <v>0</v>
      </c>
      <c r="T7" s="36">
        <f>VLOOKUP($A7,[24]HISTOOCT24!$A$6:$BG$38,58,0)</f>
        <v>0</v>
      </c>
      <c r="U7" s="36">
        <f>VLOOKUP($A7,[24]HISTOOCT24!$A$6:$AU$38,28,0)</f>
        <v>0</v>
      </c>
      <c r="V7" s="36">
        <f>VLOOKUP($A7,[24]HISTOOCT24!$A$6:$AU$38,19,0)</f>
        <v>0</v>
      </c>
      <c r="W7" s="36">
        <f>VLOOKUP($A7,[24]HISTOOCT24!$A$6:$AU$38,20,0)</f>
        <v>0</v>
      </c>
      <c r="X7" s="36">
        <f>VLOOKUP($A7,[24]HISTOOCT24!$A$6:$AU$38,27,0)</f>
        <v>0</v>
      </c>
      <c r="Y7" s="36">
        <f>VLOOKUP($A7,[24]HISTOOCT24!$A$6:$BM$38,33,0)</f>
        <v>0</v>
      </c>
      <c r="Z7" s="36">
        <f>VLOOKUP($A7,[24]HISTOOCT24!$A$6:$BM$38,65,0)</f>
        <v>0</v>
      </c>
      <c r="AA7" s="36"/>
      <c r="AB7" s="36">
        <f>VLOOKUP($A7,[24]HISTOOCT24!$A$6:$AU$38,43,0)</f>
        <v>0</v>
      </c>
      <c r="AC7" s="36">
        <f>VLOOKUP($A7,[24]HISTOOCT24!$A$6:$AU$38,44,0)</f>
        <v>0</v>
      </c>
      <c r="AD7" s="36">
        <f>VLOOKUP($A7,[24]HISTOOCT24!$A$6:$AU$38,47,0)</f>
        <v>0</v>
      </c>
      <c r="AE7" s="36">
        <f>VLOOKUP(A7,[24]HISTOOCT24!$A$6:$BB$38,54,0)</f>
        <v>0</v>
      </c>
      <c r="AF7" s="36">
        <f>VLOOKUP($A7,[24]HISTOOCT24!$A$6:$CA$38,60,0)</f>
        <v>0</v>
      </c>
      <c r="AG7" s="36">
        <f>VLOOKUP($A7,[24]HISTOOCT24!$A$6:$CA$38,61,0)</f>
        <v>0</v>
      </c>
      <c r="AH7" s="36">
        <f>VLOOKUP($A7,[24]HISTOOCT24!$A$6:$CA$38,62,0)</f>
        <v>0</v>
      </c>
      <c r="AI7" s="36">
        <f>VLOOKUP($A7,[24]HISTOOCT24!$A$6:$CA$38,63,0)</f>
        <v>0</v>
      </c>
      <c r="AJ7" s="36">
        <f>VLOOKUP($A7,[24]HISTOOCT24!$A$6:$CA$38,64,0)</f>
        <v>0</v>
      </c>
      <c r="AK7" s="36">
        <f>VLOOKUP($A7,[24]HISTOOCT24!$A$6:$CA$38,65,0)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VLOOKUP($A8,[24]HISTOOCT24!$A$6:$BA$38,48,0)</f>
        <v>0</v>
      </c>
      <c r="F8" s="36">
        <f>MVTSEPT24!I8-E8+L8</f>
        <v>934533.31236524263</v>
      </c>
      <c r="G8" s="5">
        <f>IF(MVTSEPT24!I8+L8&gt;700000,(MVTSEPT24!I8-E8+L8),0)</f>
        <v>934533.31236524263</v>
      </c>
      <c r="H8" s="36">
        <f t="shared" si="0"/>
        <v>0</v>
      </c>
      <c r="I8" s="6">
        <f t="shared" si="2"/>
        <v>934533.31236524263</v>
      </c>
      <c r="J8" s="36">
        <f>VLOOKUP($A8,[24]HISTOOCT24!$A$6:$AQ$42,22,0)</f>
        <v>0</v>
      </c>
      <c r="K8" s="36">
        <f>VLOOKUP($A8,[24]HISTOOCT24!$A$6:$AU$38,45,0)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VLOOKUP($A8,[24]HISTOOCT24!$A$6:$AU$38,7,0)</f>
        <v>0</v>
      </c>
      <c r="Q8" s="36">
        <f>VLOOKUP($A8,[24]HISTOOCT24!$A$6:$AU$38,23,0)</f>
        <v>0</v>
      </c>
      <c r="R8" s="36">
        <f>VLOOKUP($A8,[24]HISTOOCT24!$A$6:$AU$38,46,0)</f>
        <v>0</v>
      </c>
      <c r="S8" s="36">
        <f>VLOOKUP($A8,[24]HISTOOCT24!$A$6:$AU$38,26,0)</f>
        <v>0</v>
      </c>
      <c r="T8" s="36">
        <f>VLOOKUP($A8,[24]HISTOOCT24!$A$6:$BG$38,58,0)</f>
        <v>0</v>
      </c>
      <c r="U8" s="36">
        <f>VLOOKUP($A8,[24]HISTOOCT24!$A$6:$AU$38,28,0)</f>
        <v>0</v>
      </c>
      <c r="V8" s="36">
        <f>VLOOKUP($A8,[24]HISTOOCT24!$A$6:$AU$38,19,0)</f>
        <v>0</v>
      </c>
      <c r="W8" s="36">
        <f>VLOOKUP($A8,[24]HISTOOCT24!$A$6:$AU$38,20,0)</f>
        <v>0</v>
      </c>
      <c r="X8" s="36">
        <f>VLOOKUP($A8,[24]HISTOOCT24!$A$6:$AU$38,27,0)</f>
        <v>0</v>
      </c>
      <c r="Y8" s="36">
        <f>VLOOKUP($A8,[24]HISTOOCT24!$A$6:$BM$38,33,0)</f>
        <v>0</v>
      </c>
      <c r="Z8" s="36">
        <f>VLOOKUP($A8,[24]HISTOOCT24!$A$6:$BM$38,65,0)</f>
        <v>0</v>
      </c>
      <c r="AA8" s="36"/>
      <c r="AB8" s="36">
        <f>VLOOKUP($A8,[24]HISTOOCT24!$A$6:$AU$38,43,0)</f>
        <v>0</v>
      </c>
      <c r="AC8" s="36">
        <f>VLOOKUP($A8,[24]HISTOOCT24!$A$6:$AU$38,44,0)</f>
        <v>0</v>
      </c>
      <c r="AD8" s="36">
        <f>VLOOKUP($A8,[24]HISTOOCT24!$A$6:$AU$38,47,0)</f>
        <v>0</v>
      </c>
      <c r="AE8" s="36">
        <f>VLOOKUP(A8,[24]HISTOOCT24!$A$6:$BB$38,54,0)</f>
        <v>0</v>
      </c>
      <c r="AF8" s="36">
        <f>VLOOKUP($A8,[24]HISTOOCT24!$A$6:$CA$38,60,0)</f>
        <v>0</v>
      </c>
      <c r="AG8" s="36">
        <f>VLOOKUP($A8,[24]HISTOOCT24!$A$6:$CA$38,61,0)</f>
        <v>0</v>
      </c>
      <c r="AH8" s="36">
        <f>VLOOKUP($A8,[24]HISTOOCT24!$A$6:$CA$38,62,0)</f>
        <v>0</v>
      </c>
      <c r="AI8" s="36">
        <f>VLOOKUP($A8,[24]HISTOOCT24!$A$6:$CA$38,63,0)</f>
        <v>0</v>
      </c>
      <c r="AJ8" s="36">
        <f>VLOOKUP($A8,[24]HISTOOCT24!$A$6:$CA$38,64,0)</f>
        <v>0</v>
      </c>
      <c r="AK8" s="36">
        <f>VLOOKUP($A8,[24]HISTOOCT24!$A$6:$CA$38,65,0)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VLOOKUP($A9,[24]HISTOOCT24!$A$6:$BA$38,48,0)</f>
        <v>0</v>
      </c>
      <c r="F9" s="36">
        <f>MVTSEPT24!I9-E9+L9</f>
        <v>991962.00686817756</v>
      </c>
      <c r="G9" s="5">
        <f>IF(MVTSEPT24!I9+L9&gt;700000,(MVTSEPT24!I9-E9+L9),0)</f>
        <v>991962.00686817756</v>
      </c>
      <c r="H9" s="36">
        <f t="shared" si="0"/>
        <v>0</v>
      </c>
      <c r="I9" s="6">
        <f t="shared" si="2"/>
        <v>991962.00686817756</v>
      </c>
      <c r="J9" s="36">
        <f>VLOOKUP($A9,[24]HISTOOCT24!$A$6:$AQ$42,22,0)</f>
        <v>0</v>
      </c>
      <c r="K9" s="36">
        <f>VLOOKUP($A9,[24]HISTOOCT24!$A$6:$AU$38,45,0)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VLOOKUP($A9,[24]HISTOOCT24!$A$6:$AU$38,7,0)</f>
        <v>0</v>
      </c>
      <c r="Q9" s="36">
        <f>VLOOKUP($A9,[24]HISTOOCT24!$A$6:$AU$38,23,0)</f>
        <v>0</v>
      </c>
      <c r="R9" s="36">
        <f>VLOOKUP($A9,[24]HISTOOCT24!$A$6:$AU$38,46,0)</f>
        <v>0</v>
      </c>
      <c r="S9" s="36">
        <f>VLOOKUP($A9,[24]HISTOOCT24!$A$6:$AU$38,26,0)</f>
        <v>0</v>
      </c>
      <c r="T9" s="36">
        <f>VLOOKUP($A9,[24]HISTOOCT24!$A$6:$BG$38,58,0)</f>
        <v>0</v>
      </c>
      <c r="U9" s="36">
        <f>VLOOKUP($A9,[24]HISTOOCT24!$A$6:$AU$38,28,0)</f>
        <v>0</v>
      </c>
      <c r="V9" s="36">
        <f>VLOOKUP($A9,[24]HISTOOCT24!$A$6:$AU$38,19,0)</f>
        <v>0</v>
      </c>
      <c r="W9" s="36">
        <f>VLOOKUP($A9,[24]HISTOOCT24!$A$6:$AU$38,20,0)</f>
        <v>0</v>
      </c>
      <c r="X9" s="36">
        <f>VLOOKUP($A9,[24]HISTOOCT24!$A$6:$AU$38,27,0)</f>
        <v>0</v>
      </c>
      <c r="Y9" s="36">
        <f>VLOOKUP($A9,[24]HISTOOCT24!$A$6:$BM$38,33,0)</f>
        <v>0</v>
      </c>
      <c r="Z9" s="36">
        <f>VLOOKUP($A9,[24]HISTOOCT24!$A$6:$BM$38,65,0)</f>
        <v>0</v>
      </c>
      <c r="AA9" s="36"/>
      <c r="AB9" s="36">
        <f>VLOOKUP($A9,[24]HISTOOCT24!$A$6:$AU$38,43,0)</f>
        <v>0</v>
      </c>
      <c r="AC9" s="36">
        <f>VLOOKUP($A9,[24]HISTOOCT24!$A$6:$AU$38,44,0)</f>
        <v>0</v>
      </c>
      <c r="AD9" s="36">
        <f>VLOOKUP($A9,[24]HISTOOCT24!$A$6:$AU$38,47,0)</f>
        <v>0</v>
      </c>
      <c r="AE9" s="36">
        <f>VLOOKUP(A9,[24]HISTOOCT24!$A$6:$BB$38,54,0)</f>
        <v>0</v>
      </c>
      <c r="AF9" s="36">
        <f>VLOOKUP($A9,[24]HISTOOCT24!$A$6:$CA$38,60,0)</f>
        <v>0</v>
      </c>
      <c r="AG9" s="36">
        <f>VLOOKUP($A9,[24]HISTOOCT24!$A$6:$CA$38,61,0)</f>
        <v>0</v>
      </c>
      <c r="AH9" s="36">
        <f>VLOOKUP($A9,[24]HISTOOCT24!$A$6:$CA$38,62,0)</f>
        <v>0</v>
      </c>
      <c r="AI9" s="36">
        <f>VLOOKUP($A9,[24]HISTOOCT24!$A$6:$CA$38,63,0)</f>
        <v>0</v>
      </c>
      <c r="AJ9" s="36">
        <f>VLOOKUP($A9,[24]HISTOOCT24!$A$6:$CA$38,64,0)</f>
        <v>0</v>
      </c>
      <c r="AK9" s="36">
        <f>VLOOKUP($A9,[24]HISTOOCT24!$A$6:$CA$38,65,0)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VLOOKUP($A10,[24]HISTOOCT24!$A$6:$BA$38,48,0)</f>
        <v>0</v>
      </c>
      <c r="F10" s="36">
        <f>MVTSEPT24!I10-E10+L10</f>
        <v>931805.20622596238</v>
      </c>
      <c r="G10" s="5">
        <f>IF(MVTSEPT24!I10+L10&gt;700000,(MVTSEPT24!I10-E10+L10),0)</f>
        <v>931805.20622596238</v>
      </c>
      <c r="H10" s="36">
        <f t="shared" si="0"/>
        <v>0</v>
      </c>
      <c r="I10" s="6">
        <f t="shared" si="2"/>
        <v>931805.20622596238</v>
      </c>
      <c r="J10" s="36">
        <f>VLOOKUP($A10,[24]HISTOOCT24!$A$6:$AQ$42,22,0)</f>
        <v>0</v>
      </c>
      <c r="K10" s="36">
        <f>VLOOKUP($A10,[24]HISTOOCT24!$A$6:$AU$38,45,0)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VLOOKUP($A10,[24]HISTOOCT24!$A$6:$AU$38,7,0)</f>
        <v>0</v>
      </c>
      <c r="Q10" s="36">
        <f>VLOOKUP($A10,[24]HISTOOCT24!$A$6:$AU$38,23,0)</f>
        <v>0</v>
      </c>
      <c r="R10" s="36">
        <f>VLOOKUP($A10,[24]HISTOOCT24!$A$6:$AU$38,46,0)</f>
        <v>0</v>
      </c>
      <c r="S10" s="36">
        <f>VLOOKUP($A10,[24]HISTOOCT24!$A$6:$AU$38,26,0)</f>
        <v>0</v>
      </c>
      <c r="T10" s="36">
        <f>VLOOKUP($A10,[24]HISTOOCT24!$A$6:$BG$38,58,0)</f>
        <v>0</v>
      </c>
      <c r="U10" s="36">
        <f>VLOOKUP($A10,[24]HISTOOCT24!$A$6:$AU$38,28,0)</f>
        <v>0</v>
      </c>
      <c r="V10" s="36">
        <f>VLOOKUP($A10,[24]HISTOOCT24!$A$6:$AU$38,19,0)</f>
        <v>0</v>
      </c>
      <c r="W10" s="36">
        <f>VLOOKUP($A10,[24]HISTOOCT24!$A$6:$AU$38,20,0)</f>
        <v>0</v>
      </c>
      <c r="X10" s="36">
        <f>VLOOKUP($A10,[24]HISTOOCT24!$A$6:$AU$38,27,0)</f>
        <v>0</v>
      </c>
      <c r="Y10" s="36">
        <f>VLOOKUP($A10,[24]HISTOOCT24!$A$6:$BM$38,33,0)</f>
        <v>0</v>
      </c>
      <c r="Z10" s="36">
        <f>VLOOKUP($A10,[24]HISTOOCT24!$A$6:$BM$38,65,0)</f>
        <v>0</v>
      </c>
      <c r="AA10" s="36"/>
      <c r="AB10" s="36">
        <f>VLOOKUP($A10,[24]HISTOOCT24!$A$6:$AU$38,43,0)</f>
        <v>0</v>
      </c>
      <c r="AC10" s="36">
        <f>VLOOKUP($A10,[24]HISTOOCT24!$A$6:$AU$38,44,0)</f>
        <v>0</v>
      </c>
      <c r="AD10" s="36">
        <f>VLOOKUP($A10,[24]HISTOOCT24!$A$6:$AU$38,47,0)</f>
        <v>0</v>
      </c>
      <c r="AE10" s="36">
        <f>VLOOKUP(A10,[24]HISTOOCT24!$A$6:$BB$38,54,0)</f>
        <v>0</v>
      </c>
      <c r="AF10" s="36">
        <f>VLOOKUP($A10,[24]HISTOOCT24!$A$6:$CA$38,60,0)</f>
        <v>0</v>
      </c>
      <c r="AG10" s="36">
        <f>VLOOKUP($A10,[24]HISTOOCT24!$A$6:$CA$38,61,0)</f>
        <v>0</v>
      </c>
      <c r="AH10" s="36">
        <f>VLOOKUP($A10,[24]HISTOOCT24!$A$6:$CA$38,62,0)</f>
        <v>0</v>
      </c>
      <c r="AI10" s="36">
        <f>VLOOKUP($A10,[24]HISTOOCT24!$A$6:$CA$38,63,0)</f>
        <v>0</v>
      </c>
      <c r="AJ10" s="36">
        <f>VLOOKUP($A10,[24]HISTOOCT24!$A$6:$CA$38,64,0)</f>
        <v>0</v>
      </c>
      <c r="AK10" s="36">
        <f>VLOOKUP($A10,[24]HISTOOCT24!$A$6:$CA$38,65,0)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VLOOKUP($A11,[24]HISTOOCT24!$A$6:$BA$38,48,0)</f>
        <v>0</v>
      </c>
      <c r="F11" s="36">
        <f>MVTSEPT24!I11-E11+L11</f>
        <v>949855.82895949238</v>
      </c>
      <c r="G11" s="5">
        <f>IF(MVTSEPT24!I11+L11&gt;700000,(MVTSEPT24!I11-E11+L11),0)</f>
        <v>949855.82895949238</v>
      </c>
      <c r="H11" s="36">
        <f t="shared" si="0"/>
        <v>0</v>
      </c>
      <c r="I11" s="6">
        <f t="shared" si="2"/>
        <v>949855.82895949238</v>
      </c>
      <c r="J11" s="36">
        <f>VLOOKUP($A11,[24]HISTOOCT24!$A$6:$AQ$42,22,0)</f>
        <v>0</v>
      </c>
      <c r="K11" s="36">
        <f>VLOOKUP($A11,[24]HISTOOCT24!$A$6:$AU$38,45,0)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VLOOKUP($A11,[24]HISTOOCT24!$A$6:$AU$38,7,0)</f>
        <v>0</v>
      </c>
      <c r="Q11" s="36">
        <f>VLOOKUP($A11,[24]HISTOOCT24!$A$6:$AU$38,23,0)</f>
        <v>0</v>
      </c>
      <c r="R11" s="36">
        <f>VLOOKUP($A11,[24]HISTOOCT24!$A$6:$AU$38,46,0)</f>
        <v>0</v>
      </c>
      <c r="S11" s="36">
        <f>VLOOKUP($A11,[24]HISTOOCT24!$A$6:$AU$38,26,0)</f>
        <v>0</v>
      </c>
      <c r="T11" s="36">
        <f>VLOOKUP($A11,[24]HISTOOCT24!$A$6:$BG$38,58,0)</f>
        <v>0</v>
      </c>
      <c r="U11" s="36">
        <f>VLOOKUP($A11,[24]HISTOOCT24!$A$6:$AU$38,28,0)</f>
        <v>0</v>
      </c>
      <c r="V11" s="36">
        <f>VLOOKUP($A11,[24]HISTOOCT24!$A$6:$AU$38,19,0)</f>
        <v>0</v>
      </c>
      <c r="W11" s="36">
        <f>VLOOKUP($A11,[24]HISTOOCT24!$A$6:$AU$38,20,0)</f>
        <v>0</v>
      </c>
      <c r="X11" s="36">
        <f>VLOOKUP($A11,[24]HISTOOCT24!$A$6:$AU$38,27,0)</f>
        <v>0</v>
      </c>
      <c r="Y11" s="36">
        <f>VLOOKUP($A11,[24]HISTOOCT24!$A$6:$BM$38,33,0)</f>
        <v>0</v>
      </c>
      <c r="Z11" s="36">
        <f>VLOOKUP($A11,[24]HISTOOCT24!$A$6:$BM$38,65,0)</f>
        <v>0</v>
      </c>
      <c r="AA11" s="36"/>
      <c r="AB11" s="36">
        <f>VLOOKUP($A11,[24]HISTOOCT24!$A$6:$AU$38,43,0)</f>
        <v>0</v>
      </c>
      <c r="AC11" s="36">
        <f>VLOOKUP($A11,[24]HISTOOCT24!$A$6:$AU$38,44,0)</f>
        <v>0</v>
      </c>
      <c r="AD11" s="36">
        <f>VLOOKUP($A11,[24]HISTOOCT24!$A$6:$AU$38,47,0)</f>
        <v>0</v>
      </c>
      <c r="AE11" s="36">
        <f>VLOOKUP(A11,[24]HISTOOCT24!$A$6:$BB$38,54,0)</f>
        <v>0</v>
      </c>
      <c r="AF11" s="36">
        <f>VLOOKUP($A11,[24]HISTOOCT24!$A$6:$CA$38,60,0)</f>
        <v>0</v>
      </c>
      <c r="AG11" s="36">
        <f>VLOOKUP($A11,[24]HISTOOCT24!$A$6:$CA$38,61,0)</f>
        <v>0</v>
      </c>
      <c r="AH11" s="36">
        <f>VLOOKUP($A11,[24]HISTOOCT24!$A$6:$CA$38,62,0)</f>
        <v>0</v>
      </c>
      <c r="AI11" s="36">
        <f>VLOOKUP($A11,[24]HISTOOCT24!$A$6:$CA$38,63,0)</f>
        <v>0</v>
      </c>
      <c r="AJ11" s="36">
        <f>VLOOKUP($A11,[24]HISTOOCT24!$A$6:$CA$38,64,0)</f>
        <v>0</v>
      </c>
      <c r="AK11" s="36">
        <f>VLOOKUP($A11,[24]HISTOOCT24!$A$6:$CA$38,65,0)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VLOOKUP($A12,[24]HISTOOCT24!$A$6:$BA$38,48,0)</f>
        <v>0</v>
      </c>
      <c r="F12" s="36">
        <f>MVTSEPT24!I12-E12+L12</f>
        <v>973100.14741339569</v>
      </c>
      <c r="G12" s="5">
        <f>IF(MVTSEPT24!I12+L12&gt;700000,(MVTSEPT24!I12-E12+L12),0)</f>
        <v>973100.14741339569</v>
      </c>
      <c r="H12" s="36">
        <f t="shared" si="0"/>
        <v>0</v>
      </c>
      <c r="I12" s="6">
        <f t="shared" si="2"/>
        <v>973100.14741339569</v>
      </c>
      <c r="J12" s="36">
        <f>VLOOKUP($A12,[24]HISTOOCT24!$A$6:$AQ$42,22,0)</f>
        <v>0</v>
      </c>
      <c r="K12" s="36">
        <f>VLOOKUP($A12,[24]HISTOOCT24!$A$6:$AU$38,45,0)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VLOOKUP($A12,[24]HISTOOCT24!$A$6:$AU$38,7,0)</f>
        <v>0</v>
      </c>
      <c r="Q12" s="36">
        <f>VLOOKUP($A12,[24]HISTOOCT24!$A$6:$AU$38,23,0)</f>
        <v>0</v>
      </c>
      <c r="R12" s="36">
        <f>VLOOKUP($A12,[24]HISTOOCT24!$A$6:$AU$38,46,0)</f>
        <v>0</v>
      </c>
      <c r="S12" s="36">
        <f>VLOOKUP($A12,[24]HISTOOCT24!$A$6:$AU$38,26,0)</f>
        <v>0</v>
      </c>
      <c r="T12" s="36">
        <f>VLOOKUP($A12,[24]HISTOOCT24!$A$6:$BG$38,58,0)</f>
        <v>0</v>
      </c>
      <c r="U12" s="36">
        <f>VLOOKUP($A12,[24]HISTOOCT24!$A$6:$AU$38,28,0)</f>
        <v>0</v>
      </c>
      <c r="V12" s="36">
        <f>VLOOKUP($A12,[24]HISTOOCT24!$A$6:$AU$38,19,0)</f>
        <v>0</v>
      </c>
      <c r="W12" s="36">
        <f>VLOOKUP($A12,[24]HISTOOCT24!$A$6:$AU$38,20,0)</f>
        <v>0</v>
      </c>
      <c r="X12" s="36">
        <f>VLOOKUP($A12,[24]HISTOOCT24!$A$6:$AU$38,27,0)</f>
        <v>0</v>
      </c>
      <c r="Y12" s="36">
        <f>VLOOKUP($A12,[24]HISTOOCT24!$A$6:$BM$38,33,0)</f>
        <v>0</v>
      </c>
      <c r="Z12" s="36">
        <f>VLOOKUP($A12,[24]HISTOOCT24!$A$6:$BM$38,65,0)</f>
        <v>0</v>
      </c>
      <c r="AA12" s="36"/>
      <c r="AB12" s="36">
        <f>VLOOKUP($A12,[24]HISTOOCT24!$A$6:$AU$38,43,0)</f>
        <v>0</v>
      </c>
      <c r="AC12" s="36">
        <f>VLOOKUP($A12,[24]HISTOOCT24!$A$6:$AU$38,44,0)</f>
        <v>0</v>
      </c>
      <c r="AD12" s="36">
        <f>VLOOKUP($A12,[24]HISTOOCT24!$A$6:$AU$38,47,0)</f>
        <v>0</v>
      </c>
      <c r="AE12" s="36">
        <f>VLOOKUP(A12,[24]HISTOOCT24!$A$6:$BB$38,54,0)</f>
        <v>0</v>
      </c>
      <c r="AF12" s="36">
        <f>VLOOKUP($A12,[24]HISTOOCT24!$A$6:$CA$38,60,0)</f>
        <v>0</v>
      </c>
      <c r="AG12" s="36">
        <f>VLOOKUP($A12,[24]HISTOOCT24!$A$6:$CA$38,61,0)</f>
        <v>0</v>
      </c>
      <c r="AH12" s="36">
        <f>VLOOKUP($A12,[24]HISTOOCT24!$A$6:$CA$38,62,0)</f>
        <v>0</v>
      </c>
      <c r="AI12" s="36">
        <f>VLOOKUP($A12,[24]HISTOOCT24!$A$6:$CA$38,63,0)</f>
        <v>0</v>
      </c>
      <c r="AJ12" s="36">
        <f>VLOOKUP($A12,[24]HISTOOCT24!$A$6:$CA$38,64,0)</f>
        <v>0</v>
      </c>
      <c r="AK12" s="36">
        <f>VLOOKUP($A12,[24]HISTOOCT24!$A$6:$CA$38,65,0)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VLOOKUP($A13,[24]HISTOOCT24!$A$6:$BA$38,48,0)</f>
        <v>0</v>
      </c>
      <c r="F13" s="36">
        <f>MVTSEPT24!I13-E13+L13</f>
        <v>937555.14612214814</v>
      </c>
      <c r="G13" s="5">
        <f>IF(MVTSEPT24!I13+L13&gt;700000,(MVTSEPT24!I13-E13+L13),0)</f>
        <v>937555.14612214814</v>
      </c>
      <c r="H13" s="36">
        <f t="shared" si="0"/>
        <v>0</v>
      </c>
      <c r="I13" s="6">
        <f t="shared" si="2"/>
        <v>937555.14612214814</v>
      </c>
      <c r="J13" s="36">
        <f>VLOOKUP($A13,[24]HISTOOCT24!$A$6:$AQ$42,22,0)</f>
        <v>0</v>
      </c>
      <c r="K13" s="36">
        <f>VLOOKUP($A13,[24]HISTOOCT24!$A$6:$AU$38,45,0)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VLOOKUP($A13,[24]HISTOOCT24!$A$6:$AU$38,7,0)</f>
        <v>0</v>
      </c>
      <c r="Q13" s="36">
        <f>VLOOKUP($A13,[24]HISTOOCT24!$A$6:$AU$38,23,0)</f>
        <v>0</v>
      </c>
      <c r="R13" s="36">
        <f>VLOOKUP($A13,[24]HISTOOCT24!$A$6:$AU$38,46,0)</f>
        <v>0</v>
      </c>
      <c r="S13" s="36">
        <f>VLOOKUP($A13,[24]HISTOOCT24!$A$6:$AU$38,26,0)</f>
        <v>0</v>
      </c>
      <c r="T13" s="36">
        <f>VLOOKUP($A13,[24]HISTOOCT24!$A$6:$BG$38,58,0)</f>
        <v>0</v>
      </c>
      <c r="U13" s="36">
        <f>VLOOKUP($A13,[24]HISTOOCT24!$A$6:$AU$38,28,0)</f>
        <v>0</v>
      </c>
      <c r="V13" s="36">
        <f>VLOOKUP($A13,[24]HISTOOCT24!$A$6:$AU$38,19,0)</f>
        <v>0</v>
      </c>
      <c r="W13" s="36">
        <f>VLOOKUP($A13,[24]HISTOOCT24!$A$6:$AU$38,20,0)</f>
        <v>0</v>
      </c>
      <c r="X13" s="36">
        <f>VLOOKUP($A13,[24]HISTOOCT24!$A$6:$AU$38,27,0)</f>
        <v>0</v>
      </c>
      <c r="Y13" s="36">
        <f>VLOOKUP($A13,[24]HISTOOCT24!$A$6:$BM$38,33,0)</f>
        <v>0</v>
      </c>
      <c r="Z13" s="36">
        <f>VLOOKUP($A13,[24]HISTOOCT24!$A$6:$BM$38,65,0)</f>
        <v>0</v>
      </c>
      <c r="AA13" s="36"/>
      <c r="AB13" s="36">
        <f>VLOOKUP($A13,[24]HISTOOCT24!$A$6:$AU$38,43,0)</f>
        <v>0</v>
      </c>
      <c r="AC13" s="36">
        <f>VLOOKUP($A13,[24]HISTOOCT24!$A$6:$AU$38,44,0)</f>
        <v>0</v>
      </c>
      <c r="AD13" s="36">
        <f>VLOOKUP($A13,[24]HISTOOCT24!$A$6:$AU$38,47,0)</f>
        <v>0</v>
      </c>
      <c r="AE13" s="36">
        <f>VLOOKUP(A13,[24]HISTOOCT24!$A$6:$BB$38,54,0)</f>
        <v>0</v>
      </c>
      <c r="AF13" s="36">
        <f>VLOOKUP($A13,[24]HISTOOCT24!$A$6:$CA$38,60,0)</f>
        <v>0</v>
      </c>
      <c r="AG13" s="36">
        <f>VLOOKUP($A13,[24]HISTOOCT24!$A$6:$CA$38,61,0)</f>
        <v>0</v>
      </c>
      <c r="AH13" s="36">
        <f>VLOOKUP($A13,[24]HISTOOCT24!$A$6:$CA$38,62,0)</f>
        <v>0</v>
      </c>
      <c r="AI13" s="36">
        <f>VLOOKUP($A13,[24]HISTOOCT24!$A$6:$CA$38,63,0)</f>
        <v>0</v>
      </c>
      <c r="AJ13" s="36">
        <f>VLOOKUP($A13,[24]HISTOOCT24!$A$6:$CA$38,64,0)</f>
        <v>0</v>
      </c>
      <c r="AK13" s="36">
        <f>VLOOKUP($A13,[24]HISTOOCT24!$A$6:$CA$38,65,0)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VLOOKUP($A14,[24]HISTOOCT24!$A$6:$BA$38,48,0)</f>
        <v>0</v>
      </c>
      <c r="F14" s="36">
        <f>MVTSEPT24!I14-E14+L14</f>
        <v>1490425.9823482623</v>
      </c>
      <c r="G14" s="5">
        <f>IF(MVTSEPT24!I14+L14&gt;700000,(MVTSEPT24!I14-E14+L14),0)</f>
        <v>1490425.9823482623</v>
      </c>
      <c r="H14" s="36">
        <f t="shared" si="0"/>
        <v>0</v>
      </c>
      <c r="I14" s="6">
        <f t="shared" si="2"/>
        <v>1490425.9823482623</v>
      </c>
      <c r="J14" s="36">
        <f>VLOOKUP($A14,[24]HISTOOCT24!$A$6:$AQ$42,22,0)</f>
        <v>0</v>
      </c>
      <c r="K14" s="36">
        <f>VLOOKUP($A14,[24]HISTOOCT24!$A$6:$AU$38,45,0)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VLOOKUP($A14,[24]HISTOOCT24!$A$6:$AU$38,7,0)</f>
        <v>0</v>
      </c>
      <c r="Q14" s="36">
        <f>VLOOKUP($A14,[24]HISTOOCT24!$A$6:$AU$38,23,0)</f>
        <v>0</v>
      </c>
      <c r="R14" s="36">
        <f>VLOOKUP($A14,[24]HISTOOCT24!$A$6:$AU$38,46,0)</f>
        <v>0</v>
      </c>
      <c r="S14" s="36">
        <f>VLOOKUP($A14,[24]HISTOOCT24!$A$6:$AU$38,26,0)</f>
        <v>0</v>
      </c>
      <c r="T14" s="36">
        <f>VLOOKUP($A14,[24]HISTOOCT24!$A$6:$BG$38,58,0)</f>
        <v>0</v>
      </c>
      <c r="U14" s="36">
        <f>VLOOKUP($A14,[24]HISTOOCT24!$A$6:$AU$38,28,0)</f>
        <v>0</v>
      </c>
      <c r="V14" s="36">
        <f>VLOOKUP($A14,[24]HISTOOCT24!$A$6:$AU$38,19,0)</f>
        <v>0</v>
      </c>
      <c r="W14" s="36">
        <f>VLOOKUP($A14,[24]HISTOOCT24!$A$6:$AU$38,20,0)</f>
        <v>0</v>
      </c>
      <c r="X14" s="36">
        <f>VLOOKUP($A14,[24]HISTOOCT24!$A$6:$AU$38,27,0)</f>
        <v>0</v>
      </c>
      <c r="Y14" s="36">
        <f>VLOOKUP($A14,[24]HISTOOCT24!$A$6:$BM$38,33,0)</f>
        <v>0</v>
      </c>
      <c r="Z14" s="36">
        <f>VLOOKUP($A14,[24]HISTOOCT24!$A$6:$BM$38,65,0)</f>
        <v>0</v>
      </c>
      <c r="AA14" s="36"/>
      <c r="AB14" s="36">
        <f>VLOOKUP($A14,[24]HISTOOCT24!$A$6:$AU$38,43,0)</f>
        <v>0</v>
      </c>
      <c r="AC14" s="36">
        <f>VLOOKUP($A14,[24]HISTOOCT24!$A$6:$AU$38,44,0)</f>
        <v>0</v>
      </c>
      <c r="AD14" s="36">
        <f>VLOOKUP($A14,[24]HISTOOCT24!$A$6:$AU$38,47,0)</f>
        <v>0</v>
      </c>
      <c r="AE14" s="36">
        <f>VLOOKUP(A14,[24]HISTOOCT24!$A$6:$BB$38,54,0)</f>
        <v>0</v>
      </c>
      <c r="AF14" s="36">
        <f>VLOOKUP($A14,[24]HISTOOCT24!$A$6:$CA$38,60,0)</f>
        <v>0</v>
      </c>
      <c r="AG14" s="36">
        <f>VLOOKUP($A14,[24]HISTOOCT24!$A$6:$CA$38,61,0)</f>
        <v>0</v>
      </c>
      <c r="AH14" s="36">
        <f>VLOOKUP($A14,[24]HISTOOCT24!$A$6:$CA$38,62,0)</f>
        <v>0</v>
      </c>
      <c r="AI14" s="36">
        <f>VLOOKUP($A14,[24]HISTOOCT24!$A$6:$CA$38,63,0)</f>
        <v>0</v>
      </c>
      <c r="AJ14" s="36">
        <f>VLOOKUP($A14,[24]HISTOOCT24!$A$6:$CA$38,64,0)</f>
        <v>0</v>
      </c>
      <c r="AK14" s="36">
        <f>VLOOKUP($A14,[24]HISTOOCT24!$A$6:$CA$38,65,0)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VLOOKUP($A15,[24]HISTOOCT24!$A$6:$BA$38,48,0)</f>
        <v>0</v>
      </c>
      <c r="F15" s="36">
        <f>MVTSEPT24!I15-E15+L15</f>
        <v>999309.62153810938</v>
      </c>
      <c r="G15" s="5">
        <f>IF(MVTSEPT24!I15+L15&gt;700000,(MVTSEPT24!I15-E15+L15),0)</f>
        <v>999309.62153810938</v>
      </c>
      <c r="H15" s="36">
        <f t="shared" si="0"/>
        <v>0</v>
      </c>
      <c r="I15" s="6">
        <f t="shared" si="2"/>
        <v>999309.62153810938</v>
      </c>
      <c r="J15" s="36">
        <f>VLOOKUP($A15,[24]HISTOOCT24!$A$6:$AQ$42,22,0)</f>
        <v>0</v>
      </c>
      <c r="K15" s="36">
        <f>VLOOKUP($A15,[24]HISTOOCT24!$A$6:$AU$38,45,0)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VLOOKUP($A15,[24]HISTOOCT24!$A$6:$AU$38,7,0)</f>
        <v>0</v>
      </c>
      <c r="Q15" s="36">
        <f>VLOOKUP($A15,[24]HISTOOCT24!$A$6:$AU$38,23,0)</f>
        <v>0</v>
      </c>
      <c r="R15" s="36">
        <f>VLOOKUP($A15,[24]HISTOOCT24!$A$6:$AU$38,46,0)</f>
        <v>0</v>
      </c>
      <c r="S15" s="36">
        <f>VLOOKUP($A15,[24]HISTOOCT24!$A$6:$AU$38,26,0)</f>
        <v>0</v>
      </c>
      <c r="T15" s="36">
        <f>VLOOKUP($A15,[24]HISTOOCT24!$A$6:$BG$38,58,0)</f>
        <v>0</v>
      </c>
      <c r="U15" s="36">
        <f>VLOOKUP($A15,[24]HISTOOCT24!$A$6:$AU$38,28,0)</f>
        <v>0</v>
      </c>
      <c r="V15" s="36">
        <f>VLOOKUP($A15,[24]HISTOOCT24!$A$6:$AU$38,19,0)</f>
        <v>0</v>
      </c>
      <c r="W15" s="36">
        <f>VLOOKUP($A15,[24]HISTOOCT24!$A$6:$AU$38,20,0)</f>
        <v>0</v>
      </c>
      <c r="X15" s="36">
        <f>VLOOKUP($A15,[24]HISTOOCT24!$A$6:$AU$38,27,0)</f>
        <v>0</v>
      </c>
      <c r="Y15" s="36">
        <f>VLOOKUP($A15,[24]HISTOOCT24!$A$6:$BM$38,33,0)</f>
        <v>0</v>
      </c>
      <c r="Z15" s="36">
        <f>VLOOKUP($A15,[24]HISTOOCT24!$A$6:$BM$38,65,0)</f>
        <v>0</v>
      </c>
      <c r="AA15" s="36"/>
      <c r="AB15" s="36">
        <f>VLOOKUP($A15,[24]HISTOOCT24!$A$6:$AU$38,43,0)</f>
        <v>0</v>
      </c>
      <c r="AC15" s="36">
        <f>VLOOKUP($A15,[24]HISTOOCT24!$A$6:$AU$38,44,0)</f>
        <v>0</v>
      </c>
      <c r="AD15" s="36">
        <f>VLOOKUP($A15,[24]HISTOOCT24!$A$6:$AU$38,47,0)</f>
        <v>0</v>
      </c>
      <c r="AE15" s="36">
        <f>VLOOKUP(A15,[24]HISTOOCT24!$A$6:$BB$38,54,0)</f>
        <v>0</v>
      </c>
      <c r="AF15" s="36">
        <f>VLOOKUP($A15,[24]HISTOOCT24!$A$6:$CA$38,60,0)</f>
        <v>0</v>
      </c>
      <c r="AG15" s="36">
        <f>VLOOKUP($A15,[24]HISTOOCT24!$A$6:$CA$38,61,0)</f>
        <v>0</v>
      </c>
      <c r="AH15" s="36">
        <f>VLOOKUP($A15,[24]HISTOOCT24!$A$6:$CA$38,62,0)</f>
        <v>0</v>
      </c>
      <c r="AI15" s="36">
        <f>VLOOKUP($A15,[24]HISTOOCT24!$A$6:$CA$38,63,0)</f>
        <v>0</v>
      </c>
      <c r="AJ15" s="36">
        <f>VLOOKUP($A15,[24]HISTOOCT24!$A$6:$CA$38,64,0)</f>
        <v>0</v>
      </c>
      <c r="AK15" s="36">
        <f>VLOOKUP($A15,[24]HISTOOCT24!$A$6:$CA$38,65,0)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VLOOKUP($A16,[24]HISTOOCT24!$A$6:$BA$38,48,0)</f>
        <v>0</v>
      </c>
      <c r="F16" s="36">
        <f>MVTSEPT24!I16-E16+L16</f>
        <v>1109858.7065070483</v>
      </c>
      <c r="G16" s="5">
        <f>IF(MVTSEPT24!I16+L16&gt;700000,(MVTSEPT24!I16-E16+L16),0)</f>
        <v>1109858.7065070483</v>
      </c>
      <c r="H16" s="36">
        <f t="shared" si="0"/>
        <v>0</v>
      </c>
      <c r="I16" s="6">
        <f t="shared" si="2"/>
        <v>1109858.7065070483</v>
      </c>
      <c r="J16" s="36">
        <f>VLOOKUP($A16,[24]HISTOOCT24!$A$6:$AQ$42,22,0)</f>
        <v>0</v>
      </c>
      <c r="K16" s="36">
        <f>VLOOKUP($A16,[24]HISTOOCT24!$A$6:$AU$38,45,0)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VLOOKUP($A16,[24]HISTOOCT24!$A$6:$AU$38,7,0)</f>
        <v>0</v>
      </c>
      <c r="Q16" s="36">
        <f>VLOOKUP($A16,[24]HISTOOCT24!$A$6:$AU$38,23,0)</f>
        <v>0</v>
      </c>
      <c r="R16" s="36">
        <f>VLOOKUP($A16,[24]HISTOOCT24!$A$6:$AU$38,46,0)</f>
        <v>0</v>
      </c>
      <c r="S16" s="36">
        <f>VLOOKUP($A16,[24]HISTOOCT24!$A$6:$AU$38,26,0)</f>
        <v>0</v>
      </c>
      <c r="T16" s="36">
        <f>VLOOKUP($A16,[24]HISTOOCT24!$A$6:$BG$38,58,0)</f>
        <v>0</v>
      </c>
      <c r="U16" s="36">
        <f>VLOOKUP($A16,[24]HISTOOCT24!$A$6:$AU$38,28,0)</f>
        <v>0</v>
      </c>
      <c r="V16" s="36">
        <f>VLOOKUP($A16,[24]HISTOOCT24!$A$6:$AU$38,19,0)</f>
        <v>0</v>
      </c>
      <c r="W16" s="36">
        <f>VLOOKUP($A16,[24]HISTOOCT24!$A$6:$AU$38,20,0)</f>
        <v>0</v>
      </c>
      <c r="X16" s="36">
        <f>VLOOKUP($A16,[24]HISTOOCT24!$A$6:$AU$38,27,0)</f>
        <v>0</v>
      </c>
      <c r="Y16" s="36">
        <f>VLOOKUP($A16,[24]HISTOOCT24!$A$6:$BM$38,33,0)</f>
        <v>0</v>
      </c>
      <c r="Z16" s="36">
        <f>VLOOKUP($A16,[24]HISTOOCT24!$A$6:$BM$38,65,0)</f>
        <v>0</v>
      </c>
      <c r="AA16" s="36"/>
      <c r="AB16" s="36">
        <f>VLOOKUP($A16,[24]HISTOOCT24!$A$6:$AU$38,43,0)</f>
        <v>0</v>
      </c>
      <c r="AC16" s="36">
        <f>VLOOKUP($A16,[24]HISTOOCT24!$A$6:$AU$38,44,0)</f>
        <v>0</v>
      </c>
      <c r="AD16" s="36">
        <f>VLOOKUP($A16,[24]HISTOOCT24!$A$6:$AU$38,47,0)</f>
        <v>0</v>
      </c>
      <c r="AE16" s="36">
        <f>VLOOKUP(A16,[24]HISTOOCT24!$A$6:$BB$38,54,0)</f>
        <v>0</v>
      </c>
      <c r="AF16" s="36">
        <f>VLOOKUP($A16,[24]HISTOOCT24!$A$6:$CA$38,60,0)</f>
        <v>0</v>
      </c>
      <c r="AG16" s="36">
        <f>VLOOKUP($A16,[24]HISTOOCT24!$A$6:$CA$38,61,0)</f>
        <v>0</v>
      </c>
      <c r="AH16" s="36">
        <f>VLOOKUP($A16,[24]HISTOOCT24!$A$6:$CA$38,62,0)</f>
        <v>0</v>
      </c>
      <c r="AI16" s="36">
        <f>VLOOKUP($A16,[24]HISTOOCT24!$A$6:$CA$38,63,0)</f>
        <v>0</v>
      </c>
      <c r="AJ16" s="36">
        <f>VLOOKUP($A16,[24]HISTOOCT24!$A$6:$CA$38,64,0)</f>
        <v>0</v>
      </c>
      <c r="AK16" s="36">
        <f>VLOOKUP($A16,[24]HISTOOCT24!$A$6:$CA$38,65,0)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VLOOKUP($A17,[24]HISTOOCT24!$A$6:$BA$38,48,0)</f>
        <v>0</v>
      </c>
      <c r="F17" s="36">
        <f>MVTSEPT24!I17-E17+L17</f>
        <v>947402.7005255461</v>
      </c>
      <c r="G17" s="5">
        <f>IF(MVTSEPT24!I17+L17&gt;700000,(MVTSEPT24!I17-E17+L17),0)</f>
        <v>947402.7005255461</v>
      </c>
      <c r="H17" s="36">
        <f t="shared" si="0"/>
        <v>0</v>
      </c>
      <c r="I17" s="6">
        <f t="shared" si="2"/>
        <v>947402.7005255461</v>
      </c>
      <c r="J17" s="36">
        <f>VLOOKUP($A17,[24]HISTOOCT24!$A$6:$AQ$42,22,0)</f>
        <v>0</v>
      </c>
      <c r="K17" s="36">
        <f>VLOOKUP($A17,[24]HISTOOCT24!$A$6:$AU$38,45,0)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VLOOKUP($A17,[24]HISTOOCT24!$A$6:$AU$38,7,0)</f>
        <v>0</v>
      </c>
      <c r="Q17" s="36">
        <f>VLOOKUP($A17,[24]HISTOOCT24!$A$6:$AU$38,23,0)</f>
        <v>0</v>
      </c>
      <c r="R17" s="36">
        <f>VLOOKUP($A17,[24]HISTOOCT24!$A$6:$AU$38,46,0)</f>
        <v>0</v>
      </c>
      <c r="S17" s="36">
        <f>VLOOKUP($A17,[24]HISTOOCT24!$A$6:$AU$38,26,0)</f>
        <v>0</v>
      </c>
      <c r="T17" s="36">
        <f>VLOOKUP($A17,[24]HISTOOCT24!$A$6:$BG$38,58,0)</f>
        <v>0</v>
      </c>
      <c r="U17" s="36">
        <f>VLOOKUP($A17,[24]HISTOOCT24!$A$6:$AU$38,28,0)</f>
        <v>0</v>
      </c>
      <c r="V17" s="36">
        <f>VLOOKUP($A17,[24]HISTOOCT24!$A$6:$AU$38,19,0)</f>
        <v>0</v>
      </c>
      <c r="W17" s="36">
        <f>VLOOKUP($A17,[24]HISTOOCT24!$A$6:$AU$38,20,0)</f>
        <v>0</v>
      </c>
      <c r="X17" s="36">
        <f>VLOOKUP($A17,[24]HISTOOCT24!$A$6:$AU$38,27,0)</f>
        <v>0</v>
      </c>
      <c r="Y17" s="36">
        <f>VLOOKUP($A17,[24]HISTOOCT24!$A$6:$BM$38,33,0)</f>
        <v>0</v>
      </c>
      <c r="Z17" s="36">
        <f>VLOOKUP($A17,[24]HISTOOCT24!$A$6:$BM$38,65,0)</f>
        <v>0</v>
      </c>
      <c r="AA17" s="36"/>
      <c r="AB17" s="36">
        <f>VLOOKUP($A17,[24]HISTOOCT24!$A$6:$AU$38,43,0)</f>
        <v>0</v>
      </c>
      <c r="AC17" s="36">
        <f>VLOOKUP($A17,[24]HISTOOCT24!$A$6:$AU$38,44,0)</f>
        <v>0</v>
      </c>
      <c r="AD17" s="36">
        <f>VLOOKUP($A17,[24]HISTOOCT24!$A$6:$AU$38,47,0)</f>
        <v>0</v>
      </c>
      <c r="AE17" s="36">
        <f>VLOOKUP(A17,[24]HISTOOCT24!$A$6:$BB$38,54,0)</f>
        <v>0</v>
      </c>
      <c r="AF17" s="36">
        <f>VLOOKUP($A17,[24]HISTOOCT24!$A$6:$CA$38,60,0)</f>
        <v>0</v>
      </c>
      <c r="AG17" s="36">
        <f>VLOOKUP($A17,[24]HISTOOCT24!$A$6:$CA$38,61,0)</f>
        <v>0</v>
      </c>
      <c r="AH17" s="36">
        <f>VLOOKUP($A17,[24]HISTOOCT24!$A$6:$CA$38,62,0)</f>
        <v>0</v>
      </c>
      <c r="AI17" s="36">
        <f>VLOOKUP($A17,[24]HISTOOCT24!$A$6:$CA$38,63,0)</f>
        <v>0</v>
      </c>
      <c r="AJ17" s="36">
        <f>VLOOKUP($A17,[24]HISTOOCT24!$A$6:$CA$38,64,0)</f>
        <v>0</v>
      </c>
      <c r="AK17" s="36">
        <f>VLOOKUP($A17,[24]HISTOOCT24!$A$6:$CA$38,65,0)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VLOOKUP($A18,[24]HISTOOCT24!$A$6:$BA$38,48,0)</f>
        <v>0</v>
      </c>
      <c r="F18" s="36">
        <f>MVTSEPT24!I18-E18+L18</f>
        <v>993662.76419736946</v>
      </c>
      <c r="G18" s="5">
        <f>IF(MVTSEPT24!I18+L18&gt;700000,(MVTSEPT24!I18-E18+L18),0)</f>
        <v>993662.76419736946</v>
      </c>
      <c r="H18" s="36">
        <f t="shared" si="0"/>
        <v>0</v>
      </c>
      <c r="I18" s="6">
        <f t="shared" si="2"/>
        <v>993662.76419736946</v>
      </c>
      <c r="J18" s="36">
        <f>VLOOKUP($A18,[24]HISTOOCT24!$A$6:$AQ$42,22,0)</f>
        <v>0</v>
      </c>
      <c r="K18" s="36">
        <f>VLOOKUP($A18,[24]HISTOOCT24!$A$6:$AU$38,45,0)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VLOOKUP($A18,[24]HISTOOCT24!$A$6:$AU$38,7,0)</f>
        <v>0</v>
      </c>
      <c r="Q18" s="36">
        <f>VLOOKUP($A18,[24]HISTOOCT24!$A$6:$AU$38,23,0)</f>
        <v>0</v>
      </c>
      <c r="R18" s="36">
        <f>VLOOKUP($A18,[24]HISTOOCT24!$A$6:$AU$38,46,0)</f>
        <v>0</v>
      </c>
      <c r="S18" s="36">
        <f>VLOOKUP($A18,[24]HISTOOCT24!$A$6:$AU$38,26,0)</f>
        <v>0</v>
      </c>
      <c r="T18" s="36">
        <f>VLOOKUP($A18,[24]HISTOOCT24!$A$6:$BG$38,58,0)</f>
        <v>0</v>
      </c>
      <c r="U18" s="36">
        <f>VLOOKUP($A18,[24]HISTOOCT24!$A$6:$AU$38,28,0)</f>
        <v>0</v>
      </c>
      <c r="V18" s="36">
        <f>VLOOKUP($A18,[24]HISTOOCT24!$A$6:$AU$38,19,0)</f>
        <v>0</v>
      </c>
      <c r="W18" s="36">
        <f>VLOOKUP($A18,[24]HISTOOCT24!$A$6:$AU$38,20,0)</f>
        <v>0</v>
      </c>
      <c r="X18" s="36">
        <f>VLOOKUP($A18,[24]HISTOOCT24!$A$6:$AU$38,27,0)</f>
        <v>0</v>
      </c>
      <c r="Y18" s="36">
        <f>VLOOKUP($A18,[24]HISTOOCT24!$A$6:$BM$38,33,0)</f>
        <v>0</v>
      </c>
      <c r="Z18" s="36">
        <f>VLOOKUP($A18,[24]HISTOOCT24!$A$6:$BM$38,65,0)</f>
        <v>0</v>
      </c>
      <c r="AA18" s="36"/>
      <c r="AB18" s="36">
        <f>VLOOKUP($A18,[24]HISTOOCT24!$A$6:$AU$38,43,0)</f>
        <v>0</v>
      </c>
      <c r="AC18" s="36">
        <f>VLOOKUP($A18,[24]HISTOOCT24!$A$6:$AU$38,44,0)</f>
        <v>0</v>
      </c>
      <c r="AD18" s="36">
        <f>VLOOKUP($A18,[24]HISTOOCT24!$A$6:$AU$38,47,0)</f>
        <v>0</v>
      </c>
      <c r="AE18" s="36">
        <f>VLOOKUP(A18,[24]HISTOOCT24!$A$6:$BB$38,54,0)</f>
        <v>0</v>
      </c>
      <c r="AF18" s="36">
        <f>VLOOKUP($A18,[24]HISTOOCT24!$A$6:$CA$38,60,0)</f>
        <v>0</v>
      </c>
      <c r="AG18" s="36">
        <f>VLOOKUP($A18,[24]HISTOOCT24!$A$6:$CA$38,61,0)</f>
        <v>0</v>
      </c>
      <c r="AH18" s="36">
        <f>VLOOKUP($A18,[24]HISTOOCT24!$A$6:$CA$38,62,0)</f>
        <v>0</v>
      </c>
      <c r="AI18" s="36">
        <f>VLOOKUP($A18,[24]HISTOOCT24!$A$6:$CA$38,63,0)</f>
        <v>0</v>
      </c>
      <c r="AJ18" s="36">
        <f>VLOOKUP($A18,[24]HISTOOCT24!$A$6:$CA$38,64,0)</f>
        <v>0</v>
      </c>
      <c r="AK18" s="36">
        <f>VLOOKUP($A18,[24]HISTOOCT24!$A$6:$CA$38,65,0)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676217.13072703336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VLOOKUP($A20,[24]HISTOOCT24!$A$6:$AQ$42,22,0)</f>
        <v>0</v>
      </c>
      <c r="K20" s="36">
        <f>VLOOKUP($A20,[24]HISTOOCT24!$A$6:$AU$38,45,0)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VLOOKUP($A20,[24]HISTOOCT24!$A$6:$AU$38,7,0)</f>
        <v>0</v>
      </c>
      <c r="Q20" s="36">
        <f>VLOOKUP($A20,[24]HISTOOCT24!$A$6:$AU$38,23,0)</f>
        <v>0</v>
      </c>
      <c r="R20" s="36">
        <f>VLOOKUP($A20,[24]HISTOOCT24!$A$6:$AU$38,46,0)</f>
        <v>0</v>
      </c>
      <c r="S20" s="36">
        <f>VLOOKUP($A20,[24]HISTOOCT24!$A$6:$AU$38,26,0)</f>
        <v>0</v>
      </c>
      <c r="T20" s="36">
        <f>VLOOKUP($A20,[24]HISTOOCT24!$A$6:$BG$38,58,0)</f>
        <v>0</v>
      </c>
      <c r="U20" s="36">
        <f>VLOOKUP($A20,[24]HISTOOCT24!$A$6:$AU$38,28,0)</f>
        <v>0</v>
      </c>
      <c r="V20" s="36">
        <f>VLOOKUP($A20,[24]HISTOOCT24!$A$6:$AU$38,19,0)</f>
        <v>0</v>
      </c>
      <c r="W20" s="36">
        <f>VLOOKUP($A20,[24]HISTOOCT24!$A$6:$AU$38,20,0)</f>
        <v>0</v>
      </c>
      <c r="X20" s="36">
        <f>VLOOKUP($A20,[24]HISTOOCT24!$A$6:$AU$38,27,0)</f>
        <v>0</v>
      </c>
      <c r="Y20" s="36">
        <f>VLOOKUP($A20,[24]HISTOOCT24!$A$6:$BM$38,33,0)</f>
        <v>0</v>
      </c>
      <c r="Z20" s="36">
        <f>VLOOKUP($A20,[24]HISTOOCT24!$A$6:$BM$38,65,0)</f>
        <v>0</v>
      </c>
      <c r="AA20" s="36"/>
      <c r="AB20" s="36">
        <f>VLOOKUP($A20,[24]HISTOOCT24!$A$6:$AU$38,43,0)</f>
        <v>0</v>
      </c>
      <c r="AC20" s="36">
        <f>VLOOKUP($A20,[24]HISTOOCT24!$A$6:$AU$38,44,0)</f>
        <v>0</v>
      </c>
      <c r="AD20" s="36">
        <f>VLOOKUP($A20,[24]HISTOOCT24!$A$6:$AU$38,47,0)</f>
        <v>0</v>
      </c>
      <c r="AE20" s="36">
        <f>VLOOKUP(A20,[24]HISTOOCT24!$A$6:$BB$38,54,0)</f>
        <v>0</v>
      </c>
      <c r="AF20" s="36">
        <f>VLOOKUP($A20,[24]HISTOOCT24!$A$6:$CA$38,60,0)</f>
        <v>0</v>
      </c>
      <c r="AG20" s="36">
        <f>VLOOKUP($A20,[24]HISTOOCT24!$A$6:$CA$38,61,0)</f>
        <v>0</v>
      </c>
      <c r="AH20" s="36">
        <f>VLOOKUP($A20,[24]HISTOOCT24!$A$6:$CA$38,62,0)</f>
        <v>0</v>
      </c>
      <c r="AI20" s="36">
        <f>VLOOKUP($A20,[24]HISTOOCT24!$A$6:$CA$38,63,0)</f>
        <v>0</v>
      </c>
      <c r="AJ20" s="36">
        <f>VLOOKUP($A20,[24]HISTOOCT24!$A$6:$CA$38,64,0)</f>
        <v>0</v>
      </c>
      <c r="AK20" s="36">
        <f>VLOOKUP($A20,[24]HISTOOCT24!$A$6:$CA$38,65,0)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MVTSEPT24!I21-E21+L21</f>
        <v>970355.80062958295</v>
      </c>
      <c r="G21" s="5">
        <f>IF(MVTSEPT24!I21+L21&gt;700000,(MVTSEPT24!I21-E21+L21),0)</f>
        <v>970355.80062958295</v>
      </c>
      <c r="H21" s="36">
        <f t="shared" si="0"/>
        <v>0</v>
      </c>
      <c r="I21" s="6">
        <f t="shared" si="2"/>
        <v>970355.80062958295</v>
      </c>
      <c r="J21" s="36">
        <f>VLOOKUP($A21,[24]HISTOOCT24!$A$6:$AQ$42,22,0)</f>
        <v>0</v>
      </c>
      <c r="K21" s="36">
        <f>VLOOKUP($A21,[24]HISTOOCT24!$A$6:$AU$38,45,0)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VLOOKUP($A21,[24]HISTOOCT24!$A$6:$AU$38,7,0)</f>
        <v>0</v>
      </c>
      <c r="Q21" s="36">
        <f>VLOOKUP($A21,[24]HISTOOCT24!$A$6:$AU$38,23,0)</f>
        <v>0</v>
      </c>
      <c r="R21" s="36">
        <f>VLOOKUP($A21,[24]HISTOOCT24!$A$6:$AU$38,46,0)</f>
        <v>0</v>
      </c>
      <c r="S21" s="36">
        <f>VLOOKUP($A21,[24]HISTOOCT24!$A$6:$AU$38,26,0)</f>
        <v>0</v>
      </c>
      <c r="T21" s="36">
        <f>VLOOKUP($A21,[24]HISTOOCT24!$A$6:$BG$38,58,0)</f>
        <v>0</v>
      </c>
      <c r="U21" s="36">
        <f>VLOOKUP($A21,[24]HISTOOCT24!$A$6:$AU$38,28,0)</f>
        <v>0</v>
      </c>
      <c r="V21" s="36">
        <f>VLOOKUP($A21,[24]HISTOOCT24!$A$6:$AU$38,19,0)</f>
        <v>0</v>
      </c>
      <c r="W21" s="36">
        <f>VLOOKUP($A21,[24]HISTOOCT24!$A$6:$AU$38,20,0)</f>
        <v>0</v>
      </c>
      <c r="X21" s="36">
        <f>VLOOKUP($A21,[24]HISTOOCT24!$A$6:$AU$38,27,0)</f>
        <v>0</v>
      </c>
      <c r="Y21" s="36">
        <f>VLOOKUP($A21,[24]HISTOOCT24!$A$6:$BM$38,33,0)</f>
        <v>0</v>
      </c>
      <c r="Z21" s="36">
        <f>VLOOKUP($A21,[24]HISTOOCT24!$A$6:$BM$38,65,0)</f>
        <v>0</v>
      </c>
      <c r="AA21" s="36"/>
      <c r="AB21" s="36">
        <f>VLOOKUP($A21,[24]HISTOOCT24!$A$6:$AU$38,43,0)</f>
        <v>0</v>
      </c>
      <c r="AC21" s="36">
        <f>VLOOKUP($A21,[24]HISTOOCT24!$A$6:$AU$38,44,0)</f>
        <v>0</v>
      </c>
      <c r="AD21" s="36">
        <f>VLOOKUP($A21,[24]HISTOOCT24!$A$6:$AU$38,47,0)</f>
        <v>0</v>
      </c>
      <c r="AE21" s="36">
        <f>VLOOKUP(A21,[24]HISTOOCT24!$A$6:$BB$38,54,0)</f>
        <v>0</v>
      </c>
      <c r="AF21" s="36">
        <f>VLOOKUP($A21,[24]HISTOOCT24!$A$6:$CA$38,60,0)</f>
        <v>0</v>
      </c>
      <c r="AG21" s="36">
        <f>VLOOKUP($A21,[24]HISTOOCT24!$A$6:$CA$38,61,0)</f>
        <v>0</v>
      </c>
      <c r="AH21" s="36">
        <f>VLOOKUP($A21,[24]HISTOOCT24!$A$6:$CA$38,62,0)</f>
        <v>0</v>
      </c>
      <c r="AI21" s="36">
        <f>VLOOKUP($A21,[24]HISTOOCT24!$A$6:$CA$38,63,0)</f>
        <v>0</v>
      </c>
      <c r="AJ21" s="36">
        <f>VLOOKUP($A21,[24]HISTOOCT24!$A$6:$CA$38,64,0)</f>
        <v>0</v>
      </c>
      <c r="AK21" s="36">
        <f>VLOOKUP($A21,[24]HISTOOCT24!$A$6:$CA$38,65,0)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MVTSEPT24!I22-E22+L22</f>
        <v>938738.95952735876</v>
      </c>
      <c r="G22" s="5">
        <f>IF(MVTSEPT24!I22+L22&gt;700000,(MVTSEPT24!I22-E22+L22),0)</f>
        <v>938738.95952735876</v>
      </c>
      <c r="H22" s="36">
        <f t="shared" si="0"/>
        <v>0</v>
      </c>
      <c r="I22" s="6">
        <f t="shared" si="2"/>
        <v>938738.95952735876</v>
      </c>
      <c r="J22" s="36">
        <f>VLOOKUP($A22,[24]HISTOOCT24!$A$6:$AQ$42,22,0)</f>
        <v>0</v>
      </c>
      <c r="K22" s="36">
        <f>VLOOKUP($A22,[24]HISTOOCT24!$A$6:$AU$38,45,0)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VLOOKUP($A22,[24]HISTOOCT24!$A$6:$AU$38,7,0)</f>
        <v>0</v>
      </c>
      <c r="Q22" s="36">
        <f>VLOOKUP($A22,[24]HISTOOCT24!$A$6:$AU$38,23,0)</f>
        <v>0</v>
      </c>
      <c r="R22" s="36">
        <f>VLOOKUP($A22,[24]HISTOOCT24!$A$6:$AU$38,46,0)</f>
        <v>0</v>
      </c>
      <c r="S22" s="36">
        <f>VLOOKUP($A22,[24]HISTOOCT24!$A$6:$AU$38,26,0)</f>
        <v>0</v>
      </c>
      <c r="T22" s="36">
        <f>VLOOKUP($A22,[24]HISTOOCT24!$A$6:$BG$38,58,0)</f>
        <v>0</v>
      </c>
      <c r="U22" s="36">
        <f>VLOOKUP($A22,[24]HISTOOCT24!$A$6:$AU$38,28,0)</f>
        <v>0</v>
      </c>
      <c r="V22" s="36">
        <f>VLOOKUP($A22,[24]HISTOOCT24!$A$6:$AU$38,19,0)</f>
        <v>0</v>
      </c>
      <c r="W22" s="36">
        <f>VLOOKUP($A22,[24]HISTOOCT24!$A$6:$AU$38,20,0)</f>
        <v>0</v>
      </c>
      <c r="X22" s="36">
        <f>VLOOKUP($A22,[24]HISTOOCT24!$A$6:$AU$38,27,0)</f>
        <v>0</v>
      </c>
      <c r="Y22" s="36">
        <f>VLOOKUP($A22,[24]HISTOOCT24!$A$6:$BM$38,33,0)</f>
        <v>0</v>
      </c>
      <c r="Z22" s="36">
        <f>VLOOKUP($A22,[24]HISTOOCT24!$A$6:$BM$38,65,0)</f>
        <v>0</v>
      </c>
      <c r="AA22" s="36"/>
      <c r="AB22" s="36">
        <f>VLOOKUP($A22,[24]HISTOOCT24!$A$6:$AU$38,43,0)</f>
        <v>0</v>
      </c>
      <c r="AC22" s="36">
        <f>VLOOKUP($A22,[24]HISTOOCT24!$A$6:$AU$38,44,0)</f>
        <v>0</v>
      </c>
      <c r="AD22" s="36">
        <f>VLOOKUP($A22,[24]HISTOOCT24!$A$6:$AU$38,47,0)</f>
        <v>0</v>
      </c>
      <c r="AE22" s="36">
        <f>VLOOKUP(A22,[24]HISTOOCT24!$A$6:$BB$38,54,0)</f>
        <v>0</v>
      </c>
      <c r="AF22" s="36">
        <f>VLOOKUP($A22,[24]HISTOOCT24!$A$6:$CA$38,60,0)</f>
        <v>0</v>
      </c>
      <c r="AG22" s="36">
        <f>VLOOKUP($A22,[24]HISTOOCT24!$A$6:$CA$38,61,0)</f>
        <v>0</v>
      </c>
      <c r="AH22" s="36">
        <f>VLOOKUP($A22,[24]HISTOOCT24!$A$6:$CA$38,62,0)</f>
        <v>0</v>
      </c>
      <c r="AI22" s="36">
        <f>VLOOKUP($A22,[24]HISTOOCT24!$A$6:$CA$38,63,0)</f>
        <v>0</v>
      </c>
      <c r="AJ22" s="36">
        <f>VLOOKUP($A22,[24]HISTOOCT24!$A$6:$CA$38,64,0)</f>
        <v>0</v>
      </c>
      <c r="AK22" s="36">
        <f>VLOOKUP($A22,[24]HISTOOCT24!$A$6:$CA$38,65,0)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MVTSEPT24!I23-E23+L23</f>
        <v>1044674.3246731948</v>
      </c>
      <c r="G23" s="5">
        <f>IF(MVTSEPT24!I23+L23&gt;700000,(MVTSEPT24!I23-E23+L23),0)</f>
        <v>1044674.3246731948</v>
      </c>
      <c r="H23" s="36">
        <f t="shared" si="0"/>
        <v>0</v>
      </c>
      <c r="I23" s="6">
        <f t="shared" si="2"/>
        <v>1044674.3246731948</v>
      </c>
      <c r="J23" s="36">
        <f>VLOOKUP($A23,[24]HISTOOCT24!$A$6:$AQ$42,22,0)</f>
        <v>0</v>
      </c>
      <c r="K23" s="36">
        <f>VLOOKUP($A23,[24]HISTOOCT24!$A$6:$AU$38,45,0)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VLOOKUP($A23,[24]HISTOOCT24!$A$6:$AU$38,7,0)</f>
        <v>0</v>
      </c>
      <c r="Q23" s="36">
        <f>VLOOKUP($A23,[24]HISTOOCT24!$A$6:$AU$38,23,0)</f>
        <v>0</v>
      </c>
      <c r="R23" s="36">
        <f>VLOOKUP($A23,[24]HISTOOCT24!$A$6:$AU$38,46,0)</f>
        <v>0</v>
      </c>
      <c r="S23" s="36">
        <f>VLOOKUP($A23,[24]HISTOOCT24!$A$6:$AU$38,26,0)</f>
        <v>0</v>
      </c>
      <c r="T23" s="36">
        <f>VLOOKUP($A23,[24]HISTOOCT24!$A$6:$BG$38,58,0)</f>
        <v>0</v>
      </c>
      <c r="U23" s="36">
        <f>VLOOKUP($A23,[24]HISTOOCT24!$A$6:$AU$38,28,0)</f>
        <v>0</v>
      </c>
      <c r="V23" s="36">
        <f>VLOOKUP($A23,[24]HISTOOCT24!$A$6:$AU$38,19,0)</f>
        <v>0</v>
      </c>
      <c r="W23" s="36">
        <f>VLOOKUP($A23,[24]HISTOOCT24!$A$6:$AU$38,20,0)</f>
        <v>0</v>
      </c>
      <c r="X23" s="36">
        <f>VLOOKUP($A23,[24]HISTOOCT24!$A$6:$AU$38,27,0)</f>
        <v>0</v>
      </c>
      <c r="Y23" s="36">
        <f>VLOOKUP($A23,[24]HISTOOCT24!$A$6:$BM$38,33,0)</f>
        <v>0</v>
      </c>
      <c r="Z23" s="36">
        <f>VLOOKUP($A23,[24]HISTOOCT24!$A$6:$BM$38,65,0)</f>
        <v>0</v>
      </c>
      <c r="AA23" s="36"/>
      <c r="AB23" s="36">
        <f>VLOOKUP($A23,[24]HISTOOCT24!$A$6:$AU$38,43,0)</f>
        <v>0</v>
      </c>
      <c r="AC23" s="36">
        <f>VLOOKUP($A23,[24]HISTOOCT24!$A$6:$AU$38,44,0)</f>
        <v>0</v>
      </c>
      <c r="AD23" s="36">
        <f>VLOOKUP($A23,[24]HISTOOCT24!$A$6:$AU$38,47,0)</f>
        <v>0</v>
      </c>
      <c r="AE23" s="36">
        <f>VLOOKUP(A23,[24]HISTOOCT24!$A$6:$BB$38,54,0)</f>
        <v>0</v>
      </c>
      <c r="AF23" s="36">
        <f>VLOOKUP($A23,[24]HISTOOCT24!$A$6:$CA$38,60,0)</f>
        <v>0</v>
      </c>
      <c r="AG23" s="36">
        <f>VLOOKUP($A23,[24]HISTOOCT24!$A$6:$CA$38,61,0)</f>
        <v>0</v>
      </c>
      <c r="AH23" s="36">
        <f>VLOOKUP($A23,[24]HISTOOCT24!$A$6:$CA$38,62,0)</f>
        <v>0</v>
      </c>
      <c r="AI23" s="36">
        <f>VLOOKUP($A23,[24]HISTOOCT24!$A$6:$CA$38,63,0)</f>
        <v>0</v>
      </c>
      <c r="AJ23" s="36">
        <f>VLOOKUP($A23,[24]HISTOOCT24!$A$6:$CA$38,64,0)</f>
        <v>0</v>
      </c>
      <c r="AK23" s="36">
        <f>VLOOKUP($A23,[24]HISTOOCT24!$A$6:$CA$38,65,0)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MVTSEPT24!I24-E24+L24</f>
        <v>1217827.8441992993</v>
      </c>
      <c r="G24" s="5">
        <f>IF(MVTSEPT24!I24+L24&gt;700000,(MVTSEPT24!I24-E24+L24),0)</f>
        <v>1217827.8441992993</v>
      </c>
      <c r="H24" s="36">
        <f t="shared" si="0"/>
        <v>0</v>
      </c>
      <c r="I24" s="6">
        <f t="shared" si="2"/>
        <v>1217827.8441992993</v>
      </c>
      <c r="J24" s="36">
        <f>VLOOKUP($A24,[24]HISTOOCT24!$A$6:$AQ$42,22,0)</f>
        <v>0</v>
      </c>
      <c r="K24" s="36">
        <f>VLOOKUP($A24,[24]HISTOOCT24!$A$6:$AU$38,45,0)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VLOOKUP($A24,[24]HISTOOCT24!$A$6:$AU$38,7,0)</f>
        <v>0</v>
      </c>
      <c r="Q24" s="36">
        <f>VLOOKUP($A24,[24]HISTOOCT24!$A$6:$AU$38,23,0)</f>
        <v>0</v>
      </c>
      <c r="R24" s="36">
        <f>VLOOKUP($A24,[24]HISTOOCT24!$A$6:$AU$38,46,0)</f>
        <v>0</v>
      </c>
      <c r="S24" s="36">
        <f>VLOOKUP($A24,[24]HISTOOCT24!$A$6:$AU$38,26,0)</f>
        <v>0</v>
      </c>
      <c r="T24" s="36">
        <f>VLOOKUP($A24,[24]HISTOOCT24!$A$6:$BG$38,58,0)</f>
        <v>0</v>
      </c>
      <c r="U24" s="36">
        <f>VLOOKUP($A24,[24]HISTOOCT24!$A$6:$AU$38,28,0)</f>
        <v>0</v>
      </c>
      <c r="V24" s="36">
        <f>VLOOKUP($A24,[24]HISTOOCT24!$A$6:$AU$38,19,0)</f>
        <v>0</v>
      </c>
      <c r="W24" s="36">
        <f>VLOOKUP($A24,[24]HISTOOCT24!$A$6:$AU$38,20,0)</f>
        <v>0</v>
      </c>
      <c r="X24" s="36">
        <f>VLOOKUP($A24,[24]HISTOOCT24!$A$6:$AU$38,27,0)</f>
        <v>0</v>
      </c>
      <c r="Y24" s="36">
        <f>VLOOKUP($A24,[24]HISTOOCT24!$A$6:$BM$38,33,0)</f>
        <v>0</v>
      </c>
      <c r="Z24" s="36">
        <f>VLOOKUP($A24,[24]HISTOOCT24!$A$6:$BM$38,65,0)</f>
        <v>0</v>
      </c>
      <c r="AA24" s="36"/>
      <c r="AB24" s="36">
        <f>VLOOKUP($A24,[24]HISTOOCT24!$A$6:$AU$38,43,0)</f>
        <v>0</v>
      </c>
      <c r="AC24" s="36">
        <f>VLOOKUP($A24,[24]HISTOOCT24!$A$6:$AU$38,44,0)</f>
        <v>0</v>
      </c>
      <c r="AD24" s="36">
        <f>VLOOKUP($A24,[24]HISTOOCT24!$A$6:$AU$38,47,0)</f>
        <v>0</v>
      </c>
      <c r="AE24" s="36">
        <f>VLOOKUP(A24,[24]HISTOOCT24!$A$6:$BB$38,54,0)</f>
        <v>0</v>
      </c>
      <c r="AF24" s="36">
        <f>VLOOKUP($A24,[24]HISTOOCT24!$A$6:$CA$38,60,0)</f>
        <v>0</v>
      </c>
      <c r="AG24" s="36">
        <f>VLOOKUP($A24,[24]HISTOOCT24!$A$6:$CA$38,61,0)</f>
        <v>0</v>
      </c>
      <c r="AH24" s="36">
        <f>VLOOKUP($A24,[24]HISTOOCT24!$A$6:$CA$38,62,0)</f>
        <v>0</v>
      </c>
      <c r="AI24" s="36">
        <f>VLOOKUP($A24,[24]HISTOOCT24!$A$6:$CA$38,63,0)</f>
        <v>0</v>
      </c>
      <c r="AJ24" s="36">
        <f>VLOOKUP($A24,[24]HISTOOCT24!$A$6:$CA$38,64,0)</f>
        <v>0</v>
      </c>
      <c r="AK24" s="36">
        <f>VLOOKUP($A24,[24]HISTOOCT24!$A$6:$CA$38,65,0)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MVTSEPT24!I25-E25+L25</f>
        <v>1029141.7950432157</v>
      </c>
      <c r="G25" s="5">
        <f>IF(MVTSEPT24!I25+L25&gt;700000,(MVTSEPT24!I25-E25+L25),0)</f>
        <v>1029141.7950432157</v>
      </c>
      <c r="H25" s="36">
        <f t="shared" si="0"/>
        <v>0</v>
      </c>
      <c r="I25" s="6">
        <f t="shared" si="2"/>
        <v>1029141.7950432157</v>
      </c>
      <c r="J25" s="36">
        <f>VLOOKUP($A25,[24]HISTOOCT24!$A$6:$AQ$42,22,0)</f>
        <v>0</v>
      </c>
      <c r="K25" s="36">
        <f>VLOOKUP($A25,[24]HISTOOCT24!$A$6:$AU$38,45,0)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VLOOKUP($A25,[24]HISTOOCT24!$A$6:$AU$38,7,0)</f>
        <v>3000</v>
      </c>
      <c r="Q25" s="36">
        <f>VLOOKUP($A25,[24]HISTOOCT24!$A$6:$AU$38,23,0)</f>
        <v>0</v>
      </c>
      <c r="R25" s="36">
        <f>VLOOKUP($A25,[24]HISTOOCT24!$A$6:$AU$38,46,0)</f>
        <v>0</v>
      </c>
      <c r="S25" s="36">
        <f>VLOOKUP($A25,[24]HISTOOCT24!$A$6:$AU$38,26,0)</f>
        <v>0</v>
      </c>
      <c r="T25" s="36">
        <f>VLOOKUP($A25,[24]HISTOOCT24!$A$6:$BG$38,58,0)</f>
        <v>0</v>
      </c>
      <c r="U25" s="36">
        <f>VLOOKUP($A25,[24]HISTOOCT24!$A$6:$AU$38,28,0)</f>
        <v>0</v>
      </c>
      <c r="V25" s="36">
        <f>VLOOKUP($A25,[24]HISTOOCT24!$A$6:$AU$38,19,0)</f>
        <v>0</v>
      </c>
      <c r="W25" s="36">
        <f>VLOOKUP($A25,[24]HISTOOCT24!$A$6:$AU$38,20,0)</f>
        <v>0</v>
      </c>
      <c r="X25" s="36">
        <f>VLOOKUP($A25,[24]HISTOOCT24!$A$6:$AU$38,27,0)</f>
        <v>0</v>
      </c>
      <c r="Y25" s="36">
        <f>VLOOKUP($A25,[24]HISTOOCT24!$A$6:$BM$38,33,0)</f>
        <v>0</v>
      </c>
      <c r="Z25" s="36">
        <f>VLOOKUP($A25,[24]HISTOOCT24!$A$6:$BM$38,65,0)</f>
        <v>0</v>
      </c>
      <c r="AA25" s="36"/>
      <c r="AB25" s="36">
        <f>VLOOKUP($A25,[24]HISTOOCT24!$A$6:$AU$38,43,0)</f>
        <v>0</v>
      </c>
      <c r="AC25" s="36">
        <f>VLOOKUP($A25,[24]HISTOOCT24!$A$6:$AU$38,44,0)</f>
        <v>0</v>
      </c>
      <c r="AD25" s="36">
        <f>VLOOKUP($A25,[24]HISTOOCT24!$A$6:$AU$38,47,0)</f>
        <v>0</v>
      </c>
      <c r="AE25" s="36">
        <f>VLOOKUP(A25,[24]HISTOOCT24!$A$6:$BB$38,54,0)</f>
        <v>0</v>
      </c>
      <c r="AF25" s="36">
        <f>VLOOKUP($A25,[24]HISTOOCT24!$A$6:$CA$38,60,0)</f>
        <v>0</v>
      </c>
      <c r="AG25" s="36">
        <f>VLOOKUP($A25,[24]HISTOOCT24!$A$6:$CA$38,61,0)</f>
        <v>0</v>
      </c>
      <c r="AH25" s="36">
        <f>VLOOKUP($A25,[24]HISTOOCT24!$A$6:$CA$38,62,0)</f>
        <v>0</v>
      </c>
      <c r="AI25" s="36">
        <f>VLOOKUP($A25,[24]HISTOOCT24!$A$6:$CA$38,63,0)</f>
        <v>0</v>
      </c>
      <c r="AJ25" s="36">
        <f>VLOOKUP($A25,[24]HISTOOCT24!$A$6:$CA$38,64,0)</f>
        <v>0</v>
      </c>
      <c r="AK25" s="36">
        <f>VLOOKUP($A25,[24]HISTOOCT24!$A$6:$CA$38,65,0)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MVTSEPT24!I26-E26+L26</f>
        <v>957266.46813543816</v>
      </c>
      <c r="G26" s="5">
        <f>IF(MVTSEPT24!I26+L26&gt;700000,(MVTSEPT24!I26-E26+L26),0)</f>
        <v>957266.46813543816</v>
      </c>
      <c r="H26" s="36">
        <f t="shared" si="0"/>
        <v>0</v>
      </c>
      <c r="I26" s="6">
        <f t="shared" si="2"/>
        <v>957266.46813543816</v>
      </c>
      <c r="J26" s="36">
        <f>VLOOKUP($A26,[24]HISTOOCT24!$A$6:$AQ$42,22,0)</f>
        <v>0</v>
      </c>
      <c r="K26" s="36">
        <f>VLOOKUP($A26,[24]HISTOOCT24!$A$6:$AU$38,45,0)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VLOOKUP($A26,[24]HISTOOCT24!$A$6:$AU$38,7,0)</f>
        <v>0</v>
      </c>
      <c r="Q26" s="36">
        <f>VLOOKUP($A26,[24]HISTOOCT24!$A$6:$AU$38,23,0)</f>
        <v>0</v>
      </c>
      <c r="R26" s="36">
        <f>VLOOKUP($A26,[24]HISTOOCT24!$A$6:$AU$38,46,0)</f>
        <v>0</v>
      </c>
      <c r="S26" s="36">
        <f>VLOOKUP($A26,[24]HISTOOCT24!$A$6:$AU$38,26,0)</f>
        <v>0</v>
      </c>
      <c r="T26" s="36">
        <f>VLOOKUP($A26,[24]HISTOOCT24!$A$6:$BG$38,58,0)</f>
        <v>0</v>
      </c>
      <c r="U26" s="36">
        <f>VLOOKUP($A26,[24]HISTOOCT24!$A$6:$AU$38,28,0)</f>
        <v>0</v>
      </c>
      <c r="V26" s="36">
        <f>VLOOKUP($A26,[24]HISTOOCT24!$A$6:$AU$38,19,0)</f>
        <v>0</v>
      </c>
      <c r="W26" s="36">
        <f>VLOOKUP($A26,[24]HISTOOCT24!$A$6:$AU$38,20,0)</f>
        <v>0</v>
      </c>
      <c r="X26" s="36">
        <f>VLOOKUP($A26,[24]HISTOOCT24!$A$6:$AU$38,27,0)</f>
        <v>0</v>
      </c>
      <c r="Y26" s="36">
        <f>VLOOKUP($A26,[24]HISTOOCT24!$A$6:$BM$38,33,0)</f>
        <v>0</v>
      </c>
      <c r="Z26" s="36">
        <f>VLOOKUP($A26,[24]HISTOOCT24!$A$6:$BM$38,65,0)</f>
        <v>0</v>
      </c>
      <c r="AA26" s="36"/>
      <c r="AB26" s="36">
        <f>VLOOKUP($A26,[24]HISTOOCT24!$A$6:$AU$38,43,0)</f>
        <v>0</v>
      </c>
      <c r="AC26" s="36">
        <f>VLOOKUP($A26,[24]HISTOOCT24!$A$6:$AU$38,44,0)</f>
        <v>0</v>
      </c>
      <c r="AD26" s="36">
        <f>VLOOKUP($A26,[24]HISTOOCT24!$A$6:$AU$38,47,0)</f>
        <v>0</v>
      </c>
      <c r="AE26" s="36">
        <f>VLOOKUP(A26,[24]HISTOOCT24!$A$6:$BB$38,54,0)</f>
        <v>0</v>
      </c>
      <c r="AF26" s="36">
        <f>VLOOKUP($A26,[24]HISTOOCT24!$A$6:$CA$38,60,0)</f>
        <v>0</v>
      </c>
      <c r="AG26" s="36">
        <f>VLOOKUP($A26,[24]HISTOOCT24!$A$6:$CA$38,61,0)</f>
        <v>0</v>
      </c>
      <c r="AH26" s="36">
        <f>VLOOKUP($A26,[24]HISTOOCT24!$A$6:$CA$38,62,0)</f>
        <v>0</v>
      </c>
      <c r="AI26" s="36">
        <f>VLOOKUP($A26,[24]HISTOOCT24!$A$6:$CA$38,63,0)</f>
        <v>0</v>
      </c>
      <c r="AJ26" s="36">
        <f>VLOOKUP($A26,[24]HISTOOCT24!$A$6:$CA$38,64,0)</f>
        <v>0</v>
      </c>
      <c r="AK26" s="36">
        <f>VLOOKUP($A26,[24]HISTOOCT24!$A$6:$CA$38,65,0)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MVTSEPT24!I27-E27+L27</f>
        <v>957824.17371512204</v>
      </c>
      <c r="G27" s="5">
        <f>IF(MVTSEPT24!I27+L27&gt;700000,(MVTSEPT24!I27-E27+L27),0)</f>
        <v>957824.17371512204</v>
      </c>
      <c r="H27" s="36">
        <f t="shared" si="0"/>
        <v>0</v>
      </c>
      <c r="I27" s="6">
        <f t="shared" si="2"/>
        <v>957824.17371512204</v>
      </c>
      <c r="J27" s="36">
        <f>VLOOKUP($A27,[24]HISTOOCT24!$A$6:$AQ$42,22,0)</f>
        <v>0</v>
      </c>
      <c r="K27" s="36">
        <f>VLOOKUP($A27,[24]HISTOOCT24!$A$6:$AU$38,45,0)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VLOOKUP($A27,[24]HISTOOCT24!$A$6:$AU$38,7,0)</f>
        <v>0</v>
      </c>
      <c r="Q27" s="36">
        <f>VLOOKUP($A27,[24]HISTOOCT24!$A$6:$AU$38,23,0)</f>
        <v>0</v>
      </c>
      <c r="R27" s="36">
        <f>VLOOKUP($A27,[24]HISTOOCT24!$A$6:$AU$38,46,0)</f>
        <v>0</v>
      </c>
      <c r="S27" s="36">
        <f>VLOOKUP($A27,[24]HISTOOCT24!$A$6:$AU$38,26,0)</f>
        <v>0</v>
      </c>
      <c r="T27" s="36">
        <f>VLOOKUP($A27,[24]HISTOOCT24!$A$6:$BG$38,58,0)</f>
        <v>0</v>
      </c>
      <c r="U27" s="36">
        <f>VLOOKUP($A27,[24]HISTOOCT24!$A$6:$AU$38,28,0)</f>
        <v>0</v>
      </c>
      <c r="V27" s="36">
        <f>VLOOKUP($A27,[24]HISTOOCT24!$A$6:$AU$38,19,0)</f>
        <v>0</v>
      </c>
      <c r="W27" s="36">
        <f>VLOOKUP($A27,[24]HISTOOCT24!$A$6:$AU$38,20,0)</f>
        <v>0</v>
      </c>
      <c r="X27" s="36">
        <f>VLOOKUP($A27,[24]HISTOOCT24!$A$6:$AU$38,27,0)</f>
        <v>0</v>
      </c>
      <c r="Y27" s="36">
        <f>VLOOKUP($A27,[24]HISTOOCT24!$A$6:$BM$38,33,0)</f>
        <v>0</v>
      </c>
      <c r="Z27" s="36">
        <f>VLOOKUP($A27,[24]HISTOOCT24!$A$6:$BM$38,65,0)</f>
        <v>0</v>
      </c>
      <c r="AA27" s="36"/>
      <c r="AB27" s="36">
        <f>VLOOKUP($A27,[24]HISTOOCT24!$A$6:$AU$38,43,0)</f>
        <v>0</v>
      </c>
      <c r="AC27" s="36">
        <f>VLOOKUP($A27,[24]HISTOOCT24!$A$6:$AU$38,44,0)</f>
        <v>0</v>
      </c>
      <c r="AD27" s="36">
        <f>VLOOKUP($A27,[24]HISTOOCT24!$A$6:$AU$38,47,0)</f>
        <v>0</v>
      </c>
      <c r="AE27" s="36">
        <f>VLOOKUP(A27,[24]HISTOOCT24!$A$6:$BB$38,54,0)</f>
        <v>0</v>
      </c>
      <c r="AF27" s="36">
        <f>VLOOKUP($A27,[24]HISTOOCT24!$A$6:$CA$38,60,0)</f>
        <v>0</v>
      </c>
      <c r="AG27" s="36">
        <f>VLOOKUP($A27,[24]HISTOOCT24!$A$6:$CA$38,61,0)</f>
        <v>0</v>
      </c>
      <c r="AH27" s="36">
        <f>VLOOKUP($A27,[24]HISTOOCT24!$A$6:$CA$38,62,0)</f>
        <v>0</v>
      </c>
      <c r="AI27" s="36">
        <f>VLOOKUP($A27,[24]HISTOOCT24!$A$6:$CA$38,63,0)</f>
        <v>0</v>
      </c>
      <c r="AJ27" s="36">
        <f>VLOOKUP($A27,[24]HISTOOCT24!$A$6:$CA$38,64,0)</f>
        <v>0</v>
      </c>
      <c r="AK27" s="36">
        <f>VLOOKUP($A27,[24]HISTOOCT24!$A$6:$CA$38,65,0)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MVTSEPT24!I28-E28+L28</f>
        <v>859176.12513194664</v>
      </c>
      <c r="G28" s="5">
        <f>IF(MVTSEPT24!I28+L28&gt;700000,(MVTSEPT24!I28-E28+L28),0)</f>
        <v>859176.12513194664</v>
      </c>
      <c r="H28" s="36">
        <f t="shared" si="0"/>
        <v>0</v>
      </c>
      <c r="I28" s="6">
        <f t="shared" si="2"/>
        <v>859176.12513194664</v>
      </c>
      <c r="J28" s="36">
        <f>VLOOKUP($A28,[24]HISTOOCT24!$A$6:$AQ$42,22,0)</f>
        <v>0</v>
      </c>
      <c r="K28" s="36">
        <f>VLOOKUP($A28,[24]HISTOOCT24!$A$6:$AU$38,45,0)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VLOOKUP($A28,[24]HISTOOCT24!$A$6:$AU$38,7,0)</f>
        <v>0</v>
      </c>
      <c r="Q28" s="36">
        <f>VLOOKUP($A28,[24]HISTOOCT24!$A$6:$AU$38,23,0)</f>
        <v>0</v>
      </c>
      <c r="R28" s="36">
        <f>VLOOKUP($A28,[24]HISTOOCT24!$A$6:$AU$38,46,0)</f>
        <v>0</v>
      </c>
      <c r="S28" s="36">
        <f>VLOOKUP($A28,[24]HISTOOCT24!$A$6:$AU$38,26,0)</f>
        <v>0</v>
      </c>
      <c r="T28" s="36">
        <f>VLOOKUP($A28,[24]HISTOOCT24!$A$6:$BG$38,58,0)</f>
        <v>0</v>
      </c>
      <c r="U28" s="36">
        <f>VLOOKUP($A28,[24]HISTOOCT24!$A$6:$AU$38,28,0)</f>
        <v>0</v>
      </c>
      <c r="V28" s="36">
        <f>VLOOKUP($A28,[24]HISTOOCT24!$A$6:$AU$38,19,0)</f>
        <v>0</v>
      </c>
      <c r="W28" s="36">
        <f>VLOOKUP($A28,[24]HISTOOCT24!$A$6:$AU$38,20,0)</f>
        <v>0</v>
      </c>
      <c r="X28" s="36">
        <f>VLOOKUP($A28,[24]HISTOOCT24!$A$6:$AU$38,27,0)</f>
        <v>0</v>
      </c>
      <c r="Y28" s="36">
        <f>VLOOKUP($A28,[24]HISTOOCT24!$A$6:$BM$38,33,0)</f>
        <v>0</v>
      </c>
      <c r="Z28" s="36">
        <f>VLOOKUP($A28,[24]HISTOOCT24!$A$6:$BM$38,65,0)</f>
        <v>0</v>
      </c>
      <c r="AA28" s="36"/>
      <c r="AB28" s="36">
        <f>VLOOKUP($A28,[24]HISTOOCT24!$A$6:$AU$38,43,0)</f>
        <v>0</v>
      </c>
      <c r="AC28" s="36">
        <f>VLOOKUP($A28,[24]HISTOOCT24!$A$6:$AU$38,44,0)</f>
        <v>0</v>
      </c>
      <c r="AD28" s="36">
        <f>VLOOKUP($A28,[24]HISTOOCT24!$A$6:$AU$38,47,0)</f>
        <v>0</v>
      </c>
      <c r="AE28" s="36">
        <f>VLOOKUP(A28,[24]HISTOOCT24!$A$6:$BB$38,54,0)</f>
        <v>0</v>
      </c>
      <c r="AF28" s="36">
        <f>VLOOKUP($A28,[24]HISTOOCT24!$A$6:$CA$38,60,0)</f>
        <v>0</v>
      </c>
      <c r="AG28" s="36">
        <f>VLOOKUP($A28,[24]HISTOOCT24!$A$6:$CA$38,61,0)</f>
        <v>0</v>
      </c>
      <c r="AH28" s="36">
        <f>VLOOKUP($A28,[24]HISTOOCT24!$A$6:$CA$38,62,0)</f>
        <v>0</v>
      </c>
      <c r="AI28" s="36">
        <f>VLOOKUP($A28,[24]HISTOOCT24!$A$6:$CA$38,63,0)</f>
        <v>0</v>
      </c>
      <c r="AJ28" s="36">
        <f>VLOOKUP($A28,[24]HISTOOCT24!$A$6:$CA$38,64,0)</f>
        <v>0</v>
      </c>
      <c r="AK28" s="36">
        <f>VLOOKUP($A28,[24]HISTOOCT24!$A$6:$CA$38,65,0)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MVTSEPT24!I29-E29+L29</f>
        <v>984151.34423741512</v>
      </c>
      <c r="G29" s="5">
        <f>IF(MVTSEPT24!I29+L29&gt;700000,(MVTSEPT24!I29-E29+L29),0)</f>
        <v>984151.34423741512</v>
      </c>
      <c r="H29" s="36">
        <f t="shared" si="0"/>
        <v>0</v>
      </c>
      <c r="I29" s="6">
        <f t="shared" si="2"/>
        <v>984151.34423741512</v>
      </c>
      <c r="J29" s="36">
        <f>VLOOKUP($A29,[24]HISTOOCT24!$A$6:$AQ$42,22,0)</f>
        <v>0</v>
      </c>
      <c r="K29" s="36">
        <f>VLOOKUP($A29,[24]HISTOOCT24!$A$6:$AU$38,45,0)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VLOOKUP($A29,[24]HISTOOCT24!$A$6:$AU$38,7,0)</f>
        <v>0</v>
      </c>
      <c r="Q29" s="36">
        <f>VLOOKUP($A29,[24]HISTOOCT24!$A$6:$AU$38,23,0)</f>
        <v>0</v>
      </c>
      <c r="R29" s="36">
        <f>VLOOKUP($A29,[24]HISTOOCT24!$A$6:$AU$38,46,0)</f>
        <v>0</v>
      </c>
      <c r="S29" s="36">
        <f>VLOOKUP($A29,[24]HISTOOCT24!$A$6:$AU$38,26,0)</f>
        <v>0</v>
      </c>
      <c r="T29" s="36">
        <f>VLOOKUP($A29,[24]HISTOOCT24!$A$6:$BG$38,58,0)</f>
        <v>0</v>
      </c>
      <c r="U29" s="36">
        <f>VLOOKUP($A29,[24]HISTOOCT24!$A$6:$AU$38,28,0)</f>
        <v>0</v>
      </c>
      <c r="V29" s="36">
        <f>VLOOKUP($A29,[24]HISTOOCT24!$A$6:$AU$38,19,0)</f>
        <v>0</v>
      </c>
      <c r="W29" s="36">
        <f>VLOOKUP($A29,[24]HISTOOCT24!$A$6:$AU$38,20,0)</f>
        <v>0</v>
      </c>
      <c r="X29" s="36">
        <f>VLOOKUP($A29,[24]HISTOOCT24!$A$6:$AU$38,27,0)</f>
        <v>0</v>
      </c>
      <c r="Y29" s="36">
        <f>VLOOKUP($A29,[24]HISTOOCT24!$A$6:$BM$38,33,0)</f>
        <v>0</v>
      </c>
      <c r="Z29" s="36">
        <f>VLOOKUP($A29,[24]HISTOOCT24!$A$6:$BM$38,65,0)</f>
        <v>0</v>
      </c>
      <c r="AA29" s="36"/>
      <c r="AB29" s="36">
        <f>VLOOKUP($A29,[24]HISTOOCT24!$A$6:$AU$38,43,0)</f>
        <v>0</v>
      </c>
      <c r="AC29" s="36">
        <f>VLOOKUP($A29,[24]HISTOOCT24!$A$6:$AU$38,44,0)</f>
        <v>0</v>
      </c>
      <c r="AD29" s="36">
        <f>VLOOKUP($A29,[24]HISTOOCT24!$A$6:$AU$38,47,0)</f>
        <v>0</v>
      </c>
      <c r="AE29" s="36">
        <f>VLOOKUP(A29,[24]HISTOOCT24!$A$6:$BB$38,54,0)</f>
        <v>0</v>
      </c>
      <c r="AF29" s="36">
        <f>VLOOKUP($A29,[24]HISTOOCT24!$A$6:$CA$38,60,0)</f>
        <v>0</v>
      </c>
      <c r="AG29" s="36">
        <f>VLOOKUP($A29,[24]HISTOOCT24!$A$6:$CA$38,61,0)</f>
        <v>0</v>
      </c>
      <c r="AH29" s="36">
        <f>VLOOKUP($A29,[24]HISTOOCT24!$A$6:$CA$38,62,0)</f>
        <v>0</v>
      </c>
      <c r="AI29" s="36">
        <f>VLOOKUP($A29,[24]HISTOOCT24!$A$6:$CA$38,63,0)</f>
        <v>0</v>
      </c>
      <c r="AJ29" s="36">
        <f>VLOOKUP($A29,[24]HISTOOCT24!$A$6:$CA$38,64,0)</f>
        <v>0</v>
      </c>
      <c r="AK29" s="36">
        <f>VLOOKUP($A29,[24]HISTOOCT24!$A$6:$CA$38,65,0)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MVTSEPT24!I30-E30+L30</f>
        <v>888786.81046782702</v>
      </c>
      <c r="G30" s="5">
        <f>IF(MVTSEPT24!I30+L30&gt;700000,(MVTSEPT24!I30-E30+L30),0)</f>
        <v>888786.81046782702</v>
      </c>
      <c r="H30" s="36">
        <f t="shared" si="0"/>
        <v>0</v>
      </c>
      <c r="I30" s="6">
        <f t="shared" si="2"/>
        <v>888786.81046782702</v>
      </c>
      <c r="J30" s="36">
        <f>VLOOKUP($A30,[24]HISTOOCT24!$A$6:$AQ$42,22,0)</f>
        <v>0</v>
      </c>
      <c r="K30" s="36">
        <f>VLOOKUP($A30,[24]HISTOOCT24!$A$6:$AU$38,45,0)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VLOOKUP($A30,[24]HISTOOCT24!$A$6:$AU$38,7,0)</f>
        <v>0</v>
      </c>
      <c r="Q30" s="36">
        <f>VLOOKUP($A30,[24]HISTOOCT24!$A$6:$AU$38,23,0)</f>
        <v>0</v>
      </c>
      <c r="R30" s="36">
        <f>VLOOKUP($A30,[24]HISTOOCT24!$A$6:$AU$38,46,0)</f>
        <v>0</v>
      </c>
      <c r="S30" s="36">
        <f>VLOOKUP($A30,[24]HISTOOCT24!$A$6:$AU$38,26,0)</f>
        <v>0</v>
      </c>
      <c r="T30" s="36">
        <f>VLOOKUP($A30,[24]HISTOOCT24!$A$6:$BG$38,58,0)</f>
        <v>0</v>
      </c>
      <c r="U30" s="36">
        <f>VLOOKUP($A30,[24]HISTOOCT24!$A$6:$AU$38,28,0)</f>
        <v>0</v>
      </c>
      <c r="V30" s="36">
        <f>VLOOKUP($A30,[24]HISTOOCT24!$A$6:$AU$38,19,0)</f>
        <v>0</v>
      </c>
      <c r="W30" s="36">
        <f>VLOOKUP($A30,[24]HISTOOCT24!$A$6:$AU$38,20,0)</f>
        <v>0</v>
      </c>
      <c r="X30" s="36">
        <f>VLOOKUP($A30,[24]HISTOOCT24!$A$6:$AU$38,27,0)</f>
        <v>0</v>
      </c>
      <c r="Y30" s="36">
        <f>VLOOKUP($A30,[24]HISTOOCT24!$A$6:$BM$38,33,0)</f>
        <v>0</v>
      </c>
      <c r="Z30" s="36">
        <f>VLOOKUP($A30,[24]HISTOOCT24!$A$6:$BM$38,65,0)</f>
        <v>0</v>
      </c>
      <c r="AA30" s="36"/>
      <c r="AB30" s="36">
        <f>VLOOKUP($A30,[24]HISTOOCT24!$A$6:$AU$38,43,0)</f>
        <v>0</v>
      </c>
      <c r="AC30" s="36">
        <f>VLOOKUP($A30,[24]HISTOOCT24!$A$6:$AU$38,44,0)</f>
        <v>0</v>
      </c>
      <c r="AD30" s="36">
        <f>VLOOKUP($A30,[24]HISTOOCT24!$A$6:$AU$38,47,0)</f>
        <v>0</v>
      </c>
      <c r="AE30" s="36">
        <f>VLOOKUP(A30,[24]HISTOOCT24!$A$6:$BB$38,54,0)</f>
        <v>0</v>
      </c>
      <c r="AF30" s="36">
        <f>VLOOKUP($A30,[24]HISTOOCT24!$A$6:$CA$38,60,0)</f>
        <v>0</v>
      </c>
      <c r="AG30" s="36">
        <f>VLOOKUP($A30,[24]HISTOOCT24!$A$6:$CA$38,61,0)</f>
        <v>0</v>
      </c>
      <c r="AH30" s="36">
        <f>VLOOKUP($A30,[24]HISTOOCT24!$A$6:$CA$38,62,0)</f>
        <v>0</v>
      </c>
      <c r="AI30" s="36">
        <f>VLOOKUP($A30,[24]HISTOOCT24!$A$6:$CA$38,63,0)</f>
        <v>0</v>
      </c>
      <c r="AJ30" s="36">
        <f>VLOOKUP($A30,[24]HISTOOCT24!$A$6:$CA$38,64,0)</f>
        <v>0</v>
      </c>
      <c r="AK30" s="36">
        <f>VLOOKUP($A30,[24]HISTOOCT24!$A$6:$CA$38,65,0)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MVTSEPT24!I31-E31+L31</f>
        <v>1048903.0311481347</v>
      </c>
      <c r="G31" s="5">
        <f>IF(MVTSEPT24!I31+L31&gt;700000,(MVTSEPT24!I31-E31+L31),0)</f>
        <v>1048903.0311481347</v>
      </c>
      <c r="H31" s="36">
        <f t="shared" si="0"/>
        <v>0</v>
      </c>
      <c r="I31" s="6">
        <f t="shared" si="2"/>
        <v>1048903.0311481347</v>
      </c>
      <c r="J31" s="36">
        <f>VLOOKUP($A31,[24]HISTOOCT24!$A$6:$AQ$42,22,0)</f>
        <v>0</v>
      </c>
      <c r="K31" s="36">
        <f>VLOOKUP($A31,[24]HISTOOCT24!$A$6:$AU$38,45,0)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VLOOKUP($A31,[24]HISTOOCT24!$A$6:$AU$38,7,0)</f>
        <v>0</v>
      </c>
      <c r="Q31" s="36">
        <f>VLOOKUP($A31,[24]HISTOOCT24!$A$6:$AU$38,23,0)</f>
        <v>0</v>
      </c>
      <c r="R31" s="36">
        <f>VLOOKUP($A31,[24]HISTOOCT24!$A$6:$AU$38,46,0)</f>
        <v>0</v>
      </c>
      <c r="S31" s="36">
        <f>VLOOKUP($A31,[24]HISTOOCT24!$A$6:$AU$38,26,0)</f>
        <v>0</v>
      </c>
      <c r="T31" s="36">
        <f>VLOOKUP($A31,[24]HISTOOCT24!$A$6:$BG$38,58,0)</f>
        <v>0</v>
      </c>
      <c r="U31" s="36">
        <f>VLOOKUP($A31,[24]HISTOOCT24!$A$6:$AU$38,28,0)</f>
        <v>0</v>
      </c>
      <c r="V31" s="36">
        <f>VLOOKUP($A31,[24]HISTOOCT24!$A$6:$AU$38,19,0)</f>
        <v>0</v>
      </c>
      <c r="W31" s="36">
        <f>VLOOKUP($A31,[24]HISTOOCT24!$A$6:$AU$38,20,0)</f>
        <v>0</v>
      </c>
      <c r="X31" s="36">
        <f>VLOOKUP($A31,[24]HISTOOCT24!$A$6:$AU$38,27,0)</f>
        <v>0</v>
      </c>
      <c r="Y31" s="36">
        <f>VLOOKUP($A31,[24]HISTOOCT24!$A$6:$BM$38,33,0)</f>
        <v>0</v>
      </c>
      <c r="Z31" s="36">
        <f>VLOOKUP($A31,[24]HISTOOCT24!$A$6:$BM$38,65,0)</f>
        <v>0</v>
      </c>
      <c r="AA31" s="36"/>
      <c r="AB31" s="36">
        <f>VLOOKUP($A31,[24]HISTOOCT24!$A$6:$AU$38,43,0)</f>
        <v>0</v>
      </c>
      <c r="AC31" s="36">
        <f>VLOOKUP($A31,[24]HISTOOCT24!$A$6:$AU$38,44,0)</f>
        <v>0</v>
      </c>
      <c r="AD31" s="36">
        <f>VLOOKUP($A31,[24]HISTOOCT24!$A$6:$AU$38,47,0)</f>
        <v>0</v>
      </c>
      <c r="AE31" s="36">
        <f>VLOOKUP(A31,[24]HISTOOCT24!$A$6:$BB$38,54,0)</f>
        <v>0</v>
      </c>
      <c r="AF31" s="36">
        <f>VLOOKUP($A31,[24]HISTOOCT24!$A$6:$CA$38,60,0)</f>
        <v>0</v>
      </c>
      <c r="AG31" s="36">
        <f>VLOOKUP($A31,[24]HISTOOCT24!$A$6:$CA$38,61,0)</f>
        <v>0</v>
      </c>
      <c r="AH31" s="36">
        <f>VLOOKUP($A31,[24]HISTOOCT24!$A$6:$CA$38,62,0)</f>
        <v>0</v>
      </c>
      <c r="AI31" s="36">
        <f>VLOOKUP($A31,[24]HISTOOCT24!$A$6:$CA$38,63,0)</f>
        <v>0</v>
      </c>
      <c r="AJ31" s="36">
        <f>VLOOKUP($A31,[24]HISTOOCT24!$A$6:$CA$38,64,0)</f>
        <v>0</v>
      </c>
      <c r="AK31" s="36">
        <f>VLOOKUP($A31,[24]HISTOOCT24!$A$6:$CA$38,65,0)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MVTSEPT24!I32-E32+L32</f>
        <v>938243.98131057119</v>
      </c>
      <c r="G32" s="5">
        <f>IF(MVTSEPT24!I32+L32&gt;700000,(MVTSEPT24!I32-E32+L32),0)</f>
        <v>938243.98131057119</v>
      </c>
      <c r="H32" s="36">
        <f t="shared" si="0"/>
        <v>0</v>
      </c>
      <c r="I32" s="6">
        <f t="shared" si="2"/>
        <v>938243.98131057119</v>
      </c>
      <c r="J32" s="36">
        <f>VLOOKUP($A32,[24]HISTOOCT24!$A$6:$AQ$42,22,0)</f>
        <v>0</v>
      </c>
      <c r="K32" s="36">
        <f>VLOOKUP($A32,[24]HISTOOCT24!$A$6:$AU$38,45,0)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VLOOKUP($A32,[24]HISTOOCT24!$A$6:$AU$38,7,0)</f>
        <v>0</v>
      </c>
      <c r="Q32" s="36">
        <f>VLOOKUP($A32,[24]HISTOOCT24!$A$6:$AU$38,23,0)</f>
        <v>0</v>
      </c>
      <c r="R32" s="36">
        <f>VLOOKUP($A32,[24]HISTOOCT24!$A$6:$AU$38,46,0)</f>
        <v>0</v>
      </c>
      <c r="S32" s="36">
        <f>VLOOKUP($A32,[24]HISTOOCT24!$A$6:$AU$38,26,0)</f>
        <v>0</v>
      </c>
      <c r="T32" s="36">
        <f>VLOOKUP($A32,[24]HISTOOCT24!$A$6:$BG$38,58,0)</f>
        <v>0</v>
      </c>
      <c r="U32" s="36">
        <f>VLOOKUP($A32,[24]HISTOOCT24!$A$6:$AU$38,28,0)</f>
        <v>0</v>
      </c>
      <c r="V32" s="36">
        <f>VLOOKUP($A32,[24]HISTOOCT24!$A$6:$AU$38,19,0)</f>
        <v>0</v>
      </c>
      <c r="W32" s="36">
        <f>VLOOKUP($A32,[24]HISTOOCT24!$A$6:$AU$38,20,0)</f>
        <v>0</v>
      </c>
      <c r="X32" s="36">
        <f>VLOOKUP($A32,[24]HISTOOCT24!$A$6:$AU$38,27,0)</f>
        <v>0</v>
      </c>
      <c r="Y32" s="36">
        <f>VLOOKUP($A32,[24]HISTOOCT24!$A$6:$BM$38,33,0)</f>
        <v>0</v>
      </c>
      <c r="Z32" s="36">
        <f>VLOOKUP($A32,[24]HISTOOCT24!$A$6:$BM$38,65,0)</f>
        <v>0</v>
      </c>
      <c r="AA32" s="36"/>
      <c r="AB32" s="36">
        <f>VLOOKUP($A32,[24]HISTOOCT24!$A$6:$AU$38,43,0)</f>
        <v>0</v>
      </c>
      <c r="AC32" s="36">
        <f>VLOOKUP($A32,[24]HISTOOCT24!$A$6:$AU$38,44,0)</f>
        <v>0</v>
      </c>
      <c r="AD32" s="36">
        <f>VLOOKUP($A32,[24]HISTOOCT24!$A$6:$AU$38,47,0)</f>
        <v>0</v>
      </c>
      <c r="AE32" s="36">
        <f>VLOOKUP(A32,[24]HISTOOCT24!$A$6:$BB$38,54,0)</f>
        <v>0</v>
      </c>
      <c r="AF32" s="36">
        <f>VLOOKUP($A32,[24]HISTOOCT24!$A$6:$CA$38,60,0)</f>
        <v>0</v>
      </c>
      <c r="AG32" s="36">
        <f>VLOOKUP($A32,[24]HISTOOCT24!$A$6:$CA$38,61,0)</f>
        <v>0</v>
      </c>
      <c r="AH32" s="36">
        <f>VLOOKUP($A32,[24]HISTOOCT24!$A$6:$CA$38,62,0)</f>
        <v>0</v>
      </c>
      <c r="AI32" s="36">
        <f>VLOOKUP($A32,[24]HISTOOCT24!$A$6:$CA$38,63,0)</f>
        <v>0</v>
      </c>
      <c r="AJ32" s="36">
        <f>VLOOKUP($A32,[24]HISTOOCT24!$A$6:$CA$38,64,0)</f>
        <v>0</v>
      </c>
      <c r="AK32" s="36">
        <f>VLOOKUP($A32,[24]HISTOOCT24!$A$6:$CA$38,65,0)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MVTSEPT24!I33-E33+L33</f>
        <v>938552.64928596013</v>
      </c>
      <c r="G33" s="5">
        <f>IF(MVTSEPT24!I33+L33&gt;700000,(MVTSEPT24!I33-E33+L33),0)</f>
        <v>938552.64928596013</v>
      </c>
      <c r="H33" s="36">
        <f t="shared" si="0"/>
        <v>0</v>
      </c>
      <c r="I33" s="6">
        <f t="shared" si="2"/>
        <v>938552.64928596013</v>
      </c>
      <c r="J33" s="36">
        <f>VLOOKUP($A33,[24]HISTOOCT24!$A$6:$AQ$42,22,0)</f>
        <v>0</v>
      </c>
      <c r="K33" s="36">
        <f>VLOOKUP($A33,[24]HISTOOCT24!$A$6:$AU$38,45,0)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VLOOKUP($A33,[24]HISTOOCT24!$A$6:$AU$38,7,0)</f>
        <v>0</v>
      </c>
      <c r="Q33" s="36">
        <f>VLOOKUP($A33,[24]HISTOOCT24!$A$6:$AU$38,23,0)</f>
        <v>0</v>
      </c>
      <c r="R33" s="36">
        <f>VLOOKUP($A33,[24]HISTOOCT24!$A$6:$AU$38,46,0)</f>
        <v>0</v>
      </c>
      <c r="S33" s="36">
        <f>VLOOKUP($A33,[24]HISTOOCT24!$A$6:$AU$38,26,0)</f>
        <v>0</v>
      </c>
      <c r="T33" s="36">
        <f>VLOOKUP($A33,[24]HISTOOCT24!$A$6:$BG$38,58,0)</f>
        <v>0</v>
      </c>
      <c r="U33" s="36">
        <f>VLOOKUP($A33,[24]HISTOOCT24!$A$6:$AU$38,28,0)</f>
        <v>0</v>
      </c>
      <c r="V33" s="36">
        <f>VLOOKUP($A33,[24]HISTOOCT24!$A$6:$AU$38,19,0)</f>
        <v>0</v>
      </c>
      <c r="W33" s="36">
        <f>VLOOKUP($A33,[24]HISTOOCT24!$A$6:$AU$38,20,0)</f>
        <v>0</v>
      </c>
      <c r="X33" s="36">
        <f>VLOOKUP($A33,[24]HISTOOCT24!$A$6:$AU$38,27,0)</f>
        <v>0</v>
      </c>
      <c r="Y33" s="36">
        <f>VLOOKUP($A33,[24]HISTOOCT24!$A$6:$BM$38,33,0)</f>
        <v>0</v>
      </c>
      <c r="Z33" s="36">
        <f>VLOOKUP($A33,[24]HISTOOCT24!$A$6:$BM$38,65,0)</f>
        <v>0</v>
      </c>
      <c r="AA33" s="36"/>
      <c r="AB33" s="36">
        <f>VLOOKUP($A33,[24]HISTOOCT24!$A$6:$AU$38,43,0)</f>
        <v>0</v>
      </c>
      <c r="AC33" s="36">
        <f>VLOOKUP($A33,[24]HISTOOCT24!$A$6:$AU$38,44,0)</f>
        <v>0</v>
      </c>
      <c r="AD33" s="36">
        <f>VLOOKUP($A33,[24]HISTOOCT24!$A$6:$AU$38,47,0)</f>
        <v>0</v>
      </c>
      <c r="AE33" s="36">
        <f>VLOOKUP(A33,[24]HISTOOCT24!$A$6:$BB$38,54,0)</f>
        <v>0</v>
      </c>
      <c r="AF33" s="36">
        <f>VLOOKUP($A33,[24]HISTOOCT24!$A$6:$CA$38,60,0)</f>
        <v>0</v>
      </c>
      <c r="AG33" s="36">
        <f>VLOOKUP($A33,[24]HISTOOCT24!$A$6:$CA$38,61,0)</f>
        <v>0</v>
      </c>
      <c r="AH33" s="36">
        <f>VLOOKUP($A33,[24]HISTOOCT24!$A$6:$CA$38,62,0)</f>
        <v>0</v>
      </c>
      <c r="AI33" s="36">
        <f>VLOOKUP($A33,[24]HISTOOCT24!$A$6:$CA$38,63,0)</f>
        <v>0</v>
      </c>
      <c r="AJ33" s="36">
        <f>VLOOKUP($A33,[24]HISTOOCT24!$A$6:$CA$38,64,0)</f>
        <v>0</v>
      </c>
      <c r="AK33" s="36">
        <f>VLOOKUP($A33,[24]HISTOOCT24!$A$6:$CA$38,65,0)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MVTSEPT24!I34-E34+L34</f>
        <v>595000</v>
      </c>
      <c r="G34" s="5">
        <f>IF(MVTSEPT24!I34+L34&gt;700000,(MVTSEPT24!I34-E34+L34),0)</f>
        <v>0</v>
      </c>
      <c r="H34" s="36">
        <f t="shared" si="0"/>
        <v>0</v>
      </c>
      <c r="I34" s="6">
        <f t="shared" si="2"/>
        <v>595000</v>
      </c>
      <c r="J34" s="36">
        <f>VLOOKUP($A34,[24]HISTOOCT24!$A$6:$AQ$42,22,0)</f>
        <v>0</v>
      </c>
      <c r="K34" s="36">
        <f>VLOOKUP($A34,[24]HISTOOCT24!$A$6:$AU$38,45,0)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VLOOKUP($A34,[24]HISTOOCT24!$A$6:$AU$38,7,0)</f>
        <v>0</v>
      </c>
      <c r="Q34" s="36">
        <f>VLOOKUP($A34,[24]HISTOOCT24!$A$6:$AU$38,23,0)</f>
        <v>0</v>
      </c>
      <c r="R34" s="36">
        <f>VLOOKUP($A34,[24]HISTOOCT24!$A$6:$AU$38,46,0)</f>
        <v>0</v>
      </c>
      <c r="S34" s="36">
        <f>VLOOKUP($A34,[24]HISTOOCT24!$A$6:$AU$38,26,0)</f>
        <v>0</v>
      </c>
      <c r="T34" s="36">
        <f>VLOOKUP($A34,[24]HISTOOCT24!$A$6:$BG$38,58,0)</f>
        <v>0</v>
      </c>
      <c r="U34" s="36">
        <f>VLOOKUP($A34,[24]HISTOOCT24!$A$6:$AU$38,28,0)</f>
        <v>0</v>
      </c>
      <c r="V34" s="36">
        <f>VLOOKUP($A34,[24]HISTOOCT24!$A$6:$AU$38,19,0)</f>
        <v>0</v>
      </c>
      <c r="W34" s="36">
        <f>VLOOKUP($A34,[24]HISTOOCT24!$A$6:$AU$38,20,0)</f>
        <v>0</v>
      </c>
      <c r="X34" s="36">
        <f>VLOOKUP($A34,[24]HISTOOCT24!$A$6:$AU$38,27,0)</f>
        <v>0</v>
      </c>
      <c r="Y34" s="36">
        <f>VLOOKUP($A34,[24]HISTOOCT24!$A$6:$BM$38,33,0)</f>
        <v>0</v>
      </c>
      <c r="Z34" s="36">
        <f>VLOOKUP($A34,[24]HISTOOCT24!$A$6:$BM$38,65,0)</f>
        <v>0</v>
      </c>
      <c r="AA34" s="36"/>
      <c r="AB34" s="36">
        <f>VLOOKUP($A34,[24]HISTOOCT24!$A$6:$AU$38,43,0)</f>
        <v>0</v>
      </c>
      <c r="AC34" s="36">
        <f>VLOOKUP($A34,[24]HISTOOCT24!$A$6:$AU$38,44,0)</f>
        <v>0</v>
      </c>
      <c r="AD34" s="36">
        <f>VLOOKUP($A34,[24]HISTOOCT24!$A$6:$AU$38,47,0)</f>
        <v>0</v>
      </c>
      <c r="AE34" s="36">
        <f>VLOOKUP(A34,[24]HISTOOCT24!$A$6:$BB$38,54,0)</f>
        <v>0</v>
      </c>
      <c r="AF34" s="36">
        <f>VLOOKUP($A34,[24]HISTOOCT24!$A$6:$CA$38,60,0)</f>
        <v>0</v>
      </c>
      <c r="AG34" s="36">
        <f>VLOOKUP($A34,[24]HISTOOCT24!$A$6:$CA$38,61,0)</f>
        <v>0</v>
      </c>
      <c r="AH34" s="36">
        <f>VLOOKUP($A34,[24]HISTOOCT24!$A$6:$CA$38,62,0)</f>
        <v>0</v>
      </c>
      <c r="AI34" s="36">
        <f>VLOOKUP($A34,[24]HISTOOCT24!$A$6:$CA$38,63,0)</f>
        <v>0</v>
      </c>
      <c r="AJ34" s="36">
        <f>VLOOKUP($A34,[24]HISTOOCT24!$A$6:$CA$38,64,0)</f>
        <v>0</v>
      </c>
      <c r="AK34" s="36">
        <f>VLOOKUP($A34,[24]HISTOOCT24!$A$6:$CA$38,65,0)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MVTSEPT24!I35-E35+L35</f>
        <v>290000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290000</v>
      </c>
      <c r="J35" s="36">
        <f>VLOOKUP($A35,[24]HISTOOCT24!$A$6:$AQ$42,22,0)</f>
        <v>0</v>
      </c>
      <c r="K35" s="36">
        <f>VLOOKUP($A35,[24]HISTOOCT24!$A$6:$AU$38,45,0)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VLOOKUP($A35,[24]HISTOOCT24!$A$6:$AU$38,7,0)</f>
        <v>3000</v>
      </c>
      <c r="Q35" s="36">
        <f>VLOOKUP($A35,[24]HISTOOCT24!$A$6:$AU$38,23,0)</f>
        <v>0</v>
      </c>
      <c r="R35" s="36">
        <f>VLOOKUP($A35,[24]HISTOOCT24!$A$6:$AU$38,46,0)</f>
        <v>0</v>
      </c>
      <c r="S35" s="36">
        <f>VLOOKUP($A35,[24]HISTOOCT24!$A$6:$AU$38,26,0)</f>
        <v>0</v>
      </c>
      <c r="T35" s="36">
        <f>VLOOKUP($A35,[24]HISTOOCT24!$A$6:$BG$38,58,0)</f>
        <v>0</v>
      </c>
      <c r="U35" s="36">
        <f>VLOOKUP($A35,[24]HISTOOCT24!$A$6:$AU$38,28,0)</f>
        <v>0</v>
      </c>
      <c r="V35" s="36">
        <f>VLOOKUP($A35,[24]HISTOOCT24!$A$6:$AU$38,19,0)</f>
        <v>0</v>
      </c>
      <c r="W35" s="36">
        <f>VLOOKUP($A35,[24]HISTOOCT24!$A$6:$AU$38,20,0)</f>
        <v>0</v>
      </c>
      <c r="X35" s="36">
        <f>VLOOKUP($A35,[24]HISTOOCT24!$A$6:$AU$38,27,0)</f>
        <v>0</v>
      </c>
      <c r="Y35" s="36">
        <f>VLOOKUP($A35,[24]HISTOOCT24!$A$6:$BM$38,33,0)</f>
        <v>0</v>
      </c>
      <c r="Z35" s="36">
        <f>VLOOKUP($A35,[24]HISTOOCT24!$A$6:$BM$38,65,0)</f>
        <v>0</v>
      </c>
      <c r="AA35" s="36"/>
      <c r="AB35" s="36">
        <f>VLOOKUP($A35,[24]HISTOOCT24!$A$6:$AU$38,43,0)</f>
        <v>0</v>
      </c>
      <c r="AC35" s="36">
        <f>VLOOKUP($A35,[24]HISTOOCT24!$A$6:$AU$38,44,0)</f>
        <v>0</v>
      </c>
      <c r="AD35" s="36">
        <f>VLOOKUP($A35,[24]HISTOOCT24!$A$6:$AU$38,47,0)</f>
        <v>0</v>
      </c>
      <c r="AE35" s="36">
        <f>VLOOKUP(A35,[24]HISTOOCT24!$A$6:$BB$38,54,0)</f>
        <v>0</v>
      </c>
      <c r="AF35" s="36">
        <f>VLOOKUP($A35,[24]HISTOOCT24!$A$6:$CA$38,60,0)</f>
        <v>0</v>
      </c>
      <c r="AG35" s="36">
        <f>VLOOKUP($A35,[24]HISTOOCT24!$A$6:$CA$38,61,0)</f>
        <v>0</v>
      </c>
      <c r="AH35" s="36">
        <f>VLOOKUP($A35,[24]HISTOOCT24!$A$6:$CA$38,62,0)</f>
        <v>0</v>
      </c>
      <c r="AI35" s="36">
        <f>VLOOKUP($A35,[24]HISTOOCT24!$A$6:$CA$38,63,0)</f>
        <v>0</v>
      </c>
      <c r="AJ35" s="36">
        <f>VLOOKUP($A35,[24]HISTOOCT24!$A$6:$CA$38,64,0)</f>
        <v>0</v>
      </c>
      <c r="AK35" s="36">
        <f>VLOOKUP($A35,[24]HISTOOCT24!$A$6:$CA$38,65,0)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MVTSEPT24!I36-E36+L36</f>
        <v>975599.08181867818</v>
      </c>
      <c r="G36" s="5">
        <f>IF(MVTSEPT24!I36+L36&gt;700000,(MVTSEPT24!I36-E36+L36),0)</f>
        <v>975599.08181867818</v>
      </c>
      <c r="H36" s="36">
        <f t="shared" si="0"/>
        <v>0</v>
      </c>
      <c r="I36" s="6">
        <f t="shared" si="2"/>
        <v>975599.08181867818</v>
      </c>
      <c r="J36" s="36">
        <f>VLOOKUP($A36,[24]HISTOOCT24!$A$6:$AQ$42,22,0)</f>
        <v>0</v>
      </c>
      <c r="K36" s="36">
        <f>VLOOKUP($A36,[24]HISTOOCT24!$A$6:$AU$38,45,0)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VLOOKUP($A36,[24]HISTOOCT24!$A$6:$AU$38,7,0)</f>
        <v>0</v>
      </c>
      <c r="Q36" s="36">
        <f>VLOOKUP($A36,[24]HISTOOCT24!$A$6:$AU$38,23,0)</f>
        <v>0</v>
      </c>
      <c r="R36" s="36">
        <f>VLOOKUP($A36,[24]HISTOOCT24!$A$6:$AU$38,46,0)</f>
        <v>0</v>
      </c>
      <c r="S36" s="36">
        <f>VLOOKUP($A36,[24]HISTOOCT24!$A$6:$AU$38,26,0)</f>
        <v>0</v>
      </c>
      <c r="T36" s="36">
        <f>VLOOKUP($A36,[24]HISTOOCT24!$A$6:$BG$38,58,0)</f>
        <v>0</v>
      </c>
      <c r="U36" s="36">
        <f>VLOOKUP($A36,[24]HISTOOCT24!$A$6:$AU$38,28,0)</f>
        <v>0</v>
      </c>
      <c r="V36" s="36">
        <f>VLOOKUP($A36,[24]HISTOOCT24!$A$6:$AU$38,19,0)</f>
        <v>0</v>
      </c>
      <c r="W36" s="36">
        <f>VLOOKUP($A36,[24]HISTOOCT24!$A$6:$AU$38,20,0)</f>
        <v>0</v>
      </c>
      <c r="X36" s="36">
        <f>VLOOKUP($A36,[24]HISTOOCT24!$A$6:$AU$38,27,0)</f>
        <v>0</v>
      </c>
      <c r="Y36" s="36">
        <f>VLOOKUP($A36,[24]HISTOOCT24!$A$6:$BM$38,33,0)</f>
        <v>0</v>
      </c>
      <c r="Z36" s="36">
        <f>VLOOKUP($A36,[24]HISTOOCT24!$A$6:$BM$38,65,0)</f>
        <v>0</v>
      </c>
      <c r="AA36" s="36"/>
      <c r="AB36" s="36">
        <f>VLOOKUP($A36,[24]HISTOOCT24!$A$6:$AU$38,43,0)</f>
        <v>0</v>
      </c>
      <c r="AC36" s="36">
        <f>VLOOKUP($A36,[24]HISTOOCT24!$A$6:$AU$38,44,0)</f>
        <v>0</v>
      </c>
      <c r="AD36" s="36">
        <f>VLOOKUP($A36,[24]HISTOOCT24!$A$6:$AU$38,47,0)</f>
        <v>0</v>
      </c>
      <c r="AE36" s="36">
        <f>VLOOKUP(A36,[24]HISTOOCT24!$A$6:$BB$38,54,0)</f>
        <v>0</v>
      </c>
      <c r="AF36" s="36">
        <f>VLOOKUP($A36,[24]HISTOOCT24!$A$6:$CA$38,60,0)</f>
        <v>0</v>
      </c>
      <c r="AG36" s="36">
        <f>VLOOKUP($A36,[24]HISTOOCT24!$A$6:$CA$38,61,0)</f>
        <v>0</v>
      </c>
      <c r="AH36" s="36">
        <f>VLOOKUP($A36,[24]HISTOOCT24!$A$6:$CA$38,62,0)</f>
        <v>0</v>
      </c>
      <c r="AI36" s="36">
        <f>VLOOKUP($A36,[24]HISTOOCT24!$A$6:$CA$38,63,0)</f>
        <v>0</v>
      </c>
      <c r="AJ36" s="36">
        <f>VLOOKUP($A36,[24]HISTOOCT24!$A$6:$CA$38,64,0)</f>
        <v>0</v>
      </c>
      <c r="AK36" s="36">
        <f>VLOOKUP($A36,[24]HISTOOCT24!$A$6:$CA$38,65,0)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MVTSEPT24!I37-E37+L37</f>
        <v>2008400.7147676253</v>
      </c>
      <c r="G37" s="5">
        <f>IF(MVTSEPT24!I37+L37&gt;700000,(MVTSEPT24!I37-E37+L37),0)</f>
        <v>2008400.7147676253</v>
      </c>
      <c r="H37" s="36">
        <f t="shared" si="0"/>
        <v>0</v>
      </c>
      <c r="I37" s="6">
        <f t="shared" si="2"/>
        <v>2008400.7147676253</v>
      </c>
      <c r="J37" s="36">
        <f>VLOOKUP($A37,[24]HISTOOCT24!$A$6:$AQ$42,22,0)</f>
        <v>0</v>
      </c>
      <c r="K37" s="36">
        <f>VLOOKUP($A37,[24]HISTOOCT24!$A$6:$AU$38,45,0)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VLOOKUP($A37,[24]HISTOOCT24!$A$6:$AU$38,7,0)</f>
        <v>3000</v>
      </c>
      <c r="Q37" s="36">
        <f>VLOOKUP($A37,[24]HISTOOCT24!$A$6:$AU$38,23,0)</f>
        <v>0</v>
      </c>
      <c r="R37" s="36">
        <f>VLOOKUP($A37,[24]HISTOOCT24!$A$6:$AU$38,46,0)</f>
        <v>0</v>
      </c>
      <c r="S37" s="36">
        <f>VLOOKUP($A37,[24]HISTOOCT24!$A$6:$AU$38,26,0)</f>
        <v>0</v>
      </c>
      <c r="T37" s="36">
        <f>VLOOKUP($A37,[24]HISTOOCT24!$A$6:$BG$38,58,0)</f>
        <v>0</v>
      </c>
      <c r="U37" s="36">
        <f>VLOOKUP($A37,[24]HISTOOCT24!$A$6:$AU$38,28,0)</f>
        <v>0</v>
      </c>
      <c r="V37" s="36">
        <f>VLOOKUP($A37,[24]HISTOOCT24!$A$6:$AU$38,19,0)</f>
        <v>0</v>
      </c>
      <c r="W37" s="36">
        <f>VLOOKUP($A37,[24]HISTOOCT24!$A$6:$AU$38,20,0)</f>
        <v>0</v>
      </c>
      <c r="X37" s="36">
        <f>VLOOKUP($A37,[24]HISTOOCT24!$A$6:$AU$38,27,0)</f>
        <v>0</v>
      </c>
      <c r="Y37" s="36">
        <f>VLOOKUP($A37,[24]HISTOOCT24!$A$6:$BM$38,33,0)</f>
        <v>0</v>
      </c>
      <c r="Z37" s="36">
        <f>VLOOKUP($A37,[24]HISTOOCT24!$A$6:$BM$38,65,0)</f>
        <v>0</v>
      </c>
      <c r="AA37" s="36"/>
      <c r="AB37" s="36">
        <f>VLOOKUP($A37,[24]HISTOOCT24!$A$6:$AU$38,43,0)</f>
        <v>0</v>
      </c>
      <c r="AC37" s="36">
        <f>VLOOKUP($A37,[24]HISTOOCT24!$A$6:$AU$38,44,0)</f>
        <v>0</v>
      </c>
      <c r="AD37" s="36">
        <f>VLOOKUP($A37,[24]HISTOOCT24!$A$6:$AU$38,47,0)</f>
        <v>0</v>
      </c>
      <c r="AE37" s="36">
        <f>VLOOKUP(A37,[24]HISTOOCT24!$A$6:$BB$38,54,0)</f>
        <v>0</v>
      </c>
      <c r="AF37" s="36">
        <f>VLOOKUP($A37,[24]HISTOOCT24!$A$6:$CA$38,60,0)</f>
        <v>0</v>
      </c>
      <c r="AG37" s="36">
        <f>VLOOKUP($A37,[24]HISTOOCT24!$A$6:$CA$38,61,0)</f>
        <v>0</v>
      </c>
      <c r="AH37" s="36">
        <f>VLOOKUP($A37,[24]HISTOOCT24!$A$6:$CA$38,62,0)</f>
        <v>0</v>
      </c>
      <c r="AI37" s="36">
        <f>VLOOKUP($A37,[24]HISTOOCT24!$A$6:$CA$38,63,0)</f>
        <v>0</v>
      </c>
      <c r="AJ37" s="36">
        <f>VLOOKUP($A37,[24]HISTOOCT24!$A$6:$CA$38,64,0)</f>
        <v>0</v>
      </c>
      <c r="AK37" s="36">
        <f>VLOOKUP($A37,[24]HISTOOCT24!$A$6:$CA$38,65,0)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MVTSEPT24!I38-E38+L38</f>
        <v>190000</v>
      </c>
      <c r="G38" s="5">
        <f>IF(MVTSEPT24!I38+L38&gt;700000,(MVTSEPT24!I38-E38+L38),0)</f>
        <v>0</v>
      </c>
      <c r="H38" s="36">
        <f t="shared" si="0"/>
        <v>0</v>
      </c>
      <c r="I38" s="6">
        <f t="shared" si="2"/>
        <v>190000</v>
      </c>
      <c r="J38" s="36">
        <f>VLOOKUP($A38,[24]HISTOOCT24!$A$6:$AQ$42,22,0)</f>
        <v>0</v>
      </c>
      <c r="K38" s="36">
        <f>VLOOKUP($A38,[24]HISTOOCT24!$A$6:$AU$38,45,0)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VLOOKUP($A38,[24]HISTOOCT24!$A$6:$AU$38,7,0)</f>
        <v>0</v>
      </c>
      <c r="Q38" s="36">
        <f>VLOOKUP($A38,[24]HISTOOCT24!$A$6:$AU$38,23,0)</f>
        <v>0</v>
      </c>
      <c r="R38" s="36">
        <f>VLOOKUP($A38,[24]HISTOOCT24!$A$6:$AU$38,46,0)</f>
        <v>0</v>
      </c>
      <c r="S38" s="36">
        <f>VLOOKUP($A38,[24]HISTOOCT24!$A$6:$AU$38,26,0)</f>
        <v>0</v>
      </c>
      <c r="T38" s="36">
        <f>VLOOKUP($A38,[24]HISTOOCT24!$A$6:$BG$38,58,0)</f>
        <v>0</v>
      </c>
      <c r="U38" s="36">
        <f>VLOOKUP($A38,[24]HISTOOCT24!$A$6:$AU$38,28,0)</f>
        <v>0</v>
      </c>
      <c r="V38" s="36">
        <f>VLOOKUP($A38,[24]HISTOOCT24!$A$6:$AU$38,19,0)</f>
        <v>0</v>
      </c>
      <c r="W38" s="36">
        <f>VLOOKUP($A38,[24]HISTOOCT24!$A$6:$AU$38,20,0)</f>
        <v>0</v>
      </c>
      <c r="X38" s="36">
        <f>VLOOKUP($A38,[24]HISTOOCT24!$A$6:$AU$38,27,0)</f>
        <v>0</v>
      </c>
      <c r="Y38" s="36">
        <f>VLOOKUP($A38,[24]HISTOOCT24!$A$6:$BM$38,33,0)</f>
        <v>0</v>
      </c>
      <c r="Z38" s="36">
        <f>VLOOKUP($A38,[24]HISTOOCT24!$A$6:$BM$38,65,0)</f>
        <v>0</v>
      </c>
      <c r="AA38" s="36"/>
      <c r="AB38" s="36">
        <f>VLOOKUP($A38,[24]HISTOOCT24!$A$6:$AU$38,43,0)</f>
        <v>0</v>
      </c>
      <c r="AC38" s="36">
        <f>VLOOKUP($A38,[24]HISTOOCT24!$A$6:$AU$38,44,0)</f>
        <v>0</v>
      </c>
      <c r="AD38" s="36">
        <f>VLOOKUP($A38,[24]HISTOOCT24!$A$6:$AU$38,47,0)</f>
        <v>0</v>
      </c>
      <c r="AE38" s="36">
        <f>VLOOKUP(A38,[24]HISTOOCT24!$A$6:$BB$38,54,0)</f>
        <v>0</v>
      </c>
      <c r="AF38" s="36">
        <f>VLOOKUP($A38,[24]HISTOOCT24!$A$6:$CA$38,60,0)</f>
        <v>0</v>
      </c>
      <c r="AG38" s="36">
        <f>VLOOKUP($A38,[24]HISTOOCT24!$A$6:$CA$38,61,0)</f>
        <v>0</v>
      </c>
      <c r="AH38" s="36">
        <f>VLOOKUP($A38,[24]HISTOOCT24!$A$6:$CA$38,62,0)</f>
        <v>0</v>
      </c>
      <c r="AI38" s="36">
        <f>VLOOKUP($A38,[24]HISTOOCT24!$A$6:$CA$38,63,0)</f>
        <v>0</v>
      </c>
      <c r="AJ38" s="36">
        <f>VLOOKUP($A38,[24]HISTOOCT24!$A$6:$CA$38,64,0)</f>
        <v>0</v>
      </c>
      <c r="AK38" s="36">
        <f>VLOOKUP($A38,[24]HISTOOCT24!$A$6:$CA$38,65,0)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MVTSEPT24!I39-E39+L39</f>
        <v>2173313.2142100567</v>
      </c>
      <c r="G39" s="5">
        <f>IF(MVTSEPT24!I39+L39&gt;700000,(MVTSEPT24!I39-E39+L39),0)</f>
        <v>2173313.2142100567</v>
      </c>
      <c r="H39" s="36">
        <f t="shared" si="0"/>
        <v>0</v>
      </c>
      <c r="I39" s="6">
        <f t="shared" si="2"/>
        <v>2173313.2142100567</v>
      </c>
      <c r="J39" s="36">
        <f>VLOOKUP($A39,[24]HISTOOCT24!$A$6:$AQ$42,22,0)</f>
        <v>0</v>
      </c>
      <c r="K39" s="36">
        <f>VLOOKUP($A39,[24]HISTOOCT24!$A$6:$AU$38,45,0)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VLOOKUP($A39,[24]HISTOOCT24!$A$6:$AU$38,7,0)</f>
        <v>0</v>
      </c>
      <c r="Q39" s="36">
        <f>VLOOKUP($A39,[24]HISTOOCT24!$A$6:$AU$38,23,0)</f>
        <v>0</v>
      </c>
      <c r="R39" s="36">
        <f>VLOOKUP($A39,[24]HISTOOCT24!$A$6:$AU$38,46,0)</f>
        <v>0</v>
      </c>
      <c r="S39" s="36">
        <f>VLOOKUP($A39,[24]HISTOOCT24!$A$6:$AU$38,26,0)</f>
        <v>0</v>
      </c>
      <c r="T39" s="36">
        <f>VLOOKUP($A39,[24]HISTOOCT24!$A$6:$BG$38,58,0)</f>
        <v>0</v>
      </c>
      <c r="U39" s="36">
        <f>VLOOKUP($A39,[24]HISTOOCT24!$A$6:$AU$38,28,0)</f>
        <v>0</v>
      </c>
      <c r="V39" s="36">
        <f>VLOOKUP($A39,[24]HISTOOCT24!$A$6:$AU$38,19,0)</f>
        <v>0</v>
      </c>
      <c r="W39" s="36">
        <f>VLOOKUP($A39,[24]HISTOOCT24!$A$6:$AU$38,20,0)</f>
        <v>0</v>
      </c>
      <c r="X39" s="36">
        <f>VLOOKUP($A39,[24]HISTOOCT24!$A$6:$AU$38,27,0)</f>
        <v>0</v>
      </c>
      <c r="Y39" s="36">
        <f>VLOOKUP($A39,[24]HISTOOCT24!$A$6:$BM$38,33,0)</f>
        <v>0</v>
      </c>
      <c r="Z39" s="36">
        <f>VLOOKUP($A39,[24]HISTOOCT24!$A$6:$BM$38,65,0)</f>
        <v>0</v>
      </c>
      <c r="AA39" s="36"/>
      <c r="AB39" s="36">
        <f>VLOOKUP($A39,[24]HISTOOCT24!$A$6:$AU$38,43,0)</f>
        <v>0</v>
      </c>
      <c r="AC39" s="36">
        <f>VLOOKUP($A39,[24]HISTOOCT24!$A$6:$AU$38,44,0)</f>
        <v>0</v>
      </c>
      <c r="AD39" s="36">
        <f>VLOOKUP($A39,[24]HISTOOCT24!$A$6:$AU$38,47,0)</f>
        <v>0</v>
      </c>
      <c r="AE39" s="36">
        <f>VLOOKUP(A39,[24]HISTOOCT24!$A$6:$BB$38,54,0)</f>
        <v>0</v>
      </c>
      <c r="AF39" s="36">
        <f>VLOOKUP($A39,[24]HISTOOCT24!$A$6:$CA$38,60,0)</f>
        <v>0</v>
      </c>
      <c r="AG39" s="36">
        <f>VLOOKUP($A39,[24]HISTOOCT24!$A$6:$CA$38,61,0)</f>
        <v>0</v>
      </c>
      <c r="AH39" s="36">
        <f>VLOOKUP($A39,[24]HISTOOCT24!$A$6:$CA$38,62,0)</f>
        <v>0</v>
      </c>
      <c r="AI39" s="36">
        <f>VLOOKUP($A39,[24]HISTOOCT24!$A$6:$CA$38,63,0)</f>
        <v>0</v>
      </c>
      <c r="AJ39" s="36">
        <f>VLOOKUP($A39,[24]HISTOOCT24!$A$6:$CA$38,64,0)</f>
        <v>0</v>
      </c>
      <c r="AK39" s="36">
        <f>VLOOKUP($A39,[24]HISTOOCT24!$A$6:$CA$38,65,0)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32968656.655274987</v>
      </c>
      <c r="G41" s="9">
        <f t="shared" si="10"/>
        <v>31027439.524547949</v>
      </c>
      <c r="H41" s="36">
        <f t="shared" si="10"/>
        <v>0</v>
      </c>
      <c r="I41" s="9">
        <f t="shared" si="10"/>
        <v>32968656.655274987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45582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VLOOKUP($A6,[24]HISTOOCT24!$A$6:$BA$38,48,0)</f>
        <v>0</v>
      </c>
      <c r="F6" s="36">
        <f>MVTSEPT24!I6-E6+L6</f>
        <v>946220.58968855068</v>
      </c>
      <c r="G6" s="5">
        <f>IF(MVTSEPT24!I6+L6&gt;700000,(MVTSEPT24!I6-E6+L6),0)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VLOOKUP($A6,[24]HISTOOCT24!$A$6:$AQ$42,22,0)</f>
        <v>0</v>
      </c>
      <c r="K6" s="36">
        <f>VLOOKUP($A6,[24]HISTOOCT24!$A$6:$AU$38,45,0)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VLOOKUP($A6,[24]HISTOOCT24!$A$6:$AU$38,7,0)</f>
        <v>0</v>
      </c>
      <c r="Q6" s="36">
        <f>VLOOKUP($A6,[24]HISTOOCT24!$A$6:$AU$38,23,0)</f>
        <v>0</v>
      </c>
      <c r="R6" s="36">
        <f>VLOOKUP($A6,[24]HISTOOCT24!$A$6:$AU$38,46,0)</f>
        <v>0</v>
      </c>
      <c r="S6" s="36">
        <f>VLOOKUP($A6,[24]HISTOOCT24!$A$6:$AU$38,26,0)</f>
        <v>0</v>
      </c>
      <c r="T6" s="36">
        <f>VLOOKUP($A6,[24]HISTOOCT24!$A$6:$BG$38,58,0)</f>
        <v>0</v>
      </c>
      <c r="U6" s="36">
        <f>VLOOKUP($A6,[24]HISTOOCT24!$A$6:$AU$38,28,0)</f>
        <v>0</v>
      </c>
      <c r="V6" s="36">
        <f>VLOOKUP($A6,[24]HISTOOCT24!$A$6:$AU$38,19,0)</f>
        <v>0</v>
      </c>
      <c r="W6" s="36">
        <f>VLOOKUP($A6,[24]HISTOOCT24!$A$6:$AU$38,20,0)</f>
        <v>0</v>
      </c>
      <c r="X6" s="36">
        <f>VLOOKUP($A6,[24]HISTOOCT24!$A$6:$AU$38,27,0)</f>
        <v>0</v>
      </c>
      <c r="Y6" s="36">
        <f>VLOOKUP($A6,[24]HISTOOCT24!$A$6:$BM$38,33,0)</f>
        <v>0</v>
      </c>
      <c r="Z6" s="36">
        <f>VLOOKUP($A6,[24]HISTOOCT24!$A$6:$BM$38,65,0)</f>
        <v>0</v>
      </c>
      <c r="AA6" s="36"/>
      <c r="AB6" s="36">
        <f>VLOOKUP($A6,[24]HISTOOCT24!$A$6:$AU$38,43,0)</f>
        <v>0</v>
      </c>
      <c r="AC6" s="36">
        <f>VLOOKUP($A6,[24]HISTOOCT24!$A$6:$AU$38,44,0)</f>
        <v>0</v>
      </c>
      <c r="AD6" s="36">
        <f>VLOOKUP($A6,[24]HISTOOCT24!$A$6:$AU$38,47,0)</f>
        <v>0</v>
      </c>
      <c r="AE6" s="36">
        <f>VLOOKUP(A6,[24]HISTOOCT24!$A$6:$BB$38,54,0)</f>
        <v>0</v>
      </c>
      <c r="AF6" s="36">
        <f>VLOOKUP($A6,[24]HISTOOCT24!$A$6:$CA$38,60,0)</f>
        <v>0</v>
      </c>
      <c r="AG6" s="36">
        <f>VLOOKUP($A6,[24]HISTOOCT24!$A$6:$CA$38,61,0)</f>
        <v>0</v>
      </c>
      <c r="AH6" s="36">
        <f>VLOOKUP($A6,[24]HISTOOCT24!$A$6:$CA$38,62,0)</f>
        <v>0</v>
      </c>
      <c r="AI6" s="36">
        <f>VLOOKUP($A6,[24]HISTOOCT24!$A$6:$CA$38,63,0)</f>
        <v>0</v>
      </c>
      <c r="AJ6" s="36">
        <f>VLOOKUP($A6,[24]HISTOOCT24!$A$6:$CA$38,64,0)</f>
        <v>0</v>
      </c>
      <c r="AK6" s="36">
        <f>VLOOKUP($A6,[24]HISTOOCT24!$A$6:$CA$38,65,0)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VLOOKUP($A7,[24]HISTOOCT24!$A$6:$BA$38,48,0)</f>
        <v>0</v>
      </c>
      <c r="F7" s="36">
        <f>MVTSEPT24!I7-E7+L7</f>
        <v>890791.19348721951</v>
      </c>
      <c r="G7" s="5">
        <f>IF(MVTSEPT24!I7+L7&gt;700000,(MVTSEPT24!I7-E7+L7),0)</f>
        <v>890791.19348721951</v>
      </c>
      <c r="H7" s="36">
        <f t="shared" si="0"/>
        <v>0</v>
      </c>
      <c r="I7" s="6">
        <f t="shared" ref="I7:I39" si="2">F7+H7</f>
        <v>890791.19348721951</v>
      </c>
      <c r="J7" s="36">
        <f>VLOOKUP($A7,[24]HISTOOCT24!$A$6:$AQ$42,22,0)</f>
        <v>0</v>
      </c>
      <c r="K7" s="36">
        <f>VLOOKUP($A7,[24]HISTOOCT24!$A$6:$AU$38,45,0)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VLOOKUP($A7,[24]HISTOOCT24!$A$6:$AU$38,7,0)</f>
        <v>3000</v>
      </c>
      <c r="Q7" s="36">
        <f>VLOOKUP($A7,[24]HISTOOCT24!$A$6:$AU$38,23,0)</f>
        <v>0</v>
      </c>
      <c r="R7" s="36">
        <f>VLOOKUP($A7,[24]HISTOOCT24!$A$6:$AU$38,46,0)</f>
        <v>0</v>
      </c>
      <c r="S7" s="36">
        <f>VLOOKUP($A7,[24]HISTOOCT24!$A$6:$AU$38,26,0)</f>
        <v>0</v>
      </c>
      <c r="T7" s="36">
        <f>VLOOKUP($A7,[24]HISTOOCT24!$A$6:$BG$38,58,0)</f>
        <v>0</v>
      </c>
      <c r="U7" s="36">
        <f>VLOOKUP($A7,[24]HISTOOCT24!$A$6:$AU$38,28,0)</f>
        <v>0</v>
      </c>
      <c r="V7" s="36">
        <f>VLOOKUP($A7,[24]HISTOOCT24!$A$6:$AU$38,19,0)</f>
        <v>0</v>
      </c>
      <c r="W7" s="36">
        <f>VLOOKUP($A7,[24]HISTOOCT24!$A$6:$AU$38,20,0)</f>
        <v>0</v>
      </c>
      <c r="X7" s="36">
        <f>VLOOKUP($A7,[24]HISTOOCT24!$A$6:$AU$38,27,0)</f>
        <v>0</v>
      </c>
      <c r="Y7" s="36">
        <f>VLOOKUP($A7,[24]HISTOOCT24!$A$6:$BM$38,33,0)</f>
        <v>0</v>
      </c>
      <c r="Z7" s="36">
        <f>VLOOKUP($A7,[24]HISTOOCT24!$A$6:$BM$38,65,0)</f>
        <v>0</v>
      </c>
      <c r="AA7" s="36"/>
      <c r="AB7" s="36">
        <f>VLOOKUP($A7,[24]HISTOOCT24!$A$6:$AU$38,43,0)</f>
        <v>0</v>
      </c>
      <c r="AC7" s="36">
        <f>VLOOKUP($A7,[24]HISTOOCT24!$A$6:$AU$38,44,0)</f>
        <v>0</v>
      </c>
      <c r="AD7" s="36">
        <f>VLOOKUP($A7,[24]HISTOOCT24!$A$6:$AU$38,47,0)</f>
        <v>0</v>
      </c>
      <c r="AE7" s="36">
        <f>VLOOKUP(A7,[24]HISTOOCT24!$A$6:$BB$38,54,0)</f>
        <v>0</v>
      </c>
      <c r="AF7" s="36">
        <f>VLOOKUP($A7,[24]HISTOOCT24!$A$6:$CA$38,60,0)</f>
        <v>0</v>
      </c>
      <c r="AG7" s="36">
        <f>VLOOKUP($A7,[24]HISTOOCT24!$A$6:$CA$38,61,0)</f>
        <v>0</v>
      </c>
      <c r="AH7" s="36">
        <f>VLOOKUP($A7,[24]HISTOOCT24!$A$6:$CA$38,62,0)</f>
        <v>0</v>
      </c>
      <c r="AI7" s="36">
        <f>VLOOKUP($A7,[24]HISTOOCT24!$A$6:$CA$38,63,0)</f>
        <v>0</v>
      </c>
      <c r="AJ7" s="36">
        <f>VLOOKUP($A7,[24]HISTOOCT24!$A$6:$CA$38,64,0)</f>
        <v>0</v>
      </c>
      <c r="AK7" s="36">
        <f>VLOOKUP($A7,[24]HISTOOCT24!$A$6:$CA$38,65,0)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VLOOKUP($A8,[24]HISTOOCT24!$A$6:$BA$38,48,0)</f>
        <v>0</v>
      </c>
      <c r="F8" s="36">
        <f>MVTSEPT24!I8-E8+L8</f>
        <v>934533.31236524263</v>
      </c>
      <c r="G8" s="5">
        <f>IF(MVTSEPT24!I8+L8&gt;700000,(MVTSEPT24!I8-E8+L8),0)</f>
        <v>934533.31236524263</v>
      </c>
      <c r="H8" s="36">
        <f t="shared" si="0"/>
        <v>0</v>
      </c>
      <c r="I8" s="6">
        <f t="shared" si="2"/>
        <v>934533.31236524263</v>
      </c>
      <c r="J8" s="36">
        <f>VLOOKUP($A8,[24]HISTOOCT24!$A$6:$AQ$42,22,0)</f>
        <v>0</v>
      </c>
      <c r="K8" s="36">
        <f>VLOOKUP($A8,[24]HISTOOCT24!$A$6:$AU$38,45,0)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VLOOKUP($A8,[24]HISTOOCT24!$A$6:$AU$38,7,0)</f>
        <v>0</v>
      </c>
      <c r="Q8" s="36">
        <f>VLOOKUP($A8,[24]HISTOOCT24!$A$6:$AU$38,23,0)</f>
        <v>0</v>
      </c>
      <c r="R8" s="36">
        <f>VLOOKUP($A8,[24]HISTOOCT24!$A$6:$AU$38,46,0)</f>
        <v>0</v>
      </c>
      <c r="S8" s="36">
        <f>VLOOKUP($A8,[24]HISTOOCT24!$A$6:$AU$38,26,0)</f>
        <v>0</v>
      </c>
      <c r="T8" s="36">
        <f>VLOOKUP($A8,[24]HISTOOCT24!$A$6:$BG$38,58,0)</f>
        <v>0</v>
      </c>
      <c r="U8" s="36">
        <f>VLOOKUP($A8,[24]HISTOOCT24!$A$6:$AU$38,28,0)</f>
        <v>0</v>
      </c>
      <c r="V8" s="36">
        <f>VLOOKUP($A8,[24]HISTOOCT24!$A$6:$AU$38,19,0)</f>
        <v>0</v>
      </c>
      <c r="W8" s="36">
        <f>VLOOKUP($A8,[24]HISTOOCT24!$A$6:$AU$38,20,0)</f>
        <v>0</v>
      </c>
      <c r="X8" s="36">
        <f>VLOOKUP($A8,[24]HISTOOCT24!$A$6:$AU$38,27,0)</f>
        <v>0</v>
      </c>
      <c r="Y8" s="36">
        <f>VLOOKUP($A8,[24]HISTOOCT24!$A$6:$BM$38,33,0)</f>
        <v>0</v>
      </c>
      <c r="Z8" s="36">
        <f>VLOOKUP($A8,[24]HISTOOCT24!$A$6:$BM$38,65,0)</f>
        <v>0</v>
      </c>
      <c r="AA8" s="36"/>
      <c r="AB8" s="36">
        <f>VLOOKUP($A8,[24]HISTOOCT24!$A$6:$AU$38,43,0)</f>
        <v>0</v>
      </c>
      <c r="AC8" s="36">
        <f>VLOOKUP($A8,[24]HISTOOCT24!$A$6:$AU$38,44,0)</f>
        <v>0</v>
      </c>
      <c r="AD8" s="36">
        <f>VLOOKUP($A8,[24]HISTOOCT24!$A$6:$AU$38,47,0)</f>
        <v>0</v>
      </c>
      <c r="AE8" s="36">
        <f>VLOOKUP(A8,[24]HISTOOCT24!$A$6:$BB$38,54,0)</f>
        <v>0</v>
      </c>
      <c r="AF8" s="36">
        <f>VLOOKUP($A8,[24]HISTOOCT24!$A$6:$CA$38,60,0)</f>
        <v>0</v>
      </c>
      <c r="AG8" s="36">
        <f>VLOOKUP($A8,[24]HISTOOCT24!$A$6:$CA$38,61,0)</f>
        <v>0</v>
      </c>
      <c r="AH8" s="36">
        <f>VLOOKUP($A8,[24]HISTOOCT24!$A$6:$CA$38,62,0)</f>
        <v>0</v>
      </c>
      <c r="AI8" s="36">
        <f>VLOOKUP($A8,[24]HISTOOCT24!$A$6:$CA$38,63,0)</f>
        <v>0</v>
      </c>
      <c r="AJ8" s="36">
        <f>VLOOKUP($A8,[24]HISTOOCT24!$A$6:$CA$38,64,0)</f>
        <v>0</v>
      </c>
      <c r="AK8" s="36">
        <f>VLOOKUP($A8,[24]HISTOOCT24!$A$6:$CA$38,65,0)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VLOOKUP($A9,[24]HISTOOCT24!$A$6:$BA$38,48,0)</f>
        <v>0</v>
      </c>
      <c r="F9" s="36">
        <f>MVTSEPT24!I9-E9+L9</f>
        <v>991962.00686817756</v>
      </c>
      <c r="G9" s="5">
        <f>IF(MVTSEPT24!I9+L9&gt;700000,(MVTSEPT24!I9-E9+L9),0)</f>
        <v>991962.00686817756</v>
      </c>
      <c r="H9" s="36">
        <f t="shared" si="0"/>
        <v>0</v>
      </c>
      <c r="I9" s="6">
        <f t="shared" si="2"/>
        <v>991962.00686817756</v>
      </c>
      <c r="J9" s="36">
        <f>VLOOKUP($A9,[24]HISTOOCT24!$A$6:$AQ$42,22,0)</f>
        <v>0</v>
      </c>
      <c r="K9" s="36">
        <f>VLOOKUP($A9,[24]HISTOOCT24!$A$6:$AU$38,45,0)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VLOOKUP($A9,[24]HISTOOCT24!$A$6:$AU$38,7,0)</f>
        <v>0</v>
      </c>
      <c r="Q9" s="36">
        <f>VLOOKUP($A9,[24]HISTOOCT24!$A$6:$AU$38,23,0)</f>
        <v>0</v>
      </c>
      <c r="R9" s="36">
        <f>VLOOKUP($A9,[24]HISTOOCT24!$A$6:$AU$38,46,0)</f>
        <v>0</v>
      </c>
      <c r="S9" s="36">
        <f>VLOOKUP($A9,[24]HISTOOCT24!$A$6:$AU$38,26,0)</f>
        <v>0</v>
      </c>
      <c r="T9" s="36">
        <f>VLOOKUP($A9,[24]HISTOOCT24!$A$6:$BG$38,58,0)</f>
        <v>0</v>
      </c>
      <c r="U9" s="36">
        <f>VLOOKUP($A9,[24]HISTOOCT24!$A$6:$AU$38,28,0)</f>
        <v>0</v>
      </c>
      <c r="V9" s="36">
        <f>VLOOKUP($A9,[24]HISTOOCT24!$A$6:$AU$38,19,0)</f>
        <v>0</v>
      </c>
      <c r="W9" s="36">
        <f>VLOOKUP($A9,[24]HISTOOCT24!$A$6:$AU$38,20,0)</f>
        <v>0</v>
      </c>
      <c r="X9" s="36">
        <f>VLOOKUP($A9,[24]HISTOOCT24!$A$6:$AU$38,27,0)</f>
        <v>0</v>
      </c>
      <c r="Y9" s="36">
        <f>VLOOKUP($A9,[24]HISTOOCT24!$A$6:$BM$38,33,0)</f>
        <v>0</v>
      </c>
      <c r="Z9" s="36">
        <f>VLOOKUP($A9,[24]HISTOOCT24!$A$6:$BM$38,65,0)</f>
        <v>0</v>
      </c>
      <c r="AA9" s="36"/>
      <c r="AB9" s="36">
        <f>VLOOKUP($A9,[24]HISTOOCT24!$A$6:$AU$38,43,0)</f>
        <v>0</v>
      </c>
      <c r="AC9" s="36">
        <f>VLOOKUP($A9,[24]HISTOOCT24!$A$6:$AU$38,44,0)</f>
        <v>0</v>
      </c>
      <c r="AD9" s="36">
        <f>VLOOKUP($A9,[24]HISTOOCT24!$A$6:$AU$38,47,0)</f>
        <v>0</v>
      </c>
      <c r="AE9" s="36">
        <f>VLOOKUP(A9,[24]HISTOOCT24!$A$6:$BB$38,54,0)</f>
        <v>0</v>
      </c>
      <c r="AF9" s="36">
        <f>VLOOKUP($A9,[24]HISTOOCT24!$A$6:$CA$38,60,0)</f>
        <v>0</v>
      </c>
      <c r="AG9" s="36">
        <f>VLOOKUP($A9,[24]HISTOOCT24!$A$6:$CA$38,61,0)</f>
        <v>0</v>
      </c>
      <c r="AH9" s="36">
        <f>VLOOKUP($A9,[24]HISTOOCT24!$A$6:$CA$38,62,0)</f>
        <v>0</v>
      </c>
      <c r="AI9" s="36">
        <f>VLOOKUP($A9,[24]HISTOOCT24!$A$6:$CA$38,63,0)</f>
        <v>0</v>
      </c>
      <c r="AJ9" s="36">
        <f>VLOOKUP($A9,[24]HISTOOCT24!$A$6:$CA$38,64,0)</f>
        <v>0</v>
      </c>
      <c r="AK9" s="36">
        <f>VLOOKUP($A9,[24]HISTOOCT24!$A$6:$CA$38,65,0)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VLOOKUP($A10,[24]HISTOOCT24!$A$6:$BA$38,48,0)</f>
        <v>0</v>
      </c>
      <c r="F10" s="36">
        <f>MVTSEPT24!I10-E10+L10</f>
        <v>931805.20622596238</v>
      </c>
      <c r="G10" s="5">
        <f>IF(MVTSEPT24!I10+L10&gt;700000,(MVTSEPT24!I10-E10+L10),0)</f>
        <v>931805.20622596238</v>
      </c>
      <c r="H10" s="36">
        <f t="shared" si="0"/>
        <v>0</v>
      </c>
      <c r="I10" s="6">
        <f t="shared" si="2"/>
        <v>931805.20622596238</v>
      </c>
      <c r="J10" s="36">
        <f>VLOOKUP($A10,[24]HISTOOCT24!$A$6:$AQ$42,22,0)</f>
        <v>0</v>
      </c>
      <c r="K10" s="36">
        <f>VLOOKUP($A10,[24]HISTOOCT24!$A$6:$AU$38,45,0)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VLOOKUP($A10,[24]HISTOOCT24!$A$6:$AU$38,7,0)</f>
        <v>0</v>
      </c>
      <c r="Q10" s="36">
        <f>VLOOKUP($A10,[24]HISTOOCT24!$A$6:$AU$38,23,0)</f>
        <v>0</v>
      </c>
      <c r="R10" s="36">
        <f>VLOOKUP($A10,[24]HISTOOCT24!$A$6:$AU$38,46,0)</f>
        <v>0</v>
      </c>
      <c r="S10" s="36">
        <f>VLOOKUP($A10,[24]HISTOOCT24!$A$6:$AU$38,26,0)</f>
        <v>0</v>
      </c>
      <c r="T10" s="36">
        <f>VLOOKUP($A10,[24]HISTOOCT24!$A$6:$BG$38,58,0)</f>
        <v>0</v>
      </c>
      <c r="U10" s="36">
        <f>VLOOKUP($A10,[24]HISTOOCT24!$A$6:$AU$38,28,0)</f>
        <v>0</v>
      </c>
      <c r="V10" s="36">
        <f>VLOOKUP($A10,[24]HISTOOCT24!$A$6:$AU$38,19,0)</f>
        <v>0</v>
      </c>
      <c r="W10" s="36">
        <f>VLOOKUP($A10,[24]HISTOOCT24!$A$6:$AU$38,20,0)</f>
        <v>0</v>
      </c>
      <c r="X10" s="36">
        <f>VLOOKUP($A10,[24]HISTOOCT24!$A$6:$AU$38,27,0)</f>
        <v>0</v>
      </c>
      <c r="Y10" s="36">
        <f>VLOOKUP($A10,[24]HISTOOCT24!$A$6:$BM$38,33,0)</f>
        <v>0</v>
      </c>
      <c r="Z10" s="36">
        <f>VLOOKUP($A10,[24]HISTOOCT24!$A$6:$BM$38,65,0)</f>
        <v>0</v>
      </c>
      <c r="AA10" s="36"/>
      <c r="AB10" s="36">
        <f>VLOOKUP($A10,[24]HISTOOCT24!$A$6:$AU$38,43,0)</f>
        <v>0</v>
      </c>
      <c r="AC10" s="36">
        <f>VLOOKUP($A10,[24]HISTOOCT24!$A$6:$AU$38,44,0)</f>
        <v>0</v>
      </c>
      <c r="AD10" s="36">
        <f>VLOOKUP($A10,[24]HISTOOCT24!$A$6:$AU$38,47,0)</f>
        <v>0</v>
      </c>
      <c r="AE10" s="36">
        <f>VLOOKUP(A10,[24]HISTOOCT24!$A$6:$BB$38,54,0)</f>
        <v>0</v>
      </c>
      <c r="AF10" s="36">
        <f>VLOOKUP($A10,[24]HISTOOCT24!$A$6:$CA$38,60,0)</f>
        <v>0</v>
      </c>
      <c r="AG10" s="36">
        <f>VLOOKUP($A10,[24]HISTOOCT24!$A$6:$CA$38,61,0)</f>
        <v>0</v>
      </c>
      <c r="AH10" s="36">
        <f>VLOOKUP($A10,[24]HISTOOCT24!$A$6:$CA$38,62,0)</f>
        <v>0</v>
      </c>
      <c r="AI10" s="36">
        <f>VLOOKUP($A10,[24]HISTOOCT24!$A$6:$CA$38,63,0)</f>
        <v>0</v>
      </c>
      <c r="AJ10" s="36">
        <f>VLOOKUP($A10,[24]HISTOOCT24!$A$6:$CA$38,64,0)</f>
        <v>0</v>
      </c>
      <c r="AK10" s="36">
        <f>VLOOKUP($A10,[24]HISTOOCT24!$A$6:$CA$38,65,0)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VLOOKUP($A11,[24]HISTOOCT24!$A$6:$BA$38,48,0)</f>
        <v>0</v>
      </c>
      <c r="F11" s="36">
        <f>MVTSEPT24!I11-E11+L11</f>
        <v>949855.82895949238</v>
      </c>
      <c r="G11" s="5">
        <f>IF(MVTSEPT24!I11+L11&gt;700000,(MVTSEPT24!I11-E11+L11),0)</f>
        <v>949855.82895949238</v>
      </c>
      <c r="H11" s="36">
        <f t="shared" si="0"/>
        <v>0</v>
      </c>
      <c r="I11" s="6">
        <f t="shared" si="2"/>
        <v>949855.82895949238</v>
      </c>
      <c r="J11" s="36">
        <f>VLOOKUP($A11,[24]HISTOOCT24!$A$6:$AQ$42,22,0)</f>
        <v>0</v>
      </c>
      <c r="K11" s="36">
        <f>VLOOKUP($A11,[24]HISTOOCT24!$A$6:$AU$38,45,0)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VLOOKUP($A11,[24]HISTOOCT24!$A$6:$AU$38,7,0)</f>
        <v>0</v>
      </c>
      <c r="Q11" s="36">
        <f>VLOOKUP($A11,[24]HISTOOCT24!$A$6:$AU$38,23,0)</f>
        <v>0</v>
      </c>
      <c r="R11" s="36">
        <f>VLOOKUP($A11,[24]HISTOOCT24!$A$6:$AU$38,46,0)</f>
        <v>0</v>
      </c>
      <c r="S11" s="36">
        <f>VLOOKUP($A11,[24]HISTOOCT24!$A$6:$AU$38,26,0)</f>
        <v>0</v>
      </c>
      <c r="T11" s="36">
        <f>VLOOKUP($A11,[24]HISTOOCT24!$A$6:$BG$38,58,0)</f>
        <v>0</v>
      </c>
      <c r="U11" s="36">
        <f>VLOOKUP($A11,[24]HISTOOCT24!$A$6:$AU$38,28,0)</f>
        <v>0</v>
      </c>
      <c r="V11" s="36">
        <f>VLOOKUP($A11,[24]HISTOOCT24!$A$6:$AU$38,19,0)</f>
        <v>0</v>
      </c>
      <c r="W11" s="36">
        <f>VLOOKUP($A11,[24]HISTOOCT24!$A$6:$AU$38,20,0)</f>
        <v>0</v>
      </c>
      <c r="X11" s="36">
        <f>VLOOKUP($A11,[24]HISTOOCT24!$A$6:$AU$38,27,0)</f>
        <v>0</v>
      </c>
      <c r="Y11" s="36">
        <f>VLOOKUP($A11,[24]HISTOOCT24!$A$6:$BM$38,33,0)</f>
        <v>0</v>
      </c>
      <c r="Z11" s="36">
        <f>VLOOKUP($A11,[24]HISTOOCT24!$A$6:$BM$38,65,0)</f>
        <v>0</v>
      </c>
      <c r="AA11" s="36"/>
      <c r="AB11" s="36">
        <f>VLOOKUP($A11,[24]HISTOOCT24!$A$6:$AU$38,43,0)</f>
        <v>0</v>
      </c>
      <c r="AC11" s="36">
        <f>VLOOKUP($A11,[24]HISTOOCT24!$A$6:$AU$38,44,0)</f>
        <v>0</v>
      </c>
      <c r="AD11" s="36">
        <f>VLOOKUP($A11,[24]HISTOOCT24!$A$6:$AU$38,47,0)</f>
        <v>0</v>
      </c>
      <c r="AE11" s="36">
        <f>VLOOKUP(A11,[24]HISTOOCT24!$A$6:$BB$38,54,0)</f>
        <v>0</v>
      </c>
      <c r="AF11" s="36">
        <f>VLOOKUP($A11,[24]HISTOOCT24!$A$6:$CA$38,60,0)</f>
        <v>0</v>
      </c>
      <c r="AG11" s="36">
        <f>VLOOKUP($A11,[24]HISTOOCT24!$A$6:$CA$38,61,0)</f>
        <v>0</v>
      </c>
      <c r="AH11" s="36">
        <f>VLOOKUP($A11,[24]HISTOOCT24!$A$6:$CA$38,62,0)</f>
        <v>0</v>
      </c>
      <c r="AI11" s="36">
        <f>VLOOKUP($A11,[24]HISTOOCT24!$A$6:$CA$38,63,0)</f>
        <v>0</v>
      </c>
      <c r="AJ11" s="36">
        <f>VLOOKUP($A11,[24]HISTOOCT24!$A$6:$CA$38,64,0)</f>
        <v>0</v>
      </c>
      <c r="AK11" s="36">
        <f>VLOOKUP($A11,[24]HISTOOCT24!$A$6:$CA$38,65,0)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VLOOKUP($A12,[24]HISTOOCT24!$A$6:$BA$38,48,0)</f>
        <v>0</v>
      </c>
      <c r="F12" s="36">
        <f>MVTSEPT24!I12-E12+L12</f>
        <v>973100.14741339569</v>
      </c>
      <c r="G12" s="5">
        <f>IF(MVTSEPT24!I12+L12&gt;700000,(MVTSEPT24!I12-E12+L12),0)</f>
        <v>973100.14741339569</v>
      </c>
      <c r="H12" s="36">
        <f t="shared" si="0"/>
        <v>0</v>
      </c>
      <c r="I12" s="6">
        <f t="shared" si="2"/>
        <v>973100.14741339569</v>
      </c>
      <c r="J12" s="36">
        <f>VLOOKUP($A12,[24]HISTOOCT24!$A$6:$AQ$42,22,0)</f>
        <v>0</v>
      </c>
      <c r="K12" s="36">
        <f>VLOOKUP($A12,[24]HISTOOCT24!$A$6:$AU$38,45,0)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VLOOKUP($A12,[24]HISTOOCT24!$A$6:$AU$38,7,0)</f>
        <v>0</v>
      </c>
      <c r="Q12" s="36">
        <f>VLOOKUP($A12,[24]HISTOOCT24!$A$6:$AU$38,23,0)</f>
        <v>0</v>
      </c>
      <c r="R12" s="36">
        <f>VLOOKUP($A12,[24]HISTOOCT24!$A$6:$AU$38,46,0)</f>
        <v>0</v>
      </c>
      <c r="S12" s="36">
        <f>VLOOKUP($A12,[24]HISTOOCT24!$A$6:$AU$38,26,0)</f>
        <v>0</v>
      </c>
      <c r="T12" s="36">
        <f>VLOOKUP($A12,[24]HISTOOCT24!$A$6:$BG$38,58,0)</f>
        <v>0</v>
      </c>
      <c r="U12" s="36">
        <f>VLOOKUP($A12,[24]HISTOOCT24!$A$6:$AU$38,28,0)</f>
        <v>0</v>
      </c>
      <c r="V12" s="36">
        <f>VLOOKUP($A12,[24]HISTOOCT24!$A$6:$AU$38,19,0)</f>
        <v>0</v>
      </c>
      <c r="W12" s="36">
        <f>VLOOKUP($A12,[24]HISTOOCT24!$A$6:$AU$38,20,0)</f>
        <v>0</v>
      </c>
      <c r="X12" s="36">
        <f>VLOOKUP($A12,[24]HISTOOCT24!$A$6:$AU$38,27,0)</f>
        <v>0</v>
      </c>
      <c r="Y12" s="36">
        <f>VLOOKUP($A12,[24]HISTOOCT24!$A$6:$BM$38,33,0)</f>
        <v>0</v>
      </c>
      <c r="Z12" s="36">
        <f>VLOOKUP($A12,[24]HISTOOCT24!$A$6:$BM$38,65,0)</f>
        <v>0</v>
      </c>
      <c r="AA12" s="36"/>
      <c r="AB12" s="36">
        <f>VLOOKUP($A12,[24]HISTOOCT24!$A$6:$AU$38,43,0)</f>
        <v>0</v>
      </c>
      <c r="AC12" s="36">
        <f>VLOOKUP($A12,[24]HISTOOCT24!$A$6:$AU$38,44,0)</f>
        <v>0</v>
      </c>
      <c r="AD12" s="36">
        <f>VLOOKUP($A12,[24]HISTOOCT24!$A$6:$AU$38,47,0)</f>
        <v>0</v>
      </c>
      <c r="AE12" s="36">
        <f>VLOOKUP(A12,[24]HISTOOCT24!$A$6:$BB$38,54,0)</f>
        <v>0</v>
      </c>
      <c r="AF12" s="36">
        <f>VLOOKUP($A12,[24]HISTOOCT24!$A$6:$CA$38,60,0)</f>
        <v>0</v>
      </c>
      <c r="AG12" s="36">
        <f>VLOOKUP($A12,[24]HISTOOCT24!$A$6:$CA$38,61,0)</f>
        <v>0</v>
      </c>
      <c r="AH12" s="36">
        <f>VLOOKUP($A12,[24]HISTOOCT24!$A$6:$CA$38,62,0)</f>
        <v>0</v>
      </c>
      <c r="AI12" s="36">
        <f>VLOOKUP($A12,[24]HISTOOCT24!$A$6:$CA$38,63,0)</f>
        <v>0</v>
      </c>
      <c r="AJ12" s="36">
        <f>VLOOKUP($A12,[24]HISTOOCT24!$A$6:$CA$38,64,0)</f>
        <v>0</v>
      </c>
      <c r="AK12" s="36">
        <f>VLOOKUP($A12,[24]HISTOOCT24!$A$6:$CA$38,65,0)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VLOOKUP($A13,[24]HISTOOCT24!$A$6:$BA$38,48,0)</f>
        <v>0</v>
      </c>
      <c r="F13" s="36">
        <f>MVTSEPT24!I13-E13+L13</f>
        <v>937555.14612214814</v>
      </c>
      <c r="G13" s="5">
        <f>IF(MVTSEPT24!I13+L13&gt;700000,(MVTSEPT24!I13-E13+L13),0)</f>
        <v>937555.14612214814</v>
      </c>
      <c r="H13" s="36">
        <f t="shared" si="0"/>
        <v>0</v>
      </c>
      <c r="I13" s="6">
        <f t="shared" si="2"/>
        <v>937555.14612214814</v>
      </c>
      <c r="J13" s="36">
        <f>VLOOKUP($A13,[24]HISTOOCT24!$A$6:$AQ$42,22,0)</f>
        <v>0</v>
      </c>
      <c r="K13" s="36">
        <f>VLOOKUP($A13,[24]HISTOOCT24!$A$6:$AU$38,45,0)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VLOOKUP($A13,[24]HISTOOCT24!$A$6:$AU$38,7,0)</f>
        <v>0</v>
      </c>
      <c r="Q13" s="36">
        <f>VLOOKUP($A13,[24]HISTOOCT24!$A$6:$AU$38,23,0)</f>
        <v>0</v>
      </c>
      <c r="R13" s="36">
        <f>VLOOKUP($A13,[24]HISTOOCT24!$A$6:$AU$38,46,0)</f>
        <v>0</v>
      </c>
      <c r="S13" s="36">
        <f>VLOOKUP($A13,[24]HISTOOCT24!$A$6:$AU$38,26,0)</f>
        <v>0</v>
      </c>
      <c r="T13" s="36">
        <f>VLOOKUP($A13,[24]HISTOOCT24!$A$6:$BG$38,58,0)</f>
        <v>0</v>
      </c>
      <c r="U13" s="36">
        <f>VLOOKUP($A13,[24]HISTOOCT24!$A$6:$AU$38,28,0)</f>
        <v>0</v>
      </c>
      <c r="V13" s="36">
        <f>VLOOKUP($A13,[24]HISTOOCT24!$A$6:$AU$38,19,0)</f>
        <v>0</v>
      </c>
      <c r="W13" s="36">
        <f>VLOOKUP($A13,[24]HISTOOCT24!$A$6:$AU$38,20,0)</f>
        <v>0</v>
      </c>
      <c r="X13" s="36">
        <f>VLOOKUP($A13,[24]HISTOOCT24!$A$6:$AU$38,27,0)</f>
        <v>0</v>
      </c>
      <c r="Y13" s="36">
        <f>VLOOKUP($A13,[24]HISTOOCT24!$A$6:$BM$38,33,0)</f>
        <v>0</v>
      </c>
      <c r="Z13" s="36">
        <f>VLOOKUP($A13,[24]HISTOOCT24!$A$6:$BM$38,65,0)</f>
        <v>0</v>
      </c>
      <c r="AA13" s="36"/>
      <c r="AB13" s="36">
        <f>VLOOKUP($A13,[24]HISTOOCT24!$A$6:$AU$38,43,0)</f>
        <v>0</v>
      </c>
      <c r="AC13" s="36">
        <f>VLOOKUP($A13,[24]HISTOOCT24!$A$6:$AU$38,44,0)</f>
        <v>0</v>
      </c>
      <c r="AD13" s="36">
        <f>VLOOKUP($A13,[24]HISTOOCT24!$A$6:$AU$38,47,0)</f>
        <v>0</v>
      </c>
      <c r="AE13" s="36">
        <f>VLOOKUP(A13,[24]HISTOOCT24!$A$6:$BB$38,54,0)</f>
        <v>0</v>
      </c>
      <c r="AF13" s="36">
        <f>VLOOKUP($A13,[24]HISTOOCT24!$A$6:$CA$38,60,0)</f>
        <v>0</v>
      </c>
      <c r="AG13" s="36">
        <f>VLOOKUP($A13,[24]HISTOOCT24!$A$6:$CA$38,61,0)</f>
        <v>0</v>
      </c>
      <c r="AH13" s="36">
        <f>VLOOKUP($A13,[24]HISTOOCT24!$A$6:$CA$38,62,0)</f>
        <v>0</v>
      </c>
      <c r="AI13" s="36">
        <f>VLOOKUP($A13,[24]HISTOOCT24!$A$6:$CA$38,63,0)</f>
        <v>0</v>
      </c>
      <c r="AJ13" s="36">
        <f>VLOOKUP($A13,[24]HISTOOCT24!$A$6:$CA$38,64,0)</f>
        <v>0</v>
      </c>
      <c r="AK13" s="36">
        <f>VLOOKUP($A13,[24]HISTOOCT24!$A$6:$CA$38,65,0)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VLOOKUP($A14,[24]HISTOOCT24!$A$6:$BA$38,48,0)</f>
        <v>0</v>
      </c>
      <c r="F14" s="36">
        <f>MVTSEPT24!I14-E14+L14</f>
        <v>1490425.9823482623</v>
      </c>
      <c r="G14" s="5">
        <f>IF(MVTSEPT24!I14+L14&gt;700000,(MVTSEPT24!I14-E14+L14),0)</f>
        <v>1490425.9823482623</v>
      </c>
      <c r="H14" s="36">
        <f t="shared" si="0"/>
        <v>0</v>
      </c>
      <c r="I14" s="6">
        <f t="shared" si="2"/>
        <v>1490425.9823482623</v>
      </c>
      <c r="J14" s="36">
        <f>VLOOKUP($A14,[24]HISTOOCT24!$A$6:$AQ$42,22,0)</f>
        <v>0</v>
      </c>
      <c r="K14" s="36">
        <f>VLOOKUP($A14,[24]HISTOOCT24!$A$6:$AU$38,45,0)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VLOOKUP($A14,[24]HISTOOCT24!$A$6:$AU$38,7,0)</f>
        <v>0</v>
      </c>
      <c r="Q14" s="36">
        <f>VLOOKUP($A14,[24]HISTOOCT24!$A$6:$AU$38,23,0)</f>
        <v>0</v>
      </c>
      <c r="R14" s="36">
        <f>VLOOKUP($A14,[24]HISTOOCT24!$A$6:$AU$38,46,0)</f>
        <v>0</v>
      </c>
      <c r="S14" s="36">
        <f>VLOOKUP($A14,[24]HISTOOCT24!$A$6:$AU$38,26,0)</f>
        <v>0</v>
      </c>
      <c r="T14" s="36">
        <f>VLOOKUP($A14,[24]HISTOOCT24!$A$6:$BG$38,58,0)</f>
        <v>0</v>
      </c>
      <c r="U14" s="36">
        <f>VLOOKUP($A14,[24]HISTOOCT24!$A$6:$AU$38,28,0)</f>
        <v>0</v>
      </c>
      <c r="V14" s="36">
        <f>VLOOKUP($A14,[24]HISTOOCT24!$A$6:$AU$38,19,0)</f>
        <v>0</v>
      </c>
      <c r="W14" s="36">
        <f>VLOOKUP($A14,[24]HISTOOCT24!$A$6:$AU$38,20,0)</f>
        <v>0</v>
      </c>
      <c r="X14" s="36">
        <f>VLOOKUP($A14,[24]HISTOOCT24!$A$6:$AU$38,27,0)</f>
        <v>0</v>
      </c>
      <c r="Y14" s="36">
        <f>VLOOKUP($A14,[24]HISTOOCT24!$A$6:$BM$38,33,0)</f>
        <v>0</v>
      </c>
      <c r="Z14" s="36">
        <f>VLOOKUP($A14,[24]HISTOOCT24!$A$6:$BM$38,65,0)</f>
        <v>0</v>
      </c>
      <c r="AA14" s="36"/>
      <c r="AB14" s="36">
        <f>VLOOKUP($A14,[24]HISTOOCT24!$A$6:$AU$38,43,0)</f>
        <v>0</v>
      </c>
      <c r="AC14" s="36">
        <f>VLOOKUP($A14,[24]HISTOOCT24!$A$6:$AU$38,44,0)</f>
        <v>0</v>
      </c>
      <c r="AD14" s="36">
        <f>VLOOKUP($A14,[24]HISTOOCT24!$A$6:$AU$38,47,0)</f>
        <v>0</v>
      </c>
      <c r="AE14" s="36">
        <f>VLOOKUP(A14,[24]HISTOOCT24!$A$6:$BB$38,54,0)</f>
        <v>0</v>
      </c>
      <c r="AF14" s="36">
        <f>VLOOKUP($A14,[24]HISTOOCT24!$A$6:$CA$38,60,0)</f>
        <v>0</v>
      </c>
      <c r="AG14" s="36">
        <f>VLOOKUP($A14,[24]HISTOOCT24!$A$6:$CA$38,61,0)</f>
        <v>0</v>
      </c>
      <c r="AH14" s="36">
        <f>VLOOKUP($A14,[24]HISTOOCT24!$A$6:$CA$38,62,0)</f>
        <v>0</v>
      </c>
      <c r="AI14" s="36">
        <f>VLOOKUP($A14,[24]HISTOOCT24!$A$6:$CA$38,63,0)</f>
        <v>0</v>
      </c>
      <c r="AJ14" s="36">
        <f>VLOOKUP($A14,[24]HISTOOCT24!$A$6:$CA$38,64,0)</f>
        <v>0</v>
      </c>
      <c r="AK14" s="36">
        <f>VLOOKUP($A14,[24]HISTOOCT24!$A$6:$CA$38,65,0)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VLOOKUP($A15,[24]HISTOOCT24!$A$6:$BA$38,48,0)</f>
        <v>0</v>
      </c>
      <c r="F15" s="36">
        <f>MVTSEPT24!I15-E15+L15</f>
        <v>999309.62153810938</v>
      </c>
      <c r="G15" s="5">
        <f>IF(MVTSEPT24!I15+L15&gt;700000,(MVTSEPT24!I15-E15+L15),0)</f>
        <v>999309.62153810938</v>
      </c>
      <c r="H15" s="36">
        <f t="shared" si="0"/>
        <v>0</v>
      </c>
      <c r="I15" s="6">
        <f t="shared" si="2"/>
        <v>999309.62153810938</v>
      </c>
      <c r="J15" s="36">
        <f>VLOOKUP($A15,[24]HISTOOCT24!$A$6:$AQ$42,22,0)</f>
        <v>0</v>
      </c>
      <c r="K15" s="36">
        <f>VLOOKUP($A15,[24]HISTOOCT24!$A$6:$AU$38,45,0)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VLOOKUP($A15,[24]HISTOOCT24!$A$6:$AU$38,7,0)</f>
        <v>0</v>
      </c>
      <c r="Q15" s="36">
        <f>VLOOKUP($A15,[24]HISTOOCT24!$A$6:$AU$38,23,0)</f>
        <v>0</v>
      </c>
      <c r="R15" s="36">
        <f>VLOOKUP($A15,[24]HISTOOCT24!$A$6:$AU$38,46,0)</f>
        <v>0</v>
      </c>
      <c r="S15" s="36">
        <f>VLOOKUP($A15,[24]HISTOOCT24!$A$6:$AU$38,26,0)</f>
        <v>0</v>
      </c>
      <c r="T15" s="36">
        <f>VLOOKUP($A15,[24]HISTOOCT24!$A$6:$BG$38,58,0)</f>
        <v>0</v>
      </c>
      <c r="U15" s="36">
        <f>VLOOKUP($A15,[24]HISTOOCT24!$A$6:$AU$38,28,0)</f>
        <v>0</v>
      </c>
      <c r="V15" s="36">
        <f>VLOOKUP($A15,[24]HISTOOCT24!$A$6:$AU$38,19,0)</f>
        <v>0</v>
      </c>
      <c r="W15" s="36">
        <f>VLOOKUP($A15,[24]HISTOOCT24!$A$6:$AU$38,20,0)</f>
        <v>0</v>
      </c>
      <c r="X15" s="36">
        <f>VLOOKUP($A15,[24]HISTOOCT24!$A$6:$AU$38,27,0)</f>
        <v>0</v>
      </c>
      <c r="Y15" s="36">
        <f>VLOOKUP($A15,[24]HISTOOCT24!$A$6:$BM$38,33,0)</f>
        <v>0</v>
      </c>
      <c r="Z15" s="36">
        <f>VLOOKUP($A15,[24]HISTOOCT24!$A$6:$BM$38,65,0)</f>
        <v>0</v>
      </c>
      <c r="AA15" s="36"/>
      <c r="AB15" s="36">
        <f>VLOOKUP($A15,[24]HISTOOCT24!$A$6:$AU$38,43,0)</f>
        <v>0</v>
      </c>
      <c r="AC15" s="36">
        <f>VLOOKUP($A15,[24]HISTOOCT24!$A$6:$AU$38,44,0)</f>
        <v>0</v>
      </c>
      <c r="AD15" s="36">
        <f>VLOOKUP($A15,[24]HISTOOCT24!$A$6:$AU$38,47,0)</f>
        <v>0</v>
      </c>
      <c r="AE15" s="36">
        <f>VLOOKUP(A15,[24]HISTOOCT24!$A$6:$BB$38,54,0)</f>
        <v>0</v>
      </c>
      <c r="AF15" s="36">
        <f>VLOOKUP($A15,[24]HISTOOCT24!$A$6:$CA$38,60,0)</f>
        <v>0</v>
      </c>
      <c r="AG15" s="36">
        <f>VLOOKUP($A15,[24]HISTOOCT24!$A$6:$CA$38,61,0)</f>
        <v>0</v>
      </c>
      <c r="AH15" s="36">
        <f>VLOOKUP($A15,[24]HISTOOCT24!$A$6:$CA$38,62,0)</f>
        <v>0</v>
      </c>
      <c r="AI15" s="36">
        <f>VLOOKUP($A15,[24]HISTOOCT24!$A$6:$CA$38,63,0)</f>
        <v>0</v>
      </c>
      <c r="AJ15" s="36">
        <f>VLOOKUP($A15,[24]HISTOOCT24!$A$6:$CA$38,64,0)</f>
        <v>0</v>
      </c>
      <c r="AK15" s="36">
        <f>VLOOKUP($A15,[24]HISTOOCT24!$A$6:$CA$38,65,0)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VLOOKUP($A16,[24]HISTOOCT24!$A$6:$BA$38,48,0)</f>
        <v>0</v>
      </c>
      <c r="F16" s="36">
        <f>MVTSEPT24!I16-E16+L16</f>
        <v>1109858.7065070483</v>
      </c>
      <c r="G16" s="5">
        <f>IF(MVTSEPT24!I16+L16&gt;700000,(MVTSEPT24!I16-E16+L16),0)</f>
        <v>1109858.7065070483</v>
      </c>
      <c r="H16" s="36">
        <f t="shared" si="0"/>
        <v>0</v>
      </c>
      <c r="I16" s="6">
        <f t="shared" si="2"/>
        <v>1109858.7065070483</v>
      </c>
      <c r="J16" s="36">
        <f>VLOOKUP($A16,[24]HISTOOCT24!$A$6:$AQ$42,22,0)</f>
        <v>0</v>
      </c>
      <c r="K16" s="36">
        <f>VLOOKUP($A16,[24]HISTOOCT24!$A$6:$AU$38,45,0)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VLOOKUP($A16,[24]HISTOOCT24!$A$6:$AU$38,7,0)</f>
        <v>0</v>
      </c>
      <c r="Q16" s="36">
        <f>VLOOKUP($A16,[24]HISTOOCT24!$A$6:$AU$38,23,0)</f>
        <v>0</v>
      </c>
      <c r="R16" s="36">
        <f>VLOOKUP($A16,[24]HISTOOCT24!$A$6:$AU$38,46,0)</f>
        <v>0</v>
      </c>
      <c r="S16" s="36">
        <f>VLOOKUP($A16,[24]HISTOOCT24!$A$6:$AU$38,26,0)</f>
        <v>0</v>
      </c>
      <c r="T16" s="36">
        <f>VLOOKUP($A16,[24]HISTOOCT24!$A$6:$BG$38,58,0)</f>
        <v>0</v>
      </c>
      <c r="U16" s="36">
        <f>VLOOKUP($A16,[24]HISTOOCT24!$A$6:$AU$38,28,0)</f>
        <v>0</v>
      </c>
      <c r="V16" s="36">
        <f>VLOOKUP($A16,[24]HISTOOCT24!$A$6:$AU$38,19,0)</f>
        <v>0</v>
      </c>
      <c r="W16" s="36">
        <f>VLOOKUP($A16,[24]HISTOOCT24!$A$6:$AU$38,20,0)</f>
        <v>0</v>
      </c>
      <c r="X16" s="36">
        <f>VLOOKUP($A16,[24]HISTOOCT24!$A$6:$AU$38,27,0)</f>
        <v>0</v>
      </c>
      <c r="Y16" s="36">
        <f>VLOOKUP($A16,[24]HISTOOCT24!$A$6:$BM$38,33,0)</f>
        <v>0</v>
      </c>
      <c r="Z16" s="36">
        <f>VLOOKUP($A16,[24]HISTOOCT24!$A$6:$BM$38,65,0)</f>
        <v>0</v>
      </c>
      <c r="AA16" s="36"/>
      <c r="AB16" s="36">
        <f>VLOOKUP($A16,[24]HISTOOCT24!$A$6:$AU$38,43,0)</f>
        <v>0</v>
      </c>
      <c r="AC16" s="36">
        <f>VLOOKUP($A16,[24]HISTOOCT24!$A$6:$AU$38,44,0)</f>
        <v>0</v>
      </c>
      <c r="AD16" s="36">
        <f>VLOOKUP($A16,[24]HISTOOCT24!$A$6:$AU$38,47,0)</f>
        <v>0</v>
      </c>
      <c r="AE16" s="36">
        <f>VLOOKUP(A16,[24]HISTOOCT24!$A$6:$BB$38,54,0)</f>
        <v>0</v>
      </c>
      <c r="AF16" s="36">
        <f>VLOOKUP($A16,[24]HISTOOCT24!$A$6:$CA$38,60,0)</f>
        <v>0</v>
      </c>
      <c r="AG16" s="36">
        <f>VLOOKUP($A16,[24]HISTOOCT24!$A$6:$CA$38,61,0)</f>
        <v>0</v>
      </c>
      <c r="AH16" s="36">
        <f>VLOOKUP($A16,[24]HISTOOCT24!$A$6:$CA$38,62,0)</f>
        <v>0</v>
      </c>
      <c r="AI16" s="36">
        <f>VLOOKUP($A16,[24]HISTOOCT24!$A$6:$CA$38,63,0)</f>
        <v>0</v>
      </c>
      <c r="AJ16" s="36">
        <f>VLOOKUP($A16,[24]HISTOOCT24!$A$6:$CA$38,64,0)</f>
        <v>0</v>
      </c>
      <c r="AK16" s="36">
        <f>VLOOKUP($A16,[24]HISTOOCT24!$A$6:$CA$38,65,0)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VLOOKUP($A17,[24]HISTOOCT24!$A$6:$BA$38,48,0)</f>
        <v>0</v>
      </c>
      <c r="F17" s="36">
        <f>MVTSEPT24!I17-E17+L17</f>
        <v>947402.7005255461</v>
      </c>
      <c r="G17" s="5">
        <f>IF(MVTSEPT24!I17+L17&gt;700000,(MVTSEPT24!I17-E17+L17),0)</f>
        <v>947402.7005255461</v>
      </c>
      <c r="H17" s="36">
        <f t="shared" si="0"/>
        <v>0</v>
      </c>
      <c r="I17" s="6">
        <f t="shared" si="2"/>
        <v>947402.7005255461</v>
      </c>
      <c r="J17" s="36">
        <f>VLOOKUP($A17,[24]HISTOOCT24!$A$6:$AQ$42,22,0)</f>
        <v>0</v>
      </c>
      <c r="K17" s="36">
        <f>VLOOKUP($A17,[24]HISTOOCT24!$A$6:$AU$38,45,0)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VLOOKUP($A17,[24]HISTOOCT24!$A$6:$AU$38,7,0)</f>
        <v>0</v>
      </c>
      <c r="Q17" s="36">
        <f>VLOOKUP($A17,[24]HISTOOCT24!$A$6:$AU$38,23,0)</f>
        <v>0</v>
      </c>
      <c r="R17" s="36">
        <f>VLOOKUP($A17,[24]HISTOOCT24!$A$6:$AU$38,46,0)</f>
        <v>0</v>
      </c>
      <c r="S17" s="36">
        <f>VLOOKUP($A17,[24]HISTOOCT24!$A$6:$AU$38,26,0)</f>
        <v>0</v>
      </c>
      <c r="T17" s="36">
        <f>VLOOKUP($A17,[24]HISTOOCT24!$A$6:$BG$38,58,0)</f>
        <v>0</v>
      </c>
      <c r="U17" s="36">
        <f>VLOOKUP($A17,[24]HISTOOCT24!$A$6:$AU$38,28,0)</f>
        <v>0</v>
      </c>
      <c r="V17" s="36">
        <f>VLOOKUP($A17,[24]HISTOOCT24!$A$6:$AU$38,19,0)</f>
        <v>0</v>
      </c>
      <c r="W17" s="36">
        <f>VLOOKUP($A17,[24]HISTOOCT24!$A$6:$AU$38,20,0)</f>
        <v>0</v>
      </c>
      <c r="X17" s="36">
        <f>VLOOKUP($A17,[24]HISTOOCT24!$A$6:$AU$38,27,0)</f>
        <v>0</v>
      </c>
      <c r="Y17" s="36">
        <f>VLOOKUP($A17,[24]HISTOOCT24!$A$6:$BM$38,33,0)</f>
        <v>0</v>
      </c>
      <c r="Z17" s="36">
        <f>VLOOKUP($A17,[24]HISTOOCT24!$A$6:$BM$38,65,0)</f>
        <v>0</v>
      </c>
      <c r="AA17" s="36"/>
      <c r="AB17" s="36">
        <f>VLOOKUP($A17,[24]HISTOOCT24!$A$6:$AU$38,43,0)</f>
        <v>0</v>
      </c>
      <c r="AC17" s="36">
        <f>VLOOKUP($A17,[24]HISTOOCT24!$A$6:$AU$38,44,0)</f>
        <v>0</v>
      </c>
      <c r="AD17" s="36">
        <f>VLOOKUP($A17,[24]HISTOOCT24!$A$6:$AU$38,47,0)</f>
        <v>0</v>
      </c>
      <c r="AE17" s="36">
        <f>VLOOKUP(A17,[24]HISTOOCT24!$A$6:$BB$38,54,0)</f>
        <v>0</v>
      </c>
      <c r="AF17" s="36">
        <f>VLOOKUP($A17,[24]HISTOOCT24!$A$6:$CA$38,60,0)</f>
        <v>0</v>
      </c>
      <c r="AG17" s="36">
        <f>VLOOKUP($A17,[24]HISTOOCT24!$A$6:$CA$38,61,0)</f>
        <v>0</v>
      </c>
      <c r="AH17" s="36">
        <f>VLOOKUP($A17,[24]HISTOOCT24!$A$6:$CA$38,62,0)</f>
        <v>0</v>
      </c>
      <c r="AI17" s="36">
        <f>VLOOKUP($A17,[24]HISTOOCT24!$A$6:$CA$38,63,0)</f>
        <v>0</v>
      </c>
      <c r="AJ17" s="36">
        <f>VLOOKUP($A17,[24]HISTOOCT24!$A$6:$CA$38,64,0)</f>
        <v>0</v>
      </c>
      <c r="AK17" s="36">
        <f>VLOOKUP($A17,[24]HISTOOCT24!$A$6:$CA$38,65,0)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VLOOKUP($A18,[24]HISTOOCT24!$A$6:$BA$38,48,0)</f>
        <v>0</v>
      </c>
      <c r="F18" s="36">
        <f>MVTSEPT24!I18-E18+L18</f>
        <v>993662.76419736946</v>
      </c>
      <c r="G18" s="5">
        <f>IF(MVTSEPT24!I18+L18&gt;700000,(MVTSEPT24!I18-E18+L18),0)</f>
        <v>993662.76419736946</v>
      </c>
      <c r="H18" s="36">
        <f t="shared" si="0"/>
        <v>0</v>
      </c>
      <c r="I18" s="6">
        <f t="shared" si="2"/>
        <v>993662.76419736946</v>
      </c>
      <c r="J18" s="36">
        <f>VLOOKUP($A18,[24]HISTOOCT24!$A$6:$AQ$42,22,0)</f>
        <v>0</v>
      </c>
      <c r="K18" s="36">
        <f>VLOOKUP($A18,[24]HISTOOCT24!$A$6:$AU$38,45,0)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VLOOKUP($A18,[24]HISTOOCT24!$A$6:$AU$38,7,0)</f>
        <v>0</v>
      </c>
      <c r="Q18" s="36">
        <f>VLOOKUP($A18,[24]HISTOOCT24!$A$6:$AU$38,23,0)</f>
        <v>0</v>
      </c>
      <c r="R18" s="36">
        <f>VLOOKUP($A18,[24]HISTOOCT24!$A$6:$AU$38,46,0)</f>
        <v>0</v>
      </c>
      <c r="S18" s="36">
        <f>VLOOKUP($A18,[24]HISTOOCT24!$A$6:$AU$38,26,0)</f>
        <v>0</v>
      </c>
      <c r="T18" s="36">
        <f>VLOOKUP($A18,[24]HISTOOCT24!$A$6:$BG$38,58,0)</f>
        <v>0</v>
      </c>
      <c r="U18" s="36">
        <f>VLOOKUP($A18,[24]HISTOOCT24!$A$6:$AU$38,28,0)</f>
        <v>0</v>
      </c>
      <c r="V18" s="36">
        <f>VLOOKUP($A18,[24]HISTOOCT24!$A$6:$AU$38,19,0)</f>
        <v>0</v>
      </c>
      <c r="W18" s="36">
        <f>VLOOKUP($A18,[24]HISTOOCT24!$A$6:$AU$38,20,0)</f>
        <v>0</v>
      </c>
      <c r="X18" s="36">
        <f>VLOOKUP($A18,[24]HISTOOCT24!$A$6:$AU$38,27,0)</f>
        <v>0</v>
      </c>
      <c r="Y18" s="36">
        <f>VLOOKUP($A18,[24]HISTOOCT24!$A$6:$BM$38,33,0)</f>
        <v>0</v>
      </c>
      <c r="Z18" s="36">
        <f>VLOOKUP($A18,[24]HISTOOCT24!$A$6:$BM$38,65,0)</f>
        <v>0</v>
      </c>
      <c r="AA18" s="36"/>
      <c r="AB18" s="36">
        <f>VLOOKUP($A18,[24]HISTOOCT24!$A$6:$AU$38,43,0)</f>
        <v>0</v>
      </c>
      <c r="AC18" s="36">
        <f>VLOOKUP($A18,[24]HISTOOCT24!$A$6:$AU$38,44,0)</f>
        <v>0</v>
      </c>
      <c r="AD18" s="36">
        <f>VLOOKUP($A18,[24]HISTOOCT24!$A$6:$AU$38,47,0)</f>
        <v>0</v>
      </c>
      <c r="AE18" s="36">
        <f>VLOOKUP(A18,[24]HISTOOCT24!$A$6:$BB$38,54,0)</f>
        <v>0</v>
      </c>
      <c r="AF18" s="36">
        <f>VLOOKUP($A18,[24]HISTOOCT24!$A$6:$CA$38,60,0)</f>
        <v>0</v>
      </c>
      <c r="AG18" s="36">
        <f>VLOOKUP($A18,[24]HISTOOCT24!$A$6:$CA$38,61,0)</f>
        <v>0</v>
      </c>
      <c r="AH18" s="36">
        <f>VLOOKUP($A18,[24]HISTOOCT24!$A$6:$CA$38,62,0)</f>
        <v>0</v>
      </c>
      <c r="AI18" s="36">
        <f>VLOOKUP($A18,[24]HISTOOCT24!$A$6:$CA$38,63,0)</f>
        <v>0</v>
      </c>
      <c r="AJ18" s="36">
        <f>VLOOKUP($A18,[24]HISTOOCT24!$A$6:$CA$38,64,0)</f>
        <v>0</v>
      </c>
      <c r="AK18" s="36">
        <f>VLOOKUP($A18,[24]HISTOOCT24!$A$6:$CA$38,65,0)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676217.13072703336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VLOOKUP($A20,[24]HISTOOCT24!$A$6:$AQ$42,22,0)</f>
        <v>0</v>
      </c>
      <c r="K20" s="36">
        <f>VLOOKUP($A20,[24]HISTOOCT24!$A$6:$AU$38,45,0)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VLOOKUP($A20,[24]HISTOOCT24!$A$6:$AU$38,7,0)</f>
        <v>0</v>
      </c>
      <c r="Q20" s="36">
        <f>VLOOKUP($A20,[24]HISTOOCT24!$A$6:$AU$38,23,0)</f>
        <v>0</v>
      </c>
      <c r="R20" s="36">
        <f>VLOOKUP($A20,[24]HISTOOCT24!$A$6:$AU$38,46,0)</f>
        <v>0</v>
      </c>
      <c r="S20" s="36">
        <f>VLOOKUP($A20,[24]HISTOOCT24!$A$6:$AU$38,26,0)</f>
        <v>0</v>
      </c>
      <c r="T20" s="36">
        <f>VLOOKUP($A20,[24]HISTOOCT24!$A$6:$BG$38,58,0)</f>
        <v>0</v>
      </c>
      <c r="U20" s="36">
        <f>VLOOKUP($A20,[24]HISTOOCT24!$A$6:$AU$38,28,0)</f>
        <v>0</v>
      </c>
      <c r="V20" s="36">
        <f>VLOOKUP($A20,[24]HISTOOCT24!$A$6:$AU$38,19,0)</f>
        <v>0</v>
      </c>
      <c r="W20" s="36">
        <f>VLOOKUP($A20,[24]HISTOOCT24!$A$6:$AU$38,20,0)</f>
        <v>0</v>
      </c>
      <c r="X20" s="36">
        <f>VLOOKUP($A20,[24]HISTOOCT24!$A$6:$AU$38,27,0)</f>
        <v>0</v>
      </c>
      <c r="Y20" s="36">
        <f>VLOOKUP($A20,[24]HISTOOCT24!$A$6:$BM$38,33,0)</f>
        <v>0</v>
      </c>
      <c r="Z20" s="36">
        <f>VLOOKUP($A20,[24]HISTOOCT24!$A$6:$BM$38,65,0)</f>
        <v>0</v>
      </c>
      <c r="AA20" s="36"/>
      <c r="AB20" s="36">
        <f>VLOOKUP($A20,[24]HISTOOCT24!$A$6:$AU$38,43,0)</f>
        <v>0</v>
      </c>
      <c r="AC20" s="36">
        <f>VLOOKUP($A20,[24]HISTOOCT24!$A$6:$AU$38,44,0)</f>
        <v>0</v>
      </c>
      <c r="AD20" s="36">
        <f>VLOOKUP($A20,[24]HISTOOCT24!$A$6:$AU$38,47,0)</f>
        <v>0</v>
      </c>
      <c r="AE20" s="36">
        <f>VLOOKUP(A20,[24]HISTOOCT24!$A$6:$BB$38,54,0)</f>
        <v>0</v>
      </c>
      <c r="AF20" s="36">
        <f>VLOOKUP($A20,[24]HISTOOCT24!$A$6:$CA$38,60,0)</f>
        <v>0</v>
      </c>
      <c r="AG20" s="36">
        <f>VLOOKUP($A20,[24]HISTOOCT24!$A$6:$CA$38,61,0)</f>
        <v>0</v>
      </c>
      <c r="AH20" s="36">
        <f>VLOOKUP($A20,[24]HISTOOCT24!$A$6:$CA$38,62,0)</f>
        <v>0</v>
      </c>
      <c r="AI20" s="36">
        <f>VLOOKUP($A20,[24]HISTOOCT24!$A$6:$CA$38,63,0)</f>
        <v>0</v>
      </c>
      <c r="AJ20" s="36">
        <f>VLOOKUP($A20,[24]HISTOOCT24!$A$6:$CA$38,64,0)</f>
        <v>0</v>
      </c>
      <c r="AK20" s="36">
        <f>VLOOKUP($A20,[24]HISTOOCT24!$A$6:$CA$38,65,0)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MVTSEPT24!I21-E21+L21</f>
        <v>970355.80062958295</v>
      </c>
      <c r="G21" s="5">
        <f>IF(MVTSEPT24!I21+L21&gt;700000,(MVTSEPT24!I21-E21+L21),0)</f>
        <v>970355.80062958295</v>
      </c>
      <c r="H21" s="36">
        <f t="shared" si="0"/>
        <v>0</v>
      </c>
      <c r="I21" s="6">
        <f t="shared" si="2"/>
        <v>970355.80062958295</v>
      </c>
      <c r="J21" s="36">
        <f>VLOOKUP($A21,[24]HISTOOCT24!$A$6:$AQ$42,22,0)</f>
        <v>0</v>
      </c>
      <c r="K21" s="36">
        <f>VLOOKUP($A21,[24]HISTOOCT24!$A$6:$AU$38,45,0)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VLOOKUP($A21,[24]HISTOOCT24!$A$6:$AU$38,7,0)</f>
        <v>0</v>
      </c>
      <c r="Q21" s="36">
        <f>VLOOKUP($A21,[24]HISTOOCT24!$A$6:$AU$38,23,0)</f>
        <v>0</v>
      </c>
      <c r="R21" s="36">
        <f>VLOOKUP($A21,[24]HISTOOCT24!$A$6:$AU$38,46,0)</f>
        <v>0</v>
      </c>
      <c r="S21" s="36">
        <f>VLOOKUP($A21,[24]HISTOOCT24!$A$6:$AU$38,26,0)</f>
        <v>0</v>
      </c>
      <c r="T21" s="36">
        <f>VLOOKUP($A21,[24]HISTOOCT24!$A$6:$BG$38,58,0)</f>
        <v>0</v>
      </c>
      <c r="U21" s="36">
        <f>VLOOKUP($A21,[24]HISTOOCT24!$A$6:$AU$38,28,0)</f>
        <v>0</v>
      </c>
      <c r="V21" s="36">
        <f>VLOOKUP($A21,[24]HISTOOCT24!$A$6:$AU$38,19,0)</f>
        <v>0</v>
      </c>
      <c r="W21" s="36">
        <f>VLOOKUP($A21,[24]HISTOOCT24!$A$6:$AU$38,20,0)</f>
        <v>0</v>
      </c>
      <c r="X21" s="36">
        <f>VLOOKUP($A21,[24]HISTOOCT24!$A$6:$AU$38,27,0)</f>
        <v>0</v>
      </c>
      <c r="Y21" s="36">
        <f>VLOOKUP($A21,[24]HISTOOCT24!$A$6:$BM$38,33,0)</f>
        <v>0</v>
      </c>
      <c r="Z21" s="36">
        <f>VLOOKUP($A21,[24]HISTOOCT24!$A$6:$BM$38,65,0)</f>
        <v>0</v>
      </c>
      <c r="AA21" s="36"/>
      <c r="AB21" s="36">
        <f>VLOOKUP($A21,[24]HISTOOCT24!$A$6:$AU$38,43,0)</f>
        <v>0</v>
      </c>
      <c r="AC21" s="36">
        <f>VLOOKUP($A21,[24]HISTOOCT24!$A$6:$AU$38,44,0)</f>
        <v>0</v>
      </c>
      <c r="AD21" s="36">
        <f>VLOOKUP($A21,[24]HISTOOCT24!$A$6:$AU$38,47,0)</f>
        <v>0</v>
      </c>
      <c r="AE21" s="36">
        <f>VLOOKUP(A21,[24]HISTOOCT24!$A$6:$BB$38,54,0)</f>
        <v>0</v>
      </c>
      <c r="AF21" s="36">
        <f>VLOOKUP($A21,[24]HISTOOCT24!$A$6:$CA$38,60,0)</f>
        <v>0</v>
      </c>
      <c r="AG21" s="36">
        <f>VLOOKUP($A21,[24]HISTOOCT24!$A$6:$CA$38,61,0)</f>
        <v>0</v>
      </c>
      <c r="AH21" s="36">
        <f>VLOOKUP($A21,[24]HISTOOCT24!$A$6:$CA$38,62,0)</f>
        <v>0</v>
      </c>
      <c r="AI21" s="36">
        <f>VLOOKUP($A21,[24]HISTOOCT24!$A$6:$CA$38,63,0)</f>
        <v>0</v>
      </c>
      <c r="AJ21" s="36">
        <f>VLOOKUP($A21,[24]HISTOOCT24!$A$6:$CA$38,64,0)</f>
        <v>0</v>
      </c>
      <c r="AK21" s="36">
        <f>VLOOKUP($A21,[24]HISTOOCT24!$A$6:$CA$38,65,0)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MVTSEPT24!I22-E22+L22</f>
        <v>938738.95952735876</v>
      </c>
      <c r="G22" s="5">
        <f>IF(MVTSEPT24!I22+L22&gt;700000,(MVTSEPT24!I22-E22+L22),0)</f>
        <v>938738.95952735876</v>
      </c>
      <c r="H22" s="36">
        <f t="shared" si="0"/>
        <v>0</v>
      </c>
      <c r="I22" s="6">
        <f t="shared" si="2"/>
        <v>938738.95952735876</v>
      </c>
      <c r="J22" s="36">
        <f>VLOOKUP($A22,[24]HISTOOCT24!$A$6:$AQ$42,22,0)</f>
        <v>0</v>
      </c>
      <c r="K22" s="36">
        <f>VLOOKUP($A22,[24]HISTOOCT24!$A$6:$AU$38,45,0)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VLOOKUP($A22,[24]HISTOOCT24!$A$6:$AU$38,7,0)</f>
        <v>0</v>
      </c>
      <c r="Q22" s="36">
        <f>VLOOKUP($A22,[24]HISTOOCT24!$A$6:$AU$38,23,0)</f>
        <v>0</v>
      </c>
      <c r="R22" s="36">
        <f>VLOOKUP($A22,[24]HISTOOCT24!$A$6:$AU$38,46,0)</f>
        <v>0</v>
      </c>
      <c r="S22" s="36">
        <f>VLOOKUP($A22,[24]HISTOOCT24!$A$6:$AU$38,26,0)</f>
        <v>0</v>
      </c>
      <c r="T22" s="36">
        <f>VLOOKUP($A22,[24]HISTOOCT24!$A$6:$BG$38,58,0)</f>
        <v>0</v>
      </c>
      <c r="U22" s="36">
        <f>VLOOKUP($A22,[24]HISTOOCT24!$A$6:$AU$38,28,0)</f>
        <v>0</v>
      </c>
      <c r="V22" s="36">
        <f>VLOOKUP($A22,[24]HISTOOCT24!$A$6:$AU$38,19,0)</f>
        <v>0</v>
      </c>
      <c r="W22" s="36">
        <f>VLOOKUP($A22,[24]HISTOOCT24!$A$6:$AU$38,20,0)</f>
        <v>0</v>
      </c>
      <c r="X22" s="36">
        <f>VLOOKUP($A22,[24]HISTOOCT24!$A$6:$AU$38,27,0)</f>
        <v>0</v>
      </c>
      <c r="Y22" s="36">
        <f>VLOOKUP($A22,[24]HISTOOCT24!$A$6:$BM$38,33,0)</f>
        <v>0</v>
      </c>
      <c r="Z22" s="36">
        <f>VLOOKUP($A22,[24]HISTOOCT24!$A$6:$BM$38,65,0)</f>
        <v>0</v>
      </c>
      <c r="AA22" s="36"/>
      <c r="AB22" s="36">
        <f>VLOOKUP($A22,[24]HISTOOCT24!$A$6:$AU$38,43,0)</f>
        <v>0</v>
      </c>
      <c r="AC22" s="36">
        <f>VLOOKUP($A22,[24]HISTOOCT24!$A$6:$AU$38,44,0)</f>
        <v>0</v>
      </c>
      <c r="AD22" s="36">
        <f>VLOOKUP($A22,[24]HISTOOCT24!$A$6:$AU$38,47,0)</f>
        <v>0</v>
      </c>
      <c r="AE22" s="36">
        <f>VLOOKUP(A22,[24]HISTOOCT24!$A$6:$BB$38,54,0)</f>
        <v>0</v>
      </c>
      <c r="AF22" s="36">
        <f>VLOOKUP($A22,[24]HISTOOCT24!$A$6:$CA$38,60,0)</f>
        <v>0</v>
      </c>
      <c r="AG22" s="36">
        <f>VLOOKUP($A22,[24]HISTOOCT24!$A$6:$CA$38,61,0)</f>
        <v>0</v>
      </c>
      <c r="AH22" s="36">
        <f>VLOOKUP($A22,[24]HISTOOCT24!$A$6:$CA$38,62,0)</f>
        <v>0</v>
      </c>
      <c r="AI22" s="36">
        <f>VLOOKUP($A22,[24]HISTOOCT24!$A$6:$CA$38,63,0)</f>
        <v>0</v>
      </c>
      <c r="AJ22" s="36">
        <f>VLOOKUP($A22,[24]HISTOOCT24!$A$6:$CA$38,64,0)</f>
        <v>0</v>
      </c>
      <c r="AK22" s="36">
        <f>VLOOKUP($A22,[24]HISTOOCT24!$A$6:$CA$38,65,0)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MVTSEPT24!I23-E23+L23</f>
        <v>1044674.3246731948</v>
      </c>
      <c r="G23" s="5">
        <f>IF(MVTSEPT24!I23+L23&gt;700000,(MVTSEPT24!I23-E23+L23),0)</f>
        <v>1044674.3246731948</v>
      </c>
      <c r="H23" s="36">
        <f t="shared" si="0"/>
        <v>0</v>
      </c>
      <c r="I23" s="6">
        <f t="shared" si="2"/>
        <v>1044674.3246731948</v>
      </c>
      <c r="J23" s="36">
        <f>VLOOKUP($A23,[24]HISTOOCT24!$A$6:$AQ$42,22,0)</f>
        <v>0</v>
      </c>
      <c r="K23" s="36">
        <f>VLOOKUP($A23,[24]HISTOOCT24!$A$6:$AU$38,45,0)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VLOOKUP($A23,[24]HISTOOCT24!$A$6:$AU$38,7,0)</f>
        <v>0</v>
      </c>
      <c r="Q23" s="36">
        <f>VLOOKUP($A23,[24]HISTOOCT24!$A$6:$AU$38,23,0)</f>
        <v>0</v>
      </c>
      <c r="R23" s="36">
        <f>VLOOKUP($A23,[24]HISTOOCT24!$A$6:$AU$38,46,0)</f>
        <v>0</v>
      </c>
      <c r="S23" s="36">
        <f>VLOOKUP($A23,[24]HISTOOCT24!$A$6:$AU$38,26,0)</f>
        <v>0</v>
      </c>
      <c r="T23" s="36">
        <f>VLOOKUP($A23,[24]HISTOOCT24!$A$6:$BG$38,58,0)</f>
        <v>0</v>
      </c>
      <c r="U23" s="36">
        <f>VLOOKUP($A23,[24]HISTOOCT24!$A$6:$AU$38,28,0)</f>
        <v>0</v>
      </c>
      <c r="V23" s="36">
        <f>VLOOKUP($A23,[24]HISTOOCT24!$A$6:$AU$38,19,0)</f>
        <v>0</v>
      </c>
      <c r="W23" s="36">
        <f>VLOOKUP($A23,[24]HISTOOCT24!$A$6:$AU$38,20,0)</f>
        <v>0</v>
      </c>
      <c r="X23" s="36">
        <f>VLOOKUP($A23,[24]HISTOOCT24!$A$6:$AU$38,27,0)</f>
        <v>0</v>
      </c>
      <c r="Y23" s="36">
        <f>VLOOKUP($A23,[24]HISTOOCT24!$A$6:$BM$38,33,0)</f>
        <v>0</v>
      </c>
      <c r="Z23" s="36">
        <f>VLOOKUP($A23,[24]HISTOOCT24!$A$6:$BM$38,65,0)</f>
        <v>0</v>
      </c>
      <c r="AA23" s="36"/>
      <c r="AB23" s="36">
        <f>VLOOKUP($A23,[24]HISTOOCT24!$A$6:$AU$38,43,0)</f>
        <v>0</v>
      </c>
      <c r="AC23" s="36">
        <f>VLOOKUP($A23,[24]HISTOOCT24!$A$6:$AU$38,44,0)</f>
        <v>0</v>
      </c>
      <c r="AD23" s="36">
        <f>VLOOKUP($A23,[24]HISTOOCT24!$A$6:$AU$38,47,0)</f>
        <v>0</v>
      </c>
      <c r="AE23" s="36">
        <f>VLOOKUP(A23,[24]HISTOOCT24!$A$6:$BB$38,54,0)</f>
        <v>0</v>
      </c>
      <c r="AF23" s="36">
        <f>VLOOKUP($A23,[24]HISTOOCT24!$A$6:$CA$38,60,0)</f>
        <v>0</v>
      </c>
      <c r="AG23" s="36">
        <f>VLOOKUP($A23,[24]HISTOOCT24!$A$6:$CA$38,61,0)</f>
        <v>0</v>
      </c>
      <c r="AH23" s="36">
        <f>VLOOKUP($A23,[24]HISTOOCT24!$A$6:$CA$38,62,0)</f>
        <v>0</v>
      </c>
      <c r="AI23" s="36">
        <f>VLOOKUP($A23,[24]HISTOOCT24!$A$6:$CA$38,63,0)</f>
        <v>0</v>
      </c>
      <c r="AJ23" s="36">
        <f>VLOOKUP($A23,[24]HISTOOCT24!$A$6:$CA$38,64,0)</f>
        <v>0</v>
      </c>
      <c r="AK23" s="36">
        <f>VLOOKUP($A23,[24]HISTOOCT24!$A$6:$CA$38,65,0)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MVTSEPT24!I24-E24+L24</f>
        <v>1217827.8441992993</v>
      </c>
      <c r="G24" s="5">
        <f>IF(MVTSEPT24!I24+L24&gt;700000,(MVTSEPT24!I24-E24+L24),0)</f>
        <v>1217827.8441992993</v>
      </c>
      <c r="H24" s="36">
        <f t="shared" si="0"/>
        <v>0</v>
      </c>
      <c r="I24" s="6">
        <f t="shared" si="2"/>
        <v>1217827.8441992993</v>
      </c>
      <c r="J24" s="36">
        <f>VLOOKUP($A24,[24]HISTOOCT24!$A$6:$AQ$42,22,0)</f>
        <v>0</v>
      </c>
      <c r="K24" s="36">
        <f>VLOOKUP($A24,[24]HISTOOCT24!$A$6:$AU$38,45,0)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VLOOKUP($A24,[24]HISTOOCT24!$A$6:$AU$38,7,0)</f>
        <v>0</v>
      </c>
      <c r="Q24" s="36">
        <f>VLOOKUP($A24,[24]HISTOOCT24!$A$6:$AU$38,23,0)</f>
        <v>0</v>
      </c>
      <c r="R24" s="36">
        <f>VLOOKUP($A24,[24]HISTOOCT24!$A$6:$AU$38,46,0)</f>
        <v>0</v>
      </c>
      <c r="S24" s="36">
        <f>VLOOKUP($A24,[24]HISTOOCT24!$A$6:$AU$38,26,0)</f>
        <v>0</v>
      </c>
      <c r="T24" s="36">
        <f>VLOOKUP($A24,[24]HISTOOCT24!$A$6:$BG$38,58,0)</f>
        <v>0</v>
      </c>
      <c r="U24" s="36">
        <f>VLOOKUP($A24,[24]HISTOOCT24!$A$6:$AU$38,28,0)</f>
        <v>0</v>
      </c>
      <c r="V24" s="36">
        <f>VLOOKUP($A24,[24]HISTOOCT24!$A$6:$AU$38,19,0)</f>
        <v>0</v>
      </c>
      <c r="W24" s="36">
        <f>VLOOKUP($A24,[24]HISTOOCT24!$A$6:$AU$38,20,0)</f>
        <v>0</v>
      </c>
      <c r="X24" s="36">
        <f>VLOOKUP($A24,[24]HISTOOCT24!$A$6:$AU$38,27,0)</f>
        <v>0</v>
      </c>
      <c r="Y24" s="36">
        <f>VLOOKUP($A24,[24]HISTOOCT24!$A$6:$BM$38,33,0)</f>
        <v>0</v>
      </c>
      <c r="Z24" s="36">
        <f>VLOOKUP($A24,[24]HISTOOCT24!$A$6:$BM$38,65,0)</f>
        <v>0</v>
      </c>
      <c r="AA24" s="36"/>
      <c r="AB24" s="36">
        <f>VLOOKUP($A24,[24]HISTOOCT24!$A$6:$AU$38,43,0)</f>
        <v>0</v>
      </c>
      <c r="AC24" s="36">
        <f>VLOOKUP($A24,[24]HISTOOCT24!$A$6:$AU$38,44,0)</f>
        <v>0</v>
      </c>
      <c r="AD24" s="36">
        <f>VLOOKUP($A24,[24]HISTOOCT24!$A$6:$AU$38,47,0)</f>
        <v>0</v>
      </c>
      <c r="AE24" s="36">
        <f>VLOOKUP(A24,[24]HISTOOCT24!$A$6:$BB$38,54,0)</f>
        <v>0</v>
      </c>
      <c r="AF24" s="36">
        <f>VLOOKUP($A24,[24]HISTOOCT24!$A$6:$CA$38,60,0)</f>
        <v>0</v>
      </c>
      <c r="AG24" s="36">
        <f>VLOOKUP($A24,[24]HISTOOCT24!$A$6:$CA$38,61,0)</f>
        <v>0</v>
      </c>
      <c r="AH24" s="36">
        <f>VLOOKUP($A24,[24]HISTOOCT24!$A$6:$CA$38,62,0)</f>
        <v>0</v>
      </c>
      <c r="AI24" s="36">
        <f>VLOOKUP($A24,[24]HISTOOCT24!$A$6:$CA$38,63,0)</f>
        <v>0</v>
      </c>
      <c r="AJ24" s="36">
        <f>VLOOKUP($A24,[24]HISTOOCT24!$A$6:$CA$38,64,0)</f>
        <v>0</v>
      </c>
      <c r="AK24" s="36">
        <f>VLOOKUP($A24,[24]HISTOOCT24!$A$6:$CA$38,65,0)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MVTSEPT24!I25-E25+L25</f>
        <v>1029141.7950432157</v>
      </c>
      <c r="G25" s="5">
        <f>IF(MVTSEPT24!I25+L25&gt;700000,(MVTSEPT24!I25-E25+L25),0)</f>
        <v>1029141.7950432157</v>
      </c>
      <c r="H25" s="36">
        <f t="shared" si="0"/>
        <v>0</v>
      </c>
      <c r="I25" s="6">
        <f t="shared" si="2"/>
        <v>1029141.7950432157</v>
      </c>
      <c r="J25" s="36">
        <f>VLOOKUP($A25,[24]HISTOOCT24!$A$6:$AQ$42,22,0)</f>
        <v>0</v>
      </c>
      <c r="K25" s="36">
        <f>VLOOKUP($A25,[24]HISTOOCT24!$A$6:$AU$38,45,0)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VLOOKUP($A25,[24]HISTOOCT24!$A$6:$AU$38,7,0)</f>
        <v>3000</v>
      </c>
      <c r="Q25" s="36">
        <f>VLOOKUP($A25,[24]HISTOOCT24!$A$6:$AU$38,23,0)</f>
        <v>0</v>
      </c>
      <c r="R25" s="36">
        <f>VLOOKUP($A25,[24]HISTOOCT24!$A$6:$AU$38,46,0)</f>
        <v>0</v>
      </c>
      <c r="S25" s="36">
        <f>VLOOKUP($A25,[24]HISTOOCT24!$A$6:$AU$38,26,0)</f>
        <v>0</v>
      </c>
      <c r="T25" s="36">
        <f>VLOOKUP($A25,[24]HISTOOCT24!$A$6:$BG$38,58,0)</f>
        <v>0</v>
      </c>
      <c r="U25" s="36">
        <f>VLOOKUP($A25,[24]HISTOOCT24!$A$6:$AU$38,28,0)</f>
        <v>0</v>
      </c>
      <c r="V25" s="36">
        <f>VLOOKUP($A25,[24]HISTOOCT24!$A$6:$AU$38,19,0)</f>
        <v>0</v>
      </c>
      <c r="W25" s="36">
        <f>VLOOKUP($A25,[24]HISTOOCT24!$A$6:$AU$38,20,0)</f>
        <v>0</v>
      </c>
      <c r="X25" s="36">
        <f>VLOOKUP($A25,[24]HISTOOCT24!$A$6:$AU$38,27,0)</f>
        <v>0</v>
      </c>
      <c r="Y25" s="36">
        <f>VLOOKUP($A25,[24]HISTOOCT24!$A$6:$BM$38,33,0)</f>
        <v>0</v>
      </c>
      <c r="Z25" s="36">
        <f>VLOOKUP($A25,[24]HISTOOCT24!$A$6:$BM$38,65,0)</f>
        <v>0</v>
      </c>
      <c r="AA25" s="36"/>
      <c r="AB25" s="36">
        <f>VLOOKUP($A25,[24]HISTOOCT24!$A$6:$AU$38,43,0)</f>
        <v>0</v>
      </c>
      <c r="AC25" s="36">
        <f>VLOOKUP($A25,[24]HISTOOCT24!$A$6:$AU$38,44,0)</f>
        <v>0</v>
      </c>
      <c r="AD25" s="36">
        <f>VLOOKUP($A25,[24]HISTOOCT24!$A$6:$AU$38,47,0)</f>
        <v>0</v>
      </c>
      <c r="AE25" s="36">
        <f>VLOOKUP(A25,[24]HISTOOCT24!$A$6:$BB$38,54,0)</f>
        <v>0</v>
      </c>
      <c r="AF25" s="36">
        <f>VLOOKUP($A25,[24]HISTOOCT24!$A$6:$CA$38,60,0)</f>
        <v>0</v>
      </c>
      <c r="AG25" s="36">
        <f>VLOOKUP($A25,[24]HISTOOCT24!$A$6:$CA$38,61,0)</f>
        <v>0</v>
      </c>
      <c r="AH25" s="36">
        <f>VLOOKUP($A25,[24]HISTOOCT24!$A$6:$CA$38,62,0)</f>
        <v>0</v>
      </c>
      <c r="AI25" s="36">
        <f>VLOOKUP($A25,[24]HISTOOCT24!$A$6:$CA$38,63,0)</f>
        <v>0</v>
      </c>
      <c r="AJ25" s="36">
        <f>VLOOKUP($A25,[24]HISTOOCT24!$A$6:$CA$38,64,0)</f>
        <v>0</v>
      </c>
      <c r="AK25" s="36">
        <f>VLOOKUP($A25,[24]HISTOOCT24!$A$6:$CA$38,65,0)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MVTSEPT24!I26-E26+L26</f>
        <v>957266.46813543816</v>
      </c>
      <c r="G26" s="5">
        <f>IF(MVTSEPT24!I26+L26&gt;700000,(MVTSEPT24!I26-E26+L26),0)</f>
        <v>957266.46813543816</v>
      </c>
      <c r="H26" s="36">
        <f t="shared" si="0"/>
        <v>0</v>
      </c>
      <c r="I26" s="6">
        <f t="shared" si="2"/>
        <v>957266.46813543816</v>
      </c>
      <c r="J26" s="36">
        <f>VLOOKUP($A26,[24]HISTOOCT24!$A$6:$AQ$42,22,0)</f>
        <v>0</v>
      </c>
      <c r="K26" s="36">
        <f>VLOOKUP($A26,[24]HISTOOCT24!$A$6:$AU$38,45,0)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VLOOKUP($A26,[24]HISTOOCT24!$A$6:$AU$38,7,0)</f>
        <v>0</v>
      </c>
      <c r="Q26" s="36">
        <f>VLOOKUP($A26,[24]HISTOOCT24!$A$6:$AU$38,23,0)</f>
        <v>0</v>
      </c>
      <c r="R26" s="36">
        <f>VLOOKUP($A26,[24]HISTOOCT24!$A$6:$AU$38,46,0)</f>
        <v>0</v>
      </c>
      <c r="S26" s="36">
        <f>VLOOKUP($A26,[24]HISTOOCT24!$A$6:$AU$38,26,0)</f>
        <v>0</v>
      </c>
      <c r="T26" s="36">
        <f>VLOOKUP($A26,[24]HISTOOCT24!$A$6:$BG$38,58,0)</f>
        <v>0</v>
      </c>
      <c r="U26" s="36">
        <f>VLOOKUP($A26,[24]HISTOOCT24!$A$6:$AU$38,28,0)</f>
        <v>0</v>
      </c>
      <c r="V26" s="36">
        <f>VLOOKUP($A26,[24]HISTOOCT24!$A$6:$AU$38,19,0)</f>
        <v>0</v>
      </c>
      <c r="W26" s="36">
        <f>VLOOKUP($A26,[24]HISTOOCT24!$A$6:$AU$38,20,0)</f>
        <v>0</v>
      </c>
      <c r="X26" s="36">
        <f>VLOOKUP($A26,[24]HISTOOCT24!$A$6:$AU$38,27,0)</f>
        <v>0</v>
      </c>
      <c r="Y26" s="36">
        <f>VLOOKUP($A26,[24]HISTOOCT24!$A$6:$BM$38,33,0)</f>
        <v>0</v>
      </c>
      <c r="Z26" s="36">
        <f>VLOOKUP($A26,[24]HISTOOCT24!$A$6:$BM$38,65,0)</f>
        <v>0</v>
      </c>
      <c r="AA26" s="36"/>
      <c r="AB26" s="36">
        <f>VLOOKUP($A26,[24]HISTOOCT24!$A$6:$AU$38,43,0)</f>
        <v>0</v>
      </c>
      <c r="AC26" s="36">
        <f>VLOOKUP($A26,[24]HISTOOCT24!$A$6:$AU$38,44,0)</f>
        <v>0</v>
      </c>
      <c r="AD26" s="36">
        <f>VLOOKUP($A26,[24]HISTOOCT24!$A$6:$AU$38,47,0)</f>
        <v>0</v>
      </c>
      <c r="AE26" s="36">
        <f>VLOOKUP(A26,[24]HISTOOCT24!$A$6:$BB$38,54,0)</f>
        <v>0</v>
      </c>
      <c r="AF26" s="36">
        <f>VLOOKUP($A26,[24]HISTOOCT24!$A$6:$CA$38,60,0)</f>
        <v>0</v>
      </c>
      <c r="AG26" s="36">
        <f>VLOOKUP($A26,[24]HISTOOCT24!$A$6:$CA$38,61,0)</f>
        <v>0</v>
      </c>
      <c r="AH26" s="36">
        <f>VLOOKUP($A26,[24]HISTOOCT24!$A$6:$CA$38,62,0)</f>
        <v>0</v>
      </c>
      <c r="AI26" s="36">
        <f>VLOOKUP($A26,[24]HISTOOCT24!$A$6:$CA$38,63,0)</f>
        <v>0</v>
      </c>
      <c r="AJ26" s="36">
        <f>VLOOKUP($A26,[24]HISTOOCT24!$A$6:$CA$38,64,0)</f>
        <v>0</v>
      </c>
      <c r="AK26" s="36">
        <f>VLOOKUP($A26,[24]HISTOOCT24!$A$6:$CA$38,65,0)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MVTSEPT24!I27-E27+L27</f>
        <v>957824.17371512204</v>
      </c>
      <c r="G27" s="5">
        <f>IF(MVTSEPT24!I27+L27&gt;700000,(MVTSEPT24!I27-E27+L27),0)</f>
        <v>957824.17371512204</v>
      </c>
      <c r="H27" s="36">
        <f t="shared" si="0"/>
        <v>0</v>
      </c>
      <c r="I27" s="6">
        <f t="shared" si="2"/>
        <v>957824.17371512204</v>
      </c>
      <c r="J27" s="36">
        <f>VLOOKUP($A27,[24]HISTOOCT24!$A$6:$AQ$42,22,0)</f>
        <v>0</v>
      </c>
      <c r="K27" s="36">
        <f>VLOOKUP($A27,[24]HISTOOCT24!$A$6:$AU$38,45,0)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VLOOKUP($A27,[24]HISTOOCT24!$A$6:$AU$38,7,0)</f>
        <v>0</v>
      </c>
      <c r="Q27" s="36">
        <f>VLOOKUP($A27,[24]HISTOOCT24!$A$6:$AU$38,23,0)</f>
        <v>0</v>
      </c>
      <c r="R27" s="36">
        <f>VLOOKUP($A27,[24]HISTOOCT24!$A$6:$AU$38,46,0)</f>
        <v>0</v>
      </c>
      <c r="S27" s="36">
        <f>VLOOKUP($A27,[24]HISTOOCT24!$A$6:$AU$38,26,0)</f>
        <v>0</v>
      </c>
      <c r="T27" s="36">
        <f>VLOOKUP($A27,[24]HISTOOCT24!$A$6:$BG$38,58,0)</f>
        <v>0</v>
      </c>
      <c r="U27" s="36">
        <f>VLOOKUP($A27,[24]HISTOOCT24!$A$6:$AU$38,28,0)</f>
        <v>0</v>
      </c>
      <c r="V27" s="36">
        <f>VLOOKUP($A27,[24]HISTOOCT24!$A$6:$AU$38,19,0)</f>
        <v>0</v>
      </c>
      <c r="W27" s="36">
        <f>VLOOKUP($A27,[24]HISTOOCT24!$A$6:$AU$38,20,0)</f>
        <v>0</v>
      </c>
      <c r="X27" s="36">
        <f>VLOOKUP($A27,[24]HISTOOCT24!$A$6:$AU$38,27,0)</f>
        <v>0</v>
      </c>
      <c r="Y27" s="36">
        <f>VLOOKUP($A27,[24]HISTOOCT24!$A$6:$BM$38,33,0)</f>
        <v>0</v>
      </c>
      <c r="Z27" s="36">
        <f>VLOOKUP($A27,[24]HISTOOCT24!$A$6:$BM$38,65,0)</f>
        <v>0</v>
      </c>
      <c r="AA27" s="36"/>
      <c r="AB27" s="36">
        <f>VLOOKUP($A27,[24]HISTOOCT24!$A$6:$AU$38,43,0)</f>
        <v>0</v>
      </c>
      <c r="AC27" s="36">
        <f>VLOOKUP($A27,[24]HISTOOCT24!$A$6:$AU$38,44,0)</f>
        <v>0</v>
      </c>
      <c r="AD27" s="36">
        <f>VLOOKUP($A27,[24]HISTOOCT24!$A$6:$AU$38,47,0)</f>
        <v>0</v>
      </c>
      <c r="AE27" s="36">
        <f>VLOOKUP(A27,[24]HISTOOCT24!$A$6:$BB$38,54,0)</f>
        <v>0</v>
      </c>
      <c r="AF27" s="36">
        <f>VLOOKUP($A27,[24]HISTOOCT24!$A$6:$CA$38,60,0)</f>
        <v>0</v>
      </c>
      <c r="AG27" s="36">
        <f>VLOOKUP($A27,[24]HISTOOCT24!$A$6:$CA$38,61,0)</f>
        <v>0</v>
      </c>
      <c r="AH27" s="36">
        <f>VLOOKUP($A27,[24]HISTOOCT24!$A$6:$CA$38,62,0)</f>
        <v>0</v>
      </c>
      <c r="AI27" s="36">
        <f>VLOOKUP($A27,[24]HISTOOCT24!$A$6:$CA$38,63,0)</f>
        <v>0</v>
      </c>
      <c r="AJ27" s="36">
        <f>VLOOKUP($A27,[24]HISTOOCT24!$A$6:$CA$38,64,0)</f>
        <v>0</v>
      </c>
      <c r="AK27" s="36">
        <f>VLOOKUP($A27,[24]HISTOOCT24!$A$6:$CA$38,65,0)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MVTSEPT24!I28-E28+L28</f>
        <v>859176.12513194664</v>
      </c>
      <c r="G28" s="5">
        <f>IF(MVTSEPT24!I28+L28&gt;700000,(MVTSEPT24!I28-E28+L28),0)</f>
        <v>859176.12513194664</v>
      </c>
      <c r="H28" s="36">
        <f t="shared" si="0"/>
        <v>0</v>
      </c>
      <c r="I28" s="6">
        <f t="shared" si="2"/>
        <v>859176.12513194664</v>
      </c>
      <c r="J28" s="36">
        <f>VLOOKUP($A28,[24]HISTOOCT24!$A$6:$AQ$42,22,0)</f>
        <v>0</v>
      </c>
      <c r="K28" s="36">
        <f>VLOOKUP($A28,[24]HISTOOCT24!$A$6:$AU$38,45,0)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VLOOKUP($A28,[24]HISTOOCT24!$A$6:$AU$38,7,0)</f>
        <v>0</v>
      </c>
      <c r="Q28" s="36">
        <f>VLOOKUP($A28,[24]HISTOOCT24!$A$6:$AU$38,23,0)</f>
        <v>0</v>
      </c>
      <c r="R28" s="36">
        <f>VLOOKUP($A28,[24]HISTOOCT24!$A$6:$AU$38,46,0)</f>
        <v>0</v>
      </c>
      <c r="S28" s="36">
        <f>VLOOKUP($A28,[24]HISTOOCT24!$A$6:$AU$38,26,0)</f>
        <v>0</v>
      </c>
      <c r="T28" s="36">
        <f>VLOOKUP($A28,[24]HISTOOCT24!$A$6:$BG$38,58,0)</f>
        <v>0</v>
      </c>
      <c r="U28" s="36">
        <f>VLOOKUP($A28,[24]HISTOOCT24!$A$6:$AU$38,28,0)</f>
        <v>0</v>
      </c>
      <c r="V28" s="36">
        <f>VLOOKUP($A28,[24]HISTOOCT24!$A$6:$AU$38,19,0)</f>
        <v>0</v>
      </c>
      <c r="W28" s="36">
        <f>VLOOKUP($A28,[24]HISTOOCT24!$A$6:$AU$38,20,0)</f>
        <v>0</v>
      </c>
      <c r="X28" s="36">
        <f>VLOOKUP($A28,[24]HISTOOCT24!$A$6:$AU$38,27,0)</f>
        <v>0</v>
      </c>
      <c r="Y28" s="36">
        <f>VLOOKUP($A28,[24]HISTOOCT24!$A$6:$BM$38,33,0)</f>
        <v>0</v>
      </c>
      <c r="Z28" s="36">
        <f>VLOOKUP($A28,[24]HISTOOCT24!$A$6:$BM$38,65,0)</f>
        <v>0</v>
      </c>
      <c r="AA28" s="36"/>
      <c r="AB28" s="36">
        <f>VLOOKUP($A28,[24]HISTOOCT24!$A$6:$AU$38,43,0)</f>
        <v>0</v>
      </c>
      <c r="AC28" s="36">
        <f>VLOOKUP($A28,[24]HISTOOCT24!$A$6:$AU$38,44,0)</f>
        <v>0</v>
      </c>
      <c r="AD28" s="36">
        <f>VLOOKUP($A28,[24]HISTOOCT24!$A$6:$AU$38,47,0)</f>
        <v>0</v>
      </c>
      <c r="AE28" s="36">
        <f>VLOOKUP(A28,[24]HISTOOCT24!$A$6:$BB$38,54,0)</f>
        <v>0</v>
      </c>
      <c r="AF28" s="36">
        <f>VLOOKUP($A28,[24]HISTOOCT24!$A$6:$CA$38,60,0)</f>
        <v>0</v>
      </c>
      <c r="AG28" s="36">
        <f>VLOOKUP($A28,[24]HISTOOCT24!$A$6:$CA$38,61,0)</f>
        <v>0</v>
      </c>
      <c r="AH28" s="36">
        <f>VLOOKUP($A28,[24]HISTOOCT24!$A$6:$CA$38,62,0)</f>
        <v>0</v>
      </c>
      <c r="AI28" s="36">
        <f>VLOOKUP($A28,[24]HISTOOCT24!$A$6:$CA$38,63,0)</f>
        <v>0</v>
      </c>
      <c r="AJ28" s="36">
        <f>VLOOKUP($A28,[24]HISTOOCT24!$A$6:$CA$38,64,0)</f>
        <v>0</v>
      </c>
      <c r="AK28" s="36">
        <f>VLOOKUP($A28,[24]HISTOOCT24!$A$6:$CA$38,65,0)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MVTSEPT24!I29-E29+L29</f>
        <v>984151.34423741512</v>
      </c>
      <c r="G29" s="5">
        <f>IF(MVTSEPT24!I29+L29&gt;700000,(MVTSEPT24!I29-E29+L29),0)</f>
        <v>984151.34423741512</v>
      </c>
      <c r="H29" s="36">
        <f t="shared" si="0"/>
        <v>0</v>
      </c>
      <c r="I29" s="6">
        <f t="shared" si="2"/>
        <v>984151.34423741512</v>
      </c>
      <c r="J29" s="36">
        <f>VLOOKUP($A29,[24]HISTOOCT24!$A$6:$AQ$42,22,0)</f>
        <v>0</v>
      </c>
      <c r="K29" s="36">
        <f>VLOOKUP($A29,[24]HISTOOCT24!$A$6:$AU$38,45,0)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VLOOKUP($A29,[24]HISTOOCT24!$A$6:$AU$38,7,0)</f>
        <v>0</v>
      </c>
      <c r="Q29" s="36">
        <f>VLOOKUP($A29,[24]HISTOOCT24!$A$6:$AU$38,23,0)</f>
        <v>0</v>
      </c>
      <c r="R29" s="36">
        <f>VLOOKUP($A29,[24]HISTOOCT24!$A$6:$AU$38,46,0)</f>
        <v>0</v>
      </c>
      <c r="S29" s="36">
        <f>VLOOKUP($A29,[24]HISTOOCT24!$A$6:$AU$38,26,0)</f>
        <v>0</v>
      </c>
      <c r="T29" s="36">
        <f>VLOOKUP($A29,[24]HISTOOCT24!$A$6:$BG$38,58,0)</f>
        <v>0</v>
      </c>
      <c r="U29" s="36">
        <f>VLOOKUP($A29,[24]HISTOOCT24!$A$6:$AU$38,28,0)</f>
        <v>0</v>
      </c>
      <c r="V29" s="36">
        <f>VLOOKUP($A29,[24]HISTOOCT24!$A$6:$AU$38,19,0)</f>
        <v>0</v>
      </c>
      <c r="W29" s="36">
        <f>VLOOKUP($A29,[24]HISTOOCT24!$A$6:$AU$38,20,0)</f>
        <v>0</v>
      </c>
      <c r="X29" s="36">
        <f>VLOOKUP($A29,[24]HISTOOCT24!$A$6:$AU$38,27,0)</f>
        <v>0</v>
      </c>
      <c r="Y29" s="36">
        <f>VLOOKUP($A29,[24]HISTOOCT24!$A$6:$BM$38,33,0)</f>
        <v>0</v>
      </c>
      <c r="Z29" s="36">
        <f>VLOOKUP($A29,[24]HISTOOCT24!$A$6:$BM$38,65,0)</f>
        <v>0</v>
      </c>
      <c r="AA29" s="36"/>
      <c r="AB29" s="36">
        <f>VLOOKUP($A29,[24]HISTOOCT24!$A$6:$AU$38,43,0)</f>
        <v>0</v>
      </c>
      <c r="AC29" s="36">
        <f>VLOOKUP($A29,[24]HISTOOCT24!$A$6:$AU$38,44,0)</f>
        <v>0</v>
      </c>
      <c r="AD29" s="36">
        <f>VLOOKUP($A29,[24]HISTOOCT24!$A$6:$AU$38,47,0)</f>
        <v>0</v>
      </c>
      <c r="AE29" s="36">
        <f>VLOOKUP(A29,[24]HISTOOCT24!$A$6:$BB$38,54,0)</f>
        <v>0</v>
      </c>
      <c r="AF29" s="36">
        <f>VLOOKUP($A29,[24]HISTOOCT24!$A$6:$CA$38,60,0)</f>
        <v>0</v>
      </c>
      <c r="AG29" s="36">
        <f>VLOOKUP($A29,[24]HISTOOCT24!$A$6:$CA$38,61,0)</f>
        <v>0</v>
      </c>
      <c r="AH29" s="36">
        <f>VLOOKUP($A29,[24]HISTOOCT24!$A$6:$CA$38,62,0)</f>
        <v>0</v>
      </c>
      <c r="AI29" s="36">
        <f>VLOOKUP($A29,[24]HISTOOCT24!$A$6:$CA$38,63,0)</f>
        <v>0</v>
      </c>
      <c r="AJ29" s="36">
        <f>VLOOKUP($A29,[24]HISTOOCT24!$A$6:$CA$38,64,0)</f>
        <v>0</v>
      </c>
      <c r="AK29" s="36">
        <f>VLOOKUP($A29,[24]HISTOOCT24!$A$6:$CA$38,65,0)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MVTSEPT24!I30-E30+L30</f>
        <v>888786.81046782702</v>
      </c>
      <c r="G30" s="5">
        <f>IF(MVTSEPT24!I30+L30&gt;700000,(MVTSEPT24!I30-E30+L30),0)</f>
        <v>888786.81046782702</v>
      </c>
      <c r="H30" s="36">
        <f t="shared" si="0"/>
        <v>0</v>
      </c>
      <c r="I30" s="6">
        <f t="shared" si="2"/>
        <v>888786.81046782702</v>
      </c>
      <c r="J30" s="36">
        <f>VLOOKUP($A30,[24]HISTOOCT24!$A$6:$AQ$42,22,0)</f>
        <v>0</v>
      </c>
      <c r="K30" s="36">
        <f>VLOOKUP($A30,[24]HISTOOCT24!$A$6:$AU$38,45,0)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VLOOKUP($A30,[24]HISTOOCT24!$A$6:$AU$38,7,0)</f>
        <v>0</v>
      </c>
      <c r="Q30" s="36">
        <f>VLOOKUP($A30,[24]HISTOOCT24!$A$6:$AU$38,23,0)</f>
        <v>0</v>
      </c>
      <c r="R30" s="36">
        <f>VLOOKUP($A30,[24]HISTOOCT24!$A$6:$AU$38,46,0)</f>
        <v>0</v>
      </c>
      <c r="S30" s="36">
        <f>VLOOKUP($A30,[24]HISTOOCT24!$A$6:$AU$38,26,0)</f>
        <v>0</v>
      </c>
      <c r="T30" s="36">
        <f>VLOOKUP($A30,[24]HISTOOCT24!$A$6:$BG$38,58,0)</f>
        <v>0</v>
      </c>
      <c r="U30" s="36">
        <f>VLOOKUP($A30,[24]HISTOOCT24!$A$6:$AU$38,28,0)</f>
        <v>0</v>
      </c>
      <c r="V30" s="36">
        <f>VLOOKUP($A30,[24]HISTOOCT24!$A$6:$AU$38,19,0)</f>
        <v>0</v>
      </c>
      <c r="W30" s="36">
        <f>VLOOKUP($A30,[24]HISTOOCT24!$A$6:$AU$38,20,0)</f>
        <v>0</v>
      </c>
      <c r="X30" s="36">
        <f>VLOOKUP($A30,[24]HISTOOCT24!$A$6:$AU$38,27,0)</f>
        <v>0</v>
      </c>
      <c r="Y30" s="36">
        <f>VLOOKUP($A30,[24]HISTOOCT24!$A$6:$BM$38,33,0)</f>
        <v>0</v>
      </c>
      <c r="Z30" s="36">
        <f>VLOOKUP($A30,[24]HISTOOCT24!$A$6:$BM$38,65,0)</f>
        <v>0</v>
      </c>
      <c r="AA30" s="36"/>
      <c r="AB30" s="36">
        <f>VLOOKUP($A30,[24]HISTOOCT24!$A$6:$AU$38,43,0)</f>
        <v>0</v>
      </c>
      <c r="AC30" s="36">
        <f>VLOOKUP($A30,[24]HISTOOCT24!$A$6:$AU$38,44,0)</f>
        <v>0</v>
      </c>
      <c r="AD30" s="36">
        <f>VLOOKUP($A30,[24]HISTOOCT24!$A$6:$AU$38,47,0)</f>
        <v>0</v>
      </c>
      <c r="AE30" s="36">
        <f>VLOOKUP(A30,[24]HISTOOCT24!$A$6:$BB$38,54,0)</f>
        <v>0</v>
      </c>
      <c r="AF30" s="36">
        <f>VLOOKUP($A30,[24]HISTOOCT24!$A$6:$CA$38,60,0)</f>
        <v>0</v>
      </c>
      <c r="AG30" s="36">
        <f>VLOOKUP($A30,[24]HISTOOCT24!$A$6:$CA$38,61,0)</f>
        <v>0</v>
      </c>
      <c r="AH30" s="36">
        <f>VLOOKUP($A30,[24]HISTOOCT24!$A$6:$CA$38,62,0)</f>
        <v>0</v>
      </c>
      <c r="AI30" s="36">
        <f>VLOOKUP($A30,[24]HISTOOCT24!$A$6:$CA$38,63,0)</f>
        <v>0</v>
      </c>
      <c r="AJ30" s="36">
        <f>VLOOKUP($A30,[24]HISTOOCT24!$A$6:$CA$38,64,0)</f>
        <v>0</v>
      </c>
      <c r="AK30" s="36">
        <f>VLOOKUP($A30,[24]HISTOOCT24!$A$6:$CA$38,65,0)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MVTSEPT24!I31-E31+L31</f>
        <v>1048903.0311481347</v>
      </c>
      <c r="G31" s="5">
        <f>IF(MVTSEPT24!I31+L31&gt;700000,(MVTSEPT24!I31-E31+L31),0)</f>
        <v>1048903.0311481347</v>
      </c>
      <c r="H31" s="36">
        <f t="shared" si="0"/>
        <v>0</v>
      </c>
      <c r="I31" s="6">
        <f t="shared" si="2"/>
        <v>1048903.0311481347</v>
      </c>
      <c r="J31" s="36">
        <f>VLOOKUP($A31,[24]HISTOOCT24!$A$6:$AQ$42,22,0)</f>
        <v>0</v>
      </c>
      <c r="K31" s="36">
        <f>VLOOKUP($A31,[24]HISTOOCT24!$A$6:$AU$38,45,0)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VLOOKUP($A31,[24]HISTOOCT24!$A$6:$AU$38,7,0)</f>
        <v>0</v>
      </c>
      <c r="Q31" s="36">
        <f>VLOOKUP($A31,[24]HISTOOCT24!$A$6:$AU$38,23,0)</f>
        <v>0</v>
      </c>
      <c r="R31" s="36">
        <f>VLOOKUP($A31,[24]HISTOOCT24!$A$6:$AU$38,46,0)</f>
        <v>0</v>
      </c>
      <c r="S31" s="36">
        <f>VLOOKUP($A31,[24]HISTOOCT24!$A$6:$AU$38,26,0)</f>
        <v>0</v>
      </c>
      <c r="T31" s="36">
        <f>VLOOKUP($A31,[24]HISTOOCT24!$A$6:$BG$38,58,0)</f>
        <v>0</v>
      </c>
      <c r="U31" s="36">
        <f>VLOOKUP($A31,[24]HISTOOCT24!$A$6:$AU$38,28,0)</f>
        <v>0</v>
      </c>
      <c r="V31" s="36">
        <f>VLOOKUP($A31,[24]HISTOOCT24!$A$6:$AU$38,19,0)</f>
        <v>0</v>
      </c>
      <c r="W31" s="36">
        <f>VLOOKUP($A31,[24]HISTOOCT24!$A$6:$AU$38,20,0)</f>
        <v>0</v>
      </c>
      <c r="X31" s="36">
        <f>VLOOKUP($A31,[24]HISTOOCT24!$A$6:$AU$38,27,0)</f>
        <v>0</v>
      </c>
      <c r="Y31" s="36">
        <f>VLOOKUP($A31,[24]HISTOOCT24!$A$6:$BM$38,33,0)</f>
        <v>0</v>
      </c>
      <c r="Z31" s="36">
        <f>VLOOKUP($A31,[24]HISTOOCT24!$A$6:$BM$38,65,0)</f>
        <v>0</v>
      </c>
      <c r="AA31" s="36"/>
      <c r="AB31" s="36">
        <f>VLOOKUP($A31,[24]HISTOOCT24!$A$6:$AU$38,43,0)</f>
        <v>0</v>
      </c>
      <c r="AC31" s="36">
        <f>VLOOKUP($A31,[24]HISTOOCT24!$A$6:$AU$38,44,0)</f>
        <v>0</v>
      </c>
      <c r="AD31" s="36">
        <f>VLOOKUP($A31,[24]HISTOOCT24!$A$6:$AU$38,47,0)</f>
        <v>0</v>
      </c>
      <c r="AE31" s="36">
        <f>VLOOKUP(A31,[24]HISTOOCT24!$A$6:$BB$38,54,0)</f>
        <v>0</v>
      </c>
      <c r="AF31" s="36">
        <f>VLOOKUP($A31,[24]HISTOOCT24!$A$6:$CA$38,60,0)</f>
        <v>0</v>
      </c>
      <c r="AG31" s="36">
        <f>VLOOKUP($A31,[24]HISTOOCT24!$A$6:$CA$38,61,0)</f>
        <v>0</v>
      </c>
      <c r="AH31" s="36">
        <f>VLOOKUP($A31,[24]HISTOOCT24!$A$6:$CA$38,62,0)</f>
        <v>0</v>
      </c>
      <c r="AI31" s="36">
        <f>VLOOKUP($A31,[24]HISTOOCT24!$A$6:$CA$38,63,0)</f>
        <v>0</v>
      </c>
      <c r="AJ31" s="36">
        <f>VLOOKUP($A31,[24]HISTOOCT24!$A$6:$CA$38,64,0)</f>
        <v>0</v>
      </c>
      <c r="AK31" s="36">
        <f>VLOOKUP($A31,[24]HISTOOCT24!$A$6:$CA$38,65,0)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MVTSEPT24!I32-E32+L32</f>
        <v>938243.98131057119</v>
      </c>
      <c r="G32" s="5">
        <f>IF(MVTSEPT24!I32+L32&gt;700000,(MVTSEPT24!I32-E32+L32),0)</f>
        <v>938243.98131057119</v>
      </c>
      <c r="H32" s="36">
        <f t="shared" si="0"/>
        <v>0</v>
      </c>
      <c r="I32" s="6">
        <f t="shared" si="2"/>
        <v>938243.98131057119</v>
      </c>
      <c r="J32" s="36">
        <f>VLOOKUP($A32,[24]HISTOOCT24!$A$6:$AQ$42,22,0)</f>
        <v>0</v>
      </c>
      <c r="K32" s="36">
        <f>VLOOKUP($A32,[24]HISTOOCT24!$A$6:$AU$38,45,0)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VLOOKUP($A32,[24]HISTOOCT24!$A$6:$AU$38,7,0)</f>
        <v>0</v>
      </c>
      <c r="Q32" s="36">
        <f>VLOOKUP($A32,[24]HISTOOCT24!$A$6:$AU$38,23,0)</f>
        <v>0</v>
      </c>
      <c r="R32" s="36">
        <f>VLOOKUP($A32,[24]HISTOOCT24!$A$6:$AU$38,46,0)</f>
        <v>0</v>
      </c>
      <c r="S32" s="36">
        <f>VLOOKUP($A32,[24]HISTOOCT24!$A$6:$AU$38,26,0)</f>
        <v>0</v>
      </c>
      <c r="T32" s="36">
        <f>VLOOKUP($A32,[24]HISTOOCT24!$A$6:$BG$38,58,0)</f>
        <v>0</v>
      </c>
      <c r="U32" s="36">
        <f>VLOOKUP($A32,[24]HISTOOCT24!$A$6:$AU$38,28,0)</f>
        <v>0</v>
      </c>
      <c r="V32" s="36">
        <f>VLOOKUP($A32,[24]HISTOOCT24!$A$6:$AU$38,19,0)</f>
        <v>0</v>
      </c>
      <c r="W32" s="36">
        <f>VLOOKUP($A32,[24]HISTOOCT24!$A$6:$AU$38,20,0)</f>
        <v>0</v>
      </c>
      <c r="X32" s="36">
        <f>VLOOKUP($A32,[24]HISTOOCT24!$A$6:$AU$38,27,0)</f>
        <v>0</v>
      </c>
      <c r="Y32" s="36">
        <f>VLOOKUP($A32,[24]HISTOOCT24!$A$6:$BM$38,33,0)</f>
        <v>0</v>
      </c>
      <c r="Z32" s="36">
        <f>VLOOKUP($A32,[24]HISTOOCT24!$A$6:$BM$38,65,0)</f>
        <v>0</v>
      </c>
      <c r="AA32" s="36"/>
      <c r="AB32" s="36">
        <f>VLOOKUP($A32,[24]HISTOOCT24!$A$6:$AU$38,43,0)</f>
        <v>0</v>
      </c>
      <c r="AC32" s="36">
        <f>VLOOKUP($A32,[24]HISTOOCT24!$A$6:$AU$38,44,0)</f>
        <v>0</v>
      </c>
      <c r="AD32" s="36">
        <f>VLOOKUP($A32,[24]HISTOOCT24!$A$6:$AU$38,47,0)</f>
        <v>0</v>
      </c>
      <c r="AE32" s="36">
        <f>VLOOKUP(A32,[24]HISTOOCT24!$A$6:$BB$38,54,0)</f>
        <v>0</v>
      </c>
      <c r="AF32" s="36">
        <f>VLOOKUP($A32,[24]HISTOOCT24!$A$6:$CA$38,60,0)</f>
        <v>0</v>
      </c>
      <c r="AG32" s="36">
        <f>VLOOKUP($A32,[24]HISTOOCT24!$A$6:$CA$38,61,0)</f>
        <v>0</v>
      </c>
      <c r="AH32" s="36">
        <f>VLOOKUP($A32,[24]HISTOOCT24!$A$6:$CA$38,62,0)</f>
        <v>0</v>
      </c>
      <c r="AI32" s="36">
        <f>VLOOKUP($A32,[24]HISTOOCT24!$A$6:$CA$38,63,0)</f>
        <v>0</v>
      </c>
      <c r="AJ32" s="36">
        <f>VLOOKUP($A32,[24]HISTOOCT24!$A$6:$CA$38,64,0)</f>
        <v>0</v>
      </c>
      <c r="AK32" s="36">
        <f>VLOOKUP($A32,[24]HISTOOCT24!$A$6:$CA$38,65,0)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MVTSEPT24!I33-E33+L33</f>
        <v>938552.64928596013</v>
      </c>
      <c r="G33" s="5">
        <f>IF(MVTSEPT24!I33+L33&gt;700000,(MVTSEPT24!I33-E33+L33),0)</f>
        <v>938552.64928596013</v>
      </c>
      <c r="H33" s="36">
        <f t="shared" si="0"/>
        <v>0</v>
      </c>
      <c r="I33" s="6">
        <f t="shared" si="2"/>
        <v>938552.64928596013</v>
      </c>
      <c r="J33" s="36">
        <f>VLOOKUP($A33,[24]HISTOOCT24!$A$6:$AQ$42,22,0)</f>
        <v>0</v>
      </c>
      <c r="K33" s="36">
        <f>VLOOKUP($A33,[24]HISTOOCT24!$A$6:$AU$38,45,0)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VLOOKUP($A33,[24]HISTOOCT24!$A$6:$AU$38,7,0)</f>
        <v>0</v>
      </c>
      <c r="Q33" s="36">
        <f>VLOOKUP($A33,[24]HISTOOCT24!$A$6:$AU$38,23,0)</f>
        <v>0</v>
      </c>
      <c r="R33" s="36">
        <f>VLOOKUP($A33,[24]HISTOOCT24!$A$6:$AU$38,46,0)</f>
        <v>0</v>
      </c>
      <c r="S33" s="36">
        <f>VLOOKUP($A33,[24]HISTOOCT24!$A$6:$AU$38,26,0)</f>
        <v>0</v>
      </c>
      <c r="T33" s="36">
        <f>VLOOKUP($A33,[24]HISTOOCT24!$A$6:$BG$38,58,0)</f>
        <v>0</v>
      </c>
      <c r="U33" s="36">
        <f>VLOOKUP($A33,[24]HISTOOCT24!$A$6:$AU$38,28,0)</f>
        <v>0</v>
      </c>
      <c r="V33" s="36">
        <f>VLOOKUP($A33,[24]HISTOOCT24!$A$6:$AU$38,19,0)</f>
        <v>0</v>
      </c>
      <c r="W33" s="36">
        <f>VLOOKUP($A33,[24]HISTOOCT24!$A$6:$AU$38,20,0)</f>
        <v>0</v>
      </c>
      <c r="X33" s="36">
        <f>VLOOKUP($A33,[24]HISTOOCT24!$A$6:$AU$38,27,0)</f>
        <v>0</v>
      </c>
      <c r="Y33" s="36">
        <f>VLOOKUP($A33,[24]HISTOOCT24!$A$6:$BM$38,33,0)</f>
        <v>0</v>
      </c>
      <c r="Z33" s="36">
        <f>VLOOKUP($A33,[24]HISTOOCT24!$A$6:$BM$38,65,0)</f>
        <v>0</v>
      </c>
      <c r="AA33" s="36"/>
      <c r="AB33" s="36">
        <f>VLOOKUP($A33,[24]HISTOOCT24!$A$6:$AU$38,43,0)</f>
        <v>0</v>
      </c>
      <c r="AC33" s="36">
        <f>VLOOKUP($A33,[24]HISTOOCT24!$A$6:$AU$38,44,0)</f>
        <v>0</v>
      </c>
      <c r="AD33" s="36">
        <f>VLOOKUP($A33,[24]HISTOOCT24!$A$6:$AU$38,47,0)</f>
        <v>0</v>
      </c>
      <c r="AE33" s="36">
        <f>VLOOKUP(A33,[24]HISTOOCT24!$A$6:$BB$38,54,0)</f>
        <v>0</v>
      </c>
      <c r="AF33" s="36">
        <f>VLOOKUP($A33,[24]HISTOOCT24!$A$6:$CA$38,60,0)</f>
        <v>0</v>
      </c>
      <c r="AG33" s="36">
        <f>VLOOKUP($A33,[24]HISTOOCT24!$A$6:$CA$38,61,0)</f>
        <v>0</v>
      </c>
      <c r="AH33" s="36">
        <f>VLOOKUP($A33,[24]HISTOOCT24!$A$6:$CA$38,62,0)</f>
        <v>0</v>
      </c>
      <c r="AI33" s="36">
        <f>VLOOKUP($A33,[24]HISTOOCT24!$A$6:$CA$38,63,0)</f>
        <v>0</v>
      </c>
      <c r="AJ33" s="36">
        <f>VLOOKUP($A33,[24]HISTOOCT24!$A$6:$CA$38,64,0)</f>
        <v>0</v>
      </c>
      <c r="AK33" s="36">
        <f>VLOOKUP($A33,[24]HISTOOCT24!$A$6:$CA$38,65,0)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MVTSEPT24!I34-E34+L34</f>
        <v>595000</v>
      </c>
      <c r="G34" s="5">
        <f>IF(MVTSEPT24!I34+L34&gt;700000,(MVTSEPT24!I34-E34+L34),0)</f>
        <v>0</v>
      </c>
      <c r="H34" s="36">
        <f t="shared" si="0"/>
        <v>0</v>
      </c>
      <c r="I34" s="6">
        <f t="shared" si="2"/>
        <v>595000</v>
      </c>
      <c r="J34" s="36">
        <f>VLOOKUP($A34,[24]HISTOOCT24!$A$6:$AQ$42,22,0)</f>
        <v>0</v>
      </c>
      <c r="K34" s="36">
        <f>VLOOKUP($A34,[24]HISTOOCT24!$A$6:$AU$38,45,0)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VLOOKUP($A34,[24]HISTOOCT24!$A$6:$AU$38,7,0)</f>
        <v>0</v>
      </c>
      <c r="Q34" s="36">
        <f>VLOOKUP($A34,[24]HISTOOCT24!$A$6:$AU$38,23,0)</f>
        <v>0</v>
      </c>
      <c r="R34" s="36">
        <f>VLOOKUP($A34,[24]HISTOOCT24!$A$6:$AU$38,46,0)</f>
        <v>0</v>
      </c>
      <c r="S34" s="36">
        <f>VLOOKUP($A34,[24]HISTOOCT24!$A$6:$AU$38,26,0)</f>
        <v>0</v>
      </c>
      <c r="T34" s="36">
        <f>VLOOKUP($A34,[24]HISTOOCT24!$A$6:$BG$38,58,0)</f>
        <v>0</v>
      </c>
      <c r="U34" s="36">
        <f>VLOOKUP($A34,[24]HISTOOCT24!$A$6:$AU$38,28,0)</f>
        <v>0</v>
      </c>
      <c r="V34" s="36">
        <f>VLOOKUP($A34,[24]HISTOOCT24!$A$6:$AU$38,19,0)</f>
        <v>0</v>
      </c>
      <c r="W34" s="36">
        <f>VLOOKUP($A34,[24]HISTOOCT24!$A$6:$AU$38,20,0)</f>
        <v>0</v>
      </c>
      <c r="X34" s="36">
        <f>VLOOKUP($A34,[24]HISTOOCT24!$A$6:$AU$38,27,0)</f>
        <v>0</v>
      </c>
      <c r="Y34" s="36">
        <f>VLOOKUP($A34,[24]HISTOOCT24!$A$6:$BM$38,33,0)</f>
        <v>0</v>
      </c>
      <c r="Z34" s="36">
        <f>VLOOKUP($A34,[24]HISTOOCT24!$A$6:$BM$38,65,0)</f>
        <v>0</v>
      </c>
      <c r="AA34" s="36"/>
      <c r="AB34" s="36">
        <f>VLOOKUP($A34,[24]HISTOOCT24!$A$6:$AU$38,43,0)</f>
        <v>0</v>
      </c>
      <c r="AC34" s="36">
        <f>VLOOKUP($A34,[24]HISTOOCT24!$A$6:$AU$38,44,0)</f>
        <v>0</v>
      </c>
      <c r="AD34" s="36">
        <f>VLOOKUP($A34,[24]HISTOOCT24!$A$6:$AU$38,47,0)</f>
        <v>0</v>
      </c>
      <c r="AE34" s="36">
        <f>VLOOKUP(A34,[24]HISTOOCT24!$A$6:$BB$38,54,0)</f>
        <v>0</v>
      </c>
      <c r="AF34" s="36">
        <f>VLOOKUP($A34,[24]HISTOOCT24!$A$6:$CA$38,60,0)</f>
        <v>0</v>
      </c>
      <c r="AG34" s="36">
        <f>VLOOKUP($A34,[24]HISTOOCT24!$A$6:$CA$38,61,0)</f>
        <v>0</v>
      </c>
      <c r="AH34" s="36">
        <f>VLOOKUP($A34,[24]HISTOOCT24!$A$6:$CA$38,62,0)</f>
        <v>0</v>
      </c>
      <c r="AI34" s="36">
        <f>VLOOKUP($A34,[24]HISTOOCT24!$A$6:$CA$38,63,0)</f>
        <v>0</v>
      </c>
      <c r="AJ34" s="36">
        <f>VLOOKUP($A34,[24]HISTOOCT24!$A$6:$CA$38,64,0)</f>
        <v>0</v>
      </c>
      <c r="AK34" s="36">
        <f>VLOOKUP($A34,[24]HISTOOCT24!$A$6:$CA$38,65,0)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MVTSEPT24!I35-E35+L35</f>
        <v>290000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290000</v>
      </c>
      <c r="J35" s="36">
        <f>VLOOKUP($A35,[24]HISTOOCT24!$A$6:$AQ$42,22,0)</f>
        <v>0</v>
      </c>
      <c r="K35" s="36">
        <f>VLOOKUP($A35,[24]HISTOOCT24!$A$6:$AU$38,45,0)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VLOOKUP($A35,[24]HISTOOCT24!$A$6:$AU$38,7,0)</f>
        <v>3000</v>
      </c>
      <c r="Q35" s="36">
        <f>VLOOKUP($A35,[24]HISTOOCT24!$A$6:$AU$38,23,0)</f>
        <v>0</v>
      </c>
      <c r="R35" s="36">
        <f>VLOOKUP($A35,[24]HISTOOCT24!$A$6:$AU$38,46,0)</f>
        <v>0</v>
      </c>
      <c r="S35" s="36">
        <f>VLOOKUP($A35,[24]HISTOOCT24!$A$6:$AU$38,26,0)</f>
        <v>0</v>
      </c>
      <c r="T35" s="36">
        <f>VLOOKUP($A35,[24]HISTOOCT24!$A$6:$BG$38,58,0)</f>
        <v>0</v>
      </c>
      <c r="U35" s="36">
        <f>VLOOKUP($A35,[24]HISTOOCT24!$A$6:$AU$38,28,0)</f>
        <v>0</v>
      </c>
      <c r="V35" s="36">
        <f>VLOOKUP($A35,[24]HISTOOCT24!$A$6:$AU$38,19,0)</f>
        <v>0</v>
      </c>
      <c r="W35" s="36">
        <f>VLOOKUP($A35,[24]HISTOOCT24!$A$6:$AU$38,20,0)</f>
        <v>0</v>
      </c>
      <c r="X35" s="36">
        <f>VLOOKUP($A35,[24]HISTOOCT24!$A$6:$AU$38,27,0)</f>
        <v>0</v>
      </c>
      <c r="Y35" s="36">
        <f>VLOOKUP($A35,[24]HISTOOCT24!$A$6:$BM$38,33,0)</f>
        <v>0</v>
      </c>
      <c r="Z35" s="36">
        <f>VLOOKUP($A35,[24]HISTOOCT24!$A$6:$BM$38,65,0)</f>
        <v>0</v>
      </c>
      <c r="AA35" s="36"/>
      <c r="AB35" s="36">
        <f>VLOOKUP($A35,[24]HISTOOCT24!$A$6:$AU$38,43,0)</f>
        <v>0</v>
      </c>
      <c r="AC35" s="36">
        <f>VLOOKUP($A35,[24]HISTOOCT24!$A$6:$AU$38,44,0)</f>
        <v>0</v>
      </c>
      <c r="AD35" s="36">
        <f>VLOOKUP($A35,[24]HISTOOCT24!$A$6:$AU$38,47,0)</f>
        <v>0</v>
      </c>
      <c r="AE35" s="36">
        <f>VLOOKUP(A35,[24]HISTOOCT24!$A$6:$BB$38,54,0)</f>
        <v>0</v>
      </c>
      <c r="AF35" s="36">
        <f>VLOOKUP($A35,[24]HISTOOCT24!$A$6:$CA$38,60,0)</f>
        <v>0</v>
      </c>
      <c r="AG35" s="36">
        <f>VLOOKUP($A35,[24]HISTOOCT24!$A$6:$CA$38,61,0)</f>
        <v>0</v>
      </c>
      <c r="AH35" s="36">
        <f>VLOOKUP($A35,[24]HISTOOCT24!$A$6:$CA$38,62,0)</f>
        <v>0</v>
      </c>
      <c r="AI35" s="36">
        <f>VLOOKUP($A35,[24]HISTOOCT24!$A$6:$CA$38,63,0)</f>
        <v>0</v>
      </c>
      <c r="AJ35" s="36">
        <f>VLOOKUP($A35,[24]HISTOOCT24!$A$6:$CA$38,64,0)</f>
        <v>0</v>
      </c>
      <c r="AK35" s="36">
        <f>VLOOKUP($A35,[24]HISTOOCT24!$A$6:$CA$38,65,0)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MVTSEPT24!I36-E36+L36</f>
        <v>975599.08181867818</v>
      </c>
      <c r="G36" s="5">
        <f>IF(MVTSEPT24!I36+L36&gt;700000,(MVTSEPT24!I36-E36+L36),0)</f>
        <v>975599.08181867818</v>
      </c>
      <c r="H36" s="36">
        <f t="shared" si="0"/>
        <v>0</v>
      </c>
      <c r="I36" s="6">
        <f t="shared" si="2"/>
        <v>975599.08181867818</v>
      </c>
      <c r="J36" s="36">
        <f>VLOOKUP($A36,[24]HISTOOCT24!$A$6:$AQ$42,22,0)</f>
        <v>0</v>
      </c>
      <c r="K36" s="36">
        <f>VLOOKUP($A36,[24]HISTOOCT24!$A$6:$AU$38,45,0)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VLOOKUP($A36,[24]HISTOOCT24!$A$6:$AU$38,7,0)</f>
        <v>0</v>
      </c>
      <c r="Q36" s="36">
        <f>VLOOKUP($A36,[24]HISTOOCT24!$A$6:$AU$38,23,0)</f>
        <v>0</v>
      </c>
      <c r="R36" s="36">
        <f>VLOOKUP($A36,[24]HISTOOCT24!$A$6:$AU$38,46,0)</f>
        <v>0</v>
      </c>
      <c r="S36" s="36">
        <f>VLOOKUP($A36,[24]HISTOOCT24!$A$6:$AU$38,26,0)</f>
        <v>0</v>
      </c>
      <c r="T36" s="36">
        <f>VLOOKUP($A36,[24]HISTOOCT24!$A$6:$BG$38,58,0)</f>
        <v>0</v>
      </c>
      <c r="U36" s="36">
        <f>VLOOKUP($A36,[24]HISTOOCT24!$A$6:$AU$38,28,0)</f>
        <v>0</v>
      </c>
      <c r="V36" s="36">
        <f>VLOOKUP($A36,[24]HISTOOCT24!$A$6:$AU$38,19,0)</f>
        <v>0</v>
      </c>
      <c r="W36" s="36">
        <f>VLOOKUP($A36,[24]HISTOOCT24!$A$6:$AU$38,20,0)</f>
        <v>0</v>
      </c>
      <c r="X36" s="36">
        <f>VLOOKUP($A36,[24]HISTOOCT24!$A$6:$AU$38,27,0)</f>
        <v>0</v>
      </c>
      <c r="Y36" s="36">
        <f>VLOOKUP($A36,[24]HISTOOCT24!$A$6:$BM$38,33,0)</f>
        <v>0</v>
      </c>
      <c r="Z36" s="36">
        <f>VLOOKUP($A36,[24]HISTOOCT24!$A$6:$BM$38,65,0)</f>
        <v>0</v>
      </c>
      <c r="AA36" s="36"/>
      <c r="AB36" s="36">
        <f>VLOOKUP($A36,[24]HISTOOCT24!$A$6:$AU$38,43,0)</f>
        <v>0</v>
      </c>
      <c r="AC36" s="36">
        <f>VLOOKUP($A36,[24]HISTOOCT24!$A$6:$AU$38,44,0)</f>
        <v>0</v>
      </c>
      <c r="AD36" s="36">
        <f>VLOOKUP($A36,[24]HISTOOCT24!$A$6:$AU$38,47,0)</f>
        <v>0</v>
      </c>
      <c r="AE36" s="36">
        <f>VLOOKUP(A36,[24]HISTOOCT24!$A$6:$BB$38,54,0)</f>
        <v>0</v>
      </c>
      <c r="AF36" s="36">
        <f>VLOOKUP($A36,[24]HISTOOCT24!$A$6:$CA$38,60,0)</f>
        <v>0</v>
      </c>
      <c r="AG36" s="36">
        <f>VLOOKUP($A36,[24]HISTOOCT24!$A$6:$CA$38,61,0)</f>
        <v>0</v>
      </c>
      <c r="AH36" s="36">
        <f>VLOOKUP($A36,[24]HISTOOCT24!$A$6:$CA$38,62,0)</f>
        <v>0</v>
      </c>
      <c r="AI36" s="36">
        <f>VLOOKUP($A36,[24]HISTOOCT24!$A$6:$CA$38,63,0)</f>
        <v>0</v>
      </c>
      <c r="AJ36" s="36">
        <f>VLOOKUP($A36,[24]HISTOOCT24!$A$6:$CA$38,64,0)</f>
        <v>0</v>
      </c>
      <c r="AK36" s="36">
        <f>VLOOKUP($A36,[24]HISTOOCT24!$A$6:$CA$38,65,0)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MVTSEPT24!I37-E37+L37</f>
        <v>2008400.7147676253</v>
      </c>
      <c r="G37" s="5">
        <f>IF(MVTSEPT24!I37+L37&gt;700000,(MVTSEPT24!I37-E37+L37),0)</f>
        <v>2008400.7147676253</v>
      </c>
      <c r="H37" s="36">
        <f t="shared" si="0"/>
        <v>0</v>
      </c>
      <c r="I37" s="6">
        <f t="shared" si="2"/>
        <v>2008400.7147676253</v>
      </c>
      <c r="J37" s="36">
        <f>VLOOKUP($A37,[24]HISTOOCT24!$A$6:$AQ$42,22,0)</f>
        <v>0</v>
      </c>
      <c r="K37" s="36">
        <f>VLOOKUP($A37,[24]HISTOOCT24!$A$6:$AU$38,45,0)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VLOOKUP($A37,[24]HISTOOCT24!$A$6:$AU$38,7,0)</f>
        <v>3000</v>
      </c>
      <c r="Q37" s="36">
        <f>VLOOKUP($A37,[24]HISTOOCT24!$A$6:$AU$38,23,0)</f>
        <v>0</v>
      </c>
      <c r="R37" s="36">
        <f>VLOOKUP($A37,[24]HISTOOCT24!$A$6:$AU$38,46,0)</f>
        <v>0</v>
      </c>
      <c r="S37" s="36">
        <f>VLOOKUP($A37,[24]HISTOOCT24!$A$6:$AU$38,26,0)</f>
        <v>0</v>
      </c>
      <c r="T37" s="36">
        <f>VLOOKUP($A37,[24]HISTOOCT24!$A$6:$BG$38,58,0)</f>
        <v>0</v>
      </c>
      <c r="U37" s="36">
        <f>VLOOKUP($A37,[24]HISTOOCT24!$A$6:$AU$38,28,0)</f>
        <v>0</v>
      </c>
      <c r="V37" s="36">
        <f>VLOOKUP($A37,[24]HISTOOCT24!$A$6:$AU$38,19,0)</f>
        <v>0</v>
      </c>
      <c r="W37" s="36">
        <f>VLOOKUP($A37,[24]HISTOOCT24!$A$6:$AU$38,20,0)</f>
        <v>0</v>
      </c>
      <c r="X37" s="36">
        <f>VLOOKUP($A37,[24]HISTOOCT24!$A$6:$AU$38,27,0)</f>
        <v>0</v>
      </c>
      <c r="Y37" s="36">
        <f>VLOOKUP($A37,[24]HISTOOCT24!$A$6:$BM$38,33,0)</f>
        <v>0</v>
      </c>
      <c r="Z37" s="36">
        <f>VLOOKUP($A37,[24]HISTOOCT24!$A$6:$BM$38,65,0)</f>
        <v>0</v>
      </c>
      <c r="AA37" s="36"/>
      <c r="AB37" s="36">
        <f>VLOOKUP($A37,[24]HISTOOCT24!$A$6:$AU$38,43,0)</f>
        <v>0</v>
      </c>
      <c r="AC37" s="36">
        <f>VLOOKUP($A37,[24]HISTOOCT24!$A$6:$AU$38,44,0)</f>
        <v>0</v>
      </c>
      <c r="AD37" s="36">
        <f>VLOOKUP($A37,[24]HISTOOCT24!$A$6:$AU$38,47,0)</f>
        <v>0</v>
      </c>
      <c r="AE37" s="36">
        <f>VLOOKUP(A37,[24]HISTOOCT24!$A$6:$BB$38,54,0)</f>
        <v>0</v>
      </c>
      <c r="AF37" s="36">
        <f>VLOOKUP($A37,[24]HISTOOCT24!$A$6:$CA$38,60,0)</f>
        <v>0</v>
      </c>
      <c r="AG37" s="36">
        <f>VLOOKUP($A37,[24]HISTOOCT24!$A$6:$CA$38,61,0)</f>
        <v>0</v>
      </c>
      <c r="AH37" s="36">
        <f>VLOOKUP($A37,[24]HISTOOCT24!$A$6:$CA$38,62,0)</f>
        <v>0</v>
      </c>
      <c r="AI37" s="36">
        <f>VLOOKUP($A37,[24]HISTOOCT24!$A$6:$CA$38,63,0)</f>
        <v>0</v>
      </c>
      <c r="AJ37" s="36">
        <f>VLOOKUP($A37,[24]HISTOOCT24!$A$6:$CA$38,64,0)</f>
        <v>0</v>
      </c>
      <c r="AK37" s="36">
        <f>VLOOKUP($A37,[24]HISTOOCT24!$A$6:$CA$38,65,0)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MVTSEPT24!I38-E38+L38</f>
        <v>190000</v>
      </c>
      <c r="G38" s="5">
        <f>IF(MVTSEPT24!I38+L38&gt;700000,(MVTSEPT24!I38-E38+L38),0)</f>
        <v>0</v>
      </c>
      <c r="H38" s="36">
        <f t="shared" si="0"/>
        <v>0</v>
      </c>
      <c r="I38" s="6">
        <f t="shared" si="2"/>
        <v>190000</v>
      </c>
      <c r="J38" s="36">
        <f>VLOOKUP($A38,[24]HISTOOCT24!$A$6:$AQ$42,22,0)</f>
        <v>0</v>
      </c>
      <c r="K38" s="36">
        <f>VLOOKUP($A38,[24]HISTOOCT24!$A$6:$AU$38,45,0)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VLOOKUP($A38,[24]HISTOOCT24!$A$6:$AU$38,7,0)</f>
        <v>0</v>
      </c>
      <c r="Q38" s="36">
        <f>VLOOKUP($A38,[24]HISTOOCT24!$A$6:$AU$38,23,0)</f>
        <v>0</v>
      </c>
      <c r="R38" s="36">
        <f>VLOOKUP($A38,[24]HISTOOCT24!$A$6:$AU$38,46,0)</f>
        <v>0</v>
      </c>
      <c r="S38" s="36">
        <f>VLOOKUP($A38,[24]HISTOOCT24!$A$6:$AU$38,26,0)</f>
        <v>0</v>
      </c>
      <c r="T38" s="36">
        <f>VLOOKUP($A38,[24]HISTOOCT24!$A$6:$BG$38,58,0)</f>
        <v>0</v>
      </c>
      <c r="U38" s="36">
        <f>VLOOKUP($A38,[24]HISTOOCT24!$A$6:$AU$38,28,0)</f>
        <v>0</v>
      </c>
      <c r="V38" s="36">
        <f>VLOOKUP($A38,[24]HISTOOCT24!$A$6:$AU$38,19,0)</f>
        <v>0</v>
      </c>
      <c r="W38" s="36">
        <f>VLOOKUP($A38,[24]HISTOOCT24!$A$6:$AU$38,20,0)</f>
        <v>0</v>
      </c>
      <c r="X38" s="36">
        <f>VLOOKUP($A38,[24]HISTOOCT24!$A$6:$AU$38,27,0)</f>
        <v>0</v>
      </c>
      <c r="Y38" s="36">
        <f>VLOOKUP($A38,[24]HISTOOCT24!$A$6:$BM$38,33,0)</f>
        <v>0</v>
      </c>
      <c r="Z38" s="36">
        <f>VLOOKUP($A38,[24]HISTOOCT24!$A$6:$BM$38,65,0)</f>
        <v>0</v>
      </c>
      <c r="AA38" s="36"/>
      <c r="AB38" s="36">
        <f>VLOOKUP($A38,[24]HISTOOCT24!$A$6:$AU$38,43,0)</f>
        <v>0</v>
      </c>
      <c r="AC38" s="36">
        <f>VLOOKUP($A38,[24]HISTOOCT24!$A$6:$AU$38,44,0)</f>
        <v>0</v>
      </c>
      <c r="AD38" s="36">
        <f>VLOOKUP($A38,[24]HISTOOCT24!$A$6:$AU$38,47,0)</f>
        <v>0</v>
      </c>
      <c r="AE38" s="36">
        <f>VLOOKUP(A38,[24]HISTOOCT24!$A$6:$BB$38,54,0)</f>
        <v>0</v>
      </c>
      <c r="AF38" s="36">
        <f>VLOOKUP($A38,[24]HISTOOCT24!$A$6:$CA$38,60,0)</f>
        <v>0</v>
      </c>
      <c r="AG38" s="36">
        <f>VLOOKUP($A38,[24]HISTOOCT24!$A$6:$CA$38,61,0)</f>
        <v>0</v>
      </c>
      <c r="AH38" s="36">
        <f>VLOOKUP($A38,[24]HISTOOCT24!$A$6:$CA$38,62,0)</f>
        <v>0</v>
      </c>
      <c r="AI38" s="36">
        <f>VLOOKUP($A38,[24]HISTOOCT24!$A$6:$CA$38,63,0)</f>
        <v>0</v>
      </c>
      <c r="AJ38" s="36">
        <f>VLOOKUP($A38,[24]HISTOOCT24!$A$6:$CA$38,64,0)</f>
        <v>0</v>
      </c>
      <c r="AK38" s="36">
        <f>VLOOKUP($A38,[24]HISTOOCT24!$A$6:$CA$38,65,0)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MVTSEPT24!I39-E39+L39</f>
        <v>2173313.2142100567</v>
      </c>
      <c r="G39" s="5">
        <f>IF(MVTSEPT24!I39+L39&gt;700000,(MVTSEPT24!I39-E39+L39),0)</f>
        <v>2173313.2142100567</v>
      </c>
      <c r="H39" s="36">
        <f t="shared" si="0"/>
        <v>0</v>
      </c>
      <c r="I39" s="6">
        <f t="shared" si="2"/>
        <v>2173313.2142100567</v>
      </c>
      <c r="J39" s="36">
        <f>VLOOKUP($A39,[24]HISTOOCT24!$A$6:$AQ$42,22,0)</f>
        <v>0</v>
      </c>
      <c r="K39" s="36">
        <f>VLOOKUP($A39,[24]HISTOOCT24!$A$6:$AU$38,45,0)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VLOOKUP($A39,[24]HISTOOCT24!$A$6:$AU$38,7,0)</f>
        <v>0</v>
      </c>
      <c r="Q39" s="36">
        <f>VLOOKUP($A39,[24]HISTOOCT24!$A$6:$AU$38,23,0)</f>
        <v>0</v>
      </c>
      <c r="R39" s="36">
        <f>VLOOKUP($A39,[24]HISTOOCT24!$A$6:$AU$38,46,0)</f>
        <v>0</v>
      </c>
      <c r="S39" s="36">
        <f>VLOOKUP($A39,[24]HISTOOCT24!$A$6:$AU$38,26,0)</f>
        <v>0</v>
      </c>
      <c r="T39" s="36">
        <f>VLOOKUP($A39,[24]HISTOOCT24!$A$6:$BG$38,58,0)</f>
        <v>0</v>
      </c>
      <c r="U39" s="36">
        <f>VLOOKUP($A39,[24]HISTOOCT24!$A$6:$AU$38,28,0)</f>
        <v>0</v>
      </c>
      <c r="V39" s="36">
        <f>VLOOKUP($A39,[24]HISTOOCT24!$A$6:$AU$38,19,0)</f>
        <v>0</v>
      </c>
      <c r="W39" s="36">
        <f>VLOOKUP($A39,[24]HISTOOCT24!$A$6:$AU$38,20,0)</f>
        <v>0</v>
      </c>
      <c r="X39" s="36">
        <f>VLOOKUP($A39,[24]HISTOOCT24!$A$6:$AU$38,27,0)</f>
        <v>0</v>
      </c>
      <c r="Y39" s="36">
        <f>VLOOKUP($A39,[24]HISTOOCT24!$A$6:$BM$38,33,0)</f>
        <v>0</v>
      </c>
      <c r="Z39" s="36">
        <f>VLOOKUP($A39,[24]HISTOOCT24!$A$6:$BM$38,65,0)</f>
        <v>0</v>
      </c>
      <c r="AA39" s="36"/>
      <c r="AB39" s="36">
        <f>VLOOKUP($A39,[24]HISTOOCT24!$A$6:$AU$38,43,0)</f>
        <v>0</v>
      </c>
      <c r="AC39" s="36">
        <f>VLOOKUP($A39,[24]HISTOOCT24!$A$6:$AU$38,44,0)</f>
        <v>0</v>
      </c>
      <c r="AD39" s="36">
        <f>VLOOKUP($A39,[24]HISTOOCT24!$A$6:$AU$38,47,0)</f>
        <v>0</v>
      </c>
      <c r="AE39" s="36">
        <f>VLOOKUP(A39,[24]HISTOOCT24!$A$6:$BB$38,54,0)</f>
        <v>0</v>
      </c>
      <c r="AF39" s="36">
        <f>VLOOKUP($A39,[24]HISTOOCT24!$A$6:$CA$38,60,0)</f>
        <v>0</v>
      </c>
      <c r="AG39" s="36">
        <f>VLOOKUP($A39,[24]HISTOOCT24!$A$6:$CA$38,61,0)</f>
        <v>0</v>
      </c>
      <c r="AH39" s="36">
        <f>VLOOKUP($A39,[24]HISTOOCT24!$A$6:$CA$38,62,0)</f>
        <v>0</v>
      </c>
      <c r="AI39" s="36">
        <f>VLOOKUP($A39,[24]HISTOOCT24!$A$6:$CA$38,63,0)</f>
        <v>0</v>
      </c>
      <c r="AJ39" s="36">
        <f>VLOOKUP($A39,[24]HISTOOCT24!$A$6:$CA$38,64,0)</f>
        <v>0</v>
      </c>
      <c r="AK39" s="36">
        <f>VLOOKUP($A39,[24]HISTOOCT24!$A$6:$CA$38,65,0)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32968656.655274987</v>
      </c>
      <c r="G41" s="9">
        <f t="shared" si="10"/>
        <v>31027439.524547949</v>
      </c>
      <c r="H41" s="36">
        <f t="shared" si="10"/>
        <v>0</v>
      </c>
      <c r="I41" s="9">
        <f t="shared" si="10"/>
        <v>32968656.655274987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45613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VLOOKUP($A6,[24]HISTONOV24!$A$6:$BA$38,48,0)</f>
        <v>0</v>
      </c>
      <c r="F6" s="36">
        <f>MVTOCT24!I6-E6+L6</f>
        <v>946220.58968855068</v>
      </c>
      <c r="G6" s="5">
        <f>IF(MVTOCT24!I6+L6&gt;700000,(MVTOCT24!I6-E6+L6),0)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VLOOKUP($A6,[24]HISTONOV24!$A$6:$AQ$42,22,0)</f>
        <v>0</v>
      </c>
      <c r="K6" s="36">
        <f>VLOOKUP($A6,[24]HISTONOV24!$A$6:$AU$38,45,0)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VLOOKUP($A6,[24]HISTONOV24!$A$6:$AU$38,7,0)</f>
        <v>0</v>
      </c>
      <c r="Q6" s="36">
        <f>VLOOKUP($A6,[24]HISTONOV24!$A$6:$AU$38,23,0)</f>
        <v>0</v>
      </c>
      <c r="R6" s="36">
        <f>VLOOKUP($A6,[24]HISTONOV24!$A$6:$AU$38,46,0)</f>
        <v>0</v>
      </c>
      <c r="S6" s="36">
        <f>VLOOKUP($A6,[24]HISTONOV24!$A$6:$AU$38,26,0)</f>
        <v>0</v>
      </c>
      <c r="T6" s="36">
        <f>VLOOKUP($A6,[24]HISTONOV24!$A$6:$BG$38,58,0)</f>
        <v>0</v>
      </c>
      <c r="U6" s="36">
        <f>VLOOKUP($A6,[24]HISTONOV24!$A$6:$AU$38,28,0)</f>
        <v>0</v>
      </c>
      <c r="V6" s="36">
        <f>VLOOKUP($A6,[24]HISTONOV24!$A$6:$AU$38,19,0)</f>
        <v>0</v>
      </c>
      <c r="W6" s="36">
        <f>VLOOKUP($A6,[24]HISTONOV24!$A$6:$AU$38,20,0)</f>
        <v>0</v>
      </c>
      <c r="X6" s="36">
        <f>VLOOKUP($A6,[24]HISTONOV24!$A$6:$AU$38,27,0)</f>
        <v>0</v>
      </c>
      <c r="Y6" s="36">
        <f>VLOOKUP($A6,[24]HISTONOV24!$A$6:$BM$38,33,0)</f>
        <v>0</v>
      </c>
      <c r="Z6" s="36">
        <f>VLOOKUP($A6,[24]HISTONOV24!$A$6:$BM$38,65,0)</f>
        <v>0</v>
      </c>
      <c r="AA6" s="36"/>
      <c r="AB6" s="36">
        <f>VLOOKUP($A6,[24]HISTONOV24!$A$6:$AU$38,43,0)</f>
        <v>0</v>
      </c>
      <c r="AC6" s="36">
        <f>VLOOKUP($A6,[24]HISTONOV24!$A$6:$AU$38,44,0)</f>
        <v>0</v>
      </c>
      <c r="AD6" s="36">
        <f>VLOOKUP($A6,[24]HISTONOV24!$A$6:$AU$38,47,0)</f>
        <v>0</v>
      </c>
      <c r="AE6" s="36">
        <f>VLOOKUP(A6,[24]HISTONOV24!$A$6:$BB$38,54,0)</f>
        <v>0</v>
      </c>
      <c r="AF6" s="36">
        <f>VLOOKUP($A6,[24]HISTONOV24!$A$6:$CA$38,60,0)</f>
        <v>0</v>
      </c>
      <c r="AG6" s="36">
        <f>VLOOKUP($A6,[24]HISTONOV24!$A$6:$CA$38,61,0)</f>
        <v>0</v>
      </c>
      <c r="AH6" s="36">
        <f>VLOOKUP($A6,[24]HISTONOV24!$A$6:$CA$38,62,0)</f>
        <v>0</v>
      </c>
      <c r="AI6" s="36">
        <f>VLOOKUP($A6,[24]HISTONOV24!$A$6:$CA$38,63,0)</f>
        <v>0</v>
      </c>
      <c r="AJ6" s="36">
        <f>VLOOKUP($A6,[24]HISTONOV24!$A$6:$CA$38,64,0)</f>
        <v>0</v>
      </c>
      <c r="AK6" s="36">
        <f>VLOOKUP($A6,[24]HISTONOV24!$A$6:$CA$38,65,0)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VLOOKUP($A7,[24]HISTONOV24!$A$6:$BA$38,48,0)</f>
        <v>0</v>
      </c>
      <c r="F7" s="36">
        <f>MVTOCT24!I7-E7+L7</f>
        <v>909791.19348721951</v>
      </c>
      <c r="G7" s="5">
        <f>IF(MVTOCT24!I7+L7&gt;700000,(MVTOCT24!I7-E7+L7),0)</f>
        <v>909791.19348721951</v>
      </c>
      <c r="H7" s="36">
        <f t="shared" si="0"/>
        <v>0</v>
      </c>
      <c r="I7" s="6">
        <f t="shared" ref="I7:I39" si="2">F7+H7</f>
        <v>909791.19348721951</v>
      </c>
      <c r="J7" s="36">
        <f>VLOOKUP($A7,[24]HISTONOV24!$A$6:$AQ$42,22,0)</f>
        <v>0</v>
      </c>
      <c r="K7" s="36">
        <f>VLOOKUP($A7,[24]HISTONOV24!$A$6:$AU$38,45,0)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VLOOKUP($A7,[24]HISTONOV24!$A$6:$AU$38,7,0)</f>
        <v>3000</v>
      </c>
      <c r="Q7" s="36">
        <f>VLOOKUP($A7,[24]HISTONOV24!$A$6:$AU$38,23,0)</f>
        <v>0</v>
      </c>
      <c r="R7" s="36">
        <f>VLOOKUP($A7,[24]HISTONOV24!$A$6:$AU$38,46,0)</f>
        <v>0</v>
      </c>
      <c r="S7" s="36">
        <f>VLOOKUP($A7,[24]HISTONOV24!$A$6:$AU$38,26,0)</f>
        <v>0</v>
      </c>
      <c r="T7" s="36">
        <f>VLOOKUP($A7,[24]HISTONOV24!$A$6:$BG$38,58,0)</f>
        <v>0</v>
      </c>
      <c r="U7" s="36">
        <f>VLOOKUP($A7,[24]HISTONOV24!$A$6:$AU$38,28,0)</f>
        <v>0</v>
      </c>
      <c r="V7" s="36">
        <f>VLOOKUP($A7,[24]HISTONOV24!$A$6:$AU$38,19,0)</f>
        <v>0</v>
      </c>
      <c r="W7" s="36">
        <f>VLOOKUP($A7,[24]HISTONOV24!$A$6:$AU$38,20,0)</f>
        <v>0</v>
      </c>
      <c r="X7" s="36">
        <f>VLOOKUP($A7,[24]HISTONOV24!$A$6:$AU$38,27,0)</f>
        <v>0</v>
      </c>
      <c r="Y7" s="36">
        <f>VLOOKUP($A7,[24]HISTONOV24!$A$6:$BM$38,33,0)</f>
        <v>0</v>
      </c>
      <c r="Z7" s="36">
        <f>VLOOKUP($A7,[24]HISTONOV24!$A$6:$BM$38,65,0)</f>
        <v>0</v>
      </c>
      <c r="AA7" s="36"/>
      <c r="AB7" s="36">
        <f>VLOOKUP($A7,[24]HISTONOV24!$A$6:$AU$38,43,0)</f>
        <v>0</v>
      </c>
      <c r="AC7" s="36">
        <f>VLOOKUP($A7,[24]HISTONOV24!$A$6:$AU$38,44,0)</f>
        <v>0</v>
      </c>
      <c r="AD7" s="36">
        <f>VLOOKUP($A7,[24]HISTONOV24!$A$6:$AU$38,47,0)</f>
        <v>0</v>
      </c>
      <c r="AE7" s="36">
        <f>VLOOKUP(A7,[24]HISTONOV24!$A$6:$BB$38,54,0)</f>
        <v>0</v>
      </c>
      <c r="AF7" s="36">
        <f>VLOOKUP($A7,[24]HISTONOV24!$A$6:$CA$38,60,0)</f>
        <v>0</v>
      </c>
      <c r="AG7" s="36">
        <f>VLOOKUP($A7,[24]HISTONOV24!$A$6:$CA$38,61,0)</f>
        <v>0</v>
      </c>
      <c r="AH7" s="36">
        <f>VLOOKUP($A7,[24]HISTONOV24!$A$6:$CA$38,62,0)</f>
        <v>0</v>
      </c>
      <c r="AI7" s="36">
        <f>VLOOKUP($A7,[24]HISTONOV24!$A$6:$CA$38,63,0)</f>
        <v>0</v>
      </c>
      <c r="AJ7" s="36">
        <f>VLOOKUP($A7,[24]HISTONOV24!$A$6:$CA$38,64,0)</f>
        <v>0</v>
      </c>
      <c r="AK7" s="36">
        <f>VLOOKUP($A7,[24]HISTONOV24!$A$6:$CA$38,65,0)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VLOOKUP($A8,[24]HISTONOV24!$A$6:$BA$38,48,0)</f>
        <v>0</v>
      </c>
      <c r="F8" s="36">
        <f>MVTOCT24!I8-E8+L8</f>
        <v>953533.31236524263</v>
      </c>
      <c r="G8" s="5">
        <f>IF(MVTOCT24!I8+L8&gt;700000,(MVTOCT24!I8-E8+L8),0)</f>
        <v>953533.31236524263</v>
      </c>
      <c r="H8" s="36">
        <f t="shared" si="0"/>
        <v>0</v>
      </c>
      <c r="I8" s="6">
        <f t="shared" si="2"/>
        <v>953533.31236524263</v>
      </c>
      <c r="J8" s="36">
        <f>VLOOKUP($A8,[24]HISTONOV24!$A$6:$AQ$42,22,0)</f>
        <v>0</v>
      </c>
      <c r="K8" s="36">
        <f>VLOOKUP($A8,[24]HISTONOV24!$A$6:$AU$38,45,0)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VLOOKUP($A8,[24]HISTONOV24!$A$6:$AU$38,7,0)</f>
        <v>0</v>
      </c>
      <c r="Q8" s="36">
        <f>VLOOKUP($A8,[24]HISTONOV24!$A$6:$AU$38,23,0)</f>
        <v>0</v>
      </c>
      <c r="R8" s="36">
        <f>VLOOKUP($A8,[24]HISTONOV24!$A$6:$AU$38,46,0)</f>
        <v>0</v>
      </c>
      <c r="S8" s="36">
        <f>VLOOKUP($A8,[24]HISTONOV24!$A$6:$AU$38,26,0)</f>
        <v>0</v>
      </c>
      <c r="T8" s="36">
        <f>VLOOKUP($A8,[24]HISTONOV24!$A$6:$BG$38,58,0)</f>
        <v>0</v>
      </c>
      <c r="U8" s="36">
        <f>VLOOKUP($A8,[24]HISTONOV24!$A$6:$AU$38,28,0)</f>
        <v>0</v>
      </c>
      <c r="V8" s="36">
        <f>VLOOKUP($A8,[24]HISTONOV24!$A$6:$AU$38,19,0)</f>
        <v>0</v>
      </c>
      <c r="W8" s="36">
        <f>VLOOKUP($A8,[24]HISTONOV24!$A$6:$AU$38,20,0)</f>
        <v>0</v>
      </c>
      <c r="X8" s="36">
        <f>VLOOKUP($A8,[24]HISTONOV24!$A$6:$AU$38,27,0)</f>
        <v>0</v>
      </c>
      <c r="Y8" s="36">
        <f>VLOOKUP($A8,[24]HISTONOV24!$A$6:$BM$38,33,0)</f>
        <v>0</v>
      </c>
      <c r="Z8" s="36">
        <f>VLOOKUP($A8,[24]HISTONOV24!$A$6:$BM$38,65,0)</f>
        <v>0</v>
      </c>
      <c r="AA8" s="36"/>
      <c r="AB8" s="36">
        <f>VLOOKUP($A8,[24]HISTONOV24!$A$6:$AU$38,43,0)</f>
        <v>0</v>
      </c>
      <c r="AC8" s="36">
        <f>VLOOKUP($A8,[24]HISTONOV24!$A$6:$AU$38,44,0)</f>
        <v>0</v>
      </c>
      <c r="AD8" s="36">
        <f>VLOOKUP($A8,[24]HISTONOV24!$A$6:$AU$38,47,0)</f>
        <v>0</v>
      </c>
      <c r="AE8" s="36">
        <f>VLOOKUP(A8,[24]HISTONOV24!$A$6:$BB$38,54,0)</f>
        <v>0</v>
      </c>
      <c r="AF8" s="36">
        <f>VLOOKUP($A8,[24]HISTONOV24!$A$6:$CA$38,60,0)</f>
        <v>0</v>
      </c>
      <c r="AG8" s="36">
        <f>VLOOKUP($A8,[24]HISTONOV24!$A$6:$CA$38,61,0)</f>
        <v>0</v>
      </c>
      <c r="AH8" s="36">
        <f>VLOOKUP($A8,[24]HISTONOV24!$A$6:$CA$38,62,0)</f>
        <v>0</v>
      </c>
      <c r="AI8" s="36">
        <f>VLOOKUP($A8,[24]HISTONOV24!$A$6:$CA$38,63,0)</f>
        <v>0</v>
      </c>
      <c r="AJ8" s="36">
        <f>VLOOKUP($A8,[24]HISTONOV24!$A$6:$CA$38,64,0)</f>
        <v>0</v>
      </c>
      <c r="AK8" s="36">
        <f>VLOOKUP($A8,[24]HISTONOV24!$A$6:$CA$38,65,0)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VLOOKUP($A9,[24]HISTONOV24!$A$6:$BA$38,48,0)</f>
        <v>0</v>
      </c>
      <c r="F9" s="36">
        <f>MVTOCT24!I9-E9+L9</f>
        <v>1010962.0068681776</v>
      </c>
      <c r="G9" s="5">
        <f>IF(MVTOCT24!I9+L9&gt;700000,(MVTOCT24!I9-E9+L9),0)</f>
        <v>1010962.0068681776</v>
      </c>
      <c r="H9" s="36">
        <f t="shared" si="0"/>
        <v>0</v>
      </c>
      <c r="I9" s="6">
        <f t="shared" si="2"/>
        <v>1010962.0068681776</v>
      </c>
      <c r="J9" s="36">
        <f>VLOOKUP($A9,[24]HISTONOV24!$A$6:$AQ$42,22,0)</f>
        <v>0</v>
      </c>
      <c r="K9" s="36">
        <f>VLOOKUP($A9,[24]HISTONOV24!$A$6:$AU$38,45,0)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VLOOKUP($A9,[24]HISTONOV24!$A$6:$AU$38,7,0)</f>
        <v>0</v>
      </c>
      <c r="Q9" s="36">
        <f>VLOOKUP($A9,[24]HISTONOV24!$A$6:$AU$38,23,0)</f>
        <v>0</v>
      </c>
      <c r="R9" s="36">
        <f>VLOOKUP($A9,[24]HISTONOV24!$A$6:$AU$38,46,0)</f>
        <v>0</v>
      </c>
      <c r="S9" s="36">
        <f>VLOOKUP($A9,[24]HISTONOV24!$A$6:$AU$38,26,0)</f>
        <v>0</v>
      </c>
      <c r="T9" s="36">
        <f>VLOOKUP($A9,[24]HISTONOV24!$A$6:$BG$38,58,0)</f>
        <v>0</v>
      </c>
      <c r="U9" s="36">
        <f>VLOOKUP($A9,[24]HISTONOV24!$A$6:$AU$38,28,0)</f>
        <v>0</v>
      </c>
      <c r="V9" s="36">
        <f>VLOOKUP($A9,[24]HISTONOV24!$A$6:$AU$38,19,0)</f>
        <v>0</v>
      </c>
      <c r="W9" s="36">
        <f>VLOOKUP($A9,[24]HISTONOV24!$A$6:$AU$38,20,0)</f>
        <v>0</v>
      </c>
      <c r="X9" s="36">
        <f>VLOOKUP($A9,[24]HISTONOV24!$A$6:$AU$38,27,0)</f>
        <v>0</v>
      </c>
      <c r="Y9" s="36">
        <f>VLOOKUP($A9,[24]HISTONOV24!$A$6:$BM$38,33,0)</f>
        <v>0</v>
      </c>
      <c r="Z9" s="36">
        <f>VLOOKUP($A9,[24]HISTONOV24!$A$6:$BM$38,65,0)</f>
        <v>0</v>
      </c>
      <c r="AA9" s="36"/>
      <c r="AB9" s="36">
        <f>VLOOKUP($A9,[24]HISTONOV24!$A$6:$AU$38,43,0)</f>
        <v>0</v>
      </c>
      <c r="AC9" s="36">
        <f>VLOOKUP($A9,[24]HISTONOV24!$A$6:$AU$38,44,0)</f>
        <v>0</v>
      </c>
      <c r="AD9" s="36">
        <f>VLOOKUP($A9,[24]HISTONOV24!$A$6:$AU$38,47,0)</f>
        <v>0</v>
      </c>
      <c r="AE9" s="36">
        <f>VLOOKUP(A9,[24]HISTONOV24!$A$6:$BB$38,54,0)</f>
        <v>0</v>
      </c>
      <c r="AF9" s="36">
        <f>VLOOKUP($A9,[24]HISTONOV24!$A$6:$CA$38,60,0)</f>
        <v>0</v>
      </c>
      <c r="AG9" s="36">
        <f>VLOOKUP($A9,[24]HISTONOV24!$A$6:$CA$38,61,0)</f>
        <v>0</v>
      </c>
      <c r="AH9" s="36">
        <f>VLOOKUP($A9,[24]HISTONOV24!$A$6:$CA$38,62,0)</f>
        <v>0</v>
      </c>
      <c r="AI9" s="36">
        <f>VLOOKUP($A9,[24]HISTONOV24!$A$6:$CA$38,63,0)</f>
        <v>0</v>
      </c>
      <c r="AJ9" s="36">
        <f>VLOOKUP($A9,[24]HISTONOV24!$A$6:$CA$38,64,0)</f>
        <v>0</v>
      </c>
      <c r="AK9" s="36">
        <f>VLOOKUP($A9,[24]HISTONOV24!$A$6:$CA$38,65,0)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VLOOKUP($A10,[24]HISTONOV24!$A$6:$BA$38,48,0)</f>
        <v>0</v>
      </c>
      <c r="F10" s="36">
        <f>MVTOCT24!I10-E10+L10</f>
        <v>950805.20622596238</v>
      </c>
      <c r="G10" s="5">
        <f>IF(MVTOCT24!I10+L10&gt;700000,(MVTOCT24!I10-E10+L10),0)</f>
        <v>950805.20622596238</v>
      </c>
      <c r="H10" s="36">
        <f t="shared" si="0"/>
        <v>0</v>
      </c>
      <c r="I10" s="6">
        <f t="shared" si="2"/>
        <v>950805.20622596238</v>
      </c>
      <c r="J10" s="36">
        <f>VLOOKUP($A10,[24]HISTONOV24!$A$6:$AQ$42,22,0)</f>
        <v>0</v>
      </c>
      <c r="K10" s="36">
        <f>VLOOKUP($A10,[24]HISTONOV24!$A$6:$AU$38,45,0)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VLOOKUP($A10,[24]HISTONOV24!$A$6:$AU$38,7,0)</f>
        <v>0</v>
      </c>
      <c r="Q10" s="36">
        <f>VLOOKUP($A10,[24]HISTONOV24!$A$6:$AU$38,23,0)</f>
        <v>0</v>
      </c>
      <c r="R10" s="36">
        <f>VLOOKUP($A10,[24]HISTONOV24!$A$6:$AU$38,46,0)</f>
        <v>0</v>
      </c>
      <c r="S10" s="36">
        <f>VLOOKUP($A10,[24]HISTONOV24!$A$6:$AU$38,26,0)</f>
        <v>0</v>
      </c>
      <c r="T10" s="36">
        <f>VLOOKUP($A10,[24]HISTONOV24!$A$6:$BG$38,58,0)</f>
        <v>0</v>
      </c>
      <c r="U10" s="36">
        <f>VLOOKUP($A10,[24]HISTONOV24!$A$6:$AU$38,28,0)</f>
        <v>0</v>
      </c>
      <c r="V10" s="36">
        <f>VLOOKUP($A10,[24]HISTONOV24!$A$6:$AU$38,19,0)</f>
        <v>0</v>
      </c>
      <c r="W10" s="36">
        <f>VLOOKUP($A10,[24]HISTONOV24!$A$6:$AU$38,20,0)</f>
        <v>0</v>
      </c>
      <c r="X10" s="36">
        <f>VLOOKUP($A10,[24]HISTONOV24!$A$6:$AU$38,27,0)</f>
        <v>0</v>
      </c>
      <c r="Y10" s="36">
        <f>VLOOKUP($A10,[24]HISTONOV24!$A$6:$BM$38,33,0)</f>
        <v>0</v>
      </c>
      <c r="Z10" s="36">
        <f>VLOOKUP($A10,[24]HISTONOV24!$A$6:$BM$38,65,0)</f>
        <v>0</v>
      </c>
      <c r="AA10" s="36"/>
      <c r="AB10" s="36">
        <f>VLOOKUP($A10,[24]HISTONOV24!$A$6:$AU$38,43,0)</f>
        <v>0</v>
      </c>
      <c r="AC10" s="36">
        <f>VLOOKUP($A10,[24]HISTONOV24!$A$6:$AU$38,44,0)</f>
        <v>0</v>
      </c>
      <c r="AD10" s="36">
        <f>VLOOKUP($A10,[24]HISTONOV24!$A$6:$AU$38,47,0)</f>
        <v>0</v>
      </c>
      <c r="AE10" s="36">
        <f>VLOOKUP(A10,[24]HISTONOV24!$A$6:$BB$38,54,0)</f>
        <v>0</v>
      </c>
      <c r="AF10" s="36">
        <f>VLOOKUP($A10,[24]HISTONOV24!$A$6:$CA$38,60,0)</f>
        <v>0</v>
      </c>
      <c r="AG10" s="36">
        <f>VLOOKUP($A10,[24]HISTONOV24!$A$6:$CA$38,61,0)</f>
        <v>0</v>
      </c>
      <c r="AH10" s="36">
        <f>VLOOKUP($A10,[24]HISTONOV24!$A$6:$CA$38,62,0)</f>
        <v>0</v>
      </c>
      <c r="AI10" s="36">
        <f>VLOOKUP($A10,[24]HISTONOV24!$A$6:$CA$38,63,0)</f>
        <v>0</v>
      </c>
      <c r="AJ10" s="36">
        <f>VLOOKUP($A10,[24]HISTONOV24!$A$6:$CA$38,64,0)</f>
        <v>0</v>
      </c>
      <c r="AK10" s="36">
        <f>VLOOKUP($A10,[24]HISTONOV24!$A$6:$CA$38,65,0)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VLOOKUP($A11,[24]HISTONOV24!$A$6:$BA$38,48,0)</f>
        <v>0</v>
      </c>
      <c r="F11" s="36">
        <f>MVTOCT24!I11-E11+L11</f>
        <v>968855.82895949238</v>
      </c>
      <c r="G11" s="5">
        <f>IF(MVTOCT24!I11+L11&gt;700000,(MVTOCT24!I11-E11+L11),0)</f>
        <v>968855.82895949238</v>
      </c>
      <c r="H11" s="36">
        <f t="shared" si="0"/>
        <v>0</v>
      </c>
      <c r="I11" s="6">
        <f t="shared" si="2"/>
        <v>968855.82895949238</v>
      </c>
      <c r="J11" s="36">
        <f>VLOOKUP($A11,[24]HISTONOV24!$A$6:$AQ$42,22,0)</f>
        <v>0</v>
      </c>
      <c r="K11" s="36">
        <f>VLOOKUP($A11,[24]HISTONOV24!$A$6:$AU$38,45,0)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VLOOKUP($A11,[24]HISTONOV24!$A$6:$AU$38,7,0)</f>
        <v>0</v>
      </c>
      <c r="Q11" s="36">
        <f>VLOOKUP($A11,[24]HISTONOV24!$A$6:$AU$38,23,0)</f>
        <v>0</v>
      </c>
      <c r="R11" s="36">
        <f>VLOOKUP($A11,[24]HISTONOV24!$A$6:$AU$38,46,0)</f>
        <v>0</v>
      </c>
      <c r="S11" s="36">
        <f>VLOOKUP($A11,[24]HISTONOV24!$A$6:$AU$38,26,0)</f>
        <v>0</v>
      </c>
      <c r="T11" s="36">
        <f>VLOOKUP($A11,[24]HISTONOV24!$A$6:$BG$38,58,0)</f>
        <v>0</v>
      </c>
      <c r="U11" s="36">
        <f>VLOOKUP($A11,[24]HISTONOV24!$A$6:$AU$38,28,0)</f>
        <v>0</v>
      </c>
      <c r="V11" s="36">
        <f>VLOOKUP($A11,[24]HISTONOV24!$A$6:$AU$38,19,0)</f>
        <v>0</v>
      </c>
      <c r="W11" s="36">
        <f>VLOOKUP($A11,[24]HISTONOV24!$A$6:$AU$38,20,0)</f>
        <v>0</v>
      </c>
      <c r="X11" s="36">
        <f>VLOOKUP($A11,[24]HISTONOV24!$A$6:$AU$38,27,0)</f>
        <v>0</v>
      </c>
      <c r="Y11" s="36">
        <f>VLOOKUP($A11,[24]HISTONOV24!$A$6:$BM$38,33,0)</f>
        <v>0</v>
      </c>
      <c r="Z11" s="36">
        <f>VLOOKUP($A11,[24]HISTONOV24!$A$6:$BM$38,65,0)</f>
        <v>0</v>
      </c>
      <c r="AA11" s="36"/>
      <c r="AB11" s="36">
        <f>VLOOKUP($A11,[24]HISTONOV24!$A$6:$AU$38,43,0)</f>
        <v>0</v>
      </c>
      <c r="AC11" s="36">
        <f>VLOOKUP($A11,[24]HISTONOV24!$A$6:$AU$38,44,0)</f>
        <v>0</v>
      </c>
      <c r="AD11" s="36">
        <f>VLOOKUP($A11,[24]HISTONOV24!$A$6:$AU$38,47,0)</f>
        <v>0</v>
      </c>
      <c r="AE11" s="36">
        <f>VLOOKUP(A11,[24]HISTONOV24!$A$6:$BB$38,54,0)</f>
        <v>0</v>
      </c>
      <c r="AF11" s="36">
        <f>VLOOKUP($A11,[24]HISTONOV24!$A$6:$CA$38,60,0)</f>
        <v>0</v>
      </c>
      <c r="AG11" s="36">
        <f>VLOOKUP($A11,[24]HISTONOV24!$A$6:$CA$38,61,0)</f>
        <v>0</v>
      </c>
      <c r="AH11" s="36">
        <f>VLOOKUP($A11,[24]HISTONOV24!$A$6:$CA$38,62,0)</f>
        <v>0</v>
      </c>
      <c r="AI11" s="36">
        <f>VLOOKUP($A11,[24]HISTONOV24!$A$6:$CA$38,63,0)</f>
        <v>0</v>
      </c>
      <c r="AJ11" s="36">
        <f>VLOOKUP($A11,[24]HISTONOV24!$A$6:$CA$38,64,0)</f>
        <v>0</v>
      </c>
      <c r="AK11" s="36">
        <f>VLOOKUP($A11,[24]HISTONOV24!$A$6:$CA$38,65,0)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VLOOKUP($A12,[24]HISTONOV24!$A$6:$BA$38,48,0)</f>
        <v>0</v>
      </c>
      <c r="F12" s="36">
        <f>MVTOCT24!I12-E12+L12</f>
        <v>992100.14741339569</v>
      </c>
      <c r="G12" s="5">
        <f>IF(MVTOCT24!I12+L12&gt;700000,(MVTOCT24!I12-E12+L12),0)</f>
        <v>992100.14741339569</v>
      </c>
      <c r="H12" s="36">
        <f t="shared" si="0"/>
        <v>0</v>
      </c>
      <c r="I12" s="6">
        <f t="shared" si="2"/>
        <v>992100.14741339569</v>
      </c>
      <c r="J12" s="36">
        <f>VLOOKUP($A12,[24]HISTONOV24!$A$6:$AQ$42,22,0)</f>
        <v>0</v>
      </c>
      <c r="K12" s="36">
        <f>VLOOKUP($A12,[24]HISTONOV24!$A$6:$AU$38,45,0)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VLOOKUP($A12,[24]HISTONOV24!$A$6:$AU$38,7,0)</f>
        <v>0</v>
      </c>
      <c r="Q12" s="36">
        <f>VLOOKUP($A12,[24]HISTONOV24!$A$6:$AU$38,23,0)</f>
        <v>0</v>
      </c>
      <c r="R12" s="36">
        <f>VLOOKUP($A12,[24]HISTONOV24!$A$6:$AU$38,46,0)</f>
        <v>0</v>
      </c>
      <c r="S12" s="36">
        <f>VLOOKUP($A12,[24]HISTONOV24!$A$6:$AU$38,26,0)</f>
        <v>0</v>
      </c>
      <c r="T12" s="36">
        <f>VLOOKUP($A12,[24]HISTONOV24!$A$6:$BG$38,58,0)</f>
        <v>0</v>
      </c>
      <c r="U12" s="36">
        <f>VLOOKUP($A12,[24]HISTONOV24!$A$6:$AU$38,28,0)</f>
        <v>0</v>
      </c>
      <c r="V12" s="36">
        <f>VLOOKUP($A12,[24]HISTONOV24!$A$6:$AU$38,19,0)</f>
        <v>0</v>
      </c>
      <c r="W12" s="36">
        <f>VLOOKUP($A12,[24]HISTONOV24!$A$6:$AU$38,20,0)</f>
        <v>0</v>
      </c>
      <c r="X12" s="36">
        <f>VLOOKUP($A12,[24]HISTONOV24!$A$6:$AU$38,27,0)</f>
        <v>0</v>
      </c>
      <c r="Y12" s="36">
        <f>VLOOKUP($A12,[24]HISTONOV24!$A$6:$BM$38,33,0)</f>
        <v>0</v>
      </c>
      <c r="Z12" s="36">
        <f>VLOOKUP($A12,[24]HISTONOV24!$A$6:$BM$38,65,0)</f>
        <v>0</v>
      </c>
      <c r="AA12" s="36"/>
      <c r="AB12" s="36">
        <f>VLOOKUP($A12,[24]HISTONOV24!$A$6:$AU$38,43,0)</f>
        <v>0</v>
      </c>
      <c r="AC12" s="36">
        <f>VLOOKUP($A12,[24]HISTONOV24!$A$6:$AU$38,44,0)</f>
        <v>0</v>
      </c>
      <c r="AD12" s="36">
        <f>VLOOKUP($A12,[24]HISTONOV24!$A$6:$AU$38,47,0)</f>
        <v>0</v>
      </c>
      <c r="AE12" s="36">
        <f>VLOOKUP(A12,[24]HISTONOV24!$A$6:$BB$38,54,0)</f>
        <v>0</v>
      </c>
      <c r="AF12" s="36">
        <f>VLOOKUP($A12,[24]HISTONOV24!$A$6:$CA$38,60,0)</f>
        <v>0</v>
      </c>
      <c r="AG12" s="36">
        <f>VLOOKUP($A12,[24]HISTONOV24!$A$6:$CA$38,61,0)</f>
        <v>0</v>
      </c>
      <c r="AH12" s="36">
        <f>VLOOKUP($A12,[24]HISTONOV24!$A$6:$CA$38,62,0)</f>
        <v>0</v>
      </c>
      <c r="AI12" s="36">
        <f>VLOOKUP($A12,[24]HISTONOV24!$A$6:$CA$38,63,0)</f>
        <v>0</v>
      </c>
      <c r="AJ12" s="36">
        <f>VLOOKUP($A12,[24]HISTONOV24!$A$6:$CA$38,64,0)</f>
        <v>0</v>
      </c>
      <c r="AK12" s="36">
        <f>VLOOKUP($A12,[24]HISTONOV24!$A$6:$CA$38,65,0)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VLOOKUP($A13,[24]HISTONOV24!$A$6:$BA$38,48,0)</f>
        <v>0</v>
      </c>
      <c r="F13" s="36">
        <f>MVTOCT24!I13-E13+L13</f>
        <v>956555.14612214814</v>
      </c>
      <c r="G13" s="5">
        <f>IF(MVTOCT24!I13+L13&gt;700000,(MVTOCT24!I13-E13+L13),0)</f>
        <v>956555.14612214814</v>
      </c>
      <c r="H13" s="36">
        <f t="shared" si="0"/>
        <v>0</v>
      </c>
      <c r="I13" s="6">
        <f t="shared" si="2"/>
        <v>956555.14612214814</v>
      </c>
      <c r="J13" s="36">
        <f>VLOOKUP($A13,[24]HISTONOV24!$A$6:$AQ$42,22,0)</f>
        <v>0</v>
      </c>
      <c r="K13" s="36">
        <f>VLOOKUP($A13,[24]HISTONOV24!$A$6:$AU$38,45,0)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VLOOKUP($A13,[24]HISTONOV24!$A$6:$AU$38,7,0)</f>
        <v>0</v>
      </c>
      <c r="Q13" s="36">
        <f>VLOOKUP($A13,[24]HISTONOV24!$A$6:$AU$38,23,0)</f>
        <v>0</v>
      </c>
      <c r="R13" s="36">
        <f>VLOOKUP($A13,[24]HISTONOV24!$A$6:$AU$38,46,0)</f>
        <v>0</v>
      </c>
      <c r="S13" s="36">
        <f>VLOOKUP($A13,[24]HISTONOV24!$A$6:$AU$38,26,0)</f>
        <v>0</v>
      </c>
      <c r="T13" s="36">
        <f>VLOOKUP($A13,[24]HISTONOV24!$A$6:$BG$38,58,0)</f>
        <v>0</v>
      </c>
      <c r="U13" s="36">
        <f>VLOOKUP($A13,[24]HISTONOV24!$A$6:$AU$38,28,0)</f>
        <v>0</v>
      </c>
      <c r="V13" s="36">
        <f>VLOOKUP($A13,[24]HISTONOV24!$A$6:$AU$38,19,0)</f>
        <v>0</v>
      </c>
      <c r="W13" s="36">
        <f>VLOOKUP($A13,[24]HISTONOV24!$A$6:$AU$38,20,0)</f>
        <v>0</v>
      </c>
      <c r="X13" s="36">
        <f>VLOOKUP($A13,[24]HISTONOV24!$A$6:$AU$38,27,0)</f>
        <v>0</v>
      </c>
      <c r="Y13" s="36">
        <f>VLOOKUP($A13,[24]HISTONOV24!$A$6:$BM$38,33,0)</f>
        <v>0</v>
      </c>
      <c r="Z13" s="36">
        <f>VLOOKUP($A13,[24]HISTONOV24!$A$6:$BM$38,65,0)</f>
        <v>0</v>
      </c>
      <c r="AA13" s="36"/>
      <c r="AB13" s="36">
        <f>VLOOKUP($A13,[24]HISTONOV24!$A$6:$AU$38,43,0)</f>
        <v>0</v>
      </c>
      <c r="AC13" s="36">
        <f>VLOOKUP($A13,[24]HISTONOV24!$A$6:$AU$38,44,0)</f>
        <v>0</v>
      </c>
      <c r="AD13" s="36">
        <f>VLOOKUP($A13,[24]HISTONOV24!$A$6:$AU$38,47,0)</f>
        <v>0</v>
      </c>
      <c r="AE13" s="36">
        <f>VLOOKUP(A13,[24]HISTONOV24!$A$6:$BB$38,54,0)</f>
        <v>0</v>
      </c>
      <c r="AF13" s="36">
        <f>VLOOKUP($A13,[24]HISTONOV24!$A$6:$CA$38,60,0)</f>
        <v>0</v>
      </c>
      <c r="AG13" s="36">
        <f>VLOOKUP($A13,[24]HISTONOV24!$A$6:$CA$38,61,0)</f>
        <v>0</v>
      </c>
      <c r="AH13" s="36">
        <f>VLOOKUP($A13,[24]HISTONOV24!$A$6:$CA$38,62,0)</f>
        <v>0</v>
      </c>
      <c r="AI13" s="36">
        <f>VLOOKUP($A13,[24]HISTONOV24!$A$6:$CA$38,63,0)</f>
        <v>0</v>
      </c>
      <c r="AJ13" s="36">
        <f>VLOOKUP($A13,[24]HISTONOV24!$A$6:$CA$38,64,0)</f>
        <v>0</v>
      </c>
      <c r="AK13" s="36">
        <f>VLOOKUP($A13,[24]HISTONOV24!$A$6:$CA$38,65,0)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VLOOKUP($A14,[24]HISTONOV24!$A$6:$BA$38,48,0)</f>
        <v>0</v>
      </c>
      <c r="F14" s="36">
        <f>MVTOCT24!I14-E14+L14</f>
        <v>1509425.9823482623</v>
      </c>
      <c r="G14" s="5">
        <f>IF(MVTOCT24!I14+L14&gt;700000,(MVTOCT24!I14-E14+L14),0)</f>
        <v>1509425.9823482623</v>
      </c>
      <c r="H14" s="36">
        <f t="shared" si="0"/>
        <v>0</v>
      </c>
      <c r="I14" s="6">
        <f t="shared" si="2"/>
        <v>1509425.9823482623</v>
      </c>
      <c r="J14" s="36">
        <f>VLOOKUP($A14,[24]HISTONOV24!$A$6:$AQ$42,22,0)</f>
        <v>0</v>
      </c>
      <c r="K14" s="36">
        <f>VLOOKUP($A14,[24]HISTONOV24!$A$6:$AU$38,45,0)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VLOOKUP($A14,[24]HISTONOV24!$A$6:$AU$38,7,0)</f>
        <v>0</v>
      </c>
      <c r="Q14" s="36">
        <f>VLOOKUP($A14,[24]HISTONOV24!$A$6:$AU$38,23,0)</f>
        <v>0</v>
      </c>
      <c r="R14" s="36">
        <f>VLOOKUP($A14,[24]HISTONOV24!$A$6:$AU$38,46,0)</f>
        <v>0</v>
      </c>
      <c r="S14" s="36">
        <f>VLOOKUP($A14,[24]HISTONOV24!$A$6:$AU$38,26,0)</f>
        <v>0</v>
      </c>
      <c r="T14" s="36">
        <f>VLOOKUP($A14,[24]HISTONOV24!$A$6:$BG$38,58,0)</f>
        <v>0</v>
      </c>
      <c r="U14" s="36">
        <f>VLOOKUP($A14,[24]HISTONOV24!$A$6:$AU$38,28,0)</f>
        <v>0</v>
      </c>
      <c r="V14" s="36">
        <f>VLOOKUP($A14,[24]HISTONOV24!$A$6:$AU$38,19,0)</f>
        <v>0</v>
      </c>
      <c r="W14" s="36">
        <f>VLOOKUP($A14,[24]HISTONOV24!$A$6:$AU$38,20,0)</f>
        <v>0</v>
      </c>
      <c r="X14" s="36">
        <f>VLOOKUP($A14,[24]HISTONOV24!$A$6:$AU$38,27,0)</f>
        <v>0</v>
      </c>
      <c r="Y14" s="36">
        <f>VLOOKUP($A14,[24]HISTONOV24!$A$6:$BM$38,33,0)</f>
        <v>0</v>
      </c>
      <c r="Z14" s="36">
        <f>VLOOKUP($A14,[24]HISTONOV24!$A$6:$BM$38,65,0)</f>
        <v>0</v>
      </c>
      <c r="AA14" s="36"/>
      <c r="AB14" s="36">
        <f>VLOOKUP($A14,[24]HISTONOV24!$A$6:$AU$38,43,0)</f>
        <v>0</v>
      </c>
      <c r="AC14" s="36">
        <f>VLOOKUP($A14,[24]HISTONOV24!$A$6:$AU$38,44,0)</f>
        <v>0</v>
      </c>
      <c r="AD14" s="36">
        <f>VLOOKUP($A14,[24]HISTONOV24!$A$6:$AU$38,47,0)</f>
        <v>0</v>
      </c>
      <c r="AE14" s="36">
        <f>VLOOKUP(A14,[24]HISTONOV24!$A$6:$BB$38,54,0)</f>
        <v>0</v>
      </c>
      <c r="AF14" s="36">
        <f>VLOOKUP($A14,[24]HISTONOV24!$A$6:$CA$38,60,0)</f>
        <v>0</v>
      </c>
      <c r="AG14" s="36">
        <f>VLOOKUP($A14,[24]HISTONOV24!$A$6:$CA$38,61,0)</f>
        <v>0</v>
      </c>
      <c r="AH14" s="36">
        <f>VLOOKUP($A14,[24]HISTONOV24!$A$6:$CA$38,62,0)</f>
        <v>0</v>
      </c>
      <c r="AI14" s="36">
        <f>VLOOKUP($A14,[24]HISTONOV24!$A$6:$CA$38,63,0)</f>
        <v>0</v>
      </c>
      <c r="AJ14" s="36">
        <f>VLOOKUP($A14,[24]HISTONOV24!$A$6:$CA$38,64,0)</f>
        <v>0</v>
      </c>
      <c r="AK14" s="36">
        <f>VLOOKUP($A14,[24]HISTONOV24!$A$6:$CA$38,65,0)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VLOOKUP($A15,[24]HISTONOV24!$A$6:$BA$38,48,0)</f>
        <v>0</v>
      </c>
      <c r="F15" s="36">
        <f>MVTOCT24!I15-E15+L15</f>
        <v>1018309.6215381094</v>
      </c>
      <c r="G15" s="5">
        <f>IF(MVTOCT24!I15+L15&gt;700000,(MVTOCT24!I15-E15+L15),0)</f>
        <v>1018309.6215381094</v>
      </c>
      <c r="H15" s="36">
        <f t="shared" si="0"/>
        <v>0</v>
      </c>
      <c r="I15" s="6">
        <f t="shared" si="2"/>
        <v>1018309.6215381094</v>
      </c>
      <c r="J15" s="36">
        <f>VLOOKUP($A15,[24]HISTONOV24!$A$6:$AQ$42,22,0)</f>
        <v>0</v>
      </c>
      <c r="K15" s="36">
        <f>VLOOKUP($A15,[24]HISTONOV24!$A$6:$AU$38,45,0)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VLOOKUP($A15,[24]HISTONOV24!$A$6:$AU$38,7,0)</f>
        <v>0</v>
      </c>
      <c r="Q15" s="36">
        <f>VLOOKUP($A15,[24]HISTONOV24!$A$6:$AU$38,23,0)</f>
        <v>0</v>
      </c>
      <c r="R15" s="36">
        <f>VLOOKUP($A15,[24]HISTONOV24!$A$6:$AU$38,46,0)</f>
        <v>0</v>
      </c>
      <c r="S15" s="36">
        <f>VLOOKUP($A15,[24]HISTONOV24!$A$6:$AU$38,26,0)</f>
        <v>0</v>
      </c>
      <c r="T15" s="36">
        <f>VLOOKUP($A15,[24]HISTONOV24!$A$6:$BG$38,58,0)</f>
        <v>0</v>
      </c>
      <c r="U15" s="36">
        <f>VLOOKUP($A15,[24]HISTONOV24!$A$6:$AU$38,28,0)</f>
        <v>0</v>
      </c>
      <c r="V15" s="36">
        <f>VLOOKUP($A15,[24]HISTONOV24!$A$6:$AU$38,19,0)</f>
        <v>0</v>
      </c>
      <c r="W15" s="36">
        <f>VLOOKUP($A15,[24]HISTONOV24!$A$6:$AU$38,20,0)</f>
        <v>0</v>
      </c>
      <c r="X15" s="36">
        <f>VLOOKUP($A15,[24]HISTONOV24!$A$6:$AU$38,27,0)</f>
        <v>0</v>
      </c>
      <c r="Y15" s="36">
        <f>VLOOKUP($A15,[24]HISTONOV24!$A$6:$BM$38,33,0)</f>
        <v>0</v>
      </c>
      <c r="Z15" s="36">
        <f>VLOOKUP($A15,[24]HISTONOV24!$A$6:$BM$38,65,0)</f>
        <v>0</v>
      </c>
      <c r="AA15" s="36"/>
      <c r="AB15" s="36">
        <f>VLOOKUP($A15,[24]HISTONOV24!$A$6:$AU$38,43,0)</f>
        <v>0</v>
      </c>
      <c r="AC15" s="36">
        <f>VLOOKUP($A15,[24]HISTONOV24!$A$6:$AU$38,44,0)</f>
        <v>0</v>
      </c>
      <c r="AD15" s="36">
        <f>VLOOKUP($A15,[24]HISTONOV24!$A$6:$AU$38,47,0)</f>
        <v>0</v>
      </c>
      <c r="AE15" s="36">
        <f>VLOOKUP(A15,[24]HISTONOV24!$A$6:$BB$38,54,0)</f>
        <v>0</v>
      </c>
      <c r="AF15" s="36">
        <f>VLOOKUP($A15,[24]HISTONOV24!$A$6:$CA$38,60,0)</f>
        <v>0</v>
      </c>
      <c r="AG15" s="36">
        <f>VLOOKUP($A15,[24]HISTONOV24!$A$6:$CA$38,61,0)</f>
        <v>0</v>
      </c>
      <c r="AH15" s="36">
        <f>VLOOKUP($A15,[24]HISTONOV24!$A$6:$CA$38,62,0)</f>
        <v>0</v>
      </c>
      <c r="AI15" s="36">
        <f>VLOOKUP($A15,[24]HISTONOV24!$A$6:$CA$38,63,0)</f>
        <v>0</v>
      </c>
      <c r="AJ15" s="36">
        <f>VLOOKUP($A15,[24]HISTONOV24!$A$6:$CA$38,64,0)</f>
        <v>0</v>
      </c>
      <c r="AK15" s="36">
        <f>VLOOKUP($A15,[24]HISTONOV24!$A$6:$CA$38,65,0)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VLOOKUP($A16,[24]HISTONOV24!$A$6:$BA$38,48,0)</f>
        <v>0</v>
      </c>
      <c r="F16" s="36">
        <f>MVTOCT24!I16-E16+L16</f>
        <v>1128858.7065070483</v>
      </c>
      <c r="G16" s="5">
        <f>IF(MVTOCT24!I16+L16&gt;700000,(MVTOCT24!I16-E16+L16),0)</f>
        <v>1128858.7065070483</v>
      </c>
      <c r="H16" s="36">
        <f t="shared" si="0"/>
        <v>0</v>
      </c>
      <c r="I16" s="6">
        <f t="shared" si="2"/>
        <v>1128858.7065070483</v>
      </c>
      <c r="J16" s="36">
        <f>VLOOKUP($A16,[24]HISTONOV24!$A$6:$AQ$42,22,0)</f>
        <v>0</v>
      </c>
      <c r="K16" s="36">
        <f>VLOOKUP($A16,[24]HISTONOV24!$A$6:$AU$38,45,0)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VLOOKUP($A16,[24]HISTONOV24!$A$6:$AU$38,7,0)</f>
        <v>0</v>
      </c>
      <c r="Q16" s="36">
        <f>VLOOKUP($A16,[24]HISTONOV24!$A$6:$AU$38,23,0)</f>
        <v>0</v>
      </c>
      <c r="R16" s="36">
        <f>VLOOKUP($A16,[24]HISTONOV24!$A$6:$AU$38,46,0)</f>
        <v>0</v>
      </c>
      <c r="S16" s="36">
        <f>VLOOKUP($A16,[24]HISTONOV24!$A$6:$AU$38,26,0)</f>
        <v>0</v>
      </c>
      <c r="T16" s="36">
        <f>VLOOKUP($A16,[24]HISTONOV24!$A$6:$BG$38,58,0)</f>
        <v>0</v>
      </c>
      <c r="U16" s="36">
        <f>VLOOKUP($A16,[24]HISTONOV24!$A$6:$AU$38,28,0)</f>
        <v>0</v>
      </c>
      <c r="V16" s="36">
        <f>VLOOKUP($A16,[24]HISTONOV24!$A$6:$AU$38,19,0)</f>
        <v>0</v>
      </c>
      <c r="W16" s="36">
        <f>VLOOKUP($A16,[24]HISTONOV24!$A$6:$AU$38,20,0)</f>
        <v>0</v>
      </c>
      <c r="X16" s="36">
        <f>VLOOKUP($A16,[24]HISTONOV24!$A$6:$AU$38,27,0)</f>
        <v>0</v>
      </c>
      <c r="Y16" s="36">
        <f>VLOOKUP($A16,[24]HISTONOV24!$A$6:$BM$38,33,0)</f>
        <v>0</v>
      </c>
      <c r="Z16" s="36">
        <f>VLOOKUP($A16,[24]HISTONOV24!$A$6:$BM$38,65,0)</f>
        <v>0</v>
      </c>
      <c r="AA16" s="36"/>
      <c r="AB16" s="36">
        <f>VLOOKUP($A16,[24]HISTONOV24!$A$6:$AU$38,43,0)</f>
        <v>0</v>
      </c>
      <c r="AC16" s="36">
        <f>VLOOKUP($A16,[24]HISTONOV24!$A$6:$AU$38,44,0)</f>
        <v>0</v>
      </c>
      <c r="AD16" s="36">
        <f>VLOOKUP($A16,[24]HISTONOV24!$A$6:$AU$38,47,0)</f>
        <v>0</v>
      </c>
      <c r="AE16" s="36">
        <f>VLOOKUP(A16,[24]HISTONOV24!$A$6:$BB$38,54,0)</f>
        <v>0</v>
      </c>
      <c r="AF16" s="36">
        <f>VLOOKUP($A16,[24]HISTONOV24!$A$6:$CA$38,60,0)</f>
        <v>0</v>
      </c>
      <c r="AG16" s="36">
        <f>VLOOKUP($A16,[24]HISTONOV24!$A$6:$CA$38,61,0)</f>
        <v>0</v>
      </c>
      <c r="AH16" s="36">
        <f>VLOOKUP($A16,[24]HISTONOV24!$A$6:$CA$38,62,0)</f>
        <v>0</v>
      </c>
      <c r="AI16" s="36">
        <f>VLOOKUP($A16,[24]HISTONOV24!$A$6:$CA$38,63,0)</f>
        <v>0</v>
      </c>
      <c r="AJ16" s="36">
        <f>VLOOKUP($A16,[24]HISTONOV24!$A$6:$CA$38,64,0)</f>
        <v>0</v>
      </c>
      <c r="AK16" s="36">
        <f>VLOOKUP($A16,[24]HISTONOV24!$A$6:$CA$38,65,0)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VLOOKUP($A17,[24]HISTONOV24!$A$6:$BA$38,48,0)</f>
        <v>0</v>
      </c>
      <c r="F17" s="36">
        <f>MVTOCT24!I17-E17+L17</f>
        <v>966402.7005255461</v>
      </c>
      <c r="G17" s="5">
        <f>IF(MVTOCT24!I17+L17&gt;700000,(MVTOCT24!I17-E17+L17),0)</f>
        <v>966402.7005255461</v>
      </c>
      <c r="H17" s="36">
        <f t="shared" si="0"/>
        <v>0</v>
      </c>
      <c r="I17" s="6">
        <f t="shared" si="2"/>
        <v>966402.7005255461</v>
      </c>
      <c r="J17" s="36">
        <f>VLOOKUP($A17,[24]HISTONOV24!$A$6:$AQ$42,22,0)</f>
        <v>0</v>
      </c>
      <c r="K17" s="36">
        <f>VLOOKUP($A17,[24]HISTONOV24!$A$6:$AU$38,45,0)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VLOOKUP($A17,[24]HISTONOV24!$A$6:$AU$38,7,0)</f>
        <v>0</v>
      </c>
      <c r="Q17" s="36">
        <f>VLOOKUP($A17,[24]HISTONOV24!$A$6:$AU$38,23,0)</f>
        <v>0</v>
      </c>
      <c r="R17" s="36">
        <f>VLOOKUP($A17,[24]HISTONOV24!$A$6:$AU$38,46,0)</f>
        <v>0</v>
      </c>
      <c r="S17" s="36">
        <f>VLOOKUP($A17,[24]HISTONOV24!$A$6:$AU$38,26,0)</f>
        <v>0</v>
      </c>
      <c r="T17" s="36">
        <f>VLOOKUP($A17,[24]HISTONOV24!$A$6:$BG$38,58,0)</f>
        <v>0</v>
      </c>
      <c r="U17" s="36">
        <f>VLOOKUP($A17,[24]HISTONOV24!$A$6:$AU$38,28,0)</f>
        <v>0</v>
      </c>
      <c r="V17" s="36">
        <f>VLOOKUP($A17,[24]HISTONOV24!$A$6:$AU$38,19,0)</f>
        <v>0</v>
      </c>
      <c r="W17" s="36">
        <f>VLOOKUP($A17,[24]HISTONOV24!$A$6:$AU$38,20,0)</f>
        <v>0</v>
      </c>
      <c r="X17" s="36">
        <f>VLOOKUP($A17,[24]HISTONOV24!$A$6:$AU$38,27,0)</f>
        <v>0</v>
      </c>
      <c r="Y17" s="36">
        <f>VLOOKUP($A17,[24]HISTONOV24!$A$6:$BM$38,33,0)</f>
        <v>0</v>
      </c>
      <c r="Z17" s="36">
        <f>VLOOKUP($A17,[24]HISTONOV24!$A$6:$BM$38,65,0)</f>
        <v>0</v>
      </c>
      <c r="AA17" s="36"/>
      <c r="AB17" s="36">
        <f>VLOOKUP($A17,[24]HISTONOV24!$A$6:$AU$38,43,0)</f>
        <v>0</v>
      </c>
      <c r="AC17" s="36">
        <f>VLOOKUP($A17,[24]HISTONOV24!$A$6:$AU$38,44,0)</f>
        <v>0</v>
      </c>
      <c r="AD17" s="36">
        <f>VLOOKUP($A17,[24]HISTONOV24!$A$6:$AU$38,47,0)</f>
        <v>0</v>
      </c>
      <c r="AE17" s="36">
        <f>VLOOKUP(A17,[24]HISTONOV24!$A$6:$BB$38,54,0)</f>
        <v>0</v>
      </c>
      <c r="AF17" s="36">
        <f>VLOOKUP($A17,[24]HISTONOV24!$A$6:$CA$38,60,0)</f>
        <v>0</v>
      </c>
      <c r="AG17" s="36">
        <f>VLOOKUP($A17,[24]HISTONOV24!$A$6:$CA$38,61,0)</f>
        <v>0</v>
      </c>
      <c r="AH17" s="36">
        <f>VLOOKUP($A17,[24]HISTONOV24!$A$6:$CA$38,62,0)</f>
        <v>0</v>
      </c>
      <c r="AI17" s="36">
        <f>VLOOKUP($A17,[24]HISTONOV24!$A$6:$CA$38,63,0)</f>
        <v>0</v>
      </c>
      <c r="AJ17" s="36">
        <f>VLOOKUP($A17,[24]HISTONOV24!$A$6:$CA$38,64,0)</f>
        <v>0</v>
      </c>
      <c r="AK17" s="36">
        <f>VLOOKUP($A17,[24]HISTONOV24!$A$6:$CA$38,65,0)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VLOOKUP($A18,[24]HISTONOV24!$A$6:$BA$38,48,0)</f>
        <v>0</v>
      </c>
      <c r="F18" s="36">
        <f>MVTOCT24!I18-E18+L18</f>
        <v>1012662.7641973695</v>
      </c>
      <c r="G18" s="5">
        <f>IF(MVTOCT24!I18+L18&gt;700000,(MVTOCT24!I18-E18+L18),0)</f>
        <v>1012662.7641973695</v>
      </c>
      <c r="H18" s="36">
        <f t="shared" si="0"/>
        <v>0</v>
      </c>
      <c r="I18" s="6">
        <f t="shared" si="2"/>
        <v>1012662.7641973695</v>
      </c>
      <c r="J18" s="36">
        <f>VLOOKUP($A18,[24]HISTONOV24!$A$6:$AQ$42,22,0)</f>
        <v>0</v>
      </c>
      <c r="K18" s="36">
        <f>VLOOKUP($A18,[24]HISTONOV24!$A$6:$AU$38,45,0)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VLOOKUP($A18,[24]HISTONOV24!$A$6:$AU$38,7,0)</f>
        <v>0</v>
      </c>
      <c r="Q18" s="36">
        <f>VLOOKUP($A18,[24]HISTONOV24!$A$6:$AU$38,23,0)</f>
        <v>0</v>
      </c>
      <c r="R18" s="36">
        <f>VLOOKUP($A18,[24]HISTONOV24!$A$6:$AU$38,46,0)</f>
        <v>0</v>
      </c>
      <c r="S18" s="36">
        <f>VLOOKUP($A18,[24]HISTONOV24!$A$6:$AU$38,26,0)</f>
        <v>0</v>
      </c>
      <c r="T18" s="36">
        <f>VLOOKUP($A18,[24]HISTONOV24!$A$6:$BG$38,58,0)</f>
        <v>0</v>
      </c>
      <c r="U18" s="36">
        <f>VLOOKUP($A18,[24]HISTONOV24!$A$6:$AU$38,28,0)</f>
        <v>0</v>
      </c>
      <c r="V18" s="36">
        <f>VLOOKUP($A18,[24]HISTONOV24!$A$6:$AU$38,19,0)</f>
        <v>0</v>
      </c>
      <c r="W18" s="36">
        <f>VLOOKUP($A18,[24]HISTONOV24!$A$6:$AU$38,20,0)</f>
        <v>0</v>
      </c>
      <c r="X18" s="36">
        <f>VLOOKUP($A18,[24]HISTONOV24!$A$6:$AU$38,27,0)</f>
        <v>0</v>
      </c>
      <c r="Y18" s="36">
        <f>VLOOKUP($A18,[24]HISTONOV24!$A$6:$BM$38,33,0)</f>
        <v>0</v>
      </c>
      <c r="Z18" s="36">
        <f>VLOOKUP($A18,[24]HISTONOV24!$A$6:$BM$38,65,0)</f>
        <v>0</v>
      </c>
      <c r="AA18" s="36"/>
      <c r="AB18" s="36">
        <f>VLOOKUP($A18,[24]HISTONOV24!$A$6:$AU$38,43,0)</f>
        <v>0</v>
      </c>
      <c r="AC18" s="36">
        <f>VLOOKUP($A18,[24]HISTONOV24!$A$6:$AU$38,44,0)</f>
        <v>0</v>
      </c>
      <c r="AD18" s="36">
        <f>VLOOKUP($A18,[24]HISTONOV24!$A$6:$AU$38,47,0)</f>
        <v>0</v>
      </c>
      <c r="AE18" s="36">
        <f>VLOOKUP(A18,[24]HISTONOV24!$A$6:$BB$38,54,0)</f>
        <v>0</v>
      </c>
      <c r="AF18" s="36">
        <f>VLOOKUP($A18,[24]HISTONOV24!$A$6:$CA$38,60,0)</f>
        <v>0</v>
      </c>
      <c r="AG18" s="36">
        <f>VLOOKUP($A18,[24]HISTONOV24!$A$6:$CA$38,61,0)</f>
        <v>0</v>
      </c>
      <c r="AH18" s="36">
        <f>VLOOKUP($A18,[24]HISTONOV24!$A$6:$CA$38,62,0)</f>
        <v>0</v>
      </c>
      <c r="AI18" s="36">
        <f>VLOOKUP($A18,[24]HISTONOV24!$A$6:$CA$38,63,0)</f>
        <v>0</v>
      </c>
      <c r="AJ18" s="36">
        <f>VLOOKUP($A18,[24]HISTONOV24!$A$6:$CA$38,64,0)</f>
        <v>0</v>
      </c>
      <c r="AK18" s="36">
        <f>VLOOKUP($A18,[24]HISTONOV24!$A$6:$CA$38,65,0)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676217.13072703336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VLOOKUP($A20,[24]HISTONOV24!$A$6:$AQ$42,22,0)</f>
        <v>0</v>
      </c>
      <c r="K20" s="36">
        <f>VLOOKUP($A20,[24]HISTONOV24!$A$6:$AU$38,45,0)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VLOOKUP($A20,[24]HISTONOV24!$A$6:$AU$38,7,0)</f>
        <v>0</v>
      </c>
      <c r="Q20" s="36">
        <f>VLOOKUP($A20,[24]HISTONOV24!$A$6:$AU$38,23,0)</f>
        <v>0</v>
      </c>
      <c r="R20" s="36">
        <f>VLOOKUP($A20,[24]HISTONOV24!$A$6:$AU$38,46,0)</f>
        <v>0</v>
      </c>
      <c r="S20" s="36">
        <f>VLOOKUP($A20,[24]HISTONOV24!$A$6:$AU$38,26,0)</f>
        <v>0</v>
      </c>
      <c r="T20" s="36">
        <f>VLOOKUP($A20,[24]HISTONOV24!$A$6:$BG$38,58,0)</f>
        <v>0</v>
      </c>
      <c r="U20" s="36">
        <f>VLOOKUP($A20,[24]HISTONOV24!$A$6:$AU$38,28,0)</f>
        <v>0</v>
      </c>
      <c r="V20" s="36">
        <f>VLOOKUP($A20,[24]HISTONOV24!$A$6:$AU$38,19,0)</f>
        <v>0</v>
      </c>
      <c r="W20" s="36">
        <f>VLOOKUP($A20,[24]HISTONOV24!$A$6:$AU$38,20,0)</f>
        <v>0</v>
      </c>
      <c r="X20" s="36">
        <f>VLOOKUP($A20,[24]HISTONOV24!$A$6:$AU$38,27,0)</f>
        <v>0</v>
      </c>
      <c r="Y20" s="36">
        <f>VLOOKUP($A20,[24]HISTONOV24!$A$6:$BM$38,33,0)</f>
        <v>0</v>
      </c>
      <c r="Z20" s="36">
        <f>VLOOKUP($A20,[24]HISTONOV24!$A$6:$BM$38,65,0)</f>
        <v>0</v>
      </c>
      <c r="AA20" s="36"/>
      <c r="AB20" s="36">
        <f>VLOOKUP($A20,[24]HISTONOV24!$A$6:$AU$38,43,0)</f>
        <v>0</v>
      </c>
      <c r="AC20" s="36">
        <f>VLOOKUP($A20,[24]HISTONOV24!$A$6:$AU$38,44,0)</f>
        <v>0</v>
      </c>
      <c r="AD20" s="36">
        <f>VLOOKUP($A20,[24]HISTONOV24!$A$6:$AU$38,47,0)</f>
        <v>0</v>
      </c>
      <c r="AE20" s="36">
        <f>VLOOKUP(A20,[24]HISTONOV24!$A$6:$BB$38,54,0)</f>
        <v>0</v>
      </c>
      <c r="AF20" s="36">
        <f>VLOOKUP($A20,[24]HISTONOV24!$A$6:$CA$38,60,0)</f>
        <v>0</v>
      </c>
      <c r="AG20" s="36">
        <f>VLOOKUP($A20,[24]HISTONOV24!$A$6:$CA$38,61,0)</f>
        <v>0</v>
      </c>
      <c r="AH20" s="36">
        <f>VLOOKUP($A20,[24]HISTONOV24!$A$6:$CA$38,62,0)</f>
        <v>0</v>
      </c>
      <c r="AI20" s="36">
        <f>VLOOKUP($A20,[24]HISTONOV24!$A$6:$CA$38,63,0)</f>
        <v>0</v>
      </c>
      <c r="AJ20" s="36">
        <f>VLOOKUP($A20,[24]HISTONOV24!$A$6:$CA$38,64,0)</f>
        <v>0</v>
      </c>
      <c r="AK20" s="36">
        <f>VLOOKUP($A20,[24]HISTONOV24!$A$6:$CA$38,65,0)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MVTOCT24!I21-E21+L21</f>
        <v>989355.80062958295</v>
      </c>
      <c r="G21" s="5">
        <f>IF(MVTOCT24!I21+L21&gt;700000,(MVTOCT24!I21-E21+L21),0)</f>
        <v>989355.80062958295</v>
      </c>
      <c r="H21" s="36">
        <f t="shared" si="0"/>
        <v>0</v>
      </c>
      <c r="I21" s="6">
        <f t="shared" si="2"/>
        <v>989355.80062958295</v>
      </c>
      <c r="J21" s="36">
        <f>VLOOKUP($A21,[24]HISTONOV24!$A$6:$AQ$42,22,0)</f>
        <v>0</v>
      </c>
      <c r="K21" s="36">
        <f>VLOOKUP($A21,[24]HISTONOV24!$A$6:$AU$38,45,0)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VLOOKUP($A21,[24]HISTONOV24!$A$6:$AU$38,7,0)</f>
        <v>0</v>
      </c>
      <c r="Q21" s="36">
        <f>VLOOKUP($A21,[24]HISTONOV24!$A$6:$AU$38,23,0)</f>
        <v>0</v>
      </c>
      <c r="R21" s="36">
        <f>VLOOKUP($A21,[24]HISTONOV24!$A$6:$AU$38,46,0)</f>
        <v>0</v>
      </c>
      <c r="S21" s="36">
        <f>VLOOKUP($A21,[24]HISTONOV24!$A$6:$AU$38,26,0)</f>
        <v>0</v>
      </c>
      <c r="T21" s="36">
        <f>VLOOKUP($A21,[24]HISTONOV24!$A$6:$BG$38,58,0)</f>
        <v>0</v>
      </c>
      <c r="U21" s="36">
        <f>VLOOKUP($A21,[24]HISTONOV24!$A$6:$AU$38,28,0)</f>
        <v>0</v>
      </c>
      <c r="V21" s="36">
        <f>VLOOKUP($A21,[24]HISTONOV24!$A$6:$AU$38,19,0)</f>
        <v>0</v>
      </c>
      <c r="W21" s="36">
        <f>VLOOKUP($A21,[24]HISTONOV24!$A$6:$AU$38,20,0)</f>
        <v>0</v>
      </c>
      <c r="X21" s="36">
        <f>VLOOKUP($A21,[24]HISTONOV24!$A$6:$AU$38,27,0)</f>
        <v>0</v>
      </c>
      <c r="Y21" s="36">
        <f>VLOOKUP($A21,[24]HISTONOV24!$A$6:$BM$38,33,0)</f>
        <v>0</v>
      </c>
      <c r="Z21" s="36">
        <f>VLOOKUP($A21,[24]HISTONOV24!$A$6:$BM$38,65,0)</f>
        <v>0</v>
      </c>
      <c r="AA21" s="36"/>
      <c r="AB21" s="36">
        <f>VLOOKUP($A21,[24]HISTONOV24!$A$6:$AU$38,43,0)</f>
        <v>0</v>
      </c>
      <c r="AC21" s="36">
        <f>VLOOKUP($A21,[24]HISTONOV24!$A$6:$AU$38,44,0)</f>
        <v>0</v>
      </c>
      <c r="AD21" s="36">
        <f>VLOOKUP($A21,[24]HISTONOV24!$A$6:$AU$38,47,0)</f>
        <v>0</v>
      </c>
      <c r="AE21" s="36">
        <f>VLOOKUP(A21,[24]HISTONOV24!$A$6:$BB$38,54,0)</f>
        <v>0</v>
      </c>
      <c r="AF21" s="36">
        <f>VLOOKUP($A21,[24]HISTONOV24!$A$6:$CA$38,60,0)</f>
        <v>0</v>
      </c>
      <c r="AG21" s="36">
        <f>VLOOKUP($A21,[24]HISTONOV24!$A$6:$CA$38,61,0)</f>
        <v>0</v>
      </c>
      <c r="AH21" s="36">
        <f>VLOOKUP($A21,[24]HISTONOV24!$A$6:$CA$38,62,0)</f>
        <v>0</v>
      </c>
      <c r="AI21" s="36">
        <f>VLOOKUP($A21,[24]HISTONOV24!$A$6:$CA$38,63,0)</f>
        <v>0</v>
      </c>
      <c r="AJ21" s="36">
        <f>VLOOKUP($A21,[24]HISTONOV24!$A$6:$CA$38,64,0)</f>
        <v>0</v>
      </c>
      <c r="AK21" s="36">
        <f>VLOOKUP($A21,[24]HISTONOV24!$A$6:$CA$38,65,0)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MVTOCT24!I22-E22+L22</f>
        <v>957738.95952735876</v>
      </c>
      <c r="G22" s="5">
        <f>IF(MVTOCT24!I22+L22&gt;700000,(MVTOCT24!I22-E22+L22),0)</f>
        <v>957738.95952735876</v>
      </c>
      <c r="H22" s="36">
        <f t="shared" si="0"/>
        <v>0</v>
      </c>
      <c r="I22" s="6">
        <f t="shared" si="2"/>
        <v>957738.95952735876</v>
      </c>
      <c r="J22" s="36">
        <f>VLOOKUP($A22,[24]HISTONOV24!$A$6:$AQ$42,22,0)</f>
        <v>0</v>
      </c>
      <c r="K22" s="36">
        <f>VLOOKUP($A22,[24]HISTONOV24!$A$6:$AU$38,45,0)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VLOOKUP($A22,[24]HISTONOV24!$A$6:$AU$38,7,0)</f>
        <v>0</v>
      </c>
      <c r="Q22" s="36">
        <f>VLOOKUP($A22,[24]HISTONOV24!$A$6:$AU$38,23,0)</f>
        <v>0</v>
      </c>
      <c r="R22" s="36">
        <f>VLOOKUP($A22,[24]HISTONOV24!$A$6:$AU$38,46,0)</f>
        <v>0</v>
      </c>
      <c r="S22" s="36">
        <f>VLOOKUP($A22,[24]HISTONOV24!$A$6:$AU$38,26,0)</f>
        <v>0</v>
      </c>
      <c r="T22" s="36">
        <f>VLOOKUP($A22,[24]HISTONOV24!$A$6:$BG$38,58,0)</f>
        <v>0</v>
      </c>
      <c r="U22" s="36">
        <f>VLOOKUP($A22,[24]HISTONOV24!$A$6:$AU$38,28,0)</f>
        <v>0</v>
      </c>
      <c r="V22" s="36">
        <f>VLOOKUP($A22,[24]HISTONOV24!$A$6:$AU$38,19,0)</f>
        <v>0</v>
      </c>
      <c r="W22" s="36">
        <f>VLOOKUP($A22,[24]HISTONOV24!$A$6:$AU$38,20,0)</f>
        <v>0</v>
      </c>
      <c r="X22" s="36">
        <f>VLOOKUP($A22,[24]HISTONOV24!$A$6:$AU$38,27,0)</f>
        <v>0</v>
      </c>
      <c r="Y22" s="36">
        <f>VLOOKUP($A22,[24]HISTONOV24!$A$6:$BM$38,33,0)</f>
        <v>0</v>
      </c>
      <c r="Z22" s="36">
        <f>VLOOKUP($A22,[24]HISTONOV24!$A$6:$BM$38,65,0)</f>
        <v>0</v>
      </c>
      <c r="AA22" s="36"/>
      <c r="AB22" s="36">
        <f>VLOOKUP($A22,[24]HISTONOV24!$A$6:$AU$38,43,0)</f>
        <v>0</v>
      </c>
      <c r="AC22" s="36">
        <f>VLOOKUP($A22,[24]HISTONOV24!$A$6:$AU$38,44,0)</f>
        <v>0</v>
      </c>
      <c r="AD22" s="36">
        <f>VLOOKUP($A22,[24]HISTONOV24!$A$6:$AU$38,47,0)</f>
        <v>0</v>
      </c>
      <c r="AE22" s="36">
        <f>VLOOKUP(A22,[24]HISTONOV24!$A$6:$BB$38,54,0)</f>
        <v>0</v>
      </c>
      <c r="AF22" s="36">
        <f>VLOOKUP($A22,[24]HISTONOV24!$A$6:$CA$38,60,0)</f>
        <v>0</v>
      </c>
      <c r="AG22" s="36">
        <f>VLOOKUP($A22,[24]HISTONOV24!$A$6:$CA$38,61,0)</f>
        <v>0</v>
      </c>
      <c r="AH22" s="36">
        <f>VLOOKUP($A22,[24]HISTONOV24!$A$6:$CA$38,62,0)</f>
        <v>0</v>
      </c>
      <c r="AI22" s="36">
        <f>VLOOKUP($A22,[24]HISTONOV24!$A$6:$CA$38,63,0)</f>
        <v>0</v>
      </c>
      <c r="AJ22" s="36">
        <f>VLOOKUP($A22,[24]HISTONOV24!$A$6:$CA$38,64,0)</f>
        <v>0</v>
      </c>
      <c r="AK22" s="36">
        <f>VLOOKUP($A22,[24]HISTONOV24!$A$6:$CA$38,65,0)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MVTOCT24!I23-E23+L23</f>
        <v>1063674.3246731949</v>
      </c>
      <c r="G23" s="5">
        <f>IF(MVTOCT24!I23+L23&gt;700000,(MVTOCT24!I23-E23+L23),0)</f>
        <v>1063674.3246731949</v>
      </c>
      <c r="H23" s="36">
        <f t="shared" si="0"/>
        <v>0</v>
      </c>
      <c r="I23" s="6">
        <f t="shared" si="2"/>
        <v>1063674.3246731949</v>
      </c>
      <c r="J23" s="36">
        <f>VLOOKUP($A23,[24]HISTONOV24!$A$6:$AQ$42,22,0)</f>
        <v>0</v>
      </c>
      <c r="K23" s="36">
        <f>VLOOKUP($A23,[24]HISTONOV24!$A$6:$AU$38,45,0)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VLOOKUP($A23,[24]HISTONOV24!$A$6:$AU$38,7,0)</f>
        <v>0</v>
      </c>
      <c r="Q23" s="36">
        <f>VLOOKUP($A23,[24]HISTONOV24!$A$6:$AU$38,23,0)</f>
        <v>0</v>
      </c>
      <c r="R23" s="36">
        <f>VLOOKUP($A23,[24]HISTONOV24!$A$6:$AU$38,46,0)</f>
        <v>0</v>
      </c>
      <c r="S23" s="36">
        <f>VLOOKUP($A23,[24]HISTONOV24!$A$6:$AU$38,26,0)</f>
        <v>0</v>
      </c>
      <c r="T23" s="36">
        <f>VLOOKUP($A23,[24]HISTONOV24!$A$6:$BG$38,58,0)</f>
        <v>0</v>
      </c>
      <c r="U23" s="36">
        <f>VLOOKUP($A23,[24]HISTONOV24!$A$6:$AU$38,28,0)</f>
        <v>0</v>
      </c>
      <c r="V23" s="36">
        <f>VLOOKUP($A23,[24]HISTONOV24!$A$6:$AU$38,19,0)</f>
        <v>0</v>
      </c>
      <c r="W23" s="36">
        <f>VLOOKUP($A23,[24]HISTONOV24!$A$6:$AU$38,20,0)</f>
        <v>0</v>
      </c>
      <c r="X23" s="36">
        <f>VLOOKUP($A23,[24]HISTONOV24!$A$6:$AU$38,27,0)</f>
        <v>0</v>
      </c>
      <c r="Y23" s="36">
        <f>VLOOKUP($A23,[24]HISTONOV24!$A$6:$BM$38,33,0)</f>
        <v>0</v>
      </c>
      <c r="Z23" s="36">
        <f>VLOOKUP($A23,[24]HISTONOV24!$A$6:$BM$38,65,0)</f>
        <v>0</v>
      </c>
      <c r="AA23" s="36"/>
      <c r="AB23" s="36">
        <f>VLOOKUP($A23,[24]HISTONOV24!$A$6:$AU$38,43,0)</f>
        <v>0</v>
      </c>
      <c r="AC23" s="36">
        <f>VLOOKUP($A23,[24]HISTONOV24!$A$6:$AU$38,44,0)</f>
        <v>0</v>
      </c>
      <c r="AD23" s="36">
        <f>VLOOKUP($A23,[24]HISTONOV24!$A$6:$AU$38,47,0)</f>
        <v>0</v>
      </c>
      <c r="AE23" s="36">
        <f>VLOOKUP(A23,[24]HISTONOV24!$A$6:$BB$38,54,0)</f>
        <v>0</v>
      </c>
      <c r="AF23" s="36">
        <f>VLOOKUP($A23,[24]HISTONOV24!$A$6:$CA$38,60,0)</f>
        <v>0</v>
      </c>
      <c r="AG23" s="36">
        <f>VLOOKUP($A23,[24]HISTONOV24!$A$6:$CA$38,61,0)</f>
        <v>0</v>
      </c>
      <c r="AH23" s="36">
        <f>VLOOKUP($A23,[24]HISTONOV24!$A$6:$CA$38,62,0)</f>
        <v>0</v>
      </c>
      <c r="AI23" s="36">
        <f>VLOOKUP($A23,[24]HISTONOV24!$A$6:$CA$38,63,0)</f>
        <v>0</v>
      </c>
      <c r="AJ23" s="36">
        <f>VLOOKUP($A23,[24]HISTONOV24!$A$6:$CA$38,64,0)</f>
        <v>0</v>
      </c>
      <c r="AK23" s="36">
        <f>VLOOKUP($A23,[24]HISTONOV24!$A$6:$CA$38,65,0)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MVTOCT24!I24-E24+L24</f>
        <v>1236827.8441992993</v>
      </c>
      <c r="G24" s="5">
        <f>IF(MVTOCT24!I24+L24&gt;700000,(MVTOCT24!I24-E24+L24),0)</f>
        <v>1236827.8441992993</v>
      </c>
      <c r="H24" s="36">
        <f t="shared" si="0"/>
        <v>0</v>
      </c>
      <c r="I24" s="6">
        <f t="shared" si="2"/>
        <v>1236827.8441992993</v>
      </c>
      <c r="J24" s="36">
        <f>VLOOKUP($A24,[24]HISTONOV24!$A$6:$AQ$42,22,0)</f>
        <v>0</v>
      </c>
      <c r="K24" s="36">
        <f>VLOOKUP($A24,[24]HISTONOV24!$A$6:$AU$38,45,0)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VLOOKUP($A24,[24]HISTONOV24!$A$6:$AU$38,7,0)</f>
        <v>0</v>
      </c>
      <c r="Q24" s="36">
        <f>VLOOKUP($A24,[24]HISTONOV24!$A$6:$AU$38,23,0)</f>
        <v>0</v>
      </c>
      <c r="R24" s="36">
        <f>VLOOKUP($A24,[24]HISTONOV24!$A$6:$AU$38,46,0)</f>
        <v>0</v>
      </c>
      <c r="S24" s="36">
        <f>VLOOKUP($A24,[24]HISTONOV24!$A$6:$AU$38,26,0)</f>
        <v>0</v>
      </c>
      <c r="T24" s="36">
        <f>VLOOKUP($A24,[24]HISTONOV24!$A$6:$BG$38,58,0)</f>
        <v>0</v>
      </c>
      <c r="U24" s="36">
        <f>VLOOKUP($A24,[24]HISTONOV24!$A$6:$AU$38,28,0)</f>
        <v>0</v>
      </c>
      <c r="V24" s="36">
        <f>VLOOKUP($A24,[24]HISTONOV24!$A$6:$AU$38,19,0)</f>
        <v>0</v>
      </c>
      <c r="W24" s="36">
        <f>VLOOKUP($A24,[24]HISTONOV24!$A$6:$AU$38,20,0)</f>
        <v>0</v>
      </c>
      <c r="X24" s="36">
        <f>VLOOKUP($A24,[24]HISTONOV24!$A$6:$AU$38,27,0)</f>
        <v>0</v>
      </c>
      <c r="Y24" s="36">
        <f>VLOOKUP($A24,[24]HISTONOV24!$A$6:$BM$38,33,0)</f>
        <v>0</v>
      </c>
      <c r="Z24" s="36">
        <f>VLOOKUP($A24,[24]HISTONOV24!$A$6:$BM$38,65,0)</f>
        <v>0</v>
      </c>
      <c r="AA24" s="36"/>
      <c r="AB24" s="36">
        <f>VLOOKUP($A24,[24]HISTONOV24!$A$6:$AU$38,43,0)</f>
        <v>0</v>
      </c>
      <c r="AC24" s="36">
        <f>VLOOKUP($A24,[24]HISTONOV24!$A$6:$AU$38,44,0)</f>
        <v>0</v>
      </c>
      <c r="AD24" s="36">
        <f>VLOOKUP($A24,[24]HISTONOV24!$A$6:$AU$38,47,0)</f>
        <v>0</v>
      </c>
      <c r="AE24" s="36">
        <f>VLOOKUP(A24,[24]HISTONOV24!$A$6:$BB$38,54,0)</f>
        <v>0</v>
      </c>
      <c r="AF24" s="36">
        <f>VLOOKUP($A24,[24]HISTONOV24!$A$6:$CA$38,60,0)</f>
        <v>0</v>
      </c>
      <c r="AG24" s="36">
        <f>VLOOKUP($A24,[24]HISTONOV24!$A$6:$CA$38,61,0)</f>
        <v>0</v>
      </c>
      <c r="AH24" s="36">
        <f>VLOOKUP($A24,[24]HISTONOV24!$A$6:$CA$38,62,0)</f>
        <v>0</v>
      </c>
      <c r="AI24" s="36">
        <f>VLOOKUP($A24,[24]HISTONOV24!$A$6:$CA$38,63,0)</f>
        <v>0</v>
      </c>
      <c r="AJ24" s="36">
        <f>VLOOKUP($A24,[24]HISTONOV24!$A$6:$CA$38,64,0)</f>
        <v>0</v>
      </c>
      <c r="AK24" s="36">
        <f>VLOOKUP($A24,[24]HISTONOV24!$A$6:$CA$38,65,0)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MVTOCT24!I25-E25+L25</f>
        <v>1048141.7950432157</v>
      </c>
      <c r="G25" s="5">
        <f>IF(MVTOCT24!I25+L25&gt;700000,(MVTOCT24!I25-E25+L25),0)</f>
        <v>1048141.7950432157</v>
      </c>
      <c r="H25" s="36">
        <f t="shared" si="0"/>
        <v>0</v>
      </c>
      <c r="I25" s="6">
        <f t="shared" si="2"/>
        <v>1048141.7950432157</v>
      </c>
      <c r="J25" s="36">
        <f>VLOOKUP($A25,[24]HISTONOV24!$A$6:$AQ$42,22,0)</f>
        <v>0</v>
      </c>
      <c r="K25" s="36">
        <f>VLOOKUP($A25,[24]HISTONOV24!$A$6:$AU$38,45,0)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VLOOKUP($A25,[24]HISTONOV24!$A$6:$AU$38,7,0)</f>
        <v>3000</v>
      </c>
      <c r="Q25" s="36">
        <f>VLOOKUP($A25,[24]HISTONOV24!$A$6:$AU$38,23,0)</f>
        <v>0</v>
      </c>
      <c r="R25" s="36">
        <f>VLOOKUP($A25,[24]HISTONOV24!$A$6:$AU$38,46,0)</f>
        <v>0</v>
      </c>
      <c r="S25" s="36">
        <f>VLOOKUP($A25,[24]HISTONOV24!$A$6:$AU$38,26,0)</f>
        <v>0</v>
      </c>
      <c r="T25" s="36">
        <f>VLOOKUP($A25,[24]HISTONOV24!$A$6:$BG$38,58,0)</f>
        <v>0</v>
      </c>
      <c r="U25" s="36">
        <f>VLOOKUP($A25,[24]HISTONOV24!$A$6:$AU$38,28,0)</f>
        <v>0</v>
      </c>
      <c r="V25" s="36">
        <f>VLOOKUP($A25,[24]HISTONOV24!$A$6:$AU$38,19,0)</f>
        <v>0</v>
      </c>
      <c r="W25" s="36">
        <f>VLOOKUP($A25,[24]HISTONOV24!$A$6:$AU$38,20,0)</f>
        <v>0</v>
      </c>
      <c r="X25" s="36">
        <f>VLOOKUP($A25,[24]HISTONOV24!$A$6:$AU$38,27,0)</f>
        <v>0</v>
      </c>
      <c r="Y25" s="36">
        <f>VLOOKUP($A25,[24]HISTONOV24!$A$6:$BM$38,33,0)</f>
        <v>0</v>
      </c>
      <c r="Z25" s="36">
        <f>VLOOKUP($A25,[24]HISTONOV24!$A$6:$BM$38,65,0)</f>
        <v>0</v>
      </c>
      <c r="AA25" s="36"/>
      <c r="AB25" s="36">
        <f>VLOOKUP($A25,[24]HISTONOV24!$A$6:$AU$38,43,0)</f>
        <v>0</v>
      </c>
      <c r="AC25" s="36">
        <f>VLOOKUP($A25,[24]HISTONOV24!$A$6:$AU$38,44,0)</f>
        <v>0</v>
      </c>
      <c r="AD25" s="36">
        <f>VLOOKUP($A25,[24]HISTONOV24!$A$6:$AU$38,47,0)</f>
        <v>0</v>
      </c>
      <c r="AE25" s="36">
        <f>VLOOKUP(A25,[24]HISTONOV24!$A$6:$BB$38,54,0)</f>
        <v>0</v>
      </c>
      <c r="AF25" s="36">
        <f>VLOOKUP($A25,[24]HISTONOV24!$A$6:$CA$38,60,0)</f>
        <v>0</v>
      </c>
      <c r="AG25" s="36">
        <f>VLOOKUP($A25,[24]HISTONOV24!$A$6:$CA$38,61,0)</f>
        <v>0</v>
      </c>
      <c r="AH25" s="36">
        <f>VLOOKUP($A25,[24]HISTONOV24!$A$6:$CA$38,62,0)</f>
        <v>0</v>
      </c>
      <c r="AI25" s="36">
        <f>VLOOKUP($A25,[24]HISTONOV24!$A$6:$CA$38,63,0)</f>
        <v>0</v>
      </c>
      <c r="AJ25" s="36">
        <f>VLOOKUP($A25,[24]HISTONOV24!$A$6:$CA$38,64,0)</f>
        <v>0</v>
      </c>
      <c r="AK25" s="36">
        <f>VLOOKUP($A25,[24]HISTONOV24!$A$6:$CA$38,65,0)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MVTOCT24!I26-E26+L26</f>
        <v>976266.46813543816</v>
      </c>
      <c r="G26" s="5">
        <f>IF(MVTOCT24!I26+L26&gt;700000,(MVTOCT24!I26-E26+L26),0)</f>
        <v>976266.46813543816</v>
      </c>
      <c r="H26" s="36">
        <f t="shared" si="0"/>
        <v>0</v>
      </c>
      <c r="I26" s="6">
        <f t="shared" si="2"/>
        <v>976266.46813543816</v>
      </c>
      <c r="J26" s="36">
        <f>VLOOKUP($A26,[24]HISTONOV24!$A$6:$AQ$42,22,0)</f>
        <v>0</v>
      </c>
      <c r="K26" s="36">
        <f>VLOOKUP($A26,[24]HISTONOV24!$A$6:$AU$38,45,0)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VLOOKUP($A26,[24]HISTONOV24!$A$6:$AU$38,7,0)</f>
        <v>0</v>
      </c>
      <c r="Q26" s="36">
        <f>VLOOKUP($A26,[24]HISTONOV24!$A$6:$AU$38,23,0)</f>
        <v>0</v>
      </c>
      <c r="R26" s="36">
        <f>VLOOKUP($A26,[24]HISTONOV24!$A$6:$AU$38,46,0)</f>
        <v>0</v>
      </c>
      <c r="S26" s="36">
        <f>VLOOKUP($A26,[24]HISTONOV24!$A$6:$AU$38,26,0)</f>
        <v>0</v>
      </c>
      <c r="T26" s="36">
        <f>VLOOKUP($A26,[24]HISTONOV24!$A$6:$BG$38,58,0)</f>
        <v>0</v>
      </c>
      <c r="U26" s="36">
        <f>VLOOKUP($A26,[24]HISTONOV24!$A$6:$AU$38,28,0)</f>
        <v>0</v>
      </c>
      <c r="V26" s="36">
        <f>VLOOKUP($A26,[24]HISTONOV24!$A$6:$AU$38,19,0)</f>
        <v>0</v>
      </c>
      <c r="W26" s="36">
        <f>VLOOKUP($A26,[24]HISTONOV24!$A$6:$AU$38,20,0)</f>
        <v>0</v>
      </c>
      <c r="X26" s="36">
        <f>VLOOKUP($A26,[24]HISTONOV24!$A$6:$AU$38,27,0)</f>
        <v>0</v>
      </c>
      <c r="Y26" s="36">
        <f>VLOOKUP($A26,[24]HISTONOV24!$A$6:$BM$38,33,0)</f>
        <v>0</v>
      </c>
      <c r="Z26" s="36">
        <f>VLOOKUP($A26,[24]HISTONOV24!$A$6:$BM$38,65,0)</f>
        <v>0</v>
      </c>
      <c r="AA26" s="36"/>
      <c r="AB26" s="36">
        <f>VLOOKUP($A26,[24]HISTONOV24!$A$6:$AU$38,43,0)</f>
        <v>0</v>
      </c>
      <c r="AC26" s="36">
        <f>VLOOKUP($A26,[24]HISTONOV24!$A$6:$AU$38,44,0)</f>
        <v>0</v>
      </c>
      <c r="AD26" s="36">
        <f>VLOOKUP($A26,[24]HISTONOV24!$A$6:$AU$38,47,0)</f>
        <v>0</v>
      </c>
      <c r="AE26" s="36">
        <f>VLOOKUP(A26,[24]HISTONOV24!$A$6:$BB$38,54,0)</f>
        <v>0</v>
      </c>
      <c r="AF26" s="36">
        <f>VLOOKUP($A26,[24]HISTONOV24!$A$6:$CA$38,60,0)</f>
        <v>0</v>
      </c>
      <c r="AG26" s="36">
        <f>VLOOKUP($A26,[24]HISTONOV24!$A$6:$CA$38,61,0)</f>
        <v>0</v>
      </c>
      <c r="AH26" s="36">
        <f>VLOOKUP($A26,[24]HISTONOV24!$A$6:$CA$38,62,0)</f>
        <v>0</v>
      </c>
      <c r="AI26" s="36">
        <f>VLOOKUP($A26,[24]HISTONOV24!$A$6:$CA$38,63,0)</f>
        <v>0</v>
      </c>
      <c r="AJ26" s="36">
        <f>VLOOKUP($A26,[24]HISTONOV24!$A$6:$CA$38,64,0)</f>
        <v>0</v>
      </c>
      <c r="AK26" s="36">
        <f>VLOOKUP($A26,[24]HISTONOV24!$A$6:$CA$38,65,0)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MVTOCT24!I27-E27+L27</f>
        <v>976824.17371512204</v>
      </c>
      <c r="G27" s="5">
        <f>IF(MVTOCT24!I27+L27&gt;700000,(MVTOCT24!I27-E27+L27),0)</f>
        <v>976824.17371512204</v>
      </c>
      <c r="H27" s="36">
        <f t="shared" si="0"/>
        <v>0</v>
      </c>
      <c r="I27" s="6">
        <f t="shared" si="2"/>
        <v>976824.17371512204</v>
      </c>
      <c r="J27" s="36">
        <f>VLOOKUP($A27,[24]HISTONOV24!$A$6:$AQ$42,22,0)</f>
        <v>0</v>
      </c>
      <c r="K27" s="36">
        <f>VLOOKUP($A27,[24]HISTONOV24!$A$6:$AU$38,45,0)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VLOOKUP($A27,[24]HISTONOV24!$A$6:$AU$38,7,0)</f>
        <v>0</v>
      </c>
      <c r="Q27" s="36">
        <f>VLOOKUP($A27,[24]HISTONOV24!$A$6:$AU$38,23,0)</f>
        <v>0</v>
      </c>
      <c r="R27" s="36">
        <f>VLOOKUP($A27,[24]HISTONOV24!$A$6:$AU$38,46,0)</f>
        <v>0</v>
      </c>
      <c r="S27" s="36">
        <f>VLOOKUP($A27,[24]HISTONOV24!$A$6:$AU$38,26,0)</f>
        <v>0</v>
      </c>
      <c r="T27" s="36">
        <f>VLOOKUP($A27,[24]HISTONOV24!$A$6:$BG$38,58,0)</f>
        <v>0</v>
      </c>
      <c r="U27" s="36">
        <f>VLOOKUP($A27,[24]HISTONOV24!$A$6:$AU$38,28,0)</f>
        <v>0</v>
      </c>
      <c r="V27" s="36">
        <f>VLOOKUP($A27,[24]HISTONOV24!$A$6:$AU$38,19,0)</f>
        <v>0</v>
      </c>
      <c r="W27" s="36">
        <f>VLOOKUP($A27,[24]HISTONOV24!$A$6:$AU$38,20,0)</f>
        <v>0</v>
      </c>
      <c r="X27" s="36">
        <f>VLOOKUP($A27,[24]HISTONOV24!$A$6:$AU$38,27,0)</f>
        <v>0</v>
      </c>
      <c r="Y27" s="36">
        <f>VLOOKUP($A27,[24]HISTONOV24!$A$6:$BM$38,33,0)</f>
        <v>0</v>
      </c>
      <c r="Z27" s="36">
        <f>VLOOKUP($A27,[24]HISTONOV24!$A$6:$BM$38,65,0)</f>
        <v>0</v>
      </c>
      <c r="AA27" s="36"/>
      <c r="AB27" s="36">
        <f>VLOOKUP($A27,[24]HISTONOV24!$A$6:$AU$38,43,0)</f>
        <v>0</v>
      </c>
      <c r="AC27" s="36">
        <f>VLOOKUP($A27,[24]HISTONOV24!$A$6:$AU$38,44,0)</f>
        <v>0</v>
      </c>
      <c r="AD27" s="36">
        <f>VLOOKUP($A27,[24]HISTONOV24!$A$6:$AU$38,47,0)</f>
        <v>0</v>
      </c>
      <c r="AE27" s="36">
        <f>VLOOKUP(A27,[24]HISTONOV24!$A$6:$BB$38,54,0)</f>
        <v>0</v>
      </c>
      <c r="AF27" s="36">
        <f>VLOOKUP($A27,[24]HISTONOV24!$A$6:$CA$38,60,0)</f>
        <v>0</v>
      </c>
      <c r="AG27" s="36">
        <f>VLOOKUP($A27,[24]HISTONOV24!$A$6:$CA$38,61,0)</f>
        <v>0</v>
      </c>
      <c r="AH27" s="36">
        <f>VLOOKUP($A27,[24]HISTONOV24!$A$6:$CA$38,62,0)</f>
        <v>0</v>
      </c>
      <c r="AI27" s="36">
        <f>VLOOKUP($A27,[24]HISTONOV24!$A$6:$CA$38,63,0)</f>
        <v>0</v>
      </c>
      <c r="AJ27" s="36">
        <f>VLOOKUP($A27,[24]HISTONOV24!$A$6:$CA$38,64,0)</f>
        <v>0</v>
      </c>
      <c r="AK27" s="36">
        <f>VLOOKUP($A27,[24]HISTONOV24!$A$6:$CA$38,65,0)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MVTOCT24!I28-E28+L28</f>
        <v>878176.12513194664</v>
      </c>
      <c r="G28" s="5">
        <f>IF(MVTOCT24!I28+L28&gt;700000,(MVTOCT24!I28-E28+L28),0)</f>
        <v>878176.12513194664</v>
      </c>
      <c r="H28" s="36">
        <f t="shared" si="0"/>
        <v>0</v>
      </c>
      <c r="I28" s="6">
        <f t="shared" si="2"/>
        <v>878176.12513194664</v>
      </c>
      <c r="J28" s="36">
        <f>VLOOKUP($A28,[24]HISTONOV24!$A$6:$AQ$42,22,0)</f>
        <v>0</v>
      </c>
      <c r="K28" s="36">
        <f>VLOOKUP($A28,[24]HISTONOV24!$A$6:$AU$38,45,0)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VLOOKUP($A28,[24]HISTONOV24!$A$6:$AU$38,7,0)</f>
        <v>0</v>
      </c>
      <c r="Q28" s="36">
        <f>VLOOKUP($A28,[24]HISTONOV24!$A$6:$AU$38,23,0)</f>
        <v>0</v>
      </c>
      <c r="R28" s="36">
        <f>VLOOKUP($A28,[24]HISTONOV24!$A$6:$AU$38,46,0)</f>
        <v>0</v>
      </c>
      <c r="S28" s="36">
        <f>VLOOKUP($A28,[24]HISTONOV24!$A$6:$AU$38,26,0)</f>
        <v>0</v>
      </c>
      <c r="T28" s="36">
        <f>VLOOKUP($A28,[24]HISTONOV24!$A$6:$BG$38,58,0)</f>
        <v>0</v>
      </c>
      <c r="U28" s="36">
        <f>VLOOKUP($A28,[24]HISTONOV24!$A$6:$AU$38,28,0)</f>
        <v>0</v>
      </c>
      <c r="V28" s="36">
        <f>VLOOKUP($A28,[24]HISTONOV24!$A$6:$AU$38,19,0)</f>
        <v>0</v>
      </c>
      <c r="W28" s="36">
        <f>VLOOKUP($A28,[24]HISTONOV24!$A$6:$AU$38,20,0)</f>
        <v>0</v>
      </c>
      <c r="X28" s="36">
        <f>VLOOKUP($A28,[24]HISTONOV24!$A$6:$AU$38,27,0)</f>
        <v>0</v>
      </c>
      <c r="Y28" s="36">
        <f>VLOOKUP($A28,[24]HISTONOV24!$A$6:$BM$38,33,0)</f>
        <v>0</v>
      </c>
      <c r="Z28" s="36">
        <f>VLOOKUP($A28,[24]HISTONOV24!$A$6:$BM$38,65,0)</f>
        <v>0</v>
      </c>
      <c r="AA28" s="36"/>
      <c r="AB28" s="36">
        <f>VLOOKUP($A28,[24]HISTONOV24!$A$6:$AU$38,43,0)</f>
        <v>0</v>
      </c>
      <c r="AC28" s="36">
        <f>VLOOKUP($A28,[24]HISTONOV24!$A$6:$AU$38,44,0)</f>
        <v>0</v>
      </c>
      <c r="AD28" s="36">
        <f>VLOOKUP($A28,[24]HISTONOV24!$A$6:$AU$38,47,0)</f>
        <v>0</v>
      </c>
      <c r="AE28" s="36">
        <f>VLOOKUP(A28,[24]HISTONOV24!$A$6:$BB$38,54,0)</f>
        <v>0</v>
      </c>
      <c r="AF28" s="36">
        <f>VLOOKUP($A28,[24]HISTONOV24!$A$6:$CA$38,60,0)</f>
        <v>0</v>
      </c>
      <c r="AG28" s="36">
        <f>VLOOKUP($A28,[24]HISTONOV24!$A$6:$CA$38,61,0)</f>
        <v>0</v>
      </c>
      <c r="AH28" s="36">
        <f>VLOOKUP($A28,[24]HISTONOV24!$A$6:$CA$38,62,0)</f>
        <v>0</v>
      </c>
      <c r="AI28" s="36">
        <f>VLOOKUP($A28,[24]HISTONOV24!$A$6:$CA$38,63,0)</f>
        <v>0</v>
      </c>
      <c r="AJ28" s="36">
        <f>VLOOKUP($A28,[24]HISTONOV24!$A$6:$CA$38,64,0)</f>
        <v>0</v>
      </c>
      <c r="AK28" s="36">
        <f>VLOOKUP($A28,[24]HISTONOV24!$A$6:$CA$38,65,0)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MVTOCT24!I29-E29+L29</f>
        <v>1003151.3442374151</v>
      </c>
      <c r="G29" s="5">
        <f>IF(MVTOCT24!I29+L29&gt;700000,(MVTOCT24!I29-E29+L29),0)</f>
        <v>1003151.3442374151</v>
      </c>
      <c r="H29" s="36">
        <f t="shared" si="0"/>
        <v>0</v>
      </c>
      <c r="I29" s="6">
        <f t="shared" si="2"/>
        <v>1003151.3442374151</v>
      </c>
      <c r="J29" s="36">
        <f>VLOOKUP($A29,[24]HISTONOV24!$A$6:$AQ$42,22,0)</f>
        <v>0</v>
      </c>
      <c r="K29" s="36">
        <f>VLOOKUP($A29,[24]HISTONOV24!$A$6:$AU$38,45,0)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VLOOKUP($A29,[24]HISTONOV24!$A$6:$AU$38,7,0)</f>
        <v>0</v>
      </c>
      <c r="Q29" s="36">
        <f>VLOOKUP($A29,[24]HISTONOV24!$A$6:$AU$38,23,0)</f>
        <v>0</v>
      </c>
      <c r="R29" s="36">
        <f>VLOOKUP($A29,[24]HISTONOV24!$A$6:$AU$38,46,0)</f>
        <v>0</v>
      </c>
      <c r="S29" s="36">
        <f>VLOOKUP($A29,[24]HISTONOV24!$A$6:$AU$38,26,0)</f>
        <v>0</v>
      </c>
      <c r="T29" s="36">
        <f>VLOOKUP($A29,[24]HISTONOV24!$A$6:$BG$38,58,0)</f>
        <v>0</v>
      </c>
      <c r="U29" s="36">
        <f>VLOOKUP($A29,[24]HISTONOV24!$A$6:$AU$38,28,0)</f>
        <v>0</v>
      </c>
      <c r="V29" s="36">
        <f>VLOOKUP($A29,[24]HISTONOV24!$A$6:$AU$38,19,0)</f>
        <v>0</v>
      </c>
      <c r="W29" s="36">
        <f>VLOOKUP($A29,[24]HISTONOV24!$A$6:$AU$38,20,0)</f>
        <v>0</v>
      </c>
      <c r="X29" s="36">
        <f>VLOOKUP($A29,[24]HISTONOV24!$A$6:$AU$38,27,0)</f>
        <v>0</v>
      </c>
      <c r="Y29" s="36">
        <f>VLOOKUP($A29,[24]HISTONOV24!$A$6:$BM$38,33,0)</f>
        <v>0</v>
      </c>
      <c r="Z29" s="36">
        <f>VLOOKUP($A29,[24]HISTONOV24!$A$6:$BM$38,65,0)</f>
        <v>0</v>
      </c>
      <c r="AA29" s="36"/>
      <c r="AB29" s="36">
        <f>VLOOKUP($A29,[24]HISTONOV24!$A$6:$AU$38,43,0)</f>
        <v>0</v>
      </c>
      <c r="AC29" s="36">
        <f>VLOOKUP($A29,[24]HISTONOV24!$A$6:$AU$38,44,0)</f>
        <v>0</v>
      </c>
      <c r="AD29" s="36">
        <f>VLOOKUP($A29,[24]HISTONOV24!$A$6:$AU$38,47,0)</f>
        <v>0</v>
      </c>
      <c r="AE29" s="36">
        <f>VLOOKUP(A29,[24]HISTONOV24!$A$6:$BB$38,54,0)</f>
        <v>0</v>
      </c>
      <c r="AF29" s="36">
        <f>VLOOKUP($A29,[24]HISTONOV24!$A$6:$CA$38,60,0)</f>
        <v>0</v>
      </c>
      <c r="AG29" s="36">
        <f>VLOOKUP($A29,[24]HISTONOV24!$A$6:$CA$38,61,0)</f>
        <v>0</v>
      </c>
      <c r="AH29" s="36">
        <f>VLOOKUP($A29,[24]HISTONOV24!$A$6:$CA$38,62,0)</f>
        <v>0</v>
      </c>
      <c r="AI29" s="36">
        <f>VLOOKUP($A29,[24]HISTONOV24!$A$6:$CA$38,63,0)</f>
        <v>0</v>
      </c>
      <c r="AJ29" s="36">
        <f>VLOOKUP($A29,[24]HISTONOV24!$A$6:$CA$38,64,0)</f>
        <v>0</v>
      </c>
      <c r="AK29" s="36">
        <f>VLOOKUP($A29,[24]HISTONOV24!$A$6:$CA$38,65,0)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MVTOCT24!I30-E30+L30</f>
        <v>907786.81046782702</v>
      </c>
      <c r="G30" s="5">
        <f>IF(MVTOCT24!I30+L30&gt;700000,(MVTOCT24!I30-E30+L30),0)</f>
        <v>907786.81046782702</v>
      </c>
      <c r="H30" s="36">
        <f t="shared" si="0"/>
        <v>0</v>
      </c>
      <c r="I30" s="6">
        <f t="shared" si="2"/>
        <v>907786.81046782702</v>
      </c>
      <c r="J30" s="36">
        <f>VLOOKUP($A30,[24]HISTONOV24!$A$6:$AQ$42,22,0)</f>
        <v>0</v>
      </c>
      <c r="K30" s="36">
        <f>VLOOKUP($A30,[24]HISTONOV24!$A$6:$AU$38,45,0)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VLOOKUP($A30,[24]HISTONOV24!$A$6:$AU$38,7,0)</f>
        <v>0</v>
      </c>
      <c r="Q30" s="36">
        <f>VLOOKUP($A30,[24]HISTONOV24!$A$6:$AU$38,23,0)</f>
        <v>0</v>
      </c>
      <c r="R30" s="36">
        <f>VLOOKUP($A30,[24]HISTONOV24!$A$6:$AU$38,46,0)</f>
        <v>0</v>
      </c>
      <c r="S30" s="36">
        <f>VLOOKUP($A30,[24]HISTONOV24!$A$6:$AU$38,26,0)</f>
        <v>0</v>
      </c>
      <c r="T30" s="36">
        <f>VLOOKUP($A30,[24]HISTONOV24!$A$6:$BG$38,58,0)</f>
        <v>0</v>
      </c>
      <c r="U30" s="36">
        <f>VLOOKUP($A30,[24]HISTONOV24!$A$6:$AU$38,28,0)</f>
        <v>0</v>
      </c>
      <c r="V30" s="36">
        <f>VLOOKUP($A30,[24]HISTONOV24!$A$6:$AU$38,19,0)</f>
        <v>0</v>
      </c>
      <c r="W30" s="36">
        <f>VLOOKUP($A30,[24]HISTONOV24!$A$6:$AU$38,20,0)</f>
        <v>0</v>
      </c>
      <c r="X30" s="36">
        <f>VLOOKUP($A30,[24]HISTONOV24!$A$6:$AU$38,27,0)</f>
        <v>0</v>
      </c>
      <c r="Y30" s="36">
        <f>VLOOKUP($A30,[24]HISTONOV24!$A$6:$BM$38,33,0)</f>
        <v>0</v>
      </c>
      <c r="Z30" s="36">
        <f>VLOOKUP($A30,[24]HISTONOV24!$A$6:$BM$38,65,0)</f>
        <v>0</v>
      </c>
      <c r="AA30" s="36"/>
      <c r="AB30" s="36">
        <f>VLOOKUP($A30,[24]HISTONOV24!$A$6:$AU$38,43,0)</f>
        <v>0</v>
      </c>
      <c r="AC30" s="36">
        <f>VLOOKUP($A30,[24]HISTONOV24!$A$6:$AU$38,44,0)</f>
        <v>0</v>
      </c>
      <c r="AD30" s="36">
        <f>VLOOKUP($A30,[24]HISTONOV24!$A$6:$AU$38,47,0)</f>
        <v>0</v>
      </c>
      <c r="AE30" s="36">
        <f>VLOOKUP(A30,[24]HISTONOV24!$A$6:$BB$38,54,0)</f>
        <v>0</v>
      </c>
      <c r="AF30" s="36">
        <f>VLOOKUP($A30,[24]HISTONOV24!$A$6:$CA$38,60,0)</f>
        <v>0</v>
      </c>
      <c r="AG30" s="36">
        <f>VLOOKUP($A30,[24]HISTONOV24!$A$6:$CA$38,61,0)</f>
        <v>0</v>
      </c>
      <c r="AH30" s="36">
        <f>VLOOKUP($A30,[24]HISTONOV24!$A$6:$CA$38,62,0)</f>
        <v>0</v>
      </c>
      <c r="AI30" s="36">
        <f>VLOOKUP($A30,[24]HISTONOV24!$A$6:$CA$38,63,0)</f>
        <v>0</v>
      </c>
      <c r="AJ30" s="36">
        <f>VLOOKUP($A30,[24]HISTONOV24!$A$6:$CA$38,64,0)</f>
        <v>0</v>
      </c>
      <c r="AK30" s="36">
        <f>VLOOKUP($A30,[24]HISTONOV24!$A$6:$CA$38,65,0)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MVTOCT24!I31-E31+L31</f>
        <v>1067903.0311481347</v>
      </c>
      <c r="G31" s="5">
        <f>IF(MVTOCT24!I31+L31&gt;700000,(MVTOCT24!I31-E31+L31),0)</f>
        <v>1067903.0311481347</v>
      </c>
      <c r="H31" s="36">
        <f t="shared" si="0"/>
        <v>0</v>
      </c>
      <c r="I31" s="6">
        <f t="shared" si="2"/>
        <v>1067903.0311481347</v>
      </c>
      <c r="J31" s="36">
        <f>VLOOKUP($A31,[24]HISTONOV24!$A$6:$AQ$42,22,0)</f>
        <v>0</v>
      </c>
      <c r="K31" s="36">
        <f>VLOOKUP($A31,[24]HISTONOV24!$A$6:$AU$38,45,0)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VLOOKUP($A31,[24]HISTONOV24!$A$6:$AU$38,7,0)</f>
        <v>0</v>
      </c>
      <c r="Q31" s="36">
        <f>VLOOKUP($A31,[24]HISTONOV24!$A$6:$AU$38,23,0)</f>
        <v>0</v>
      </c>
      <c r="R31" s="36">
        <f>VLOOKUP($A31,[24]HISTONOV24!$A$6:$AU$38,46,0)</f>
        <v>0</v>
      </c>
      <c r="S31" s="36">
        <f>VLOOKUP($A31,[24]HISTONOV24!$A$6:$AU$38,26,0)</f>
        <v>0</v>
      </c>
      <c r="T31" s="36">
        <f>VLOOKUP($A31,[24]HISTONOV24!$A$6:$BG$38,58,0)</f>
        <v>0</v>
      </c>
      <c r="U31" s="36">
        <f>VLOOKUP($A31,[24]HISTONOV24!$A$6:$AU$38,28,0)</f>
        <v>0</v>
      </c>
      <c r="V31" s="36">
        <f>VLOOKUP($A31,[24]HISTONOV24!$A$6:$AU$38,19,0)</f>
        <v>0</v>
      </c>
      <c r="W31" s="36">
        <f>VLOOKUP($A31,[24]HISTONOV24!$A$6:$AU$38,20,0)</f>
        <v>0</v>
      </c>
      <c r="X31" s="36">
        <f>VLOOKUP($A31,[24]HISTONOV24!$A$6:$AU$38,27,0)</f>
        <v>0</v>
      </c>
      <c r="Y31" s="36">
        <f>VLOOKUP($A31,[24]HISTONOV24!$A$6:$BM$38,33,0)</f>
        <v>0</v>
      </c>
      <c r="Z31" s="36">
        <f>VLOOKUP($A31,[24]HISTONOV24!$A$6:$BM$38,65,0)</f>
        <v>0</v>
      </c>
      <c r="AA31" s="36"/>
      <c r="AB31" s="36">
        <f>VLOOKUP($A31,[24]HISTONOV24!$A$6:$AU$38,43,0)</f>
        <v>0</v>
      </c>
      <c r="AC31" s="36">
        <f>VLOOKUP($A31,[24]HISTONOV24!$A$6:$AU$38,44,0)</f>
        <v>0</v>
      </c>
      <c r="AD31" s="36">
        <f>VLOOKUP($A31,[24]HISTONOV24!$A$6:$AU$38,47,0)</f>
        <v>0</v>
      </c>
      <c r="AE31" s="36">
        <f>VLOOKUP(A31,[24]HISTONOV24!$A$6:$BB$38,54,0)</f>
        <v>0</v>
      </c>
      <c r="AF31" s="36">
        <f>VLOOKUP($A31,[24]HISTONOV24!$A$6:$CA$38,60,0)</f>
        <v>0</v>
      </c>
      <c r="AG31" s="36">
        <f>VLOOKUP($A31,[24]HISTONOV24!$A$6:$CA$38,61,0)</f>
        <v>0</v>
      </c>
      <c r="AH31" s="36">
        <f>VLOOKUP($A31,[24]HISTONOV24!$A$6:$CA$38,62,0)</f>
        <v>0</v>
      </c>
      <c r="AI31" s="36">
        <f>VLOOKUP($A31,[24]HISTONOV24!$A$6:$CA$38,63,0)</f>
        <v>0</v>
      </c>
      <c r="AJ31" s="36">
        <f>VLOOKUP($A31,[24]HISTONOV24!$A$6:$CA$38,64,0)</f>
        <v>0</v>
      </c>
      <c r="AK31" s="36">
        <f>VLOOKUP($A31,[24]HISTONOV24!$A$6:$CA$38,65,0)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MVTOCT24!I32-E32+L32</f>
        <v>957243.98131057119</v>
      </c>
      <c r="G32" s="5">
        <f>IF(MVTOCT24!I32+L32&gt;700000,(MVTOCT24!I32-E32+L32),0)</f>
        <v>957243.98131057119</v>
      </c>
      <c r="H32" s="36">
        <f t="shared" si="0"/>
        <v>0</v>
      </c>
      <c r="I32" s="6">
        <f t="shared" si="2"/>
        <v>957243.98131057119</v>
      </c>
      <c r="J32" s="36">
        <f>VLOOKUP($A32,[24]HISTONOV24!$A$6:$AQ$42,22,0)</f>
        <v>0</v>
      </c>
      <c r="K32" s="36">
        <f>VLOOKUP($A32,[24]HISTONOV24!$A$6:$AU$38,45,0)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VLOOKUP($A32,[24]HISTONOV24!$A$6:$AU$38,7,0)</f>
        <v>0</v>
      </c>
      <c r="Q32" s="36">
        <f>VLOOKUP($A32,[24]HISTONOV24!$A$6:$AU$38,23,0)</f>
        <v>0</v>
      </c>
      <c r="R32" s="36">
        <f>VLOOKUP($A32,[24]HISTONOV24!$A$6:$AU$38,46,0)</f>
        <v>0</v>
      </c>
      <c r="S32" s="36">
        <f>VLOOKUP($A32,[24]HISTONOV24!$A$6:$AU$38,26,0)</f>
        <v>0</v>
      </c>
      <c r="T32" s="36">
        <f>VLOOKUP($A32,[24]HISTONOV24!$A$6:$BG$38,58,0)</f>
        <v>0</v>
      </c>
      <c r="U32" s="36">
        <f>VLOOKUP($A32,[24]HISTONOV24!$A$6:$AU$38,28,0)</f>
        <v>0</v>
      </c>
      <c r="V32" s="36">
        <f>VLOOKUP($A32,[24]HISTONOV24!$A$6:$AU$38,19,0)</f>
        <v>0</v>
      </c>
      <c r="W32" s="36">
        <f>VLOOKUP($A32,[24]HISTONOV24!$A$6:$AU$38,20,0)</f>
        <v>0</v>
      </c>
      <c r="X32" s="36">
        <f>VLOOKUP($A32,[24]HISTONOV24!$A$6:$AU$38,27,0)</f>
        <v>0</v>
      </c>
      <c r="Y32" s="36">
        <f>VLOOKUP($A32,[24]HISTONOV24!$A$6:$BM$38,33,0)</f>
        <v>0</v>
      </c>
      <c r="Z32" s="36">
        <f>VLOOKUP($A32,[24]HISTONOV24!$A$6:$BM$38,65,0)</f>
        <v>0</v>
      </c>
      <c r="AA32" s="36"/>
      <c r="AB32" s="36">
        <f>VLOOKUP($A32,[24]HISTONOV24!$A$6:$AU$38,43,0)</f>
        <v>0</v>
      </c>
      <c r="AC32" s="36">
        <f>VLOOKUP($A32,[24]HISTONOV24!$A$6:$AU$38,44,0)</f>
        <v>0</v>
      </c>
      <c r="AD32" s="36">
        <f>VLOOKUP($A32,[24]HISTONOV24!$A$6:$AU$38,47,0)</f>
        <v>0</v>
      </c>
      <c r="AE32" s="36">
        <f>VLOOKUP(A32,[24]HISTONOV24!$A$6:$BB$38,54,0)</f>
        <v>0</v>
      </c>
      <c r="AF32" s="36">
        <f>VLOOKUP($A32,[24]HISTONOV24!$A$6:$CA$38,60,0)</f>
        <v>0</v>
      </c>
      <c r="AG32" s="36">
        <f>VLOOKUP($A32,[24]HISTONOV24!$A$6:$CA$38,61,0)</f>
        <v>0</v>
      </c>
      <c r="AH32" s="36">
        <f>VLOOKUP($A32,[24]HISTONOV24!$A$6:$CA$38,62,0)</f>
        <v>0</v>
      </c>
      <c r="AI32" s="36">
        <f>VLOOKUP($A32,[24]HISTONOV24!$A$6:$CA$38,63,0)</f>
        <v>0</v>
      </c>
      <c r="AJ32" s="36">
        <f>VLOOKUP($A32,[24]HISTONOV24!$A$6:$CA$38,64,0)</f>
        <v>0</v>
      </c>
      <c r="AK32" s="36">
        <f>VLOOKUP($A32,[24]HISTONOV24!$A$6:$CA$38,65,0)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MVTOCT24!I33-E33+L33</f>
        <v>957552.64928596013</v>
      </c>
      <c r="G33" s="5">
        <f>IF(MVTOCT24!I33+L33&gt;700000,(MVTOCT24!I33-E33+L33),0)</f>
        <v>957552.64928596013</v>
      </c>
      <c r="H33" s="36">
        <f t="shared" si="0"/>
        <v>0</v>
      </c>
      <c r="I33" s="6">
        <f t="shared" si="2"/>
        <v>957552.64928596013</v>
      </c>
      <c r="J33" s="36">
        <f>VLOOKUP($A33,[24]HISTONOV24!$A$6:$AQ$42,22,0)</f>
        <v>0</v>
      </c>
      <c r="K33" s="36">
        <f>VLOOKUP($A33,[24]HISTONOV24!$A$6:$AU$38,45,0)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VLOOKUP($A33,[24]HISTONOV24!$A$6:$AU$38,7,0)</f>
        <v>0</v>
      </c>
      <c r="Q33" s="36">
        <f>VLOOKUP($A33,[24]HISTONOV24!$A$6:$AU$38,23,0)</f>
        <v>0</v>
      </c>
      <c r="R33" s="36">
        <f>VLOOKUP($A33,[24]HISTONOV24!$A$6:$AU$38,46,0)</f>
        <v>0</v>
      </c>
      <c r="S33" s="36">
        <f>VLOOKUP($A33,[24]HISTONOV24!$A$6:$AU$38,26,0)</f>
        <v>0</v>
      </c>
      <c r="T33" s="36">
        <f>VLOOKUP($A33,[24]HISTONOV24!$A$6:$BG$38,58,0)</f>
        <v>0</v>
      </c>
      <c r="U33" s="36">
        <f>VLOOKUP($A33,[24]HISTONOV24!$A$6:$AU$38,28,0)</f>
        <v>0</v>
      </c>
      <c r="V33" s="36">
        <f>VLOOKUP($A33,[24]HISTONOV24!$A$6:$AU$38,19,0)</f>
        <v>0</v>
      </c>
      <c r="W33" s="36">
        <f>VLOOKUP($A33,[24]HISTONOV24!$A$6:$AU$38,20,0)</f>
        <v>0</v>
      </c>
      <c r="X33" s="36">
        <f>VLOOKUP($A33,[24]HISTONOV24!$A$6:$AU$38,27,0)</f>
        <v>0</v>
      </c>
      <c r="Y33" s="36">
        <f>VLOOKUP($A33,[24]HISTONOV24!$A$6:$BM$38,33,0)</f>
        <v>0</v>
      </c>
      <c r="Z33" s="36">
        <f>VLOOKUP($A33,[24]HISTONOV24!$A$6:$BM$38,65,0)</f>
        <v>0</v>
      </c>
      <c r="AA33" s="36"/>
      <c r="AB33" s="36">
        <f>VLOOKUP($A33,[24]HISTONOV24!$A$6:$AU$38,43,0)</f>
        <v>0</v>
      </c>
      <c r="AC33" s="36">
        <f>VLOOKUP($A33,[24]HISTONOV24!$A$6:$AU$38,44,0)</f>
        <v>0</v>
      </c>
      <c r="AD33" s="36">
        <f>VLOOKUP($A33,[24]HISTONOV24!$A$6:$AU$38,47,0)</f>
        <v>0</v>
      </c>
      <c r="AE33" s="36">
        <f>VLOOKUP(A33,[24]HISTONOV24!$A$6:$BB$38,54,0)</f>
        <v>0</v>
      </c>
      <c r="AF33" s="36">
        <f>VLOOKUP($A33,[24]HISTONOV24!$A$6:$CA$38,60,0)</f>
        <v>0</v>
      </c>
      <c r="AG33" s="36">
        <f>VLOOKUP($A33,[24]HISTONOV24!$A$6:$CA$38,61,0)</f>
        <v>0</v>
      </c>
      <c r="AH33" s="36">
        <f>VLOOKUP($A33,[24]HISTONOV24!$A$6:$CA$38,62,0)</f>
        <v>0</v>
      </c>
      <c r="AI33" s="36">
        <f>VLOOKUP($A33,[24]HISTONOV24!$A$6:$CA$38,63,0)</f>
        <v>0</v>
      </c>
      <c r="AJ33" s="36">
        <f>VLOOKUP($A33,[24]HISTONOV24!$A$6:$CA$38,64,0)</f>
        <v>0</v>
      </c>
      <c r="AK33" s="36">
        <f>VLOOKUP($A33,[24]HISTONOV24!$A$6:$CA$38,65,0)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MVTOCT24!I34-E34+L34</f>
        <v>614000</v>
      </c>
      <c r="G34" s="5">
        <f>IF(MVTOCT24!I34+L34&gt;700000,(MVTOCT24!I34-E34+L34),0)</f>
        <v>0</v>
      </c>
      <c r="H34" s="36">
        <f t="shared" si="0"/>
        <v>0</v>
      </c>
      <c r="I34" s="6">
        <f t="shared" si="2"/>
        <v>614000</v>
      </c>
      <c r="J34" s="36">
        <f>VLOOKUP($A34,[24]HISTONOV24!$A$6:$AQ$42,22,0)</f>
        <v>0</v>
      </c>
      <c r="K34" s="36">
        <f>VLOOKUP($A34,[24]HISTONOV24!$A$6:$AU$38,45,0)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VLOOKUP($A34,[24]HISTONOV24!$A$6:$AU$38,7,0)</f>
        <v>0</v>
      </c>
      <c r="Q34" s="36">
        <f>VLOOKUP($A34,[24]HISTONOV24!$A$6:$AU$38,23,0)</f>
        <v>0</v>
      </c>
      <c r="R34" s="36">
        <f>VLOOKUP($A34,[24]HISTONOV24!$A$6:$AU$38,46,0)</f>
        <v>0</v>
      </c>
      <c r="S34" s="36">
        <f>VLOOKUP($A34,[24]HISTONOV24!$A$6:$AU$38,26,0)</f>
        <v>0</v>
      </c>
      <c r="T34" s="36">
        <f>VLOOKUP($A34,[24]HISTONOV24!$A$6:$BG$38,58,0)</f>
        <v>0</v>
      </c>
      <c r="U34" s="36">
        <f>VLOOKUP($A34,[24]HISTONOV24!$A$6:$AU$38,28,0)</f>
        <v>0</v>
      </c>
      <c r="V34" s="36">
        <f>VLOOKUP($A34,[24]HISTONOV24!$A$6:$AU$38,19,0)</f>
        <v>0</v>
      </c>
      <c r="W34" s="36">
        <f>VLOOKUP($A34,[24]HISTONOV24!$A$6:$AU$38,20,0)</f>
        <v>0</v>
      </c>
      <c r="X34" s="36">
        <f>VLOOKUP($A34,[24]HISTONOV24!$A$6:$AU$38,27,0)</f>
        <v>0</v>
      </c>
      <c r="Y34" s="36">
        <f>VLOOKUP($A34,[24]HISTONOV24!$A$6:$BM$38,33,0)</f>
        <v>0</v>
      </c>
      <c r="Z34" s="36">
        <f>VLOOKUP($A34,[24]HISTONOV24!$A$6:$BM$38,65,0)</f>
        <v>0</v>
      </c>
      <c r="AA34" s="36"/>
      <c r="AB34" s="36">
        <f>VLOOKUP($A34,[24]HISTONOV24!$A$6:$AU$38,43,0)</f>
        <v>0</v>
      </c>
      <c r="AC34" s="36">
        <f>VLOOKUP($A34,[24]HISTONOV24!$A$6:$AU$38,44,0)</f>
        <v>0</v>
      </c>
      <c r="AD34" s="36">
        <f>VLOOKUP($A34,[24]HISTONOV24!$A$6:$AU$38,47,0)</f>
        <v>0</v>
      </c>
      <c r="AE34" s="36">
        <f>VLOOKUP(A34,[24]HISTONOV24!$A$6:$BB$38,54,0)</f>
        <v>0</v>
      </c>
      <c r="AF34" s="36">
        <f>VLOOKUP($A34,[24]HISTONOV24!$A$6:$CA$38,60,0)</f>
        <v>0</v>
      </c>
      <c r="AG34" s="36">
        <f>VLOOKUP($A34,[24]HISTONOV24!$A$6:$CA$38,61,0)</f>
        <v>0</v>
      </c>
      <c r="AH34" s="36">
        <f>VLOOKUP($A34,[24]HISTONOV24!$A$6:$CA$38,62,0)</f>
        <v>0</v>
      </c>
      <c r="AI34" s="36">
        <f>VLOOKUP($A34,[24]HISTONOV24!$A$6:$CA$38,63,0)</f>
        <v>0</v>
      </c>
      <c r="AJ34" s="36">
        <f>VLOOKUP($A34,[24]HISTONOV24!$A$6:$CA$38,64,0)</f>
        <v>0</v>
      </c>
      <c r="AK34" s="36">
        <f>VLOOKUP($A34,[24]HISTONOV24!$A$6:$CA$38,65,0)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MVTOCT24!I35-E35+L35</f>
        <v>309000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309000</v>
      </c>
      <c r="J35" s="36">
        <f>VLOOKUP($A35,[24]HISTONOV24!$A$6:$AQ$42,22,0)</f>
        <v>0</v>
      </c>
      <c r="K35" s="36">
        <f>VLOOKUP($A35,[24]HISTONOV24!$A$6:$AU$38,45,0)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VLOOKUP($A35,[24]HISTONOV24!$A$6:$AU$38,7,0)</f>
        <v>3000</v>
      </c>
      <c r="Q35" s="36">
        <f>VLOOKUP($A35,[24]HISTONOV24!$A$6:$AU$38,23,0)</f>
        <v>0</v>
      </c>
      <c r="R35" s="36">
        <f>VLOOKUP($A35,[24]HISTONOV24!$A$6:$AU$38,46,0)</f>
        <v>0</v>
      </c>
      <c r="S35" s="36">
        <f>VLOOKUP($A35,[24]HISTONOV24!$A$6:$AU$38,26,0)</f>
        <v>0</v>
      </c>
      <c r="T35" s="36">
        <f>VLOOKUP($A35,[24]HISTONOV24!$A$6:$BG$38,58,0)</f>
        <v>0</v>
      </c>
      <c r="U35" s="36">
        <f>VLOOKUP($A35,[24]HISTONOV24!$A$6:$AU$38,28,0)</f>
        <v>0</v>
      </c>
      <c r="V35" s="36">
        <f>VLOOKUP($A35,[24]HISTONOV24!$A$6:$AU$38,19,0)</f>
        <v>0</v>
      </c>
      <c r="W35" s="36">
        <f>VLOOKUP($A35,[24]HISTONOV24!$A$6:$AU$38,20,0)</f>
        <v>0</v>
      </c>
      <c r="X35" s="36">
        <f>VLOOKUP($A35,[24]HISTONOV24!$A$6:$AU$38,27,0)</f>
        <v>0</v>
      </c>
      <c r="Y35" s="36">
        <f>VLOOKUP($A35,[24]HISTONOV24!$A$6:$BM$38,33,0)</f>
        <v>0</v>
      </c>
      <c r="Z35" s="36">
        <f>VLOOKUP($A35,[24]HISTONOV24!$A$6:$BM$38,65,0)</f>
        <v>0</v>
      </c>
      <c r="AA35" s="36"/>
      <c r="AB35" s="36">
        <f>VLOOKUP($A35,[24]HISTONOV24!$A$6:$AU$38,43,0)</f>
        <v>0</v>
      </c>
      <c r="AC35" s="36">
        <f>VLOOKUP($A35,[24]HISTONOV24!$A$6:$AU$38,44,0)</f>
        <v>0</v>
      </c>
      <c r="AD35" s="36">
        <f>VLOOKUP($A35,[24]HISTONOV24!$A$6:$AU$38,47,0)</f>
        <v>0</v>
      </c>
      <c r="AE35" s="36">
        <f>VLOOKUP(A35,[24]HISTONOV24!$A$6:$BB$38,54,0)</f>
        <v>0</v>
      </c>
      <c r="AF35" s="36">
        <f>VLOOKUP($A35,[24]HISTONOV24!$A$6:$CA$38,60,0)</f>
        <v>0</v>
      </c>
      <c r="AG35" s="36">
        <f>VLOOKUP($A35,[24]HISTONOV24!$A$6:$CA$38,61,0)</f>
        <v>0</v>
      </c>
      <c r="AH35" s="36">
        <f>VLOOKUP($A35,[24]HISTONOV24!$A$6:$CA$38,62,0)</f>
        <v>0</v>
      </c>
      <c r="AI35" s="36">
        <f>VLOOKUP($A35,[24]HISTONOV24!$A$6:$CA$38,63,0)</f>
        <v>0</v>
      </c>
      <c r="AJ35" s="36">
        <f>VLOOKUP($A35,[24]HISTONOV24!$A$6:$CA$38,64,0)</f>
        <v>0</v>
      </c>
      <c r="AK35" s="36">
        <f>VLOOKUP($A35,[24]HISTONOV24!$A$6:$CA$38,65,0)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MVTOCT24!I36-E36+L36</f>
        <v>994599.08181867818</v>
      </c>
      <c r="G36" s="5">
        <f>IF(MVTOCT24!I36+L36&gt;700000,(MVTOCT24!I36-E36+L36),0)</f>
        <v>994599.08181867818</v>
      </c>
      <c r="H36" s="36">
        <f t="shared" si="0"/>
        <v>0</v>
      </c>
      <c r="I36" s="6">
        <f t="shared" si="2"/>
        <v>994599.08181867818</v>
      </c>
      <c r="J36" s="36">
        <f>VLOOKUP($A36,[24]HISTONOV24!$A$6:$AQ$42,22,0)</f>
        <v>0</v>
      </c>
      <c r="K36" s="36">
        <f>VLOOKUP($A36,[24]HISTONOV24!$A$6:$AU$38,45,0)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VLOOKUP($A36,[24]HISTONOV24!$A$6:$AU$38,7,0)</f>
        <v>0</v>
      </c>
      <c r="Q36" s="36">
        <f>VLOOKUP($A36,[24]HISTONOV24!$A$6:$AU$38,23,0)</f>
        <v>0</v>
      </c>
      <c r="R36" s="36">
        <f>VLOOKUP($A36,[24]HISTONOV24!$A$6:$AU$38,46,0)</f>
        <v>0</v>
      </c>
      <c r="S36" s="36">
        <f>VLOOKUP($A36,[24]HISTONOV24!$A$6:$AU$38,26,0)</f>
        <v>0</v>
      </c>
      <c r="T36" s="36">
        <f>VLOOKUP($A36,[24]HISTONOV24!$A$6:$BG$38,58,0)</f>
        <v>0</v>
      </c>
      <c r="U36" s="36">
        <f>VLOOKUP($A36,[24]HISTONOV24!$A$6:$AU$38,28,0)</f>
        <v>0</v>
      </c>
      <c r="V36" s="36">
        <f>VLOOKUP($A36,[24]HISTONOV24!$A$6:$AU$38,19,0)</f>
        <v>0</v>
      </c>
      <c r="W36" s="36">
        <f>VLOOKUP($A36,[24]HISTONOV24!$A$6:$AU$38,20,0)</f>
        <v>0</v>
      </c>
      <c r="X36" s="36">
        <f>VLOOKUP($A36,[24]HISTONOV24!$A$6:$AU$38,27,0)</f>
        <v>0</v>
      </c>
      <c r="Y36" s="36">
        <f>VLOOKUP($A36,[24]HISTONOV24!$A$6:$BM$38,33,0)</f>
        <v>0</v>
      </c>
      <c r="Z36" s="36">
        <f>VLOOKUP($A36,[24]HISTONOV24!$A$6:$BM$38,65,0)</f>
        <v>0</v>
      </c>
      <c r="AA36" s="36"/>
      <c r="AB36" s="36">
        <f>VLOOKUP($A36,[24]HISTONOV24!$A$6:$AU$38,43,0)</f>
        <v>0</v>
      </c>
      <c r="AC36" s="36">
        <f>VLOOKUP($A36,[24]HISTONOV24!$A$6:$AU$38,44,0)</f>
        <v>0</v>
      </c>
      <c r="AD36" s="36">
        <f>VLOOKUP($A36,[24]HISTONOV24!$A$6:$AU$38,47,0)</f>
        <v>0</v>
      </c>
      <c r="AE36" s="36">
        <f>VLOOKUP(A36,[24]HISTONOV24!$A$6:$BB$38,54,0)</f>
        <v>0</v>
      </c>
      <c r="AF36" s="36">
        <f>VLOOKUP($A36,[24]HISTONOV24!$A$6:$CA$38,60,0)</f>
        <v>0</v>
      </c>
      <c r="AG36" s="36">
        <f>VLOOKUP($A36,[24]HISTONOV24!$A$6:$CA$38,61,0)</f>
        <v>0</v>
      </c>
      <c r="AH36" s="36">
        <f>VLOOKUP($A36,[24]HISTONOV24!$A$6:$CA$38,62,0)</f>
        <v>0</v>
      </c>
      <c r="AI36" s="36">
        <f>VLOOKUP($A36,[24]HISTONOV24!$A$6:$CA$38,63,0)</f>
        <v>0</v>
      </c>
      <c r="AJ36" s="36">
        <f>VLOOKUP($A36,[24]HISTONOV24!$A$6:$CA$38,64,0)</f>
        <v>0</v>
      </c>
      <c r="AK36" s="36">
        <f>VLOOKUP($A36,[24]HISTONOV24!$A$6:$CA$38,65,0)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MVTOCT24!I37-E37+L37</f>
        <v>2027400.7147676253</v>
      </c>
      <c r="G37" s="5">
        <f>IF(MVTOCT24!I37+L37&gt;700000,(MVTOCT24!I37-E37+L37),0)</f>
        <v>2027400.7147676253</v>
      </c>
      <c r="H37" s="36">
        <f t="shared" si="0"/>
        <v>0</v>
      </c>
      <c r="I37" s="6">
        <f t="shared" si="2"/>
        <v>2027400.7147676253</v>
      </c>
      <c r="J37" s="36">
        <f>VLOOKUP($A37,[24]HISTONOV24!$A$6:$AQ$42,22,0)</f>
        <v>0</v>
      </c>
      <c r="K37" s="36">
        <f>VLOOKUP($A37,[24]HISTONOV24!$A$6:$AU$38,45,0)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VLOOKUP($A37,[24]HISTONOV24!$A$6:$AU$38,7,0)</f>
        <v>3000</v>
      </c>
      <c r="Q37" s="36">
        <f>VLOOKUP($A37,[24]HISTONOV24!$A$6:$AU$38,23,0)</f>
        <v>0</v>
      </c>
      <c r="R37" s="36">
        <f>VLOOKUP($A37,[24]HISTONOV24!$A$6:$AU$38,46,0)</f>
        <v>0</v>
      </c>
      <c r="S37" s="36">
        <f>VLOOKUP($A37,[24]HISTONOV24!$A$6:$AU$38,26,0)</f>
        <v>0</v>
      </c>
      <c r="T37" s="36">
        <f>VLOOKUP($A37,[24]HISTONOV24!$A$6:$BG$38,58,0)</f>
        <v>0</v>
      </c>
      <c r="U37" s="36">
        <f>VLOOKUP($A37,[24]HISTONOV24!$A$6:$AU$38,28,0)</f>
        <v>0</v>
      </c>
      <c r="V37" s="36">
        <f>VLOOKUP($A37,[24]HISTONOV24!$A$6:$AU$38,19,0)</f>
        <v>0</v>
      </c>
      <c r="W37" s="36">
        <f>VLOOKUP($A37,[24]HISTONOV24!$A$6:$AU$38,20,0)</f>
        <v>0</v>
      </c>
      <c r="X37" s="36">
        <f>VLOOKUP($A37,[24]HISTONOV24!$A$6:$AU$38,27,0)</f>
        <v>0</v>
      </c>
      <c r="Y37" s="36">
        <f>VLOOKUP($A37,[24]HISTONOV24!$A$6:$BM$38,33,0)</f>
        <v>0</v>
      </c>
      <c r="Z37" s="36">
        <f>VLOOKUP($A37,[24]HISTONOV24!$A$6:$BM$38,65,0)</f>
        <v>0</v>
      </c>
      <c r="AA37" s="36"/>
      <c r="AB37" s="36">
        <f>VLOOKUP($A37,[24]HISTONOV24!$A$6:$AU$38,43,0)</f>
        <v>0</v>
      </c>
      <c r="AC37" s="36">
        <f>VLOOKUP($A37,[24]HISTONOV24!$A$6:$AU$38,44,0)</f>
        <v>0</v>
      </c>
      <c r="AD37" s="36">
        <f>VLOOKUP($A37,[24]HISTONOV24!$A$6:$AU$38,47,0)</f>
        <v>0</v>
      </c>
      <c r="AE37" s="36">
        <f>VLOOKUP(A37,[24]HISTONOV24!$A$6:$BB$38,54,0)</f>
        <v>0</v>
      </c>
      <c r="AF37" s="36">
        <f>VLOOKUP($A37,[24]HISTONOV24!$A$6:$CA$38,60,0)</f>
        <v>0</v>
      </c>
      <c r="AG37" s="36">
        <f>VLOOKUP($A37,[24]HISTONOV24!$A$6:$CA$38,61,0)</f>
        <v>0</v>
      </c>
      <c r="AH37" s="36">
        <f>VLOOKUP($A37,[24]HISTONOV24!$A$6:$CA$38,62,0)</f>
        <v>0</v>
      </c>
      <c r="AI37" s="36">
        <f>VLOOKUP($A37,[24]HISTONOV24!$A$6:$CA$38,63,0)</f>
        <v>0</v>
      </c>
      <c r="AJ37" s="36">
        <f>VLOOKUP($A37,[24]HISTONOV24!$A$6:$CA$38,64,0)</f>
        <v>0</v>
      </c>
      <c r="AK37" s="36">
        <f>VLOOKUP($A37,[24]HISTONOV24!$A$6:$CA$38,65,0)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MVTOCT24!I38-E38+L38</f>
        <v>209000</v>
      </c>
      <c r="G38" s="5">
        <f>IF(MVTOCT24!I38+L38&gt;700000,(MVTOCT24!I38-E38+L38),0)</f>
        <v>0</v>
      </c>
      <c r="H38" s="36">
        <f t="shared" si="0"/>
        <v>0</v>
      </c>
      <c r="I38" s="6">
        <f t="shared" si="2"/>
        <v>209000</v>
      </c>
      <c r="J38" s="36">
        <f>VLOOKUP($A38,[24]HISTONOV24!$A$6:$AQ$42,22,0)</f>
        <v>0</v>
      </c>
      <c r="K38" s="36">
        <f>VLOOKUP($A38,[24]HISTONOV24!$A$6:$AU$38,45,0)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VLOOKUP($A38,[24]HISTONOV24!$A$6:$AU$38,7,0)</f>
        <v>0</v>
      </c>
      <c r="Q38" s="36">
        <f>VLOOKUP($A38,[24]HISTONOV24!$A$6:$AU$38,23,0)</f>
        <v>0</v>
      </c>
      <c r="R38" s="36">
        <f>VLOOKUP($A38,[24]HISTONOV24!$A$6:$AU$38,46,0)</f>
        <v>0</v>
      </c>
      <c r="S38" s="36">
        <f>VLOOKUP($A38,[24]HISTONOV24!$A$6:$AU$38,26,0)</f>
        <v>0</v>
      </c>
      <c r="T38" s="36">
        <f>VLOOKUP($A38,[24]HISTONOV24!$A$6:$BG$38,58,0)</f>
        <v>0</v>
      </c>
      <c r="U38" s="36">
        <f>VLOOKUP($A38,[24]HISTONOV24!$A$6:$AU$38,28,0)</f>
        <v>0</v>
      </c>
      <c r="V38" s="36">
        <f>VLOOKUP($A38,[24]HISTONOV24!$A$6:$AU$38,19,0)</f>
        <v>0</v>
      </c>
      <c r="W38" s="36">
        <f>VLOOKUP($A38,[24]HISTONOV24!$A$6:$AU$38,20,0)</f>
        <v>0</v>
      </c>
      <c r="X38" s="36">
        <f>VLOOKUP($A38,[24]HISTONOV24!$A$6:$AU$38,27,0)</f>
        <v>0</v>
      </c>
      <c r="Y38" s="36">
        <f>VLOOKUP($A38,[24]HISTONOV24!$A$6:$BM$38,33,0)</f>
        <v>0</v>
      </c>
      <c r="Z38" s="36">
        <f>VLOOKUP($A38,[24]HISTONOV24!$A$6:$BM$38,65,0)</f>
        <v>0</v>
      </c>
      <c r="AA38" s="36"/>
      <c r="AB38" s="36">
        <f>VLOOKUP($A38,[24]HISTONOV24!$A$6:$AU$38,43,0)</f>
        <v>0</v>
      </c>
      <c r="AC38" s="36">
        <f>VLOOKUP($A38,[24]HISTONOV24!$A$6:$AU$38,44,0)</f>
        <v>0</v>
      </c>
      <c r="AD38" s="36">
        <f>VLOOKUP($A38,[24]HISTONOV24!$A$6:$AU$38,47,0)</f>
        <v>0</v>
      </c>
      <c r="AE38" s="36">
        <f>VLOOKUP(A38,[24]HISTONOV24!$A$6:$BB$38,54,0)</f>
        <v>0</v>
      </c>
      <c r="AF38" s="36">
        <f>VLOOKUP($A38,[24]HISTONOV24!$A$6:$CA$38,60,0)</f>
        <v>0</v>
      </c>
      <c r="AG38" s="36">
        <f>VLOOKUP($A38,[24]HISTONOV24!$A$6:$CA$38,61,0)</f>
        <v>0</v>
      </c>
      <c r="AH38" s="36">
        <f>VLOOKUP($A38,[24]HISTONOV24!$A$6:$CA$38,62,0)</f>
        <v>0</v>
      </c>
      <c r="AI38" s="36">
        <f>VLOOKUP($A38,[24]HISTONOV24!$A$6:$CA$38,63,0)</f>
        <v>0</v>
      </c>
      <c r="AJ38" s="36">
        <f>VLOOKUP($A38,[24]HISTONOV24!$A$6:$CA$38,64,0)</f>
        <v>0</v>
      </c>
      <c r="AK38" s="36">
        <f>VLOOKUP($A38,[24]HISTONOV24!$A$6:$CA$38,65,0)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MVTOCT24!I39-E39+L39</f>
        <v>2192313.2142100567</v>
      </c>
      <c r="G39" s="5">
        <f>IF(MVTOCT24!I39+L39&gt;700000,(MVTOCT24!I39-E39+L39),0)</f>
        <v>2192313.2142100567</v>
      </c>
      <c r="H39" s="36">
        <f t="shared" si="0"/>
        <v>0</v>
      </c>
      <c r="I39" s="6">
        <f t="shared" si="2"/>
        <v>2192313.2142100567</v>
      </c>
      <c r="J39" s="36">
        <f>VLOOKUP($A39,[24]HISTONOV24!$A$6:$AQ$42,22,0)</f>
        <v>0</v>
      </c>
      <c r="K39" s="36">
        <f>VLOOKUP($A39,[24]HISTONOV24!$A$6:$AU$38,45,0)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VLOOKUP($A39,[24]HISTONOV24!$A$6:$AU$38,7,0)</f>
        <v>0</v>
      </c>
      <c r="Q39" s="36">
        <f>VLOOKUP($A39,[24]HISTONOV24!$A$6:$AU$38,23,0)</f>
        <v>0</v>
      </c>
      <c r="R39" s="36">
        <f>VLOOKUP($A39,[24]HISTONOV24!$A$6:$AU$38,46,0)</f>
        <v>0</v>
      </c>
      <c r="S39" s="36">
        <f>VLOOKUP($A39,[24]HISTONOV24!$A$6:$AU$38,26,0)</f>
        <v>0</v>
      </c>
      <c r="T39" s="36">
        <f>VLOOKUP($A39,[24]HISTONOV24!$A$6:$BG$38,58,0)</f>
        <v>0</v>
      </c>
      <c r="U39" s="36">
        <f>VLOOKUP($A39,[24]HISTONOV24!$A$6:$AU$38,28,0)</f>
        <v>0</v>
      </c>
      <c r="V39" s="36">
        <f>VLOOKUP($A39,[24]HISTONOV24!$A$6:$AU$38,19,0)</f>
        <v>0</v>
      </c>
      <c r="W39" s="36">
        <f>VLOOKUP($A39,[24]HISTONOV24!$A$6:$AU$38,20,0)</f>
        <v>0</v>
      </c>
      <c r="X39" s="36">
        <f>VLOOKUP($A39,[24]HISTONOV24!$A$6:$AU$38,27,0)</f>
        <v>0</v>
      </c>
      <c r="Y39" s="36">
        <f>VLOOKUP($A39,[24]HISTONOV24!$A$6:$BM$38,33,0)</f>
        <v>0</v>
      </c>
      <c r="Z39" s="36">
        <f>VLOOKUP($A39,[24]HISTONOV24!$A$6:$BM$38,65,0)</f>
        <v>0</v>
      </c>
      <c r="AA39" s="36"/>
      <c r="AB39" s="36">
        <f>VLOOKUP($A39,[24]HISTONOV24!$A$6:$AU$38,43,0)</f>
        <v>0</v>
      </c>
      <c r="AC39" s="36">
        <f>VLOOKUP($A39,[24]HISTONOV24!$A$6:$AU$38,44,0)</f>
        <v>0</v>
      </c>
      <c r="AD39" s="36">
        <f>VLOOKUP($A39,[24]HISTONOV24!$A$6:$AU$38,47,0)</f>
        <v>0</v>
      </c>
      <c r="AE39" s="36">
        <f>VLOOKUP(A39,[24]HISTONOV24!$A$6:$BB$38,54,0)</f>
        <v>0</v>
      </c>
      <c r="AF39" s="36">
        <f>VLOOKUP($A39,[24]HISTONOV24!$A$6:$CA$38,60,0)</f>
        <v>0</v>
      </c>
      <c r="AG39" s="36">
        <f>VLOOKUP($A39,[24]HISTONOV24!$A$6:$CA$38,61,0)</f>
        <v>0</v>
      </c>
      <c r="AH39" s="36">
        <f>VLOOKUP($A39,[24]HISTONOV24!$A$6:$CA$38,62,0)</f>
        <v>0</v>
      </c>
      <c r="AI39" s="36">
        <f>VLOOKUP($A39,[24]HISTONOV24!$A$6:$CA$38,63,0)</f>
        <v>0</v>
      </c>
      <c r="AJ39" s="36">
        <f>VLOOKUP($A39,[24]HISTONOV24!$A$6:$CA$38,64,0)</f>
        <v>0</v>
      </c>
      <c r="AK39" s="36">
        <f>VLOOKUP($A39,[24]HISTONOV24!$A$6:$CA$38,65,0)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33576656.655274987</v>
      </c>
      <c r="G41" s="9">
        <f t="shared" si="10"/>
        <v>31559439.524547949</v>
      </c>
      <c r="H41" s="36">
        <f t="shared" si="10"/>
        <v>0</v>
      </c>
      <c r="I41" s="9">
        <f t="shared" si="10"/>
        <v>33576656.655274987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45613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VLOOKUP($A6,[24]HISTONOV24!$A$6:$BA$38,48,0)</f>
        <v>0</v>
      </c>
      <c r="F6" s="36">
        <f>MVTOCT24!I6-E6+L6</f>
        <v>946220.58968855068</v>
      </c>
      <c r="G6" s="5">
        <f>IF(MVTOCT24!I6+L6&gt;700000,(MVTOCT24!I6-E6+L6),0)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VLOOKUP($A6,[24]HISTONOV24!$A$6:$AQ$42,22,0)</f>
        <v>0</v>
      </c>
      <c r="K6" s="36">
        <f>VLOOKUP($A6,[24]HISTONOV24!$A$6:$AU$38,45,0)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VLOOKUP($A6,[24]HISTONOV24!$A$6:$AU$38,7,0)</f>
        <v>0</v>
      </c>
      <c r="Q6" s="36">
        <f>VLOOKUP($A6,[24]HISTONOV24!$A$6:$AU$38,23,0)</f>
        <v>0</v>
      </c>
      <c r="R6" s="36">
        <f>VLOOKUP($A6,[24]HISTONOV24!$A$6:$AU$38,46,0)</f>
        <v>0</v>
      </c>
      <c r="S6" s="36">
        <f>VLOOKUP($A6,[24]HISTONOV24!$A$6:$AU$38,26,0)</f>
        <v>0</v>
      </c>
      <c r="T6" s="36">
        <f>VLOOKUP($A6,[24]HISTONOV24!$A$6:$BG$38,58,0)</f>
        <v>0</v>
      </c>
      <c r="U6" s="36">
        <f>VLOOKUP($A6,[24]HISTONOV24!$A$6:$AU$38,28,0)</f>
        <v>0</v>
      </c>
      <c r="V6" s="36">
        <f>VLOOKUP($A6,[24]HISTONOV24!$A$6:$AU$38,19,0)</f>
        <v>0</v>
      </c>
      <c r="W6" s="36">
        <f>VLOOKUP($A6,[24]HISTONOV24!$A$6:$AU$38,20,0)</f>
        <v>0</v>
      </c>
      <c r="X6" s="36">
        <f>VLOOKUP($A6,[24]HISTONOV24!$A$6:$AU$38,27,0)</f>
        <v>0</v>
      </c>
      <c r="Y6" s="36">
        <f>VLOOKUP($A6,[24]HISTONOV24!$A$6:$BM$38,33,0)</f>
        <v>0</v>
      </c>
      <c r="Z6" s="36">
        <f>VLOOKUP($A6,[24]HISTONOV24!$A$6:$BM$38,65,0)</f>
        <v>0</v>
      </c>
      <c r="AA6" s="36"/>
      <c r="AB6" s="36">
        <f>VLOOKUP($A6,[24]HISTONOV24!$A$6:$AU$38,43,0)</f>
        <v>0</v>
      </c>
      <c r="AC6" s="36">
        <f>VLOOKUP($A6,[24]HISTONOV24!$A$6:$AU$38,44,0)</f>
        <v>0</v>
      </c>
      <c r="AD6" s="36">
        <f>VLOOKUP($A6,[24]HISTONOV24!$A$6:$AU$38,47,0)</f>
        <v>0</v>
      </c>
      <c r="AE6" s="36">
        <f>VLOOKUP(A6,[24]HISTONOV24!$A$6:$BB$38,54,0)</f>
        <v>0</v>
      </c>
      <c r="AF6" s="36">
        <f>VLOOKUP($A6,[24]HISTONOV24!$A$6:$CA$38,60,0)</f>
        <v>0</v>
      </c>
      <c r="AG6" s="36">
        <f>VLOOKUP($A6,[24]HISTONOV24!$A$6:$CA$38,61,0)</f>
        <v>0</v>
      </c>
      <c r="AH6" s="36">
        <f>VLOOKUP($A6,[24]HISTONOV24!$A$6:$CA$38,62,0)</f>
        <v>0</v>
      </c>
      <c r="AI6" s="36">
        <f>VLOOKUP($A6,[24]HISTONOV24!$A$6:$CA$38,63,0)</f>
        <v>0</v>
      </c>
      <c r="AJ6" s="36">
        <f>VLOOKUP($A6,[24]HISTONOV24!$A$6:$CA$38,64,0)</f>
        <v>0</v>
      </c>
      <c r="AK6" s="36">
        <f>VLOOKUP($A6,[24]HISTONOV24!$A$6:$CA$38,65,0)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VLOOKUP($A7,[24]HISTONOV24!$A$6:$BA$38,48,0)</f>
        <v>0</v>
      </c>
      <c r="F7" s="36">
        <f>MVTOCT24!I7-E7+L7</f>
        <v>909791.19348721951</v>
      </c>
      <c r="G7" s="5">
        <f>IF(MVTOCT24!I7+L7&gt;700000,(MVTOCT24!I7-E7+L7),0)</f>
        <v>909791.19348721951</v>
      </c>
      <c r="H7" s="36">
        <f t="shared" si="0"/>
        <v>0</v>
      </c>
      <c r="I7" s="6">
        <f t="shared" ref="I7:I39" si="2">F7+H7</f>
        <v>909791.19348721951</v>
      </c>
      <c r="J7" s="36">
        <f>VLOOKUP($A7,[24]HISTONOV24!$A$6:$AQ$42,22,0)</f>
        <v>0</v>
      </c>
      <c r="K7" s="36">
        <f>VLOOKUP($A7,[24]HISTONOV24!$A$6:$AU$38,45,0)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VLOOKUP($A7,[24]HISTONOV24!$A$6:$AU$38,7,0)</f>
        <v>3000</v>
      </c>
      <c r="Q7" s="36">
        <f>VLOOKUP($A7,[24]HISTONOV24!$A$6:$AU$38,23,0)</f>
        <v>0</v>
      </c>
      <c r="R7" s="36">
        <f>VLOOKUP($A7,[24]HISTONOV24!$A$6:$AU$38,46,0)</f>
        <v>0</v>
      </c>
      <c r="S7" s="36">
        <f>VLOOKUP($A7,[24]HISTONOV24!$A$6:$AU$38,26,0)</f>
        <v>0</v>
      </c>
      <c r="T7" s="36">
        <f>VLOOKUP($A7,[24]HISTONOV24!$A$6:$BG$38,58,0)</f>
        <v>0</v>
      </c>
      <c r="U7" s="36">
        <f>VLOOKUP($A7,[24]HISTONOV24!$A$6:$AU$38,28,0)</f>
        <v>0</v>
      </c>
      <c r="V7" s="36">
        <f>VLOOKUP($A7,[24]HISTONOV24!$A$6:$AU$38,19,0)</f>
        <v>0</v>
      </c>
      <c r="W7" s="36">
        <f>VLOOKUP($A7,[24]HISTONOV24!$A$6:$AU$38,20,0)</f>
        <v>0</v>
      </c>
      <c r="X7" s="36">
        <f>VLOOKUP($A7,[24]HISTONOV24!$A$6:$AU$38,27,0)</f>
        <v>0</v>
      </c>
      <c r="Y7" s="36">
        <f>VLOOKUP($A7,[24]HISTONOV24!$A$6:$BM$38,33,0)</f>
        <v>0</v>
      </c>
      <c r="Z7" s="36">
        <f>VLOOKUP($A7,[24]HISTONOV24!$A$6:$BM$38,65,0)</f>
        <v>0</v>
      </c>
      <c r="AA7" s="36"/>
      <c r="AB7" s="36">
        <f>VLOOKUP($A7,[24]HISTONOV24!$A$6:$AU$38,43,0)</f>
        <v>0</v>
      </c>
      <c r="AC7" s="36">
        <f>VLOOKUP($A7,[24]HISTONOV24!$A$6:$AU$38,44,0)</f>
        <v>0</v>
      </c>
      <c r="AD7" s="36">
        <f>VLOOKUP($A7,[24]HISTONOV24!$A$6:$AU$38,47,0)</f>
        <v>0</v>
      </c>
      <c r="AE7" s="36">
        <f>VLOOKUP(A7,[24]HISTONOV24!$A$6:$BB$38,54,0)</f>
        <v>0</v>
      </c>
      <c r="AF7" s="36">
        <f>VLOOKUP($A7,[24]HISTONOV24!$A$6:$CA$38,60,0)</f>
        <v>0</v>
      </c>
      <c r="AG7" s="36">
        <f>VLOOKUP($A7,[24]HISTONOV24!$A$6:$CA$38,61,0)</f>
        <v>0</v>
      </c>
      <c r="AH7" s="36">
        <f>VLOOKUP($A7,[24]HISTONOV24!$A$6:$CA$38,62,0)</f>
        <v>0</v>
      </c>
      <c r="AI7" s="36">
        <f>VLOOKUP($A7,[24]HISTONOV24!$A$6:$CA$38,63,0)</f>
        <v>0</v>
      </c>
      <c r="AJ7" s="36">
        <f>VLOOKUP($A7,[24]HISTONOV24!$A$6:$CA$38,64,0)</f>
        <v>0</v>
      </c>
      <c r="AK7" s="36">
        <f>VLOOKUP($A7,[24]HISTONOV24!$A$6:$CA$38,65,0)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VLOOKUP($A8,[24]HISTONOV24!$A$6:$BA$38,48,0)</f>
        <v>0</v>
      </c>
      <c r="F8" s="36">
        <f>MVTOCT24!I8-E8+L8</f>
        <v>953533.31236524263</v>
      </c>
      <c r="G8" s="5">
        <f>IF(MVTOCT24!I8+L8&gt;700000,(MVTOCT24!I8-E8+L8),0)</f>
        <v>953533.31236524263</v>
      </c>
      <c r="H8" s="36">
        <f t="shared" si="0"/>
        <v>0</v>
      </c>
      <c r="I8" s="6">
        <f t="shared" si="2"/>
        <v>953533.31236524263</v>
      </c>
      <c r="J8" s="36">
        <f>VLOOKUP($A8,[24]HISTONOV24!$A$6:$AQ$42,22,0)</f>
        <v>0</v>
      </c>
      <c r="K8" s="36">
        <f>VLOOKUP($A8,[24]HISTONOV24!$A$6:$AU$38,45,0)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VLOOKUP($A8,[24]HISTONOV24!$A$6:$AU$38,7,0)</f>
        <v>0</v>
      </c>
      <c r="Q8" s="36">
        <f>VLOOKUP($A8,[24]HISTONOV24!$A$6:$AU$38,23,0)</f>
        <v>0</v>
      </c>
      <c r="R8" s="36">
        <f>VLOOKUP($A8,[24]HISTONOV24!$A$6:$AU$38,46,0)</f>
        <v>0</v>
      </c>
      <c r="S8" s="36">
        <f>VLOOKUP($A8,[24]HISTONOV24!$A$6:$AU$38,26,0)</f>
        <v>0</v>
      </c>
      <c r="T8" s="36">
        <f>VLOOKUP($A8,[24]HISTONOV24!$A$6:$BG$38,58,0)</f>
        <v>0</v>
      </c>
      <c r="U8" s="36">
        <f>VLOOKUP($A8,[24]HISTONOV24!$A$6:$AU$38,28,0)</f>
        <v>0</v>
      </c>
      <c r="V8" s="36">
        <f>VLOOKUP($A8,[24]HISTONOV24!$A$6:$AU$38,19,0)</f>
        <v>0</v>
      </c>
      <c r="W8" s="36">
        <f>VLOOKUP($A8,[24]HISTONOV24!$A$6:$AU$38,20,0)</f>
        <v>0</v>
      </c>
      <c r="X8" s="36">
        <f>VLOOKUP($A8,[24]HISTONOV24!$A$6:$AU$38,27,0)</f>
        <v>0</v>
      </c>
      <c r="Y8" s="36">
        <f>VLOOKUP($A8,[24]HISTONOV24!$A$6:$BM$38,33,0)</f>
        <v>0</v>
      </c>
      <c r="Z8" s="36">
        <f>VLOOKUP($A8,[24]HISTONOV24!$A$6:$BM$38,65,0)</f>
        <v>0</v>
      </c>
      <c r="AA8" s="36"/>
      <c r="AB8" s="36">
        <f>VLOOKUP($A8,[24]HISTONOV24!$A$6:$AU$38,43,0)</f>
        <v>0</v>
      </c>
      <c r="AC8" s="36">
        <f>VLOOKUP($A8,[24]HISTONOV24!$A$6:$AU$38,44,0)</f>
        <v>0</v>
      </c>
      <c r="AD8" s="36">
        <f>VLOOKUP($A8,[24]HISTONOV24!$A$6:$AU$38,47,0)</f>
        <v>0</v>
      </c>
      <c r="AE8" s="36">
        <f>VLOOKUP(A8,[24]HISTONOV24!$A$6:$BB$38,54,0)</f>
        <v>0</v>
      </c>
      <c r="AF8" s="36">
        <f>VLOOKUP($A8,[24]HISTONOV24!$A$6:$CA$38,60,0)</f>
        <v>0</v>
      </c>
      <c r="AG8" s="36">
        <f>VLOOKUP($A8,[24]HISTONOV24!$A$6:$CA$38,61,0)</f>
        <v>0</v>
      </c>
      <c r="AH8" s="36">
        <f>VLOOKUP($A8,[24]HISTONOV24!$A$6:$CA$38,62,0)</f>
        <v>0</v>
      </c>
      <c r="AI8" s="36">
        <f>VLOOKUP($A8,[24]HISTONOV24!$A$6:$CA$38,63,0)</f>
        <v>0</v>
      </c>
      <c r="AJ8" s="36">
        <f>VLOOKUP($A8,[24]HISTONOV24!$A$6:$CA$38,64,0)</f>
        <v>0</v>
      </c>
      <c r="AK8" s="36">
        <f>VLOOKUP($A8,[24]HISTONOV24!$A$6:$CA$38,65,0)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VLOOKUP($A9,[24]HISTONOV24!$A$6:$BA$38,48,0)</f>
        <v>0</v>
      </c>
      <c r="F9" s="36">
        <f>MVTOCT24!I9-E9+L9</f>
        <v>1010962.0068681776</v>
      </c>
      <c r="G9" s="5">
        <f>IF(MVTOCT24!I9+L9&gt;700000,(MVTOCT24!I9-E9+L9),0)</f>
        <v>1010962.0068681776</v>
      </c>
      <c r="H9" s="36">
        <f t="shared" si="0"/>
        <v>0</v>
      </c>
      <c r="I9" s="6">
        <f t="shared" si="2"/>
        <v>1010962.0068681776</v>
      </c>
      <c r="J9" s="36">
        <f>VLOOKUP($A9,[24]HISTONOV24!$A$6:$AQ$42,22,0)</f>
        <v>0</v>
      </c>
      <c r="K9" s="36">
        <f>VLOOKUP($A9,[24]HISTONOV24!$A$6:$AU$38,45,0)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VLOOKUP($A9,[24]HISTONOV24!$A$6:$AU$38,7,0)</f>
        <v>0</v>
      </c>
      <c r="Q9" s="36">
        <f>VLOOKUP($A9,[24]HISTONOV24!$A$6:$AU$38,23,0)</f>
        <v>0</v>
      </c>
      <c r="R9" s="36">
        <f>VLOOKUP($A9,[24]HISTONOV24!$A$6:$AU$38,46,0)</f>
        <v>0</v>
      </c>
      <c r="S9" s="36">
        <f>VLOOKUP($A9,[24]HISTONOV24!$A$6:$AU$38,26,0)</f>
        <v>0</v>
      </c>
      <c r="T9" s="36">
        <f>VLOOKUP($A9,[24]HISTONOV24!$A$6:$BG$38,58,0)</f>
        <v>0</v>
      </c>
      <c r="U9" s="36">
        <f>VLOOKUP($A9,[24]HISTONOV24!$A$6:$AU$38,28,0)</f>
        <v>0</v>
      </c>
      <c r="V9" s="36">
        <f>VLOOKUP($A9,[24]HISTONOV24!$A$6:$AU$38,19,0)</f>
        <v>0</v>
      </c>
      <c r="W9" s="36">
        <f>VLOOKUP($A9,[24]HISTONOV24!$A$6:$AU$38,20,0)</f>
        <v>0</v>
      </c>
      <c r="X9" s="36">
        <f>VLOOKUP($A9,[24]HISTONOV24!$A$6:$AU$38,27,0)</f>
        <v>0</v>
      </c>
      <c r="Y9" s="36">
        <f>VLOOKUP($A9,[24]HISTONOV24!$A$6:$BM$38,33,0)</f>
        <v>0</v>
      </c>
      <c r="Z9" s="36">
        <f>VLOOKUP($A9,[24]HISTONOV24!$A$6:$BM$38,65,0)</f>
        <v>0</v>
      </c>
      <c r="AA9" s="36"/>
      <c r="AB9" s="36">
        <f>VLOOKUP($A9,[24]HISTONOV24!$A$6:$AU$38,43,0)</f>
        <v>0</v>
      </c>
      <c r="AC9" s="36">
        <f>VLOOKUP($A9,[24]HISTONOV24!$A$6:$AU$38,44,0)</f>
        <v>0</v>
      </c>
      <c r="AD9" s="36">
        <f>VLOOKUP($A9,[24]HISTONOV24!$A$6:$AU$38,47,0)</f>
        <v>0</v>
      </c>
      <c r="AE9" s="36">
        <f>VLOOKUP(A9,[24]HISTONOV24!$A$6:$BB$38,54,0)</f>
        <v>0</v>
      </c>
      <c r="AF9" s="36">
        <f>VLOOKUP($A9,[24]HISTONOV24!$A$6:$CA$38,60,0)</f>
        <v>0</v>
      </c>
      <c r="AG9" s="36">
        <f>VLOOKUP($A9,[24]HISTONOV24!$A$6:$CA$38,61,0)</f>
        <v>0</v>
      </c>
      <c r="AH9" s="36">
        <f>VLOOKUP($A9,[24]HISTONOV24!$A$6:$CA$38,62,0)</f>
        <v>0</v>
      </c>
      <c r="AI9" s="36">
        <f>VLOOKUP($A9,[24]HISTONOV24!$A$6:$CA$38,63,0)</f>
        <v>0</v>
      </c>
      <c r="AJ9" s="36">
        <f>VLOOKUP($A9,[24]HISTONOV24!$A$6:$CA$38,64,0)</f>
        <v>0</v>
      </c>
      <c r="AK9" s="36">
        <f>VLOOKUP($A9,[24]HISTONOV24!$A$6:$CA$38,65,0)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VLOOKUP($A10,[24]HISTONOV24!$A$6:$BA$38,48,0)</f>
        <v>0</v>
      </c>
      <c r="F10" s="36">
        <f>MVTOCT24!I10-E10+L10</f>
        <v>950805.20622596238</v>
      </c>
      <c r="G10" s="5">
        <f>IF(MVTOCT24!I10+L10&gt;700000,(MVTOCT24!I10-E10+L10),0)</f>
        <v>950805.20622596238</v>
      </c>
      <c r="H10" s="36">
        <f t="shared" si="0"/>
        <v>0</v>
      </c>
      <c r="I10" s="6">
        <f t="shared" si="2"/>
        <v>950805.20622596238</v>
      </c>
      <c r="J10" s="36">
        <f>VLOOKUP($A10,[24]HISTONOV24!$A$6:$AQ$42,22,0)</f>
        <v>0</v>
      </c>
      <c r="K10" s="36">
        <f>VLOOKUP($A10,[24]HISTONOV24!$A$6:$AU$38,45,0)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VLOOKUP($A10,[24]HISTONOV24!$A$6:$AU$38,7,0)</f>
        <v>0</v>
      </c>
      <c r="Q10" s="36">
        <f>VLOOKUP($A10,[24]HISTONOV24!$A$6:$AU$38,23,0)</f>
        <v>0</v>
      </c>
      <c r="R10" s="36">
        <f>VLOOKUP($A10,[24]HISTONOV24!$A$6:$AU$38,46,0)</f>
        <v>0</v>
      </c>
      <c r="S10" s="36">
        <f>VLOOKUP($A10,[24]HISTONOV24!$A$6:$AU$38,26,0)</f>
        <v>0</v>
      </c>
      <c r="T10" s="36">
        <f>VLOOKUP($A10,[24]HISTONOV24!$A$6:$BG$38,58,0)</f>
        <v>0</v>
      </c>
      <c r="U10" s="36">
        <f>VLOOKUP($A10,[24]HISTONOV24!$A$6:$AU$38,28,0)</f>
        <v>0</v>
      </c>
      <c r="V10" s="36">
        <f>VLOOKUP($A10,[24]HISTONOV24!$A$6:$AU$38,19,0)</f>
        <v>0</v>
      </c>
      <c r="W10" s="36">
        <f>VLOOKUP($A10,[24]HISTONOV24!$A$6:$AU$38,20,0)</f>
        <v>0</v>
      </c>
      <c r="X10" s="36">
        <f>VLOOKUP($A10,[24]HISTONOV24!$A$6:$AU$38,27,0)</f>
        <v>0</v>
      </c>
      <c r="Y10" s="36">
        <f>VLOOKUP($A10,[24]HISTONOV24!$A$6:$BM$38,33,0)</f>
        <v>0</v>
      </c>
      <c r="Z10" s="36">
        <f>VLOOKUP($A10,[24]HISTONOV24!$A$6:$BM$38,65,0)</f>
        <v>0</v>
      </c>
      <c r="AA10" s="36"/>
      <c r="AB10" s="36">
        <f>VLOOKUP($A10,[24]HISTONOV24!$A$6:$AU$38,43,0)</f>
        <v>0</v>
      </c>
      <c r="AC10" s="36">
        <f>VLOOKUP($A10,[24]HISTONOV24!$A$6:$AU$38,44,0)</f>
        <v>0</v>
      </c>
      <c r="AD10" s="36">
        <f>VLOOKUP($A10,[24]HISTONOV24!$A$6:$AU$38,47,0)</f>
        <v>0</v>
      </c>
      <c r="AE10" s="36">
        <f>VLOOKUP(A10,[24]HISTONOV24!$A$6:$BB$38,54,0)</f>
        <v>0</v>
      </c>
      <c r="AF10" s="36">
        <f>VLOOKUP($A10,[24]HISTONOV24!$A$6:$CA$38,60,0)</f>
        <v>0</v>
      </c>
      <c r="AG10" s="36">
        <f>VLOOKUP($A10,[24]HISTONOV24!$A$6:$CA$38,61,0)</f>
        <v>0</v>
      </c>
      <c r="AH10" s="36">
        <f>VLOOKUP($A10,[24]HISTONOV24!$A$6:$CA$38,62,0)</f>
        <v>0</v>
      </c>
      <c r="AI10" s="36">
        <f>VLOOKUP($A10,[24]HISTONOV24!$A$6:$CA$38,63,0)</f>
        <v>0</v>
      </c>
      <c r="AJ10" s="36">
        <f>VLOOKUP($A10,[24]HISTONOV24!$A$6:$CA$38,64,0)</f>
        <v>0</v>
      </c>
      <c r="AK10" s="36">
        <f>VLOOKUP($A10,[24]HISTONOV24!$A$6:$CA$38,65,0)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VLOOKUP($A11,[24]HISTONOV24!$A$6:$BA$38,48,0)</f>
        <v>0</v>
      </c>
      <c r="F11" s="36">
        <f>MVTOCT24!I11-E11+L11</f>
        <v>968855.82895949238</v>
      </c>
      <c r="G11" s="5">
        <f>IF(MVTOCT24!I11+L11&gt;700000,(MVTOCT24!I11-E11+L11),0)</f>
        <v>968855.82895949238</v>
      </c>
      <c r="H11" s="36">
        <f t="shared" si="0"/>
        <v>0</v>
      </c>
      <c r="I11" s="6">
        <f t="shared" si="2"/>
        <v>968855.82895949238</v>
      </c>
      <c r="J11" s="36">
        <f>VLOOKUP($A11,[24]HISTONOV24!$A$6:$AQ$42,22,0)</f>
        <v>0</v>
      </c>
      <c r="K11" s="36">
        <f>VLOOKUP($A11,[24]HISTONOV24!$A$6:$AU$38,45,0)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VLOOKUP($A11,[24]HISTONOV24!$A$6:$AU$38,7,0)</f>
        <v>0</v>
      </c>
      <c r="Q11" s="36">
        <f>VLOOKUP($A11,[24]HISTONOV24!$A$6:$AU$38,23,0)</f>
        <v>0</v>
      </c>
      <c r="R11" s="36">
        <f>VLOOKUP($A11,[24]HISTONOV24!$A$6:$AU$38,46,0)</f>
        <v>0</v>
      </c>
      <c r="S11" s="36">
        <f>VLOOKUP($A11,[24]HISTONOV24!$A$6:$AU$38,26,0)</f>
        <v>0</v>
      </c>
      <c r="T11" s="36">
        <f>VLOOKUP($A11,[24]HISTONOV24!$A$6:$BG$38,58,0)</f>
        <v>0</v>
      </c>
      <c r="U11" s="36">
        <f>VLOOKUP($A11,[24]HISTONOV24!$A$6:$AU$38,28,0)</f>
        <v>0</v>
      </c>
      <c r="V11" s="36">
        <f>VLOOKUP($A11,[24]HISTONOV24!$A$6:$AU$38,19,0)</f>
        <v>0</v>
      </c>
      <c r="W11" s="36">
        <f>VLOOKUP($A11,[24]HISTONOV24!$A$6:$AU$38,20,0)</f>
        <v>0</v>
      </c>
      <c r="X11" s="36">
        <f>VLOOKUP($A11,[24]HISTONOV24!$A$6:$AU$38,27,0)</f>
        <v>0</v>
      </c>
      <c r="Y11" s="36">
        <f>VLOOKUP($A11,[24]HISTONOV24!$A$6:$BM$38,33,0)</f>
        <v>0</v>
      </c>
      <c r="Z11" s="36">
        <f>VLOOKUP($A11,[24]HISTONOV24!$A$6:$BM$38,65,0)</f>
        <v>0</v>
      </c>
      <c r="AA11" s="36"/>
      <c r="AB11" s="36">
        <f>VLOOKUP($A11,[24]HISTONOV24!$A$6:$AU$38,43,0)</f>
        <v>0</v>
      </c>
      <c r="AC11" s="36">
        <f>VLOOKUP($A11,[24]HISTONOV24!$A$6:$AU$38,44,0)</f>
        <v>0</v>
      </c>
      <c r="AD11" s="36">
        <f>VLOOKUP($A11,[24]HISTONOV24!$A$6:$AU$38,47,0)</f>
        <v>0</v>
      </c>
      <c r="AE11" s="36">
        <f>VLOOKUP(A11,[24]HISTONOV24!$A$6:$BB$38,54,0)</f>
        <v>0</v>
      </c>
      <c r="AF11" s="36">
        <f>VLOOKUP($A11,[24]HISTONOV24!$A$6:$CA$38,60,0)</f>
        <v>0</v>
      </c>
      <c r="AG11" s="36">
        <f>VLOOKUP($A11,[24]HISTONOV24!$A$6:$CA$38,61,0)</f>
        <v>0</v>
      </c>
      <c r="AH11" s="36">
        <f>VLOOKUP($A11,[24]HISTONOV24!$A$6:$CA$38,62,0)</f>
        <v>0</v>
      </c>
      <c r="AI11" s="36">
        <f>VLOOKUP($A11,[24]HISTONOV24!$A$6:$CA$38,63,0)</f>
        <v>0</v>
      </c>
      <c r="AJ11" s="36">
        <f>VLOOKUP($A11,[24]HISTONOV24!$A$6:$CA$38,64,0)</f>
        <v>0</v>
      </c>
      <c r="AK11" s="36">
        <f>VLOOKUP($A11,[24]HISTONOV24!$A$6:$CA$38,65,0)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VLOOKUP($A12,[24]HISTONOV24!$A$6:$BA$38,48,0)</f>
        <v>0</v>
      </c>
      <c r="F12" s="36">
        <f>MVTOCT24!I12-E12+L12</f>
        <v>992100.14741339569</v>
      </c>
      <c r="G12" s="5">
        <f>IF(MVTOCT24!I12+L12&gt;700000,(MVTOCT24!I12-E12+L12),0)</f>
        <v>992100.14741339569</v>
      </c>
      <c r="H12" s="36">
        <f t="shared" si="0"/>
        <v>0</v>
      </c>
      <c r="I12" s="6">
        <f t="shared" si="2"/>
        <v>992100.14741339569</v>
      </c>
      <c r="J12" s="36">
        <f>VLOOKUP($A12,[24]HISTONOV24!$A$6:$AQ$42,22,0)</f>
        <v>0</v>
      </c>
      <c r="K12" s="36">
        <f>VLOOKUP($A12,[24]HISTONOV24!$A$6:$AU$38,45,0)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VLOOKUP($A12,[24]HISTONOV24!$A$6:$AU$38,7,0)</f>
        <v>0</v>
      </c>
      <c r="Q12" s="36">
        <f>VLOOKUP($A12,[24]HISTONOV24!$A$6:$AU$38,23,0)</f>
        <v>0</v>
      </c>
      <c r="R12" s="36">
        <f>VLOOKUP($A12,[24]HISTONOV24!$A$6:$AU$38,46,0)</f>
        <v>0</v>
      </c>
      <c r="S12" s="36">
        <f>VLOOKUP($A12,[24]HISTONOV24!$A$6:$AU$38,26,0)</f>
        <v>0</v>
      </c>
      <c r="T12" s="36">
        <f>VLOOKUP($A12,[24]HISTONOV24!$A$6:$BG$38,58,0)</f>
        <v>0</v>
      </c>
      <c r="U12" s="36">
        <f>VLOOKUP($A12,[24]HISTONOV24!$A$6:$AU$38,28,0)</f>
        <v>0</v>
      </c>
      <c r="V12" s="36">
        <f>VLOOKUP($A12,[24]HISTONOV24!$A$6:$AU$38,19,0)</f>
        <v>0</v>
      </c>
      <c r="W12" s="36">
        <f>VLOOKUP($A12,[24]HISTONOV24!$A$6:$AU$38,20,0)</f>
        <v>0</v>
      </c>
      <c r="X12" s="36">
        <f>VLOOKUP($A12,[24]HISTONOV24!$A$6:$AU$38,27,0)</f>
        <v>0</v>
      </c>
      <c r="Y12" s="36">
        <f>VLOOKUP($A12,[24]HISTONOV24!$A$6:$BM$38,33,0)</f>
        <v>0</v>
      </c>
      <c r="Z12" s="36">
        <f>VLOOKUP($A12,[24]HISTONOV24!$A$6:$BM$38,65,0)</f>
        <v>0</v>
      </c>
      <c r="AA12" s="36"/>
      <c r="AB12" s="36">
        <f>VLOOKUP($A12,[24]HISTONOV24!$A$6:$AU$38,43,0)</f>
        <v>0</v>
      </c>
      <c r="AC12" s="36">
        <f>VLOOKUP($A12,[24]HISTONOV24!$A$6:$AU$38,44,0)</f>
        <v>0</v>
      </c>
      <c r="AD12" s="36">
        <f>VLOOKUP($A12,[24]HISTONOV24!$A$6:$AU$38,47,0)</f>
        <v>0</v>
      </c>
      <c r="AE12" s="36">
        <f>VLOOKUP(A12,[24]HISTONOV24!$A$6:$BB$38,54,0)</f>
        <v>0</v>
      </c>
      <c r="AF12" s="36">
        <f>VLOOKUP($A12,[24]HISTONOV24!$A$6:$CA$38,60,0)</f>
        <v>0</v>
      </c>
      <c r="AG12" s="36">
        <f>VLOOKUP($A12,[24]HISTONOV24!$A$6:$CA$38,61,0)</f>
        <v>0</v>
      </c>
      <c r="AH12" s="36">
        <f>VLOOKUP($A12,[24]HISTONOV24!$A$6:$CA$38,62,0)</f>
        <v>0</v>
      </c>
      <c r="AI12" s="36">
        <f>VLOOKUP($A12,[24]HISTONOV24!$A$6:$CA$38,63,0)</f>
        <v>0</v>
      </c>
      <c r="AJ12" s="36">
        <f>VLOOKUP($A12,[24]HISTONOV24!$A$6:$CA$38,64,0)</f>
        <v>0</v>
      </c>
      <c r="AK12" s="36">
        <f>VLOOKUP($A12,[24]HISTONOV24!$A$6:$CA$38,65,0)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VLOOKUP($A13,[24]HISTONOV24!$A$6:$BA$38,48,0)</f>
        <v>0</v>
      </c>
      <c r="F13" s="36">
        <f>MVTOCT24!I13-E13+L13</f>
        <v>956555.14612214814</v>
      </c>
      <c r="G13" s="5">
        <f>IF(MVTOCT24!I13+L13&gt;700000,(MVTOCT24!I13-E13+L13),0)</f>
        <v>956555.14612214814</v>
      </c>
      <c r="H13" s="36">
        <f t="shared" si="0"/>
        <v>0</v>
      </c>
      <c r="I13" s="6">
        <f t="shared" si="2"/>
        <v>956555.14612214814</v>
      </c>
      <c r="J13" s="36">
        <f>VLOOKUP($A13,[24]HISTONOV24!$A$6:$AQ$42,22,0)</f>
        <v>0</v>
      </c>
      <c r="K13" s="36">
        <f>VLOOKUP($A13,[24]HISTONOV24!$A$6:$AU$38,45,0)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VLOOKUP($A13,[24]HISTONOV24!$A$6:$AU$38,7,0)</f>
        <v>0</v>
      </c>
      <c r="Q13" s="36">
        <f>VLOOKUP($A13,[24]HISTONOV24!$A$6:$AU$38,23,0)</f>
        <v>0</v>
      </c>
      <c r="R13" s="36">
        <f>VLOOKUP($A13,[24]HISTONOV24!$A$6:$AU$38,46,0)</f>
        <v>0</v>
      </c>
      <c r="S13" s="36">
        <f>VLOOKUP($A13,[24]HISTONOV24!$A$6:$AU$38,26,0)</f>
        <v>0</v>
      </c>
      <c r="T13" s="36">
        <f>VLOOKUP($A13,[24]HISTONOV24!$A$6:$BG$38,58,0)</f>
        <v>0</v>
      </c>
      <c r="U13" s="36">
        <f>VLOOKUP($A13,[24]HISTONOV24!$A$6:$AU$38,28,0)</f>
        <v>0</v>
      </c>
      <c r="V13" s="36">
        <f>VLOOKUP($A13,[24]HISTONOV24!$A$6:$AU$38,19,0)</f>
        <v>0</v>
      </c>
      <c r="W13" s="36">
        <f>VLOOKUP($A13,[24]HISTONOV24!$A$6:$AU$38,20,0)</f>
        <v>0</v>
      </c>
      <c r="X13" s="36">
        <f>VLOOKUP($A13,[24]HISTONOV24!$A$6:$AU$38,27,0)</f>
        <v>0</v>
      </c>
      <c r="Y13" s="36">
        <f>VLOOKUP($A13,[24]HISTONOV24!$A$6:$BM$38,33,0)</f>
        <v>0</v>
      </c>
      <c r="Z13" s="36">
        <f>VLOOKUP($A13,[24]HISTONOV24!$A$6:$BM$38,65,0)</f>
        <v>0</v>
      </c>
      <c r="AA13" s="36"/>
      <c r="AB13" s="36">
        <f>VLOOKUP($A13,[24]HISTONOV24!$A$6:$AU$38,43,0)</f>
        <v>0</v>
      </c>
      <c r="AC13" s="36">
        <f>VLOOKUP($A13,[24]HISTONOV24!$A$6:$AU$38,44,0)</f>
        <v>0</v>
      </c>
      <c r="AD13" s="36">
        <f>VLOOKUP($A13,[24]HISTONOV24!$A$6:$AU$38,47,0)</f>
        <v>0</v>
      </c>
      <c r="AE13" s="36">
        <f>VLOOKUP(A13,[24]HISTONOV24!$A$6:$BB$38,54,0)</f>
        <v>0</v>
      </c>
      <c r="AF13" s="36">
        <f>VLOOKUP($A13,[24]HISTONOV24!$A$6:$CA$38,60,0)</f>
        <v>0</v>
      </c>
      <c r="AG13" s="36">
        <f>VLOOKUP($A13,[24]HISTONOV24!$A$6:$CA$38,61,0)</f>
        <v>0</v>
      </c>
      <c r="AH13" s="36">
        <f>VLOOKUP($A13,[24]HISTONOV24!$A$6:$CA$38,62,0)</f>
        <v>0</v>
      </c>
      <c r="AI13" s="36">
        <f>VLOOKUP($A13,[24]HISTONOV24!$A$6:$CA$38,63,0)</f>
        <v>0</v>
      </c>
      <c r="AJ13" s="36">
        <f>VLOOKUP($A13,[24]HISTONOV24!$A$6:$CA$38,64,0)</f>
        <v>0</v>
      </c>
      <c r="AK13" s="36">
        <f>VLOOKUP($A13,[24]HISTONOV24!$A$6:$CA$38,65,0)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VLOOKUP($A14,[24]HISTONOV24!$A$6:$BA$38,48,0)</f>
        <v>0</v>
      </c>
      <c r="F14" s="36">
        <f>MVTOCT24!I14-E14+L14</f>
        <v>1509425.9823482623</v>
      </c>
      <c r="G14" s="5">
        <f>IF(MVTOCT24!I14+L14&gt;700000,(MVTOCT24!I14-E14+L14),0)</f>
        <v>1509425.9823482623</v>
      </c>
      <c r="H14" s="36">
        <f t="shared" si="0"/>
        <v>0</v>
      </c>
      <c r="I14" s="6">
        <f t="shared" si="2"/>
        <v>1509425.9823482623</v>
      </c>
      <c r="J14" s="36">
        <f>VLOOKUP($A14,[24]HISTONOV24!$A$6:$AQ$42,22,0)</f>
        <v>0</v>
      </c>
      <c r="K14" s="36">
        <f>VLOOKUP($A14,[24]HISTONOV24!$A$6:$AU$38,45,0)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VLOOKUP($A14,[24]HISTONOV24!$A$6:$AU$38,7,0)</f>
        <v>0</v>
      </c>
      <c r="Q14" s="36">
        <f>VLOOKUP($A14,[24]HISTONOV24!$A$6:$AU$38,23,0)</f>
        <v>0</v>
      </c>
      <c r="R14" s="36">
        <f>VLOOKUP($A14,[24]HISTONOV24!$A$6:$AU$38,46,0)</f>
        <v>0</v>
      </c>
      <c r="S14" s="36">
        <f>VLOOKUP($A14,[24]HISTONOV24!$A$6:$AU$38,26,0)</f>
        <v>0</v>
      </c>
      <c r="T14" s="36">
        <f>VLOOKUP($A14,[24]HISTONOV24!$A$6:$BG$38,58,0)</f>
        <v>0</v>
      </c>
      <c r="U14" s="36">
        <f>VLOOKUP($A14,[24]HISTONOV24!$A$6:$AU$38,28,0)</f>
        <v>0</v>
      </c>
      <c r="V14" s="36">
        <f>VLOOKUP($A14,[24]HISTONOV24!$A$6:$AU$38,19,0)</f>
        <v>0</v>
      </c>
      <c r="W14" s="36">
        <f>VLOOKUP($A14,[24]HISTONOV24!$A$6:$AU$38,20,0)</f>
        <v>0</v>
      </c>
      <c r="X14" s="36">
        <f>VLOOKUP($A14,[24]HISTONOV24!$A$6:$AU$38,27,0)</f>
        <v>0</v>
      </c>
      <c r="Y14" s="36">
        <f>VLOOKUP($A14,[24]HISTONOV24!$A$6:$BM$38,33,0)</f>
        <v>0</v>
      </c>
      <c r="Z14" s="36">
        <f>VLOOKUP($A14,[24]HISTONOV24!$A$6:$BM$38,65,0)</f>
        <v>0</v>
      </c>
      <c r="AA14" s="36"/>
      <c r="AB14" s="36">
        <f>VLOOKUP($A14,[24]HISTONOV24!$A$6:$AU$38,43,0)</f>
        <v>0</v>
      </c>
      <c r="AC14" s="36">
        <f>VLOOKUP($A14,[24]HISTONOV24!$A$6:$AU$38,44,0)</f>
        <v>0</v>
      </c>
      <c r="AD14" s="36">
        <f>VLOOKUP($A14,[24]HISTONOV24!$A$6:$AU$38,47,0)</f>
        <v>0</v>
      </c>
      <c r="AE14" s="36">
        <f>VLOOKUP(A14,[24]HISTONOV24!$A$6:$BB$38,54,0)</f>
        <v>0</v>
      </c>
      <c r="AF14" s="36">
        <f>VLOOKUP($A14,[24]HISTONOV24!$A$6:$CA$38,60,0)</f>
        <v>0</v>
      </c>
      <c r="AG14" s="36">
        <f>VLOOKUP($A14,[24]HISTONOV24!$A$6:$CA$38,61,0)</f>
        <v>0</v>
      </c>
      <c r="AH14" s="36">
        <f>VLOOKUP($A14,[24]HISTONOV24!$A$6:$CA$38,62,0)</f>
        <v>0</v>
      </c>
      <c r="AI14" s="36">
        <f>VLOOKUP($A14,[24]HISTONOV24!$A$6:$CA$38,63,0)</f>
        <v>0</v>
      </c>
      <c r="AJ14" s="36">
        <f>VLOOKUP($A14,[24]HISTONOV24!$A$6:$CA$38,64,0)</f>
        <v>0</v>
      </c>
      <c r="AK14" s="36">
        <f>VLOOKUP($A14,[24]HISTONOV24!$A$6:$CA$38,65,0)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VLOOKUP($A15,[24]HISTONOV24!$A$6:$BA$38,48,0)</f>
        <v>0</v>
      </c>
      <c r="F15" s="36">
        <f>MVTOCT24!I15-E15+L15</f>
        <v>1018309.6215381094</v>
      </c>
      <c r="G15" s="5">
        <f>IF(MVTOCT24!I15+L15&gt;700000,(MVTOCT24!I15-E15+L15),0)</f>
        <v>1018309.6215381094</v>
      </c>
      <c r="H15" s="36">
        <f t="shared" si="0"/>
        <v>0</v>
      </c>
      <c r="I15" s="6">
        <f t="shared" si="2"/>
        <v>1018309.6215381094</v>
      </c>
      <c r="J15" s="36">
        <f>VLOOKUP($A15,[24]HISTONOV24!$A$6:$AQ$42,22,0)</f>
        <v>0</v>
      </c>
      <c r="K15" s="36">
        <f>VLOOKUP($A15,[24]HISTONOV24!$A$6:$AU$38,45,0)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VLOOKUP($A15,[24]HISTONOV24!$A$6:$AU$38,7,0)</f>
        <v>0</v>
      </c>
      <c r="Q15" s="36">
        <f>VLOOKUP($A15,[24]HISTONOV24!$A$6:$AU$38,23,0)</f>
        <v>0</v>
      </c>
      <c r="R15" s="36">
        <f>VLOOKUP($A15,[24]HISTONOV24!$A$6:$AU$38,46,0)</f>
        <v>0</v>
      </c>
      <c r="S15" s="36">
        <f>VLOOKUP($A15,[24]HISTONOV24!$A$6:$AU$38,26,0)</f>
        <v>0</v>
      </c>
      <c r="T15" s="36">
        <f>VLOOKUP($A15,[24]HISTONOV24!$A$6:$BG$38,58,0)</f>
        <v>0</v>
      </c>
      <c r="U15" s="36">
        <f>VLOOKUP($A15,[24]HISTONOV24!$A$6:$AU$38,28,0)</f>
        <v>0</v>
      </c>
      <c r="V15" s="36">
        <f>VLOOKUP($A15,[24]HISTONOV24!$A$6:$AU$38,19,0)</f>
        <v>0</v>
      </c>
      <c r="W15" s="36">
        <f>VLOOKUP($A15,[24]HISTONOV24!$A$6:$AU$38,20,0)</f>
        <v>0</v>
      </c>
      <c r="X15" s="36">
        <f>VLOOKUP($A15,[24]HISTONOV24!$A$6:$AU$38,27,0)</f>
        <v>0</v>
      </c>
      <c r="Y15" s="36">
        <f>VLOOKUP($A15,[24]HISTONOV24!$A$6:$BM$38,33,0)</f>
        <v>0</v>
      </c>
      <c r="Z15" s="36">
        <f>VLOOKUP($A15,[24]HISTONOV24!$A$6:$BM$38,65,0)</f>
        <v>0</v>
      </c>
      <c r="AA15" s="36"/>
      <c r="AB15" s="36">
        <f>VLOOKUP($A15,[24]HISTONOV24!$A$6:$AU$38,43,0)</f>
        <v>0</v>
      </c>
      <c r="AC15" s="36">
        <f>VLOOKUP($A15,[24]HISTONOV24!$A$6:$AU$38,44,0)</f>
        <v>0</v>
      </c>
      <c r="AD15" s="36">
        <f>VLOOKUP($A15,[24]HISTONOV24!$A$6:$AU$38,47,0)</f>
        <v>0</v>
      </c>
      <c r="AE15" s="36">
        <f>VLOOKUP(A15,[24]HISTONOV24!$A$6:$BB$38,54,0)</f>
        <v>0</v>
      </c>
      <c r="AF15" s="36">
        <f>VLOOKUP($A15,[24]HISTONOV24!$A$6:$CA$38,60,0)</f>
        <v>0</v>
      </c>
      <c r="AG15" s="36">
        <f>VLOOKUP($A15,[24]HISTONOV24!$A$6:$CA$38,61,0)</f>
        <v>0</v>
      </c>
      <c r="AH15" s="36">
        <f>VLOOKUP($A15,[24]HISTONOV24!$A$6:$CA$38,62,0)</f>
        <v>0</v>
      </c>
      <c r="AI15" s="36">
        <f>VLOOKUP($A15,[24]HISTONOV24!$A$6:$CA$38,63,0)</f>
        <v>0</v>
      </c>
      <c r="AJ15" s="36">
        <f>VLOOKUP($A15,[24]HISTONOV24!$A$6:$CA$38,64,0)</f>
        <v>0</v>
      </c>
      <c r="AK15" s="36">
        <f>VLOOKUP($A15,[24]HISTONOV24!$A$6:$CA$38,65,0)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VLOOKUP($A16,[24]HISTONOV24!$A$6:$BA$38,48,0)</f>
        <v>0</v>
      </c>
      <c r="F16" s="36">
        <f>MVTOCT24!I16-E16+L16</f>
        <v>1128858.7065070483</v>
      </c>
      <c r="G16" s="5">
        <f>IF(MVTOCT24!I16+L16&gt;700000,(MVTOCT24!I16-E16+L16),0)</f>
        <v>1128858.7065070483</v>
      </c>
      <c r="H16" s="36">
        <f t="shared" si="0"/>
        <v>0</v>
      </c>
      <c r="I16" s="6">
        <f t="shared" si="2"/>
        <v>1128858.7065070483</v>
      </c>
      <c r="J16" s="36">
        <f>VLOOKUP($A16,[24]HISTONOV24!$A$6:$AQ$42,22,0)</f>
        <v>0</v>
      </c>
      <c r="K16" s="36">
        <f>VLOOKUP($A16,[24]HISTONOV24!$A$6:$AU$38,45,0)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VLOOKUP($A16,[24]HISTONOV24!$A$6:$AU$38,7,0)</f>
        <v>0</v>
      </c>
      <c r="Q16" s="36">
        <f>VLOOKUP($A16,[24]HISTONOV24!$A$6:$AU$38,23,0)</f>
        <v>0</v>
      </c>
      <c r="R16" s="36">
        <f>VLOOKUP($A16,[24]HISTONOV24!$A$6:$AU$38,46,0)</f>
        <v>0</v>
      </c>
      <c r="S16" s="36">
        <f>VLOOKUP($A16,[24]HISTONOV24!$A$6:$AU$38,26,0)</f>
        <v>0</v>
      </c>
      <c r="T16" s="36">
        <f>VLOOKUP($A16,[24]HISTONOV24!$A$6:$BG$38,58,0)</f>
        <v>0</v>
      </c>
      <c r="U16" s="36">
        <f>VLOOKUP($A16,[24]HISTONOV24!$A$6:$AU$38,28,0)</f>
        <v>0</v>
      </c>
      <c r="V16" s="36">
        <f>VLOOKUP($A16,[24]HISTONOV24!$A$6:$AU$38,19,0)</f>
        <v>0</v>
      </c>
      <c r="W16" s="36">
        <f>VLOOKUP($A16,[24]HISTONOV24!$A$6:$AU$38,20,0)</f>
        <v>0</v>
      </c>
      <c r="X16" s="36">
        <f>VLOOKUP($A16,[24]HISTONOV24!$A$6:$AU$38,27,0)</f>
        <v>0</v>
      </c>
      <c r="Y16" s="36">
        <f>VLOOKUP($A16,[24]HISTONOV24!$A$6:$BM$38,33,0)</f>
        <v>0</v>
      </c>
      <c r="Z16" s="36">
        <f>VLOOKUP($A16,[24]HISTONOV24!$A$6:$BM$38,65,0)</f>
        <v>0</v>
      </c>
      <c r="AA16" s="36"/>
      <c r="AB16" s="36">
        <f>VLOOKUP($A16,[24]HISTONOV24!$A$6:$AU$38,43,0)</f>
        <v>0</v>
      </c>
      <c r="AC16" s="36">
        <f>VLOOKUP($A16,[24]HISTONOV24!$A$6:$AU$38,44,0)</f>
        <v>0</v>
      </c>
      <c r="AD16" s="36">
        <f>VLOOKUP($A16,[24]HISTONOV24!$A$6:$AU$38,47,0)</f>
        <v>0</v>
      </c>
      <c r="AE16" s="36">
        <f>VLOOKUP(A16,[24]HISTONOV24!$A$6:$BB$38,54,0)</f>
        <v>0</v>
      </c>
      <c r="AF16" s="36">
        <f>VLOOKUP($A16,[24]HISTONOV24!$A$6:$CA$38,60,0)</f>
        <v>0</v>
      </c>
      <c r="AG16" s="36">
        <f>VLOOKUP($A16,[24]HISTONOV24!$A$6:$CA$38,61,0)</f>
        <v>0</v>
      </c>
      <c r="AH16" s="36">
        <f>VLOOKUP($A16,[24]HISTONOV24!$A$6:$CA$38,62,0)</f>
        <v>0</v>
      </c>
      <c r="AI16" s="36">
        <f>VLOOKUP($A16,[24]HISTONOV24!$A$6:$CA$38,63,0)</f>
        <v>0</v>
      </c>
      <c r="AJ16" s="36">
        <f>VLOOKUP($A16,[24]HISTONOV24!$A$6:$CA$38,64,0)</f>
        <v>0</v>
      </c>
      <c r="AK16" s="36">
        <f>VLOOKUP($A16,[24]HISTONOV24!$A$6:$CA$38,65,0)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VLOOKUP($A17,[24]HISTONOV24!$A$6:$BA$38,48,0)</f>
        <v>0</v>
      </c>
      <c r="F17" s="36">
        <f>MVTOCT24!I17-E17+L17</f>
        <v>966402.7005255461</v>
      </c>
      <c r="G17" s="5">
        <f>IF(MVTOCT24!I17+L17&gt;700000,(MVTOCT24!I17-E17+L17),0)</f>
        <v>966402.7005255461</v>
      </c>
      <c r="H17" s="36">
        <f t="shared" si="0"/>
        <v>0</v>
      </c>
      <c r="I17" s="6">
        <f t="shared" si="2"/>
        <v>966402.7005255461</v>
      </c>
      <c r="J17" s="36">
        <f>VLOOKUP($A17,[24]HISTONOV24!$A$6:$AQ$42,22,0)</f>
        <v>0</v>
      </c>
      <c r="K17" s="36">
        <f>VLOOKUP($A17,[24]HISTONOV24!$A$6:$AU$38,45,0)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VLOOKUP($A17,[24]HISTONOV24!$A$6:$AU$38,7,0)</f>
        <v>0</v>
      </c>
      <c r="Q17" s="36">
        <f>VLOOKUP($A17,[24]HISTONOV24!$A$6:$AU$38,23,0)</f>
        <v>0</v>
      </c>
      <c r="R17" s="36">
        <f>VLOOKUP($A17,[24]HISTONOV24!$A$6:$AU$38,46,0)</f>
        <v>0</v>
      </c>
      <c r="S17" s="36">
        <f>VLOOKUP($A17,[24]HISTONOV24!$A$6:$AU$38,26,0)</f>
        <v>0</v>
      </c>
      <c r="T17" s="36">
        <f>VLOOKUP($A17,[24]HISTONOV24!$A$6:$BG$38,58,0)</f>
        <v>0</v>
      </c>
      <c r="U17" s="36">
        <f>VLOOKUP($A17,[24]HISTONOV24!$A$6:$AU$38,28,0)</f>
        <v>0</v>
      </c>
      <c r="V17" s="36">
        <f>VLOOKUP($A17,[24]HISTONOV24!$A$6:$AU$38,19,0)</f>
        <v>0</v>
      </c>
      <c r="W17" s="36">
        <f>VLOOKUP($A17,[24]HISTONOV24!$A$6:$AU$38,20,0)</f>
        <v>0</v>
      </c>
      <c r="X17" s="36">
        <f>VLOOKUP($A17,[24]HISTONOV24!$A$6:$AU$38,27,0)</f>
        <v>0</v>
      </c>
      <c r="Y17" s="36">
        <f>VLOOKUP($A17,[24]HISTONOV24!$A$6:$BM$38,33,0)</f>
        <v>0</v>
      </c>
      <c r="Z17" s="36">
        <f>VLOOKUP($A17,[24]HISTONOV24!$A$6:$BM$38,65,0)</f>
        <v>0</v>
      </c>
      <c r="AA17" s="36"/>
      <c r="AB17" s="36">
        <f>VLOOKUP($A17,[24]HISTONOV24!$A$6:$AU$38,43,0)</f>
        <v>0</v>
      </c>
      <c r="AC17" s="36">
        <f>VLOOKUP($A17,[24]HISTONOV24!$A$6:$AU$38,44,0)</f>
        <v>0</v>
      </c>
      <c r="AD17" s="36">
        <f>VLOOKUP($A17,[24]HISTONOV24!$A$6:$AU$38,47,0)</f>
        <v>0</v>
      </c>
      <c r="AE17" s="36">
        <f>VLOOKUP(A17,[24]HISTONOV24!$A$6:$BB$38,54,0)</f>
        <v>0</v>
      </c>
      <c r="AF17" s="36">
        <f>VLOOKUP($A17,[24]HISTONOV24!$A$6:$CA$38,60,0)</f>
        <v>0</v>
      </c>
      <c r="AG17" s="36">
        <f>VLOOKUP($A17,[24]HISTONOV24!$A$6:$CA$38,61,0)</f>
        <v>0</v>
      </c>
      <c r="AH17" s="36">
        <f>VLOOKUP($A17,[24]HISTONOV24!$A$6:$CA$38,62,0)</f>
        <v>0</v>
      </c>
      <c r="AI17" s="36">
        <f>VLOOKUP($A17,[24]HISTONOV24!$A$6:$CA$38,63,0)</f>
        <v>0</v>
      </c>
      <c r="AJ17" s="36">
        <f>VLOOKUP($A17,[24]HISTONOV24!$A$6:$CA$38,64,0)</f>
        <v>0</v>
      </c>
      <c r="AK17" s="36">
        <f>VLOOKUP($A17,[24]HISTONOV24!$A$6:$CA$38,65,0)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VLOOKUP($A18,[24]HISTONOV24!$A$6:$BA$38,48,0)</f>
        <v>0</v>
      </c>
      <c r="F18" s="36">
        <f>MVTOCT24!I18-E18+L18</f>
        <v>1012662.7641973695</v>
      </c>
      <c r="G18" s="5">
        <f>IF(MVTOCT24!I18+L18&gt;700000,(MVTOCT24!I18-E18+L18),0)</f>
        <v>1012662.7641973695</v>
      </c>
      <c r="H18" s="36">
        <f t="shared" si="0"/>
        <v>0</v>
      </c>
      <c r="I18" s="6">
        <f t="shared" si="2"/>
        <v>1012662.7641973695</v>
      </c>
      <c r="J18" s="36">
        <f>VLOOKUP($A18,[24]HISTONOV24!$A$6:$AQ$42,22,0)</f>
        <v>0</v>
      </c>
      <c r="K18" s="36">
        <f>VLOOKUP($A18,[24]HISTONOV24!$A$6:$AU$38,45,0)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VLOOKUP($A18,[24]HISTONOV24!$A$6:$AU$38,7,0)</f>
        <v>0</v>
      </c>
      <c r="Q18" s="36">
        <f>VLOOKUP($A18,[24]HISTONOV24!$A$6:$AU$38,23,0)</f>
        <v>0</v>
      </c>
      <c r="R18" s="36">
        <f>VLOOKUP($A18,[24]HISTONOV24!$A$6:$AU$38,46,0)</f>
        <v>0</v>
      </c>
      <c r="S18" s="36">
        <f>VLOOKUP($A18,[24]HISTONOV24!$A$6:$AU$38,26,0)</f>
        <v>0</v>
      </c>
      <c r="T18" s="36">
        <f>VLOOKUP($A18,[24]HISTONOV24!$A$6:$BG$38,58,0)</f>
        <v>0</v>
      </c>
      <c r="U18" s="36">
        <f>VLOOKUP($A18,[24]HISTONOV24!$A$6:$AU$38,28,0)</f>
        <v>0</v>
      </c>
      <c r="V18" s="36">
        <f>VLOOKUP($A18,[24]HISTONOV24!$A$6:$AU$38,19,0)</f>
        <v>0</v>
      </c>
      <c r="W18" s="36">
        <f>VLOOKUP($A18,[24]HISTONOV24!$A$6:$AU$38,20,0)</f>
        <v>0</v>
      </c>
      <c r="X18" s="36">
        <f>VLOOKUP($A18,[24]HISTONOV24!$A$6:$AU$38,27,0)</f>
        <v>0</v>
      </c>
      <c r="Y18" s="36">
        <f>VLOOKUP($A18,[24]HISTONOV24!$A$6:$BM$38,33,0)</f>
        <v>0</v>
      </c>
      <c r="Z18" s="36">
        <f>VLOOKUP($A18,[24]HISTONOV24!$A$6:$BM$38,65,0)</f>
        <v>0</v>
      </c>
      <c r="AA18" s="36"/>
      <c r="AB18" s="36">
        <f>VLOOKUP($A18,[24]HISTONOV24!$A$6:$AU$38,43,0)</f>
        <v>0</v>
      </c>
      <c r="AC18" s="36">
        <f>VLOOKUP($A18,[24]HISTONOV24!$A$6:$AU$38,44,0)</f>
        <v>0</v>
      </c>
      <c r="AD18" s="36">
        <f>VLOOKUP($A18,[24]HISTONOV24!$A$6:$AU$38,47,0)</f>
        <v>0</v>
      </c>
      <c r="AE18" s="36">
        <f>VLOOKUP(A18,[24]HISTONOV24!$A$6:$BB$38,54,0)</f>
        <v>0</v>
      </c>
      <c r="AF18" s="36">
        <f>VLOOKUP($A18,[24]HISTONOV24!$A$6:$CA$38,60,0)</f>
        <v>0</v>
      </c>
      <c r="AG18" s="36">
        <f>VLOOKUP($A18,[24]HISTONOV24!$A$6:$CA$38,61,0)</f>
        <v>0</v>
      </c>
      <c r="AH18" s="36">
        <f>VLOOKUP($A18,[24]HISTONOV24!$A$6:$CA$38,62,0)</f>
        <v>0</v>
      </c>
      <c r="AI18" s="36">
        <f>VLOOKUP($A18,[24]HISTONOV24!$A$6:$CA$38,63,0)</f>
        <v>0</v>
      </c>
      <c r="AJ18" s="36">
        <f>VLOOKUP($A18,[24]HISTONOV24!$A$6:$CA$38,64,0)</f>
        <v>0</v>
      </c>
      <c r="AK18" s="36">
        <f>VLOOKUP($A18,[24]HISTONOV24!$A$6:$CA$38,65,0)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676217.13072703336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VLOOKUP($A20,[24]HISTONOV24!$A$6:$AQ$42,22,0)</f>
        <v>0</v>
      </c>
      <c r="K20" s="36">
        <f>VLOOKUP($A20,[24]HISTONOV24!$A$6:$AU$38,45,0)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VLOOKUP($A20,[24]HISTONOV24!$A$6:$AU$38,7,0)</f>
        <v>0</v>
      </c>
      <c r="Q20" s="36">
        <f>VLOOKUP($A20,[24]HISTONOV24!$A$6:$AU$38,23,0)</f>
        <v>0</v>
      </c>
      <c r="R20" s="36">
        <f>VLOOKUP($A20,[24]HISTONOV24!$A$6:$AU$38,46,0)</f>
        <v>0</v>
      </c>
      <c r="S20" s="36">
        <f>VLOOKUP($A20,[24]HISTONOV24!$A$6:$AU$38,26,0)</f>
        <v>0</v>
      </c>
      <c r="T20" s="36">
        <f>VLOOKUP($A20,[24]HISTONOV24!$A$6:$BG$38,58,0)</f>
        <v>0</v>
      </c>
      <c r="U20" s="36">
        <f>VLOOKUP($A20,[24]HISTONOV24!$A$6:$AU$38,28,0)</f>
        <v>0</v>
      </c>
      <c r="V20" s="36">
        <f>VLOOKUP($A20,[24]HISTONOV24!$A$6:$AU$38,19,0)</f>
        <v>0</v>
      </c>
      <c r="W20" s="36">
        <f>VLOOKUP($A20,[24]HISTONOV24!$A$6:$AU$38,20,0)</f>
        <v>0</v>
      </c>
      <c r="X20" s="36">
        <f>VLOOKUP($A20,[24]HISTONOV24!$A$6:$AU$38,27,0)</f>
        <v>0</v>
      </c>
      <c r="Y20" s="36">
        <f>VLOOKUP($A20,[24]HISTONOV24!$A$6:$BM$38,33,0)</f>
        <v>0</v>
      </c>
      <c r="Z20" s="36">
        <f>VLOOKUP($A20,[24]HISTONOV24!$A$6:$BM$38,65,0)</f>
        <v>0</v>
      </c>
      <c r="AA20" s="36"/>
      <c r="AB20" s="36">
        <f>VLOOKUP($A20,[24]HISTONOV24!$A$6:$AU$38,43,0)</f>
        <v>0</v>
      </c>
      <c r="AC20" s="36">
        <f>VLOOKUP($A20,[24]HISTONOV24!$A$6:$AU$38,44,0)</f>
        <v>0</v>
      </c>
      <c r="AD20" s="36">
        <f>VLOOKUP($A20,[24]HISTONOV24!$A$6:$AU$38,47,0)</f>
        <v>0</v>
      </c>
      <c r="AE20" s="36">
        <f>VLOOKUP(A20,[24]HISTONOV24!$A$6:$BB$38,54,0)</f>
        <v>0</v>
      </c>
      <c r="AF20" s="36">
        <f>VLOOKUP($A20,[24]HISTONOV24!$A$6:$CA$38,60,0)</f>
        <v>0</v>
      </c>
      <c r="AG20" s="36">
        <f>VLOOKUP($A20,[24]HISTONOV24!$A$6:$CA$38,61,0)</f>
        <v>0</v>
      </c>
      <c r="AH20" s="36">
        <f>VLOOKUP($A20,[24]HISTONOV24!$A$6:$CA$38,62,0)</f>
        <v>0</v>
      </c>
      <c r="AI20" s="36">
        <f>VLOOKUP($A20,[24]HISTONOV24!$A$6:$CA$38,63,0)</f>
        <v>0</v>
      </c>
      <c r="AJ20" s="36">
        <f>VLOOKUP($A20,[24]HISTONOV24!$A$6:$CA$38,64,0)</f>
        <v>0</v>
      </c>
      <c r="AK20" s="36">
        <f>VLOOKUP($A20,[24]HISTONOV24!$A$6:$CA$38,65,0)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MVTOCT24!I21-E21+L21</f>
        <v>989355.80062958295</v>
      </c>
      <c r="G21" s="5">
        <f>IF(MVTOCT24!I21+L21&gt;700000,(MVTOCT24!I21-E21+L21),0)</f>
        <v>989355.80062958295</v>
      </c>
      <c r="H21" s="36">
        <f t="shared" si="0"/>
        <v>0</v>
      </c>
      <c r="I21" s="6">
        <f t="shared" si="2"/>
        <v>989355.80062958295</v>
      </c>
      <c r="J21" s="36">
        <f>VLOOKUP($A21,[24]HISTONOV24!$A$6:$AQ$42,22,0)</f>
        <v>0</v>
      </c>
      <c r="K21" s="36">
        <f>VLOOKUP($A21,[24]HISTONOV24!$A$6:$AU$38,45,0)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VLOOKUP($A21,[24]HISTONOV24!$A$6:$AU$38,7,0)</f>
        <v>0</v>
      </c>
      <c r="Q21" s="36">
        <f>VLOOKUP($A21,[24]HISTONOV24!$A$6:$AU$38,23,0)</f>
        <v>0</v>
      </c>
      <c r="R21" s="36">
        <f>VLOOKUP($A21,[24]HISTONOV24!$A$6:$AU$38,46,0)</f>
        <v>0</v>
      </c>
      <c r="S21" s="36">
        <f>VLOOKUP($A21,[24]HISTONOV24!$A$6:$AU$38,26,0)</f>
        <v>0</v>
      </c>
      <c r="T21" s="36">
        <f>VLOOKUP($A21,[24]HISTONOV24!$A$6:$BG$38,58,0)</f>
        <v>0</v>
      </c>
      <c r="U21" s="36">
        <f>VLOOKUP($A21,[24]HISTONOV24!$A$6:$AU$38,28,0)</f>
        <v>0</v>
      </c>
      <c r="V21" s="36">
        <f>VLOOKUP($A21,[24]HISTONOV24!$A$6:$AU$38,19,0)</f>
        <v>0</v>
      </c>
      <c r="W21" s="36">
        <f>VLOOKUP($A21,[24]HISTONOV24!$A$6:$AU$38,20,0)</f>
        <v>0</v>
      </c>
      <c r="X21" s="36">
        <f>VLOOKUP($A21,[24]HISTONOV24!$A$6:$AU$38,27,0)</f>
        <v>0</v>
      </c>
      <c r="Y21" s="36">
        <f>VLOOKUP($A21,[24]HISTONOV24!$A$6:$BM$38,33,0)</f>
        <v>0</v>
      </c>
      <c r="Z21" s="36">
        <f>VLOOKUP($A21,[24]HISTONOV24!$A$6:$BM$38,65,0)</f>
        <v>0</v>
      </c>
      <c r="AA21" s="36"/>
      <c r="AB21" s="36">
        <f>VLOOKUP($A21,[24]HISTONOV24!$A$6:$AU$38,43,0)</f>
        <v>0</v>
      </c>
      <c r="AC21" s="36">
        <f>VLOOKUP($A21,[24]HISTONOV24!$A$6:$AU$38,44,0)</f>
        <v>0</v>
      </c>
      <c r="AD21" s="36">
        <f>VLOOKUP($A21,[24]HISTONOV24!$A$6:$AU$38,47,0)</f>
        <v>0</v>
      </c>
      <c r="AE21" s="36">
        <f>VLOOKUP(A21,[24]HISTONOV24!$A$6:$BB$38,54,0)</f>
        <v>0</v>
      </c>
      <c r="AF21" s="36">
        <f>VLOOKUP($A21,[24]HISTONOV24!$A$6:$CA$38,60,0)</f>
        <v>0</v>
      </c>
      <c r="AG21" s="36">
        <f>VLOOKUP($A21,[24]HISTONOV24!$A$6:$CA$38,61,0)</f>
        <v>0</v>
      </c>
      <c r="AH21" s="36">
        <f>VLOOKUP($A21,[24]HISTONOV24!$A$6:$CA$38,62,0)</f>
        <v>0</v>
      </c>
      <c r="AI21" s="36">
        <f>VLOOKUP($A21,[24]HISTONOV24!$A$6:$CA$38,63,0)</f>
        <v>0</v>
      </c>
      <c r="AJ21" s="36">
        <f>VLOOKUP($A21,[24]HISTONOV24!$A$6:$CA$38,64,0)</f>
        <v>0</v>
      </c>
      <c r="AK21" s="36">
        <f>VLOOKUP($A21,[24]HISTONOV24!$A$6:$CA$38,65,0)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MVTOCT24!I22-E22+L22</f>
        <v>957738.95952735876</v>
      </c>
      <c r="G22" s="5">
        <f>IF(MVTOCT24!I22+L22&gt;700000,(MVTOCT24!I22-E22+L22),0)</f>
        <v>957738.95952735876</v>
      </c>
      <c r="H22" s="36">
        <f t="shared" si="0"/>
        <v>0</v>
      </c>
      <c r="I22" s="6">
        <f t="shared" si="2"/>
        <v>957738.95952735876</v>
      </c>
      <c r="J22" s="36">
        <f>VLOOKUP($A22,[24]HISTONOV24!$A$6:$AQ$42,22,0)</f>
        <v>0</v>
      </c>
      <c r="K22" s="36">
        <f>VLOOKUP($A22,[24]HISTONOV24!$A$6:$AU$38,45,0)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VLOOKUP($A22,[24]HISTONOV24!$A$6:$AU$38,7,0)</f>
        <v>0</v>
      </c>
      <c r="Q22" s="36">
        <f>VLOOKUP($A22,[24]HISTONOV24!$A$6:$AU$38,23,0)</f>
        <v>0</v>
      </c>
      <c r="R22" s="36">
        <f>VLOOKUP($A22,[24]HISTONOV24!$A$6:$AU$38,46,0)</f>
        <v>0</v>
      </c>
      <c r="S22" s="36">
        <f>VLOOKUP($A22,[24]HISTONOV24!$A$6:$AU$38,26,0)</f>
        <v>0</v>
      </c>
      <c r="T22" s="36">
        <f>VLOOKUP($A22,[24]HISTONOV24!$A$6:$BG$38,58,0)</f>
        <v>0</v>
      </c>
      <c r="U22" s="36">
        <f>VLOOKUP($A22,[24]HISTONOV24!$A$6:$AU$38,28,0)</f>
        <v>0</v>
      </c>
      <c r="V22" s="36">
        <f>VLOOKUP($A22,[24]HISTONOV24!$A$6:$AU$38,19,0)</f>
        <v>0</v>
      </c>
      <c r="W22" s="36">
        <f>VLOOKUP($A22,[24]HISTONOV24!$A$6:$AU$38,20,0)</f>
        <v>0</v>
      </c>
      <c r="X22" s="36">
        <f>VLOOKUP($A22,[24]HISTONOV24!$A$6:$AU$38,27,0)</f>
        <v>0</v>
      </c>
      <c r="Y22" s="36">
        <f>VLOOKUP($A22,[24]HISTONOV24!$A$6:$BM$38,33,0)</f>
        <v>0</v>
      </c>
      <c r="Z22" s="36">
        <f>VLOOKUP($A22,[24]HISTONOV24!$A$6:$BM$38,65,0)</f>
        <v>0</v>
      </c>
      <c r="AA22" s="36"/>
      <c r="AB22" s="36">
        <f>VLOOKUP($A22,[24]HISTONOV24!$A$6:$AU$38,43,0)</f>
        <v>0</v>
      </c>
      <c r="AC22" s="36">
        <f>VLOOKUP($A22,[24]HISTONOV24!$A$6:$AU$38,44,0)</f>
        <v>0</v>
      </c>
      <c r="AD22" s="36">
        <f>VLOOKUP($A22,[24]HISTONOV24!$A$6:$AU$38,47,0)</f>
        <v>0</v>
      </c>
      <c r="AE22" s="36">
        <f>VLOOKUP(A22,[24]HISTONOV24!$A$6:$BB$38,54,0)</f>
        <v>0</v>
      </c>
      <c r="AF22" s="36">
        <f>VLOOKUP($A22,[24]HISTONOV24!$A$6:$CA$38,60,0)</f>
        <v>0</v>
      </c>
      <c r="AG22" s="36">
        <f>VLOOKUP($A22,[24]HISTONOV24!$A$6:$CA$38,61,0)</f>
        <v>0</v>
      </c>
      <c r="AH22" s="36">
        <f>VLOOKUP($A22,[24]HISTONOV24!$A$6:$CA$38,62,0)</f>
        <v>0</v>
      </c>
      <c r="AI22" s="36">
        <f>VLOOKUP($A22,[24]HISTONOV24!$A$6:$CA$38,63,0)</f>
        <v>0</v>
      </c>
      <c r="AJ22" s="36">
        <f>VLOOKUP($A22,[24]HISTONOV24!$A$6:$CA$38,64,0)</f>
        <v>0</v>
      </c>
      <c r="AK22" s="36">
        <f>VLOOKUP($A22,[24]HISTONOV24!$A$6:$CA$38,65,0)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MVTOCT24!I23-E23+L23</f>
        <v>1063674.3246731949</v>
      </c>
      <c r="G23" s="5">
        <f>IF(MVTOCT24!I23+L23&gt;700000,(MVTOCT24!I23-E23+L23),0)</f>
        <v>1063674.3246731949</v>
      </c>
      <c r="H23" s="36">
        <f t="shared" si="0"/>
        <v>0</v>
      </c>
      <c r="I23" s="6">
        <f t="shared" si="2"/>
        <v>1063674.3246731949</v>
      </c>
      <c r="J23" s="36">
        <f>VLOOKUP($A23,[24]HISTONOV24!$A$6:$AQ$42,22,0)</f>
        <v>0</v>
      </c>
      <c r="K23" s="36">
        <f>VLOOKUP($A23,[24]HISTONOV24!$A$6:$AU$38,45,0)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VLOOKUP($A23,[24]HISTONOV24!$A$6:$AU$38,7,0)</f>
        <v>0</v>
      </c>
      <c r="Q23" s="36">
        <f>VLOOKUP($A23,[24]HISTONOV24!$A$6:$AU$38,23,0)</f>
        <v>0</v>
      </c>
      <c r="R23" s="36">
        <f>VLOOKUP($A23,[24]HISTONOV24!$A$6:$AU$38,46,0)</f>
        <v>0</v>
      </c>
      <c r="S23" s="36">
        <f>VLOOKUP($A23,[24]HISTONOV24!$A$6:$AU$38,26,0)</f>
        <v>0</v>
      </c>
      <c r="T23" s="36">
        <f>VLOOKUP($A23,[24]HISTONOV24!$A$6:$BG$38,58,0)</f>
        <v>0</v>
      </c>
      <c r="U23" s="36">
        <f>VLOOKUP($A23,[24]HISTONOV24!$A$6:$AU$38,28,0)</f>
        <v>0</v>
      </c>
      <c r="V23" s="36">
        <f>VLOOKUP($A23,[24]HISTONOV24!$A$6:$AU$38,19,0)</f>
        <v>0</v>
      </c>
      <c r="W23" s="36">
        <f>VLOOKUP($A23,[24]HISTONOV24!$A$6:$AU$38,20,0)</f>
        <v>0</v>
      </c>
      <c r="X23" s="36">
        <f>VLOOKUP($A23,[24]HISTONOV24!$A$6:$AU$38,27,0)</f>
        <v>0</v>
      </c>
      <c r="Y23" s="36">
        <f>VLOOKUP($A23,[24]HISTONOV24!$A$6:$BM$38,33,0)</f>
        <v>0</v>
      </c>
      <c r="Z23" s="36">
        <f>VLOOKUP($A23,[24]HISTONOV24!$A$6:$BM$38,65,0)</f>
        <v>0</v>
      </c>
      <c r="AA23" s="36"/>
      <c r="AB23" s="36">
        <f>VLOOKUP($A23,[24]HISTONOV24!$A$6:$AU$38,43,0)</f>
        <v>0</v>
      </c>
      <c r="AC23" s="36">
        <f>VLOOKUP($A23,[24]HISTONOV24!$A$6:$AU$38,44,0)</f>
        <v>0</v>
      </c>
      <c r="AD23" s="36">
        <f>VLOOKUP($A23,[24]HISTONOV24!$A$6:$AU$38,47,0)</f>
        <v>0</v>
      </c>
      <c r="AE23" s="36">
        <f>VLOOKUP(A23,[24]HISTONOV24!$A$6:$BB$38,54,0)</f>
        <v>0</v>
      </c>
      <c r="AF23" s="36">
        <f>VLOOKUP($A23,[24]HISTONOV24!$A$6:$CA$38,60,0)</f>
        <v>0</v>
      </c>
      <c r="AG23" s="36">
        <f>VLOOKUP($A23,[24]HISTONOV24!$A$6:$CA$38,61,0)</f>
        <v>0</v>
      </c>
      <c r="AH23" s="36">
        <f>VLOOKUP($A23,[24]HISTONOV24!$A$6:$CA$38,62,0)</f>
        <v>0</v>
      </c>
      <c r="AI23" s="36">
        <f>VLOOKUP($A23,[24]HISTONOV24!$A$6:$CA$38,63,0)</f>
        <v>0</v>
      </c>
      <c r="AJ23" s="36">
        <f>VLOOKUP($A23,[24]HISTONOV24!$A$6:$CA$38,64,0)</f>
        <v>0</v>
      </c>
      <c r="AK23" s="36">
        <f>VLOOKUP($A23,[24]HISTONOV24!$A$6:$CA$38,65,0)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MVTOCT24!I24-E24+L24</f>
        <v>1236827.8441992993</v>
      </c>
      <c r="G24" s="5">
        <f>IF(MVTOCT24!I24+L24&gt;700000,(MVTOCT24!I24-E24+L24),0)</f>
        <v>1236827.8441992993</v>
      </c>
      <c r="H24" s="36">
        <f t="shared" si="0"/>
        <v>0</v>
      </c>
      <c r="I24" s="6">
        <f t="shared" si="2"/>
        <v>1236827.8441992993</v>
      </c>
      <c r="J24" s="36">
        <f>VLOOKUP($A24,[24]HISTONOV24!$A$6:$AQ$42,22,0)</f>
        <v>0</v>
      </c>
      <c r="K24" s="36">
        <f>VLOOKUP($A24,[24]HISTONOV24!$A$6:$AU$38,45,0)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VLOOKUP($A24,[24]HISTONOV24!$A$6:$AU$38,7,0)</f>
        <v>0</v>
      </c>
      <c r="Q24" s="36">
        <f>VLOOKUP($A24,[24]HISTONOV24!$A$6:$AU$38,23,0)</f>
        <v>0</v>
      </c>
      <c r="R24" s="36">
        <f>VLOOKUP($A24,[24]HISTONOV24!$A$6:$AU$38,46,0)</f>
        <v>0</v>
      </c>
      <c r="S24" s="36">
        <f>VLOOKUP($A24,[24]HISTONOV24!$A$6:$AU$38,26,0)</f>
        <v>0</v>
      </c>
      <c r="T24" s="36">
        <f>VLOOKUP($A24,[24]HISTONOV24!$A$6:$BG$38,58,0)</f>
        <v>0</v>
      </c>
      <c r="U24" s="36">
        <f>VLOOKUP($A24,[24]HISTONOV24!$A$6:$AU$38,28,0)</f>
        <v>0</v>
      </c>
      <c r="V24" s="36">
        <f>VLOOKUP($A24,[24]HISTONOV24!$A$6:$AU$38,19,0)</f>
        <v>0</v>
      </c>
      <c r="W24" s="36">
        <f>VLOOKUP($A24,[24]HISTONOV24!$A$6:$AU$38,20,0)</f>
        <v>0</v>
      </c>
      <c r="X24" s="36">
        <f>VLOOKUP($A24,[24]HISTONOV24!$A$6:$AU$38,27,0)</f>
        <v>0</v>
      </c>
      <c r="Y24" s="36">
        <f>VLOOKUP($A24,[24]HISTONOV24!$A$6:$BM$38,33,0)</f>
        <v>0</v>
      </c>
      <c r="Z24" s="36">
        <f>VLOOKUP($A24,[24]HISTONOV24!$A$6:$BM$38,65,0)</f>
        <v>0</v>
      </c>
      <c r="AA24" s="36"/>
      <c r="AB24" s="36">
        <f>VLOOKUP($A24,[24]HISTONOV24!$A$6:$AU$38,43,0)</f>
        <v>0</v>
      </c>
      <c r="AC24" s="36">
        <f>VLOOKUP($A24,[24]HISTONOV24!$A$6:$AU$38,44,0)</f>
        <v>0</v>
      </c>
      <c r="AD24" s="36">
        <f>VLOOKUP($A24,[24]HISTONOV24!$A$6:$AU$38,47,0)</f>
        <v>0</v>
      </c>
      <c r="AE24" s="36">
        <f>VLOOKUP(A24,[24]HISTONOV24!$A$6:$BB$38,54,0)</f>
        <v>0</v>
      </c>
      <c r="AF24" s="36">
        <f>VLOOKUP($A24,[24]HISTONOV24!$A$6:$CA$38,60,0)</f>
        <v>0</v>
      </c>
      <c r="AG24" s="36">
        <f>VLOOKUP($A24,[24]HISTONOV24!$A$6:$CA$38,61,0)</f>
        <v>0</v>
      </c>
      <c r="AH24" s="36">
        <f>VLOOKUP($A24,[24]HISTONOV24!$A$6:$CA$38,62,0)</f>
        <v>0</v>
      </c>
      <c r="AI24" s="36">
        <f>VLOOKUP($A24,[24]HISTONOV24!$A$6:$CA$38,63,0)</f>
        <v>0</v>
      </c>
      <c r="AJ24" s="36">
        <f>VLOOKUP($A24,[24]HISTONOV24!$A$6:$CA$38,64,0)</f>
        <v>0</v>
      </c>
      <c r="AK24" s="36">
        <f>VLOOKUP($A24,[24]HISTONOV24!$A$6:$CA$38,65,0)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MVTOCT24!I25-E25+L25</f>
        <v>1048141.7950432157</v>
      </c>
      <c r="G25" s="5">
        <f>IF(MVTOCT24!I25+L25&gt;700000,(MVTOCT24!I25-E25+L25),0)</f>
        <v>1048141.7950432157</v>
      </c>
      <c r="H25" s="36">
        <f t="shared" si="0"/>
        <v>0</v>
      </c>
      <c r="I25" s="6">
        <f t="shared" si="2"/>
        <v>1048141.7950432157</v>
      </c>
      <c r="J25" s="36">
        <f>VLOOKUP($A25,[24]HISTONOV24!$A$6:$AQ$42,22,0)</f>
        <v>0</v>
      </c>
      <c r="K25" s="36">
        <f>VLOOKUP($A25,[24]HISTONOV24!$A$6:$AU$38,45,0)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VLOOKUP($A25,[24]HISTONOV24!$A$6:$AU$38,7,0)</f>
        <v>3000</v>
      </c>
      <c r="Q25" s="36">
        <f>VLOOKUP($A25,[24]HISTONOV24!$A$6:$AU$38,23,0)</f>
        <v>0</v>
      </c>
      <c r="R25" s="36">
        <f>VLOOKUP($A25,[24]HISTONOV24!$A$6:$AU$38,46,0)</f>
        <v>0</v>
      </c>
      <c r="S25" s="36">
        <f>VLOOKUP($A25,[24]HISTONOV24!$A$6:$AU$38,26,0)</f>
        <v>0</v>
      </c>
      <c r="T25" s="36">
        <f>VLOOKUP($A25,[24]HISTONOV24!$A$6:$BG$38,58,0)</f>
        <v>0</v>
      </c>
      <c r="U25" s="36">
        <f>VLOOKUP($A25,[24]HISTONOV24!$A$6:$AU$38,28,0)</f>
        <v>0</v>
      </c>
      <c r="V25" s="36">
        <f>VLOOKUP($A25,[24]HISTONOV24!$A$6:$AU$38,19,0)</f>
        <v>0</v>
      </c>
      <c r="W25" s="36">
        <f>VLOOKUP($A25,[24]HISTONOV24!$A$6:$AU$38,20,0)</f>
        <v>0</v>
      </c>
      <c r="X25" s="36">
        <f>VLOOKUP($A25,[24]HISTONOV24!$A$6:$AU$38,27,0)</f>
        <v>0</v>
      </c>
      <c r="Y25" s="36">
        <f>VLOOKUP($A25,[24]HISTONOV24!$A$6:$BM$38,33,0)</f>
        <v>0</v>
      </c>
      <c r="Z25" s="36">
        <f>VLOOKUP($A25,[24]HISTONOV24!$A$6:$BM$38,65,0)</f>
        <v>0</v>
      </c>
      <c r="AA25" s="36"/>
      <c r="AB25" s="36">
        <f>VLOOKUP($A25,[24]HISTONOV24!$A$6:$AU$38,43,0)</f>
        <v>0</v>
      </c>
      <c r="AC25" s="36">
        <f>VLOOKUP($A25,[24]HISTONOV24!$A$6:$AU$38,44,0)</f>
        <v>0</v>
      </c>
      <c r="AD25" s="36">
        <f>VLOOKUP($A25,[24]HISTONOV24!$A$6:$AU$38,47,0)</f>
        <v>0</v>
      </c>
      <c r="AE25" s="36">
        <f>VLOOKUP(A25,[24]HISTONOV24!$A$6:$BB$38,54,0)</f>
        <v>0</v>
      </c>
      <c r="AF25" s="36">
        <f>VLOOKUP($A25,[24]HISTONOV24!$A$6:$CA$38,60,0)</f>
        <v>0</v>
      </c>
      <c r="AG25" s="36">
        <f>VLOOKUP($A25,[24]HISTONOV24!$A$6:$CA$38,61,0)</f>
        <v>0</v>
      </c>
      <c r="AH25" s="36">
        <f>VLOOKUP($A25,[24]HISTONOV24!$A$6:$CA$38,62,0)</f>
        <v>0</v>
      </c>
      <c r="AI25" s="36">
        <f>VLOOKUP($A25,[24]HISTONOV24!$A$6:$CA$38,63,0)</f>
        <v>0</v>
      </c>
      <c r="AJ25" s="36">
        <f>VLOOKUP($A25,[24]HISTONOV24!$A$6:$CA$38,64,0)</f>
        <v>0</v>
      </c>
      <c r="AK25" s="36">
        <f>VLOOKUP($A25,[24]HISTONOV24!$A$6:$CA$38,65,0)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MVTOCT24!I26-E26+L26</f>
        <v>976266.46813543816</v>
      </c>
      <c r="G26" s="5">
        <f>IF(MVTOCT24!I26+L26&gt;700000,(MVTOCT24!I26-E26+L26),0)</f>
        <v>976266.46813543816</v>
      </c>
      <c r="H26" s="36">
        <f t="shared" si="0"/>
        <v>0</v>
      </c>
      <c r="I26" s="6">
        <f t="shared" si="2"/>
        <v>976266.46813543816</v>
      </c>
      <c r="J26" s="36">
        <f>VLOOKUP($A26,[24]HISTONOV24!$A$6:$AQ$42,22,0)</f>
        <v>0</v>
      </c>
      <c r="K26" s="36">
        <f>VLOOKUP($A26,[24]HISTONOV24!$A$6:$AU$38,45,0)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VLOOKUP($A26,[24]HISTONOV24!$A$6:$AU$38,7,0)</f>
        <v>0</v>
      </c>
      <c r="Q26" s="36">
        <f>VLOOKUP($A26,[24]HISTONOV24!$A$6:$AU$38,23,0)</f>
        <v>0</v>
      </c>
      <c r="R26" s="36">
        <f>VLOOKUP($A26,[24]HISTONOV24!$A$6:$AU$38,46,0)</f>
        <v>0</v>
      </c>
      <c r="S26" s="36">
        <f>VLOOKUP($A26,[24]HISTONOV24!$A$6:$AU$38,26,0)</f>
        <v>0</v>
      </c>
      <c r="T26" s="36">
        <f>VLOOKUP($A26,[24]HISTONOV24!$A$6:$BG$38,58,0)</f>
        <v>0</v>
      </c>
      <c r="U26" s="36">
        <f>VLOOKUP($A26,[24]HISTONOV24!$A$6:$AU$38,28,0)</f>
        <v>0</v>
      </c>
      <c r="V26" s="36">
        <f>VLOOKUP($A26,[24]HISTONOV24!$A$6:$AU$38,19,0)</f>
        <v>0</v>
      </c>
      <c r="W26" s="36">
        <f>VLOOKUP($A26,[24]HISTONOV24!$A$6:$AU$38,20,0)</f>
        <v>0</v>
      </c>
      <c r="X26" s="36">
        <f>VLOOKUP($A26,[24]HISTONOV24!$A$6:$AU$38,27,0)</f>
        <v>0</v>
      </c>
      <c r="Y26" s="36">
        <f>VLOOKUP($A26,[24]HISTONOV24!$A$6:$BM$38,33,0)</f>
        <v>0</v>
      </c>
      <c r="Z26" s="36">
        <f>VLOOKUP($A26,[24]HISTONOV24!$A$6:$BM$38,65,0)</f>
        <v>0</v>
      </c>
      <c r="AA26" s="36"/>
      <c r="AB26" s="36">
        <f>VLOOKUP($A26,[24]HISTONOV24!$A$6:$AU$38,43,0)</f>
        <v>0</v>
      </c>
      <c r="AC26" s="36">
        <f>VLOOKUP($A26,[24]HISTONOV24!$A$6:$AU$38,44,0)</f>
        <v>0</v>
      </c>
      <c r="AD26" s="36">
        <f>VLOOKUP($A26,[24]HISTONOV24!$A$6:$AU$38,47,0)</f>
        <v>0</v>
      </c>
      <c r="AE26" s="36">
        <f>VLOOKUP(A26,[24]HISTONOV24!$A$6:$BB$38,54,0)</f>
        <v>0</v>
      </c>
      <c r="AF26" s="36">
        <f>VLOOKUP($A26,[24]HISTONOV24!$A$6:$CA$38,60,0)</f>
        <v>0</v>
      </c>
      <c r="AG26" s="36">
        <f>VLOOKUP($A26,[24]HISTONOV24!$A$6:$CA$38,61,0)</f>
        <v>0</v>
      </c>
      <c r="AH26" s="36">
        <f>VLOOKUP($A26,[24]HISTONOV24!$A$6:$CA$38,62,0)</f>
        <v>0</v>
      </c>
      <c r="AI26" s="36">
        <f>VLOOKUP($A26,[24]HISTONOV24!$A$6:$CA$38,63,0)</f>
        <v>0</v>
      </c>
      <c r="AJ26" s="36">
        <f>VLOOKUP($A26,[24]HISTONOV24!$A$6:$CA$38,64,0)</f>
        <v>0</v>
      </c>
      <c r="AK26" s="36">
        <f>VLOOKUP($A26,[24]HISTONOV24!$A$6:$CA$38,65,0)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MVTOCT24!I27-E27+L27</f>
        <v>976824.17371512204</v>
      </c>
      <c r="G27" s="5">
        <f>IF(MVTOCT24!I27+L27&gt;700000,(MVTOCT24!I27-E27+L27),0)</f>
        <v>976824.17371512204</v>
      </c>
      <c r="H27" s="36">
        <f t="shared" si="0"/>
        <v>0</v>
      </c>
      <c r="I27" s="6">
        <f t="shared" si="2"/>
        <v>976824.17371512204</v>
      </c>
      <c r="J27" s="36">
        <f>VLOOKUP($A27,[24]HISTONOV24!$A$6:$AQ$42,22,0)</f>
        <v>0</v>
      </c>
      <c r="K27" s="36">
        <f>VLOOKUP($A27,[24]HISTONOV24!$A$6:$AU$38,45,0)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VLOOKUP($A27,[24]HISTONOV24!$A$6:$AU$38,7,0)</f>
        <v>0</v>
      </c>
      <c r="Q27" s="36">
        <f>VLOOKUP($A27,[24]HISTONOV24!$A$6:$AU$38,23,0)</f>
        <v>0</v>
      </c>
      <c r="R27" s="36">
        <f>VLOOKUP($A27,[24]HISTONOV24!$A$6:$AU$38,46,0)</f>
        <v>0</v>
      </c>
      <c r="S27" s="36">
        <f>VLOOKUP($A27,[24]HISTONOV24!$A$6:$AU$38,26,0)</f>
        <v>0</v>
      </c>
      <c r="T27" s="36">
        <f>VLOOKUP($A27,[24]HISTONOV24!$A$6:$BG$38,58,0)</f>
        <v>0</v>
      </c>
      <c r="U27" s="36">
        <f>VLOOKUP($A27,[24]HISTONOV24!$A$6:$AU$38,28,0)</f>
        <v>0</v>
      </c>
      <c r="V27" s="36">
        <f>VLOOKUP($A27,[24]HISTONOV24!$A$6:$AU$38,19,0)</f>
        <v>0</v>
      </c>
      <c r="W27" s="36">
        <f>VLOOKUP($A27,[24]HISTONOV24!$A$6:$AU$38,20,0)</f>
        <v>0</v>
      </c>
      <c r="X27" s="36">
        <f>VLOOKUP($A27,[24]HISTONOV24!$A$6:$AU$38,27,0)</f>
        <v>0</v>
      </c>
      <c r="Y27" s="36">
        <f>VLOOKUP($A27,[24]HISTONOV24!$A$6:$BM$38,33,0)</f>
        <v>0</v>
      </c>
      <c r="Z27" s="36">
        <f>VLOOKUP($A27,[24]HISTONOV24!$A$6:$BM$38,65,0)</f>
        <v>0</v>
      </c>
      <c r="AA27" s="36"/>
      <c r="AB27" s="36">
        <f>VLOOKUP($A27,[24]HISTONOV24!$A$6:$AU$38,43,0)</f>
        <v>0</v>
      </c>
      <c r="AC27" s="36">
        <f>VLOOKUP($A27,[24]HISTONOV24!$A$6:$AU$38,44,0)</f>
        <v>0</v>
      </c>
      <c r="AD27" s="36">
        <f>VLOOKUP($A27,[24]HISTONOV24!$A$6:$AU$38,47,0)</f>
        <v>0</v>
      </c>
      <c r="AE27" s="36">
        <f>VLOOKUP(A27,[24]HISTONOV24!$A$6:$BB$38,54,0)</f>
        <v>0</v>
      </c>
      <c r="AF27" s="36">
        <f>VLOOKUP($A27,[24]HISTONOV24!$A$6:$CA$38,60,0)</f>
        <v>0</v>
      </c>
      <c r="AG27" s="36">
        <f>VLOOKUP($A27,[24]HISTONOV24!$A$6:$CA$38,61,0)</f>
        <v>0</v>
      </c>
      <c r="AH27" s="36">
        <f>VLOOKUP($A27,[24]HISTONOV24!$A$6:$CA$38,62,0)</f>
        <v>0</v>
      </c>
      <c r="AI27" s="36">
        <f>VLOOKUP($A27,[24]HISTONOV24!$A$6:$CA$38,63,0)</f>
        <v>0</v>
      </c>
      <c r="AJ27" s="36">
        <f>VLOOKUP($A27,[24]HISTONOV24!$A$6:$CA$38,64,0)</f>
        <v>0</v>
      </c>
      <c r="AK27" s="36">
        <f>VLOOKUP($A27,[24]HISTONOV24!$A$6:$CA$38,65,0)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MVTOCT24!I28-E28+L28</f>
        <v>878176.12513194664</v>
      </c>
      <c r="G28" s="5">
        <f>IF(MVTOCT24!I28+L28&gt;700000,(MVTOCT24!I28-E28+L28),0)</f>
        <v>878176.12513194664</v>
      </c>
      <c r="H28" s="36">
        <f t="shared" si="0"/>
        <v>0</v>
      </c>
      <c r="I28" s="6">
        <f t="shared" si="2"/>
        <v>878176.12513194664</v>
      </c>
      <c r="J28" s="36">
        <f>VLOOKUP($A28,[24]HISTONOV24!$A$6:$AQ$42,22,0)</f>
        <v>0</v>
      </c>
      <c r="K28" s="36">
        <f>VLOOKUP($A28,[24]HISTONOV24!$A$6:$AU$38,45,0)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VLOOKUP($A28,[24]HISTONOV24!$A$6:$AU$38,7,0)</f>
        <v>0</v>
      </c>
      <c r="Q28" s="36">
        <f>VLOOKUP($A28,[24]HISTONOV24!$A$6:$AU$38,23,0)</f>
        <v>0</v>
      </c>
      <c r="R28" s="36">
        <f>VLOOKUP($A28,[24]HISTONOV24!$A$6:$AU$38,46,0)</f>
        <v>0</v>
      </c>
      <c r="S28" s="36">
        <f>VLOOKUP($A28,[24]HISTONOV24!$A$6:$AU$38,26,0)</f>
        <v>0</v>
      </c>
      <c r="T28" s="36">
        <f>VLOOKUP($A28,[24]HISTONOV24!$A$6:$BG$38,58,0)</f>
        <v>0</v>
      </c>
      <c r="U28" s="36">
        <f>VLOOKUP($A28,[24]HISTONOV24!$A$6:$AU$38,28,0)</f>
        <v>0</v>
      </c>
      <c r="V28" s="36">
        <f>VLOOKUP($A28,[24]HISTONOV24!$A$6:$AU$38,19,0)</f>
        <v>0</v>
      </c>
      <c r="W28" s="36">
        <f>VLOOKUP($A28,[24]HISTONOV24!$A$6:$AU$38,20,0)</f>
        <v>0</v>
      </c>
      <c r="X28" s="36">
        <f>VLOOKUP($A28,[24]HISTONOV24!$A$6:$AU$38,27,0)</f>
        <v>0</v>
      </c>
      <c r="Y28" s="36">
        <f>VLOOKUP($A28,[24]HISTONOV24!$A$6:$BM$38,33,0)</f>
        <v>0</v>
      </c>
      <c r="Z28" s="36">
        <f>VLOOKUP($A28,[24]HISTONOV24!$A$6:$BM$38,65,0)</f>
        <v>0</v>
      </c>
      <c r="AA28" s="36"/>
      <c r="AB28" s="36">
        <f>VLOOKUP($A28,[24]HISTONOV24!$A$6:$AU$38,43,0)</f>
        <v>0</v>
      </c>
      <c r="AC28" s="36">
        <f>VLOOKUP($A28,[24]HISTONOV24!$A$6:$AU$38,44,0)</f>
        <v>0</v>
      </c>
      <c r="AD28" s="36">
        <f>VLOOKUP($A28,[24]HISTONOV24!$A$6:$AU$38,47,0)</f>
        <v>0</v>
      </c>
      <c r="AE28" s="36">
        <f>VLOOKUP(A28,[24]HISTONOV24!$A$6:$BB$38,54,0)</f>
        <v>0</v>
      </c>
      <c r="AF28" s="36">
        <f>VLOOKUP($A28,[24]HISTONOV24!$A$6:$CA$38,60,0)</f>
        <v>0</v>
      </c>
      <c r="AG28" s="36">
        <f>VLOOKUP($A28,[24]HISTONOV24!$A$6:$CA$38,61,0)</f>
        <v>0</v>
      </c>
      <c r="AH28" s="36">
        <f>VLOOKUP($A28,[24]HISTONOV24!$A$6:$CA$38,62,0)</f>
        <v>0</v>
      </c>
      <c r="AI28" s="36">
        <f>VLOOKUP($A28,[24]HISTONOV24!$A$6:$CA$38,63,0)</f>
        <v>0</v>
      </c>
      <c r="AJ28" s="36">
        <f>VLOOKUP($A28,[24]HISTONOV24!$A$6:$CA$38,64,0)</f>
        <v>0</v>
      </c>
      <c r="AK28" s="36">
        <f>VLOOKUP($A28,[24]HISTONOV24!$A$6:$CA$38,65,0)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MVTOCT24!I29-E29+L29</f>
        <v>1003151.3442374151</v>
      </c>
      <c r="G29" s="5">
        <f>IF(MVTOCT24!I29+L29&gt;700000,(MVTOCT24!I29-E29+L29),0)</f>
        <v>1003151.3442374151</v>
      </c>
      <c r="H29" s="36">
        <f t="shared" si="0"/>
        <v>0</v>
      </c>
      <c r="I29" s="6">
        <f t="shared" si="2"/>
        <v>1003151.3442374151</v>
      </c>
      <c r="J29" s="36">
        <f>VLOOKUP($A29,[24]HISTONOV24!$A$6:$AQ$42,22,0)</f>
        <v>0</v>
      </c>
      <c r="K29" s="36">
        <f>VLOOKUP($A29,[24]HISTONOV24!$A$6:$AU$38,45,0)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VLOOKUP($A29,[24]HISTONOV24!$A$6:$AU$38,7,0)</f>
        <v>0</v>
      </c>
      <c r="Q29" s="36">
        <f>VLOOKUP($A29,[24]HISTONOV24!$A$6:$AU$38,23,0)</f>
        <v>0</v>
      </c>
      <c r="R29" s="36">
        <f>VLOOKUP($A29,[24]HISTONOV24!$A$6:$AU$38,46,0)</f>
        <v>0</v>
      </c>
      <c r="S29" s="36">
        <f>VLOOKUP($A29,[24]HISTONOV24!$A$6:$AU$38,26,0)</f>
        <v>0</v>
      </c>
      <c r="T29" s="36">
        <f>VLOOKUP($A29,[24]HISTONOV24!$A$6:$BG$38,58,0)</f>
        <v>0</v>
      </c>
      <c r="U29" s="36">
        <f>VLOOKUP($A29,[24]HISTONOV24!$A$6:$AU$38,28,0)</f>
        <v>0</v>
      </c>
      <c r="V29" s="36">
        <f>VLOOKUP($A29,[24]HISTONOV24!$A$6:$AU$38,19,0)</f>
        <v>0</v>
      </c>
      <c r="W29" s="36">
        <f>VLOOKUP($A29,[24]HISTONOV24!$A$6:$AU$38,20,0)</f>
        <v>0</v>
      </c>
      <c r="X29" s="36">
        <f>VLOOKUP($A29,[24]HISTONOV24!$A$6:$AU$38,27,0)</f>
        <v>0</v>
      </c>
      <c r="Y29" s="36">
        <f>VLOOKUP($A29,[24]HISTONOV24!$A$6:$BM$38,33,0)</f>
        <v>0</v>
      </c>
      <c r="Z29" s="36">
        <f>VLOOKUP($A29,[24]HISTONOV24!$A$6:$BM$38,65,0)</f>
        <v>0</v>
      </c>
      <c r="AA29" s="36"/>
      <c r="AB29" s="36">
        <f>VLOOKUP($A29,[24]HISTONOV24!$A$6:$AU$38,43,0)</f>
        <v>0</v>
      </c>
      <c r="AC29" s="36">
        <f>VLOOKUP($A29,[24]HISTONOV24!$A$6:$AU$38,44,0)</f>
        <v>0</v>
      </c>
      <c r="AD29" s="36">
        <f>VLOOKUP($A29,[24]HISTONOV24!$A$6:$AU$38,47,0)</f>
        <v>0</v>
      </c>
      <c r="AE29" s="36">
        <f>VLOOKUP(A29,[24]HISTONOV24!$A$6:$BB$38,54,0)</f>
        <v>0</v>
      </c>
      <c r="AF29" s="36">
        <f>VLOOKUP($A29,[24]HISTONOV24!$A$6:$CA$38,60,0)</f>
        <v>0</v>
      </c>
      <c r="AG29" s="36">
        <f>VLOOKUP($A29,[24]HISTONOV24!$A$6:$CA$38,61,0)</f>
        <v>0</v>
      </c>
      <c r="AH29" s="36">
        <f>VLOOKUP($A29,[24]HISTONOV24!$A$6:$CA$38,62,0)</f>
        <v>0</v>
      </c>
      <c r="AI29" s="36">
        <f>VLOOKUP($A29,[24]HISTONOV24!$A$6:$CA$38,63,0)</f>
        <v>0</v>
      </c>
      <c r="AJ29" s="36">
        <f>VLOOKUP($A29,[24]HISTONOV24!$A$6:$CA$38,64,0)</f>
        <v>0</v>
      </c>
      <c r="AK29" s="36">
        <f>VLOOKUP($A29,[24]HISTONOV24!$A$6:$CA$38,65,0)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MVTOCT24!I30-E30+L30</f>
        <v>907786.81046782702</v>
      </c>
      <c r="G30" s="5">
        <f>IF(MVTOCT24!I30+L30&gt;700000,(MVTOCT24!I30-E30+L30),0)</f>
        <v>907786.81046782702</v>
      </c>
      <c r="H30" s="36">
        <f t="shared" si="0"/>
        <v>0</v>
      </c>
      <c r="I30" s="6">
        <f t="shared" si="2"/>
        <v>907786.81046782702</v>
      </c>
      <c r="J30" s="36">
        <f>VLOOKUP($A30,[24]HISTONOV24!$A$6:$AQ$42,22,0)</f>
        <v>0</v>
      </c>
      <c r="K30" s="36">
        <f>VLOOKUP($A30,[24]HISTONOV24!$A$6:$AU$38,45,0)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VLOOKUP($A30,[24]HISTONOV24!$A$6:$AU$38,7,0)</f>
        <v>0</v>
      </c>
      <c r="Q30" s="36">
        <f>VLOOKUP($A30,[24]HISTONOV24!$A$6:$AU$38,23,0)</f>
        <v>0</v>
      </c>
      <c r="R30" s="36">
        <f>VLOOKUP($A30,[24]HISTONOV24!$A$6:$AU$38,46,0)</f>
        <v>0</v>
      </c>
      <c r="S30" s="36">
        <f>VLOOKUP($A30,[24]HISTONOV24!$A$6:$AU$38,26,0)</f>
        <v>0</v>
      </c>
      <c r="T30" s="36">
        <f>VLOOKUP($A30,[24]HISTONOV24!$A$6:$BG$38,58,0)</f>
        <v>0</v>
      </c>
      <c r="U30" s="36">
        <f>VLOOKUP($A30,[24]HISTONOV24!$A$6:$AU$38,28,0)</f>
        <v>0</v>
      </c>
      <c r="V30" s="36">
        <f>VLOOKUP($A30,[24]HISTONOV24!$A$6:$AU$38,19,0)</f>
        <v>0</v>
      </c>
      <c r="W30" s="36">
        <f>VLOOKUP($A30,[24]HISTONOV24!$A$6:$AU$38,20,0)</f>
        <v>0</v>
      </c>
      <c r="X30" s="36">
        <f>VLOOKUP($A30,[24]HISTONOV24!$A$6:$AU$38,27,0)</f>
        <v>0</v>
      </c>
      <c r="Y30" s="36">
        <f>VLOOKUP($A30,[24]HISTONOV24!$A$6:$BM$38,33,0)</f>
        <v>0</v>
      </c>
      <c r="Z30" s="36">
        <f>VLOOKUP($A30,[24]HISTONOV24!$A$6:$BM$38,65,0)</f>
        <v>0</v>
      </c>
      <c r="AA30" s="36"/>
      <c r="AB30" s="36">
        <f>VLOOKUP($A30,[24]HISTONOV24!$A$6:$AU$38,43,0)</f>
        <v>0</v>
      </c>
      <c r="AC30" s="36">
        <f>VLOOKUP($A30,[24]HISTONOV24!$A$6:$AU$38,44,0)</f>
        <v>0</v>
      </c>
      <c r="AD30" s="36">
        <f>VLOOKUP($A30,[24]HISTONOV24!$A$6:$AU$38,47,0)</f>
        <v>0</v>
      </c>
      <c r="AE30" s="36">
        <f>VLOOKUP(A30,[24]HISTONOV24!$A$6:$BB$38,54,0)</f>
        <v>0</v>
      </c>
      <c r="AF30" s="36">
        <f>VLOOKUP($A30,[24]HISTONOV24!$A$6:$CA$38,60,0)</f>
        <v>0</v>
      </c>
      <c r="AG30" s="36">
        <f>VLOOKUP($A30,[24]HISTONOV24!$A$6:$CA$38,61,0)</f>
        <v>0</v>
      </c>
      <c r="AH30" s="36">
        <f>VLOOKUP($A30,[24]HISTONOV24!$A$6:$CA$38,62,0)</f>
        <v>0</v>
      </c>
      <c r="AI30" s="36">
        <f>VLOOKUP($A30,[24]HISTONOV24!$A$6:$CA$38,63,0)</f>
        <v>0</v>
      </c>
      <c r="AJ30" s="36">
        <f>VLOOKUP($A30,[24]HISTONOV24!$A$6:$CA$38,64,0)</f>
        <v>0</v>
      </c>
      <c r="AK30" s="36">
        <f>VLOOKUP($A30,[24]HISTONOV24!$A$6:$CA$38,65,0)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MVTOCT24!I31-E31+L31</f>
        <v>1067903.0311481347</v>
      </c>
      <c r="G31" s="5">
        <f>IF(MVTOCT24!I31+L31&gt;700000,(MVTOCT24!I31-E31+L31),0)</f>
        <v>1067903.0311481347</v>
      </c>
      <c r="H31" s="36">
        <f t="shared" si="0"/>
        <v>0</v>
      </c>
      <c r="I31" s="6">
        <f t="shared" si="2"/>
        <v>1067903.0311481347</v>
      </c>
      <c r="J31" s="36">
        <f>VLOOKUP($A31,[24]HISTONOV24!$A$6:$AQ$42,22,0)</f>
        <v>0</v>
      </c>
      <c r="K31" s="36">
        <f>VLOOKUP($A31,[24]HISTONOV24!$A$6:$AU$38,45,0)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VLOOKUP($A31,[24]HISTONOV24!$A$6:$AU$38,7,0)</f>
        <v>0</v>
      </c>
      <c r="Q31" s="36">
        <f>VLOOKUP($A31,[24]HISTONOV24!$A$6:$AU$38,23,0)</f>
        <v>0</v>
      </c>
      <c r="R31" s="36">
        <f>VLOOKUP($A31,[24]HISTONOV24!$A$6:$AU$38,46,0)</f>
        <v>0</v>
      </c>
      <c r="S31" s="36">
        <f>VLOOKUP($A31,[24]HISTONOV24!$A$6:$AU$38,26,0)</f>
        <v>0</v>
      </c>
      <c r="T31" s="36">
        <f>VLOOKUP($A31,[24]HISTONOV24!$A$6:$BG$38,58,0)</f>
        <v>0</v>
      </c>
      <c r="U31" s="36">
        <f>VLOOKUP($A31,[24]HISTONOV24!$A$6:$AU$38,28,0)</f>
        <v>0</v>
      </c>
      <c r="V31" s="36">
        <f>VLOOKUP($A31,[24]HISTONOV24!$A$6:$AU$38,19,0)</f>
        <v>0</v>
      </c>
      <c r="W31" s="36">
        <f>VLOOKUP($A31,[24]HISTONOV24!$A$6:$AU$38,20,0)</f>
        <v>0</v>
      </c>
      <c r="X31" s="36">
        <f>VLOOKUP($A31,[24]HISTONOV24!$A$6:$AU$38,27,0)</f>
        <v>0</v>
      </c>
      <c r="Y31" s="36">
        <f>VLOOKUP($A31,[24]HISTONOV24!$A$6:$BM$38,33,0)</f>
        <v>0</v>
      </c>
      <c r="Z31" s="36">
        <f>VLOOKUP($A31,[24]HISTONOV24!$A$6:$BM$38,65,0)</f>
        <v>0</v>
      </c>
      <c r="AA31" s="36"/>
      <c r="AB31" s="36">
        <f>VLOOKUP($A31,[24]HISTONOV24!$A$6:$AU$38,43,0)</f>
        <v>0</v>
      </c>
      <c r="AC31" s="36">
        <f>VLOOKUP($A31,[24]HISTONOV24!$A$6:$AU$38,44,0)</f>
        <v>0</v>
      </c>
      <c r="AD31" s="36">
        <f>VLOOKUP($A31,[24]HISTONOV24!$A$6:$AU$38,47,0)</f>
        <v>0</v>
      </c>
      <c r="AE31" s="36">
        <f>VLOOKUP(A31,[24]HISTONOV24!$A$6:$BB$38,54,0)</f>
        <v>0</v>
      </c>
      <c r="AF31" s="36">
        <f>VLOOKUP($A31,[24]HISTONOV24!$A$6:$CA$38,60,0)</f>
        <v>0</v>
      </c>
      <c r="AG31" s="36">
        <f>VLOOKUP($A31,[24]HISTONOV24!$A$6:$CA$38,61,0)</f>
        <v>0</v>
      </c>
      <c r="AH31" s="36">
        <f>VLOOKUP($A31,[24]HISTONOV24!$A$6:$CA$38,62,0)</f>
        <v>0</v>
      </c>
      <c r="AI31" s="36">
        <f>VLOOKUP($A31,[24]HISTONOV24!$A$6:$CA$38,63,0)</f>
        <v>0</v>
      </c>
      <c r="AJ31" s="36">
        <f>VLOOKUP($A31,[24]HISTONOV24!$A$6:$CA$38,64,0)</f>
        <v>0</v>
      </c>
      <c r="AK31" s="36">
        <f>VLOOKUP($A31,[24]HISTONOV24!$A$6:$CA$38,65,0)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MVTOCT24!I32-E32+L32</f>
        <v>957243.98131057119</v>
      </c>
      <c r="G32" s="5">
        <f>IF(MVTOCT24!I32+L32&gt;700000,(MVTOCT24!I32-E32+L32),0)</f>
        <v>957243.98131057119</v>
      </c>
      <c r="H32" s="36">
        <f t="shared" si="0"/>
        <v>0</v>
      </c>
      <c r="I32" s="6">
        <f t="shared" si="2"/>
        <v>957243.98131057119</v>
      </c>
      <c r="J32" s="36">
        <f>VLOOKUP($A32,[24]HISTONOV24!$A$6:$AQ$42,22,0)</f>
        <v>0</v>
      </c>
      <c r="K32" s="36">
        <f>VLOOKUP($A32,[24]HISTONOV24!$A$6:$AU$38,45,0)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VLOOKUP($A32,[24]HISTONOV24!$A$6:$AU$38,7,0)</f>
        <v>0</v>
      </c>
      <c r="Q32" s="36">
        <f>VLOOKUP($A32,[24]HISTONOV24!$A$6:$AU$38,23,0)</f>
        <v>0</v>
      </c>
      <c r="R32" s="36">
        <f>VLOOKUP($A32,[24]HISTONOV24!$A$6:$AU$38,46,0)</f>
        <v>0</v>
      </c>
      <c r="S32" s="36">
        <f>VLOOKUP($A32,[24]HISTONOV24!$A$6:$AU$38,26,0)</f>
        <v>0</v>
      </c>
      <c r="T32" s="36">
        <f>VLOOKUP($A32,[24]HISTONOV24!$A$6:$BG$38,58,0)</f>
        <v>0</v>
      </c>
      <c r="U32" s="36">
        <f>VLOOKUP($A32,[24]HISTONOV24!$A$6:$AU$38,28,0)</f>
        <v>0</v>
      </c>
      <c r="V32" s="36">
        <f>VLOOKUP($A32,[24]HISTONOV24!$A$6:$AU$38,19,0)</f>
        <v>0</v>
      </c>
      <c r="W32" s="36">
        <f>VLOOKUP($A32,[24]HISTONOV24!$A$6:$AU$38,20,0)</f>
        <v>0</v>
      </c>
      <c r="X32" s="36">
        <f>VLOOKUP($A32,[24]HISTONOV24!$A$6:$AU$38,27,0)</f>
        <v>0</v>
      </c>
      <c r="Y32" s="36">
        <f>VLOOKUP($A32,[24]HISTONOV24!$A$6:$BM$38,33,0)</f>
        <v>0</v>
      </c>
      <c r="Z32" s="36">
        <f>VLOOKUP($A32,[24]HISTONOV24!$A$6:$BM$38,65,0)</f>
        <v>0</v>
      </c>
      <c r="AA32" s="36"/>
      <c r="AB32" s="36">
        <f>VLOOKUP($A32,[24]HISTONOV24!$A$6:$AU$38,43,0)</f>
        <v>0</v>
      </c>
      <c r="AC32" s="36">
        <f>VLOOKUP($A32,[24]HISTONOV24!$A$6:$AU$38,44,0)</f>
        <v>0</v>
      </c>
      <c r="AD32" s="36">
        <f>VLOOKUP($A32,[24]HISTONOV24!$A$6:$AU$38,47,0)</f>
        <v>0</v>
      </c>
      <c r="AE32" s="36">
        <f>VLOOKUP(A32,[24]HISTONOV24!$A$6:$BB$38,54,0)</f>
        <v>0</v>
      </c>
      <c r="AF32" s="36">
        <f>VLOOKUP($A32,[24]HISTONOV24!$A$6:$CA$38,60,0)</f>
        <v>0</v>
      </c>
      <c r="AG32" s="36">
        <f>VLOOKUP($A32,[24]HISTONOV24!$A$6:$CA$38,61,0)</f>
        <v>0</v>
      </c>
      <c r="AH32" s="36">
        <f>VLOOKUP($A32,[24]HISTONOV24!$A$6:$CA$38,62,0)</f>
        <v>0</v>
      </c>
      <c r="AI32" s="36">
        <f>VLOOKUP($A32,[24]HISTONOV24!$A$6:$CA$38,63,0)</f>
        <v>0</v>
      </c>
      <c r="AJ32" s="36">
        <f>VLOOKUP($A32,[24]HISTONOV24!$A$6:$CA$38,64,0)</f>
        <v>0</v>
      </c>
      <c r="AK32" s="36">
        <f>VLOOKUP($A32,[24]HISTONOV24!$A$6:$CA$38,65,0)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MVTOCT24!I33-E33+L33</f>
        <v>957552.64928596013</v>
      </c>
      <c r="G33" s="5">
        <f>IF(MVTOCT24!I33+L33&gt;700000,(MVTOCT24!I33-E33+L33),0)</f>
        <v>957552.64928596013</v>
      </c>
      <c r="H33" s="36">
        <f t="shared" si="0"/>
        <v>0</v>
      </c>
      <c r="I33" s="6">
        <f t="shared" si="2"/>
        <v>957552.64928596013</v>
      </c>
      <c r="J33" s="36">
        <f>VLOOKUP($A33,[24]HISTONOV24!$A$6:$AQ$42,22,0)</f>
        <v>0</v>
      </c>
      <c r="K33" s="36">
        <f>VLOOKUP($A33,[24]HISTONOV24!$A$6:$AU$38,45,0)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VLOOKUP($A33,[24]HISTONOV24!$A$6:$AU$38,7,0)</f>
        <v>0</v>
      </c>
      <c r="Q33" s="36">
        <f>VLOOKUP($A33,[24]HISTONOV24!$A$6:$AU$38,23,0)</f>
        <v>0</v>
      </c>
      <c r="R33" s="36">
        <f>VLOOKUP($A33,[24]HISTONOV24!$A$6:$AU$38,46,0)</f>
        <v>0</v>
      </c>
      <c r="S33" s="36">
        <f>VLOOKUP($A33,[24]HISTONOV24!$A$6:$AU$38,26,0)</f>
        <v>0</v>
      </c>
      <c r="T33" s="36">
        <f>VLOOKUP($A33,[24]HISTONOV24!$A$6:$BG$38,58,0)</f>
        <v>0</v>
      </c>
      <c r="U33" s="36">
        <f>VLOOKUP($A33,[24]HISTONOV24!$A$6:$AU$38,28,0)</f>
        <v>0</v>
      </c>
      <c r="V33" s="36">
        <f>VLOOKUP($A33,[24]HISTONOV24!$A$6:$AU$38,19,0)</f>
        <v>0</v>
      </c>
      <c r="W33" s="36">
        <f>VLOOKUP($A33,[24]HISTONOV24!$A$6:$AU$38,20,0)</f>
        <v>0</v>
      </c>
      <c r="X33" s="36">
        <f>VLOOKUP($A33,[24]HISTONOV24!$A$6:$AU$38,27,0)</f>
        <v>0</v>
      </c>
      <c r="Y33" s="36">
        <f>VLOOKUP($A33,[24]HISTONOV24!$A$6:$BM$38,33,0)</f>
        <v>0</v>
      </c>
      <c r="Z33" s="36">
        <f>VLOOKUP($A33,[24]HISTONOV24!$A$6:$BM$38,65,0)</f>
        <v>0</v>
      </c>
      <c r="AA33" s="36"/>
      <c r="AB33" s="36">
        <f>VLOOKUP($A33,[24]HISTONOV24!$A$6:$AU$38,43,0)</f>
        <v>0</v>
      </c>
      <c r="AC33" s="36">
        <f>VLOOKUP($A33,[24]HISTONOV24!$A$6:$AU$38,44,0)</f>
        <v>0</v>
      </c>
      <c r="AD33" s="36">
        <f>VLOOKUP($A33,[24]HISTONOV24!$A$6:$AU$38,47,0)</f>
        <v>0</v>
      </c>
      <c r="AE33" s="36">
        <f>VLOOKUP(A33,[24]HISTONOV24!$A$6:$BB$38,54,0)</f>
        <v>0</v>
      </c>
      <c r="AF33" s="36">
        <f>VLOOKUP($A33,[24]HISTONOV24!$A$6:$CA$38,60,0)</f>
        <v>0</v>
      </c>
      <c r="AG33" s="36">
        <f>VLOOKUP($A33,[24]HISTONOV24!$A$6:$CA$38,61,0)</f>
        <v>0</v>
      </c>
      <c r="AH33" s="36">
        <f>VLOOKUP($A33,[24]HISTONOV24!$A$6:$CA$38,62,0)</f>
        <v>0</v>
      </c>
      <c r="AI33" s="36">
        <f>VLOOKUP($A33,[24]HISTONOV24!$A$6:$CA$38,63,0)</f>
        <v>0</v>
      </c>
      <c r="AJ33" s="36">
        <f>VLOOKUP($A33,[24]HISTONOV24!$A$6:$CA$38,64,0)</f>
        <v>0</v>
      </c>
      <c r="AK33" s="36">
        <f>VLOOKUP($A33,[24]HISTONOV24!$A$6:$CA$38,65,0)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MVTOCT24!I34-E34+L34</f>
        <v>614000</v>
      </c>
      <c r="G34" s="5">
        <f>IF(MVTOCT24!I34+L34&gt;700000,(MVTOCT24!I34-E34+L34),0)</f>
        <v>0</v>
      </c>
      <c r="H34" s="36">
        <f t="shared" si="0"/>
        <v>0</v>
      </c>
      <c r="I34" s="6">
        <f t="shared" si="2"/>
        <v>614000</v>
      </c>
      <c r="J34" s="36">
        <f>VLOOKUP($A34,[24]HISTONOV24!$A$6:$AQ$42,22,0)</f>
        <v>0</v>
      </c>
      <c r="K34" s="36">
        <f>VLOOKUP($A34,[24]HISTONOV24!$A$6:$AU$38,45,0)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VLOOKUP($A34,[24]HISTONOV24!$A$6:$AU$38,7,0)</f>
        <v>0</v>
      </c>
      <c r="Q34" s="36">
        <f>VLOOKUP($A34,[24]HISTONOV24!$A$6:$AU$38,23,0)</f>
        <v>0</v>
      </c>
      <c r="R34" s="36">
        <f>VLOOKUP($A34,[24]HISTONOV24!$A$6:$AU$38,46,0)</f>
        <v>0</v>
      </c>
      <c r="S34" s="36">
        <f>VLOOKUP($A34,[24]HISTONOV24!$A$6:$AU$38,26,0)</f>
        <v>0</v>
      </c>
      <c r="T34" s="36">
        <f>VLOOKUP($A34,[24]HISTONOV24!$A$6:$BG$38,58,0)</f>
        <v>0</v>
      </c>
      <c r="U34" s="36">
        <f>VLOOKUP($A34,[24]HISTONOV24!$A$6:$AU$38,28,0)</f>
        <v>0</v>
      </c>
      <c r="V34" s="36">
        <f>VLOOKUP($A34,[24]HISTONOV24!$A$6:$AU$38,19,0)</f>
        <v>0</v>
      </c>
      <c r="W34" s="36">
        <f>VLOOKUP($A34,[24]HISTONOV24!$A$6:$AU$38,20,0)</f>
        <v>0</v>
      </c>
      <c r="X34" s="36">
        <f>VLOOKUP($A34,[24]HISTONOV24!$A$6:$AU$38,27,0)</f>
        <v>0</v>
      </c>
      <c r="Y34" s="36">
        <f>VLOOKUP($A34,[24]HISTONOV24!$A$6:$BM$38,33,0)</f>
        <v>0</v>
      </c>
      <c r="Z34" s="36">
        <f>VLOOKUP($A34,[24]HISTONOV24!$A$6:$BM$38,65,0)</f>
        <v>0</v>
      </c>
      <c r="AA34" s="36"/>
      <c r="AB34" s="36">
        <f>VLOOKUP($A34,[24]HISTONOV24!$A$6:$AU$38,43,0)</f>
        <v>0</v>
      </c>
      <c r="AC34" s="36">
        <f>VLOOKUP($A34,[24]HISTONOV24!$A$6:$AU$38,44,0)</f>
        <v>0</v>
      </c>
      <c r="AD34" s="36">
        <f>VLOOKUP($A34,[24]HISTONOV24!$A$6:$AU$38,47,0)</f>
        <v>0</v>
      </c>
      <c r="AE34" s="36">
        <f>VLOOKUP(A34,[24]HISTONOV24!$A$6:$BB$38,54,0)</f>
        <v>0</v>
      </c>
      <c r="AF34" s="36">
        <f>VLOOKUP($A34,[24]HISTONOV24!$A$6:$CA$38,60,0)</f>
        <v>0</v>
      </c>
      <c r="AG34" s="36">
        <f>VLOOKUP($A34,[24]HISTONOV24!$A$6:$CA$38,61,0)</f>
        <v>0</v>
      </c>
      <c r="AH34" s="36">
        <f>VLOOKUP($A34,[24]HISTONOV24!$A$6:$CA$38,62,0)</f>
        <v>0</v>
      </c>
      <c r="AI34" s="36">
        <f>VLOOKUP($A34,[24]HISTONOV24!$A$6:$CA$38,63,0)</f>
        <v>0</v>
      </c>
      <c r="AJ34" s="36">
        <f>VLOOKUP($A34,[24]HISTONOV24!$A$6:$CA$38,64,0)</f>
        <v>0</v>
      </c>
      <c r="AK34" s="36">
        <f>VLOOKUP($A34,[24]HISTONOV24!$A$6:$CA$38,65,0)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MVTOCT24!I35-E35+L35</f>
        <v>309000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309000</v>
      </c>
      <c r="J35" s="36">
        <f>VLOOKUP($A35,[24]HISTONOV24!$A$6:$AQ$42,22,0)</f>
        <v>0</v>
      </c>
      <c r="K35" s="36">
        <f>VLOOKUP($A35,[24]HISTONOV24!$A$6:$AU$38,45,0)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VLOOKUP($A35,[24]HISTONOV24!$A$6:$AU$38,7,0)</f>
        <v>3000</v>
      </c>
      <c r="Q35" s="36">
        <f>VLOOKUP($A35,[24]HISTONOV24!$A$6:$AU$38,23,0)</f>
        <v>0</v>
      </c>
      <c r="R35" s="36">
        <f>VLOOKUP($A35,[24]HISTONOV24!$A$6:$AU$38,46,0)</f>
        <v>0</v>
      </c>
      <c r="S35" s="36">
        <f>VLOOKUP($A35,[24]HISTONOV24!$A$6:$AU$38,26,0)</f>
        <v>0</v>
      </c>
      <c r="T35" s="36">
        <f>VLOOKUP($A35,[24]HISTONOV24!$A$6:$BG$38,58,0)</f>
        <v>0</v>
      </c>
      <c r="U35" s="36">
        <f>VLOOKUP($A35,[24]HISTONOV24!$A$6:$AU$38,28,0)</f>
        <v>0</v>
      </c>
      <c r="V35" s="36">
        <f>VLOOKUP($A35,[24]HISTONOV24!$A$6:$AU$38,19,0)</f>
        <v>0</v>
      </c>
      <c r="W35" s="36">
        <f>VLOOKUP($A35,[24]HISTONOV24!$A$6:$AU$38,20,0)</f>
        <v>0</v>
      </c>
      <c r="X35" s="36">
        <f>VLOOKUP($A35,[24]HISTONOV24!$A$6:$AU$38,27,0)</f>
        <v>0</v>
      </c>
      <c r="Y35" s="36">
        <f>VLOOKUP($A35,[24]HISTONOV24!$A$6:$BM$38,33,0)</f>
        <v>0</v>
      </c>
      <c r="Z35" s="36">
        <f>VLOOKUP($A35,[24]HISTONOV24!$A$6:$BM$38,65,0)</f>
        <v>0</v>
      </c>
      <c r="AA35" s="36"/>
      <c r="AB35" s="36">
        <f>VLOOKUP($A35,[24]HISTONOV24!$A$6:$AU$38,43,0)</f>
        <v>0</v>
      </c>
      <c r="AC35" s="36">
        <f>VLOOKUP($A35,[24]HISTONOV24!$A$6:$AU$38,44,0)</f>
        <v>0</v>
      </c>
      <c r="AD35" s="36">
        <f>VLOOKUP($A35,[24]HISTONOV24!$A$6:$AU$38,47,0)</f>
        <v>0</v>
      </c>
      <c r="AE35" s="36">
        <f>VLOOKUP(A35,[24]HISTONOV24!$A$6:$BB$38,54,0)</f>
        <v>0</v>
      </c>
      <c r="AF35" s="36">
        <f>VLOOKUP($A35,[24]HISTONOV24!$A$6:$CA$38,60,0)</f>
        <v>0</v>
      </c>
      <c r="AG35" s="36">
        <f>VLOOKUP($A35,[24]HISTONOV24!$A$6:$CA$38,61,0)</f>
        <v>0</v>
      </c>
      <c r="AH35" s="36">
        <f>VLOOKUP($A35,[24]HISTONOV24!$A$6:$CA$38,62,0)</f>
        <v>0</v>
      </c>
      <c r="AI35" s="36">
        <f>VLOOKUP($A35,[24]HISTONOV24!$A$6:$CA$38,63,0)</f>
        <v>0</v>
      </c>
      <c r="AJ35" s="36">
        <f>VLOOKUP($A35,[24]HISTONOV24!$A$6:$CA$38,64,0)</f>
        <v>0</v>
      </c>
      <c r="AK35" s="36">
        <f>VLOOKUP($A35,[24]HISTONOV24!$A$6:$CA$38,65,0)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MVTOCT24!I36-E36+L36</f>
        <v>994599.08181867818</v>
      </c>
      <c r="G36" s="5">
        <f>IF(MVTOCT24!I36+L36&gt;700000,(MVTOCT24!I36-E36+L36),0)</f>
        <v>994599.08181867818</v>
      </c>
      <c r="H36" s="36">
        <f t="shared" si="0"/>
        <v>0</v>
      </c>
      <c r="I36" s="6">
        <f t="shared" si="2"/>
        <v>994599.08181867818</v>
      </c>
      <c r="J36" s="36">
        <f>VLOOKUP($A36,[24]HISTONOV24!$A$6:$AQ$42,22,0)</f>
        <v>0</v>
      </c>
      <c r="K36" s="36">
        <f>VLOOKUP($A36,[24]HISTONOV24!$A$6:$AU$38,45,0)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VLOOKUP($A36,[24]HISTONOV24!$A$6:$AU$38,7,0)</f>
        <v>0</v>
      </c>
      <c r="Q36" s="36">
        <f>VLOOKUP($A36,[24]HISTONOV24!$A$6:$AU$38,23,0)</f>
        <v>0</v>
      </c>
      <c r="R36" s="36">
        <f>VLOOKUP($A36,[24]HISTONOV24!$A$6:$AU$38,46,0)</f>
        <v>0</v>
      </c>
      <c r="S36" s="36">
        <f>VLOOKUP($A36,[24]HISTONOV24!$A$6:$AU$38,26,0)</f>
        <v>0</v>
      </c>
      <c r="T36" s="36">
        <f>VLOOKUP($A36,[24]HISTONOV24!$A$6:$BG$38,58,0)</f>
        <v>0</v>
      </c>
      <c r="U36" s="36">
        <f>VLOOKUP($A36,[24]HISTONOV24!$A$6:$AU$38,28,0)</f>
        <v>0</v>
      </c>
      <c r="V36" s="36">
        <f>VLOOKUP($A36,[24]HISTONOV24!$A$6:$AU$38,19,0)</f>
        <v>0</v>
      </c>
      <c r="W36" s="36">
        <f>VLOOKUP($A36,[24]HISTONOV24!$A$6:$AU$38,20,0)</f>
        <v>0</v>
      </c>
      <c r="X36" s="36">
        <f>VLOOKUP($A36,[24]HISTONOV24!$A$6:$AU$38,27,0)</f>
        <v>0</v>
      </c>
      <c r="Y36" s="36">
        <f>VLOOKUP($A36,[24]HISTONOV24!$A$6:$BM$38,33,0)</f>
        <v>0</v>
      </c>
      <c r="Z36" s="36">
        <f>VLOOKUP($A36,[24]HISTONOV24!$A$6:$BM$38,65,0)</f>
        <v>0</v>
      </c>
      <c r="AA36" s="36"/>
      <c r="AB36" s="36">
        <f>VLOOKUP($A36,[24]HISTONOV24!$A$6:$AU$38,43,0)</f>
        <v>0</v>
      </c>
      <c r="AC36" s="36">
        <f>VLOOKUP($A36,[24]HISTONOV24!$A$6:$AU$38,44,0)</f>
        <v>0</v>
      </c>
      <c r="AD36" s="36">
        <f>VLOOKUP($A36,[24]HISTONOV24!$A$6:$AU$38,47,0)</f>
        <v>0</v>
      </c>
      <c r="AE36" s="36">
        <f>VLOOKUP(A36,[24]HISTONOV24!$A$6:$BB$38,54,0)</f>
        <v>0</v>
      </c>
      <c r="AF36" s="36">
        <f>VLOOKUP($A36,[24]HISTONOV24!$A$6:$CA$38,60,0)</f>
        <v>0</v>
      </c>
      <c r="AG36" s="36">
        <f>VLOOKUP($A36,[24]HISTONOV24!$A$6:$CA$38,61,0)</f>
        <v>0</v>
      </c>
      <c r="AH36" s="36">
        <f>VLOOKUP($A36,[24]HISTONOV24!$A$6:$CA$38,62,0)</f>
        <v>0</v>
      </c>
      <c r="AI36" s="36">
        <f>VLOOKUP($A36,[24]HISTONOV24!$A$6:$CA$38,63,0)</f>
        <v>0</v>
      </c>
      <c r="AJ36" s="36">
        <f>VLOOKUP($A36,[24]HISTONOV24!$A$6:$CA$38,64,0)</f>
        <v>0</v>
      </c>
      <c r="AK36" s="36">
        <f>VLOOKUP($A36,[24]HISTONOV24!$A$6:$CA$38,65,0)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MVTOCT24!I37-E37+L37</f>
        <v>2027400.7147676253</v>
      </c>
      <c r="G37" s="5">
        <f>IF(MVTOCT24!I37+L37&gt;700000,(MVTOCT24!I37-E37+L37),0)</f>
        <v>2027400.7147676253</v>
      </c>
      <c r="H37" s="36">
        <f t="shared" si="0"/>
        <v>0</v>
      </c>
      <c r="I37" s="6">
        <f t="shared" si="2"/>
        <v>2027400.7147676253</v>
      </c>
      <c r="J37" s="36">
        <f>VLOOKUP($A37,[24]HISTONOV24!$A$6:$AQ$42,22,0)</f>
        <v>0</v>
      </c>
      <c r="K37" s="36">
        <f>VLOOKUP($A37,[24]HISTONOV24!$A$6:$AU$38,45,0)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VLOOKUP($A37,[24]HISTONOV24!$A$6:$AU$38,7,0)</f>
        <v>3000</v>
      </c>
      <c r="Q37" s="36">
        <f>VLOOKUP($A37,[24]HISTONOV24!$A$6:$AU$38,23,0)</f>
        <v>0</v>
      </c>
      <c r="R37" s="36">
        <f>VLOOKUP($A37,[24]HISTONOV24!$A$6:$AU$38,46,0)</f>
        <v>0</v>
      </c>
      <c r="S37" s="36">
        <f>VLOOKUP($A37,[24]HISTONOV24!$A$6:$AU$38,26,0)</f>
        <v>0</v>
      </c>
      <c r="T37" s="36">
        <f>VLOOKUP($A37,[24]HISTONOV24!$A$6:$BG$38,58,0)</f>
        <v>0</v>
      </c>
      <c r="U37" s="36">
        <f>VLOOKUP($A37,[24]HISTONOV24!$A$6:$AU$38,28,0)</f>
        <v>0</v>
      </c>
      <c r="V37" s="36">
        <f>VLOOKUP($A37,[24]HISTONOV24!$A$6:$AU$38,19,0)</f>
        <v>0</v>
      </c>
      <c r="W37" s="36">
        <f>VLOOKUP($A37,[24]HISTONOV24!$A$6:$AU$38,20,0)</f>
        <v>0</v>
      </c>
      <c r="X37" s="36">
        <f>VLOOKUP($A37,[24]HISTONOV24!$A$6:$AU$38,27,0)</f>
        <v>0</v>
      </c>
      <c r="Y37" s="36">
        <f>VLOOKUP($A37,[24]HISTONOV24!$A$6:$BM$38,33,0)</f>
        <v>0</v>
      </c>
      <c r="Z37" s="36">
        <f>VLOOKUP($A37,[24]HISTONOV24!$A$6:$BM$38,65,0)</f>
        <v>0</v>
      </c>
      <c r="AA37" s="36"/>
      <c r="AB37" s="36">
        <f>VLOOKUP($A37,[24]HISTONOV24!$A$6:$AU$38,43,0)</f>
        <v>0</v>
      </c>
      <c r="AC37" s="36">
        <f>VLOOKUP($A37,[24]HISTONOV24!$A$6:$AU$38,44,0)</f>
        <v>0</v>
      </c>
      <c r="AD37" s="36">
        <f>VLOOKUP($A37,[24]HISTONOV24!$A$6:$AU$38,47,0)</f>
        <v>0</v>
      </c>
      <c r="AE37" s="36">
        <f>VLOOKUP(A37,[24]HISTONOV24!$A$6:$BB$38,54,0)</f>
        <v>0</v>
      </c>
      <c r="AF37" s="36">
        <f>VLOOKUP($A37,[24]HISTONOV24!$A$6:$CA$38,60,0)</f>
        <v>0</v>
      </c>
      <c r="AG37" s="36">
        <f>VLOOKUP($A37,[24]HISTONOV24!$A$6:$CA$38,61,0)</f>
        <v>0</v>
      </c>
      <c r="AH37" s="36">
        <f>VLOOKUP($A37,[24]HISTONOV24!$A$6:$CA$38,62,0)</f>
        <v>0</v>
      </c>
      <c r="AI37" s="36">
        <f>VLOOKUP($A37,[24]HISTONOV24!$A$6:$CA$38,63,0)</f>
        <v>0</v>
      </c>
      <c r="AJ37" s="36">
        <f>VLOOKUP($A37,[24]HISTONOV24!$A$6:$CA$38,64,0)</f>
        <v>0</v>
      </c>
      <c r="AK37" s="36">
        <f>VLOOKUP($A37,[24]HISTONOV24!$A$6:$CA$38,65,0)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MVTOCT24!I38-E38+L38</f>
        <v>209000</v>
      </c>
      <c r="G38" s="5">
        <f>IF(MVTOCT24!I38+L38&gt;700000,(MVTOCT24!I38-E38+L38),0)</f>
        <v>0</v>
      </c>
      <c r="H38" s="36">
        <f t="shared" si="0"/>
        <v>0</v>
      </c>
      <c r="I38" s="6">
        <f t="shared" si="2"/>
        <v>209000</v>
      </c>
      <c r="J38" s="36">
        <f>VLOOKUP($A38,[24]HISTONOV24!$A$6:$AQ$42,22,0)</f>
        <v>0</v>
      </c>
      <c r="K38" s="36">
        <f>VLOOKUP($A38,[24]HISTONOV24!$A$6:$AU$38,45,0)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VLOOKUP($A38,[24]HISTONOV24!$A$6:$AU$38,7,0)</f>
        <v>0</v>
      </c>
      <c r="Q38" s="36">
        <f>VLOOKUP($A38,[24]HISTONOV24!$A$6:$AU$38,23,0)</f>
        <v>0</v>
      </c>
      <c r="R38" s="36">
        <f>VLOOKUP($A38,[24]HISTONOV24!$A$6:$AU$38,46,0)</f>
        <v>0</v>
      </c>
      <c r="S38" s="36">
        <f>VLOOKUP($A38,[24]HISTONOV24!$A$6:$AU$38,26,0)</f>
        <v>0</v>
      </c>
      <c r="T38" s="36">
        <f>VLOOKUP($A38,[24]HISTONOV24!$A$6:$BG$38,58,0)</f>
        <v>0</v>
      </c>
      <c r="U38" s="36">
        <f>VLOOKUP($A38,[24]HISTONOV24!$A$6:$AU$38,28,0)</f>
        <v>0</v>
      </c>
      <c r="V38" s="36">
        <f>VLOOKUP($A38,[24]HISTONOV24!$A$6:$AU$38,19,0)</f>
        <v>0</v>
      </c>
      <c r="W38" s="36">
        <f>VLOOKUP($A38,[24]HISTONOV24!$A$6:$AU$38,20,0)</f>
        <v>0</v>
      </c>
      <c r="X38" s="36">
        <f>VLOOKUP($A38,[24]HISTONOV24!$A$6:$AU$38,27,0)</f>
        <v>0</v>
      </c>
      <c r="Y38" s="36">
        <f>VLOOKUP($A38,[24]HISTONOV24!$A$6:$BM$38,33,0)</f>
        <v>0</v>
      </c>
      <c r="Z38" s="36">
        <f>VLOOKUP($A38,[24]HISTONOV24!$A$6:$BM$38,65,0)</f>
        <v>0</v>
      </c>
      <c r="AA38" s="36"/>
      <c r="AB38" s="36">
        <f>VLOOKUP($A38,[24]HISTONOV24!$A$6:$AU$38,43,0)</f>
        <v>0</v>
      </c>
      <c r="AC38" s="36">
        <f>VLOOKUP($A38,[24]HISTONOV24!$A$6:$AU$38,44,0)</f>
        <v>0</v>
      </c>
      <c r="AD38" s="36">
        <f>VLOOKUP($A38,[24]HISTONOV24!$A$6:$AU$38,47,0)</f>
        <v>0</v>
      </c>
      <c r="AE38" s="36">
        <f>VLOOKUP(A38,[24]HISTONOV24!$A$6:$BB$38,54,0)</f>
        <v>0</v>
      </c>
      <c r="AF38" s="36">
        <f>VLOOKUP($A38,[24]HISTONOV24!$A$6:$CA$38,60,0)</f>
        <v>0</v>
      </c>
      <c r="AG38" s="36">
        <f>VLOOKUP($A38,[24]HISTONOV24!$A$6:$CA$38,61,0)</f>
        <v>0</v>
      </c>
      <c r="AH38" s="36">
        <f>VLOOKUP($A38,[24]HISTONOV24!$A$6:$CA$38,62,0)</f>
        <v>0</v>
      </c>
      <c r="AI38" s="36">
        <f>VLOOKUP($A38,[24]HISTONOV24!$A$6:$CA$38,63,0)</f>
        <v>0</v>
      </c>
      <c r="AJ38" s="36">
        <f>VLOOKUP($A38,[24]HISTONOV24!$A$6:$CA$38,64,0)</f>
        <v>0</v>
      </c>
      <c r="AK38" s="36">
        <f>VLOOKUP($A38,[24]HISTONOV24!$A$6:$CA$38,65,0)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MVTOCT24!I39-E39+L39</f>
        <v>2192313.2142100567</v>
      </c>
      <c r="G39" s="5">
        <f>IF(MVTOCT24!I39+L39&gt;700000,(MVTOCT24!I39-E39+L39),0)</f>
        <v>2192313.2142100567</v>
      </c>
      <c r="H39" s="36">
        <f t="shared" si="0"/>
        <v>0</v>
      </c>
      <c r="I39" s="6">
        <f t="shared" si="2"/>
        <v>2192313.2142100567</v>
      </c>
      <c r="J39" s="36">
        <f>VLOOKUP($A39,[24]HISTONOV24!$A$6:$AQ$42,22,0)</f>
        <v>0</v>
      </c>
      <c r="K39" s="36">
        <f>VLOOKUP($A39,[24]HISTONOV24!$A$6:$AU$38,45,0)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VLOOKUP($A39,[24]HISTONOV24!$A$6:$AU$38,7,0)</f>
        <v>0</v>
      </c>
      <c r="Q39" s="36">
        <f>VLOOKUP($A39,[24]HISTONOV24!$A$6:$AU$38,23,0)</f>
        <v>0</v>
      </c>
      <c r="R39" s="36">
        <f>VLOOKUP($A39,[24]HISTONOV24!$A$6:$AU$38,46,0)</f>
        <v>0</v>
      </c>
      <c r="S39" s="36">
        <f>VLOOKUP($A39,[24]HISTONOV24!$A$6:$AU$38,26,0)</f>
        <v>0</v>
      </c>
      <c r="T39" s="36">
        <f>VLOOKUP($A39,[24]HISTONOV24!$A$6:$BG$38,58,0)</f>
        <v>0</v>
      </c>
      <c r="U39" s="36">
        <f>VLOOKUP($A39,[24]HISTONOV24!$A$6:$AU$38,28,0)</f>
        <v>0</v>
      </c>
      <c r="V39" s="36">
        <f>VLOOKUP($A39,[24]HISTONOV24!$A$6:$AU$38,19,0)</f>
        <v>0</v>
      </c>
      <c r="W39" s="36">
        <f>VLOOKUP($A39,[24]HISTONOV24!$A$6:$AU$38,20,0)</f>
        <v>0</v>
      </c>
      <c r="X39" s="36">
        <f>VLOOKUP($A39,[24]HISTONOV24!$A$6:$AU$38,27,0)</f>
        <v>0</v>
      </c>
      <c r="Y39" s="36">
        <f>VLOOKUP($A39,[24]HISTONOV24!$A$6:$BM$38,33,0)</f>
        <v>0</v>
      </c>
      <c r="Z39" s="36">
        <f>VLOOKUP($A39,[24]HISTONOV24!$A$6:$BM$38,65,0)</f>
        <v>0</v>
      </c>
      <c r="AA39" s="36"/>
      <c r="AB39" s="36">
        <f>VLOOKUP($A39,[24]HISTONOV24!$A$6:$AU$38,43,0)</f>
        <v>0</v>
      </c>
      <c r="AC39" s="36">
        <f>VLOOKUP($A39,[24]HISTONOV24!$A$6:$AU$38,44,0)</f>
        <v>0</v>
      </c>
      <c r="AD39" s="36">
        <f>VLOOKUP($A39,[24]HISTONOV24!$A$6:$AU$38,47,0)</f>
        <v>0</v>
      </c>
      <c r="AE39" s="36">
        <f>VLOOKUP(A39,[24]HISTONOV24!$A$6:$BB$38,54,0)</f>
        <v>0</v>
      </c>
      <c r="AF39" s="36">
        <f>VLOOKUP($A39,[24]HISTONOV24!$A$6:$CA$38,60,0)</f>
        <v>0</v>
      </c>
      <c r="AG39" s="36">
        <f>VLOOKUP($A39,[24]HISTONOV24!$A$6:$CA$38,61,0)</f>
        <v>0</v>
      </c>
      <c r="AH39" s="36">
        <f>VLOOKUP($A39,[24]HISTONOV24!$A$6:$CA$38,62,0)</f>
        <v>0</v>
      </c>
      <c r="AI39" s="36">
        <f>VLOOKUP($A39,[24]HISTONOV24!$A$6:$CA$38,63,0)</f>
        <v>0</v>
      </c>
      <c r="AJ39" s="36">
        <f>VLOOKUP($A39,[24]HISTONOV24!$A$6:$CA$38,64,0)</f>
        <v>0</v>
      </c>
      <c r="AK39" s="36">
        <f>VLOOKUP($A39,[24]HISTONOV24!$A$6:$CA$38,65,0)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33576656.655274987</v>
      </c>
      <c r="G41" s="9">
        <f t="shared" si="10"/>
        <v>31559439.524547949</v>
      </c>
      <c r="H41" s="36">
        <f t="shared" si="10"/>
        <v>0</v>
      </c>
      <c r="I41" s="9">
        <f t="shared" si="10"/>
        <v>33576656.655274987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45643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928791.19348721951</v>
      </c>
      <c r="G7" s="5">
        <f>IF(MVTNOV24!I7+L7&gt;700000,(MVTNOV24!I7-E7+L7),0)</f>
        <v>928791.19348721951</v>
      </c>
      <c r="H7" s="36">
        <f t="shared" si="0"/>
        <v>0</v>
      </c>
      <c r="I7" s="6">
        <f t="shared" ref="I7:I39" si="2">F7+H7</f>
        <v>928791.19348721951</v>
      </c>
      <c r="J7" s="36">
        <f>VLOOKUP($A7,[24]HISTODEC24!$A$6:$AQ$42,22,0)</f>
        <v>0</v>
      </c>
      <c r="K7" s="36">
        <f>VLOOKUP($A7,[24]HISTODEC24!$A$6:$AU$38,45,0)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VLOOKUP($A7,[24]HISTODEC24!$A$6:$AU$38,7,0)</f>
        <v>3000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972533.31236524263</v>
      </c>
      <c r="G8" s="5">
        <f>IF(MVTNOV24!I8+L8&gt;700000,(MVTNOV24!I8-E8+L8),0)</f>
        <v>972533.31236524263</v>
      </c>
      <c r="H8" s="36">
        <f t="shared" si="0"/>
        <v>0</v>
      </c>
      <c r="I8" s="6">
        <f t="shared" si="2"/>
        <v>972533.31236524263</v>
      </c>
      <c r="J8" s="36">
        <f>VLOOKUP($A8,[24]HISTODEC24!$A$6:$AQ$42,22,0)</f>
        <v>0</v>
      </c>
      <c r="K8" s="36">
        <f>VLOOKUP($A8,[24]HISTODEC24!$A$6:$AU$38,45,0)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1029962.0068681776</v>
      </c>
      <c r="G9" s="5">
        <f>IF(MVTNOV24!I9+L9&gt;700000,(MVTNOV24!I9-E9+L9),0)</f>
        <v>1029962.0068681776</v>
      </c>
      <c r="H9" s="36">
        <f t="shared" si="0"/>
        <v>0</v>
      </c>
      <c r="I9" s="6">
        <f t="shared" si="2"/>
        <v>1029962.0068681776</v>
      </c>
      <c r="J9" s="36">
        <f>VLOOKUP($A9,[24]HISTODEC24!$A$6:$AQ$42,22,0)</f>
        <v>0</v>
      </c>
      <c r="K9" s="36">
        <f>VLOOKUP($A9,[24]HISTODEC24!$A$6:$AU$38,45,0)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969805.20622596238</v>
      </c>
      <c r="G10" s="5">
        <f>IF(MVTNOV24!I10+L10&gt;700000,(MVTNOV24!I10-E10+L10),0)</f>
        <v>969805.20622596238</v>
      </c>
      <c r="H10" s="36">
        <f t="shared" si="0"/>
        <v>0</v>
      </c>
      <c r="I10" s="6">
        <f t="shared" si="2"/>
        <v>969805.20622596238</v>
      </c>
      <c r="J10" s="36">
        <f>VLOOKUP($A10,[24]HISTODEC24!$A$6:$AQ$42,22,0)</f>
        <v>0</v>
      </c>
      <c r="K10" s="36">
        <f>VLOOKUP($A10,[24]HISTODEC24!$A$6:$AU$38,45,0)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987855.82895949238</v>
      </c>
      <c r="G11" s="5">
        <f>IF(MVTNOV24!I11+L11&gt;700000,(MVTNOV24!I11-E11+L11),0)</f>
        <v>987855.82895949238</v>
      </c>
      <c r="H11" s="36">
        <f t="shared" si="0"/>
        <v>0</v>
      </c>
      <c r="I11" s="6">
        <f t="shared" si="2"/>
        <v>987855.82895949238</v>
      </c>
      <c r="J11" s="36">
        <f>VLOOKUP($A11,[24]HISTODEC24!$A$6:$AQ$42,22,0)</f>
        <v>0</v>
      </c>
      <c r="K11" s="36">
        <f>VLOOKUP($A11,[24]HISTODEC24!$A$6:$AU$38,45,0)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1011100.1474133957</v>
      </c>
      <c r="G12" s="5">
        <f>IF(MVTNOV24!I12+L12&gt;700000,(MVTNOV24!I12-E12+L12),0)</f>
        <v>1011100.1474133957</v>
      </c>
      <c r="H12" s="36">
        <f t="shared" si="0"/>
        <v>0</v>
      </c>
      <c r="I12" s="6">
        <f t="shared" si="2"/>
        <v>1011100.1474133957</v>
      </c>
      <c r="J12" s="36">
        <f>VLOOKUP($A12,[24]HISTODEC24!$A$6:$AQ$42,22,0)</f>
        <v>0</v>
      </c>
      <c r="K12" s="36">
        <f>VLOOKUP($A12,[24]HISTODEC24!$A$6:$AU$38,45,0)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975555.14612214814</v>
      </c>
      <c r="G13" s="5">
        <f>IF(MVTNOV24!I13+L13&gt;700000,(MVTNOV24!I13-E13+L13),0)</f>
        <v>975555.14612214814</v>
      </c>
      <c r="H13" s="36">
        <f t="shared" si="0"/>
        <v>0</v>
      </c>
      <c r="I13" s="6">
        <f t="shared" si="2"/>
        <v>975555.14612214814</v>
      </c>
      <c r="J13" s="36">
        <f>VLOOKUP($A13,[24]HISTODEC24!$A$6:$AQ$42,22,0)</f>
        <v>0</v>
      </c>
      <c r="K13" s="36">
        <f>VLOOKUP($A13,[24]HISTODEC24!$A$6:$AU$38,45,0)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1528425.9823482623</v>
      </c>
      <c r="G14" s="5">
        <f>IF(MVTNOV24!I14+L14&gt;700000,(MVTNOV24!I14-E14+L14),0)</f>
        <v>1528425.9823482623</v>
      </c>
      <c r="H14" s="36">
        <f t="shared" si="0"/>
        <v>0</v>
      </c>
      <c r="I14" s="6">
        <f t="shared" si="2"/>
        <v>1528425.9823482623</v>
      </c>
      <c r="J14" s="36">
        <f>VLOOKUP($A14,[24]HISTODEC24!$A$6:$AQ$42,22,0)</f>
        <v>0</v>
      </c>
      <c r="K14" s="36">
        <f>VLOOKUP($A14,[24]HISTODEC24!$A$6:$AU$38,45,0)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1037309.6215381094</v>
      </c>
      <c r="G15" s="5">
        <f>IF(MVTNOV24!I15+L15&gt;700000,(MVTNOV24!I15-E15+L15),0)</f>
        <v>1037309.6215381094</v>
      </c>
      <c r="H15" s="36">
        <f t="shared" si="0"/>
        <v>0</v>
      </c>
      <c r="I15" s="6">
        <f t="shared" si="2"/>
        <v>1037309.6215381094</v>
      </c>
      <c r="J15" s="36">
        <f>VLOOKUP($A15,[24]HISTODEC24!$A$6:$AQ$42,22,0)</f>
        <v>0</v>
      </c>
      <c r="K15" s="36">
        <f>VLOOKUP($A15,[24]HISTODEC24!$A$6:$AU$38,45,0)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1147858.7065070483</v>
      </c>
      <c r="G16" s="5">
        <f>IF(MVTNOV24!I16+L16&gt;700000,(MVTNOV24!I16-E16+L16),0)</f>
        <v>1147858.7065070483</v>
      </c>
      <c r="H16" s="36">
        <f t="shared" si="0"/>
        <v>0</v>
      </c>
      <c r="I16" s="6">
        <f t="shared" si="2"/>
        <v>1147858.7065070483</v>
      </c>
      <c r="J16" s="36">
        <f>VLOOKUP($A16,[24]HISTODEC24!$A$6:$AQ$42,22,0)</f>
        <v>0</v>
      </c>
      <c r="K16" s="36">
        <f>VLOOKUP($A16,[24]HISTODEC24!$A$6:$AU$38,45,0)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985402.7005255461</v>
      </c>
      <c r="G17" s="5">
        <f>IF(MVTNOV24!I17+L17&gt;700000,(MVTNOV24!I17-E17+L17),0)</f>
        <v>985402.7005255461</v>
      </c>
      <c r="H17" s="36">
        <f t="shared" si="0"/>
        <v>0</v>
      </c>
      <c r="I17" s="6">
        <f t="shared" si="2"/>
        <v>985402.7005255461</v>
      </c>
      <c r="J17" s="36">
        <f>VLOOKUP($A17,[24]HISTODEC24!$A$6:$AQ$42,22,0)</f>
        <v>0</v>
      </c>
      <c r="K17" s="36">
        <f>VLOOKUP($A17,[24]HISTODEC24!$A$6:$AU$38,45,0)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1031662.7641973695</v>
      </c>
      <c r="G18" s="5">
        <f>IF(MVTNOV24!I18+L18&gt;700000,(MVTNOV24!I18-E18+L18),0)</f>
        <v>1031662.7641973695</v>
      </c>
      <c r="H18" s="36">
        <f t="shared" si="0"/>
        <v>0</v>
      </c>
      <c r="I18" s="6">
        <f t="shared" si="2"/>
        <v>1031662.7641973695</v>
      </c>
      <c r="J18" s="36">
        <f>VLOOKUP($A18,[24]HISTODEC24!$A$6:$AQ$42,22,0)</f>
        <v>0</v>
      </c>
      <c r="K18" s="36">
        <f>VLOOKUP($A18,[24]HISTODEC24!$A$6:$AU$38,45,0)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228000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228000</v>
      </c>
      <c r="J20" s="36">
        <f>VLOOKUP($A20,[24]HISTODEC24!$A$6:$AQ$42,22,0)</f>
        <v>0</v>
      </c>
      <c r="K20" s="36">
        <f>VLOOKUP($A20,[24]HISTODEC24!$A$6:$AU$38,45,0)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1008355.800629583</v>
      </c>
      <c r="G21" s="5">
        <f>IF(MVTNOV24!I21+L21&gt;700000,(MVTNOV24!I21-E21+L21),0)</f>
        <v>1008355.800629583</v>
      </c>
      <c r="H21" s="36">
        <f t="shared" si="0"/>
        <v>0</v>
      </c>
      <c r="I21" s="6">
        <f t="shared" si="2"/>
        <v>1008355.800629583</v>
      </c>
      <c r="J21" s="36">
        <f>VLOOKUP($A21,[24]HISTODEC24!$A$6:$AQ$42,22,0)</f>
        <v>0</v>
      </c>
      <c r="K21" s="36">
        <f>VLOOKUP($A21,[24]HISTODEC24!$A$6:$AU$38,45,0)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976738.95952735876</v>
      </c>
      <c r="G22" s="5">
        <f>IF(MVTNOV24!I22+L22&gt;700000,(MVTNOV24!I22-E22+L22),0)</f>
        <v>976738.95952735876</v>
      </c>
      <c r="H22" s="36">
        <f t="shared" si="0"/>
        <v>0</v>
      </c>
      <c r="I22" s="6">
        <f t="shared" si="2"/>
        <v>976738.95952735876</v>
      </c>
      <c r="J22" s="36">
        <f>VLOOKUP($A22,[24]HISTODEC24!$A$6:$AQ$42,22,0)</f>
        <v>0</v>
      </c>
      <c r="K22" s="36">
        <f>VLOOKUP($A22,[24]HISTODEC24!$A$6:$AU$38,45,0)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1082674.3246731949</v>
      </c>
      <c r="G23" s="5">
        <f>IF(MVTNOV24!I23+L23&gt;700000,(MVTNOV24!I23-E23+L23),0)</f>
        <v>1082674.3246731949</v>
      </c>
      <c r="H23" s="36">
        <f t="shared" si="0"/>
        <v>0</v>
      </c>
      <c r="I23" s="6">
        <f t="shared" si="2"/>
        <v>1082674.3246731949</v>
      </c>
      <c r="J23" s="36">
        <f>VLOOKUP($A23,[24]HISTODEC24!$A$6:$AQ$42,22,0)</f>
        <v>0</v>
      </c>
      <c r="K23" s="36">
        <f>VLOOKUP($A23,[24]HISTODEC24!$A$6:$AU$38,45,0)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1255827.8441992993</v>
      </c>
      <c r="G24" s="5">
        <f>IF(MVTNOV24!I24+L24&gt;700000,(MVTNOV24!I24-E24+L24),0)</f>
        <v>1255827.8441992993</v>
      </c>
      <c r="H24" s="36">
        <f t="shared" si="0"/>
        <v>0</v>
      </c>
      <c r="I24" s="6">
        <f t="shared" si="2"/>
        <v>1255827.8441992993</v>
      </c>
      <c r="J24" s="36">
        <f>VLOOKUP($A24,[24]HISTODEC24!$A$6:$AQ$42,22,0)</f>
        <v>0</v>
      </c>
      <c r="K24" s="36">
        <f>VLOOKUP($A24,[24]HISTODEC24!$A$6:$AU$38,45,0)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1067141.7950432156</v>
      </c>
      <c r="G25" s="5">
        <f>IF(MVTNOV24!I25+L25&gt;700000,(MVTNOV24!I25-E25+L25),0)</f>
        <v>1067141.7950432156</v>
      </c>
      <c r="H25" s="36">
        <f t="shared" si="0"/>
        <v>0</v>
      </c>
      <c r="I25" s="6">
        <f t="shared" si="2"/>
        <v>1067141.7950432156</v>
      </c>
      <c r="J25" s="36">
        <f>VLOOKUP($A25,[24]HISTODEC24!$A$6:$AQ$42,22,0)</f>
        <v>0</v>
      </c>
      <c r="K25" s="36">
        <f>VLOOKUP($A25,[24]HISTODEC24!$A$6:$AU$38,45,0)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VLOOKUP($A25,[24]HISTODEC24!$A$6:$AU$38,7,0)</f>
        <v>3000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995266.46813543816</v>
      </c>
      <c r="G26" s="5">
        <f>IF(MVTNOV24!I26+L26&gt;700000,(MVTNOV24!I26-E26+L26),0)</f>
        <v>995266.46813543816</v>
      </c>
      <c r="H26" s="36">
        <f t="shared" si="0"/>
        <v>0</v>
      </c>
      <c r="I26" s="6">
        <f t="shared" si="2"/>
        <v>995266.46813543816</v>
      </c>
      <c r="J26" s="36">
        <f>VLOOKUP($A26,[24]HISTODEC24!$A$6:$AQ$42,22,0)</f>
        <v>0</v>
      </c>
      <c r="K26" s="36">
        <f>VLOOKUP($A26,[24]HISTODEC24!$A$6:$AU$38,45,0)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995824.17371512204</v>
      </c>
      <c r="G27" s="5">
        <f>IF(MVTNOV24!I27+L27&gt;700000,(MVTNOV24!I27-E27+L27),0)</f>
        <v>995824.17371512204</v>
      </c>
      <c r="H27" s="36">
        <f t="shared" si="0"/>
        <v>0</v>
      </c>
      <c r="I27" s="6">
        <f t="shared" si="2"/>
        <v>995824.17371512204</v>
      </c>
      <c r="J27" s="36">
        <f>VLOOKUP($A27,[24]HISTODEC24!$A$6:$AQ$42,22,0)</f>
        <v>0</v>
      </c>
      <c r="K27" s="36">
        <f>VLOOKUP($A27,[24]HISTODEC24!$A$6:$AU$38,45,0)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897176.12513194664</v>
      </c>
      <c r="G28" s="5">
        <f>IF(MVTNOV24!I28+L28&gt;700000,(MVTNOV24!I28-E28+L28),0)</f>
        <v>897176.12513194664</v>
      </c>
      <c r="H28" s="36">
        <f t="shared" si="0"/>
        <v>0</v>
      </c>
      <c r="I28" s="6">
        <f t="shared" si="2"/>
        <v>897176.12513194664</v>
      </c>
      <c r="J28" s="36">
        <f>VLOOKUP($A28,[24]HISTODEC24!$A$6:$AQ$42,22,0)</f>
        <v>0</v>
      </c>
      <c r="K28" s="36">
        <f>VLOOKUP($A28,[24]HISTODEC24!$A$6:$AU$38,45,0)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1022151.3442374151</v>
      </c>
      <c r="G29" s="5">
        <f>IF(MVTNOV24!I29+L29&gt;700000,(MVTNOV24!I29-E29+L29),0)</f>
        <v>1022151.3442374151</v>
      </c>
      <c r="H29" s="36">
        <f t="shared" si="0"/>
        <v>0</v>
      </c>
      <c r="I29" s="6">
        <f t="shared" si="2"/>
        <v>1022151.3442374151</v>
      </c>
      <c r="J29" s="36">
        <f>VLOOKUP($A29,[24]HISTODEC24!$A$6:$AQ$42,22,0)</f>
        <v>0</v>
      </c>
      <c r="K29" s="36">
        <f>VLOOKUP($A29,[24]HISTODEC24!$A$6:$AU$38,45,0)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926786.81046782702</v>
      </c>
      <c r="G30" s="5">
        <f>IF(MVTNOV24!I30+L30&gt;700000,(MVTNOV24!I30-E30+L30),0)</f>
        <v>926786.81046782702</v>
      </c>
      <c r="H30" s="36">
        <f t="shared" si="0"/>
        <v>0</v>
      </c>
      <c r="I30" s="6">
        <f t="shared" si="2"/>
        <v>926786.81046782702</v>
      </c>
      <c r="J30" s="36">
        <f>VLOOKUP($A30,[24]HISTODEC24!$A$6:$AQ$42,22,0)</f>
        <v>0</v>
      </c>
      <c r="K30" s="36">
        <f>VLOOKUP($A30,[24]HISTODEC24!$A$6:$AU$38,45,0)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1086903.0311481347</v>
      </c>
      <c r="G31" s="5">
        <f>IF(MVTNOV24!I31+L31&gt;700000,(MVTNOV24!I31-E31+L31),0)</f>
        <v>1086903.0311481347</v>
      </c>
      <c r="H31" s="36">
        <f t="shared" si="0"/>
        <v>0</v>
      </c>
      <c r="I31" s="6">
        <f t="shared" si="2"/>
        <v>1086903.0311481347</v>
      </c>
      <c r="J31" s="36">
        <f>VLOOKUP($A31,[24]HISTODEC24!$A$6:$AQ$42,22,0)</f>
        <v>0</v>
      </c>
      <c r="K31" s="36">
        <f>VLOOKUP($A31,[24]HISTODEC24!$A$6:$AU$38,45,0)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976243.98131057119</v>
      </c>
      <c r="G32" s="5">
        <f>IF(MVTNOV24!I32+L32&gt;700000,(MVTNOV24!I32-E32+L32),0)</f>
        <v>976243.98131057119</v>
      </c>
      <c r="H32" s="36">
        <f t="shared" si="0"/>
        <v>0</v>
      </c>
      <c r="I32" s="6">
        <f t="shared" si="2"/>
        <v>976243.98131057119</v>
      </c>
      <c r="J32" s="36">
        <f>VLOOKUP($A32,[24]HISTODEC24!$A$6:$AQ$42,22,0)</f>
        <v>0</v>
      </c>
      <c r="K32" s="36">
        <f>VLOOKUP($A32,[24]HISTODEC24!$A$6:$AU$38,45,0)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976552.64928596013</v>
      </c>
      <c r="G33" s="5">
        <f>IF(MVTNOV24!I33+L33&gt;700000,(MVTNOV24!I33-E33+L33),0)</f>
        <v>976552.64928596013</v>
      </c>
      <c r="H33" s="36">
        <f t="shared" si="0"/>
        <v>0</v>
      </c>
      <c r="I33" s="6">
        <f t="shared" si="2"/>
        <v>976552.64928596013</v>
      </c>
      <c r="J33" s="36">
        <f>VLOOKUP($A33,[24]HISTODEC24!$A$6:$AQ$42,22,0)</f>
        <v>0</v>
      </c>
      <c r="K33" s="36">
        <f>VLOOKUP($A33,[24]HISTODEC24!$A$6:$AU$38,45,0)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633000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633000</v>
      </c>
      <c r="J34" s="36">
        <f>VLOOKUP($A34,[24]HISTODEC24!$A$6:$AQ$42,22,0)</f>
        <v>0</v>
      </c>
      <c r="K34" s="36">
        <f>VLOOKUP($A34,[24]HISTODEC24!$A$6:$AU$38,45,0)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328000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328000</v>
      </c>
      <c r="J35" s="36">
        <f>VLOOKUP($A35,[24]HISTODEC24!$A$6:$AQ$42,22,0)</f>
        <v>0</v>
      </c>
      <c r="K35" s="36">
        <f>VLOOKUP($A35,[24]HISTODEC24!$A$6:$AU$38,45,0)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VLOOKUP($A35,[24]HISTODEC24!$A$6:$AU$38,7,0)</f>
        <v>3000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1013599.0818186782</v>
      </c>
      <c r="G36" s="5">
        <f>IF(MVTNOV24!I36+L36&gt;700000,(MVTNOV24!I36-E36+L36),0)</f>
        <v>1013599.0818186782</v>
      </c>
      <c r="H36" s="36">
        <f t="shared" si="0"/>
        <v>0</v>
      </c>
      <c r="I36" s="6">
        <f t="shared" si="2"/>
        <v>1013599.0818186782</v>
      </c>
      <c r="J36" s="36">
        <f>VLOOKUP($A36,[24]HISTODEC24!$A$6:$AQ$42,22,0)</f>
        <v>0</v>
      </c>
      <c r="K36" s="36">
        <f>VLOOKUP($A36,[24]HISTODEC24!$A$6:$AU$38,45,0)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2046400.7147676253</v>
      </c>
      <c r="G37" s="5">
        <f>IF(MVTNOV24!I37+L37&gt;700000,(MVTNOV24!I37-E37+L37),0)</f>
        <v>2046400.7147676253</v>
      </c>
      <c r="H37" s="36">
        <f t="shared" si="0"/>
        <v>0</v>
      </c>
      <c r="I37" s="6">
        <f t="shared" si="2"/>
        <v>2046400.7147676253</v>
      </c>
      <c r="J37" s="36">
        <f>VLOOKUP($A37,[24]HISTODEC24!$A$6:$AQ$42,22,0)</f>
        <v>0</v>
      </c>
      <c r="K37" s="36">
        <f>VLOOKUP($A37,[24]HISTODEC24!$A$6:$AU$38,45,0)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VLOOKUP($A37,[24]HISTODEC24!$A$6:$AU$38,7,0)</f>
        <v>3000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228000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228000</v>
      </c>
      <c r="J38" s="36">
        <f>VLOOKUP($A38,[24]HISTODEC24!$A$6:$AQ$42,22,0)</f>
        <v>0</v>
      </c>
      <c r="K38" s="36">
        <f>VLOOKUP($A38,[24]HISTODEC24!$A$6:$AU$38,45,0)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2211313.2142100567</v>
      </c>
      <c r="G39" s="5">
        <f>IF(MVTNOV24!I39+L39&gt;700000,(MVTNOV24!I39-E39+L39),0)</f>
        <v>2211313.2142100567</v>
      </c>
      <c r="H39" s="36">
        <f t="shared" si="0"/>
        <v>0</v>
      </c>
      <c r="I39" s="6">
        <f t="shared" si="2"/>
        <v>2211313.2142100567</v>
      </c>
      <c r="J39" s="36">
        <f>VLOOKUP($A39,[24]HISTODEC24!$A$6:$AQ$42,22,0)</f>
        <v>0</v>
      </c>
      <c r="K39" s="36">
        <f>VLOOKUP($A39,[24]HISTODEC24!$A$6:$AU$38,45,0)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34184656.655274987</v>
      </c>
      <c r="G41" s="9">
        <f t="shared" si="10"/>
        <v>32091439.524547949</v>
      </c>
      <c r="H41" s="36">
        <f t="shared" si="10"/>
        <v>0</v>
      </c>
      <c r="I41" s="9">
        <f t="shared" si="10"/>
        <v>34184656.655274987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45643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928791.19348721951</v>
      </c>
      <c r="G7" s="5">
        <f>IF(MVTNOV24!I7+L7&gt;700000,(MVTNOV24!I7-E7+L7),0)</f>
        <v>928791.19348721951</v>
      </c>
      <c r="H7" s="36">
        <f t="shared" si="0"/>
        <v>0</v>
      </c>
      <c r="I7" s="6">
        <f t="shared" ref="I7:I39" si="2">F7+H7</f>
        <v>928791.19348721951</v>
      </c>
      <c r="J7" s="36">
        <f>VLOOKUP($A7,[24]HISTODEC24!$A$6:$AQ$42,22,0)</f>
        <v>0</v>
      </c>
      <c r="K7" s="36">
        <f>VLOOKUP($A7,[24]HISTODEC24!$A$6:$AU$38,45,0)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VLOOKUP($A7,[24]HISTODEC24!$A$6:$AU$38,7,0)</f>
        <v>3000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972533.31236524263</v>
      </c>
      <c r="G8" s="5">
        <f>IF(MVTNOV24!I8+L8&gt;700000,(MVTNOV24!I8-E8+L8),0)</f>
        <v>972533.31236524263</v>
      </c>
      <c r="H8" s="36">
        <f t="shared" si="0"/>
        <v>0</v>
      </c>
      <c r="I8" s="6">
        <f t="shared" si="2"/>
        <v>972533.31236524263</v>
      </c>
      <c r="J8" s="36">
        <f>VLOOKUP($A8,[24]HISTODEC24!$A$6:$AQ$42,22,0)</f>
        <v>0</v>
      </c>
      <c r="K8" s="36">
        <f>VLOOKUP($A8,[24]HISTODEC24!$A$6:$AU$38,45,0)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1029962.0068681776</v>
      </c>
      <c r="G9" s="5">
        <f>IF(MVTNOV24!I9+L9&gt;700000,(MVTNOV24!I9-E9+L9),0)</f>
        <v>1029962.0068681776</v>
      </c>
      <c r="H9" s="36">
        <f t="shared" si="0"/>
        <v>0</v>
      </c>
      <c r="I9" s="6">
        <f t="shared" si="2"/>
        <v>1029962.0068681776</v>
      </c>
      <c r="J9" s="36">
        <f>VLOOKUP($A9,[24]HISTODEC24!$A$6:$AQ$42,22,0)</f>
        <v>0</v>
      </c>
      <c r="K9" s="36">
        <f>VLOOKUP($A9,[24]HISTODEC24!$A$6:$AU$38,45,0)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969805.20622596238</v>
      </c>
      <c r="G10" s="5">
        <f>IF(MVTNOV24!I10+L10&gt;700000,(MVTNOV24!I10-E10+L10),0)</f>
        <v>969805.20622596238</v>
      </c>
      <c r="H10" s="36">
        <f t="shared" si="0"/>
        <v>0</v>
      </c>
      <c r="I10" s="6">
        <f t="shared" si="2"/>
        <v>969805.20622596238</v>
      </c>
      <c r="J10" s="36">
        <f>VLOOKUP($A10,[24]HISTODEC24!$A$6:$AQ$42,22,0)</f>
        <v>0</v>
      </c>
      <c r="K10" s="36">
        <f>VLOOKUP($A10,[24]HISTODEC24!$A$6:$AU$38,45,0)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987855.82895949238</v>
      </c>
      <c r="G11" s="5">
        <f>IF(MVTNOV24!I11+L11&gt;700000,(MVTNOV24!I11-E11+L11),0)</f>
        <v>987855.82895949238</v>
      </c>
      <c r="H11" s="36">
        <f t="shared" si="0"/>
        <v>0</v>
      </c>
      <c r="I11" s="6">
        <f t="shared" si="2"/>
        <v>987855.82895949238</v>
      </c>
      <c r="J11" s="36">
        <f>VLOOKUP($A11,[24]HISTODEC24!$A$6:$AQ$42,22,0)</f>
        <v>0</v>
      </c>
      <c r="K11" s="36">
        <f>VLOOKUP($A11,[24]HISTODEC24!$A$6:$AU$38,45,0)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1011100.1474133957</v>
      </c>
      <c r="G12" s="5">
        <f>IF(MVTNOV24!I12+L12&gt;700000,(MVTNOV24!I12-E12+L12),0)</f>
        <v>1011100.1474133957</v>
      </c>
      <c r="H12" s="36">
        <f t="shared" si="0"/>
        <v>0</v>
      </c>
      <c r="I12" s="6">
        <f t="shared" si="2"/>
        <v>1011100.1474133957</v>
      </c>
      <c r="J12" s="36">
        <f>VLOOKUP($A12,[24]HISTODEC24!$A$6:$AQ$42,22,0)</f>
        <v>0</v>
      </c>
      <c r="K12" s="36">
        <f>VLOOKUP($A12,[24]HISTODEC24!$A$6:$AU$38,45,0)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975555.14612214814</v>
      </c>
      <c r="G13" s="5">
        <f>IF(MVTNOV24!I13+L13&gt;700000,(MVTNOV24!I13-E13+L13),0)</f>
        <v>975555.14612214814</v>
      </c>
      <c r="H13" s="36">
        <f t="shared" si="0"/>
        <v>0</v>
      </c>
      <c r="I13" s="6">
        <f t="shared" si="2"/>
        <v>975555.14612214814</v>
      </c>
      <c r="J13" s="36">
        <f>VLOOKUP($A13,[24]HISTODEC24!$A$6:$AQ$42,22,0)</f>
        <v>0</v>
      </c>
      <c r="K13" s="36">
        <f>VLOOKUP($A13,[24]HISTODEC24!$A$6:$AU$38,45,0)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1528425.9823482623</v>
      </c>
      <c r="G14" s="5">
        <f>IF(MVTNOV24!I14+L14&gt;700000,(MVTNOV24!I14-E14+L14),0)</f>
        <v>1528425.9823482623</v>
      </c>
      <c r="H14" s="36">
        <f t="shared" si="0"/>
        <v>0</v>
      </c>
      <c r="I14" s="6">
        <f t="shared" si="2"/>
        <v>1528425.9823482623</v>
      </c>
      <c r="J14" s="36">
        <f>VLOOKUP($A14,[24]HISTODEC24!$A$6:$AQ$42,22,0)</f>
        <v>0</v>
      </c>
      <c r="K14" s="36">
        <f>VLOOKUP($A14,[24]HISTODEC24!$A$6:$AU$38,45,0)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1037309.6215381094</v>
      </c>
      <c r="G15" s="5">
        <f>IF(MVTNOV24!I15+L15&gt;700000,(MVTNOV24!I15-E15+L15),0)</f>
        <v>1037309.6215381094</v>
      </c>
      <c r="H15" s="36">
        <f t="shared" si="0"/>
        <v>0</v>
      </c>
      <c r="I15" s="6">
        <f t="shared" si="2"/>
        <v>1037309.6215381094</v>
      </c>
      <c r="J15" s="36">
        <f>VLOOKUP($A15,[24]HISTODEC24!$A$6:$AQ$42,22,0)</f>
        <v>0</v>
      </c>
      <c r="K15" s="36">
        <f>VLOOKUP($A15,[24]HISTODEC24!$A$6:$AU$38,45,0)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1147858.7065070483</v>
      </c>
      <c r="G16" s="5">
        <f>IF(MVTNOV24!I16+L16&gt;700000,(MVTNOV24!I16-E16+L16),0)</f>
        <v>1147858.7065070483</v>
      </c>
      <c r="H16" s="36">
        <f t="shared" si="0"/>
        <v>0</v>
      </c>
      <c r="I16" s="6">
        <f t="shared" si="2"/>
        <v>1147858.7065070483</v>
      </c>
      <c r="J16" s="36">
        <f>VLOOKUP($A16,[24]HISTODEC24!$A$6:$AQ$42,22,0)</f>
        <v>0</v>
      </c>
      <c r="K16" s="36">
        <f>VLOOKUP($A16,[24]HISTODEC24!$A$6:$AU$38,45,0)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985402.7005255461</v>
      </c>
      <c r="G17" s="5">
        <f>IF(MVTNOV24!I17+L17&gt;700000,(MVTNOV24!I17-E17+L17),0)</f>
        <v>985402.7005255461</v>
      </c>
      <c r="H17" s="36">
        <f t="shared" si="0"/>
        <v>0</v>
      </c>
      <c r="I17" s="6">
        <f t="shared" si="2"/>
        <v>985402.7005255461</v>
      </c>
      <c r="J17" s="36">
        <f>VLOOKUP($A17,[24]HISTODEC24!$A$6:$AQ$42,22,0)</f>
        <v>0</v>
      </c>
      <c r="K17" s="36">
        <f>VLOOKUP($A17,[24]HISTODEC24!$A$6:$AU$38,45,0)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1031662.7641973695</v>
      </c>
      <c r="G18" s="5">
        <f>IF(MVTNOV24!I18+L18&gt;700000,(MVTNOV24!I18-E18+L18),0)</f>
        <v>1031662.7641973695</v>
      </c>
      <c r="H18" s="36">
        <f t="shared" si="0"/>
        <v>0</v>
      </c>
      <c r="I18" s="6">
        <f t="shared" si="2"/>
        <v>1031662.7641973695</v>
      </c>
      <c r="J18" s="36">
        <f>VLOOKUP($A18,[24]HISTODEC24!$A$6:$AQ$42,22,0)</f>
        <v>0</v>
      </c>
      <c r="K18" s="36">
        <f>VLOOKUP($A18,[24]HISTODEC24!$A$6:$AU$38,45,0)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228000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228000</v>
      </c>
      <c r="J20" s="36">
        <f>VLOOKUP($A20,[24]HISTODEC24!$A$6:$AQ$42,22,0)</f>
        <v>0</v>
      </c>
      <c r="K20" s="36">
        <f>VLOOKUP($A20,[24]HISTODEC24!$A$6:$AU$38,45,0)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1008355.800629583</v>
      </c>
      <c r="G21" s="5">
        <f>IF(MVTNOV24!I21+L21&gt;700000,(MVTNOV24!I21-E21+L21),0)</f>
        <v>1008355.800629583</v>
      </c>
      <c r="H21" s="36">
        <f t="shared" si="0"/>
        <v>0</v>
      </c>
      <c r="I21" s="6">
        <f t="shared" si="2"/>
        <v>1008355.800629583</v>
      </c>
      <c r="J21" s="36">
        <f>VLOOKUP($A21,[24]HISTODEC24!$A$6:$AQ$42,22,0)</f>
        <v>0</v>
      </c>
      <c r="K21" s="36">
        <f>VLOOKUP($A21,[24]HISTODEC24!$A$6:$AU$38,45,0)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976738.95952735876</v>
      </c>
      <c r="G22" s="5">
        <f>IF(MVTNOV24!I22+L22&gt;700000,(MVTNOV24!I22-E22+L22),0)</f>
        <v>976738.95952735876</v>
      </c>
      <c r="H22" s="36">
        <f t="shared" si="0"/>
        <v>0</v>
      </c>
      <c r="I22" s="6">
        <f t="shared" si="2"/>
        <v>976738.95952735876</v>
      </c>
      <c r="J22" s="36">
        <f>VLOOKUP($A22,[24]HISTODEC24!$A$6:$AQ$42,22,0)</f>
        <v>0</v>
      </c>
      <c r="K22" s="36">
        <f>VLOOKUP($A22,[24]HISTODEC24!$A$6:$AU$38,45,0)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1082674.3246731949</v>
      </c>
      <c r="G23" s="5">
        <f>IF(MVTNOV24!I23+L23&gt;700000,(MVTNOV24!I23-E23+L23),0)</f>
        <v>1082674.3246731949</v>
      </c>
      <c r="H23" s="36">
        <f t="shared" si="0"/>
        <v>0</v>
      </c>
      <c r="I23" s="6">
        <f t="shared" si="2"/>
        <v>1082674.3246731949</v>
      </c>
      <c r="J23" s="36">
        <f>VLOOKUP($A23,[24]HISTODEC24!$A$6:$AQ$42,22,0)</f>
        <v>0</v>
      </c>
      <c r="K23" s="36">
        <f>VLOOKUP($A23,[24]HISTODEC24!$A$6:$AU$38,45,0)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1255827.8441992993</v>
      </c>
      <c r="G24" s="5">
        <f>IF(MVTNOV24!I24+L24&gt;700000,(MVTNOV24!I24-E24+L24),0)</f>
        <v>1255827.8441992993</v>
      </c>
      <c r="H24" s="36">
        <f t="shared" si="0"/>
        <v>0</v>
      </c>
      <c r="I24" s="6">
        <f t="shared" si="2"/>
        <v>1255827.8441992993</v>
      </c>
      <c r="J24" s="36">
        <f>VLOOKUP($A24,[24]HISTODEC24!$A$6:$AQ$42,22,0)</f>
        <v>0</v>
      </c>
      <c r="K24" s="36">
        <f>VLOOKUP($A24,[24]HISTODEC24!$A$6:$AU$38,45,0)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1067141.7950432156</v>
      </c>
      <c r="G25" s="5">
        <f>IF(MVTNOV24!I25+L25&gt;700000,(MVTNOV24!I25-E25+L25),0)</f>
        <v>1067141.7950432156</v>
      </c>
      <c r="H25" s="36">
        <f t="shared" si="0"/>
        <v>0</v>
      </c>
      <c r="I25" s="6">
        <f t="shared" si="2"/>
        <v>1067141.7950432156</v>
      </c>
      <c r="J25" s="36">
        <f>VLOOKUP($A25,[24]HISTODEC24!$A$6:$AQ$42,22,0)</f>
        <v>0</v>
      </c>
      <c r="K25" s="36">
        <f>VLOOKUP($A25,[24]HISTODEC24!$A$6:$AU$38,45,0)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VLOOKUP($A25,[24]HISTODEC24!$A$6:$AU$38,7,0)</f>
        <v>3000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995266.46813543816</v>
      </c>
      <c r="G26" s="5">
        <f>IF(MVTNOV24!I26+L26&gt;700000,(MVTNOV24!I26-E26+L26),0)</f>
        <v>995266.46813543816</v>
      </c>
      <c r="H26" s="36">
        <f t="shared" si="0"/>
        <v>0</v>
      </c>
      <c r="I26" s="6">
        <f t="shared" si="2"/>
        <v>995266.46813543816</v>
      </c>
      <c r="J26" s="36">
        <f>VLOOKUP($A26,[24]HISTODEC24!$A$6:$AQ$42,22,0)</f>
        <v>0</v>
      </c>
      <c r="K26" s="36">
        <f>VLOOKUP($A26,[24]HISTODEC24!$A$6:$AU$38,45,0)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995824.17371512204</v>
      </c>
      <c r="G27" s="5">
        <f>IF(MVTNOV24!I27+L27&gt;700000,(MVTNOV24!I27-E27+L27),0)</f>
        <v>995824.17371512204</v>
      </c>
      <c r="H27" s="36">
        <f t="shared" si="0"/>
        <v>0</v>
      </c>
      <c r="I27" s="6">
        <f t="shared" si="2"/>
        <v>995824.17371512204</v>
      </c>
      <c r="J27" s="36">
        <f>VLOOKUP($A27,[24]HISTODEC24!$A$6:$AQ$42,22,0)</f>
        <v>0</v>
      </c>
      <c r="K27" s="36">
        <f>VLOOKUP($A27,[24]HISTODEC24!$A$6:$AU$38,45,0)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897176.12513194664</v>
      </c>
      <c r="G28" s="5">
        <f>IF(MVTNOV24!I28+L28&gt;700000,(MVTNOV24!I28-E28+L28),0)</f>
        <v>897176.12513194664</v>
      </c>
      <c r="H28" s="36">
        <f t="shared" si="0"/>
        <v>0</v>
      </c>
      <c r="I28" s="6">
        <f t="shared" si="2"/>
        <v>897176.12513194664</v>
      </c>
      <c r="J28" s="36">
        <f>VLOOKUP($A28,[24]HISTODEC24!$A$6:$AQ$42,22,0)</f>
        <v>0</v>
      </c>
      <c r="K28" s="36">
        <f>VLOOKUP($A28,[24]HISTODEC24!$A$6:$AU$38,45,0)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1022151.3442374151</v>
      </c>
      <c r="G29" s="5">
        <f>IF(MVTNOV24!I29+L29&gt;700000,(MVTNOV24!I29-E29+L29),0)</f>
        <v>1022151.3442374151</v>
      </c>
      <c r="H29" s="36">
        <f t="shared" si="0"/>
        <v>0</v>
      </c>
      <c r="I29" s="6">
        <f t="shared" si="2"/>
        <v>1022151.3442374151</v>
      </c>
      <c r="J29" s="36">
        <f>VLOOKUP($A29,[24]HISTODEC24!$A$6:$AQ$42,22,0)</f>
        <v>0</v>
      </c>
      <c r="K29" s="36">
        <f>VLOOKUP($A29,[24]HISTODEC24!$A$6:$AU$38,45,0)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926786.81046782702</v>
      </c>
      <c r="G30" s="5">
        <f>IF(MVTNOV24!I30+L30&gt;700000,(MVTNOV24!I30-E30+L30),0)</f>
        <v>926786.81046782702</v>
      </c>
      <c r="H30" s="36">
        <f t="shared" si="0"/>
        <v>0</v>
      </c>
      <c r="I30" s="6">
        <f t="shared" si="2"/>
        <v>926786.81046782702</v>
      </c>
      <c r="J30" s="36">
        <f>VLOOKUP($A30,[24]HISTODEC24!$A$6:$AQ$42,22,0)</f>
        <v>0</v>
      </c>
      <c r="K30" s="36">
        <f>VLOOKUP($A30,[24]HISTODEC24!$A$6:$AU$38,45,0)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1086903.0311481347</v>
      </c>
      <c r="G31" s="5">
        <f>IF(MVTNOV24!I31+L31&gt;700000,(MVTNOV24!I31-E31+L31),0)</f>
        <v>1086903.0311481347</v>
      </c>
      <c r="H31" s="36">
        <f t="shared" si="0"/>
        <v>0</v>
      </c>
      <c r="I31" s="6">
        <f t="shared" si="2"/>
        <v>1086903.0311481347</v>
      </c>
      <c r="J31" s="36">
        <f>VLOOKUP($A31,[24]HISTODEC24!$A$6:$AQ$42,22,0)</f>
        <v>0</v>
      </c>
      <c r="K31" s="36">
        <f>VLOOKUP($A31,[24]HISTODEC24!$A$6:$AU$38,45,0)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976243.98131057119</v>
      </c>
      <c r="G32" s="5">
        <f>IF(MVTNOV24!I32+L32&gt;700000,(MVTNOV24!I32-E32+L32),0)</f>
        <v>976243.98131057119</v>
      </c>
      <c r="H32" s="36">
        <f t="shared" si="0"/>
        <v>0</v>
      </c>
      <c r="I32" s="6">
        <f t="shared" si="2"/>
        <v>976243.98131057119</v>
      </c>
      <c r="J32" s="36">
        <f>VLOOKUP($A32,[24]HISTODEC24!$A$6:$AQ$42,22,0)</f>
        <v>0</v>
      </c>
      <c r="K32" s="36">
        <f>VLOOKUP($A32,[24]HISTODEC24!$A$6:$AU$38,45,0)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976552.64928596013</v>
      </c>
      <c r="G33" s="5">
        <f>IF(MVTNOV24!I33+L33&gt;700000,(MVTNOV24!I33-E33+L33),0)</f>
        <v>976552.64928596013</v>
      </c>
      <c r="H33" s="36">
        <f t="shared" si="0"/>
        <v>0</v>
      </c>
      <c r="I33" s="6">
        <f t="shared" si="2"/>
        <v>976552.64928596013</v>
      </c>
      <c r="J33" s="36">
        <f>VLOOKUP($A33,[24]HISTODEC24!$A$6:$AQ$42,22,0)</f>
        <v>0</v>
      </c>
      <c r="K33" s="36">
        <f>VLOOKUP($A33,[24]HISTODEC24!$A$6:$AU$38,45,0)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633000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633000</v>
      </c>
      <c r="J34" s="36">
        <f>VLOOKUP($A34,[24]HISTODEC24!$A$6:$AQ$42,22,0)</f>
        <v>0</v>
      </c>
      <c r="K34" s="36">
        <f>VLOOKUP($A34,[24]HISTODEC24!$A$6:$AU$38,45,0)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328000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328000</v>
      </c>
      <c r="J35" s="36">
        <f>VLOOKUP($A35,[24]HISTODEC24!$A$6:$AQ$42,22,0)</f>
        <v>0</v>
      </c>
      <c r="K35" s="36">
        <f>VLOOKUP($A35,[24]HISTODEC24!$A$6:$AU$38,45,0)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VLOOKUP($A35,[24]HISTODEC24!$A$6:$AU$38,7,0)</f>
        <v>3000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1013599.0818186782</v>
      </c>
      <c r="G36" s="5">
        <f>IF(MVTNOV24!I36+L36&gt;700000,(MVTNOV24!I36-E36+L36),0)</f>
        <v>1013599.0818186782</v>
      </c>
      <c r="H36" s="36">
        <f t="shared" si="0"/>
        <v>0</v>
      </c>
      <c r="I36" s="6">
        <f t="shared" si="2"/>
        <v>1013599.0818186782</v>
      </c>
      <c r="J36" s="36">
        <f>VLOOKUP($A36,[24]HISTODEC24!$A$6:$AQ$42,22,0)</f>
        <v>0</v>
      </c>
      <c r="K36" s="36">
        <f>VLOOKUP($A36,[24]HISTODEC24!$A$6:$AU$38,45,0)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2046400.7147676253</v>
      </c>
      <c r="G37" s="5">
        <f>IF(MVTNOV24!I37+L37&gt;700000,(MVTNOV24!I37-E37+L37),0)</f>
        <v>2046400.7147676253</v>
      </c>
      <c r="H37" s="36">
        <f t="shared" si="0"/>
        <v>0</v>
      </c>
      <c r="I37" s="6">
        <f t="shared" si="2"/>
        <v>2046400.7147676253</v>
      </c>
      <c r="J37" s="36">
        <f>VLOOKUP($A37,[24]HISTODEC24!$A$6:$AQ$42,22,0)</f>
        <v>0</v>
      </c>
      <c r="K37" s="36">
        <f>VLOOKUP($A37,[24]HISTODEC24!$A$6:$AU$38,45,0)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VLOOKUP($A37,[24]HISTODEC24!$A$6:$AU$38,7,0)</f>
        <v>3000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228000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228000</v>
      </c>
      <c r="J38" s="36">
        <f>VLOOKUP($A38,[24]HISTODEC24!$A$6:$AQ$42,22,0)</f>
        <v>0</v>
      </c>
      <c r="K38" s="36">
        <f>VLOOKUP($A38,[24]HISTODEC24!$A$6:$AU$38,45,0)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2211313.2142100567</v>
      </c>
      <c r="G39" s="5">
        <f>IF(MVTNOV24!I39+L39&gt;700000,(MVTNOV24!I39-E39+L39),0)</f>
        <v>2211313.2142100567</v>
      </c>
      <c r="H39" s="36">
        <f t="shared" si="0"/>
        <v>0</v>
      </c>
      <c r="I39" s="6">
        <f t="shared" si="2"/>
        <v>2211313.2142100567</v>
      </c>
      <c r="J39" s="36">
        <f>VLOOKUP($A39,[24]HISTODEC24!$A$6:$AQ$42,22,0)</f>
        <v>0</v>
      </c>
      <c r="K39" s="36">
        <f>VLOOKUP($A39,[24]HISTODEC24!$A$6:$AU$38,45,0)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34184656.655274987</v>
      </c>
      <c r="G41" s="9">
        <f t="shared" si="10"/>
        <v>32091439.524547949</v>
      </c>
      <c r="H41" s="36">
        <f t="shared" si="10"/>
        <v>0</v>
      </c>
      <c r="I41" s="9">
        <f t="shared" si="10"/>
        <v>34184656.655274987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6" topLeftCell="AD7" activePane="bottomRight" state="frozen"/>
      <selection activeCell="B43" sqref="B43"/>
      <selection pane="topRight" activeCell="B43" sqref="B43"/>
      <selection pane="bottomLeft" activeCell="B43" sqref="B43"/>
      <selection pane="bottomRight" activeCell="AE1" sqref="AE1:AE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3" max="23" width="16.85546875" bestFit="1" customWidth="1"/>
    <col min="26" max="26" width="12.42578125" bestFit="1" customWidth="1"/>
    <col min="31" max="32" width="12.42578125" bestFit="1" customWidth="1"/>
    <col min="35" max="36" width="12.42578125" bestFit="1" customWidth="1"/>
    <col min="37" max="37" width="17.5703125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45"/>
    </row>
    <row r="2" spans="1:42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/>
    </row>
    <row r="4" spans="1:42" ht="26.25" x14ac:dyDescent="0.4">
      <c r="C4" s="16"/>
      <c r="D4" s="16"/>
      <c r="E4" s="16"/>
      <c r="F4" s="16"/>
      <c r="G4" s="16"/>
      <c r="H4" s="16"/>
      <c r="I4" s="156"/>
      <c r="J4" s="160" t="s">
        <v>321</v>
      </c>
      <c r="K4" s="160"/>
      <c r="L4" s="160"/>
      <c r="M4" s="160"/>
      <c r="N4" s="160"/>
      <c r="O4" s="160"/>
      <c r="P4"/>
      <c r="Q4"/>
      <c r="R4"/>
      <c r="AJ4" s="104"/>
    </row>
    <row r="5" spans="1:42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</row>
    <row r="6" spans="1:42" ht="57.75" x14ac:dyDescent="0.25">
      <c r="A6" s="1" t="s">
        <v>4</v>
      </c>
      <c r="B6" s="1" t="s">
        <v>5</v>
      </c>
      <c r="C6" s="4" t="s">
        <v>212</v>
      </c>
      <c r="D6" s="4" t="s">
        <v>325</v>
      </c>
      <c r="E6" s="4" t="s">
        <v>213</v>
      </c>
      <c r="F6" s="4" t="s">
        <v>214</v>
      </c>
      <c r="G6" s="4" t="s">
        <v>333</v>
      </c>
      <c r="H6" s="158" t="s">
        <v>331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332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322</v>
      </c>
      <c r="AM6" s="83" t="s">
        <v>335</v>
      </c>
      <c r="AN6" s="83" t="s">
        <v>323</v>
      </c>
      <c r="AO6" s="83" t="s">
        <v>210</v>
      </c>
      <c r="AP6" s="83" t="s">
        <v>326</v>
      </c>
    </row>
    <row r="7" spans="1:42" ht="15.75" x14ac:dyDescent="0.2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946220.58968855068</v>
      </c>
      <c r="G7" s="5">
        <f>MVTDEC24!G6</f>
        <v>946220.58968855068</v>
      </c>
      <c r="H7" s="36">
        <f>MVTDEC23!H6+MVTJANV24!H6+MVTFEV24!H6+MVTMARS24!H6+MVTAVRIL24!H6+MVTMAI24!H6+MVTJUIN24!H6+MVTJUIL24!H6+MVTAOUT24!H6+MVTSEPT24!H6+MVTOCT24!H6+MVTNOV24!H6+MVTDEC24!H6</f>
        <v>59697.330766308987</v>
      </c>
      <c r="I7" s="6">
        <f>F7+H7</f>
        <v>1005917.9204548596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</f>
        <v>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102000</v>
      </c>
      <c r="AG7" s="36">
        <f>MVTJANV24!AG6+MVTFEV24!AG6+MVTMARS24!AG6+MVTAVRIL24!AG6+MVTMAI24!AG6+MVTJUIN24!AG6+MVTJUIL24!AG6+MVTAOUT24!AG6+MVTSEPT24!AG6+MVTOCT24!AG6+MVTNOV24!AG6+MVTDEC24!AG6</f>
        <v>500000</v>
      </c>
      <c r="AH7" s="36">
        <f>MVTJANV24!AH6+MVTFEV24!AH6+MVTMARS24!AH6+MVTAVRIL24!AH6+MVTMAI24!AH6+MVTJUIN24!AH6+MVTJUIL24!AH6+MVTAOUT24!AH6+MVTSEPT24!AH6+MVTOCT24!AH6+MVTNOV24!AH6+MVTDEC24!AH6</f>
        <v>200000</v>
      </c>
      <c r="AI7" s="36">
        <f>MVTJANV24!AI6+MVTFEV24!AI6+MVTMARS24!AI6+MVTAVRIL24!AI6+MVTMAI24!AI6+MVTJUIN24!AI6+MVTJUIL24!AI6+MVTAOUT24!AI6+MVTSEPT24!AI6+MVTOCT24!AI6+MVTNOV24!AI6+MVTDEC24!AI6</f>
        <v>300000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P7" s="36"/>
    </row>
    <row r="8" spans="1:42" ht="15.75" x14ac:dyDescent="0.25">
      <c r="A8" s="1" t="s">
        <v>17</v>
      </c>
      <c r="B8" s="1" t="str">
        <f>VLOOKUP(A8,[19]LISTADHERENT!A$5:H$60,3,0)</f>
        <v>BAKOP ACHILLE</v>
      </c>
      <c r="C8" s="36">
        <f>+MVTDEC23!C7</f>
        <v>678482.49636100209</v>
      </c>
      <c r="D8" s="36">
        <f>+MVTDEC23!D7</f>
        <v>0</v>
      </c>
      <c r="E8" s="36">
        <f>VLOOKUP($A8,[24]HISTODEC24!$A$6:$BA$38,48,0)</f>
        <v>0</v>
      </c>
      <c r="F8" s="36">
        <f>MVTDEC24!F7</f>
        <v>928791.19348721951</v>
      </c>
      <c r="G8" s="5">
        <f>MVTDEC24!G7</f>
        <v>928791.19348721951</v>
      </c>
      <c r="H8" s="36">
        <f>MVTDEC23!H7+MVTJANV24!H7+MVTFEV24!H7+MVTMARS24!H7+MVTAVRIL24!H7+MVTMAI24!H7+MVTJUIN24!H7+MVTJUIL24!H7+MVTAOUT24!H7+MVTSEPT24!H7+MVTOCT24!H7+MVTNOV24!H7+MVTDEC24!H7</f>
        <v>3308.6971262174293</v>
      </c>
      <c r="I8" s="6">
        <f t="shared" ref="I8:I40" si="0">F8+H8</f>
        <v>932099.89061343693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319000</v>
      </c>
      <c r="L8" s="36">
        <f>MVTJANV24!L7+MVTFEV24!L7+MVTMARS24!L7+MVTAVRIL24!L7+MVTMAI24!L7+MVTJUIN24!L7+MVTJUIL24!L7+MVTAOUT24!L7+MVTSEPT24!L7+MVTOCT24!L7+MVTNOV24!L7+MVTDEC24!L7</f>
        <v>247000</v>
      </c>
      <c r="M8" s="36">
        <f>MVTJANV24!M7+MVTFEV24!M7+MVTMARS24!M7+MVTAVRIL24!M7+MVTMAI24!M7+MVTJUIN24!M7+MVTJUIL24!M7+MVTAOUT24!M7+MVTSEPT24!M7+MVTOCT24!M7+MVTNOV24!M7+MVTDEC24!M7</f>
        <v>12000</v>
      </c>
      <c r="N8" s="36">
        <f>MVTJANV24!N7+MVTFEV24!N7+MVTMARS24!N7+MVTAVRIL24!N7+MVTMAI24!N7+MVTJUIN24!N7+MVTJUIL24!N7+MVTAOUT24!N7+MVTSEPT24!N7+MVTOCT24!N7+MVTNOV24!N7+MVTDEC24!N7</f>
        <v>12000</v>
      </c>
      <c r="O8" s="36">
        <f>MVTJANV24!O7+MVTFEV24!O7+MVTMARS24!O7+MVTAVRIL24!O7+MVTMAI24!O7+MVTJUIN24!O7+MVTJUIL24!O7+MVTAOUT24!O7+MVTSEPT24!O7+MVTOCT24!O7+MVTNOV24!O7+MVTDEC24!O7</f>
        <v>48000</v>
      </c>
      <c r="P8" s="36">
        <f>MVTJANV24!P7+MVTFEV24!P7+MVTMARS24!P7+MVTAVRIL24!P7+MVTMAI24!P7+MVTJUIN24!P7+MVTJUIL24!P7+MVTAOUT24!P7+MVTSEPT24!P7+MVTOCT24!P7+MVTNOV24!P7+MVTDEC24!P7</f>
        <v>27000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54000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54000</v>
      </c>
      <c r="AP8" s="36"/>
    </row>
    <row r="9" spans="1:42" ht="15.75" x14ac:dyDescent="0.2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972533.31236524263</v>
      </c>
      <c r="G9" s="5">
        <f>MVTDEC24!G8</f>
        <v>972533.31236524263</v>
      </c>
      <c r="H9" s="36">
        <f>MVTDEC23!H8+MVTJANV24!H8+MVTFEV24!H8+MVTMARS24!H8+MVTAVRIL24!H8+MVTMAI24!H8+MVTJUIN24!H8+MVTJUIL24!H8+MVTAOUT24!H8+MVTSEPT24!H8+MVTOCT24!H8+MVTNOV24!H8+MVTDEC24!H8</f>
        <v>47500.186102037449</v>
      </c>
      <c r="I9" s="6">
        <f t="shared" si="0"/>
        <v>1020033.4984672801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297000</v>
      </c>
      <c r="L9" s="36">
        <f>MVTJANV24!L8+MVTFEV24!L8+MVTMARS24!L8+MVTAVRIL24!L8+MVTMAI24!L8+MVTJUIN24!L8+MVTJUIL24!L8+MVTAOUT24!L8+MVTSEPT24!L8+MVTOCT24!L8+MVTNOV24!L8+MVTDEC24!L8</f>
        <v>225000</v>
      </c>
      <c r="M9" s="36">
        <f>MVTJANV24!M8+MVTFEV24!M8+MVTMARS24!M8+MVTAVRIL24!M8+MVTMAI24!M8+MVTJUIN24!M8+MVTJUIL24!M8+MVTAOUT24!M8+MVTSEPT24!M8+MVTOCT24!M8+MVTNOV24!M8+MVTDEC24!M8</f>
        <v>12000</v>
      </c>
      <c r="N9" s="36">
        <f>MVTJANV24!N8+MVTFEV24!N8+MVTMARS24!N8+MVTAVRIL24!N8+MVTMAI24!N8+MVTJUIN24!N8+MVTJUIL24!N8+MVTAOUT24!N8+MVTSEPT24!N8+MVTOCT24!N8+MVTNOV24!N8+MVTDEC24!N8</f>
        <v>12000</v>
      </c>
      <c r="O9" s="36">
        <f>MVTJANV24!O8+MVTFEV24!O8+MVTMARS24!O8+MVTAVRIL24!O8+MVTMAI24!O8+MVTJUIN24!O8+MVTJUIL24!O8+MVTAOUT24!O8+MVTSEPT24!O8+MVTOCT24!O8+MVTNOV24!O8+MVTDEC24!O8</f>
        <v>48000</v>
      </c>
      <c r="P9" s="36">
        <f>MVTJANV24!P8+MVTFEV24!P8+MVTMARS24!P8+MVTAVRIL24!P8+MVTMAI24!P8+MVTJUIN24!P8+MVTJUIL24!P8+MVTAOUT24!P8+MVTSEPT24!P8+MVTOCT24!P8+MVTNOV24!P8+MVTDEC24!P8</f>
        <v>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500000</v>
      </c>
      <c r="T9" s="36">
        <f>MVTDEC23!T8+MVTJANV24!T8+MVTFEV24!T8+MVTMARS24!T8+MVTAVRIL24!T8+MVTMAI24!T8+MVTJUIN24!T8+MVTJUIL24!T8+MVTAOUT24!T8+MVTSEPT24!T8+MVTOCT24!T8+MVTNOV24!T8+MVTDEC24!T8</f>
        <v>40000</v>
      </c>
      <c r="U9" s="36"/>
      <c r="V9" s="36">
        <f>MVTJANV24!V8+MVTFEV24!V8+MVTMARS24!V8+MVTAVRIL24!V8+MVTMAI24!V8+MVTJUIN24!V8+MVTJUIL24!V8+MVTAOUT24!V8+MVTSEPT24!V8+MVTOCT24!V8+MVTNOV24!V8+MVTDEC24!V8</f>
        <v>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40000</v>
      </c>
      <c r="AN9" s="144"/>
      <c r="AP9" s="36"/>
    </row>
    <row r="10" spans="1:42" ht="15.75" x14ac:dyDescent="0.2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1029962.0068681776</v>
      </c>
      <c r="G10" s="5">
        <f>MVTDEC24!G9</f>
        <v>1029962.0068681776</v>
      </c>
      <c r="H10" s="36">
        <f>MVTDEC23!H9+MVTJANV24!H9+MVTFEV24!H9+MVTMARS24!H9+MVTAVRIL24!H9+MVTMAI24!H9+MVTJUIN24!H9+MVTJUIL24!H9+MVTAOUT24!H9+MVTSEPT24!H9+MVTOCT24!H9+MVTNOV24!H9+MVTDEC24!H9</f>
        <v>51104.180625137582</v>
      </c>
      <c r="I10" s="6">
        <f t="shared" si="0"/>
        <v>1081066.1874933152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297500</v>
      </c>
      <c r="L10" s="36">
        <f>MVTJANV24!L9+MVTFEV24!L9+MVTMARS24!L9+MVTAVRIL24!L9+MVTMAI24!L9+MVTJUIN24!L9+MVTJUIL24!L9+MVTAOUT24!L9+MVTSEPT24!L9+MVTOCT24!L9+MVTNOV24!L9+MVTDEC24!L9</f>
        <v>225500</v>
      </c>
      <c r="M10" s="36">
        <f>MVTJANV24!M9+MVTFEV24!M9+MVTMARS24!M9+MVTAVRIL24!M9+MVTMAI24!M9+MVTJUIN24!M9+MVTJUIL24!M9+MVTAOUT24!M9+MVTSEPT24!M9+MVTOCT24!M9+MVTNOV24!M9+MVTDEC24!M9</f>
        <v>12000</v>
      </c>
      <c r="N10" s="36">
        <f>MVTJANV24!N9+MVTFEV24!N9+MVTMARS24!N9+MVTAVRIL24!N9+MVTMAI24!N9+MVTJUIN24!N9+MVTJUIL24!N9+MVTAOUT24!N9+MVTSEPT24!N9+MVTOCT24!N9+MVTNOV24!N9+MVTDEC24!N9</f>
        <v>12000</v>
      </c>
      <c r="O10" s="36">
        <f>MVTJANV24!O9+MVTFEV24!O9+MVTMARS24!O9+MVTAVRIL24!O9+MVTMAI24!O9+MVTJUIN24!O9+MVTJUIL24!O9+MVTAOUT24!O9+MVTSEPT24!O9+MVTOCT24!O9+MVTNOV24!O9+MVTDEC24!O9</f>
        <v>48000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1000000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/>
      <c r="AP10" s="36"/>
    </row>
    <row r="11" spans="1:42" ht="15.75" x14ac:dyDescent="0.2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969805.20622596238</v>
      </c>
      <c r="G11" s="5">
        <f>MVTDEC24!G10</f>
        <v>969805.20622596238</v>
      </c>
      <c r="H11" s="36">
        <f>MVTDEC23!H10+MVTJANV24!H10+MVTFEV24!H10+MVTMARS24!H10+MVTAVRIL24!H10+MVTMAI24!H10+MVTJUIN24!H10+MVTJUIL24!H10+MVTAOUT24!H10+MVTSEPT24!H10+MVTOCT24!H10+MVTNOV24!H10+MVTDEC24!H10</f>
        <v>47510.526930057073</v>
      </c>
      <c r="I11" s="6">
        <f t="shared" si="0"/>
        <v>1017315.7331560195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294000</v>
      </c>
      <c r="L11" s="36">
        <f>MVTJANV24!L10+MVTFEV24!L10+MVTMARS24!L10+MVTAVRIL24!L10+MVTMAI24!L10+MVTJUIN24!L10+MVTJUIL24!L10+MVTAOUT24!L10+MVTSEPT24!L10+MVTOCT24!L10+MVTNOV24!L10+MVTDEC24!L10</f>
        <v>222000</v>
      </c>
      <c r="M11" s="36">
        <f>MVTJANV24!M10+MVTFEV24!M10+MVTMARS24!M10+MVTAVRIL24!M10+MVTMAI24!M10+MVTJUIN24!M10+MVTJUIL24!M10+MVTAOUT24!M10+MVTSEPT24!M10+MVTOCT24!M10+MVTNOV24!M10+MVTDEC24!M10</f>
        <v>12000</v>
      </c>
      <c r="N11" s="36">
        <f>MVTJANV24!N10+MVTFEV24!N10+MVTMARS24!N10+MVTAVRIL24!N10+MVTMAI24!N10+MVTJUIN24!N10+MVTJUIL24!N10+MVTAOUT24!N10+MVTSEPT24!N10+MVTOCT24!N10+MVTNOV24!N10+MVTDEC24!N10</f>
        <v>12000</v>
      </c>
      <c r="O11" s="36">
        <f>MVTJANV24!O10+MVTFEV24!O10+MVTMARS24!O10+MVTAVRIL24!O10+MVTMAI24!O10+MVTJUIN24!O10+MVTJUIL24!O10+MVTAOUT24!O10+MVTSEPT24!O10+MVTOCT24!O10+MVTNOV24!O10+MVTDEC24!O10</f>
        <v>48000</v>
      </c>
      <c r="P11" s="36">
        <f>MVTJANV24!P10+MVTFEV24!P10+MVTMARS24!P10+MVTAVRIL24!P10+MVTMAI24!P10+MVTJUIN24!P10+MVTJUIL24!P10+MVTAOUT24!P10+MVTSEPT24!P10+MVTOCT24!P10+MVTNOV24!P10+MVTDEC24!P10</f>
        <v>3000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1000000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/>
      <c r="AP11" s="36"/>
    </row>
    <row r="12" spans="1:42" ht="15.75" x14ac:dyDescent="0.2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987855.82895949238</v>
      </c>
      <c r="G12" s="5">
        <f>MVTDEC24!G11</f>
        <v>987855.82895949238</v>
      </c>
      <c r="H12" s="36">
        <f>MVTDEC23!H11+MVTJANV24!H11+MVTFEV24!H11+MVTMARS24!H11+MVTAVRIL24!H11+MVTMAI24!H11+MVTJUIN24!H11+MVTJUIL24!H11+MVTAOUT24!H11+MVTSEPT24!H11+MVTOCT24!H11+MVTNOV24!H11+MVTDEC24!H11</f>
        <v>47659.061062085508</v>
      </c>
      <c r="I12" s="6">
        <f t="shared" si="0"/>
        <v>1035514.8900215779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310000</v>
      </c>
      <c r="L12" s="36">
        <f>MVTJANV24!L11+MVTFEV24!L11+MVTMARS24!L11+MVTAVRIL24!L11+MVTMAI24!L11+MVTJUIN24!L11+MVTJUIL24!L11+MVTAOUT24!L11+MVTSEPT24!L11+MVTOCT24!L11+MVTNOV24!L11+MVTDEC24!L11</f>
        <v>238000</v>
      </c>
      <c r="M12" s="36">
        <f>MVTJANV24!M11+MVTFEV24!M11+MVTMARS24!M11+MVTAVRIL24!M11+MVTMAI24!M11+MVTJUIN24!M11+MVTJUIL24!M11+MVTAOUT24!M11+MVTSEPT24!M11+MVTOCT24!M11+MVTNOV24!M11+MVTDEC24!M11</f>
        <v>12000</v>
      </c>
      <c r="N12" s="36">
        <f>MVTJANV24!N11+MVTFEV24!N11+MVTMARS24!N11+MVTAVRIL24!N11+MVTMAI24!N11+MVTJUIN24!N11+MVTJUIL24!N11+MVTAOUT24!N11+MVTSEPT24!N11+MVTOCT24!N11+MVTNOV24!N11+MVTDEC24!N11</f>
        <v>12000</v>
      </c>
      <c r="O12" s="36">
        <f>MVTJANV24!O11+MVTFEV24!O11+MVTMARS24!O11+MVTAVRIL24!O11+MVTMAI24!O11+MVTJUIN24!O11+MVTJUIL24!O11+MVTAOUT24!O11+MVTSEPT24!O11+MVTOCT24!O11+MVTNOV24!O11+MVTDEC24!O11</f>
        <v>48000</v>
      </c>
      <c r="P12" s="36">
        <f>MVTJANV24!P11+MVTFEV24!P11+MVTMARS24!P11+MVTAVRIL24!P11+MVTMAI24!P11+MVTJUIN24!P11+MVTJUIL24!P11+MVTAOUT24!P11+MVTSEPT24!P11+MVTOCT24!P11+MVTNOV24!P11+MVTDEC24!P11</f>
        <v>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40000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</f>
        <v>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45352</v>
      </c>
      <c r="AM12" s="144">
        <f t="shared" si="2"/>
        <v>40000</v>
      </c>
      <c r="AN12" s="144"/>
      <c r="AP12" s="36"/>
    </row>
    <row r="13" spans="1:42" ht="15.75" x14ac:dyDescent="0.2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1011100.1474133957</v>
      </c>
      <c r="G13" s="5">
        <f>MVTDEC24!G12</f>
        <v>1011100.1474133957</v>
      </c>
      <c r="H13" s="36">
        <f>MVTDEC23!H12+MVTJANV24!H12+MVTFEV24!H12+MVTMARS24!H12+MVTAVRIL24!H12+MVTMAI24!H12+MVTJUIN24!H12+MVTJUIL24!H12+MVTAOUT24!H12+MVTSEPT24!H12+MVTOCT24!H12+MVTNOV24!H12+MVTDEC24!H12</f>
        <v>48586.869961775206</v>
      </c>
      <c r="I13" s="6">
        <f t="shared" si="0"/>
        <v>1059687.017375171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320000</v>
      </c>
      <c r="L13" s="36">
        <f>MVTJANV24!L12+MVTFEV24!L12+MVTMARS24!L12+MVTAVRIL24!L12+MVTMAI24!L12+MVTJUIN24!L12+MVTJUIL24!L12+MVTAOUT24!L12+MVTSEPT24!L12+MVTOCT24!L12+MVTNOV24!L12+MVTDEC24!L12</f>
        <v>248000</v>
      </c>
      <c r="M13" s="36">
        <f>MVTJANV24!M12+MVTFEV24!M12+MVTMARS24!M12+MVTAVRIL24!M12+MVTMAI24!M12+MVTJUIN24!M12+MVTJUIL24!M12+MVTAOUT24!M12+MVTSEPT24!M12+MVTOCT24!M12+MVTNOV24!M12+MVTDEC24!M12</f>
        <v>12000</v>
      </c>
      <c r="N13" s="36">
        <f>MVTJANV24!N12+MVTFEV24!N12+MVTMARS24!N12+MVTAVRIL24!N12+MVTMAI24!N12+MVTJUIN24!N12+MVTJUIL24!N12+MVTAOUT24!N12+MVTSEPT24!N12+MVTOCT24!N12+MVTNOV24!N12+MVTDEC24!N12</f>
        <v>12000</v>
      </c>
      <c r="O13" s="36">
        <f>MVTJANV24!O12+MVTFEV24!O12+MVTMARS24!O12+MVTAVRIL24!O12+MVTMAI24!O12+MVTJUIN24!O12+MVTJUIL24!O12+MVTAOUT24!O12+MVTSEPT24!O12+MVTOCT24!O12+MVTNOV24!O12+MVTDEC24!O12</f>
        <v>48000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1000000</v>
      </c>
      <c r="T13" s="36">
        <f>MVTDEC23!T12+MVTJANV24!T12+MVTFEV24!T12+MVTMARS24!T12+MVTAVRIL24!T12+MVTMAI24!T12+MVTJUIN24!T12+MVTJUIL24!T12+MVTAOUT24!T12+MVTSEPT24!T12+MVTOCT24!T12+MVTNOV24!T12+MVTDEC24!T12</f>
        <v>60000</v>
      </c>
      <c r="U13" s="36"/>
      <c r="V13" s="36">
        <f>MVTJANV24!V12+MVTFEV24!V12+MVTMARS24!V12+MVTAVRIL24!V12+MVTMAI24!V12+MVTJUIN24!V12+MVTJUIL24!V12+MVTAOUT24!V12+MVTSEPT24!V12+MVTOCT24!V12+MVTNOV24!V12+MVTDEC24!V12</f>
        <v>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45474</v>
      </c>
      <c r="AM13" s="144">
        <f t="shared" si="2"/>
        <v>60000</v>
      </c>
      <c r="AN13" s="144"/>
      <c r="AP13" s="36"/>
    </row>
    <row r="14" spans="1:42" ht="15.75" x14ac:dyDescent="0.2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975555.14612214814</v>
      </c>
      <c r="G14" s="5">
        <f>MVTDEC24!G13</f>
        <v>975555.14612214814</v>
      </c>
      <c r="H14" s="36">
        <f>MVTDEC23!H13+MVTJANV24!H13+MVTFEV24!H13+MVTMARS24!H13+MVTAVRIL24!H13+MVTMAI24!H13+MVTJUIN24!H13+MVTJUIL24!H13+MVTAOUT24!H13+MVTSEPT24!H13+MVTOCT24!H13+MVTNOV24!H13+MVTDEC24!H13</f>
        <v>47513.910316238274</v>
      </c>
      <c r="I14" s="6">
        <f t="shared" si="0"/>
        <v>1023069.0564383864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300000</v>
      </c>
      <c r="L14" s="36">
        <f>MVTJANV24!L13+MVTFEV24!L13+MVTMARS24!L13+MVTAVRIL24!L13+MVTMAI24!L13+MVTJUIN24!L13+MVTJUIL24!L13+MVTAOUT24!L13+MVTSEPT24!L13+MVTOCT24!L13+MVTNOV24!L13+MVTDEC24!L13</f>
        <v>228000</v>
      </c>
      <c r="M14" s="36">
        <f>MVTJANV24!M13+MVTFEV24!M13+MVTMARS24!M13+MVTAVRIL24!M13+MVTMAI24!M13+MVTJUIN24!M13+MVTJUIL24!M13+MVTAOUT24!M13+MVTSEPT24!M13+MVTOCT24!M13+MVTNOV24!M13+MVTDEC24!M13</f>
        <v>12000</v>
      </c>
      <c r="N14" s="36">
        <f>MVTJANV24!N13+MVTFEV24!N13+MVTMARS24!N13+MVTAVRIL24!N13+MVTMAI24!N13+MVTJUIN24!N13+MVTJUIL24!N13+MVTAOUT24!N13+MVTSEPT24!N13+MVTOCT24!N13+MVTNOV24!N13+MVTDEC24!N13</f>
        <v>12000</v>
      </c>
      <c r="O14" s="36">
        <f>MVTJANV24!O13+MVTFEV24!O13+MVTMARS24!O13+MVTAVRIL24!O13+MVTMAI24!O13+MVTJUIN24!O13+MVTJUIL24!O13+MVTAOUT24!O13+MVTSEPT24!O13+MVTOCT24!O13+MVTNOV24!O13+MVTDEC24!O13</f>
        <v>48000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0</v>
      </c>
      <c r="W14" s="36">
        <f t="shared" si="1"/>
        <v>1000000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/>
      <c r="AP14" s="36"/>
    </row>
    <row r="15" spans="1:42" ht="15.75" x14ac:dyDescent="0.2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1528425.9823482623</v>
      </c>
      <c r="G15" s="5">
        <f>MVTDEC24!G14</f>
        <v>1528425.9823482623</v>
      </c>
      <c r="H15" s="36">
        <f>MVTDEC23!H14+MVTJANV24!H14+MVTFEV24!H14+MVTMARS24!H14+MVTAVRIL24!H14+MVTMAI24!H14+MVTJUIN24!H14+MVTJUIL24!H14+MVTAOUT24!H14+MVTSEPT24!H14+MVTOCT24!H14+MVTNOV24!H14+MVTDEC24!H14</f>
        <v>82394.691331688126</v>
      </c>
      <c r="I15" s="6">
        <f t="shared" si="0"/>
        <v>1610820.6736799504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300000</v>
      </c>
      <c r="L15" s="36">
        <f>MVTJANV24!L14+MVTFEV24!L14+MVTMARS24!L14+MVTAVRIL24!L14+MVTMAI24!L14+MVTJUIN24!L14+MVTJUIL24!L14+MVTAOUT24!L14+MVTSEPT24!L14+MVTOCT24!L14+MVTNOV24!L14+MVTDEC24!L14</f>
        <v>228000</v>
      </c>
      <c r="M15" s="36">
        <f>MVTJANV24!M14+MVTFEV24!M14+MVTMARS24!M14+MVTAVRIL24!M14+MVTMAI24!M14+MVTJUIN24!M14+MVTJUIL24!M14+MVTAOUT24!M14+MVTSEPT24!M14+MVTOCT24!M14+MVTNOV24!M14+MVTDEC24!M14</f>
        <v>12000</v>
      </c>
      <c r="N15" s="36">
        <f>MVTJANV24!N14+MVTFEV24!N14+MVTMARS24!N14+MVTAVRIL24!N14+MVTMAI24!N14+MVTJUIN24!N14+MVTJUIL24!N14+MVTAOUT24!N14+MVTSEPT24!N14+MVTOCT24!N14+MVTNOV24!N14+MVTDEC24!N14</f>
        <v>12000</v>
      </c>
      <c r="O15" s="36">
        <f>MVTJANV24!O14+MVTFEV24!O14+MVTMARS24!O14+MVTAVRIL24!O14+MVTMAI24!O14+MVTJUIN24!O14+MVTJUIL24!O14+MVTAOUT24!O14+MVTSEPT24!O14+MVTOCT24!O14+MVTNOV24!O14+MVTDEC24!O14</f>
        <v>48000</v>
      </c>
      <c r="P15" s="36">
        <f>MVTJANV24!P14+MVTFEV24!P14+MVTMARS24!P14+MVTAVRIL24!P14+MVTMAI24!P14+MVTJUIN24!P14+MVTJUIL24!P14+MVTAOUT24!P14+MVTSEPT24!P14+MVTOCT24!P14+MVTNOV24!P14+MVTDEC24!P14</f>
        <v>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/>
      <c r="AP15" s="36"/>
    </row>
    <row r="16" spans="1:42" ht="14.25" customHeight="1" x14ac:dyDescent="0.2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1037309.6215381094</v>
      </c>
      <c r="G16" s="5">
        <f>MVTDEC24!G15</f>
        <v>1037309.6215381094</v>
      </c>
      <c r="H16" s="36">
        <f>MVTDEC23!H15+MVTJANV24!H15+MVTFEV24!H15+MVTMARS24!H15+MVTAVRIL24!H15+MVTMAI24!H15+MVTJUIN24!H15+MVTJUIL24!H15+MVTAOUT24!H15+MVTSEPT24!H15+MVTOCT24!H15+MVTNOV24!H15+MVTDEC24!H15</f>
        <v>51410.018037187321</v>
      </c>
      <c r="I16" s="6">
        <f t="shared" si="0"/>
        <v>1088719.6395752968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300000</v>
      </c>
      <c r="L16" s="36">
        <f>MVTJANV24!L15+MVTFEV24!L15+MVTMARS24!L15+MVTAVRIL24!L15+MVTMAI24!L15+MVTJUIN24!L15+MVTJUIL24!L15+MVTAOUT24!L15+MVTSEPT24!L15+MVTOCT24!L15+MVTNOV24!L15+MVTDEC24!L15</f>
        <v>228000</v>
      </c>
      <c r="M16" s="36">
        <f>MVTJANV24!M15+MVTFEV24!M15+MVTMARS24!M15+MVTAVRIL24!M15+MVTMAI24!M15+MVTJUIN24!M15+MVTJUIL24!M15+MVTAOUT24!M15+MVTSEPT24!M15+MVTOCT24!M15+MVTNOV24!M15+MVTDEC24!M15</f>
        <v>12000</v>
      </c>
      <c r="N16" s="36">
        <f>MVTJANV24!N15+MVTFEV24!N15+MVTMARS24!N15+MVTAVRIL24!N15+MVTMAI24!N15+MVTJUIN24!N15+MVTJUIL24!N15+MVTAOUT24!N15+MVTSEPT24!N15+MVTOCT24!N15+MVTNOV24!N15+MVTDEC24!N15</f>
        <v>12000</v>
      </c>
      <c r="O16" s="36">
        <f>MVTJANV24!O15+MVTFEV24!O15+MVTMARS24!O15+MVTAVRIL24!O15+MVTMAI24!O15+MVTJUIN24!O15+MVTJUIL24!O15+MVTAOUT24!O15+MVTSEPT24!O15+MVTOCT24!O15+MVTNOV24!O15+MVTDEC24!O15</f>
        <v>48000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0</v>
      </c>
      <c r="T16" s="36">
        <f>MVTDEC23!T15+MVTJANV24!T15+MVTFEV24!T15+MVTMARS24!T15+MVTAVRIL24!T15+MVTMAI24!T15+MVTJUIN24!T15+MVTJUIL24!T15+MVTAOUT24!T15+MVTSEPT24!T15+MVTOCT24!T15+MVTNOV24!T15+MVTDEC24!T15</f>
        <v>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/>
      <c r="AM16" s="144">
        <f t="shared" si="2"/>
        <v>0</v>
      </c>
      <c r="AN16" s="144"/>
      <c r="AP16" s="36"/>
    </row>
    <row r="17" spans="1:42" ht="15.75" x14ac:dyDescent="0.2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1147858.7065070483</v>
      </c>
      <c r="G17" s="5">
        <f>MVTDEC24!G16</f>
        <v>1147858.7065070483</v>
      </c>
      <c r="H17" s="36">
        <f>MVTDEC23!H16+MVTJANV24!H16+MVTFEV24!H16+MVTMARS24!H16+MVTAVRIL24!H16+MVTMAI24!H16+MVTJUIN24!H16+MVTJUIL24!H16+MVTAOUT24!H16+MVTSEPT24!H16+MVTOCT24!H16+MVTNOV24!H16+MVTDEC24!H16</f>
        <v>50197.498402946847</v>
      </c>
      <c r="I17" s="6">
        <f t="shared" si="0"/>
        <v>1198056.2049099952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440000</v>
      </c>
      <c r="L17" s="36">
        <f>MVTJANV24!L16+MVTFEV24!L16+MVTMARS24!L16+MVTAVRIL24!L16+MVTMAI24!L16+MVTJUIN24!L16+MVTJUIL24!L16+MVTAOUT24!L16+MVTSEPT24!L16+MVTOCT24!L16+MVTNOV24!L16+MVTDEC24!L16</f>
        <v>368000</v>
      </c>
      <c r="M17" s="36">
        <f>MVTJANV24!M16+MVTFEV24!M16+MVTMARS24!M16+MVTAVRIL24!M16+MVTMAI24!M16+MVTJUIN24!M16+MVTJUIL24!M16+MVTAOUT24!M16+MVTSEPT24!M16+MVTOCT24!M16+MVTNOV24!M16+MVTDEC24!M16</f>
        <v>12000</v>
      </c>
      <c r="N17" s="36">
        <f>MVTJANV24!N16+MVTFEV24!N16+MVTMARS24!N16+MVTAVRIL24!N16+MVTMAI24!N16+MVTJUIN24!N16+MVTJUIL24!N16+MVTAOUT24!N16+MVTSEPT24!N16+MVTOCT24!N16+MVTNOV24!N16+MVTDEC24!N16</f>
        <v>12000</v>
      </c>
      <c r="O17" s="36">
        <f>MVTJANV24!O16+MVTFEV24!O16+MVTMARS24!O16+MVTAVRIL24!O16+MVTMAI24!O16+MVTJUIN24!O16+MVTJUIL24!O16+MVTAOUT24!O16+MVTSEPT24!O16+MVTOCT24!O16+MVTNOV24!O16+MVTDEC24!O16</f>
        <v>48000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363500</v>
      </c>
      <c r="T17" s="36">
        <f>MVTDEC23!T16+MVTJANV24!T16+MVTFEV24!T16+MVTMARS24!T16+MVTAVRIL24!T16+MVTMAI24!T16+MVTJUIN24!T16+MVTJUIL24!T16+MVTAOUT24!T16+MVTSEPT24!T16+MVTOCT24!T16+MVTNOV24!T16+MVTDEC24!T16</f>
        <v>0</v>
      </c>
      <c r="U17" s="36"/>
      <c r="V17" s="36">
        <f>MVTJANV24!V16+MVTFEV24!V16+MVTMARS24!V16+MVTAVRIL24!V16+MVTMAI24!V16+MVTJUIN24!V16+MVTJUIL24!V16+MVTAOUT24!V16+MVTSEPT24!V16+MVTOCT24!V16+MVTNOV24!V16+MVTDEC24!V16</f>
        <v>0</v>
      </c>
      <c r="W17" s="36">
        <f t="shared" si="1"/>
        <v>363500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/>
      <c r="AM17" s="144">
        <f t="shared" si="2"/>
        <v>0</v>
      </c>
      <c r="AN17" s="144"/>
      <c r="AP17" s="36"/>
    </row>
    <row r="18" spans="1:42" ht="15.75" x14ac:dyDescent="0.2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985402.7005255461</v>
      </c>
      <c r="G18" s="5">
        <f>MVTDEC24!G17</f>
        <v>985402.7005255461</v>
      </c>
      <c r="H18" s="36">
        <f>MVTDEC23!H17+MVTJANV24!H17+MVTFEV24!H17+MVTMARS24!H17+MVTAVRIL24!H17+MVTMAI24!H17+MVTJUIN24!H17+MVTJUIL24!H17+MVTAOUT24!H17+MVTSEPT24!H17+MVTOCT24!H17+MVTNOV24!H17+MVTDEC24!H17</f>
        <v>48135.1953726672</v>
      </c>
      <c r="I18" s="6">
        <f t="shared" si="0"/>
        <v>1033537.8958982133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300000</v>
      </c>
      <c r="L18" s="36">
        <f>MVTJANV24!L17+MVTFEV24!L17+MVTMARS24!L17+MVTAVRIL24!L17+MVTMAI24!L17+MVTJUIN24!L17+MVTJUIL24!L17+MVTAOUT24!L17+MVTSEPT24!L17+MVTOCT24!L17+MVTNOV24!L17+MVTDEC24!L17</f>
        <v>228000</v>
      </c>
      <c r="M18" s="36">
        <f>MVTJANV24!M17+MVTFEV24!M17+MVTMARS24!M17+MVTAVRIL24!M17+MVTMAI24!M17+MVTJUIN24!M17+MVTJUIL24!M17+MVTAOUT24!M17+MVTSEPT24!M17+MVTOCT24!M17+MVTNOV24!M17+MVTDEC24!M17</f>
        <v>12000</v>
      </c>
      <c r="N18" s="36">
        <f>MVTJANV24!N17+MVTFEV24!N17+MVTMARS24!N17+MVTAVRIL24!N17+MVTMAI24!N17+MVTJUIN24!N17+MVTJUIL24!N17+MVTAOUT24!N17+MVTSEPT24!N17+MVTOCT24!N17+MVTNOV24!N17+MVTDEC24!N17</f>
        <v>12000</v>
      </c>
      <c r="O18" s="36">
        <f>MVTJANV24!O17+MVTFEV24!O17+MVTMARS24!O17+MVTAVRIL24!O17+MVTMAI24!O17+MVTJUIN24!O17+MVTJUIL24!O17+MVTAOUT24!O17+MVTSEPT24!O17+MVTOCT24!O17+MVTNOV24!O17+MVTDEC24!O17</f>
        <v>48000</v>
      </c>
      <c r="P18" s="36">
        <f>MVTJANV24!P17+MVTFEV24!P17+MVTMARS24!P17+MVTAVRIL24!P17+MVTMAI24!P17+MVTJUIN24!P17+MVTJUIL24!P17+MVTAOUT24!P17+MVTSEPT24!P17+MVTOCT24!P17+MVTNOV24!P17+MVTDEC24!P17</f>
        <v>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500000</v>
      </c>
      <c r="W18" s="36">
        <f t="shared" si="1"/>
        <v>500000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/>
      <c r="AP18" s="36"/>
    </row>
    <row r="19" spans="1:42" ht="15.75" x14ac:dyDescent="0.2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1031662.7641973695</v>
      </c>
      <c r="G19" s="5">
        <f>MVTDEC24!G18</f>
        <v>1031662.7641973695</v>
      </c>
      <c r="H19" s="36">
        <f>MVTDEC23!H18+MVTJANV24!H18+MVTFEV24!H18+MVTMARS24!H18+MVTAVRIL24!H18+MVTMAI24!H18+MVTJUIN24!H18+MVTJUIL24!H18+MVTAOUT24!H18+MVTSEPT24!H18+MVTOCT24!H18+MVTNOV24!H18+MVTDEC24!H18</f>
        <v>49234.136132124244</v>
      </c>
      <c r="I19" s="6">
        <f t="shared" si="0"/>
        <v>1080896.9003294937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330000</v>
      </c>
      <c r="L19" s="36">
        <f>MVTJANV24!L18+MVTFEV24!L18+MVTMARS24!L18+MVTAVRIL24!L18+MVTMAI24!L18+MVTJUIN24!L18+MVTJUIL24!L18+MVTAOUT24!L18+MVTSEPT24!L18+MVTOCT24!L18+MVTNOV24!L18+MVTDEC24!L18</f>
        <v>258000</v>
      </c>
      <c r="M19" s="36">
        <f>MVTJANV24!M18+MVTFEV24!M18+MVTMARS24!M18+MVTAVRIL24!M18+MVTMAI24!M18+MVTJUIN24!M18+MVTJUIL24!M18+MVTAOUT24!M18+MVTSEPT24!M18+MVTOCT24!M18+MVTNOV24!M18+MVTDEC24!M18</f>
        <v>12000</v>
      </c>
      <c r="N19" s="36">
        <f>MVTJANV24!N18+MVTFEV24!N18+MVTMARS24!N18+MVTAVRIL24!N18+MVTMAI24!N18+MVTJUIN24!N18+MVTJUIL24!N18+MVTAOUT24!N18+MVTSEPT24!N18+MVTOCT24!N18+MVTNOV24!N18+MVTDEC24!N18</f>
        <v>12000</v>
      </c>
      <c r="O19" s="36">
        <f>MVTJANV24!O18+MVTFEV24!O18+MVTMARS24!O18+MVTAVRIL24!O18+MVTMAI24!O18+MVTJUIN24!O18+MVTJUIL24!O18+MVTAOUT24!O18+MVTSEPT24!O18+MVTOCT24!O18+MVTNOV24!O18+MVTDEC24!O18</f>
        <v>48000</v>
      </c>
      <c r="P19" s="36">
        <f>MVTJANV24!P18+MVTFEV24!P18+MVTMARS24!P18+MVTAVRIL24!P18+MVTMAI24!P18+MVTJUIN24!P18+MVTJUIL24!P18+MVTAOUT24!P18+MVTSEPT24!P18+MVTOCT24!P18+MVTNOV24!P18+MVTDEC24!P18</f>
        <v>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1000000</v>
      </c>
      <c r="T19" s="36">
        <f>MVTDEC23!T18+MVTJANV24!T18+MVTFEV24!T18+MVTMARS24!T18+MVTAVRIL24!T18+MVTMAI24!T18+MVTJUIN24!T18+MVTJUIL24!T18+MVTAOUT24!T18+MVTSEPT24!T18+MVTOCT24!T18+MVTNOV24!T18+MVTDEC24!T18</f>
        <v>50000</v>
      </c>
      <c r="U19" s="36"/>
      <c r="V19" s="36">
        <f>MVTJANV24!V18+MVTFEV24!V18+MVTMARS24!V18+MVTAVRIL24!V18+MVTMAI24!V18+MVTJUIN24!V18+MVTJUIL24!V18+MVTAOUT24!V18+MVTSEPT24!V18+MVTOCT24!V18+MVTNOV24!V18+MVTDEC24!V18</f>
        <v>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45352</v>
      </c>
      <c r="AM19" s="144">
        <f t="shared" si="2"/>
        <v>50000</v>
      </c>
      <c r="AN19" s="144"/>
      <c r="AP19" s="36"/>
    </row>
    <row r="20" spans="1:42" ht="15.75" x14ac:dyDescent="0.25">
      <c r="A20" s="1" t="s">
        <v>36</v>
      </c>
      <c r="B20" s="1" t="str">
        <f>VLOOKUP(A20,[19]LISTADHERENT!A$5:H$60,3,0)</f>
        <v>LOWE JEAN</v>
      </c>
      <c r="C20" s="36">
        <f>+MVTDEC23!C19</f>
        <v>676217.13072703336</v>
      </c>
      <c r="D20" s="36">
        <f>+MVTDEC23!D19</f>
        <v>0</v>
      </c>
      <c r="E20" s="36"/>
      <c r="F20" s="36">
        <f>MVTDEC24!F19</f>
        <v>676217.13072703336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676217.13072703336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/>
      <c r="AP20" s="36"/>
    </row>
    <row r="21" spans="1:42" ht="15.75" x14ac:dyDescent="0.25">
      <c r="A21" s="1" t="s">
        <v>330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228000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228000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300000</v>
      </c>
      <c r="L21" s="36">
        <f>MVTJANV24!L20+MVTFEV24!L20+MVTMARS24!L20+MVTAVRIL24!L20+MVTMAI24!L20+MVTJUIN24!L20+MVTJUIL24!L20+MVTAOUT24!L20+MVTSEPT24!L20+MVTOCT24!L20+MVTNOV24!L20+MVTDEC24!L20</f>
        <v>228000</v>
      </c>
      <c r="M21" s="36">
        <f>MVTJANV24!M20+MVTFEV24!M20+MVTMARS24!M20+MVTAVRIL24!M20+MVTMAI24!M20+MVTJUIN24!M20+MVTJUIL24!M20+MVTAOUT24!M20+MVTSEPT24!M20+MVTOCT24!M20+MVTNOV24!M20+MVTDEC24!M20</f>
        <v>12000</v>
      </c>
      <c r="N21" s="36">
        <f>MVTJANV24!N20+MVTFEV24!N20+MVTMARS24!N20+MVTAVRIL24!N20+MVTMAI24!N20+MVTJUIN24!N20+MVTJUIL24!N20+MVTAOUT24!N20+MVTSEPT24!N20+MVTOCT24!N20+MVTNOV24!N20+MVTDEC24!N20</f>
        <v>12000</v>
      </c>
      <c r="O21" s="36">
        <f>MVTJANV24!O20+MVTFEV24!O20+MVTMARS24!O20+MVTAVRIL24!O20+MVTMAI24!O20+MVTJUIN24!O20+MVTJUIL24!O20+MVTAOUT24!O20+MVTSEPT24!O20+MVTOCT24!O20+MVTNOV24!O20+MVTDEC24!O20</f>
        <v>48000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/>
      <c r="AP21" s="36"/>
    </row>
    <row r="22" spans="1:42" ht="15.75" x14ac:dyDescent="0.2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1008355.800629583</v>
      </c>
      <c r="G22" s="5">
        <f>MVTDEC24!G21</f>
        <v>1008355.800629583</v>
      </c>
      <c r="H22" s="36">
        <f>MVTDEC23!H21+MVTJANV24!H21+MVTFEV24!H21+MVTMARS24!H21+MVTAVRIL24!H21+MVTMAI24!H21+MVTJUIN24!H21+MVTJUIL24!H21+MVTAOUT24!H21+MVTSEPT24!H21+MVTOCT24!H21+MVTNOV24!H21+MVTDEC24!H21</f>
        <v>49646.403388400482</v>
      </c>
      <c r="I22" s="6">
        <f t="shared" si="0"/>
        <v>1058002.2040179835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299000</v>
      </c>
      <c r="L22" s="36">
        <f>MVTJANV24!L21+MVTFEV24!L21+MVTMARS24!L21+MVTAVRIL24!L21+MVTMAI24!L21+MVTJUIN24!L21+MVTJUIL24!L21+MVTAOUT24!L21+MVTSEPT24!L21+MVTOCT24!L21+MVTNOV24!L21+MVTDEC24!L21</f>
        <v>227000</v>
      </c>
      <c r="M22" s="36">
        <f>MVTJANV24!M21+MVTFEV24!M21+MVTMARS24!M21+MVTAVRIL24!M21+MVTMAI24!M21+MVTJUIN24!M21+MVTJUIL24!M21+MVTAOUT24!M21+MVTSEPT24!M21+MVTOCT24!M21+MVTNOV24!M21+MVTDEC24!M21</f>
        <v>12000</v>
      </c>
      <c r="N22" s="36">
        <f>MVTJANV24!N21+MVTFEV24!N21+MVTMARS24!N21+MVTAVRIL24!N21+MVTMAI24!N21+MVTJUIN24!N21+MVTJUIL24!N21+MVTAOUT24!N21+MVTSEPT24!N21+MVTOCT24!N21+MVTNOV24!N21+MVTDEC24!N21</f>
        <v>12000</v>
      </c>
      <c r="O22" s="36">
        <f>MVTJANV24!O21+MVTFEV24!O21+MVTMARS24!O21+MVTAVRIL24!O21+MVTMAI24!O21+MVTJUIN24!O21+MVTJUIL24!O21+MVTAOUT24!O21+MVTSEPT24!O21+MVTOCT24!O21+MVTNOV24!O21+MVTDEC24!O21</f>
        <v>48000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1000000</v>
      </c>
      <c r="T22" s="36">
        <f>MVTDEC23!T21+MVTJANV24!T21+MVTFEV24!T21+MVTMARS24!T21+MVTAVRIL24!T21+MVTMAI24!T21+MVTJUIN24!T21+MVTJUIL24!T21+MVTAOUT24!T21+MVTSEPT24!T21+MVTOCT24!T21+MVTNOV24!T21+MVTDEC24!T21</f>
        <v>60000</v>
      </c>
      <c r="U22" s="36"/>
      <c r="V22" s="36">
        <f>MVTJANV24!V21+MVTFEV24!V21+MVTMARS24!V21+MVTAVRIL24!V21+MVTMAI24!V21+MVTJUIN24!V21+MVTJUIL24!V21+MVTAOUT24!V21+MVTSEPT24!V21+MVTOCT24!V21+MVTNOV24!V21+MVTDEC24!V21</f>
        <v>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45352</v>
      </c>
      <c r="AM22" s="144">
        <f t="shared" si="2"/>
        <v>60000</v>
      </c>
      <c r="AN22" s="144"/>
      <c r="AP22" s="36"/>
    </row>
    <row r="23" spans="1:42" ht="15.75" x14ac:dyDescent="0.2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976738.95952735876</v>
      </c>
      <c r="G23" s="5">
        <f>MVTDEC24!G22</f>
        <v>976738.95952735876</v>
      </c>
      <c r="H23" s="36">
        <f>MVTDEC23!H22+MVTJANV24!H22+MVTFEV24!H22+MVTMARS24!H22+MVTAVRIL24!H22+MVTMAI24!H22+MVTJUIN24!H22+MVTJUIL24!H22+MVTAOUT24!H22+MVTSEPT24!H22+MVTOCT24!H22+MVTNOV24!H22+MVTDEC24!H22</f>
        <v>47588.597446476793</v>
      </c>
      <c r="I23" s="6">
        <f t="shared" si="0"/>
        <v>1024327.5569738356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300000</v>
      </c>
      <c r="L23" s="36">
        <f>MVTJANV24!L22+MVTFEV24!L22+MVTMARS24!L22+MVTAVRIL24!L22+MVTMAI24!L22+MVTJUIN24!L22+MVTJUIL24!L22+MVTAOUT24!L22+MVTSEPT24!L22+MVTOCT24!L22+MVTNOV24!L22+MVTDEC24!L22</f>
        <v>228000</v>
      </c>
      <c r="M23" s="36">
        <f>MVTJANV24!M22+MVTFEV24!M22+MVTMARS24!M22+MVTAVRIL24!M22+MVTMAI24!M22+MVTJUIN24!M22+MVTJUIL24!M22+MVTAOUT24!M22+MVTSEPT24!M22+MVTOCT24!M22+MVTNOV24!M22+MVTDEC24!M22</f>
        <v>12000</v>
      </c>
      <c r="N23" s="36">
        <f>MVTJANV24!N22+MVTFEV24!N22+MVTMARS24!N22+MVTAVRIL24!N22+MVTMAI24!N22+MVTJUIN24!N22+MVTJUIL24!N22+MVTAOUT24!N22+MVTSEPT24!N22+MVTOCT24!N22+MVTNOV24!N22+MVTDEC24!N22</f>
        <v>12000</v>
      </c>
      <c r="O23" s="36">
        <f>MVTJANV24!O22+MVTFEV24!O22+MVTMARS24!O22+MVTAVRIL24!O22+MVTMAI24!O22+MVTJUIN24!O22+MVTJUIL24!O22+MVTAOUT24!O22+MVTSEPT24!O22+MVTOCT24!O22+MVTNOV24!O22+MVTDEC24!O22</f>
        <v>48000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18000</v>
      </c>
      <c r="U23" s="36"/>
      <c r="V23" s="36">
        <f>MVTJANV24!V22+MVTFEV24!V22+MVTMARS24!V22+MVTAVRIL24!V22+MVTMAI24!V22+MVTJUIN24!V22+MVTJUIL24!V22+MVTAOUT24!V22+MVTSEPT24!V22+MVTOCT24!V22+MVTNOV24!V22+MVTDEC24!V22</f>
        <v>0</v>
      </c>
      <c r="W23" s="36">
        <f t="shared" si="1"/>
        <v>300000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</f>
        <v>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18000</v>
      </c>
      <c r="AN23" s="144"/>
      <c r="AP23" s="36"/>
    </row>
    <row r="24" spans="1:42" ht="15.75" x14ac:dyDescent="0.2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1082674.3246731949</v>
      </c>
      <c r="G24" s="5">
        <f>MVTDEC24!G23</f>
        <v>1082674.3246731949</v>
      </c>
      <c r="H24" s="36">
        <f>MVTDEC23!H23+MVTJANV24!H23+MVTFEV24!H23+MVTMARS24!H23+MVTAVRIL24!H23+MVTMAI24!H23+MVTJUIN24!H23+MVTJUIL24!H23+MVTAOUT24!H23+MVTSEPT24!H23+MVTOCT24!H23+MVTNOV24!H23+MVTDEC24!H23</f>
        <v>54272.090283006881</v>
      </c>
      <c r="I24" s="6">
        <f t="shared" si="0"/>
        <v>1136946.4149562018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300000</v>
      </c>
      <c r="L24" s="36">
        <f>MVTJANV24!L23+MVTFEV24!L23+MVTMARS24!L23+MVTAVRIL24!L23+MVTMAI24!L23+MVTJUIN24!L23+MVTJUIL24!L23+MVTAOUT24!L23+MVTSEPT24!L23+MVTOCT24!L23+MVTNOV24!L23+MVTDEC24!L23</f>
        <v>228000</v>
      </c>
      <c r="M24" s="36">
        <f>MVTJANV24!M23+MVTFEV24!M23+MVTMARS24!M23+MVTAVRIL24!M23+MVTMAI24!M23+MVTJUIN24!M23+MVTJUIL24!M23+MVTAOUT24!M23+MVTSEPT24!M23+MVTOCT24!M23+MVTNOV24!M23+MVTDEC24!M23</f>
        <v>12000</v>
      </c>
      <c r="N24" s="36">
        <f>MVTJANV24!N23+MVTFEV24!N23+MVTMARS24!N23+MVTAVRIL24!N23+MVTMAI24!N23+MVTJUIN24!N23+MVTJUIL24!N23+MVTAOUT24!N23+MVTSEPT24!N23+MVTOCT24!N23+MVTNOV24!N23+MVTDEC24!N23</f>
        <v>12000</v>
      </c>
      <c r="O24" s="36">
        <f>MVTJANV24!O23+MVTFEV24!O23+MVTMARS24!O23+MVTAVRIL24!O23+MVTMAI24!O23+MVTJUIN24!O23+MVTJUIL24!O23+MVTAOUT24!O23+MVTSEPT24!O23+MVTOCT24!O23+MVTNOV24!O23+MVTDEC24!O23</f>
        <v>48000</v>
      </c>
      <c r="P24" s="36">
        <f>MVTJANV24!P23+MVTFEV24!P23+MVTMARS24!P23+MVTAVRIL24!P23+MVTMAI24!P23+MVTJUIN24!P23+MVTJUIL24!P23+MVTAOUT24!P23+MVTSEPT24!P23+MVTOCT24!P23+MVTNOV24!P23+MVTDEC24!P23</f>
        <v>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1000000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0</v>
      </c>
      <c r="W24" s="36">
        <f t="shared" si="1"/>
        <v>1000000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>
        <f>MVTJANV24!AI23+MVTFEV24!AI23+MVTMARS24!AI23+MVTAVRIL24!AI23+MVTMAI24!AI23+MVTJUIN24!AI23+MVTJUIL24!AI23+MVTAOUT24!AI23+MVTSEPT24!AI23+MVTOCT24!AI23+MVTNOV24!AI23+MVTDEC24!AI23</f>
        <v>0</v>
      </c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/>
      <c r="AP24" s="36"/>
    </row>
    <row r="25" spans="1:42" ht="15.75" x14ac:dyDescent="0.2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1255827.8441992993</v>
      </c>
      <c r="G25" s="5">
        <f>MVTDEC24!G24</f>
        <v>1255827.8441992993</v>
      </c>
      <c r="H25" s="36">
        <f>MVTDEC23!H24+MVTJANV24!H24+MVTFEV24!H24+MVTMARS24!H24+MVTAVRIL24!H24+MVTMAI24!H24+MVTJUIN24!H24+MVTJUIL24!H24+MVTAOUT24!H24+MVTSEPT24!H24+MVTOCT24!H24+MVTNOV24!H24+MVTDEC24!H24</f>
        <v>62857.226387319744</v>
      </c>
      <c r="I25" s="6">
        <f t="shared" si="0"/>
        <v>1318685.0705866192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340000</v>
      </c>
      <c r="L25" s="36">
        <f>MVTJANV24!L24+MVTFEV24!L24+MVTMARS24!L24+MVTAVRIL24!L24+MVTMAI24!L24+MVTJUIN24!L24+MVTJUIL24!L24+MVTAOUT24!L24+MVTSEPT24!L24+MVTOCT24!L24+MVTNOV24!L24+MVTDEC24!L24</f>
        <v>268000</v>
      </c>
      <c r="M25" s="36">
        <f>MVTJANV24!M24+MVTFEV24!M24+MVTMARS24!M24+MVTAVRIL24!M24+MVTMAI24!M24+MVTJUIN24!M24+MVTJUIL24!M24+MVTAOUT24!M24+MVTSEPT24!M24+MVTOCT24!M24+MVTNOV24!M24+MVTDEC24!M24</f>
        <v>12000</v>
      </c>
      <c r="N25" s="36">
        <f>MVTJANV24!N24+MVTFEV24!N24+MVTMARS24!N24+MVTAVRIL24!N24+MVTMAI24!N24+MVTJUIN24!N24+MVTJUIL24!N24+MVTAOUT24!N24+MVTSEPT24!N24+MVTOCT24!N24+MVTNOV24!N24+MVTDEC24!N24</f>
        <v>12000</v>
      </c>
      <c r="O25" s="36">
        <f>MVTJANV24!O24+MVTFEV24!O24+MVTMARS24!O24+MVTAVRIL24!O24+MVTMAI24!O24+MVTJUIN24!O24+MVTJUIL24!O24+MVTAOUT24!O24+MVTSEPT24!O24+MVTOCT24!O24+MVTNOV24!O24+MVTDEC24!O24</f>
        <v>48000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500000</v>
      </c>
      <c r="T25" s="36">
        <f>MVTDEC23!T24+MVTJANV24!T24+MVTFEV24!T24+MVTMARS24!T24+MVTAVRIL24!T24+MVTMAI24!T24+MVTJUIN24!T24+MVTJUIL24!T24+MVTAOUT24!T24+MVTSEPT24!T24+MVTOCT24!T24+MVTNOV24!T24+MVTDEC24!T24</f>
        <v>30000</v>
      </c>
      <c r="U25" s="36"/>
      <c r="V25" s="36">
        <f>MVTJANV24!V24+MVTFEV24!V24+MVTMARS24!V24+MVTAVRIL24!V24+MVTMAI24!V24+MVTJUIN24!V24+MVTJUIL24!V24+MVTAOUT24!V24+MVTSEPT24!V24+MVTOCT24!V24+MVTNOV24!V24+MVTDEC24!V24</f>
        <v>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45474</v>
      </c>
      <c r="AM25" s="144">
        <f t="shared" si="2"/>
        <v>30000</v>
      </c>
      <c r="AN25" s="144"/>
      <c r="AP25" s="36"/>
    </row>
    <row r="26" spans="1:42" ht="15.75" x14ac:dyDescent="0.2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1067141.7950432156</v>
      </c>
      <c r="G26" s="5">
        <f>MVTDEC24!G25</f>
        <v>1067141.7950432156</v>
      </c>
      <c r="H26" s="36">
        <f>MVTDEC23!H25+MVTJANV24!H25+MVTFEV24!H25+MVTMARS24!H25+MVTAVRIL24!H25+MVTMAI24!H25+MVTJUIN24!H25+MVTJUIL24!H25+MVTAOUT24!H25+MVTSEPT24!H25+MVTOCT24!H25+MVTNOV24!H25+MVTDEC24!H25</f>
        <v>51509.062772068915</v>
      </c>
      <c r="I26" s="6">
        <f t="shared" si="0"/>
        <v>1118650.8578152845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330000</v>
      </c>
      <c r="L26" s="36">
        <f>MVTJANV24!L25+MVTFEV24!L25+MVTMARS24!L25+MVTAVRIL24!L25+MVTMAI24!L25+MVTJUIN24!L25+MVTJUIL24!L25+MVTAOUT24!L25+MVTSEPT24!L25+MVTOCT24!L25+MVTNOV24!L25+MVTDEC24!L25</f>
        <v>258000</v>
      </c>
      <c r="M26" s="36">
        <f>MVTJANV24!M25+MVTFEV24!M25+MVTMARS24!M25+MVTAVRIL24!M25+MVTMAI24!M25+MVTJUIN24!M25+MVTJUIL24!M25+MVTAOUT24!M25+MVTSEPT24!M25+MVTOCT24!M25+MVTNOV24!M25+MVTDEC24!M25</f>
        <v>12000</v>
      </c>
      <c r="N26" s="36">
        <f>MVTJANV24!N25+MVTFEV24!N25+MVTMARS24!N25+MVTAVRIL24!N25+MVTMAI24!N25+MVTJUIN24!N25+MVTJUIL24!N25+MVTAOUT24!N25+MVTSEPT24!N25+MVTOCT24!N25+MVTNOV24!N25+MVTDEC24!N25</f>
        <v>12000</v>
      </c>
      <c r="O26" s="36">
        <f>MVTJANV24!O25+MVTFEV24!O25+MVTMARS24!O25+MVTAVRIL24!O25+MVTMAI24!O25+MVTJUIN24!O25+MVTJUIL24!O25+MVTAOUT24!O25+MVTSEPT24!O25+MVTOCT24!O25+MVTNOV24!O25+MVTDEC24!O25</f>
        <v>48000</v>
      </c>
      <c r="P26" s="36">
        <f>MVTJANV24!P25+MVTFEV24!P25+MVTMARS24!P25+MVTAVRIL24!P25+MVTMAI24!P25+MVTJUIN24!P25+MVTJUIL24!P25+MVTAOUT24!P25+MVTSEPT24!P25+MVTOCT24!P25+MVTNOV24!P25+MVTDEC24!P25</f>
        <v>27000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0</v>
      </c>
      <c r="W26" s="36">
        <f t="shared" si="1"/>
        <v>1000000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/>
      <c r="AP26" s="36"/>
    </row>
    <row r="27" spans="1:42" ht="15.75" x14ac:dyDescent="0.2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995266.46813543816</v>
      </c>
      <c r="G27" s="5">
        <f>MVTDEC24!G26</f>
        <v>995266.46813543816</v>
      </c>
      <c r="H27" s="36">
        <f>MVTDEC23!H26+MVTJANV24!H26+MVTFEV24!H26+MVTMARS24!H26+MVTAVRIL24!H26+MVTMAI24!H26+MVTJUIN24!H26+MVTJUIL24!H26+MVTAOUT24!H26+MVTSEPT24!H26+MVTOCT24!H26+MVTNOV24!H26+MVTDEC24!H26</f>
        <v>48883.683903629586</v>
      </c>
      <c r="I27" s="6">
        <f t="shared" si="0"/>
        <v>1044150.1520390677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298000</v>
      </c>
      <c r="L27" s="36">
        <f>MVTJANV24!L26+MVTFEV24!L26+MVTMARS24!L26+MVTAVRIL24!L26+MVTMAI24!L26+MVTJUIN24!L26+MVTJUIL24!L26+MVTAOUT24!L26+MVTSEPT24!L26+MVTOCT24!L26+MVTNOV24!L26+MVTDEC24!L26</f>
        <v>226000</v>
      </c>
      <c r="M27" s="36">
        <f>MVTJANV24!M26+MVTFEV24!M26+MVTMARS24!M26+MVTAVRIL24!M26+MVTMAI24!M26+MVTJUIN24!M26+MVTJUIL24!M26+MVTAOUT24!M26+MVTSEPT24!M26+MVTOCT24!M26+MVTNOV24!M26+MVTDEC24!M26</f>
        <v>12000</v>
      </c>
      <c r="N27" s="36">
        <f>MVTJANV24!N26+MVTFEV24!N26+MVTMARS24!N26+MVTAVRIL24!N26+MVTMAI24!N26+MVTJUIN24!N26+MVTJUIL24!N26+MVTAOUT24!N26+MVTSEPT24!N26+MVTOCT24!N26+MVTNOV24!N26+MVTDEC24!N26</f>
        <v>12000</v>
      </c>
      <c r="O27" s="36">
        <f>MVTJANV24!O26+MVTFEV24!O26+MVTMARS24!O26+MVTAVRIL24!O26+MVTMAI24!O26+MVTJUIN24!O26+MVTJUIL24!O26+MVTAOUT24!O26+MVTSEPT24!O26+MVTOCT24!O26+MVTNOV24!O26+MVTDEC24!O26</f>
        <v>48000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1000000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/>
      <c r="AP27" s="36"/>
    </row>
    <row r="28" spans="1:42" ht="15.75" x14ac:dyDescent="0.2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995824.17371512204</v>
      </c>
      <c r="G28" s="5">
        <f>MVTDEC24!G27</f>
        <v>995824.17371512204</v>
      </c>
      <c r="H28" s="36">
        <f>MVTDEC23!H27+MVTJANV24!H27+MVTFEV24!H27+MVTMARS24!H27+MVTAVRIL24!H27+MVTMAI24!H27+MVTJUIN24!H27+MVTJUIL24!H27+MVTAOUT24!H27+MVTSEPT24!H27+MVTOCT24!H27+MVTNOV24!H27+MVTDEC24!H27</f>
        <v>48792.689131363695</v>
      </c>
      <c r="I28" s="6">
        <f t="shared" si="0"/>
        <v>1044616.8628464857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300000</v>
      </c>
      <c r="L28" s="36">
        <f>MVTJANV24!L27+MVTFEV24!L27+MVTMARS24!L27+MVTAVRIL24!L27+MVTMAI24!L27+MVTJUIN24!L27+MVTJUIL24!L27+MVTAOUT24!L27+MVTSEPT24!L27+MVTOCT24!L27+MVTNOV24!L27+MVTDEC24!L27</f>
        <v>228000</v>
      </c>
      <c r="M28" s="36">
        <f>MVTJANV24!M27+MVTFEV24!M27+MVTMARS24!M27+MVTAVRIL24!M27+MVTMAI24!M27+MVTJUIN24!M27+MVTJUIL24!M27+MVTAOUT24!M27+MVTSEPT24!M27+MVTOCT24!M27+MVTNOV24!M27+MVTDEC24!M27</f>
        <v>12000</v>
      </c>
      <c r="N28" s="36">
        <f>MVTJANV24!N27+MVTFEV24!N27+MVTMARS24!N27+MVTAVRIL24!N27+MVTMAI24!N27+MVTJUIN24!N27+MVTJUIL24!N27+MVTAOUT24!N27+MVTSEPT24!N27+MVTOCT24!N27+MVTNOV24!N27+MVTDEC24!N27</f>
        <v>12000</v>
      </c>
      <c r="O28" s="36">
        <f>MVTJANV24!O27+MVTFEV24!O27+MVTMARS24!O27+MVTAVRIL24!O27+MVTMAI24!O27+MVTJUIN24!O27+MVTJUIL24!O27+MVTAOUT24!O27+MVTSEPT24!O27+MVTOCT24!O27+MVTNOV24!O27+MVTDEC24!O27</f>
        <v>48000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1000000</v>
      </c>
      <c r="T28" s="36">
        <f>MVTDEC23!T27+MVTJANV24!T27+MVTFEV24!T27+MVTMARS24!T27+MVTAVRIL24!T27+MVTMAI24!T27+MVTJUIN24!T27+MVTJUIL24!T27+MVTAOUT24!T27+MVTSEPT24!T27+MVTOCT24!T27+MVTNOV24!T27+MVTDEC24!T27</f>
        <v>60000</v>
      </c>
      <c r="U28" s="36"/>
      <c r="V28" s="36">
        <f>MVTJANV24!V27+MVTFEV24!V27+MVTMARS24!V27+MVTAVRIL24!V27+MVTMAI24!V27+MVTJUIN24!V27+MVTJUIL24!V27+MVTAOUT24!V27+MVTSEPT24!V27+MVTOCT24!V27+MVTNOV24!V27+MVTDEC24!V27</f>
        <v>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45474</v>
      </c>
      <c r="AM28" s="144">
        <f t="shared" si="2"/>
        <v>60000</v>
      </c>
      <c r="AN28" s="144"/>
      <c r="AP28" s="36"/>
    </row>
    <row r="29" spans="1:42" ht="15.75" x14ac:dyDescent="0.25">
      <c r="A29" s="1" t="s">
        <v>172</v>
      </c>
      <c r="B29" s="1" t="str">
        <f>VLOOKUP(A29,[19]LISTADHERENT!A$5:H$60,3,0)</f>
        <v>NOUBE ETIENNE</v>
      </c>
      <c r="C29" s="36">
        <f>+MVTDEC23!C28</f>
        <v>666018.81693285913</v>
      </c>
      <c r="D29" s="36">
        <f>+MVTDEC23!D28</f>
        <v>0</v>
      </c>
      <c r="E29" s="36">
        <f>VLOOKUP($A29,[24]HISTOJANV24!$A$6:$BA$38,48,0)</f>
        <v>0</v>
      </c>
      <c r="F29" s="36">
        <f>MVTDEC24!F28</f>
        <v>897176.12513194664</v>
      </c>
      <c r="G29" s="5">
        <f>MVTDEC24!G28</f>
        <v>897176.12513194664</v>
      </c>
      <c r="H29" s="36">
        <f>MVTDEC23!H28+MVTJANV24!H28+MVTFEV24!H28+MVTMARS24!H28+MVTAVRIL24!H28+MVTMAI24!H28+MVTJUIN24!H28+MVTJUIL24!H28+MVTAOUT24!H28+MVTSEPT24!H28+MVTOCT24!H28+MVTNOV24!H28+MVTDEC24!H28</f>
        <v>3157.3081990875326</v>
      </c>
      <c r="I29" s="6">
        <f t="shared" si="0"/>
        <v>900333.43333103415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300000</v>
      </c>
      <c r="L29" s="36">
        <f>MVTJANV24!L28+MVTFEV24!L28+MVTMARS24!L28+MVTAVRIL24!L28+MVTMAI24!L28+MVTJUIN24!L28+MVTJUIL24!L28+MVTAOUT24!L28+MVTSEPT24!L28+MVTOCT24!L28+MVTNOV24!L28+MVTDEC24!L28</f>
        <v>228000</v>
      </c>
      <c r="M29" s="36">
        <f>MVTJANV24!M28+MVTFEV24!M28+MVTMARS24!M28+MVTAVRIL24!M28+MVTMAI24!M28+MVTJUIN24!M28+MVTJUIL24!M28+MVTAOUT24!M28+MVTSEPT24!M28+MVTOCT24!M28+MVTNOV24!M28+MVTDEC24!M28</f>
        <v>12000</v>
      </c>
      <c r="N29" s="36">
        <f>MVTJANV24!N28+MVTFEV24!N28+MVTMARS24!N28+MVTAVRIL24!N28+MVTMAI24!N28+MVTJUIN24!N28+MVTJUIL24!N28+MVTAOUT24!N28+MVTSEPT24!N28+MVTOCT24!N28+MVTNOV24!N28+MVTDEC24!N28</f>
        <v>12000</v>
      </c>
      <c r="O29" s="36">
        <f>MVTJANV24!O28+MVTFEV24!O28+MVTMARS24!O28+MVTAVRIL24!O28+MVTMAI24!O28+MVTJUIN24!O28+MVTJUIL24!O28+MVTAOUT24!O28+MVTSEPT24!O28+MVTOCT24!O28+MVTNOV24!O28+MVTDEC24!O28</f>
        <v>48000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1500</v>
      </c>
      <c r="U29" s="36"/>
      <c r="V29" s="36">
        <f>MVTJANV24!V28+MVTFEV24!V28+MVTMARS24!V28+MVTAVRIL24!V28+MVTMAI24!V28+MVTJUIN24!V28+MVTJUIL24!V28+MVTAOUT24!V28+MVTSEPT24!V28+MVTOCT24!V28+MVTNOV24!V28+MVTDEC24!V28</f>
        <v>0</v>
      </c>
      <c r="W29" s="36">
        <f t="shared" si="1"/>
        <v>50000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/>
      <c r="AM29" s="144">
        <f t="shared" si="2"/>
        <v>1500</v>
      </c>
      <c r="AN29" s="144"/>
      <c r="AP29" s="36"/>
    </row>
    <row r="30" spans="1:42" ht="15.75" x14ac:dyDescent="0.2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1022151.3442374151</v>
      </c>
      <c r="G30" s="5">
        <f>MVTDEC24!G29</f>
        <v>1022151.3442374151</v>
      </c>
      <c r="H30" s="36">
        <f>MVTDEC23!H29+MVTJANV24!H29+MVTFEV24!H29+MVTMARS24!H29+MVTAVRIL24!H29+MVTMAI24!H29+MVTJUIN24!H29+MVTJUIL24!H29+MVTAOUT24!H29+MVTSEPT24!H29+MVTOCT24!H29+MVTNOV24!H29+MVTDEC24!H29</f>
        <v>50453.677936656612</v>
      </c>
      <c r="I30" s="6">
        <f t="shared" si="0"/>
        <v>1072605.0221740718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300000</v>
      </c>
      <c r="L30" s="36">
        <f>MVTJANV24!L29+MVTFEV24!L29+MVTMARS24!L29+MVTAVRIL24!L29+MVTMAI24!L29+MVTJUIN24!L29+MVTJUIL24!L29+MVTAOUT24!L29+MVTSEPT24!L29+MVTOCT24!L29+MVTNOV24!L29+MVTDEC24!L29</f>
        <v>228000</v>
      </c>
      <c r="M30" s="36">
        <f>MVTJANV24!M29+MVTFEV24!M29+MVTMARS24!M29+MVTAVRIL24!M29+MVTMAI24!M29+MVTJUIN24!M29+MVTJUIL24!M29+MVTAOUT24!M29+MVTSEPT24!M29+MVTOCT24!M29+MVTNOV24!M29+MVTDEC24!M29</f>
        <v>12000</v>
      </c>
      <c r="N30" s="36">
        <f>MVTJANV24!N29+MVTFEV24!N29+MVTMARS24!N29+MVTAVRIL24!N29+MVTMAI24!N29+MVTJUIN24!N29+MVTJUIL24!N29+MVTAOUT24!N29+MVTSEPT24!N29+MVTOCT24!N29+MVTNOV24!N29+MVTDEC24!N29</f>
        <v>12000</v>
      </c>
      <c r="O30" s="36">
        <f>MVTJANV24!O29+MVTFEV24!O29+MVTMARS24!O29+MVTAVRIL24!O29+MVTMAI24!O29+MVTJUIN24!O29+MVTJUIL24!O29+MVTAOUT24!O29+MVTSEPT24!O29+MVTOCT24!O29+MVTNOV24!O29+MVTDEC24!O29</f>
        <v>48000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/>
      <c r="AP30" s="36"/>
    </row>
    <row r="31" spans="1:42" ht="15.75" x14ac:dyDescent="0.2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926786.81046782702</v>
      </c>
      <c r="G31" s="5">
        <f>MVTDEC24!G30</f>
        <v>926786.81046782702</v>
      </c>
      <c r="H31" s="36">
        <f>MVTDEC23!H30+MVTJANV24!H30+MVTFEV24!H30+MVTMARS24!H30+MVTAVRIL24!H30+MVTMAI24!H30+MVTJUIN24!H30+MVTJUIL24!H30+MVTAOUT24!H30+MVTSEPT24!H30+MVTOCT24!H30+MVTNOV24!H30+MVTDEC24!H30</f>
        <v>3286.8104678270088</v>
      </c>
      <c r="I31" s="6">
        <f t="shared" si="0"/>
        <v>930073.62093565403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750000</v>
      </c>
      <c r="L31" s="36">
        <f>MVTJANV24!L30+MVTFEV24!L30+MVTMARS24!L30+MVTAVRIL24!L30+MVTMAI24!L30+MVTJUIN24!L30+MVTJUIL24!L30+MVTAOUT24!L30+MVTSEPT24!L30+MVTOCT24!L30+MVTNOV24!L30+MVTDEC24!L30</f>
        <v>678000</v>
      </c>
      <c r="M31" s="36">
        <f>MVTJANV24!M30+MVTFEV24!M30+MVTMARS24!M30+MVTAVRIL24!M30+MVTMAI24!M30+MVTJUIN24!M30+MVTJUIL24!M30+MVTAOUT24!M30+MVTSEPT24!M30+MVTOCT24!M30+MVTNOV24!M30+MVTDEC24!M30</f>
        <v>12000</v>
      </c>
      <c r="N31" s="36">
        <f>MVTJANV24!N30+MVTFEV24!N30+MVTMARS24!N30+MVTAVRIL24!N30+MVTMAI24!N30+MVTJUIN24!N30+MVTJUIL24!N30+MVTAOUT24!N30+MVTSEPT24!N30+MVTOCT24!N30+MVTNOV24!N30+MVTDEC24!N30</f>
        <v>12000</v>
      </c>
      <c r="O31" s="36">
        <f>MVTJANV24!O30+MVTFEV24!O30+MVTMARS24!O30+MVTAVRIL24!O30+MVTMAI24!O30+MVTJUIN24!O30+MVTJUIL24!O30+MVTAOUT24!O30+MVTSEPT24!O30+MVTOCT24!O30+MVTNOV24!O30+MVTDEC24!O30</f>
        <v>48000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/>
      <c r="AP31" s="36"/>
    </row>
    <row r="32" spans="1:42" ht="15.75" x14ac:dyDescent="0.2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1086903.0311481347</v>
      </c>
      <c r="G32" s="5">
        <f>MVTDEC24!G31</f>
        <v>1086903.0311481347</v>
      </c>
      <c r="H32" s="36">
        <f>MVTDEC23!H31+MVTJANV24!H31+MVTFEV24!H31+MVTMARS24!H31+MVTAVRIL24!H31+MVTMAI24!H31+MVTJUIN24!H31+MVTJUIL24!H31+MVTAOUT24!H31+MVTSEPT24!H31+MVTOCT24!H31+MVTNOV24!H31+MVTDEC24!H31</f>
        <v>54538.880597970558</v>
      </c>
      <c r="I32" s="6">
        <f t="shared" si="0"/>
        <v>1141441.9117461052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300000</v>
      </c>
      <c r="L32" s="36">
        <f>MVTJANV24!L31+MVTFEV24!L31+MVTMARS24!L31+MVTAVRIL24!L31+MVTMAI24!L31+MVTJUIN24!L31+MVTJUIL24!L31+MVTAOUT24!L31+MVTSEPT24!L31+MVTOCT24!L31+MVTNOV24!L31+MVTDEC24!L31</f>
        <v>228000</v>
      </c>
      <c r="M32" s="36">
        <f>MVTJANV24!M31+MVTFEV24!M31+MVTMARS24!M31+MVTAVRIL24!M31+MVTMAI24!M31+MVTJUIN24!M31+MVTJUIL24!M31+MVTAOUT24!M31+MVTSEPT24!M31+MVTOCT24!M31+MVTNOV24!M31+MVTDEC24!M31</f>
        <v>12000</v>
      </c>
      <c r="N32" s="36">
        <f>MVTJANV24!N31+MVTFEV24!N31+MVTMARS24!N31+MVTAVRIL24!N31+MVTMAI24!N31+MVTJUIN24!N31+MVTJUIL24!N31+MVTAOUT24!N31+MVTSEPT24!N31+MVTOCT24!N31+MVTNOV24!N31+MVTDEC24!N31</f>
        <v>12000</v>
      </c>
      <c r="O32" s="36">
        <f>MVTJANV24!O31+MVTFEV24!O31+MVTMARS24!O31+MVTAVRIL24!O31+MVTMAI24!O31+MVTJUIN24!O31+MVTJUIL24!O31+MVTAOUT24!O31+MVTSEPT24!O31+MVTOCT24!O31+MVTNOV24!O31+MVTDEC24!O31</f>
        <v>48000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1000000</v>
      </c>
      <c r="T32" s="36">
        <f>MVTDEC23!T31+MVTJANV24!T31+MVTFEV24!T31+MVTMARS24!T31+MVTAVRIL24!T31+MVTMAI24!T31+MVTJUIN24!T31+MVTJUIL24!T31+MVTAOUT24!T31+MVTSEPT24!T31+MVTOCT24!T31+MVTNOV24!T31+MVTDEC24!T31</f>
        <v>60000</v>
      </c>
      <c r="U32" s="36"/>
      <c r="V32" s="36">
        <f>MVTJANV24!V31+MVTFEV24!V31+MVTMARS24!V31+MVTAVRIL24!V31+MVTMAI24!V31+MVTJUIN24!V31+MVTJUIL24!V31+MVTAOUT24!V31+MVTSEPT24!V31+MVTOCT24!V31+MVTNOV24!V31+MVTDEC24!V31</f>
        <v>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>
        <v>45474</v>
      </c>
      <c r="AM32" s="144">
        <f t="shared" si="2"/>
        <v>60000</v>
      </c>
      <c r="AN32" s="144"/>
      <c r="AP32" s="36"/>
    </row>
    <row r="33" spans="1:42" ht="15.75" x14ac:dyDescent="0.2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976243.98131057119</v>
      </c>
      <c r="G33" s="5">
        <f>MVTDEC24!G32</f>
        <v>976243.98131057119</v>
      </c>
      <c r="H33" s="36">
        <f>MVTDEC23!H32+MVTJANV24!H32+MVTFEV24!H32+MVTMARS24!H32+MVTAVRIL24!H32+MVTMAI24!H32+MVTJUIN24!H32+MVTJUIL24!H32+MVTAOUT24!H32+MVTSEPT24!H32+MVTOCT24!H32+MVTNOV24!H32+MVTDEC24!H32</f>
        <v>47557.369127571357</v>
      </c>
      <c r="I33" s="6">
        <f t="shared" si="0"/>
        <v>1023801.3504381425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300000</v>
      </c>
      <c r="L33" s="36">
        <f>MVTJANV24!L32+MVTFEV24!L32+MVTMARS24!L32+MVTAVRIL24!L32+MVTMAI24!L32+MVTJUIN24!L32+MVTJUIL24!L32+MVTAOUT24!L32+MVTSEPT24!L32+MVTOCT24!L32+MVTNOV24!L32+MVTDEC24!L32</f>
        <v>228000</v>
      </c>
      <c r="M33" s="36">
        <f>MVTJANV24!M32+MVTFEV24!M32+MVTMARS24!M32+MVTAVRIL24!M32+MVTMAI24!M32+MVTJUIN24!M32+MVTJUIL24!M32+MVTAOUT24!M32+MVTSEPT24!M32+MVTOCT24!M32+MVTNOV24!M32+MVTDEC24!M32</f>
        <v>12000</v>
      </c>
      <c r="N33" s="36">
        <f>MVTJANV24!N32+MVTFEV24!N32+MVTMARS24!N32+MVTAVRIL24!N32+MVTMAI24!N32+MVTJUIN24!N32+MVTJUIL24!N32+MVTAOUT24!N32+MVTSEPT24!N32+MVTOCT24!N32+MVTNOV24!N32+MVTDEC24!N32</f>
        <v>12000</v>
      </c>
      <c r="O33" s="36">
        <f>MVTJANV24!O32+MVTFEV24!O32+MVTMARS24!O32+MVTAVRIL24!O32+MVTMAI24!O32+MVTJUIN24!O32+MVTJUIL24!O32+MVTAOUT24!O32+MVTSEPT24!O32+MVTOCT24!O32+MVTNOV24!O32+MVTDEC24!O32</f>
        <v>48000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1250000</v>
      </c>
      <c r="T33" s="36">
        <f>MVTDEC23!T32+MVTJANV24!T32+MVTFEV24!T32+MVTMARS24!T32+MVTAVRIL24!T32+MVTMAI24!T32+MVTJUIN24!T32+MVTJUIL24!T32+MVTAOUT24!T32+MVTSEPT24!T32+MVTOCT24!T32+MVTNOV24!T32+MVTDEC24!T32</f>
        <v>45000</v>
      </c>
      <c r="U33" s="36"/>
      <c r="V33" s="36">
        <f>MVTJANV24!V32+MVTFEV24!V32+MVTMARS24!V32+MVTAVRIL24!V32+MVTMAI24!V32+MVTJUIN24!V32+MVTJUIL24!V32+MVTAOUT24!V32+MVTSEPT24!V32+MVTOCT24!V32+MVTNOV24!V32+MVTDEC24!V32</f>
        <v>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45474</v>
      </c>
      <c r="AM33" s="144">
        <f t="shared" si="2"/>
        <v>45000</v>
      </c>
      <c r="AN33" s="144"/>
      <c r="AP33" s="36"/>
    </row>
    <row r="34" spans="1:42" ht="15.75" x14ac:dyDescent="0.2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976552.64928596013</v>
      </c>
      <c r="G34" s="5">
        <f>MVTDEC24!G33</f>
        <v>976552.64928596013</v>
      </c>
      <c r="H34" s="36">
        <f>MVTDEC23!H33+MVTJANV24!H33+MVTFEV24!H33+MVTMARS24!H33+MVTAVRIL24!H33+MVTMAI24!H33+MVTJUIN24!H33+MVTJUIL24!H33+MVTAOUT24!H33+MVTSEPT24!H33+MVTOCT24!H33+MVTNOV24!H33+MVTDEC24!H33</f>
        <v>47576.843079443228</v>
      </c>
      <c r="I34" s="6">
        <f t="shared" si="0"/>
        <v>1024129.4923654033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300000</v>
      </c>
      <c r="L34" s="36">
        <f>MVTJANV24!L33+MVTFEV24!L33+MVTMARS24!L33+MVTAVRIL24!L33+MVTMAI24!L33+MVTJUIN24!L33+MVTJUIL24!L33+MVTAOUT24!L33+MVTSEPT24!L33+MVTOCT24!L33+MVTNOV24!L33+MVTDEC24!L33</f>
        <v>228000</v>
      </c>
      <c r="M34" s="36">
        <f>MVTJANV24!M33+MVTFEV24!M33+MVTMARS24!M33+MVTAVRIL24!M33+MVTMAI24!M33+MVTJUIN24!M33+MVTJUIL24!M33+MVTAOUT24!M33+MVTSEPT24!M33+MVTOCT24!M33+MVTNOV24!M33+MVTDEC24!M33</f>
        <v>12000</v>
      </c>
      <c r="N34" s="36">
        <f>MVTJANV24!N33+MVTFEV24!N33+MVTMARS24!N33+MVTAVRIL24!N33+MVTMAI24!N33+MVTJUIN24!N33+MVTJUIL24!N33+MVTAOUT24!N33+MVTSEPT24!N33+MVTOCT24!N33+MVTNOV24!N33+MVTDEC24!N33</f>
        <v>12000</v>
      </c>
      <c r="O34" s="36">
        <f>MVTJANV24!O33+MVTFEV24!O33+MVTMARS24!O33+MVTAVRIL24!O33+MVTMAI24!O33+MVTJUIN24!O33+MVTJUIL24!O33+MVTAOUT24!O33+MVTSEPT24!O33+MVTOCT24!O33+MVTNOV24!O33+MVTDEC24!O33</f>
        <v>48000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1000000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>
        <v>45474</v>
      </c>
      <c r="AM34" s="144">
        <f t="shared" si="2"/>
        <v>60000</v>
      </c>
      <c r="AN34" s="144"/>
      <c r="AO34" s="36"/>
      <c r="AP34" s="36"/>
    </row>
    <row r="35" spans="1:42" ht="15.75" x14ac:dyDescent="0.25">
      <c r="A35" s="1" t="s">
        <v>328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633000</v>
      </c>
      <c r="G35" s="5">
        <f>MVTDEC24!G34</f>
        <v>0</v>
      </c>
      <c r="H35" s="36">
        <f>MVTDEC23!H34+MVTJANV24!H34+MVTFEV24!H34+MVTMARS24!H34+MVTAVRIL24!H34+MVTMAI24!H34+MVTJUIN24!H34+MVTJUIL24!H34+MVTAOUT24!H34+MVTSEPT24!H34+MVTOCT24!H34+MVTNOV24!H34+MVTDEC24!H34</f>
        <v>0</v>
      </c>
      <c r="I35" s="6">
        <f t="shared" si="0"/>
        <v>633000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705000</v>
      </c>
      <c r="L35" s="36">
        <f>MVTJANV24!L34+MVTFEV24!L34+MVTMARS24!L34+MVTAVRIL24!L34+MVTMAI24!L34+MVTJUIN24!L34+MVTJUIL24!L34+MVTAOUT24!L34+MVTSEPT24!L34+MVTOCT24!L34+MVTNOV24!L34+MVTDEC24!L34</f>
        <v>633000</v>
      </c>
      <c r="M35" s="36">
        <f>MVTJANV24!M34+MVTFEV24!M34+MVTMARS24!M34+MVTAVRIL24!M34+MVTMAI24!M34+MVTJUIN24!M34+MVTJUIL24!M34+MVTAOUT24!M34+MVTSEPT24!M34+MVTOCT24!M34+MVTNOV24!M34+MVTDEC24!M34</f>
        <v>12000</v>
      </c>
      <c r="N35" s="36">
        <f>MVTJANV24!N34+MVTFEV24!N34+MVTMARS24!N34+MVTAVRIL24!N34+MVTMAI24!N34+MVTJUIN24!N34+MVTJUIL24!N34+MVTAOUT24!N34+MVTSEPT24!N34+MVTOCT24!N34+MVTNOV24!N34+MVTDEC24!N34</f>
        <v>12000</v>
      </c>
      <c r="O35" s="36">
        <f>MVTJANV24!O34+MVTFEV24!O34+MVTMARS24!O34+MVTAVRIL24!O34+MVTMAI24!O34+MVTJUIN24!O34+MVTJUIL24!O34+MVTAOUT24!O34+MVTSEPT24!O34+MVTOCT24!O34+MVTNOV24!O34+MVTDEC24!O34</f>
        <v>48000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/>
      <c r="AP35" s="36"/>
    </row>
    <row r="36" spans="1:42" ht="15.75" x14ac:dyDescent="0.2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328000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328000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297000</v>
      </c>
      <c r="L36" s="36">
        <f>MVTJANV24!L35+MVTFEV24!L35+MVTMARS24!L35+MVTAVRIL24!L35+MVTMAI24!L35+MVTJUIN24!L35+MVTJUIL24!L35+MVTAOUT24!L35+MVTSEPT24!L35+MVTOCT24!L35+MVTNOV24!L35+MVTDEC24!L35</f>
        <v>225000</v>
      </c>
      <c r="M36" s="36">
        <f>MVTJANV24!M35+MVTFEV24!M35+MVTMARS24!M35+MVTAVRIL24!M35+MVTMAI24!M35+MVTJUIN24!M35+MVTJUIL24!M35+MVTAOUT24!M35+MVTSEPT24!M35+MVTOCT24!M35+MVTNOV24!M35+MVTDEC24!M35</f>
        <v>12000</v>
      </c>
      <c r="N36" s="36">
        <f>MVTJANV24!N35+MVTFEV24!N35+MVTMARS24!N35+MVTAVRIL24!N35+MVTMAI24!N35+MVTJUIN24!N35+MVTJUIL24!N35+MVTAOUT24!N35+MVTSEPT24!N35+MVTOCT24!N35+MVTNOV24!N35+MVTDEC24!N35</f>
        <v>12000</v>
      </c>
      <c r="O36" s="36">
        <f>MVTJANV24!O35+MVTFEV24!O35+MVTMARS24!O35+MVTAVRIL24!O35+MVTMAI24!O35+MVTJUIN24!O35+MVTJUIL24!O35+MVTAOUT24!O35+MVTSEPT24!O35+MVTOCT24!O35+MVTNOV24!O35+MVTDEC24!O35</f>
        <v>48000</v>
      </c>
      <c r="P36" s="36">
        <f>MVTJANV24!P35+MVTFEV24!P35+MVTMARS24!P35+MVTAVRIL24!P35+MVTMAI24!P35+MVTJUIN24!P35+MVTJUIL24!P35+MVTAOUT24!P35+MVTSEPT24!P35+MVTOCT24!P35+MVTNOV24!P35+MVTDEC24!P35</f>
        <v>27000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/>
      <c r="AP36" s="36"/>
    </row>
    <row r="37" spans="1:42" ht="15.75" x14ac:dyDescent="0.25">
      <c r="A37" s="1" t="s">
        <v>313</v>
      </c>
      <c r="B37" s="1" t="str">
        <f>VLOOKUP(A37,[19]LISTADHERENT!A$5:H$60,3,0)</f>
        <v>YANTCHOU GERVAIS</v>
      </c>
      <c r="C37" s="36">
        <f>+MVTDEC23!C36</f>
        <v>698024.13813217054</v>
      </c>
      <c r="D37" s="36">
        <f>+MVTDEC23!D36</f>
        <v>0</v>
      </c>
      <c r="E37" s="36">
        <f>VLOOKUP($A37,[24]HISTOJANV24!$A$6:$BA$38,48,0)</f>
        <v>0</v>
      </c>
      <c r="F37" s="36">
        <f>MVTDEC24!F36</f>
        <v>1013599.0818186782</v>
      </c>
      <c r="G37" s="5">
        <f>MVTDEC24!G36</f>
        <v>1013599.0818186782</v>
      </c>
      <c r="H37" s="36">
        <f>MVTDEC23!H36+MVTJANV24!H36+MVTFEV24!H36+MVTMARS24!H36+MVTAVRIL24!H36+MVTMAI24!H36+MVTJUIN24!H36+MVTJUIL24!H36+MVTAOUT24!H36+MVTSEPT24!H36+MVTOCT24!H36+MVTNOV24!H36+MVTDEC24!H36</f>
        <v>47574.943686507613</v>
      </c>
      <c r="I37" s="6">
        <f t="shared" si="0"/>
        <v>1061174.0255051858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340000</v>
      </c>
      <c r="L37" s="36">
        <f>MVTJANV24!L36+MVTFEV24!L36+MVTMARS24!L36+MVTAVRIL24!L36+MVTMAI24!L36+MVTJUIN24!L36+MVTJUIL24!L36+MVTAOUT24!L36+MVTSEPT24!L36+MVTOCT24!L36+MVTNOV24!L36+MVTDEC24!L36</f>
        <v>268000</v>
      </c>
      <c r="M37" s="36">
        <f>MVTJANV24!M36+MVTFEV24!M36+MVTMARS24!M36+MVTAVRIL24!M36+MVTMAI24!M36+MVTJUIN24!M36+MVTJUIL24!M36+MVTAOUT24!M36+MVTSEPT24!M36+MVTOCT24!M36+MVTNOV24!M36+MVTDEC24!M36</f>
        <v>12000</v>
      </c>
      <c r="N37" s="36">
        <f>MVTJANV24!N36+MVTFEV24!N36+MVTMARS24!N36+MVTAVRIL24!N36+MVTMAI24!N36+MVTJUIN24!N36+MVTJUIL24!N36+MVTAOUT24!N36+MVTSEPT24!N36+MVTOCT24!N36+MVTNOV24!N36+MVTDEC24!N36</f>
        <v>12000</v>
      </c>
      <c r="O37" s="36">
        <f>MVTJANV24!O36+MVTFEV24!O36+MVTMARS24!O36+MVTAVRIL24!O36+MVTMAI24!O36+MVTJUIN24!O36+MVTJUIL24!O36+MVTAOUT24!O36+MVTSEPT24!O36+MVTOCT24!O36+MVTNOV24!O36+MVTDEC24!O36</f>
        <v>48000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0</v>
      </c>
      <c r="W37" s="36">
        <f t="shared" si="1"/>
        <v>700000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>
        <v>45474</v>
      </c>
      <c r="AM37" s="144">
        <f t="shared" si="2"/>
        <v>84000</v>
      </c>
      <c r="AN37" s="144"/>
      <c r="AP37" s="36"/>
    </row>
    <row r="38" spans="1:42" ht="15.75" x14ac:dyDescent="0.2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2046400.7147676253</v>
      </c>
      <c r="G38" s="5">
        <f>MVTDEC24!G37</f>
        <v>2046400.7147676253</v>
      </c>
      <c r="H38" s="36">
        <f>MVTDEC23!H37+MVTJANV24!H37+MVTFEV24!H37+MVTMARS24!H37+MVTAVRIL24!H37+MVTMAI24!H37+MVTJUIN24!H37+MVTJUIL24!H37+MVTAOUT24!H37+MVTSEPT24!H37+MVTOCT24!H37+MVTNOV24!H37+MVTDEC24!H37</f>
        <v>115073.86706174383</v>
      </c>
      <c r="I38" s="6">
        <f t="shared" si="0"/>
        <v>2161474.5818293691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300000</v>
      </c>
      <c r="L38" s="36">
        <f>MVTJANV24!L37+MVTFEV24!L37+MVTMARS24!L37+MVTAVRIL24!L37+MVTMAI24!L37+MVTJUIN24!L37+MVTJUIL24!L37+MVTAOUT24!L37+MVTSEPT24!L37+MVTOCT24!L37+MVTNOV24!L37+MVTDEC24!L37</f>
        <v>228000</v>
      </c>
      <c r="M38" s="36">
        <f>MVTJANV24!M37+MVTFEV24!M37+MVTMARS24!M37+MVTAVRIL24!M37+MVTMAI24!M37+MVTJUIN24!M37+MVTJUIL24!M37+MVTAOUT24!M37+MVTSEPT24!M37+MVTOCT24!M37+MVTNOV24!M37+MVTDEC24!M37</f>
        <v>12000</v>
      </c>
      <c r="N38" s="36">
        <f>MVTJANV24!N37+MVTFEV24!N37+MVTMARS24!N37+MVTAVRIL24!N37+MVTMAI24!N37+MVTJUIN24!N37+MVTJUIL24!N37+MVTAOUT24!N37+MVTSEPT24!N37+MVTOCT24!N37+MVTNOV24!N37+MVTDEC24!N37</f>
        <v>12000</v>
      </c>
      <c r="O38" s="36">
        <f>MVTJANV24!O37+MVTFEV24!O37+MVTMARS24!O37+MVTAVRIL24!O37+MVTMAI24!O37+MVTJUIN24!O37+MVTJUIL24!O37+MVTAOUT24!O37+MVTSEPT24!O37+MVTOCT24!O37+MVTNOV24!O37+MVTDEC24!O37</f>
        <v>48000</v>
      </c>
      <c r="P38" s="36">
        <f>MVTJANV24!P37+MVTFEV24!P37+MVTMARS24!P37+MVTAVRIL24!P37+MVTMAI24!P37+MVTJUIN24!P37+MVTJUIL24!P37+MVTAOUT24!P37+MVTSEPT24!P37+MVTOCT24!P37+MVTNOV24!P37+MVTDEC24!P37</f>
        <v>27000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36"/>
      <c r="AO38" s="36"/>
      <c r="AP38" s="36"/>
    </row>
    <row r="39" spans="1:42" ht="15.75" x14ac:dyDescent="0.25">
      <c r="A39" s="1" t="s">
        <v>329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228000</v>
      </c>
      <c r="G39" s="5">
        <f>MVTDEC24!G38</f>
        <v>0</v>
      </c>
      <c r="H39" s="36">
        <f>MVTDEC23!H38+MVTJANV24!H38+MVTFEV24!H38+MVTMARS24!H38+MVTAVRIL24!H38+MVTMAI24!H38+MVTJUIN24!H38+MVTJUIL24!H38+MVTAOUT24!H38+MVTSEPT24!H38+MVTOCT24!H38+MVTNOV24!H38+MVTDEC24!H38</f>
        <v>0</v>
      </c>
      <c r="I39" s="6">
        <f t="shared" si="0"/>
        <v>228000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300000</v>
      </c>
      <c r="L39" s="36">
        <f>MVTJANV24!L38+MVTFEV24!L38+MVTMARS24!L38+MVTAVRIL24!L38+MVTMAI24!L38+MVTJUIN24!L38+MVTJUIL24!L38+MVTAOUT24!L38+MVTSEPT24!L38+MVTOCT24!L38+MVTNOV24!L38+MVTDEC24!L38</f>
        <v>228000</v>
      </c>
      <c r="M39" s="36">
        <f>MVTJANV24!M38+MVTFEV24!M38+MVTMARS24!M38+MVTAVRIL24!M38+MVTMAI24!M38+MVTJUIN24!M38+MVTJUIL24!M38+MVTAOUT24!M38+MVTSEPT24!M38+MVTOCT24!M38+MVTNOV24!M38+MVTDEC24!M38</f>
        <v>12000</v>
      </c>
      <c r="N39" s="36">
        <f>MVTJANV24!N38+MVTFEV24!N38+MVTMARS24!N38+MVTAVRIL24!N38+MVTMAI24!N38+MVTJUIN24!N38+MVTJUIL24!N38+MVTAOUT24!N38+MVTSEPT24!N38+MVTOCT24!N38+MVTNOV24!N38+MVTDEC24!N38</f>
        <v>12000</v>
      </c>
      <c r="O39" s="36">
        <f>MVTJANV24!O38+MVTFEV24!O38+MVTMARS24!O38+MVTAVRIL24!O38+MVTMAI24!O38+MVTJUIN24!O38+MVTJUIL24!O38+MVTAOUT24!O38+MVTSEPT24!O38+MVTOCT24!O38+MVTNOV24!O38+MVTDEC24!O38</f>
        <v>48000</v>
      </c>
      <c r="P39" s="36">
        <f>MVTJANV24!P38+MVTFEV24!P38+MVTMARS24!P38+MVTAVRIL24!P38+MVTMAI24!P38+MVTJUIN24!P38+MVTJUIL24!P38+MVTAOUT24!P38+MVTSEPT24!P38+MVTOCT24!P38+MVTNOV24!P38+MVTDEC24!P38</f>
        <v>6000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M39" s="144">
        <f t="shared" si="2"/>
        <v>0</v>
      </c>
    </row>
    <row r="40" spans="1:42" ht="15.75" x14ac:dyDescent="0.2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2211313.2142100567</v>
      </c>
      <c r="G40" s="5">
        <f>MVTDEC24!G39</f>
        <v>2211313.2142100567</v>
      </c>
      <c r="H40" s="36">
        <f>MVTDEC23!H39+MVTJANV24!H39+MVTFEV24!H39+MVTMARS24!H39+MVTAVRIL24!H39+MVTMAI24!H39+MVTJUIN24!H39+MVTJUIL24!H39+MVTAOUT24!H39+MVTSEPT24!H39+MVTOCT24!H39+MVTNOV24!H39+MVTDEC24!H39</f>
        <v>125478.24436445507</v>
      </c>
      <c r="I40" s="6">
        <f t="shared" si="0"/>
        <v>2336791.4585745116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300000</v>
      </c>
      <c r="L40" s="36">
        <f>MVTJANV24!L39+MVTFEV24!L39+MVTMARS24!L39+MVTAVRIL24!L39+MVTMAI24!L39+MVTJUIN24!L39+MVTJUIL24!L39+MVTAOUT24!L39+MVTSEPT24!L39+MVTOCT24!L39+MVTNOV24!L39+MVTDEC24!L39</f>
        <v>228000</v>
      </c>
      <c r="M40" s="36">
        <f>MVTJANV24!M39+MVTFEV24!M39+MVTMARS24!M39+MVTAVRIL24!M39+MVTMAI24!M39+MVTJUIN24!M39+MVTJUIL24!M39+MVTAOUT24!M39+MVTSEPT24!M39+MVTOCT24!M39+MVTNOV24!M39+MVTDEC24!M39</f>
        <v>12000</v>
      </c>
      <c r="N40" s="36">
        <f>MVTJANV24!N39+MVTFEV24!N39+MVTMARS24!N39+MVTAVRIL24!N39+MVTMAI24!N39+MVTJUIN24!N39+MVTJUIL24!N39+MVTAOUT24!N39+MVTSEPT24!N39+MVTOCT24!N39+MVTNOV24!N39+MVTDEC24!N39</f>
        <v>12000</v>
      </c>
      <c r="O40" s="36">
        <f>MVTJANV24!O39+MVTFEV24!O39+MVTMARS24!O39+MVTAVRIL24!O39+MVTMAI24!O39+MVTJUIN24!O39+MVTJUIL24!O39+MVTAOUT24!O39+MVTSEPT24!O39+MVTOCT24!O39+MVTNOV24!O39+MVTDEC24!O39</f>
        <v>48000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M40" s="144">
        <f t="shared" si="2"/>
        <v>0</v>
      </c>
    </row>
    <row r="41" spans="1:42" ht="18" x14ac:dyDescent="0.2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W41" s="36">
        <f t="shared" si="1"/>
        <v>0</v>
      </c>
      <c r="AL41" s="9"/>
      <c r="AM41" s="9"/>
      <c r="AN41" s="9"/>
      <c r="AO41" s="9"/>
      <c r="AP41" s="9"/>
    </row>
    <row r="42" spans="1:42" ht="18" x14ac:dyDescent="0.25">
      <c r="A42" s="1" t="s">
        <v>57</v>
      </c>
      <c r="B42" s="1"/>
      <c r="C42" s="9">
        <f t="shared" ref="C42:AP42" si="3">SUM(C7:C41)</f>
        <v>19518742.582153067</v>
      </c>
      <c r="D42" s="9">
        <f t="shared" si="3"/>
        <v>4710914.0731219202</v>
      </c>
      <c r="E42" s="9">
        <f t="shared" si="3"/>
        <v>0</v>
      </c>
      <c r="F42" s="9">
        <f t="shared" si="3"/>
        <v>34184656.655274987</v>
      </c>
      <c r="G42" s="9">
        <f t="shared" si="3"/>
        <v>32091439.524547949</v>
      </c>
      <c r="H42" s="36">
        <f t="shared" si="3"/>
        <v>1492499.9999999998</v>
      </c>
      <c r="I42" s="9">
        <f t="shared" si="3"/>
        <v>35677156.655274987</v>
      </c>
      <c r="J42" s="9">
        <f t="shared" si="3"/>
        <v>0</v>
      </c>
      <c r="K42" s="9">
        <f t="shared" si="3"/>
        <v>10766500</v>
      </c>
      <c r="L42" s="9">
        <f t="shared" si="3"/>
        <v>8462500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120000</v>
      </c>
      <c r="Q42" s="9">
        <f t="shared" si="3"/>
        <v>75000</v>
      </c>
      <c r="R42" s="9">
        <f t="shared" si="3"/>
        <v>120000</v>
      </c>
      <c r="S42" s="9">
        <f t="shared" si="3"/>
        <v>19263500</v>
      </c>
      <c r="T42" s="9">
        <f t="shared" si="3"/>
        <v>1492500</v>
      </c>
      <c r="U42" s="9">
        <f t="shared" si="3"/>
        <v>0</v>
      </c>
      <c r="V42" s="9">
        <f t="shared" si="3"/>
        <v>1750000</v>
      </c>
      <c r="W42" s="9">
        <f t="shared" si="3"/>
        <v>17513500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0</v>
      </c>
      <c r="AD42" s="9">
        <f t="shared" si="3"/>
        <v>0</v>
      </c>
      <c r="AE42" s="9">
        <f t="shared" si="3"/>
        <v>0</v>
      </c>
      <c r="AF42" s="9">
        <f t="shared" si="3"/>
        <v>102000</v>
      </c>
      <c r="AG42" s="9">
        <f t="shared" si="3"/>
        <v>500000</v>
      </c>
      <c r="AH42" s="9">
        <f t="shared" si="3"/>
        <v>200000</v>
      </c>
      <c r="AI42" s="9">
        <f t="shared" si="3"/>
        <v>400000</v>
      </c>
      <c r="AJ42" s="9">
        <f t="shared" si="3"/>
        <v>0</v>
      </c>
      <c r="AK42" s="9">
        <f t="shared" si="3"/>
        <v>0</v>
      </c>
      <c r="AL42" s="9"/>
      <c r="AM42" s="9">
        <f t="shared" si="3"/>
        <v>1492500</v>
      </c>
      <c r="AN42" s="9">
        <f t="shared" si="3"/>
        <v>0</v>
      </c>
      <c r="AO42" s="9">
        <f t="shared" si="3"/>
        <v>0</v>
      </c>
      <c r="AP42" s="9">
        <f t="shared" si="3"/>
        <v>0</v>
      </c>
    </row>
    <row r="45" spans="1:42" x14ac:dyDescent="0.25">
      <c r="G45" s="2"/>
    </row>
  </sheetData>
  <autoFilter ref="A6:V40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6" topLeftCell="AD7" activePane="bottomRight" state="frozen"/>
      <selection activeCell="B43" sqref="B43"/>
      <selection pane="topRight" activeCell="B43" sqref="B43"/>
      <selection pane="bottomLeft" activeCell="B43" sqref="B43"/>
      <selection pane="bottomRight" activeCell="AE1" sqref="AE1:AE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3" max="23" width="16.85546875" bestFit="1" customWidth="1"/>
    <col min="26" max="26" width="12.42578125" bestFit="1" customWidth="1"/>
    <col min="31" max="32" width="12.42578125" bestFit="1" customWidth="1"/>
    <col min="35" max="36" width="12.42578125" bestFit="1" customWidth="1"/>
    <col min="37" max="37" width="17.5703125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45"/>
    </row>
    <row r="2" spans="1:42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/>
    </row>
    <row r="4" spans="1:42" ht="26.25" x14ac:dyDescent="0.4">
      <c r="C4" s="16"/>
      <c r="D4" s="16"/>
      <c r="E4" s="16"/>
      <c r="F4" s="16"/>
      <c r="G4" s="16"/>
      <c r="H4" s="16"/>
      <c r="I4" s="156"/>
      <c r="J4" s="160" t="s">
        <v>321</v>
      </c>
      <c r="K4" s="160"/>
      <c r="L4" s="160"/>
      <c r="M4" s="160"/>
      <c r="N4" s="160"/>
      <c r="O4" s="160"/>
      <c r="P4"/>
      <c r="Q4"/>
      <c r="R4"/>
      <c r="AJ4" s="104"/>
    </row>
    <row r="5" spans="1:42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</row>
    <row r="6" spans="1:42" ht="57.75" x14ac:dyDescent="0.25">
      <c r="A6" s="1" t="s">
        <v>4</v>
      </c>
      <c r="B6" s="1" t="s">
        <v>5</v>
      </c>
      <c r="C6" s="4" t="s">
        <v>212</v>
      </c>
      <c r="D6" s="4" t="s">
        <v>325</v>
      </c>
      <c r="E6" s="4" t="s">
        <v>213</v>
      </c>
      <c r="F6" s="4" t="s">
        <v>214</v>
      </c>
      <c r="G6" s="4" t="s">
        <v>333</v>
      </c>
      <c r="H6" s="158" t="s">
        <v>331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332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322</v>
      </c>
      <c r="AM6" s="83" t="s">
        <v>335</v>
      </c>
      <c r="AN6" s="83" t="s">
        <v>323</v>
      </c>
      <c r="AO6" s="83" t="s">
        <v>210</v>
      </c>
      <c r="AP6" s="83" t="s">
        <v>326</v>
      </c>
    </row>
    <row r="7" spans="1:42" ht="15.75" x14ac:dyDescent="0.2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946220.58968855068</v>
      </c>
      <c r="G7" s="5">
        <f>MVTDEC24!G6</f>
        <v>946220.58968855068</v>
      </c>
      <c r="H7" s="36">
        <f>MVTDEC23!H6+MVTJANV24!H6+MVTFEV24!H6+MVTMARS24!H6+MVTAVRIL24!H6+MVTMAI24!H6+MVTJUIN24!H6+MVTJUIL24!H6+MVTAOUT24!H6+MVTSEPT24!H6+MVTOCT24!H6+MVTNOV24!H6+MVTDEC24!H6</f>
        <v>59697.330766308987</v>
      </c>
      <c r="I7" s="6">
        <f>F7+H7</f>
        <v>1005917.9204548596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</f>
        <v>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102000</v>
      </c>
      <c r="AG7" s="36">
        <f>MVTJANV24!AG6+MVTFEV24!AG6+MVTMARS24!AG6+MVTAVRIL24!AG6+MVTMAI24!AG6+MVTJUIN24!AG6+MVTJUIL24!AG6+MVTAOUT24!AG6+MVTSEPT24!AG6+MVTOCT24!AG6+MVTNOV24!AG6+MVTDEC24!AG6</f>
        <v>500000</v>
      </c>
      <c r="AH7" s="36">
        <f>MVTJANV24!AH6+MVTFEV24!AH6+MVTMARS24!AH6+MVTAVRIL24!AH6+MVTMAI24!AH6+MVTJUIN24!AH6+MVTJUIL24!AH6+MVTAOUT24!AH6+MVTSEPT24!AH6+MVTOCT24!AH6+MVTNOV24!AH6+MVTDEC24!AH6</f>
        <v>200000</v>
      </c>
      <c r="AI7" s="36">
        <f>MVTJANV24!AI6+MVTFEV24!AI6+MVTMARS24!AI6+MVTAVRIL24!AI6+MVTMAI24!AI6+MVTJUIN24!AI6+MVTJUIL24!AI6+MVTAOUT24!AI6+MVTSEPT24!AI6+MVTOCT24!AI6+MVTNOV24!AI6+MVTDEC24!AI6</f>
        <v>300000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P7" s="36"/>
    </row>
    <row r="8" spans="1:42" ht="15.75" x14ac:dyDescent="0.25">
      <c r="A8" s="1" t="s">
        <v>17</v>
      </c>
      <c r="B8" s="1" t="str">
        <f>VLOOKUP(A8,[19]LISTADHERENT!A$5:H$60,3,0)</f>
        <v>BAKOP ACHILLE</v>
      </c>
      <c r="C8" s="36">
        <f>+MVTDEC23!C7</f>
        <v>678482.49636100209</v>
      </c>
      <c r="D8" s="36">
        <f>+MVTDEC23!D7</f>
        <v>0</v>
      </c>
      <c r="E8" s="36">
        <f>VLOOKUP($A8,[24]HISTODEC24!$A$6:$BA$38,48,0)</f>
        <v>0</v>
      </c>
      <c r="F8" s="36">
        <f>MVTDEC24!F7</f>
        <v>928791.19348721951</v>
      </c>
      <c r="G8" s="5">
        <f>MVTDEC24!G7</f>
        <v>928791.19348721951</v>
      </c>
      <c r="H8" s="36">
        <f>MVTDEC23!H7+MVTJANV24!H7+MVTFEV24!H7+MVTMARS24!H7+MVTAVRIL24!H7+MVTMAI24!H7+MVTJUIN24!H7+MVTJUIL24!H7+MVTAOUT24!H7+MVTSEPT24!H7+MVTOCT24!H7+MVTNOV24!H7+MVTDEC24!H7</f>
        <v>3308.6971262174293</v>
      </c>
      <c r="I8" s="6">
        <f t="shared" ref="I8:I40" si="0">F8+H8</f>
        <v>932099.89061343693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319000</v>
      </c>
      <c r="L8" s="36">
        <f>MVTJANV24!L7+MVTFEV24!L7+MVTMARS24!L7+MVTAVRIL24!L7+MVTMAI24!L7+MVTJUIN24!L7+MVTJUIL24!L7+MVTAOUT24!L7+MVTSEPT24!L7+MVTOCT24!L7+MVTNOV24!L7+MVTDEC24!L7</f>
        <v>247000</v>
      </c>
      <c r="M8" s="36">
        <f>MVTJANV24!M7+MVTFEV24!M7+MVTMARS24!M7+MVTAVRIL24!M7+MVTMAI24!M7+MVTJUIN24!M7+MVTJUIL24!M7+MVTAOUT24!M7+MVTSEPT24!M7+MVTOCT24!M7+MVTNOV24!M7+MVTDEC24!M7</f>
        <v>12000</v>
      </c>
      <c r="N8" s="36">
        <f>MVTJANV24!N7+MVTFEV24!N7+MVTMARS24!N7+MVTAVRIL24!N7+MVTMAI24!N7+MVTJUIN24!N7+MVTJUIL24!N7+MVTAOUT24!N7+MVTSEPT24!N7+MVTOCT24!N7+MVTNOV24!N7+MVTDEC24!N7</f>
        <v>12000</v>
      </c>
      <c r="O8" s="36">
        <f>MVTJANV24!O7+MVTFEV24!O7+MVTMARS24!O7+MVTAVRIL24!O7+MVTMAI24!O7+MVTJUIN24!O7+MVTJUIL24!O7+MVTAOUT24!O7+MVTSEPT24!O7+MVTOCT24!O7+MVTNOV24!O7+MVTDEC24!O7</f>
        <v>48000</v>
      </c>
      <c r="P8" s="36">
        <f>MVTJANV24!P7+MVTFEV24!P7+MVTMARS24!P7+MVTAVRIL24!P7+MVTMAI24!P7+MVTJUIN24!P7+MVTJUIL24!P7+MVTAOUT24!P7+MVTSEPT24!P7+MVTOCT24!P7+MVTNOV24!P7+MVTDEC24!P7</f>
        <v>27000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54000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54000</v>
      </c>
      <c r="AP8" s="36"/>
    </row>
    <row r="9" spans="1:42" ht="15.75" x14ac:dyDescent="0.2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972533.31236524263</v>
      </c>
      <c r="G9" s="5">
        <f>MVTDEC24!G8</f>
        <v>972533.31236524263</v>
      </c>
      <c r="H9" s="36">
        <f>MVTDEC23!H8+MVTJANV24!H8+MVTFEV24!H8+MVTMARS24!H8+MVTAVRIL24!H8+MVTMAI24!H8+MVTJUIN24!H8+MVTJUIL24!H8+MVTAOUT24!H8+MVTSEPT24!H8+MVTOCT24!H8+MVTNOV24!H8+MVTDEC24!H8</f>
        <v>47500.186102037449</v>
      </c>
      <c r="I9" s="6">
        <f t="shared" si="0"/>
        <v>1020033.4984672801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297000</v>
      </c>
      <c r="L9" s="36">
        <f>MVTJANV24!L8+MVTFEV24!L8+MVTMARS24!L8+MVTAVRIL24!L8+MVTMAI24!L8+MVTJUIN24!L8+MVTJUIL24!L8+MVTAOUT24!L8+MVTSEPT24!L8+MVTOCT24!L8+MVTNOV24!L8+MVTDEC24!L8</f>
        <v>225000</v>
      </c>
      <c r="M9" s="36">
        <f>MVTJANV24!M8+MVTFEV24!M8+MVTMARS24!M8+MVTAVRIL24!M8+MVTMAI24!M8+MVTJUIN24!M8+MVTJUIL24!M8+MVTAOUT24!M8+MVTSEPT24!M8+MVTOCT24!M8+MVTNOV24!M8+MVTDEC24!M8</f>
        <v>12000</v>
      </c>
      <c r="N9" s="36">
        <f>MVTJANV24!N8+MVTFEV24!N8+MVTMARS24!N8+MVTAVRIL24!N8+MVTMAI24!N8+MVTJUIN24!N8+MVTJUIL24!N8+MVTAOUT24!N8+MVTSEPT24!N8+MVTOCT24!N8+MVTNOV24!N8+MVTDEC24!N8</f>
        <v>12000</v>
      </c>
      <c r="O9" s="36">
        <f>MVTJANV24!O8+MVTFEV24!O8+MVTMARS24!O8+MVTAVRIL24!O8+MVTMAI24!O8+MVTJUIN24!O8+MVTJUIL24!O8+MVTAOUT24!O8+MVTSEPT24!O8+MVTOCT24!O8+MVTNOV24!O8+MVTDEC24!O8</f>
        <v>48000</v>
      </c>
      <c r="P9" s="36">
        <f>MVTJANV24!P8+MVTFEV24!P8+MVTMARS24!P8+MVTAVRIL24!P8+MVTMAI24!P8+MVTJUIN24!P8+MVTJUIL24!P8+MVTAOUT24!P8+MVTSEPT24!P8+MVTOCT24!P8+MVTNOV24!P8+MVTDEC24!P8</f>
        <v>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500000</v>
      </c>
      <c r="T9" s="36">
        <f>MVTDEC23!T8+MVTJANV24!T8+MVTFEV24!T8+MVTMARS24!T8+MVTAVRIL24!T8+MVTMAI24!T8+MVTJUIN24!T8+MVTJUIL24!T8+MVTAOUT24!T8+MVTSEPT24!T8+MVTOCT24!T8+MVTNOV24!T8+MVTDEC24!T8</f>
        <v>40000</v>
      </c>
      <c r="U9" s="36"/>
      <c r="V9" s="36">
        <f>MVTJANV24!V8+MVTFEV24!V8+MVTMARS24!V8+MVTAVRIL24!V8+MVTMAI24!V8+MVTJUIN24!V8+MVTJUIL24!V8+MVTAOUT24!V8+MVTSEPT24!V8+MVTOCT24!V8+MVTNOV24!V8+MVTDEC24!V8</f>
        <v>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40000</v>
      </c>
      <c r="AN9" s="144"/>
      <c r="AP9" s="36"/>
    </row>
    <row r="10" spans="1:42" ht="15.75" x14ac:dyDescent="0.2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1029962.0068681776</v>
      </c>
      <c r="G10" s="5">
        <f>MVTDEC24!G9</f>
        <v>1029962.0068681776</v>
      </c>
      <c r="H10" s="36">
        <f>MVTDEC23!H9+MVTJANV24!H9+MVTFEV24!H9+MVTMARS24!H9+MVTAVRIL24!H9+MVTMAI24!H9+MVTJUIN24!H9+MVTJUIL24!H9+MVTAOUT24!H9+MVTSEPT24!H9+MVTOCT24!H9+MVTNOV24!H9+MVTDEC24!H9</f>
        <v>51104.180625137582</v>
      </c>
      <c r="I10" s="6">
        <f t="shared" si="0"/>
        <v>1081066.1874933152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297500</v>
      </c>
      <c r="L10" s="36">
        <f>MVTJANV24!L9+MVTFEV24!L9+MVTMARS24!L9+MVTAVRIL24!L9+MVTMAI24!L9+MVTJUIN24!L9+MVTJUIL24!L9+MVTAOUT24!L9+MVTSEPT24!L9+MVTOCT24!L9+MVTNOV24!L9+MVTDEC24!L9</f>
        <v>225500</v>
      </c>
      <c r="M10" s="36">
        <f>MVTJANV24!M9+MVTFEV24!M9+MVTMARS24!M9+MVTAVRIL24!M9+MVTMAI24!M9+MVTJUIN24!M9+MVTJUIL24!M9+MVTAOUT24!M9+MVTSEPT24!M9+MVTOCT24!M9+MVTNOV24!M9+MVTDEC24!M9</f>
        <v>12000</v>
      </c>
      <c r="N10" s="36">
        <f>MVTJANV24!N9+MVTFEV24!N9+MVTMARS24!N9+MVTAVRIL24!N9+MVTMAI24!N9+MVTJUIN24!N9+MVTJUIL24!N9+MVTAOUT24!N9+MVTSEPT24!N9+MVTOCT24!N9+MVTNOV24!N9+MVTDEC24!N9</f>
        <v>12000</v>
      </c>
      <c r="O10" s="36">
        <f>MVTJANV24!O9+MVTFEV24!O9+MVTMARS24!O9+MVTAVRIL24!O9+MVTMAI24!O9+MVTJUIN24!O9+MVTJUIL24!O9+MVTAOUT24!O9+MVTSEPT24!O9+MVTOCT24!O9+MVTNOV24!O9+MVTDEC24!O9</f>
        <v>48000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1000000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/>
      <c r="AP10" s="36"/>
    </row>
    <row r="11" spans="1:42" ht="15.75" x14ac:dyDescent="0.2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969805.20622596238</v>
      </c>
      <c r="G11" s="5">
        <f>MVTDEC24!G10</f>
        <v>969805.20622596238</v>
      </c>
      <c r="H11" s="36">
        <f>MVTDEC23!H10+MVTJANV24!H10+MVTFEV24!H10+MVTMARS24!H10+MVTAVRIL24!H10+MVTMAI24!H10+MVTJUIN24!H10+MVTJUIL24!H10+MVTAOUT24!H10+MVTSEPT24!H10+MVTOCT24!H10+MVTNOV24!H10+MVTDEC24!H10</f>
        <v>47510.526930057073</v>
      </c>
      <c r="I11" s="6">
        <f t="shared" si="0"/>
        <v>1017315.7331560195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294000</v>
      </c>
      <c r="L11" s="36">
        <f>MVTJANV24!L10+MVTFEV24!L10+MVTMARS24!L10+MVTAVRIL24!L10+MVTMAI24!L10+MVTJUIN24!L10+MVTJUIL24!L10+MVTAOUT24!L10+MVTSEPT24!L10+MVTOCT24!L10+MVTNOV24!L10+MVTDEC24!L10</f>
        <v>222000</v>
      </c>
      <c r="M11" s="36">
        <f>MVTJANV24!M10+MVTFEV24!M10+MVTMARS24!M10+MVTAVRIL24!M10+MVTMAI24!M10+MVTJUIN24!M10+MVTJUIL24!M10+MVTAOUT24!M10+MVTSEPT24!M10+MVTOCT24!M10+MVTNOV24!M10+MVTDEC24!M10</f>
        <v>12000</v>
      </c>
      <c r="N11" s="36">
        <f>MVTJANV24!N10+MVTFEV24!N10+MVTMARS24!N10+MVTAVRIL24!N10+MVTMAI24!N10+MVTJUIN24!N10+MVTJUIL24!N10+MVTAOUT24!N10+MVTSEPT24!N10+MVTOCT24!N10+MVTNOV24!N10+MVTDEC24!N10</f>
        <v>12000</v>
      </c>
      <c r="O11" s="36">
        <f>MVTJANV24!O10+MVTFEV24!O10+MVTMARS24!O10+MVTAVRIL24!O10+MVTMAI24!O10+MVTJUIN24!O10+MVTJUIL24!O10+MVTAOUT24!O10+MVTSEPT24!O10+MVTOCT24!O10+MVTNOV24!O10+MVTDEC24!O10</f>
        <v>48000</v>
      </c>
      <c r="P11" s="36">
        <f>MVTJANV24!P10+MVTFEV24!P10+MVTMARS24!P10+MVTAVRIL24!P10+MVTMAI24!P10+MVTJUIN24!P10+MVTJUIL24!P10+MVTAOUT24!P10+MVTSEPT24!P10+MVTOCT24!P10+MVTNOV24!P10+MVTDEC24!P10</f>
        <v>3000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1000000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/>
      <c r="AP11" s="36"/>
    </row>
    <row r="12" spans="1:42" ht="15.75" x14ac:dyDescent="0.2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987855.82895949238</v>
      </c>
      <c r="G12" s="5">
        <f>MVTDEC24!G11</f>
        <v>987855.82895949238</v>
      </c>
      <c r="H12" s="36">
        <f>MVTDEC23!H11+MVTJANV24!H11+MVTFEV24!H11+MVTMARS24!H11+MVTAVRIL24!H11+MVTMAI24!H11+MVTJUIN24!H11+MVTJUIL24!H11+MVTAOUT24!H11+MVTSEPT24!H11+MVTOCT24!H11+MVTNOV24!H11+MVTDEC24!H11</f>
        <v>47659.061062085508</v>
      </c>
      <c r="I12" s="6">
        <f t="shared" si="0"/>
        <v>1035514.8900215779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310000</v>
      </c>
      <c r="L12" s="36">
        <f>MVTJANV24!L11+MVTFEV24!L11+MVTMARS24!L11+MVTAVRIL24!L11+MVTMAI24!L11+MVTJUIN24!L11+MVTJUIL24!L11+MVTAOUT24!L11+MVTSEPT24!L11+MVTOCT24!L11+MVTNOV24!L11+MVTDEC24!L11</f>
        <v>238000</v>
      </c>
      <c r="M12" s="36">
        <f>MVTJANV24!M11+MVTFEV24!M11+MVTMARS24!M11+MVTAVRIL24!M11+MVTMAI24!M11+MVTJUIN24!M11+MVTJUIL24!M11+MVTAOUT24!M11+MVTSEPT24!M11+MVTOCT24!M11+MVTNOV24!M11+MVTDEC24!M11</f>
        <v>12000</v>
      </c>
      <c r="N12" s="36">
        <f>MVTJANV24!N11+MVTFEV24!N11+MVTMARS24!N11+MVTAVRIL24!N11+MVTMAI24!N11+MVTJUIN24!N11+MVTJUIL24!N11+MVTAOUT24!N11+MVTSEPT24!N11+MVTOCT24!N11+MVTNOV24!N11+MVTDEC24!N11</f>
        <v>12000</v>
      </c>
      <c r="O12" s="36">
        <f>MVTJANV24!O11+MVTFEV24!O11+MVTMARS24!O11+MVTAVRIL24!O11+MVTMAI24!O11+MVTJUIN24!O11+MVTJUIL24!O11+MVTAOUT24!O11+MVTSEPT24!O11+MVTOCT24!O11+MVTNOV24!O11+MVTDEC24!O11</f>
        <v>48000</v>
      </c>
      <c r="P12" s="36">
        <f>MVTJANV24!P11+MVTFEV24!P11+MVTMARS24!P11+MVTAVRIL24!P11+MVTMAI24!P11+MVTJUIN24!P11+MVTJUIL24!P11+MVTAOUT24!P11+MVTSEPT24!P11+MVTOCT24!P11+MVTNOV24!P11+MVTDEC24!P11</f>
        <v>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40000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</f>
        <v>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45352</v>
      </c>
      <c r="AM12" s="144">
        <f t="shared" si="2"/>
        <v>40000</v>
      </c>
      <c r="AN12" s="144"/>
      <c r="AP12" s="36"/>
    </row>
    <row r="13" spans="1:42" ht="15.75" x14ac:dyDescent="0.2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1011100.1474133957</v>
      </c>
      <c r="G13" s="5">
        <f>MVTDEC24!G12</f>
        <v>1011100.1474133957</v>
      </c>
      <c r="H13" s="36">
        <f>MVTDEC23!H12+MVTJANV24!H12+MVTFEV24!H12+MVTMARS24!H12+MVTAVRIL24!H12+MVTMAI24!H12+MVTJUIN24!H12+MVTJUIL24!H12+MVTAOUT24!H12+MVTSEPT24!H12+MVTOCT24!H12+MVTNOV24!H12+MVTDEC24!H12</f>
        <v>48586.869961775206</v>
      </c>
      <c r="I13" s="6">
        <f t="shared" si="0"/>
        <v>1059687.017375171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320000</v>
      </c>
      <c r="L13" s="36">
        <f>MVTJANV24!L12+MVTFEV24!L12+MVTMARS24!L12+MVTAVRIL24!L12+MVTMAI24!L12+MVTJUIN24!L12+MVTJUIL24!L12+MVTAOUT24!L12+MVTSEPT24!L12+MVTOCT24!L12+MVTNOV24!L12+MVTDEC24!L12</f>
        <v>248000</v>
      </c>
      <c r="M13" s="36">
        <f>MVTJANV24!M12+MVTFEV24!M12+MVTMARS24!M12+MVTAVRIL24!M12+MVTMAI24!M12+MVTJUIN24!M12+MVTJUIL24!M12+MVTAOUT24!M12+MVTSEPT24!M12+MVTOCT24!M12+MVTNOV24!M12+MVTDEC24!M12</f>
        <v>12000</v>
      </c>
      <c r="N13" s="36">
        <f>MVTJANV24!N12+MVTFEV24!N12+MVTMARS24!N12+MVTAVRIL24!N12+MVTMAI24!N12+MVTJUIN24!N12+MVTJUIL24!N12+MVTAOUT24!N12+MVTSEPT24!N12+MVTOCT24!N12+MVTNOV24!N12+MVTDEC24!N12</f>
        <v>12000</v>
      </c>
      <c r="O13" s="36">
        <f>MVTJANV24!O12+MVTFEV24!O12+MVTMARS24!O12+MVTAVRIL24!O12+MVTMAI24!O12+MVTJUIN24!O12+MVTJUIL24!O12+MVTAOUT24!O12+MVTSEPT24!O12+MVTOCT24!O12+MVTNOV24!O12+MVTDEC24!O12</f>
        <v>48000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1000000</v>
      </c>
      <c r="T13" s="36">
        <f>MVTDEC23!T12+MVTJANV24!T12+MVTFEV24!T12+MVTMARS24!T12+MVTAVRIL24!T12+MVTMAI24!T12+MVTJUIN24!T12+MVTJUIL24!T12+MVTAOUT24!T12+MVTSEPT24!T12+MVTOCT24!T12+MVTNOV24!T12+MVTDEC24!T12</f>
        <v>60000</v>
      </c>
      <c r="U13" s="36"/>
      <c r="V13" s="36">
        <f>MVTJANV24!V12+MVTFEV24!V12+MVTMARS24!V12+MVTAVRIL24!V12+MVTMAI24!V12+MVTJUIN24!V12+MVTJUIL24!V12+MVTAOUT24!V12+MVTSEPT24!V12+MVTOCT24!V12+MVTNOV24!V12+MVTDEC24!V12</f>
        <v>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45474</v>
      </c>
      <c r="AM13" s="144">
        <f t="shared" si="2"/>
        <v>60000</v>
      </c>
      <c r="AN13" s="144"/>
      <c r="AP13" s="36"/>
    </row>
    <row r="14" spans="1:42" ht="15.75" x14ac:dyDescent="0.2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975555.14612214814</v>
      </c>
      <c r="G14" s="5">
        <f>MVTDEC24!G13</f>
        <v>975555.14612214814</v>
      </c>
      <c r="H14" s="36">
        <f>MVTDEC23!H13+MVTJANV24!H13+MVTFEV24!H13+MVTMARS24!H13+MVTAVRIL24!H13+MVTMAI24!H13+MVTJUIN24!H13+MVTJUIL24!H13+MVTAOUT24!H13+MVTSEPT24!H13+MVTOCT24!H13+MVTNOV24!H13+MVTDEC24!H13</f>
        <v>47513.910316238274</v>
      </c>
      <c r="I14" s="6">
        <f t="shared" si="0"/>
        <v>1023069.0564383864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300000</v>
      </c>
      <c r="L14" s="36">
        <f>MVTJANV24!L13+MVTFEV24!L13+MVTMARS24!L13+MVTAVRIL24!L13+MVTMAI24!L13+MVTJUIN24!L13+MVTJUIL24!L13+MVTAOUT24!L13+MVTSEPT24!L13+MVTOCT24!L13+MVTNOV24!L13+MVTDEC24!L13</f>
        <v>228000</v>
      </c>
      <c r="M14" s="36">
        <f>MVTJANV24!M13+MVTFEV24!M13+MVTMARS24!M13+MVTAVRIL24!M13+MVTMAI24!M13+MVTJUIN24!M13+MVTJUIL24!M13+MVTAOUT24!M13+MVTSEPT24!M13+MVTOCT24!M13+MVTNOV24!M13+MVTDEC24!M13</f>
        <v>12000</v>
      </c>
      <c r="N14" s="36">
        <f>MVTJANV24!N13+MVTFEV24!N13+MVTMARS24!N13+MVTAVRIL24!N13+MVTMAI24!N13+MVTJUIN24!N13+MVTJUIL24!N13+MVTAOUT24!N13+MVTSEPT24!N13+MVTOCT24!N13+MVTNOV24!N13+MVTDEC24!N13</f>
        <v>12000</v>
      </c>
      <c r="O14" s="36">
        <f>MVTJANV24!O13+MVTFEV24!O13+MVTMARS24!O13+MVTAVRIL24!O13+MVTMAI24!O13+MVTJUIN24!O13+MVTJUIL24!O13+MVTAOUT24!O13+MVTSEPT24!O13+MVTOCT24!O13+MVTNOV24!O13+MVTDEC24!O13</f>
        <v>48000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0</v>
      </c>
      <c r="W14" s="36">
        <f t="shared" si="1"/>
        <v>1000000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/>
      <c r="AP14" s="36"/>
    </row>
    <row r="15" spans="1:42" ht="15.75" x14ac:dyDescent="0.2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1528425.9823482623</v>
      </c>
      <c r="G15" s="5">
        <f>MVTDEC24!G14</f>
        <v>1528425.9823482623</v>
      </c>
      <c r="H15" s="36">
        <f>MVTDEC23!H14+MVTJANV24!H14+MVTFEV24!H14+MVTMARS24!H14+MVTAVRIL24!H14+MVTMAI24!H14+MVTJUIN24!H14+MVTJUIL24!H14+MVTAOUT24!H14+MVTSEPT24!H14+MVTOCT24!H14+MVTNOV24!H14+MVTDEC24!H14</f>
        <v>82394.691331688126</v>
      </c>
      <c r="I15" s="6">
        <f t="shared" si="0"/>
        <v>1610820.6736799504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300000</v>
      </c>
      <c r="L15" s="36">
        <f>MVTJANV24!L14+MVTFEV24!L14+MVTMARS24!L14+MVTAVRIL24!L14+MVTMAI24!L14+MVTJUIN24!L14+MVTJUIL24!L14+MVTAOUT24!L14+MVTSEPT24!L14+MVTOCT24!L14+MVTNOV24!L14+MVTDEC24!L14</f>
        <v>228000</v>
      </c>
      <c r="M15" s="36">
        <f>MVTJANV24!M14+MVTFEV24!M14+MVTMARS24!M14+MVTAVRIL24!M14+MVTMAI24!M14+MVTJUIN24!M14+MVTJUIL24!M14+MVTAOUT24!M14+MVTSEPT24!M14+MVTOCT24!M14+MVTNOV24!M14+MVTDEC24!M14</f>
        <v>12000</v>
      </c>
      <c r="N15" s="36">
        <f>MVTJANV24!N14+MVTFEV24!N14+MVTMARS24!N14+MVTAVRIL24!N14+MVTMAI24!N14+MVTJUIN24!N14+MVTJUIL24!N14+MVTAOUT24!N14+MVTSEPT24!N14+MVTOCT24!N14+MVTNOV24!N14+MVTDEC24!N14</f>
        <v>12000</v>
      </c>
      <c r="O15" s="36">
        <f>MVTJANV24!O14+MVTFEV24!O14+MVTMARS24!O14+MVTAVRIL24!O14+MVTMAI24!O14+MVTJUIN24!O14+MVTJUIL24!O14+MVTAOUT24!O14+MVTSEPT24!O14+MVTOCT24!O14+MVTNOV24!O14+MVTDEC24!O14</f>
        <v>48000</v>
      </c>
      <c r="P15" s="36">
        <f>MVTJANV24!P14+MVTFEV24!P14+MVTMARS24!P14+MVTAVRIL24!P14+MVTMAI24!P14+MVTJUIN24!P14+MVTJUIL24!P14+MVTAOUT24!P14+MVTSEPT24!P14+MVTOCT24!P14+MVTNOV24!P14+MVTDEC24!P14</f>
        <v>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/>
      <c r="AP15" s="36"/>
    </row>
    <row r="16" spans="1:42" ht="14.25" customHeight="1" x14ac:dyDescent="0.2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1037309.6215381094</v>
      </c>
      <c r="G16" s="5">
        <f>MVTDEC24!G15</f>
        <v>1037309.6215381094</v>
      </c>
      <c r="H16" s="36">
        <f>MVTDEC23!H15+MVTJANV24!H15+MVTFEV24!H15+MVTMARS24!H15+MVTAVRIL24!H15+MVTMAI24!H15+MVTJUIN24!H15+MVTJUIL24!H15+MVTAOUT24!H15+MVTSEPT24!H15+MVTOCT24!H15+MVTNOV24!H15+MVTDEC24!H15</f>
        <v>51410.018037187321</v>
      </c>
      <c r="I16" s="6">
        <f t="shared" si="0"/>
        <v>1088719.6395752968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300000</v>
      </c>
      <c r="L16" s="36">
        <f>MVTJANV24!L15+MVTFEV24!L15+MVTMARS24!L15+MVTAVRIL24!L15+MVTMAI24!L15+MVTJUIN24!L15+MVTJUIL24!L15+MVTAOUT24!L15+MVTSEPT24!L15+MVTOCT24!L15+MVTNOV24!L15+MVTDEC24!L15</f>
        <v>228000</v>
      </c>
      <c r="M16" s="36">
        <f>MVTJANV24!M15+MVTFEV24!M15+MVTMARS24!M15+MVTAVRIL24!M15+MVTMAI24!M15+MVTJUIN24!M15+MVTJUIL24!M15+MVTAOUT24!M15+MVTSEPT24!M15+MVTOCT24!M15+MVTNOV24!M15+MVTDEC24!M15</f>
        <v>12000</v>
      </c>
      <c r="N16" s="36">
        <f>MVTJANV24!N15+MVTFEV24!N15+MVTMARS24!N15+MVTAVRIL24!N15+MVTMAI24!N15+MVTJUIN24!N15+MVTJUIL24!N15+MVTAOUT24!N15+MVTSEPT24!N15+MVTOCT24!N15+MVTNOV24!N15+MVTDEC24!N15</f>
        <v>12000</v>
      </c>
      <c r="O16" s="36">
        <f>MVTJANV24!O15+MVTFEV24!O15+MVTMARS24!O15+MVTAVRIL24!O15+MVTMAI24!O15+MVTJUIN24!O15+MVTJUIL24!O15+MVTAOUT24!O15+MVTSEPT24!O15+MVTOCT24!O15+MVTNOV24!O15+MVTDEC24!O15</f>
        <v>48000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0</v>
      </c>
      <c r="T16" s="36">
        <f>MVTDEC23!T15+MVTJANV24!T15+MVTFEV24!T15+MVTMARS24!T15+MVTAVRIL24!T15+MVTMAI24!T15+MVTJUIN24!T15+MVTJUIL24!T15+MVTAOUT24!T15+MVTSEPT24!T15+MVTOCT24!T15+MVTNOV24!T15+MVTDEC24!T15</f>
        <v>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/>
      <c r="AM16" s="144">
        <f t="shared" si="2"/>
        <v>0</v>
      </c>
      <c r="AN16" s="144"/>
      <c r="AP16" s="36"/>
    </row>
    <row r="17" spans="1:42" ht="15.75" x14ac:dyDescent="0.2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1147858.7065070483</v>
      </c>
      <c r="G17" s="5">
        <f>MVTDEC24!G16</f>
        <v>1147858.7065070483</v>
      </c>
      <c r="H17" s="36">
        <f>MVTDEC23!H16+MVTJANV24!H16+MVTFEV24!H16+MVTMARS24!H16+MVTAVRIL24!H16+MVTMAI24!H16+MVTJUIN24!H16+MVTJUIL24!H16+MVTAOUT24!H16+MVTSEPT24!H16+MVTOCT24!H16+MVTNOV24!H16+MVTDEC24!H16</f>
        <v>50197.498402946847</v>
      </c>
      <c r="I17" s="6">
        <f t="shared" si="0"/>
        <v>1198056.2049099952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440000</v>
      </c>
      <c r="L17" s="36">
        <f>MVTJANV24!L16+MVTFEV24!L16+MVTMARS24!L16+MVTAVRIL24!L16+MVTMAI24!L16+MVTJUIN24!L16+MVTJUIL24!L16+MVTAOUT24!L16+MVTSEPT24!L16+MVTOCT24!L16+MVTNOV24!L16+MVTDEC24!L16</f>
        <v>368000</v>
      </c>
      <c r="M17" s="36">
        <f>MVTJANV24!M16+MVTFEV24!M16+MVTMARS24!M16+MVTAVRIL24!M16+MVTMAI24!M16+MVTJUIN24!M16+MVTJUIL24!M16+MVTAOUT24!M16+MVTSEPT24!M16+MVTOCT24!M16+MVTNOV24!M16+MVTDEC24!M16</f>
        <v>12000</v>
      </c>
      <c r="N17" s="36">
        <f>MVTJANV24!N16+MVTFEV24!N16+MVTMARS24!N16+MVTAVRIL24!N16+MVTMAI24!N16+MVTJUIN24!N16+MVTJUIL24!N16+MVTAOUT24!N16+MVTSEPT24!N16+MVTOCT24!N16+MVTNOV24!N16+MVTDEC24!N16</f>
        <v>12000</v>
      </c>
      <c r="O17" s="36">
        <f>MVTJANV24!O16+MVTFEV24!O16+MVTMARS24!O16+MVTAVRIL24!O16+MVTMAI24!O16+MVTJUIN24!O16+MVTJUIL24!O16+MVTAOUT24!O16+MVTSEPT24!O16+MVTOCT24!O16+MVTNOV24!O16+MVTDEC24!O16</f>
        <v>48000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363500</v>
      </c>
      <c r="T17" s="36">
        <f>MVTDEC23!T16+MVTJANV24!T16+MVTFEV24!T16+MVTMARS24!T16+MVTAVRIL24!T16+MVTMAI24!T16+MVTJUIN24!T16+MVTJUIL24!T16+MVTAOUT24!T16+MVTSEPT24!T16+MVTOCT24!T16+MVTNOV24!T16+MVTDEC24!T16</f>
        <v>0</v>
      </c>
      <c r="U17" s="36"/>
      <c r="V17" s="36">
        <f>MVTJANV24!V16+MVTFEV24!V16+MVTMARS24!V16+MVTAVRIL24!V16+MVTMAI24!V16+MVTJUIN24!V16+MVTJUIL24!V16+MVTAOUT24!V16+MVTSEPT24!V16+MVTOCT24!V16+MVTNOV24!V16+MVTDEC24!V16</f>
        <v>0</v>
      </c>
      <c r="W17" s="36">
        <f t="shared" si="1"/>
        <v>363500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/>
      <c r="AM17" s="144">
        <f t="shared" si="2"/>
        <v>0</v>
      </c>
      <c r="AN17" s="144"/>
      <c r="AP17" s="36"/>
    </row>
    <row r="18" spans="1:42" ht="15.75" x14ac:dyDescent="0.2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985402.7005255461</v>
      </c>
      <c r="G18" s="5">
        <f>MVTDEC24!G17</f>
        <v>985402.7005255461</v>
      </c>
      <c r="H18" s="36">
        <f>MVTDEC23!H17+MVTJANV24!H17+MVTFEV24!H17+MVTMARS24!H17+MVTAVRIL24!H17+MVTMAI24!H17+MVTJUIN24!H17+MVTJUIL24!H17+MVTAOUT24!H17+MVTSEPT24!H17+MVTOCT24!H17+MVTNOV24!H17+MVTDEC24!H17</f>
        <v>48135.1953726672</v>
      </c>
      <c r="I18" s="6">
        <f t="shared" si="0"/>
        <v>1033537.8958982133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300000</v>
      </c>
      <c r="L18" s="36">
        <f>MVTJANV24!L17+MVTFEV24!L17+MVTMARS24!L17+MVTAVRIL24!L17+MVTMAI24!L17+MVTJUIN24!L17+MVTJUIL24!L17+MVTAOUT24!L17+MVTSEPT24!L17+MVTOCT24!L17+MVTNOV24!L17+MVTDEC24!L17</f>
        <v>228000</v>
      </c>
      <c r="M18" s="36">
        <f>MVTJANV24!M17+MVTFEV24!M17+MVTMARS24!M17+MVTAVRIL24!M17+MVTMAI24!M17+MVTJUIN24!M17+MVTJUIL24!M17+MVTAOUT24!M17+MVTSEPT24!M17+MVTOCT24!M17+MVTNOV24!M17+MVTDEC24!M17</f>
        <v>12000</v>
      </c>
      <c r="N18" s="36">
        <f>MVTJANV24!N17+MVTFEV24!N17+MVTMARS24!N17+MVTAVRIL24!N17+MVTMAI24!N17+MVTJUIN24!N17+MVTJUIL24!N17+MVTAOUT24!N17+MVTSEPT24!N17+MVTOCT24!N17+MVTNOV24!N17+MVTDEC24!N17</f>
        <v>12000</v>
      </c>
      <c r="O18" s="36">
        <f>MVTJANV24!O17+MVTFEV24!O17+MVTMARS24!O17+MVTAVRIL24!O17+MVTMAI24!O17+MVTJUIN24!O17+MVTJUIL24!O17+MVTAOUT24!O17+MVTSEPT24!O17+MVTOCT24!O17+MVTNOV24!O17+MVTDEC24!O17</f>
        <v>48000</v>
      </c>
      <c r="P18" s="36">
        <f>MVTJANV24!P17+MVTFEV24!P17+MVTMARS24!P17+MVTAVRIL24!P17+MVTMAI24!P17+MVTJUIN24!P17+MVTJUIL24!P17+MVTAOUT24!P17+MVTSEPT24!P17+MVTOCT24!P17+MVTNOV24!P17+MVTDEC24!P17</f>
        <v>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500000</v>
      </c>
      <c r="W18" s="36">
        <f t="shared" si="1"/>
        <v>500000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/>
      <c r="AP18" s="36"/>
    </row>
    <row r="19" spans="1:42" ht="15.75" x14ac:dyDescent="0.2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1031662.7641973695</v>
      </c>
      <c r="G19" s="5">
        <f>MVTDEC24!G18</f>
        <v>1031662.7641973695</v>
      </c>
      <c r="H19" s="36">
        <f>MVTDEC23!H18+MVTJANV24!H18+MVTFEV24!H18+MVTMARS24!H18+MVTAVRIL24!H18+MVTMAI24!H18+MVTJUIN24!H18+MVTJUIL24!H18+MVTAOUT24!H18+MVTSEPT24!H18+MVTOCT24!H18+MVTNOV24!H18+MVTDEC24!H18</f>
        <v>49234.136132124244</v>
      </c>
      <c r="I19" s="6">
        <f t="shared" si="0"/>
        <v>1080896.9003294937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330000</v>
      </c>
      <c r="L19" s="36">
        <f>MVTJANV24!L18+MVTFEV24!L18+MVTMARS24!L18+MVTAVRIL24!L18+MVTMAI24!L18+MVTJUIN24!L18+MVTJUIL24!L18+MVTAOUT24!L18+MVTSEPT24!L18+MVTOCT24!L18+MVTNOV24!L18+MVTDEC24!L18</f>
        <v>258000</v>
      </c>
      <c r="M19" s="36">
        <f>MVTJANV24!M18+MVTFEV24!M18+MVTMARS24!M18+MVTAVRIL24!M18+MVTMAI24!M18+MVTJUIN24!M18+MVTJUIL24!M18+MVTAOUT24!M18+MVTSEPT24!M18+MVTOCT24!M18+MVTNOV24!M18+MVTDEC24!M18</f>
        <v>12000</v>
      </c>
      <c r="N19" s="36">
        <f>MVTJANV24!N18+MVTFEV24!N18+MVTMARS24!N18+MVTAVRIL24!N18+MVTMAI24!N18+MVTJUIN24!N18+MVTJUIL24!N18+MVTAOUT24!N18+MVTSEPT24!N18+MVTOCT24!N18+MVTNOV24!N18+MVTDEC24!N18</f>
        <v>12000</v>
      </c>
      <c r="O19" s="36">
        <f>MVTJANV24!O18+MVTFEV24!O18+MVTMARS24!O18+MVTAVRIL24!O18+MVTMAI24!O18+MVTJUIN24!O18+MVTJUIL24!O18+MVTAOUT24!O18+MVTSEPT24!O18+MVTOCT24!O18+MVTNOV24!O18+MVTDEC24!O18</f>
        <v>48000</v>
      </c>
      <c r="P19" s="36">
        <f>MVTJANV24!P18+MVTFEV24!P18+MVTMARS24!P18+MVTAVRIL24!P18+MVTMAI24!P18+MVTJUIN24!P18+MVTJUIL24!P18+MVTAOUT24!P18+MVTSEPT24!P18+MVTOCT24!P18+MVTNOV24!P18+MVTDEC24!P18</f>
        <v>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1000000</v>
      </c>
      <c r="T19" s="36">
        <f>MVTDEC23!T18+MVTJANV24!T18+MVTFEV24!T18+MVTMARS24!T18+MVTAVRIL24!T18+MVTMAI24!T18+MVTJUIN24!T18+MVTJUIL24!T18+MVTAOUT24!T18+MVTSEPT24!T18+MVTOCT24!T18+MVTNOV24!T18+MVTDEC24!T18</f>
        <v>50000</v>
      </c>
      <c r="U19" s="36"/>
      <c r="V19" s="36">
        <f>MVTJANV24!V18+MVTFEV24!V18+MVTMARS24!V18+MVTAVRIL24!V18+MVTMAI24!V18+MVTJUIN24!V18+MVTJUIL24!V18+MVTAOUT24!V18+MVTSEPT24!V18+MVTOCT24!V18+MVTNOV24!V18+MVTDEC24!V18</f>
        <v>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45352</v>
      </c>
      <c r="AM19" s="144">
        <f t="shared" si="2"/>
        <v>50000</v>
      </c>
      <c r="AN19" s="144"/>
      <c r="AP19" s="36"/>
    </row>
    <row r="20" spans="1:42" ht="15.75" x14ac:dyDescent="0.25">
      <c r="A20" s="1" t="s">
        <v>36</v>
      </c>
      <c r="B20" s="1" t="str">
        <f>VLOOKUP(A20,[19]LISTADHERENT!A$5:H$60,3,0)</f>
        <v>LOWE JEAN</v>
      </c>
      <c r="C20" s="36">
        <f>+MVTDEC23!C19</f>
        <v>676217.13072703336</v>
      </c>
      <c r="D20" s="36">
        <f>+MVTDEC23!D19</f>
        <v>0</v>
      </c>
      <c r="E20" s="36"/>
      <c r="F20" s="36">
        <f>MVTDEC24!F19</f>
        <v>676217.13072703336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676217.13072703336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/>
      <c r="AP20" s="36"/>
    </row>
    <row r="21" spans="1:42" ht="15.75" x14ac:dyDescent="0.25">
      <c r="A21" s="1" t="s">
        <v>330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228000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228000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300000</v>
      </c>
      <c r="L21" s="36">
        <f>MVTJANV24!L20+MVTFEV24!L20+MVTMARS24!L20+MVTAVRIL24!L20+MVTMAI24!L20+MVTJUIN24!L20+MVTJUIL24!L20+MVTAOUT24!L20+MVTSEPT24!L20+MVTOCT24!L20+MVTNOV24!L20+MVTDEC24!L20</f>
        <v>228000</v>
      </c>
      <c r="M21" s="36">
        <f>MVTJANV24!M20+MVTFEV24!M20+MVTMARS24!M20+MVTAVRIL24!M20+MVTMAI24!M20+MVTJUIN24!M20+MVTJUIL24!M20+MVTAOUT24!M20+MVTSEPT24!M20+MVTOCT24!M20+MVTNOV24!M20+MVTDEC24!M20</f>
        <v>12000</v>
      </c>
      <c r="N21" s="36">
        <f>MVTJANV24!N20+MVTFEV24!N20+MVTMARS24!N20+MVTAVRIL24!N20+MVTMAI24!N20+MVTJUIN24!N20+MVTJUIL24!N20+MVTAOUT24!N20+MVTSEPT24!N20+MVTOCT24!N20+MVTNOV24!N20+MVTDEC24!N20</f>
        <v>12000</v>
      </c>
      <c r="O21" s="36">
        <f>MVTJANV24!O20+MVTFEV24!O20+MVTMARS24!O20+MVTAVRIL24!O20+MVTMAI24!O20+MVTJUIN24!O20+MVTJUIL24!O20+MVTAOUT24!O20+MVTSEPT24!O20+MVTOCT24!O20+MVTNOV24!O20+MVTDEC24!O20</f>
        <v>48000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/>
      <c r="AP21" s="36"/>
    </row>
    <row r="22" spans="1:42" ht="15.75" x14ac:dyDescent="0.2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1008355.800629583</v>
      </c>
      <c r="G22" s="5">
        <f>MVTDEC24!G21</f>
        <v>1008355.800629583</v>
      </c>
      <c r="H22" s="36">
        <f>MVTDEC23!H21+MVTJANV24!H21+MVTFEV24!H21+MVTMARS24!H21+MVTAVRIL24!H21+MVTMAI24!H21+MVTJUIN24!H21+MVTJUIL24!H21+MVTAOUT24!H21+MVTSEPT24!H21+MVTOCT24!H21+MVTNOV24!H21+MVTDEC24!H21</f>
        <v>49646.403388400482</v>
      </c>
      <c r="I22" s="6">
        <f t="shared" si="0"/>
        <v>1058002.2040179835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299000</v>
      </c>
      <c r="L22" s="36">
        <f>MVTJANV24!L21+MVTFEV24!L21+MVTMARS24!L21+MVTAVRIL24!L21+MVTMAI24!L21+MVTJUIN24!L21+MVTJUIL24!L21+MVTAOUT24!L21+MVTSEPT24!L21+MVTOCT24!L21+MVTNOV24!L21+MVTDEC24!L21</f>
        <v>227000</v>
      </c>
      <c r="M22" s="36">
        <f>MVTJANV24!M21+MVTFEV24!M21+MVTMARS24!M21+MVTAVRIL24!M21+MVTMAI24!M21+MVTJUIN24!M21+MVTJUIL24!M21+MVTAOUT24!M21+MVTSEPT24!M21+MVTOCT24!M21+MVTNOV24!M21+MVTDEC24!M21</f>
        <v>12000</v>
      </c>
      <c r="N22" s="36">
        <f>MVTJANV24!N21+MVTFEV24!N21+MVTMARS24!N21+MVTAVRIL24!N21+MVTMAI24!N21+MVTJUIN24!N21+MVTJUIL24!N21+MVTAOUT24!N21+MVTSEPT24!N21+MVTOCT24!N21+MVTNOV24!N21+MVTDEC24!N21</f>
        <v>12000</v>
      </c>
      <c r="O22" s="36">
        <f>MVTJANV24!O21+MVTFEV24!O21+MVTMARS24!O21+MVTAVRIL24!O21+MVTMAI24!O21+MVTJUIN24!O21+MVTJUIL24!O21+MVTAOUT24!O21+MVTSEPT24!O21+MVTOCT24!O21+MVTNOV24!O21+MVTDEC24!O21</f>
        <v>48000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1000000</v>
      </c>
      <c r="T22" s="36">
        <f>MVTDEC23!T21+MVTJANV24!T21+MVTFEV24!T21+MVTMARS24!T21+MVTAVRIL24!T21+MVTMAI24!T21+MVTJUIN24!T21+MVTJUIL24!T21+MVTAOUT24!T21+MVTSEPT24!T21+MVTOCT24!T21+MVTNOV24!T21+MVTDEC24!T21</f>
        <v>60000</v>
      </c>
      <c r="U22" s="36"/>
      <c r="V22" s="36">
        <f>MVTJANV24!V21+MVTFEV24!V21+MVTMARS24!V21+MVTAVRIL24!V21+MVTMAI24!V21+MVTJUIN24!V21+MVTJUIL24!V21+MVTAOUT24!V21+MVTSEPT24!V21+MVTOCT24!V21+MVTNOV24!V21+MVTDEC24!V21</f>
        <v>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45352</v>
      </c>
      <c r="AM22" s="144">
        <f t="shared" si="2"/>
        <v>60000</v>
      </c>
      <c r="AN22" s="144"/>
      <c r="AP22" s="36"/>
    </row>
    <row r="23" spans="1:42" ht="15.75" x14ac:dyDescent="0.2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976738.95952735876</v>
      </c>
      <c r="G23" s="5">
        <f>MVTDEC24!G22</f>
        <v>976738.95952735876</v>
      </c>
      <c r="H23" s="36">
        <f>MVTDEC23!H22+MVTJANV24!H22+MVTFEV24!H22+MVTMARS24!H22+MVTAVRIL24!H22+MVTMAI24!H22+MVTJUIN24!H22+MVTJUIL24!H22+MVTAOUT24!H22+MVTSEPT24!H22+MVTOCT24!H22+MVTNOV24!H22+MVTDEC24!H22</f>
        <v>47588.597446476793</v>
      </c>
      <c r="I23" s="6">
        <f t="shared" si="0"/>
        <v>1024327.5569738356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300000</v>
      </c>
      <c r="L23" s="36">
        <f>MVTJANV24!L22+MVTFEV24!L22+MVTMARS24!L22+MVTAVRIL24!L22+MVTMAI24!L22+MVTJUIN24!L22+MVTJUIL24!L22+MVTAOUT24!L22+MVTSEPT24!L22+MVTOCT24!L22+MVTNOV24!L22+MVTDEC24!L22</f>
        <v>228000</v>
      </c>
      <c r="M23" s="36">
        <f>MVTJANV24!M22+MVTFEV24!M22+MVTMARS24!M22+MVTAVRIL24!M22+MVTMAI24!M22+MVTJUIN24!M22+MVTJUIL24!M22+MVTAOUT24!M22+MVTSEPT24!M22+MVTOCT24!M22+MVTNOV24!M22+MVTDEC24!M22</f>
        <v>12000</v>
      </c>
      <c r="N23" s="36">
        <f>MVTJANV24!N22+MVTFEV24!N22+MVTMARS24!N22+MVTAVRIL24!N22+MVTMAI24!N22+MVTJUIN24!N22+MVTJUIL24!N22+MVTAOUT24!N22+MVTSEPT24!N22+MVTOCT24!N22+MVTNOV24!N22+MVTDEC24!N22</f>
        <v>12000</v>
      </c>
      <c r="O23" s="36">
        <f>MVTJANV24!O22+MVTFEV24!O22+MVTMARS24!O22+MVTAVRIL24!O22+MVTMAI24!O22+MVTJUIN24!O22+MVTJUIL24!O22+MVTAOUT24!O22+MVTSEPT24!O22+MVTOCT24!O22+MVTNOV24!O22+MVTDEC24!O22</f>
        <v>48000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18000</v>
      </c>
      <c r="U23" s="36"/>
      <c r="V23" s="36">
        <f>MVTJANV24!V22+MVTFEV24!V22+MVTMARS24!V22+MVTAVRIL24!V22+MVTMAI24!V22+MVTJUIN24!V22+MVTJUIL24!V22+MVTAOUT24!V22+MVTSEPT24!V22+MVTOCT24!V22+MVTNOV24!V22+MVTDEC24!V22</f>
        <v>0</v>
      </c>
      <c r="W23" s="36">
        <f t="shared" si="1"/>
        <v>300000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</f>
        <v>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18000</v>
      </c>
      <c r="AN23" s="144"/>
      <c r="AP23" s="36"/>
    </row>
    <row r="24" spans="1:42" ht="15.75" x14ac:dyDescent="0.2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1082674.3246731949</v>
      </c>
      <c r="G24" s="5">
        <f>MVTDEC24!G23</f>
        <v>1082674.3246731949</v>
      </c>
      <c r="H24" s="36">
        <f>MVTDEC23!H23+MVTJANV24!H23+MVTFEV24!H23+MVTMARS24!H23+MVTAVRIL24!H23+MVTMAI24!H23+MVTJUIN24!H23+MVTJUIL24!H23+MVTAOUT24!H23+MVTSEPT24!H23+MVTOCT24!H23+MVTNOV24!H23+MVTDEC24!H23</f>
        <v>54272.090283006881</v>
      </c>
      <c r="I24" s="6">
        <f t="shared" si="0"/>
        <v>1136946.4149562018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300000</v>
      </c>
      <c r="L24" s="36">
        <f>MVTJANV24!L23+MVTFEV24!L23+MVTMARS24!L23+MVTAVRIL24!L23+MVTMAI24!L23+MVTJUIN24!L23+MVTJUIL24!L23+MVTAOUT24!L23+MVTSEPT24!L23+MVTOCT24!L23+MVTNOV24!L23+MVTDEC24!L23</f>
        <v>228000</v>
      </c>
      <c r="M24" s="36">
        <f>MVTJANV24!M23+MVTFEV24!M23+MVTMARS24!M23+MVTAVRIL24!M23+MVTMAI24!M23+MVTJUIN24!M23+MVTJUIL24!M23+MVTAOUT24!M23+MVTSEPT24!M23+MVTOCT24!M23+MVTNOV24!M23+MVTDEC24!M23</f>
        <v>12000</v>
      </c>
      <c r="N24" s="36">
        <f>MVTJANV24!N23+MVTFEV24!N23+MVTMARS24!N23+MVTAVRIL24!N23+MVTMAI24!N23+MVTJUIN24!N23+MVTJUIL24!N23+MVTAOUT24!N23+MVTSEPT24!N23+MVTOCT24!N23+MVTNOV24!N23+MVTDEC24!N23</f>
        <v>12000</v>
      </c>
      <c r="O24" s="36">
        <f>MVTJANV24!O23+MVTFEV24!O23+MVTMARS24!O23+MVTAVRIL24!O23+MVTMAI24!O23+MVTJUIN24!O23+MVTJUIL24!O23+MVTAOUT24!O23+MVTSEPT24!O23+MVTOCT24!O23+MVTNOV24!O23+MVTDEC24!O23</f>
        <v>48000</v>
      </c>
      <c r="P24" s="36">
        <f>MVTJANV24!P23+MVTFEV24!P23+MVTMARS24!P23+MVTAVRIL24!P23+MVTMAI24!P23+MVTJUIN24!P23+MVTJUIL24!P23+MVTAOUT24!P23+MVTSEPT24!P23+MVTOCT24!P23+MVTNOV24!P23+MVTDEC24!P23</f>
        <v>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1000000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0</v>
      </c>
      <c r="W24" s="36">
        <f t="shared" si="1"/>
        <v>1000000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>
        <f>MVTJANV24!AI23+MVTFEV24!AI23+MVTMARS24!AI23+MVTAVRIL24!AI23+MVTMAI24!AI23+MVTJUIN24!AI23+MVTJUIL24!AI23+MVTAOUT24!AI23+MVTSEPT24!AI23+MVTOCT24!AI23+MVTNOV24!AI23+MVTDEC24!AI23</f>
        <v>0</v>
      </c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/>
      <c r="AP24" s="36"/>
    </row>
    <row r="25" spans="1:42" ht="15.75" x14ac:dyDescent="0.2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1255827.8441992993</v>
      </c>
      <c r="G25" s="5">
        <f>MVTDEC24!G24</f>
        <v>1255827.8441992993</v>
      </c>
      <c r="H25" s="36">
        <f>MVTDEC23!H24+MVTJANV24!H24+MVTFEV24!H24+MVTMARS24!H24+MVTAVRIL24!H24+MVTMAI24!H24+MVTJUIN24!H24+MVTJUIL24!H24+MVTAOUT24!H24+MVTSEPT24!H24+MVTOCT24!H24+MVTNOV24!H24+MVTDEC24!H24</f>
        <v>62857.226387319744</v>
      </c>
      <c r="I25" s="6">
        <f t="shared" si="0"/>
        <v>1318685.0705866192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340000</v>
      </c>
      <c r="L25" s="36">
        <f>MVTJANV24!L24+MVTFEV24!L24+MVTMARS24!L24+MVTAVRIL24!L24+MVTMAI24!L24+MVTJUIN24!L24+MVTJUIL24!L24+MVTAOUT24!L24+MVTSEPT24!L24+MVTOCT24!L24+MVTNOV24!L24+MVTDEC24!L24</f>
        <v>268000</v>
      </c>
      <c r="M25" s="36">
        <f>MVTJANV24!M24+MVTFEV24!M24+MVTMARS24!M24+MVTAVRIL24!M24+MVTMAI24!M24+MVTJUIN24!M24+MVTJUIL24!M24+MVTAOUT24!M24+MVTSEPT24!M24+MVTOCT24!M24+MVTNOV24!M24+MVTDEC24!M24</f>
        <v>12000</v>
      </c>
      <c r="N25" s="36">
        <f>MVTJANV24!N24+MVTFEV24!N24+MVTMARS24!N24+MVTAVRIL24!N24+MVTMAI24!N24+MVTJUIN24!N24+MVTJUIL24!N24+MVTAOUT24!N24+MVTSEPT24!N24+MVTOCT24!N24+MVTNOV24!N24+MVTDEC24!N24</f>
        <v>12000</v>
      </c>
      <c r="O25" s="36">
        <f>MVTJANV24!O24+MVTFEV24!O24+MVTMARS24!O24+MVTAVRIL24!O24+MVTMAI24!O24+MVTJUIN24!O24+MVTJUIL24!O24+MVTAOUT24!O24+MVTSEPT24!O24+MVTOCT24!O24+MVTNOV24!O24+MVTDEC24!O24</f>
        <v>48000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500000</v>
      </c>
      <c r="T25" s="36">
        <f>MVTDEC23!T24+MVTJANV24!T24+MVTFEV24!T24+MVTMARS24!T24+MVTAVRIL24!T24+MVTMAI24!T24+MVTJUIN24!T24+MVTJUIL24!T24+MVTAOUT24!T24+MVTSEPT24!T24+MVTOCT24!T24+MVTNOV24!T24+MVTDEC24!T24</f>
        <v>30000</v>
      </c>
      <c r="U25" s="36"/>
      <c r="V25" s="36">
        <f>MVTJANV24!V24+MVTFEV24!V24+MVTMARS24!V24+MVTAVRIL24!V24+MVTMAI24!V24+MVTJUIN24!V24+MVTJUIL24!V24+MVTAOUT24!V24+MVTSEPT24!V24+MVTOCT24!V24+MVTNOV24!V24+MVTDEC24!V24</f>
        <v>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45474</v>
      </c>
      <c r="AM25" s="144">
        <f t="shared" si="2"/>
        <v>30000</v>
      </c>
      <c r="AN25" s="144"/>
      <c r="AP25" s="36"/>
    </row>
    <row r="26" spans="1:42" ht="15.75" x14ac:dyDescent="0.2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1067141.7950432156</v>
      </c>
      <c r="G26" s="5">
        <f>MVTDEC24!G25</f>
        <v>1067141.7950432156</v>
      </c>
      <c r="H26" s="36">
        <f>MVTDEC23!H25+MVTJANV24!H25+MVTFEV24!H25+MVTMARS24!H25+MVTAVRIL24!H25+MVTMAI24!H25+MVTJUIN24!H25+MVTJUIL24!H25+MVTAOUT24!H25+MVTSEPT24!H25+MVTOCT24!H25+MVTNOV24!H25+MVTDEC24!H25</f>
        <v>51509.062772068915</v>
      </c>
      <c r="I26" s="6">
        <f t="shared" si="0"/>
        <v>1118650.8578152845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330000</v>
      </c>
      <c r="L26" s="36">
        <f>MVTJANV24!L25+MVTFEV24!L25+MVTMARS24!L25+MVTAVRIL24!L25+MVTMAI24!L25+MVTJUIN24!L25+MVTJUIL24!L25+MVTAOUT24!L25+MVTSEPT24!L25+MVTOCT24!L25+MVTNOV24!L25+MVTDEC24!L25</f>
        <v>258000</v>
      </c>
      <c r="M26" s="36">
        <f>MVTJANV24!M25+MVTFEV24!M25+MVTMARS24!M25+MVTAVRIL24!M25+MVTMAI24!M25+MVTJUIN24!M25+MVTJUIL24!M25+MVTAOUT24!M25+MVTSEPT24!M25+MVTOCT24!M25+MVTNOV24!M25+MVTDEC24!M25</f>
        <v>12000</v>
      </c>
      <c r="N26" s="36">
        <f>MVTJANV24!N25+MVTFEV24!N25+MVTMARS24!N25+MVTAVRIL24!N25+MVTMAI24!N25+MVTJUIN24!N25+MVTJUIL24!N25+MVTAOUT24!N25+MVTSEPT24!N25+MVTOCT24!N25+MVTNOV24!N25+MVTDEC24!N25</f>
        <v>12000</v>
      </c>
      <c r="O26" s="36">
        <f>MVTJANV24!O25+MVTFEV24!O25+MVTMARS24!O25+MVTAVRIL24!O25+MVTMAI24!O25+MVTJUIN24!O25+MVTJUIL24!O25+MVTAOUT24!O25+MVTSEPT24!O25+MVTOCT24!O25+MVTNOV24!O25+MVTDEC24!O25</f>
        <v>48000</v>
      </c>
      <c r="P26" s="36">
        <f>MVTJANV24!P25+MVTFEV24!P25+MVTMARS24!P25+MVTAVRIL24!P25+MVTMAI24!P25+MVTJUIN24!P25+MVTJUIL24!P25+MVTAOUT24!P25+MVTSEPT24!P25+MVTOCT24!P25+MVTNOV24!P25+MVTDEC24!P25</f>
        <v>27000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0</v>
      </c>
      <c r="W26" s="36">
        <f t="shared" si="1"/>
        <v>1000000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/>
      <c r="AP26" s="36"/>
    </row>
    <row r="27" spans="1:42" ht="15.75" x14ac:dyDescent="0.2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995266.46813543816</v>
      </c>
      <c r="G27" s="5">
        <f>MVTDEC24!G26</f>
        <v>995266.46813543816</v>
      </c>
      <c r="H27" s="36">
        <f>MVTDEC23!H26+MVTJANV24!H26+MVTFEV24!H26+MVTMARS24!H26+MVTAVRIL24!H26+MVTMAI24!H26+MVTJUIN24!H26+MVTJUIL24!H26+MVTAOUT24!H26+MVTSEPT24!H26+MVTOCT24!H26+MVTNOV24!H26+MVTDEC24!H26</f>
        <v>48883.683903629586</v>
      </c>
      <c r="I27" s="6">
        <f t="shared" si="0"/>
        <v>1044150.1520390677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298000</v>
      </c>
      <c r="L27" s="36">
        <f>MVTJANV24!L26+MVTFEV24!L26+MVTMARS24!L26+MVTAVRIL24!L26+MVTMAI24!L26+MVTJUIN24!L26+MVTJUIL24!L26+MVTAOUT24!L26+MVTSEPT24!L26+MVTOCT24!L26+MVTNOV24!L26+MVTDEC24!L26</f>
        <v>226000</v>
      </c>
      <c r="M27" s="36">
        <f>MVTJANV24!M26+MVTFEV24!M26+MVTMARS24!M26+MVTAVRIL24!M26+MVTMAI24!M26+MVTJUIN24!M26+MVTJUIL24!M26+MVTAOUT24!M26+MVTSEPT24!M26+MVTOCT24!M26+MVTNOV24!M26+MVTDEC24!M26</f>
        <v>12000</v>
      </c>
      <c r="N27" s="36">
        <f>MVTJANV24!N26+MVTFEV24!N26+MVTMARS24!N26+MVTAVRIL24!N26+MVTMAI24!N26+MVTJUIN24!N26+MVTJUIL24!N26+MVTAOUT24!N26+MVTSEPT24!N26+MVTOCT24!N26+MVTNOV24!N26+MVTDEC24!N26</f>
        <v>12000</v>
      </c>
      <c r="O27" s="36">
        <f>MVTJANV24!O26+MVTFEV24!O26+MVTMARS24!O26+MVTAVRIL24!O26+MVTMAI24!O26+MVTJUIN24!O26+MVTJUIL24!O26+MVTAOUT24!O26+MVTSEPT24!O26+MVTOCT24!O26+MVTNOV24!O26+MVTDEC24!O26</f>
        <v>48000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1000000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/>
      <c r="AP27" s="36"/>
    </row>
    <row r="28" spans="1:42" ht="15.75" x14ac:dyDescent="0.2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995824.17371512204</v>
      </c>
      <c r="G28" s="5">
        <f>MVTDEC24!G27</f>
        <v>995824.17371512204</v>
      </c>
      <c r="H28" s="36">
        <f>MVTDEC23!H27+MVTJANV24!H27+MVTFEV24!H27+MVTMARS24!H27+MVTAVRIL24!H27+MVTMAI24!H27+MVTJUIN24!H27+MVTJUIL24!H27+MVTAOUT24!H27+MVTSEPT24!H27+MVTOCT24!H27+MVTNOV24!H27+MVTDEC24!H27</f>
        <v>48792.689131363695</v>
      </c>
      <c r="I28" s="6">
        <f t="shared" si="0"/>
        <v>1044616.8628464857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300000</v>
      </c>
      <c r="L28" s="36">
        <f>MVTJANV24!L27+MVTFEV24!L27+MVTMARS24!L27+MVTAVRIL24!L27+MVTMAI24!L27+MVTJUIN24!L27+MVTJUIL24!L27+MVTAOUT24!L27+MVTSEPT24!L27+MVTOCT24!L27+MVTNOV24!L27+MVTDEC24!L27</f>
        <v>228000</v>
      </c>
      <c r="M28" s="36">
        <f>MVTJANV24!M27+MVTFEV24!M27+MVTMARS24!M27+MVTAVRIL24!M27+MVTMAI24!M27+MVTJUIN24!M27+MVTJUIL24!M27+MVTAOUT24!M27+MVTSEPT24!M27+MVTOCT24!M27+MVTNOV24!M27+MVTDEC24!M27</f>
        <v>12000</v>
      </c>
      <c r="N28" s="36">
        <f>MVTJANV24!N27+MVTFEV24!N27+MVTMARS24!N27+MVTAVRIL24!N27+MVTMAI24!N27+MVTJUIN24!N27+MVTJUIL24!N27+MVTAOUT24!N27+MVTSEPT24!N27+MVTOCT24!N27+MVTNOV24!N27+MVTDEC24!N27</f>
        <v>12000</v>
      </c>
      <c r="O28" s="36">
        <f>MVTJANV24!O27+MVTFEV24!O27+MVTMARS24!O27+MVTAVRIL24!O27+MVTMAI24!O27+MVTJUIN24!O27+MVTJUIL24!O27+MVTAOUT24!O27+MVTSEPT24!O27+MVTOCT24!O27+MVTNOV24!O27+MVTDEC24!O27</f>
        <v>48000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1000000</v>
      </c>
      <c r="T28" s="36">
        <f>MVTDEC23!T27+MVTJANV24!T27+MVTFEV24!T27+MVTMARS24!T27+MVTAVRIL24!T27+MVTMAI24!T27+MVTJUIN24!T27+MVTJUIL24!T27+MVTAOUT24!T27+MVTSEPT24!T27+MVTOCT24!T27+MVTNOV24!T27+MVTDEC24!T27</f>
        <v>60000</v>
      </c>
      <c r="U28" s="36"/>
      <c r="V28" s="36">
        <f>MVTJANV24!V27+MVTFEV24!V27+MVTMARS24!V27+MVTAVRIL24!V27+MVTMAI24!V27+MVTJUIN24!V27+MVTJUIL24!V27+MVTAOUT24!V27+MVTSEPT24!V27+MVTOCT24!V27+MVTNOV24!V27+MVTDEC24!V27</f>
        <v>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45474</v>
      </c>
      <c r="AM28" s="144">
        <f t="shared" si="2"/>
        <v>60000</v>
      </c>
      <c r="AN28" s="144"/>
      <c r="AP28" s="36"/>
    </row>
    <row r="29" spans="1:42" ht="15.75" x14ac:dyDescent="0.25">
      <c r="A29" s="1" t="s">
        <v>172</v>
      </c>
      <c r="B29" s="1" t="str">
        <f>VLOOKUP(A29,[19]LISTADHERENT!A$5:H$60,3,0)</f>
        <v>NOUBE ETIENNE</v>
      </c>
      <c r="C29" s="36">
        <f>+MVTDEC23!C28</f>
        <v>666018.81693285913</v>
      </c>
      <c r="D29" s="36">
        <f>+MVTDEC23!D28</f>
        <v>0</v>
      </c>
      <c r="E29" s="36">
        <f>VLOOKUP($A29,[24]HISTOJANV24!$A$6:$BA$38,48,0)</f>
        <v>0</v>
      </c>
      <c r="F29" s="36">
        <f>MVTDEC24!F28</f>
        <v>897176.12513194664</v>
      </c>
      <c r="G29" s="5">
        <f>MVTDEC24!G28</f>
        <v>897176.12513194664</v>
      </c>
      <c r="H29" s="36">
        <f>MVTDEC23!H28+MVTJANV24!H28+MVTFEV24!H28+MVTMARS24!H28+MVTAVRIL24!H28+MVTMAI24!H28+MVTJUIN24!H28+MVTJUIL24!H28+MVTAOUT24!H28+MVTSEPT24!H28+MVTOCT24!H28+MVTNOV24!H28+MVTDEC24!H28</f>
        <v>3157.3081990875326</v>
      </c>
      <c r="I29" s="6">
        <f t="shared" si="0"/>
        <v>900333.43333103415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300000</v>
      </c>
      <c r="L29" s="36">
        <f>MVTJANV24!L28+MVTFEV24!L28+MVTMARS24!L28+MVTAVRIL24!L28+MVTMAI24!L28+MVTJUIN24!L28+MVTJUIL24!L28+MVTAOUT24!L28+MVTSEPT24!L28+MVTOCT24!L28+MVTNOV24!L28+MVTDEC24!L28</f>
        <v>228000</v>
      </c>
      <c r="M29" s="36">
        <f>MVTJANV24!M28+MVTFEV24!M28+MVTMARS24!M28+MVTAVRIL24!M28+MVTMAI24!M28+MVTJUIN24!M28+MVTJUIL24!M28+MVTAOUT24!M28+MVTSEPT24!M28+MVTOCT24!M28+MVTNOV24!M28+MVTDEC24!M28</f>
        <v>12000</v>
      </c>
      <c r="N29" s="36">
        <f>MVTJANV24!N28+MVTFEV24!N28+MVTMARS24!N28+MVTAVRIL24!N28+MVTMAI24!N28+MVTJUIN24!N28+MVTJUIL24!N28+MVTAOUT24!N28+MVTSEPT24!N28+MVTOCT24!N28+MVTNOV24!N28+MVTDEC24!N28</f>
        <v>12000</v>
      </c>
      <c r="O29" s="36">
        <f>MVTJANV24!O28+MVTFEV24!O28+MVTMARS24!O28+MVTAVRIL24!O28+MVTMAI24!O28+MVTJUIN24!O28+MVTJUIL24!O28+MVTAOUT24!O28+MVTSEPT24!O28+MVTOCT24!O28+MVTNOV24!O28+MVTDEC24!O28</f>
        <v>48000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1500</v>
      </c>
      <c r="U29" s="36"/>
      <c r="V29" s="36">
        <f>MVTJANV24!V28+MVTFEV24!V28+MVTMARS24!V28+MVTAVRIL24!V28+MVTMAI24!V28+MVTJUIN24!V28+MVTJUIL24!V28+MVTAOUT24!V28+MVTSEPT24!V28+MVTOCT24!V28+MVTNOV24!V28+MVTDEC24!V28</f>
        <v>0</v>
      </c>
      <c r="W29" s="36">
        <f t="shared" si="1"/>
        <v>50000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/>
      <c r="AM29" s="144">
        <f t="shared" si="2"/>
        <v>1500</v>
      </c>
      <c r="AN29" s="144"/>
      <c r="AP29" s="36"/>
    </row>
    <row r="30" spans="1:42" ht="15.75" x14ac:dyDescent="0.2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1022151.3442374151</v>
      </c>
      <c r="G30" s="5">
        <f>MVTDEC24!G29</f>
        <v>1022151.3442374151</v>
      </c>
      <c r="H30" s="36">
        <f>MVTDEC23!H29+MVTJANV24!H29+MVTFEV24!H29+MVTMARS24!H29+MVTAVRIL24!H29+MVTMAI24!H29+MVTJUIN24!H29+MVTJUIL24!H29+MVTAOUT24!H29+MVTSEPT24!H29+MVTOCT24!H29+MVTNOV24!H29+MVTDEC24!H29</f>
        <v>50453.677936656612</v>
      </c>
      <c r="I30" s="6">
        <f t="shared" si="0"/>
        <v>1072605.0221740718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300000</v>
      </c>
      <c r="L30" s="36">
        <f>MVTJANV24!L29+MVTFEV24!L29+MVTMARS24!L29+MVTAVRIL24!L29+MVTMAI24!L29+MVTJUIN24!L29+MVTJUIL24!L29+MVTAOUT24!L29+MVTSEPT24!L29+MVTOCT24!L29+MVTNOV24!L29+MVTDEC24!L29</f>
        <v>228000</v>
      </c>
      <c r="M30" s="36">
        <f>MVTJANV24!M29+MVTFEV24!M29+MVTMARS24!M29+MVTAVRIL24!M29+MVTMAI24!M29+MVTJUIN24!M29+MVTJUIL24!M29+MVTAOUT24!M29+MVTSEPT24!M29+MVTOCT24!M29+MVTNOV24!M29+MVTDEC24!M29</f>
        <v>12000</v>
      </c>
      <c r="N30" s="36">
        <f>MVTJANV24!N29+MVTFEV24!N29+MVTMARS24!N29+MVTAVRIL24!N29+MVTMAI24!N29+MVTJUIN24!N29+MVTJUIL24!N29+MVTAOUT24!N29+MVTSEPT24!N29+MVTOCT24!N29+MVTNOV24!N29+MVTDEC24!N29</f>
        <v>12000</v>
      </c>
      <c r="O30" s="36">
        <f>MVTJANV24!O29+MVTFEV24!O29+MVTMARS24!O29+MVTAVRIL24!O29+MVTMAI24!O29+MVTJUIN24!O29+MVTJUIL24!O29+MVTAOUT24!O29+MVTSEPT24!O29+MVTOCT24!O29+MVTNOV24!O29+MVTDEC24!O29</f>
        <v>48000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/>
      <c r="AP30" s="36"/>
    </row>
    <row r="31" spans="1:42" ht="15.75" x14ac:dyDescent="0.2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926786.81046782702</v>
      </c>
      <c r="G31" s="5">
        <f>MVTDEC24!G30</f>
        <v>926786.81046782702</v>
      </c>
      <c r="H31" s="36">
        <f>MVTDEC23!H30+MVTJANV24!H30+MVTFEV24!H30+MVTMARS24!H30+MVTAVRIL24!H30+MVTMAI24!H30+MVTJUIN24!H30+MVTJUIL24!H30+MVTAOUT24!H30+MVTSEPT24!H30+MVTOCT24!H30+MVTNOV24!H30+MVTDEC24!H30</f>
        <v>3286.8104678270088</v>
      </c>
      <c r="I31" s="6">
        <f t="shared" si="0"/>
        <v>930073.62093565403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750000</v>
      </c>
      <c r="L31" s="36">
        <f>MVTJANV24!L30+MVTFEV24!L30+MVTMARS24!L30+MVTAVRIL24!L30+MVTMAI24!L30+MVTJUIN24!L30+MVTJUIL24!L30+MVTAOUT24!L30+MVTSEPT24!L30+MVTOCT24!L30+MVTNOV24!L30+MVTDEC24!L30</f>
        <v>678000</v>
      </c>
      <c r="M31" s="36">
        <f>MVTJANV24!M30+MVTFEV24!M30+MVTMARS24!M30+MVTAVRIL24!M30+MVTMAI24!M30+MVTJUIN24!M30+MVTJUIL24!M30+MVTAOUT24!M30+MVTSEPT24!M30+MVTOCT24!M30+MVTNOV24!M30+MVTDEC24!M30</f>
        <v>12000</v>
      </c>
      <c r="N31" s="36">
        <f>MVTJANV24!N30+MVTFEV24!N30+MVTMARS24!N30+MVTAVRIL24!N30+MVTMAI24!N30+MVTJUIN24!N30+MVTJUIL24!N30+MVTAOUT24!N30+MVTSEPT24!N30+MVTOCT24!N30+MVTNOV24!N30+MVTDEC24!N30</f>
        <v>12000</v>
      </c>
      <c r="O31" s="36">
        <f>MVTJANV24!O30+MVTFEV24!O30+MVTMARS24!O30+MVTAVRIL24!O30+MVTMAI24!O30+MVTJUIN24!O30+MVTJUIL24!O30+MVTAOUT24!O30+MVTSEPT24!O30+MVTOCT24!O30+MVTNOV24!O30+MVTDEC24!O30</f>
        <v>48000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/>
      <c r="AP31" s="36"/>
    </row>
    <row r="32" spans="1:42" ht="15.75" x14ac:dyDescent="0.2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1086903.0311481347</v>
      </c>
      <c r="G32" s="5">
        <f>MVTDEC24!G31</f>
        <v>1086903.0311481347</v>
      </c>
      <c r="H32" s="36">
        <f>MVTDEC23!H31+MVTJANV24!H31+MVTFEV24!H31+MVTMARS24!H31+MVTAVRIL24!H31+MVTMAI24!H31+MVTJUIN24!H31+MVTJUIL24!H31+MVTAOUT24!H31+MVTSEPT24!H31+MVTOCT24!H31+MVTNOV24!H31+MVTDEC24!H31</f>
        <v>54538.880597970558</v>
      </c>
      <c r="I32" s="6">
        <f t="shared" si="0"/>
        <v>1141441.9117461052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300000</v>
      </c>
      <c r="L32" s="36">
        <f>MVTJANV24!L31+MVTFEV24!L31+MVTMARS24!L31+MVTAVRIL24!L31+MVTMAI24!L31+MVTJUIN24!L31+MVTJUIL24!L31+MVTAOUT24!L31+MVTSEPT24!L31+MVTOCT24!L31+MVTNOV24!L31+MVTDEC24!L31</f>
        <v>228000</v>
      </c>
      <c r="M32" s="36">
        <f>MVTJANV24!M31+MVTFEV24!M31+MVTMARS24!M31+MVTAVRIL24!M31+MVTMAI24!M31+MVTJUIN24!M31+MVTJUIL24!M31+MVTAOUT24!M31+MVTSEPT24!M31+MVTOCT24!M31+MVTNOV24!M31+MVTDEC24!M31</f>
        <v>12000</v>
      </c>
      <c r="N32" s="36">
        <f>MVTJANV24!N31+MVTFEV24!N31+MVTMARS24!N31+MVTAVRIL24!N31+MVTMAI24!N31+MVTJUIN24!N31+MVTJUIL24!N31+MVTAOUT24!N31+MVTSEPT24!N31+MVTOCT24!N31+MVTNOV24!N31+MVTDEC24!N31</f>
        <v>12000</v>
      </c>
      <c r="O32" s="36">
        <f>MVTJANV24!O31+MVTFEV24!O31+MVTMARS24!O31+MVTAVRIL24!O31+MVTMAI24!O31+MVTJUIN24!O31+MVTJUIL24!O31+MVTAOUT24!O31+MVTSEPT24!O31+MVTOCT24!O31+MVTNOV24!O31+MVTDEC24!O31</f>
        <v>48000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1000000</v>
      </c>
      <c r="T32" s="36">
        <f>MVTDEC23!T31+MVTJANV24!T31+MVTFEV24!T31+MVTMARS24!T31+MVTAVRIL24!T31+MVTMAI24!T31+MVTJUIN24!T31+MVTJUIL24!T31+MVTAOUT24!T31+MVTSEPT24!T31+MVTOCT24!T31+MVTNOV24!T31+MVTDEC24!T31</f>
        <v>60000</v>
      </c>
      <c r="U32" s="36"/>
      <c r="V32" s="36">
        <f>MVTJANV24!V31+MVTFEV24!V31+MVTMARS24!V31+MVTAVRIL24!V31+MVTMAI24!V31+MVTJUIN24!V31+MVTJUIL24!V31+MVTAOUT24!V31+MVTSEPT24!V31+MVTOCT24!V31+MVTNOV24!V31+MVTDEC24!V31</f>
        <v>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>
        <v>45474</v>
      </c>
      <c r="AM32" s="144">
        <f t="shared" si="2"/>
        <v>60000</v>
      </c>
      <c r="AN32" s="144"/>
      <c r="AP32" s="36"/>
    </row>
    <row r="33" spans="1:42" ht="15.75" x14ac:dyDescent="0.2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976243.98131057119</v>
      </c>
      <c r="G33" s="5">
        <f>MVTDEC24!G32</f>
        <v>976243.98131057119</v>
      </c>
      <c r="H33" s="36">
        <f>MVTDEC23!H32+MVTJANV24!H32+MVTFEV24!H32+MVTMARS24!H32+MVTAVRIL24!H32+MVTMAI24!H32+MVTJUIN24!H32+MVTJUIL24!H32+MVTAOUT24!H32+MVTSEPT24!H32+MVTOCT24!H32+MVTNOV24!H32+MVTDEC24!H32</f>
        <v>47557.369127571357</v>
      </c>
      <c r="I33" s="6">
        <f t="shared" si="0"/>
        <v>1023801.3504381425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300000</v>
      </c>
      <c r="L33" s="36">
        <f>MVTJANV24!L32+MVTFEV24!L32+MVTMARS24!L32+MVTAVRIL24!L32+MVTMAI24!L32+MVTJUIN24!L32+MVTJUIL24!L32+MVTAOUT24!L32+MVTSEPT24!L32+MVTOCT24!L32+MVTNOV24!L32+MVTDEC24!L32</f>
        <v>228000</v>
      </c>
      <c r="M33" s="36">
        <f>MVTJANV24!M32+MVTFEV24!M32+MVTMARS24!M32+MVTAVRIL24!M32+MVTMAI24!M32+MVTJUIN24!M32+MVTJUIL24!M32+MVTAOUT24!M32+MVTSEPT24!M32+MVTOCT24!M32+MVTNOV24!M32+MVTDEC24!M32</f>
        <v>12000</v>
      </c>
      <c r="N33" s="36">
        <f>MVTJANV24!N32+MVTFEV24!N32+MVTMARS24!N32+MVTAVRIL24!N32+MVTMAI24!N32+MVTJUIN24!N32+MVTJUIL24!N32+MVTAOUT24!N32+MVTSEPT24!N32+MVTOCT24!N32+MVTNOV24!N32+MVTDEC24!N32</f>
        <v>12000</v>
      </c>
      <c r="O33" s="36">
        <f>MVTJANV24!O32+MVTFEV24!O32+MVTMARS24!O32+MVTAVRIL24!O32+MVTMAI24!O32+MVTJUIN24!O32+MVTJUIL24!O32+MVTAOUT24!O32+MVTSEPT24!O32+MVTOCT24!O32+MVTNOV24!O32+MVTDEC24!O32</f>
        <v>48000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1250000</v>
      </c>
      <c r="T33" s="36">
        <f>MVTDEC23!T32+MVTJANV24!T32+MVTFEV24!T32+MVTMARS24!T32+MVTAVRIL24!T32+MVTMAI24!T32+MVTJUIN24!T32+MVTJUIL24!T32+MVTAOUT24!T32+MVTSEPT24!T32+MVTOCT24!T32+MVTNOV24!T32+MVTDEC24!T32</f>
        <v>45000</v>
      </c>
      <c r="U33" s="36"/>
      <c r="V33" s="36">
        <f>MVTJANV24!V32+MVTFEV24!V32+MVTMARS24!V32+MVTAVRIL24!V32+MVTMAI24!V32+MVTJUIN24!V32+MVTJUIL24!V32+MVTAOUT24!V32+MVTSEPT24!V32+MVTOCT24!V32+MVTNOV24!V32+MVTDEC24!V32</f>
        <v>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45474</v>
      </c>
      <c r="AM33" s="144">
        <f t="shared" si="2"/>
        <v>45000</v>
      </c>
      <c r="AN33" s="144"/>
      <c r="AP33" s="36"/>
    </row>
    <row r="34" spans="1:42" ht="15.75" x14ac:dyDescent="0.2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976552.64928596013</v>
      </c>
      <c r="G34" s="5">
        <f>MVTDEC24!G33</f>
        <v>976552.64928596013</v>
      </c>
      <c r="H34" s="36">
        <f>MVTDEC23!H33+MVTJANV24!H33+MVTFEV24!H33+MVTMARS24!H33+MVTAVRIL24!H33+MVTMAI24!H33+MVTJUIN24!H33+MVTJUIL24!H33+MVTAOUT24!H33+MVTSEPT24!H33+MVTOCT24!H33+MVTNOV24!H33+MVTDEC24!H33</f>
        <v>47576.843079443228</v>
      </c>
      <c r="I34" s="6">
        <f t="shared" si="0"/>
        <v>1024129.4923654033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300000</v>
      </c>
      <c r="L34" s="36">
        <f>MVTJANV24!L33+MVTFEV24!L33+MVTMARS24!L33+MVTAVRIL24!L33+MVTMAI24!L33+MVTJUIN24!L33+MVTJUIL24!L33+MVTAOUT24!L33+MVTSEPT24!L33+MVTOCT24!L33+MVTNOV24!L33+MVTDEC24!L33</f>
        <v>228000</v>
      </c>
      <c r="M34" s="36">
        <f>MVTJANV24!M33+MVTFEV24!M33+MVTMARS24!M33+MVTAVRIL24!M33+MVTMAI24!M33+MVTJUIN24!M33+MVTJUIL24!M33+MVTAOUT24!M33+MVTSEPT24!M33+MVTOCT24!M33+MVTNOV24!M33+MVTDEC24!M33</f>
        <v>12000</v>
      </c>
      <c r="N34" s="36">
        <f>MVTJANV24!N33+MVTFEV24!N33+MVTMARS24!N33+MVTAVRIL24!N33+MVTMAI24!N33+MVTJUIN24!N33+MVTJUIL24!N33+MVTAOUT24!N33+MVTSEPT24!N33+MVTOCT24!N33+MVTNOV24!N33+MVTDEC24!N33</f>
        <v>12000</v>
      </c>
      <c r="O34" s="36">
        <f>MVTJANV24!O33+MVTFEV24!O33+MVTMARS24!O33+MVTAVRIL24!O33+MVTMAI24!O33+MVTJUIN24!O33+MVTJUIL24!O33+MVTAOUT24!O33+MVTSEPT24!O33+MVTOCT24!O33+MVTNOV24!O33+MVTDEC24!O33</f>
        <v>48000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1000000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>
        <v>45474</v>
      </c>
      <c r="AM34" s="144">
        <f t="shared" si="2"/>
        <v>60000</v>
      </c>
      <c r="AN34" s="144"/>
      <c r="AO34" s="36"/>
      <c r="AP34" s="36"/>
    </row>
    <row r="35" spans="1:42" ht="15.75" x14ac:dyDescent="0.25">
      <c r="A35" s="1" t="s">
        <v>328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633000</v>
      </c>
      <c r="G35" s="5">
        <f>MVTDEC24!G34</f>
        <v>0</v>
      </c>
      <c r="H35" s="36">
        <f>MVTDEC23!H34+MVTJANV24!H34+MVTFEV24!H34+MVTMARS24!H34+MVTAVRIL24!H34+MVTMAI24!H34+MVTJUIN24!H34+MVTJUIL24!H34+MVTAOUT24!H34+MVTSEPT24!H34+MVTOCT24!H34+MVTNOV24!H34+MVTDEC24!H34</f>
        <v>0</v>
      </c>
      <c r="I35" s="6">
        <f t="shared" si="0"/>
        <v>633000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705000</v>
      </c>
      <c r="L35" s="36">
        <f>MVTJANV24!L34+MVTFEV24!L34+MVTMARS24!L34+MVTAVRIL24!L34+MVTMAI24!L34+MVTJUIN24!L34+MVTJUIL24!L34+MVTAOUT24!L34+MVTSEPT24!L34+MVTOCT24!L34+MVTNOV24!L34+MVTDEC24!L34</f>
        <v>633000</v>
      </c>
      <c r="M35" s="36">
        <f>MVTJANV24!M34+MVTFEV24!M34+MVTMARS24!M34+MVTAVRIL24!M34+MVTMAI24!M34+MVTJUIN24!M34+MVTJUIL24!M34+MVTAOUT24!M34+MVTSEPT24!M34+MVTOCT24!M34+MVTNOV24!M34+MVTDEC24!M34</f>
        <v>12000</v>
      </c>
      <c r="N35" s="36">
        <f>MVTJANV24!N34+MVTFEV24!N34+MVTMARS24!N34+MVTAVRIL24!N34+MVTMAI24!N34+MVTJUIN24!N34+MVTJUIL24!N34+MVTAOUT24!N34+MVTSEPT24!N34+MVTOCT24!N34+MVTNOV24!N34+MVTDEC24!N34</f>
        <v>12000</v>
      </c>
      <c r="O35" s="36">
        <f>MVTJANV24!O34+MVTFEV24!O34+MVTMARS24!O34+MVTAVRIL24!O34+MVTMAI24!O34+MVTJUIN24!O34+MVTJUIL24!O34+MVTAOUT24!O34+MVTSEPT24!O34+MVTOCT24!O34+MVTNOV24!O34+MVTDEC24!O34</f>
        <v>48000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/>
      <c r="AP35" s="36"/>
    </row>
    <row r="36" spans="1:42" ht="15.75" x14ac:dyDescent="0.2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328000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328000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297000</v>
      </c>
      <c r="L36" s="36">
        <f>MVTJANV24!L35+MVTFEV24!L35+MVTMARS24!L35+MVTAVRIL24!L35+MVTMAI24!L35+MVTJUIN24!L35+MVTJUIL24!L35+MVTAOUT24!L35+MVTSEPT24!L35+MVTOCT24!L35+MVTNOV24!L35+MVTDEC24!L35</f>
        <v>225000</v>
      </c>
      <c r="M36" s="36">
        <f>MVTJANV24!M35+MVTFEV24!M35+MVTMARS24!M35+MVTAVRIL24!M35+MVTMAI24!M35+MVTJUIN24!M35+MVTJUIL24!M35+MVTAOUT24!M35+MVTSEPT24!M35+MVTOCT24!M35+MVTNOV24!M35+MVTDEC24!M35</f>
        <v>12000</v>
      </c>
      <c r="N36" s="36">
        <f>MVTJANV24!N35+MVTFEV24!N35+MVTMARS24!N35+MVTAVRIL24!N35+MVTMAI24!N35+MVTJUIN24!N35+MVTJUIL24!N35+MVTAOUT24!N35+MVTSEPT24!N35+MVTOCT24!N35+MVTNOV24!N35+MVTDEC24!N35</f>
        <v>12000</v>
      </c>
      <c r="O36" s="36">
        <f>MVTJANV24!O35+MVTFEV24!O35+MVTMARS24!O35+MVTAVRIL24!O35+MVTMAI24!O35+MVTJUIN24!O35+MVTJUIL24!O35+MVTAOUT24!O35+MVTSEPT24!O35+MVTOCT24!O35+MVTNOV24!O35+MVTDEC24!O35</f>
        <v>48000</v>
      </c>
      <c r="P36" s="36">
        <f>MVTJANV24!P35+MVTFEV24!P35+MVTMARS24!P35+MVTAVRIL24!P35+MVTMAI24!P35+MVTJUIN24!P35+MVTJUIL24!P35+MVTAOUT24!P35+MVTSEPT24!P35+MVTOCT24!P35+MVTNOV24!P35+MVTDEC24!P35</f>
        <v>27000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/>
      <c r="AP36" s="36"/>
    </row>
    <row r="37" spans="1:42" ht="15.75" x14ac:dyDescent="0.25">
      <c r="A37" s="1" t="s">
        <v>313</v>
      </c>
      <c r="B37" s="1" t="str">
        <f>VLOOKUP(A37,[19]LISTADHERENT!A$5:H$60,3,0)</f>
        <v>YANTCHOU GERVAIS</v>
      </c>
      <c r="C37" s="36">
        <f>+MVTDEC23!C36</f>
        <v>698024.13813217054</v>
      </c>
      <c r="D37" s="36">
        <f>+MVTDEC23!D36</f>
        <v>0</v>
      </c>
      <c r="E37" s="36">
        <f>VLOOKUP($A37,[24]HISTOJANV24!$A$6:$BA$38,48,0)</f>
        <v>0</v>
      </c>
      <c r="F37" s="36">
        <f>MVTDEC24!F36</f>
        <v>1013599.0818186782</v>
      </c>
      <c r="G37" s="5">
        <f>MVTDEC24!G36</f>
        <v>1013599.0818186782</v>
      </c>
      <c r="H37" s="36">
        <f>MVTDEC23!H36+MVTJANV24!H36+MVTFEV24!H36+MVTMARS24!H36+MVTAVRIL24!H36+MVTMAI24!H36+MVTJUIN24!H36+MVTJUIL24!H36+MVTAOUT24!H36+MVTSEPT24!H36+MVTOCT24!H36+MVTNOV24!H36+MVTDEC24!H36</f>
        <v>47574.943686507613</v>
      </c>
      <c r="I37" s="6">
        <f t="shared" si="0"/>
        <v>1061174.0255051858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340000</v>
      </c>
      <c r="L37" s="36">
        <f>MVTJANV24!L36+MVTFEV24!L36+MVTMARS24!L36+MVTAVRIL24!L36+MVTMAI24!L36+MVTJUIN24!L36+MVTJUIL24!L36+MVTAOUT24!L36+MVTSEPT24!L36+MVTOCT24!L36+MVTNOV24!L36+MVTDEC24!L36</f>
        <v>268000</v>
      </c>
      <c r="M37" s="36">
        <f>MVTJANV24!M36+MVTFEV24!M36+MVTMARS24!M36+MVTAVRIL24!M36+MVTMAI24!M36+MVTJUIN24!M36+MVTJUIL24!M36+MVTAOUT24!M36+MVTSEPT24!M36+MVTOCT24!M36+MVTNOV24!M36+MVTDEC24!M36</f>
        <v>12000</v>
      </c>
      <c r="N37" s="36">
        <f>MVTJANV24!N36+MVTFEV24!N36+MVTMARS24!N36+MVTAVRIL24!N36+MVTMAI24!N36+MVTJUIN24!N36+MVTJUIL24!N36+MVTAOUT24!N36+MVTSEPT24!N36+MVTOCT24!N36+MVTNOV24!N36+MVTDEC24!N36</f>
        <v>12000</v>
      </c>
      <c r="O37" s="36">
        <f>MVTJANV24!O36+MVTFEV24!O36+MVTMARS24!O36+MVTAVRIL24!O36+MVTMAI24!O36+MVTJUIN24!O36+MVTJUIL24!O36+MVTAOUT24!O36+MVTSEPT24!O36+MVTOCT24!O36+MVTNOV24!O36+MVTDEC24!O36</f>
        <v>48000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0</v>
      </c>
      <c r="W37" s="36">
        <f t="shared" si="1"/>
        <v>700000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>
        <v>45474</v>
      </c>
      <c r="AM37" s="144">
        <f t="shared" si="2"/>
        <v>84000</v>
      </c>
      <c r="AN37" s="144"/>
      <c r="AP37" s="36"/>
    </row>
    <row r="38" spans="1:42" ht="15.75" x14ac:dyDescent="0.2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2046400.7147676253</v>
      </c>
      <c r="G38" s="5">
        <f>MVTDEC24!G37</f>
        <v>2046400.7147676253</v>
      </c>
      <c r="H38" s="36">
        <f>MVTDEC23!H37+MVTJANV24!H37+MVTFEV24!H37+MVTMARS24!H37+MVTAVRIL24!H37+MVTMAI24!H37+MVTJUIN24!H37+MVTJUIL24!H37+MVTAOUT24!H37+MVTSEPT24!H37+MVTOCT24!H37+MVTNOV24!H37+MVTDEC24!H37</f>
        <v>115073.86706174383</v>
      </c>
      <c r="I38" s="6">
        <f t="shared" si="0"/>
        <v>2161474.5818293691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300000</v>
      </c>
      <c r="L38" s="36">
        <f>MVTJANV24!L37+MVTFEV24!L37+MVTMARS24!L37+MVTAVRIL24!L37+MVTMAI24!L37+MVTJUIN24!L37+MVTJUIL24!L37+MVTAOUT24!L37+MVTSEPT24!L37+MVTOCT24!L37+MVTNOV24!L37+MVTDEC24!L37</f>
        <v>228000</v>
      </c>
      <c r="M38" s="36">
        <f>MVTJANV24!M37+MVTFEV24!M37+MVTMARS24!M37+MVTAVRIL24!M37+MVTMAI24!M37+MVTJUIN24!M37+MVTJUIL24!M37+MVTAOUT24!M37+MVTSEPT24!M37+MVTOCT24!M37+MVTNOV24!M37+MVTDEC24!M37</f>
        <v>12000</v>
      </c>
      <c r="N38" s="36">
        <f>MVTJANV24!N37+MVTFEV24!N37+MVTMARS24!N37+MVTAVRIL24!N37+MVTMAI24!N37+MVTJUIN24!N37+MVTJUIL24!N37+MVTAOUT24!N37+MVTSEPT24!N37+MVTOCT24!N37+MVTNOV24!N37+MVTDEC24!N37</f>
        <v>12000</v>
      </c>
      <c r="O38" s="36">
        <f>MVTJANV24!O37+MVTFEV24!O37+MVTMARS24!O37+MVTAVRIL24!O37+MVTMAI24!O37+MVTJUIN24!O37+MVTJUIL24!O37+MVTAOUT24!O37+MVTSEPT24!O37+MVTOCT24!O37+MVTNOV24!O37+MVTDEC24!O37</f>
        <v>48000</v>
      </c>
      <c r="P38" s="36">
        <f>MVTJANV24!P37+MVTFEV24!P37+MVTMARS24!P37+MVTAVRIL24!P37+MVTMAI24!P37+MVTJUIN24!P37+MVTJUIL24!P37+MVTAOUT24!P37+MVTSEPT24!P37+MVTOCT24!P37+MVTNOV24!P37+MVTDEC24!P37</f>
        <v>27000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36"/>
      <c r="AO38" s="36"/>
      <c r="AP38" s="36"/>
    </row>
    <row r="39" spans="1:42" ht="15.75" x14ac:dyDescent="0.25">
      <c r="A39" s="1" t="s">
        <v>329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228000</v>
      </c>
      <c r="G39" s="5">
        <f>MVTDEC24!G38</f>
        <v>0</v>
      </c>
      <c r="H39" s="36">
        <f>MVTDEC23!H38+MVTJANV24!H38+MVTFEV24!H38+MVTMARS24!H38+MVTAVRIL24!H38+MVTMAI24!H38+MVTJUIN24!H38+MVTJUIL24!H38+MVTAOUT24!H38+MVTSEPT24!H38+MVTOCT24!H38+MVTNOV24!H38+MVTDEC24!H38</f>
        <v>0</v>
      </c>
      <c r="I39" s="6">
        <f t="shared" si="0"/>
        <v>228000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300000</v>
      </c>
      <c r="L39" s="36">
        <f>MVTJANV24!L38+MVTFEV24!L38+MVTMARS24!L38+MVTAVRIL24!L38+MVTMAI24!L38+MVTJUIN24!L38+MVTJUIL24!L38+MVTAOUT24!L38+MVTSEPT24!L38+MVTOCT24!L38+MVTNOV24!L38+MVTDEC24!L38</f>
        <v>228000</v>
      </c>
      <c r="M39" s="36">
        <f>MVTJANV24!M38+MVTFEV24!M38+MVTMARS24!M38+MVTAVRIL24!M38+MVTMAI24!M38+MVTJUIN24!M38+MVTJUIL24!M38+MVTAOUT24!M38+MVTSEPT24!M38+MVTOCT24!M38+MVTNOV24!M38+MVTDEC24!M38</f>
        <v>12000</v>
      </c>
      <c r="N39" s="36">
        <f>MVTJANV24!N38+MVTFEV24!N38+MVTMARS24!N38+MVTAVRIL24!N38+MVTMAI24!N38+MVTJUIN24!N38+MVTJUIL24!N38+MVTAOUT24!N38+MVTSEPT24!N38+MVTOCT24!N38+MVTNOV24!N38+MVTDEC24!N38</f>
        <v>12000</v>
      </c>
      <c r="O39" s="36">
        <f>MVTJANV24!O38+MVTFEV24!O38+MVTMARS24!O38+MVTAVRIL24!O38+MVTMAI24!O38+MVTJUIN24!O38+MVTJUIL24!O38+MVTAOUT24!O38+MVTSEPT24!O38+MVTOCT24!O38+MVTNOV24!O38+MVTDEC24!O38</f>
        <v>48000</v>
      </c>
      <c r="P39" s="36">
        <f>MVTJANV24!P38+MVTFEV24!P38+MVTMARS24!P38+MVTAVRIL24!P38+MVTMAI24!P38+MVTJUIN24!P38+MVTJUIL24!P38+MVTAOUT24!P38+MVTSEPT24!P38+MVTOCT24!P38+MVTNOV24!P38+MVTDEC24!P38</f>
        <v>6000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M39" s="144">
        <f t="shared" si="2"/>
        <v>0</v>
      </c>
    </row>
    <row r="40" spans="1:42" ht="15.75" x14ac:dyDescent="0.2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2211313.2142100567</v>
      </c>
      <c r="G40" s="5">
        <f>MVTDEC24!G39</f>
        <v>2211313.2142100567</v>
      </c>
      <c r="H40" s="36">
        <f>MVTDEC23!H39+MVTJANV24!H39+MVTFEV24!H39+MVTMARS24!H39+MVTAVRIL24!H39+MVTMAI24!H39+MVTJUIN24!H39+MVTJUIL24!H39+MVTAOUT24!H39+MVTSEPT24!H39+MVTOCT24!H39+MVTNOV24!H39+MVTDEC24!H39</f>
        <v>125478.24436445507</v>
      </c>
      <c r="I40" s="6">
        <f t="shared" si="0"/>
        <v>2336791.4585745116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300000</v>
      </c>
      <c r="L40" s="36">
        <f>MVTJANV24!L39+MVTFEV24!L39+MVTMARS24!L39+MVTAVRIL24!L39+MVTMAI24!L39+MVTJUIN24!L39+MVTJUIL24!L39+MVTAOUT24!L39+MVTSEPT24!L39+MVTOCT24!L39+MVTNOV24!L39+MVTDEC24!L39</f>
        <v>228000</v>
      </c>
      <c r="M40" s="36">
        <f>MVTJANV24!M39+MVTFEV24!M39+MVTMARS24!M39+MVTAVRIL24!M39+MVTMAI24!M39+MVTJUIN24!M39+MVTJUIL24!M39+MVTAOUT24!M39+MVTSEPT24!M39+MVTOCT24!M39+MVTNOV24!M39+MVTDEC24!M39</f>
        <v>12000</v>
      </c>
      <c r="N40" s="36">
        <f>MVTJANV24!N39+MVTFEV24!N39+MVTMARS24!N39+MVTAVRIL24!N39+MVTMAI24!N39+MVTJUIN24!N39+MVTJUIL24!N39+MVTAOUT24!N39+MVTSEPT24!N39+MVTOCT24!N39+MVTNOV24!N39+MVTDEC24!N39</f>
        <v>12000</v>
      </c>
      <c r="O40" s="36">
        <f>MVTJANV24!O39+MVTFEV24!O39+MVTMARS24!O39+MVTAVRIL24!O39+MVTMAI24!O39+MVTJUIN24!O39+MVTJUIL24!O39+MVTAOUT24!O39+MVTSEPT24!O39+MVTOCT24!O39+MVTNOV24!O39+MVTDEC24!O39</f>
        <v>48000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M40" s="144">
        <f t="shared" si="2"/>
        <v>0</v>
      </c>
    </row>
    <row r="41" spans="1:42" ht="18" x14ac:dyDescent="0.2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W41" s="36">
        <f t="shared" si="1"/>
        <v>0</v>
      </c>
      <c r="AL41" s="9"/>
      <c r="AM41" s="9"/>
      <c r="AN41" s="9"/>
      <c r="AO41" s="9"/>
      <c r="AP41" s="9"/>
    </row>
    <row r="42" spans="1:42" ht="18" x14ac:dyDescent="0.25">
      <c r="A42" s="1" t="s">
        <v>57</v>
      </c>
      <c r="B42" s="1"/>
      <c r="C42" s="9">
        <f t="shared" ref="C42:AP42" si="3">SUM(C7:C41)</f>
        <v>19518742.582153067</v>
      </c>
      <c r="D42" s="9">
        <f t="shared" si="3"/>
        <v>4710914.0731219202</v>
      </c>
      <c r="E42" s="9">
        <f t="shared" si="3"/>
        <v>0</v>
      </c>
      <c r="F42" s="9">
        <f t="shared" si="3"/>
        <v>34184656.655274987</v>
      </c>
      <c r="G42" s="9">
        <f t="shared" si="3"/>
        <v>32091439.524547949</v>
      </c>
      <c r="H42" s="36">
        <f t="shared" si="3"/>
        <v>1492499.9999999998</v>
      </c>
      <c r="I42" s="9">
        <f t="shared" si="3"/>
        <v>35677156.655274987</v>
      </c>
      <c r="J42" s="9">
        <f t="shared" si="3"/>
        <v>0</v>
      </c>
      <c r="K42" s="9">
        <f t="shared" si="3"/>
        <v>10766500</v>
      </c>
      <c r="L42" s="9">
        <f t="shared" si="3"/>
        <v>8462500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120000</v>
      </c>
      <c r="Q42" s="9">
        <f t="shared" si="3"/>
        <v>75000</v>
      </c>
      <c r="R42" s="9">
        <f t="shared" si="3"/>
        <v>120000</v>
      </c>
      <c r="S42" s="9">
        <f t="shared" si="3"/>
        <v>19263500</v>
      </c>
      <c r="T42" s="9">
        <f t="shared" si="3"/>
        <v>1492500</v>
      </c>
      <c r="U42" s="9">
        <f t="shared" si="3"/>
        <v>0</v>
      </c>
      <c r="V42" s="9">
        <f t="shared" si="3"/>
        <v>1750000</v>
      </c>
      <c r="W42" s="9">
        <f t="shared" si="3"/>
        <v>17513500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0</v>
      </c>
      <c r="AD42" s="9">
        <f t="shared" si="3"/>
        <v>0</v>
      </c>
      <c r="AE42" s="9">
        <f t="shared" si="3"/>
        <v>0</v>
      </c>
      <c r="AF42" s="9">
        <f t="shared" si="3"/>
        <v>102000</v>
      </c>
      <c r="AG42" s="9">
        <f t="shared" si="3"/>
        <v>500000</v>
      </c>
      <c r="AH42" s="9">
        <f t="shared" si="3"/>
        <v>200000</v>
      </c>
      <c r="AI42" s="9">
        <f t="shared" si="3"/>
        <v>400000</v>
      </c>
      <c r="AJ42" s="9">
        <f t="shared" si="3"/>
        <v>0</v>
      </c>
      <c r="AK42" s="9">
        <f t="shared" si="3"/>
        <v>0</v>
      </c>
      <c r="AL42" s="9"/>
      <c r="AM42" s="9">
        <f t="shared" si="3"/>
        <v>1492500</v>
      </c>
      <c r="AN42" s="9">
        <f t="shared" si="3"/>
        <v>0</v>
      </c>
      <c r="AO42" s="9">
        <f t="shared" si="3"/>
        <v>0</v>
      </c>
      <c r="AP42" s="9">
        <f t="shared" si="3"/>
        <v>0</v>
      </c>
    </row>
    <row r="45" spans="1:42" x14ac:dyDescent="0.25">
      <c r="G45" s="2"/>
    </row>
  </sheetData>
  <autoFilter ref="A6:V40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4" t="s">
        <v>315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4" t="s">
        <v>315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6" t="s">
        <v>281</v>
      </c>
      <c r="C3" s="167"/>
      <c r="D3" s="167"/>
      <c r="E3" s="167"/>
      <c r="F3" s="167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8" t="s">
        <v>291</v>
      </c>
      <c r="C27" s="169"/>
      <c r="D27" s="169"/>
      <c r="E27" s="169"/>
      <c r="F27" s="169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6" t="s">
        <v>281</v>
      </c>
      <c r="C3" s="167"/>
      <c r="D3" s="167"/>
      <c r="E3" s="167"/>
      <c r="F3" s="167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8" t="s">
        <v>291</v>
      </c>
      <c r="C27" s="169"/>
      <c r="D27" s="169"/>
      <c r="E27" s="169"/>
      <c r="F27" s="169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70" t="s">
        <v>186</v>
      </c>
      <c r="B4" s="171"/>
      <c r="C4" s="171"/>
      <c r="D4" s="171"/>
      <c r="E4" s="171"/>
      <c r="F4" s="171"/>
      <c r="G4" s="171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70" t="s">
        <v>186</v>
      </c>
      <c r="B4" s="171"/>
      <c r="C4" s="171"/>
      <c r="D4" s="171"/>
      <c r="E4" s="171"/>
      <c r="F4" s="171"/>
      <c r="G4" s="171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G14" sqref="G14"/>
    </sheetView>
  </sheetViews>
  <sheetFormatPr baseColWidth="10" defaultRowHeight="15" x14ac:dyDescent="0.25"/>
  <cols>
    <col min="2" max="2" width="16.140625" bestFit="1" customWidth="1"/>
    <col min="3" max="3" width="16.140625" customWidth="1"/>
    <col min="4" max="4" width="17.140625" bestFit="1" customWidth="1"/>
  </cols>
  <sheetData>
    <row r="2" spans="1:4" x14ac:dyDescent="0.25">
      <c r="B2" t="s">
        <v>158</v>
      </c>
    </row>
    <row r="4" spans="1:4" x14ac:dyDescent="0.25">
      <c r="A4" t="s">
        <v>161</v>
      </c>
      <c r="B4" t="s">
        <v>159</v>
      </c>
      <c r="C4" t="s">
        <v>314</v>
      </c>
      <c r="D4" t="s">
        <v>160</v>
      </c>
    </row>
    <row r="6" spans="1:4" x14ac:dyDescent="0.25">
      <c r="B6" s="6">
        <v>763899.37129714503</v>
      </c>
      <c r="C6" s="6">
        <v>193000</v>
      </c>
      <c r="D6" s="6"/>
    </row>
    <row r="7" spans="1:4" x14ac:dyDescent="0.25">
      <c r="A7" s="62">
        <v>43770</v>
      </c>
      <c r="B7" s="6"/>
      <c r="C7" s="6"/>
      <c r="D7" s="6">
        <v>50000</v>
      </c>
    </row>
    <row r="8" spans="1:4" x14ac:dyDescent="0.25">
      <c r="A8" s="58">
        <v>44031</v>
      </c>
      <c r="B8" s="6"/>
      <c r="C8" s="6"/>
      <c r="D8" s="6">
        <v>75000</v>
      </c>
    </row>
    <row r="9" spans="1:4" x14ac:dyDescent="0.25">
      <c r="A9" s="58">
        <v>44216</v>
      </c>
      <c r="B9" s="6"/>
      <c r="C9" s="6"/>
      <c r="D9" s="6">
        <v>35000</v>
      </c>
    </row>
    <row r="10" spans="1:4" x14ac:dyDescent="0.25">
      <c r="A10" s="58">
        <v>44275</v>
      </c>
      <c r="B10" s="6"/>
      <c r="C10" s="6"/>
      <c r="D10" s="6">
        <v>35000</v>
      </c>
    </row>
    <row r="11" spans="1:4" x14ac:dyDescent="0.25">
      <c r="A11" s="58">
        <v>44304</v>
      </c>
      <c r="B11" s="6"/>
      <c r="C11" s="6"/>
      <c r="D11" s="6">
        <v>35000</v>
      </c>
    </row>
    <row r="12" spans="1:4" x14ac:dyDescent="0.25">
      <c r="A12" s="58">
        <v>44332</v>
      </c>
      <c r="B12" s="6"/>
      <c r="C12" s="6"/>
      <c r="D12" s="6">
        <v>35000</v>
      </c>
    </row>
    <row r="13" spans="1:4" x14ac:dyDescent="0.25">
      <c r="A13" s="58">
        <v>44367</v>
      </c>
      <c r="B13" s="6"/>
      <c r="C13" s="6"/>
      <c r="D13" s="6">
        <v>35000</v>
      </c>
    </row>
    <row r="14" spans="1:4" x14ac:dyDescent="0.25">
      <c r="A14" s="58">
        <v>44397</v>
      </c>
      <c r="B14" s="6"/>
      <c r="C14" s="6"/>
      <c r="D14" s="6">
        <v>35000</v>
      </c>
    </row>
    <row r="15" spans="1:4" x14ac:dyDescent="0.25">
      <c r="A15" s="58"/>
      <c r="B15" s="6"/>
      <c r="C15" s="6"/>
      <c r="D15" s="6"/>
    </row>
    <row r="16" spans="1:4" x14ac:dyDescent="0.25">
      <c r="A16" s="58"/>
      <c r="B16" s="6"/>
      <c r="C16" s="6"/>
      <c r="D16" s="6"/>
    </row>
    <row r="17" spans="1:7" x14ac:dyDescent="0.25">
      <c r="A17" s="58"/>
      <c r="B17" s="6"/>
      <c r="C17" s="6"/>
      <c r="D17" s="6"/>
    </row>
    <row r="18" spans="1:7" x14ac:dyDescent="0.25">
      <c r="A18" s="58"/>
      <c r="B18" s="6"/>
      <c r="C18" s="6"/>
      <c r="D18" s="6"/>
    </row>
    <row r="19" spans="1:7" x14ac:dyDescent="0.25">
      <c r="B19" s="6"/>
      <c r="C19" s="6"/>
      <c r="D19" s="6"/>
    </row>
    <row r="20" spans="1:7" ht="18.75" x14ac:dyDescent="0.3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25">
      <c r="B21" s="6"/>
      <c r="C21" s="6"/>
      <c r="D21" s="6"/>
    </row>
    <row r="22" spans="1:7" x14ac:dyDescent="0.25">
      <c r="B22" s="6"/>
      <c r="C22" s="6"/>
      <c r="D22" s="6"/>
    </row>
    <row r="23" spans="1:7" x14ac:dyDescent="0.25">
      <c r="B23" s="6"/>
      <c r="C23" s="6"/>
      <c r="D23" s="6"/>
    </row>
    <row r="24" spans="1:7" x14ac:dyDescent="0.25">
      <c r="B24" s="6"/>
      <c r="C24" s="6"/>
      <c r="D24" s="6"/>
    </row>
    <row r="25" spans="1:7" x14ac:dyDescent="0.25">
      <c r="B25" s="6"/>
      <c r="C25" s="6"/>
      <c r="D25" s="6"/>
    </row>
    <row r="26" spans="1:7" x14ac:dyDescent="0.25">
      <c r="B26" s="6"/>
      <c r="C26" s="6"/>
      <c r="D26" s="6"/>
    </row>
    <row r="27" spans="1:7" x14ac:dyDescent="0.25">
      <c r="B27" s="6"/>
      <c r="C27" s="6"/>
      <c r="D27" s="6"/>
    </row>
    <row r="28" spans="1:7" x14ac:dyDescent="0.25">
      <c r="B28" s="6"/>
      <c r="C28" s="6"/>
      <c r="D28" s="6"/>
    </row>
    <row r="29" spans="1:7" x14ac:dyDescent="0.25">
      <c r="B29" s="6"/>
      <c r="C29" s="6"/>
      <c r="D29" s="6"/>
    </row>
    <row r="30" spans="1:7" x14ac:dyDescent="0.25">
      <c r="B30" s="6"/>
      <c r="C30" s="6"/>
      <c r="D30" s="6"/>
    </row>
    <row r="31" spans="1:7" x14ac:dyDescent="0.25">
      <c r="B31" s="6"/>
      <c r="C31" s="6"/>
      <c r="D31" s="6"/>
    </row>
    <row r="32" spans="1:7" x14ac:dyDescent="0.25">
      <c r="B32" s="6"/>
      <c r="C32" s="6"/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G14" sqref="G14"/>
    </sheetView>
  </sheetViews>
  <sheetFormatPr baseColWidth="10" defaultRowHeight="15" x14ac:dyDescent="0.25"/>
  <cols>
    <col min="2" max="2" width="16.140625" bestFit="1" customWidth="1"/>
    <col min="3" max="3" width="16.140625" customWidth="1"/>
    <col min="4" max="4" width="17.140625" bestFit="1" customWidth="1"/>
  </cols>
  <sheetData>
    <row r="2" spans="1:4" x14ac:dyDescent="0.25">
      <c r="B2" t="s">
        <v>158</v>
      </c>
    </row>
    <row r="4" spans="1:4" x14ac:dyDescent="0.25">
      <c r="A4" t="s">
        <v>161</v>
      </c>
      <c r="B4" t="s">
        <v>159</v>
      </c>
      <c r="C4" t="s">
        <v>314</v>
      </c>
      <c r="D4" t="s">
        <v>160</v>
      </c>
    </row>
    <row r="6" spans="1:4" x14ac:dyDescent="0.25">
      <c r="B6" s="6">
        <v>763899.37129714503</v>
      </c>
      <c r="C6" s="6">
        <v>193000</v>
      </c>
      <c r="D6" s="6"/>
    </row>
    <row r="7" spans="1:4" x14ac:dyDescent="0.25">
      <c r="A7" s="62">
        <v>43770</v>
      </c>
      <c r="B7" s="6"/>
      <c r="C7" s="6"/>
      <c r="D7" s="6">
        <v>50000</v>
      </c>
    </row>
    <row r="8" spans="1:4" x14ac:dyDescent="0.25">
      <c r="A8" s="58">
        <v>44031</v>
      </c>
      <c r="B8" s="6"/>
      <c r="C8" s="6"/>
      <c r="D8" s="6">
        <v>75000</v>
      </c>
    </row>
    <row r="9" spans="1:4" x14ac:dyDescent="0.25">
      <c r="A9" s="58">
        <v>44216</v>
      </c>
      <c r="B9" s="6"/>
      <c r="C9" s="6"/>
      <c r="D9" s="6">
        <v>35000</v>
      </c>
    </row>
    <row r="10" spans="1:4" x14ac:dyDescent="0.25">
      <c r="A10" s="58">
        <v>44275</v>
      </c>
      <c r="B10" s="6"/>
      <c r="C10" s="6"/>
      <c r="D10" s="6">
        <v>35000</v>
      </c>
    </row>
    <row r="11" spans="1:4" x14ac:dyDescent="0.25">
      <c r="A11" s="58">
        <v>44304</v>
      </c>
      <c r="B11" s="6"/>
      <c r="C11" s="6"/>
      <c r="D11" s="6">
        <v>35000</v>
      </c>
    </row>
    <row r="12" spans="1:4" x14ac:dyDescent="0.25">
      <c r="A12" s="58">
        <v>44332</v>
      </c>
      <c r="B12" s="6"/>
      <c r="C12" s="6"/>
      <c r="D12" s="6">
        <v>35000</v>
      </c>
    </row>
    <row r="13" spans="1:4" x14ac:dyDescent="0.25">
      <c r="A13" s="58">
        <v>44367</v>
      </c>
      <c r="B13" s="6"/>
      <c r="C13" s="6"/>
      <c r="D13" s="6">
        <v>35000</v>
      </c>
    </row>
    <row r="14" spans="1:4" x14ac:dyDescent="0.25">
      <c r="A14" s="58">
        <v>44397</v>
      </c>
      <c r="B14" s="6"/>
      <c r="C14" s="6"/>
      <c r="D14" s="6">
        <v>35000</v>
      </c>
    </row>
    <row r="15" spans="1:4" x14ac:dyDescent="0.25">
      <c r="A15" s="58"/>
      <c r="B15" s="6"/>
      <c r="C15" s="6"/>
      <c r="D15" s="6"/>
    </row>
    <row r="16" spans="1:4" x14ac:dyDescent="0.25">
      <c r="A16" s="58"/>
      <c r="B16" s="6"/>
      <c r="C16" s="6"/>
      <c r="D16" s="6"/>
    </row>
    <row r="17" spans="1:7" x14ac:dyDescent="0.25">
      <c r="A17" s="58"/>
      <c r="B17" s="6"/>
      <c r="C17" s="6"/>
      <c r="D17" s="6"/>
    </row>
    <row r="18" spans="1:7" x14ac:dyDescent="0.25">
      <c r="A18" s="58"/>
      <c r="B18" s="6"/>
      <c r="C18" s="6"/>
      <c r="D18" s="6"/>
    </row>
    <row r="19" spans="1:7" x14ac:dyDescent="0.25">
      <c r="B19" s="6"/>
      <c r="C19" s="6"/>
      <c r="D19" s="6"/>
    </row>
    <row r="20" spans="1:7" ht="18.75" x14ac:dyDescent="0.3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25">
      <c r="B21" s="6"/>
      <c r="C21" s="6"/>
      <c r="D21" s="6"/>
    </row>
    <row r="22" spans="1:7" x14ac:dyDescent="0.25">
      <c r="B22" s="6"/>
      <c r="C22" s="6"/>
      <c r="D22" s="6"/>
    </row>
    <row r="23" spans="1:7" x14ac:dyDescent="0.25">
      <c r="B23" s="6"/>
      <c r="C23" s="6"/>
      <c r="D23" s="6"/>
    </row>
    <row r="24" spans="1:7" x14ac:dyDescent="0.25">
      <c r="B24" s="6"/>
      <c r="C24" s="6"/>
      <c r="D24" s="6"/>
    </row>
    <row r="25" spans="1:7" x14ac:dyDescent="0.25">
      <c r="B25" s="6"/>
      <c r="C25" s="6"/>
      <c r="D25" s="6"/>
    </row>
    <row r="26" spans="1:7" x14ac:dyDescent="0.25">
      <c r="B26" s="6"/>
      <c r="C26" s="6"/>
      <c r="D26" s="6"/>
    </row>
    <row r="27" spans="1:7" x14ac:dyDescent="0.25">
      <c r="B27" s="6"/>
      <c r="C27" s="6"/>
      <c r="D27" s="6"/>
    </row>
    <row r="28" spans="1:7" x14ac:dyDescent="0.25">
      <c r="B28" s="6"/>
      <c r="C28" s="6"/>
      <c r="D28" s="6"/>
    </row>
    <row r="29" spans="1:7" x14ac:dyDescent="0.25">
      <c r="B29" s="6"/>
      <c r="C29" s="6"/>
      <c r="D29" s="6"/>
    </row>
    <row r="30" spans="1:7" x14ac:dyDescent="0.25">
      <c r="B30" s="6"/>
      <c r="C30" s="6"/>
      <c r="D30" s="6"/>
    </row>
    <row r="31" spans="1:7" x14ac:dyDescent="0.25">
      <c r="B31" s="6"/>
      <c r="C31" s="6"/>
      <c r="D31" s="6"/>
    </row>
    <row r="32" spans="1:7" x14ac:dyDescent="0.25">
      <c r="B32" s="6"/>
      <c r="C32" s="6"/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