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ASELBY22RAPPORTANNUEL\"/>
    </mc:Choice>
  </mc:AlternateContent>
  <bookViews>
    <workbookView xWindow="0" yWindow="0" windowWidth="20490" windowHeight="7095"/>
  </bookViews>
  <sheets>
    <sheet name="MVTFONDSMUTUELLE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MVTFONDSMUTUELLE!$A$6:$D$34</definedName>
    <definedName name="BANQUE" localSheetId="0">#REF!</definedName>
    <definedName name="BANQUE">#REF!</definedName>
    <definedName name="MODEET30000" localSheetId="0">[3]MODEVERSEMENT!$A$1:$A$3</definedName>
    <definedName name="MODEET30000">[4]MODEVERSEMENT!$A$1:$A$3</definedName>
    <definedName name="MODEPAID">[5]Feuil2!$A$1:$A$3</definedName>
    <definedName name="MODEPAID30000" localSheetId="0">MVTFONDSMUTUELLE!#REF!</definedName>
    <definedName name="MODEPAIDOK" localSheetId="0">[6]MODEVERSEMENT!$A$1:$A$4</definedName>
    <definedName name="MODEPAIDS" localSheetId="0">[3]MODEVERSEMENT!$A$1:$A$3</definedName>
    <definedName name="MODEPAIDS">[4]MODEVERSEMENT!$A$1:$A$3</definedName>
    <definedName name="MODET25000">[7]MODEVERSEMENT!$A$1:$A$3</definedName>
    <definedName name="MODET3000" localSheetId="0">[3]MODEVERSEMENT!$A$1:$A$3</definedName>
    <definedName name="MODET3000">[4]MODEVERSEMENT!$A$1:$A$3</definedName>
    <definedName name="MODET30000" localSheetId="0">MVTFONDSMUTUELLE!#REF!</definedName>
    <definedName name="MODEVERSEMENT" localSheetId="0">#REF!</definedName>
    <definedName name="MODEVERSEMENT">#REF!</definedName>
    <definedName name="MODEVERSEMENTS">[8]MODEVERSEMENT!$A$1:$A$3</definedName>
    <definedName name="MODPAID" localSheetId="0">MVTFONDSMUTUELLE!#REF!</definedName>
    <definedName name="VALMODEPAID" localSheetId="0">[9]MODEPAID!$A$1:$A$3</definedName>
    <definedName name="VALMODEPAID">[10]MODEPAID!$A$1:$A$3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C36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<sst xmlns="http://schemas.openxmlformats.org/spreadsheetml/2006/main" count="73" uniqueCount="70">
  <si>
    <t>ASSOCIATION</t>
  </si>
  <si>
    <t>ASELBY</t>
  </si>
  <si>
    <t>ANNEE</t>
  </si>
  <si>
    <t xml:space="preserve">TONTINE </t>
  </si>
  <si>
    <t>FONDS MUTUELLE</t>
  </si>
  <si>
    <t>ENTREE</t>
  </si>
  <si>
    <t>SORTIE</t>
  </si>
  <si>
    <t>MATRICULE</t>
  </si>
  <si>
    <t>NOM ET PRENOM</t>
  </si>
  <si>
    <t>MONTANT</t>
  </si>
  <si>
    <t>DATE</t>
  </si>
  <si>
    <t>LIBELLE</t>
  </si>
  <si>
    <t>AS201648</t>
  </si>
  <si>
    <t>AS201602</t>
  </si>
  <si>
    <t>GRATIFICATION 2022</t>
  </si>
  <si>
    <t>BOUTCHOUANG WILLIAM</t>
  </si>
  <si>
    <t>AS201604</t>
  </si>
  <si>
    <t xml:space="preserve">DJOMO JEAN PAUL </t>
  </si>
  <si>
    <t>AS201654</t>
  </si>
  <si>
    <t>DJOMOU TCHANDA</t>
  </si>
  <si>
    <t>AS201605</t>
  </si>
  <si>
    <t>DJOUKWE NANGUEN GUY BLAISE</t>
  </si>
  <si>
    <t>AS201608</t>
  </si>
  <si>
    <t>DJUOMBESSY ANTOINE</t>
  </si>
  <si>
    <t>AS201651</t>
  </si>
  <si>
    <t>DOMOU FABIEN</t>
  </si>
  <si>
    <t>AS201609</t>
  </si>
  <si>
    <t>DONHOU DAVID</t>
  </si>
  <si>
    <t>AS201611</t>
  </si>
  <si>
    <t>FOTSO THOMAS</t>
  </si>
  <si>
    <t>AS201613</t>
  </si>
  <si>
    <t>HENGUE PAUL OMER</t>
  </si>
  <si>
    <t>AS201617</t>
  </si>
  <si>
    <t>HOTCHO BENJAMIN</t>
  </si>
  <si>
    <t>AS201619</t>
  </si>
  <si>
    <t>KOUAMOU MOISE</t>
  </si>
  <si>
    <t>AS201620</t>
  </si>
  <si>
    <t>KOUATCHO MESSACK</t>
  </si>
  <si>
    <t>AS201649</t>
  </si>
  <si>
    <t>LOWE JEAN</t>
  </si>
  <si>
    <t>AS201639</t>
  </si>
  <si>
    <t>MBOGNING TUGMA GUY</t>
  </si>
  <si>
    <t>AS201621</t>
  </si>
  <si>
    <t>NANGUEN MARTIN</t>
  </si>
  <si>
    <t>AS201622</t>
  </si>
  <si>
    <t>NANKAM APPOLINAIRE</t>
  </si>
  <si>
    <t>AS201624</t>
  </si>
  <si>
    <t>NDJOMO ETIENNE</t>
  </si>
  <si>
    <t>AS201626</t>
  </si>
  <si>
    <t>NGONDIEP CLAUDE</t>
  </si>
  <si>
    <t>AS201628</t>
  </si>
  <si>
    <t>NGUIEMEGNI MATHIEU BLAISE</t>
  </si>
  <si>
    <t>AS201629</t>
  </si>
  <si>
    <t>NKAMGANG JUSTIN DEJOLIE</t>
  </si>
  <si>
    <t>AS201633</t>
  </si>
  <si>
    <t>NKEHE DAVID</t>
  </si>
  <si>
    <t>AS201653</t>
  </si>
  <si>
    <t>NKEPSEU DIEUDONNE</t>
  </si>
  <si>
    <t>AS201636</t>
  </si>
  <si>
    <t>AS201638</t>
  </si>
  <si>
    <t>PATEGO NJOSSU GUSTAVE</t>
  </si>
  <si>
    <t>AS201641</t>
  </si>
  <si>
    <t>SIME BRICE</t>
  </si>
  <si>
    <t>AS201646</t>
  </si>
  <si>
    <t>SIMO PIERRE</t>
  </si>
  <si>
    <t>AS201647</t>
  </si>
  <si>
    <t>TCHOUAMOU MATHIEU</t>
  </si>
  <si>
    <t>YEPMOU JEAN JACQUES</t>
  </si>
  <si>
    <t>TOTAL</t>
  </si>
  <si>
    <t>YOUMBI EMMANUEL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</si>
</sst>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C]mmm\-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B050"/>
      <name val="Britannic Bold"/>
      <family val="2"/>
    </font>
    <font>
      <sz val="14"/>
      <color theme="1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3" fontId="1" fillId="0" borderId="6" xfId="0" applyNumberFormat="1" applyFont="1" applyBorder="1" applyAlignment="1">
      <alignment wrapText="1"/>
    </xf>
    <xf numFmtId="3" fontId="1" fillId="0" borderId="4" xfId="0" applyNumberFormat="1" applyFont="1" applyBorder="1" applyAlignment="1">
      <alignment wrapText="1"/>
    </xf>
    <xf numFmtId="3" fontId="1" fillId="0" borderId="5" xfId="0" applyNumberFormat="1" applyFont="1" applyBorder="1" applyAlignment="1">
      <alignment wrapText="1"/>
    </xf>
    <xf numFmtId="3" fontId="4" fillId="0" borderId="6" xfId="0" applyNumberFormat="1" applyFont="1" applyBorder="1"/>
    <xf numFmtId="3" fontId="4" fillId="0" borderId="4" xfId="0" applyNumberFormat="1" applyFont="1" applyBorder="1"/>
    <xf numFmtId="0" fontId="0" fillId="0" borderId="5" xfId="0" applyBorder="1"/>
    <xf numFmtId="0" fontId="0" fillId="0" borderId="6" xfId="0" applyBorder="1"/>
    <xf numFmtId="164" fontId="4" fillId="0" borderId="4" xfId="0" applyNumberFormat="1" applyFont="1" applyBorder="1"/>
    <xf numFmtId="3" fontId="0" fillId="0" borderId="6" xfId="0" applyNumberFormat="1" applyBorder="1"/>
    <xf numFmtId="3" fontId="0" fillId="0" borderId="4" xfId="0" applyNumberFormat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3" fontId="5" fillId="0" borderId="7" xfId="0" applyNumberFormat="1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LISTEADHEREN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2/ASELBY2022AUTREMOUVEMEN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JANV22"/>
      <sheetName val="MVTFEV22"/>
      <sheetName val="MVTMARS22"/>
      <sheetName val="MVTAVRIL22"/>
      <sheetName val="MVTMAI22"/>
      <sheetName val="MVTJUIN22"/>
      <sheetName val="MVTJUIL22"/>
      <sheetName val="MVTAOUT22"/>
      <sheetName val="MVTSEPT22"/>
      <sheetName val="MVTOCT22"/>
      <sheetName val="MVTNOV22"/>
      <sheetName val="MVTDEC22"/>
      <sheetName val="MVTRESUME22"/>
      <sheetName val="MVTREPARTITION2022"/>
      <sheetName val="BILAN 2022"/>
      <sheetName val="MVTFONDSROULEMENT"/>
      <sheetName val="MVTFRAISEXCEPT22"/>
      <sheetName val="MVTFONDSMUTUELLE"/>
      <sheetName val="MVTPENALITE"/>
      <sheetName val="MVTCOLLATION"/>
      <sheetName val="MVTFOYER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zoomScaleNormal="100" workbookViewId="0">
      <pane xSplit="2" ySplit="6" topLeftCell="C28" activePane="bottomRight" state="frozen"/>
      <selection activeCell="B43" sqref="B43"/>
      <selection pane="topRight" activeCell="B43" sqref="B43"/>
      <selection pane="bottomLeft" activeCell="B43" sqref="B43"/>
      <selection pane="bottomRight" activeCell="C6" sqref="C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9.42578125" style="2" customWidth="1"/>
    <col min="4" max="4" width="12.42578125" style="2" customWidth="1"/>
    <col min="5" max="5" width="19.28515625" bestFit="1" customWidth="1"/>
    <col min="6" max="6" width="12.42578125" bestFit="1" customWidth="1"/>
  </cols>
  <sheetData>
    <row r="1" spans="1:8" x14ac:dyDescent="0.25">
      <c r="A1" s="1" t="s">
        <v>0</v>
      </c>
      <c r="B1" s="1" t="s">
        <v>1</v>
      </c>
    </row>
    <row r="2" spans="1:8" x14ac:dyDescent="0.25">
      <c r="A2" s="1" t="s">
        <v>2</v>
      </c>
      <c r="B2" s="1">
        <v>2022</v>
      </c>
    </row>
    <row r="3" spans="1:8" x14ac:dyDescent="0.25">
      <c r="A3" s="1" t="s">
        <v>3</v>
      </c>
      <c r="B3" s="3"/>
    </row>
    <row r="4" spans="1:8" ht="34.5" thickBot="1" x14ac:dyDescent="0.55000000000000004">
      <c r="C4" s="4" t="s">
        <v>4</v>
      </c>
      <c r="D4"/>
    </row>
    <row r="5" spans="1:8" ht="21.75" thickTop="1" x14ac:dyDescent="0.35">
      <c r="A5" s="5"/>
      <c r="B5" s="6"/>
      <c r="C5" s="7" t="s">
        <v>5</v>
      </c>
      <c r="D5" s="8" t="s">
        <v>6</v>
      </c>
      <c r="E5" s="9"/>
      <c r="F5" s="10"/>
    </row>
    <row r="6" spans="1:8" x14ac:dyDescent="0.25">
      <c r="A6" s="11" t="s">
        <v>7</v>
      </c>
      <c r="B6" s="12" t="s">
        <v>8</v>
      </c>
      <c r="C6" s="13" t="s">
        <v>9</v>
      </c>
      <c r="D6" s="14" t="s">
        <v>10</v>
      </c>
      <c r="E6" s="15" t="s">
        <v>11</v>
      </c>
      <c r="F6" s="13" t="s">
        <v>9</v>
      </c>
    </row>
    <row r="7" spans="1:8" x14ac:dyDescent="0.25">
      <c r="A7" s="11" t="s">
        <v>12</v>
      </c>
      <c r="B7" s="12" t="str">
        <f>VLOOKUP(A7,[1]LISTADHERENT!A$5:H$60,3,0)</f>
        <v>ASELBY</v>
      </c>
      <c r="C7" s="16">
        <v>0</v>
      </c>
      <c r="D7" s="17"/>
      <c r="E7" s="18"/>
      <c r="F7" s="19"/>
      <c r="H7" t="s">
        <v>1</v>
      </c>
    </row>
    <row r="8" spans="1:8" x14ac:dyDescent="0.25">
      <c r="A8" s="11" t="s">
        <v>13</v>
      </c>
      <c r="B8" s="12" t="str">
        <f>VLOOKUP(A8,[1]LISTADHERENT!A$5:H$60,3,0)</f>
        <v>BOUTCHOUANG WILLIAM</v>
      </c>
      <c r="C8" s="16">
        <v>20000</v>
      </c>
      <c r="D8" s="20">
        <v>44562</v>
      </c>
      <c r="E8" s="18" t="s">
        <v>14</v>
      </c>
      <c r="F8" s="21">
        <v>200000</v>
      </c>
      <c r="H8" t="s">
        <v>15</v>
      </c>
    </row>
    <row r="9" spans="1:8" x14ac:dyDescent="0.25">
      <c r="A9" s="11" t="s">
        <v>16</v>
      </c>
      <c r="B9" s="12" t="str">
        <f>VLOOKUP(A9,[1]LISTADHERENT!A$5:H$60,3,0)</f>
        <v xml:space="preserve">DJOMO JEAN PAUL </v>
      </c>
      <c r="C9" s="16">
        <v>20000</v>
      </c>
      <c r="D9" s="17"/>
      <c r="E9" s="18"/>
      <c r="F9" s="19"/>
      <c r="H9" t="s">
        <v>17</v>
      </c>
    </row>
    <row r="10" spans="1:8" x14ac:dyDescent="0.25">
      <c r="A10" s="11" t="s">
        <v>18</v>
      </c>
      <c r="B10" s="12" t="str">
        <f>VLOOKUP(A10,[1]LISTADHERENT!A$5:H$60,3,0)</f>
        <v>DJOMOU TCHANDA</v>
      </c>
      <c r="C10" s="16">
        <v>20000</v>
      </c>
      <c r="D10" s="17"/>
      <c r="E10" s="18"/>
      <c r="F10" s="19"/>
      <c r="H10" t="s">
        <v>19</v>
      </c>
    </row>
    <row r="11" spans="1:8" x14ac:dyDescent="0.25">
      <c r="A11" s="11" t="s">
        <v>20</v>
      </c>
      <c r="B11" s="12" t="str">
        <f>VLOOKUP(A11,[1]LISTADHERENT!A$5:H$60,3,0)</f>
        <v>DJOUKWE NANGUEN GUY BLAISE</v>
      </c>
      <c r="C11" s="16">
        <v>20000</v>
      </c>
      <c r="D11" s="17"/>
      <c r="E11" s="18"/>
      <c r="F11" s="19"/>
      <c r="H11" t="s">
        <v>21</v>
      </c>
    </row>
    <row r="12" spans="1:8" x14ac:dyDescent="0.25">
      <c r="A12" s="11" t="s">
        <v>22</v>
      </c>
      <c r="B12" s="12" t="str">
        <f>VLOOKUP(A12,[1]LISTADHERENT!A$5:H$60,3,0)</f>
        <v>DJUOMBESSY ANTOINE</v>
      </c>
      <c r="C12" s="16">
        <v>20000</v>
      </c>
      <c r="D12" s="17"/>
      <c r="E12" s="18"/>
      <c r="F12" s="19"/>
      <c r="H12" t="s">
        <v>23</v>
      </c>
    </row>
    <row r="13" spans="1:8" ht="14.25" customHeight="1" x14ac:dyDescent="0.25">
      <c r="A13" s="11" t="s">
        <v>24</v>
      </c>
      <c r="B13" s="12" t="str">
        <f>VLOOKUP(A13,[1]LISTADHERENT!A$5:H$60,3,0)</f>
        <v>DOMOU FABIEN</v>
      </c>
      <c r="C13" s="16">
        <v>20000</v>
      </c>
      <c r="D13" s="17"/>
      <c r="E13" s="18"/>
      <c r="F13" s="19"/>
      <c r="H13" t="s">
        <v>25</v>
      </c>
    </row>
    <row r="14" spans="1:8" x14ac:dyDescent="0.25">
      <c r="A14" s="11" t="s">
        <v>26</v>
      </c>
      <c r="B14" s="12" t="str">
        <f>VLOOKUP(A14,[1]LISTADHERENT!A$5:H$60,3,0)</f>
        <v>DONHOU DAVID</v>
      </c>
      <c r="C14" s="16">
        <v>20000</v>
      </c>
      <c r="D14" s="17"/>
      <c r="E14" s="18"/>
      <c r="F14" s="19"/>
      <c r="H14" t="s">
        <v>27</v>
      </c>
    </row>
    <row r="15" spans="1:8" ht="14.25" customHeight="1" x14ac:dyDescent="0.25">
      <c r="A15" s="11" t="s">
        <v>28</v>
      </c>
      <c r="B15" s="12" t="str">
        <f>VLOOKUP(A15,[1]LISTADHERENT!A$5:H$60,3,0)</f>
        <v>HENGUE PAUL OMER</v>
      </c>
      <c r="C15" s="16">
        <v>20000</v>
      </c>
      <c r="D15" s="17"/>
      <c r="E15" s="18"/>
      <c r="F15" s="19"/>
      <c r="H15" t="s">
        <v>29</v>
      </c>
    </row>
    <row r="16" spans="1:8" x14ac:dyDescent="0.25">
      <c r="A16" s="11" t="s">
        <v>30</v>
      </c>
      <c r="B16" s="12" t="str">
        <f>VLOOKUP(A16,[1]LISTADHERENT!A$5:H$60,3,0)</f>
        <v>HOTCHO BENJAMIN</v>
      </c>
      <c r="C16" s="16">
        <v>20000</v>
      </c>
      <c r="D16" s="17"/>
      <c r="E16" s="18"/>
      <c r="F16" s="19"/>
      <c r="H16" t="s">
        <v>31</v>
      </c>
    </row>
    <row r="17" spans="1:8" x14ac:dyDescent="0.25">
      <c r="A17" s="11" t="s">
        <v>32</v>
      </c>
      <c r="B17" s="12" t="str">
        <f>VLOOKUP(A17,[1]LISTADHERENT!A$5:H$60,3,0)</f>
        <v>KOUAMOU MOISE</v>
      </c>
      <c r="C17" s="16">
        <v>20000</v>
      </c>
      <c r="D17" s="17"/>
      <c r="E17" s="18"/>
      <c r="F17" s="19"/>
      <c r="H17" t="s">
        <v>33</v>
      </c>
    </row>
    <row r="18" spans="1:8" x14ac:dyDescent="0.25">
      <c r="A18" s="11" t="s">
        <v>34</v>
      </c>
      <c r="B18" s="12" t="str">
        <f>VLOOKUP(A18,[1]LISTADHERENT!A$5:H$60,3,0)</f>
        <v>KOUATCHO MESSACK</v>
      </c>
      <c r="C18" s="16">
        <v>20000</v>
      </c>
      <c r="D18" s="17"/>
      <c r="E18" s="18"/>
      <c r="F18" s="19"/>
      <c r="H18" t="s">
        <v>35</v>
      </c>
    </row>
    <row r="19" spans="1:8" x14ac:dyDescent="0.25">
      <c r="A19" s="11" t="s">
        <v>36</v>
      </c>
      <c r="B19" s="12" t="str">
        <f>VLOOKUP(A19,[1]LISTADHERENT!A$5:H$60,3,0)</f>
        <v>LOWE JEAN</v>
      </c>
      <c r="C19" s="16">
        <v>20000</v>
      </c>
      <c r="D19" s="17"/>
      <c r="E19" s="18"/>
      <c r="F19" s="19"/>
      <c r="H19" t="s">
        <v>37</v>
      </c>
    </row>
    <row r="20" spans="1:8" x14ac:dyDescent="0.25">
      <c r="A20" s="11" t="s">
        <v>38</v>
      </c>
      <c r="B20" s="12" t="str">
        <f>VLOOKUP(A20,[1]LISTADHERENT!A$5:H$60,3,0)</f>
        <v>MBOGNING TUGMA GUY</v>
      </c>
      <c r="C20" s="16">
        <v>20000</v>
      </c>
      <c r="D20" s="17"/>
      <c r="E20" s="18"/>
      <c r="F20" s="19"/>
      <c r="H20" t="s">
        <v>39</v>
      </c>
    </row>
    <row r="21" spans="1:8" x14ac:dyDescent="0.25">
      <c r="A21" s="11" t="s">
        <v>40</v>
      </c>
      <c r="B21" s="12" t="str">
        <f>VLOOKUP(A21,[1]LISTADHERENT!A$5:H$60,3,0)</f>
        <v>NANGUEN MARTIN</v>
      </c>
      <c r="C21" s="16">
        <v>20000</v>
      </c>
      <c r="D21" s="17"/>
      <c r="E21" s="18"/>
      <c r="F21" s="19"/>
      <c r="H21" t="s">
        <v>41</v>
      </c>
    </row>
    <row r="22" spans="1:8" x14ac:dyDescent="0.25">
      <c r="A22" s="11" t="s">
        <v>42</v>
      </c>
      <c r="B22" s="12" t="str">
        <f>VLOOKUP(A22,[1]LISTADHERENT!A$5:H$60,3,0)</f>
        <v>NANKAM APPOLINAIRE</v>
      </c>
      <c r="C22" s="16">
        <v>20000</v>
      </c>
      <c r="D22" s="17"/>
      <c r="E22" s="18"/>
      <c r="F22" s="19"/>
      <c r="H22" t="s">
        <v>43</v>
      </c>
    </row>
    <row r="23" spans="1:8" x14ac:dyDescent="0.25">
      <c r="A23" s="11" t="s">
        <v>44</v>
      </c>
      <c r="B23" s="12" t="str">
        <f>VLOOKUP(A23,[1]LISTADHERENT!A$5:H$60,3,0)</f>
        <v>NDJOMO ETIENNE</v>
      </c>
      <c r="C23" s="16">
        <v>20000</v>
      </c>
      <c r="D23" s="17"/>
      <c r="E23" s="18"/>
      <c r="F23" s="19"/>
      <c r="H23" t="s">
        <v>45</v>
      </c>
    </row>
    <row r="24" spans="1:8" x14ac:dyDescent="0.25">
      <c r="A24" s="11" t="s">
        <v>46</v>
      </c>
      <c r="B24" s="12" t="str">
        <f>VLOOKUP(A24,[1]LISTADHERENT!A$5:H$60,3,0)</f>
        <v>NGONDIEP CLAUDE</v>
      </c>
      <c r="C24" s="16">
        <v>20000</v>
      </c>
      <c r="D24" s="17"/>
      <c r="E24" s="18"/>
      <c r="F24" s="19"/>
      <c r="H24" t="s">
        <v>47</v>
      </c>
    </row>
    <row r="25" spans="1:8" x14ac:dyDescent="0.25">
      <c r="A25" s="11" t="s">
        <v>48</v>
      </c>
      <c r="B25" s="12" t="str">
        <f>VLOOKUP(A25,[1]LISTADHERENT!A$5:H$60,3,0)</f>
        <v>NGUIEMEGNI MATHIEU BLAISE</v>
      </c>
      <c r="C25" s="16">
        <v>20000</v>
      </c>
      <c r="D25" s="17"/>
      <c r="E25" s="18"/>
      <c r="F25" s="19"/>
      <c r="H25" t="s">
        <v>49</v>
      </c>
    </row>
    <row r="26" spans="1:8" x14ac:dyDescent="0.25">
      <c r="A26" s="11" t="s">
        <v>50</v>
      </c>
      <c r="B26" s="12" t="str">
        <f>VLOOKUP(A26,[1]LISTADHERENT!A$5:H$60,3,0)</f>
        <v>NKAMGANG JUSTIN DEJOLIE</v>
      </c>
      <c r="C26" s="16">
        <v>20000</v>
      </c>
      <c r="D26" s="17"/>
      <c r="E26" s="18"/>
      <c r="F26" s="19"/>
      <c r="H26" t="s">
        <v>51</v>
      </c>
    </row>
    <row r="27" spans="1:8" x14ac:dyDescent="0.25">
      <c r="A27" s="11" t="s">
        <v>52</v>
      </c>
      <c r="B27" s="12" t="str">
        <f>VLOOKUP(A27,[1]LISTADHERENT!A$5:H$60,3,0)</f>
        <v>NKEPSEU DIEUDONNE</v>
      </c>
      <c r="C27" s="16">
        <v>20000</v>
      </c>
      <c r="D27" s="17"/>
      <c r="E27" s="18"/>
      <c r="F27" s="19"/>
      <c r="H27" t="s">
        <v>53</v>
      </c>
    </row>
    <row r="28" spans="1:8" x14ac:dyDescent="0.25">
      <c r="A28" s="11" t="s">
        <v>54</v>
      </c>
      <c r="B28" s="12" t="str">
        <f>VLOOKUP(A28,[1]LISTADHERENT!A$5:H$60,3,0)</f>
        <v>PATEGO NJOSSU GUSTAVE</v>
      </c>
      <c r="C28" s="16">
        <v>20000</v>
      </c>
      <c r="D28" s="17"/>
      <c r="E28" s="18"/>
      <c r="F28" s="19"/>
      <c r="H28" t="s">
        <v>55</v>
      </c>
    </row>
    <row r="29" spans="1:8" x14ac:dyDescent="0.25">
      <c r="A29" s="11" t="s">
        <v>56</v>
      </c>
      <c r="B29" s="12" t="str">
        <f>VLOOKUP(A29,[1]LISTADHERENT!A$5:H$60,3,0)</f>
        <v>SIME BRICE</v>
      </c>
      <c r="C29" s="16">
        <v>20000</v>
      </c>
      <c r="D29" s="17"/>
      <c r="E29" s="18"/>
      <c r="F29" s="19"/>
      <c r="H29" t="s">
        <v>57</v>
      </c>
    </row>
    <row r="30" spans="1:8" x14ac:dyDescent="0.25">
      <c r="A30" s="1" t="s">
        <v>58</v>
      </c>
      <c r="B30" s="1" t="str">
        <f>VLOOKUP(A30,[1]LISTADHERENT!A$5:H$60,3,0)</f>
        <v>SIMO FONGANG ERIC</v>
      </c>
      <c r="C30" s="16">
        <v>20000</v>
      </c>
      <c r="D30" s="17"/>
      <c r="E30" s="18"/>
      <c r="F30" s="19"/>
    </row>
    <row r="31" spans="1:8" x14ac:dyDescent="0.25">
      <c r="A31" s="11" t="s">
        <v>59</v>
      </c>
      <c r="B31" s="12" t="str">
        <f>VLOOKUP(A31,[1]LISTADHERENT!A$5:H$60,3,0)</f>
        <v>SIMO PIERRE</v>
      </c>
      <c r="C31" s="16">
        <v>20000</v>
      </c>
      <c r="D31" s="17"/>
      <c r="E31" s="18"/>
      <c r="F31" s="19"/>
      <c r="H31" t="s">
        <v>60</v>
      </c>
    </row>
    <row r="32" spans="1:8" x14ac:dyDescent="0.25">
      <c r="A32" s="11" t="s">
        <v>61</v>
      </c>
      <c r="B32" s="12" t="str">
        <f>VLOOKUP(A32,[1]LISTADHERENT!A$5:H$60,3,0)</f>
        <v>TCHOUAMOU MATHIEU</v>
      </c>
      <c r="C32" s="16">
        <v>20000</v>
      </c>
      <c r="D32" s="17"/>
      <c r="E32" s="18"/>
      <c r="F32" s="19"/>
      <c r="H32" t="s">
        <v>62</v>
      </c>
    </row>
    <row r="33" spans="1:8" x14ac:dyDescent="0.25">
      <c r="A33" s="11" t="s">
        <v>63</v>
      </c>
      <c r="B33" s="12" t="str">
        <f>VLOOKUP(A33,[1]LISTADHERENT!A$5:H$60,3,0)</f>
        <v>YEPMOU JEAN JACQUES</v>
      </c>
      <c r="C33" s="16">
        <v>20000</v>
      </c>
      <c r="D33" s="17"/>
      <c r="E33" s="18"/>
      <c r="F33" s="19"/>
      <c r="H33" t="s">
        <v>64</v>
      </c>
    </row>
    <row r="34" spans="1:8" x14ac:dyDescent="0.25">
      <c r="A34" s="11" t="s">
        <v>65</v>
      </c>
      <c r="B34" s="12" t="str">
        <f>VLOOKUP(A34,[1]LISTADHERENT!A$5:H$60,3,0)</f>
        <v>YOUMBI EMMANUEL</v>
      </c>
      <c r="C34" s="16">
        <v>20000</v>
      </c>
      <c r="D34" s="17"/>
      <c r="E34" s="18"/>
      <c r="F34" s="19"/>
      <c r="H34" t="s">
        <v>66</v>
      </c>
    </row>
    <row r="35" spans="1:8" x14ac:dyDescent="0.25">
      <c r="A35" s="11"/>
      <c r="B35" s="12"/>
      <c r="C35" s="21"/>
      <c r="D35" s="22"/>
      <c r="E35" s="18"/>
      <c r="F35" s="19"/>
      <c r="H35" t="s">
        <v>67</v>
      </c>
    </row>
    <row r="36" spans="1:8" ht="18.75" thickBot="1" x14ac:dyDescent="0.3">
      <c r="A36" s="23" t="s">
        <v>68</v>
      </c>
      <c r="B36" s="24"/>
      <c r="C36" s="25">
        <f>SUM(C7:C35)</f>
        <v>540000</v>
      </c>
      <c r="D36" s="26"/>
      <c r="E36" s="27"/>
      <c r="F36" s="25">
        <f>SUM(F7:F35)</f>
        <v>200000</v>
      </c>
      <c r="H36" t="s">
        <v>69</v>
      </c>
    </row>
    <row r="37" spans="1:8" ht="15.75" thickTop="1" x14ac:dyDescent="0.25">
      <c r="H37" t="s">
        <v>69</v>
      </c>
    </row>
  </sheetData>
  <mergeCells count="1">
    <mergeCell ref="D5:F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MVTFONDSMUTUELLE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2023-01-24T12:47:30Z</dcterms:created>
  <dcterms:modified xsi:type="dcterms:W3CDTF">2023-01-24T12:47:54Z</dcterms:modified>
</cp:coreProperties>
</file>