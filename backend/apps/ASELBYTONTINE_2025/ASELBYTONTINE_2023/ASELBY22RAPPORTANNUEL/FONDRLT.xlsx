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_2023\ASELBY22RAPPORTANNUEL\"/>
    </mc:Choice>
  </mc:AlternateContent>
  <bookViews>
    <workbookView xWindow="0" yWindow="0" windowWidth="20490" windowHeight="7095"/>
  </bookViews>
  <sheets>
    <sheet name="MVTFONDSROULEMEN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MVTFONDSROULEMENT!$A$6:$D$33</definedName>
    <definedName name="BANQUE" localSheetId="0">#REF!</definedName>
    <definedName name="BANQUE">#REF!</definedName>
    <definedName name="MODEET30000" localSheetId="0">[3]MODEVERSEMENT!$A$1:$A$3</definedName>
    <definedName name="MODEET30000">[4]MODEVERSEMENT!$A$1:$A$3</definedName>
    <definedName name="MODEPAID">[5]Feuil2!$A$1:$A$3</definedName>
    <definedName name="MODEPAID30000" localSheetId="0">MVTFONDSROULEMENT!#REF!</definedName>
    <definedName name="MODEPAIDOK" localSheetId="0">[6]MODEVERSEMENT!$A$1:$A$4</definedName>
    <definedName name="MODEPAIDS" localSheetId="0">[3]MODEVERSEMENT!$A$1:$A$3</definedName>
    <definedName name="MODEPAIDS">[4]MODEVERSEMENT!$A$1:$A$3</definedName>
    <definedName name="MODET25000">[7]MODEVERSEMENT!$A$1:$A$3</definedName>
    <definedName name="MODET3000" localSheetId="0">[3]MODEVERSEMENT!$A$1:$A$3</definedName>
    <definedName name="MODET3000">[4]MODEVERSEMENT!$A$1:$A$3</definedName>
    <definedName name="MODET30000" localSheetId="0">MVTFONDSROULEMENT!#REF!</definedName>
    <definedName name="MODEVERSEMENT" localSheetId="0">#REF!</definedName>
    <definedName name="MODEVERSEMENT">#REF!</definedName>
    <definedName name="MODEVERSEMENTS">[8]MODEVERSEMENT!$A$1:$A$3</definedName>
    <definedName name="MODPAID" localSheetId="0">MVTFONDSROULEMENT!#REF!</definedName>
    <definedName name="VALMODEPAID" localSheetId="0">[9]MODEPAID!$A$1:$A$3</definedName>
    <definedName name="VALMODEPAID">[10]MODEPAID!$A$1:$A$3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" l="1"/>
  <c r="C35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C7" i="1"/>
  <c r="B7" i="1"/>
</calcChain>
</file>

<file path=xl/sharedStrings.xml><?xml version="1.0" encoding="utf-8"?>
<sst xmlns="http://schemas.openxmlformats.org/spreadsheetml/2006/main" count="63" uniqueCount="45">
  <si>
    <t>ASSOCIATION</t>
  </si>
  <si>
    <t>ASELBY</t>
  </si>
  <si>
    <t>ANNEE</t>
  </si>
  <si>
    <t xml:space="preserve">TONTINE </t>
  </si>
  <si>
    <t>FONDS DE ROULEMENT</t>
  </si>
  <si>
    <t>ENTREE</t>
  </si>
  <si>
    <t>SORTIE</t>
  </si>
  <si>
    <t>MATRICULE</t>
  </si>
  <si>
    <t>NOM ET PRENOM</t>
  </si>
  <si>
    <t>MONTANT</t>
  </si>
  <si>
    <t>DATE</t>
  </si>
  <si>
    <t>LIBELLE</t>
  </si>
  <si>
    <t>AS201648</t>
  </si>
  <si>
    <t>AS201602</t>
  </si>
  <si>
    <t>COMMUNICATION</t>
  </si>
  <si>
    <t>AS201604</t>
  </si>
  <si>
    <t>COMMISSION</t>
  </si>
  <si>
    <t>AS201654</t>
  </si>
  <si>
    <t>PRODUCTION RAPPORT</t>
  </si>
  <si>
    <t>AS201605</t>
  </si>
  <si>
    <t>TAXI BANQUE</t>
  </si>
  <si>
    <t>AS201608</t>
  </si>
  <si>
    <t>AS201651</t>
  </si>
  <si>
    <t>AS201609</t>
  </si>
  <si>
    <t>AS201611</t>
  </si>
  <si>
    <t>ACHAT FOURNITURE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</si>
  <si>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</si>
  <si>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</si>
  <si>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</si>
  <si>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</si>
  <si>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</si>
  <si>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</si>
  <si>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</si>
  <si>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</si>
  <si>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</si>
  <si>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</si>
  <si>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</si>
  <si>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AS201629</t>
  </si>
  <si>
    <t>AS201633</t>
  </si>
  <si>
    <t>AS201653</t>
  </si>
  <si>
    <t>AS201638</t>
  </si>
  <si>
    <t>AS201641</t>
  </si>
  <si>
    <t>AS201646</t>
  </si>
  <si>
    <t>AS201647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</si>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</sst>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B050"/>
      <name val="Britannic Bold"/>
      <family val="2"/>
    </font>
    <font>
      <sz val="11"/>
      <color rgb="FFFF0000"/>
      <name val="Britannic Bold"/>
      <family val="2"/>
    </font>
    <font>
      <sz val="14"/>
      <color theme="1"/>
      <name val="Britannic Bol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3" fontId="1" fillId="0" borderId="6" xfId="0" applyNumberFormat="1" applyFont="1" applyBorder="1" applyAlignment="1">
      <alignment wrapText="1"/>
    </xf>
    <xf numFmtId="3" fontId="1" fillId="0" borderId="4" xfId="0" applyNumberFormat="1" applyFont="1" applyBorder="1" applyAlignment="1">
      <alignment wrapText="1"/>
    </xf>
    <xf numFmtId="3" fontId="1" fillId="0" borderId="5" xfId="0" applyNumberFormat="1" applyFont="1" applyBorder="1" applyAlignment="1">
      <alignment wrapText="1"/>
    </xf>
    <xf numFmtId="3" fontId="4" fillId="0" borderId="6" xfId="0" applyNumberFormat="1" applyFont="1" applyBorder="1"/>
    <xf numFmtId="3" fontId="4" fillId="0" borderId="4" xfId="0" applyNumberFormat="1" applyFont="1" applyBorder="1"/>
    <xf numFmtId="0" fontId="0" fillId="0" borderId="5" xfId="0" applyBorder="1"/>
    <xf numFmtId="0" fontId="0" fillId="0" borderId="6" xfId="0" applyBorder="1"/>
    <xf numFmtId="164" fontId="4" fillId="0" borderId="4" xfId="0" applyNumberFormat="1" applyFont="1" applyBorder="1"/>
    <xf numFmtId="3" fontId="5" fillId="0" borderId="6" xfId="0" applyNumberFormat="1" applyFont="1" applyBorder="1"/>
    <xf numFmtId="3" fontId="0" fillId="0" borderId="6" xfId="0" applyNumberFormat="1" applyBorder="1"/>
    <xf numFmtId="3" fontId="0" fillId="0" borderId="4" xfId="0" applyNumberFormat="1" applyBorder="1"/>
    <xf numFmtId="0" fontId="1" fillId="0" borderId="7" xfId="0" applyFont="1" applyBorder="1"/>
    <xf numFmtId="0" fontId="1" fillId="0" borderId="8" xfId="0" applyFont="1" applyBorder="1"/>
    <xf numFmtId="3" fontId="6" fillId="0" borderId="9" xfId="0" applyNumberFormat="1" applyFont="1" applyBorder="1"/>
    <xf numFmtId="3" fontId="6" fillId="0" borderId="7" xfId="0" applyNumberFormat="1" applyFon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AUTREMOUVEMEN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3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AUTREMOUVEM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10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677841881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677704694</v>
          </cell>
          <cell r="G6"/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/>
          <cell r="F7">
            <v>677881912</v>
          </cell>
          <cell r="G7"/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/>
          <cell r="F8">
            <v>677986676</v>
          </cell>
          <cell r="G8"/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/>
          <cell r="F9">
            <v>675250451</v>
          </cell>
          <cell r="G9"/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/>
          <cell r="F10">
            <v>675250451</v>
          </cell>
          <cell r="G10"/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/>
          <cell r="F11">
            <v>697103557</v>
          </cell>
          <cell r="G11"/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/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/>
          <cell r="F13">
            <v>699908065</v>
          </cell>
          <cell r="G13"/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/>
          <cell r="F14">
            <v>677910278</v>
          </cell>
          <cell r="G14"/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/>
          <cell r="F15">
            <v>694468080</v>
          </cell>
          <cell r="G15"/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/>
          <cell r="F16">
            <v>675291170</v>
          </cell>
          <cell r="G16"/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/>
          <cell r="F17">
            <v>699956355</v>
          </cell>
          <cell r="G17"/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/>
          <cell r="F18">
            <v>677053815</v>
          </cell>
          <cell r="G18"/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/>
          <cell r="F19">
            <v>699528700</v>
          </cell>
          <cell r="G19"/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/>
          <cell r="F20">
            <v>699335584</v>
          </cell>
          <cell r="G20"/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/>
          <cell r="F21">
            <v>675836725</v>
          </cell>
          <cell r="G21"/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/>
          <cell r="F22">
            <v>696564847</v>
          </cell>
          <cell r="G22"/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/>
          <cell r="F23">
            <v>677735778</v>
          </cell>
          <cell r="G23"/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/>
          <cell r="F24"/>
          <cell r="G24"/>
          <cell r="H24"/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/>
          <cell r="F25">
            <v>693055118</v>
          </cell>
          <cell r="G25"/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/>
          <cell r="F26">
            <v>677553702</v>
          </cell>
          <cell r="G26"/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/>
          <cell r="F27">
            <v>699358350</v>
          </cell>
          <cell r="G27"/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/>
          <cell r="F28">
            <v>675249207</v>
          </cell>
          <cell r="G28"/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/>
          <cell r="F29">
            <v>677766503</v>
          </cell>
          <cell r="G29"/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/>
          <cell r="F30">
            <v>677068360</v>
          </cell>
          <cell r="G30"/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/>
          <cell r="F31">
            <v>670909070</v>
          </cell>
          <cell r="G31"/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/>
          <cell r="F32">
            <v>676659191</v>
          </cell>
          <cell r="G32"/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/>
          <cell r="F33">
            <v>677575366</v>
          </cell>
          <cell r="G33"/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/>
          <cell r="F34">
            <v>699843118</v>
          </cell>
          <cell r="G34"/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/>
          <cell r="F35">
            <v>677377251</v>
          </cell>
          <cell r="G35"/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/>
          <cell r="F36">
            <v>677867173</v>
          </cell>
          <cell r="G36"/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/>
          <cell r="F37">
            <v>699995086</v>
          </cell>
          <cell r="G37"/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/>
          <cell r="F38">
            <v>677054646</v>
          </cell>
          <cell r="G38"/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/>
          <cell r="F39">
            <v>699549665</v>
          </cell>
          <cell r="G39"/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/>
          <cell r="F40">
            <v>699350133</v>
          </cell>
          <cell r="G40"/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/>
          <cell r="F41">
            <v>677477649</v>
          </cell>
          <cell r="G41"/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/>
          <cell r="F42">
            <v>677546060</v>
          </cell>
          <cell r="G42"/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/>
          <cell r="F43">
            <v>677648306</v>
          </cell>
          <cell r="G43"/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/>
          <cell r="F44">
            <v>677780149</v>
          </cell>
          <cell r="G44"/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/>
          <cell r="F45">
            <v>699778906</v>
          </cell>
          <cell r="G45"/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/>
          <cell r="F46">
            <v>678639806</v>
          </cell>
          <cell r="G46"/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/>
          <cell r="F47">
            <v>677775940</v>
          </cell>
          <cell r="G47"/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/>
          <cell r="F48">
            <v>677508603</v>
          </cell>
          <cell r="G48"/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/>
          <cell r="F49">
            <v>677726329</v>
          </cell>
          <cell r="G49"/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/>
          <cell r="F50">
            <v>699663416</v>
          </cell>
          <cell r="G50"/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/>
          <cell r="F51">
            <v>677547311</v>
          </cell>
          <cell r="G51"/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/>
          <cell r="F52"/>
          <cell r="G52"/>
          <cell r="H52"/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/>
          <cell r="F53">
            <v>694452000</v>
          </cell>
          <cell r="G53"/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/>
          <cell r="E54"/>
          <cell r="F54"/>
          <cell r="G54"/>
          <cell r="H54"/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/>
          <cell r="E55"/>
          <cell r="F55"/>
          <cell r="G55"/>
          <cell r="H55"/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/>
          <cell r="E56"/>
          <cell r="F56"/>
          <cell r="G56"/>
          <cell r="H56"/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/>
          <cell r="E57"/>
          <cell r="F57"/>
          <cell r="G57"/>
          <cell r="H57"/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/>
          <cell r="E58"/>
          <cell r="F58"/>
          <cell r="G58"/>
          <cell r="H58"/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/>
          <cell r="E59"/>
          <cell r="F59"/>
          <cell r="G59"/>
          <cell r="H59"/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/>
          <cell r="E60"/>
          <cell r="F60"/>
          <cell r="G60"/>
          <cell r="H60"/>
        </row>
      </sheetData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JANV22"/>
      <sheetName val="MVTFEV22"/>
      <sheetName val="MVTMARS22"/>
      <sheetName val="MVTAVRIL22"/>
      <sheetName val="MVTMAI22"/>
      <sheetName val="MVTJUIN22"/>
      <sheetName val="MVTJUIL22"/>
      <sheetName val="MVTAOUT22"/>
      <sheetName val="MVTSEPT22"/>
      <sheetName val="MVTOCT22"/>
      <sheetName val="MVTNOV22"/>
      <sheetName val="MVTDEC22"/>
      <sheetName val="MVTRESUME22"/>
      <sheetName val="MVTREPARTITION2022"/>
      <sheetName val="BILAN 2022"/>
      <sheetName val="MVTFONDSROULEMENT"/>
      <sheetName val="MVTFRAISEXCEPT22"/>
      <sheetName val="MVTFONDSMUTUELLE"/>
      <sheetName val="MVTPENALITE"/>
      <sheetName val="MVTCOLLATION"/>
      <sheetName val="MVTFOYER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">
          <cell r="L6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6">
          <cell r="C6">
            <v>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0</v>
          </cell>
        </row>
      </sheetData>
      <sheetData sheetId="14">
        <row r="7">
          <cell r="C7">
            <v>0</v>
          </cell>
        </row>
      </sheetData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DEC20"/>
      <sheetName val="MVTJANV21"/>
      <sheetName val="MVTFEV21"/>
      <sheetName val="MVTMARS21"/>
      <sheetName val="MVTAVRIL21"/>
      <sheetName val="MVTMAI21"/>
      <sheetName val="MVTJUIN21"/>
      <sheetName val="MVTJUIL21"/>
      <sheetName val="MVTAOUT21"/>
      <sheetName val="MVTSEPT21"/>
      <sheetName val="MVTOCT21"/>
      <sheetName val="MVTNOV21"/>
      <sheetName val="MVTDEC21"/>
      <sheetName val="MVTRESUME21"/>
      <sheetName val="GESTIONINTERET21"/>
      <sheetName val="DISTINTERET21"/>
      <sheetName val="CALCULINTASS"/>
      <sheetName val="AIDEDEUIL"/>
      <sheetName val="MVTDEC20BACKUP"/>
      <sheetName val="MVTDEC20BACKUPMAJ"/>
      <sheetName val="Aide"/>
      <sheetName val="dETTE ENVELLOPP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zoomScaleNormal="100" workbookViewId="0">
      <pane xSplit="2" ySplit="6" topLeftCell="C7" activePane="bottomRight" state="frozen"/>
      <selection activeCell="B43" sqref="B43"/>
      <selection pane="topRight" activeCell="B43" sqref="B43"/>
      <selection pane="bottomLeft" activeCell="B43" sqref="B43"/>
      <selection pane="bottomRight" activeCell="D8" sqref="D8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9.42578125" style="2" customWidth="1"/>
    <col min="4" max="4" width="12.42578125" style="2" customWidth="1"/>
    <col min="5" max="5" width="21.85546875" bestFit="1" customWidth="1"/>
    <col min="6" max="6" width="12.42578125" bestFit="1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1" t="s">
        <v>2</v>
      </c>
      <c r="B2" s="1">
        <v>2022</v>
      </c>
    </row>
    <row r="3" spans="1:7" x14ac:dyDescent="0.25">
      <c r="A3" s="1" t="s">
        <v>3</v>
      </c>
      <c r="B3" s="3"/>
    </row>
    <row r="4" spans="1:7" ht="34.5" thickBot="1" x14ac:dyDescent="0.55000000000000004">
      <c r="C4" s="4" t="s">
        <v>4</v>
      </c>
      <c r="D4"/>
    </row>
    <row r="5" spans="1:7" ht="21.75" thickTop="1" x14ac:dyDescent="0.35">
      <c r="A5" s="5"/>
      <c r="B5" s="6"/>
      <c r="C5" s="7" t="s">
        <v>5</v>
      </c>
      <c r="D5" s="8" t="s">
        <v>6</v>
      </c>
      <c r="E5" s="9"/>
      <c r="F5" s="10"/>
    </row>
    <row r="6" spans="1:7" x14ac:dyDescent="0.25">
      <c r="A6" s="11" t="s">
        <v>7</v>
      </c>
      <c r="B6" s="12" t="s">
        <v>8</v>
      </c>
      <c r="C6" s="13" t="s">
        <v>9</v>
      </c>
      <c r="D6" s="14" t="s">
        <v>10</v>
      </c>
      <c r="E6" s="15" t="s">
        <v>11</v>
      </c>
      <c r="F6" s="13" t="s">
        <v>9</v>
      </c>
    </row>
    <row r="7" spans="1:7" x14ac:dyDescent="0.25">
      <c r="A7" s="11" t="s">
        <v>12</v>
      </c>
      <c r="B7" s="12" t="str">
        <f>VLOOKUP(A7,[1]LISTADHERENT!A$5:H$60,3,0)</f>
        <v>ASELBY</v>
      </c>
      <c r="C7" s="16">
        <f>[2]MVTRESUME22!L6</f>
        <v>0</v>
      </c>
      <c r="D7" s="17"/>
      <c r="E7" s="18"/>
      <c r="F7" s="19"/>
    </row>
    <row r="8" spans="1:7" x14ac:dyDescent="0.25">
      <c r="A8" s="11" t="s">
        <v>13</v>
      </c>
      <c r="B8" s="12" t="str">
        <f>VLOOKUP(A8,[1]LISTADHERENT!A$5:H$60,3,0)</f>
        <v>BOUTCHOUANG WILLIAM</v>
      </c>
      <c r="C8" s="16">
        <v>6000</v>
      </c>
      <c r="D8" s="20">
        <v>44562</v>
      </c>
      <c r="E8" s="18" t="s">
        <v>14</v>
      </c>
      <c r="F8" s="21">
        <v>2000</v>
      </c>
    </row>
    <row r="9" spans="1:7" x14ac:dyDescent="0.25">
      <c r="A9" s="11" t="s">
        <v>15</v>
      </c>
      <c r="B9" s="12" t="str">
        <f>VLOOKUP(A9,[1]LISTADHERENT!A$5:H$60,3,0)</f>
        <v xml:space="preserve">DJOMO JEAN PAUL </v>
      </c>
      <c r="C9" s="16">
        <v>6000</v>
      </c>
      <c r="D9" s="20">
        <v>44562</v>
      </c>
      <c r="E9" s="18" t="s">
        <v>16</v>
      </c>
      <c r="F9" s="21">
        <v>6000</v>
      </c>
    </row>
    <row r="10" spans="1:7" x14ac:dyDescent="0.25">
      <c r="A10" s="11" t="s">
        <v>17</v>
      </c>
      <c r="B10" s="12" t="str">
        <f>VLOOKUP(A10,[1]LISTADHERENT!A$5:H$60,3,0)</f>
        <v>DJOMOU TCHANDA</v>
      </c>
      <c r="C10" s="16">
        <v>6000</v>
      </c>
      <c r="D10" s="20">
        <v>44562</v>
      </c>
      <c r="E10" s="18" t="s">
        <v>18</v>
      </c>
      <c r="F10" s="21">
        <v>25000</v>
      </c>
    </row>
    <row r="11" spans="1:7" x14ac:dyDescent="0.25">
      <c r="A11" s="11" t="s">
        <v>19</v>
      </c>
      <c r="B11" s="12" t="str">
        <f>VLOOKUP(A11,[1]LISTADHERENT!A$5:H$60,3,0)</f>
        <v>DJOUKWE NANGUEN GUY BLAISE</v>
      </c>
      <c r="C11" s="16">
        <v>6000</v>
      </c>
      <c r="D11" s="20">
        <v>44562</v>
      </c>
      <c r="E11" s="18" t="s">
        <v>20</v>
      </c>
      <c r="F11" s="21">
        <v>18000</v>
      </c>
    </row>
    <row r="12" spans="1:7" x14ac:dyDescent="0.25">
      <c r="A12" s="11" t="s">
        <v>21</v>
      </c>
      <c r="B12" s="12" t="str">
        <f>VLOOKUP(A12,[1]LISTADHERENT!A$5:H$60,3,0)</f>
        <v>DJUOMBESSY ANTOINE</v>
      </c>
      <c r="C12" s="16">
        <v>6000</v>
      </c>
      <c r="D12" s="20">
        <v>44594</v>
      </c>
      <c r="E12" s="18" t="s">
        <v>20</v>
      </c>
      <c r="F12" s="21">
        <v>6000</v>
      </c>
    </row>
    <row r="13" spans="1:7" ht="14.25" customHeight="1" x14ac:dyDescent="0.25">
      <c r="A13" s="11" t="s">
        <v>22</v>
      </c>
      <c r="B13" s="12" t="str">
        <f>VLOOKUP(A13,[1]LISTADHERENT!A$5:H$60,3,0)</f>
        <v>DOMOU FABIEN</v>
      </c>
      <c r="C13" s="16">
        <v>6000</v>
      </c>
      <c r="D13" s="20">
        <v>44623</v>
      </c>
      <c r="E13" s="18" t="s">
        <v>16</v>
      </c>
      <c r="F13" s="21">
        <v>6000</v>
      </c>
    </row>
    <row r="14" spans="1:7" x14ac:dyDescent="0.25">
      <c r="A14" s="11" t="s">
        <v>23</v>
      </c>
      <c r="B14" s="12" t="str">
        <f>VLOOKUP(A14,[1]LISTADHERENT!A$5:H$60,3,0)</f>
        <v>DONHOU DAVID</v>
      </c>
      <c r="C14" s="16">
        <v>6000</v>
      </c>
      <c r="D14" s="20">
        <v>44623</v>
      </c>
      <c r="E14" s="18" t="s">
        <v>20</v>
      </c>
      <c r="F14" s="21">
        <v>12000</v>
      </c>
    </row>
    <row r="15" spans="1:7" ht="14.25" customHeight="1" x14ac:dyDescent="0.25">
      <c r="A15" s="11" t="s">
        <v>24</v>
      </c>
      <c r="B15" s="12" t="str">
        <f>VLOOKUP(A15,[1]LISTADHERENT!A$5:H$60,3,0)</f>
        <v>HENGUE PAUL OMER</v>
      </c>
      <c r="C15" s="16">
        <v>6000</v>
      </c>
      <c r="D15" s="20">
        <v>44654</v>
      </c>
      <c r="E15" s="18" t="s">
        <v>25</v>
      </c>
      <c r="F15" s="21">
        <v>12500</v>
      </c>
      <c r="G15" s="2"/>
    </row>
    <row r="16" spans="1:7" x14ac:dyDescent="0.25">
      <c r="A16" s="11" t="s">
        <v>26</v>
      </c>
      <c r="B16" s="12" t="str">
        <f>VLOOKUP(A16,[1]LISTADHERENT!A$5:H$60,3,0)</f>
        <v>HOTCHO BENJAMIN</v>
      </c>
      <c r="C16" s="16">
        <v>6000</v>
      </c>
      <c r="D16" s="20">
        <v>44654</v>
      </c>
      <c r="E16" s="18" t="s">
        <v>16</v>
      </c>
      <c r="F16" s="21">
        <v>10000</v>
      </c>
      <c r="G16" s="2"/>
    </row>
    <row r="17" spans="1:7" x14ac:dyDescent="0.25">
      <c r="A17" s="11" t="s">
        <v>27</v>
      </c>
      <c r="B17" s="12" t="str">
        <f>VLOOKUP(A17,[1]LISTADHERENT!A$5:H$60,3,0)</f>
        <v>KOUAMOU MOISE</v>
      </c>
      <c r="C17" s="16">
        <v>6000</v>
      </c>
      <c r="D17" s="20">
        <v>44654</v>
      </c>
      <c r="E17" s="18" t="s">
        <v>20</v>
      </c>
      <c r="F17" s="21">
        <v>6000</v>
      </c>
      <c r="G17" s="2"/>
    </row>
    <row r="18" spans="1:7" x14ac:dyDescent="0.25">
      <c r="A18" s="11" t="s">
        <v>28</v>
      </c>
      <c r="B18" s="12" t="str">
        <f>VLOOKUP(A18,[1]LISTADHERENT!A$5:H$60,3,0)</f>
        <v>KOUATCHO MESSACK</v>
      </c>
      <c r="C18" s="16">
        <v>6000</v>
      </c>
      <c r="D18" s="20">
        <v>44684</v>
      </c>
      <c r="E18" s="18" t="s">
        <v>25</v>
      </c>
      <c r="F18" s="21">
        <v>10000</v>
      </c>
      <c r="G18" s="2"/>
    </row>
    <row r="19" spans="1:7" x14ac:dyDescent="0.25">
      <c r="A19" s="11" t="s">
        <v>29</v>
      </c>
      <c r="B19" s="12" t="str">
        <f>VLOOKUP(A19,[1]LISTADHERENT!A$5:H$60,3,0)</f>
        <v>LOWE JEAN</v>
      </c>
      <c r="C19" s="16">
        <v>6000</v>
      </c>
      <c r="D19" s="20">
        <v>44684</v>
      </c>
      <c r="E19" s="18" t="s">
        <v>20</v>
      </c>
      <c r="F19" s="21">
        <v>12000</v>
      </c>
      <c r="G19" s="2"/>
    </row>
    <row r="20" spans="1:7" x14ac:dyDescent="0.25">
      <c r="A20" s="11" t="s">
        <v>30</v>
      </c>
      <c r="B20" s="12" t="str">
        <f>VLOOKUP(A20,[1]LISTADHERENT!A$5:H$60,3,0)</f>
        <v>MBOGNING TUGMA GUY</v>
      </c>
      <c r="C20" s="16">
        <v>6000</v>
      </c>
      <c r="D20" s="20">
        <v>44716</v>
      </c>
      <c r="E20" s="18" t="s">
        <v>20</v>
      </c>
      <c r="F20" s="21">
        <v>6000</v>
      </c>
      <c r="G20" s="2"/>
    </row>
    <row r="21" spans="1:7" x14ac:dyDescent="0.25">
      <c r="A21" s="11" t="s">
        <v>31</v>
      </c>
      <c r="B21" s="12" t="str">
        <f>VLOOKUP(A21,[1]LISTADHERENT!A$5:H$60,3,0)</f>
        <v>NANGUEN MARTIN</v>
      </c>
      <c r="C21" s="16">
        <v>6000</v>
      </c>
      <c r="D21" s="20">
        <v>44747</v>
      </c>
      <c r="E21" s="18" t="s">
        <v>16</v>
      </c>
      <c r="F21" s="21">
        <v>33000</v>
      </c>
      <c r="G21" s="2"/>
    </row>
    <row r="22" spans="1:7" x14ac:dyDescent="0.25">
      <c r="A22" s="11" t="s">
        <v>32</v>
      </c>
      <c r="B22" s="12" t="str">
        <f>VLOOKUP(A22,[1]LISTADHERENT!A$5:H$60,3,0)</f>
        <v>NANKAM APPOLINAIRE</v>
      </c>
      <c r="C22" s="16">
        <v>6000</v>
      </c>
      <c r="D22" s="20">
        <v>44747</v>
      </c>
      <c r="E22" s="18" t="s">
        <v>20</v>
      </c>
      <c r="F22" s="21">
        <v>6000</v>
      </c>
    </row>
    <row r="23" spans="1:7" x14ac:dyDescent="0.25">
      <c r="A23" s="11" t="s">
        <v>33</v>
      </c>
      <c r="B23" s="12" t="str">
        <f>VLOOKUP(A23,[1]LISTADHERENT!A$5:H$60,3,0)</f>
        <v>NDJOMO ETIENNE</v>
      </c>
      <c r="C23" s="16">
        <v>6000</v>
      </c>
      <c r="D23" s="20">
        <v>44779</v>
      </c>
      <c r="E23" s="18" t="s">
        <v>20</v>
      </c>
      <c r="F23" s="21">
        <v>6000</v>
      </c>
    </row>
    <row r="24" spans="1:7" x14ac:dyDescent="0.25">
      <c r="A24" s="11" t="s">
        <v>34</v>
      </c>
      <c r="B24" s="12" t="str">
        <f>VLOOKUP(A24,[1]LISTADHERENT!A$5:H$60,3,0)</f>
        <v>NGONDIEP CLAUDE</v>
      </c>
      <c r="C24" s="16">
        <v>6000</v>
      </c>
      <c r="D24" s="20">
        <v>44810</v>
      </c>
      <c r="E24" s="18" t="s">
        <v>25</v>
      </c>
      <c r="F24" s="21">
        <v>8000</v>
      </c>
    </row>
    <row r="25" spans="1:7" x14ac:dyDescent="0.25">
      <c r="A25" s="11" t="s">
        <v>35</v>
      </c>
      <c r="B25" s="12" t="str">
        <f>VLOOKUP(A25,[1]LISTADHERENT!A$5:H$60,3,0)</f>
        <v>NGUIEMEGNI MATHIEU BLAISE</v>
      </c>
      <c r="C25" s="16">
        <v>6000</v>
      </c>
      <c r="D25" s="20">
        <v>44810</v>
      </c>
      <c r="E25" s="18" t="s">
        <v>16</v>
      </c>
      <c r="F25" s="21">
        <v>20000</v>
      </c>
    </row>
    <row r="26" spans="1:7" x14ac:dyDescent="0.25">
      <c r="A26" s="11" t="s">
        <v>36</v>
      </c>
      <c r="B26" s="12" t="str">
        <f>VLOOKUP(A26,[1]LISTADHERENT!A$5:H$60,3,0)</f>
        <v>NKAMGANG JUSTIN DEJOLIE</v>
      </c>
      <c r="C26" s="16">
        <v>6000</v>
      </c>
      <c r="D26" s="20">
        <v>44810</v>
      </c>
      <c r="E26" s="18" t="s">
        <v>20</v>
      </c>
      <c r="F26" s="21">
        <v>12000</v>
      </c>
    </row>
    <row r="27" spans="1:7" x14ac:dyDescent="0.25">
      <c r="A27" s="11" t="s">
        <v>37</v>
      </c>
      <c r="B27" s="12" t="str">
        <f>VLOOKUP(A27,[1]LISTADHERENT!A$5:H$60,3,0)</f>
        <v>NKEPSEU DIEUDONNE</v>
      </c>
      <c r="C27" s="16">
        <v>6000</v>
      </c>
      <c r="D27" s="20">
        <v>44840</v>
      </c>
      <c r="E27" s="18" t="s">
        <v>20</v>
      </c>
      <c r="F27" s="21">
        <v>6000</v>
      </c>
    </row>
    <row r="28" spans="1:7" x14ac:dyDescent="0.25">
      <c r="A28" s="11" t="s">
        <v>38</v>
      </c>
      <c r="B28" s="12" t="str">
        <f>VLOOKUP(A28,[1]LISTADHERENT!A$5:H$60,3,0)</f>
        <v>PATEGO NJOSSU GUSTAVE</v>
      </c>
      <c r="C28" s="16">
        <v>6000</v>
      </c>
      <c r="D28" s="20">
        <v>44871</v>
      </c>
      <c r="E28" s="18" t="s">
        <v>20</v>
      </c>
      <c r="F28" s="21">
        <v>6000</v>
      </c>
    </row>
    <row r="29" spans="1:7" x14ac:dyDescent="0.25">
      <c r="A29" s="11" t="s">
        <v>39</v>
      </c>
      <c r="B29" s="12" t="str">
        <f>VLOOKUP(A29,[1]LISTADHERENT!A$5:H$60,3,0)</f>
        <v>SIME BRICE</v>
      </c>
      <c r="C29" s="16">
        <v>6000</v>
      </c>
      <c r="D29" s="20">
        <v>44901</v>
      </c>
      <c r="E29" s="18" t="s">
        <v>20</v>
      </c>
      <c r="F29" s="21">
        <v>6000</v>
      </c>
    </row>
    <row r="30" spans="1:7" x14ac:dyDescent="0.25">
      <c r="A30" s="11" t="s">
        <v>40</v>
      </c>
      <c r="B30" s="12" t="str">
        <f>VLOOKUP(A30,[1]LISTADHERENT!A$5:H$60,3,0)</f>
        <v>SIMO PIERRE</v>
      </c>
      <c r="C30" s="16">
        <v>6000</v>
      </c>
      <c r="D30" s="17"/>
      <c r="E30" s="18"/>
      <c r="F30" s="19"/>
    </row>
    <row r="31" spans="1:7" x14ac:dyDescent="0.25">
      <c r="A31" s="11" t="s">
        <v>41</v>
      </c>
      <c r="B31" s="12" t="str">
        <f>VLOOKUP(A31,[1]LISTADHERENT!A$5:H$60,3,0)</f>
        <v>TCHOUAMOU MATHIEU</v>
      </c>
      <c r="C31" s="16">
        <v>6000</v>
      </c>
      <c r="D31" s="17"/>
      <c r="E31" s="18"/>
      <c r="F31" s="19"/>
    </row>
    <row r="32" spans="1:7" x14ac:dyDescent="0.25">
      <c r="A32" s="11" t="s">
        <v>42</v>
      </c>
      <c r="B32" s="12" t="str">
        <f>VLOOKUP(A32,[1]LISTADHERENT!A$5:H$60,3,0)</f>
        <v>YEPMOU JEAN JACQUES</v>
      </c>
      <c r="C32" s="16">
        <v>6000</v>
      </c>
      <c r="D32" s="17"/>
      <c r="E32" s="18"/>
      <c r="F32" s="19"/>
    </row>
    <row r="33" spans="1:6" x14ac:dyDescent="0.25">
      <c r="A33" s="11" t="s">
        <v>43</v>
      </c>
      <c r="B33" s="12" t="str">
        <f>VLOOKUP(A33,[1]LISTADHERENT!A$5:H$60,3,0)</f>
        <v>YOUMBI EMMANUEL</v>
      </c>
      <c r="C33" s="16">
        <v>6000</v>
      </c>
      <c r="D33" s="17"/>
      <c r="E33" s="18"/>
      <c r="F33" s="19"/>
    </row>
    <row r="34" spans="1:6" x14ac:dyDescent="0.25">
      <c r="A34" s="11"/>
      <c r="B34" s="12"/>
      <c r="C34" s="22"/>
      <c r="D34" s="23"/>
      <c r="E34" s="18"/>
      <c r="F34" s="19"/>
    </row>
    <row r="35" spans="1:6" ht="18.75" thickBot="1" x14ac:dyDescent="0.3">
      <c r="A35" s="24" t="s">
        <v>44</v>
      </c>
      <c r="B35" s="25"/>
      <c r="C35" s="26">
        <f>SUM(C7:C34)</f>
        <v>156000</v>
      </c>
      <c r="D35" s="27"/>
      <c r="E35" s="28"/>
      <c r="F35" s="26">
        <f>SUM(F7:F34)</f>
        <v>234500</v>
      </c>
    </row>
    <row r="36" spans="1:6" ht="15.75" thickTop="1" x14ac:dyDescent="0.25"/>
  </sheetData>
  <mergeCells count="1">
    <mergeCell ref="D5:F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MVTFONDSROULEMENT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2023-01-24T12:45:51Z</dcterms:created>
  <dcterms:modified xsi:type="dcterms:W3CDTF">2023-01-24T12:46:18Z</dcterms:modified>
</cp:coreProperties>
</file>