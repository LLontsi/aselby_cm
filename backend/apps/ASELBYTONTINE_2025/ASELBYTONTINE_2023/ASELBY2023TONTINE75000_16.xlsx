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15480" windowHeight="6810" firstSheet="8" activeTab="12"/>
  </bookViews>
  <sheets>
    <sheet name="MODEPAID" sheetId="3" r:id="rId1"/>
    <sheet name="TONTJANV23" sheetId="90" r:id="rId2"/>
    <sheet name="TONTFEV23" sheetId="91" r:id="rId3"/>
    <sheet name="TONTMARS23" sheetId="93" r:id="rId4"/>
    <sheet name="TONTAVRIL23" sheetId="95" r:id="rId5"/>
    <sheet name="TONTMAI23" sheetId="96" r:id="rId6"/>
    <sheet name="TONTJUIN23" sheetId="94" r:id="rId7"/>
    <sheet name="TONTJUIL23" sheetId="97" r:id="rId8"/>
    <sheet name="TONTAOUT23" sheetId="98" r:id="rId9"/>
    <sheet name="TONTSEPT23" sheetId="99" r:id="rId10"/>
    <sheet name="TONTOCT23" sheetId="100" r:id="rId11"/>
    <sheet name="TONTNOV23" sheetId="101" r:id="rId12"/>
    <sheet name="TONTDEC23" sheetId="102" r:id="rId13"/>
    <sheet name="TONTRESUME23" sheetId="103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8" hidden="1">TONTAOUT23!$A$5:$P$16</definedName>
    <definedName name="_xlnm._FilterDatabase" localSheetId="4" hidden="1">TONTAVRIL23!$A$5:$P$16</definedName>
    <definedName name="_xlnm._FilterDatabase" localSheetId="12" hidden="1">TONTDEC23!$A$5:$P$16</definedName>
    <definedName name="_xlnm._FilterDatabase" localSheetId="2" hidden="1">TONTFEV23!$A$5:$P$16</definedName>
    <definedName name="_xlnm._FilterDatabase" localSheetId="1" hidden="1">TONTJANV23!$A$5:$P$16</definedName>
    <definedName name="_xlnm._FilterDatabase" localSheetId="7" hidden="1">TONTJUIL23!$A$5:$P$16</definedName>
    <definedName name="_xlnm._FilterDatabase" localSheetId="6" hidden="1">TONTJUIN23!$A$5:$P$16</definedName>
    <definedName name="_xlnm._FilterDatabase" localSheetId="5" hidden="1">TONTMAI23!$A$5:$P$16</definedName>
    <definedName name="_xlnm._FilterDatabase" localSheetId="3" hidden="1">TONTMARS23!$A$5:$P$16</definedName>
    <definedName name="_xlnm._FilterDatabase" localSheetId="11" hidden="1">TONTNOV23!$A$5:$P$16</definedName>
    <definedName name="_xlnm._FilterDatabase" localSheetId="10" hidden="1">TONTOCT23!$A$5:$P$16</definedName>
    <definedName name="_xlnm._FilterDatabase" localSheetId="13" hidden="1">TONTRESUME23!$A$5:$P$16</definedName>
    <definedName name="_xlnm._FilterDatabase" localSheetId="9" hidden="1">TONTSEPT23!$A$5:$P$16</definedName>
    <definedName name="BANQUE" localSheetId="8">#REF!</definedName>
    <definedName name="BANQUE" localSheetId="4">#REF!</definedName>
    <definedName name="BANQUE" localSheetId="12">#REF!</definedName>
    <definedName name="BANQUE" localSheetId="2">#REF!</definedName>
    <definedName name="BANQUE" localSheetId="1">#REF!</definedName>
    <definedName name="BANQUE" localSheetId="7">#REF!</definedName>
    <definedName name="BANQUE" localSheetId="6">#REF!</definedName>
    <definedName name="BANQUE" localSheetId="5">#REF!</definedName>
    <definedName name="BANQUE" localSheetId="3">#REF!</definedName>
    <definedName name="BANQUE" localSheetId="11">#REF!</definedName>
    <definedName name="BANQUE" localSheetId="10">#REF!</definedName>
    <definedName name="BANQUE" localSheetId="13">#REF!</definedName>
    <definedName name="BANQUE" localSheetId="9">#REF!</definedName>
    <definedName name="BANQUE">#REF!</definedName>
    <definedName name="MODEPAID" localSheetId="0">MODEPAID!$A$1:$A$3</definedName>
    <definedName name="MODEPAID" localSheetId="8">[1]Feuil2!$A$1:$A$3</definedName>
    <definedName name="MODEPAID" localSheetId="4">[1]Feuil2!$A$1:$A$3</definedName>
    <definedName name="MODEPAID" localSheetId="12">[1]Feuil2!$A$1:$A$3</definedName>
    <definedName name="MODEPAID" localSheetId="2">[1]Feuil2!$A$1:$A$3</definedName>
    <definedName name="MODEPAID" localSheetId="1">[1]Feuil2!$A$1:$A$3</definedName>
    <definedName name="MODEPAID" localSheetId="7">[1]Feuil2!$A$1:$A$3</definedName>
    <definedName name="MODEPAID" localSheetId="6">[1]Feuil2!$A$1:$A$3</definedName>
    <definedName name="MODEPAID" localSheetId="5">[1]Feuil2!$A$1:$A$3</definedName>
    <definedName name="MODEPAID" localSheetId="3">[1]Feuil2!$A$1:$A$3</definedName>
    <definedName name="MODEPAID" localSheetId="11">[1]Feuil2!$A$1:$A$3</definedName>
    <definedName name="MODEPAID" localSheetId="10">[1]Feuil2!$A$1:$A$3</definedName>
    <definedName name="MODEPAID" localSheetId="13">[1]Feuil2!$A$1:$A$3</definedName>
    <definedName name="MODEPAID" localSheetId="9">[1]Feuil2!$A$1:$A$3</definedName>
    <definedName name="MODEPAID">#REF!</definedName>
    <definedName name="MODET25000">[2]MODEVERSEMENT!$A$1:$A$3</definedName>
    <definedName name="MODEVERSEMENT" localSheetId="8">#REF!</definedName>
    <definedName name="MODEVERSEMENT" localSheetId="4">#REF!</definedName>
    <definedName name="MODEVERSEMENT" localSheetId="12">#REF!</definedName>
    <definedName name="MODEVERSEMENT" localSheetId="2">#REF!</definedName>
    <definedName name="MODEVERSEMENT" localSheetId="1">#REF!</definedName>
    <definedName name="MODEVERSEMENT" localSheetId="7">#REF!</definedName>
    <definedName name="MODEVERSEMENT" localSheetId="6">#REF!</definedName>
    <definedName name="MODEVERSEMENT" localSheetId="5">#REF!</definedName>
    <definedName name="MODEVERSEMENT" localSheetId="3">#REF!</definedName>
    <definedName name="MODEVERSEMENT" localSheetId="11">#REF!</definedName>
    <definedName name="MODEVERSEMENT" localSheetId="10">#REF!</definedName>
    <definedName name="MODEVERSEMENT" localSheetId="13">#REF!</definedName>
    <definedName name="MODEVERSEMENT" localSheetId="9">#REF!</definedName>
    <definedName name="MODEVERSEMENT">#REF!</definedName>
    <definedName name="MODEVERSEMENTS" localSheetId="8">[3]MODEVERSEMENT!$A$1:$A$3</definedName>
    <definedName name="MODEVERSEMENTS" localSheetId="4">[3]MODEVERSEMENT!$A$1:$A$3</definedName>
    <definedName name="MODEVERSEMENTS" localSheetId="12">[3]MODEVERSEMENT!$A$1:$A$3</definedName>
    <definedName name="MODEVERSEMENTS" localSheetId="2">[3]MODEVERSEMENT!$A$1:$A$3</definedName>
    <definedName name="MODEVERSEMENTS" localSheetId="1">[3]MODEVERSEMENT!$A$1:$A$3</definedName>
    <definedName name="MODEVERSEMENTS" localSheetId="7">[3]MODEVERSEMENT!$A$1:$A$3</definedName>
    <definedName name="MODEVERSEMENTS" localSheetId="6">[3]MODEVERSEMENT!$A$1:$A$3</definedName>
    <definedName name="MODEVERSEMENTS" localSheetId="5">[3]MODEVERSEMENT!$A$1:$A$3</definedName>
    <definedName name="MODEVERSEMENTS" localSheetId="3">[3]MODEVERSEMENT!$A$1:$A$3</definedName>
    <definedName name="MODEVERSEMENTS" localSheetId="11">[3]MODEVERSEMENT!$A$1:$A$3</definedName>
    <definedName name="MODEVERSEMENTS" localSheetId="10">[3]MODEVERSEMENT!$A$1:$A$3</definedName>
    <definedName name="MODEVERSEMENTS" localSheetId="13">[3]MODEVERSEMENT!$A$1:$A$3</definedName>
    <definedName name="MODEVERSEMENTS" localSheetId="9">[3]MODEVERSEMENT!$A$1:$A$3</definedName>
    <definedName name="MODEVERSEMENTS">[4]MODEVERSEMENT!$A$1:$A$3</definedName>
    <definedName name="MODPAID" localSheetId="8">TONTAOUT23!#REF!</definedName>
    <definedName name="MODPAID" localSheetId="4">TONTAVRIL23!#REF!</definedName>
    <definedName name="MODPAID" localSheetId="12">TONTDEC23!#REF!</definedName>
    <definedName name="MODPAID" localSheetId="2">TONTFEV23!#REF!</definedName>
    <definedName name="MODPAID" localSheetId="1">TONTJANV23!#REF!</definedName>
    <definedName name="MODPAID" localSheetId="7">TONTJUIL23!#REF!</definedName>
    <definedName name="MODPAID" localSheetId="6">TONTJUIN23!#REF!</definedName>
    <definedName name="MODPAID" localSheetId="5">TONTMAI23!#REF!</definedName>
    <definedName name="MODPAID" localSheetId="3">TONTMARS23!#REF!</definedName>
    <definedName name="MODPAID" localSheetId="11">TONTNOV23!#REF!</definedName>
    <definedName name="MODPAID" localSheetId="10">TONTOCT23!#REF!</definedName>
    <definedName name="MODPAID" localSheetId="13">TONTRESUME23!#REF!</definedName>
    <definedName name="MODPAID" localSheetId="9">TONTSEPT23!#REF!</definedName>
    <definedName name="VALMODEPAID" localSheetId="8">[5]MODEPAID!$A$1:$A$3</definedName>
    <definedName name="VALMODEPAID" localSheetId="4">[5]MODEPAID!$A$1:$A$3</definedName>
    <definedName name="VALMODEPAID" localSheetId="12">[5]MODEPAID!$A$1:$A$3</definedName>
    <definedName name="VALMODEPAID" localSheetId="2">[5]MODEPAID!$A$1:$A$3</definedName>
    <definedName name="VALMODEPAID" localSheetId="1">[5]MODEPAID!$A$1:$A$3</definedName>
    <definedName name="VALMODEPAID" localSheetId="7">[5]MODEPAID!$A$1:$A$3</definedName>
    <definedName name="VALMODEPAID" localSheetId="6">[5]MODEPAID!$A$1:$A$3</definedName>
    <definedName name="VALMODEPAID" localSheetId="5">[5]MODEPAID!$A$1:$A$3</definedName>
    <definedName name="VALMODEPAID" localSheetId="3">[5]MODEPAID!$A$1:$A$3</definedName>
    <definedName name="VALMODEPAID" localSheetId="11">[5]MODEPAID!$A$1:$A$3</definedName>
    <definedName name="VALMODEPAID" localSheetId="10">[5]MODEPAID!$A$1:$A$3</definedName>
    <definedName name="VALMODEPAID" localSheetId="13">[5]MODEPAID!$A$1:$A$3</definedName>
    <definedName name="VALMODEPAID" localSheetId="9">[5]MODEPAID!$A$1:$A$3</definedName>
    <definedName name="VALMODEPAID">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3" i="103" l="1"/>
  <c r="F7" i="95" l="1"/>
  <c r="F8" i="95"/>
  <c r="F9" i="95"/>
  <c r="F10" i="95"/>
  <c r="F11" i="95"/>
  <c r="F12" i="95"/>
  <c r="F13" i="95"/>
  <c r="F14" i="95"/>
  <c r="F15" i="95"/>
  <c r="F16" i="95"/>
  <c r="F17" i="95"/>
  <c r="F18" i="95"/>
  <c r="F19" i="95"/>
  <c r="F20" i="95"/>
  <c r="F7" i="102" l="1"/>
  <c r="G7" i="102"/>
  <c r="H7" i="102" s="1"/>
  <c r="I7" i="102"/>
  <c r="N7" i="102"/>
  <c r="P7" i="102"/>
  <c r="O7" i="102" s="1"/>
  <c r="F8" i="102"/>
  <c r="G8" i="102"/>
  <c r="H8" i="102" s="1"/>
  <c r="I8" i="102"/>
  <c r="N8" i="102"/>
  <c r="P8" i="102"/>
  <c r="M8" i="102" s="1"/>
  <c r="F9" i="102"/>
  <c r="G9" i="102"/>
  <c r="H9" i="102" s="1"/>
  <c r="I9" i="102"/>
  <c r="N9" i="102"/>
  <c r="P9" i="102"/>
  <c r="M9" i="102" s="1"/>
  <c r="F10" i="102"/>
  <c r="G10" i="102"/>
  <c r="H10" i="102" s="1"/>
  <c r="I10" i="102"/>
  <c r="N10" i="102"/>
  <c r="P10" i="102"/>
  <c r="O10" i="102" s="1"/>
  <c r="F11" i="102"/>
  <c r="G11" i="102"/>
  <c r="H11" i="102" s="1"/>
  <c r="I11" i="102"/>
  <c r="N11" i="102"/>
  <c r="P11" i="102"/>
  <c r="O11" i="102" s="1"/>
  <c r="F12" i="102"/>
  <c r="G12" i="102"/>
  <c r="H12" i="102" s="1"/>
  <c r="I12" i="102"/>
  <c r="N12" i="102"/>
  <c r="P12" i="102"/>
  <c r="M12" i="102" s="1"/>
  <c r="F13" i="102"/>
  <c r="G13" i="102"/>
  <c r="H13" i="102" s="1"/>
  <c r="I13" i="102"/>
  <c r="N13" i="102"/>
  <c r="P13" i="102"/>
  <c r="M13" i="102" s="1"/>
  <c r="F14" i="102"/>
  <c r="G14" i="102"/>
  <c r="H14" i="102" s="1"/>
  <c r="I14" i="102"/>
  <c r="N14" i="102"/>
  <c r="P14" i="102"/>
  <c r="O14" i="102" s="1"/>
  <c r="F15" i="102"/>
  <c r="G15" i="102"/>
  <c r="H15" i="102" s="1"/>
  <c r="I15" i="102"/>
  <c r="N15" i="102"/>
  <c r="P15" i="102"/>
  <c r="O15" i="102" s="1"/>
  <c r="F16" i="102"/>
  <c r="G16" i="102"/>
  <c r="H16" i="102" s="1"/>
  <c r="I16" i="102"/>
  <c r="N16" i="102"/>
  <c r="P16" i="102"/>
  <c r="M16" i="102" s="1"/>
  <c r="F17" i="102"/>
  <c r="G17" i="102"/>
  <c r="H17" i="102" s="1"/>
  <c r="I17" i="102"/>
  <c r="N17" i="102"/>
  <c r="P17" i="102"/>
  <c r="M17" i="102" s="1"/>
  <c r="F18" i="102"/>
  <c r="G18" i="102"/>
  <c r="H18" i="102" s="1"/>
  <c r="I18" i="102"/>
  <c r="N18" i="102"/>
  <c r="P18" i="102"/>
  <c r="O18" i="102" s="1"/>
  <c r="F19" i="102"/>
  <c r="G19" i="102"/>
  <c r="H19" i="102" s="1"/>
  <c r="I19" i="102"/>
  <c r="N19" i="102"/>
  <c r="P19" i="102"/>
  <c r="O19" i="102" s="1"/>
  <c r="F20" i="102"/>
  <c r="G20" i="102"/>
  <c r="H20" i="102" s="1"/>
  <c r="I20" i="102"/>
  <c r="N20" i="102"/>
  <c r="P20" i="102"/>
  <c r="M20" i="102" s="1"/>
  <c r="M11" i="102" l="1"/>
  <c r="M19" i="102"/>
  <c r="M15" i="102"/>
  <c r="M7" i="102"/>
  <c r="M18" i="102"/>
  <c r="M14" i="102"/>
  <c r="M10" i="102"/>
  <c r="O17" i="102"/>
  <c r="O13" i="102"/>
  <c r="O9" i="102"/>
  <c r="O20" i="102"/>
  <c r="O16" i="102"/>
  <c r="O12" i="102"/>
  <c r="O8" i="102"/>
  <c r="K26" i="102" l="1"/>
  <c r="F13" i="101"/>
  <c r="F7" i="101"/>
  <c r="F8" i="101"/>
  <c r="F9" i="101"/>
  <c r="F10" i="101"/>
  <c r="F11" i="101"/>
  <c r="F12" i="101"/>
  <c r="F14" i="101"/>
  <c r="F15" i="101"/>
  <c r="F16" i="101"/>
  <c r="F17" i="101"/>
  <c r="F18" i="101"/>
  <c r="F19" i="101"/>
  <c r="F20" i="101"/>
  <c r="F15" i="98" l="1"/>
  <c r="G15" i="98"/>
  <c r="F15" i="97" l="1"/>
  <c r="G15" i="97"/>
  <c r="P6" i="102" l="1"/>
  <c r="M6" i="102" s="1"/>
  <c r="N6" i="102"/>
  <c r="I6" i="102"/>
  <c r="G6" i="102"/>
  <c r="H6" i="102" s="1"/>
  <c r="F6" i="102"/>
  <c r="P20" i="101"/>
  <c r="M20" i="101" s="1"/>
  <c r="N20" i="101"/>
  <c r="I20" i="101"/>
  <c r="G20" i="101"/>
  <c r="P19" i="101"/>
  <c r="M19" i="101" s="1"/>
  <c r="N19" i="101"/>
  <c r="I19" i="101"/>
  <c r="G19" i="101"/>
  <c r="P18" i="101"/>
  <c r="M18" i="101" s="1"/>
  <c r="N18" i="101"/>
  <c r="I18" i="101"/>
  <c r="G18" i="101"/>
  <c r="P17" i="101"/>
  <c r="M17" i="101" s="1"/>
  <c r="N17" i="101"/>
  <c r="I17" i="101"/>
  <c r="G17" i="101"/>
  <c r="P16" i="101"/>
  <c r="M16" i="101" s="1"/>
  <c r="N16" i="101"/>
  <c r="I16" i="101"/>
  <c r="G16" i="101"/>
  <c r="P15" i="101"/>
  <c r="M15" i="101" s="1"/>
  <c r="N15" i="101"/>
  <c r="I15" i="101"/>
  <c r="G15" i="101"/>
  <c r="P14" i="101"/>
  <c r="M14" i="101" s="1"/>
  <c r="N14" i="101"/>
  <c r="I14" i="101"/>
  <c r="G14" i="101"/>
  <c r="P13" i="101"/>
  <c r="M13" i="101" s="1"/>
  <c r="N13" i="101"/>
  <c r="I13" i="101"/>
  <c r="G13" i="101"/>
  <c r="P12" i="101"/>
  <c r="M12" i="101" s="1"/>
  <c r="N12" i="101"/>
  <c r="I12" i="101"/>
  <c r="G12" i="101"/>
  <c r="P11" i="101"/>
  <c r="M11" i="101" s="1"/>
  <c r="N11" i="101"/>
  <c r="I11" i="101"/>
  <c r="G11" i="101"/>
  <c r="P10" i="101"/>
  <c r="M10" i="101" s="1"/>
  <c r="N10" i="101"/>
  <c r="I10" i="101"/>
  <c r="G10" i="101"/>
  <c r="P9" i="101"/>
  <c r="M9" i="101" s="1"/>
  <c r="N9" i="101"/>
  <c r="I9" i="101"/>
  <c r="G9" i="101"/>
  <c r="P8" i="101"/>
  <c r="M8" i="101" s="1"/>
  <c r="N8" i="101"/>
  <c r="I8" i="101"/>
  <c r="G8" i="101"/>
  <c r="P7" i="101"/>
  <c r="M7" i="101" s="1"/>
  <c r="N7" i="101"/>
  <c r="I7" i="101"/>
  <c r="G7" i="101"/>
  <c r="P6" i="101"/>
  <c r="M6" i="101" s="1"/>
  <c r="N6" i="101"/>
  <c r="I6" i="101"/>
  <c r="G6" i="101"/>
  <c r="H6" i="101" s="1"/>
  <c r="F6" i="101"/>
  <c r="P20" i="100"/>
  <c r="M20" i="100" s="1"/>
  <c r="N20" i="100"/>
  <c r="I20" i="100"/>
  <c r="G20" i="100"/>
  <c r="H20" i="100" s="1"/>
  <c r="F20" i="100"/>
  <c r="P19" i="100"/>
  <c r="M19" i="100" s="1"/>
  <c r="N19" i="100"/>
  <c r="I19" i="100"/>
  <c r="G19" i="100"/>
  <c r="H19" i="100" s="1"/>
  <c r="F19" i="100"/>
  <c r="P18" i="100"/>
  <c r="M18" i="100" s="1"/>
  <c r="N18" i="100"/>
  <c r="I18" i="100"/>
  <c r="G18" i="100"/>
  <c r="H18" i="100" s="1"/>
  <c r="F18" i="100"/>
  <c r="P17" i="100"/>
  <c r="M17" i="100" s="1"/>
  <c r="N17" i="100"/>
  <c r="I17" i="100"/>
  <c r="G17" i="100"/>
  <c r="H17" i="100" s="1"/>
  <c r="F17" i="100"/>
  <c r="P16" i="100"/>
  <c r="M16" i="100" s="1"/>
  <c r="N16" i="100"/>
  <c r="I16" i="100"/>
  <c r="G16" i="100"/>
  <c r="H16" i="100" s="1"/>
  <c r="F16" i="100"/>
  <c r="P15" i="100"/>
  <c r="M15" i="100" s="1"/>
  <c r="N15" i="100"/>
  <c r="I15" i="100"/>
  <c r="G15" i="100"/>
  <c r="H15" i="100" s="1"/>
  <c r="F15" i="100"/>
  <c r="P14" i="100"/>
  <c r="M14" i="100" s="1"/>
  <c r="N14" i="100"/>
  <c r="I14" i="100"/>
  <c r="G14" i="100"/>
  <c r="H14" i="100" s="1"/>
  <c r="F14" i="100"/>
  <c r="P13" i="100"/>
  <c r="M13" i="100" s="1"/>
  <c r="N13" i="100"/>
  <c r="I13" i="100"/>
  <c r="G13" i="100"/>
  <c r="H13" i="100" s="1"/>
  <c r="F13" i="100"/>
  <c r="P12" i="100"/>
  <c r="M12" i="100" s="1"/>
  <c r="N12" i="100"/>
  <c r="I12" i="100"/>
  <c r="G12" i="100"/>
  <c r="H12" i="100" s="1"/>
  <c r="F12" i="100"/>
  <c r="P11" i="100"/>
  <c r="M11" i="100" s="1"/>
  <c r="N11" i="100"/>
  <c r="I11" i="100"/>
  <c r="G11" i="100"/>
  <c r="H11" i="100" s="1"/>
  <c r="F11" i="100"/>
  <c r="P10" i="100"/>
  <c r="M10" i="100" s="1"/>
  <c r="N10" i="100"/>
  <c r="I10" i="100"/>
  <c r="G10" i="100"/>
  <c r="H10" i="100" s="1"/>
  <c r="F10" i="100"/>
  <c r="P9" i="100"/>
  <c r="M9" i="100" s="1"/>
  <c r="N9" i="100"/>
  <c r="I9" i="100"/>
  <c r="G9" i="100"/>
  <c r="H9" i="100" s="1"/>
  <c r="F9" i="100"/>
  <c r="P8" i="100"/>
  <c r="M8" i="100" s="1"/>
  <c r="N8" i="100"/>
  <c r="I8" i="100"/>
  <c r="G8" i="100"/>
  <c r="H8" i="100" s="1"/>
  <c r="F8" i="100"/>
  <c r="P7" i="100"/>
  <c r="M7" i="100" s="1"/>
  <c r="N7" i="100"/>
  <c r="I7" i="100"/>
  <c r="G7" i="100"/>
  <c r="H7" i="100" s="1"/>
  <c r="F7" i="100"/>
  <c r="P6" i="100"/>
  <c r="M6" i="100" s="1"/>
  <c r="N6" i="100"/>
  <c r="I6" i="100"/>
  <c r="G6" i="100"/>
  <c r="H6" i="100" s="1"/>
  <c r="F6" i="100"/>
  <c r="P20" i="99"/>
  <c r="M20" i="99" s="1"/>
  <c r="N20" i="99"/>
  <c r="I20" i="99"/>
  <c r="G20" i="99"/>
  <c r="H20" i="99" s="1"/>
  <c r="F20" i="99"/>
  <c r="P19" i="99"/>
  <c r="M19" i="99" s="1"/>
  <c r="N19" i="99"/>
  <c r="I19" i="99"/>
  <c r="G19" i="99"/>
  <c r="H19" i="99" s="1"/>
  <c r="F19" i="99"/>
  <c r="P18" i="99"/>
  <c r="M18" i="99" s="1"/>
  <c r="N18" i="99"/>
  <c r="I18" i="99"/>
  <c r="G18" i="99"/>
  <c r="H18" i="99" s="1"/>
  <c r="F18" i="99"/>
  <c r="P17" i="99"/>
  <c r="M17" i="99" s="1"/>
  <c r="N17" i="99"/>
  <c r="I17" i="99"/>
  <c r="G17" i="99"/>
  <c r="H17" i="99" s="1"/>
  <c r="F17" i="99"/>
  <c r="P16" i="99"/>
  <c r="M16" i="99" s="1"/>
  <c r="N16" i="99"/>
  <c r="I16" i="99"/>
  <c r="G16" i="99"/>
  <c r="H16" i="99" s="1"/>
  <c r="F16" i="99"/>
  <c r="P15" i="99"/>
  <c r="M15" i="99" s="1"/>
  <c r="N15" i="99"/>
  <c r="I15" i="99"/>
  <c r="G15" i="99"/>
  <c r="H15" i="99" s="1"/>
  <c r="F15" i="99"/>
  <c r="P14" i="99"/>
  <c r="M14" i="99" s="1"/>
  <c r="N14" i="99"/>
  <c r="I14" i="99"/>
  <c r="G14" i="99"/>
  <c r="H14" i="99" s="1"/>
  <c r="F14" i="99"/>
  <c r="P13" i="99"/>
  <c r="M13" i="99" s="1"/>
  <c r="N13" i="99"/>
  <c r="I13" i="99"/>
  <c r="G13" i="99"/>
  <c r="H13" i="99" s="1"/>
  <c r="F13" i="99"/>
  <c r="P12" i="99"/>
  <c r="M12" i="99" s="1"/>
  <c r="N12" i="99"/>
  <c r="I12" i="99"/>
  <c r="G12" i="99"/>
  <c r="H12" i="99" s="1"/>
  <c r="F12" i="99"/>
  <c r="P11" i="99"/>
  <c r="M11" i="99" s="1"/>
  <c r="N11" i="99"/>
  <c r="I11" i="99"/>
  <c r="G11" i="99"/>
  <c r="H11" i="99" s="1"/>
  <c r="F11" i="99"/>
  <c r="P10" i="99"/>
  <c r="M10" i="99" s="1"/>
  <c r="N10" i="99"/>
  <c r="I10" i="99"/>
  <c r="G10" i="99"/>
  <c r="H10" i="99" s="1"/>
  <c r="F10" i="99"/>
  <c r="P9" i="99"/>
  <c r="M9" i="99" s="1"/>
  <c r="N9" i="99"/>
  <c r="I9" i="99"/>
  <c r="G9" i="99"/>
  <c r="H9" i="99" s="1"/>
  <c r="F9" i="99"/>
  <c r="P8" i="99"/>
  <c r="M8" i="99" s="1"/>
  <c r="N8" i="99"/>
  <c r="I8" i="99"/>
  <c r="G8" i="99"/>
  <c r="H8" i="99" s="1"/>
  <c r="F8" i="99"/>
  <c r="P7" i="99"/>
  <c r="M7" i="99" s="1"/>
  <c r="N7" i="99"/>
  <c r="I7" i="99"/>
  <c r="G7" i="99"/>
  <c r="H7" i="99" s="1"/>
  <c r="F7" i="99"/>
  <c r="P6" i="99"/>
  <c r="M6" i="99" s="1"/>
  <c r="N6" i="99"/>
  <c r="I6" i="99"/>
  <c r="G6" i="99"/>
  <c r="H6" i="99" s="1"/>
  <c r="F6" i="99"/>
  <c r="P20" i="98"/>
  <c r="M20" i="98" s="1"/>
  <c r="N20" i="98"/>
  <c r="I20" i="98"/>
  <c r="G20" i="98"/>
  <c r="H20" i="98" s="1"/>
  <c r="F20" i="98"/>
  <c r="P19" i="98"/>
  <c r="M19" i="98" s="1"/>
  <c r="N19" i="98"/>
  <c r="I19" i="98"/>
  <c r="G19" i="98"/>
  <c r="H19" i="98" s="1"/>
  <c r="F19" i="98"/>
  <c r="P18" i="98"/>
  <c r="M18" i="98" s="1"/>
  <c r="N18" i="98"/>
  <c r="I18" i="98"/>
  <c r="G18" i="98"/>
  <c r="H18" i="98" s="1"/>
  <c r="F18" i="98"/>
  <c r="P17" i="98"/>
  <c r="M17" i="98" s="1"/>
  <c r="N17" i="98"/>
  <c r="I17" i="98"/>
  <c r="G17" i="98"/>
  <c r="H17" i="98" s="1"/>
  <c r="F17" i="98"/>
  <c r="P16" i="98"/>
  <c r="M16" i="98" s="1"/>
  <c r="N16" i="98"/>
  <c r="I16" i="98"/>
  <c r="G16" i="98"/>
  <c r="H16" i="98" s="1"/>
  <c r="F16" i="98"/>
  <c r="P15" i="98"/>
  <c r="M15" i="98" s="1"/>
  <c r="N15" i="98"/>
  <c r="I15" i="98"/>
  <c r="H15" i="98"/>
  <c r="P14" i="98"/>
  <c r="M14" i="98" s="1"/>
  <c r="N14" i="98"/>
  <c r="I14" i="98"/>
  <c r="G14" i="98"/>
  <c r="H14" i="98" s="1"/>
  <c r="F14" i="98"/>
  <c r="P13" i="98"/>
  <c r="M13" i="98" s="1"/>
  <c r="N13" i="98"/>
  <c r="I13" i="98"/>
  <c r="G13" i="98"/>
  <c r="H13" i="98" s="1"/>
  <c r="F13" i="98"/>
  <c r="P12" i="98"/>
  <c r="M12" i="98" s="1"/>
  <c r="N12" i="98"/>
  <c r="I12" i="98"/>
  <c r="G12" i="98"/>
  <c r="H12" i="98" s="1"/>
  <c r="F12" i="98"/>
  <c r="P11" i="98"/>
  <c r="M11" i="98" s="1"/>
  <c r="N11" i="98"/>
  <c r="I11" i="98"/>
  <c r="G11" i="98"/>
  <c r="H11" i="98" s="1"/>
  <c r="F11" i="98"/>
  <c r="P10" i="98"/>
  <c r="M10" i="98" s="1"/>
  <c r="N10" i="98"/>
  <c r="I10" i="98"/>
  <c r="G10" i="98"/>
  <c r="H10" i="98" s="1"/>
  <c r="F10" i="98"/>
  <c r="P9" i="98"/>
  <c r="M9" i="98" s="1"/>
  <c r="N9" i="98"/>
  <c r="I9" i="98"/>
  <c r="G9" i="98"/>
  <c r="H9" i="98" s="1"/>
  <c r="F9" i="98"/>
  <c r="P8" i="98"/>
  <c r="M8" i="98" s="1"/>
  <c r="N8" i="98"/>
  <c r="I8" i="98"/>
  <c r="G8" i="98"/>
  <c r="H8" i="98" s="1"/>
  <c r="P7" i="98"/>
  <c r="M7" i="98" s="1"/>
  <c r="N7" i="98"/>
  <c r="I7" i="98"/>
  <c r="G7" i="98"/>
  <c r="H7" i="98" s="1"/>
  <c r="F7" i="98"/>
  <c r="P6" i="98"/>
  <c r="M6" i="98" s="1"/>
  <c r="N6" i="98"/>
  <c r="I6" i="98"/>
  <c r="G6" i="98"/>
  <c r="H6" i="98" s="1"/>
  <c r="F6" i="98"/>
  <c r="P20" i="97"/>
  <c r="M20" i="97" s="1"/>
  <c r="N20" i="97"/>
  <c r="I20" i="97"/>
  <c r="G20" i="97"/>
  <c r="H20" i="97" s="1"/>
  <c r="F20" i="97"/>
  <c r="P19" i="97"/>
  <c r="M19" i="97" s="1"/>
  <c r="N19" i="97"/>
  <c r="I19" i="97"/>
  <c r="G19" i="97"/>
  <c r="H19" i="97" s="1"/>
  <c r="F19" i="97"/>
  <c r="P18" i="97"/>
  <c r="M18" i="97" s="1"/>
  <c r="N18" i="97"/>
  <c r="I18" i="97"/>
  <c r="G18" i="97"/>
  <c r="H18" i="97" s="1"/>
  <c r="F18" i="97"/>
  <c r="P17" i="97"/>
  <c r="M17" i="97" s="1"/>
  <c r="N17" i="97"/>
  <c r="I17" i="97"/>
  <c r="G17" i="97"/>
  <c r="H17" i="97" s="1"/>
  <c r="F17" i="97"/>
  <c r="P16" i="97"/>
  <c r="M16" i="97" s="1"/>
  <c r="N16" i="97"/>
  <c r="I16" i="97"/>
  <c r="G16" i="97"/>
  <c r="H16" i="97" s="1"/>
  <c r="F16" i="97"/>
  <c r="P15" i="97"/>
  <c r="M15" i="97" s="1"/>
  <c r="N15" i="97"/>
  <c r="I15" i="97"/>
  <c r="H15" i="97"/>
  <c r="P14" i="97"/>
  <c r="M14" i="97" s="1"/>
  <c r="N14" i="97"/>
  <c r="I14" i="97"/>
  <c r="G14" i="97"/>
  <c r="H14" i="97" s="1"/>
  <c r="F14" i="97"/>
  <c r="P13" i="97"/>
  <c r="M13" i="97" s="1"/>
  <c r="N13" i="97"/>
  <c r="I13" i="97"/>
  <c r="G13" i="97"/>
  <c r="H13" i="97" s="1"/>
  <c r="F13" i="97"/>
  <c r="P12" i="97"/>
  <c r="M12" i="97" s="1"/>
  <c r="N12" i="97"/>
  <c r="I12" i="97"/>
  <c r="G12" i="97"/>
  <c r="H12" i="97" s="1"/>
  <c r="F12" i="97"/>
  <c r="P11" i="97"/>
  <c r="M11" i="97" s="1"/>
  <c r="N11" i="97"/>
  <c r="I11" i="97"/>
  <c r="G11" i="97"/>
  <c r="H11" i="97" s="1"/>
  <c r="F11" i="97"/>
  <c r="P10" i="97"/>
  <c r="M10" i="97" s="1"/>
  <c r="N10" i="97"/>
  <c r="I10" i="97"/>
  <c r="G10" i="97"/>
  <c r="H10" i="97" s="1"/>
  <c r="F10" i="97"/>
  <c r="P9" i="97"/>
  <c r="M9" i="97" s="1"/>
  <c r="N9" i="97"/>
  <c r="I9" i="97"/>
  <c r="G9" i="97"/>
  <c r="H9" i="97" s="1"/>
  <c r="F9" i="97"/>
  <c r="P8" i="97"/>
  <c r="M8" i="97" s="1"/>
  <c r="N8" i="97"/>
  <c r="I8" i="97"/>
  <c r="G8" i="97"/>
  <c r="H8" i="97" s="1"/>
  <c r="F8" i="97"/>
  <c r="P7" i="97"/>
  <c r="M7" i="97" s="1"/>
  <c r="N7" i="97"/>
  <c r="I7" i="97"/>
  <c r="G7" i="97"/>
  <c r="H7" i="97" s="1"/>
  <c r="F7" i="97"/>
  <c r="P6" i="97"/>
  <c r="M6" i="97" s="1"/>
  <c r="N6" i="97"/>
  <c r="I6" i="97"/>
  <c r="G6" i="97"/>
  <c r="H6" i="97" s="1"/>
  <c r="F6" i="97"/>
  <c r="P20" i="94"/>
  <c r="M20" i="94" s="1"/>
  <c r="N20" i="94"/>
  <c r="I20" i="94"/>
  <c r="G20" i="94"/>
  <c r="H20" i="94" s="1"/>
  <c r="F20" i="94"/>
  <c r="P19" i="94"/>
  <c r="M19" i="94" s="1"/>
  <c r="N19" i="94"/>
  <c r="I19" i="94"/>
  <c r="G19" i="94"/>
  <c r="H19" i="94" s="1"/>
  <c r="F19" i="94"/>
  <c r="P18" i="94"/>
  <c r="M18" i="94" s="1"/>
  <c r="N18" i="94"/>
  <c r="I18" i="94"/>
  <c r="G18" i="94"/>
  <c r="H18" i="94" s="1"/>
  <c r="F18" i="94"/>
  <c r="P17" i="94"/>
  <c r="M17" i="94" s="1"/>
  <c r="N17" i="94"/>
  <c r="I17" i="94"/>
  <c r="G17" i="94"/>
  <c r="H17" i="94" s="1"/>
  <c r="F17" i="94"/>
  <c r="P16" i="94"/>
  <c r="M16" i="94" s="1"/>
  <c r="N16" i="94"/>
  <c r="I16" i="94"/>
  <c r="G16" i="94"/>
  <c r="H16" i="94" s="1"/>
  <c r="F16" i="94"/>
  <c r="P15" i="94"/>
  <c r="M15" i="94" s="1"/>
  <c r="N15" i="94"/>
  <c r="I15" i="94"/>
  <c r="G15" i="94"/>
  <c r="H15" i="94" s="1"/>
  <c r="F15" i="94"/>
  <c r="P14" i="94"/>
  <c r="M14" i="94" s="1"/>
  <c r="N14" i="94"/>
  <c r="I14" i="94"/>
  <c r="G14" i="94"/>
  <c r="H14" i="94" s="1"/>
  <c r="F14" i="94"/>
  <c r="P13" i="94"/>
  <c r="M13" i="94" s="1"/>
  <c r="N13" i="94"/>
  <c r="I13" i="94"/>
  <c r="G13" i="94"/>
  <c r="H13" i="94" s="1"/>
  <c r="F13" i="94"/>
  <c r="P12" i="94"/>
  <c r="M12" i="94" s="1"/>
  <c r="N12" i="94"/>
  <c r="I12" i="94"/>
  <c r="G12" i="94"/>
  <c r="H12" i="94" s="1"/>
  <c r="F12" i="94"/>
  <c r="P11" i="94"/>
  <c r="M11" i="94" s="1"/>
  <c r="N11" i="94"/>
  <c r="I11" i="94"/>
  <c r="G11" i="94"/>
  <c r="H11" i="94" s="1"/>
  <c r="F11" i="94"/>
  <c r="P10" i="94"/>
  <c r="M10" i="94" s="1"/>
  <c r="N10" i="94"/>
  <c r="I10" i="94"/>
  <c r="G10" i="94"/>
  <c r="H10" i="94" s="1"/>
  <c r="F10" i="94"/>
  <c r="P9" i="94"/>
  <c r="M9" i="94" s="1"/>
  <c r="N9" i="94"/>
  <c r="I9" i="94"/>
  <c r="G9" i="94"/>
  <c r="H9" i="94" s="1"/>
  <c r="F9" i="94"/>
  <c r="P8" i="94"/>
  <c r="M8" i="94" s="1"/>
  <c r="N8" i="94"/>
  <c r="I8" i="94"/>
  <c r="G8" i="94"/>
  <c r="H8" i="94" s="1"/>
  <c r="F8" i="94"/>
  <c r="P7" i="94"/>
  <c r="M7" i="94" s="1"/>
  <c r="N7" i="94"/>
  <c r="I7" i="94"/>
  <c r="G7" i="94"/>
  <c r="H7" i="94" s="1"/>
  <c r="F7" i="94"/>
  <c r="P6" i="94"/>
  <c r="M6" i="94" s="1"/>
  <c r="N6" i="94"/>
  <c r="I6" i="94"/>
  <c r="G6" i="94"/>
  <c r="H6" i="94" s="1"/>
  <c r="F6" i="94"/>
  <c r="P20" i="96"/>
  <c r="M20" i="96" s="1"/>
  <c r="N20" i="96"/>
  <c r="I20" i="96"/>
  <c r="G20" i="96"/>
  <c r="H20" i="96" s="1"/>
  <c r="F20" i="96"/>
  <c r="P19" i="96"/>
  <c r="M19" i="96" s="1"/>
  <c r="N19" i="96"/>
  <c r="I19" i="96"/>
  <c r="G19" i="96"/>
  <c r="H19" i="96" s="1"/>
  <c r="F19" i="96"/>
  <c r="P18" i="96"/>
  <c r="M18" i="96" s="1"/>
  <c r="N18" i="96"/>
  <c r="I18" i="96"/>
  <c r="G18" i="96"/>
  <c r="H18" i="96" s="1"/>
  <c r="F18" i="96"/>
  <c r="P17" i="96"/>
  <c r="M17" i="96" s="1"/>
  <c r="N17" i="96"/>
  <c r="I17" i="96"/>
  <c r="G17" i="96"/>
  <c r="H17" i="96" s="1"/>
  <c r="F17" i="96"/>
  <c r="P16" i="96"/>
  <c r="M16" i="96" s="1"/>
  <c r="N16" i="96"/>
  <c r="I16" i="96"/>
  <c r="G16" i="96"/>
  <c r="H16" i="96" s="1"/>
  <c r="F16" i="96"/>
  <c r="P15" i="96"/>
  <c r="M15" i="96" s="1"/>
  <c r="N15" i="96"/>
  <c r="I15" i="96"/>
  <c r="G15" i="96"/>
  <c r="H15" i="96" s="1"/>
  <c r="F15" i="96"/>
  <c r="P14" i="96"/>
  <c r="M14" i="96" s="1"/>
  <c r="N14" i="96"/>
  <c r="I14" i="96"/>
  <c r="G14" i="96"/>
  <c r="H14" i="96" s="1"/>
  <c r="F14" i="96"/>
  <c r="P13" i="96"/>
  <c r="M13" i="96" s="1"/>
  <c r="N13" i="96"/>
  <c r="I13" i="96"/>
  <c r="G13" i="96"/>
  <c r="H13" i="96" s="1"/>
  <c r="F13" i="96"/>
  <c r="P12" i="96"/>
  <c r="M12" i="96" s="1"/>
  <c r="N12" i="96"/>
  <c r="I12" i="96"/>
  <c r="G12" i="96"/>
  <c r="H12" i="96" s="1"/>
  <c r="F12" i="96"/>
  <c r="P11" i="96"/>
  <c r="M11" i="96" s="1"/>
  <c r="N11" i="96"/>
  <c r="I11" i="96"/>
  <c r="G11" i="96"/>
  <c r="H11" i="96" s="1"/>
  <c r="F11" i="96"/>
  <c r="P10" i="96"/>
  <c r="M10" i="96" s="1"/>
  <c r="N10" i="96"/>
  <c r="I10" i="96"/>
  <c r="G10" i="96"/>
  <c r="H10" i="96" s="1"/>
  <c r="F10" i="96"/>
  <c r="P9" i="96"/>
  <c r="M9" i="96" s="1"/>
  <c r="N9" i="96"/>
  <c r="I9" i="96"/>
  <c r="G9" i="96"/>
  <c r="H9" i="96" s="1"/>
  <c r="F9" i="96"/>
  <c r="P8" i="96"/>
  <c r="M8" i="96" s="1"/>
  <c r="N8" i="96"/>
  <c r="I8" i="96"/>
  <c r="G8" i="96"/>
  <c r="H8" i="96" s="1"/>
  <c r="F8" i="96"/>
  <c r="P7" i="96"/>
  <c r="M7" i="96" s="1"/>
  <c r="N7" i="96"/>
  <c r="I7" i="96"/>
  <c r="G7" i="96"/>
  <c r="H7" i="96" s="1"/>
  <c r="F7" i="96"/>
  <c r="P6" i="96"/>
  <c r="M6" i="96" s="1"/>
  <c r="N6" i="96"/>
  <c r="I6" i="96"/>
  <c r="G6" i="96"/>
  <c r="H6" i="96" s="1"/>
  <c r="F6" i="96"/>
  <c r="P20" i="95"/>
  <c r="M20" i="95" s="1"/>
  <c r="N20" i="95"/>
  <c r="I20" i="95"/>
  <c r="G20" i="95"/>
  <c r="H20" i="95" s="1"/>
  <c r="P19" i="95"/>
  <c r="M19" i="95" s="1"/>
  <c r="N19" i="95"/>
  <c r="I19" i="95"/>
  <c r="G19" i="95"/>
  <c r="H19" i="95" s="1"/>
  <c r="P18" i="95"/>
  <c r="M18" i="95" s="1"/>
  <c r="N18" i="95"/>
  <c r="I18" i="95"/>
  <c r="G18" i="95"/>
  <c r="H18" i="95" s="1"/>
  <c r="P17" i="95"/>
  <c r="M17" i="95" s="1"/>
  <c r="N17" i="95"/>
  <c r="I17" i="95"/>
  <c r="G17" i="95"/>
  <c r="H17" i="95" s="1"/>
  <c r="P16" i="95"/>
  <c r="M16" i="95" s="1"/>
  <c r="N16" i="95"/>
  <c r="I16" i="95"/>
  <c r="G16" i="95"/>
  <c r="H16" i="95" s="1"/>
  <c r="P15" i="95"/>
  <c r="M15" i="95" s="1"/>
  <c r="N15" i="95"/>
  <c r="I15" i="95"/>
  <c r="G15" i="95"/>
  <c r="H15" i="95" s="1"/>
  <c r="P14" i="95"/>
  <c r="M14" i="95" s="1"/>
  <c r="N14" i="95"/>
  <c r="I14" i="95"/>
  <c r="G14" i="95"/>
  <c r="H14" i="95" s="1"/>
  <c r="P13" i="95"/>
  <c r="M13" i="95" s="1"/>
  <c r="N13" i="95"/>
  <c r="I13" i="95"/>
  <c r="G13" i="95"/>
  <c r="H13" i="95" s="1"/>
  <c r="P12" i="95"/>
  <c r="M12" i="95" s="1"/>
  <c r="N12" i="95"/>
  <c r="I12" i="95"/>
  <c r="G12" i="95"/>
  <c r="H12" i="95" s="1"/>
  <c r="P11" i="95"/>
  <c r="M11" i="95" s="1"/>
  <c r="N11" i="95"/>
  <c r="I11" i="95"/>
  <c r="G11" i="95"/>
  <c r="H11" i="95" s="1"/>
  <c r="P10" i="95"/>
  <c r="M10" i="95" s="1"/>
  <c r="N10" i="95"/>
  <c r="I10" i="95"/>
  <c r="G10" i="95"/>
  <c r="H10" i="95" s="1"/>
  <c r="P9" i="95"/>
  <c r="M9" i="95" s="1"/>
  <c r="N9" i="95"/>
  <c r="I9" i="95"/>
  <c r="G9" i="95"/>
  <c r="H9" i="95" s="1"/>
  <c r="P8" i="95"/>
  <c r="M8" i="95" s="1"/>
  <c r="N8" i="95"/>
  <c r="I8" i="95"/>
  <c r="G8" i="95"/>
  <c r="H8" i="95" s="1"/>
  <c r="P7" i="95"/>
  <c r="M7" i="95" s="1"/>
  <c r="N7" i="95"/>
  <c r="I7" i="95"/>
  <c r="G7" i="95"/>
  <c r="H7" i="95" s="1"/>
  <c r="P6" i="95"/>
  <c r="M6" i="95" s="1"/>
  <c r="N6" i="95"/>
  <c r="I6" i="95"/>
  <c r="G6" i="95"/>
  <c r="H6" i="95" s="1"/>
  <c r="F6" i="95"/>
  <c r="F27" i="95" l="1"/>
  <c r="F26" i="95"/>
  <c r="H7" i="101"/>
  <c r="J7" i="102"/>
  <c r="H8" i="101"/>
  <c r="J8" i="102"/>
  <c r="H9" i="101"/>
  <c r="J9" i="102"/>
  <c r="H10" i="101"/>
  <c r="J10" i="102"/>
  <c r="H11" i="101"/>
  <c r="J11" i="102"/>
  <c r="H12" i="101"/>
  <c r="J12" i="102"/>
  <c r="H13" i="101"/>
  <c r="J13" i="102"/>
  <c r="H14" i="101"/>
  <c r="J14" i="102"/>
  <c r="H15" i="101"/>
  <c r="J15" i="102"/>
  <c r="H16" i="101"/>
  <c r="J16" i="102"/>
  <c r="H17" i="101"/>
  <c r="J17" i="102"/>
  <c r="H18" i="101"/>
  <c r="J18" i="102"/>
  <c r="H19" i="101"/>
  <c r="J19" i="102"/>
  <c r="H20" i="101"/>
  <c r="J20" i="102"/>
  <c r="G26" i="99"/>
  <c r="F26" i="100"/>
  <c r="F27" i="100"/>
  <c r="F27" i="99"/>
  <c r="F26" i="99"/>
  <c r="C20" i="103"/>
  <c r="C19" i="103"/>
  <c r="C18" i="103"/>
  <c r="C17" i="103"/>
  <c r="C16" i="103"/>
  <c r="C15" i="103"/>
  <c r="C14" i="103"/>
  <c r="C13" i="103"/>
  <c r="C12" i="103"/>
  <c r="C11" i="103"/>
  <c r="C10" i="103"/>
  <c r="C9" i="103"/>
  <c r="C8" i="103"/>
  <c r="C7" i="103"/>
  <c r="C6" i="103"/>
  <c r="C3" i="103"/>
  <c r="C20" i="102"/>
  <c r="C19" i="102"/>
  <c r="C18" i="102"/>
  <c r="C17" i="102"/>
  <c r="C16" i="102"/>
  <c r="C15" i="102"/>
  <c r="C14" i="102"/>
  <c r="C13" i="102"/>
  <c r="C12" i="102"/>
  <c r="C11" i="102"/>
  <c r="C10" i="102"/>
  <c r="C9" i="102"/>
  <c r="C8" i="102"/>
  <c r="C7" i="102"/>
  <c r="O6" i="102"/>
  <c r="M26" i="102" s="1"/>
  <c r="C6" i="102"/>
  <c r="C3" i="102"/>
  <c r="C20" i="101"/>
  <c r="C19" i="101"/>
  <c r="C18" i="101"/>
  <c r="C17" i="101"/>
  <c r="O16" i="101"/>
  <c r="C16" i="101"/>
  <c r="O15" i="101"/>
  <c r="C15" i="101"/>
  <c r="C14" i="101"/>
  <c r="O13" i="101"/>
  <c r="C13" i="101"/>
  <c r="O12" i="101"/>
  <c r="C12" i="101"/>
  <c r="C11" i="101"/>
  <c r="C10" i="101"/>
  <c r="C9" i="101"/>
  <c r="O8" i="101"/>
  <c r="C8" i="101"/>
  <c r="O7" i="101"/>
  <c r="C7" i="101"/>
  <c r="O6" i="101"/>
  <c r="C6" i="101"/>
  <c r="C3" i="101"/>
  <c r="C20" i="100"/>
  <c r="C19" i="100"/>
  <c r="C18" i="100"/>
  <c r="C17" i="100"/>
  <c r="C16" i="100"/>
  <c r="C15" i="100"/>
  <c r="C14" i="100"/>
  <c r="C13" i="100"/>
  <c r="C12" i="100"/>
  <c r="O11" i="100"/>
  <c r="C11" i="100"/>
  <c r="C10" i="100"/>
  <c r="C9" i="100"/>
  <c r="C8" i="100"/>
  <c r="O7" i="100"/>
  <c r="C7" i="100"/>
  <c r="C6" i="100"/>
  <c r="C3" i="100"/>
  <c r="O20" i="99"/>
  <c r="C20" i="99"/>
  <c r="O19" i="99"/>
  <c r="C19" i="99"/>
  <c r="C18" i="99"/>
  <c r="C17" i="99"/>
  <c r="C16" i="99"/>
  <c r="C15" i="99"/>
  <c r="C14" i="99"/>
  <c r="C13" i="99"/>
  <c r="C12" i="99"/>
  <c r="O11" i="99"/>
  <c r="C11" i="99"/>
  <c r="C10" i="99"/>
  <c r="C9" i="99"/>
  <c r="C8" i="99"/>
  <c r="C7" i="99"/>
  <c r="C6" i="99"/>
  <c r="C3" i="99"/>
  <c r="C20" i="98"/>
  <c r="O19" i="98"/>
  <c r="C19" i="98"/>
  <c r="O18" i="98"/>
  <c r="C18" i="98"/>
  <c r="C17" i="98"/>
  <c r="C16" i="98"/>
  <c r="C15" i="98"/>
  <c r="O14" i="98"/>
  <c r="C14" i="98"/>
  <c r="O13" i="98"/>
  <c r="C13" i="98"/>
  <c r="C12" i="98"/>
  <c r="O11" i="98"/>
  <c r="C11" i="98"/>
  <c r="O10" i="98"/>
  <c r="C10" i="98"/>
  <c r="O9" i="98"/>
  <c r="C9" i="98"/>
  <c r="C8" i="98"/>
  <c r="C7" i="98"/>
  <c r="C6" i="98"/>
  <c r="C3" i="98"/>
  <c r="C20" i="97"/>
  <c r="O19" i="97"/>
  <c r="C19" i="97"/>
  <c r="O18" i="97"/>
  <c r="C18" i="97"/>
  <c r="O17" i="97"/>
  <c r="C17" i="97"/>
  <c r="C16" i="97"/>
  <c r="O15" i="97"/>
  <c r="C15" i="97"/>
  <c r="C14" i="97"/>
  <c r="O13" i="97"/>
  <c r="C13" i="97"/>
  <c r="C12" i="97"/>
  <c r="C11" i="97"/>
  <c r="C10" i="97"/>
  <c r="O9" i="97"/>
  <c r="C9" i="97"/>
  <c r="C8" i="97"/>
  <c r="C7" i="97"/>
  <c r="C6" i="97"/>
  <c r="C3" i="97"/>
  <c r="C20" i="96"/>
  <c r="C19" i="96"/>
  <c r="C18" i="96"/>
  <c r="C17" i="96"/>
  <c r="C16" i="96"/>
  <c r="O15" i="96"/>
  <c r="C15" i="96"/>
  <c r="C14" i="96"/>
  <c r="C13" i="96"/>
  <c r="C12" i="96"/>
  <c r="O11" i="96"/>
  <c r="C11" i="96"/>
  <c r="C10" i="96"/>
  <c r="C9" i="96"/>
  <c r="C8" i="96"/>
  <c r="O7" i="96"/>
  <c r="C7" i="96"/>
  <c r="C6" i="96"/>
  <c r="C3" i="96"/>
  <c r="C20" i="95"/>
  <c r="O19" i="95"/>
  <c r="C19" i="95"/>
  <c r="O18" i="95"/>
  <c r="C18" i="95"/>
  <c r="C17" i="95"/>
  <c r="C16" i="95"/>
  <c r="O15" i="95"/>
  <c r="C15" i="95"/>
  <c r="O14" i="95"/>
  <c r="C14" i="95"/>
  <c r="C13" i="95"/>
  <c r="C12" i="95"/>
  <c r="C11" i="95"/>
  <c r="O10" i="95"/>
  <c r="C10" i="95"/>
  <c r="C9" i="95"/>
  <c r="C8" i="95"/>
  <c r="O7" i="95"/>
  <c r="C7" i="95"/>
  <c r="O6" i="95"/>
  <c r="C6" i="95"/>
  <c r="C3" i="95"/>
  <c r="C20" i="94"/>
  <c r="C19" i="94"/>
  <c r="O18" i="94"/>
  <c r="C18" i="94"/>
  <c r="C17" i="94"/>
  <c r="C16" i="94"/>
  <c r="O15" i="94"/>
  <c r="C15" i="94"/>
  <c r="O14" i="94"/>
  <c r="C14" i="94"/>
  <c r="O13" i="94"/>
  <c r="C13" i="94"/>
  <c r="C12" i="94"/>
  <c r="O11" i="94"/>
  <c r="C11" i="94"/>
  <c r="O10" i="94"/>
  <c r="C10" i="94"/>
  <c r="O9" i="94"/>
  <c r="C9" i="94"/>
  <c r="C8" i="94"/>
  <c r="C7" i="94"/>
  <c r="O6" i="94"/>
  <c r="C6" i="94"/>
  <c r="C3" i="94"/>
  <c r="J14" i="99" l="1"/>
  <c r="J10" i="96"/>
  <c r="O17" i="95"/>
  <c r="J18" i="96"/>
  <c r="J20" i="96"/>
  <c r="O20" i="95"/>
  <c r="J12" i="100"/>
  <c r="O12" i="99"/>
  <c r="J13" i="100"/>
  <c r="O13" i="99"/>
  <c r="J10" i="94"/>
  <c r="J12" i="94"/>
  <c r="O12" i="96"/>
  <c r="J13" i="94"/>
  <c r="J7" i="98"/>
  <c r="O9" i="99"/>
  <c r="J11" i="101"/>
  <c r="J18" i="97"/>
  <c r="J8" i="96"/>
  <c r="J12" i="101"/>
  <c r="J13" i="101"/>
  <c r="J15" i="100"/>
  <c r="J20" i="98"/>
  <c r="O20" i="97"/>
  <c r="J6" i="94"/>
  <c r="J7" i="94"/>
  <c r="J19" i="94"/>
  <c r="J17" i="99"/>
  <c r="J14" i="94"/>
  <c r="J15" i="94"/>
  <c r="J19" i="98"/>
  <c r="J6" i="99"/>
  <c r="J7" i="99"/>
  <c r="O7" i="98"/>
  <c r="J18" i="99"/>
  <c r="J6" i="100"/>
  <c r="J10" i="101"/>
  <c r="J17" i="97"/>
  <c r="J15" i="96"/>
  <c r="J16" i="96"/>
  <c r="J12" i="98"/>
  <c r="O12" i="97"/>
  <c r="J13" i="98"/>
  <c r="J10" i="99"/>
  <c r="J11" i="99"/>
  <c r="J16" i="99"/>
  <c r="J20" i="100"/>
  <c r="J7" i="101"/>
  <c r="J14" i="101"/>
  <c r="J10" i="97"/>
  <c r="J11" i="97"/>
  <c r="J12" i="96"/>
  <c r="O12" i="95"/>
  <c r="J13" i="96"/>
  <c r="O13" i="100"/>
  <c r="J15" i="101"/>
  <c r="J16" i="101"/>
  <c r="O16" i="100"/>
  <c r="J17" i="101"/>
  <c r="O17" i="100"/>
  <c r="O9" i="101"/>
  <c r="O17" i="101"/>
  <c r="J18" i="101"/>
  <c r="O17" i="94"/>
  <c r="N23" i="97"/>
  <c r="O7" i="97"/>
  <c r="O7" i="99"/>
  <c r="O8" i="95"/>
  <c r="J11" i="96"/>
  <c r="O6" i="97"/>
  <c r="O11" i="97"/>
  <c r="O16" i="99"/>
  <c r="J17" i="100"/>
  <c r="O17" i="99"/>
  <c r="O8" i="100"/>
  <c r="J9" i="101"/>
  <c r="O9" i="100"/>
  <c r="O19" i="100"/>
  <c r="O15" i="99"/>
  <c r="J14" i="97"/>
  <c r="J19" i="97"/>
  <c r="O19" i="94"/>
  <c r="J20" i="97"/>
  <c r="J17" i="94"/>
  <c r="J18" i="94"/>
  <c r="J9" i="98"/>
  <c r="O14" i="97"/>
  <c r="J12" i="99"/>
  <c r="H23" i="100"/>
  <c r="J18" i="100"/>
  <c r="J8" i="97"/>
  <c r="J9" i="97"/>
  <c r="J14" i="98"/>
  <c r="J17" i="98"/>
  <c r="J8" i="100"/>
  <c r="J14" i="100"/>
  <c r="J19" i="101"/>
  <c r="J20" i="101"/>
  <c r="J6" i="102"/>
  <c r="O13" i="95"/>
  <c r="F23" i="100"/>
  <c r="J6" i="101"/>
  <c r="J10" i="100"/>
  <c r="F23" i="94"/>
  <c r="J6" i="97"/>
  <c r="O16" i="95"/>
  <c r="O13" i="96"/>
  <c r="O20" i="96"/>
  <c r="F23" i="97"/>
  <c r="J6" i="98"/>
  <c r="O16" i="98"/>
  <c r="O20" i="98"/>
  <c r="F23" i="102"/>
  <c r="O7" i="94"/>
  <c r="F26" i="94"/>
  <c r="J15" i="97"/>
  <c r="J16" i="97"/>
  <c r="F23" i="95"/>
  <c r="J6" i="96"/>
  <c r="O19" i="96"/>
  <c r="J8" i="98"/>
  <c r="O8" i="97"/>
  <c r="J15" i="99"/>
  <c r="O15" i="98"/>
  <c r="J9" i="100"/>
  <c r="J7" i="96"/>
  <c r="J8" i="94"/>
  <c r="O17" i="96"/>
  <c r="J8" i="101"/>
  <c r="J16" i="94"/>
  <c r="J18" i="98"/>
  <c r="F27" i="97"/>
  <c r="J14" i="96"/>
  <c r="J19" i="96"/>
  <c r="O9" i="96"/>
  <c r="I23" i="97"/>
  <c r="O10" i="97"/>
  <c r="O16" i="97"/>
  <c r="I23" i="98"/>
  <c r="O8" i="99"/>
  <c r="J16" i="100"/>
  <c r="O12" i="100"/>
  <c r="E23" i="103"/>
  <c r="I23" i="94"/>
  <c r="J12" i="97"/>
  <c r="J13" i="97"/>
  <c r="O11" i="95"/>
  <c r="J17" i="96"/>
  <c r="O8" i="96"/>
  <c r="J9" i="94"/>
  <c r="O16" i="96"/>
  <c r="G23" i="97"/>
  <c r="J15" i="98"/>
  <c r="O12" i="98"/>
  <c r="J13" i="99"/>
  <c r="J20" i="99"/>
  <c r="O11" i="101"/>
  <c r="O19" i="101"/>
  <c r="I23" i="102"/>
  <c r="N23" i="94"/>
  <c r="J7" i="97"/>
  <c r="J20" i="94"/>
  <c r="J10" i="98"/>
  <c r="J11" i="98"/>
  <c r="J16" i="98"/>
  <c r="O6" i="98"/>
  <c r="O8" i="98"/>
  <c r="J9" i="99"/>
  <c r="J19" i="99"/>
  <c r="F23" i="99"/>
  <c r="O15" i="100"/>
  <c r="I23" i="103"/>
  <c r="G23" i="94"/>
  <c r="N23" i="95"/>
  <c r="J9" i="96"/>
  <c r="J11" i="94"/>
  <c r="G23" i="98"/>
  <c r="J7" i="100"/>
  <c r="J11" i="100"/>
  <c r="J19" i="100"/>
  <c r="H23" i="101"/>
  <c r="N23" i="102"/>
  <c r="K32" i="103"/>
  <c r="N23" i="103"/>
  <c r="F27" i="103"/>
  <c r="D26" i="103"/>
  <c r="H23" i="103"/>
  <c r="F26" i="103"/>
  <c r="O14" i="101"/>
  <c r="I23" i="101"/>
  <c r="N23" i="101"/>
  <c r="F27" i="101"/>
  <c r="F26" i="101"/>
  <c r="F27" i="102"/>
  <c r="F23" i="101"/>
  <c r="G23" i="101"/>
  <c r="H23" i="102"/>
  <c r="P23" i="101"/>
  <c r="O10" i="101"/>
  <c r="O18" i="101"/>
  <c r="G23" i="102"/>
  <c r="O20" i="101"/>
  <c r="P23" i="102"/>
  <c r="F26" i="102"/>
  <c r="O6" i="99"/>
  <c r="P23" i="99"/>
  <c r="N23" i="98"/>
  <c r="O18" i="99"/>
  <c r="O14" i="100"/>
  <c r="P23" i="97"/>
  <c r="O6" i="100"/>
  <c r="P23" i="100"/>
  <c r="O17" i="98"/>
  <c r="O14" i="99"/>
  <c r="P23" i="98"/>
  <c r="I23" i="99"/>
  <c r="N23" i="99"/>
  <c r="O10" i="99"/>
  <c r="G23" i="99"/>
  <c r="I23" i="100"/>
  <c r="N23" i="100"/>
  <c r="O10" i="100"/>
  <c r="O18" i="100"/>
  <c r="G23" i="100"/>
  <c r="O20" i="100"/>
  <c r="I23" i="95"/>
  <c r="F23" i="96"/>
  <c r="O6" i="96"/>
  <c r="P23" i="96"/>
  <c r="O14" i="96"/>
  <c r="G23" i="95"/>
  <c r="O10" i="96"/>
  <c r="O18" i="96"/>
  <c r="O9" i="95"/>
  <c r="P23" i="95"/>
  <c r="I23" i="96"/>
  <c r="N23" i="96"/>
  <c r="G23" i="96"/>
  <c r="O8" i="94"/>
  <c r="O12" i="94"/>
  <c r="O16" i="94"/>
  <c r="O20" i="94"/>
  <c r="P23" i="94"/>
  <c r="F27" i="94" l="1"/>
  <c r="F29" i="94" s="1"/>
  <c r="F26" i="97"/>
  <c r="F29" i="97" s="1"/>
  <c r="H23" i="94"/>
  <c r="H23" i="99"/>
  <c r="H23" i="98"/>
  <c r="H23" i="96"/>
  <c r="M26" i="96"/>
  <c r="G26" i="98"/>
  <c r="J23" i="96"/>
  <c r="J23" i="101"/>
  <c r="F27" i="96"/>
  <c r="K26" i="95"/>
  <c r="M26" i="99"/>
  <c r="J23" i="102"/>
  <c r="G27" i="100"/>
  <c r="M23" i="98"/>
  <c r="J23" i="100"/>
  <c r="M23" i="95"/>
  <c r="O23" i="97"/>
  <c r="G27" i="97"/>
  <c r="K26" i="98"/>
  <c r="H23" i="97"/>
  <c r="M26" i="97"/>
  <c r="G27" i="94"/>
  <c r="J23" i="98"/>
  <c r="G26" i="96"/>
  <c r="G27" i="99"/>
  <c r="F26" i="96"/>
  <c r="J23" i="94"/>
  <c r="G26" i="102"/>
  <c r="K26" i="97"/>
  <c r="G26" i="94"/>
  <c r="J23" i="97"/>
  <c r="G27" i="98"/>
  <c r="H23" i="95"/>
  <c r="F26" i="98"/>
  <c r="G26" i="95"/>
  <c r="K26" i="100"/>
  <c r="O23" i="98"/>
  <c r="K26" i="99"/>
  <c r="M26" i="98"/>
  <c r="G26" i="97"/>
  <c r="M26" i="101"/>
  <c r="F29" i="103"/>
  <c r="O23" i="95"/>
  <c r="G27" i="102"/>
  <c r="K26" i="94"/>
  <c r="M26" i="95"/>
  <c r="K26" i="96"/>
  <c r="M23" i="99"/>
  <c r="K26" i="101"/>
  <c r="G27" i="103"/>
  <c r="G26" i="103"/>
  <c r="D27" i="103"/>
  <c r="M23" i="103"/>
  <c r="O23" i="101"/>
  <c r="O23" i="102"/>
  <c r="F29" i="102"/>
  <c r="M23" i="101"/>
  <c r="F29" i="101"/>
  <c r="G27" i="101"/>
  <c r="G26" i="101"/>
  <c r="M23" i="102"/>
  <c r="M26" i="100"/>
  <c r="G26" i="100"/>
  <c r="M23" i="100"/>
  <c r="O23" i="99"/>
  <c r="M23" i="97"/>
  <c r="O23" i="100"/>
  <c r="G27" i="96"/>
  <c r="G27" i="95"/>
  <c r="O23" i="96"/>
  <c r="M23" i="96"/>
  <c r="M26" i="94"/>
  <c r="O23" i="94"/>
  <c r="M23" i="94"/>
  <c r="F29" i="95" l="1"/>
  <c r="G29" i="98"/>
  <c r="F29" i="96"/>
  <c r="F29" i="99"/>
  <c r="G29" i="94"/>
  <c r="F29" i="100"/>
  <c r="G29" i="97"/>
  <c r="G29" i="102"/>
  <c r="G29" i="100"/>
  <c r="G29" i="95"/>
  <c r="G29" i="96"/>
  <c r="G29" i="99"/>
  <c r="D29" i="103"/>
  <c r="G29" i="103"/>
  <c r="G29" i="101"/>
  <c r="P20" i="93" l="1"/>
  <c r="M20" i="93" s="1"/>
  <c r="N20" i="93"/>
  <c r="I20" i="93"/>
  <c r="G20" i="93"/>
  <c r="H20" i="93" s="1"/>
  <c r="F20" i="93"/>
  <c r="P19" i="93"/>
  <c r="M19" i="93" s="1"/>
  <c r="N19" i="93"/>
  <c r="I19" i="93"/>
  <c r="G19" i="93"/>
  <c r="H19" i="93" s="1"/>
  <c r="F19" i="93"/>
  <c r="P18" i="93"/>
  <c r="M18" i="93" s="1"/>
  <c r="N18" i="93"/>
  <c r="I18" i="93"/>
  <c r="G18" i="93"/>
  <c r="H18" i="93" s="1"/>
  <c r="F18" i="93"/>
  <c r="P17" i="93"/>
  <c r="M17" i="93" s="1"/>
  <c r="N17" i="93"/>
  <c r="I17" i="93"/>
  <c r="G17" i="93"/>
  <c r="H17" i="93" s="1"/>
  <c r="F17" i="93"/>
  <c r="P16" i="93"/>
  <c r="M16" i="93" s="1"/>
  <c r="N16" i="93"/>
  <c r="I16" i="93"/>
  <c r="G16" i="93"/>
  <c r="H16" i="93" s="1"/>
  <c r="F16" i="93"/>
  <c r="P15" i="93"/>
  <c r="M15" i="93" s="1"/>
  <c r="N15" i="93"/>
  <c r="I15" i="93"/>
  <c r="G15" i="93"/>
  <c r="H15" i="93" s="1"/>
  <c r="F15" i="93"/>
  <c r="P14" i="93"/>
  <c r="O14" i="93" s="1"/>
  <c r="N14" i="93"/>
  <c r="I14" i="93"/>
  <c r="G14" i="93"/>
  <c r="H14" i="93" s="1"/>
  <c r="F14" i="93"/>
  <c r="P13" i="93"/>
  <c r="M13" i="93" s="1"/>
  <c r="N13" i="93"/>
  <c r="I13" i="93"/>
  <c r="G13" i="93"/>
  <c r="H13" i="93" s="1"/>
  <c r="F13" i="93"/>
  <c r="P12" i="93"/>
  <c r="M12" i="93" s="1"/>
  <c r="N12" i="93"/>
  <c r="I12" i="93"/>
  <c r="G12" i="93"/>
  <c r="H12" i="93" s="1"/>
  <c r="F12" i="93"/>
  <c r="P11" i="93"/>
  <c r="M11" i="93" s="1"/>
  <c r="N11" i="93"/>
  <c r="I11" i="93"/>
  <c r="G11" i="93"/>
  <c r="H11" i="93" s="1"/>
  <c r="F11" i="93"/>
  <c r="P10" i="93"/>
  <c r="M10" i="93" s="1"/>
  <c r="N10" i="93"/>
  <c r="I10" i="93"/>
  <c r="G10" i="93"/>
  <c r="H10" i="93" s="1"/>
  <c r="F10" i="93"/>
  <c r="P9" i="93"/>
  <c r="M9" i="93" s="1"/>
  <c r="N9" i="93"/>
  <c r="I9" i="93"/>
  <c r="G9" i="93"/>
  <c r="H9" i="93" s="1"/>
  <c r="F9" i="93"/>
  <c r="P8" i="93"/>
  <c r="M8" i="93" s="1"/>
  <c r="N8" i="93"/>
  <c r="I8" i="93"/>
  <c r="G8" i="93"/>
  <c r="H8" i="93" s="1"/>
  <c r="F8" i="93"/>
  <c r="P7" i="93"/>
  <c r="O7" i="93" s="1"/>
  <c r="N7" i="93"/>
  <c r="I7" i="93"/>
  <c r="G7" i="93"/>
  <c r="H7" i="93" s="1"/>
  <c r="F7" i="93"/>
  <c r="P6" i="93"/>
  <c r="M6" i="93" s="1"/>
  <c r="N6" i="93"/>
  <c r="I6" i="93"/>
  <c r="G6" i="93"/>
  <c r="H6" i="93" s="1"/>
  <c r="F6" i="93"/>
  <c r="C20" i="93"/>
  <c r="C19" i="93"/>
  <c r="C18" i="93"/>
  <c r="C17" i="93"/>
  <c r="C16" i="93"/>
  <c r="C15" i="93"/>
  <c r="C14" i="93"/>
  <c r="C13" i="93"/>
  <c r="C12" i="93"/>
  <c r="C11" i="93"/>
  <c r="C10" i="93"/>
  <c r="C9" i="93"/>
  <c r="C8" i="93"/>
  <c r="C7" i="93"/>
  <c r="C6" i="93"/>
  <c r="C3" i="93"/>
  <c r="J15" i="95" l="1"/>
  <c r="J7" i="95"/>
  <c r="J11" i="95"/>
  <c r="J19" i="95"/>
  <c r="J8" i="95"/>
  <c r="J12" i="95"/>
  <c r="J6" i="95"/>
  <c r="J10" i="95"/>
  <c r="J14" i="95"/>
  <c r="J18" i="95"/>
  <c r="J16" i="95"/>
  <c r="J20" i="95"/>
  <c r="J9" i="95"/>
  <c r="J13" i="95"/>
  <c r="J17" i="95"/>
  <c r="O11" i="93"/>
  <c r="O18" i="93"/>
  <c r="O10" i="93"/>
  <c r="O19" i="93"/>
  <c r="M7" i="93"/>
  <c r="O15" i="93"/>
  <c r="M14" i="93"/>
  <c r="O6" i="93"/>
  <c r="O9" i="93"/>
  <c r="N23" i="93"/>
  <c r="F23" i="93"/>
  <c r="I23" i="93"/>
  <c r="H23" i="93"/>
  <c r="O17" i="93"/>
  <c r="F27" i="93"/>
  <c r="F26" i="93"/>
  <c r="O13" i="93"/>
  <c r="G23" i="93"/>
  <c r="O8" i="93"/>
  <c r="O12" i="93"/>
  <c r="O16" i="93"/>
  <c r="O20" i="93"/>
  <c r="P23" i="93"/>
  <c r="G26" i="93" l="1"/>
  <c r="J23" i="95"/>
  <c r="F29" i="93"/>
  <c r="K26" i="93"/>
  <c r="O23" i="93"/>
  <c r="G27" i="93"/>
  <c r="M26" i="93"/>
  <c r="M23" i="93"/>
  <c r="G29" i="93" l="1"/>
  <c r="P20" i="91" l="1"/>
  <c r="M20" i="91" s="1"/>
  <c r="N20" i="91"/>
  <c r="I20" i="91"/>
  <c r="G20" i="91"/>
  <c r="H20" i="91" s="1"/>
  <c r="F20" i="91"/>
  <c r="P19" i="91"/>
  <c r="M19" i="91" s="1"/>
  <c r="N19" i="91"/>
  <c r="I19" i="91"/>
  <c r="G19" i="91"/>
  <c r="H19" i="91" s="1"/>
  <c r="F19" i="91"/>
  <c r="P18" i="91"/>
  <c r="M18" i="91" s="1"/>
  <c r="N18" i="91"/>
  <c r="I18" i="91"/>
  <c r="G18" i="91"/>
  <c r="H18" i="91" s="1"/>
  <c r="F18" i="91"/>
  <c r="P17" i="91"/>
  <c r="M17" i="91" s="1"/>
  <c r="N17" i="91"/>
  <c r="I17" i="91"/>
  <c r="G17" i="91"/>
  <c r="H17" i="91" s="1"/>
  <c r="F17" i="91"/>
  <c r="P16" i="91"/>
  <c r="M16" i="91" s="1"/>
  <c r="N16" i="91"/>
  <c r="I16" i="91"/>
  <c r="G16" i="91"/>
  <c r="H16" i="91" s="1"/>
  <c r="F16" i="91"/>
  <c r="P15" i="91"/>
  <c r="M15" i="91" s="1"/>
  <c r="N15" i="91"/>
  <c r="I15" i="91"/>
  <c r="G15" i="91"/>
  <c r="H15" i="91" s="1"/>
  <c r="F15" i="91"/>
  <c r="P14" i="91"/>
  <c r="M14" i="91" s="1"/>
  <c r="N14" i="91"/>
  <c r="I14" i="91"/>
  <c r="G14" i="91"/>
  <c r="H14" i="91" s="1"/>
  <c r="F14" i="91"/>
  <c r="P13" i="91"/>
  <c r="M13" i="91" s="1"/>
  <c r="N13" i="91"/>
  <c r="I13" i="91"/>
  <c r="G13" i="91"/>
  <c r="H13" i="91" s="1"/>
  <c r="F13" i="91"/>
  <c r="P12" i="91"/>
  <c r="M12" i="91" s="1"/>
  <c r="N12" i="91"/>
  <c r="I12" i="91"/>
  <c r="G12" i="91"/>
  <c r="H12" i="91" s="1"/>
  <c r="F12" i="91"/>
  <c r="P11" i="91"/>
  <c r="M11" i="91" s="1"/>
  <c r="N11" i="91"/>
  <c r="I11" i="91"/>
  <c r="G11" i="91"/>
  <c r="H11" i="91" s="1"/>
  <c r="F11" i="91"/>
  <c r="P10" i="91"/>
  <c r="M10" i="91" s="1"/>
  <c r="N10" i="91"/>
  <c r="I10" i="91"/>
  <c r="G10" i="91"/>
  <c r="H10" i="91" s="1"/>
  <c r="F10" i="91"/>
  <c r="P9" i="91"/>
  <c r="M9" i="91" s="1"/>
  <c r="N9" i="91"/>
  <c r="I9" i="91"/>
  <c r="G9" i="91"/>
  <c r="H9" i="91" s="1"/>
  <c r="F9" i="91"/>
  <c r="P8" i="91"/>
  <c r="M8" i="91" s="1"/>
  <c r="N8" i="91"/>
  <c r="I8" i="91"/>
  <c r="G8" i="91"/>
  <c r="H8" i="91" s="1"/>
  <c r="F8" i="91"/>
  <c r="P7" i="91"/>
  <c r="M7" i="91" s="1"/>
  <c r="N7" i="91"/>
  <c r="I7" i="91"/>
  <c r="G7" i="91"/>
  <c r="H7" i="91" s="1"/>
  <c r="F7" i="91"/>
  <c r="P6" i="91"/>
  <c r="M6" i="91" s="1"/>
  <c r="N6" i="91"/>
  <c r="I6" i="91"/>
  <c r="G6" i="91"/>
  <c r="H6" i="91" s="1"/>
  <c r="F6" i="91"/>
  <c r="J6" i="93" l="1"/>
  <c r="J10" i="93"/>
  <c r="J14" i="93"/>
  <c r="J18" i="93"/>
  <c r="J16" i="93"/>
  <c r="J20" i="93"/>
  <c r="J8" i="93"/>
  <c r="J12" i="93"/>
  <c r="J9" i="93"/>
  <c r="J13" i="93"/>
  <c r="J17" i="93"/>
  <c r="J7" i="93"/>
  <c r="J11" i="93"/>
  <c r="J15" i="93"/>
  <c r="J19" i="93"/>
  <c r="J23" i="90"/>
  <c r="O16" i="91" l="1"/>
  <c r="O8" i="91"/>
  <c r="C20" i="91"/>
  <c r="C19" i="91"/>
  <c r="C18" i="91"/>
  <c r="C17" i="91"/>
  <c r="C16" i="91"/>
  <c r="C15" i="91"/>
  <c r="C14" i="91"/>
  <c r="C13" i="91"/>
  <c r="C12" i="91"/>
  <c r="C11" i="91"/>
  <c r="C10" i="91"/>
  <c r="C9" i="91"/>
  <c r="C8" i="91"/>
  <c r="C7" i="91"/>
  <c r="C6" i="91"/>
  <c r="C3" i="91"/>
  <c r="F23" i="91" l="1"/>
  <c r="I23" i="91"/>
  <c r="P23" i="91"/>
  <c r="H23" i="91"/>
  <c r="G23" i="91"/>
  <c r="N23" i="91"/>
  <c r="O12" i="91"/>
  <c r="O13" i="91"/>
  <c r="O19" i="91"/>
  <c r="O9" i="91"/>
  <c r="O6" i="91"/>
  <c r="O15" i="91"/>
  <c r="O7" i="91"/>
  <c r="O11" i="91"/>
  <c r="O18" i="91"/>
  <c r="O17" i="91"/>
  <c r="O10" i="91"/>
  <c r="O14" i="91"/>
  <c r="O20" i="91"/>
  <c r="F27" i="91"/>
  <c r="F26" i="91"/>
  <c r="M23" i="91" l="1"/>
  <c r="O23" i="91"/>
  <c r="G26" i="91"/>
  <c r="G27" i="91"/>
  <c r="M26" i="91"/>
  <c r="K26" i="91"/>
  <c r="F29" i="91"/>
  <c r="G29" i="91" l="1"/>
  <c r="I7" i="90" l="1"/>
  <c r="I8" i="90"/>
  <c r="I9" i="90"/>
  <c r="I10" i="90"/>
  <c r="I11" i="90"/>
  <c r="I12" i="90"/>
  <c r="I13" i="90"/>
  <c r="I14" i="90"/>
  <c r="I15" i="90"/>
  <c r="I16" i="90"/>
  <c r="I17" i="90"/>
  <c r="I18" i="90"/>
  <c r="I19" i="90"/>
  <c r="I20" i="90"/>
  <c r="I6" i="90"/>
  <c r="F7" i="90"/>
  <c r="F7" i="103" s="1"/>
  <c r="F8" i="90"/>
  <c r="F9" i="90"/>
  <c r="F9" i="103" s="1"/>
  <c r="F10" i="90"/>
  <c r="F10" i="103" s="1"/>
  <c r="F11" i="90"/>
  <c r="F11" i="103" s="1"/>
  <c r="F12" i="90"/>
  <c r="F12" i="103" s="1"/>
  <c r="F13" i="90"/>
  <c r="F13" i="103" s="1"/>
  <c r="F14" i="90"/>
  <c r="F14" i="103" s="1"/>
  <c r="F15" i="90"/>
  <c r="F15" i="103" s="1"/>
  <c r="F16" i="90"/>
  <c r="F16" i="103" s="1"/>
  <c r="F17" i="90"/>
  <c r="F17" i="103" s="1"/>
  <c r="F18" i="90"/>
  <c r="F18" i="103" s="1"/>
  <c r="F19" i="90"/>
  <c r="F19" i="103" s="1"/>
  <c r="F20" i="90"/>
  <c r="F20" i="103" s="1"/>
  <c r="I23" i="90" l="1"/>
  <c r="C3" i="90"/>
  <c r="P19" i="90"/>
  <c r="N19" i="90"/>
  <c r="G19" i="90"/>
  <c r="C19" i="90"/>
  <c r="P6" i="90"/>
  <c r="P6" i="103" s="1"/>
  <c r="N6" i="90"/>
  <c r="G6" i="90"/>
  <c r="G6" i="103" s="1"/>
  <c r="F6" i="90"/>
  <c r="F6" i="103" s="1"/>
  <c r="C6" i="90"/>
  <c r="P8" i="90"/>
  <c r="P8" i="103" s="1"/>
  <c r="P9" i="90"/>
  <c r="P9" i="103" s="1"/>
  <c r="P10" i="90"/>
  <c r="P10" i="103" s="1"/>
  <c r="P11" i="90"/>
  <c r="P11" i="103" s="1"/>
  <c r="P12" i="90"/>
  <c r="P12" i="103" s="1"/>
  <c r="P13" i="90"/>
  <c r="P13" i="103" s="1"/>
  <c r="P14" i="90"/>
  <c r="P14" i="103" s="1"/>
  <c r="P15" i="90"/>
  <c r="P15" i="103" s="1"/>
  <c r="P16" i="90"/>
  <c r="P16" i="103" s="1"/>
  <c r="P17" i="90"/>
  <c r="P17" i="103" s="1"/>
  <c r="P18" i="90"/>
  <c r="P18" i="103" s="1"/>
  <c r="P20" i="90"/>
  <c r="P20" i="103" s="1"/>
  <c r="P7" i="90"/>
  <c r="N8" i="90"/>
  <c r="N9" i="90"/>
  <c r="N10" i="90"/>
  <c r="N11" i="90"/>
  <c r="N12" i="90"/>
  <c r="N13" i="90"/>
  <c r="N14" i="90"/>
  <c r="N15" i="90"/>
  <c r="N16" i="90"/>
  <c r="N17" i="90"/>
  <c r="N18" i="90"/>
  <c r="N20" i="90"/>
  <c r="N7" i="90"/>
  <c r="G8" i="90"/>
  <c r="G9" i="90"/>
  <c r="G10" i="90"/>
  <c r="G11" i="90"/>
  <c r="G12" i="90"/>
  <c r="G13" i="90"/>
  <c r="G14" i="90"/>
  <c r="G17" i="90"/>
  <c r="G18" i="90"/>
  <c r="G20" i="90"/>
  <c r="G7" i="90"/>
  <c r="H14" i="90" l="1"/>
  <c r="G14" i="103"/>
  <c r="H10" i="90"/>
  <c r="G10" i="103"/>
  <c r="M7" i="90"/>
  <c r="P7" i="103"/>
  <c r="H20" i="90"/>
  <c r="G20" i="103"/>
  <c r="H9" i="90"/>
  <c r="G9" i="103"/>
  <c r="O19" i="90"/>
  <c r="O19" i="103" s="1"/>
  <c r="P19" i="103"/>
  <c r="H18" i="90"/>
  <c r="G18" i="103"/>
  <c r="H12" i="90"/>
  <c r="G12" i="103"/>
  <c r="H8" i="90"/>
  <c r="G8" i="103"/>
  <c r="H7" i="90"/>
  <c r="G7" i="103"/>
  <c r="H13" i="90"/>
  <c r="G13" i="103"/>
  <c r="H17" i="90"/>
  <c r="G17" i="103"/>
  <c r="H11" i="90"/>
  <c r="G11" i="103"/>
  <c r="H19" i="90"/>
  <c r="G19" i="103"/>
  <c r="F23" i="90"/>
  <c r="O6" i="90"/>
  <c r="O6" i="103" s="1"/>
  <c r="P23" i="90"/>
  <c r="H6" i="90"/>
  <c r="N23" i="90"/>
  <c r="J19" i="91"/>
  <c r="J11" i="91"/>
  <c r="J18" i="91"/>
  <c r="J6" i="91"/>
  <c r="J13" i="91"/>
  <c r="J14" i="91"/>
  <c r="J7" i="91"/>
  <c r="J17" i="91"/>
  <c r="J9" i="91"/>
  <c r="J8" i="91"/>
  <c r="J10" i="91"/>
  <c r="J12" i="91"/>
  <c r="J20" i="91"/>
  <c r="M19" i="90"/>
  <c r="M6" i="90"/>
  <c r="M9" i="90"/>
  <c r="M13" i="90"/>
  <c r="M20" i="90"/>
  <c r="M16" i="90"/>
  <c r="M12" i="90"/>
  <c r="M8" i="90"/>
  <c r="M18" i="90"/>
  <c r="M15" i="90"/>
  <c r="M11" i="90"/>
  <c r="M17" i="90"/>
  <c r="M14" i="90"/>
  <c r="M10" i="90"/>
  <c r="J10" i="103" l="1"/>
  <c r="J7" i="103"/>
  <c r="J18" i="103"/>
  <c r="J14" i="103"/>
  <c r="J11" i="103"/>
  <c r="J9" i="103"/>
  <c r="J13" i="103"/>
  <c r="J19" i="103"/>
  <c r="P23" i="103"/>
  <c r="J20" i="103"/>
  <c r="J12" i="103"/>
  <c r="J17" i="103"/>
  <c r="J6" i="103"/>
  <c r="M23" i="90"/>
  <c r="C8" i="90"/>
  <c r="C9" i="90"/>
  <c r="C10" i="90"/>
  <c r="C11" i="90"/>
  <c r="C12" i="90"/>
  <c r="C13" i="90"/>
  <c r="C14" i="90"/>
  <c r="C15" i="90"/>
  <c r="C16" i="90"/>
  <c r="C17" i="90"/>
  <c r="C18" i="90"/>
  <c r="C20" i="90"/>
  <c r="C7" i="90"/>
  <c r="O14" i="90" l="1"/>
  <c r="O14" i="103" s="1"/>
  <c r="O13" i="90"/>
  <c r="O13" i="103" s="1"/>
  <c r="O18" i="90"/>
  <c r="O18" i="103" s="1"/>
  <c r="O7" i="90"/>
  <c r="O7" i="103" s="1"/>
  <c r="O17" i="90"/>
  <c r="O17" i="103" s="1"/>
  <c r="O10" i="90"/>
  <c r="O10" i="103" s="1"/>
  <c r="O11" i="90"/>
  <c r="O11" i="103" s="1"/>
  <c r="O15" i="90"/>
  <c r="O15" i="103" s="1"/>
  <c r="O9" i="90"/>
  <c r="O9" i="103" s="1"/>
  <c r="O20" i="90"/>
  <c r="O20" i="103" s="1"/>
  <c r="O8" i="90"/>
  <c r="O8" i="103" s="1"/>
  <c r="O12" i="90"/>
  <c r="O12" i="103" s="1"/>
  <c r="O16" i="90"/>
  <c r="O16" i="103" s="1"/>
  <c r="K26" i="103" l="1"/>
  <c r="M26" i="103"/>
  <c r="O23" i="103"/>
  <c r="O23" i="90"/>
  <c r="G27" i="90"/>
  <c r="G26" i="90"/>
  <c r="M26" i="90"/>
  <c r="K26" i="90"/>
  <c r="G29" i="90" l="1"/>
  <c r="K6" i="90" l="1"/>
  <c r="L6" i="90" l="1"/>
  <c r="K19" i="90"/>
  <c r="L19" i="90" l="1"/>
  <c r="G15" i="90"/>
  <c r="G15" i="103" s="1"/>
  <c r="G16" i="90"/>
  <c r="G16" i="103" s="1"/>
  <c r="G23" i="103" l="1"/>
  <c r="P25" i="103" s="1"/>
  <c r="P27" i="103" s="1"/>
  <c r="J16" i="91"/>
  <c r="J23" i="93"/>
  <c r="J15" i="91"/>
  <c r="G23" i="90"/>
  <c r="S20" i="103" l="1"/>
  <c r="S15" i="103"/>
  <c r="S14" i="103"/>
  <c r="S16" i="103"/>
  <c r="S17" i="103"/>
  <c r="P29" i="103"/>
  <c r="S6" i="103" s="1"/>
  <c r="S19" i="103"/>
  <c r="S13" i="103"/>
  <c r="S18" i="103"/>
  <c r="S7" i="103"/>
  <c r="S11" i="103"/>
  <c r="S8" i="103"/>
  <c r="S12" i="103"/>
  <c r="S9" i="103"/>
  <c r="S10" i="103"/>
  <c r="J16" i="103"/>
  <c r="J15" i="103"/>
  <c r="J23" i="91"/>
  <c r="H15" i="90"/>
  <c r="H16" i="90"/>
  <c r="S23" i="103" l="1"/>
  <c r="U23" i="103" s="1"/>
  <c r="H23" i="90"/>
  <c r="F26" i="90"/>
  <c r="F27" i="90"/>
  <c r="F29" i="90" l="1"/>
  <c r="L23" i="103" l="1"/>
  <c r="E26" i="103"/>
  <c r="E27" i="103"/>
  <c r="H27" i="103" s="1"/>
  <c r="E29" i="103" l="1"/>
  <c r="H26" i="103"/>
  <c r="H29" i="103" s="1"/>
  <c r="F8" i="98" l="1"/>
  <c r="F23" i="98" l="1"/>
  <c r="J8" i="99"/>
  <c r="F27" i="98"/>
  <c r="F29" i="98" s="1"/>
  <c r="F8" i="103"/>
  <c r="F23" i="103" s="1"/>
  <c r="J23" i="99" l="1"/>
  <c r="J8" i="103"/>
  <c r="J23" i="103" s="1"/>
  <c r="K33" i="103" s="1"/>
  <c r="K7" i="102" l="1"/>
  <c r="L7" i="102" s="1"/>
  <c r="K9" i="102" l="1"/>
  <c r="K8" i="102" l="1"/>
  <c r="E6" i="96" l="1"/>
  <c r="D6" i="96"/>
  <c r="E20" i="96"/>
  <c r="E8" i="94"/>
  <c r="E19" i="96"/>
  <c r="E10" i="96"/>
  <c r="D10" i="96" s="1"/>
  <c r="B10" i="96" s="1"/>
  <c r="E6" i="95" l="1"/>
  <c r="D6" i="95" s="1"/>
  <c r="E11" i="95"/>
  <c r="D11" i="95" s="1"/>
  <c r="B11" i="95" s="1"/>
  <c r="E13" i="94"/>
  <c r="D13" i="94" s="1"/>
  <c r="B13" i="94" s="1"/>
  <c r="E17" i="96"/>
  <c r="D17" i="96" s="1"/>
  <c r="B17" i="96" s="1"/>
  <c r="E8" i="96"/>
  <c r="D8" i="96" s="1"/>
  <c r="B8" i="96" s="1"/>
  <c r="E13" i="96"/>
  <c r="D13" i="96" s="1"/>
  <c r="B13" i="96" s="1"/>
  <c r="E7" i="96"/>
  <c r="E14" i="95"/>
  <c r="D14" i="95" s="1"/>
  <c r="B14" i="95" s="1"/>
  <c r="E12" i="94"/>
  <c r="D12" i="94" s="1"/>
  <c r="B12" i="94" s="1"/>
  <c r="E17" i="95"/>
  <c r="D17" i="95" s="1"/>
  <c r="B17" i="95" s="1"/>
  <c r="D8" i="94"/>
  <c r="B8" i="94" s="1"/>
  <c r="E18" i="95"/>
  <c r="D18" i="95" s="1"/>
  <c r="B18" i="95" s="1"/>
  <c r="E12" i="95"/>
  <c r="D12" i="95" s="1"/>
  <c r="B12" i="95" s="1"/>
  <c r="E9" i="95"/>
  <c r="D9" i="95" s="1"/>
  <c r="B9" i="95" s="1"/>
  <c r="E19" i="95"/>
  <c r="D19" i="95" s="1"/>
  <c r="B19" i="95" s="1"/>
  <c r="E19" i="94"/>
  <c r="D19" i="94" s="1"/>
  <c r="B19" i="94" s="1"/>
  <c r="E9" i="94"/>
  <c r="D9" i="94" s="1"/>
  <c r="B9" i="94" s="1"/>
  <c r="E15" i="96"/>
  <c r="D15" i="96" s="1"/>
  <c r="B15" i="96" s="1"/>
  <c r="E14" i="96"/>
  <c r="D14" i="96" s="1"/>
  <c r="B14" i="96" s="1"/>
  <c r="E12" i="96"/>
  <c r="D12" i="96" s="1"/>
  <c r="B12" i="96" s="1"/>
  <c r="E9" i="96"/>
  <c r="D9" i="96" s="1"/>
  <c r="B9" i="96" s="1"/>
  <c r="E15" i="95"/>
  <c r="D15" i="95" s="1"/>
  <c r="B15" i="95" s="1"/>
  <c r="E16" i="95"/>
  <c r="D16" i="95" s="1"/>
  <c r="B16" i="95" s="1"/>
  <c r="E13" i="95"/>
  <c r="D13" i="95" s="1"/>
  <c r="B13" i="95" s="1"/>
  <c r="E16" i="94"/>
  <c r="D16" i="94" s="1"/>
  <c r="B16" i="94" s="1"/>
  <c r="E18" i="96"/>
  <c r="D18" i="96" s="1"/>
  <c r="B18" i="96" s="1"/>
  <c r="E16" i="96"/>
  <c r="D16" i="96" s="1"/>
  <c r="B16" i="96" s="1"/>
  <c r="E11" i="96"/>
  <c r="D11" i="96" s="1"/>
  <c r="B11" i="96" s="1"/>
  <c r="E7" i="95"/>
  <c r="E20" i="95"/>
  <c r="D20" i="95" s="1"/>
  <c r="B20" i="95" s="1"/>
  <c r="E10" i="95"/>
  <c r="D10" i="95" s="1"/>
  <c r="B10" i="95" s="1"/>
  <c r="E8" i="95"/>
  <c r="D8" i="95" s="1"/>
  <c r="B8" i="95" s="1"/>
  <c r="D19" i="96"/>
  <c r="B19" i="96" s="1"/>
  <c r="D20" i="96"/>
  <c r="B20" i="96" s="1"/>
  <c r="B6" i="96"/>
  <c r="K32" i="95" l="1"/>
  <c r="D7" i="95"/>
  <c r="D27" i="95" s="1"/>
  <c r="D7" i="96"/>
  <c r="K32" i="96"/>
  <c r="E23" i="96"/>
  <c r="D26" i="96"/>
  <c r="E23" i="95"/>
  <c r="D26" i="95"/>
  <c r="E8" i="93"/>
  <c r="B6" i="95"/>
  <c r="B23" i="95" l="1"/>
  <c r="D29" i="95"/>
  <c r="E6" i="93"/>
  <c r="E17" i="93"/>
  <c r="D17" i="93" s="1"/>
  <c r="B17" i="93" s="1"/>
  <c r="E14" i="93"/>
  <c r="D14" i="93" s="1"/>
  <c r="B14" i="93" s="1"/>
  <c r="E18" i="93"/>
  <c r="D18" i="93" s="1"/>
  <c r="B18" i="93" s="1"/>
  <c r="D8" i="93"/>
  <c r="B8" i="93" s="1"/>
  <c r="D27" i="96"/>
  <c r="D29" i="96" s="1"/>
  <c r="B7" i="96"/>
  <c r="B22" i="96" s="1"/>
  <c r="D23" i="96"/>
  <c r="B23" i="96"/>
  <c r="E13" i="93"/>
  <c r="D13" i="93" s="1"/>
  <c r="B13" i="93" s="1"/>
  <c r="D6" i="93"/>
  <c r="E11" i="93"/>
  <c r="D11" i="93" s="1"/>
  <c r="B11" i="93" s="1"/>
  <c r="E9" i="93"/>
  <c r="D9" i="93" s="1"/>
  <c r="B9" i="93" s="1"/>
  <c r="E15" i="93"/>
  <c r="D15" i="93" s="1"/>
  <c r="B15" i="93" s="1"/>
  <c r="E12" i="93"/>
  <c r="D12" i="93" s="1"/>
  <c r="B12" i="93" s="1"/>
  <c r="E7" i="93"/>
  <c r="E20" i="93"/>
  <c r="D20" i="93" s="1"/>
  <c r="B20" i="93" s="1"/>
  <c r="E10" i="93"/>
  <c r="D10" i="93" s="1"/>
  <c r="B10" i="93" s="1"/>
  <c r="E16" i="93"/>
  <c r="D16" i="93" s="1"/>
  <c r="B16" i="93" s="1"/>
  <c r="D23" i="95"/>
  <c r="B7" i="95"/>
  <c r="B22" i="95" s="1"/>
  <c r="E19" i="93"/>
  <c r="D19" i="93" s="1"/>
  <c r="B19" i="93" s="1"/>
  <c r="E23" i="93" l="1"/>
  <c r="D7" i="93"/>
  <c r="B7" i="93" s="1"/>
  <c r="K32" i="93"/>
  <c r="D26" i="93"/>
  <c r="B6" i="93"/>
  <c r="D23" i="93"/>
  <c r="D27" i="93"/>
  <c r="D29" i="93" s="1"/>
  <c r="B23" i="93" l="1"/>
  <c r="B22" i="93"/>
  <c r="E6" i="91" l="1"/>
  <c r="E12" i="91"/>
  <c r="D12" i="91" s="1"/>
  <c r="B12" i="91" s="1"/>
  <c r="E13" i="91"/>
  <c r="D13" i="91" s="1"/>
  <c r="B13" i="91" s="1"/>
  <c r="E11" i="91"/>
  <c r="D11" i="91" s="1"/>
  <c r="B11" i="91" s="1"/>
  <c r="E19" i="91"/>
  <c r="D19" i="91" s="1"/>
  <c r="B19" i="91" s="1"/>
  <c r="E17" i="91"/>
  <c r="D17" i="91" s="1"/>
  <c r="B17" i="91" s="1"/>
  <c r="E14" i="91"/>
  <c r="D14" i="91" s="1"/>
  <c r="B14" i="91" s="1"/>
  <c r="E9" i="91"/>
  <c r="D9" i="91" s="1"/>
  <c r="B9" i="91" s="1"/>
  <c r="E20" i="91"/>
  <c r="D20" i="91" s="1"/>
  <c r="B20" i="91" s="1"/>
  <c r="D6" i="91"/>
  <c r="E18" i="91"/>
  <c r="D18" i="91" s="1"/>
  <c r="B18" i="91" s="1"/>
  <c r="E10" i="91"/>
  <c r="D10" i="91" s="1"/>
  <c r="B10" i="91" s="1"/>
  <c r="B6" i="91" l="1"/>
  <c r="K8" i="90" l="1"/>
  <c r="K9" i="90"/>
  <c r="K11" i="90"/>
  <c r="K10" i="90"/>
  <c r="K12" i="90"/>
  <c r="K13" i="90"/>
  <c r="K14" i="90"/>
  <c r="K15" i="90"/>
  <c r="K16" i="90"/>
  <c r="K17" i="90"/>
  <c r="K18" i="90"/>
  <c r="K20" i="90"/>
  <c r="K7" i="90"/>
  <c r="L14" i="90" l="1"/>
  <c r="L17" i="90"/>
  <c r="L13" i="90"/>
  <c r="L9" i="90"/>
  <c r="L16" i="90"/>
  <c r="L12" i="90"/>
  <c r="L8" i="90"/>
  <c r="K23" i="90"/>
  <c r="L7" i="90"/>
  <c r="L20" i="90"/>
  <c r="L15" i="90"/>
  <c r="L10" i="90"/>
  <c r="L18" i="90"/>
  <c r="L11" i="90"/>
  <c r="E27" i="90" l="1"/>
  <c r="E26" i="90"/>
  <c r="E29" i="90" s="1"/>
  <c r="K33" i="90" s="1"/>
  <c r="M33" i="90" s="1"/>
  <c r="M33" i="103" s="1"/>
  <c r="L23" i="90"/>
  <c r="E6" i="90" l="1"/>
  <c r="E15" i="90"/>
  <c r="E17" i="90"/>
  <c r="D6" i="90"/>
  <c r="B6" i="90" l="1"/>
  <c r="E14" i="90"/>
  <c r="D14" i="90" s="1"/>
  <c r="E19" i="90"/>
  <c r="D19" i="90" s="1"/>
  <c r="E7" i="90"/>
  <c r="E10" i="90"/>
  <c r="D10" i="90" s="1"/>
  <c r="E9" i="90"/>
  <c r="D9" i="90" s="1"/>
  <c r="D17" i="90"/>
  <c r="E11" i="90"/>
  <c r="D11" i="90" s="1"/>
  <c r="E13" i="90"/>
  <c r="D13" i="90" s="1"/>
  <c r="E20" i="90"/>
  <c r="D20" i="90" s="1"/>
  <c r="E18" i="90"/>
  <c r="D18" i="90" s="1"/>
  <c r="E16" i="90"/>
  <c r="D16" i="90" s="1"/>
  <c r="E8" i="90"/>
  <c r="D8" i="90" s="1"/>
  <c r="D15" i="90"/>
  <c r="B15" i="90" l="1"/>
  <c r="B10" i="90"/>
  <c r="B19" i="90"/>
  <c r="B8" i="90"/>
  <c r="B18" i="90"/>
  <c r="B13" i="90"/>
  <c r="B17" i="90"/>
  <c r="B9" i="90"/>
  <c r="D7" i="90"/>
  <c r="B14" i="90"/>
  <c r="B16" i="90"/>
  <c r="B20" i="90"/>
  <c r="B11" i="90"/>
  <c r="B7" i="90" l="1"/>
  <c r="E15" i="91" l="1"/>
  <c r="D15" i="91" s="1"/>
  <c r="E7" i="91"/>
  <c r="E8" i="91"/>
  <c r="D8" i="91" s="1"/>
  <c r="D7" i="91" l="1"/>
  <c r="E16" i="91"/>
  <c r="B8" i="91"/>
  <c r="B15" i="91"/>
  <c r="K32" i="91" l="1"/>
  <c r="D16" i="91"/>
  <c r="D27" i="91" s="1"/>
  <c r="D29" i="91" s="1"/>
  <c r="D26" i="91"/>
  <c r="E23" i="91"/>
  <c r="B7" i="91"/>
  <c r="D23" i="91" l="1"/>
  <c r="B16" i="91"/>
  <c r="B22" i="91" s="1"/>
  <c r="B23" i="91"/>
  <c r="E12" i="90" l="1"/>
  <c r="D12" i="90" l="1"/>
  <c r="D26" i="90"/>
  <c r="K32" i="90"/>
  <c r="M32" i="90" s="1"/>
  <c r="E23" i="90"/>
  <c r="M32" i="91" l="1"/>
  <c r="M32" i="93" s="1"/>
  <c r="M32" i="95" s="1"/>
  <c r="M32" i="96" s="1"/>
  <c r="M32" i="103"/>
  <c r="H26" i="90"/>
  <c r="D27" i="90"/>
  <c r="H27" i="90" s="1"/>
  <c r="B12" i="90"/>
  <c r="B22" i="90" s="1"/>
  <c r="D23" i="90"/>
  <c r="B23" i="90"/>
  <c r="H29" i="90" l="1"/>
  <c r="D29" i="90"/>
  <c r="K25" i="90" s="1"/>
  <c r="K28" i="90" l="1"/>
  <c r="K30" i="90" s="1"/>
  <c r="M30" i="90" s="1"/>
  <c r="K25" i="103" s="1"/>
  <c r="D3" i="90"/>
  <c r="L26" i="90" s="1"/>
  <c r="K28" i="103" l="1"/>
  <c r="K30" i="103" s="1"/>
  <c r="M30" i="103" s="1"/>
  <c r="D3" i="103"/>
  <c r="L26" i="103" s="1"/>
  <c r="E13" i="99" l="1"/>
  <c r="D13" i="99" s="1"/>
  <c r="B13" i="99" s="1"/>
  <c r="E19" i="99"/>
  <c r="D19" i="99" s="1"/>
  <c r="B19" i="99" s="1"/>
  <c r="E12" i="100"/>
  <c r="D12" i="100" s="1"/>
  <c r="B12" i="100" s="1"/>
  <c r="E15" i="100"/>
  <c r="D15" i="100" s="1"/>
  <c r="B15" i="100" s="1"/>
  <c r="E20" i="99"/>
  <c r="D20" i="99" s="1"/>
  <c r="B20" i="99" s="1"/>
  <c r="E13" i="100"/>
  <c r="D13" i="100" s="1"/>
  <c r="B13" i="100" s="1"/>
  <c r="E8" i="99"/>
  <c r="D8" i="99" s="1"/>
  <c r="B8" i="99" s="1"/>
  <c r="E16" i="100"/>
  <c r="D16" i="100" s="1"/>
  <c r="B16" i="100" s="1"/>
  <c r="E20" i="100"/>
  <c r="D20" i="100" s="1"/>
  <c r="B20" i="100" s="1"/>
  <c r="E15" i="98" l="1"/>
  <c r="D15" i="98" s="1"/>
  <c r="B15" i="98" s="1"/>
  <c r="E13" i="98"/>
  <c r="D13" i="98" s="1"/>
  <c r="B13" i="98" s="1"/>
  <c r="E15" i="97" l="1"/>
  <c r="D15" i="97" s="1"/>
  <c r="B15" i="97" s="1"/>
  <c r="E16" i="98" l="1"/>
  <c r="D16" i="98" s="1"/>
  <c r="B16" i="98" s="1"/>
  <c r="E19" i="98"/>
  <c r="D19" i="98" s="1"/>
  <c r="B19" i="98" s="1"/>
  <c r="E9" i="100"/>
  <c r="D9" i="100" s="1"/>
  <c r="B9" i="100" s="1"/>
  <c r="E10" i="100"/>
  <c r="D10" i="100" s="1"/>
  <c r="B10" i="100" s="1"/>
  <c r="E13" i="97"/>
  <c r="D13" i="97" s="1"/>
  <c r="E16" i="99"/>
  <c r="D16" i="99" s="1"/>
  <c r="B16" i="99" s="1"/>
  <c r="E16" i="97"/>
  <c r="D16" i="97" s="1"/>
  <c r="B16" i="97" l="1"/>
  <c r="B13" i="97"/>
  <c r="E20" i="101" l="1"/>
  <c r="D20" i="101" s="1"/>
  <c r="B20" i="101" s="1"/>
  <c r="E12" i="101"/>
  <c r="D12" i="101" s="1"/>
  <c r="B12" i="101" s="1"/>
  <c r="E16" i="101"/>
  <c r="D16" i="101" s="1"/>
  <c r="B16" i="101" l="1"/>
  <c r="K14" i="99" l="1"/>
  <c r="L14" i="99" s="1"/>
  <c r="K20" i="102"/>
  <c r="L20" i="102" s="1"/>
  <c r="K10" i="96"/>
  <c r="L10" i="96" s="1"/>
  <c r="K18" i="96"/>
  <c r="L18" i="96" s="1"/>
  <c r="K20" i="96"/>
  <c r="L20" i="96" s="1"/>
  <c r="K12" i="100"/>
  <c r="L12" i="100" s="1"/>
  <c r="K13" i="100"/>
  <c r="L13" i="100" s="1"/>
  <c r="K10" i="94"/>
  <c r="L10" i="94" s="1"/>
  <c r="K12" i="94"/>
  <c r="L12" i="94" s="1"/>
  <c r="K13" i="94"/>
  <c r="L13" i="94" s="1"/>
  <c r="K7" i="98"/>
  <c r="L7" i="98" s="1"/>
  <c r="K11" i="101"/>
  <c r="L11" i="101" s="1"/>
  <c r="K18" i="97"/>
  <c r="L18" i="97" s="1"/>
  <c r="K8" i="96"/>
  <c r="L8" i="96" s="1"/>
  <c r="K12" i="101"/>
  <c r="L12" i="101" s="1"/>
  <c r="K13" i="101"/>
  <c r="K12" i="102"/>
  <c r="K14" i="102"/>
  <c r="L14" i="102" s="1"/>
  <c r="K15" i="100"/>
  <c r="L15" i="100" s="1"/>
  <c r="K11" i="102"/>
  <c r="L11" i="102" s="1"/>
  <c r="K17" i="102"/>
  <c r="L17" i="102" s="1"/>
  <c r="K18" i="102"/>
  <c r="L18" i="102" s="1"/>
  <c r="K19" i="102"/>
  <c r="K20" i="98"/>
  <c r="L20" i="98" s="1"/>
  <c r="K10" i="102"/>
  <c r="L10" i="102" s="1"/>
  <c r="K16" i="102"/>
  <c r="L16" i="102" s="1"/>
  <c r="K6" i="94"/>
  <c r="K7" i="94"/>
  <c r="L7" i="94" s="1"/>
  <c r="K19" i="94"/>
  <c r="L19" i="94" s="1"/>
  <c r="K17" i="99"/>
  <c r="L17" i="99" s="1"/>
  <c r="K13" i="102"/>
  <c r="K15" i="102"/>
  <c r="L15" i="102" s="1"/>
  <c r="K14" i="94"/>
  <c r="L14" i="94" s="1"/>
  <c r="K15" i="94"/>
  <c r="L15" i="94" s="1"/>
  <c r="K19" i="98"/>
  <c r="L19" i="98" s="1"/>
  <c r="K6" i="99"/>
  <c r="K7" i="99"/>
  <c r="L7" i="99" s="1"/>
  <c r="K18" i="99"/>
  <c r="L18" i="99" s="1"/>
  <c r="K6" i="100"/>
  <c r="K10" i="101"/>
  <c r="L10" i="101" s="1"/>
  <c r="K17" i="97"/>
  <c r="L17" i="97" s="1"/>
  <c r="K15" i="96"/>
  <c r="L15" i="96" s="1"/>
  <c r="K16" i="96"/>
  <c r="L16" i="96" s="1"/>
  <c r="K12" i="98"/>
  <c r="L12" i="98" s="1"/>
  <c r="K13" i="98"/>
  <c r="L13" i="98" s="1"/>
  <c r="K10" i="99"/>
  <c r="L10" i="99" s="1"/>
  <c r="K11" i="99"/>
  <c r="L11" i="99" s="1"/>
  <c r="K16" i="99"/>
  <c r="L16" i="99" s="1"/>
  <c r="K20" i="100"/>
  <c r="L20" i="100" s="1"/>
  <c r="K7" i="101"/>
  <c r="L7" i="101" s="1"/>
  <c r="K14" i="101"/>
  <c r="L14" i="101" s="1"/>
  <c r="K10" i="97"/>
  <c r="L10" i="97" s="1"/>
  <c r="K11" i="97"/>
  <c r="L11" i="97" s="1"/>
  <c r="K12" i="96"/>
  <c r="L12" i="96" s="1"/>
  <c r="K13" i="96"/>
  <c r="L13" i="96" s="1"/>
  <c r="K15" i="101"/>
  <c r="L15" i="101" s="1"/>
  <c r="K16" i="101"/>
  <c r="L16" i="101" s="1"/>
  <c r="K17" i="101"/>
  <c r="L17" i="101" s="1"/>
  <c r="K18" i="101"/>
  <c r="L18" i="101" s="1"/>
  <c r="K11" i="96"/>
  <c r="L11" i="96" s="1"/>
  <c r="K17" i="100"/>
  <c r="L17" i="100" s="1"/>
  <c r="K9" i="101"/>
  <c r="L9" i="101" s="1"/>
  <c r="K14" i="97"/>
  <c r="L14" i="97" s="1"/>
  <c r="K19" i="97"/>
  <c r="K20" i="97"/>
  <c r="L20" i="97" s="1"/>
  <c r="K17" i="94"/>
  <c r="L17" i="94" s="1"/>
  <c r="K18" i="94"/>
  <c r="L18" i="94" s="1"/>
  <c r="K9" i="98"/>
  <c r="L9" i="98" s="1"/>
  <c r="K12" i="99"/>
  <c r="L12" i="99" s="1"/>
  <c r="K18" i="100"/>
  <c r="L18" i="100" s="1"/>
  <c r="K8" i="97"/>
  <c r="K9" i="97"/>
  <c r="L9" i="97" s="1"/>
  <c r="K14" i="98"/>
  <c r="L14" i="98" s="1"/>
  <c r="K17" i="98"/>
  <c r="L17" i="98" s="1"/>
  <c r="K8" i="100"/>
  <c r="K14" i="100"/>
  <c r="L14" i="100" s="1"/>
  <c r="K19" i="101"/>
  <c r="L19" i="101" s="1"/>
  <c r="K20" i="101"/>
  <c r="L20" i="101" s="1"/>
  <c r="K6" i="102"/>
  <c r="K6" i="101"/>
  <c r="K10" i="100"/>
  <c r="L10" i="100" s="1"/>
  <c r="K6" i="97"/>
  <c r="K6" i="98"/>
  <c r="K15" i="97"/>
  <c r="L15" i="97" s="1"/>
  <c r="K16" i="97"/>
  <c r="L16" i="97" s="1"/>
  <c r="K6" i="96"/>
  <c r="K8" i="98"/>
  <c r="L8" i="98" s="1"/>
  <c r="K15" i="99"/>
  <c r="K9" i="100"/>
  <c r="L9" i="100" s="1"/>
  <c r="K7" i="96"/>
  <c r="L7" i="96" s="1"/>
  <c r="K8" i="94"/>
  <c r="L8" i="94" s="1"/>
  <c r="K8" i="101"/>
  <c r="K16" i="94"/>
  <c r="L16" i="94" s="1"/>
  <c r="K18" i="98"/>
  <c r="L18" i="98" s="1"/>
  <c r="K14" i="96"/>
  <c r="L14" i="96" s="1"/>
  <c r="K19" i="96"/>
  <c r="L19" i="96" s="1"/>
  <c r="K16" i="100"/>
  <c r="L16" i="100" s="1"/>
  <c r="K12" i="97"/>
  <c r="L12" i="97" s="1"/>
  <c r="K13" i="97"/>
  <c r="L13" i="97" s="1"/>
  <c r="K17" i="96"/>
  <c r="L17" i="96" s="1"/>
  <c r="K9" i="94"/>
  <c r="L9" i="94" s="1"/>
  <c r="K15" i="98"/>
  <c r="L15" i="98" s="1"/>
  <c r="K13" i="99"/>
  <c r="L13" i="99" s="1"/>
  <c r="K20" i="99"/>
  <c r="L20" i="99" s="1"/>
  <c r="K7" i="97"/>
  <c r="L7" i="97" s="1"/>
  <c r="K20" i="94"/>
  <c r="L20" i="94" s="1"/>
  <c r="K10" i="98"/>
  <c r="L10" i="98" s="1"/>
  <c r="K11" i="98"/>
  <c r="L11" i="98" s="1"/>
  <c r="K16" i="98"/>
  <c r="L16" i="98" s="1"/>
  <c r="K8" i="99"/>
  <c r="L8" i="99" s="1"/>
  <c r="K9" i="99"/>
  <c r="L9" i="99" s="1"/>
  <c r="K19" i="99"/>
  <c r="L19" i="99" s="1"/>
  <c r="K9" i="96"/>
  <c r="L9" i="96" s="1"/>
  <c r="K11" i="94"/>
  <c r="L11" i="94" s="1"/>
  <c r="K7" i="100"/>
  <c r="L7" i="100" s="1"/>
  <c r="K11" i="100"/>
  <c r="L11" i="100" s="1"/>
  <c r="K19" i="100"/>
  <c r="L19" i="100" s="1"/>
  <c r="L6" i="101" l="1"/>
  <c r="K23" i="101"/>
  <c r="K23" i="99"/>
  <c r="L6" i="99"/>
  <c r="E26" i="94"/>
  <c r="E27" i="94"/>
  <c r="K23" i="98"/>
  <c r="L6" i="98"/>
  <c r="L23" i="98" s="1"/>
  <c r="L6" i="102"/>
  <c r="K23" i="102"/>
  <c r="K23" i="100"/>
  <c r="L6" i="100"/>
  <c r="L6" i="94"/>
  <c r="L23" i="94" s="1"/>
  <c r="K23" i="94"/>
  <c r="E27" i="98"/>
  <c r="E26" i="98"/>
  <c r="E29" i="98" s="1"/>
  <c r="K33" i="98" s="1"/>
  <c r="E27" i="96"/>
  <c r="H27" i="96" s="1"/>
  <c r="E26" i="96"/>
  <c r="K23" i="96"/>
  <c r="L6" i="96"/>
  <c r="L23" i="96" s="1"/>
  <c r="K23" i="97"/>
  <c r="L6" i="97"/>
  <c r="E29" i="96" l="1"/>
  <c r="K33" i="96" s="1"/>
  <c r="H26" i="96"/>
  <c r="H29" i="96" s="1"/>
  <c r="E29" i="94"/>
  <c r="K33" i="94" s="1"/>
  <c r="K15" i="95" l="1"/>
  <c r="L15" i="95" s="1"/>
  <c r="K7" i="95"/>
  <c r="L7" i="95" s="1"/>
  <c r="K19" i="95"/>
  <c r="L19" i="95" s="1"/>
  <c r="K8" i="95"/>
  <c r="L8" i="95" s="1"/>
  <c r="K12" i="95"/>
  <c r="L12" i="95" s="1"/>
  <c r="K6" i="95"/>
  <c r="K14" i="95"/>
  <c r="L14" i="95" s="1"/>
  <c r="K18" i="95"/>
  <c r="L18" i="95" s="1"/>
  <c r="K16" i="95"/>
  <c r="L16" i="95" s="1"/>
  <c r="K20" i="95"/>
  <c r="L20" i="95" s="1"/>
  <c r="K9" i="95"/>
  <c r="L9" i="95" s="1"/>
  <c r="K13" i="95"/>
  <c r="L13" i="95" s="1"/>
  <c r="K17" i="95"/>
  <c r="L17" i="95" s="1"/>
  <c r="L6" i="95" l="1"/>
  <c r="K6" i="93" l="1"/>
  <c r="K14" i="93"/>
  <c r="L14" i="93" s="1"/>
  <c r="K18" i="93"/>
  <c r="L18" i="93" s="1"/>
  <c r="K16" i="93"/>
  <c r="L16" i="93" s="1"/>
  <c r="K20" i="93"/>
  <c r="L20" i="93" s="1"/>
  <c r="K8" i="93"/>
  <c r="L8" i="93" s="1"/>
  <c r="K12" i="93"/>
  <c r="L12" i="93" s="1"/>
  <c r="K9" i="93"/>
  <c r="L9" i="93" s="1"/>
  <c r="K13" i="93"/>
  <c r="L13" i="93" s="1"/>
  <c r="K17" i="93"/>
  <c r="L17" i="93" s="1"/>
  <c r="K7" i="93"/>
  <c r="L7" i="93" s="1"/>
  <c r="K15" i="93"/>
  <c r="L15" i="93" s="1"/>
  <c r="K19" i="93"/>
  <c r="L19" i="93" s="1"/>
  <c r="L6" i="93" l="1"/>
  <c r="K10" i="93"/>
  <c r="L10" i="93" s="1"/>
  <c r="E27" i="93" s="1"/>
  <c r="H27" i="93" s="1"/>
  <c r="K10" i="95"/>
  <c r="K11" i="95"/>
  <c r="L11" i="95" s="1"/>
  <c r="K11" i="93"/>
  <c r="L11" i="93" s="1"/>
  <c r="K23" i="93" l="1"/>
  <c r="L10" i="95"/>
  <c r="K23" i="95"/>
  <c r="L23" i="93"/>
  <c r="E26" i="93"/>
  <c r="E26" i="95" l="1"/>
  <c r="E27" i="95"/>
  <c r="H27" i="95" s="1"/>
  <c r="L23" i="95"/>
  <c r="E29" i="93"/>
  <c r="K33" i="93" s="1"/>
  <c r="H26" i="93"/>
  <c r="H29" i="93" s="1"/>
  <c r="K19" i="91"/>
  <c r="K11" i="91"/>
  <c r="K18" i="91"/>
  <c r="K6" i="91"/>
  <c r="K13" i="91"/>
  <c r="K14" i="91"/>
  <c r="K7" i="91"/>
  <c r="K17" i="91"/>
  <c r="K9" i="91"/>
  <c r="K8" i="91"/>
  <c r="K10" i="91"/>
  <c r="K12" i="91"/>
  <c r="K20" i="91"/>
  <c r="L20" i="91" l="1"/>
  <c r="K20" i="103"/>
  <c r="L10" i="91"/>
  <c r="K10" i="103"/>
  <c r="L7" i="91"/>
  <c r="K7" i="103"/>
  <c r="L18" i="91"/>
  <c r="K18" i="103"/>
  <c r="L9" i="91"/>
  <c r="K9" i="103"/>
  <c r="L8" i="91"/>
  <c r="K8" i="103"/>
  <c r="L14" i="91"/>
  <c r="K14" i="103"/>
  <c r="L11" i="91"/>
  <c r="K11" i="103"/>
  <c r="L13" i="91"/>
  <c r="K13" i="103"/>
  <c r="L19" i="91"/>
  <c r="K19" i="103"/>
  <c r="L12" i="91"/>
  <c r="K12" i="103"/>
  <c r="L17" i="91"/>
  <c r="K17" i="103"/>
  <c r="L6" i="91"/>
  <c r="K6" i="103"/>
  <c r="E29" i="95"/>
  <c r="K33" i="95" s="1"/>
  <c r="H26" i="95"/>
  <c r="H29" i="95" s="1"/>
  <c r="K16" i="91" l="1"/>
  <c r="K15" i="91"/>
  <c r="L15" i="91" l="1"/>
  <c r="K15" i="103"/>
  <c r="K23" i="91"/>
  <c r="L16" i="91"/>
  <c r="K16" i="103"/>
  <c r="K23" i="103" l="1"/>
  <c r="E26" i="91"/>
  <c r="L23" i="91"/>
  <c r="E27" i="91"/>
  <c r="H27" i="91" s="1"/>
  <c r="E29" i="91" l="1"/>
  <c r="H26" i="91"/>
  <c r="H29" i="91" s="1"/>
  <c r="K33" i="91" l="1"/>
  <c r="M33" i="91" s="1"/>
  <c r="M33" i="93" s="1"/>
  <c r="M33" i="95" s="1"/>
  <c r="M33" i="96" s="1"/>
  <c r="M33" i="94" s="1"/>
  <c r="K25" i="91"/>
  <c r="D3" i="91" l="1"/>
  <c r="L26" i="91" s="1"/>
  <c r="K28" i="91"/>
  <c r="K30" i="91" s="1"/>
  <c r="M30" i="91" s="1"/>
  <c r="K25" i="93" s="1"/>
  <c r="K28" i="93" l="1"/>
  <c r="K30" i="93" s="1"/>
  <c r="M30" i="93" s="1"/>
  <c r="K25" i="95" s="1"/>
  <c r="D3" i="93"/>
  <c r="L26" i="93" s="1"/>
  <c r="D3" i="95" l="1"/>
  <c r="L26" i="95" s="1"/>
  <c r="K28" i="95"/>
  <c r="K30" i="95" s="1"/>
  <c r="M30" i="95" s="1"/>
  <c r="K25" i="96" s="1"/>
  <c r="K28" i="96" l="1"/>
  <c r="K30" i="96" s="1"/>
  <c r="M30" i="96" s="1"/>
  <c r="D3" i="96"/>
  <c r="L26" i="96" s="1"/>
  <c r="E15" i="101" l="1"/>
  <c r="D15" i="101" s="1"/>
  <c r="B15" i="101" s="1"/>
  <c r="E13" i="102" l="1"/>
  <c r="D13" i="102" s="1"/>
  <c r="B13" i="102" s="1"/>
  <c r="L13" i="102"/>
  <c r="E9" i="102" l="1"/>
  <c r="D9" i="102" s="1"/>
  <c r="B9" i="102" s="1"/>
  <c r="L9" i="102"/>
  <c r="E14" i="102"/>
  <c r="D14" i="102" s="1"/>
  <c r="B14" i="102" s="1"/>
  <c r="E15" i="102"/>
  <c r="D15" i="102" s="1"/>
  <c r="B15" i="102" s="1"/>
  <c r="E12" i="102"/>
  <c r="D12" i="102" s="1"/>
  <c r="B12" i="102" s="1"/>
  <c r="L12" i="102"/>
  <c r="E19" i="102" l="1"/>
  <c r="D19" i="102" s="1"/>
  <c r="B19" i="102" s="1"/>
  <c r="L19" i="102"/>
  <c r="E16" i="102"/>
  <c r="D16" i="102" s="1"/>
  <c r="E8" i="100" l="1"/>
  <c r="D8" i="100" s="1"/>
  <c r="B8" i="100" s="1"/>
  <c r="L8" i="100"/>
  <c r="B16" i="102"/>
  <c r="B16" i="103" s="1"/>
  <c r="D16" i="103"/>
  <c r="E26" i="100" l="1"/>
  <c r="L23" i="100"/>
  <c r="E27" i="100"/>
  <c r="E7" i="101"/>
  <c r="E29" i="100" l="1"/>
  <c r="K33" i="100" s="1"/>
  <c r="E13" i="101"/>
  <c r="D13" i="101" s="1"/>
  <c r="L13" i="101"/>
  <c r="D7" i="101"/>
  <c r="B7" i="101" s="1"/>
  <c r="B13" i="101" l="1"/>
  <c r="B13" i="103" s="1"/>
  <c r="D13" i="103"/>
  <c r="E8" i="98" l="1"/>
  <c r="D8" i="98" s="1"/>
  <c r="B8" i="98" s="1"/>
  <c r="E15" i="99"/>
  <c r="D15" i="99" s="1"/>
  <c r="B15" i="99" s="1"/>
  <c r="L15" i="99"/>
  <c r="E26" i="99" l="1"/>
  <c r="E27" i="99"/>
  <c r="L23" i="99"/>
  <c r="E29" i="99" l="1"/>
  <c r="K33" i="99" s="1"/>
  <c r="E9" i="97" l="1"/>
  <c r="D9" i="97" s="1"/>
  <c r="B9" i="97" s="1"/>
  <c r="E6" i="101" l="1"/>
  <c r="D6" i="101" s="1"/>
  <c r="E6" i="98"/>
  <c r="E6" i="94"/>
  <c r="E6" i="102"/>
  <c r="D6" i="102" s="1"/>
  <c r="E6" i="100"/>
  <c r="E6" i="99"/>
  <c r="D6" i="99" s="1"/>
  <c r="E6" i="97"/>
  <c r="E9" i="101"/>
  <c r="D9" i="101" s="1"/>
  <c r="B9" i="101" s="1"/>
  <c r="E18" i="100"/>
  <c r="D18" i="100" s="1"/>
  <c r="B18" i="100" s="1"/>
  <c r="E10" i="98"/>
  <c r="D10" i="98" s="1"/>
  <c r="B10" i="98" s="1"/>
  <c r="D6" i="98"/>
  <c r="E14" i="94"/>
  <c r="D14" i="94" s="1"/>
  <c r="D6" i="94"/>
  <c r="E14" i="97"/>
  <c r="D14" i="97" s="1"/>
  <c r="B14" i="97" s="1"/>
  <c r="E11" i="102"/>
  <c r="D11" i="102" s="1"/>
  <c r="B11" i="102" s="1"/>
  <c r="D6" i="100"/>
  <c r="E11" i="97"/>
  <c r="D11" i="97" s="1"/>
  <c r="B11" i="97" s="1"/>
  <c r="E19" i="101"/>
  <c r="D19" i="101" s="1"/>
  <c r="B19" i="101" s="1"/>
  <c r="E10" i="99"/>
  <c r="D10" i="99" s="1"/>
  <c r="B10" i="99" s="1"/>
  <c r="E10" i="102"/>
  <c r="D10" i="102" s="1"/>
  <c r="B10" i="102" s="1"/>
  <c r="E18" i="101"/>
  <c r="D18" i="101" s="1"/>
  <c r="B18" i="101" s="1"/>
  <c r="E14" i="100"/>
  <c r="D14" i="100" s="1"/>
  <c r="B14" i="100" s="1"/>
  <c r="E14" i="98"/>
  <c r="D14" i="98" s="1"/>
  <c r="B14" i="98" s="1"/>
  <c r="E12" i="99"/>
  <c r="D12" i="99" s="1"/>
  <c r="B12" i="99" s="1"/>
  <c r="E18" i="97"/>
  <c r="D18" i="97" s="1"/>
  <c r="B18" i="97" s="1"/>
  <c r="E19" i="100"/>
  <c r="D19" i="100" s="1"/>
  <c r="B19" i="100" s="1"/>
  <c r="E8" i="102"/>
  <c r="D8" i="102" s="1"/>
  <c r="B8" i="102" s="1"/>
  <c r="L8" i="102"/>
  <c r="E12" i="98"/>
  <c r="D12" i="98" s="1"/>
  <c r="B12" i="98" s="1"/>
  <c r="E11" i="94"/>
  <c r="D11" i="94" s="1"/>
  <c r="E11" i="100"/>
  <c r="D11" i="100" s="1"/>
  <c r="B11" i="100" s="1"/>
  <c r="E7" i="98"/>
  <c r="E17" i="98"/>
  <c r="D17" i="98" s="1"/>
  <c r="B17" i="98" s="1"/>
  <c r="E8" i="97"/>
  <c r="D8" i="97" s="1"/>
  <c r="L8" i="97"/>
  <c r="E10" i="97"/>
  <c r="D10" i="97" s="1"/>
  <c r="B10" i="97" s="1"/>
  <c r="E9" i="99"/>
  <c r="D9" i="99" s="1"/>
  <c r="B9" i="99" s="1"/>
  <c r="E11" i="98"/>
  <c r="D11" i="98" s="1"/>
  <c r="B11" i="98" s="1"/>
  <c r="E17" i="97"/>
  <c r="D17" i="97" s="1"/>
  <c r="B17" i="97" s="1"/>
  <c r="E20" i="97"/>
  <c r="D20" i="97" s="1"/>
  <c r="B20" i="97" s="1"/>
  <c r="E18" i="94"/>
  <c r="D18" i="94" s="1"/>
  <c r="E20" i="102"/>
  <c r="D20" i="102" s="1"/>
  <c r="B20" i="102" s="1"/>
  <c r="E7" i="100"/>
  <c r="E17" i="99"/>
  <c r="D17" i="99" s="1"/>
  <c r="B17" i="99" s="1"/>
  <c r="E20" i="98"/>
  <c r="D20" i="98" s="1"/>
  <c r="B20" i="98" s="1"/>
  <c r="E12" i="97"/>
  <c r="D12" i="97" s="1"/>
  <c r="E7" i="102"/>
  <c r="E17" i="100"/>
  <c r="D17" i="100" s="1"/>
  <c r="B17" i="100" s="1"/>
  <c r="E7" i="99"/>
  <c r="E18" i="98"/>
  <c r="D18" i="98" s="1"/>
  <c r="B18" i="98" s="1"/>
  <c r="E17" i="101"/>
  <c r="D17" i="101" s="1"/>
  <c r="B17" i="101" s="1"/>
  <c r="E14" i="101"/>
  <c r="D14" i="101" s="1"/>
  <c r="B14" i="101" s="1"/>
  <c r="E10" i="101"/>
  <c r="D10" i="101" s="1"/>
  <c r="B10" i="101" s="1"/>
  <c r="E14" i="99"/>
  <c r="D14" i="99" s="1"/>
  <c r="B14" i="99" s="1"/>
  <c r="E9" i="98"/>
  <c r="D9" i="98" s="1"/>
  <c r="E7" i="94"/>
  <c r="E10" i="94"/>
  <c r="D10" i="94" s="1"/>
  <c r="D6" i="97"/>
  <c r="E18" i="99"/>
  <c r="D18" i="99" s="1"/>
  <c r="B18" i="99" s="1"/>
  <c r="E11" i="101"/>
  <c r="D11" i="101" s="1"/>
  <c r="B11" i="101" s="1"/>
  <c r="E8" i="101"/>
  <c r="L8" i="101"/>
  <c r="E19" i="97"/>
  <c r="D19" i="97" s="1"/>
  <c r="L19" i="97"/>
  <c r="E15" i="94"/>
  <c r="D15" i="94" s="1"/>
  <c r="E17" i="102"/>
  <c r="D17" i="102" s="1"/>
  <c r="B17" i="102" s="1"/>
  <c r="E18" i="102"/>
  <c r="D18" i="102" s="1"/>
  <c r="B18" i="102" s="1"/>
  <c r="E11" i="99"/>
  <c r="D11" i="99" s="1"/>
  <c r="B11" i="99" s="1"/>
  <c r="E7" i="97"/>
  <c r="E20" i="94"/>
  <c r="D20" i="94" s="1"/>
  <c r="E17" i="94"/>
  <c r="D17" i="94" s="1"/>
  <c r="E23" i="94" l="1"/>
  <c r="E23" i="101"/>
  <c r="D26" i="98"/>
  <c r="H26" i="98"/>
  <c r="B17" i="94"/>
  <c r="B17" i="103" s="1"/>
  <c r="D17" i="103"/>
  <c r="D7" i="97"/>
  <c r="B7" i="97" s="1"/>
  <c r="K32" i="97"/>
  <c r="B15" i="94"/>
  <c r="B15" i="103" s="1"/>
  <c r="D15" i="103"/>
  <c r="D26" i="97"/>
  <c r="B10" i="94"/>
  <c r="B10" i="103" s="1"/>
  <c r="D10" i="103"/>
  <c r="B9" i="98"/>
  <c r="B9" i="103" s="1"/>
  <c r="D9" i="103"/>
  <c r="D7" i="99"/>
  <c r="B7" i="99" s="1"/>
  <c r="K32" i="99"/>
  <c r="K32" i="102"/>
  <c r="D7" i="102"/>
  <c r="B7" i="102" s="1"/>
  <c r="D7" i="100"/>
  <c r="B7" i="100" s="1"/>
  <c r="K32" i="100"/>
  <c r="B18" i="94"/>
  <c r="B18" i="103" s="1"/>
  <c r="D18" i="103"/>
  <c r="D26" i="100"/>
  <c r="B14" i="94"/>
  <c r="B14" i="103" s="1"/>
  <c r="D14" i="103"/>
  <c r="D27" i="99"/>
  <c r="H27" i="99" s="1"/>
  <c r="E27" i="101"/>
  <c r="E26" i="101"/>
  <c r="L23" i="101"/>
  <c r="E26" i="97"/>
  <c r="E27" i="97"/>
  <c r="L23" i="97"/>
  <c r="D7" i="98"/>
  <c r="B7" i="98" s="1"/>
  <c r="K32" i="98"/>
  <c r="B11" i="94"/>
  <c r="B11" i="103" s="1"/>
  <c r="D11" i="103"/>
  <c r="L23" i="102"/>
  <c r="E27" i="102"/>
  <c r="E26" i="102"/>
  <c r="D27" i="100"/>
  <c r="H27" i="100" s="1"/>
  <c r="D26" i="102"/>
  <c r="B6" i="98"/>
  <c r="E23" i="99"/>
  <c r="B20" i="94"/>
  <c r="B20" i="103" s="1"/>
  <c r="D20" i="103"/>
  <c r="D8" i="101"/>
  <c r="B8" i="101" s="1"/>
  <c r="K32" i="101"/>
  <c r="E23" i="97"/>
  <c r="K32" i="94"/>
  <c r="M32" i="94" s="1"/>
  <c r="M32" i="97" s="1"/>
  <c r="M32" i="98" s="1"/>
  <c r="D7" i="94"/>
  <c r="B12" i="97"/>
  <c r="B12" i="103" s="1"/>
  <c r="D12" i="103"/>
  <c r="B8" i="97"/>
  <c r="D8" i="103"/>
  <c r="E23" i="100"/>
  <c r="E23" i="102"/>
  <c r="D26" i="94"/>
  <c r="D26" i="101"/>
  <c r="D26" i="99"/>
  <c r="B19" i="97"/>
  <c r="B19" i="103" s="1"/>
  <c r="D19" i="103"/>
  <c r="B6" i="97"/>
  <c r="D23" i="100"/>
  <c r="B23" i="100"/>
  <c r="B6" i="100"/>
  <c r="B22" i="100" s="1"/>
  <c r="B6" i="102"/>
  <c r="D23" i="102"/>
  <c r="B6" i="94"/>
  <c r="B23" i="94"/>
  <c r="D6" i="103"/>
  <c r="E23" i="98"/>
  <c r="B6" i="101"/>
  <c r="D23" i="101"/>
  <c r="B23" i="101"/>
  <c r="B6" i="99"/>
  <c r="D23" i="99"/>
  <c r="B23" i="99"/>
  <c r="M32" i="99" l="1"/>
  <c r="M32" i="100" s="1"/>
  <c r="B23" i="97"/>
  <c r="D27" i="98"/>
  <c r="H27" i="98" s="1"/>
  <c r="H29" i="98" s="1"/>
  <c r="B23" i="98"/>
  <c r="D23" i="97"/>
  <c r="M32" i="101"/>
  <c r="M32" i="102" s="1"/>
  <c r="D23" i="98"/>
  <c r="B22" i="101"/>
  <c r="B22" i="98"/>
  <c r="B22" i="102"/>
  <c r="B23" i="102"/>
  <c r="E29" i="102"/>
  <c r="K33" i="102" s="1"/>
  <c r="D27" i="102"/>
  <c r="D29" i="102" s="1"/>
  <c r="E29" i="101"/>
  <c r="K33" i="101" s="1"/>
  <c r="D23" i="94"/>
  <c r="B7" i="94"/>
  <c r="B7" i="103" s="1"/>
  <c r="D7" i="103"/>
  <c r="B23" i="103" s="1"/>
  <c r="B8" i="103"/>
  <c r="D27" i="101"/>
  <c r="H27" i="101" s="1"/>
  <c r="H27" i="102"/>
  <c r="B6" i="103"/>
  <c r="H26" i="94"/>
  <c r="H26" i="100"/>
  <c r="H29" i="100" s="1"/>
  <c r="D29" i="100"/>
  <c r="B22" i="99"/>
  <c r="B22" i="97"/>
  <c r="H26" i="99"/>
  <c r="H29" i="99" s="1"/>
  <c r="D29" i="99"/>
  <c r="E29" i="97"/>
  <c r="K33" i="97" s="1"/>
  <c r="M33" i="97" s="1"/>
  <c r="M33" i="98" s="1"/>
  <c r="M33" i="99" s="1"/>
  <c r="M33" i="100" s="1"/>
  <c r="H26" i="97"/>
  <c r="D23" i="103"/>
  <c r="H26" i="101"/>
  <c r="D29" i="101"/>
  <c r="H26" i="102"/>
  <c r="H29" i="102" s="1"/>
  <c r="D27" i="94"/>
  <c r="H27" i="94" s="1"/>
  <c r="D27" i="97"/>
  <c r="H27" i="97" s="1"/>
  <c r="B22" i="94" l="1"/>
  <c r="D29" i="98"/>
  <c r="M33" i="101"/>
  <c r="M33" i="102" s="1"/>
  <c r="B22" i="103"/>
  <c r="H29" i="94"/>
  <c r="D29" i="97"/>
  <c r="H29" i="97"/>
  <c r="D29" i="94"/>
  <c r="K25" i="94" s="1"/>
  <c r="H29" i="101"/>
  <c r="D3" i="94" l="1"/>
  <c r="L26" i="94" s="1"/>
  <c r="K28" i="94"/>
  <c r="K30" i="94" s="1"/>
  <c r="M30" i="94" s="1"/>
  <c r="K25" i="97" s="1"/>
  <c r="K28" i="97" l="1"/>
  <c r="K30" i="97" s="1"/>
  <c r="M30" i="97" s="1"/>
  <c r="K25" i="98" s="1"/>
  <c r="D3" i="97"/>
  <c r="L26" i="97" s="1"/>
  <c r="D3" i="98" l="1"/>
  <c r="L26" i="98" s="1"/>
  <c r="K28" i="98"/>
  <c r="K30" i="98" s="1"/>
  <c r="M30" i="98" s="1"/>
  <c r="K25" i="99" s="1"/>
  <c r="K28" i="99" l="1"/>
  <c r="K30" i="99" s="1"/>
  <c r="M30" i="99" s="1"/>
  <c r="K25" i="100" s="1"/>
  <c r="D3" i="99"/>
  <c r="L26" i="99" s="1"/>
  <c r="K28" i="100" l="1"/>
  <c r="K30" i="100" s="1"/>
  <c r="M30" i="100" s="1"/>
  <c r="K25" i="101" s="1"/>
  <c r="D3" i="100"/>
  <c r="L26" i="100" s="1"/>
  <c r="D3" i="101" l="1"/>
  <c r="L26" i="101" s="1"/>
  <c r="K28" i="101"/>
  <c r="K30" i="101" s="1"/>
  <c r="M30" i="101" s="1"/>
  <c r="K25" i="102" s="1"/>
  <c r="D3" i="102" l="1"/>
  <c r="L26" i="102" s="1"/>
  <c r="K28" i="102"/>
  <c r="K30" i="102" s="1"/>
  <c r="M30" i="102" s="1"/>
</calcChain>
</file>

<file path=xl/sharedStrings.xml><?xml version="1.0" encoding="utf-8"?>
<sst xmlns="http://schemas.openxmlformats.org/spreadsheetml/2006/main" count="725" uniqueCount="57">
  <si>
    <t>ASSOCIATION</t>
  </si>
  <si>
    <t>ASELBY</t>
  </si>
  <si>
    <t>ANNEE</t>
  </si>
  <si>
    <t>MATRICULE</t>
  </si>
  <si>
    <t>NOM ET PRENOM</t>
  </si>
  <si>
    <t>MONTANT TONTINE</t>
  </si>
  <si>
    <t>ECHEC</t>
  </si>
  <si>
    <t>BANQUE</t>
  </si>
  <si>
    <t>AS201619</t>
  </si>
  <si>
    <t>AS201621</t>
  </si>
  <si>
    <t>ESPECES</t>
  </si>
  <si>
    <t>INTERET PETIT LOT</t>
  </si>
  <si>
    <t>MODE VERSEMENT REMBOURSEMENT</t>
  </si>
  <si>
    <t>REMBOURSEMENT PETIT LOT</t>
  </si>
  <si>
    <t>INTERET LOT PRINCIPAL</t>
  </si>
  <si>
    <t>VENTE PETIT LOT</t>
  </si>
  <si>
    <t>MODE VERSEMENT VENTE PETIT LOT</t>
  </si>
  <si>
    <t>VENTE LOT PRINCIPAL</t>
  </si>
  <si>
    <t>SOLDE EN CAISSE</t>
  </si>
  <si>
    <t>AS201613</t>
  </si>
  <si>
    <t>AS201647</t>
  </si>
  <si>
    <t>AS201626</t>
  </si>
  <si>
    <t>AS201649</t>
  </si>
  <si>
    <t>PETIT LOT</t>
  </si>
  <si>
    <t>NUMERO CHEQUE</t>
  </si>
  <si>
    <t>AS201602</t>
  </si>
  <si>
    <t>AS201605</t>
  </si>
  <si>
    <t>AS201611</t>
  </si>
  <si>
    <t>AS201633</t>
  </si>
  <si>
    <t>RELIQUAT</t>
  </si>
  <si>
    <t>CUMUL</t>
  </si>
  <si>
    <t>TONIINE</t>
  </si>
  <si>
    <t xml:space="preserve">TAUX TONTINE </t>
  </si>
  <si>
    <t>LOT PRINCIPAL</t>
  </si>
  <si>
    <t>NBRE PART</t>
  </si>
  <si>
    <t>AS201608</t>
  </si>
  <si>
    <t>AS201653</t>
  </si>
  <si>
    <t>AS201624</t>
  </si>
  <si>
    <t>TOTAL PART</t>
  </si>
  <si>
    <t>NBRE ADHERENT</t>
  </si>
  <si>
    <t>NBREPART</t>
  </si>
  <si>
    <t>MODE VERSEMENT</t>
  </si>
  <si>
    <t>MONTANT A REMBOURSER PETIT LOT</t>
  </si>
  <si>
    <t>MODE VERSEMENTLOT PRINCIPAL</t>
  </si>
  <si>
    <t>MONTANT  LOT PRINCIPAL</t>
  </si>
  <si>
    <t>PART VENDUE</t>
  </si>
  <si>
    <t>ECHEC TONTINE MOIS</t>
  </si>
  <si>
    <t>ECHEC REMBOURSEMENT MOIS</t>
  </si>
  <si>
    <t>TONTINE + REMB + INTERET VENTE+RELIQUAT</t>
  </si>
  <si>
    <t>AS201648</t>
  </si>
  <si>
    <t>AS201641</t>
  </si>
  <si>
    <t>MOIS OBTENTION</t>
  </si>
  <si>
    <t>MOIS OBTENTION 2</t>
  </si>
  <si>
    <t>SYNTESE</t>
  </si>
  <si>
    <t>INTERET A REPARTIR</t>
  </si>
  <si>
    <t>REPARTITION INTERET</t>
  </si>
  <si>
    <t>INTERET/ADHERENT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</si>
</sst>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;@"/>
    <numFmt numFmtId="165" formatCode="[$-40C]mmmm\-yy;@"/>
    <numFmt numFmtId="166" formatCode="[$-40C]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4"/>
      <color rgb="FF0070C0"/>
      <name val="Britannic Bold"/>
      <family val="2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B050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3" fontId="2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5" fillId="0" borderId="0" xfId="0" applyNumberFormat="1" applyFont="1"/>
    <xf numFmtId="166" fontId="6" fillId="0" borderId="0" xfId="0" applyNumberFormat="1" applyFont="1"/>
    <xf numFmtId="3" fontId="7" fillId="0" borderId="0" xfId="0" applyNumberFormat="1" applyFont="1"/>
    <xf numFmtId="3" fontId="8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ONTINE3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O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FEV21"/>
      <sheetName val="TONTJANV212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104000</v>
          </cell>
          <cell r="F7">
            <v>0</v>
          </cell>
          <cell r="G7">
            <v>0</v>
          </cell>
          <cell r="H7" t="str">
            <v>ESPECES</v>
          </cell>
          <cell r="I7">
            <v>64000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U7">
            <v>104000</v>
          </cell>
          <cell r="AQ7">
            <v>0</v>
          </cell>
          <cell r="AR7">
            <v>0</v>
          </cell>
          <cell r="AS7">
            <v>79000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160000</v>
          </cell>
          <cell r="E9">
            <v>0</v>
          </cell>
          <cell r="F9">
            <v>140000</v>
          </cell>
          <cell r="G9">
            <v>0</v>
          </cell>
          <cell r="H9" t="str">
            <v>BANQUE</v>
          </cell>
          <cell r="I9">
            <v>20000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U9">
            <v>160000</v>
          </cell>
          <cell r="AC9">
            <v>45000</v>
          </cell>
          <cell r="AF9" t="str">
            <v>BANQUE</v>
          </cell>
          <cell r="AK9">
            <v>50000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35000</v>
          </cell>
          <cell r="AW9">
            <v>255000</v>
          </cell>
          <cell r="AX9">
            <v>0</v>
          </cell>
          <cell r="AY9">
            <v>50000</v>
          </cell>
          <cell r="AZ9">
            <v>165000</v>
          </cell>
          <cell r="BA9">
            <v>50000</v>
          </cell>
          <cell r="BB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U10">
            <v>40000</v>
          </cell>
          <cell r="AI10">
            <v>60000</v>
          </cell>
          <cell r="AL10">
            <v>3000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Q11">
            <v>0</v>
          </cell>
          <cell r="U11">
            <v>115000</v>
          </cell>
          <cell r="AI11">
            <v>60000</v>
          </cell>
          <cell r="AL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60000</v>
          </cell>
          <cell r="AX11">
            <v>0</v>
          </cell>
          <cell r="AY11">
            <v>0</v>
          </cell>
          <cell r="AZ11">
            <v>60000</v>
          </cell>
          <cell r="BA11">
            <v>60000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Q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Q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180000</v>
          </cell>
          <cell r="E18">
            <v>35000</v>
          </cell>
          <cell r="F18">
            <v>70000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0</v>
          </cell>
          <cell r="U18">
            <v>215000</v>
          </cell>
          <cell r="AC18">
            <v>40000</v>
          </cell>
          <cell r="AE18">
            <v>125000</v>
          </cell>
          <cell r="AF18" t="str">
            <v>BANQUE</v>
          </cell>
          <cell r="AJ18">
            <v>100000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260000</v>
          </cell>
          <cell r="AX18">
            <v>100000</v>
          </cell>
          <cell r="AY18">
            <v>1075000</v>
          </cell>
          <cell r="AZ18">
            <v>1365000</v>
          </cell>
          <cell r="BB18">
            <v>70000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215000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Q20">
            <v>0</v>
          </cell>
          <cell r="U20">
            <v>215000</v>
          </cell>
          <cell r="AE20">
            <v>125000</v>
          </cell>
          <cell r="AF20" t="str">
            <v>BANQUE</v>
          </cell>
          <cell r="AJ20">
            <v>105000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105000</v>
          </cell>
          <cell r="AY20">
            <v>1075000</v>
          </cell>
          <cell r="AZ20">
            <v>1180000</v>
          </cell>
          <cell r="BA20">
            <v>55000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210000</v>
          </cell>
          <cell r="E24">
            <v>5000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215000</v>
          </cell>
          <cell r="AD24">
            <v>105000</v>
          </cell>
          <cell r="AE24">
            <v>125000</v>
          </cell>
          <cell r="AF24" t="str">
            <v>BANQUE</v>
          </cell>
          <cell r="AI24">
            <v>25000</v>
          </cell>
          <cell r="AJ24">
            <v>100000</v>
          </cell>
          <cell r="AK24">
            <v>200000</v>
          </cell>
          <cell r="AL24">
            <v>1000</v>
          </cell>
          <cell r="AM24">
            <v>2000</v>
          </cell>
          <cell r="AN24">
            <v>8000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25000</v>
          </cell>
          <cell r="AX24">
            <v>895000</v>
          </cell>
          <cell r="AY24">
            <v>1275000</v>
          </cell>
          <cell r="AZ24">
            <v>2195000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280000</v>
          </cell>
          <cell r="E25">
            <v>10000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290000</v>
          </cell>
          <cell r="AI25">
            <v>30000</v>
          </cell>
          <cell r="AJ25">
            <v>100000</v>
          </cell>
          <cell r="AK25">
            <v>75000</v>
          </cell>
          <cell r="AL25">
            <v>1000</v>
          </cell>
          <cell r="AM25">
            <v>2000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15000</v>
          </cell>
          <cell r="AW25">
            <v>30000</v>
          </cell>
          <cell r="AX25">
            <v>100000</v>
          </cell>
          <cell r="AY25">
            <v>75000</v>
          </cell>
          <cell r="AZ25">
            <v>205000</v>
          </cell>
          <cell r="BA25">
            <v>205000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U26">
            <v>40000</v>
          </cell>
          <cell r="AI26">
            <v>60000</v>
          </cell>
          <cell r="AL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65000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U27">
            <v>65000</v>
          </cell>
          <cell r="W27">
            <v>25000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65000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U29">
            <v>65000</v>
          </cell>
          <cell r="W29">
            <v>25000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115000</v>
          </cell>
          <cell r="F30">
            <v>0</v>
          </cell>
          <cell r="G30">
            <v>0</v>
          </cell>
          <cell r="H30" t="str">
            <v>ESPECES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250000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>
            <v>110000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U31">
            <v>250000</v>
          </cell>
          <cell r="AQ31">
            <v>0</v>
          </cell>
          <cell r="AR31">
            <v>0</v>
          </cell>
          <cell r="AS31">
            <v>125000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40000</v>
          </cell>
          <cell r="F33">
            <v>0</v>
          </cell>
          <cell r="G33">
            <v>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35000</v>
          </cell>
          <cell r="D34">
            <v>0</v>
          </cell>
          <cell r="E34">
            <v>100000</v>
          </cell>
          <cell r="F34">
            <v>0</v>
          </cell>
          <cell r="G34">
            <v>0</v>
          </cell>
          <cell r="H34" t="str">
            <v>ESPECES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U34">
            <v>65000</v>
          </cell>
          <cell r="W34">
            <v>25000</v>
          </cell>
          <cell r="AQ34">
            <v>0</v>
          </cell>
          <cell r="AR34">
            <v>0</v>
          </cell>
          <cell r="AS34">
            <v>15000</v>
          </cell>
          <cell r="AT34">
            <v>35000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35000</v>
          </cell>
          <cell r="D38">
            <v>3640000</v>
          </cell>
          <cell r="E38">
            <v>589000</v>
          </cell>
          <cell r="F38">
            <v>210000</v>
          </cell>
          <cell r="G38">
            <v>0</v>
          </cell>
          <cell r="H38">
            <v>0</v>
          </cell>
          <cell r="I38">
            <v>244000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4194000</v>
          </cell>
          <cell r="V38">
            <v>0</v>
          </cell>
          <cell r="W38">
            <v>75000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85000</v>
          </cell>
          <cell r="AD38">
            <v>105000</v>
          </cell>
          <cell r="AE38">
            <v>375000</v>
          </cell>
          <cell r="AF38">
            <v>0</v>
          </cell>
          <cell r="AG38">
            <v>0</v>
          </cell>
          <cell r="AI38">
            <v>235000</v>
          </cell>
          <cell r="AJ38">
            <v>405000</v>
          </cell>
          <cell r="AK38">
            <v>325000</v>
          </cell>
          <cell r="AL38">
            <v>9000</v>
          </cell>
          <cell r="AM38">
            <v>8000</v>
          </cell>
          <cell r="AN38">
            <v>13000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694000</v>
          </cell>
          <cell r="AT38">
            <v>35000</v>
          </cell>
          <cell r="AU38">
            <v>0</v>
          </cell>
          <cell r="AV38">
            <v>0</v>
          </cell>
          <cell r="AW38">
            <v>750000</v>
          </cell>
          <cell r="AX38">
            <v>1200000</v>
          </cell>
          <cell r="AY38">
            <v>3550000</v>
          </cell>
          <cell r="AZ38">
            <v>5396000</v>
          </cell>
          <cell r="BA38">
            <v>490000</v>
          </cell>
          <cell r="BB38">
            <v>210000</v>
          </cell>
        </row>
        <row r="40">
          <cell r="Y40" t="str">
            <v>CHINGUE</v>
          </cell>
          <cell r="Z40">
            <v>428899</v>
          </cell>
          <cell r="BA40">
            <v>619000</v>
          </cell>
        </row>
        <row r="41">
          <cell r="B41" t="str">
            <v>AS201643</v>
          </cell>
          <cell r="Y41" t="str">
            <v>NJIEPDIO DELUX</v>
          </cell>
          <cell r="Z41">
            <v>805000</v>
          </cell>
          <cell r="AZ41">
            <v>5024000</v>
          </cell>
        </row>
        <row r="42">
          <cell r="C42" t="str">
            <v>BANQUE</v>
          </cell>
          <cell r="F42" t="str">
            <v>ESPECES</v>
          </cell>
          <cell r="Y42" t="str">
            <v>TCHOUANTE FRANCOIS</v>
          </cell>
          <cell r="Z42">
            <v>243805</v>
          </cell>
        </row>
        <row r="43">
          <cell r="B43" t="str">
            <v>LIBELLE</v>
          </cell>
          <cell r="C43" t="str">
            <v>SORTIE</v>
          </cell>
          <cell r="D43" t="str">
            <v>ENTREE</v>
          </cell>
          <cell r="E43" t="str">
            <v>SOLDE</v>
          </cell>
          <cell r="F43" t="str">
            <v>ENTREE</v>
          </cell>
          <cell r="G43" t="str">
            <v>SORTIE</v>
          </cell>
          <cell r="H43" t="str">
            <v>SOLDE</v>
          </cell>
          <cell r="Y43" t="str">
            <v>TCHOUTCHOU</v>
          </cell>
          <cell r="Z43">
            <v>51454</v>
          </cell>
        </row>
        <row r="44">
          <cell r="B44" t="str">
            <v>REPORT</v>
          </cell>
        </row>
        <row r="45">
          <cell r="B45" t="str">
            <v>TONTINE</v>
          </cell>
          <cell r="C45">
            <v>5396000</v>
          </cell>
          <cell r="D45">
            <v>3465000</v>
          </cell>
          <cell r="F45">
            <v>589000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828500</v>
          </cell>
          <cell r="BA6">
            <v>262500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40000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615000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500000</v>
          </cell>
          <cell r="T8" t="str">
            <v>BANQUE</v>
          </cell>
          <cell r="U8">
            <v>615000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120000</v>
          </cell>
          <cell r="E9">
            <v>80000</v>
          </cell>
          <cell r="F9">
            <v>0</v>
          </cell>
          <cell r="G9">
            <v>0</v>
          </cell>
          <cell r="H9" t="str">
            <v>BANQUE</v>
          </cell>
          <cell r="I9">
            <v>8000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52000</v>
          </cell>
          <cell r="U9">
            <v>200000</v>
          </cell>
          <cell r="AP9" t="str">
            <v>BANQUE</v>
          </cell>
          <cell r="AQ9">
            <v>0</v>
          </cell>
          <cell r="AR9">
            <v>0</v>
          </cell>
          <cell r="AS9">
            <v>23000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103000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63000</v>
          </cell>
          <cell r="U10">
            <v>103000</v>
          </cell>
          <cell r="AI10">
            <v>40000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62000</v>
          </cell>
          <cell r="Q11">
            <v>0</v>
          </cell>
          <cell r="U11">
            <v>177000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40000</v>
          </cell>
          <cell r="F13">
            <v>0</v>
          </cell>
          <cell r="G13">
            <v>0</v>
          </cell>
          <cell r="H13" t="str">
            <v>ESPECES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1000000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 t="str">
            <v>BANQUE</v>
          </cell>
          <cell r="U16">
            <v>1250000</v>
          </cell>
          <cell r="AD16">
            <v>20000</v>
          </cell>
          <cell r="AE16">
            <v>28000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880000</v>
          </cell>
          <cell r="AY16">
            <v>1172000</v>
          </cell>
          <cell r="AZ16">
            <v>1052000</v>
          </cell>
        </row>
        <row r="17">
          <cell r="A17" t="str">
            <v>AS201617</v>
          </cell>
          <cell r="B17" t="str">
            <v>KOUAMOU MOISE</v>
          </cell>
          <cell r="C17">
            <v>-70000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C17">
            <v>6500</v>
          </cell>
          <cell r="AE17">
            <v>28000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293500</v>
          </cell>
          <cell r="AX17">
            <v>0</v>
          </cell>
          <cell r="AY17">
            <v>1172000</v>
          </cell>
          <cell r="AZ17">
            <v>1465500</v>
          </cell>
          <cell r="BA17">
            <v>64500</v>
          </cell>
          <cell r="BB17">
            <v>70000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51000</v>
          </cell>
          <cell r="E18">
            <v>266000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102000</v>
          </cell>
          <cell r="R18">
            <v>0</v>
          </cell>
          <cell r="U18">
            <v>317000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0</v>
          </cell>
          <cell r="E19">
            <v>40000</v>
          </cell>
          <cell r="F19">
            <v>0</v>
          </cell>
          <cell r="G19">
            <v>0</v>
          </cell>
          <cell r="H19" t="str">
            <v>ESPECES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107000</v>
          </cell>
          <cell r="E20">
            <v>215000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107000</v>
          </cell>
          <cell r="R20">
            <v>0</v>
          </cell>
          <cell r="U20">
            <v>322000</v>
          </cell>
          <cell r="AD20">
            <v>22000</v>
          </cell>
          <cell r="AF20" t="str">
            <v>BANQUE</v>
          </cell>
          <cell r="AI20">
            <v>31500</v>
          </cell>
          <cell r="AL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31500</v>
          </cell>
          <cell r="AX20">
            <v>878000</v>
          </cell>
          <cell r="AY20">
            <v>0</v>
          </cell>
          <cell r="AZ20">
            <v>409500</v>
          </cell>
          <cell r="BA20">
            <v>409500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551000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26000</v>
          </cell>
          <cell r="Q24">
            <v>102000</v>
          </cell>
          <cell r="R24">
            <v>208000</v>
          </cell>
          <cell r="U24">
            <v>551000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451000</v>
          </cell>
          <cell r="E25">
            <v>50000</v>
          </cell>
          <cell r="F25">
            <v>70000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31000</v>
          </cell>
          <cell r="Q25">
            <v>102000</v>
          </cell>
          <cell r="R25">
            <v>78000</v>
          </cell>
          <cell r="U25">
            <v>501000</v>
          </cell>
          <cell r="AC25">
            <v>7500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15000</v>
          </cell>
          <cell r="AW25">
            <v>292500</v>
          </cell>
          <cell r="AX25">
            <v>0</v>
          </cell>
          <cell r="AY25">
            <v>0</v>
          </cell>
          <cell r="AZ25">
            <v>222500</v>
          </cell>
          <cell r="BB25">
            <v>70000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102000</v>
          </cell>
          <cell r="F26">
            <v>1070000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62000</v>
          </cell>
          <cell r="S26">
            <v>1000000</v>
          </cell>
          <cell r="T26" t="str">
            <v>BANQUE</v>
          </cell>
          <cell r="U26">
            <v>1102000</v>
          </cell>
          <cell r="Z26">
            <v>1000000</v>
          </cell>
          <cell r="AA26" t="str">
            <v>BANQUE</v>
          </cell>
          <cell r="AC26">
            <v>3500</v>
          </cell>
          <cell r="AF26" t="str">
            <v>BANQUE</v>
          </cell>
          <cell r="AI26">
            <v>40000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336500</v>
          </cell>
          <cell r="AX26">
            <v>0</v>
          </cell>
          <cell r="AY26">
            <v>0</v>
          </cell>
          <cell r="AZ26">
            <v>236500</v>
          </cell>
          <cell r="BA26">
            <v>236500</v>
          </cell>
          <cell r="BB26">
            <v>70000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40000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40000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140000</v>
          </cell>
          <cell r="F31">
            <v>0</v>
          </cell>
          <cell r="G31">
            <v>0</v>
          </cell>
          <cell r="H31" t="str">
            <v>ESPECES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40000</v>
          </cell>
          <cell r="F33">
            <v>0</v>
          </cell>
          <cell r="G33">
            <v>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60000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AQ34">
            <v>0</v>
          </cell>
          <cell r="AR34">
            <v>0</v>
          </cell>
          <cell r="AS34">
            <v>15000</v>
          </cell>
          <cell r="AT34">
            <v>60000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-10000</v>
          </cell>
          <cell r="D38">
            <v>4475000</v>
          </cell>
          <cell r="E38">
            <v>1013000</v>
          </cell>
          <cell r="F38">
            <v>2140000</v>
          </cell>
          <cell r="G38">
            <v>0</v>
          </cell>
          <cell r="H38">
            <v>0</v>
          </cell>
          <cell r="I38">
            <v>58000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244000</v>
          </cell>
          <cell r="Q38">
            <v>413000</v>
          </cell>
          <cell r="R38">
            <v>338000</v>
          </cell>
          <cell r="S38">
            <v>2500000</v>
          </cell>
          <cell r="U38">
            <v>7428000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C38">
            <v>17500</v>
          </cell>
          <cell r="AD38">
            <v>42000</v>
          </cell>
          <cell r="AE38">
            <v>56000</v>
          </cell>
          <cell r="AF38">
            <v>0</v>
          </cell>
          <cell r="AG38">
            <v>0</v>
          </cell>
          <cell r="AI38">
            <v>111500</v>
          </cell>
          <cell r="AJ38">
            <v>0</v>
          </cell>
          <cell r="AK38">
            <v>0</v>
          </cell>
          <cell r="AL38">
            <v>3000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508000</v>
          </cell>
          <cell r="AT38">
            <v>60000</v>
          </cell>
          <cell r="AU38">
            <v>0</v>
          </cell>
          <cell r="AV38">
            <v>0</v>
          </cell>
          <cell r="AW38">
            <v>994000</v>
          </cell>
          <cell r="AX38">
            <v>1758000</v>
          </cell>
          <cell r="AY38">
            <v>2344000</v>
          </cell>
          <cell r="AZ38">
            <v>4254500</v>
          </cell>
          <cell r="BA38">
            <v>1013000</v>
          </cell>
          <cell r="BB38">
            <v>210000</v>
          </cell>
        </row>
        <row r="40">
          <cell r="C40" t="str">
            <v>BANQUE</v>
          </cell>
          <cell r="F40" t="str">
            <v>ESPECES</v>
          </cell>
          <cell r="BA40">
            <v>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4254500</v>
          </cell>
          <cell r="D43">
            <v>4300000</v>
          </cell>
          <cell r="F43">
            <v>1013000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140000</v>
          </cell>
          <cell r="E9">
            <v>0</v>
          </cell>
          <cell r="F9">
            <v>690000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S9">
            <v>690000</v>
          </cell>
          <cell r="T9" t="str">
            <v>BANQUE</v>
          </cell>
          <cell r="U9">
            <v>830000</v>
          </cell>
          <cell r="AE9">
            <v>10000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1190000</v>
          </cell>
          <cell r="AZ9">
            <v>500000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82000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41000</v>
          </cell>
          <cell r="U10">
            <v>82000</v>
          </cell>
          <cell r="AQ10">
            <v>0</v>
          </cell>
          <cell r="AR10">
            <v>0</v>
          </cell>
          <cell r="AS10">
            <v>16000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-100000</v>
          </cell>
          <cell r="D11">
            <v>912500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S11">
            <v>892500</v>
          </cell>
          <cell r="T11" t="str">
            <v>BANQUE</v>
          </cell>
          <cell r="U11">
            <v>1012500</v>
          </cell>
          <cell r="AD11">
            <v>7500</v>
          </cell>
          <cell r="AQ11">
            <v>0</v>
          </cell>
          <cell r="AR11">
            <v>0</v>
          </cell>
          <cell r="AS11">
            <v>20000</v>
          </cell>
          <cell r="AW11">
            <v>0</v>
          </cell>
          <cell r="AX11">
            <v>892500</v>
          </cell>
          <cell r="AY11">
            <v>0</v>
          </cell>
          <cell r="AZ11">
            <v>892500</v>
          </cell>
          <cell r="BA11">
            <v>50000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E12">
            <v>10000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1190000</v>
          </cell>
          <cell r="AZ12">
            <v>1190000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70000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C13">
            <v>10000</v>
          </cell>
          <cell r="AQ13">
            <v>0</v>
          </cell>
          <cell r="AR13">
            <v>0</v>
          </cell>
          <cell r="AS13">
            <v>15000</v>
          </cell>
          <cell r="AW13">
            <v>290000</v>
          </cell>
          <cell r="AX13">
            <v>0</v>
          </cell>
          <cell r="AY13">
            <v>0</v>
          </cell>
          <cell r="AZ13">
            <v>220000</v>
          </cell>
          <cell r="BB13">
            <v>70000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K16">
            <v>164000</v>
          </cell>
          <cell r="AN16">
            <v>1000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164000</v>
          </cell>
          <cell r="AZ16">
            <v>164000</v>
          </cell>
          <cell r="BA16">
            <v>44000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K17">
            <v>200000</v>
          </cell>
          <cell r="AN17">
            <v>2000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1000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-1000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214000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14000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93000</v>
          </cell>
          <cell r="D20">
            <v>403500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-7000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32500</v>
          </cell>
          <cell r="Q20">
            <v>0</v>
          </cell>
          <cell r="R20">
            <v>0</v>
          </cell>
          <cell r="U20">
            <v>240500</v>
          </cell>
          <cell r="AC20">
            <v>11000</v>
          </cell>
          <cell r="AK20">
            <v>200000</v>
          </cell>
          <cell r="AN20">
            <v>2000</v>
          </cell>
          <cell r="AQ20">
            <v>0</v>
          </cell>
          <cell r="AR20">
            <v>0</v>
          </cell>
          <cell r="AS20">
            <v>8000</v>
          </cell>
          <cell r="AW20">
            <v>289000</v>
          </cell>
          <cell r="AX20">
            <v>0</v>
          </cell>
          <cell r="AY20">
            <v>200000</v>
          </cell>
          <cell r="AZ20">
            <v>489000</v>
          </cell>
          <cell r="BA20">
            <v>105000</v>
          </cell>
          <cell r="BB20">
            <v>70000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</row>
        <row r="24">
          <cell r="A24" t="str">
            <v>AS201624</v>
          </cell>
          <cell r="B24" t="str">
            <v>NGONDIEP CLAUDE</v>
          </cell>
          <cell r="C24">
            <v>-3000</v>
          </cell>
          <cell r="D24">
            <v>0</v>
          </cell>
          <cell r="E24">
            <v>215000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218000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</v>
          </cell>
          <cell r="D25">
            <v>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290000</v>
          </cell>
          <cell r="AQ25">
            <v>0</v>
          </cell>
          <cell r="AR25">
            <v>0</v>
          </cell>
          <cell r="AS25">
            <v>5000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84000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41000</v>
          </cell>
          <cell r="U26">
            <v>84000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-70000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C31">
            <v>11000</v>
          </cell>
          <cell r="AQ31">
            <v>0</v>
          </cell>
          <cell r="AR31">
            <v>0</v>
          </cell>
          <cell r="AS31">
            <v>15000</v>
          </cell>
          <cell r="AW31">
            <v>289000</v>
          </cell>
          <cell r="AX31">
            <v>0</v>
          </cell>
          <cell r="AY31">
            <v>0</v>
          </cell>
          <cell r="AZ31">
            <v>289000</v>
          </cell>
          <cell r="BB31">
            <v>70000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Z32">
            <v>200000</v>
          </cell>
          <cell r="AA32" t="str">
            <v>BANQUE</v>
          </cell>
          <cell r="AD32">
            <v>7500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194000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25000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35000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75000</v>
          </cell>
          <cell r="AQ34">
            <v>0</v>
          </cell>
          <cell r="AR34">
            <v>0</v>
          </cell>
          <cell r="AS34">
            <v>50000</v>
          </cell>
          <cell r="AT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-6000</v>
          </cell>
          <cell r="D35">
            <v>34000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9000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-70000</v>
          </cell>
          <cell r="D38">
            <v>4752000</v>
          </cell>
          <cell r="E38">
            <v>299000</v>
          </cell>
          <cell r="F38">
            <v>760000</v>
          </cell>
          <cell r="G38">
            <v>6000</v>
          </cell>
          <cell r="H38">
            <v>0</v>
          </cell>
          <cell r="I38">
            <v>93000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114500</v>
          </cell>
          <cell r="Q38">
            <v>0</v>
          </cell>
          <cell r="R38">
            <v>0</v>
          </cell>
          <cell r="S38">
            <v>1582500</v>
          </cell>
          <cell r="U38">
            <v>5671000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200000</v>
          </cell>
          <cell r="AA38">
            <v>0</v>
          </cell>
          <cell r="AC38">
            <v>32000</v>
          </cell>
          <cell r="AD38">
            <v>15000</v>
          </cell>
          <cell r="AE38">
            <v>20000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K38">
            <v>964000</v>
          </cell>
          <cell r="AL38">
            <v>0</v>
          </cell>
          <cell r="AM38">
            <v>0</v>
          </cell>
          <cell r="AN38">
            <v>9000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527000</v>
          </cell>
          <cell r="AT38">
            <v>25000</v>
          </cell>
          <cell r="AU38">
            <v>0</v>
          </cell>
          <cell r="AV38">
            <v>0</v>
          </cell>
          <cell r="AW38">
            <v>868000</v>
          </cell>
          <cell r="AX38">
            <v>892500</v>
          </cell>
          <cell r="AY38">
            <v>3344000</v>
          </cell>
          <cell r="AZ38">
            <v>4644500</v>
          </cell>
          <cell r="BA38">
            <v>399000</v>
          </cell>
          <cell r="BB38">
            <v>210000</v>
          </cell>
        </row>
        <row r="40">
          <cell r="C40" t="str">
            <v>BANQUE</v>
          </cell>
          <cell r="F40" t="str">
            <v>ESPECES</v>
          </cell>
          <cell r="AZ40" t="str">
            <v>TOTAL CENTRALISATION</v>
          </cell>
          <cell r="BA40">
            <v>299000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4644500</v>
          </cell>
          <cell r="D43">
            <v>4537000</v>
          </cell>
          <cell r="F43">
            <v>299000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490000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U9">
            <v>145000</v>
          </cell>
          <cell r="AI9">
            <v>22500</v>
          </cell>
          <cell r="AL9">
            <v>500</v>
          </cell>
          <cell r="AQ9">
            <v>0</v>
          </cell>
          <cell r="AR9">
            <v>0</v>
          </cell>
          <cell r="AS9">
            <v>20000</v>
          </cell>
          <cell r="AW9">
            <v>22500</v>
          </cell>
          <cell r="AX9">
            <v>0</v>
          </cell>
          <cell r="AY9">
            <v>0</v>
          </cell>
          <cell r="AZ9">
            <v>22500</v>
          </cell>
          <cell r="BA9">
            <v>22500</v>
          </cell>
        </row>
        <row r="10">
          <cell r="A10" t="str">
            <v>AS201654</v>
          </cell>
          <cell r="B10" t="str">
            <v>DJOMOU TCHAPDA</v>
          </cell>
          <cell r="C10">
            <v>-70000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C10">
            <v>11000</v>
          </cell>
          <cell r="AI10">
            <v>60000</v>
          </cell>
          <cell r="AL10">
            <v>2000</v>
          </cell>
          <cell r="AQ10">
            <v>0</v>
          </cell>
          <cell r="AR10">
            <v>0</v>
          </cell>
          <cell r="AS10">
            <v>15000</v>
          </cell>
          <cell r="AW10">
            <v>349000</v>
          </cell>
          <cell r="AX10">
            <v>0</v>
          </cell>
          <cell r="AY10">
            <v>0</v>
          </cell>
          <cell r="AZ10">
            <v>349000</v>
          </cell>
          <cell r="BA10">
            <v>60000</v>
          </cell>
          <cell r="BB10">
            <v>70000</v>
          </cell>
        </row>
        <row r="11">
          <cell r="A11" t="str">
            <v>AS201605</v>
          </cell>
          <cell r="B11" t="str">
            <v>DJOUKWE NANGUEN GUY BLAISE</v>
          </cell>
          <cell r="C11">
            <v>-157500</v>
          </cell>
          <cell r="D11">
            <v>115000</v>
          </cell>
          <cell r="E11">
            <v>0</v>
          </cell>
          <cell r="F11">
            <v>70000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S11">
            <v>157500</v>
          </cell>
          <cell r="U11">
            <v>272500</v>
          </cell>
          <cell r="Z11">
            <v>1000000</v>
          </cell>
          <cell r="AA11" t="str">
            <v>BANQUE</v>
          </cell>
          <cell r="AC11">
            <v>10000</v>
          </cell>
          <cell r="AJ11">
            <v>150000</v>
          </cell>
          <cell r="AM11">
            <v>2000</v>
          </cell>
          <cell r="AQ11">
            <v>0</v>
          </cell>
          <cell r="AR11">
            <v>0</v>
          </cell>
          <cell r="AS11">
            <v>15000</v>
          </cell>
          <cell r="AW11">
            <v>132500</v>
          </cell>
          <cell r="AX11">
            <v>150000</v>
          </cell>
          <cell r="AY11">
            <v>0</v>
          </cell>
          <cell r="AZ11">
            <v>1132500</v>
          </cell>
          <cell r="BB11">
            <v>70000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415000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165000</v>
          </cell>
          <cell r="U16">
            <v>415000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342000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202000</v>
          </cell>
          <cell r="U17">
            <v>342000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419000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2000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419000</v>
          </cell>
          <cell r="AD18">
            <v>13000</v>
          </cell>
          <cell r="AJ18">
            <v>100000</v>
          </cell>
          <cell r="AM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17000</v>
          </cell>
          <cell r="AW18">
            <v>0</v>
          </cell>
          <cell r="AX18">
            <v>987000</v>
          </cell>
          <cell r="AY18">
            <v>0</v>
          </cell>
          <cell r="AZ18">
            <v>100000</v>
          </cell>
        </row>
        <row r="19">
          <cell r="A19" t="str">
            <v>AS201620</v>
          </cell>
          <cell r="B19" t="str">
            <v>LOWE JEAN</v>
          </cell>
          <cell r="C19">
            <v>-1000000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S19">
            <v>1000000</v>
          </cell>
          <cell r="T19" t="str">
            <v>BANQUE</v>
          </cell>
          <cell r="U19">
            <v>1040000</v>
          </cell>
          <cell r="Z19">
            <v>300000</v>
          </cell>
          <cell r="AA19" t="str">
            <v>BANQUE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175000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422000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5000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422000</v>
          </cell>
          <cell r="AP20" t="str">
            <v>BANQUE</v>
          </cell>
          <cell r="AQ20">
            <v>0</v>
          </cell>
          <cell r="AR20">
            <v>0</v>
          </cell>
          <cell r="AS20">
            <v>20000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220000</v>
          </cell>
          <cell r="AQ24">
            <v>0</v>
          </cell>
          <cell r="AR24">
            <v>0</v>
          </cell>
          <cell r="AS24">
            <v>20000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-10000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280000</v>
          </cell>
          <cell r="AE25">
            <v>20000</v>
          </cell>
          <cell r="AF25" t="str">
            <v>BANQUE</v>
          </cell>
          <cell r="AK25">
            <v>93000</v>
          </cell>
          <cell r="AN25">
            <v>6000</v>
          </cell>
          <cell r="AP25" t="str">
            <v>BANQUE</v>
          </cell>
          <cell r="AQ25">
            <v>0</v>
          </cell>
          <cell r="AR25">
            <v>0</v>
          </cell>
          <cell r="AS25">
            <v>5000</v>
          </cell>
          <cell r="AW25">
            <v>0</v>
          </cell>
          <cell r="AX25">
            <v>0</v>
          </cell>
          <cell r="AY25">
            <v>1273000</v>
          </cell>
          <cell r="AZ25">
            <v>1273000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43000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43000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120000</v>
          </cell>
          <cell r="D29">
            <v>160000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T29">
            <v>120000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-200000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200000</v>
          </cell>
          <cell r="T32" t="str">
            <v>BANQUE</v>
          </cell>
          <cell r="U32">
            <v>315000</v>
          </cell>
          <cell r="Z32">
            <v>700000</v>
          </cell>
          <cell r="AA32" t="str">
            <v>BANQUE</v>
          </cell>
          <cell r="AJ32">
            <v>138000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138000</v>
          </cell>
          <cell r="AY32">
            <v>0</v>
          </cell>
          <cell r="AZ32">
            <v>596000</v>
          </cell>
          <cell r="BA32">
            <v>86500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43000</v>
          </cell>
          <cell r="F33">
            <v>0</v>
          </cell>
          <cell r="G33">
            <v>3000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43000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100000</v>
          </cell>
          <cell r="F34">
            <v>0</v>
          </cell>
          <cell r="G34">
            <v>3000</v>
          </cell>
          <cell r="H34" t="str">
            <v>ESPECES</v>
          </cell>
          <cell r="I34">
            <v>57000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4000</v>
          </cell>
          <cell r="AS35">
            <v>14000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Z36">
            <v>1000000</v>
          </cell>
          <cell r="AA36" t="str">
            <v>BANQUE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940000</v>
          </cell>
        </row>
        <row r="38">
          <cell r="B38" t="str">
            <v>TOTAUX</v>
          </cell>
          <cell r="C38">
            <v>-1307500</v>
          </cell>
          <cell r="D38">
            <v>4835000</v>
          </cell>
          <cell r="E38">
            <v>269000</v>
          </cell>
          <cell r="F38">
            <v>70000</v>
          </cell>
          <cell r="G38">
            <v>12000</v>
          </cell>
          <cell r="H38">
            <v>0</v>
          </cell>
          <cell r="I38">
            <v>124000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0</v>
          </cell>
          <cell r="Q38">
            <v>0</v>
          </cell>
          <cell r="R38">
            <v>973000</v>
          </cell>
          <cell r="S38">
            <v>1357500</v>
          </cell>
          <cell r="U38">
            <v>6341500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3500000</v>
          </cell>
          <cell r="AA38">
            <v>0</v>
          </cell>
          <cell r="AC38">
            <v>21000</v>
          </cell>
          <cell r="AD38">
            <v>13000</v>
          </cell>
          <cell r="AE38">
            <v>20000</v>
          </cell>
          <cell r="AF38">
            <v>0</v>
          </cell>
          <cell r="AG38">
            <v>0</v>
          </cell>
          <cell r="AI38">
            <v>142500</v>
          </cell>
          <cell r="AJ38">
            <v>388000</v>
          </cell>
          <cell r="AK38">
            <v>93000</v>
          </cell>
          <cell r="AL38">
            <v>3500</v>
          </cell>
          <cell r="AM38">
            <v>5000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4000</v>
          </cell>
          <cell r="AS38">
            <v>573000</v>
          </cell>
          <cell r="AT38">
            <v>120000</v>
          </cell>
          <cell r="AU38">
            <v>0</v>
          </cell>
          <cell r="AV38">
            <v>0</v>
          </cell>
          <cell r="AW38">
            <v>564000</v>
          </cell>
          <cell r="AX38">
            <v>1275000</v>
          </cell>
          <cell r="AY38">
            <v>1273000</v>
          </cell>
          <cell r="AZ38">
            <v>5244000</v>
          </cell>
          <cell r="BA38">
            <v>229000</v>
          </cell>
          <cell r="BB38">
            <v>140000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5244000</v>
          </cell>
          <cell r="D43">
            <v>4620000</v>
          </cell>
          <cell r="F43">
            <v>269000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303000</v>
          </cell>
          <cell r="BA6">
            <v>3000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145000</v>
          </cell>
          <cell r="E9">
            <v>23000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23000</v>
          </cell>
          <cell r="R9">
            <v>0</v>
          </cell>
          <cell r="U9">
            <v>168000</v>
          </cell>
          <cell r="AK9">
            <v>50000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20000</v>
          </cell>
          <cell r="AW9">
            <v>0</v>
          </cell>
          <cell r="AX9">
            <v>0</v>
          </cell>
          <cell r="AY9">
            <v>50000</v>
          </cell>
          <cell r="AZ9">
            <v>50000</v>
          </cell>
          <cell r="BA9">
            <v>50000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105000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62000</v>
          </cell>
          <cell r="U10">
            <v>105000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267000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267000</v>
          </cell>
          <cell r="AI11">
            <v>29500</v>
          </cell>
          <cell r="AJ11">
            <v>100000</v>
          </cell>
          <cell r="AL11">
            <v>1500</v>
          </cell>
          <cell r="AM11">
            <v>2000</v>
          </cell>
          <cell r="AQ11">
            <v>0</v>
          </cell>
          <cell r="AR11">
            <v>0</v>
          </cell>
          <cell r="AS11">
            <v>15000</v>
          </cell>
          <cell r="AW11">
            <v>29500</v>
          </cell>
          <cell r="AX11">
            <v>100000</v>
          </cell>
          <cell r="AY11">
            <v>0</v>
          </cell>
          <cell r="AZ11">
            <v>129500</v>
          </cell>
          <cell r="BA11">
            <v>50000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420000</v>
          </cell>
          <cell r="E12">
            <v>0</v>
          </cell>
          <cell r="F12">
            <v>70000</v>
          </cell>
          <cell r="G12">
            <v>0</v>
          </cell>
          <cell r="H12" t="str">
            <v>BANQUE</v>
          </cell>
          <cell r="I12">
            <v>105000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420000</v>
          </cell>
          <cell r="AD12">
            <v>10000</v>
          </cell>
          <cell r="AF12" t="str">
            <v>BANQUE</v>
          </cell>
          <cell r="AJ12">
            <v>38000</v>
          </cell>
          <cell r="AK12">
            <v>200000</v>
          </cell>
          <cell r="AM12">
            <v>1000</v>
          </cell>
          <cell r="AN12">
            <v>2000</v>
          </cell>
          <cell r="AQ12">
            <v>0</v>
          </cell>
          <cell r="AR12">
            <v>0</v>
          </cell>
          <cell r="AS12">
            <v>120000</v>
          </cell>
          <cell r="AW12">
            <v>0</v>
          </cell>
          <cell r="AX12">
            <v>928000</v>
          </cell>
          <cell r="AY12">
            <v>200000</v>
          </cell>
          <cell r="AZ12">
            <v>1058000</v>
          </cell>
          <cell r="BA12">
            <v>23000</v>
          </cell>
          <cell r="BB12">
            <v>70000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118000</v>
          </cell>
          <cell r="F15">
            <v>0</v>
          </cell>
          <cell r="G15">
            <v>3000</v>
          </cell>
          <cell r="H15" t="str">
            <v>ESPECES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118000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230000</v>
          </cell>
          <cell r="E16">
            <v>0</v>
          </cell>
          <cell r="F16">
            <v>70000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230000</v>
          </cell>
          <cell r="AC16">
            <v>2500</v>
          </cell>
          <cell r="AF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297500</v>
          </cell>
          <cell r="AX16">
            <v>0</v>
          </cell>
          <cell r="AY16">
            <v>0</v>
          </cell>
          <cell r="AZ16">
            <v>227500</v>
          </cell>
          <cell r="BB16">
            <v>70000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-1000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101000</v>
          </cell>
          <cell r="R18">
            <v>0</v>
          </cell>
          <cell r="U18">
            <v>315000</v>
          </cell>
          <cell r="AP18" t="str">
            <v>BANQUE</v>
          </cell>
          <cell r="AQ18">
            <v>0</v>
          </cell>
          <cell r="AR18">
            <v>0</v>
          </cell>
          <cell r="AS18">
            <v>14000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70000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C19">
            <v>3000</v>
          </cell>
          <cell r="AF19" t="str">
            <v>BANQUE</v>
          </cell>
          <cell r="AQ19">
            <v>0</v>
          </cell>
          <cell r="AR19">
            <v>0</v>
          </cell>
          <cell r="AS19">
            <v>15000</v>
          </cell>
          <cell r="AW19">
            <v>297000</v>
          </cell>
          <cell r="AX19">
            <v>0</v>
          </cell>
          <cell r="AY19">
            <v>0</v>
          </cell>
          <cell r="AZ19">
            <v>227000</v>
          </cell>
          <cell r="BB19">
            <v>70000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215000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215000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200000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210000</v>
          </cell>
          <cell r="E24">
            <v>0</v>
          </cell>
          <cell r="F24">
            <v>70000</v>
          </cell>
          <cell r="G24">
            <v>0</v>
          </cell>
          <cell r="H24" t="str">
            <v>BANQUE</v>
          </cell>
          <cell r="I24">
            <v>-5000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210000</v>
          </cell>
          <cell r="AC24">
            <v>3000</v>
          </cell>
          <cell r="AF24" t="str">
            <v>BANQUE</v>
          </cell>
          <cell r="AQ24">
            <v>0</v>
          </cell>
          <cell r="AR24">
            <v>0</v>
          </cell>
          <cell r="AS24">
            <v>10000</v>
          </cell>
          <cell r="AW24">
            <v>297000</v>
          </cell>
          <cell r="AX24">
            <v>0</v>
          </cell>
          <cell r="AY24">
            <v>0</v>
          </cell>
          <cell r="AZ24">
            <v>227000</v>
          </cell>
          <cell r="BB24">
            <v>70000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407000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99000</v>
          </cell>
          <cell r="U25">
            <v>407000</v>
          </cell>
          <cell r="AD25">
            <v>15000</v>
          </cell>
          <cell r="AF25" t="str">
            <v>BANQUE</v>
          </cell>
          <cell r="AJ25">
            <v>50000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33000</v>
          </cell>
          <cell r="AW25">
            <v>0</v>
          </cell>
          <cell r="AX25">
            <v>935000</v>
          </cell>
          <cell r="AY25">
            <v>0</v>
          </cell>
          <cell r="AZ25">
            <v>935000</v>
          </cell>
          <cell r="BA25">
            <v>50000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104000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104000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</row>
        <row r="27">
          <cell r="A27" t="str">
            <v>AS201656</v>
          </cell>
          <cell r="B27" t="str">
            <v>NOUBE ETIENNE</v>
          </cell>
          <cell r="C27">
            <v>120000</v>
          </cell>
          <cell r="D27">
            <v>560000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400000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440000</v>
          </cell>
          <cell r="AQ27">
            <v>0</v>
          </cell>
          <cell r="AR27">
            <v>0</v>
          </cell>
          <cell r="AS27">
            <v>415000</v>
          </cell>
          <cell r="AT27">
            <v>120000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E31">
            <v>10000</v>
          </cell>
          <cell r="AF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1190000</v>
          </cell>
          <cell r="AZ31">
            <v>1190000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255000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140000</v>
          </cell>
          <cell r="U32">
            <v>255000</v>
          </cell>
          <cell r="AJ32">
            <v>100000</v>
          </cell>
          <cell r="AM32">
            <v>2000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</row>
        <row r="33">
          <cell r="A33" t="str">
            <v>AS201643</v>
          </cell>
          <cell r="B33" t="str">
            <v>TCHOUTOU NANA CLAUDE</v>
          </cell>
          <cell r="C33">
            <v>-3000</v>
          </cell>
          <cell r="D33">
            <v>0</v>
          </cell>
          <cell r="E33">
            <v>40000</v>
          </cell>
          <cell r="F33">
            <v>0</v>
          </cell>
          <cell r="G33">
            <v>3000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43000</v>
          </cell>
          <cell r="AQ33">
            <v>0</v>
          </cell>
          <cell r="AR33">
            <v>0</v>
          </cell>
          <cell r="AS33">
            <v>12000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43000</v>
          </cell>
          <cell r="D35">
            <v>0</v>
          </cell>
          <cell r="E35">
            <v>86000</v>
          </cell>
          <cell r="F35">
            <v>0</v>
          </cell>
          <cell r="G35">
            <v>3000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43000</v>
          </cell>
          <cell r="AQ35">
            <v>0</v>
          </cell>
          <cell r="AR35">
            <v>0</v>
          </cell>
          <cell r="AS35">
            <v>23000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160000</v>
          </cell>
          <cell r="D38">
            <v>4819000</v>
          </cell>
          <cell r="E38">
            <v>476000</v>
          </cell>
          <cell r="F38">
            <v>280000</v>
          </cell>
          <cell r="G38">
            <v>15000</v>
          </cell>
          <cell r="H38">
            <v>0</v>
          </cell>
          <cell r="I38">
            <v>607000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146000</v>
          </cell>
          <cell r="Q38">
            <v>393000</v>
          </cell>
          <cell r="R38">
            <v>99000</v>
          </cell>
          <cell r="S38">
            <v>0</v>
          </cell>
          <cell r="U38">
            <v>5135000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8500</v>
          </cell>
          <cell r="AD38">
            <v>25000</v>
          </cell>
          <cell r="AE38">
            <v>10000</v>
          </cell>
          <cell r="AF38">
            <v>0</v>
          </cell>
          <cell r="AG38">
            <v>0</v>
          </cell>
          <cell r="AI38">
            <v>29500</v>
          </cell>
          <cell r="AJ38">
            <v>288000</v>
          </cell>
          <cell r="AK38">
            <v>450000</v>
          </cell>
          <cell r="AL38">
            <v>1500</v>
          </cell>
          <cell r="AM38">
            <v>6000</v>
          </cell>
          <cell r="AN38">
            <v>5000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1062000</v>
          </cell>
          <cell r="AT38">
            <v>120000</v>
          </cell>
          <cell r="AU38">
            <v>0</v>
          </cell>
          <cell r="AV38">
            <v>0</v>
          </cell>
          <cell r="AW38">
            <v>921000</v>
          </cell>
          <cell r="AX38">
            <v>2063000</v>
          </cell>
          <cell r="AY38">
            <v>1640000</v>
          </cell>
          <cell r="AZ38">
            <v>4617000</v>
          </cell>
          <cell r="BA38">
            <v>476000</v>
          </cell>
          <cell r="BB38">
            <v>280000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4617000</v>
          </cell>
          <cell r="D43">
            <v>4604000</v>
          </cell>
          <cell r="F43">
            <v>476000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144000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Z7">
            <v>600000</v>
          </cell>
          <cell r="AA7" t="str">
            <v>BANQUE</v>
          </cell>
          <cell r="AI7">
            <v>30000</v>
          </cell>
          <cell r="AL7">
            <v>500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30000</v>
          </cell>
          <cell r="AX7">
            <v>0</v>
          </cell>
          <cell r="AY7">
            <v>0</v>
          </cell>
          <cell r="AZ7">
            <v>594000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615000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500000</v>
          </cell>
          <cell r="T8" t="str">
            <v>BANQUE</v>
          </cell>
          <cell r="U8">
            <v>615000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191000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51000</v>
          </cell>
          <cell r="U9">
            <v>191000</v>
          </cell>
          <cell r="AK9">
            <v>184000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184000</v>
          </cell>
          <cell r="AZ9">
            <v>184000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-500</v>
          </cell>
          <cell r="D11">
            <v>251500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4000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31000</v>
          </cell>
          <cell r="Q11">
            <v>102000</v>
          </cell>
          <cell r="U11">
            <v>252000</v>
          </cell>
          <cell r="AI11">
            <v>30000</v>
          </cell>
          <cell r="AJ11">
            <v>100000</v>
          </cell>
          <cell r="AL11">
            <v>500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19000</v>
          </cell>
          <cell r="AW11">
            <v>30000</v>
          </cell>
          <cell r="AX11">
            <v>100000</v>
          </cell>
          <cell r="AY11">
            <v>0</v>
          </cell>
          <cell r="AZ11">
            <v>130000</v>
          </cell>
          <cell r="BA11">
            <v>50000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590500</v>
          </cell>
          <cell r="E12">
            <v>0</v>
          </cell>
          <cell r="F12">
            <v>1000000</v>
          </cell>
          <cell r="G12">
            <v>0</v>
          </cell>
          <cell r="H12" t="str">
            <v>BANQUE</v>
          </cell>
          <cell r="I12">
            <v>34500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39000</v>
          </cell>
          <cell r="R12">
            <v>202000</v>
          </cell>
          <cell r="S12">
            <v>1000000</v>
          </cell>
          <cell r="T12" t="str">
            <v>BANQUE</v>
          </cell>
          <cell r="U12">
            <v>1590500</v>
          </cell>
          <cell r="Z12">
            <v>705000</v>
          </cell>
          <cell r="AA12" t="str">
            <v>BANQUE</v>
          </cell>
          <cell r="AC12">
            <v>5000</v>
          </cell>
          <cell r="AI12">
            <v>30000</v>
          </cell>
          <cell r="AL12">
            <v>500</v>
          </cell>
          <cell r="AP12" t="str">
            <v>BANQUE</v>
          </cell>
          <cell r="AQ12">
            <v>0</v>
          </cell>
          <cell r="AR12">
            <v>0</v>
          </cell>
          <cell r="AS12">
            <v>49500</v>
          </cell>
          <cell r="AW12">
            <v>325000</v>
          </cell>
          <cell r="AX12">
            <v>0</v>
          </cell>
          <cell r="AY12">
            <v>0</v>
          </cell>
          <cell r="AZ12">
            <v>1800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1215000</v>
          </cell>
          <cell r="Z18">
            <v>250000</v>
          </cell>
          <cell r="AA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240000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997500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214000</v>
          </cell>
          <cell r="AJ20">
            <v>100000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14000</v>
          </cell>
          <cell r="AW20">
            <v>0</v>
          </cell>
          <cell r="AX20">
            <v>100000</v>
          </cell>
          <cell r="AY20">
            <v>200000</v>
          </cell>
          <cell r="AZ20">
            <v>300000</v>
          </cell>
          <cell r="BA20">
            <v>9000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70000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C22">
            <v>4500</v>
          </cell>
          <cell r="AQ22">
            <v>0</v>
          </cell>
          <cell r="AR22">
            <v>0</v>
          </cell>
          <cell r="AS22">
            <v>15000</v>
          </cell>
          <cell r="AW22">
            <v>295500</v>
          </cell>
          <cell r="AX22">
            <v>0</v>
          </cell>
          <cell r="AY22">
            <v>0</v>
          </cell>
          <cell r="AZ22">
            <v>225500</v>
          </cell>
          <cell r="BB22">
            <v>70000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215000</v>
          </cell>
          <cell r="AI24">
            <v>60000</v>
          </cell>
          <cell r="AL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60000</v>
          </cell>
          <cell r="AX24">
            <v>0</v>
          </cell>
          <cell r="AY24">
            <v>0</v>
          </cell>
          <cell r="AZ24">
            <v>60000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350000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9000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0</v>
          </cell>
          <cell r="U25">
            <v>350000</v>
          </cell>
          <cell r="AJ25">
            <v>100000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24000</v>
          </cell>
          <cell r="AW25">
            <v>0</v>
          </cell>
          <cell r="AX25">
            <v>100000</v>
          </cell>
          <cell r="AY25">
            <v>0</v>
          </cell>
          <cell r="AZ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40000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45000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5000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45000</v>
          </cell>
          <cell r="AQ27">
            <v>0</v>
          </cell>
          <cell r="AR27">
            <v>0</v>
          </cell>
          <cell r="AS27">
            <v>20000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217000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U32">
            <v>217000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D36">
            <v>7500</v>
          </cell>
          <cell r="AE36">
            <v>10000</v>
          </cell>
          <cell r="AF36" t="str">
            <v>BANQUE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892500</v>
          </cell>
          <cell r="AY36">
            <v>1190000</v>
          </cell>
          <cell r="AZ36">
            <v>2082500</v>
          </cell>
        </row>
        <row r="38">
          <cell r="B38" t="str">
            <v>TOTAUX</v>
          </cell>
          <cell r="C38">
            <v>-500</v>
          </cell>
          <cell r="D38">
            <v>7054500</v>
          </cell>
          <cell r="E38">
            <v>43000</v>
          </cell>
          <cell r="F38">
            <v>1070000</v>
          </cell>
          <cell r="G38">
            <v>3000</v>
          </cell>
          <cell r="H38">
            <v>0</v>
          </cell>
          <cell r="I38">
            <v>156500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31000</v>
          </cell>
          <cell r="Q38">
            <v>294000</v>
          </cell>
          <cell r="R38">
            <v>455000</v>
          </cell>
          <cell r="S38">
            <v>2500000</v>
          </cell>
          <cell r="U38">
            <v>7314500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1555000</v>
          </cell>
          <cell r="AA38">
            <v>0</v>
          </cell>
          <cell r="AC38">
            <v>9500</v>
          </cell>
          <cell r="AD38">
            <v>7500</v>
          </cell>
          <cell r="AE38">
            <v>20000</v>
          </cell>
          <cell r="AF38">
            <v>0</v>
          </cell>
          <cell r="AG38">
            <v>0</v>
          </cell>
          <cell r="AI38">
            <v>150000</v>
          </cell>
          <cell r="AJ38">
            <v>400000</v>
          </cell>
          <cell r="AK38">
            <v>584000</v>
          </cell>
          <cell r="AL38">
            <v>2500</v>
          </cell>
          <cell r="AM38">
            <v>8000</v>
          </cell>
          <cell r="AN38">
            <v>5500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606500</v>
          </cell>
          <cell r="AT38">
            <v>0</v>
          </cell>
          <cell r="AU38">
            <v>0</v>
          </cell>
          <cell r="AV38">
            <v>0</v>
          </cell>
          <cell r="AW38">
            <v>740500</v>
          </cell>
          <cell r="AX38">
            <v>1292500</v>
          </cell>
          <cell r="AY38">
            <v>2964000</v>
          </cell>
          <cell r="AZ38">
            <v>5551800</v>
          </cell>
          <cell r="BA38">
            <v>59000</v>
          </cell>
          <cell r="BB38">
            <v>70000</v>
          </cell>
        </row>
        <row r="39">
          <cell r="AZ39" t="str">
            <v>CENTRALISATION CAISSE</v>
          </cell>
          <cell r="BA39">
            <v>94000</v>
          </cell>
        </row>
        <row r="40">
          <cell r="C40" t="str">
            <v>BANQUE</v>
          </cell>
          <cell r="F40" t="str">
            <v>ESPECES</v>
          </cell>
          <cell r="BA40">
            <v>35000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5551800</v>
          </cell>
          <cell r="D43">
            <v>6839500</v>
          </cell>
          <cell r="F43">
            <v>43000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33500</v>
          </cell>
          <cell r="F7">
            <v>140000</v>
          </cell>
          <cell r="G7">
            <v>3000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30500</v>
          </cell>
          <cell r="U7">
            <v>73500</v>
          </cell>
          <cell r="AC7">
            <v>3000</v>
          </cell>
          <cell r="AF7" t="str">
            <v>BANQUE</v>
          </cell>
          <cell r="AQ7">
            <v>0</v>
          </cell>
          <cell r="AR7">
            <v>0</v>
          </cell>
          <cell r="AS7">
            <v>12000</v>
          </cell>
          <cell r="AW7">
            <v>297000</v>
          </cell>
          <cell r="AX7">
            <v>0</v>
          </cell>
          <cell r="AY7">
            <v>0</v>
          </cell>
          <cell r="AZ7">
            <v>157000</v>
          </cell>
          <cell r="BB7">
            <v>140000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241000</v>
          </cell>
          <cell r="E9">
            <v>87500</v>
          </cell>
          <cell r="F9">
            <v>0</v>
          </cell>
          <cell r="G9">
            <v>3000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185500</v>
          </cell>
          <cell r="U9">
            <v>328500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12000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165000</v>
          </cell>
          <cell r="E11">
            <v>85500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102000</v>
          </cell>
          <cell r="U11">
            <v>250500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360000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14500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30500</v>
          </cell>
          <cell r="Q12">
            <v>0</v>
          </cell>
          <cell r="R12">
            <v>0</v>
          </cell>
          <cell r="U12">
            <v>360000</v>
          </cell>
          <cell r="AQ12">
            <v>0</v>
          </cell>
          <cell r="AR12">
            <v>0</v>
          </cell>
          <cell r="AS12">
            <v>31300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C15">
            <v>2500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15000</v>
          </cell>
          <cell r="AW15">
            <v>297500</v>
          </cell>
          <cell r="AX15">
            <v>892500</v>
          </cell>
          <cell r="AY15">
            <v>0</v>
          </cell>
          <cell r="AZ15">
            <v>1120000</v>
          </cell>
          <cell r="BB15">
            <v>70000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Z17">
            <v>1000000</v>
          </cell>
          <cell r="AA17" t="str">
            <v>BANQUE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100000</v>
          </cell>
          <cell r="AZ17">
            <v>1050000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215000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102000</v>
          </cell>
          <cell r="R20">
            <v>202000</v>
          </cell>
          <cell r="U20">
            <v>519000</v>
          </cell>
          <cell r="AJ20">
            <v>75000</v>
          </cell>
          <cell r="AK20">
            <v>289500</v>
          </cell>
          <cell r="AM20">
            <v>1000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75000</v>
          </cell>
          <cell r="AY20">
            <v>289500</v>
          </cell>
          <cell r="AZ20">
            <v>364500</v>
          </cell>
          <cell r="BA20">
            <v>112500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-122000</v>
          </cell>
          <cell r="D24">
            <v>159000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61000</v>
          </cell>
          <cell r="Q24">
            <v>0</v>
          </cell>
          <cell r="R24">
            <v>0</v>
          </cell>
          <cell r="U24">
            <v>281000</v>
          </cell>
          <cell r="AI24">
            <v>61000</v>
          </cell>
          <cell r="AJ24">
            <v>167000</v>
          </cell>
          <cell r="AK24">
            <v>100000</v>
          </cell>
          <cell r="AL24">
            <v>2000</v>
          </cell>
          <cell r="AM24">
            <v>2000</v>
          </cell>
          <cell r="AN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20000</v>
          </cell>
          <cell r="AW24">
            <v>61000</v>
          </cell>
          <cell r="AX24">
            <v>167000</v>
          </cell>
          <cell r="AY24">
            <v>100000</v>
          </cell>
          <cell r="AZ24">
            <v>267000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102000</v>
          </cell>
          <cell r="R25">
            <v>0</v>
          </cell>
          <cell r="U25">
            <v>400000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43000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43000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365000</v>
          </cell>
          <cell r="E32">
            <v>102000</v>
          </cell>
          <cell r="F32">
            <v>70000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S32">
            <v>250000</v>
          </cell>
          <cell r="U32">
            <v>467000</v>
          </cell>
          <cell r="AC32">
            <v>2500</v>
          </cell>
          <cell r="AF32" t="str">
            <v>BANQUE</v>
          </cell>
          <cell r="AJ32">
            <v>75000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297500</v>
          </cell>
          <cell r="AX32">
            <v>75000</v>
          </cell>
          <cell r="AY32">
            <v>0</v>
          </cell>
          <cell r="AZ32">
            <v>302500</v>
          </cell>
          <cell r="BA32">
            <v>75000</v>
          </cell>
          <cell r="BB32">
            <v>70000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-122000</v>
          </cell>
          <cell r="D38">
            <v>4916000</v>
          </cell>
          <cell r="E38">
            <v>394500</v>
          </cell>
          <cell r="F38">
            <v>280000</v>
          </cell>
          <cell r="G38">
            <v>15000</v>
          </cell>
          <cell r="H38">
            <v>0</v>
          </cell>
          <cell r="I38">
            <v>142500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152500</v>
          </cell>
          <cell r="Q38">
            <v>408000</v>
          </cell>
          <cell r="R38">
            <v>589500</v>
          </cell>
          <cell r="S38">
            <v>250000</v>
          </cell>
          <cell r="U38">
            <v>5432500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C38">
            <v>8000</v>
          </cell>
          <cell r="AD38">
            <v>7500</v>
          </cell>
          <cell r="AE38">
            <v>0</v>
          </cell>
          <cell r="AF38">
            <v>0</v>
          </cell>
          <cell r="AG38">
            <v>0</v>
          </cell>
          <cell r="AI38">
            <v>61000</v>
          </cell>
          <cell r="AJ38">
            <v>317000</v>
          </cell>
          <cell r="AK38">
            <v>789500</v>
          </cell>
          <cell r="AL38">
            <v>2000</v>
          </cell>
          <cell r="AM38">
            <v>4000</v>
          </cell>
          <cell r="AN38">
            <v>7000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588300</v>
          </cell>
          <cell r="AT38">
            <v>0</v>
          </cell>
          <cell r="AU38">
            <v>0</v>
          </cell>
          <cell r="AV38">
            <v>0</v>
          </cell>
          <cell r="AW38">
            <v>953000</v>
          </cell>
          <cell r="AX38">
            <v>1209500</v>
          </cell>
          <cell r="AY38">
            <v>789500</v>
          </cell>
          <cell r="AZ38">
            <v>3717000</v>
          </cell>
          <cell r="BA38">
            <v>387500</v>
          </cell>
          <cell r="BB38">
            <v>280000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3717000</v>
          </cell>
          <cell r="D43">
            <v>4701000</v>
          </cell>
          <cell r="F43">
            <v>394500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760000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140000</v>
          </cell>
          <cell r="E9">
            <v>202000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K9">
            <v>300000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300000</v>
          </cell>
          <cell r="AZ9">
            <v>300000</v>
          </cell>
          <cell r="BA9">
            <v>300000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115000</v>
          </cell>
          <cell r="AI11">
            <v>61500</v>
          </cell>
          <cell r="AJ11">
            <v>167000</v>
          </cell>
          <cell r="AL11">
            <v>1000</v>
          </cell>
          <cell r="AM11">
            <v>2000</v>
          </cell>
          <cell r="AN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61500</v>
          </cell>
          <cell r="AX11">
            <v>167000</v>
          </cell>
          <cell r="AY11">
            <v>0</v>
          </cell>
          <cell r="AZ11">
            <v>228500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E12">
            <v>10000</v>
          </cell>
          <cell r="AF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1190000</v>
          </cell>
          <cell r="AZ12">
            <v>1190000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241000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101000</v>
          </cell>
          <cell r="U17">
            <v>241000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215000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S19">
            <v>300000</v>
          </cell>
          <cell r="T19" t="str">
            <v>BANQUE</v>
          </cell>
          <cell r="U19">
            <v>340000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586500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4000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76000</v>
          </cell>
          <cell r="R20">
            <v>291500</v>
          </cell>
          <cell r="U20">
            <v>586500</v>
          </cell>
          <cell r="AI20">
            <v>60000</v>
          </cell>
          <cell r="AJ20">
            <v>150000</v>
          </cell>
          <cell r="AK20">
            <v>100000</v>
          </cell>
          <cell r="AL20">
            <v>1000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19000</v>
          </cell>
          <cell r="AW20">
            <v>60000</v>
          </cell>
          <cell r="AX20">
            <v>150000</v>
          </cell>
          <cell r="AY20">
            <v>100000</v>
          </cell>
          <cell r="AZ20">
            <v>310000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C21">
            <v>2500</v>
          </cell>
          <cell r="AF21" t="str">
            <v>BANQUE</v>
          </cell>
          <cell r="AQ21">
            <v>0</v>
          </cell>
          <cell r="AR21">
            <v>0</v>
          </cell>
          <cell r="AS21">
            <v>15000</v>
          </cell>
          <cell r="AW21">
            <v>297500</v>
          </cell>
          <cell r="AX21">
            <v>0</v>
          </cell>
          <cell r="AY21">
            <v>0</v>
          </cell>
          <cell r="AZ21">
            <v>227500</v>
          </cell>
          <cell r="BB21">
            <v>70000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-576000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6000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S23">
            <v>600000</v>
          </cell>
          <cell r="T23" t="str">
            <v>BANQUE</v>
          </cell>
          <cell r="U23">
            <v>846000</v>
          </cell>
          <cell r="Z23">
            <v>600000</v>
          </cell>
          <cell r="AA23" t="str">
            <v>BANQUE</v>
          </cell>
          <cell r="AE23">
            <v>10000</v>
          </cell>
          <cell r="AF23" t="str">
            <v>BANQUE</v>
          </cell>
          <cell r="AQ23">
            <v>0</v>
          </cell>
          <cell r="AR23">
            <v>0</v>
          </cell>
          <cell r="AS23">
            <v>21000</v>
          </cell>
          <cell r="AW23">
            <v>0</v>
          </cell>
          <cell r="AX23">
            <v>0</v>
          </cell>
          <cell r="AY23">
            <v>1190000</v>
          </cell>
          <cell r="AZ23">
            <v>1190000</v>
          </cell>
        </row>
        <row r="24">
          <cell r="A24" t="str">
            <v>AS201624</v>
          </cell>
          <cell r="B24" t="str">
            <v>NGONDIEP CLAUDE</v>
          </cell>
          <cell r="C24">
            <v>-230000</v>
          </cell>
          <cell r="D24">
            <v>320000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4000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61000</v>
          </cell>
          <cell r="Q24">
            <v>169000</v>
          </cell>
          <cell r="R24">
            <v>101000</v>
          </cell>
          <cell r="U24">
            <v>550000</v>
          </cell>
          <cell r="AJ24">
            <v>167000</v>
          </cell>
          <cell r="AM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19000</v>
          </cell>
          <cell r="AW24">
            <v>0</v>
          </cell>
          <cell r="AX24">
            <v>167000</v>
          </cell>
          <cell r="AY24">
            <v>0</v>
          </cell>
          <cell r="AZ24">
            <v>167000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9000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400000</v>
          </cell>
          <cell r="AD25">
            <v>7500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24000</v>
          </cell>
          <cell r="AW25">
            <v>0</v>
          </cell>
          <cell r="AX25">
            <v>892500</v>
          </cell>
          <cell r="AY25">
            <v>0</v>
          </cell>
          <cell r="AZ25">
            <v>892500</v>
          </cell>
        </row>
        <row r="26">
          <cell r="A26" t="str">
            <v>AS201628</v>
          </cell>
          <cell r="B26" t="str">
            <v>NKAMGANG JUSTIN DEJOLIE</v>
          </cell>
          <cell r="C26">
            <v>-1000000</v>
          </cell>
          <cell r="D26">
            <v>40000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S26">
            <v>1000000</v>
          </cell>
          <cell r="T26" t="str">
            <v>BANQUE</v>
          </cell>
          <cell r="U26">
            <v>1040000</v>
          </cell>
          <cell r="Z26">
            <v>1000000</v>
          </cell>
          <cell r="AA26" t="str">
            <v>BANQUE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48000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70000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C30">
            <v>3000</v>
          </cell>
          <cell r="AD30">
            <v>7500</v>
          </cell>
          <cell r="AF30" t="str">
            <v>BANQUE</v>
          </cell>
          <cell r="AQ30">
            <v>0</v>
          </cell>
          <cell r="AR30">
            <v>0</v>
          </cell>
          <cell r="AS30">
            <v>15000</v>
          </cell>
          <cell r="AW30">
            <v>297000</v>
          </cell>
          <cell r="AX30">
            <v>892500</v>
          </cell>
          <cell r="AY30">
            <v>0</v>
          </cell>
          <cell r="AZ30">
            <v>1119500</v>
          </cell>
          <cell r="BB30">
            <v>70000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441000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76000</v>
          </cell>
          <cell r="S32">
            <v>250000</v>
          </cell>
          <cell r="T32" t="str">
            <v>BANQUE</v>
          </cell>
          <cell r="U32">
            <v>441000</v>
          </cell>
          <cell r="AJ32">
            <v>75000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75000</v>
          </cell>
          <cell r="AY32">
            <v>0</v>
          </cell>
          <cell r="AZ32">
            <v>175000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-1806000</v>
          </cell>
          <cell r="D38">
            <v>5288500</v>
          </cell>
          <cell r="E38">
            <v>245000</v>
          </cell>
          <cell r="F38">
            <v>140000</v>
          </cell>
          <cell r="G38">
            <v>3000</v>
          </cell>
          <cell r="H38">
            <v>0</v>
          </cell>
          <cell r="I38">
            <v>133000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61000</v>
          </cell>
          <cell r="Q38">
            <v>321000</v>
          </cell>
          <cell r="R38">
            <v>796500</v>
          </cell>
          <cell r="S38">
            <v>2150000</v>
          </cell>
          <cell r="U38">
            <v>7339500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1600000</v>
          </cell>
          <cell r="AA38">
            <v>0</v>
          </cell>
          <cell r="AC38">
            <v>5500</v>
          </cell>
          <cell r="AD38">
            <v>15000</v>
          </cell>
          <cell r="AE38">
            <v>20000</v>
          </cell>
          <cell r="AF38">
            <v>0</v>
          </cell>
          <cell r="AG38">
            <v>0</v>
          </cell>
          <cell r="AI38">
            <v>181500</v>
          </cell>
          <cell r="AJ38">
            <v>559000</v>
          </cell>
          <cell r="AK38">
            <v>400000</v>
          </cell>
          <cell r="AL38">
            <v>3000</v>
          </cell>
          <cell r="AM38">
            <v>9000</v>
          </cell>
          <cell r="AN38">
            <v>5000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583000</v>
          </cell>
          <cell r="AT38">
            <v>0</v>
          </cell>
          <cell r="AU38">
            <v>0</v>
          </cell>
          <cell r="AV38">
            <v>0</v>
          </cell>
          <cell r="AW38">
            <v>776000</v>
          </cell>
          <cell r="AX38">
            <v>2344000</v>
          </cell>
          <cell r="AY38">
            <v>2780000</v>
          </cell>
          <cell r="AZ38">
            <v>6620000</v>
          </cell>
          <cell r="BA38">
            <v>348000</v>
          </cell>
          <cell r="BB38">
            <v>140000</v>
          </cell>
        </row>
        <row r="40">
          <cell r="C40" t="str">
            <v>BANQUE</v>
          </cell>
          <cell r="F40" t="str">
            <v>ESPECES</v>
          </cell>
          <cell r="AZ40" t="str">
            <v>CENTRALISATION CAISSE</v>
          </cell>
          <cell r="BA40">
            <v>248000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  <cell r="BA42">
            <v>-100000</v>
          </cell>
        </row>
        <row r="43">
          <cell r="B43" t="str">
            <v>TONTINE</v>
          </cell>
          <cell r="C43">
            <v>6620000</v>
          </cell>
          <cell r="D43">
            <v>5073500</v>
          </cell>
          <cell r="F43">
            <v>245000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441000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303000</v>
          </cell>
          <cell r="U9">
            <v>441000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13000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347000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62500</v>
          </cell>
          <cell r="Q11">
            <v>169000</v>
          </cell>
          <cell r="U11">
            <v>347000</v>
          </cell>
          <cell r="AJ11">
            <v>58000</v>
          </cell>
          <cell r="AM11">
            <v>1000</v>
          </cell>
          <cell r="AQ11">
            <v>0</v>
          </cell>
          <cell r="AR11">
            <v>0</v>
          </cell>
          <cell r="AS11">
            <v>15500</v>
          </cell>
          <cell r="AW11">
            <v>0</v>
          </cell>
          <cell r="AX11">
            <v>58000</v>
          </cell>
          <cell r="AY11">
            <v>0</v>
          </cell>
          <cell r="AZ11">
            <v>58000</v>
          </cell>
          <cell r="BA11">
            <v>58000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K16">
            <v>200000</v>
          </cell>
          <cell r="AN16">
            <v>2000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200000</v>
          </cell>
          <cell r="BA16">
            <v>9000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100000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</v>
          </cell>
          <cell r="T18" t="str">
            <v>BANQUE</v>
          </cell>
          <cell r="U18">
            <v>315000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528500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152000</v>
          </cell>
          <cell r="R20">
            <v>101000</v>
          </cell>
          <cell r="U20">
            <v>528500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14500</v>
          </cell>
          <cell r="AW20">
            <v>0</v>
          </cell>
          <cell r="AX20">
            <v>0</v>
          </cell>
          <cell r="AY20">
            <v>200000</v>
          </cell>
          <cell r="AZ20">
            <v>200000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892500</v>
          </cell>
          <cell r="U22">
            <v>1007500</v>
          </cell>
          <cell r="AD22">
            <v>7500</v>
          </cell>
          <cell r="AF22" t="str">
            <v>BANQUE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70000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C23">
            <v>2500</v>
          </cell>
          <cell r="AF23" t="str">
            <v>BANQUE</v>
          </cell>
          <cell r="AK23">
            <v>100000</v>
          </cell>
          <cell r="AN23">
            <v>1000</v>
          </cell>
          <cell r="AQ23">
            <v>0</v>
          </cell>
          <cell r="AR23">
            <v>0</v>
          </cell>
          <cell r="AS23">
            <v>25000</v>
          </cell>
          <cell r="AW23">
            <v>297500</v>
          </cell>
          <cell r="AX23">
            <v>0</v>
          </cell>
          <cell r="AY23">
            <v>100000</v>
          </cell>
          <cell r="AZ23">
            <v>327500</v>
          </cell>
          <cell r="BA23">
            <v>100000</v>
          </cell>
          <cell r="BB23">
            <v>70000</v>
          </cell>
        </row>
        <row r="24">
          <cell r="A24" t="str">
            <v>AS201624</v>
          </cell>
          <cell r="B24" t="str">
            <v>NGONDIEP CLAUDE</v>
          </cell>
          <cell r="C24">
            <v>-171000</v>
          </cell>
          <cell r="D24">
            <v>215000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171000</v>
          </cell>
          <cell r="R24">
            <v>0</v>
          </cell>
          <cell r="U24">
            <v>386000</v>
          </cell>
          <cell r="AK24">
            <v>200000</v>
          </cell>
          <cell r="AN24">
            <v>2000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440000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150000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440000</v>
          </cell>
          <cell r="AK25">
            <v>200000</v>
          </cell>
          <cell r="AN25">
            <v>2000</v>
          </cell>
          <cell r="AQ25">
            <v>0</v>
          </cell>
          <cell r="AR25">
            <v>0</v>
          </cell>
          <cell r="AS25">
            <v>165000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D26">
            <v>50000</v>
          </cell>
          <cell r="E26">
            <v>94000</v>
          </cell>
          <cell r="F26">
            <v>0</v>
          </cell>
          <cell r="G26">
            <v>3000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104000</v>
          </cell>
          <cell r="AI26">
            <v>17000</v>
          </cell>
          <cell r="AL26">
            <v>500</v>
          </cell>
          <cell r="AQ26">
            <v>0</v>
          </cell>
          <cell r="AR26">
            <v>0</v>
          </cell>
          <cell r="AS26">
            <v>15000</v>
          </cell>
          <cell r="AW26">
            <v>17000</v>
          </cell>
          <cell r="AX26">
            <v>0</v>
          </cell>
          <cell r="AY26">
            <v>0</v>
          </cell>
          <cell r="AZ26">
            <v>17000</v>
          </cell>
          <cell r="BA26">
            <v>17000</v>
          </cell>
        </row>
        <row r="27">
          <cell r="A27" t="str">
            <v>AS201656</v>
          </cell>
          <cell r="B27" t="str">
            <v>NOUBE ETIENNE</v>
          </cell>
          <cell r="C27">
            <v>-127500</v>
          </cell>
          <cell r="D27">
            <v>50000</v>
          </cell>
          <cell r="E27">
            <v>0</v>
          </cell>
          <cell r="F27">
            <v>70000</v>
          </cell>
          <cell r="G27">
            <v>0</v>
          </cell>
          <cell r="H27" t="str">
            <v>BANQUE</v>
          </cell>
          <cell r="I27">
            <v>137500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177500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152500</v>
          </cell>
          <cell r="AW27">
            <v>297500</v>
          </cell>
          <cell r="AX27">
            <v>0</v>
          </cell>
          <cell r="AY27">
            <v>0</v>
          </cell>
          <cell r="AZ27">
            <v>227500</v>
          </cell>
          <cell r="BB27">
            <v>70000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-177500</v>
          </cell>
          <cell r="D29">
            <v>40000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177500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217500</v>
          </cell>
          <cell r="AC29">
            <v>2500</v>
          </cell>
          <cell r="AF29" t="str">
            <v>BANQUE</v>
          </cell>
          <cell r="AQ29">
            <v>0</v>
          </cell>
          <cell r="AR29">
            <v>0</v>
          </cell>
          <cell r="AS29">
            <v>192500</v>
          </cell>
          <cell r="AW29">
            <v>297500</v>
          </cell>
          <cell r="AX29">
            <v>0</v>
          </cell>
          <cell r="AY29">
            <v>0</v>
          </cell>
          <cell r="AZ29">
            <v>227500</v>
          </cell>
          <cell r="BA29">
            <v>50000</v>
          </cell>
          <cell r="BB29">
            <v>70000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K31">
            <v>30000</v>
          </cell>
          <cell r="AN31">
            <v>1000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30000</v>
          </cell>
          <cell r="AZ31">
            <v>30000</v>
          </cell>
          <cell r="BA31">
            <v>30000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191000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76000</v>
          </cell>
          <cell r="U32">
            <v>191000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40000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AQ34">
            <v>0</v>
          </cell>
          <cell r="AR34">
            <v>0</v>
          </cell>
          <cell r="AS34">
            <v>15000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400000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110000</v>
          </cell>
          <cell r="T36" t="str">
            <v>BANQUE</v>
          </cell>
          <cell r="U36">
            <v>400000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-436000</v>
          </cell>
          <cell r="D38">
            <v>5127500</v>
          </cell>
          <cell r="E38">
            <v>194000</v>
          </cell>
          <cell r="F38">
            <v>1102500</v>
          </cell>
          <cell r="G38">
            <v>3000</v>
          </cell>
          <cell r="H38">
            <v>0</v>
          </cell>
          <cell r="I38">
            <v>513000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184500</v>
          </cell>
          <cell r="Q38">
            <v>568000</v>
          </cell>
          <cell r="R38">
            <v>404000</v>
          </cell>
          <cell r="S38">
            <v>1102500</v>
          </cell>
          <cell r="U38">
            <v>6650000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7500</v>
          </cell>
          <cell r="AD38">
            <v>15000</v>
          </cell>
          <cell r="AE38">
            <v>0</v>
          </cell>
          <cell r="AF38">
            <v>0</v>
          </cell>
          <cell r="AG38">
            <v>0</v>
          </cell>
          <cell r="AI38">
            <v>17000</v>
          </cell>
          <cell r="AJ38">
            <v>58000</v>
          </cell>
          <cell r="AK38">
            <v>1430000</v>
          </cell>
          <cell r="AL38">
            <v>500</v>
          </cell>
          <cell r="AM38">
            <v>1000</v>
          </cell>
          <cell r="AN38">
            <v>15000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963000</v>
          </cell>
          <cell r="AT38">
            <v>0</v>
          </cell>
          <cell r="AU38">
            <v>0</v>
          </cell>
          <cell r="AV38">
            <v>0</v>
          </cell>
          <cell r="AW38">
            <v>909500</v>
          </cell>
          <cell r="AX38">
            <v>1843000</v>
          </cell>
          <cell r="AY38">
            <v>1430000</v>
          </cell>
          <cell r="AZ38">
            <v>3186000</v>
          </cell>
          <cell r="BA38">
            <v>264000</v>
          </cell>
          <cell r="BB38">
            <v>210000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3186000</v>
          </cell>
          <cell r="D43">
            <v>4912500</v>
          </cell>
          <cell r="F43">
            <v>194000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713500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I7">
            <v>27500</v>
          </cell>
          <cell r="AL7">
            <v>500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27500</v>
          </cell>
          <cell r="AX7">
            <v>0</v>
          </cell>
          <cell r="AY7">
            <v>0</v>
          </cell>
          <cell r="AZ7">
            <v>27500</v>
          </cell>
          <cell r="BA7">
            <v>27500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115000</v>
          </cell>
          <cell r="F8">
            <v>70000</v>
          </cell>
          <cell r="G8">
            <v>0</v>
          </cell>
          <cell r="H8" t="str">
            <v>ESPECES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297500</v>
          </cell>
          <cell r="AX8">
            <v>0</v>
          </cell>
          <cell r="AY8">
            <v>0</v>
          </cell>
          <cell r="AZ8">
            <v>227500</v>
          </cell>
          <cell r="BB8">
            <v>70000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342000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59000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59000</v>
          </cell>
          <cell r="U11">
            <v>174000</v>
          </cell>
          <cell r="AJ11">
            <v>75000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75000</v>
          </cell>
          <cell r="AY11">
            <v>0</v>
          </cell>
          <cell r="AZ11">
            <v>75000</v>
          </cell>
          <cell r="BA11">
            <v>75000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522000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522000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136500</v>
          </cell>
          <cell r="D16">
            <v>452000</v>
          </cell>
          <cell r="E16">
            <v>136500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202000</v>
          </cell>
          <cell r="U16">
            <v>452000</v>
          </cell>
          <cell r="Z16">
            <v>500000</v>
          </cell>
          <cell r="AA16" t="str">
            <v>BANQUE</v>
          </cell>
          <cell r="AK16">
            <v>200000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700000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456000</v>
          </cell>
          <cell r="E18">
            <v>10000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150000</v>
          </cell>
          <cell r="T18" t="str">
            <v>BANQUE</v>
          </cell>
          <cell r="U18">
            <v>466000</v>
          </cell>
          <cell r="Z18">
            <v>1000000</v>
          </cell>
          <cell r="AA18" t="str">
            <v>BANQUE</v>
          </cell>
          <cell r="AJ18">
            <v>150000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150000</v>
          </cell>
          <cell r="AY18">
            <v>0</v>
          </cell>
          <cell r="AZ18">
            <v>1130000</v>
          </cell>
          <cell r="BA18">
            <v>100000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417000</v>
          </cell>
          <cell r="AI20">
            <v>30000</v>
          </cell>
          <cell r="AJ20">
            <v>150000</v>
          </cell>
          <cell r="AK20">
            <v>200000</v>
          </cell>
          <cell r="AL20">
            <v>500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30000</v>
          </cell>
          <cell r="AX20">
            <v>150000</v>
          </cell>
          <cell r="AY20">
            <v>200000</v>
          </cell>
          <cell r="AZ20">
            <v>380000</v>
          </cell>
          <cell r="BA20">
            <v>57000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351000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101000</v>
          </cell>
          <cell r="U23">
            <v>351000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400000</v>
          </cell>
          <cell r="E24">
            <v>17000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417000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A24">
            <v>70000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500000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</row>
        <row r="26">
          <cell r="A26" t="str">
            <v>AS201628</v>
          </cell>
          <cell r="B26" t="str">
            <v>NKAMGANG JUSTIN DEJOLIE</v>
          </cell>
          <cell r="C26">
            <v>101000</v>
          </cell>
          <cell r="D26">
            <v>0</v>
          </cell>
          <cell r="E26">
            <v>158500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17500</v>
          </cell>
          <cell r="U26">
            <v>57500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31000</v>
          </cell>
          <cell r="U31">
            <v>171000</v>
          </cell>
          <cell r="AI31">
            <v>30000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30000</v>
          </cell>
          <cell r="AX31">
            <v>0</v>
          </cell>
          <cell r="AY31">
            <v>0</v>
          </cell>
          <cell r="AZ31">
            <v>30000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-227500</v>
          </cell>
          <cell r="D34">
            <v>80000</v>
          </cell>
          <cell r="E34">
            <v>0</v>
          </cell>
          <cell r="F34">
            <v>70000</v>
          </cell>
          <cell r="G34">
            <v>0</v>
          </cell>
          <cell r="H34" t="str">
            <v>BANQUE</v>
          </cell>
          <cell r="I34">
            <v>267500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307500</v>
          </cell>
          <cell r="AC34">
            <v>2500</v>
          </cell>
          <cell r="AF34" t="str">
            <v>BANQUE</v>
          </cell>
          <cell r="AQ34">
            <v>0</v>
          </cell>
          <cell r="AR34">
            <v>0</v>
          </cell>
          <cell r="AS34">
            <v>282500</v>
          </cell>
          <cell r="AW34">
            <v>297500</v>
          </cell>
          <cell r="AX34">
            <v>0</v>
          </cell>
          <cell r="AY34">
            <v>0</v>
          </cell>
          <cell r="AZ34">
            <v>227500</v>
          </cell>
          <cell r="BB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880000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590000</v>
          </cell>
          <cell r="T36" t="str">
            <v>BANQUE</v>
          </cell>
          <cell r="U36">
            <v>880000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10000</v>
          </cell>
          <cell r="D38">
            <v>5946000</v>
          </cell>
          <cell r="E38">
            <v>536000</v>
          </cell>
          <cell r="F38">
            <v>140000</v>
          </cell>
          <cell r="G38">
            <v>0</v>
          </cell>
          <cell r="H38">
            <v>0</v>
          </cell>
          <cell r="I38">
            <v>335500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17500</v>
          </cell>
          <cell r="Q38">
            <v>59000</v>
          </cell>
          <cell r="R38">
            <v>1445000</v>
          </cell>
          <cell r="S38">
            <v>740000</v>
          </cell>
          <cell r="U38">
            <v>6472000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1500000</v>
          </cell>
          <cell r="AA38">
            <v>0</v>
          </cell>
          <cell r="AC38">
            <v>5000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I38">
            <v>147500</v>
          </cell>
          <cell r="AJ38">
            <v>375000</v>
          </cell>
          <cell r="AK38">
            <v>1200000</v>
          </cell>
          <cell r="AL38">
            <v>2500</v>
          </cell>
          <cell r="AM38">
            <v>5000</v>
          </cell>
          <cell r="AN38">
            <v>12000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785500</v>
          </cell>
          <cell r="AT38">
            <v>0</v>
          </cell>
          <cell r="AU38">
            <v>0</v>
          </cell>
          <cell r="AV38">
            <v>0</v>
          </cell>
          <cell r="AW38">
            <v>742500</v>
          </cell>
          <cell r="AX38">
            <v>375000</v>
          </cell>
          <cell r="AY38">
            <v>1200000</v>
          </cell>
          <cell r="AZ38">
            <v>4371000</v>
          </cell>
          <cell r="BA38">
            <v>389500</v>
          </cell>
          <cell r="BB38">
            <v>140000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4371000</v>
          </cell>
          <cell r="D43">
            <v>5731000</v>
          </cell>
          <cell r="F43">
            <v>536000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-1074000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68000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28000</v>
          </cell>
          <cell r="U7">
            <v>68000</v>
          </cell>
          <cell r="AI7">
            <v>28000</v>
          </cell>
          <cell r="AL7">
            <v>1000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28000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J8">
            <v>100000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100000</v>
          </cell>
          <cell r="AY8">
            <v>0</v>
          </cell>
          <cell r="AZ8">
            <v>100000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342000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191000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76000</v>
          </cell>
          <cell r="U11">
            <v>191000</v>
          </cell>
          <cell r="AJ11">
            <v>76000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76000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522000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522000</v>
          </cell>
          <cell r="AJ12">
            <v>50000</v>
          </cell>
          <cell r="AK12">
            <v>202000</v>
          </cell>
          <cell r="AM12">
            <v>1000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50000</v>
          </cell>
          <cell r="AY12">
            <v>202000</v>
          </cell>
          <cell r="AZ12">
            <v>50000</v>
          </cell>
          <cell r="BA12">
            <v>50000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-70000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C14">
            <v>2500</v>
          </cell>
          <cell r="AQ14">
            <v>0</v>
          </cell>
          <cell r="AR14">
            <v>0</v>
          </cell>
          <cell r="AS14">
            <v>15000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B14">
            <v>70000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-136500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202000</v>
          </cell>
          <cell r="S16">
            <v>136500</v>
          </cell>
          <cell r="U16">
            <v>588500</v>
          </cell>
          <cell r="AK16">
            <v>202000</v>
          </cell>
          <cell r="AN16">
            <v>4000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202000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367000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152000</v>
          </cell>
          <cell r="R18">
            <v>0</v>
          </cell>
          <cell r="U18">
            <v>367000</v>
          </cell>
          <cell r="AI18">
            <v>30000</v>
          </cell>
          <cell r="AJ18">
            <v>200000</v>
          </cell>
          <cell r="AL18">
            <v>500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30000</v>
          </cell>
          <cell r="AX18">
            <v>200000</v>
          </cell>
          <cell r="AY18">
            <v>0</v>
          </cell>
          <cell r="AZ18">
            <v>230000</v>
          </cell>
          <cell r="BA18">
            <v>47500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599500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152000</v>
          </cell>
          <cell r="R20">
            <v>202000</v>
          </cell>
          <cell r="U20">
            <v>599500</v>
          </cell>
          <cell r="AJ20">
            <v>303000</v>
          </cell>
          <cell r="AK20">
            <v>302000</v>
          </cell>
          <cell r="AM20">
            <v>4000</v>
          </cell>
          <cell r="AN20">
            <v>5000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303000</v>
          </cell>
          <cell r="AY20">
            <v>302000</v>
          </cell>
          <cell r="AZ20">
            <v>100000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3000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420000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18000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500000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102000</v>
          </cell>
          <cell r="F26">
            <v>0</v>
          </cell>
          <cell r="G26">
            <v>3000</v>
          </cell>
          <cell r="H26" t="str">
            <v>ESPECES</v>
          </cell>
          <cell r="I26">
            <v>-2000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102000</v>
          </cell>
          <cell r="AQ26">
            <v>0</v>
          </cell>
          <cell r="AR26">
            <v>0</v>
          </cell>
          <cell r="AS26">
            <v>13000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-70000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15000</v>
          </cell>
          <cell r="AW28">
            <v>297500</v>
          </cell>
          <cell r="AX28">
            <v>892500</v>
          </cell>
          <cell r="AY28">
            <v>0</v>
          </cell>
          <cell r="AZ28">
            <v>545000</v>
          </cell>
          <cell r="BB28">
            <v>70000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>
            <v>500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30500</v>
          </cell>
          <cell r="R31">
            <v>0</v>
          </cell>
          <cell r="U31">
            <v>171000</v>
          </cell>
          <cell r="AK31">
            <v>30000</v>
          </cell>
          <cell r="AN31">
            <v>1000</v>
          </cell>
          <cell r="AQ31">
            <v>0</v>
          </cell>
          <cell r="AR31">
            <v>0</v>
          </cell>
          <cell r="AS31">
            <v>15500</v>
          </cell>
          <cell r="AW31">
            <v>0</v>
          </cell>
          <cell r="AX31">
            <v>0</v>
          </cell>
          <cell r="AY31">
            <v>30000</v>
          </cell>
          <cell r="AZ31">
            <v>30000</v>
          </cell>
          <cell r="BA31">
            <v>30000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</row>
        <row r="33">
          <cell r="A33" t="str">
            <v>AS201643</v>
          </cell>
          <cell r="B33" t="str">
            <v>TCHOUTOU NANA CLAUDE</v>
          </cell>
          <cell r="C33">
            <v>80000</v>
          </cell>
          <cell r="D33">
            <v>120000</v>
          </cell>
          <cell r="E33">
            <v>0</v>
          </cell>
          <cell r="F33">
            <v>0</v>
          </cell>
          <cell r="G33">
            <v>12000</v>
          </cell>
          <cell r="H33" t="str">
            <v>BANQUE</v>
          </cell>
          <cell r="I33">
            <v>-12000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3000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70000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30000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70000</v>
          </cell>
          <cell r="AQ34">
            <v>0</v>
          </cell>
          <cell r="AR34">
            <v>0</v>
          </cell>
          <cell r="AS34">
            <v>45000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3000</v>
          </cell>
          <cell r="H35" t="str">
            <v>ESPECES</v>
          </cell>
          <cell r="I35">
            <v>-3000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12000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-70000</v>
          </cell>
          <cell r="D36">
            <v>593000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303000</v>
          </cell>
          <cell r="T36" t="str">
            <v>BANQUE</v>
          </cell>
          <cell r="U36">
            <v>593000</v>
          </cell>
          <cell r="AC36">
            <v>2500</v>
          </cell>
          <cell r="AD36">
            <v>7500</v>
          </cell>
          <cell r="AQ36">
            <v>0</v>
          </cell>
          <cell r="AR36">
            <v>0</v>
          </cell>
          <cell r="AS36">
            <v>15000</v>
          </cell>
          <cell r="AW36">
            <v>297500</v>
          </cell>
          <cell r="AX36">
            <v>892500</v>
          </cell>
          <cell r="AY36">
            <v>0</v>
          </cell>
          <cell r="AZ36">
            <v>1190000</v>
          </cell>
          <cell r="BB36">
            <v>70000</v>
          </cell>
        </row>
        <row r="38">
          <cell r="B38" t="str">
            <v>TOTAUX</v>
          </cell>
          <cell r="C38">
            <v>-266500</v>
          </cell>
          <cell r="D38">
            <v>5960500</v>
          </cell>
          <cell r="E38">
            <v>142000</v>
          </cell>
          <cell r="F38">
            <v>0</v>
          </cell>
          <cell r="G38">
            <v>18000</v>
          </cell>
          <cell r="H38">
            <v>0</v>
          </cell>
          <cell r="I38">
            <v>84500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150000</v>
          </cell>
          <cell r="Q38">
            <v>380000</v>
          </cell>
          <cell r="R38">
            <v>1212000</v>
          </cell>
          <cell r="S38">
            <v>439500</v>
          </cell>
          <cell r="U38">
            <v>6159000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7500</v>
          </cell>
          <cell r="AD38">
            <v>15000</v>
          </cell>
          <cell r="AE38">
            <v>0</v>
          </cell>
          <cell r="AF38">
            <v>0</v>
          </cell>
          <cell r="AG38">
            <v>0</v>
          </cell>
          <cell r="AI38">
            <v>58000</v>
          </cell>
          <cell r="AJ38">
            <v>829000</v>
          </cell>
          <cell r="AK38">
            <v>1136000</v>
          </cell>
          <cell r="AL38">
            <v>1500</v>
          </cell>
          <cell r="AM38">
            <v>10000</v>
          </cell>
          <cell r="AN38">
            <v>18000</v>
          </cell>
          <cell r="AQ38">
            <v>0</v>
          </cell>
          <cell r="AR38">
            <v>0</v>
          </cell>
          <cell r="AS38">
            <v>534500</v>
          </cell>
          <cell r="AT38">
            <v>0</v>
          </cell>
          <cell r="AU38">
            <v>0</v>
          </cell>
          <cell r="AV38">
            <v>0</v>
          </cell>
          <cell r="AW38">
            <v>950500</v>
          </cell>
          <cell r="AX38">
            <v>2614000</v>
          </cell>
          <cell r="AY38">
            <v>1136000</v>
          </cell>
          <cell r="AZ38">
            <v>1968500</v>
          </cell>
          <cell r="BA38">
            <v>127500</v>
          </cell>
          <cell r="BB38">
            <v>210000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1968500</v>
          </cell>
          <cell r="D43">
            <v>5717500</v>
          </cell>
          <cell r="F43">
            <v>142000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669000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29000</v>
          </cell>
          <cell r="S7">
            <v>600000</v>
          </cell>
          <cell r="T7" t="str">
            <v>BANQUE</v>
          </cell>
          <cell r="U7">
            <v>669000</v>
          </cell>
          <cell r="Z7">
            <v>600000</v>
          </cell>
          <cell r="AA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564000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V8">
            <v>19000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221000</v>
          </cell>
          <cell r="D9">
            <v>386000</v>
          </cell>
          <cell r="E9">
            <v>1000000</v>
          </cell>
          <cell r="F9">
            <v>0</v>
          </cell>
          <cell r="G9">
            <v>0</v>
          </cell>
          <cell r="H9" t="str">
            <v>BANQUE</v>
          </cell>
          <cell r="I9">
            <v>25000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S9">
            <v>1000000</v>
          </cell>
          <cell r="T9" t="str">
            <v>BANQUE</v>
          </cell>
          <cell r="U9">
            <v>1165000</v>
          </cell>
          <cell r="V9">
            <v>9000</v>
          </cell>
          <cell r="Z9">
            <v>1000000</v>
          </cell>
          <cell r="AA9" t="str">
            <v>BANQUE</v>
          </cell>
          <cell r="AQ9">
            <v>0</v>
          </cell>
          <cell r="AR9">
            <v>0</v>
          </cell>
          <cell r="AS9">
            <v>40000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40000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V10">
            <v>22000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1077000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77000</v>
          </cell>
          <cell r="S11">
            <v>1000000</v>
          </cell>
          <cell r="T11" t="str">
            <v>BANQUE</v>
          </cell>
          <cell r="U11">
            <v>1192000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1040000</v>
          </cell>
          <cell r="E12">
            <v>257000</v>
          </cell>
          <cell r="F12">
            <v>0</v>
          </cell>
          <cell r="G12">
            <v>0</v>
          </cell>
          <cell r="H12" t="str">
            <v>BANQUE</v>
          </cell>
          <cell r="I12">
            <v>5800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51000</v>
          </cell>
          <cell r="R12">
            <v>206000</v>
          </cell>
          <cell r="S12">
            <v>719200</v>
          </cell>
          <cell r="T12" t="str">
            <v>BANQUE</v>
          </cell>
          <cell r="U12">
            <v>1297000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20800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S13">
            <v>1000000</v>
          </cell>
          <cell r="T13" t="str">
            <v>BANQUE</v>
          </cell>
          <cell r="U13">
            <v>1040000</v>
          </cell>
          <cell r="Z13">
            <v>1000000</v>
          </cell>
          <cell r="AA13" t="str">
            <v>BANQUE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880000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V15">
            <v>18000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569500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206000</v>
          </cell>
          <cell r="S16">
            <v>363500</v>
          </cell>
          <cell r="T16" t="str">
            <v>BANQUE</v>
          </cell>
          <cell r="U16">
            <v>819500</v>
          </cell>
          <cell r="V16">
            <v>12000</v>
          </cell>
          <cell r="Z16">
            <v>363500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363500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1000000</v>
          </cell>
          <cell r="T17" t="str">
            <v>BANQUE</v>
          </cell>
          <cell r="U17">
            <v>1140000</v>
          </cell>
          <cell r="V17">
            <v>9000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1000000</v>
          </cell>
          <cell r="E18">
            <v>447500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30500</v>
          </cell>
          <cell r="Q18">
            <v>202000</v>
          </cell>
          <cell r="R18">
            <v>0</v>
          </cell>
          <cell r="S18">
            <v>1000000</v>
          </cell>
          <cell r="T18" t="str">
            <v>BANQUE</v>
          </cell>
          <cell r="U18">
            <v>1447500</v>
          </cell>
          <cell r="V18">
            <v>3000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950000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V19">
            <v>20000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1829000</v>
          </cell>
          <cell r="F20">
            <v>0</v>
          </cell>
          <cell r="G20">
            <v>0</v>
          </cell>
          <cell r="H20" t="str">
            <v>ESPECES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307000</v>
          </cell>
          <cell r="R20">
            <v>307000</v>
          </cell>
          <cell r="S20">
            <v>1000000</v>
          </cell>
          <cell r="T20" t="str">
            <v>BANQUE</v>
          </cell>
          <cell r="U20">
            <v>1829000</v>
          </cell>
          <cell r="Z20">
            <v>1000000</v>
          </cell>
          <cell r="AA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S21">
            <v>500000</v>
          </cell>
          <cell r="T21" t="str">
            <v>BANQUE</v>
          </cell>
          <cell r="U21">
            <v>540000</v>
          </cell>
          <cell r="Z21">
            <v>300000</v>
          </cell>
          <cell r="AA21" t="str">
            <v>BANQUE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282000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222500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107500</v>
          </cell>
          <cell r="T22" t="str">
            <v>BANQUE</v>
          </cell>
          <cell r="U22">
            <v>222500</v>
          </cell>
          <cell r="V22">
            <v>20000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850000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S23">
            <v>600000</v>
          </cell>
          <cell r="T23" t="str">
            <v>BANQUE</v>
          </cell>
          <cell r="U23">
            <v>850000</v>
          </cell>
          <cell r="Z23">
            <v>500000</v>
          </cell>
          <cell r="AA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1215000</v>
          </cell>
          <cell r="E24">
            <v>202000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S24">
            <v>1000000</v>
          </cell>
          <cell r="T24" t="str">
            <v>BANQUE</v>
          </cell>
          <cell r="U24">
            <v>1417000</v>
          </cell>
          <cell r="V24">
            <v>15000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600000</v>
          </cell>
          <cell r="E25">
            <v>1000000</v>
          </cell>
          <cell r="F25">
            <v>0</v>
          </cell>
          <cell r="G25">
            <v>0</v>
          </cell>
          <cell r="H25" t="str">
            <v>BANQUE</v>
          </cell>
          <cell r="I25">
            <v>108000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S25">
            <v>1000000</v>
          </cell>
          <cell r="T25" t="str">
            <v>BANQUE</v>
          </cell>
          <cell r="U25">
            <v>1600000</v>
          </cell>
          <cell r="V25">
            <v>15000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123000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S26">
            <v>1000000</v>
          </cell>
          <cell r="T26" t="str">
            <v>BANQUE</v>
          </cell>
          <cell r="U26">
            <v>1040000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V30">
            <v>34000</v>
          </cell>
          <cell r="Z30">
            <v>1000000</v>
          </cell>
          <cell r="AA30" t="str">
            <v>BANQUE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940000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31000</v>
          </cell>
          <cell r="S31">
            <v>1000000</v>
          </cell>
          <cell r="T31" t="str">
            <v>BANQUE</v>
          </cell>
          <cell r="U31">
            <v>1171000</v>
          </cell>
          <cell r="Z31">
            <v>250000</v>
          </cell>
          <cell r="AA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235000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416000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S32">
            <v>200000</v>
          </cell>
          <cell r="T32" t="str">
            <v>BANQUE</v>
          </cell>
          <cell r="U32">
            <v>416000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D33">
            <v>90000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25000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B33">
            <v>70000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40000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Z34">
            <v>700000</v>
          </cell>
          <cell r="AA34" t="str">
            <v>BANQUE</v>
          </cell>
          <cell r="AQ34">
            <v>0</v>
          </cell>
          <cell r="AR34">
            <v>0</v>
          </cell>
          <cell r="AS34">
            <v>15000</v>
          </cell>
          <cell r="AW34">
            <v>0</v>
          </cell>
          <cell r="AX34">
            <v>0</v>
          </cell>
          <cell r="AY34">
            <v>0</v>
          </cell>
          <cell r="AZ34">
            <v>616000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227500</v>
          </cell>
          <cell r="E35">
            <v>40000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S35">
            <v>227500</v>
          </cell>
          <cell r="T35" t="str">
            <v>BANQUE</v>
          </cell>
          <cell r="U35">
            <v>267500</v>
          </cell>
          <cell r="AC35">
            <v>2500</v>
          </cell>
          <cell r="AQ35">
            <v>0</v>
          </cell>
          <cell r="AR35">
            <v>0</v>
          </cell>
          <cell r="AS35">
            <v>15000</v>
          </cell>
          <cell r="AW35">
            <v>297500</v>
          </cell>
          <cell r="AX35">
            <v>0</v>
          </cell>
          <cell r="AY35">
            <v>0</v>
          </cell>
          <cell r="AZ35">
            <v>297500</v>
          </cell>
          <cell r="BB35">
            <v>70000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V36">
            <v>11000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261000</v>
          </cell>
          <cell r="D38">
            <v>11438000</v>
          </cell>
          <cell r="E38">
            <v>8171000</v>
          </cell>
          <cell r="F38">
            <v>0</v>
          </cell>
          <cell r="G38">
            <v>0</v>
          </cell>
          <cell r="H38">
            <v>0</v>
          </cell>
          <cell r="I38">
            <v>203800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59500</v>
          </cell>
          <cell r="Q38">
            <v>738000</v>
          </cell>
          <cell r="R38">
            <v>1154000</v>
          </cell>
          <cell r="S38">
            <v>13317700</v>
          </cell>
          <cell r="U38">
            <v>19348000</v>
          </cell>
          <cell r="V38">
            <v>207000</v>
          </cell>
          <cell r="W38">
            <v>0</v>
          </cell>
          <cell r="X38">
            <v>0</v>
          </cell>
          <cell r="Y38">
            <v>0</v>
          </cell>
          <cell r="Z38">
            <v>15213500</v>
          </cell>
          <cell r="AA38">
            <v>0</v>
          </cell>
          <cell r="AC38">
            <v>5000</v>
          </cell>
          <cell r="AD38">
            <v>7500</v>
          </cell>
          <cell r="AE38">
            <v>10000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653800</v>
          </cell>
          <cell r="AT38">
            <v>0</v>
          </cell>
          <cell r="AU38">
            <v>0</v>
          </cell>
          <cell r="AV38">
            <v>0</v>
          </cell>
          <cell r="AW38">
            <v>595000</v>
          </cell>
          <cell r="AX38">
            <v>892500</v>
          </cell>
          <cell r="AY38">
            <v>1190000</v>
          </cell>
          <cell r="AZ38">
            <v>16699000</v>
          </cell>
          <cell r="BA38">
            <v>0</v>
          </cell>
          <cell r="BB38">
            <v>140000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16699000</v>
          </cell>
          <cell r="D43">
            <v>11263000</v>
          </cell>
          <cell r="F43">
            <v>8171000</v>
          </cell>
        </row>
      </sheetData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AS201657</v>
          </cell>
          <cell r="B40">
            <v>35</v>
          </cell>
          <cell r="C40" t="str">
            <v>SEUMO POLYCARPE</v>
          </cell>
          <cell r="D40">
            <v>0</v>
          </cell>
          <cell r="E40">
            <v>0</v>
          </cell>
          <cell r="F40">
            <v>696585118</v>
          </cell>
          <cell r="G40">
            <v>0</v>
          </cell>
          <cell r="H40">
            <v>0</v>
          </cell>
        </row>
        <row r="41">
          <cell r="A41" t="str">
            <v>AS201658</v>
          </cell>
          <cell r="B41">
            <v>36</v>
          </cell>
          <cell r="C41" t="str">
            <v>YANTCHOU GERVAIS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ColWidth="11" defaultRowHeight="15" x14ac:dyDescent="0.25"/>
  <sheetData>
    <row r="1" spans="1:1" x14ac:dyDescent="0.25">
      <c r="A1" t="s">
        <v>7</v>
      </c>
    </row>
    <row r="2" spans="1:1" x14ac:dyDescent="0.25">
      <c r="A2" t="s">
        <v>10</v>
      </c>
    </row>
    <row r="3" spans="1:1" x14ac:dyDescent="0.25">
      <c r="A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xSplit="3" ySplit="5" topLeftCell="D22" activePane="bottomRight" state="frozen"/>
      <selection activeCell="G6" sqref="G6:G39"/>
      <selection pane="topRight" activeCell="G6" sqref="G6:G39"/>
      <selection pane="bottomLeft" activeCell="G6" sqref="G6:G39"/>
      <selection pane="bottomRight" activeCell="M30" sqref="M3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3" width="13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1</v>
      </c>
      <c r="E3" s="1"/>
      <c r="L3" s="1"/>
      <c r="M3" s="1"/>
    </row>
    <row r="4" spans="1:16" s="12" customFormat="1" ht="18" x14ac:dyDescent="0.25">
      <c r="B4" s="13"/>
      <c r="C4" s="19">
        <v>44939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IF(D6=0,0,VLOOKUP($A6,[6]HISTOJANV23!$A$6:$BB$45,12,0))</f>
        <v>1</v>
      </c>
      <c r="C6" s="1" t="str">
        <f>VLOOKUP(A6,[7]LISTADHERENT!A$5:H$60,3,0)</f>
        <v>ASELBY</v>
      </c>
      <c r="D6" s="7">
        <f>IF(E6="ECHEC",0,VLOOKUP($A6,[6]HISTOJANV23!$A$6:$AR$45,13,0))</f>
        <v>75000</v>
      </c>
      <c r="E6" s="7" t="str">
        <f>VLOOKUP($A6,[6]HISTOJANV23!$A$6:$AV$45,8,0)</f>
        <v>BANQUE</v>
      </c>
      <c r="F6" s="7">
        <f>VLOOKUP($A6,[6]HISTOJANV23!$A$6:$AV$45,36,0)</f>
        <v>0</v>
      </c>
      <c r="G6" s="7">
        <f>VLOOKUP($A6,[6]HISTOJANV23!$A$6:$AV$45,39,0)</f>
        <v>0</v>
      </c>
      <c r="H6" s="7">
        <f>IF(G6=0,0,VLOOKUP($A6,[6]HISTOJANV23!$A$6:$AV$45,42,0))</f>
        <v>0</v>
      </c>
      <c r="I6" s="7">
        <f>VLOOKUP($A6,[6]HISTOJANV23!$A$6:$AV$45,41,0)</f>
        <v>0</v>
      </c>
      <c r="J6" s="7"/>
      <c r="K6" s="7">
        <f>VLOOKUP($A6,[6]HISTOJANV23!$A$6:$AV$45,17,0)</f>
        <v>0</v>
      </c>
      <c r="L6" s="7" t="str">
        <f>IF(K6&lt;&gt;0,VLOOKUP($A6,[6]HISTOJANV23!$A$6:$BB$45,8,0),"ECHEC")</f>
        <v>ECHEC</v>
      </c>
      <c r="M6" s="7">
        <f>IF(P6=0,0,VLOOKUP($A6,[6]HISTOJANV23!$A$6:$AV$45,32,0))</f>
        <v>0</v>
      </c>
      <c r="N6" s="7">
        <f>VLOOKUP($A6,[6]HISTOJANV23!$A$6:$AV$45,33,0)</f>
        <v>0</v>
      </c>
      <c r="O6" s="7">
        <f t="shared" ref="O6" si="0">IF(P6=0,0,($C$3-P6))</f>
        <v>0</v>
      </c>
      <c r="P6" s="7">
        <f>VLOOKUP($A6,[6]HISTOJANV23!$A$6:$AV$45,30,0)</f>
        <v>0</v>
      </c>
    </row>
    <row r="7" spans="1:16" x14ac:dyDescent="0.25">
      <c r="A7" s="1" t="s">
        <v>25</v>
      </c>
      <c r="B7" s="7">
        <f>IF(D7=0,0,VLOOKUP($A7,[6]HISTOJANV23!$A$6:$BB$45,12,0))</f>
        <v>1</v>
      </c>
      <c r="C7" s="1" t="str">
        <f>VLOOKUP(A7,[7]LISTADHERENT!A$5:H$60,3,0)</f>
        <v>BOUTCHOUANG WILLIAM</v>
      </c>
      <c r="D7" s="7">
        <f>IF(E7="ECHEC",0,VLOOKUP($A7,[6]HISTOJANV23!$A$6:$AR$45,13,0))</f>
        <v>75000</v>
      </c>
      <c r="E7" s="7" t="str">
        <f>VLOOKUP($A7,[6]HISTOJANV23!$A$6:$AV$45,8,0)</f>
        <v>BANQUE</v>
      </c>
      <c r="F7" s="7">
        <f>VLOOKUP($A7,[6]HISTOJANV23!$A$6:$AV$45,36,0)</f>
        <v>0</v>
      </c>
      <c r="G7" s="7">
        <f>VLOOKUP($A7,[6]HISTOJANV23!$A$6:$AV$45,39,0)</f>
        <v>0</v>
      </c>
      <c r="H7" s="7">
        <f>IF(G7=0,0,VLOOKUP($A7,[6]HISTOJANV23!$A$6:$AV$45,42,0))</f>
        <v>0</v>
      </c>
      <c r="I7" s="7">
        <f>VLOOKUP($A7,[6]HISTOJANV23!$A$6:$AV$45,41,0)</f>
        <v>0</v>
      </c>
      <c r="J7" s="7"/>
      <c r="K7" s="7">
        <f>VLOOKUP($A7,[6]HISTOJANV23!$A$6:$AV$45,17,0)</f>
        <v>0</v>
      </c>
      <c r="L7" s="7" t="str">
        <f>IF(K7&lt;&gt;0,VLOOKUP($A7,[6]HISTOJANV23!$A$6:$BB$45,8,0),"ECHEC")</f>
        <v>ECHEC</v>
      </c>
      <c r="M7" s="7">
        <f>IF(P7=0,0,VLOOKUP($A7,[6]HISTOJANV23!$A$6:$AV$45,32,0))</f>
        <v>0</v>
      </c>
      <c r="N7" s="7">
        <f>VLOOKUP($A7,[6]HISTOJANV23!$A$6:$AV$45,33,0)</f>
        <v>0</v>
      </c>
      <c r="O7" s="7">
        <f t="shared" ref="O7:O20" si="1">IF(P7=0,0,($C$3-P7))</f>
        <v>0</v>
      </c>
      <c r="P7" s="7">
        <f>VLOOKUP($A7,[6]HISTOJANV23!$A$6:$AV$45,30,0)</f>
        <v>0</v>
      </c>
    </row>
    <row r="8" spans="1:16" x14ac:dyDescent="0.25">
      <c r="A8" s="1" t="s">
        <v>26</v>
      </c>
      <c r="B8" s="7">
        <f>IF(D8=0,0,VLOOKUP($A8,[6]HISTOJANV23!$A$6:$BB$45,12,0))</f>
        <v>1</v>
      </c>
      <c r="C8" s="1" t="str">
        <f>VLOOKUP(A8,[7]LISTADHERENT!A$5:H$60,3,0)</f>
        <v>DJOUKWE NANGUEN GUY BLAISE</v>
      </c>
      <c r="D8" s="7">
        <f>IF(E8="ECHEC",0,VLOOKUP($A8,[6]HISTOJANV23!$A$7:$AR$45,13,0))</f>
        <v>75000</v>
      </c>
      <c r="E8" s="7" t="str">
        <f>VLOOKUP($A8,[6]HISTOJANV23!$A$7:$AV$45,8,0)</f>
        <v>BANQUE</v>
      </c>
      <c r="F8" s="7">
        <f>VLOOKUP($A8,[6]HISTOJANV23!$A$6:$AV$45,36,0)</f>
        <v>0</v>
      </c>
      <c r="G8" s="7">
        <f>VLOOKUP($A8,[6]HISTOJANV23!$A$6:$AV$45,39,0)</f>
        <v>0</v>
      </c>
      <c r="H8" s="7">
        <f>IF(G8=0,0,VLOOKUP($A8,[6]HISTOJANV23!$A$6:$AV$45,42,0))</f>
        <v>0</v>
      </c>
      <c r="I8" s="7">
        <f>VLOOKUP($A8,[6]HISTOJANV23!$A$6:$AV$45,41,0)</f>
        <v>0</v>
      </c>
      <c r="J8" s="7"/>
      <c r="K8" s="7">
        <f>VLOOKUP($A8,[6]HISTOJANV23!$A$6:$AV$45,17,0)</f>
        <v>0</v>
      </c>
      <c r="L8" s="7" t="str">
        <f>IF(K8&lt;&gt;0,VLOOKUP($A8,[6]HISTOJANV23!$A$6:$BB$45,8,0),"ECHEC")</f>
        <v>ECHEC</v>
      </c>
      <c r="M8" s="7">
        <f>IF(P8=0,0,VLOOKUP($A8,[6]HISTOJANV23!$A$6:$AV$45,32,0))</f>
        <v>0</v>
      </c>
      <c r="N8" s="7">
        <f>VLOOKUP($A8,[6]HISTOJANV23!$A$6:$AV$45,33,0)</f>
        <v>0</v>
      </c>
      <c r="O8" s="7">
        <f t="shared" si="1"/>
        <v>0</v>
      </c>
      <c r="P8" s="7">
        <f>VLOOKUP($A8,[6]HISTOJANV23!$A$6:$AV$45,30,0)</f>
        <v>0</v>
      </c>
    </row>
    <row r="9" spans="1:16" x14ac:dyDescent="0.25">
      <c r="A9" s="1" t="s">
        <v>35</v>
      </c>
      <c r="B9" s="7">
        <f>IF(D9=0,0,VLOOKUP($A9,[6]HISTOJANV23!$A$6:$BB$45,12,0))</f>
        <v>1</v>
      </c>
      <c r="C9" s="1" t="str">
        <f>VLOOKUP(A9,[7]LISTADHERENT!A$5:H$60,3,0)</f>
        <v>DJUOMBESSY ANTOINE</v>
      </c>
      <c r="D9" s="7">
        <f>IF(E9="ECHEC",0,VLOOKUP($A9,[6]HISTOJANV23!$A$7:$AR$45,13,0))</f>
        <v>75000</v>
      </c>
      <c r="E9" s="7" t="str">
        <f>VLOOKUP($A9,[6]HISTOJANV23!$A$7:$AV$45,8,0)</f>
        <v>BANQUE</v>
      </c>
      <c r="F9" s="7">
        <f>VLOOKUP($A9,[6]HISTOJANV23!$A$6:$AV$45,36,0)</f>
        <v>0</v>
      </c>
      <c r="G9" s="7">
        <f>VLOOKUP($A9,[6]HISTOJANV23!$A$6:$AV$45,39,0)</f>
        <v>0</v>
      </c>
      <c r="H9" s="7">
        <f>IF(G9=0,0,VLOOKUP($A9,[6]HISTOJANV23!$A$6:$AV$45,42,0))</f>
        <v>0</v>
      </c>
      <c r="I9" s="7">
        <f>VLOOKUP($A9,[6]HISTOJANV23!$A$6:$AV$45,41,0)</f>
        <v>0</v>
      </c>
      <c r="J9" s="7"/>
      <c r="K9" s="7">
        <f>VLOOKUP($A9,[6]HISTOJANV23!$A$6:$AV$45,17,0)</f>
        <v>0</v>
      </c>
      <c r="L9" s="7" t="str">
        <f>IF(K9&lt;&gt;0,VLOOKUP($A9,[6]HISTOJANV23!$A$6:$BB$45,8,0),"ECHEC")</f>
        <v>ECHEC</v>
      </c>
      <c r="M9" s="7">
        <f>IF(P9=0,0,VLOOKUP($A9,[6]HISTOJANV23!$A$6:$AV$45,32,0))</f>
        <v>0</v>
      </c>
      <c r="N9" s="7">
        <f>VLOOKUP($A9,[6]HISTOJANV23!$A$6:$AV$45,33,0)</f>
        <v>0</v>
      </c>
      <c r="O9" s="7">
        <f t="shared" si="1"/>
        <v>0</v>
      </c>
      <c r="P9" s="7">
        <f>VLOOKUP($A9,[6]HISTOJANV23!$A$6:$AV$45,30,0)</f>
        <v>0</v>
      </c>
    </row>
    <row r="10" spans="1:16" x14ac:dyDescent="0.25">
      <c r="A10" s="1" t="s">
        <v>19</v>
      </c>
      <c r="B10" s="7">
        <f>IF(D10=0,0,VLOOKUP($A10,[6]HISTOJANV23!$A$6:$BB$45,12,0))</f>
        <v>1</v>
      </c>
      <c r="C10" s="1" t="str">
        <f>VLOOKUP(A10,[7]LISTADHERENT!A$5:H$60,3,0)</f>
        <v>HOTCHO BENJAMIN</v>
      </c>
      <c r="D10" s="7">
        <f>IF(E10="ECHEC",0,VLOOKUP($A10,[6]HISTOJANV23!$A$7:$AR$45,13,0))</f>
        <v>75000</v>
      </c>
      <c r="E10" s="7" t="str">
        <f>VLOOKUP($A10,[6]HISTOJANV23!$A$7:$AV$45,8,0)</f>
        <v>BANQUE</v>
      </c>
      <c r="F10" s="7">
        <f>VLOOKUP($A10,[6]HISTOJANV23!$A$6:$AV$45,36,0)</f>
        <v>0</v>
      </c>
      <c r="G10" s="7">
        <f>VLOOKUP($A10,[6]HISTOJANV23!$A$6:$AV$45,39,0)</f>
        <v>0</v>
      </c>
      <c r="H10" s="7">
        <f>IF(G10=0,0,VLOOKUP($A10,[6]HISTOJANV23!$A$6:$AV$45,42,0))</f>
        <v>0</v>
      </c>
      <c r="I10" s="7">
        <f>VLOOKUP($A10,[6]HISTOJANV23!$A$6:$AV$45,41,0)</f>
        <v>0</v>
      </c>
      <c r="J10" s="7"/>
      <c r="K10" s="7">
        <f>VLOOKUP($A10,[6]HISTOJANV23!$A$6:$AV$45,17,0)</f>
        <v>0</v>
      </c>
      <c r="L10" s="7" t="str">
        <f>IF(K10&lt;&gt;0,VLOOKUP($A10,[6]HISTOJANV23!$A$6:$BB$45,8,0),"ECHEC")</f>
        <v>ECHEC</v>
      </c>
      <c r="M10" s="7">
        <f>IF(P10=0,0,VLOOKUP($A10,[6]HISTOJANV23!$A$6:$AV$45,32,0))</f>
        <v>0</v>
      </c>
      <c r="N10" s="7">
        <f>VLOOKUP($A10,[6]HISTOJANV23!$A$6:$AV$45,33,0)</f>
        <v>0</v>
      </c>
      <c r="O10" s="7">
        <f t="shared" si="1"/>
        <v>0</v>
      </c>
      <c r="P10" s="7">
        <f>VLOOKUP($A10,[6]HISTOJANV23!$A$6:$AV$45,30,0)</f>
        <v>0</v>
      </c>
    </row>
    <row r="11" spans="1:16" x14ac:dyDescent="0.25">
      <c r="A11" s="1" t="s">
        <v>27</v>
      </c>
      <c r="B11" s="7">
        <f>IF(D11=0,0,VLOOKUP($A11,[6]HISTOJANV23!$A$6:$BB$45,12,0))</f>
        <v>1</v>
      </c>
      <c r="C11" s="1" t="str">
        <f>VLOOKUP(A11,[7]LISTADHERENT!A$5:H$60,3,0)</f>
        <v>HENGUE PAUL OMER</v>
      </c>
      <c r="D11" s="7">
        <f>IF(E11="ECHEC",0,VLOOKUP($A11,[6]HISTOJANV23!$A$7:$AR$45,13,0))</f>
        <v>75000</v>
      </c>
      <c r="E11" s="7" t="str">
        <f>VLOOKUP($A11,[6]HISTOJANV23!$A$7:$AV$45,8,0)</f>
        <v>BANQUE</v>
      </c>
      <c r="F11" s="7">
        <f>VLOOKUP($A11,[6]HISTOJANV23!$A$6:$AV$45,36,0)</f>
        <v>0</v>
      </c>
      <c r="G11" s="7">
        <f>VLOOKUP($A11,[6]HISTOJANV23!$A$6:$AV$45,39,0)</f>
        <v>0</v>
      </c>
      <c r="H11" s="7">
        <f>IF(G11=0,0,VLOOKUP($A11,[6]HISTOJANV23!$A$6:$AV$45,42,0))</f>
        <v>0</v>
      </c>
      <c r="I11" s="7">
        <f>VLOOKUP($A11,[6]HISTOJANV23!$A$6:$AV$45,41,0)</f>
        <v>0</v>
      </c>
      <c r="J11" s="7"/>
      <c r="K11" s="7">
        <f>VLOOKUP($A11,[6]HISTOJANV23!$A$6:$AV$45,17,0)</f>
        <v>0</v>
      </c>
      <c r="L11" s="7" t="str">
        <f>IF(K11&lt;&gt;0,VLOOKUP($A11,[6]HISTOJANV23!$A$6:$BB$45,8,0),"ECHEC")</f>
        <v>ECHEC</v>
      </c>
      <c r="M11" s="7">
        <f>IF(P11=0,0,VLOOKUP($A11,[6]HISTOJANV23!$A$6:$AV$45,32,0))</f>
        <v>0</v>
      </c>
      <c r="N11" s="7">
        <f>VLOOKUP($A11,[6]HISTOJANV23!$A$6:$AV$45,33,0)</f>
        <v>0</v>
      </c>
      <c r="O11" s="7">
        <f t="shared" si="1"/>
        <v>0</v>
      </c>
      <c r="P11" s="7">
        <f>VLOOKUP($A11,[6]HISTOJANV23!$A$6:$AV$45,30,0)</f>
        <v>0</v>
      </c>
    </row>
    <row r="12" spans="1:16" x14ac:dyDescent="0.25">
      <c r="A12" s="1" t="s">
        <v>8</v>
      </c>
      <c r="B12" s="7">
        <f>IF(D12=0,0,VLOOKUP($A12,[6]HISTOJANV23!$A$6:$BB$45,12,0))</f>
        <v>1</v>
      </c>
      <c r="C12" s="1" t="str">
        <f>VLOOKUP(A12,[7]LISTADHERENT!A$5:H$60,3,0)</f>
        <v>KOUATCHO MESSACK</v>
      </c>
      <c r="D12" s="7">
        <f>IF(E12="ECHEC",0,VLOOKUP($A12,[6]HISTOJANV23!$A$7:$AR$45,13,0))</f>
        <v>75000</v>
      </c>
      <c r="E12" s="7" t="str">
        <f>VLOOKUP($A12,[6]HISTOJANV23!$A$7:$AV$45,8,0)</f>
        <v>BANQUE</v>
      </c>
      <c r="F12" s="7">
        <f>VLOOKUP($A12,[6]HISTOJANV23!$A$6:$AV$45,36,0)</f>
        <v>100000</v>
      </c>
      <c r="G12" s="7">
        <f>VLOOKUP($A12,[6]HISTOJANV23!$A$6:$AV$45,39,0)</f>
        <v>2000</v>
      </c>
      <c r="H12" s="7" t="str">
        <f>IF(G12=0,0,VLOOKUP($A12,[6]HISTOJANV23!$A$6:$AV$45,42,0))</f>
        <v>BANQUE</v>
      </c>
      <c r="I12" s="7">
        <f>VLOOKUP($A12,[6]HISTOJANV23!$A$6:$AV$45,41,0)</f>
        <v>0</v>
      </c>
      <c r="J12" s="7"/>
      <c r="K12" s="7">
        <f>VLOOKUP($A12,[6]HISTOJANV23!$A$6:$AV$45,17,0)</f>
        <v>0</v>
      </c>
      <c r="L12" s="7" t="str">
        <f>IF(K12&lt;&gt;0,VLOOKUP($A12,[6]HISTOJANV23!$A$6:$BB$45,8,0),"ECHEC")</f>
        <v>ECHEC</v>
      </c>
      <c r="M12" s="7">
        <f>IF(P12=0,0,VLOOKUP($A12,[6]HISTOJANV23!$A$6:$AV$45,32,0))</f>
        <v>0</v>
      </c>
      <c r="N12" s="7">
        <f>VLOOKUP($A12,[6]HISTOJANV23!$A$6:$AV$45,33,0)</f>
        <v>0</v>
      </c>
      <c r="O12" s="7">
        <f t="shared" si="1"/>
        <v>0</v>
      </c>
      <c r="P12" s="7">
        <f>VLOOKUP($A12,[6]HISTOJANV23!$A$6:$AV$45,30,0)</f>
        <v>0</v>
      </c>
    </row>
    <row r="13" spans="1:16" x14ac:dyDescent="0.25">
      <c r="A13" s="1" t="s">
        <v>22</v>
      </c>
      <c r="B13" s="7">
        <f>IF(D13=0,0,VLOOKUP($A13,[6]HISTOJANV23!$A$6:$BB$45,12,0))</f>
        <v>1</v>
      </c>
      <c r="C13" s="1" t="str">
        <f>VLOOKUP(A13,[7]LISTADHERENT!A$5:H$60,3,0)</f>
        <v>MBOGNING TUGMA GUY</v>
      </c>
      <c r="D13" s="7">
        <f>IF(E13="ECHEC",0,VLOOKUP($A13,[6]HISTOJANV23!$A$7:$AR$45,13,0))</f>
        <v>75000</v>
      </c>
      <c r="E13" s="7" t="str">
        <f>VLOOKUP($A13,[6]HISTOJANV23!$A$7:$AV$45,8,0)</f>
        <v>BANQUE</v>
      </c>
      <c r="F13" s="7">
        <f>VLOOKUP($A13,[6]HISTOJANV23!$A$6:$AV$45,36,0)</f>
        <v>105000</v>
      </c>
      <c r="G13" s="7">
        <f>VLOOKUP($A13,[6]HISTOJANV23!$A$6:$AV$45,39,0)</f>
        <v>2000</v>
      </c>
      <c r="H13" s="7" t="str">
        <f>IF(G13=0,0,VLOOKUP($A13,[6]HISTOJANV23!$A$6:$AV$45,42,0))</f>
        <v>BANQUE</v>
      </c>
      <c r="I13" s="7">
        <f>VLOOKUP($A13,[6]HISTOJANV23!$A$6:$AV$45,41,0)</f>
        <v>0</v>
      </c>
      <c r="J13" s="7"/>
      <c r="K13" s="7">
        <f>VLOOKUP($A13,[6]HISTOJANV23!$A$6:$AV$45,17,0)</f>
        <v>0</v>
      </c>
      <c r="L13" s="7" t="str">
        <f>IF(K13&lt;&gt;0,VLOOKUP($A13,[6]HISTOJANV23!$A$6:$BB$45,8,0),"ECHEC")</f>
        <v>ECHEC</v>
      </c>
      <c r="M13" s="7">
        <f>IF(P13=0,0,VLOOKUP($A13,[6]HISTOJANV23!$A$6:$AV$45,32,0))</f>
        <v>0</v>
      </c>
      <c r="N13" s="7">
        <f>VLOOKUP($A13,[6]HISTOJANV23!$A$6:$AV$45,33,0)</f>
        <v>0</v>
      </c>
      <c r="O13" s="7">
        <f t="shared" si="1"/>
        <v>0</v>
      </c>
      <c r="P13" s="7">
        <f>VLOOKUP($A13,[6]HISTOJANV23!$A$6:$AV$45,30,0)</f>
        <v>0</v>
      </c>
    </row>
    <row r="14" spans="1:16" x14ac:dyDescent="0.25">
      <c r="A14" s="1" t="s">
        <v>9</v>
      </c>
      <c r="B14" s="7">
        <f>IF(D14=0,0,VLOOKUP($A14,[6]HISTOJANV23!$A$6:$BB$45,12,0))</f>
        <v>1</v>
      </c>
      <c r="C14" s="1" t="str">
        <f>VLOOKUP(A14,[7]LISTADHERENT!A$5:H$60,3,0)</f>
        <v>NANKAM APPOLINAIRE</v>
      </c>
      <c r="D14" s="7">
        <f>IF(E14="ECHEC",0,VLOOKUP($A14,[6]HISTOJANV23!$A$7:$AR$45,13,0))</f>
        <v>75000</v>
      </c>
      <c r="E14" s="7" t="str">
        <f>VLOOKUP($A14,[6]HISTOJANV23!$A$7:$AV$45,8,0)</f>
        <v>BANQUE</v>
      </c>
      <c r="F14" s="7">
        <f>VLOOKUP($A14,[6]HISTOJANV23!$A$6:$AV$45,36,0)</f>
        <v>0</v>
      </c>
      <c r="G14" s="7">
        <f>VLOOKUP($A14,[6]HISTOJANV23!$A$6:$AV$45,39,0)</f>
        <v>0</v>
      </c>
      <c r="H14" s="7">
        <f>IF(G14=0,0,VLOOKUP($A14,[6]HISTOJANV23!$A$6:$AV$45,42,0))</f>
        <v>0</v>
      </c>
      <c r="I14" s="7">
        <f>VLOOKUP($A14,[6]HISTOJANV23!$A$6:$AV$45,41,0)</f>
        <v>0</v>
      </c>
      <c r="J14" s="7"/>
      <c r="K14" s="7">
        <f>VLOOKUP($A14,[6]HISTOJANV23!$A$6:$AV$45,17,0)</f>
        <v>0</v>
      </c>
      <c r="L14" s="7" t="str">
        <f>IF(K14&lt;&gt;0,VLOOKUP($A14,[6]HISTOJANV23!$A$6:$BB$45,8,0),"ECHEC")</f>
        <v>ECHEC</v>
      </c>
      <c r="M14" s="7">
        <f>IF(P14=0,0,VLOOKUP($A14,[6]HISTOJANV23!$A$6:$AV$45,32,0))</f>
        <v>0</v>
      </c>
      <c r="N14" s="7">
        <f>VLOOKUP($A14,[6]HISTOJANV23!$A$6:$AV$45,33,0)</f>
        <v>0</v>
      </c>
      <c r="O14" s="7">
        <f t="shared" si="1"/>
        <v>0</v>
      </c>
      <c r="P14" s="7">
        <f>VLOOKUP($A14,[6]HISTOJANV23!$A$6:$AV$45,30,0)</f>
        <v>0</v>
      </c>
    </row>
    <row r="15" spans="1:16" x14ac:dyDescent="0.25">
      <c r="A15" s="1" t="s">
        <v>37</v>
      </c>
      <c r="B15" s="7">
        <f>IF(D15=0,0,VLOOKUP($A15,[6]HISTOJANV23!$A$6:$BB$45,12,0))</f>
        <v>1</v>
      </c>
      <c r="C15" s="1" t="str">
        <f>VLOOKUP(A15,[7]LISTADHERENT!A$5:H$60,3,0)</f>
        <v>NGONDIEP CLAUDE</v>
      </c>
      <c r="D15" s="7">
        <f>IF(E15="ECHEC",0,VLOOKUP($A15,[6]HISTOJANV23!$A$7:$AR$45,13,0))</f>
        <v>75000</v>
      </c>
      <c r="E15" s="7" t="str">
        <f>VLOOKUP($A15,[6]HISTOJANV23!$A$7:$AV$45,8,0)</f>
        <v>BANQUE</v>
      </c>
      <c r="F15" s="7">
        <f>VLOOKUP($A15,[6]HISTOJANV23!$A$6:$AV$45,36,0)</f>
        <v>100000</v>
      </c>
      <c r="G15" s="7">
        <f>VLOOKUP($A15,[6]HISTOJANV23!$A$6:$AV$45,39,0)</f>
        <v>2000</v>
      </c>
      <c r="H15" s="7" t="str">
        <f>IF(G15=0,0,VLOOKUP($A15,[6]HISTOJANV23!$A$6:$AV$45,42,0))</f>
        <v>BANQUE</v>
      </c>
      <c r="I15" s="7">
        <f>VLOOKUP($A15,[6]HISTOJANV23!$A$6:$AV$45,41,0)</f>
        <v>0</v>
      </c>
      <c r="J15" s="7"/>
      <c r="K15" s="7">
        <f>VLOOKUP($A15,[6]HISTOJANV23!$A$6:$AV$45,17,0)</f>
        <v>0</v>
      </c>
      <c r="L15" s="7" t="str">
        <f>IF(K15&lt;&gt;0,VLOOKUP($A15,[6]HISTOJANV23!$A$6:$BB$45,8,0),"ECHEC")</f>
        <v>ECHEC</v>
      </c>
      <c r="M15" s="7" t="str">
        <f>IF(P15=0,0,VLOOKUP($A15,[6]HISTOJANV23!$A$6:$AV$45,32,0))</f>
        <v>BANQUE</v>
      </c>
      <c r="N15" s="7">
        <f>VLOOKUP($A15,[6]HISTOJANV23!$A$6:$AV$45,33,0)</f>
        <v>0</v>
      </c>
      <c r="O15" s="7">
        <f t="shared" si="1"/>
        <v>795000</v>
      </c>
      <c r="P15" s="7">
        <f>VLOOKUP($A15,[6]HISTOJANV23!$A$6:$AV$45,30,0)</f>
        <v>105000</v>
      </c>
    </row>
    <row r="16" spans="1:16" x14ac:dyDescent="0.25">
      <c r="A16" s="1" t="s">
        <v>21</v>
      </c>
      <c r="B16" s="7">
        <f>IF(D16=0,0,VLOOKUP($A16,[6]HISTOJANV23!$A$6:$BB$45,12,0))</f>
        <v>2</v>
      </c>
      <c r="C16" s="1" t="str">
        <f>VLOOKUP(A16,[7]LISTADHERENT!A$5:H$60,3,0)</f>
        <v>NGUIEMEGNI MATHIEU BLAISE</v>
      </c>
      <c r="D16" s="7">
        <f>IF(E16="ECHEC",0,VLOOKUP($A16,[6]HISTOJANV23!$A$7:$AR$45,13,0))</f>
        <v>150000</v>
      </c>
      <c r="E16" s="7" t="str">
        <f>VLOOKUP($A16,[6]HISTOJANV23!$A$7:$AV$45,8,0)</f>
        <v>BANQUE</v>
      </c>
      <c r="F16" s="7">
        <f>VLOOKUP($A16,[6]HISTOJANV23!$A$6:$AV$45,36,0)</f>
        <v>100000</v>
      </c>
      <c r="G16" s="7">
        <f>VLOOKUP($A16,[6]HISTOJANV23!$A$6:$AV$45,39,0)</f>
        <v>2000</v>
      </c>
      <c r="H16" s="7" t="str">
        <f>IF(G16=0,0,VLOOKUP($A16,[6]HISTOJANV23!$A$6:$AV$45,42,0))</f>
        <v>BANQUE</v>
      </c>
      <c r="I16" s="7">
        <f>VLOOKUP($A16,[6]HISTOJANV23!$A$6:$AV$45,41,0)</f>
        <v>0</v>
      </c>
      <c r="J16" s="7"/>
      <c r="K16" s="7">
        <f>VLOOKUP($A16,[6]HISTOJANV23!$A$6:$AV$45,17,0)</f>
        <v>0</v>
      </c>
      <c r="L16" s="7" t="str">
        <f>IF(K16&lt;&gt;0,VLOOKUP($A16,[6]HISTOJANV23!$A$6:$BB$45,8,0),"ECHEC")</f>
        <v>ECHEC</v>
      </c>
      <c r="M16" s="7">
        <f>IF(P16=0,0,VLOOKUP($A16,[6]HISTOJANV23!$A$6:$AV$45,32,0))</f>
        <v>0</v>
      </c>
      <c r="N16" s="7">
        <f>VLOOKUP($A16,[6]HISTOJANV23!$A$6:$AV$45,33,0)</f>
        <v>0</v>
      </c>
      <c r="O16" s="7">
        <f t="shared" si="1"/>
        <v>0</v>
      </c>
      <c r="P16" s="7">
        <f>VLOOKUP($A16,[6]HISTOJANV23!$A$6:$AV$45,30,0)</f>
        <v>0</v>
      </c>
    </row>
    <row r="17" spans="1:16" x14ac:dyDescent="0.25">
      <c r="A17" s="1" t="s">
        <v>28</v>
      </c>
      <c r="B17" s="7">
        <f>IF(D17=0,0,VLOOKUP($A17,[6]HISTOJANV23!$A$6:$BB$45,12,0))</f>
        <v>1</v>
      </c>
      <c r="C17" s="1" t="str">
        <f>VLOOKUP(A17,[7]LISTADHERENT!A$5:H$60,3,0)</f>
        <v>PATEGO NJOSSU GUSTAVE</v>
      </c>
      <c r="D17" s="7">
        <f>IF(E17="ECHEC",0,VLOOKUP($A17,[6]HISTOJANV23!$A$7:$AR$45,13,0))</f>
        <v>75000</v>
      </c>
      <c r="E17" s="7" t="str">
        <f>VLOOKUP($A17,[6]HISTOJANV23!$A$7:$AV$45,8,0)</f>
        <v>BANQUE</v>
      </c>
      <c r="F17" s="7">
        <f>VLOOKUP($A17,[6]HISTOJANV23!$A$6:$AV$45,36,0)</f>
        <v>0</v>
      </c>
      <c r="G17" s="7">
        <f>VLOOKUP($A17,[6]HISTOJANV23!$A$6:$AV$45,39,0)</f>
        <v>0</v>
      </c>
      <c r="H17" s="7">
        <f>IF(G17=0,0,VLOOKUP($A17,[6]HISTOJANV23!$A$6:$AV$45,42,0))</f>
        <v>0</v>
      </c>
      <c r="I17" s="7">
        <f>VLOOKUP($A17,[6]HISTOJANV23!$A$6:$AV$45,41,0)</f>
        <v>0</v>
      </c>
      <c r="J17" s="7"/>
      <c r="K17" s="7">
        <f>VLOOKUP($A17,[6]HISTOJANV23!$A$6:$AV$45,17,0)</f>
        <v>0</v>
      </c>
      <c r="L17" s="7" t="str">
        <f>IF(K17&lt;&gt;0,VLOOKUP($A17,[6]HISTOJANV23!$A$6:$BB$45,8,0),"ECHEC")</f>
        <v>ECHEC</v>
      </c>
      <c r="M17" s="7">
        <f>IF(P17=0,0,VLOOKUP($A17,[6]HISTOJANV23!$A$6:$AV$45,32,0))</f>
        <v>0</v>
      </c>
      <c r="N17" s="7">
        <f>VLOOKUP($A17,[6]HISTOJANV23!$A$6:$AV$45,33,0)</f>
        <v>0</v>
      </c>
      <c r="O17" s="7">
        <f t="shared" si="1"/>
        <v>0</v>
      </c>
      <c r="P17" s="7">
        <f>VLOOKUP($A17,[6]HISTOJANV23!$A$6:$AV$45,30,0)</f>
        <v>0</v>
      </c>
    </row>
    <row r="18" spans="1:16" x14ac:dyDescent="0.25">
      <c r="A18" s="9" t="s">
        <v>36</v>
      </c>
      <c r="B18" s="7">
        <f>IF(D18=0,0,VLOOKUP($A18,[6]HISTOJANV23!$A$6:$BB$45,12,0))</f>
        <v>1</v>
      </c>
      <c r="C18" s="1" t="str">
        <f>VLOOKUP(A18,[7]LISTADHERENT!A$5:H$60,3,0)</f>
        <v>SIME BRICE</v>
      </c>
      <c r="D18" s="7">
        <f>IF(E18="ECHEC",0,VLOOKUP($A18,[6]HISTOJANV23!$A$7:$AR$45,13,0))</f>
        <v>75000</v>
      </c>
      <c r="E18" s="7" t="str">
        <f>VLOOKUP($A18,[6]HISTOJANV23!$A$7:$AV$45,8,0)</f>
        <v>ESPECES</v>
      </c>
      <c r="F18" s="7">
        <f>VLOOKUP($A18,[6]HISTOJANV23!$A$6:$AV$45,36,0)</f>
        <v>0</v>
      </c>
      <c r="G18" s="7">
        <f>VLOOKUP($A18,[6]HISTOJANV23!$A$6:$AV$45,39,0)</f>
        <v>0</v>
      </c>
      <c r="H18" s="7">
        <f>IF(G18=0,0,VLOOKUP($A18,[6]HISTOJANV23!$A$6:$AV$45,42,0))</f>
        <v>0</v>
      </c>
      <c r="I18" s="7">
        <f>VLOOKUP($A18,[6]HISTOJANV23!$A$6:$AV$45,41,0)</f>
        <v>0</v>
      </c>
      <c r="J18" s="7"/>
      <c r="K18" s="7">
        <f>VLOOKUP($A18,[6]HISTOJANV23!$A$6:$AV$45,17,0)</f>
        <v>0</v>
      </c>
      <c r="L18" s="7" t="str">
        <f>IF(K18&lt;&gt;0,VLOOKUP($A18,[6]HISTOJANV23!$A$6:$BB$45,8,0),"ECHEC")</f>
        <v>ECHEC</v>
      </c>
      <c r="M18" s="7">
        <f>IF(P18=0,0,VLOOKUP($A18,[6]HISTOJANV23!$A$6:$AV$45,32,0))</f>
        <v>0</v>
      </c>
      <c r="N18" s="7">
        <f>VLOOKUP($A18,[6]HISTOJANV23!$A$6:$AV$45,33,0)</f>
        <v>0</v>
      </c>
      <c r="O18" s="7">
        <f t="shared" si="1"/>
        <v>0</v>
      </c>
      <c r="P18" s="7">
        <f>VLOOKUP($A18,[6]HISTOJANV23!$A$6:$AV$45,30,0)</f>
        <v>0</v>
      </c>
    </row>
    <row r="19" spans="1:16" x14ac:dyDescent="0.25">
      <c r="A19" s="9" t="s">
        <v>50</v>
      </c>
      <c r="B19" s="7">
        <f>IF(D19=0,0,VLOOKUP($A19,[6]HISTOJANV23!$A$6:$BB$45,12,0))</f>
        <v>1</v>
      </c>
      <c r="C19" s="1" t="str">
        <f>VLOOKUP(A19,[7]LISTADHERENT!A$5:H$60,3,0)</f>
        <v>TCHOUAMOU MATHIEU</v>
      </c>
      <c r="D19" s="7">
        <f>IF(E19="ECHEC",0,VLOOKUP($A19,[6]HISTOJANV23!$A$7:$AR$45,13,0))</f>
        <v>75000</v>
      </c>
      <c r="E19" s="7" t="str">
        <f>VLOOKUP($A19,[6]HISTOJANV23!$A$7:$AV$45,8,0)</f>
        <v>BANQUE</v>
      </c>
      <c r="F19" s="7">
        <f>VLOOKUP($A19,[6]HISTOJANV23!$A$6:$AV$45,36,0)</f>
        <v>0</v>
      </c>
      <c r="G19" s="7">
        <f>VLOOKUP($A19,[6]HISTOJANV23!$A$6:$AV$45,39,0)</f>
        <v>0</v>
      </c>
      <c r="H19" s="7">
        <f>IF(G19=0,0,VLOOKUP($A19,[6]HISTOJANV23!$A$6:$AV$45,42,0))</f>
        <v>0</v>
      </c>
      <c r="I19" s="7">
        <f>VLOOKUP($A19,[6]HISTOJANV23!$A$6:$AV$45,41,0)</f>
        <v>0</v>
      </c>
      <c r="J19" s="7"/>
      <c r="K19" s="7">
        <f>VLOOKUP($A19,[6]HISTOJANV23!$A$6:$AV$45,17,0)</f>
        <v>0</v>
      </c>
      <c r="L19" s="7" t="str">
        <f>IF(K19&lt;&gt;0,VLOOKUP($A19,[6]HISTOJANV23!$A$6:$BB$45,8,0),"ECHEC")</f>
        <v>ECHEC</v>
      </c>
      <c r="M19" s="7">
        <f>IF(P19=0,0,VLOOKUP($A19,[6]HISTOJANV23!$A$6:$AV$45,32,0))</f>
        <v>0</v>
      </c>
      <c r="N19" s="7">
        <f>VLOOKUP($A19,[6]HISTOJANV23!$A$6:$AV$45,33,0)</f>
        <v>0</v>
      </c>
      <c r="O19" s="7">
        <f t="shared" ref="O19" si="2">IF(P19=0,0,($C$3-P19))</f>
        <v>0</v>
      </c>
      <c r="P19" s="7">
        <f>VLOOKUP($A19,[6]HISTOJANV23!$A$6:$AV$45,30,0)</f>
        <v>0</v>
      </c>
    </row>
    <row r="20" spans="1:16" x14ac:dyDescent="0.25">
      <c r="A20" s="1" t="s">
        <v>20</v>
      </c>
      <c r="B20" s="7">
        <f>IF(D20=0,0,VLOOKUP($A20,[6]HISTOJANV23!$A$6:$BB$45,12,0))</f>
        <v>2</v>
      </c>
      <c r="C20" s="1" t="str">
        <f>VLOOKUP(A20,[7]LISTADHERENT!A$5:H$60,3,0)</f>
        <v>YOUMBI EMMANUEL</v>
      </c>
      <c r="D20" s="7">
        <f>IF(E20="ECHEC",0,VLOOKUP($A20,[6]HISTOJANV23!$A$7:$AR$45,13,0))</f>
        <v>150000</v>
      </c>
      <c r="E20" s="7" t="str">
        <f>VLOOKUP($A20,[6]HISTOJANV23!$A$7:$AV$45,8,0)</f>
        <v>BANQUE</v>
      </c>
      <c r="F20" s="7">
        <f>VLOOKUP($A20,[6]HISTOJANV23!$A$6:$AV$45,36,0)</f>
        <v>0</v>
      </c>
      <c r="G20" s="7">
        <f>VLOOKUP($A20,[6]HISTOJANV23!$A$6:$AV$45,39,0)</f>
        <v>0</v>
      </c>
      <c r="H20" s="7">
        <f>IF(G20=0,0,VLOOKUP($A20,[6]HISTOJANV23!$A$6:$AV$45,42,0))</f>
        <v>0</v>
      </c>
      <c r="I20" s="7">
        <f>VLOOKUP($A20,[6]HISTOJANV23!$A$6:$AV$45,41,0)</f>
        <v>0</v>
      </c>
      <c r="J20" s="7"/>
      <c r="K20" s="7">
        <f>VLOOKUP($A20,[6]HISTOJANV23!$A$6:$AV$45,17,0)</f>
        <v>0</v>
      </c>
      <c r="L20" s="7" t="str">
        <f>IF(K20&lt;&gt;0,VLOOKUP($A20,[6]HISTOJANV23!$A$6:$BB$45,8,0),"ECHEC")</f>
        <v>ECHEC</v>
      </c>
      <c r="M20" s="7">
        <f>IF(P20=0,0,VLOOKUP($A20,[6]HISTOJANV23!$A$6:$AV$45,32,0))</f>
        <v>0</v>
      </c>
      <c r="N20" s="7">
        <f>VLOOKUP($A20,[6]HISTOJANV23!$A$6:$AV$45,33,0)</f>
        <v>0</v>
      </c>
      <c r="O20" s="7">
        <f t="shared" si="1"/>
        <v>0</v>
      </c>
      <c r="P20" s="7">
        <f>VLOOKUP($A20,[6]HISTOJANV23!$A$6:$AV$45,30,0)</f>
        <v>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3">SUM(D6:D22)</f>
        <v>1275000</v>
      </c>
      <c r="E23" s="8">
        <f t="shared" si="3"/>
        <v>0</v>
      </c>
      <c r="F23" s="8">
        <f t="shared" si="3"/>
        <v>405000</v>
      </c>
      <c r="G23" s="8">
        <f t="shared" si="3"/>
        <v>8000</v>
      </c>
      <c r="H23" s="8">
        <f t="shared" si="3"/>
        <v>0</v>
      </c>
      <c r="I23" s="8">
        <f t="shared" si="3"/>
        <v>0</v>
      </c>
      <c r="J23" s="8">
        <f t="shared" si="3"/>
        <v>0</v>
      </c>
      <c r="K23" s="8">
        <f t="shared" si="3"/>
        <v>0</v>
      </c>
      <c r="L23" s="8">
        <f t="shared" si="3"/>
        <v>0</v>
      </c>
      <c r="M23" s="8">
        <f t="shared" si="3"/>
        <v>0</v>
      </c>
      <c r="N23" s="8">
        <f t="shared" si="3"/>
        <v>0</v>
      </c>
      <c r="O23" s="8">
        <f t="shared" si="3"/>
        <v>795000</v>
      </c>
      <c r="P23" s="8">
        <f t="shared" si="3"/>
        <v>105000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</f>
        <v>1380000</v>
      </c>
      <c r="L25" s="5"/>
      <c r="M25"/>
      <c r="N25" s="5"/>
    </row>
    <row r="26" spans="1:16" s="2" customFormat="1" ht="18" x14ac:dyDescent="0.25">
      <c r="D26" s="8">
        <f>SUMIFS(D6:D22,E6:E22,"ESPECES")</f>
        <v>75000</v>
      </c>
      <c r="E26" s="8">
        <f>SUMIFS(K7:K17,L7:L17,"ESPECES")</f>
        <v>0</v>
      </c>
      <c r="F26" s="8">
        <f>SUMIFS(F7:F22,H7:H22,"ESPECES")</f>
        <v>0</v>
      </c>
      <c r="G26" s="8">
        <f>SUMIFS(O7:O22,M7:M22,"ESPECES")</f>
        <v>0</v>
      </c>
      <c r="H26" s="8">
        <f>D26+E26-F26-G26</f>
        <v>75000</v>
      </c>
      <c r="I26" s="8"/>
      <c r="J26" s="8" t="s">
        <v>33</v>
      </c>
      <c r="K26" s="8">
        <f>C3*COUNTIF(O7:O22,"&gt;0")</f>
        <v>900000</v>
      </c>
      <c r="L26" s="8">
        <f>D3</f>
        <v>1</v>
      </c>
      <c r="M26" s="8">
        <f>COUNTIF(O7:O17,"&gt;0")</f>
        <v>1</v>
      </c>
      <c r="N26" s="8"/>
    </row>
    <row r="27" spans="1:16" s="2" customFormat="1" ht="18" x14ac:dyDescent="0.25">
      <c r="D27" s="8">
        <f>SUMIFS(D6:D22,E6:E22,"BANQUE")</f>
        <v>1200000</v>
      </c>
      <c r="E27" s="8">
        <f>SUMIFS(K7:K17,L7:L17,"BANQUE")</f>
        <v>0</v>
      </c>
      <c r="F27" s="8">
        <f>SUMIFS(F7:F22,H7:H22,"BANQUE")</f>
        <v>405000</v>
      </c>
      <c r="G27" s="8">
        <f>SUMIFS(O7:O22,M7:M22,"BANQUE")</f>
        <v>795000</v>
      </c>
      <c r="H27" s="8">
        <f>D27+E27-F27-G27</f>
        <v>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480000</v>
      </c>
      <c r="L28" s="8"/>
      <c r="M28" s="8"/>
      <c r="N28" s="8"/>
    </row>
    <row r="29" spans="1:16" s="2" customFormat="1" ht="18" x14ac:dyDescent="0.25">
      <c r="D29" s="8">
        <f>D26+D27</f>
        <v>1275000</v>
      </c>
      <c r="E29" s="8">
        <f>E26+E27</f>
        <v>0</v>
      </c>
      <c r="F29" s="8">
        <f>F26+F27</f>
        <v>405000</v>
      </c>
      <c r="G29" s="8">
        <f t="shared" ref="G29:H29" si="4">G26+G27</f>
        <v>795000</v>
      </c>
      <c r="H29" s="8">
        <f t="shared" si="4"/>
        <v>75000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75000</v>
      </c>
      <c r="L30"/>
      <c r="M30" s="8">
        <f>K30</f>
        <v>75000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+K32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0</v>
      </c>
      <c r="M33" s="8">
        <f>+K33</f>
        <v>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xSplit="3" ySplit="5" topLeftCell="F24" activePane="bottomRight" state="frozen"/>
      <selection activeCell="E16" sqref="E16"/>
      <selection pane="topRight" activeCell="E16" sqref="E16"/>
      <selection pane="bottomLeft" activeCell="E16" sqref="E16"/>
      <selection pane="bottomRight" activeCell="K25" sqref="K25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2</v>
      </c>
      <c r="E3" s="1"/>
      <c r="L3" s="1"/>
      <c r="M3" s="1"/>
    </row>
    <row r="4" spans="1:16" s="12" customFormat="1" ht="18" x14ac:dyDescent="0.25">
      <c r="B4" s="13"/>
      <c r="C4" s="19">
        <v>44970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IF(D6=0,0,VLOOKUP($A6,[6]HISTOFEV23!$A$6:$BB$45,12,0))</f>
        <v>1</v>
      </c>
      <c r="C6" s="1" t="str">
        <f>VLOOKUP(A6,[7]LISTADHERENT!A$5:H$60,3,0)</f>
        <v>ASELBY</v>
      </c>
      <c r="D6" s="7">
        <f>IF(E6="ECHEC",0,VLOOKUP($A6,[6]HISTOFEV23!$A$6:$AR$45,13,0))</f>
        <v>75000</v>
      </c>
      <c r="E6" s="7" t="str">
        <f>VLOOKUP($A6,[6]HISTOFEV23!$A$6:$AV$45,8,0)</f>
        <v>BANQUE</v>
      </c>
      <c r="F6" s="7">
        <f>VLOOKUP($A6,[6]HISTOFEV23!$A$6:$AV$45,36,0)</f>
        <v>0</v>
      </c>
      <c r="G6" s="7">
        <f>VLOOKUP($A6,[6]HISTOFEV23!$A$6:$AV$45,39,0)</f>
        <v>0</v>
      </c>
      <c r="H6" s="7">
        <f>IF(G6=0,0,VLOOKUP($A6,[6]HISTOFEV23!$A$6:$AV$45,42,0))</f>
        <v>0</v>
      </c>
      <c r="I6" s="7">
        <f>VLOOKUP($A6,[6]HISTOFEV23!$A$6:$AV$45,41,0)</f>
        <v>0</v>
      </c>
      <c r="J6" s="7">
        <f>TONTJANV23!F6+TONTJANV23!G6</f>
        <v>0</v>
      </c>
      <c r="K6" s="7">
        <f>VLOOKUP($A6,[6]HISTOFEV23!$A$6:$AV$45,17,0)</f>
        <v>0</v>
      </c>
      <c r="L6" s="7" t="str">
        <f>IF(K6&lt;&gt;0,VLOOKUP($A6,[6]HISTOFEV23!$A$6:$BB$45,8,0),"ECHEC")</f>
        <v>ECHEC</v>
      </c>
      <c r="M6" s="7">
        <f>IF(P6=0,0,VLOOKUP($A6,[6]HISTOFEV23!$A$6:$AV$45,32,0))</f>
        <v>0</v>
      </c>
      <c r="N6" s="7">
        <f>VLOOKUP($A6,[6]HISTOFEV23!$A$6:$AV$45,33,0)</f>
        <v>0</v>
      </c>
      <c r="O6" s="7">
        <f t="shared" ref="O6:O20" si="0">IF(P6=0,0,($C$3-P6))</f>
        <v>0</v>
      </c>
      <c r="P6" s="7">
        <f>VLOOKUP($A6,[6]HISTOFEV23!$A$6:$AV$45,30,0)</f>
        <v>0</v>
      </c>
    </row>
    <row r="7" spans="1:16" x14ac:dyDescent="0.25">
      <c r="A7" s="1" t="s">
        <v>25</v>
      </c>
      <c r="B7" s="7">
        <f>IF(D7=0,0,VLOOKUP($A7,[6]HISTOFEV23!$A$6:$BB$45,12,0))</f>
        <v>1</v>
      </c>
      <c r="C7" s="1" t="str">
        <f>VLOOKUP(A7,[7]LISTADHERENT!A$5:H$60,3,0)</f>
        <v>BOUTCHOUANG WILLIAM</v>
      </c>
      <c r="D7" s="7">
        <f>IF(E7="ECHEC",0,VLOOKUP($A7,[6]HISTOFEV23!$A$6:$AR$45,13,0))</f>
        <v>75000</v>
      </c>
      <c r="E7" s="7" t="str">
        <f>VLOOKUP($A7,[6]HISTOFEV23!$A$6:$AV$45,8,0)</f>
        <v>BANQUE</v>
      </c>
      <c r="F7" s="7">
        <f>VLOOKUP($A7,[6]HISTOFEV23!$A$6:$AV$45,36,0)</f>
        <v>0</v>
      </c>
      <c r="G7" s="7">
        <f>VLOOKUP($A7,[6]HISTOFEV23!$A$6:$AV$45,39,0)</f>
        <v>0</v>
      </c>
      <c r="H7" s="7">
        <f>IF(G7=0,0,VLOOKUP($A7,[6]HISTOFEV23!$A$6:$AV$45,42,0))</f>
        <v>0</v>
      </c>
      <c r="I7" s="7">
        <f>VLOOKUP($A7,[6]HISTOFEV23!$A$6:$AV$45,41,0)</f>
        <v>0</v>
      </c>
      <c r="J7" s="7">
        <f>TONTJANV23!F7+TONTJANV23!G7</f>
        <v>0</v>
      </c>
      <c r="K7" s="7">
        <f>VLOOKUP($A7,[6]HISTOFEV23!$A$6:$AV$45,17,0)</f>
        <v>0</v>
      </c>
      <c r="L7" s="7" t="str">
        <f>IF(K7&lt;&gt;0,VLOOKUP($A7,[6]HISTOFEV23!$A$6:$BB$45,8,0),"ECHEC")</f>
        <v>ECHEC</v>
      </c>
      <c r="M7" s="7">
        <f>IF(P7=0,0,VLOOKUP($A7,[6]HISTOFEV23!$A$6:$AV$45,32,0))</f>
        <v>0</v>
      </c>
      <c r="N7" s="7">
        <f>VLOOKUP($A7,[6]HISTOFEV23!$A$6:$AV$45,33,0)</f>
        <v>0</v>
      </c>
      <c r="O7" s="7">
        <f t="shared" si="0"/>
        <v>0</v>
      </c>
      <c r="P7" s="7">
        <f>VLOOKUP($A7,[6]HISTOFEV23!$A$6:$AV$45,30,0)</f>
        <v>0</v>
      </c>
    </row>
    <row r="8" spans="1:16" x14ac:dyDescent="0.25">
      <c r="A8" s="1" t="s">
        <v>26</v>
      </c>
      <c r="B8" s="7">
        <f>IF(D8=0,0,VLOOKUP($A8,[6]HISTOFEV23!$A$6:$BB$45,12,0))</f>
        <v>1</v>
      </c>
      <c r="C8" s="1" t="str">
        <f>VLOOKUP(A8,[7]LISTADHERENT!A$5:H$60,3,0)</f>
        <v>DJOUKWE NANGUEN GUY BLAISE</v>
      </c>
      <c r="D8" s="7">
        <f>IF(E8="ECHEC",0,VLOOKUP($A8,[6]HISTOFEV23!$A$7:$AR$45,13,0))</f>
        <v>75000</v>
      </c>
      <c r="E8" s="7" t="str">
        <f>VLOOKUP($A8,[6]HISTOFEV23!$A$7:$AV$45,8,0)</f>
        <v>BANQUE</v>
      </c>
      <c r="F8" s="7">
        <f>VLOOKUP($A8,[6]HISTOFEV23!$A$6:$AV$45,36,0)</f>
        <v>0</v>
      </c>
      <c r="G8" s="7">
        <f>VLOOKUP($A8,[6]HISTOFEV23!$A$6:$AV$45,39,0)</f>
        <v>0</v>
      </c>
      <c r="H8" s="7">
        <f>IF(G8=0,0,VLOOKUP($A8,[6]HISTOFEV23!$A$6:$AV$45,42,0))</f>
        <v>0</v>
      </c>
      <c r="I8" s="7">
        <f>VLOOKUP($A8,[6]HISTOFEV23!$A$6:$AV$45,41,0)</f>
        <v>0</v>
      </c>
      <c r="J8" s="7">
        <f>TONTJANV23!F8+TONTJANV23!G8</f>
        <v>0</v>
      </c>
      <c r="K8" s="7">
        <f>VLOOKUP($A8,[6]HISTOFEV23!$A$6:$AV$45,17,0)</f>
        <v>0</v>
      </c>
      <c r="L8" s="7" t="str">
        <f>IF(K8&lt;&gt;0,VLOOKUP($A8,[6]HISTOFEV23!$A$6:$BB$45,8,0),"ECHEC")</f>
        <v>ECHEC</v>
      </c>
      <c r="M8" s="7">
        <f>IF(P8=0,0,VLOOKUP($A8,[6]HISTOFEV23!$A$6:$AV$45,32,0))</f>
        <v>0</v>
      </c>
      <c r="N8" s="7">
        <f>VLOOKUP($A8,[6]HISTOFEV23!$A$6:$AV$45,33,0)</f>
        <v>0</v>
      </c>
      <c r="O8" s="7">
        <f t="shared" si="0"/>
        <v>0</v>
      </c>
      <c r="P8" s="7">
        <f>VLOOKUP($A8,[6]HISTOFEV23!$A$6:$AV$45,30,0)</f>
        <v>0</v>
      </c>
    </row>
    <row r="9" spans="1:16" x14ac:dyDescent="0.25">
      <c r="A9" s="1" t="s">
        <v>35</v>
      </c>
      <c r="B9" s="7">
        <f>IF(D9=0,0,VLOOKUP($A9,[6]HISTOFEV23!$A$6:$BB$45,12,0))</f>
        <v>1</v>
      </c>
      <c r="C9" s="1" t="str">
        <f>VLOOKUP(A9,[7]LISTADHERENT!A$5:H$60,3,0)</f>
        <v>DJUOMBESSY ANTOINE</v>
      </c>
      <c r="D9" s="7">
        <f>IF(E9="ECHEC",0,VLOOKUP($A9,[6]HISTOFEV23!$A$7:$AR$45,13,0))</f>
        <v>75000</v>
      </c>
      <c r="E9" s="7" t="str">
        <f>VLOOKUP($A9,[6]HISTOFEV23!$A$7:$AV$45,8,0)</f>
        <v>BANQUE</v>
      </c>
      <c r="F9" s="7">
        <f>VLOOKUP($A9,[6]HISTOFEV23!$A$6:$AV$45,36,0)</f>
        <v>0</v>
      </c>
      <c r="G9" s="7">
        <f>VLOOKUP($A9,[6]HISTOFEV23!$A$6:$AV$45,39,0)</f>
        <v>0</v>
      </c>
      <c r="H9" s="7">
        <f>IF(G9=0,0,VLOOKUP($A9,[6]HISTOFEV23!$A$6:$AV$45,42,0))</f>
        <v>0</v>
      </c>
      <c r="I9" s="7">
        <f>VLOOKUP($A9,[6]HISTOFEV23!$A$6:$AV$45,41,0)</f>
        <v>0</v>
      </c>
      <c r="J9" s="7">
        <f>TONTJANV23!F9+TONTJANV23!G9</f>
        <v>0</v>
      </c>
      <c r="K9" s="7">
        <f>VLOOKUP($A9,[6]HISTOFEV23!$A$6:$AV$45,17,0)</f>
        <v>0</v>
      </c>
      <c r="L9" s="7" t="str">
        <f>IF(K9&lt;&gt;0,VLOOKUP($A9,[6]HISTOFEV23!$A$6:$BB$45,8,0),"ECHEC")</f>
        <v>ECHEC</v>
      </c>
      <c r="M9" s="7">
        <f>IF(P9=0,0,VLOOKUP($A9,[6]HISTOFEV23!$A$6:$AV$45,32,0))</f>
        <v>0</v>
      </c>
      <c r="N9" s="7">
        <f>VLOOKUP($A9,[6]HISTOFEV23!$A$6:$AV$45,33,0)</f>
        <v>0</v>
      </c>
      <c r="O9" s="7">
        <f t="shared" si="0"/>
        <v>0</v>
      </c>
      <c r="P9" s="7">
        <f>VLOOKUP($A9,[6]HISTOFEV23!$A$6:$AV$45,30,0)</f>
        <v>0</v>
      </c>
    </row>
    <row r="10" spans="1:16" x14ac:dyDescent="0.25">
      <c r="A10" s="1" t="s">
        <v>19</v>
      </c>
      <c r="B10" s="7">
        <f>IF(D10=0,0,VLOOKUP($A10,[6]HISTOFEV23!$A$6:$BB$45,12,0))</f>
        <v>1</v>
      </c>
      <c r="C10" s="1" t="str">
        <f>VLOOKUP(A10,[7]LISTADHERENT!A$5:H$60,3,0)</f>
        <v>HOTCHO BENJAMIN</v>
      </c>
      <c r="D10" s="7">
        <f>IF(E10="ECHEC",0,VLOOKUP($A10,[6]HISTOFEV23!$A$7:$AR$45,13,0))</f>
        <v>75000</v>
      </c>
      <c r="E10" s="7" t="str">
        <f>VLOOKUP($A10,[6]HISTOFEV23!$A$7:$AV$45,8,0)</f>
        <v>BANQUE</v>
      </c>
      <c r="F10" s="7">
        <f>VLOOKUP($A10,[6]HISTOFEV23!$A$6:$AV$45,36,0)</f>
        <v>0</v>
      </c>
      <c r="G10" s="7">
        <f>VLOOKUP($A10,[6]HISTOFEV23!$A$6:$AV$45,39,0)</f>
        <v>0</v>
      </c>
      <c r="H10" s="7">
        <f>IF(G10=0,0,VLOOKUP($A10,[6]HISTOFEV23!$A$6:$AV$45,42,0))</f>
        <v>0</v>
      </c>
      <c r="I10" s="7">
        <f>VLOOKUP($A10,[6]HISTOFEV23!$A$6:$AV$45,41,0)</f>
        <v>0</v>
      </c>
      <c r="J10" s="7">
        <f>TONTJANV23!F10+TONTJANV23!G10</f>
        <v>0</v>
      </c>
      <c r="K10" s="7">
        <f>VLOOKUP($A10,[6]HISTOFEV23!$A$6:$AV$45,17,0)</f>
        <v>0</v>
      </c>
      <c r="L10" s="7" t="str">
        <f>IF(K10&lt;&gt;0,VLOOKUP($A10,[6]HISTOFEV23!$A$6:$BB$45,8,0),"ECHEC")</f>
        <v>ECHEC</v>
      </c>
      <c r="M10" s="7" t="str">
        <f>IF(P10=0,0,VLOOKUP($A10,[6]HISTOFEV23!$A$6:$AV$45,32,0))</f>
        <v>BANQUE</v>
      </c>
      <c r="N10" s="7">
        <f>VLOOKUP($A10,[6]HISTOFEV23!$A$6:$AV$45,33,0)</f>
        <v>0</v>
      </c>
      <c r="O10" s="7">
        <f t="shared" si="0"/>
        <v>880000</v>
      </c>
      <c r="P10" s="7">
        <f>VLOOKUP($A10,[6]HISTOFEV23!$A$6:$AV$45,30,0)</f>
        <v>20000</v>
      </c>
    </row>
    <row r="11" spans="1:16" x14ac:dyDescent="0.25">
      <c r="A11" s="1" t="s">
        <v>27</v>
      </c>
      <c r="B11" s="7">
        <f>IF(D11=0,0,VLOOKUP($A11,[6]HISTOFEV23!$A$6:$BB$45,12,0))</f>
        <v>1</v>
      </c>
      <c r="C11" s="1" t="str">
        <f>VLOOKUP(A11,[7]LISTADHERENT!A$5:H$60,3,0)</f>
        <v>HENGUE PAUL OMER</v>
      </c>
      <c r="D11" s="7">
        <f>IF(E11="ECHEC",0,VLOOKUP($A11,[6]HISTOFEV23!$A$7:$AR$45,13,0))</f>
        <v>75000</v>
      </c>
      <c r="E11" s="7" t="str">
        <f>VLOOKUP($A11,[6]HISTOFEV23!$A$7:$AV$45,8,0)</f>
        <v>BANQUE</v>
      </c>
      <c r="F11" s="7">
        <f>VLOOKUP($A11,[6]HISTOFEV23!$A$6:$AV$45,36,0)</f>
        <v>0</v>
      </c>
      <c r="G11" s="7">
        <f>VLOOKUP($A11,[6]HISTOFEV23!$A$6:$AV$45,39,0)</f>
        <v>0</v>
      </c>
      <c r="H11" s="7">
        <f>IF(G11=0,0,VLOOKUP($A11,[6]HISTOFEV23!$A$6:$AV$45,42,0))</f>
        <v>0</v>
      </c>
      <c r="I11" s="7">
        <f>VLOOKUP($A11,[6]HISTOFEV23!$A$6:$AV$45,41,0)</f>
        <v>0</v>
      </c>
      <c r="J11" s="7">
        <f>TONTJANV23!F11+TONTJANV23!G11</f>
        <v>0</v>
      </c>
      <c r="K11" s="7">
        <f>VLOOKUP($A11,[6]HISTOFEV23!$A$6:$AV$45,17,0)</f>
        <v>0</v>
      </c>
      <c r="L11" s="7" t="str">
        <f>IF(K11&lt;&gt;0,VLOOKUP($A11,[6]HISTOFEV23!$A$6:$BB$45,8,0),"ECHEC")</f>
        <v>ECHEC</v>
      </c>
      <c r="M11" s="7">
        <f>IF(P11=0,0,VLOOKUP($A11,[6]HISTOFEV23!$A$6:$AV$45,32,0))</f>
        <v>0</v>
      </c>
      <c r="N11" s="7">
        <f>VLOOKUP($A11,[6]HISTOFEV23!$A$6:$AV$45,33,0)</f>
        <v>0</v>
      </c>
      <c r="O11" s="7">
        <f t="shared" si="0"/>
        <v>0</v>
      </c>
      <c r="P11" s="7">
        <f>VLOOKUP($A11,[6]HISTOFEV23!$A$6:$AV$45,30,0)</f>
        <v>0</v>
      </c>
    </row>
    <row r="12" spans="1:16" x14ac:dyDescent="0.25">
      <c r="A12" s="1" t="s">
        <v>8</v>
      </c>
      <c r="B12" s="7">
        <f>IF(D12=0,0,VLOOKUP($A12,[6]HISTOFEV23!$A$6:$BB$45,12,0))</f>
        <v>1</v>
      </c>
      <c r="C12" s="1" t="str">
        <f>VLOOKUP(A12,[7]LISTADHERENT!A$5:H$60,3,0)</f>
        <v>KOUATCHO MESSACK</v>
      </c>
      <c r="D12" s="7">
        <f>IF(E12="ECHEC",0,VLOOKUP($A12,[6]HISTOFEV23!$A$7:$AR$45,13,0))</f>
        <v>75000</v>
      </c>
      <c r="E12" s="7" t="str">
        <f>VLOOKUP($A12,[6]HISTOFEV23!$A$7:$AV$45,8,0)</f>
        <v>BANQUE</v>
      </c>
      <c r="F12" s="7">
        <f>VLOOKUP($A12,[6]HISTOFEV23!$A$6:$AV$45,36,0)</f>
        <v>0</v>
      </c>
      <c r="G12" s="7">
        <f>VLOOKUP($A12,[6]HISTOFEV23!$A$6:$AV$45,39,0)</f>
        <v>0</v>
      </c>
      <c r="H12" s="7">
        <f>IF(G12=0,0,VLOOKUP($A12,[6]HISTOFEV23!$A$6:$AV$45,42,0))</f>
        <v>0</v>
      </c>
      <c r="I12" s="7">
        <f>VLOOKUP($A12,[6]HISTOFEV23!$A$6:$AV$45,41,0)</f>
        <v>0</v>
      </c>
      <c r="J12" s="7">
        <f>TONTJANV23!F12+TONTJANV23!G12</f>
        <v>102000</v>
      </c>
      <c r="K12" s="7">
        <f>VLOOKUP($A12,[6]HISTOFEV23!$A$6:$AV$45,17,0)</f>
        <v>102000</v>
      </c>
      <c r="L12" s="7" t="str">
        <f>IF(K12&lt;&gt;0,VLOOKUP($A12,[6]HISTOFEV23!$A$6:$BB$45,8,0),"ECHEC")</f>
        <v>BANQUE</v>
      </c>
      <c r="M12" s="7">
        <f>IF(P12=0,0,VLOOKUP($A12,[6]HISTOFEV23!$A$6:$AV$45,32,0))</f>
        <v>0</v>
      </c>
      <c r="N12" s="7">
        <f>VLOOKUP($A12,[6]HISTOFEV23!$A$6:$AV$45,33,0)</f>
        <v>0</v>
      </c>
      <c r="O12" s="7">
        <f t="shared" si="0"/>
        <v>0</v>
      </c>
      <c r="P12" s="7">
        <f>VLOOKUP($A12,[6]HISTOFEV23!$A$6:$AV$45,30,0)</f>
        <v>0</v>
      </c>
    </row>
    <row r="13" spans="1:16" x14ac:dyDescent="0.25">
      <c r="A13" s="1" t="s">
        <v>22</v>
      </c>
      <c r="B13" s="7">
        <f>IF(D13=0,0,VLOOKUP($A13,[6]HISTOFEV23!$A$6:$BB$45,12,0))</f>
        <v>1</v>
      </c>
      <c r="C13" s="1" t="str">
        <f>VLOOKUP(A13,[7]LISTADHERENT!A$5:H$60,3,0)</f>
        <v>MBOGNING TUGMA GUY</v>
      </c>
      <c r="D13" s="7">
        <f>IF(E13="ECHEC",0,VLOOKUP($A13,[6]HISTOFEV23!$A$7:$AR$45,13,0))</f>
        <v>75000</v>
      </c>
      <c r="E13" s="7" t="str">
        <f>VLOOKUP($A13,[6]HISTOFEV23!$A$7:$AV$45,8,0)</f>
        <v>BANQUE</v>
      </c>
      <c r="F13" s="7">
        <f>VLOOKUP($A13,[6]HISTOFEV23!$A$6:$AV$45,36,0)</f>
        <v>0</v>
      </c>
      <c r="G13" s="7">
        <f>VLOOKUP($A13,[6]HISTOFEV23!$A$6:$AV$45,39,0)</f>
        <v>0</v>
      </c>
      <c r="H13" s="7">
        <f>IF(G13=0,0,VLOOKUP($A13,[6]HISTOFEV23!$A$6:$AV$45,42,0))</f>
        <v>0</v>
      </c>
      <c r="I13" s="7">
        <f>VLOOKUP($A13,[6]HISTOFEV23!$A$6:$AV$45,41,0)</f>
        <v>0</v>
      </c>
      <c r="J13" s="7">
        <f>TONTJANV23!F13+TONTJANV23!G13</f>
        <v>107000</v>
      </c>
      <c r="K13" s="7">
        <f>VLOOKUP($A13,[6]HISTOFEV23!$A$6:$AV$45,17,0)</f>
        <v>107000</v>
      </c>
      <c r="L13" s="7" t="str">
        <f>IF(K13&lt;&gt;0,VLOOKUP($A13,[6]HISTOFEV23!$A$6:$BB$45,8,0),"ECHEC")</f>
        <v>BANQUE</v>
      </c>
      <c r="M13" s="7" t="str">
        <f>IF(P13=0,0,VLOOKUP($A13,[6]HISTOFEV23!$A$6:$AV$45,32,0))</f>
        <v>BANQUE</v>
      </c>
      <c r="N13" s="7">
        <f>VLOOKUP($A13,[6]HISTOFEV23!$A$6:$AV$45,33,0)</f>
        <v>0</v>
      </c>
      <c r="O13" s="7">
        <f t="shared" si="0"/>
        <v>878000</v>
      </c>
      <c r="P13" s="7">
        <f>VLOOKUP($A13,[6]HISTOFEV23!$A$6:$AV$45,30,0)</f>
        <v>22000</v>
      </c>
    </row>
    <row r="14" spans="1:16" x14ac:dyDescent="0.25">
      <c r="A14" s="1" t="s">
        <v>9</v>
      </c>
      <c r="B14" s="7">
        <f>IF(D14=0,0,VLOOKUP($A14,[6]HISTOFEV23!$A$6:$BB$45,12,0))</f>
        <v>1</v>
      </c>
      <c r="C14" s="1" t="str">
        <f>VLOOKUP(A14,[7]LISTADHERENT!A$5:H$60,3,0)</f>
        <v>NANKAM APPOLINAIRE</v>
      </c>
      <c r="D14" s="7">
        <f>IF(E14="ECHEC",0,VLOOKUP($A14,[6]HISTOFEV23!$A$7:$AR$45,13,0))</f>
        <v>75000</v>
      </c>
      <c r="E14" s="7" t="str">
        <f>VLOOKUP($A14,[6]HISTOFEV23!$A$7:$AV$45,8,0)</f>
        <v>BANQUE</v>
      </c>
      <c r="F14" s="7">
        <f>VLOOKUP($A14,[6]HISTOFEV23!$A$6:$AV$45,36,0)</f>
        <v>0</v>
      </c>
      <c r="G14" s="7">
        <f>VLOOKUP($A14,[6]HISTOFEV23!$A$6:$AV$45,39,0)</f>
        <v>0</v>
      </c>
      <c r="H14" s="7">
        <f>IF(G14=0,0,VLOOKUP($A14,[6]HISTOFEV23!$A$6:$AV$45,42,0))</f>
        <v>0</v>
      </c>
      <c r="I14" s="7">
        <f>VLOOKUP($A14,[6]HISTOFEV23!$A$6:$AV$45,41,0)</f>
        <v>0</v>
      </c>
      <c r="J14" s="7">
        <f>TONTJANV23!F14+TONTJANV23!G14</f>
        <v>0</v>
      </c>
      <c r="K14" s="7">
        <f>VLOOKUP($A14,[6]HISTOFEV23!$A$6:$AV$45,17,0)</f>
        <v>0</v>
      </c>
      <c r="L14" s="7" t="str">
        <f>IF(K14&lt;&gt;0,VLOOKUP($A14,[6]HISTOFEV23!$A$6:$BB$45,8,0),"ECHEC")</f>
        <v>ECHEC</v>
      </c>
      <c r="M14" s="7">
        <f>IF(P14=0,0,VLOOKUP($A14,[6]HISTOFEV23!$A$6:$AV$45,32,0))</f>
        <v>0</v>
      </c>
      <c r="N14" s="7">
        <f>VLOOKUP($A14,[6]HISTOFEV23!$A$6:$AV$45,33,0)</f>
        <v>0</v>
      </c>
      <c r="O14" s="7">
        <f t="shared" si="0"/>
        <v>0</v>
      </c>
      <c r="P14" s="7">
        <f>VLOOKUP($A14,[6]HISTOFEV23!$A$6:$AV$45,30,0)</f>
        <v>0</v>
      </c>
    </row>
    <row r="15" spans="1:16" x14ac:dyDescent="0.25">
      <c r="A15" s="1" t="s">
        <v>37</v>
      </c>
      <c r="B15" s="7">
        <f>IF(D15=0,0,VLOOKUP($A15,[6]HISTOFEV23!$A$6:$BB$45,12,0))</f>
        <v>1</v>
      </c>
      <c r="C15" s="1" t="str">
        <f>VLOOKUP(A15,[7]LISTADHERENT!A$5:H$60,3,0)</f>
        <v>NGONDIEP CLAUDE</v>
      </c>
      <c r="D15" s="7">
        <f>IF(E15="ECHEC",0,VLOOKUP($A15,[6]HISTOFEV23!$A$7:$AR$45,13,0))</f>
        <v>75000</v>
      </c>
      <c r="E15" s="7" t="str">
        <f>VLOOKUP($A15,[6]HISTOFEV23!$A$7:$AV$45,8,0)</f>
        <v>BANQUE</v>
      </c>
      <c r="F15" s="7">
        <f>VLOOKUP($A15,[6]HISTOFEV23!$A$6:$AV$45,36,0)</f>
        <v>0</v>
      </c>
      <c r="G15" s="7">
        <f>VLOOKUP($A15,[6]HISTOFEV23!$A$6:$AV$45,39,0)</f>
        <v>0</v>
      </c>
      <c r="H15" s="7">
        <f>IF(G15=0,0,VLOOKUP($A15,[6]HISTOFEV23!$A$6:$AV$45,42,0))</f>
        <v>0</v>
      </c>
      <c r="I15" s="7">
        <f>VLOOKUP($A15,[6]HISTOFEV23!$A$6:$AV$45,41,0)</f>
        <v>0</v>
      </c>
      <c r="J15" s="7">
        <f>TONTJANV23!F15+TONTJANV23!G15</f>
        <v>102000</v>
      </c>
      <c r="K15" s="7">
        <f>VLOOKUP($A15,[6]HISTOFEV23!$A$6:$AV$45,17,0)</f>
        <v>102000</v>
      </c>
      <c r="L15" s="7" t="str">
        <f>IF(K15&lt;&gt;0,VLOOKUP($A15,[6]HISTOFEV23!$A$6:$BB$45,8,0),"ECHEC")</f>
        <v>BANQUE</v>
      </c>
      <c r="M15" s="7">
        <f>IF(P15=0,0,VLOOKUP($A15,[6]HISTOFEV23!$A$6:$AV$45,32,0))</f>
        <v>0</v>
      </c>
      <c r="N15" s="7">
        <f>VLOOKUP($A15,[6]HISTOFEV23!$A$6:$AV$45,33,0)</f>
        <v>0</v>
      </c>
      <c r="O15" s="7">
        <f t="shared" si="0"/>
        <v>0</v>
      </c>
      <c r="P15" s="7">
        <f>VLOOKUP($A15,[6]HISTOFEV23!$A$6:$AV$45,30,0)</f>
        <v>0</v>
      </c>
    </row>
    <row r="16" spans="1:16" x14ac:dyDescent="0.25">
      <c r="A16" s="1" t="s">
        <v>21</v>
      </c>
      <c r="B16" s="7">
        <f>IF(D16=0,0,VLOOKUP($A16,[6]HISTOFEV23!$A$6:$BB$45,12,0))</f>
        <v>2</v>
      </c>
      <c r="C16" s="1" t="str">
        <f>VLOOKUP(A16,[7]LISTADHERENT!A$5:H$60,3,0)</f>
        <v>NGUIEMEGNI MATHIEU BLAISE</v>
      </c>
      <c r="D16" s="7">
        <f>IF(E16="ECHEC",0,VLOOKUP($A16,[6]HISTOFEV23!$A$7:$AR$45,13,0))</f>
        <v>150000</v>
      </c>
      <c r="E16" s="7" t="str">
        <f>VLOOKUP($A16,[6]HISTOFEV23!$A$7:$AV$45,8,0)</f>
        <v>BANQUE</v>
      </c>
      <c r="F16" s="7">
        <f>VLOOKUP($A16,[6]HISTOFEV23!$A$6:$AV$45,36,0)</f>
        <v>0</v>
      </c>
      <c r="G16" s="7">
        <f>VLOOKUP($A16,[6]HISTOFEV23!$A$6:$AV$45,39,0)</f>
        <v>0</v>
      </c>
      <c r="H16" s="7">
        <f>IF(G16=0,0,VLOOKUP($A16,[6]HISTOFEV23!$A$6:$AV$45,42,0))</f>
        <v>0</v>
      </c>
      <c r="I16" s="7">
        <f>VLOOKUP($A16,[6]HISTOFEV23!$A$6:$AV$45,41,0)</f>
        <v>0</v>
      </c>
      <c r="J16" s="7">
        <f>TONTJANV23!F16+TONTJANV23!G16</f>
        <v>102000</v>
      </c>
      <c r="K16" s="7">
        <f>VLOOKUP($A16,[6]HISTOFEV23!$A$6:$AV$45,17,0)</f>
        <v>102000</v>
      </c>
      <c r="L16" s="7" t="str">
        <f>IF(K16&lt;&gt;0,VLOOKUP($A16,[6]HISTOFEV23!$A$6:$BB$45,8,0),"ECHEC")</f>
        <v>BANQUE</v>
      </c>
      <c r="M16" s="7">
        <f>IF(P16=0,0,VLOOKUP($A16,[6]HISTOFEV23!$A$6:$AV$45,32,0))</f>
        <v>0</v>
      </c>
      <c r="N16" s="7">
        <f>VLOOKUP($A16,[6]HISTOFEV23!$A$6:$AV$45,33,0)</f>
        <v>0</v>
      </c>
      <c r="O16" s="7">
        <f t="shared" si="0"/>
        <v>0</v>
      </c>
      <c r="P16" s="7">
        <f>VLOOKUP($A16,[6]HISTOFEV23!$A$6:$AV$45,30,0)</f>
        <v>0</v>
      </c>
    </row>
    <row r="17" spans="1:16" x14ac:dyDescent="0.25">
      <c r="A17" s="1" t="s">
        <v>28</v>
      </c>
      <c r="B17" s="7">
        <f>IF(D17=0,0,VLOOKUP($A17,[6]HISTOFEV23!$A$6:$BB$45,12,0))</f>
        <v>1</v>
      </c>
      <c r="C17" s="1" t="str">
        <f>VLOOKUP(A17,[7]LISTADHERENT!A$5:H$60,3,0)</f>
        <v>PATEGO NJOSSU GUSTAVE</v>
      </c>
      <c r="D17" s="7">
        <f>IF(E17="ECHEC",0,VLOOKUP($A17,[6]HISTOFEV23!$A$7:$AR$45,13,0))</f>
        <v>75000</v>
      </c>
      <c r="E17" s="7" t="str">
        <f>VLOOKUP($A17,[6]HISTOFEV23!$A$7:$AV$45,8,0)</f>
        <v>BANQUE</v>
      </c>
      <c r="F17" s="7">
        <f>VLOOKUP($A17,[6]HISTOFEV23!$A$6:$AV$45,36,0)</f>
        <v>0</v>
      </c>
      <c r="G17" s="7">
        <f>VLOOKUP($A17,[6]HISTOFEV23!$A$6:$AV$45,39,0)</f>
        <v>0</v>
      </c>
      <c r="H17" s="7">
        <f>IF(G17=0,0,VLOOKUP($A17,[6]HISTOFEV23!$A$6:$AV$45,42,0))</f>
        <v>0</v>
      </c>
      <c r="I17" s="7">
        <f>VLOOKUP($A17,[6]HISTOFEV23!$A$6:$AV$45,41,0)</f>
        <v>0</v>
      </c>
      <c r="J17" s="7">
        <f>TONTJANV23!F17+TONTJANV23!G17</f>
        <v>0</v>
      </c>
      <c r="K17" s="7">
        <f>VLOOKUP($A17,[6]HISTOFEV23!$A$6:$AV$45,17,0)</f>
        <v>0</v>
      </c>
      <c r="L17" s="7" t="str">
        <f>IF(K17&lt;&gt;0,VLOOKUP($A17,[6]HISTOFEV23!$A$6:$BB$45,8,0),"ECHEC")</f>
        <v>ECHEC</v>
      </c>
      <c r="M17" s="7">
        <f>IF(P17=0,0,VLOOKUP($A17,[6]HISTOFEV23!$A$6:$AV$45,32,0))</f>
        <v>0</v>
      </c>
      <c r="N17" s="7">
        <f>VLOOKUP($A17,[6]HISTOFEV23!$A$6:$AV$45,33,0)</f>
        <v>0</v>
      </c>
      <c r="O17" s="7">
        <f t="shared" si="0"/>
        <v>0</v>
      </c>
      <c r="P17" s="7">
        <f>VLOOKUP($A17,[6]HISTOFEV23!$A$6:$AV$45,30,0)</f>
        <v>0</v>
      </c>
    </row>
    <row r="18" spans="1:16" x14ac:dyDescent="0.25">
      <c r="A18" s="9" t="s">
        <v>36</v>
      </c>
      <c r="B18" s="7">
        <f>IF(D18=0,0,VLOOKUP($A18,[6]HISTOFEV23!$A$6:$BB$45,12,0))</f>
        <v>1</v>
      </c>
      <c r="C18" s="1" t="str">
        <f>VLOOKUP(A18,[7]LISTADHERENT!A$5:H$60,3,0)</f>
        <v>SIME BRICE</v>
      </c>
      <c r="D18" s="7">
        <f>IF(E18="ECHEC",0,VLOOKUP($A18,[6]HISTOFEV23!$A$7:$AR$45,13,0))</f>
        <v>75000</v>
      </c>
      <c r="E18" s="7" t="str">
        <f>VLOOKUP($A18,[6]HISTOFEV23!$A$7:$AV$45,8,0)</f>
        <v>BANQUE</v>
      </c>
      <c r="F18" s="7">
        <f>VLOOKUP($A18,[6]HISTOFEV23!$A$6:$AV$45,36,0)</f>
        <v>0</v>
      </c>
      <c r="G18" s="7">
        <f>VLOOKUP($A18,[6]HISTOFEV23!$A$6:$AV$45,39,0)</f>
        <v>0</v>
      </c>
      <c r="H18" s="7">
        <f>IF(G18=0,0,VLOOKUP($A18,[6]HISTOFEV23!$A$6:$AV$45,42,0))</f>
        <v>0</v>
      </c>
      <c r="I18" s="7">
        <f>VLOOKUP($A18,[6]HISTOFEV23!$A$6:$AV$45,41,0)</f>
        <v>0</v>
      </c>
      <c r="J18" s="7">
        <f>TONTJANV23!F18+TONTJANV23!G18</f>
        <v>0</v>
      </c>
      <c r="K18" s="7">
        <f>VLOOKUP($A18,[6]HISTOFEV23!$A$6:$AV$45,17,0)</f>
        <v>0</v>
      </c>
      <c r="L18" s="7" t="str">
        <f>IF(K18&lt;&gt;0,VLOOKUP($A18,[6]HISTOFEV23!$A$6:$BB$45,8,0),"ECHEC")</f>
        <v>ECHEC</v>
      </c>
      <c r="M18" s="7">
        <f>IF(P18=0,0,VLOOKUP($A18,[6]HISTOFEV23!$A$6:$AV$45,32,0))</f>
        <v>0</v>
      </c>
      <c r="N18" s="7">
        <f>VLOOKUP($A18,[6]HISTOFEV23!$A$6:$AV$45,33,0)</f>
        <v>0</v>
      </c>
      <c r="O18" s="7">
        <f t="shared" si="0"/>
        <v>0</v>
      </c>
      <c r="P18" s="7">
        <f>VLOOKUP($A18,[6]HISTOFEV23!$A$6:$AV$45,30,0)</f>
        <v>0</v>
      </c>
    </row>
    <row r="19" spans="1:16" x14ac:dyDescent="0.25">
      <c r="A19" s="9" t="s">
        <v>50</v>
      </c>
      <c r="B19" s="7">
        <f>IF(D19=0,0,VLOOKUP($A19,[6]HISTOFEV23!$A$6:$BB$45,12,0))</f>
        <v>1</v>
      </c>
      <c r="C19" s="1" t="str">
        <f>VLOOKUP(A19,[7]LISTADHERENT!A$5:H$60,3,0)</f>
        <v>TCHOUAMOU MATHIEU</v>
      </c>
      <c r="D19" s="7">
        <f>IF(E19="ECHEC",0,VLOOKUP($A19,[6]HISTOFEV23!$A$7:$AR$45,13,0))</f>
        <v>75000</v>
      </c>
      <c r="E19" s="7" t="str">
        <f>VLOOKUP($A19,[6]HISTOFEV23!$A$7:$AV$45,8,0)</f>
        <v>BANQUE</v>
      </c>
      <c r="F19" s="7">
        <f>VLOOKUP($A19,[6]HISTOFEV23!$A$6:$AV$45,36,0)</f>
        <v>0</v>
      </c>
      <c r="G19" s="7">
        <f>VLOOKUP($A19,[6]HISTOFEV23!$A$6:$AV$45,39,0)</f>
        <v>0</v>
      </c>
      <c r="H19" s="7">
        <f>IF(G19=0,0,VLOOKUP($A19,[6]HISTOFEV23!$A$6:$AV$45,42,0))</f>
        <v>0</v>
      </c>
      <c r="I19" s="7">
        <f>VLOOKUP($A19,[6]HISTOFEV23!$A$6:$AV$45,41,0)</f>
        <v>0</v>
      </c>
      <c r="J19" s="7">
        <f>TONTJANV23!F19+TONTJANV23!G19</f>
        <v>0</v>
      </c>
      <c r="K19" s="7">
        <f>VLOOKUP($A19,[6]HISTOFEV23!$A$6:$AV$45,17,0)</f>
        <v>0</v>
      </c>
      <c r="L19" s="7" t="str">
        <f>IF(K19&lt;&gt;0,VLOOKUP($A19,[6]HISTOFEV23!$A$6:$BB$45,8,0),"ECHEC")</f>
        <v>ECHEC</v>
      </c>
      <c r="M19" s="7">
        <f>IF(P19=0,0,VLOOKUP($A19,[6]HISTOFEV23!$A$6:$AV$45,32,0))</f>
        <v>0</v>
      </c>
      <c r="N19" s="7">
        <f>VLOOKUP($A19,[6]HISTOFEV23!$A$6:$AV$45,33,0)</f>
        <v>0</v>
      </c>
      <c r="O19" s="7">
        <f t="shared" si="0"/>
        <v>0</v>
      </c>
      <c r="P19" s="7">
        <f>VLOOKUP($A19,[6]HISTOFEV23!$A$6:$AV$45,30,0)</f>
        <v>0</v>
      </c>
    </row>
    <row r="20" spans="1:16" x14ac:dyDescent="0.25">
      <c r="A20" s="1" t="s">
        <v>20</v>
      </c>
      <c r="B20" s="7">
        <f>IF(D20=0,0,VLOOKUP($A20,[6]HISTOFEV23!$A$6:$BB$45,12,0))</f>
        <v>2</v>
      </c>
      <c r="C20" s="1" t="str">
        <f>VLOOKUP(A20,[7]LISTADHERENT!A$5:H$60,3,0)</f>
        <v>YOUMBI EMMANUEL</v>
      </c>
      <c r="D20" s="7">
        <f>IF(E20="ECHEC",0,VLOOKUP($A20,[6]HISTOFEV23!$A$7:$AR$45,13,0))</f>
        <v>150000</v>
      </c>
      <c r="E20" s="7" t="str">
        <f>VLOOKUP($A20,[6]HISTOFEV23!$A$7:$AV$45,8,0)</f>
        <v>BANQUE</v>
      </c>
      <c r="F20" s="7">
        <f>VLOOKUP($A20,[6]HISTOFEV23!$A$6:$AV$45,36,0)</f>
        <v>0</v>
      </c>
      <c r="G20" s="7">
        <f>VLOOKUP($A20,[6]HISTOFEV23!$A$6:$AV$45,39,0)</f>
        <v>0</v>
      </c>
      <c r="H20" s="7">
        <f>IF(G20=0,0,VLOOKUP($A20,[6]HISTOFEV23!$A$6:$AV$45,42,0))</f>
        <v>0</v>
      </c>
      <c r="I20" s="7">
        <f>VLOOKUP($A20,[6]HISTOFEV23!$A$6:$AV$45,41,0)</f>
        <v>0</v>
      </c>
      <c r="J20" s="7">
        <f>TONTJANV23!F20+TONTJANV23!G20</f>
        <v>0</v>
      </c>
      <c r="K20" s="7">
        <f>VLOOKUP($A20,[6]HISTOFEV23!$A$6:$AV$45,17,0)</f>
        <v>0</v>
      </c>
      <c r="L20" s="7" t="str">
        <f>IF(K20&lt;&gt;0,VLOOKUP($A20,[6]HISTOFEV23!$A$6:$BB$45,8,0),"ECHEC")</f>
        <v>ECHEC</v>
      </c>
      <c r="M20" s="7">
        <f>IF(P20=0,0,VLOOKUP($A20,[6]HISTOFEV23!$A$6:$AV$45,32,0))</f>
        <v>0</v>
      </c>
      <c r="N20" s="7">
        <f>VLOOKUP($A20,[6]HISTOFEV23!$A$6:$AV$45,33,0)</f>
        <v>0</v>
      </c>
      <c r="O20" s="7">
        <f t="shared" si="0"/>
        <v>0</v>
      </c>
      <c r="P20" s="7">
        <f>VLOOKUP($A20,[6]HISTOFEV23!$A$6:$AV$45,30,0)</f>
        <v>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1">SUM(D6:D22)</f>
        <v>1275000</v>
      </c>
      <c r="E23" s="8">
        <f t="shared" si="1"/>
        <v>0</v>
      </c>
      <c r="F23" s="8">
        <f t="shared" si="1"/>
        <v>0</v>
      </c>
      <c r="G23" s="8">
        <f t="shared" si="1"/>
        <v>0</v>
      </c>
      <c r="H23" s="8">
        <f t="shared" si="1"/>
        <v>0</v>
      </c>
      <c r="I23" s="8">
        <f t="shared" si="1"/>
        <v>0</v>
      </c>
      <c r="J23" s="8">
        <f t="shared" si="1"/>
        <v>413000</v>
      </c>
      <c r="K23" s="8">
        <f t="shared" si="1"/>
        <v>413000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1758000</v>
      </c>
      <c r="P23" s="8">
        <f t="shared" si="1"/>
        <v>42000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D29+E29+P23+TONTJANV23!M30</f>
        <v>1805000</v>
      </c>
      <c r="L25" s="5"/>
      <c r="M25"/>
      <c r="N25" s="5"/>
    </row>
    <row r="26" spans="1:16" s="2" customFormat="1" ht="18" x14ac:dyDescent="0.25">
      <c r="D26" s="8">
        <f>SUMIFS(D6:D22,E6:E22,"ESPECES")</f>
        <v>0</v>
      </c>
      <c r="E26" s="8">
        <f>SUMIFS(K7:K17,L7:L17,"ESPECES")</f>
        <v>0</v>
      </c>
      <c r="F26" s="8">
        <f>SUMIFS(F7:F22,H7:H22,"ESPECES")</f>
        <v>0</v>
      </c>
      <c r="G26" s="8">
        <f>SUMIFS(O7:O22,M7:M22,"ESPECES")</f>
        <v>0</v>
      </c>
      <c r="H26" s="8">
        <f>D26+E26-F26-G26</f>
        <v>0</v>
      </c>
      <c r="I26" s="8"/>
      <c r="J26" s="8" t="s">
        <v>33</v>
      </c>
      <c r="K26" s="8">
        <f>C3*COUNTIF(O7:O22,"&gt;0")</f>
        <v>1800000</v>
      </c>
      <c r="L26" s="8">
        <f>D3</f>
        <v>2</v>
      </c>
      <c r="M26" s="8">
        <f>COUNTIF(O7:O17,"&gt;0")</f>
        <v>2</v>
      </c>
      <c r="N26" s="8"/>
    </row>
    <row r="27" spans="1:16" s="2" customFormat="1" ht="18" x14ac:dyDescent="0.25">
      <c r="D27" s="8">
        <f>SUMIFS(D6:D22,E6:E22,"BANQUE")</f>
        <v>1275000</v>
      </c>
      <c r="E27" s="8">
        <f>SUMIFS(K7:K17,L7:L17,"BANQUE")</f>
        <v>413000</v>
      </c>
      <c r="F27" s="8">
        <f>SUMIFS(F7:F22,H7:H22,"BANQUE")</f>
        <v>0</v>
      </c>
      <c r="G27" s="8">
        <f>SUMIFS(O7:O22,M7:M22,"BANQUE")</f>
        <v>1758000</v>
      </c>
      <c r="H27" s="8">
        <f>D27+E27-F27-G27</f>
        <v>-70000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5000</v>
      </c>
      <c r="L28" s="8"/>
      <c r="M28" s="8"/>
      <c r="N28" s="8"/>
    </row>
    <row r="29" spans="1:16" s="2" customFormat="1" ht="18" x14ac:dyDescent="0.25">
      <c r="D29" s="8">
        <f>D26+D27</f>
        <v>1275000</v>
      </c>
      <c r="E29" s="8">
        <f>E26+E27</f>
        <v>413000</v>
      </c>
      <c r="F29" s="8">
        <f>F26+F27</f>
        <v>0</v>
      </c>
      <c r="G29" s="8">
        <f t="shared" ref="G29:H29" si="2">G26+G27</f>
        <v>1758000</v>
      </c>
      <c r="H29" s="8">
        <f t="shared" si="2"/>
        <v>-70000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5000</v>
      </c>
      <c r="L30"/>
      <c r="M30" s="8">
        <f>K30</f>
        <v>5000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TONTJANV23!M32+TONTFEV23!K32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0</v>
      </c>
      <c r="M33" s="8">
        <f>TONTJANV23!M33+TONTFEV23!K33</f>
        <v>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xSplit="3" ySplit="5" topLeftCell="F13" activePane="bottomRight" state="frozen"/>
      <selection activeCell="E16" sqref="E16"/>
      <selection pane="topRight" activeCell="E16" sqref="E16"/>
      <selection pane="bottomLeft" activeCell="E16" sqref="E16"/>
      <selection pane="bottomRight" activeCell="K28" sqref="K28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2</v>
      </c>
      <c r="E3" s="1"/>
      <c r="L3" s="1"/>
      <c r="M3" s="1"/>
    </row>
    <row r="4" spans="1:16" s="12" customFormat="1" ht="18" x14ac:dyDescent="0.25">
      <c r="B4" s="13"/>
      <c r="C4" s="19">
        <v>44998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IF(D6=0,0,VLOOKUP($A6,[6]HISTOMARS23!$A$6:$BB$45,12,0))</f>
        <v>1</v>
      </c>
      <c r="C6" s="1" t="str">
        <f>VLOOKUP(A6,[7]LISTADHERENT!A$5:H$60,3,0)</f>
        <v>ASELBY</v>
      </c>
      <c r="D6" s="7">
        <f>IF(E6="ECHEC",0,VLOOKUP($A6,[6]HISTOMARS23!$A$6:$AR$45,13,0))</f>
        <v>75000</v>
      </c>
      <c r="E6" s="7" t="str">
        <f>VLOOKUP($A6,[6]HISTOMARS23!$A$6:$AV$45,8,0)</f>
        <v>BANQUE</v>
      </c>
      <c r="F6" s="7">
        <f>VLOOKUP($A6,[6]HISTOMARS23!$A$6:$AV$45,36,0)</f>
        <v>0</v>
      </c>
      <c r="G6" s="7">
        <f>VLOOKUP($A6,[6]HISTOMARS23!$A$6:$AV$45,39,0)</f>
        <v>0</v>
      </c>
      <c r="H6" s="7">
        <f>IF(G6=0,0,VLOOKUP($A6,[6]HISTOMARS23!$A$6:$AV$45,42,0))</f>
        <v>0</v>
      </c>
      <c r="I6" s="7">
        <f>VLOOKUP($A6,[6]HISTOMARS23!$A$6:$AV$45,41,0)</f>
        <v>0</v>
      </c>
      <c r="J6" s="7">
        <f>TONTFEV23!F6+TONTFEV23!G6</f>
        <v>0</v>
      </c>
      <c r="K6" s="7">
        <f>VLOOKUP($A6,[6]HISTOMARS23!$A$6:$AV$45,17,0)</f>
        <v>0</v>
      </c>
      <c r="L6" s="7" t="str">
        <f>IF(K6&lt;&gt;0,VLOOKUP($A6,[6]HISTOMARS23!$A$6:$BB$45,8,0),"ECHEC")</f>
        <v>ECHEC</v>
      </c>
      <c r="M6" s="7">
        <f>IF(P6=0,0,VLOOKUP($A6,[6]HISTOMARS23!$A$6:$AV$45,32,0))</f>
        <v>0</v>
      </c>
      <c r="N6" s="7">
        <f>VLOOKUP($A6,[6]HISTOMARS23!$A$6:$AV$45,33,0)</f>
        <v>0</v>
      </c>
      <c r="O6" s="7">
        <f t="shared" ref="O6:O20" si="0">IF(P6=0,0,($C$3-P6))</f>
        <v>0</v>
      </c>
      <c r="P6" s="7">
        <f>VLOOKUP($A6,[6]HISTOMARS23!$A$6:$AV$45,30,0)</f>
        <v>0</v>
      </c>
    </row>
    <row r="7" spans="1:16" x14ac:dyDescent="0.25">
      <c r="A7" s="1" t="s">
        <v>25</v>
      </c>
      <c r="B7" s="7">
        <f>IF(D7=0,0,VLOOKUP($A7,[6]HISTOMARS23!$A$6:$BB$45,12,0))</f>
        <v>1</v>
      </c>
      <c r="C7" s="1" t="str">
        <f>VLOOKUP(A7,[7]LISTADHERENT!A$5:H$60,3,0)</f>
        <v>BOUTCHOUANG WILLIAM</v>
      </c>
      <c r="D7" s="7">
        <f>IF(E7="ECHEC",0,VLOOKUP($A7,[6]HISTOMARS23!$A$6:$AR$45,13,0))</f>
        <v>75000</v>
      </c>
      <c r="E7" s="7" t="str">
        <f>VLOOKUP($A7,[6]HISTOMARS23!$A$6:$AV$45,8,0)</f>
        <v>BANQUE</v>
      </c>
      <c r="F7" s="7">
        <f>VLOOKUP($A7,[6]HISTOMARS23!$A$6:$AV$45,36,0)</f>
        <v>0</v>
      </c>
      <c r="G7" s="7">
        <f>VLOOKUP($A7,[6]HISTOMARS23!$A$6:$AV$45,39,0)</f>
        <v>0</v>
      </c>
      <c r="H7" s="7">
        <f>IF(G7=0,0,VLOOKUP($A7,[6]HISTOMARS23!$A$6:$AV$45,42,0))</f>
        <v>0</v>
      </c>
      <c r="I7" s="7">
        <f>VLOOKUP($A7,[6]HISTOMARS23!$A$6:$AV$45,41,0)</f>
        <v>0</v>
      </c>
      <c r="J7" s="7">
        <f>TONTFEV23!F7+TONTFEV23!G7</f>
        <v>0</v>
      </c>
      <c r="K7" s="7">
        <f>VLOOKUP($A7,[6]HISTOMARS23!$A$6:$AV$45,17,0)</f>
        <v>0</v>
      </c>
      <c r="L7" s="7" t="str">
        <f>IF(K7&lt;&gt;0,VLOOKUP($A7,[6]HISTOMARS23!$A$6:$BB$45,8,0),"ECHEC")</f>
        <v>ECHEC</v>
      </c>
      <c r="M7" s="7">
        <f>IF(P7=0,0,VLOOKUP($A7,[6]HISTOMARS23!$A$6:$AV$45,32,0))</f>
        <v>0</v>
      </c>
      <c r="N7" s="7">
        <f>VLOOKUP($A7,[6]HISTOMARS23!$A$6:$AV$45,33,0)</f>
        <v>0</v>
      </c>
      <c r="O7" s="7">
        <f t="shared" si="0"/>
        <v>0</v>
      </c>
      <c r="P7" s="7">
        <f>VLOOKUP($A7,[6]HISTOMARS23!$A$6:$AV$45,30,0)</f>
        <v>0</v>
      </c>
    </row>
    <row r="8" spans="1:16" x14ac:dyDescent="0.25">
      <c r="A8" s="1" t="s">
        <v>26</v>
      </c>
      <c r="B8" s="7">
        <f>IF(D8=0,0,VLOOKUP($A8,[6]HISTOMARS23!$A$6:$BB$45,12,0))</f>
        <v>1</v>
      </c>
      <c r="C8" s="1" t="str">
        <f>VLOOKUP(A8,[7]LISTADHERENT!A$5:H$60,3,0)</f>
        <v>DJOUKWE NANGUEN GUY BLAISE</v>
      </c>
      <c r="D8" s="7">
        <f>IF(E8="ECHEC",0,VLOOKUP($A8,[6]HISTOMARS23!$A$7:$AR$45,13,0))</f>
        <v>75000</v>
      </c>
      <c r="E8" s="7" t="str">
        <f>VLOOKUP($A8,[6]HISTOMARS23!$A$7:$AV$45,8,0)</f>
        <v>BANQUE</v>
      </c>
      <c r="F8" s="7">
        <f>VLOOKUP($A8,[6]HISTOMARS23!$A$6:$AV$45,36,0)</f>
        <v>0</v>
      </c>
      <c r="G8" s="7">
        <f>VLOOKUP($A8,[6]HISTOMARS23!$A$6:$AV$45,39,0)</f>
        <v>0</v>
      </c>
      <c r="H8" s="7">
        <f>IF(G8=0,0,VLOOKUP($A8,[6]HISTOMARS23!$A$6:$AV$45,42,0))</f>
        <v>0</v>
      </c>
      <c r="I8" s="7">
        <f>VLOOKUP($A8,[6]HISTOMARS23!$A$6:$AV$45,41,0)</f>
        <v>0</v>
      </c>
      <c r="J8" s="7">
        <f>TONTFEV23!F8+TONTFEV23!G8</f>
        <v>0</v>
      </c>
      <c r="K8" s="7">
        <f>VLOOKUP($A8,[6]HISTOMARS23!$A$6:$AV$45,17,0)</f>
        <v>0</v>
      </c>
      <c r="L8" s="7" t="str">
        <f>IF(K8&lt;&gt;0,VLOOKUP($A8,[6]HISTOMARS23!$A$6:$BB$45,8,0),"ECHEC")</f>
        <v>ECHEC</v>
      </c>
      <c r="M8" s="7">
        <f>IF(P8=0,0,VLOOKUP($A8,[6]HISTOMARS23!$A$6:$AV$45,32,0))</f>
        <v>0</v>
      </c>
      <c r="N8" s="7">
        <f>VLOOKUP($A8,[6]HISTOMARS23!$A$6:$AV$45,33,0)</f>
        <v>0</v>
      </c>
      <c r="O8" s="7">
        <f t="shared" si="0"/>
        <v>892500</v>
      </c>
      <c r="P8" s="7">
        <f>VLOOKUP($A8,[6]HISTOMARS23!$A$6:$AV$45,30,0)</f>
        <v>7500</v>
      </c>
    </row>
    <row r="9" spans="1:16" x14ac:dyDescent="0.25">
      <c r="A9" s="1" t="s">
        <v>35</v>
      </c>
      <c r="B9" s="7">
        <f>IF(D9=0,0,VLOOKUP($A9,[6]HISTOMARS23!$A$6:$BB$45,12,0))</f>
        <v>1</v>
      </c>
      <c r="C9" s="1" t="str">
        <f>VLOOKUP(A9,[7]LISTADHERENT!A$5:H$60,3,0)</f>
        <v>DJUOMBESSY ANTOINE</v>
      </c>
      <c r="D9" s="7">
        <f>IF(E9="ECHEC",0,VLOOKUP($A9,[6]HISTOMARS23!$A$7:$AR$45,13,0))</f>
        <v>75000</v>
      </c>
      <c r="E9" s="7" t="str">
        <f>VLOOKUP($A9,[6]HISTOMARS23!$A$7:$AV$45,8,0)</f>
        <v>BANQUE</v>
      </c>
      <c r="F9" s="7">
        <f>VLOOKUP($A9,[6]HISTOMARS23!$A$6:$AV$45,36,0)</f>
        <v>0</v>
      </c>
      <c r="G9" s="7">
        <f>VLOOKUP($A9,[6]HISTOMARS23!$A$6:$AV$45,39,0)</f>
        <v>0</v>
      </c>
      <c r="H9" s="7">
        <f>IF(G9=0,0,VLOOKUP($A9,[6]HISTOMARS23!$A$6:$AV$45,42,0))</f>
        <v>0</v>
      </c>
      <c r="I9" s="7">
        <f>VLOOKUP($A9,[6]HISTOMARS23!$A$6:$AV$45,41,0)</f>
        <v>0</v>
      </c>
      <c r="J9" s="7">
        <f>TONTFEV23!F9+TONTFEV23!G9</f>
        <v>0</v>
      </c>
      <c r="K9" s="7">
        <f>VLOOKUP($A9,[6]HISTOMARS23!$A$6:$AV$45,17,0)</f>
        <v>0</v>
      </c>
      <c r="L9" s="7" t="str">
        <f>IF(K9&lt;&gt;0,VLOOKUP($A9,[6]HISTOMARS23!$A$6:$BB$45,8,0),"ECHEC")</f>
        <v>ECHEC</v>
      </c>
      <c r="M9" s="7">
        <f>IF(P9=0,0,VLOOKUP($A9,[6]HISTOMARS23!$A$6:$AV$45,32,0))</f>
        <v>0</v>
      </c>
      <c r="N9" s="7">
        <f>VLOOKUP($A9,[6]HISTOMARS23!$A$6:$AV$45,33,0)</f>
        <v>0</v>
      </c>
      <c r="O9" s="7">
        <f t="shared" si="0"/>
        <v>0</v>
      </c>
      <c r="P9" s="7">
        <f>VLOOKUP($A9,[6]HISTOMARS23!$A$6:$AV$45,30,0)</f>
        <v>0</v>
      </c>
    </row>
    <row r="10" spans="1:16" x14ac:dyDescent="0.25">
      <c r="A10" s="1" t="s">
        <v>19</v>
      </c>
      <c r="B10" s="7">
        <f>IF(D10=0,0,VLOOKUP($A10,[6]HISTOMARS23!$A$6:$BB$45,12,0))</f>
        <v>1</v>
      </c>
      <c r="C10" s="1" t="str">
        <f>VLOOKUP(A10,[7]LISTADHERENT!A$5:H$60,3,0)</f>
        <v>HOTCHO BENJAMIN</v>
      </c>
      <c r="D10" s="7">
        <f>IF(E10="ECHEC",0,VLOOKUP($A10,[6]HISTOMARS23!$A$7:$AR$45,13,0))</f>
        <v>75000</v>
      </c>
      <c r="E10" s="7" t="str">
        <f>VLOOKUP($A10,[6]HISTOMARS23!$A$7:$AV$45,8,0)</f>
        <v>BANQUE</v>
      </c>
      <c r="F10" s="7">
        <f>VLOOKUP($A10,[6]HISTOMARS23!$A$6:$AV$45,36,0)</f>
        <v>0</v>
      </c>
      <c r="G10" s="7">
        <f>VLOOKUP($A10,[6]HISTOMARS23!$A$6:$AV$45,39,0)</f>
        <v>0</v>
      </c>
      <c r="H10" s="7">
        <f>IF(G10=0,0,VLOOKUP($A10,[6]HISTOMARS23!$A$6:$AV$45,42,0))</f>
        <v>0</v>
      </c>
      <c r="I10" s="7">
        <f>VLOOKUP($A10,[6]HISTOMARS23!$A$6:$AV$45,41,0)</f>
        <v>0</v>
      </c>
      <c r="J10" s="7">
        <f>TONTFEV23!F10+TONTFEV23!G10</f>
        <v>0</v>
      </c>
      <c r="K10" s="7">
        <f>VLOOKUP($A10,[6]HISTOMARS23!$A$6:$AV$45,17,0)</f>
        <v>0</v>
      </c>
      <c r="L10" s="7" t="str">
        <f>IF(K10&lt;&gt;0,VLOOKUP($A10,[6]HISTOMARS23!$A$6:$BB$45,8,0),"ECHEC")</f>
        <v>ECHEC</v>
      </c>
      <c r="M10" s="7">
        <f>IF(P10=0,0,VLOOKUP($A10,[6]HISTOMARS23!$A$6:$AV$45,32,0))</f>
        <v>0</v>
      </c>
      <c r="N10" s="7">
        <f>VLOOKUP($A10,[6]HISTOMARS23!$A$6:$AV$45,33,0)</f>
        <v>0</v>
      </c>
      <c r="O10" s="7">
        <f t="shared" si="0"/>
        <v>0</v>
      </c>
      <c r="P10" s="7">
        <f>VLOOKUP($A10,[6]HISTOMARS23!$A$6:$AV$45,30,0)</f>
        <v>0</v>
      </c>
    </row>
    <row r="11" spans="1:16" x14ac:dyDescent="0.25">
      <c r="A11" s="1" t="s">
        <v>27</v>
      </c>
      <c r="B11" s="7">
        <f>IF(D11=0,0,VLOOKUP($A11,[6]HISTOMARS23!$A$6:$BB$45,12,0))</f>
        <v>1</v>
      </c>
      <c r="C11" s="1" t="str">
        <f>VLOOKUP(A11,[7]LISTADHERENT!A$5:H$60,3,0)</f>
        <v>HENGUE PAUL OMER</v>
      </c>
      <c r="D11" s="7">
        <f>IF(E11="ECHEC",0,VLOOKUP($A11,[6]HISTOMARS23!$A$7:$AR$45,13,0))</f>
        <v>75000</v>
      </c>
      <c r="E11" s="7" t="str">
        <f>VLOOKUP($A11,[6]HISTOMARS23!$A$7:$AV$45,8,0)</f>
        <v>BANQUE</v>
      </c>
      <c r="F11" s="7">
        <f>VLOOKUP($A11,[6]HISTOMARS23!$A$6:$AV$45,36,0)</f>
        <v>0</v>
      </c>
      <c r="G11" s="7">
        <f>VLOOKUP($A11,[6]HISTOMARS23!$A$6:$AV$45,39,0)</f>
        <v>0</v>
      </c>
      <c r="H11" s="7">
        <f>IF(G11=0,0,VLOOKUP($A11,[6]HISTOMARS23!$A$6:$AV$45,42,0))</f>
        <v>0</v>
      </c>
      <c r="I11" s="7">
        <f>VLOOKUP($A11,[6]HISTOMARS23!$A$6:$AV$45,41,0)</f>
        <v>0</v>
      </c>
      <c r="J11" s="7">
        <f>TONTFEV23!F11+TONTFEV23!G11</f>
        <v>0</v>
      </c>
      <c r="K11" s="7">
        <f>VLOOKUP($A11,[6]HISTOMARS23!$A$6:$AV$45,17,0)</f>
        <v>0</v>
      </c>
      <c r="L11" s="7" t="str">
        <f>IF(K11&lt;&gt;0,VLOOKUP($A11,[6]HISTOMARS23!$A$6:$BB$45,8,0),"ECHEC")</f>
        <v>ECHEC</v>
      </c>
      <c r="M11" s="7">
        <f>IF(P11=0,0,VLOOKUP($A11,[6]HISTOMARS23!$A$6:$AV$45,32,0))</f>
        <v>0</v>
      </c>
      <c r="N11" s="7">
        <f>VLOOKUP($A11,[6]HISTOMARS23!$A$6:$AV$45,33,0)</f>
        <v>0</v>
      </c>
      <c r="O11" s="7">
        <f t="shared" si="0"/>
        <v>0</v>
      </c>
      <c r="P11" s="7">
        <f>VLOOKUP($A11,[6]HISTOMARS23!$A$6:$AV$45,30,0)</f>
        <v>0</v>
      </c>
    </row>
    <row r="12" spans="1:16" x14ac:dyDescent="0.25">
      <c r="A12" s="1" t="s">
        <v>8</v>
      </c>
      <c r="B12" s="7">
        <f>IF(D12=0,0,VLOOKUP($A12,[6]HISTOMARS23!$A$6:$BB$45,12,0))</f>
        <v>1</v>
      </c>
      <c r="C12" s="1" t="str">
        <f>VLOOKUP(A12,[7]LISTADHERENT!A$5:H$60,3,0)</f>
        <v>KOUATCHO MESSACK</v>
      </c>
      <c r="D12" s="7">
        <f>IF(E12="ECHEC",0,VLOOKUP($A12,[6]HISTOMARS23!$A$7:$AR$45,13,0))</f>
        <v>75000</v>
      </c>
      <c r="E12" s="7" t="str">
        <f>VLOOKUP($A12,[6]HISTOMARS23!$A$7:$AV$45,8,0)</f>
        <v>BANQUE</v>
      </c>
      <c r="F12" s="7">
        <f>VLOOKUP($A12,[6]HISTOMARS23!$A$6:$AV$45,36,0)</f>
        <v>0</v>
      </c>
      <c r="G12" s="7">
        <f>VLOOKUP($A12,[6]HISTOMARS23!$A$6:$AV$45,39,0)</f>
        <v>0</v>
      </c>
      <c r="H12" s="7">
        <f>IF(G12=0,0,VLOOKUP($A12,[6]HISTOMARS23!$A$6:$AV$45,42,0))</f>
        <v>0</v>
      </c>
      <c r="I12" s="7">
        <f>VLOOKUP($A12,[6]HISTOMARS23!$A$6:$AV$45,41,0)</f>
        <v>0</v>
      </c>
      <c r="J12" s="7">
        <f>TONTFEV23!F12+TONTFEV23!G12</f>
        <v>0</v>
      </c>
      <c r="K12" s="7">
        <f>VLOOKUP($A12,[6]HISTOMARS23!$A$6:$AV$45,17,0)</f>
        <v>0</v>
      </c>
      <c r="L12" s="7" t="str">
        <f>IF(K12&lt;&gt;0,VLOOKUP($A12,[6]HISTOMARS23!$A$6:$BB$45,8,0),"ECHEC")</f>
        <v>ECHEC</v>
      </c>
      <c r="M12" s="7">
        <f>IF(P12=0,0,VLOOKUP($A12,[6]HISTOMARS23!$A$6:$AV$45,32,0))</f>
        <v>0</v>
      </c>
      <c r="N12" s="7">
        <f>VLOOKUP($A12,[6]HISTOMARS23!$A$6:$AV$45,33,0)</f>
        <v>0</v>
      </c>
      <c r="O12" s="7">
        <f t="shared" si="0"/>
        <v>0</v>
      </c>
      <c r="P12" s="7">
        <f>VLOOKUP($A12,[6]HISTOMARS23!$A$6:$AV$45,30,0)</f>
        <v>0</v>
      </c>
    </row>
    <row r="13" spans="1:16" x14ac:dyDescent="0.25">
      <c r="A13" s="1" t="s">
        <v>22</v>
      </c>
      <c r="B13" s="7">
        <f>IF(D13=0,0,VLOOKUP($A13,[6]HISTOMARS23!$A$6:$BB$45,12,0))</f>
        <v>1</v>
      </c>
      <c r="C13" s="1" t="str">
        <f>VLOOKUP(A13,[7]LISTADHERENT!A$5:H$60,3,0)</f>
        <v>MBOGNING TUGMA GUY</v>
      </c>
      <c r="D13" s="7">
        <f>IF(E13="ECHEC",0,VLOOKUP($A13,[6]HISTOMARS23!$A$7:$AR$45,13,0))</f>
        <v>75000</v>
      </c>
      <c r="E13" s="7" t="str">
        <f>VLOOKUP($A13,[6]HISTOMARS23!$A$7:$AV$45,8,0)</f>
        <v>BANQUE</v>
      </c>
      <c r="F13" s="7">
        <f>VLOOKUP($A13,[6]HISTOMARS23!$A$6:$AV$45,36,0)</f>
        <v>0</v>
      </c>
      <c r="G13" s="7">
        <f>VLOOKUP($A13,[6]HISTOMARS23!$A$6:$AV$45,39,0)</f>
        <v>0</v>
      </c>
      <c r="H13" s="7">
        <f>IF(G13=0,0,VLOOKUP($A13,[6]HISTOMARS23!$A$6:$AV$45,42,0))</f>
        <v>0</v>
      </c>
      <c r="I13" s="7">
        <f>VLOOKUP($A13,[6]HISTOMARS23!$A$6:$AV$45,41,0)</f>
        <v>0</v>
      </c>
      <c r="J13" s="7">
        <f>TONTFEV23!F13+TONTFEV23!G13</f>
        <v>0</v>
      </c>
      <c r="K13" s="7">
        <f>VLOOKUP($A13,[6]HISTOMARS23!$A$6:$AV$45,17,0)</f>
        <v>0</v>
      </c>
      <c r="L13" s="7" t="str">
        <f>IF(K13&lt;&gt;0,VLOOKUP($A13,[6]HISTOMARS23!$A$6:$BB$45,8,0),"ECHEC")</f>
        <v>ECHEC</v>
      </c>
      <c r="M13" s="7">
        <f>IF(P13=0,0,VLOOKUP($A13,[6]HISTOMARS23!$A$6:$AV$45,32,0))</f>
        <v>0</v>
      </c>
      <c r="N13" s="7">
        <f>VLOOKUP($A13,[6]HISTOMARS23!$A$6:$AV$45,33,0)</f>
        <v>0</v>
      </c>
      <c r="O13" s="7">
        <f t="shared" si="0"/>
        <v>0</v>
      </c>
      <c r="P13" s="7">
        <f>VLOOKUP($A13,[6]HISTOMARS23!$A$6:$AV$45,30,0)</f>
        <v>0</v>
      </c>
    </row>
    <row r="14" spans="1:16" x14ac:dyDescent="0.25">
      <c r="A14" s="1" t="s">
        <v>9</v>
      </c>
      <c r="B14" s="7">
        <f>IF(D14=0,0,VLOOKUP($A14,[6]HISTOMARS23!$A$6:$BB$45,12,0))</f>
        <v>1</v>
      </c>
      <c r="C14" s="1" t="str">
        <f>VLOOKUP(A14,[7]LISTADHERENT!A$5:H$60,3,0)</f>
        <v>NANKAM APPOLINAIRE</v>
      </c>
      <c r="D14" s="7">
        <f>IF(E14="ECHEC",0,VLOOKUP($A14,[6]HISTOMARS23!$A$7:$AR$45,13,0))</f>
        <v>75000</v>
      </c>
      <c r="E14" s="7" t="str">
        <f>VLOOKUP($A14,[6]HISTOMARS23!$A$7:$AV$45,8,0)</f>
        <v>BANQUE</v>
      </c>
      <c r="F14" s="7">
        <f>VLOOKUP($A14,[6]HISTOMARS23!$A$6:$AV$45,36,0)</f>
        <v>0</v>
      </c>
      <c r="G14" s="7">
        <f>VLOOKUP($A14,[6]HISTOMARS23!$A$6:$AV$45,39,0)</f>
        <v>0</v>
      </c>
      <c r="H14" s="7">
        <f>IF(G14=0,0,VLOOKUP($A14,[6]HISTOMARS23!$A$6:$AV$45,42,0))</f>
        <v>0</v>
      </c>
      <c r="I14" s="7">
        <f>VLOOKUP($A14,[6]HISTOMARS23!$A$6:$AV$45,41,0)</f>
        <v>0</v>
      </c>
      <c r="J14" s="7">
        <f>TONTFEV23!F14+TONTFEV23!G14</f>
        <v>0</v>
      </c>
      <c r="K14" s="7">
        <f>VLOOKUP($A14,[6]HISTOMARS23!$A$6:$AV$45,17,0)</f>
        <v>0</v>
      </c>
      <c r="L14" s="7" t="str">
        <f>IF(K14&lt;&gt;0,VLOOKUP($A14,[6]HISTOMARS23!$A$6:$BB$45,8,0),"ECHEC")</f>
        <v>ECHEC</v>
      </c>
      <c r="M14" s="7">
        <f>IF(P14=0,0,VLOOKUP($A14,[6]HISTOMARS23!$A$6:$AV$45,32,0))</f>
        <v>0</v>
      </c>
      <c r="N14" s="7">
        <f>VLOOKUP($A14,[6]HISTOMARS23!$A$6:$AV$45,33,0)</f>
        <v>0</v>
      </c>
      <c r="O14" s="7">
        <f t="shared" si="0"/>
        <v>0</v>
      </c>
      <c r="P14" s="7">
        <f>VLOOKUP($A14,[6]HISTOMARS23!$A$6:$AV$45,30,0)</f>
        <v>0</v>
      </c>
    </row>
    <row r="15" spans="1:16" x14ac:dyDescent="0.25">
      <c r="A15" s="1" t="s">
        <v>37</v>
      </c>
      <c r="B15" s="7">
        <f>IF(D15=0,0,VLOOKUP($A15,[6]HISTOMARS23!$A$6:$BB$45,12,0))</f>
        <v>1</v>
      </c>
      <c r="C15" s="1" t="str">
        <f>VLOOKUP(A15,[7]LISTADHERENT!A$5:H$60,3,0)</f>
        <v>NGONDIEP CLAUDE</v>
      </c>
      <c r="D15" s="7">
        <f>IF(E15="ECHEC",0,VLOOKUP($A15,[6]HISTOMARS23!$A$7:$AR$45,13,0))</f>
        <v>75000</v>
      </c>
      <c r="E15" s="7" t="str">
        <f>VLOOKUP($A15,[6]HISTOMARS23!$A$7:$AV$45,8,0)</f>
        <v>ESPECES</v>
      </c>
      <c r="F15" s="7">
        <f>VLOOKUP($A15,[6]HISTOMARS23!$A$6:$AV$45,36,0)</f>
        <v>0</v>
      </c>
      <c r="G15" s="7">
        <f>VLOOKUP($A15,[6]HISTOMARS23!$A$6:$AV$45,39,0)</f>
        <v>0</v>
      </c>
      <c r="H15" s="7">
        <f>IF(G15=0,0,VLOOKUP($A15,[6]HISTOMARS23!$A$6:$AV$45,42,0))</f>
        <v>0</v>
      </c>
      <c r="I15" s="7">
        <f>VLOOKUP($A15,[6]HISTOMARS23!$A$6:$AV$45,41,0)</f>
        <v>0</v>
      </c>
      <c r="J15" s="7">
        <f>TONTFEV23!F15+TONTFEV23!G15</f>
        <v>0</v>
      </c>
      <c r="K15" s="7">
        <f>VLOOKUP($A15,[6]HISTOMARS23!$A$6:$AV$45,17,0)</f>
        <v>0</v>
      </c>
      <c r="L15" s="7" t="str">
        <f>IF(K15&lt;&gt;0,VLOOKUP($A15,[6]HISTOMARS23!$A$6:$BB$45,8,0),"ECHEC")</f>
        <v>ECHEC</v>
      </c>
      <c r="M15" s="7">
        <f>IF(P15=0,0,VLOOKUP($A15,[6]HISTOMARS23!$A$6:$AV$45,32,0))</f>
        <v>0</v>
      </c>
      <c r="N15" s="7">
        <f>VLOOKUP($A15,[6]HISTOMARS23!$A$6:$AV$45,33,0)</f>
        <v>0</v>
      </c>
      <c r="O15" s="7">
        <f t="shared" si="0"/>
        <v>0</v>
      </c>
      <c r="P15" s="7">
        <f>VLOOKUP($A15,[6]HISTOMARS23!$A$6:$AV$45,30,0)</f>
        <v>0</v>
      </c>
    </row>
    <row r="16" spans="1:16" x14ac:dyDescent="0.25">
      <c r="A16" s="1" t="s">
        <v>21</v>
      </c>
      <c r="B16" s="7">
        <f>IF(D16=0,0,VLOOKUP($A16,[6]HISTOMARS23!$A$6:$BB$45,12,0))</f>
        <v>2</v>
      </c>
      <c r="C16" s="1" t="str">
        <f>VLOOKUP(A16,[7]LISTADHERENT!A$5:H$60,3,0)</f>
        <v>NGUIEMEGNI MATHIEU BLAISE</v>
      </c>
      <c r="D16" s="7">
        <f>IF(E16="ECHEC",0,VLOOKUP($A16,[6]HISTOMARS23!$A$7:$AR$45,13,0))</f>
        <v>150000</v>
      </c>
      <c r="E16" s="7" t="str">
        <f>VLOOKUP($A16,[6]HISTOMARS23!$A$7:$AV$45,8,0)</f>
        <v>BANQUE</v>
      </c>
      <c r="F16" s="7">
        <f>VLOOKUP($A16,[6]HISTOMARS23!$A$6:$AV$45,36,0)</f>
        <v>0</v>
      </c>
      <c r="G16" s="7">
        <f>VLOOKUP($A16,[6]HISTOMARS23!$A$6:$AV$45,39,0)</f>
        <v>0</v>
      </c>
      <c r="H16" s="7">
        <f>IF(G16=0,0,VLOOKUP($A16,[6]HISTOMARS23!$A$6:$AV$45,42,0))</f>
        <v>0</v>
      </c>
      <c r="I16" s="7">
        <f>VLOOKUP($A16,[6]HISTOMARS23!$A$6:$AV$45,41,0)</f>
        <v>0</v>
      </c>
      <c r="J16" s="7">
        <f>TONTFEV23!F16+TONTFEV23!G16</f>
        <v>0</v>
      </c>
      <c r="K16" s="7">
        <f>VLOOKUP($A16,[6]HISTOMARS23!$A$6:$AV$45,17,0)</f>
        <v>0</v>
      </c>
      <c r="L16" s="7" t="str">
        <f>IF(K16&lt;&gt;0,VLOOKUP($A16,[6]HISTOMARS23!$A$6:$BB$45,8,0),"ECHEC")</f>
        <v>ECHEC</v>
      </c>
      <c r="M16" s="7">
        <f>IF(P16=0,0,VLOOKUP($A16,[6]HISTOMARS23!$A$6:$AV$45,32,0))</f>
        <v>0</v>
      </c>
      <c r="N16" s="7">
        <f>VLOOKUP($A16,[6]HISTOMARS23!$A$6:$AV$45,33,0)</f>
        <v>0</v>
      </c>
      <c r="O16" s="7">
        <f t="shared" si="0"/>
        <v>0</v>
      </c>
      <c r="P16" s="7">
        <f>VLOOKUP($A16,[6]HISTOMARS23!$A$6:$AV$45,30,0)</f>
        <v>0</v>
      </c>
    </row>
    <row r="17" spans="1:16" x14ac:dyDescent="0.25">
      <c r="A17" s="1" t="s">
        <v>28</v>
      </c>
      <c r="B17" s="7">
        <f>IF(D17=0,0,VLOOKUP($A17,[6]HISTOMARS23!$A$6:$BB$45,12,0))</f>
        <v>1</v>
      </c>
      <c r="C17" s="1" t="str">
        <f>VLOOKUP(A17,[7]LISTADHERENT!A$5:H$60,3,0)</f>
        <v>PATEGO NJOSSU GUSTAVE</v>
      </c>
      <c r="D17" s="7">
        <f>IF(E17="ECHEC",0,VLOOKUP($A17,[6]HISTOMARS23!$A$7:$AR$45,13,0))</f>
        <v>75000</v>
      </c>
      <c r="E17" s="7" t="str">
        <f>VLOOKUP($A17,[6]HISTOMARS23!$A$7:$AV$45,8,0)</f>
        <v>BANQUE</v>
      </c>
      <c r="F17" s="7">
        <f>VLOOKUP($A17,[6]HISTOMARS23!$A$6:$AV$45,36,0)</f>
        <v>0</v>
      </c>
      <c r="G17" s="7">
        <f>VLOOKUP($A17,[6]HISTOMARS23!$A$6:$AV$45,39,0)</f>
        <v>0</v>
      </c>
      <c r="H17" s="7">
        <f>IF(G17=0,0,VLOOKUP($A17,[6]HISTOMARS23!$A$6:$AV$45,42,0))</f>
        <v>0</v>
      </c>
      <c r="I17" s="7">
        <f>VLOOKUP($A17,[6]HISTOMARS23!$A$6:$AV$45,41,0)</f>
        <v>0</v>
      </c>
      <c r="J17" s="7">
        <f>TONTFEV23!F17+TONTFEV23!G17</f>
        <v>0</v>
      </c>
      <c r="K17" s="7">
        <f>VLOOKUP($A17,[6]HISTOMARS23!$A$6:$AV$45,17,0)</f>
        <v>0</v>
      </c>
      <c r="L17" s="7" t="str">
        <f>IF(K17&lt;&gt;0,VLOOKUP($A17,[6]HISTOMARS23!$A$6:$BB$45,8,0),"ECHEC")</f>
        <v>ECHEC</v>
      </c>
      <c r="M17" s="7">
        <f>IF(P17=0,0,VLOOKUP($A17,[6]HISTOMARS23!$A$6:$AV$45,32,0))</f>
        <v>0</v>
      </c>
      <c r="N17" s="7">
        <f>VLOOKUP($A17,[6]HISTOMARS23!$A$6:$AV$45,33,0)</f>
        <v>0</v>
      </c>
      <c r="O17" s="7">
        <f t="shared" si="0"/>
        <v>0</v>
      </c>
      <c r="P17" s="7">
        <f>VLOOKUP($A17,[6]HISTOMARS23!$A$6:$AV$45,30,0)</f>
        <v>0</v>
      </c>
    </row>
    <row r="18" spans="1:16" x14ac:dyDescent="0.25">
      <c r="A18" s="9" t="s">
        <v>36</v>
      </c>
      <c r="B18" s="7">
        <f>IF(D18=0,0,VLOOKUP($A18,[6]HISTOMARS23!$A$6:$BB$45,12,0))</f>
        <v>1</v>
      </c>
      <c r="C18" s="1" t="str">
        <f>VLOOKUP(A18,[7]LISTADHERENT!A$5:H$60,3,0)</f>
        <v>SIME BRICE</v>
      </c>
      <c r="D18" s="7">
        <f>IF(E18="ECHEC",0,VLOOKUP($A18,[6]HISTOMARS23!$A$7:$AR$45,13,0))</f>
        <v>75000</v>
      </c>
      <c r="E18" s="7" t="str">
        <f>VLOOKUP($A18,[6]HISTOMARS23!$A$7:$AV$45,8,0)</f>
        <v>BANQUE</v>
      </c>
      <c r="F18" s="7">
        <f>VLOOKUP($A18,[6]HISTOMARS23!$A$6:$AV$45,36,0)</f>
        <v>0</v>
      </c>
      <c r="G18" s="7">
        <f>VLOOKUP($A18,[6]HISTOMARS23!$A$6:$AV$45,39,0)</f>
        <v>0</v>
      </c>
      <c r="H18" s="7">
        <f>IF(G18=0,0,VLOOKUP($A18,[6]HISTOMARS23!$A$6:$AV$45,42,0))</f>
        <v>0</v>
      </c>
      <c r="I18" s="7">
        <f>VLOOKUP($A18,[6]HISTOMARS23!$A$6:$AV$45,41,0)</f>
        <v>0</v>
      </c>
      <c r="J18" s="7">
        <f>TONTFEV23!F18+TONTFEV23!G18</f>
        <v>0</v>
      </c>
      <c r="K18" s="7">
        <f>VLOOKUP($A18,[6]HISTOMARS23!$A$6:$AV$45,17,0)</f>
        <v>0</v>
      </c>
      <c r="L18" s="7" t="str">
        <f>IF(K18&lt;&gt;0,VLOOKUP($A18,[6]HISTOMARS23!$A$6:$BB$45,8,0),"ECHEC")</f>
        <v>ECHEC</v>
      </c>
      <c r="M18" s="7">
        <f>IF(P18=0,0,VLOOKUP($A18,[6]HISTOMARS23!$A$6:$AV$45,32,0))</f>
        <v>0</v>
      </c>
      <c r="N18" s="7">
        <f>VLOOKUP($A18,[6]HISTOMARS23!$A$6:$AV$45,33,0)</f>
        <v>0</v>
      </c>
      <c r="O18" s="7">
        <f t="shared" si="0"/>
        <v>0</v>
      </c>
      <c r="P18" s="7">
        <f>VLOOKUP($A18,[6]HISTOMARS23!$A$6:$AV$45,30,0)</f>
        <v>0</v>
      </c>
    </row>
    <row r="19" spans="1:16" x14ac:dyDescent="0.25">
      <c r="A19" s="9" t="s">
        <v>50</v>
      </c>
      <c r="B19" s="7">
        <f>IF(D19=0,0,VLOOKUP($A19,[6]HISTOMARS23!$A$6:$BB$45,12,0))</f>
        <v>1</v>
      </c>
      <c r="C19" s="1" t="str">
        <f>VLOOKUP(A19,[7]LISTADHERENT!A$5:H$60,3,0)</f>
        <v>TCHOUAMOU MATHIEU</v>
      </c>
      <c r="D19" s="7">
        <f>IF(E19="ECHEC",0,VLOOKUP($A19,[6]HISTOMARS23!$A$7:$AR$45,13,0))</f>
        <v>75000</v>
      </c>
      <c r="E19" s="7" t="str">
        <f>VLOOKUP($A19,[6]HISTOMARS23!$A$7:$AV$45,8,0)</f>
        <v>BANQUE</v>
      </c>
      <c r="F19" s="7">
        <f>VLOOKUP($A19,[6]HISTOMARS23!$A$6:$AV$45,36,0)</f>
        <v>0</v>
      </c>
      <c r="G19" s="7">
        <f>VLOOKUP($A19,[6]HISTOMARS23!$A$6:$AV$45,39,0)</f>
        <v>0</v>
      </c>
      <c r="H19" s="7">
        <f>IF(G19=0,0,VLOOKUP($A19,[6]HISTOMARS23!$A$6:$AV$45,42,0))</f>
        <v>0</v>
      </c>
      <c r="I19" s="7">
        <f>VLOOKUP($A19,[6]HISTOMARS23!$A$6:$AV$45,41,0)</f>
        <v>0</v>
      </c>
      <c r="J19" s="7">
        <f>TONTFEV23!F19+TONTFEV23!G19</f>
        <v>0</v>
      </c>
      <c r="K19" s="7">
        <f>VLOOKUP($A19,[6]HISTOMARS23!$A$6:$AV$45,17,0)</f>
        <v>0</v>
      </c>
      <c r="L19" s="7" t="str">
        <f>IF(K19&lt;&gt;0,VLOOKUP($A19,[6]HISTOMARS23!$A$6:$BB$45,8,0),"ECHEC")</f>
        <v>ECHEC</v>
      </c>
      <c r="M19" s="7">
        <f>IF(P19=0,0,VLOOKUP($A19,[6]HISTOMARS23!$A$6:$AV$45,32,0))</f>
        <v>0</v>
      </c>
      <c r="N19" s="7">
        <f>VLOOKUP($A19,[6]HISTOMARS23!$A$6:$AV$45,33,0)</f>
        <v>0</v>
      </c>
      <c r="O19" s="7">
        <f t="shared" si="0"/>
        <v>892500</v>
      </c>
      <c r="P19" s="7">
        <f>VLOOKUP($A19,[6]HISTOMARS23!$A$6:$AV$45,30,0)</f>
        <v>7500</v>
      </c>
    </row>
    <row r="20" spans="1:16" x14ac:dyDescent="0.25">
      <c r="A20" s="1" t="s">
        <v>20</v>
      </c>
      <c r="B20" s="7">
        <f>IF(D20=0,0,VLOOKUP($A20,[6]HISTOMARS23!$A$6:$BB$45,12,0))</f>
        <v>2</v>
      </c>
      <c r="C20" s="1" t="str">
        <f>VLOOKUP(A20,[7]LISTADHERENT!A$5:H$60,3,0)</f>
        <v>YOUMBI EMMANUEL</v>
      </c>
      <c r="D20" s="7">
        <f>IF(E20="ECHEC",0,VLOOKUP($A20,[6]HISTOMARS23!$A$7:$AR$45,13,0))</f>
        <v>150000</v>
      </c>
      <c r="E20" s="7" t="str">
        <f>VLOOKUP($A20,[6]HISTOMARS23!$A$7:$AV$45,8,0)</f>
        <v>BANQUE</v>
      </c>
      <c r="F20" s="7">
        <f>VLOOKUP($A20,[6]HISTOMARS23!$A$6:$AV$45,36,0)</f>
        <v>0</v>
      </c>
      <c r="G20" s="7">
        <f>VLOOKUP($A20,[6]HISTOMARS23!$A$6:$AV$45,39,0)</f>
        <v>0</v>
      </c>
      <c r="H20" s="7">
        <f>IF(G20=0,0,VLOOKUP($A20,[6]HISTOMARS23!$A$6:$AV$45,42,0))</f>
        <v>0</v>
      </c>
      <c r="I20" s="7">
        <f>VLOOKUP($A20,[6]HISTOMARS23!$A$6:$AV$45,41,0)</f>
        <v>0</v>
      </c>
      <c r="J20" s="7">
        <f>TONTFEV23!F20+TONTFEV23!G20</f>
        <v>0</v>
      </c>
      <c r="K20" s="7">
        <f>VLOOKUP($A20,[6]HISTOMARS23!$A$6:$AV$45,17,0)</f>
        <v>0</v>
      </c>
      <c r="L20" s="7" t="str">
        <f>IF(K20&lt;&gt;0,VLOOKUP($A20,[6]HISTOMARS23!$A$6:$BB$45,8,0),"ECHEC")</f>
        <v>ECHEC</v>
      </c>
      <c r="M20" s="7">
        <f>IF(P20=0,0,VLOOKUP($A20,[6]HISTOMARS23!$A$6:$AV$45,32,0))</f>
        <v>0</v>
      </c>
      <c r="N20" s="7">
        <f>VLOOKUP($A20,[6]HISTOMARS23!$A$6:$AV$45,33,0)</f>
        <v>0</v>
      </c>
      <c r="O20" s="7">
        <f t="shared" si="0"/>
        <v>0</v>
      </c>
      <c r="P20" s="7">
        <f>VLOOKUP($A20,[6]HISTOMARS23!$A$6:$AV$45,30,0)</f>
        <v>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1">SUM(D6:D22)</f>
        <v>1275000</v>
      </c>
      <c r="E23" s="8">
        <f t="shared" si="1"/>
        <v>0</v>
      </c>
      <c r="F23" s="8">
        <f t="shared" si="1"/>
        <v>0</v>
      </c>
      <c r="G23" s="8">
        <f t="shared" si="1"/>
        <v>0</v>
      </c>
      <c r="H23" s="8">
        <f t="shared" si="1"/>
        <v>0</v>
      </c>
      <c r="I23" s="8">
        <f t="shared" si="1"/>
        <v>0</v>
      </c>
      <c r="J23" s="8">
        <f t="shared" si="1"/>
        <v>0</v>
      </c>
      <c r="K23" s="8">
        <f t="shared" si="1"/>
        <v>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1785000</v>
      </c>
      <c r="P23" s="8">
        <f t="shared" si="1"/>
        <v>15000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D29+E29+P23+TONTFEV23!M30</f>
        <v>2195000</v>
      </c>
      <c r="L25" s="5"/>
      <c r="M25"/>
      <c r="N25" s="5"/>
    </row>
    <row r="26" spans="1:16" s="2" customFormat="1" ht="18" x14ac:dyDescent="0.25">
      <c r="D26" s="8">
        <f>SUMIFS(D6:D22,E6:E22,"ESPECES")</f>
        <v>75000</v>
      </c>
      <c r="E26" s="8">
        <f>SUMIFS(K7:K17,L7:L17,"ESPECES")</f>
        <v>0</v>
      </c>
      <c r="F26" s="8">
        <f>SUMIFS(F7:F22,H7:H22,"ESPECES")</f>
        <v>0</v>
      </c>
      <c r="G26" s="8">
        <f>SUMIFS(O7:O22,M7:M22,"ESPECES")</f>
        <v>0</v>
      </c>
      <c r="H26" s="8">
        <f>D26+E26-F26-G26</f>
        <v>75000</v>
      </c>
      <c r="I26" s="8"/>
      <c r="J26" s="8" t="s">
        <v>33</v>
      </c>
      <c r="K26" s="8">
        <f>C3*COUNTIF(O7:O22,"&gt;0")</f>
        <v>1800000</v>
      </c>
      <c r="L26" s="8">
        <f>D3</f>
        <v>2</v>
      </c>
      <c r="M26" s="8">
        <f>COUNTIF(O7:O17,"&gt;0")</f>
        <v>1</v>
      </c>
      <c r="N26" s="8"/>
    </row>
    <row r="27" spans="1:16" s="2" customFormat="1" ht="18" x14ac:dyDescent="0.25">
      <c r="D27" s="8">
        <f>SUMIFS(D6:D22,E6:E22,"BANQUE")+900000</f>
        <v>2100000</v>
      </c>
      <c r="E27" s="8">
        <f>SUMIFS(K7:K17,L7:L17,"BANQUE")</f>
        <v>0</v>
      </c>
      <c r="F27" s="8">
        <f>SUMIFS(F7:F22,H7:H22,"BANQUE")</f>
        <v>0</v>
      </c>
      <c r="G27" s="8">
        <f>SUMIFS(O7:O22,M7:M22,"BANQUE")</f>
        <v>0</v>
      </c>
      <c r="H27" s="8">
        <f>D27+E27-F27-G27</f>
        <v>2100000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395000</v>
      </c>
      <c r="L28" s="8"/>
      <c r="M28" s="8"/>
      <c r="N28" s="8"/>
    </row>
    <row r="29" spans="1:16" s="2" customFormat="1" ht="18" x14ac:dyDescent="0.25">
      <c r="D29" s="8">
        <f>D26+D27</f>
        <v>2175000</v>
      </c>
      <c r="E29" s="8">
        <f>E26+E27</f>
        <v>0</v>
      </c>
      <c r="F29" s="8">
        <f>F26+F27</f>
        <v>0</v>
      </c>
      <c r="G29" s="8">
        <f t="shared" ref="G29:H29" si="2">G26+G27</f>
        <v>0</v>
      </c>
      <c r="H29" s="8">
        <f t="shared" si="2"/>
        <v>2175000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395000</v>
      </c>
      <c r="L30"/>
      <c r="M30" s="8">
        <f>K30</f>
        <v>395000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TONTFEV23!M32+TONTMARS23!K32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0</v>
      </c>
      <c r="M33" s="8">
        <f>TONTFEV23!M33+TONTMARS23!K33</f>
        <v>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xSplit="3" ySplit="5" topLeftCell="G17" activePane="bottomRight" state="frozen"/>
      <selection activeCell="E16" sqref="E16"/>
      <selection pane="topRight" activeCell="E16" sqref="E16"/>
      <selection pane="bottomLeft" activeCell="E16" sqref="E16"/>
      <selection pane="bottomRight" activeCell="K25" sqref="K25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1</v>
      </c>
      <c r="E3" s="1"/>
      <c r="L3" s="1"/>
      <c r="M3" s="1"/>
    </row>
    <row r="4" spans="1:16" s="12" customFormat="1" ht="18" x14ac:dyDescent="0.25">
      <c r="B4" s="13"/>
      <c r="C4" s="19">
        <v>45029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IF(D6=0,0,VLOOKUP($A6,[6]HISTOAVRIL23!$A$6:$BB$45,12,0))</f>
        <v>1</v>
      </c>
      <c r="C6" s="1" t="str">
        <f>VLOOKUP(A6,[7]LISTADHERENT!A$5:H$60,3,0)</f>
        <v>ASELBY</v>
      </c>
      <c r="D6" s="7">
        <f>IF(E6="ECHEC",0,VLOOKUP($A6,[6]HISTOAVRIL23!$A$6:$AR$45,13,0))</f>
        <v>75000</v>
      </c>
      <c r="E6" s="7" t="str">
        <f>VLOOKUP($A6,[6]HISTOAVRIL23!$A$6:$AV$45,8,0)</f>
        <v>BANQUE</v>
      </c>
      <c r="F6" s="7">
        <f>VLOOKUP($A6,[6]HISTOAVRIL23!$A$6:$AV$45,36,0)</f>
        <v>0</v>
      </c>
      <c r="G6" s="7">
        <f>VLOOKUP($A6,[6]HISTOAVRIL23!$A$6:$AV$45,39,0)</f>
        <v>0</v>
      </c>
      <c r="H6" s="7">
        <f>IF(G6=0,0,VLOOKUP($A6,[6]HISTOAVRIL23!$A$6:$AV$45,42,0))</f>
        <v>0</v>
      </c>
      <c r="I6" s="7">
        <f>VLOOKUP($A6,[6]HISTOAVRIL23!$A$6:$AV$45,41,0)</f>
        <v>0</v>
      </c>
      <c r="J6" s="7">
        <f>TONTMARS23!F6+TONTMARS23!G6</f>
        <v>0</v>
      </c>
      <c r="K6" s="7">
        <f>VLOOKUP($A6,[6]HISTOAVRIL23!$A$6:$AV$45,17,0)</f>
        <v>0</v>
      </c>
      <c r="L6" s="7" t="str">
        <f>IF(K6&lt;&gt;0,VLOOKUP($A6,[6]HISTOAVRIL23!$A$6:$BB$45,8,0),"ECHEC")</f>
        <v>ECHEC</v>
      </c>
      <c r="M6" s="7">
        <f>IF(P6=0,0,VLOOKUP($A6,[6]HISTOAVRIL23!$A$6:$AV$45,32,0))</f>
        <v>0</v>
      </c>
      <c r="N6" s="7">
        <f>VLOOKUP($A6,[6]HISTOAVRIL23!$A$6:$AV$45,33,0)</f>
        <v>0</v>
      </c>
      <c r="O6" s="7">
        <f t="shared" ref="O6:O20" si="0">IF(P6=0,0,($C$3-P6))</f>
        <v>0</v>
      </c>
      <c r="P6" s="7">
        <f>VLOOKUP($A6,[6]HISTOAVRIL23!$A$6:$AV$45,30,0)</f>
        <v>0</v>
      </c>
    </row>
    <row r="7" spans="1:16" x14ac:dyDescent="0.25">
      <c r="A7" s="1" t="s">
        <v>25</v>
      </c>
      <c r="B7" s="7">
        <f>IF(D7=0,0,VLOOKUP($A7,[6]HISTOAVRIL23!$A$6:$BB$45,12,0))</f>
        <v>1</v>
      </c>
      <c r="C7" s="1" t="str">
        <f>VLOOKUP(A7,[7]LISTADHERENT!A$5:H$60,3,0)</f>
        <v>BOUTCHOUANG WILLIAM</v>
      </c>
      <c r="D7" s="7">
        <f>IF(E7="ECHEC",0,VLOOKUP($A7,[6]HISTOAVRIL23!$A$6:$AR$45,13,0))</f>
        <v>75000</v>
      </c>
      <c r="E7" s="7" t="str">
        <f>VLOOKUP($A7,[6]HISTOAVRIL23!$A$6:$AV$45,8,0)</f>
        <v>BANQUE</v>
      </c>
      <c r="F7" s="7">
        <f>VLOOKUP($A7,[6]HISTOAVRIL23!$A$6:$AV$45,36,0)</f>
        <v>0</v>
      </c>
      <c r="G7" s="7">
        <f>VLOOKUP($A7,[6]HISTOAVRIL23!$A$6:$AV$45,39,0)</f>
        <v>0</v>
      </c>
      <c r="H7" s="7">
        <f>IF(G7=0,0,VLOOKUP($A7,[6]HISTOAVRIL23!$A$6:$AV$45,42,0))</f>
        <v>0</v>
      </c>
      <c r="I7" s="7">
        <f>VLOOKUP($A7,[6]HISTOAVRIL23!$A$6:$AV$45,41,0)</f>
        <v>0</v>
      </c>
      <c r="J7" s="7">
        <f>TONTMARS23!F7+TONTMARS23!G7</f>
        <v>0</v>
      </c>
      <c r="K7" s="7">
        <f>VLOOKUP($A7,[6]HISTOAVRIL23!$A$6:$AV$45,17,0)</f>
        <v>0</v>
      </c>
      <c r="L7" s="7" t="str">
        <f>IF(K7&lt;&gt;0,VLOOKUP($A7,[6]HISTOAVRIL23!$A$6:$BB$45,8,0),"ECHEC")</f>
        <v>ECHEC</v>
      </c>
      <c r="M7" s="7">
        <f>IF(P7=0,0,VLOOKUP($A7,[6]HISTOAVRIL23!$A$6:$AV$45,32,0))</f>
        <v>0</v>
      </c>
      <c r="N7" s="7">
        <f>VLOOKUP($A7,[6]HISTOAVRIL23!$A$6:$AV$45,33,0)</f>
        <v>0</v>
      </c>
      <c r="O7" s="7">
        <f t="shared" si="0"/>
        <v>0</v>
      </c>
      <c r="P7" s="7">
        <f>VLOOKUP($A7,[6]HISTOAVRIL23!$A$6:$AV$45,30,0)</f>
        <v>0</v>
      </c>
    </row>
    <row r="8" spans="1:16" x14ac:dyDescent="0.25">
      <c r="A8" s="1" t="s">
        <v>26</v>
      </c>
      <c r="B8" s="7">
        <f>IF(D8=0,0,VLOOKUP($A8,[6]HISTOAVRIL23!$A$6:$BB$45,12,0))</f>
        <v>1</v>
      </c>
      <c r="C8" s="1" t="str">
        <f>VLOOKUP(A8,[7]LISTADHERENT!A$5:H$60,3,0)</f>
        <v>DJOUKWE NANGUEN GUY BLAISE</v>
      </c>
      <c r="D8" s="7">
        <f>IF(E8="ECHEC",0,VLOOKUP($A8,[6]HISTOAVRIL23!$A$7:$AR$45,13,0))</f>
        <v>75000</v>
      </c>
      <c r="E8" s="7" t="str">
        <f>VLOOKUP($A8,[6]HISTOAVRIL23!$A$7:$AV$45,8,0)</f>
        <v>BANQUE</v>
      </c>
      <c r="F8" s="7">
        <f>VLOOKUP($A8,[6]HISTOAVRIL23!$A$6:$AV$45,36,0)</f>
        <v>150000</v>
      </c>
      <c r="G8" s="7">
        <f>VLOOKUP($A8,[6]HISTOAVRIL23!$A$6:$AV$45,39,0)</f>
        <v>2000</v>
      </c>
      <c r="H8" s="7">
        <f>IF(G8=0,0,VLOOKUP($A8,[6]HISTOAVRIL23!$A$6:$AV$45,42,0))</f>
        <v>0</v>
      </c>
      <c r="I8" s="7">
        <f>VLOOKUP($A8,[6]HISTOAVRIL23!$A$6:$AV$45,41,0)</f>
        <v>0</v>
      </c>
      <c r="J8" s="7">
        <f>TONTMARS23!F8+TONTMARS23!G8</f>
        <v>0</v>
      </c>
      <c r="K8" s="7">
        <f>VLOOKUP($A8,[6]HISTOAVRIL23!$A$6:$AV$45,17,0)</f>
        <v>0</v>
      </c>
      <c r="L8" s="7" t="str">
        <f>IF(K8&lt;&gt;0,VLOOKUP($A8,[6]HISTOAVRIL23!$A$6:$BB$45,8,0),"ECHEC")</f>
        <v>ECHEC</v>
      </c>
      <c r="M8" s="7">
        <f>IF(P8=0,0,VLOOKUP($A8,[6]HISTOAVRIL23!$A$6:$AV$45,32,0))</f>
        <v>0</v>
      </c>
      <c r="N8" s="7">
        <f>VLOOKUP($A8,[6]HISTOAVRIL23!$A$6:$AV$45,33,0)</f>
        <v>0</v>
      </c>
      <c r="O8" s="7">
        <f t="shared" si="0"/>
        <v>0</v>
      </c>
      <c r="P8" s="7">
        <f>VLOOKUP($A8,[6]HISTOAVRIL23!$A$6:$AV$45,30,0)</f>
        <v>0</v>
      </c>
    </row>
    <row r="9" spans="1:16" x14ac:dyDescent="0.25">
      <c r="A9" s="1" t="s">
        <v>35</v>
      </c>
      <c r="B9" s="7">
        <f>IF(D9=0,0,VLOOKUP($A9,[6]HISTOAVRIL23!$A$6:$BB$45,12,0))</f>
        <v>1</v>
      </c>
      <c r="C9" s="1" t="str">
        <f>VLOOKUP(A9,[7]LISTADHERENT!A$5:H$60,3,0)</f>
        <v>DJUOMBESSY ANTOINE</v>
      </c>
      <c r="D9" s="7">
        <f>IF(E9="ECHEC",0,VLOOKUP($A9,[6]HISTOAVRIL23!$A$7:$AR$45,13,0))</f>
        <v>75000</v>
      </c>
      <c r="E9" s="7" t="str">
        <f>VLOOKUP($A9,[6]HISTOAVRIL23!$A$7:$AV$45,8,0)</f>
        <v>BANQUE</v>
      </c>
      <c r="F9" s="7">
        <f>VLOOKUP($A9,[6]HISTOAVRIL23!$A$6:$AV$45,36,0)</f>
        <v>0</v>
      </c>
      <c r="G9" s="7">
        <f>VLOOKUP($A9,[6]HISTOAVRIL23!$A$6:$AV$45,39,0)</f>
        <v>0</v>
      </c>
      <c r="H9" s="7">
        <f>IF(G9=0,0,VLOOKUP($A9,[6]HISTOAVRIL23!$A$6:$AV$45,42,0))</f>
        <v>0</v>
      </c>
      <c r="I9" s="7">
        <f>VLOOKUP($A9,[6]HISTOAVRIL23!$A$6:$AV$45,41,0)</f>
        <v>0</v>
      </c>
      <c r="J9" s="7">
        <f>TONTMARS23!F9+TONTMARS23!G9</f>
        <v>0</v>
      </c>
      <c r="K9" s="7">
        <f>VLOOKUP($A9,[6]HISTOAVRIL23!$A$6:$AV$45,17,0)</f>
        <v>0</v>
      </c>
      <c r="L9" s="7" t="str">
        <f>IF(K9&lt;&gt;0,VLOOKUP($A9,[6]HISTOAVRIL23!$A$6:$BB$45,8,0),"ECHEC")</f>
        <v>ECHEC</v>
      </c>
      <c r="M9" s="7">
        <f>IF(P9=0,0,VLOOKUP($A9,[6]HISTOAVRIL23!$A$6:$AV$45,32,0))</f>
        <v>0</v>
      </c>
      <c r="N9" s="7">
        <f>VLOOKUP($A9,[6]HISTOAVRIL23!$A$6:$AV$45,33,0)</f>
        <v>0</v>
      </c>
      <c r="O9" s="7">
        <f t="shared" si="0"/>
        <v>0</v>
      </c>
      <c r="P9" s="7">
        <f>VLOOKUP($A9,[6]HISTOAVRIL23!$A$6:$AV$45,30,0)</f>
        <v>0</v>
      </c>
    </row>
    <row r="10" spans="1:16" x14ac:dyDescent="0.25">
      <c r="A10" s="1" t="s">
        <v>19</v>
      </c>
      <c r="B10" s="7">
        <f>IF(D10=0,0,VLOOKUP($A10,[6]HISTOAVRIL23!$A$6:$BB$45,12,0))</f>
        <v>1</v>
      </c>
      <c r="C10" s="1" t="str">
        <f>VLOOKUP(A10,[7]LISTADHERENT!A$5:H$60,3,0)</f>
        <v>HOTCHO BENJAMIN</v>
      </c>
      <c r="D10" s="7">
        <f>IF(E10="ECHEC",0,VLOOKUP($A10,[6]HISTOAVRIL23!$A$7:$AR$45,13,0))</f>
        <v>75000</v>
      </c>
      <c r="E10" s="7" t="str">
        <f>VLOOKUP($A10,[6]HISTOAVRIL23!$A$7:$AV$45,8,0)</f>
        <v>BANQUE</v>
      </c>
      <c r="F10" s="7">
        <f>VLOOKUP($A10,[6]HISTOAVRIL23!$A$6:$AV$45,36,0)</f>
        <v>0</v>
      </c>
      <c r="G10" s="7">
        <f>VLOOKUP($A10,[6]HISTOAVRIL23!$A$6:$AV$45,39,0)</f>
        <v>0</v>
      </c>
      <c r="H10" s="7">
        <f>IF(G10=0,0,VLOOKUP($A10,[6]HISTOAVRIL23!$A$6:$AV$45,42,0))</f>
        <v>0</v>
      </c>
      <c r="I10" s="7">
        <f>VLOOKUP($A10,[6]HISTOAVRIL23!$A$6:$AV$45,41,0)</f>
        <v>0</v>
      </c>
      <c r="J10" s="7">
        <f>TONTMARS23!F10+TONTMARS23!G10</f>
        <v>0</v>
      </c>
      <c r="K10" s="7">
        <f>VLOOKUP($A10,[6]HISTOAVRIL23!$A$6:$AV$45,17,0)</f>
        <v>0</v>
      </c>
      <c r="L10" s="7" t="str">
        <f>IF(K10&lt;&gt;0,VLOOKUP($A10,[6]HISTOAVRIL23!$A$6:$BB$45,8,0),"ECHEC")</f>
        <v>ECHEC</v>
      </c>
      <c r="M10" s="7">
        <f>IF(P10=0,0,VLOOKUP($A10,[6]HISTOAVRIL23!$A$6:$AV$45,32,0))</f>
        <v>0</v>
      </c>
      <c r="N10" s="7">
        <f>VLOOKUP($A10,[6]HISTOAVRIL23!$A$6:$AV$45,33,0)</f>
        <v>0</v>
      </c>
      <c r="O10" s="7">
        <f t="shared" si="0"/>
        <v>0</v>
      </c>
      <c r="P10" s="7">
        <f>VLOOKUP($A10,[6]HISTOAVRIL23!$A$6:$AV$45,30,0)</f>
        <v>0</v>
      </c>
    </row>
    <row r="11" spans="1:16" x14ac:dyDescent="0.25">
      <c r="A11" s="1" t="s">
        <v>27</v>
      </c>
      <c r="B11" s="7">
        <f>IF(D11=0,0,VLOOKUP($A11,[6]HISTOAVRIL23!$A$6:$BB$45,12,0))</f>
        <v>1</v>
      </c>
      <c r="C11" s="1" t="str">
        <f>VLOOKUP(A11,[7]LISTADHERENT!A$5:H$60,3,0)</f>
        <v>HENGUE PAUL OMER</v>
      </c>
      <c r="D11" s="7">
        <f>IF(E11="ECHEC",0,VLOOKUP($A11,[6]HISTOAVRIL23!$A$7:$AR$45,13,0))</f>
        <v>75000</v>
      </c>
      <c r="E11" s="7" t="str">
        <f>VLOOKUP($A11,[6]HISTOAVRIL23!$A$7:$AV$45,8,0)</f>
        <v>BANQUE</v>
      </c>
      <c r="F11" s="7">
        <f>VLOOKUP($A11,[6]HISTOAVRIL23!$A$6:$AV$45,36,0)</f>
        <v>0</v>
      </c>
      <c r="G11" s="7">
        <f>VLOOKUP($A11,[6]HISTOAVRIL23!$A$6:$AV$45,39,0)</f>
        <v>0</v>
      </c>
      <c r="H11" s="7">
        <f>IF(G11=0,0,VLOOKUP($A11,[6]HISTOAVRIL23!$A$6:$AV$45,42,0))</f>
        <v>0</v>
      </c>
      <c r="I11" s="7">
        <f>VLOOKUP($A11,[6]HISTOAVRIL23!$A$6:$AV$45,41,0)</f>
        <v>0</v>
      </c>
      <c r="J11" s="7">
        <f>TONTMARS23!F11+TONTMARS23!G11</f>
        <v>0</v>
      </c>
      <c r="K11" s="7">
        <f>VLOOKUP($A11,[6]HISTOAVRIL23!$A$6:$AV$45,17,0)</f>
        <v>0</v>
      </c>
      <c r="L11" s="7" t="str">
        <f>IF(K11&lt;&gt;0,VLOOKUP($A11,[6]HISTOAVRIL23!$A$6:$BB$45,8,0),"ECHEC")</f>
        <v>ECHEC</v>
      </c>
      <c r="M11" s="7">
        <f>IF(P11=0,0,VLOOKUP($A11,[6]HISTOAVRIL23!$A$6:$AV$45,32,0))</f>
        <v>0</v>
      </c>
      <c r="N11" s="7">
        <f>VLOOKUP($A11,[6]HISTOAVRIL23!$A$6:$AV$45,33,0)</f>
        <v>0</v>
      </c>
      <c r="O11" s="7">
        <f t="shared" si="0"/>
        <v>0</v>
      </c>
      <c r="P11" s="7">
        <f>VLOOKUP($A11,[6]HISTOAVRIL23!$A$6:$AV$45,30,0)</f>
        <v>0</v>
      </c>
    </row>
    <row r="12" spans="1:16" x14ac:dyDescent="0.25">
      <c r="A12" s="1" t="s">
        <v>8</v>
      </c>
      <c r="B12" s="7">
        <f>IF(D12=0,0,VLOOKUP($A12,[6]HISTOAVRIL23!$A$6:$BB$45,12,0))</f>
        <v>1</v>
      </c>
      <c r="C12" s="1" t="str">
        <f>VLOOKUP(A12,[7]LISTADHERENT!A$5:H$60,3,0)</f>
        <v>KOUATCHO MESSACK</v>
      </c>
      <c r="D12" s="7">
        <f>IF(E12="ECHEC",0,VLOOKUP($A12,[6]HISTOAVRIL23!$A$7:$AR$45,13,0))</f>
        <v>75000</v>
      </c>
      <c r="E12" s="7" t="str">
        <f>VLOOKUP($A12,[6]HISTOAVRIL23!$A$7:$AV$45,8,0)</f>
        <v>BANQUE</v>
      </c>
      <c r="F12" s="7">
        <f>VLOOKUP($A12,[6]HISTOAVRIL23!$A$6:$AV$45,36,0)</f>
        <v>100000</v>
      </c>
      <c r="G12" s="7">
        <f>VLOOKUP($A12,[6]HISTOAVRIL23!$A$6:$AV$45,39,0)</f>
        <v>1000</v>
      </c>
      <c r="H12" s="7" t="str">
        <f>IF(G12=0,0,VLOOKUP($A12,[6]HISTOAVRIL23!$A$6:$AV$45,42,0))</f>
        <v>BANQUE</v>
      </c>
      <c r="I12" s="7">
        <f>VLOOKUP($A12,[6]HISTOAVRIL23!$A$6:$AV$45,41,0)</f>
        <v>0</v>
      </c>
      <c r="J12" s="7">
        <f>TONTMARS23!F12+TONTMARS23!G12</f>
        <v>0</v>
      </c>
      <c r="K12" s="7">
        <f>VLOOKUP($A12,[6]HISTOAVRIL23!$A$6:$AV$45,17,0)</f>
        <v>0</v>
      </c>
      <c r="L12" s="7" t="str">
        <f>IF(K12&lt;&gt;0,VLOOKUP($A12,[6]HISTOAVRIL23!$A$6:$BB$45,8,0),"ECHEC")</f>
        <v>ECHEC</v>
      </c>
      <c r="M12" s="7">
        <f>IF(P12=0,0,VLOOKUP($A12,[6]HISTOAVRIL23!$A$6:$AV$45,32,0))</f>
        <v>0</v>
      </c>
      <c r="N12" s="7">
        <f>VLOOKUP($A12,[6]HISTOAVRIL23!$A$6:$AV$45,33,0)</f>
        <v>0</v>
      </c>
      <c r="O12" s="7">
        <f t="shared" si="0"/>
        <v>887000</v>
      </c>
      <c r="P12" s="7">
        <f>VLOOKUP($A12,[6]HISTOAVRIL23!$A$6:$AV$45,30,0)</f>
        <v>13000</v>
      </c>
    </row>
    <row r="13" spans="1:16" x14ac:dyDescent="0.25">
      <c r="A13" s="1" t="s">
        <v>22</v>
      </c>
      <c r="B13" s="7">
        <f>IF(D13=0,0,VLOOKUP($A13,[6]HISTOAVRIL23!$A$6:$BB$45,12,0))</f>
        <v>1</v>
      </c>
      <c r="C13" s="1" t="str">
        <f>VLOOKUP(A13,[7]LISTADHERENT!A$5:H$60,3,0)</f>
        <v>MBOGNING TUGMA GUY</v>
      </c>
      <c r="D13" s="7">
        <f>IF(E13="ECHEC",0,VLOOKUP($A13,[6]HISTOAVRIL23!$A$7:$AR$45,13,0))</f>
        <v>75000</v>
      </c>
      <c r="E13" s="7" t="str">
        <f>VLOOKUP($A13,[6]HISTOAVRIL23!$A$7:$AV$45,8,0)</f>
        <v>BANQUE</v>
      </c>
      <c r="F13" s="7">
        <f>VLOOKUP($A13,[6]HISTOAVRIL23!$A$6:$AV$45,36,0)</f>
        <v>0</v>
      </c>
      <c r="G13" s="7">
        <f>VLOOKUP($A13,[6]HISTOAVRIL23!$A$6:$AV$45,39,0)</f>
        <v>0</v>
      </c>
      <c r="H13" s="7">
        <f>IF(G13=0,0,VLOOKUP($A13,[6]HISTOAVRIL23!$A$6:$AV$45,42,0))</f>
        <v>0</v>
      </c>
      <c r="I13" s="7">
        <f>VLOOKUP($A13,[6]HISTOAVRIL23!$A$6:$AV$45,41,0)</f>
        <v>0</v>
      </c>
      <c r="J13" s="7">
        <f>TONTMARS23!F13+TONTMARS23!G13</f>
        <v>0</v>
      </c>
      <c r="K13" s="7">
        <f>VLOOKUP($A13,[6]HISTOAVRIL23!$A$6:$AV$45,17,0)</f>
        <v>0</v>
      </c>
      <c r="L13" s="7" t="str">
        <f>IF(K13&lt;&gt;0,VLOOKUP($A13,[6]HISTOAVRIL23!$A$6:$BB$45,8,0),"ECHEC")</f>
        <v>ECHEC</v>
      </c>
      <c r="M13" s="7">
        <f>IF(P13=0,0,VLOOKUP($A13,[6]HISTOAVRIL23!$A$6:$AV$45,32,0))</f>
        <v>0</v>
      </c>
      <c r="N13" s="7">
        <f>VLOOKUP($A13,[6]HISTOAVRIL23!$A$6:$AV$45,33,0)</f>
        <v>0</v>
      </c>
      <c r="O13" s="7">
        <f t="shared" si="0"/>
        <v>0</v>
      </c>
      <c r="P13" s="7">
        <f>VLOOKUP($A13,[6]HISTOAVRIL23!$A$6:$AV$45,30,0)</f>
        <v>0</v>
      </c>
    </row>
    <row r="14" spans="1:16" x14ac:dyDescent="0.25">
      <c r="A14" s="1" t="s">
        <v>9</v>
      </c>
      <c r="B14" s="7">
        <f>IF(D14=0,0,VLOOKUP($A14,[6]HISTOAVRIL23!$A$6:$BB$45,12,0))</f>
        <v>1</v>
      </c>
      <c r="C14" s="1" t="str">
        <f>VLOOKUP(A14,[7]LISTADHERENT!A$5:H$60,3,0)</f>
        <v>NANKAM APPOLINAIRE</v>
      </c>
      <c r="D14" s="7">
        <f>IF(E14="ECHEC",0,VLOOKUP($A14,[6]HISTOAVRIL23!$A$7:$AR$45,13,0))</f>
        <v>75000</v>
      </c>
      <c r="E14" s="7" t="str">
        <f>VLOOKUP($A14,[6]HISTOAVRIL23!$A$7:$AV$45,8,0)</f>
        <v>BANQUE</v>
      </c>
      <c r="F14" s="7">
        <f>VLOOKUP($A14,[6]HISTOAVRIL23!$A$6:$AV$45,36,0)</f>
        <v>0</v>
      </c>
      <c r="G14" s="7">
        <f>VLOOKUP($A14,[6]HISTOAVRIL23!$A$6:$AV$45,39,0)</f>
        <v>0</v>
      </c>
      <c r="H14" s="7">
        <f>IF(G14=0,0,VLOOKUP($A14,[6]HISTOAVRIL23!$A$6:$AV$45,42,0))</f>
        <v>0</v>
      </c>
      <c r="I14" s="7">
        <f>VLOOKUP($A14,[6]HISTOAVRIL23!$A$6:$AV$45,41,0)</f>
        <v>0</v>
      </c>
      <c r="J14" s="7">
        <f>TONTMARS23!F14+TONTMARS23!G14</f>
        <v>0</v>
      </c>
      <c r="K14" s="7">
        <f>VLOOKUP($A14,[6]HISTOAVRIL23!$A$6:$AV$45,17,0)</f>
        <v>0</v>
      </c>
      <c r="L14" s="7" t="str">
        <f>IF(K14&lt;&gt;0,VLOOKUP($A14,[6]HISTOAVRIL23!$A$6:$BB$45,8,0),"ECHEC")</f>
        <v>ECHEC</v>
      </c>
      <c r="M14" s="7">
        <f>IF(P14=0,0,VLOOKUP($A14,[6]HISTOAVRIL23!$A$6:$AV$45,32,0))</f>
        <v>0</v>
      </c>
      <c r="N14" s="7">
        <f>VLOOKUP($A14,[6]HISTOAVRIL23!$A$6:$AV$45,33,0)</f>
        <v>0</v>
      </c>
      <c r="O14" s="7">
        <f t="shared" si="0"/>
        <v>0</v>
      </c>
      <c r="P14" s="7">
        <f>VLOOKUP($A14,[6]HISTOAVRIL23!$A$6:$AV$45,30,0)</f>
        <v>0</v>
      </c>
    </row>
    <row r="15" spans="1:16" x14ac:dyDescent="0.25">
      <c r="A15" s="1" t="s">
        <v>37</v>
      </c>
      <c r="B15" s="7">
        <f>IF(D15=0,0,VLOOKUP($A15,[6]HISTOAVRIL23!$A$6:$BB$45,12,0))</f>
        <v>1</v>
      </c>
      <c r="C15" s="1" t="str">
        <f>VLOOKUP(A15,[7]LISTADHERENT!A$5:H$60,3,0)</f>
        <v>NGONDIEP CLAUDE</v>
      </c>
      <c r="D15" s="7">
        <f>IF(E15="ECHEC",0,VLOOKUP($A15,[6]HISTOAVRIL23!$A$7:$AR$45,13,0))</f>
        <v>75000</v>
      </c>
      <c r="E15" s="7" t="str">
        <f>VLOOKUP($A15,[6]HISTOAVRIL23!$A$7:$AV$45,8,0)</f>
        <v>BANQUE</v>
      </c>
      <c r="F15" s="7">
        <f>VLOOKUP($A15,[6]HISTOAVRIL23!$A$6:$AV$45,36,0)</f>
        <v>0</v>
      </c>
      <c r="G15" s="7">
        <f>VLOOKUP($A15,[6]HISTOAVRIL23!$A$6:$AV$45,39,0)</f>
        <v>0</v>
      </c>
      <c r="H15" s="7">
        <f>IF(G15=0,0,VLOOKUP($A15,[6]HISTOAVRIL23!$A$6:$AV$45,42,0))</f>
        <v>0</v>
      </c>
      <c r="I15" s="7">
        <f>VLOOKUP($A15,[6]HISTOAVRIL23!$A$6:$AV$45,41,0)</f>
        <v>0</v>
      </c>
      <c r="J15" s="7">
        <f>TONTMARS23!F15+TONTMARS23!G15</f>
        <v>0</v>
      </c>
      <c r="K15" s="7">
        <f>VLOOKUP($A15,[6]HISTOAVRIL23!$A$6:$AV$45,17,0)</f>
        <v>0</v>
      </c>
      <c r="L15" s="7" t="str">
        <f>IF(K15&lt;&gt;0,VLOOKUP($A15,[6]HISTOAVRIL23!$A$6:$BB$45,8,0),"ECHEC")</f>
        <v>ECHEC</v>
      </c>
      <c r="M15" s="7">
        <f>IF(P15=0,0,VLOOKUP($A15,[6]HISTOAVRIL23!$A$6:$AV$45,32,0))</f>
        <v>0</v>
      </c>
      <c r="N15" s="7">
        <f>VLOOKUP($A15,[6]HISTOAVRIL23!$A$6:$AV$45,33,0)</f>
        <v>0</v>
      </c>
      <c r="O15" s="7">
        <f t="shared" si="0"/>
        <v>0</v>
      </c>
      <c r="P15" s="7">
        <f>VLOOKUP($A15,[6]HISTOAVRIL23!$A$6:$AV$45,30,0)</f>
        <v>0</v>
      </c>
    </row>
    <row r="16" spans="1:16" x14ac:dyDescent="0.25">
      <c r="A16" s="1" t="s">
        <v>21</v>
      </c>
      <c r="B16" s="7">
        <f>IF(D16=0,0,VLOOKUP($A16,[6]HISTOAVRIL23!$A$6:$BB$45,12,0))</f>
        <v>2</v>
      </c>
      <c r="C16" s="1" t="str">
        <f>VLOOKUP(A16,[7]LISTADHERENT!A$5:H$60,3,0)</f>
        <v>NGUIEMEGNI MATHIEU BLAISE</v>
      </c>
      <c r="D16" s="7">
        <f>IF(E16="ECHEC",0,VLOOKUP($A16,[6]HISTOAVRIL23!$A$7:$AR$45,13,0))</f>
        <v>150000</v>
      </c>
      <c r="E16" s="7" t="str">
        <f>VLOOKUP($A16,[6]HISTOAVRIL23!$A$7:$AV$45,8,0)</f>
        <v>BANQUE</v>
      </c>
      <c r="F16" s="7">
        <f>VLOOKUP($A16,[6]HISTOAVRIL23!$A$6:$AV$45,36,0)</f>
        <v>0</v>
      </c>
      <c r="G16" s="7">
        <f>VLOOKUP($A16,[6]HISTOAVRIL23!$A$6:$AV$45,39,0)</f>
        <v>0</v>
      </c>
      <c r="H16" s="7">
        <f>IF(G16=0,0,VLOOKUP($A16,[6]HISTOAVRIL23!$A$6:$AV$45,42,0))</f>
        <v>0</v>
      </c>
      <c r="I16" s="7">
        <f>VLOOKUP($A16,[6]HISTOAVRIL23!$A$6:$AV$45,41,0)</f>
        <v>0</v>
      </c>
      <c r="J16" s="7">
        <f>TONTMARS23!F16+TONTMARS23!G16</f>
        <v>0</v>
      </c>
      <c r="K16" s="7">
        <f>VLOOKUP($A16,[6]HISTOAVRIL23!$A$6:$AV$45,17,0)</f>
        <v>0</v>
      </c>
      <c r="L16" s="7" t="str">
        <f>IF(K16&lt;&gt;0,VLOOKUP($A16,[6]HISTOAVRIL23!$A$6:$BB$45,8,0),"ECHEC")</f>
        <v>ECHEC</v>
      </c>
      <c r="M16" s="7">
        <f>IF(P16=0,0,VLOOKUP($A16,[6]HISTOAVRIL23!$A$6:$AV$45,32,0))</f>
        <v>0</v>
      </c>
      <c r="N16" s="7">
        <f>VLOOKUP($A16,[6]HISTOAVRIL23!$A$6:$AV$45,33,0)</f>
        <v>0</v>
      </c>
      <c r="O16" s="7">
        <f t="shared" si="0"/>
        <v>0</v>
      </c>
      <c r="P16" s="7">
        <f>VLOOKUP($A16,[6]HISTOAVRIL23!$A$6:$AV$45,30,0)</f>
        <v>0</v>
      </c>
    </row>
    <row r="17" spans="1:16" x14ac:dyDescent="0.25">
      <c r="A17" s="1" t="s">
        <v>28</v>
      </c>
      <c r="B17" s="7">
        <f>IF(D17=0,0,VLOOKUP($A17,[6]HISTOAVRIL23!$A$6:$BB$45,12,0))</f>
        <v>1</v>
      </c>
      <c r="C17" s="1" t="str">
        <f>VLOOKUP(A17,[7]LISTADHERENT!A$5:H$60,3,0)</f>
        <v>PATEGO NJOSSU GUSTAVE</v>
      </c>
      <c r="D17" s="7">
        <f>IF(E17="ECHEC",0,VLOOKUP($A17,[6]HISTOAVRIL23!$A$7:$AR$45,13,0))</f>
        <v>75000</v>
      </c>
      <c r="E17" s="7" t="str">
        <f>VLOOKUP($A17,[6]HISTOAVRIL23!$A$7:$AV$45,8,0)</f>
        <v>BANQUE</v>
      </c>
      <c r="F17" s="7">
        <f>VLOOKUP($A17,[6]HISTOAVRIL23!$A$6:$AV$45,36,0)</f>
        <v>0</v>
      </c>
      <c r="G17" s="7">
        <f>VLOOKUP($A17,[6]HISTOAVRIL23!$A$6:$AV$45,39,0)</f>
        <v>0</v>
      </c>
      <c r="H17" s="7">
        <f>IF(G17=0,0,VLOOKUP($A17,[6]HISTOAVRIL23!$A$6:$AV$45,42,0))</f>
        <v>0</v>
      </c>
      <c r="I17" s="7">
        <f>VLOOKUP($A17,[6]HISTOAVRIL23!$A$6:$AV$45,41,0)</f>
        <v>0</v>
      </c>
      <c r="J17" s="7">
        <f>TONTMARS23!F17+TONTMARS23!G17</f>
        <v>0</v>
      </c>
      <c r="K17" s="7">
        <f>VLOOKUP($A17,[6]HISTOAVRIL23!$A$6:$AV$45,17,0)</f>
        <v>0</v>
      </c>
      <c r="L17" s="7" t="str">
        <f>IF(K17&lt;&gt;0,VLOOKUP($A17,[6]HISTOAVRIL23!$A$6:$BB$45,8,0),"ECHEC")</f>
        <v>ECHEC</v>
      </c>
      <c r="M17" s="7">
        <f>IF(P17=0,0,VLOOKUP($A17,[6]HISTOAVRIL23!$A$6:$AV$45,32,0))</f>
        <v>0</v>
      </c>
      <c r="N17" s="7">
        <f>VLOOKUP($A17,[6]HISTOAVRIL23!$A$6:$AV$45,33,0)</f>
        <v>0</v>
      </c>
      <c r="O17" s="7">
        <f t="shared" si="0"/>
        <v>0</v>
      </c>
      <c r="P17" s="7">
        <f>VLOOKUP($A17,[6]HISTOAVRIL23!$A$6:$AV$45,30,0)</f>
        <v>0</v>
      </c>
    </row>
    <row r="18" spans="1:16" x14ac:dyDescent="0.25">
      <c r="A18" s="9" t="s">
        <v>36</v>
      </c>
      <c r="B18" s="7">
        <f>IF(D18=0,0,VLOOKUP($A18,[6]HISTOAVRIL23!$A$6:$BB$45,12,0))</f>
        <v>1</v>
      </c>
      <c r="C18" s="1" t="str">
        <f>VLOOKUP(A18,[7]LISTADHERENT!A$5:H$60,3,0)</f>
        <v>SIME BRICE</v>
      </c>
      <c r="D18" s="7">
        <f>IF(E18="ECHEC",0,VLOOKUP($A18,[6]HISTOAVRIL23!$A$7:$AR$45,13,0))</f>
        <v>75000</v>
      </c>
      <c r="E18" s="7" t="str">
        <f>VLOOKUP($A18,[6]HISTOAVRIL23!$A$7:$AV$45,8,0)</f>
        <v>BANQUE</v>
      </c>
      <c r="F18" s="7">
        <f>VLOOKUP($A18,[6]HISTOAVRIL23!$A$6:$AV$45,36,0)</f>
        <v>0</v>
      </c>
      <c r="G18" s="7">
        <f>VLOOKUP($A18,[6]HISTOAVRIL23!$A$6:$AV$45,39,0)</f>
        <v>0</v>
      </c>
      <c r="H18" s="7">
        <f>IF(G18=0,0,VLOOKUP($A18,[6]HISTOAVRIL23!$A$6:$AV$45,42,0))</f>
        <v>0</v>
      </c>
      <c r="I18" s="7">
        <f>VLOOKUP($A18,[6]HISTOAVRIL23!$A$6:$AV$45,41,0)</f>
        <v>0</v>
      </c>
      <c r="J18" s="7">
        <f>TONTMARS23!F18+TONTMARS23!G18</f>
        <v>0</v>
      </c>
      <c r="K18" s="7">
        <f>VLOOKUP($A18,[6]HISTOAVRIL23!$A$6:$AV$45,17,0)</f>
        <v>0</v>
      </c>
      <c r="L18" s="7" t="str">
        <f>IF(K18&lt;&gt;0,VLOOKUP($A18,[6]HISTOAVRIL23!$A$6:$BB$45,8,0),"ECHEC")</f>
        <v>ECHEC</v>
      </c>
      <c r="M18" s="7">
        <f>IF(P18=0,0,VLOOKUP($A18,[6]HISTOAVRIL23!$A$6:$AV$45,32,0))</f>
        <v>0</v>
      </c>
      <c r="N18" s="7">
        <f>VLOOKUP($A18,[6]HISTOAVRIL23!$A$6:$AV$45,33,0)</f>
        <v>0</v>
      </c>
      <c r="O18" s="7">
        <f t="shared" si="0"/>
        <v>0</v>
      </c>
      <c r="P18" s="7">
        <f>VLOOKUP($A18,[6]HISTOAVRIL23!$A$6:$AV$45,30,0)</f>
        <v>0</v>
      </c>
    </row>
    <row r="19" spans="1:16" x14ac:dyDescent="0.25">
      <c r="A19" s="9" t="s">
        <v>50</v>
      </c>
      <c r="B19" s="7">
        <f>IF(D19=0,0,VLOOKUP($A19,[6]HISTOAVRIL23!$A$6:$BB$45,12,0))</f>
        <v>1</v>
      </c>
      <c r="C19" s="1" t="str">
        <f>VLOOKUP(A19,[7]LISTADHERENT!A$5:H$60,3,0)</f>
        <v>TCHOUAMOU MATHIEU</v>
      </c>
      <c r="D19" s="7">
        <f>IF(E19="ECHEC",0,VLOOKUP($A19,[6]HISTOAVRIL23!$A$7:$AR$45,13,0))</f>
        <v>75000</v>
      </c>
      <c r="E19" s="7" t="str">
        <f>VLOOKUP($A19,[6]HISTOAVRIL23!$A$7:$AV$45,8,0)</f>
        <v>BANQUE</v>
      </c>
      <c r="F19" s="7">
        <f>VLOOKUP($A19,[6]HISTOAVRIL23!$A$6:$AV$45,36,0)</f>
        <v>138000</v>
      </c>
      <c r="G19" s="7">
        <f>VLOOKUP($A19,[6]HISTOAVRIL23!$A$6:$AV$45,39,0)</f>
        <v>2000</v>
      </c>
      <c r="H19" s="7" t="str">
        <f>IF(G19=0,0,VLOOKUP($A19,[6]HISTOAVRIL23!$A$6:$AV$45,42,0))</f>
        <v>BANQUE</v>
      </c>
      <c r="I19" s="7">
        <f>VLOOKUP($A19,[6]HISTOAVRIL23!$A$6:$AV$45,41,0)</f>
        <v>0</v>
      </c>
      <c r="J19" s="7">
        <f>TONTMARS23!F19+TONTMARS23!G19</f>
        <v>0</v>
      </c>
      <c r="K19" s="7">
        <f>VLOOKUP($A19,[6]HISTOAVRIL23!$A$6:$AV$45,17,0)</f>
        <v>0</v>
      </c>
      <c r="L19" s="7" t="str">
        <f>IF(K19&lt;&gt;0,VLOOKUP($A19,[6]HISTOAVRIL23!$A$6:$BB$45,8,0),"ECHEC")</f>
        <v>ECHEC</v>
      </c>
      <c r="M19" s="7">
        <f>IF(P19=0,0,VLOOKUP($A19,[6]HISTOAVRIL23!$A$6:$AV$45,32,0))</f>
        <v>0</v>
      </c>
      <c r="N19" s="7">
        <f>VLOOKUP($A19,[6]HISTOAVRIL23!$A$6:$AV$45,33,0)</f>
        <v>0</v>
      </c>
      <c r="O19" s="7">
        <f t="shared" si="0"/>
        <v>0</v>
      </c>
      <c r="P19" s="7">
        <f>VLOOKUP($A19,[6]HISTOAVRIL23!$A$6:$AV$45,30,0)</f>
        <v>0</v>
      </c>
    </row>
    <row r="20" spans="1:16" x14ac:dyDescent="0.25">
      <c r="A20" s="1" t="s">
        <v>20</v>
      </c>
      <c r="B20" s="7">
        <f>IF(D20=0,0,VLOOKUP($A20,[6]HISTOAVRIL23!$A$6:$BB$45,12,0))</f>
        <v>2</v>
      </c>
      <c r="C20" s="1" t="str">
        <f>VLOOKUP(A20,[7]LISTADHERENT!A$5:H$60,3,0)</f>
        <v>YOUMBI EMMANUEL</v>
      </c>
      <c r="D20" s="7">
        <f>IF(E20="ECHEC",0,VLOOKUP($A20,[6]HISTOAVRIL23!$A$7:$AR$45,13,0))</f>
        <v>150000</v>
      </c>
      <c r="E20" s="7" t="str">
        <f>VLOOKUP($A20,[6]HISTOAVRIL23!$A$7:$AV$45,8,0)</f>
        <v>BANQUE</v>
      </c>
      <c r="F20" s="7">
        <f>VLOOKUP($A20,[6]HISTOAVRIL23!$A$6:$AV$45,36,0)</f>
        <v>0</v>
      </c>
      <c r="G20" s="7">
        <f>VLOOKUP($A20,[6]HISTOAVRIL23!$A$6:$AV$45,39,0)</f>
        <v>0</v>
      </c>
      <c r="H20" s="7">
        <f>IF(G20=0,0,VLOOKUP($A20,[6]HISTOAVRIL23!$A$6:$AV$45,42,0))</f>
        <v>0</v>
      </c>
      <c r="I20" s="7">
        <f>VLOOKUP($A20,[6]HISTOAVRIL23!$A$6:$AV$45,41,0)</f>
        <v>0</v>
      </c>
      <c r="J20" s="7">
        <f>TONTMARS23!F20+TONTMARS23!G20</f>
        <v>0</v>
      </c>
      <c r="K20" s="7">
        <f>VLOOKUP($A20,[6]HISTOAVRIL23!$A$6:$AV$45,17,0)</f>
        <v>0</v>
      </c>
      <c r="L20" s="7" t="str">
        <f>IF(K20&lt;&gt;0,VLOOKUP($A20,[6]HISTOAVRIL23!$A$6:$BB$45,8,0),"ECHEC")</f>
        <v>ECHEC</v>
      </c>
      <c r="M20" s="7">
        <f>IF(P20=0,0,VLOOKUP($A20,[6]HISTOAVRIL23!$A$6:$AV$45,32,0))</f>
        <v>0</v>
      </c>
      <c r="N20" s="7">
        <f>VLOOKUP($A20,[6]HISTOAVRIL23!$A$6:$AV$45,33,0)</f>
        <v>0</v>
      </c>
      <c r="O20" s="7">
        <f t="shared" si="0"/>
        <v>0</v>
      </c>
      <c r="P20" s="7">
        <f>VLOOKUP($A20,[6]HISTOAVRIL23!$A$6:$AV$45,30,0)</f>
        <v>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1">SUM(D6:D22)</f>
        <v>1275000</v>
      </c>
      <c r="E23" s="8">
        <f t="shared" si="1"/>
        <v>0</v>
      </c>
      <c r="F23" s="8">
        <f t="shared" si="1"/>
        <v>388000</v>
      </c>
      <c r="G23" s="8">
        <f t="shared" si="1"/>
        <v>5000</v>
      </c>
      <c r="H23" s="8">
        <f t="shared" si="1"/>
        <v>0</v>
      </c>
      <c r="I23" s="8">
        <f t="shared" si="1"/>
        <v>0</v>
      </c>
      <c r="J23" s="8">
        <f t="shared" si="1"/>
        <v>0</v>
      </c>
      <c r="K23" s="8">
        <f t="shared" si="1"/>
        <v>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887000</v>
      </c>
      <c r="P23" s="8">
        <f t="shared" si="1"/>
        <v>13000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D29+E29+P23+TONTMARS23!M30</f>
        <v>1683000</v>
      </c>
      <c r="L25" s="5"/>
      <c r="M25"/>
      <c r="N25" s="5"/>
    </row>
    <row r="26" spans="1:16" s="2" customFormat="1" ht="18" x14ac:dyDescent="0.25">
      <c r="D26" s="8">
        <f>SUMIFS(D6:D22,E6:E22,"ESPECES")</f>
        <v>0</v>
      </c>
      <c r="E26" s="8">
        <f>SUMIFS(K7:K17,L7:L17,"ESPECES")</f>
        <v>0</v>
      </c>
      <c r="F26" s="8">
        <f>SUMIFS(F7:F20,H7:H20,"ESPECES")</f>
        <v>0</v>
      </c>
      <c r="G26" s="8">
        <f>SUMIFS(O7:O22,M7:M22,"ESPECES")</f>
        <v>0</v>
      </c>
      <c r="H26" s="8">
        <f>D26+E26-F26-G26</f>
        <v>0</v>
      </c>
      <c r="I26" s="8"/>
      <c r="J26" s="8" t="s">
        <v>33</v>
      </c>
      <c r="K26" s="8">
        <f>C3*COUNTIF(O7:O22,"&gt;0")</f>
        <v>900000</v>
      </c>
      <c r="L26" s="8">
        <f>D3</f>
        <v>1</v>
      </c>
      <c r="M26" s="8">
        <f>COUNTIF(O7:O17,"&gt;0")</f>
        <v>1</v>
      </c>
      <c r="N26" s="8"/>
    </row>
    <row r="27" spans="1:16" s="2" customFormat="1" ht="18" x14ac:dyDescent="0.25">
      <c r="D27" s="8">
        <f>SUMIFS(D6:D22,E6:E22,"BANQUE")</f>
        <v>1275000</v>
      </c>
      <c r="E27" s="8">
        <f>SUMIFS(K7:K17,L7:L17,"BANQUE")</f>
        <v>0</v>
      </c>
      <c r="F27" s="8">
        <f>SUMIFS(F7:F22,H7:H22,"BANQUE")</f>
        <v>238000</v>
      </c>
      <c r="G27" s="8">
        <f>SUMIFS(O7:O22,M7:M22,"BANQUE")</f>
        <v>0</v>
      </c>
      <c r="H27" s="8">
        <f>D27+E27-F27-G27</f>
        <v>1037000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783000</v>
      </c>
      <c r="L28" s="8"/>
      <c r="M28" s="8"/>
      <c r="N28" s="8"/>
    </row>
    <row r="29" spans="1:16" s="2" customFormat="1" ht="18" x14ac:dyDescent="0.25">
      <c r="D29" s="8">
        <f>D26+D27</f>
        <v>1275000</v>
      </c>
      <c r="E29" s="8">
        <f>E26+E27</f>
        <v>0</v>
      </c>
      <c r="F29" s="8">
        <f>F26+F27</f>
        <v>238000</v>
      </c>
      <c r="G29" s="8">
        <f t="shared" ref="G29:H29" si="2">G26+G27</f>
        <v>0</v>
      </c>
      <c r="H29" s="8">
        <f t="shared" si="2"/>
        <v>1037000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395000</v>
      </c>
      <c r="L30"/>
      <c r="M30" s="8">
        <f>K30</f>
        <v>395000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TONTMARS23!M32+TONTAVRIL23!K32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0</v>
      </c>
      <c r="M33" s="8">
        <f>TONTMARS23!M33+TONTAVRIL23!K33</f>
        <v>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xSplit="3" ySplit="5" topLeftCell="F15" activePane="bottomRight" state="frozen"/>
      <selection activeCell="E16" sqref="E16"/>
      <selection pane="topRight" activeCell="E16" sqref="E16"/>
      <selection pane="bottomLeft" activeCell="E16" sqref="E16"/>
      <selection pane="bottomRight" activeCell="K25" sqref="K25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2</v>
      </c>
      <c r="E3" s="1"/>
      <c r="L3" s="1"/>
      <c r="M3" s="1"/>
    </row>
    <row r="4" spans="1:16" s="12" customFormat="1" ht="18" x14ac:dyDescent="0.25">
      <c r="B4" s="13"/>
      <c r="C4" s="19">
        <v>45059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IF(D6=0,0,VLOOKUP($A6,[6]HISTOMAI23!$A$6:$BB$45,12,0))</f>
        <v>1</v>
      </c>
      <c r="C6" s="1" t="str">
        <f>VLOOKUP(A6,[7]LISTADHERENT!A$5:H$60,3,0)</f>
        <v>ASELBY</v>
      </c>
      <c r="D6" s="7">
        <f>IF(E6="ECHEC",0,VLOOKUP($A6,[6]HISTOMAI23!$A$6:$AR$45,13,0))</f>
        <v>75000</v>
      </c>
      <c r="E6" s="7" t="str">
        <f>VLOOKUP($A6,[6]HISTOMAI23!$A$6:$AV$45,8,0)</f>
        <v>BANQUE</v>
      </c>
      <c r="F6" s="7">
        <f>VLOOKUP($A6,[6]HISTOMAI23!$A$6:$AV$45,36,0)</f>
        <v>0</v>
      </c>
      <c r="G6" s="7">
        <f>VLOOKUP($A6,[6]HISTOMAI23!$A$6:$AV$45,39,0)</f>
        <v>0</v>
      </c>
      <c r="H6" s="7">
        <f>IF(G6=0,0,VLOOKUP($A6,[6]HISTOMAI23!$A$6:$AV$45,42,0))</f>
        <v>0</v>
      </c>
      <c r="I6" s="7">
        <f>VLOOKUP($A6,[6]HISTOMAI23!$A$6:$AV$45,41,0)</f>
        <v>0</v>
      </c>
      <c r="J6" s="7">
        <f>TONTAVRIL23!F6+TONTAVRIL23!G6</f>
        <v>0</v>
      </c>
      <c r="K6" s="7">
        <f>VLOOKUP($A6,[6]HISTOMAI23!$A$6:$AV$45,17,0)</f>
        <v>0</v>
      </c>
      <c r="L6" s="7" t="str">
        <f>IF(K6&lt;&gt;0,VLOOKUP($A6,[6]HISTOMAI23!$A$6:$BB$45,8,0),"ECHEC")</f>
        <v>ECHEC</v>
      </c>
      <c r="M6" s="7">
        <f>IF(P6=0,0,VLOOKUP($A6,[6]HISTOMAI23!$A$6:$AV$45,32,0))</f>
        <v>0</v>
      </c>
      <c r="N6" s="7">
        <f>VLOOKUP($A6,[6]HISTOMAI23!$A$6:$AV$45,33,0)</f>
        <v>0</v>
      </c>
      <c r="O6" s="7">
        <f t="shared" ref="O6:O20" si="0">IF(P6=0,0,($C$3-P6))</f>
        <v>0</v>
      </c>
      <c r="P6" s="7">
        <f>VLOOKUP($A6,[6]HISTOMAI23!$A$6:$AV$45,30,0)</f>
        <v>0</v>
      </c>
    </row>
    <row r="7" spans="1:16" x14ac:dyDescent="0.25">
      <c r="A7" s="1" t="s">
        <v>25</v>
      </c>
      <c r="B7" s="7">
        <f>IF(D7=0,0,VLOOKUP($A7,[6]HISTOMAI23!$A$6:$BB$45,12,0))</f>
        <v>1</v>
      </c>
      <c r="C7" s="1" t="str">
        <f>VLOOKUP(A7,[7]LISTADHERENT!A$5:H$60,3,0)</f>
        <v>BOUTCHOUANG WILLIAM</v>
      </c>
      <c r="D7" s="7">
        <f>IF(E7="ECHEC",0,VLOOKUP($A7,[6]HISTOMAI23!$A$6:$AR$45,13,0))</f>
        <v>75000</v>
      </c>
      <c r="E7" s="7" t="str">
        <f>VLOOKUP($A7,[6]HISTOMAI23!$A$6:$AV$45,8,0)</f>
        <v>BANQUE</v>
      </c>
      <c r="F7" s="7">
        <f>VLOOKUP($A7,[6]HISTOMAI23!$A$6:$AV$45,36,0)</f>
        <v>0</v>
      </c>
      <c r="G7" s="7">
        <f>VLOOKUP($A7,[6]HISTOMAI23!$A$6:$AV$45,39,0)</f>
        <v>0</v>
      </c>
      <c r="H7" s="7">
        <f>IF(G7=0,0,VLOOKUP($A7,[6]HISTOMAI23!$A$6:$AV$45,42,0))</f>
        <v>0</v>
      </c>
      <c r="I7" s="7">
        <f>VLOOKUP($A7,[6]HISTOMAI23!$A$6:$AV$45,41,0)</f>
        <v>0</v>
      </c>
      <c r="J7" s="7">
        <f>TONTAVRIL23!F7+TONTAVRIL23!G7</f>
        <v>0</v>
      </c>
      <c r="K7" s="7">
        <f>VLOOKUP($A7,[6]HISTOMAI23!$A$6:$AV$45,17,0)</f>
        <v>0</v>
      </c>
      <c r="L7" s="7" t="str">
        <f>IF(K7&lt;&gt;0,VLOOKUP($A7,[6]HISTOMAI23!$A$6:$BB$45,8,0),"ECHEC")</f>
        <v>ECHEC</v>
      </c>
      <c r="M7" s="7">
        <f>IF(P7=0,0,VLOOKUP($A7,[6]HISTOMAI23!$A$6:$AV$45,32,0))</f>
        <v>0</v>
      </c>
      <c r="N7" s="7">
        <f>VLOOKUP($A7,[6]HISTOMAI23!$A$6:$AV$45,33,0)</f>
        <v>0</v>
      </c>
      <c r="O7" s="7">
        <f t="shared" si="0"/>
        <v>0</v>
      </c>
      <c r="P7" s="7">
        <f>VLOOKUP($A7,[6]HISTOMAI23!$A$6:$AV$45,30,0)</f>
        <v>0</v>
      </c>
    </row>
    <row r="8" spans="1:16" x14ac:dyDescent="0.25">
      <c r="A8" s="1" t="s">
        <v>26</v>
      </c>
      <c r="B8" s="7">
        <f>IF(D8=0,0,VLOOKUP($A8,[6]HISTOMAI23!$A$6:$BB$45,12,0))</f>
        <v>1</v>
      </c>
      <c r="C8" s="1" t="str">
        <f>VLOOKUP(A8,[7]LISTADHERENT!A$5:H$60,3,0)</f>
        <v>DJOUKWE NANGUEN GUY BLAISE</v>
      </c>
      <c r="D8" s="7">
        <f>IF(E8="ECHEC",0,VLOOKUP($A8,[6]HISTOMAI23!$A$7:$AR$45,13,0))</f>
        <v>75000</v>
      </c>
      <c r="E8" s="7" t="str">
        <f>VLOOKUP($A8,[6]HISTOMAI23!$A$7:$AV$45,8,0)</f>
        <v>BANQUE</v>
      </c>
      <c r="F8" s="7">
        <f>VLOOKUP($A8,[6]HISTOMAI23!$A$6:$AV$45,36,0)</f>
        <v>100000</v>
      </c>
      <c r="G8" s="7">
        <f>VLOOKUP($A8,[6]HISTOMAI23!$A$6:$AV$45,39,0)</f>
        <v>2000</v>
      </c>
      <c r="H8" s="7">
        <f>IF(G8=0,0,VLOOKUP($A8,[6]HISTOMAI23!$A$6:$AV$45,42,0))</f>
        <v>0</v>
      </c>
      <c r="I8" s="7">
        <f>VLOOKUP($A8,[6]HISTOMAI23!$A$6:$AV$45,41,0)</f>
        <v>0</v>
      </c>
      <c r="J8" s="7">
        <f>TONTAVRIL23!F8+TONTAVRIL23!G8</f>
        <v>152000</v>
      </c>
      <c r="K8" s="7">
        <f>VLOOKUP($A8,[6]HISTOMAI23!$A$6:$AV$45,17,0)</f>
        <v>152000</v>
      </c>
      <c r="L8" s="7" t="str">
        <f>IF(K8&lt;&gt;0,VLOOKUP($A8,[6]HISTOMAI23!$A$6:$BB$45,8,0),"ECHEC")</f>
        <v>BANQUE</v>
      </c>
      <c r="M8" s="7">
        <f>IF(P8=0,0,VLOOKUP($A8,[6]HISTOMAI23!$A$6:$AV$45,32,0))</f>
        <v>0</v>
      </c>
      <c r="N8" s="7">
        <f>VLOOKUP($A8,[6]HISTOMAI23!$A$6:$AV$45,33,0)</f>
        <v>0</v>
      </c>
      <c r="O8" s="7">
        <f t="shared" si="0"/>
        <v>0</v>
      </c>
      <c r="P8" s="7">
        <f>VLOOKUP($A8,[6]HISTOMAI23!$A$6:$AV$45,30,0)</f>
        <v>0</v>
      </c>
    </row>
    <row r="9" spans="1:16" x14ac:dyDescent="0.25">
      <c r="A9" s="1" t="s">
        <v>35</v>
      </c>
      <c r="B9" s="7">
        <f>IF(D9=0,0,VLOOKUP($A9,[6]HISTOMAI23!$A$6:$BB$45,12,0))</f>
        <v>1</v>
      </c>
      <c r="C9" s="1" t="str">
        <f>VLOOKUP(A9,[7]LISTADHERENT!A$5:H$60,3,0)</f>
        <v>DJUOMBESSY ANTOINE</v>
      </c>
      <c r="D9" s="7">
        <f>IF(E9="ECHEC",0,VLOOKUP($A9,[6]HISTOMAI23!$A$7:$AR$45,13,0))</f>
        <v>75000</v>
      </c>
      <c r="E9" s="7" t="str">
        <f>VLOOKUP($A9,[6]HISTOMAI23!$A$7:$AV$45,8,0)</f>
        <v>BANQUE</v>
      </c>
      <c r="F9" s="7">
        <f>VLOOKUP($A9,[6]HISTOMAI23!$A$6:$AV$45,36,0)</f>
        <v>38000</v>
      </c>
      <c r="G9" s="7">
        <f>VLOOKUP($A9,[6]HISTOMAI23!$A$6:$AV$45,39,0)</f>
        <v>1000</v>
      </c>
      <c r="H9" s="7">
        <f>IF(G9=0,0,VLOOKUP($A9,[6]HISTOMAI23!$A$6:$AV$45,42,0))</f>
        <v>0</v>
      </c>
      <c r="I9" s="7">
        <f>VLOOKUP($A9,[6]HISTOMAI23!$A$6:$AV$45,41,0)</f>
        <v>0</v>
      </c>
      <c r="J9" s="7">
        <f>TONTAVRIL23!F9+TONTAVRIL23!G9</f>
        <v>0</v>
      </c>
      <c r="K9" s="7">
        <f>VLOOKUP($A9,[6]HISTOMAI23!$A$6:$AV$45,17,0)</f>
        <v>0</v>
      </c>
      <c r="L9" s="7" t="str">
        <f>IF(K9&lt;&gt;0,VLOOKUP($A9,[6]HISTOMAI23!$A$6:$BB$45,8,0),"ECHEC")</f>
        <v>ECHEC</v>
      </c>
      <c r="M9" s="7" t="str">
        <f>IF(P9=0,0,VLOOKUP($A9,[6]HISTOMAI23!$A$6:$AV$45,32,0))</f>
        <v>BANQUE</v>
      </c>
      <c r="N9" s="7">
        <f>VLOOKUP($A9,[6]HISTOMAI23!$A$6:$AV$45,33,0)</f>
        <v>0</v>
      </c>
      <c r="O9" s="7">
        <f t="shared" si="0"/>
        <v>890000</v>
      </c>
      <c r="P9" s="7">
        <f>VLOOKUP($A9,[6]HISTOMAI23!$A$6:$AV$45,30,0)</f>
        <v>10000</v>
      </c>
    </row>
    <row r="10" spans="1:16" x14ac:dyDescent="0.25">
      <c r="A10" s="1" t="s">
        <v>19</v>
      </c>
      <c r="B10" s="7">
        <f>IF(D10=0,0,VLOOKUP($A10,[6]HISTOMAI23!$A$6:$BB$45,12,0))</f>
        <v>1</v>
      </c>
      <c r="C10" s="1" t="str">
        <f>VLOOKUP(A10,[7]LISTADHERENT!A$5:H$60,3,0)</f>
        <v>HOTCHO BENJAMIN</v>
      </c>
      <c r="D10" s="7">
        <f>IF(E10="ECHEC",0,VLOOKUP($A10,[6]HISTOMAI23!$A$7:$AR$45,13,0))</f>
        <v>75000</v>
      </c>
      <c r="E10" s="7" t="str">
        <f>VLOOKUP($A10,[6]HISTOMAI23!$A$7:$AV$45,8,0)</f>
        <v>BANQUE</v>
      </c>
      <c r="F10" s="7">
        <f>VLOOKUP($A10,[6]HISTOMAI23!$A$6:$AV$45,36,0)</f>
        <v>0</v>
      </c>
      <c r="G10" s="7">
        <f>VLOOKUP($A10,[6]HISTOMAI23!$A$6:$AV$45,39,0)</f>
        <v>0</v>
      </c>
      <c r="H10" s="7">
        <f>IF(G10=0,0,VLOOKUP($A10,[6]HISTOMAI23!$A$6:$AV$45,42,0))</f>
        <v>0</v>
      </c>
      <c r="I10" s="7">
        <f>VLOOKUP($A10,[6]HISTOMAI23!$A$6:$AV$45,41,0)</f>
        <v>0</v>
      </c>
      <c r="J10" s="7">
        <f>TONTAVRIL23!F10+TONTAVRIL23!G10</f>
        <v>0</v>
      </c>
      <c r="K10" s="7">
        <f>VLOOKUP($A10,[6]HISTOMAI23!$A$6:$AV$45,17,0)</f>
        <v>0</v>
      </c>
      <c r="L10" s="7" t="str">
        <f>IF(K10&lt;&gt;0,VLOOKUP($A10,[6]HISTOMAI23!$A$6:$BB$45,8,0),"ECHEC")</f>
        <v>ECHEC</v>
      </c>
      <c r="M10" s="7">
        <f>IF(P10=0,0,VLOOKUP($A10,[6]HISTOMAI23!$A$6:$AV$45,32,0))</f>
        <v>0</v>
      </c>
      <c r="N10" s="7">
        <f>VLOOKUP($A10,[6]HISTOMAI23!$A$6:$AV$45,33,0)</f>
        <v>0</v>
      </c>
      <c r="O10" s="7">
        <f t="shared" si="0"/>
        <v>0</v>
      </c>
      <c r="P10" s="7">
        <f>VLOOKUP($A10,[6]HISTOMAI23!$A$6:$AV$45,30,0)</f>
        <v>0</v>
      </c>
    </row>
    <row r="11" spans="1:16" x14ac:dyDescent="0.25">
      <c r="A11" s="1" t="s">
        <v>27</v>
      </c>
      <c r="B11" s="7">
        <f>IF(D11=0,0,VLOOKUP($A11,[6]HISTOMAI23!$A$6:$BB$45,12,0))</f>
        <v>1</v>
      </c>
      <c r="C11" s="1" t="str">
        <f>VLOOKUP(A11,[7]LISTADHERENT!A$5:H$60,3,0)</f>
        <v>HENGUE PAUL OMER</v>
      </c>
      <c r="D11" s="7">
        <f>IF(E11="ECHEC",0,VLOOKUP($A11,[6]HISTOMAI23!$A$7:$AR$45,13,0))</f>
        <v>75000</v>
      </c>
      <c r="E11" s="7" t="str">
        <f>VLOOKUP($A11,[6]HISTOMAI23!$A$7:$AV$45,8,0)</f>
        <v>ESPECES</v>
      </c>
      <c r="F11" s="7">
        <f>VLOOKUP($A11,[6]HISTOMAI23!$A$6:$AV$45,36,0)</f>
        <v>0</v>
      </c>
      <c r="G11" s="7">
        <f>VLOOKUP($A11,[6]HISTOMAI23!$A$6:$AV$45,39,0)</f>
        <v>0</v>
      </c>
      <c r="H11" s="7">
        <f>IF(G11=0,0,VLOOKUP($A11,[6]HISTOMAI23!$A$6:$AV$45,42,0))</f>
        <v>0</v>
      </c>
      <c r="I11" s="7">
        <f>VLOOKUP($A11,[6]HISTOMAI23!$A$6:$AV$45,41,0)</f>
        <v>0</v>
      </c>
      <c r="J11" s="7">
        <f>TONTAVRIL23!F11+TONTAVRIL23!G11</f>
        <v>0</v>
      </c>
      <c r="K11" s="7">
        <f>VLOOKUP($A11,[6]HISTOMAI23!$A$6:$AV$45,17,0)</f>
        <v>0</v>
      </c>
      <c r="L11" s="7" t="str">
        <f>IF(K11&lt;&gt;0,VLOOKUP($A11,[6]HISTOMAI23!$A$6:$BB$45,8,0),"ECHEC")</f>
        <v>ECHEC</v>
      </c>
      <c r="M11" s="7">
        <f>IF(P11=0,0,VLOOKUP($A11,[6]HISTOMAI23!$A$6:$AV$45,32,0))</f>
        <v>0</v>
      </c>
      <c r="N11" s="7">
        <f>VLOOKUP($A11,[6]HISTOMAI23!$A$6:$AV$45,33,0)</f>
        <v>0</v>
      </c>
      <c r="O11" s="7">
        <f t="shared" si="0"/>
        <v>0</v>
      </c>
      <c r="P11" s="7">
        <f>VLOOKUP($A11,[6]HISTOMAI23!$A$6:$AV$45,30,0)</f>
        <v>0</v>
      </c>
    </row>
    <row r="12" spans="1:16" x14ac:dyDescent="0.25">
      <c r="A12" s="1" t="s">
        <v>8</v>
      </c>
      <c r="B12" s="7">
        <f>IF(D12=0,0,VLOOKUP($A12,[6]HISTOMAI23!$A$6:$BB$45,12,0))</f>
        <v>1</v>
      </c>
      <c r="C12" s="1" t="str">
        <f>VLOOKUP(A12,[7]LISTADHERENT!A$5:H$60,3,0)</f>
        <v>KOUATCHO MESSACK</v>
      </c>
      <c r="D12" s="7">
        <f>IF(E12="ECHEC",0,VLOOKUP($A12,[6]HISTOMAI23!$A$7:$AR$45,13,0))</f>
        <v>75000</v>
      </c>
      <c r="E12" s="7" t="str">
        <f>VLOOKUP($A12,[6]HISTOMAI23!$A$7:$AV$45,8,0)</f>
        <v>BANQUE</v>
      </c>
      <c r="F12" s="7">
        <f>VLOOKUP($A12,[6]HISTOMAI23!$A$6:$AV$45,36,0)</f>
        <v>0</v>
      </c>
      <c r="G12" s="7">
        <f>VLOOKUP($A12,[6]HISTOMAI23!$A$6:$AV$45,39,0)</f>
        <v>0</v>
      </c>
      <c r="H12" s="7">
        <f>IF(G12=0,0,VLOOKUP($A12,[6]HISTOMAI23!$A$6:$AV$45,42,0))</f>
        <v>0</v>
      </c>
      <c r="I12" s="7">
        <f>VLOOKUP($A12,[6]HISTOMAI23!$A$6:$AV$45,41,0)</f>
        <v>0</v>
      </c>
      <c r="J12" s="7">
        <f>TONTAVRIL23!F12+TONTAVRIL23!G12</f>
        <v>101000</v>
      </c>
      <c r="K12" s="7">
        <f>VLOOKUP($A12,[6]HISTOMAI23!$A$6:$AV$45,17,0)</f>
        <v>101000</v>
      </c>
      <c r="L12" s="7" t="str">
        <f>IF(K12&lt;&gt;0,VLOOKUP($A12,[6]HISTOMAI23!$A$6:$BB$45,8,0),"ECHEC")</f>
        <v>BANQUE</v>
      </c>
      <c r="M12" s="7">
        <f>IF(P12=0,0,VLOOKUP($A12,[6]HISTOMAI23!$A$6:$AV$45,32,0))</f>
        <v>0</v>
      </c>
      <c r="N12" s="7">
        <f>VLOOKUP($A12,[6]HISTOMAI23!$A$6:$AV$45,33,0)</f>
        <v>0</v>
      </c>
      <c r="O12" s="7">
        <f t="shared" si="0"/>
        <v>0</v>
      </c>
      <c r="P12" s="7">
        <f>VLOOKUP($A12,[6]HISTOMAI23!$A$6:$AV$45,30,0)</f>
        <v>0</v>
      </c>
    </row>
    <row r="13" spans="1:16" x14ac:dyDescent="0.25">
      <c r="A13" s="1" t="s">
        <v>22</v>
      </c>
      <c r="B13" s="7">
        <f>IF(D13=0,0,VLOOKUP($A13,[6]HISTOMAI23!$A$6:$BB$45,12,0))</f>
        <v>1</v>
      </c>
      <c r="C13" s="1" t="str">
        <f>VLOOKUP(A13,[7]LISTADHERENT!A$5:H$60,3,0)</f>
        <v>MBOGNING TUGMA GUY</v>
      </c>
      <c r="D13" s="7">
        <f>IF(E13="ECHEC",0,VLOOKUP($A13,[6]HISTOMAI23!$A$7:$AR$45,13,0))</f>
        <v>75000</v>
      </c>
      <c r="E13" s="7" t="str">
        <f>VLOOKUP($A13,[6]HISTOMAI23!$A$7:$AV$45,8,0)</f>
        <v>BANQUE</v>
      </c>
      <c r="F13" s="7">
        <f>VLOOKUP($A13,[6]HISTOMAI23!$A$6:$AV$45,36,0)</f>
        <v>0</v>
      </c>
      <c r="G13" s="7">
        <f>VLOOKUP($A13,[6]HISTOMAI23!$A$6:$AV$45,39,0)</f>
        <v>0</v>
      </c>
      <c r="H13" s="7">
        <f>IF(G13=0,0,VLOOKUP($A13,[6]HISTOMAI23!$A$6:$AV$45,42,0))</f>
        <v>0</v>
      </c>
      <c r="I13" s="7">
        <f>VLOOKUP($A13,[6]HISTOMAI23!$A$6:$AV$45,41,0)</f>
        <v>0</v>
      </c>
      <c r="J13" s="7">
        <f>TONTAVRIL23!F13+TONTAVRIL23!G13</f>
        <v>0</v>
      </c>
      <c r="K13" s="7">
        <f>VLOOKUP($A13,[6]HISTOMAI23!$A$6:$AV$45,17,0)</f>
        <v>0</v>
      </c>
      <c r="L13" s="7" t="str">
        <f>IF(K13&lt;&gt;0,VLOOKUP($A13,[6]HISTOMAI23!$A$6:$BB$45,8,0),"ECHEC")</f>
        <v>ECHEC</v>
      </c>
      <c r="M13" s="7">
        <f>IF(P13=0,0,VLOOKUP($A13,[6]HISTOMAI23!$A$6:$AV$45,32,0))</f>
        <v>0</v>
      </c>
      <c r="N13" s="7">
        <f>VLOOKUP($A13,[6]HISTOMAI23!$A$6:$AV$45,33,0)</f>
        <v>0</v>
      </c>
      <c r="O13" s="7">
        <f t="shared" si="0"/>
        <v>0</v>
      </c>
      <c r="P13" s="7">
        <f>VLOOKUP($A13,[6]HISTOMAI23!$A$6:$AV$45,30,0)</f>
        <v>0</v>
      </c>
    </row>
    <row r="14" spans="1:16" x14ac:dyDescent="0.25">
      <c r="A14" s="1" t="s">
        <v>9</v>
      </c>
      <c r="B14" s="7">
        <f>IF(D14=0,0,VLOOKUP($A14,[6]HISTOMAI23!$A$6:$BB$45,12,0))</f>
        <v>1</v>
      </c>
      <c r="C14" s="1" t="str">
        <f>VLOOKUP(A14,[7]LISTADHERENT!A$5:H$60,3,0)</f>
        <v>NANKAM APPOLINAIRE</v>
      </c>
      <c r="D14" s="7">
        <f>IF(E14="ECHEC",0,VLOOKUP($A14,[6]HISTOMAI23!$A$7:$AR$45,13,0))</f>
        <v>75000</v>
      </c>
      <c r="E14" s="7" t="str">
        <f>VLOOKUP($A14,[6]HISTOMAI23!$A$7:$AV$45,8,0)</f>
        <v>BANQUE</v>
      </c>
      <c r="F14" s="7">
        <f>VLOOKUP($A14,[6]HISTOMAI23!$A$6:$AV$45,36,0)</f>
        <v>0</v>
      </c>
      <c r="G14" s="7">
        <f>VLOOKUP($A14,[6]HISTOMAI23!$A$6:$AV$45,39,0)</f>
        <v>0</v>
      </c>
      <c r="H14" s="7">
        <f>IF(G14=0,0,VLOOKUP($A14,[6]HISTOMAI23!$A$6:$AV$45,42,0))</f>
        <v>0</v>
      </c>
      <c r="I14" s="7">
        <f>VLOOKUP($A14,[6]HISTOMAI23!$A$6:$AV$45,41,0)</f>
        <v>0</v>
      </c>
      <c r="J14" s="7">
        <f>TONTAVRIL23!F14+TONTAVRIL23!G14</f>
        <v>0</v>
      </c>
      <c r="K14" s="7">
        <f>VLOOKUP($A14,[6]HISTOMAI23!$A$6:$AV$45,17,0)</f>
        <v>0</v>
      </c>
      <c r="L14" s="7" t="str">
        <f>IF(K14&lt;&gt;0,VLOOKUP($A14,[6]HISTOMAI23!$A$6:$BB$45,8,0),"ECHEC")</f>
        <v>ECHEC</v>
      </c>
      <c r="M14" s="7">
        <f>IF(P14=0,0,VLOOKUP($A14,[6]HISTOMAI23!$A$6:$AV$45,32,0))</f>
        <v>0</v>
      </c>
      <c r="N14" s="7">
        <f>VLOOKUP($A14,[6]HISTOMAI23!$A$6:$AV$45,33,0)</f>
        <v>0</v>
      </c>
      <c r="O14" s="7">
        <f t="shared" si="0"/>
        <v>0</v>
      </c>
      <c r="P14" s="7">
        <f>VLOOKUP($A14,[6]HISTOMAI23!$A$6:$AV$45,30,0)</f>
        <v>0</v>
      </c>
    </row>
    <row r="15" spans="1:16" x14ac:dyDescent="0.25">
      <c r="A15" s="1" t="s">
        <v>37</v>
      </c>
      <c r="B15" s="7">
        <f>IF(D15=0,0,VLOOKUP($A15,[6]HISTOMAI23!$A$6:$BB$45,12,0))</f>
        <v>1</v>
      </c>
      <c r="C15" s="1" t="str">
        <f>VLOOKUP(A15,[7]LISTADHERENT!A$5:H$60,3,0)</f>
        <v>NGONDIEP CLAUDE</v>
      </c>
      <c r="D15" s="7">
        <f>IF(E15="ECHEC",0,VLOOKUP($A15,[6]HISTOMAI23!$A$7:$AR$45,13,0))</f>
        <v>75000</v>
      </c>
      <c r="E15" s="7" t="str">
        <f>VLOOKUP($A15,[6]HISTOMAI23!$A$7:$AV$45,8,0)</f>
        <v>BANQUE</v>
      </c>
      <c r="F15" s="7">
        <f>VLOOKUP($A15,[6]HISTOMAI23!$A$6:$AV$45,36,0)</f>
        <v>0</v>
      </c>
      <c r="G15" s="7">
        <f>VLOOKUP($A15,[6]HISTOMAI23!$A$6:$AV$45,39,0)</f>
        <v>0</v>
      </c>
      <c r="H15" s="7">
        <f>IF(G15=0,0,VLOOKUP($A15,[6]HISTOMAI23!$A$6:$AV$45,42,0))</f>
        <v>0</v>
      </c>
      <c r="I15" s="7">
        <f>VLOOKUP($A15,[6]HISTOMAI23!$A$6:$AV$45,41,0)</f>
        <v>0</v>
      </c>
      <c r="J15" s="7">
        <f>TONTAVRIL23!F15+TONTAVRIL23!G15</f>
        <v>0</v>
      </c>
      <c r="K15" s="7">
        <f>VLOOKUP($A15,[6]HISTOMAI23!$A$6:$AV$45,17,0)</f>
        <v>0</v>
      </c>
      <c r="L15" s="7" t="str">
        <f>IF(K15&lt;&gt;0,VLOOKUP($A15,[6]HISTOMAI23!$A$6:$BB$45,8,0),"ECHEC")</f>
        <v>ECHEC</v>
      </c>
      <c r="M15" s="7">
        <f>IF(P15=0,0,VLOOKUP($A15,[6]HISTOMAI23!$A$6:$AV$45,32,0))</f>
        <v>0</v>
      </c>
      <c r="N15" s="7">
        <f>VLOOKUP($A15,[6]HISTOMAI23!$A$6:$AV$45,33,0)</f>
        <v>0</v>
      </c>
      <c r="O15" s="7">
        <f t="shared" si="0"/>
        <v>0</v>
      </c>
      <c r="P15" s="7">
        <f>VLOOKUP($A15,[6]HISTOMAI23!$A$6:$AV$45,30,0)</f>
        <v>0</v>
      </c>
    </row>
    <row r="16" spans="1:16" x14ac:dyDescent="0.25">
      <c r="A16" s="1" t="s">
        <v>21</v>
      </c>
      <c r="B16" s="7">
        <f>IF(D16=0,0,VLOOKUP($A16,[6]HISTOMAI23!$A$6:$BB$45,12,0))</f>
        <v>2</v>
      </c>
      <c r="C16" s="1" t="str">
        <f>VLOOKUP(A16,[7]LISTADHERENT!A$5:H$60,3,0)</f>
        <v>NGUIEMEGNI MATHIEU BLAISE</v>
      </c>
      <c r="D16" s="7">
        <f>IF(E16="ECHEC",0,VLOOKUP($A16,[6]HISTOMAI23!$A$7:$AR$45,13,0))</f>
        <v>150000</v>
      </c>
      <c r="E16" s="7" t="str">
        <f>VLOOKUP($A16,[6]HISTOMAI23!$A$7:$AV$45,8,0)</f>
        <v>BANQUE</v>
      </c>
      <c r="F16" s="7">
        <f>VLOOKUP($A16,[6]HISTOMAI23!$A$6:$AV$45,36,0)</f>
        <v>50000</v>
      </c>
      <c r="G16" s="7">
        <f>VLOOKUP($A16,[6]HISTOMAI23!$A$6:$AV$45,39,0)</f>
        <v>1000</v>
      </c>
      <c r="H16" s="7" t="str">
        <f>IF(G16=0,0,VLOOKUP($A16,[6]HISTOMAI23!$A$6:$AV$45,42,0))</f>
        <v>BANQUE</v>
      </c>
      <c r="I16" s="7">
        <f>VLOOKUP($A16,[6]HISTOMAI23!$A$6:$AV$45,41,0)</f>
        <v>0</v>
      </c>
      <c r="J16" s="7">
        <f>TONTAVRIL23!F16+TONTAVRIL23!G16</f>
        <v>0</v>
      </c>
      <c r="K16" s="7">
        <f>VLOOKUP($A16,[6]HISTOMAI23!$A$6:$AV$45,17,0)</f>
        <v>0</v>
      </c>
      <c r="L16" s="7" t="str">
        <f>IF(K16&lt;&gt;0,VLOOKUP($A16,[6]HISTOMAI23!$A$6:$BB$45,8,0),"ECHEC")</f>
        <v>ECHEC</v>
      </c>
      <c r="M16" s="7" t="str">
        <f>IF(P16=0,0,VLOOKUP($A16,[6]HISTOMAI23!$A$6:$AV$45,32,0))</f>
        <v>BANQUE</v>
      </c>
      <c r="N16" s="7">
        <f>VLOOKUP($A16,[6]HISTOMAI23!$A$6:$AV$45,33,0)</f>
        <v>0</v>
      </c>
      <c r="O16" s="7">
        <f t="shared" si="0"/>
        <v>885000</v>
      </c>
      <c r="P16" s="7">
        <f>VLOOKUP($A16,[6]HISTOMAI23!$A$6:$AV$45,30,0)</f>
        <v>15000</v>
      </c>
    </row>
    <row r="17" spans="1:16" x14ac:dyDescent="0.25">
      <c r="A17" s="1" t="s">
        <v>28</v>
      </c>
      <c r="B17" s="7">
        <f>IF(D17=0,0,VLOOKUP($A17,[6]HISTOMAI23!$A$6:$BB$45,12,0))</f>
        <v>1</v>
      </c>
      <c r="C17" s="1" t="str">
        <f>VLOOKUP(A17,[7]LISTADHERENT!A$5:H$60,3,0)</f>
        <v>PATEGO NJOSSU GUSTAVE</v>
      </c>
      <c r="D17" s="7">
        <f>IF(E17="ECHEC",0,VLOOKUP($A17,[6]HISTOMAI23!$A$7:$AR$45,13,0))</f>
        <v>75000</v>
      </c>
      <c r="E17" s="7" t="str">
        <f>VLOOKUP($A17,[6]HISTOMAI23!$A$7:$AV$45,8,0)</f>
        <v>BANQUE</v>
      </c>
      <c r="F17" s="7">
        <f>VLOOKUP($A17,[6]HISTOMAI23!$A$6:$AV$45,36,0)</f>
        <v>0</v>
      </c>
      <c r="G17" s="7">
        <f>VLOOKUP($A17,[6]HISTOMAI23!$A$6:$AV$45,39,0)</f>
        <v>0</v>
      </c>
      <c r="H17" s="7">
        <f>IF(G17=0,0,VLOOKUP($A17,[6]HISTOMAI23!$A$6:$AV$45,42,0))</f>
        <v>0</v>
      </c>
      <c r="I17" s="7">
        <f>VLOOKUP($A17,[6]HISTOMAI23!$A$6:$AV$45,41,0)</f>
        <v>0</v>
      </c>
      <c r="J17" s="7">
        <f>TONTAVRIL23!F17+TONTAVRIL23!G17</f>
        <v>0</v>
      </c>
      <c r="K17" s="7">
        <f>VLOOKUP($A17,[6]HISTOMAI23!$A$6:$AV$45,17,0)</f>
        <v>0</v>
      </c>
      <c r="L17" s="7" t="str">
        <f>IF(K17&lt;&gt;0,VLOOKUP($A17,[6]HISTOMAI23!$A$6:$BB$45,8,0),"ECHEC")</f>
        <v>ECHEC</v>
      </c>
      <c r="M17" s="7">
        <f>IF(P17=0,0,VLOOKUP($A17,[6]HISTOMAI23!$A$6:$AV$45,32,0))</f>
        <v>0</v>
      </c>
      <c r="N17" s="7">
        <f>VLOOKUP($A17,[6]HISTOMAI23!$A$6:$AV$45,33,0)</f>
        <v>0</v>
      </c>
      <c r="O17" s="7">
        <f t="shared" si="0"/>
        <v>0</v>
      </c>
      <c r="P17" s="7">
        <f>VLOOKUP($A17,[6]HISTOMAI23!$A$6:$AV$45,30,0)</f>
        <v>0</v>
      </c>
    </row>
    <row r="18" spans="1:16" x14ac:dyDescent="0.25">
      <c r="A18" s="9" t="s">
        <v>36</v>
      </c>
      <c r="B18" s="7">
        <f>IF(D18=0,0,VLOOKUP($A18,[6]HISTOMAI23!$A$6:$BB$45,12,0))</f>
        <v>1</v>
      </c>
      <c r="C18" s="1" t="str">
        <f>VLOOKUP(A18,[7]LISTADHERENT!A$5:H$60,3,0)</f>
        <v>SIME BRICE</v>
      </c>
      <c r="D18" s="7">
        <f>IF(E18="ECHEC",0,VLOOKUP($A18,[6]HISTOMAI23!$A$7:$AR$45,13,0))</f>
        <v>75000</v>
      </c>
      <c r="E18" s="7" t="str">
        <f>VLOOKUP($A18,[6]HISTOMAI23!$A$7:$AV$45,8,0)</f>
        <v>BANQUE</v>
      </c>
      <c r="F18" s="7">
        <f>VLOOKUP($A18,[6]HISTOMAI23!$A$6:$AV$45,36,0)</f>
        <v>0</v>
      </c>
      <c r="G18" s="7">
        <f>VLOOKUP($A18,[6]HISTOMAI23!$A$6:$AV$45,39,0)</f>
        <v>0</v>
      </c>
      <c r="H18" s="7">
        <f>IF(G18=0,0,VLOOKUP($A18,[6]HISTOMAI23!$A$6:$AV$45,42,0))</f>
        <v>0</v>
      </c>
      <c r="I18" s="7">
        <f>VLOOKUP($A18,[6]HISTOMAI23!$A$6:$AV$45,41,0)</f>
        <v>0</v>
      </c>
      <c r="J18" s="7">
        <f>TONTAVRIL23!F18+TONTAVRIL23!G18</f>
        <v>0</v>
      </c>
      <c r="K18" s="7">
        <f>VLOOKUP($A18,[6]HISTOMAI23!$A$6:$AV$45,17,0)</f>
        <v>0</v>
      </c>
      <c r="L18" s="7" t="str">
        <f>IF(K18&lt;&gt;0,VLOOKUP($A18,[6]HISTOMAI23!$A$6:$BB$45,8,0),"ECHEC")</f>
        <v>ECHEC</v>
      </c>
      <c r="M18" s="7">
        <f>IF(P18=0,0,VLOOKUP($A18,[6]HISTOMAI23!$A$6:$AV$45,32,0))</f>
        <v>0</v>
      </c>
      <c r="N18" s="7">
        <f>VLOOKUP($A18,[6]HISTOMAI23!$A$6:$AV$45,33,0)</f>
        <v>0</v>
      </c>
      <c r="O18" s="7">
        <f t="shared" si="0"/>
        <v>0</v>
      </c>
      <c r="P18" s="7">
        <f>VLOOKUP($A18,[6]HISTOMAI23!$A$6:$AV$45,30,0)</f>
        <v>0</v>
      </c>
    </row>
    <row r="19" spans="1:16" x14ac:dyDescent="0.25">
      <c r="A19" s="9" t="s">
        <v>50</v>
      </c>
      <c r="B19" s="7">
        <f>IF(D19=0,0,VLOOKUP($A19,[6]HISTOMAI23!$A$6:$BB$45,12,0))</f>
        <v>1</v>
      </c>
      <c r="C19" s="1" t="str">
        <f>VLOOKUP(A19,[7]LISTADHERENT!A$5:H$60,3,0)</f>
        <v>TCHOUAMOU MATHIEU</v>
      </c>
      <c r="D19" s="7">
        <f>IF(E19="ECHEC",0,VLOOKUP($A19,[6]HISTOMAI23!$A$7:$AR$45,13,0))</f>
        <v>75000</v>
      </c>
      <c r="E19" s="7" t="str">
        <f>VLOOKUP($A19,[6]HISTOMAI23!$A$7:$AV$45,8,0)</f>
        <v>BANQUE</v>
      </c>
      <c r="F19" s="7">
        <f>VLOOKUP($A19,[6]HISTOMAI23!$A$6:$AV$45,36,0)</f>
        <v>100000</v>
      </c>
      <c r="G19" s="7">
        <f>VLOOKUP($A19,[6]HISTOMAI23!$A$6:$AV$45,39,0)</f>
        <v>2000</v>
      </c>
      <c r="H19" s="7">
        <f>IF(G19=0,0,VLOOKUP($A19,[6]HISTOMAI23!$A$6:$AV$45,42,0))</f>
        <v>0</v>
      </c>
      <c r="I19" s="7">
        <f>VLOOKUP($A19,[6]HISTOMAI23!$A$6:$AV$45,41,0)</f>
        <v>0</v>
      </c>
      <c r="J19" s="7">
        <f>TONTAVRIL23!F19+TONTAVRIL23!G19</f>
        <v>140000</v>
      </c>
      <c r="K19" s="7">
        <f>VLOOKUP($A19,[6]HISTOMAI23!$A$6:$AV$45,17,0)</f>
        <v>140000</v>
      </c>
      <c r="L19" s="7" t="str">
        <f>IF(K19&lt;&gt;0,VLOOKUP($A19,[6]HISTOMAI23!$A$6:$BB$45,8,0),"ECHEC")</f>
        <v>BANQUE</v>
      </c>
      <c r="M19" s="7">
        <f>IF(P19=0,0,VLOOKUP($A19,[6]HISTOMAI23!$A$6:$AV$45,32,0))</f>
        <v>0</v>
      </c>
      <c r="N19" s="7">
        <f>VLOOKUP($A19,[6]HISTOMAI23!$A$6:$AV$45,33,0)</f>
        <v>0</v>
      </c>
      <c r="O19" s="7">
        <f t="shared" si="0"/>
        <v>0</v>
      </c>
      <c r="P19" s="7">
        <f>VLOOKUP($A19,[6]HISTOMAI23!$A$6:$AV$45,30,0)</f>
        <v>0</v>
      </c>
    </row>
    <row r="20" spans="1:16" x14ac:dyDescent="0.25">
      <c r="A20" s="1" t="s">
        <v>20</v>
      </c>
      <c r="B20" s="7">
        <f>IF(D20=0,0,VLOOKUP($A20,[6]HISTOMAI23!$A$6:$BB$45,12,0))</f>
        <v>2</v>
      </c>
      <c r="C20" s="1" t="str">
        <f>VLOOKUP(A20,[7]LISTADHERENT!A$5:H$60,3,0)</f>
        <v>YOUMBI EMMANUEL</v>
      </c>
      <c r="D20" s="7">
        <f>IF(E20="ECHEC",0,VLOOKUP($A20,[6]HISTOMAI23!$A$7:$AR$45,13,0))</f>
        <v>150000</v>
      </c>
      <c r="E20" s="7" t="str">
        <f>VLOOKUP($A20,[6]HISTOMAI23!$A$7:$AV$45,8,0)</f>
        <v>BANQUE</v>
      </c>
      <c r="F20" s="7">
        <f>VLOOKUP($A20,[6]HISTOMAI23!$A$6:$AV$45,36,0)</f>
        <v>0</v>
      </c>
      <c r="G20" s="7">
        <f>VLOOKUP($A20,[6]HISTOMAI23!$A$6:$AV$45,39,0)</f>
        <v>0</v>
      </c>
      <c r="H20" s="7">
        <f>IF(G20=0,0,VLOOKUP($A20,[6]HISTOMAI23!$A$6:$AV$45,42,0))</f>
        <v>0</v>
      </c>
      <c r="I20" s="7">
        <f>VLOOKUP($A20,[6]HISTOMAI23!$A$6:$AV$45,41,0)</f>
        <v>0</v>
      </c>
      <c r="J20" s="7">
        <f>TONTAVRIL23!F20+TONTAVRIL23!G20</f>
        <v>0</v>
      </c>
      <c r="K20" s="7">
        <f>VLOOKUP($A20,[6]HISTOMAI23!$A$6:$AV$45,17,0)</f>
        <v>0</v>
      </c>
      <c r="L20" s="7" t="str">
        <f>IF(K20&lt;&gt;0,VLOOKUP($A20,[6]HISTOMAI23!$A$6:$BB$45,8,0),"ECHEC")</f>
        <v>ECHEC</v>
      </c>
      <c r="M20" s="7">
        <f>IF(P20=0,0,VLOOKUP($A20,[6]HISTOMAI23!$A$6:$AV$45,32,0))</f>
        <v>0</v>
      </c>
      <c r="N20" s="7">
        <f>VLOOKUP($A20,[6]HISTOMAI23!$A$6:$AV$45,33,0)</f>
        <v>0</v>
      </c>
      <c r="O20" s="7">
        <f t="shared" si="0"/>
        <v>0</v>
      </c>
      <c r="P20" s="7">
        <f>VLOOKUP($A20,[6]HISTOMAI23!$A$6:$AV$45,30,0)</f>
        <v>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1">SUM(D6:D22)</f>
        <v>1275000</v>
      </c>
      <c r="E23" s="8">
        <f t="shared" si="1"/>
        <v>0</v>
      </c>
      <c r="F23" s="8">
        <f t="shared" si="1"/>
        <v>288000</v>
      </c>
      <c r="G23" s="8">
        <f t="shared" si="1"/>
        <v>6000</v>
      </c>
      <c r="H23" s="8">
        <f t="shared" si="1"/>
        <v>0</v>
      </c>
      <c r="I23" s="8">
        <f t="shared" si="1"/>
        <v>0</v>
      </c>
      <c r="J23" s="8">
        <f t="shared" si="1"/>
        <v>393000</v>
      </c>
      <c r="K23" s="8">
        <f t="shared" si="1"/>
        <v>393000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1775000</v>
      </c>
      <c r="P23" s="8">
        <f t="shared" si="1"/>
        <v>25000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D29+E29+P23+TONTAVRIL23!M30</f>
        <v>2088000</v>
      </c>
      <c r="L25" s="5"/>
      <c r="M25"/>
      <c r="N25" s="5"/>
    </row>
    <row r="26" spans="1:16" s="2" customFormat="1" ht="18" x14ac:dyDescent="0.25">
      <c r="D26" s="8">
        <f>SUMIFS(D6:D22,E6:E22,"ESPECES")</f>
        <v>75000</v>
      </c>
      <c r="E26" s="8">
        <f>SUMIFS(K7:K20,L7:L20,"ESPECES")</f>
        <v>0</v>
      </c>
      <c r="F26" s="8">
        <f>SUMIFS(F7:F22,H7:H22,"ESPECES")</f>
        <v>0</v>
      </c>
      <c r="G26" s="8">
        <f>SUMIFS(O7:O22,M7:M22,"ESPECES")</f>
        <v>0</v>
      </c>
      <c r="H26" s="8">
        <f>D26+E26-F26-G26</f>
        <v>75000</v>
      </c>
      <c r="I26" s="8"/>
      <c r="J26" s="8" t="s">
        <v>33</v>
      </c>
      <c r="K26" s="8">
        <f>C3*COUNTIF(O7:O22,"&gt;0")</f>
        <v>1800000</v>
      </c>
      <c r="L26" s="8">
        <f>D3</f>
        <v>2</v>
      </c>
      <c r="M26" s="8">
        <f>COUNTIF(O7:O17,"&gt;0")</f>
        <v>2</v>
      </c>
      <c r="N26" s="8"/>
    </row>
    <row r="27" spans="1:16" s="2" customFormat="1" ht="18" x14ac:dyDescent="0.25">
      <c r="D27" s="8">
        <f>SUMIFS(D6:D22,E6:E22,"BANQUE")</f>
        <v>1200000</v>
      </c>
      <c r="E27" s="8">
        <f>SUMIFS(K7:K20,L7:L20,"BANQUE")</f>
        <v>393000</v>
      </c>
      <c r="F27" s="8">
        <f>SUMIFS(F7:F22,H7:H22,"BANQUE")</f>
        <v>50000</v>
      </c>
      <c r="G27" s="8">
        <f>SUMIFS(O7:O22,M7:M22,"BANQUE")</f>
        <v>1775000</v>
      </c>
      <c r="H27" s="8">
        <f>D27+E27-F27-G27</f>
        <v>-232000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288000</v>
      </c>
      <c r="L28" s="8"/>
      <c r="M28" s="8"/>
      <c r="N28" s="8"/>
    </row>
    <row r="29" spans="1:16" s="2" customFormat="1" ht="18" x14ac:dyDescent="0.25">
      <c r="D29" s="8">
        <f>D26+D27</f>
        <v>1275000</v>
      </c>
      <c r="E29" s="8">
        <f>E26+E27</f>
        <v>393000</v>
      </c>
      <c r="F29" s="8">
        <f>F26+F27</f>
        <v>50000</v>
      </c>
      <c r="G29" s="8">
        <f t="shared" ref="G29:H29" si="2">G26+G27</f>
        <v>1775000</v>
      </c>
      <c r="H29" s="8">
        <f t="shared" si="2"/>
        <v>-157000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0</v>
      </c>
      <c r="L30"/>
      <c r="M30" s="8">
        <f>K30</f>
        <v>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TONTAVRIL23!M32+TONTMAI23!K32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0</v>
      </c>
      <c r="M33" s="8">
        <f>TONTAVRIL23!M33+TONTMAI23!K33</f>
        <v>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xSplit="3" ySplit="5" topLeftCell="F20" activePane="bottomRight" state="frozen"/>
      <selection activeCell="E16" sqref="E16"/>
      <selection pane="topRight" activeCell="E16" sqref="E16"/>
      <selection pane="bottomLeft" activeCell="E16" sqref="E16"/>
      <selection pane="bottomRight" activeCell="M30" sqref="M3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1</v>
      </c>
      <c r="E3" s="1"/>
      <c r="L3" s="1"/>
      <c r="M3" s="1"/>
    </row>
    <row r="4" spans="1:16" s="12" customFormat="1" ht="18" x14ac:dyDescent="0.25">
      <c r="B4" s="13"/>
      <c r="C4" s="19">
        <v>45090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IF(D6=0,0,VLOOKUP($A6,[6]HISTOJUIN23!$A$6:$BB$45,12,0))</f>
        <v>1</v>
      </c>
      <c r="C6" s="1" t="str">
        <f>VLOOKUP(A6,[7]LISTADHERENT!A$5:H$60,3,0)</f>
        <v>ASELBY</v>
      </c>
      <c r="D6" s="7">
        <f>IF(E6="ECHEC",0,VLOOKUP($A6,[6]HISTOJUIN23!$A$6:$AR$45,13,0))</f>
        <v>75000</v>
      </c>
      <c r="E6" s="7" t="str">
        <f>VLOOKUP($A6,[6]HISTOJUIN23!$A$6:$AV$45,8,0)</f>
        <v>BANQUE</v>
      </c>
      <c r="F6" s="7">
        <f>VLOOKUP($A6,[6]HISTOJUIN23!$A$6:$AV$45,36,0)</f>
        <v>0</v>
      </c>
      <c r="G6" s="7">
        <f>VLOOKUP($A6,[6]HISTOJUIN23!$A$6:$AV$45,39,0)</f>
        <v>0</v>
      </c>
      <c r="H6" s="7">
        <f>IF(G6=0,0,VLOOKUP($A6,[6]HISTOJUIN23!$A$6:$AV$45,42,0))</f>
        <v>0</v>
      </c>
      <c r="I6" s="7">
        <f>VLOOKUP($A6,[6]HISTOJUIN23!$A$6:$AV$45,41,0)</f>
        <v>0</v>
      </c>
      <c r="J6" s="7">
        <f>TONTMAI23!F6+TONTMAI23!G6</f>
        <v>0</v>
      </c>
      <c r="K6" s="7">
        <f>VLOOKUP($A6,[6]HISTOJUIN23!$A$6:$AV$45,17,0)</f>
        <v>0</v>
      </c>
      <c r="L6" s="7" t="str">
        <f>IF(K6&lt;&gt;0,VLOOKUP($A6,[6]HISTOJUIN23!$A$6:$BB$45,8,0),"ECHEC")</f>
        <v>ECHEC</v>
      </c>
      <c r="M6" s="7">
        <f>IF(P6=0,0,VLOOKUP($A6,[6]HISTOJUIN23!$A$6:$AV$45,32,0))</f>
        <v>0</v>
      </c>
      <c r="N6" s="7">
        <f>VLOOKUP($A6,[6]HISTOJUIN23!$A$6:$AV$45,33,0)</f>
        <v>0</v>
      </c>
      <c r="O6" s="7">
        <f t="shared" ref="O6:O20" si="0">IF(P6=0,0,($C$3-P6))</f>
        <v>0</v>
      </c>
      <c r="P6" s="7">
        <f>VLOOKUP($A6,[6]HISTOJUIN23!$A$6:$AV$45,30,0)</f>
        <v>0</v>
      </c>
    </row>
    <row r="7" spans="1:16" x14ac:dyDescent="0.25">
      <c r="A7" s="1" t="s">
        <v>25</v>
      </c>
      <c r="B7" s="7">
        <f>IF(D7=0,0,VLOOKUP($A7,[6]HISTOJUIN23!$A$6:$BB$45,12,0))</f>
        <v>1</v>
      </c>
      <c r="C7" s="1" t="str">
        <f>VLOOKUP(A7,[7]LISTADHERENT!A$5:H$60,3,0)</f>
        <v>BOUTCHOUANG WILLIAM</v>
      </c>
      <c r="D7" s="7">
        <f>IF(E7="ECHEC",0,VLOOKUP($A7,[6]HISTOJUIN23!$A$6:$AR$45,13,0))</f>
        <v>75000</v>
      </c>
      <c r="E7" s="7" t="str">
        <f>VLOOKUP($A7,[6]HISTOJUIN23!$A$6:$AV$45,8,0)</f>
        <v>BANQUE</v>
      </c>
      <c r="F7" s="7">
        <f>VLOOKUP($A7,[6]HISTOJUIN23!$A$6:$AV$45,36,0)</f>
        <v>0</v>
      </c>
      <c r="G7" s="7">
        <f>VLOOKUP($A7,[6]HISTOJUIN23!$A$6:$AV$45,39,0)</f>
        <v>0</v>
      </c>
      <c r="H7" s="7">
        <f>IF(G7=0,0,VLOOKUP($A7,[6]HISTOJUIN23!$A$6:$AV$45,42,0))</f>
        <v>0</v>
      </c>
      <c r="I7" s="7">
        <f>VLOOKUP($A7,[6]HISTOJUIN23!$A$6:$AV$45,41,0)</f>
        <v>0</v>
      </c>
      <c r="J7" s="7">
        <f>TONTMAI23!F7+TONTMAI23!G7</f>
        <v>0</v>
      </c>
      <c r="K7" s="7">
        <f>VLOOKUP($A7,[6]HISTOJUIN23!$A$6:$AV$45,17,0)</f>
        <v>0</v>
      </c>
      <c r="L7" s="7" t="str">
        <f>IF(K7&lt;&gt;0,VLOOKUP($A7,[6]HISTOJUIN23!$A$6:$BB$45,8,0),"ECHEC")</f>
        <v>ECHEC</v>
      </c>
      <c r="M7" s="7">
        <f>IF(P7=0,0,VLOOKUP($A7,[6]HISTOJUIN23!$A$6:$AV$45,32,0))</f>
        <v>0</v>
      </c>
      <c r="N7" s="7">
        <f>VLOOKUP($A7,[6]HISTOJUIN23!$A$6:$AV$45,33,0)</f>
        <v>0</v>
      </c>
      <c r="O7" s="7">
        <f t="shared" si="0"/>
        <v>0</v>
      </c>
      <c r="P7" s="7">
        <f>VLOOKUP($A7,[6]HISTOJUIN23!$A$6:$AV$45,30,0)</f>
        <v>0</v>
      </c>
    </row>
    <row r="8" spans="1:16" x14ac:dyDescent="0.25">
      <c r="A8" s="1" t="s">
        <v>26</v>
      </c>
      <c r="B8" s="7">
        <f>IF(D8=0,0,VLOOKUP($A8,[6]HISTOJUIN23!$A$6:$BB$45,12,0))</f>
        <v>1</v>
      </c>
      <c r="C8" s="1" t="str">
        <f>VLOOKUP(A8,[7]LISTADHERENT!A$5:H$60,3,0)</f>
        <v>DJOUKWE NANGUEN GUY BLAISE</v>
      </c>
      <c r="D8" s="7">
        <f>IF(E8="ECHEC",0,VLOOKUP($A8,[6]HISTOJUIN23!$A$7:$AR$45,13,0))</f>
        <v>75000</v>
      </c>
      <c r="E8" s="7" t="str">
        <f>VLOOKUP($A8,[6]HISTOJUIN23!$A$7:$AV$45,8,0)</f>
        <v>BANQUE</v>
      </c>
      <c r="F8" s="7">
        <f>VLOOKUP($A8,[6]HISTOJUIN23!$A$6:$AV$45,36,0)</f>
        <v>100000</v>
      </c>
      <c r="G8" s="7">
        <f>VLOOKUP($A8,[6]HISTOJUIN23!$A$6:$AV$45,39,0)</f>
        <v>2000</v>
      </c>
      <c r="H8" s="7" t="str">
        <f>IF(G8=0,0,VLOOKUP($A8,[6]HISTOJUIN23!$A$6:$AV$45,42,0))</f>
        <v>BANQUE</v>
      </c>
      <c r="I8" s="7">
        <f>VLOOKUP($A8,[6]HISTOJUIN23!$A$6:$AV$45,41,0)</f>
        <v>0</v>
      </c>
      <c r="J8" s="7">
        <f>TONTMAI23!F8+TONTMAI23!G8</f>
        <v>102000</v>
      </c>
      <c r="K8" s="7">
        <f>VLOOKUP($A8,[6]HISTOJUIN23!$A$6:$AV$45,17,0)</f>
        <v>102000</v>
      </c>
      <c r="L8" s="7" t="str">
        <f>IF(K8&lt;&gt;0,VLOOKUP($A8,[6]HISTOJUIN23!$A$6:$BB$45,8,0),"ECHEC")</f>
        <v>BANQUE</v>
      </c>
      <c r="M8" s="7">
        <f>IF(P8=0,0,VLOOKUP($A8,[6]HISTOJUIN23!$A$6:$AV$45,32,0))</f>
        <v>0</v>
      </c>
      <c r="N8" s="7">
        <f>VLOOKUP($A8,[6]HISTOJUIN23!$A$6:$AV$45,33,0)</f>
        <v>0</v>
      </c>
      <c r="O8" s="7">
        <f t="shared" si="0"/>
        <v>0</v>
      </c>
      <c r="P8" s="7">
        <f>VLOOKUP($A8,[6]HISTOJUIN23!$A$6:$AV$45,30,0)</f>
        <v>0</v>
      </c>
    </row>
    <row r="9" spans="1:16" x14ac:dyDescent="0.25">
      <c r="A9" s="1" t="s">
        <v>35</v>
      </c>
      <c r="B9" s="7">
        <f>IF(D9=0,0,VLOOKUP($A9,[6]HISTOJUIN23!$A$6:$BB$45,12,0))</f>
        <v>1</v>
      </c>
      <c r="C9" s="1" t="str">
        <f>VLOOKUP(A9,[7]LISTADHERENT!A$5:H$60,3,0)</f>
        <v>DJUOMBESSY ANTOINE</v>
      </c>
      <c r="D9" s="7">
        <f>IF(E9="ECHEC",0,VLOOKUP($A9,[6]HISTOJUIN23!$A$7:$AR$45,13,0))</f>
        <v>75000</v>
      </c>
      <c r="E9" s="7" t="str">
        <f>VLOOKUP($A9,[6]HISTOJUIN23!$A$7:$AV$45,8,0)</f>
        <v>BANQUE</v>
      </c>
      <c r="F9" s="7">
        <f>VLOOKUP($A9,[6]HISTOJUIN23!$A$6:$AV$45,36,0)</f>
        <v>0</v>
      </c>
      <c r="G9" s="7">
        <f>VLOOKUP($A9,[6]HISTOJUIN23!$A$6:$AV$45,39,0)</f>
        <v>0</v>
      </c>
      <c r="H9" s="7">
        <f>IF(G9=0,0,VLOOKUP($A9,[6]HISTOJUIN23!$A$6:$AV$45,42,0))</f>
        <v>0</v>
      </c>
      <c r="I9" s="7">
        <f>VLOOKUP($A9,[6]HISTOJUIN23!$A$6:$AV$45,41,0)</f>
        <v>0</v>
      </c>
      <c r="J9" s="7">
        <f>TONTMAI23!F9+TONTMAI23!G9</f>
        <v>39000</v>
      </c>
      <c r="K9" s="7">
        <f>VLOOKUP($A9,[6]HISTOJUIN23!$A$6:$AV$45,17,0)</f>
        <v>39000</v>
      </c>
      <c r="L9" s="7" t="str">
        <f>IF(K9&lt;&gt;0,VLOOKUP($A9,[6]HISTOJUIN23!$A$6:$BB$45,8,0),"ECHEC")</f>
        <v>BANQUE</v>
      </c>
      <c r="M9" s="7">
        <f>IF(P9=0,0,VLOOKUP($A9,[6]HISTOJUIN23!$A$6:$AV$45,32,0))</f>
        <v>0</v>
      </c>
      <c r="N9" s="7">
        <f>VLOOKUP($A9,[6]HISTOJUIN23!$A$6:$AV$45,33,0)</f>
        <v>0</v>
      </c>
      <c r="O9" s="7">
        <f t="shared" si="0"/>
        <v>0</v>
      </c>
      <c r="P9" s="7">
        <f>VLOOKUP($A9,[6]HISTOJUIN23!$A$6:$AV$45,30,0)</f>
        <v>0</v>
      </c>
    </row>
    <row r="10" spans="1:16" x14ac:dyDescent="0.25">
      <c r="A10" s="1" t="s">
        <v>19</v>
      </c>
      <c r="B10" s="7">
        <f>IF(D10=0,0,VLOOKUP($A10,[6]HISTOJUIN23!$A$6:$BB$45,12,0))</f>
        <v>1</v>
      </c>
      <c r="C10" s="1" t="str">
        <f>VLOOKUP(A10,[7]LISTADHERENT!A$5:H$60,3,0)</f>
        <v>HOTCHO BENJAMIN</v>
      </c>
      <c r="D10" s="7">
        <f>IF(E10="ECHEC",0,VLOOKUP($A10,[6]HISTOJUIN23!$A$7:$AR$45,13,0))</f>
        <v>75000</v>
      </c>
      <c r="E10" s="7" t="str">
        <f>VLOOKUP($A10,[6]HISTOJUIN23!$A$7:$AV$45,8,0)</f>
        <v>BANQUE</v>
      </c>
      <c r="F10" s="7">
        <f>VLOOKUP($A10,[6]HISTOJUIN23!$A$6:$AV$45,36,0)</f>
        <v>0</v>
      </c>
      <c r="G10" s="7">
        <f>VLOOKUP($A10,[6]HISTOJUIN23!$A$6:$AV$45,39,0)</f>
        <v>0</v>
      </c>
      <c r="H10" s="7">
        <f>IF(G10=0,0,VLOOKUP($A10,[6]HISTOJUIN23!$A$6:$AV$45,42,0))</f>
        <v>0</v>
      </c>
      <c r="I10" s="7">
        <f>VLOOKUP($A10,[6]HISTOJUIN23!$A$6:$AV$45,41,0)</f>
        <v>0</v>
      </c>
      <c r="J10" s="7">
        <f>TONTMAI23!F10+TONTMAI23!G10</f>
        <v>0</v>
      </c>
      <c r="K10" s="7">
        <f>VLOOKUP($A10,[6]HISTOJUIN23!$A$6:$AV$45,17,0)</f>
        <v>0</v>
      </c>
      <c r="L10" s="7" t="str">
        <f>IF(K10&lt;&gt;0,VLOOKUP($A10,[6]HISTOJUIN23!$A$6:$BB$45,8,0),"ECHEC")</f>
        <v>ECHEC</v>
      </c>
      <c r="M10" s="7">
        <f>IF(P10=0,0,VLOOKUP($A10,[6]HISTOJUIN23!$A$6:$AV$45,32,0))</f>
        <v>0</v>
      </c>
      <c r="N10" s="7">
        <f>VLOOKUP($A10,[6]HISTOJUIN23!$A$6:$AV$45,33,0)</f>
        <v>0</v>
      </c>
      <c r="O10" s="7">
        <f t="shared" si="0"/>
        <v>0</v>
      </c>
      <c r="P10" s="7">
        <f>VLOOKUP($A10,[6]HISTOJUIN23!$A$6:$AV$45,30,0)</f>
        <v>0</v>
      </c>
    </row>
    <row r="11" spans="1:16" x14ac:dyDescent="0.25">
      <c r="A11" s="1" t="s">
        <v>27</v>
      </c>
      <c r="B11" s="7">
        <f>IF(D11=0,0,VLOOKUP($A11,[6]HISTOJUIN23!$A$6:$BB$45,12,0))</f>
        <v>1</v>
      </c>
      <c r="C11" s="1" t="str">
        <f>VLOOKUP(A11,[7]LISTADHERENT!A$5:H$60,3,0)</f>
        <v>HENGUE PAUL OMER</v>
      </c>
      <c r="D11" s="7">
        <f>IF(E11="ECHEC",0,VLOOKUP($A11,[6]HISTOJUIN23!$A$7:$AR$45,13,0))</f>
        <v>75000</v>
      </c>
      <c r="E11" s="7" t="str">
        <f>VLOOKUP($A11,[6]HISTOJUIN23!$A$7:$AV$45,8,0)</f>
        <v>BANQUE</v>
      </c>
      <c r="F11" s="7">
        <f>VLOOKUP($A11,[6]HISTOJUIN23!$A$6:$AV$45,36,0)</f>
        <v>0</v>
      </c>
      <c r="G11" s="7">
        <f>VLOOKUP($A11,[6]HISTOJUIN23!$A$6:$AV$45,39,0)</f>
        <v>0</v>
      </c>
      <c r="H11" s="7">
        <f>IF(G11=0,0,VLOOKUP($A11,[6]HISTOJUIN23!$A$6:$AV$45,42,0))</f>
        <v>0</v>
      </c>
      <c r="I11" s="7">
        <f>VLOOKUP($A11,[6]HISTOJUIN23!$A$6:$AV$45,41,0)</f>
        <v>0</v>
      </c>
      <c r="J11" s="7">
        <f>TONTMAI23!F11+TONTMAI23!G11</f>
        <v>0</v>
      </c>
      <c r="K11" s="7">
        <f>VLOOKUP($A11,[6]HISTOJUIN23!$A$6:$AV$45,17,0)</f>
        <v>0</v>
      </c>
      <c r="L11" s="7" t="str">
        <f>IF(K11&lt;&gt;0,VLOOKUP($A11,[6]HISTOJUIN23!$A$6:$BB$45,8,0),"ECHEC")</f>
        <v>ECHEC</v>
      </c>
      <c r="M11" s="7">
        <f>IF(P11=0,0,VLOOKUP($A11,[6]HISTOJUIN23!$A$6:$AV$45,32,0))</f>
        <v>0</v>
      </c>
      <c r="N11" s="7">
        <f>VLOOKUP($A11,[6]HISTOJUIN23!$A$6:$AV$45,33,0)</f>
        <v>0</v>
      </c>
      <c r="O11" s="7">
        <f t="shared" si="0"/>
        <v>0</v>
      </c>
      <c r="P11" s="7">
        <f>VLOOKUP($A11,[6]HISTOJUIN23!$A$6:$AV$45,30,0)</f>
        <v>0</v>
      </c>
    </row>
    <row r="12" spans="1:16" x14ac:dyDescent="0.25">
      <c r="A12" s="1" t="s">
        <v>8</v>
      </c>
      <c r="B12" s="7">
        <f>IF(D12=0,0,VLOOKUP($A12,[6]HISTOJUIN23!$A$6:$BB$45,12,0))</f>
        <v>1</v>
      </c>
      <c r="C12" s="1" t="str">
        <f>VLOOKUP(A12,[7]LISTADHERENT!A$5:H$60,3,0)</f>
        <v>KOUATCHO MESSACK</v>
      </c>
      <c r="D12" s="7">
        <f>IF(E12="ECHEC",0,VLOOKUP($A12,[6]HISTOJUIN23!$A$7:$AR$45,13,0))</f>
        <v>75000</v>
      </c>
      <c r="E12" s="7" t="str">
        <f>VLOOKUP($A12,[6]HISTOJUIN23!$A$7:$AV$45,8,0)</f>
        <v>BANQUE</v>
      </c>
      <c r="F12" s="7">
        <f>VLOOKUP($A12,[6]HISTOJUIN23!$A$6:$AV$45,36,0)</f>
        <v>0</v>
      </c>
      <c r="G12" s="7">
        <f>VLOOKUP($A12,[6]HISTOJUIN23!$A$6:$AV$45,39,0)</f>
        <v>0</v>
      </c>
      <c r="H12" s="7">
        <f>IF(G12=0,0,VLOOKUP($A12,[6]HISTOJUIN23!$A$6:$AV$45,42,0))</f>
        <v>0</v>
      </c>
      <c r="I12" s="7">
        <f>VLOOKUP($A12,[6]HISTOJUIN23!$A$6:$AV$45,41,0)</f>
        <v>0</v>
      </c>
      <c r="J12" s="7">
        <f>TONTMAI23!F12+TONTMAI23!G12</f>
        <v>0</v>
      </c>
      <c r="K12" s="7">
        <f>VLOOKUP($A12,[6]HISTOJUIN23!$A$6:$AV$45,17,0)</f>
        <v>0</v>
      </c>
      <c r="L12" s="7" t="str">
        <f>IF(K12&lt;&gt;0,VLOOKUP($A12,[6]HISTOJUIN23!$A$6:$BB$45,8,0),"ECHEC")</f>
        <v>ECHEC</v>
      </c>
      <c r="M12" s="7">
        <f>IF(P12=0,0,VLOOKUP($A12,[6]HISTOJUIN23!$A$6:$AV$45,32,0))</f>
        <v>0</v>
      </c>
      <c r="N12" s="7">
        <f>VLOOKUP($A12,[6]HISTOJUIN23!$A$6:$AV$45,33,0)</f>
        <v>0</v>
      </c>
      <c r="O12" s="7">
        <f t="shared" si="0"/>
        <v>0</v>
      </c>
      <c r="P12" s="7">
        <f>VLOOKUP($A12,[6]HISTOJUIN23!$A$6:$AV$45,30,0)</f>
        <v>0</v>
      </c>
    </row>
    <row r="13" spans="1:16" x14ac:dyDescent="0.25">
      <c r="A13" s="1" t="s">
        <v>22</v>
      </c>
      <c r="B13" s="7">
        <f>IF(D13=0,0,VLOOKUP($A13,[6]HISTOJUIN23!$A$6:$BB$45,12,0))</f>
        <v>1</v>
      </c>
      <c r="C13" s="1" t="str">
        <f>VLOOKUP(A13,[7]LISTADHERENT!A$5:H$60,3,0)</f>
        <v>MBOGNING TUGMA GUY</v>
      </c>
      <c r="D13" s="7">
        <f>IF(E13="ECHEC",0,VLOOKUP($A13,[6]HISTOJUIN23!$A$7:$AR$45,13,0))</f>
        <v>75000</v>
      </c>
      <c r="E13" s="7" t="str">
        <f>VLOOKUP($A13,[6]HISTOJUIN23!$A$7:$AV$45,8,0)</f>
        <v>BANQUE</v>
      </c>
      <c r="F13" s="7">
        <f>VLOOKUP($A13,[6]HISTOJUIN23!$A$6:$AV$45,36,0)</f>
        <v>100000</v>
      </c>
      <c r="G13" s="7">
        <f>VLOOKUP($A13,[6]HISTOJUIN23!$A$6:$AV$45,39,0)</f>
        <v>2000</v>
      </c>
      <c r="H13" s="7" t="str">
        <f>IF(G13=0,0,VLOOKUP($A13,[6]HISTOJUIN23!$A$6:$AV$45,42,0))</f>
        <v>BANQUE</v>
      </c>
      <c r="I13" s="7">
        <f>VLOOKUP($A13,[6]HISTOJUIN23!$A$6:$AV$45,41,0)</f>
        <v>0</v>
      </c>
      <c r="J13" s="7">
        <f>TONTMAI23!F13+TONTMAI23!G13</f>
        <v>0</v>
      </c>
      <c r="K13" s="7">
        <f>VLOOKUP($A13,[6]HISTOJUIN23!$A$6:$AV$45,17,0)</f>
        <v>0</v>
      </c>
      <c r="L13" s="7" t="str">
        <f>IF(K13&lt;&gt;0,VLOOKUP($A13,[6]HISTOJUIN23!$A$6:$BB$45,8,0),"ECHEC")</f>
        <v>ECHEC</v>
      </c>
      <c r="M13" s="7">
        <f>IF(P13=0,0,VLOOKUP($A13,[6]HISTOJUIN23!$A$6:$AV$45,32,0))</f>
        <v>0</v>
      </c>
      <c r="N13" s="7">
        <f>VLOOKUP($A13,[6]HISTOJUIN23!$A$6:$AV$45,33,0)</f>
        <v>0</v>
      </c>
      <c r="O13" s="7">
        <f t="shared" si="0"/>
        <v>0</v>
      </c>
      <c r="P13" s="7">
        <f>VLOOKUP($A13,[6]HISTOJUIN23!$A$6:$AV$45,30,0)</f>
        <v>0</v>
      </c>
    </row>
    <row r="14" spans="1:16" x14ac:dyDescent="0.25">
      <c r="A14" s="1" t="s">
        <v>9</v>
      </c>
      <c r="B14" s="7">
        <f>IF(D14=0,0,VLOOKUP($A14,[6]HISTOJUIN23!$A$6:$BB$45,12,0))</f>
        <v>1</v>
      </c>
      <c r="C14" s="1" t="str">
        <f>VLOOKUP(A14,[7]LISTADHERENT!A$5:H$60,3,0)</f>
        <v>NANKAM APPOLINAIRE</v>
      </c>
      <c r="D14" s="7">
        <f>IF(E14="ECHEC",0,VLOOKUP($A14,[6]HISTOJUIN23!$A$7:$AR$45,13,0))</f>
        <v>75000</v>
      </c>
      <c r="E14" s="7" t="str">
        <f>VLOOKUP($A14,[6]HISTOJUIN23!$A$7:$AV$45,8,0)</f>
        <v>BANQUE</v>
      </c>
      <c r="F14" s="7">
        <f>VLOOKUP($A14,[6]HISTOJUIN23!$A$6:$AV$45,36,0)</f>
        <v>0</v>
      </c>
      <c r="G14" s="7">
        <f>VLOOKUP($A14,[6]HISTOJUIN23!$A$6:$AV$45,39,0)</f>
        <v>0</v>
      </c>
      <c r="H14" s="7">
        <f>IF(G14=0,0,VLOOKUP($A14,[6]HISTOJUIN23!$A$6:$AV$45,42,0))</f>
        <v>0</v>
      </c>
      <c r="I14" s="7">
        <f>VLOOKUP($A14,[6]HISTOJUIN23!$A$6:$AV$45,41,0)</f>
        <v>0</v>
      </c>
      <c r="J14" s="7">
        <f>TONTMAI23!F14+TONTMAI23!G14</f>
        <v>0</v>
      </c>
      <c r="K14" s="7">
        <f>VLOOKUP($A14,[6]HISTOJUIN23!$A$6:$AV$45,17,0)</f>
        <v>0</v>
      </c>
      <c r="L14" s="7" t="str">
        <f>IF(K14&lt;&gt;0,VLOOKUP($A14,[6]HISTOJUIN23!$A$6:$BB$45,8,0),"ECHEC")</f>
        <v>ECHEC</v>
      </c>
      <c r="M14" s="7">
        <f>IF(P14=0,0,VLOOKUP($A14,[6]HISTOJUIN23!$A$6:$AV$45,32,0))</f>
        <v>0</v>
      </c>
      <c r="N14" s="7">
        <f>VLOOKUP($A14,[6]HISTOJUIN23!$A$6:$AV$45,33,0)</f>
        <v>0</v>
      </c>
      <c r="O14" s="7">
        <f t="shared" si="0"/>
        <v>0</v>
      </c>
      <c r="P14" s="7">
        <f>VLOOKUP($A14,[6]HISTOJUIN23!$A$6:$AV$45,30,0)</f>
        <v>0</v>
      </c>
    </row>
    <row r="15" spans="1:16" x14ac:dyDescent="0.25">
      <c r="A15" s="1" t="s">
        <v>37</v>
      </c>
      <c r="B15" s="7">
        <f>IF(D15=0,0,VLOOKUP($A15,[6]HISTOJUIN23!$A$6:$BB$45,12,0))</f>
        <v>1</v>
      </c>
      <c r="C15" s="1" t="str">
        <f>VLOOKUP(A15,[7]LISTADHERENT!A$5:H$60,3,0)</f>
        <v>NGONDIEP CLAUDE</v>
      </c>
      <c r="D15" s="7">
        <f>IF(E15="ECHEC",0,VLOOKUP($A15,[6]HISTOJUIN23!$A$7:$AR$45,13,0))</f>
        <v>75000</v>
      </c>
      <c r="E15" s="7" t="str">
        <f>VLOOKUP($A15,[6]HISTOJUIN23!$A$7:$AV$45,8,0)</f>
        <v>BANQUE</v>
      </c>
      <c r="F15" s="7">
        <f>VLOOKUP($A15,[6]HISTOJUIN23!$A$6:$AV$45,36,0)</f>
        <v>0</v>
      </c>
      <c r="G15" s="7">
        <f>VLOOKUP($A15,[6]HISTOJUIN23!$A$6:$AV$45,39,0)</f>
        <v>0</v>
      </c>
      <c r="H15" s="7">
        <f>IF(G15=0,0,VLOOKUP($A15,[6]HISTOJUIN23!$A$6:$AV$45,42,0))</f>
        <v>0</v>
      </c>
      <c r="I15" s="7">
        <f>VLOOKUP($A15,[6]HISTOJUIN23!$A$6:$AV$45,41,0)</f>
        <v>0</v>
      </c>
      <c r="J15" s="7">
        <f>TONTMAI23!F15+TONTMAI23!G15</f>
        <v>0</v>
      </c>
      <c r="K15" s="7">
        <f>VLOOKUP($A15,[6]HISTOJUIN23!$A$6:$AV$45,17,0)</f>
        <v>0</v>
      </c>
      <c r="L15" s="7" t="str">
        <f>IF(K15&lt;&gt;0,VLOOKUP($A15,[6]HISTOJUIN23!$A$6:$BB$45,8,0),"ECHEC")</f>
        <v>ECHEC</v>
      </c>
      <c r="M15" s="7">
        <f>IF(P15=0,0,VLOOKUP($A15,[6]HISTOJUIN23!$A$6:$AV$45,32,0))</f>
        <v>0</v>
      </c>
      <c r="N15" s="7">
        <f>VLOOKUP($A15,[6]HISTOJUIN23!$A$6:$AV$45,33,0)</f>
        <v>0</v>
      </c>
      <c r="O15" s="7">
        <f t="shared" si="0"/>
        <v>0</v>
      </c>
      <c r="P15" s="7">
        <f>VLOOKUP($A15,[6]HISTOJUIN23!$A$6:$AV$45,30,0)</f>
        <v>0</v>
      </c>
    </row>
    <row r="16" spans="1:16" x14ac:dyDescent="0.25">
      <c r="A16" s="1" t="s">
        <v>21</v>
      </c>
      <c r="B16" s="7">
        <f>IF(D16=0,0,VLOOKUP($A16,[6]HISTOJUIN23!$A$6:$BB$45,12,0))</f>
        <v>2</v>
      </c>
      <c r="C16" s="1" t="str">
        <f>VLOOKUP(A16,[7]LISTADHERENT!A$5:H$60,3,0)</f>
        <v>NGUIEMEGNI MATHIEU BLAISE</v>
      </c>
      <c r="D16" s="7">
        <f>IF(E16="ECHEC",0,VLOOKUP($A16,[6]HISTOJUIN23!$A$7:$AR$45,13,0))</f>
        <v>150000</v>
      </c>
      <c r="E16" s="7" t="str">
        <f>VLOOKUP($A16,[6]HISTOJUIN23!$A$7:$AV$45,8,0)</f>
        <v>BANQUE</v>
      </c>
      <c r="F16" s="7">
        <f>VLOOKUP($A16,[6]HISTOJUIN23!$A$6:$AV$45,36,0)</f>
        <v>100000</v>
      </c>
      <c r="G16" s="7">
        <f>VLOOKUP($A16,[6]HISTOJUIN23!$A$6:$AV$45,39,0)</f>
        <v>2000</v>
      </c>
      <c r="H16" s="7" t="str">
        <f>IF(G16=0,0,VLOOKUP($A16,[6]HISTOJUIN23!$A$6:$AV$45,42,0))</f>
        <v>BANQUE</v>
      </c>
      <c r="I16" s="7">
        <f>VLOOKUP($A16,[6]HISTOJUIN23!$A$6:$AV$45,41,0)</f>
        <v>0</v>
      </c>
      <c r="J16" s="7">
        <f>TONTMAI23!F16+TONTMAI23!G16</f>
        <v>51000</v>
      </c>
      <c r="K16" s="7">
        <f>VLOOKUP($A16,[6]HISTOJUIN23!$A$6:$AV$45,17,0)</f>
        <v>51000</v>
      </c>
      <c r="L16" s="7" t="str">
        <f>IF(K16&lt;&gt;0,VLOOKUP($A16,[6]HISTOJUIN23!$A$6:$BB$45,8,0),"ECHEC")</f>
        <v>BANQUE</v>
      </c>
      <c r="M16" s="7">
        <f>IF(P16=0,0,VLOOKUP($A16,[6]HISTOJUIN23!$A$6:$AV$45,32,0))</f>
        <v>0</v>
      </c>
      <c r="N16" s="7">
        <f>VLOOKUP($A16,[6]HISTOJUIN23!$A$6:$AV$45,33,0)</f>
        <v>0</v>
      </c>
      <c r="O16" s="7">
        <f t="shared" si="0"/>
        <v>0</v>
      </c>
      <c r="P16" s="7">
        <f>VLOOKUP($A16,[6]HISTOJUIN23!$A$6:$AV$45,30,0)</f>
        <v>0</v>
      </c>
    </row>
    <row r="17" spans="1:16" x14ac:dyDescent="0.25">
      <c r="A17" s="1" t="s">
        <v>28</v>
      </c>
      <c r="B17" s="7">
        <f>IF(D17=0,0,VLOOKUP($A17,[6]HISTOJUIN23!$A$6:$BB$45,12,0))</f>
        <v>1</v>
      </c>
      <c r="C17" s="1" t="str">
        <f>VLOOKUP(A17,[7]LISTADHERENT!A$5:H$60,3,0)</f>
        <v>PATEGO NJOSSU GUSTAVE</v>
      </c>
      <c r="D17" s="7">
        <f>IF(E17="ECHEC",0,VLOOKUP($A17,[6]HISTOJUIN23!$A$7:$AR$45,13,0))</f>
        <v>75000</v>
      </c>
      <c r="E17" s="7" t="str">
        <f>VLOOKUP($A17,[6]HISTOJUIN23!$A$7:$AV$45,8,0)</f>
        <v>BANQUE</v>
      </c>
      <c r="F17" s="7">
        <f>VLOOKUP($A17,[6]HISTOJUIN23!$A$6:$AV$45,36,0)</f>
        <v>0</v>
      </c>
      <c r="G17" s="7">
        <f>VLOOKUP($A17,[6]HISTOJUIN23!$A$6:$AV$45,39,0)</f>
        <v>0</v>
      </c>
      <c r="H17" s="7">
        <f>IF(G17=0,0,VLOOKUP($A17,[6]HISTOJUIN23!$A$6:$AV$45,42,0))</f>
        <v>0</v>
      </c>
      <c r="I17" s="7">
        <f>VLOOKUP($A17,[6]HISTOJUIN23!$A$6:$AV$45,41,0)</f>
        <v>0</v>
      </c>
      <c r="J17" s="7">
        <f>TONTMAI23!F17+TONTMAI23!G17</f>
        <v>0</v>
      </c>
      <c r="K17" s="7">
        <f>VLOOKUP($A17,[6]HISTOJUIN23!$A$6:$AV$45,17,0)</f>
        <v>0</v>
      </c>
      <c r="L17" s="7" t="str">
        <f>IF(K17&lt;&gt;0,VLOOKUP($A17,[6]HISTOJUIN23!$A$6:$BB$45,8,0),"ECHEC")</f>
        <v>ECHEC</v>
      </c>
      <c r="M17" s="7">
        <f>IF(P17=0,0,VLOOKUP($A17,[6]HISTOJUIN23!$A$6:$AV$45,32,0))</f>
        <v>0</v>
      </c>
      <c r="N17" s="7">
        <f>VLOOKUP($A17,[6]HISTOJUIN23!$A$6:$AV$45,33,0)</f>
        <v>0</v>
      </c>
      <c r="O17" s="7">
        <f t="shared" si="0"/>
        <v>0</v>
      </c>
      <c r="P17" s="7">
        <f>VLOOKUP($A17,[6]HISTOJUIN23!$A$6:$AV$45,30,0)</f>
        <v>0</v>
      </c>
    </row>
    <row r="18" spans="1:16" x14ac:dyDescent="0.25">
      <c r="A18" s="9" t="s">
        <v>36</v>
      </c>
      <c r="B18" s="7">
        <f>IF(D18=0,0,VLOOKUP($A18,[6]HISTOJUIN23!$A$6:$BB$45,12,0))</f>
        <v>1</v>
      </c>
      <c r="C18" s="1" t="str">
        <f>VLOOKUP(A18,[7]LISTADHERENT!A$5:H$60,3,0)</f>
        <v>SIME BRICE</v>
      </c>
      <c r="D18" s="7">
        <f>IF(E18="ECHEC",0,VLOOKUP($A18,[6]HISTOJUIN23!$A$7:$AR$45,13,0))</f>
        <v>75000</v>
      </c>
      <c r="E18" s="7" t="str">
        <f>VLOOKUP($A18,[6]HISTOJUIN23!$A$7:$AV$45,8,0)</f>
        <v>BANQUE</v>
      </c>
      <c r="F18" s="7">
        <f>VLOOKUP($A18,[6]HISTOJUIN23!$A$6:$AV$45,36,0)</f>
        <v>0</v>
      </c>
      <c r="G18" s="7">
        <f>VLOOKUP($A18,[6]HISTOJUIN23!$A$6:$AV$45,39,0)</f>
        <v>0</v>
      </c>
      <c r="H18" s="7">
        <f>IF(G18=0,0,VLOOKUP($A18,[6]HISTOJUIN23!$A$6:$AV$45,42,0))</f>
        <v>0</v>
      </c>
      <c r="I18" s="7">
        <f>VLOOKUP($A18,[6]HISTOJUIN23!$A$6:$AV$45,41,0)</f>
        <v>0</v>
      </c>
      <c r="J18" s="7">
        <f>TONTMAI23!F18+TONTMAI23!G18</f>
        <v>0</v>
      </c>
      <c r="K18" s="7">
        <f>VLOOKUP($A18,[6]HISTOJUIN23!$A$6:$AV$45,17,0)</f>
        <v>0</v>
      </c>
      <c r="L18" s="7" t="str">
        <f>IF(K18&lt;&gt;0,VLOOKUP($A18,[6]HISTOJUIN23!$A$6:$BB$45,8,0),"ECHEC")</f>
        <v>ECHEC</v>
      </c>
      <c r="M18" s="7">
        <f>IF(P18=0,0,VLOOKUP($A18,[6]HISTOJUIN23!$A$6:$AV$45,32,0))</f>
        <v>0</v>
      </c>
      <c r="N18" s="7">
        <f>VLOOKUP($A18,[6]HISTOJUIN23!$A$6:$AV$45,33,0)</f>
        <v>0</v>
      </c>
      <c r="O18" s="7">
        <f t="shared" si="0"/>
        <v>0</v>
      </c>
      <c r="P18" s="7">
        <f>VLOOKUP($A18,[6]HISTOJUIN23!$A$6:$AV$45,30,0)</f>
        <v>0</v>
      </c>
    </row>
    <row r="19" spans="1:16" x14ac:dyDescent="0.25">
      <c r="A19" s="9" t="s">
        <v>50</v>
      </c>
      <c r="B19" s="7">
        <f>IF(D19=0,0,VLOOKUP($A19,[6]HISTOJUIN23!$A$6:$BB$45,12,0))</f>
        <v>1</v>
      </c>
      <c r="C19" s="1" t="str">
        <f>VLOOKUP(A19,[7]LISTADHERENT!A$5:H$60,3,0)</f>
        <v>TCHOUAMOU MATHIEU</v>
      </c>
      <c r="D19" s="7">
        <f>IF(E19="ECHEC",0,VLOOKUP($A19,[6]HISTOJUIN23!$A$7:$AR$45,13,0))</f>
        <v>75000</v>
      </c>
      <c r="E19" s="7" t="str">
        <f>VLOOKUP($A19,[6]HISTOJUIN23!$A$7:$AV$45,8,0)</f>
        <v>BANQUE</v>
      </c>
      <c r="F19" s="7">
        <f>VLOOKUP($A19,[6]HISTOJUIN23!$A$6:$AV$45,36,0)</f>
        <v>100000</v>
      </c>
      <c r="G19" s="7">
        <f>VLOOKUP($A19,[6]HISTOJUIN23!$A$6:$AV$45,39,0)</f>
        <v>2000</v>
      </c>
      <c r="H19" s="7" t="str">
        <f>IF(G19=0,0,VLOOKUP($A19,[6]HISTOJUIN23!$A$6:$AV$45,42,0))</f>
        <v>BANQUE</v>
      </c>
      <c r="I19" s="7">
        <f>VLOOKUP($A19,[6]HISTOJUIN23!$A$6:$AV$45,41,0)</f>
        <v>0</v>
      </c>
      <c r="J19" s="7">
        <f>TONTMAI23!F19+TONTMAI23!G19</f>
        <v>102000</v>
      </c>
      <c r="K19" s="7">
        <f>VLOOKUP($A19,[6]HISTOJUIN23!$A$6:$AV$45,17,0)</f>
        <v>102000</v>
      </c>
      <c r="L19" s="7" t="str">
        <f>IF(K19&lt;&gt;0,VLOOKUP($A19,[6]HISTOJUIN23!$A$6:$BB$45,8,0),"ECHEC")</f>
        <v>BANQUE</v>
      </c>
      <c r="M19" s="7">
        <f>IF(P19=0,0,VLOOKUP($A19,[6]HISTOJUIN23!$A$6:$AV$45,32,0))</f>
        <v>0</v>
      </c>
      <c r="N19" s="7">
        <f>VLOOKUP($A19,[6]HISTOJUIN23!$A$6:$AV$45,33,0)</f>
        <v>0</v>
      </c>
      <c r="O19" s="7">
        <f t="shared" si="0"/>
        <v>0</v>
      </c>
      <c r="P19" s="7">
        <f>VLOOKUP($A19,[6]HISTOJUIN23!$A$6:$AV$45,30,0)</f>
        <v>0</v>
      </c>
    </row>
    <row r="20" spans="1:16" x14ac:dyDescent="0.25">
      <c r="A20" s="1" t="s">
        <v>20</v>
      </c>
      <c r="B20" s="7">
        <f>IF(D20=0,0,VLOOKUP($A20,[6]HISTOJUIN23!$A$6:$BB$45,12,0))</f>
        <v>2</v>
      </c>
      <c r="C20" s="1" t="str">
        <f>VLOOKUP(A20,[7]LISTADHERENT!A$5:H$60,3,0)</f>
        <v>YOUMBI EMMANUEL</v>
      </c>
      <c r="D20" s="7">
        <f>IF(E20="ECHEC",0,VLOOKUP($A20,[6]HISTOJUIN23!$A$7:$AR$45,13,0))</f>
        <v>150000</v>
      </c>
      <c r="E20" s="7" t="str">
        <f>VLOOKUP($A20,[6]HISTOJUIN23!$A$7:$AV$45,8,0)</f>
        <v>BANQUE</v>
      </c>
      <c r="F20" s="7">
        <f>VLOOKUP($A20,[6]HISTOJUIN23!$A$6:$AV$45,36,0)</f>
        <v>0</v>
      </c>
      <c r="G20" s="7">
        <f>VLOOKUP($A20,[6]HISTOJUIN23!$A$6:$AV$45,39,0)</f>
        <v>0</v>
      </c>
      <c r="H20" s="7">
        <f>IF(G20=0,0,VLOOKUP($A20,[6]HISTOJUIN23!$A$6:$AV$45,42,0))</f>
        <v>0</v>
      </c>
      <c r="I20" s="7">
        <f>VLOOKUP($A20,[6]HISTOJUIN23!$A$6:$AV$45,41,0)</f>
        <v>0</v>
      </c>
      <c r="J20" s="7">
        <f>TONTMAI23!F20+TONTMAI23!G20</f>
        <v>0</v>
      </c>
      <c r="K20" s="7">
        <f>VLOOKUP($A20,[6]HISTOJUIN23!$A$6:$AV$45,17,0)</f>
        <v>0</v>
      </c>
      <c r="L20" s="7" t="str">
        <f>IF(K20&lt;&gt;0,VLOOKUP($A20,[6]HISTOJUIN23!$A$6:$BB$45,8,0),"ECHEC")</f>
        <v>ECHEC</v>
      </c>
      <c r="M20" s="7" t="str">
        <f>IF(P20=0,0,VLOOKUP($A20,[6]HISTOJUIN23!$A$6:$AV$45,32,0))</f>
        <v>BANQUE</v>
      </c>
      <c r="N20" s="7">
        <f>VLOOKUP($A20,[6]HISTOJUIN23!$A$6:$AV$45,33,0)</f>
        <v>0</v>
      </c>
      <c r="O20" s="7">
        <f t="shared" si="0"/>
        <v>892500</v>
      </c>
      <c r="P20" s="7">
        <f>VLOOKUP($A20,[6]HISTOJUIN23!$A$6:$AV$45,30,0)</f>
        <v>7500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1">SUM(D6:D22)</f>
        <v>1275000</v>
      </c>
      <c r="E23" s="8">
        <f t="shared" si="1"/>
        <v>0</v>
      </c>
      <c r="F23" s="8">
        <f t="shared" si="1"/>
        <v>400000</v>
      </c>
      <c r="G23" s="8">
        <f t="shared" si="1"/>
        <v>8000</v>
      </c>
      <c r="H23" s="8">
        <f t="shared" si="1"/>
        <v>0</v>
      </c>
      <c r="I23" s="8">
        <f t="shared" si="1"/>
        <v>0</v>
      </c>
      <c r="J23" s="8">
        <f t="shared" si="1"/>
        <v>294000</v>
      </c>
      <c r="K23" s="8">
        <f t="shared" si="1"/>
        <v>294000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892500</v>
      </c>
      <c r="P23" s="8">
        <f t="shared" si="1"/>
        <v>7500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D29+E29+P23+TONTMAI23!M30</f>
        <v>1576500</v>
      </c>
      <c r="L25" s="5"/>
      <c r="M25"/>
      <c r="N25" s="5"/>
    </row>
    <row r="26" spans="1:16" s="2" customFormat="1" ht="18" x14ac:dyDescent="0.25">
      <c r="D26" s="8">
        <f>SUMIFS(D6:D22,E6:E22,"ESPECES")</f>
        <v>0</v>
      </c>
      <c r="E26" s="8">
        <f>SUMIFS(K7:K20,L7:L20,"ESPECES")</f>
        <v>0</v>
      </c>
      <c r="F26" s="8">
        <f>SUMIFS(F7:F22,H7:H22,"ESPECES")</f>
        <v>0</v>
      </c>
      <c r="G26" s="8">
        <f>SUMIFS(O7:O22,M7:M22,"ESPECES")</f>
        <v>0</v>
      </c>
      <c r="H26" s="8">
        <f>D26+E26-F26-G26</f>
        <v>0</v>
      </c>
      <c r="I26" s="8"/>
      <c r="J26" s="8" t="s">
        <v>33</v>
      </c>
      <c r="K26" s="8">
        <f>C3*COUNTIF(O7:O22,"&gt;0")</f>
        <v>900000</v>
      </c>
      <c r="L26" s="8">
        <f>D3</f>
        <v>1</v>
      </c>
      <c r="M26" s="8">
        <f>COUNTIF(O7:O17,"&gt;0")</f>
        <v>0</v>
      </c>
      <c r="N26" s="8"/>
    </row>
    <row r="27" spans="1:16" s="2" customFormat="1" ht="18" x14ac:dyDescent="0.25">
      <c r="D27" s="8">
        <f>SUMIFS(D6:D22,E6:E22,"BANQUE")</f>
        <v>1275000</v>
      </c>
      <c r="E27" s="8">
        <f>SUMIFS(K7:K20,L7:L20,"BANQUE")</f>
        <v>294000</v>
      </c>
      <c r="F27" s="8">
        <f>SUMIFS(F7:F22,H7:H22,"BANQUE")</f>
        <v>400000</v>
      </c>
      <c r="G27" s="8">
        <f>SUMIFS(O7:O22,M7:M22,"BANQUE")</f>
        <v>892500</v>
      </c>
      <c r="H27" s="8">
        <f>D27+E27-F27-G27</f>
        <v>276500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676500</v>
      </c>
      <c r="L28" s="8"/>
      <c r="M28" s="8"/>
      <c r="N28" s="8"/>
    </row>
    <row r="29" spans="1:16" s="2" customFormat="1" ht="18" x14ac:dyDescent="0.25">
      <c r="D29" s="8">
        <f>D26+D27</f>
        <v>1275000</v>
      </c>
      <c r="E29" s="8">
        <f>E26+E27</f>
        <v>294000</v>
      </c>
      <c r="F29" s="8">
        <f>F26+F27</f>
        <v>400000</v>
      </c>
      <c r="G29" s="8">
        <f t="shared" ref="G29:H29" si="2">G26+G27</f>
        <v>892500</v>
      </c>
      <c r="H29" s="8">
        <f t="shared" si="2"/>
        <v>276500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276500</v>
      </c>
      <c r="L30"/>
      <c r="M30" s="8">
        <f>K30</f>
        <v>276500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TONTMAI23!M32+TONTJUIN23!K32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0</v>
      </c>
      <c r="M33" s="8">
        <f>TONTMAI23!M33+TONTJUIN23!K33</f>
        <v>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xSplit="3" ySplit="5" topLeftCell="F21" activePane="bottomRight" state="frozen"/>
      <selection activeCell="E16" sqref="E16"/>
      <selection pane="topRight" activeCell="E16" sqref="E16"/>
      <selection pane="bottomLeft" activeCell="E16" sqref="E16"/>
      <selection pane="bottomRight" activeCell="M30" sqref="M3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2</v>
      </c>
      <c r="E3" s="1"/>
      <c r="L3" s="1"/>
      <c r="M3" s="1"/>
    </row>
    <row r="4" spans="1:16" s="12" customFormat="1" ht="18" x14ac:dyDescent="0.25">
      <c r="B4" s="13"/>
      <c r="C4" s="19">
        <v>45120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IF(D6=0,0,VLOOKUP($A6,[6]HISTOJUIL23!$A$6:$BB$45,12,0))</f>
        <v>1</v>
      </c>
      <c r="C6" s="1" t="str">
        <f>VLOOKUP(A6,[7]LISTADHERENT!A$5:H$60,3,0)</f>
        <v>ASELBY</v>
      </c>
      <c r="D6" s="7">
        <f>IF(E6="ECHEC",0,VLOOKUP($A6,[6]HISTOJUIL23!$A$6:$AR$45,13,0))</f>
        <v>75000</v>
      </c>
      <c r="E6" s="7" t="str">
        <f>VLOOKUP($A6,[6]HISTOJUIL23!$A$6:$AV$45,8,0)</f>
        <v>BANQUE</v>
      </c>
      <c r="F6" s="7">
        <f>VLOOKUP($A6,[6]HISTOJUIL23!$A$6:$AV$45,36,0)</f>
        <v>0</v>
      </c>
      <c r="G6" s="7">
        <f>VLOOKUP($A6,[6]HISTOJUIL23!$A$6:$AV$45,39,0)</f>
        <v>0</v>
      </c>
      <c r="H6" s="7">
        <f>IF(G6=0,0,VLOOKUP($A6,[6]HISTOJUIL23!$A$6:$AV$45,42,0))</f>
        <v>0</v>
      </c>
      <c r="I6" s="7">
        <f>VLOOKUP($A6,[6]HISTOJUIL23!$A$6:$AV$45,41,0)</f>
        <v>0</v>
      </c>
      <c r="J6" s="7">
        <f>TONTJUIN23!F6+TONTJUIN23!G6</f>
        <v>0</v>
      </c>
      <c r="K6" s="7">
        <f>VLOOKUP($A6,[6]HISTOJUIL23!$A$6:$AV$45,17,0)</f>
        <v>0</v>
      </c>
      <c r="L6" s="7" t="str">
        <f>IF(K6&lt;&gt;0,VLOOKUP($A6,[6]HISTOJUIL23!$A$6:$BB$45,8,0),"ECHEC")</f>
        <v>ECHEC</v>
      </c>
      <c r="M6" s="7">
        <f>IF(P6=0,0,VLOOKUP($A6,[6]HISTOJUIL23!$A$6:$AV$45,32,0))</f>
        <v>0</v>
      </c>
      <c r="N6" s="7">
        <f>VLOOKUP($A6,[6]HISTOJUIL23!$A$6:$AV$45,33,0)</f>
        <v>0</v>
      </c>
      <c r="O6" s="7">
        <f t="shared" ref="O6:O20" si="0">IF(P6=0,0,($C$3-P6))</f>
        <v>0</v>
      </c>
      <c r="P6" s="7">
        <f>VLOOKUP($A6,[6]HISTOJUIL23!$A$6:$AV$45,30,0)</f>
        <v>0</v>
      </c>
    </row>
    <row r="7" spans="1:16" x14ac:dyDescent="0.25">
      <c r="A7" s="1" t="s">
        <v>25</v>
      </c>
      <c r="B7" s="7">
        <f>IF(D7=0,0,VLOOKUP($A7,[6]HISTOJUIL23!$A$6:$BB$45,12,0))</f>
        <v>1</v>
      </c>
      <c r="C7" s="1" t="str">
        <f>VLOOKUP(A7,[7]LISTADHERENT!A$5:H$60,3,0)</f>
        <v>BOUTCHOUANG WILLIAM</v>
      </c>
      <c r="D7" s="7">
        <f>IF(E7="ECHEC",0,VLOOKUP($A7,[6]HISTOJUIL23!$A$6:$AR$45,13,0))</f>
        <v>75000</v>
      </c>
      <c r="E7" s="7" t="str">
        <f>VLOOKUP($A7,[6]HISTOJUIL23!$A$6:$AV$45,8,0)</f>
        <v>BANQUE</v>
      </c>
      <c r="F7" s="7">
        <f>VLOOKUP($A7,[6]HISTOJUIL23!$A$6:$AV$45,36,0)</f>
        <v>0</v>
      </c>
      <c r="G7" s="7">
        <f>VLOOKUP($A7,[6]HISTOJUIL23!$A$6:$AV$45,39,0)</f>
        <v>0</v>
      </c>
      <c r="H7" s="7">
        <f>IF(G7=0,0,VLOOKUP($A7,[6]HISTOJUIL23!$A$6:$AV$45,42,0))</f>
        <v>0</v>
      </c>
      <c r="I7" s="7">
        <f>VLOOKUP($A7,[6]HISTOJUIL23!$A$6:$AV$45,41,0)</f>
        <v>0</v>
      </c>
      <c r="J7" s="7">
        <f>TONTJUIN23!F7+TONTJUIN23!G7</f>
        <v>0</v>
      </c>
      <c r="K7" s="7">
        <f>VLOOKUP($A7,[6]HISTOJUIL23!$A$6:$AV$45,17,0)</f>
        <v>0</v>
      </c>
      <c r="L7" s="7" t="str">
        <f>IF(K7&lt;&gt;0,VLOOKUP($A7,[6]HISTOJUIL23!$A$6:$BB$45,8,0),"ECHEC")</f>
        <v>ECHEC</v>
      </c>
      <c r="M7" s="7">
        <f>IF(P7=0,0,VLOOKUP($A7,[6]HISTOJUIL23!$A$6:$AV$45,32,0))</f>
        <v>0</v>
      </c>
      <c r="N7" s="7">
        <f>VLOOKUP($A7,[6]HISTOJUIL23!$A$6:$AV$45,33,0)</f>
        <v>0</v>
      </c>
      <c r="O7" s="7">
        <f t="shared" si="0"/>
        <v>0</v>
      </c>
      <c r="P7" s="7">
        <f>VLOOKUP($A7,[6]HISTOJUIL23!$A$6:$AV$45,30,0)</f>
        <v>0</v>
      </c>
    </row>
    <row r="8" spans="1:16" x14ac:dyDescent="0.25">
      <c r="A8" s="1" t="s">
        <v>26</v>
      </c>
      <c r="B8" s="7">
        <f>IF(D8=0,0,VLOOKUP($A8,[6]HISTOJUIL23!$A$6:$BB$45,12,0))</f>
        <v>1</v>
      </c>
      <c r="C8" s="1" t="str">
        <f>VLOOKUP(A8,[7]LISTADHERENT!A$5:H$60,3,0)</f>
        <v>DJOUKWE NANGUEN GUY BLAISE</v>
      </c>
      <c r="D8" s="7">
        <f>IF(E8="ECHEC",0,VLOOKUP($A8,[6]HISTOJUIL23!$A$7:$AR$45,13,0))</f>
        <v>75000</v>
      </c>
      <c r="E8" s="7" t="str">
        <f>VLOOKUP($A8,[6]HISTOJUIL23!$A$7:$AV$45,8,0)</f>
        <v>BANQUE</v>
      </c>
      <c r="F8" s="7">
        <f>VLOOKUP($A8,[6]HISTOJUIL23!$A$6:$AV$45,36,0)</f>
        <v>0</v>
      </c>
      <c r="G8" s="7">
        <f>VLOOKUP($A8,[6]HISTOJUIL23!$A$6:$AV$45,39,0)</f>
        <v>0</v>
      </c>
      <c r="H8" s="7">
        <f>IF(G8=0,0,VLOOKUP($A8,[6]HISTOJUIL23!$A$6:$AV$45,42,0))</f>
        <v>0</v>
      </c>
      <c r="I8" s="7">
        <f>VLOOKUP($A8,[6]HISTOJUIL23!$A$6:$AV$45,41,0)</f>
        <v>0</v>
      </c>
      <c r="J8" s="7">
        <f>TONTJUIN23!F8+TONTJUIN23!G8</f>
        <v>102000</v>
      </c>
      <c r="K8" s="7">
        <f>VLOOKUP($A8,[6]HISTOJUIL23!$A$6:$AV$45,17,0)</f>
        <v>102000</v>
      </c>
      <c r="L8" s="7" t="str">
        <f>IF(K8&lt;&gt;0,VLOOKUP($A8,[6]HISTOJUIL23!$A$6:$BB$45,8,0),"ECHEC")</f>
        <v>BANQUE</v>
      </c>
      <c r="M8" s="7">
        <f>IF(P8=0,0,VLOOKUP($A8,[6]HISTOJUIL23!$A$6:$AV$45,32,0))</f>
        <v>0</v>
      </c>
      <c r="N8" s="7">
        <f>VLOOKUP($A8,[6]HISTOJUIL23!$A$6:$AV$45,33,0)</f>
        <v>0</v>
      </c>
      <c r="O8" s="7">
        <f t="shared" si="0"/>
        <v>0</v>
      </c>
      <c r="P8" s="7">
        <f>VLOOKUP($A8,[6]HISTOJUIL23!$A$6:$AV$45,30,0)</f>
        <v>0</v>
      </c>
    </row>
    <row r="9" spans="1:16" x14ac:dyDescent="0.25">
      <c r="A9" s="1" t="s">
        <v>35</v>
      </c>
      <c r="B9" s="7">
        <f>IF(D9=0,0,VLOOKUP($A9,[6]HISTOJUIL23!$A$6:$BB$45,12,0))</f>
        <v>1</v>
      </c>
      <c r="C9" s="1" t="str">
        <f>VLOOKUP(A9,[7]LISTADHERENT!A$5:H$60,3,0)</f>
        <v>DJUOMBESSY ANTOINE</v>
      </c>
      <c r="D9" s="7">
        <f>IF(E9="ECHEC",0,VLOOKUP($A9,[6]HISTOJUIL23!$A$7:$AR$45,13,0))</f>
        <v>75000</v>
      </c>
      <c r="E9" s="7" t="str">
        <f>VLOOKUP($A9,[6]HISTOJUIL23!$A$7:$AV$45,8,0)</f>
        <v>BANQUE</v>
      </c>
      <c r="F9" s="7">
        <f>VLOOKUP($A9,[6]HISTOJUIL23!$A$6:$AV$45,36,0)</f>
        <v>0</v>
      </c>
      <c r="G9" s="7">
        <f>VLOOKUP($A9,[6]HISTOJUIL23!$A$6:$AV$45,39,0)</f>
        <v>0</v>
      </c>
      <c r="H9" s="7">
        <f>IF(G9=0,0,VLOOKUP($A9,[6]HISTOJUIL23!$A$6:$AV$45,42,0))</f>
        <v>0</v>
      </c>
      <c r="I9" s="7">
        <f>VLOOKUP($A9,[6]HISTOJUIL23!$A$6:$AV$45,41,0)</f>
        <v>0</v>
      </c>
      <c r="J9" s="7">
        <f>TONTJUIN23!F9+TONTJUIN23!G9</f>
        <v>0</v>
      </c>
      <c r="K9" s="7">
        <f>VLOOKUP($A9,[6]HISTOJUIL23!$A$6:$AV$45,17,0)</f>
        <v>0</v>
      </c>
      <c r="L9" s="7" t="str">
        <f>IF(K9&lt;&gt;0,VLOOKUP($A9,[6]HISTOJUIL23!$A$6:$BB$45,8,0),"ECHEC")</f>
        <v>ECHEC</v>
      </c>
      <c r="M9" s="7">
        <f>IF(P9=0,0,VLOOKUP($A9,[6]HISTOJUIL23!$A$6:$AV$45,32,0))</f>
        <v>0</v>
      </c>
      <c r="N9" s="7">
        <f>VLOOKUP($A9,[6]HISTOJUIL23!$A$6:$AV$45,33,0)</f>
        <v>0</v>
      </c>
      <c r="O9" s="7">
        <f t="shared" si="0"/>
        <v>0</v>
      </c>
      <c r="P9" s="7">
        <f>VLOOKUP($A9,[6]HISTOJUIL23!$A$6:$AV$45,30,0)</f>
        <v>0</v>
      </c>
    </row>
    <row r="10" spans="1:16" x14ac:dyDescent="0.25">
      <c r="A10" s="1" t="s">
        <v>19</v>
      </c>
      <c r="B10" s="7">
        <f>IF(D10=0,0,VLOOKUP($A10,[6]HISTOJUIL23!$A$6:$BB$45,12,0))</f>
        <v>1</v>
      </c>
      <c r="C10" s="1" t="str">
        <f>VLOOKUP(A10,[7]LISTADHERENT!A$5:H$60,3,0)</f>
        <v>HOTCHO BENJAMIN</v>
      </c>
      <c r="D10" s="7">
        <f>IF(E10="ECHEC",0,VLOOKUP($A10,[6]HISTOJUIL23!$A$7:$AR$45,13,0))</f>
        <v>75000</v>
      </c>
      <c r="E10" s="7" t="str">
        <f>VLOOKUP($A10,[6]HISTOJUIL23!$A$7:$AV$45,8,0)</f>
        <v>BANQUE</v>
      </c>
      <c r="F10" s="7">
        <f>VLOOKUP($A10,[6]HISTOJUIL23!$A$6:$AV$45,36,0)</f>
        <v>0</v>
      </c>
      <c r="G10" s="7">
        <f>VLOOKUP($A10,[6]HISTOJUIL23!$A$6:$AV$45,39,0)</f>
        <v>0</v>
      </c>
      <c r="H10" s="7">
        <f>IF(G10=0,0,VLOOKUP($A10,[6]HISTOJUIL23!$A$6:$AV$45,42,0))</f>
        <v>0</v>
      </c>
      <c r="I10" s="7">
        <f>VLOOKUP($A10,[6]HISTOJUIL23!$A$6:$AV$45,41,0)</f>
        <v>0</v>
      </c>
      <c r="J10" s="7">
        <f>TONTJUIN23!F10+TONTJUIN23!G10</f>
        <v>0</v>
      </c>
      <c r="K10" s="7">
        <f>VLOOKUP($A10,[6]HISTOJUIL23!$A$6:$AV$45,17,0)</f>
        <v>0</v>
      </c>
      <c r="L10" s="7" t="str">
        <f>IF(K10&lt;&gt;0,VLOOKUP($A10,[6]HISTOJUIL23!$A$6:$BB$45,8,0),"ECHEC")</f>
        <v>ECHEC</v>
      </c>
      <c r="M10" s="7">
        <f>IF(P10=0,0,VLOOKUP($A10,[6]HISTOJUIL23!$A$6:$AV$45,32,0))</f>
        <v>0</v>
      </c>
      <c r="N10" s="7">
        <f>VLOOKUP($A10,[6]HISTOJUIL23!$A$6:$AV$45,33,0)</f>
        <v>0</v>
      </c>
      <c r="O10" s="7">
        <f t="shared" si="0"/>
        <v>0</v>
      </c>
      <c r="P10" s="7">
        <f>VLOOKUP($A10,[6]HISTOJUIL23!$A$6:$AV$45,30,0)</f>
        <v>0</v>
      </c>
    </row>
    <row r="11" spans="1:16" x14ac:dyDescent="0.25">
      <c r="A11" s="1" t="s">
        <v>27</v>
      </c>
      <c r="B11" s="7">
        <f>IF(D11=0,0,VLOOKUP($A11,[6]HISTOJUIL23!$A$6:$BB$45,12,0))</f>
        <v>1</v>
      </c>
      <c r="C11" s="1" t="str">
        <f>VLOOKUP(A11,[7]LISTADHERENT!A$5:H$60,3,0)</f>
        <v>HENGUE PAUL OMER</v>
      </c>
      <c r="D11" s="7">
        <f>IF(E11="ECHEC",0,VLOOKUP($A11,[6]HISTOJUIL23!$A$7:$AR$45,13,0))</f>
        <v>75000</v>
      </c>
      <c r="E11" s="7" t="str">
        <f>VLOOKUP($A11,[6]HISTOJUIL23!$A$7:$AV$45,8,0)</f>
        <v>BANQUE</v>
      </c>
      <c r="F11" s="7">
        <f>VLOOKUP($A11,[6]HISTOJUIL23!$A$6:$AV$45,36,0)</f>
        <v>0</v>
      </c>
      <c r="G11" s="7">
        <f>VLOOKUP($A11,[6]HISTOJUIL23!$A$6:$AV$45,39,0)</f>
        <v>0</v>
      </c>
      <c r="H11" s="7">
        <f>IF(G11=0,0,VLOOKUP($A11,[6]HISTOJUIL23!$A$6:$AV$45,42,0))</f>
        <v>0</v>
      </c>
      <c r="I11" s="7">
        <f>VLOOKUP($A11,[6]HISTOJUIL23!$A$6:$AV$45,41,0)</f>
        <v>0</v>
      </c>
      <c r="J11" s="7">
        <f>TONTJUIN23!F11+TONTJUIN23!G11</f>
        <v>0</v>
      </c>
      <c r="K11" s="7">
        <f>VLOOKUP($A11,[6]HISTOJUIL23!$A$6:$AV$45,17,0)</f>
        <v>0</v>
      </c>
      <c r="L11" s="7" t="str">
        <f>IF(K11&lt;&gt;0,VLOOKUP($A11,[6]HISTOJUIL23!$A$6:$BB$45,8,0),"ECHEC")</f>
        <v>ECHEC</v>
      </c>
      <c r="M11" s="7" t="str">
        <f>IF(P11=0,0,VLOOKUP($A11,[6]HISTOJUIL23!$A$6:$AV$45,32,0))</f>
        <v>BANQUE</v>
      </c>
      <c r="N11" s="7">
        <f>VLOOKUP($A11,[6]HISTOJUIL23!$A$6:$AV$45,33,0)</f>
        <v>0</v>
      </c>
      <c r="O11" s="7">
        <f t="shared" si="0"/>
        <v>892500</v>
      </c>
      <c r="P11" s="7">
        <f>VLOOKUP($A11,[6]HISTOJUIL23!$A$6:$AV$45,30,0)</f>
        <v>7500</v>
      </c>
    </row>
    <row r="12" spans="1:16" x14ac:dyDescent="0.25">
      <c r="A12" s="1" t="s">
        <v>8</v>
      </c>
      <c r="B12" s="7">
        <f>IF(D12=0,0,VLOOKUP($A12,[6]HISTOJUIL23!$A$6:$BB$45,12,0))</f>
        <v>1</v>
      </c>
      <c r="C12" s="1" t="str">
        <f>VLOOKUP(A12,[7]LISTADHERENT!A$5:H$60,3,0)</f>
        <v>KOUATCHO MESSACK</v>
      </c>
      <c r="D12" s="7">
        <f>IF(E12="ECHEC",0,VLOOKUP($A12,[6]HISTOJUIL23!$A$7:$AR$45,13,0))</f>
        <v>75000</v>
      </c>
      <c r="E12" s="7" t="str">
        <f>VLOOKUP($A12,[6]HISTOJUIL23!$A$7:$AV$45,8,0)</f>
        <v>BANQUE</v>
      </c>
      <c r="F12" s="7">
        <f>VLOOKUP($A12,[6]HISTOJUIL23!$A$6:$AV$45,36,0)</f>
        <v>0</v>
      </c>
      <c r="G12" s="7">
        <f>VLOOKUP($A12,[6]HISTOJUIL23!$A$6:$AV$45,39,0)</f>
        <v>0</v>
      </c>
      <c r="H12" s="7">
        <f>IF(G12=0,0,VLOOKUP($A12,[6]HISTOJUIL23!$A$6:$AV$45,42,0))</f>
        <v>0</v>
      </c>
      <c r="I12" s="7">
        <f>VLOOKUP($A12,[6]HISTOJUIL23!$A$6:$AV$45,41,0)</f>
        <v>0</v>
      </c>
      <c r="J12" s="7">
        <f>TONTJUIN23!F12+TONTJUIN23!G12</f>
        <v>0</v>
      </c>
      <c r="K12" s="7">
        <f>VLOOKUP($A12,[6]HISTOJUIL23!$A$6:$AV$45,17,0)</f>
        <v>0</v>
      </c>
      <c r="L12" s="7" t="str">
        <f>IF(K12&lt;&gt;0,VLOOKUP($A12,[6]HISTOJUIL23!$A$6:$BB$45,8,0),"ECHEC")</f>
        <v>ECHEC</v>
      </c>
      <c r="M12" s="7">
        <f>IF(P12=0,0,VLOOKUP($A12,[6]HISTOJUIL23!$A$6:$AV$45,32,0))</f>
        <v>0</v>
      </c>
      <c r="N12" s="7">
        <f>VLOOKUP($A12,[6]HISTOJUIL23!$A$6:$AV$45,33,0)</f>
        <v>0</v>
      </c>
      <c r="O12" s="7">
        <f t="shared" si="0"/>
        <v>0</v>
      </c>
      <c r="P12" s="7">
        <f>VLOOKUP($A12,[6]HISTOJUIL23!$A$6:$AV$45,30,0)</f>
        <v>0</v>
      </c>
    </row>
    <row r="13" spans="1:16" x14ac:dyDescent="0.25">
      <c r="A13" s="1" t="s">
        <v>22</v>
      </c>
      <c r="B13" s="7">
        <f>IF(D13=0,0,VLOOKUP($A13,[6]HISTOJUIL23!$A$6:$BB$45,12,0))</f>
        <v>1</v>
      </c>
      <c r="C13" s="1" t="str">
        <f>VLOOKUP(A13,[7]LISTADHERENT!A$5:H$60,3,0)</f>
        <v>MBOGNING TUGMA GUY</v>
      </c>
      <c r="D13" s="7">
        <f>IF(E13="ECHEC",0,VLOOKUP($A13,[6]HISTOJUIL23!$A$7:$AR$45,13,0))</f>
        <v>75000</v>
      </c>
      <c r="E13" s="7" t="str">
        <f>VLOOKUP($A13,[6]HISTOJUIL23!$A$7:$AV$45,8,0)</f>
        <v>BANQUE</v>
      </c>
      <c r="F13" s="7">
        <f>VLOOKUP($A13,[6]HISTOJUIL23!$A$6:$AV$45,36,0)</f>
        <v>75000</v>
      </c>
      <c r="G13" s="7">
        <f>VLOOKUP($A13,[6]HISTOJUIL23!$A$6:$AV$45,39,0)</f>
        <v>1000</v>
      </c>
      <c r="H13" s="7" t="str">
        <f>IF(G13=0,0,VLOOKUP($A13,[6]HISTOJUIL23!$A$6:$AV$45,42,0))</f>
        <v>BANQUE</v>
      </c>
      <c r="I13" s="7">
        <f>VLOOKUP($A13,[6]HISTOJUIL23!$A$6:$AV$45,41,0)</f>
        <v>0</v>
      </c>
      <c r="J13" s="7">
        <f>TONTJUIN23!F13+TONTJUIN23!G13</f>
        <v>102000</v>
      </c>
      <c r="K13" s="7">
        <f>VLOOKUP($A13,[6]HISTOJUIL23!$A$6:$AV$45,17,0)</f>
        <v>102000</v>
      </c>
      <c r="L13" s="7" t="str">
        <f>IF(K13&lt;&gt;0,VLOOKUP($A13,[6]HISTOJUIL23!$A$6:$BB$45,8,0),"ECHEC")</f>
        <v>BANQUE</v>
      </c>
      <c r="M13" s="7">
        <f>IF(P13=0,0,VLOOKUP($A13,[6]HISTOJUIL23!$A$6:$AV$45,32,0))</f>
        <v>0</v>
      </c>
      <c r="N13" s="7">
        <f>VLOOKUP($A13,[6]HISTOJUIL23!$A$6:$AV$45,33,0)</f>
        <v>0</v>
      </c>
      <c r="O13" s="7">
        <f t="shared" si="0"/>
        <v>0</v>
      </c>
      <c r="P13" s="7">
        <f>VLOOKUP($A13,[6]HISTOJUIL23!$A$6:$AV$45,30,0)</f>
        <v>0</v>
      </c>
    </row>
    <row r="14" spans="1:16" x14ac:dyDescent="0.25">
      <c r="A14" s="1" t="s">
        <v>9</v>
      </c>
      <c r="B14" s="7">
        <f>IF(D14=0,0,VLOOKUP($A14,[6]HISTOJUIL23!$A$6:$BB$45,12,0))</f>
        <v>1</v>
      </c>
      <c r="C14" s="1" t="str">
        <f>VLOOKUP(A14,[7]LISTADHERENT!A$5:H$60,3,0)</f>
        <v>NANKAM APPOLINAIRE</v>
      </c>
      <c r="D14" s="7">
        <f>IF(E14="ECHEC",0,VLOOKUP($A14,[6]HISTOJUIL23!$A$7:$AR$45,13,0))</f>
        <v>75000</v>
      </c>
      <c r="E14" s="7" t="str">
        <f>VLOOKUP($A14,[6]HISTOJUIL23!$A$7:$AV$45,8,0)</f>
        <v>BANQUE</v>
      </c>
      <c r="F14" s="7">
        <f>VLOOKUP($A14,[6]HISTOJUIL23!$A$6:$AV$45,36,0)</f>
        <v>0</v>
      </c>
      <c r="G14" s="7">
        <f>VLOOKUP($A14,[6]HISTOJUIL23!$A$6:$AV$45,39,0)</f>
        <v>0</v>
      </c>
      <c r="H14" s="7">
        <f>IF(G14=0,0,VLOOKUP($A14,[6]HISTOJUIL23!$A$6:$AV$45,42,0))</f>
        <v>0</v>
      </c>
      <c r="I14" s="7">
        <f>VLOOKUP($A14,[6]HISTOJUIL23!$A$6:$AV$45,41,0)</f>
        <v>0</v>
      </c>
      <c r="J14" s="7">
        <f>TONTJUIN23!F14+TONTJUIN23!G14</f>
        <v>0</v>
      </c>
      <c r="K14" s="7">
        <f>VLOOKUP($A14,[6]HISTOJUIL23!$A$6:$AV$45,17,0)</f>
        <v>0</v>
      </c>
      <c r="L14" s="7" t="str">
        <f>IF(K14&lt;&gt;0,VLOOKUP($A14,[6]HISTOJUIL23!$A$6:$BB$45,8,0),"ECHEC")</f>
        <v>ECHEC</v>
      </c>
      <c r="M14" s="7">
        <f>IF(P14=0,0,VLOOKUP($A14,[6]HISTOJUIL23!$A$6:$AV$45,32,0))</f>
        <v>0</v>
      </c>
      <c r="N14" s="7">
        <f>VLOOKUP($A14,[6]HISTOJUIL23!$A$6:$AV$45,33,0)</f>
        <v>0</v>
      </c>
      <c r="O14" s="7">
        <f t="shared" si="0"/>
        <v>0</v>
      </c>
      <c r="P14" s="7">
        <f>VLOOKUP($A14,[6]HISTOJUIL23!$A$6:$AV$45,30,0)</f>
        <v>0</v>
      </c>
    </row>
    <row r="15" spans="1:16" x14ac:dyDescent="0.25">
      <c r="A15" s="1" t="s">
        <v>37</v>
      </c>
      <c r="B15" s="7">
        <f>IF(D15=0,0,VLOOKUP($A15,[6]HISTOJUIL23!$A$6:$BB$45,12,0))</f>
        <v>1</v>
      </c>
      <c r="C15" s="1" t="str">
        <f>VLOOKUP(A15,[7]LISTADHERENT!A$5:H$60,3,0)</f>
        <v>NGONDIEP CLAUDE</v>
      </c>
      <c r="D15" s="7">
        <f>IF(E15="ECHEC",0,VLOOKUP($A15,[6]HISTOJUIL23!$A$7:$AR$45,13,0))</f>
        <v>75000</v>
      </c>
      <c r="E15" s="7" t="str">
        <f>VLOOKUP($A15,[6]HISTOJUIL23!$A$7:$AV$45,8,0)</f>
        <v>BANQUE</v>
      </c>
      <c r="F15" s="7">
        <f>VLOOKUP($A15,[6]HISTOJUIL23!$A$6:$AV$45,36,0)</f>
        <v>167000</v>
      </c>
      <c r="G15" s="7">
        <f>VLOOKUP($A15,[6]HISTOJUIL23!$A$6:$AV$45,39,0)</f>
        <v>2000</v>
      </c>
      <c r="H15" s="7" t="str">
        <f>IF(G15=0,0,VLOOKUP($A15,[6]HISTOJUIL23!$A$6:$AV$45,42,0))</f>
        <v>BANQUE</v>
      </c>
      <c r="I15" s="7">
        <f>VLOOKUP($A15,[6]HISTOJUIL23!$A$6:$AV$45,41,0)</f>
        <v>0</v>
      </c>
      <c r="J15" s="7">
        <f>TONTJUIN23!F15+TONTJUIN23!G15</f>
        <v>0</v>
      </c>
      <c r="K15" s="7">
        <f>VLOOKUP($A15,[6]HISTOJUIL23!$A$6:$AV$45,17,0)</f>
        <v>0</v>
      </c>
      <c r="L15" s="7" t="str">
        <f>IF(K15&lt;&gt;0,VLOOKUP($A15,[6]HISTOJUIL23!$A$6:$BB$45,8,0),"ECHEC")</f>
        <v>ECHEC</v>
      </c>
      <c r="M15" s="7">
        <f>IF(P15=0,0,VLOOKUP($A15,[6]HISTOJUIL23!$A$6:$AV$45,32,0))</f>
        <v>0</v>
      </c>
      <c r="N15" s="7">
        <f>VLOOKUP($A15,[6]HISTOJUIL23!$A$6:$AV$45,33,0)</f>
        <v>0</v>
      </c>
      <c r="O15" s="7">
        <f t="shared" si="0"/>
        <v>0</v>
      </c>
      <c r="P15" s="7">
        <f>VLOOKUP($A15,[6]HISTOJUIL23!$A$6:$AV$45,30,0)</f>
        <v>0</v>
      </c>
    </row>
    <row r="16" spans="1:16" x14ac:dyDescent="0.25">
      <c r="A16" s="1" t="s">
        <v>21</v>
      </c>
      <c r="B16" s="7">
        <f>IF(D16=0,0,VLOOKUP($A16,[6]HISTOJUIL23!$A$6:$BB$45,12,0))</f>
        <v>2</v>
      </c>
      <c r="C16" s="1" t="str">
        <f>VLOOKUP(A16,[7]LISTADHERENT!A$5:H$60,3,0)</f>
        <v>NGUIEMEGNI MATHIEU BLAISE</v>
      </c>
      <c r="D16" s="7">
        <f>IF(E16="ECHEC",0,VLOOKUP($A16,[6]HISTOJUIL23!$A$7:$AR$45,13,0))</f>
        <v>150000</v>
      </c>
      <c r="E16" s="7" t="str">
        <f>VLOOKUP($A16,[6]HISTOJUIL23!$A$7:$AV$45,8,0)</f>
        <v>BANQUE</v>
      </c>
      <c r="F16" s="7">
        <f>VLOOKUP($A16,[6]HISTOJUIL23!$A$6:$AV$45,36,0)</f>
        <v>0</v>
      </c>
      <c r="G16" s="7">
        <f>VLOOKUP($A16,[6]HISTOJUIL23!$A$6:$AV$45,39,0)</f>
        <v>0</v>
      </c>
      <c r="H16" s="7">
        <f>IF(G16=0,0,VLOOKUP($A16,[6]HISTOJUIL23!$A$6:$AV$45,42,0))</f>
        <v>0</v>
      </c>
      <c r="I16" s="7">
        <f>VLOOKUP($A16,[6]HISTOJUIL23!$A$6:$AV$45,41,0)</f>
        <v>0</v>
      </c>
      <c r="J16" s="7">
        <f>TONTJUIN23!F16+TONTJUIN23!G16</f>
        <v>102000</v>
      </c>
      <c r="K16" s="7">
        <f>VLOOKUP($A16,[6]HISTOJUIL23!$A$6:$AV$45,17,0)</f>
        <v>102000</v>
      </c>
      <c r="L16" s="7" t="str">
        <f>IF(K16&lt;&gt;0,VLOOKUP($A16,[6]HISTOJUIL23!$A$6:$BB$45,8,0),"ECHEC")</f>
        <v>BANQUE</v>
      </c>
      <c r="M16" s="7">
        <f>IF(P16=0,0,VLOOKUP($A16,[6]HISTOJUIL23!$A$6:$AV$45,32,0))</f>
        <v>0</v>
      </c>
      <c r="N16" s="7">
        <f>VLOOKUP($A16,[6]HISTOJUIL23!$A$6:$AV$45,33,0)</f>
        <v>0</v>
      </c>
      <c r="O16" s="7">
        <f t="shared" si="0"/>
        <v>0</v>
      </c>
      <c r="P16" s="7">
        <f>VLOOKUP($A16,[6]HISTOJUIL23!$A$6:$AV$45,30,0)</f>
        <v>0</v>
      </c>
    </row>
    <row r="17" spans="1:16" x14ac:dyDescent="0.25">
      <c r="A17" s="1" t="s">
        <v>28</v>
      </c>
      <c r="B17" s="7">
        <f>IF(D17=0,0,VLOOKUP($A17,[6]HISTOJUIL23!$A$6:$BB$45,12,0))</f>
        <v>1</v>
      </c>
      <c r="C17" s="1" t="str">
        <f>VLOOKUP(A17,[7]LISTADHERENT!A$5:H$60,3,0)</f>
        <v>PATEGO NJOSSU GUSTAVE</v>
      </c>
      <c r="D17" s="7">
        <f>IF(E17="ECHEC",0,VLOOKUP($A17,[6]HISTOJUIL23!$A$7:$AR$45,13,0))</f>
        <v>75000</v>
      </c>
      <c r="E17" s="7" t="str">
        <f>VLOOKUP($A17,[6]HISTOJUIL23!$A$7:$AV$45,8,0)</f>
        <v>BANQUE</v>
      </c>
      <c r="F17" s="7">
        <f>VLOOKUP($A17,[6]HISTOJUIL23!$A$6:$AV$45,36,0)</f>
        <v>0</v>
      </c>
      <c r="G17" s="7">
        <f>VLOOKUP($A17,[6]HISTOJUIL23!$A$6:$AV$45,39,0)</f>
        <v>0</v>
      </c>
      <c r="H17" s="7">
        <f>IF(G17=0,0,VLOOKUP($A17,[6]HISTOJUIL23!$A$6:$AV$45,42,0))</f>
        <v>0</v>
      </c>
      <c r="I17" s="7">
        <f>VLOOKUP($A17,[6]HISTOJUIL23!$A$6:$AV$45,41,0)</f>
        <v>0</v>
      </c>
      <c r="J17" s="7">
        <f>TONTJUIN23!F17+TONTJUIN23!G17</f>
        <v>0</v>
      </c>
      <c r="K17" s="7">
        <f>VLOOKUP($A17,[6]HISTOJUIL23!$A$6:$AV$45,17,0)</f>
        <v>0</v>
      </c>
      <c r="L17" s="7" t="str">
        <f>IF(K17&lt;&gt;0,VLOOKUP($A17,[6]HISTOJUIL23!$A$6:$BB$45,8,0),"ECHEC")</f>
        <v>ECHEC</v>
      </c>
      <c r="M17" s="7">
        <f>IF(P17=0,0,VLOOKUP($A17,[6]HISTOJUIL23!$A$6:$AV$45,32,0))</f>
        <v>0</v>
      </c>
      <c r="N17" s="7">
        <f>VLOOKUP($A17,[6]HISTOJUIL23!$A$6:$AV$45,33,0)</f>
        <v>0</v>
      </c>
      <c r="O17" s="7">
        <f t="shared" si="0"/>
        <v>0</v>
      </c>
      <c r="P17" s="7">
        <f>VLOOKUP($A17,[6]HISTOJUIL23!$A$6:$AV$45,30,0)</f>
        <v>0</v>
      </c>
    </row>
    <row r="18" spans="1:16" x14ac:dyDescent="0.25">
      <c r="A18" s="9" t="s">
        <v>36</v>
      </c>
      <c r="B18" s="7">
        <f>IF(D18=0,0,VLOOKUP($A18,[6]HISTOJUIL23!$A$6:$BB$45,12,0))</f>
        <v>1</v>
      </c>
      <c r="C18" s="1" t="str">
        <f>VLOOKUP(A18,[7]LISTADHERENT!A$5:H$60,3,0)</f>
        <v>SIME BRICE</v>
      </c>
      <c r="D18" s="7">
        <f>IF(E18="ECHEC",0,VLOOKUP($A18,[6]HISTOJUIL23!$A$7:$AR$45,13,0))</f>
        <v>75000</v>
      </c>
      <c r="E18" s="7" t="str">
        <f>VLOOKUP($A18,[6]HISTOJUIL23!$A$7:$AV$45,8,0)</f>
        <v>BANQUE</v>
      </c>
      <c r="F18" s="7">
        <f>VLOOKUP($A18,[6]HISTOJUIL23!$A$6:$AV$45,36,0)</f>
        <v>0</v>
      </c>
      <c r="G18" s="7">
        <f>VLOOKUP($A18,[6]HISTOJUIL23!$A$6:$AV$45,39,0)</f>
        <v>0</v>
      </c>
      <c r="H18" s="7">
        <f>IF(G18=0,0,VLOOKUP($A18,[6]HISTOJUIL23!$A$6:$AV$45,42,0))</f>
        <v>0</v>
      </c>
      <c r="I18" s="7">
        <f>VLOOKUP($A18,[6]HISTOJUIL23!$A$6:$AV$45,41,0)</f>
        <v>0</v>
      </c>
      <c r="J18" s="7">
        <f>TONTJUIN23!F18+TONTJUIN23!G18</f>
        <v>0</v>
      </c>
      <c r="K18" s="7">
        <f>VLOOKUP($A18,[6]HISTOJUIL23!$A$6:$AV$45,17,0)</f>
        <v>0</v>
      </c>
      <c r="L18" s="7" t="str">
        <f>IF(K18&lt;&gt;0,VLOOKUP($A18,[6]HISTOJUIL23!$A$6:$BB$45,8,0),"ECHEC")</f>
        <v>ECHEC</v>
      </c>
      <c r="M18" s="7">
        <f>IF(P18=0,0,VLOOKUP($A18,[6]HISTOJUIL23!$A$6:$AV$45,32,0))</f>
        <v>0</v>
      </c>
      <c r="N18" s="7">
        <f>VLOOKUP($A18,[6]HISTOJUIL23!$A$6:$AV$45,33,0)</f>
        <v>0</v>
      </c>
      <c r="O18" s="7">
        <f t="shared" si="0"/>
        <v>0</v>
      </c>
      <c r="P18" s="7">
        <f>VLOOKUP($A18,[6]HISTOJUIL23!$A$6:$AV$45,30,0)</f>
        <v>0</v>
      </c>
    </row>
    <row r="19" spans="1:16" x14ac:dyDescent="0.25">
      <c r="A19" s="9" t="s">
        <v>50</v>
      </c>
      <c r="B19" s="7">
        <f>IF(D19=0,0,VLOOKUP($A19,[6]HISTOJUIL23!$A$6:$BB$45,12,0))</f>
        <v>1</v>
      </c>
      <c r="C19" s="1" t="str">
        <f>VLOOKUP(A19,[7]LISTADHERENT!A$5:H$60,3,0)</f>
        <v>TCHOUAMOU MATHIEU</v>
      </c>
      <c r="D19" s="7">
        <f>IF(E19="ECHEC",0,VLOOKUP($A19,[6]HISTOJUIL23!$A$7:$AR$45,13,0))</f>
        <v>75000</v>
      </c>
      <c r="E19" s="7" t="str">
        <f>VLOOKUP($A19,[6]HISTOJUIL23!$A$7:$AV$45,8,0)</f>
        <v>BANQUE</v>
      </c>
      <c r="F19" s="7">
        <f>VLOOKUP($A19,[6]HISTOJUIL23!$A$6:$AV$45,36,0)</f>
        <v>75000</v>
      </c>
      <c r="G19" s="7">
        <f>VLOOKUP($A19,[6]HISTOJUIL23!$A$6:$AV$45,39,0)</f>
        <v>1000</v>
      </c>
      <c r="H19" s="7" t="str">
        <f>IF(G19=0,0,VLOOKUP($A19,[6]HISTOJUIL23!$A$6:$AV$45,42,0))</f>
        <v>BANQUE</v>
      </c>
      <c r="I19" s="7">
        <f>VLOOKUP($A19,[6]HISTOJUIL23!$A$6:$AV$45,41,0)</f>
        <v>0</v>
      </c>
      <c r="J19" s="7">
        <f>TONTJUIN23!F19+TONTJUIN23!G19</f>
        <v>102000</v>
      </c>
      <c r="K19" s="7">
        <f>VLOOKUP($A19,[6]HISTOJUIL23!$A$6:$AV$45,17,0)</f>
        <v>102000</v>
      </c>
      <c r="L19" s="7" t="str">
        <f>IF(K19&lt;&gt;0,VLOOKUP($A19,[6]HISTOJUIL23!$A$6:$BB$45,8,0),"ECHEC")</f>
        <v>BANQUE</v>
      </c>
      <c r="M19" s="7">
        <f>IF(P19=0,0,VLOOKUP($A19,[6]HISTOJUIL23!$A$6:$AV$45,32,0))</f>
        <v>0</v>
      </c>
      <c r="N19" s="7">
        <f>VLOOKUP($A19,[6]HISTOJUIL23!$A$6:$AV$45,33,0)</f>
        <v>0</v>
      </c>
      <c r="O19" s="7">
        <f t="shared" si="0"/>
        <v>0</v>
      </c>
      <c r="P19" s="7">
        <f>VLOOKUP($A19,[6]HISTOJUIL23!$A$6:$AV$45,30,0)</f>
        <v>0</v>
      </c>
    </row>
    <row r="20" spans="1:16" x14ac:dyDescent="0.25">
      <c r="A20" s="1" t="s">
        <v>20</v>
      </c>
      <c r="B20" s="7">
        <f>IF(D20=0,0,VLOOKUP($A20,[6]HISTOJUIL23!$A$6:$BB$45,12,0))</f>
        <v>2</v>
      </c>
      <c r="C20" s="1" t="str">
        <f>VLOOKUP(A20,[7]LISTADHERENT!A$5:H$60,3,0)</f>
        <v>YOUMBI EMMANUEL</v>
      </c>
      <c r="D20" s="7">
        <f>IF(E20="ECHEC",0,VLOOKUP($A20,[6]HISTOJUIL23!$A$7:$AR$45,13,0))</f>
        <v>150000</v>
      </c>
      <c r="E20" s="7" t="str">
        <f>VLOOKUP($A20,[6]HISTOJUIL23!$A$7:$AV$45,8,0)</f>
        <v>BANQUE</v>
      </c>
      <c r="F20" s="7">
        <f>VLOOKUP($A20,[6]HISTOJUIL23!$A$6:$AV$45,36,0)</f>
        <v>0</v>
      </c>
      <c r="G20" s="7">
        <f>VLOOKUP($A20,[6]HISTOJUIL23!$A$6:$AV$45,39,0)</f>
        <v>0</v>
      </c>
      <c r="H20" s="7">
        <f>IF(G20=0,0,VLOOKUP($A20,[6]HISTOJUIL23!$A$6:$AV$45,42,0))</f>
        <v>0</v>
      </c>
      <c r="I20" s="7">
        <f>VLOOKUP($A20,[6]HISTOJUIL23!$A$6:$AV$45,41,0)</f>
        <v>0</v>
      </c>
      <c r="J20" s="7">
        <f>TONTJUIN23!F20+TONTJUIN23!G20</f>
        <v>0</v>
      </c>
      <c r="K20" s="7">
        <f>VLOOKUP($A20,[6]HISTOJUIL23!$A$6:$AV$45,17,0)</f>
        <v>0</v>
      </c>
      <c r="L20" s="7" t="str">
        <f>IF(K20&lt;&gt;0,VLOOKUP($A20,[6]HISTOJUIL23!$A$6:$BB$45,8,0),"ECHEC")</f>
        <v>ECHEC</v>
      </c>
      <c r="M20" s="7">
        <f>IF(P20=0,0,VLOOKUP($A20,[6]HISTOJUIL23!$A$6:$AV$45,32,0))</f>
        <v>0</v>
      </c>
      <c r="N20" s="7">
        <f>VLOOKUP($A20,[6]HISTOJUIL23!$A$6:$AV$45,33,0)</f>
        <v>0</v>
      </c>
      <c r="O20" s="7">
        <f t="shared" si="0"/>
        <v>0</v>
      </c>
      <c r="P20" s="7">
        <f>VLOOKUP($A20,[6]HISTOJUIL23!$A$6:$AV$45,30,0)</f>
        <v>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1">SUM(D6:D22)</f>
        <v>1275000</v>
      </c>
      <c r="E23" s="8">
        <f t="shared" si="1"/>
        <v>0</v>
      </c>
      <c r="F23" s="8">
        <f t="shared" si="1"/>
        <v>317000</v>
      </c>
      <c r="G23" s="8">
        <f t="shared" si="1"/>
        <v>4000</v>
      </c>
      <c r="H23" s="8">
        <f t="shared" si="1"/>
        <v>0</v>
      </c>
      <c r="I23" s="8">
        <f t="shared" si="1"/>
        <v>0</v>
      </c>
      <c r="J23" s="8">
        <f t="shared" si="1"/>
        <v>408000</v>
      </c>
      <c r="K23" s="8">
        <f t="shared" si="1"/>
        <v>408000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892500</v>
      </c>
      <c r="P23" s="8">
        <f t="shared" si="1"/>
        <v>7500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D29+E29+P23+TONTJUIN23!M30</f>
        <v>1967000</v>
      </c>
      <c r="L25" s="5"/>
      <c r="M25"/>
      <c r="N25" s="5"/>
    </row>
    <row r="26" spans="1:16" s="2" customFormat="1" ht="18" x14ac:dyDescent="0.25">
      <c r="D26" s="8">
        <f>SUMIFS(D6:D22,E6:E22,"ESPECES")</f>
        <v>0</v>
      </c>
      <c r="E26" s="8">
        <f>SUMIFS(K7:K17,L7:L17,"ESPECES")</f>
        <v>0</v>
      </c>
      <c r="F26" s="8">
        <f>SUMIFS(F7:F22,H7:H22,"ESPECES")</f>
        <v>0</v>
      </c>
      <c r="G26" s="8">
        <f>SUMIFS(O7:O22,M7:M22,"ESPECES")</f>
        <v>0</v>
      </c>
      <c r="H26" s="8">
        <f>D26+E26-F26-G26</f>
        <v>0</v>
      </c>
      <c r="I26" s="8"/>
      <c r="J26" s="8" t="s">
        <v>33</v>
      </c>
      <c r="K26" s="8">
        <f>C3*COUNTIF(O7:O22,"&gt;0")</f>
        <v>900000</v>
      </c>
      <c r="L26" s="8">
        <f>D3</f>
        <v>2</v>
      </c>
      <c r="M26" s="8">
        <f>COUNTIF(O7:O17,"&gt;0")</f>
        <v>1</v>
      </c>
      <c r="N26" s="8"/>
    </row>
    <row r="27" spans="1:16" s="2" customFormat="1" ht="18" x14ac:dyDescent="0.25">
      <c r="D27" s="8">
        <f>SUMIFS(D6:D22,E6:E22,"BANQUE")</f>
        <v>1275000</v>
      </c>
      <c r="E27" s="8">
        <f>SUMIFS(K7:K20,L7:L20,"BANQUE")</f>
        <v>408000</v>
      </c>
      <c r="F27" s="8">
        <f>SUMIFS(F7:F22,H7:H22,"BANQUE")</f>
        <v>317000</v>
      </c>
      <c r="G27" s="8">
        <f>SUMIFS(O7:O22,M7:M22,"BANQUE")</f>
        <v>892500</v>
      </c>
      <c r="H27" s="8">
        <f>D27+E27-F27-G27</f>
        <v>473500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1067000</v>
      </c>
      <c r="L28" s="8"/>
      <c r="M28" s="8"/>
      <c r="N28" s="8"/>
    </row>
    <row r="29" spans="1:16" s="2" customFormat="1" ht="18" x14ac:dyDescent="0.25">
      <c r="D29" s="8">
        <f>D26+D27</f>
        <v>1275000</v>
      </c>
      <c r="E29" s="8">
        <f>E26+E27</f>
        <v>408000</v>
      </c>
      <c r="F29" s="8">
        <f>F26+F27</f>
        <v>317000</v>
      </c>
      <c r="G29" s="8">
        <f t="shared" ref="G29:H29" si="2">G26+G27</f>
        <v>892500</v>
      </c>
      <c r="H29" s="8">
        <f t="shared" si="2"/>
        <v>473500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750000</v>
      </c>
      <c r="L30"/>
      <c r="M30" s="8">
        <f>K30</f>
        <v>750000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TONTJUIN23!M32+TONTJUIL23!K32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0</v>
      </c>
      <c r="M33" s="8">
        <f>TONTJUIN23!M33+TONTJUIL23!K33</f>
        <v>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xSplit="3" ySplit="5" topLeftCell="E15" activePane="bottomRight" state="frozen"/>
      <selection activeCell="E16" sqref="E16"/>
      <selection pane="topRight" activeCell="E16" sqref="E16"/>
      <selection pane="bottomLeft" activeCell="E16" sqref="E16"/>
      <selection pane="bottomRight" activeCell="G23" sqref="G23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2</v>
      </c>
      <c r="E3" s="1"/>
      <c r="L3" s="1"/>
      <c r="M3" s="1"/>
    </row>
    <row r="4" spans="1:16" s="12" customFormat="1" ht="18" x14ac:dyDescent="0.25">
      <c r="B4" s="13"/>
      <c r="C4" s="19">
        <v>45151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IF(D6=0,0,VLOOKUP($A6,[6]HISTOAOUT23!$A$6:$BB$45,12,0))</f>
        <v>1</v>
      </c>
      <c r="C6" s="1" t="str">
        <f>VLOOKUP(A6,[7]LISTADHERENT!A$5:H$60,3,0)</f>
        <v>ASELBY</v>
      </c>
      <c r="D6" s="7">
        <f>IF(E6="ECHEC",0,VLOOKUP($A6,[6]HISTOAOUT23!$A$6:$AR$45,13,0))</f>
        <v>75000</v>
      </c>
      <c r="E6" s="7" t="str">
        <f>VLOOKUP($A6,[6]HISTOAOUT23!$A$6:$AV$45,8,0)</f>
        <v>BANQUE</v>
      </c>
      <c r="F6" s="7">
        <f>VLOOKUP($A6,[6]HISTOAOUT23!$A$6:$AV$45,36,0)</f>
        <v>0</v>
      </c>
      <c r="G6" s="7">
        <f>VLOOKUP($A6,[6]HISTOAOUT23!$A$6:$AV$45,39,0)</f>
        <v>0</v>
      </c>
      <c r="H6" s="7">
        <f>IF(G6=0,0,VLOOKUP($A6,[6]HISTOAOUT23!$A$6:$AV$45,42,0))</f>
        <v>0</v>
      </c>
      <c r="I6" s="7">
        <f>VLOOKUP($A6,[6]HISTOAOUT23!$A$6:$AV$45,41,0)</f>
        <v>0</v>
      </c>
      <c r="J6" s="7">
        <f>TONTJUIL23!F6+TONTJUIL23!G6</f>
        <v>0</v>
      </c>
      <c r="K6" s="7">
        <f>VLOOKUP($A6,[6]HISTOAOUT23!$A$6:$AV$45,17,0)</f>
        <v>0</v>
      </c>
      <c r="L6" s="7" t="str">
        <f>IF(K6&lt;&gt;0,VLOOKUP($A6,[6]HISTOAOUT23!$A$6:$BB$45,8,0),"ECHEC")</f>
        <v>ECHEC</v>
      </c>
      <c r="M6" s="7">
        <f>IF(P6=0,0,VLOOKUP($A6,[6]HISTOAOUT23!$A$6:$AV$45,32,0))</f>
        <v>0</v>
      </c>
      <c r="N6" s="7">
        <f>VLOOKUP($A6,[6]HISTOAOUT23!$A$6:$AV$45,33,0)</f>
        <v>0</v>
      </c>
      <c r="O6" s="7">
        <f t="shared" ref="O6:O20" si="0">IF(P6=0,0,($C$3-P6))</f>
        <v>0</v>
      </c>
      <c r="P6" s="7">
        <f>VLOOKUP($A6,[6]HISTOAOUT23!$A$6:$AV$45,30,0)</f>
        <v>0</v>
      </c>
    </row>
    <row r="7" spans="1:16" x14ac:dyDescent="0.25">
      <c r="A7" s="1" t="s">
        <v>25</v>
      </c>
      <c r="B7" s="7">
        <f>IF(D7=0,0,VLOOKUP($A7,[6]HISTOAOUT23!$A$6:$BB$45,12,0))</f>
        <v>1</v>
      </c>
      <c r="C7" s="1" t="str">
        <f>VLOOKUP(A7,[7]LISTADHERENT!A$5:H$60,3,0)</f>
        <v>BOUTCHOUANG WILLIAM</v>
      </c>
      <c r="D7" s="7">
        <f>IF(E7="ECHEC",0,VLOOKUP($A7,[6]HISTOAOUT23!$A$6:$AR$45,13,0))</f>
        <v>75000</v>
      </c>
      <c r="E7" s="7" t="str">
        <f>VLOOKUP($A7,[6]HISTOAOUT23!$A$6:$AV$45,8,0)</f>
        <v>BANQUE</v>
      </c>
      <c r="F7" s="7">
        <f>VLOOKUP($A7,[6]HISTOAOUT23!$A$6:$AV$45,36,0)</f>
        <v>0</v>
      </c>
      <c r="G7" s="7">
        <f>VLOOKUP($A7,[6]HISTOAOUT23!$A$6:$AV$45,39,0)</f>
        <v>0</v>
      </c>
      <c r="H7" s="7">
        <f>IF(G7=0,0,VLOOKUP($A7,[6]HISTOAOUT23!$A$6:$AV$45,42,0))</f>
        <v>0</v>
      </c>
      <c r="I7" s="7">
        <f>VLOOKUP($A7,[6]HISTOAOUT23!$A$6:$AV$45,41,0)</f>
        <v>0</v>
      </c>
      <c r="J7" s="7">
        <f>TONTJUIL23!F7+TONTJUIL23!G7</f>
        <v>0</v>
      </c>
      <c r="K7" s="7">
        <f>VLOOKUP($A7,[6]HISTOAOUT23!$A$6:$AV$45,17,0)</f>
        <v>0</v>
      </c>
      <c r="L7" s="7" t="str">
        <f>IF(K7&lt;&gt;0,VLOOKUP($A7,[6]HISTOAOUT23!$A$6:$BB$45,8,0),"ECHEC")</f>
        <v>ECHEC</v>
      </c>
      <c r="M7" s="7">
        <f>IF(P7=0,0,VLOOKUP($A7,[6]HISTOAOUT23!$A$6:$AV$45,32,0))</f>
        <v>0</v>
      </c>
      <c r="N7" s="7">
        <f>VLOOKUP($A7,[6]HISTOAOUT23!$A$6:$AV$45,33,0)</f>
        <v>0</v>
      </c>
      <c r="O7" s="7">
        <f t="shared" si="0"/>
        <v>0</v>
      </c>
      <c r="P7" s="7">
        <f>VLOOKUP($A7,[6]HISTOAOUT23!$A$6:$AV$45,30,0)</f>
        <v>0</v>
      </c>
    </row>
    <row r="8" spans="1:16" x14ac:dyDescent="0.25">
      <c r="A8" s="1" t="s">
        <v>26</v>
      </c>
      <c r="B8" s="7">
        <f>IF(D8=0,0,VLOOKUP($A8,[6]HISTOAOUT23!$A$6:$BB$45,12,0))</f>
        <v>1</v>
      </c>
      <c r="C8" s="1" t="str">
        <f>VLOOKUP(A8,[7]LISTADHERENT!A$5:H$60,3,0)</f>
        <v>DJOUKWE NANGUEN GUY BLAISE</v>
      </c>
      <c r="D8" s="7">
        <f>IF(E8="ECHEC",0,VLOOKUP($A8,[6]HISTOAOUT23!$A$7:$AR$45,13,0))</f>
        <v>75000</v>
      </c>
      <c r="E8" s="7" t="str">
        <f>VLOOKUP($A8,[6]HISTOAOUT23!$A$7:$AV$45,8,0)</f>
        <v>BANQUE</v>
      </c>
      <c r="F8" s="7">
        <f>VLOOKUP($A8,[6]HISTOAOUT23!$A$6:$AV$45,36,0)</f>
        <v>167000</v>
      </c>
      <c r="G8" s="7">
        <f>VLOOKUP($A8,[6]HISTOAOUT23!$A$6:$AV$45,39,0)</f>
        <v>2000</v>
      </c>
      <c r="H8" s="7" t="str">
        <f>IF(G8=0,0,VLOOKUP($A8,[6]HISTOAOUT23!$A$6:$AV$45,42,0))</f>
        <v>BANQUE</v>
      </c>
      <c r="I8" s="7">
        <f>VLOOKUP($A8,[6]HISTOAOUT23!$A$6:$AV$45,41,0)</f>
        <v>0</v>
      </c>
      <c r="J8" s="7">
        <f>TONTJUIL23!F8+TONTJUIL23!G8</f>
        <v>0</v>
      </c>
      <c r="K8" s="7">
        <f>VLOOKUP($A8,[6]HISTOAOUT23!$A$6:$AV$45,17,0)</f>
        <v>0</v>
      </c>
      <c r="L8" s="7" t="str">
        <f>IF(K8&lt;&gt;0,VLOOKUP($A8,[6]HISTOAOUT23!$A$6:$BB$45,8,0),"ECHEC")</f>
        <v>ECHEC</v>
      </c>
      <c r="M8" s="7">
        <f>IF(P8=0,0,VLOOKUP($A8,[6]HISTOAOUT23!$A$6:$AV$45,32,0))</f>
        <v>0</v>
      </c>
      <c r="N8" s="7">
        <f>VLOOKUP($A8,[6]HISTOAOUT23!$A$6:$AV$45,33,0)</f>
        <v>0</v>
      </c>
      <c r="O8" s="7">
        <f t="shared" si="0"/>
        <v>0</v>
      </c>
      <c r="P8" s="7">
        <f>VLOOKUP($A8,[6]HISTOAOUT23!$A$6:$AV$45,30,0)</f>
        <v>0</v>
      </c>
    </row>
    <row r="9" spans="1:16" x14ac:dyDescent="0.25">
      <c r="A9" s="1" t="s">
        <v>35</v>
      </c>
      <c r="B9" s="7">
        <f>IF(D9=0,0,VLOOKUP($A9,[6]HISTOAOUT23!$A$6:$BB$45,12,0))</f>
        <v>1</v>
      </c>
      <c r="C9" s="1" t="str">
        <f>VLOOKUP(A9,[7]LISTADHERENT!A$5:H$60,3,0)</f>
        <v>DJUOMBESSY ANTOINE</v>
      </c>
      <c r="D9" s="7">
        <f>IF(E9="ECHEC",0,VLOOKUP($A9,[6]HISTOAOUT23!$A$7:$AR$45,13,0))</f>
        <v>75000</v>
      </c>
      <c r="E9" s="7" t="str">
        <f>VLOOKUP($A9,[6]HISTOAOUT23!$A$7:$AV$45,8,0)</f>
        <v>BANQUE</v>
      </c>
      <c r="F9" s="7">
        <f>VLOOKUP($A9,[6]HISTOAOUT23!$A$6:$AV$45,36,0)</f>
        <v>0</v>
      </c>
      <c r="G9" s="7">
        <f>VLOOKUP($A9,[6]HISTOAOUT23!$A$6:$AV$45,39,0)</f>
        <v>0</v>
      </c>
      <c r="H9" s="7">
        <f>IF(G9=0,0,VLOOKUP($A9,[6]HISTOAOUT23!$A$6:$AV$45,42,0))</f>
        <v>0</v>
      </c>
      <c r="I9" s="7">
        <f>VLOOKUP($A9,[6]HISTOAOUT23!$A$6:$AV$45,41,0)</f>
        <v>0</v>
      </c>
      <c r="J9" s="7">
        <f>TONTJUIL23!F9+TONTJUIL23!G9</f>
        <v>0</v>
      </c>
      <c r="K9" s="7">
        <f>VLOOKUP($A9,[6]HISTOAOUT23!$A$6:$AV$45,17,0)</f>
        <v>0</v>
      </c>
      <c r="L9" s="7" t="str">
        <f>IF(K9&lt;&gt;0,VLOOKUP($A9,[6]HISTOAOUT23!$A$6:$BB$45,8,0),"ECHEC")</f>
        <v>ECHEC</v>
      </c>
      <c r="M9" s="7">
        <f>IF(P9=0,0,VLOOKUP($A9,[6]HISTOAOUT23!$A$6:$AV$45,32,0))</f>
        <v>0</v>
      </c>
      <c r="N9" s="7">
        <f>VLOOKUP($A9,[6]HISTOAOUT23!$A$6:$AV$45,33,0)</f>
        <v>0</v>
      </c>
      <c r="O9" s="7">
        <f t="shared" si="0"/>
        <v>0</v>
      </c>
      <c r="P9" s="7">
        <f>VLOOKUP($A9,[6]HISTOAOUT23!$A$6:$AV$45,30,0)</f>
        <v>0</v>
      </c>
    </row>
    <row r="10" spans="1:16" x14ac:dyDescent="0.25">
      <c r="A10" s="1" t="s">
        <v>19</v>
      </c>
      <c r="B10" s="7">
        <f>IF(D10=0,0,VLOOKUP($A10,[6]HISTOAOUT23!$A$6:$BB$45,12,0))</f>
        <v>1</v>
      </c>
      <c r="C10" s="1" t="str">
        <f>VLOOKUP(A10,[7]LISTADHERENT!A$5:H$60,3,0)</f>
        <v>HOTCHO BENJAMIN</v>
      </c>
      <c r="D10" s="7">
        <f>IF(E10="ECHEC",0,VLOOKUP($A10,[6]HISTOAOUT23!$A$7:$AR$45,13,0))</f>
        <v>75000</v>
      </c>
      <c r="E10" s="7" t="str">
        <f>VLOOKUP($A10,[6]HISTOAOUT23!$A$7:$AV$45,8,0)</f>
        <v>BANQUE</v>
      </c>
      <c r="F10" s="7">
        <f>VLOOKUP($A10,[6]HISTOAOUT23!$A$6:$AV$45,36,0)</f>
        <v>0</v>
      </c>
      <c r="G10" s="7">
        <f>VLOOKUP($A10,[6]HISTOAOUT23!$A$6:$AV$45,39,0)</f>
        <v>0</v>
      </c>
      <c r="H10" s="7">
        <f>IF(G10=0,0,VLOOKUP($A10,[6]HISTOAOUT23!$A$6:$AV$45,42,0))</f>
        <v>0</v>
      </c>
      <c r="I10" s="7">
        <f>VLOOKUP($A10,[6]HISTOAOUT23!$A$6:$AV$45,41,0)</f>
        <v>0</v>
      </c>
      <c r="J10" s="7">
        <f>TONTJUIL23!F10+TONTJUIL23!G10</f>
        <v>0</v>
      </c>
      <c r="K10" s="7">
        <f>VLOOKUP($A10,[6]HISTOAOUT23!$A$6:$AV$45,17,0)</f>
        <v>0</v>
      </c>
      <c r="L10" s="7" t="str">
        <f>IF(K10&lt;&gt;0,VLOOKUP($A10,[6]HISTOAOUT23!$A$6:$BB$45,8,0),"ECHEC")</f>
        <v>ECHEC</v>
      </c>
      <c r="M10" s="7">
        <f>IF(P10=0,0,VLOOKUP($A10,[6]HISTOAOUT23!$A$6:$AV$45,32,0))</f>
        <v>0</v>
      </c>
      <c r="N10" s="7">
        <f>VLOOKUP($A10,[6]HISTOAOUT23!$A$6:$AV$45,33,0)</f>
        <v>0</v>
      </c>
      <c r="O10" s="7">
        <f t="shared" si="0"/>
        <v>0</v>
      </c>
      <c r="P10" s="7">
        <f>VLOOKUP($A10,[6]HISTOAOUT23!$A$6:$AV$45,30,0)</f>
        <v>0</v>
      </c>
    </row>
    <row r="11" spans="1:16" x14ac:dyDescent="0.25">
      <c r="A11" s="1" t="s">
        <v>27</v>
      </c>
      <c r="B11" s="7">
        <f>IF(D11=0,0,VLOOKUP($A11,[6]HISTOAOUT23!$A$6:$BB$45,12,0))</f>
        <v>1</v>
      </c>
      <c r="C11" s="1" t="str">
        <f>VLOOKUP(A11,[7]LISTADHERENT!A$5:H$60,3,0)</f>
        <v>HENGUE PAUL OMER</v>
      </c>
      <c r="D11" s="7">
        <f>IF(E11="ECHEC",0,VLOOKUP($A11,[6]HISTOAOUT23!$A$7:$AR$45,13,0))</f>
        <v>75000</v>
      </c>
      <c r="E11" s="7" t="str">
        <f>VLOOKUP($A11,[6]HISTOAOUT23!$A$7:$AV$45,8,0)</f>
        <v>BANQUE</v>
      </c>
      <c r="F11" s="7">
        <f>VLOOKUP($A11,[6]HISTOAOUT23!$A$6:$AV$45,36,0)</f>
        <v>0</v>
      </c>
      <c r="G11" s="7">
        <f>VLOOKUP($A11,[6]HISTOAOUT23!$A$6:$AV$45,39,0)</f>
        <v>0</v>
      </c>
      <c r="H11" s="7">
        <f>IF(G11=0,0,VLOOKUP($A11,[6]HISTOAOUT23!$A$6:$AV$45,42,0))</f>
        <v>0</v>
      </c>
      <c r="I11" s="7">
        <f>VLOOKUP($A11,[6]HISTOAOUT23!$A$6:$AV$45,41,0)</f>
        <v>0</v>
      </c>
      <c r="J11" s="7">
        <f>TONTJUIL23!F11+TONTJUIL23!G11</f>
        <v>0</v>
      </c>
      <c r="K11" s="7">
        <f>VLOOKUP($A11,[6]HISTOAOUT23!$A$6:$AV$45,17,0)</f>
        <v>0</v>
      </c>
      <c r="L11" s="7" t="str">
        <f>IF(K11&lt;&gt;0,VLOOKUP($A11,[6]HISTOAOUT23!$A$6:$BB$45,8,0),"ECHEC")</f>
        <v>ECHEC</v>
      </c>
      <c r="M11" s="7">
        <f>IF(P11=0,0,VLOOKUP($A11,[6]HISTOAOUT23!$A$6:$AV$45,32,0))</f>
        <v>0</v>
      </c>
      <c r="N11" s="7">
        <f>VLOOKUP($A11,[6]HISTOAOUT23!$A$6:$AV$45,33,0)</f>
        <v>0</v>
      </c>
      <c r="O11" s="7">
        <f t="shared" si="0"/>
        <v>0</v>
      </c>
      <c r="P11" s="7">
        <f>VLOOKUP($A11,[6]HISTOAOUT23!$A$6:$AV$45,30,0)</f>
        <v>0</v>
      </c>
    </row>
    <row r="12" spans="1:16" x14ac:dyDescent="0.25">
      <c r="A12" s="1" t="s">
        <v>8</v>
      </c>
      <c r="B12" s="7">
        <f>IF(D12=0,0,VLOOKUP($A12,[6]HISTOAOUT23!$A$6:$BB$45,12,0))</f>
        <v>1</v>
      </c>
      <c r="C12" s="1" t="str">
        <f>VLOOKUP(A12,[7]LISTADHERENT!A$5:H$60,3,0)</f>
        <v>KOUATCHO MESSACK</v>
      </c>
      <c r="D12" s="7">
        <f>IF(E12="ECHEC",0,VLOOKUP($A12,[6]HISTOAOUT23!$A$7:$AR$45,13,0))</f>
        <v>75000</v>
      </c>
      <c r="E12" s="7" t="str">
        <f>VLOOKUP($A12,[6]HISTOAOUT23!$A$7:$AV$45,8,0)</f>
        <v>BANQUE</v>
      </c>
      <c r="F12" s="7">
        <f>VLOOKUP($A12,[6]HISTOAOUT23!$A$6:$AV$45,36,0)</f>
        <v>0</v>
      </c>
      <c r="G12" s="7">
        <f>VLOOKUP($A12,[6]HISTOAOUT23!$A$6:$AV$45,39,0)</f>
        <v>0</v>
      </c>
      <c r="H12" s="7">
        <f>IF(G12=0,0,VLOOKUP($A12,[6]HISTOAOUT23!$A$6:$AV$45,42,0))</f>
        <v>0</v>
      </c>
      <c r="I12" s="7">
        <f>VLOOKUP($A12,[6]HISTOAOUT23!$A$6:$AV$45,41,0)</f>
        <v>0</v>
      </c>
      <c r="J12" s="7">
        <f>TONTJUIL23!F12+TONTJUIL23!G12</f>
        <v>0</v>
      </c>
      <c r="K12" s="7">
        <f>VLOOKUP($A12,[6]HISTOAOUT23!$A$6:$AV$45,17,0)</f>
        <v>0</v>
      </c>
      <c r="L12" s="7" t="str">
        <f>IF(K12&lt;&gt;0,VLOOKUP($A12,[6]HISTOAOUT23!$A$6:$BB$45,8,0),"ECHEC")</f>
        <v>ECHEC</v>
      </c>
      <c r="M12" s="7">
        <f>IF(P12=0,0,VLOOKUP($A12,[6]HISTOAOUT23!$A$6:$AV$45,32,0))</f>
        <v>0</v>
      </c>
      <c r="N12" s="7">
        <f>VLOOKUP($A12,[6]HISTOAOUT23!$A$6:$AV$45,33,0)</f>
        <v>0</v>
      </c>
      <c r="O12" s="7">
        <f t="shared" si="0"/>
        <v>0</v>
      </c>
      <c r="P12" s="7">
        <f>VLOOKUP($A12,[6]HISTOAOUT23!$A$6:$AV$45,30,0)</f>
        <v>0</v>
      </c>
    </row>
    <row r="13" spans="1:16" x14ac:dyDescent="0.25">
      <c r="A13" s="1" t="s">
        <v>22</v>
      </c>
      <c r="B13" s="7">
        <f>IF(D13=0,0,VLOOKUP($A13,[6]HISTOAOUT23!$A$6:$BB$45,12,0))</f>
        <v>1</v>
      </c>
      <c r="C13" s="1" t="str">
        <f>VLOOKUP(A13,[7]LISTADHERENT!A$5:H$60,3,0)</f>
        <v>MBOGNING TUGMA GUY</v>
      </c>
      <c r="D13" s="7">
        <f>IF(E13="ECHEC",0,VLOOKUP($A13,[6]HISTOAOUT23!$A$7:$AR$45,13,0))</f>
        <v>75000</v>
      </c>
      <c r="E13" s="7" t="str">
        <f>VLOOKUP($A13,[6]HISTOAOUT23!$A$7:$AV$45,8,0)</f>
        <v>BANQUE</v>
      </c>
      <c r="F13" s="7">
        <f>VLOOKUP($A13,[6]HISTOAOUT23!$A$6:$AV$45,36,0)</f>
        <v>150000</v>
      </c>
      <c r="G13" s="7">
        <f>VLOOKUP($A13,[6]HISTOAOUT23!$A$6:$AV$45,39,0)</f>
        <v>2000</v>
      </c>
      <c r="H13" s="7" t="str">
        <f>IF(G13=0,0,VLOOKUP($A13,[6]HISTOAOUT23!$A$6:$AV$45,42,0))</f>
        <v>BANQUE</v>
      </c>
      <c r="I13" s="7">
        <f>VLOOKUP($A13,[6]HISTOAOUT23!$A$6:$AV$45,41,0)</f>
        <v>0</v>
      </c>
      <c r="J13" s="7">
        <f>TONTJUIL23!F13+TONTJUIL23!G13</f>
        <v>76000</v>
      </c>
      <c r="K13" s="7">
        <f>VLOOKUP($A13,[6]HISTOAOUT23!$A$6:$AV$45,17,0)</f>
        <v>76000</v>
      </c>
      <c r="L13" s="7" t="str">
        <f>IF(K13&lt;&gt;0,VLOOKUP($A13,[6]HISTOAOUT23!$A$6:$BB$45,8,0),"ECHEC")</f>
        <v>BANQUE</v>
      </c>
      <c r="M13" s="7">
        <f>IF(P13=0,0,VLOOKUP($A13,[6]HISTOAOUT23!$A$6:$AV$45,32,0))</f>
        <v>0</v>
      </c>
      <c r="N13" s="7">
        <f>VLOOKUP($A13,[6]HISTOAOUT23!$A$6:$AV$45,33,0)</f>
        <v>0</v>
      </c>
      <c r="O13" s="7">
        <f t="shared" si="0"/>
        <v>0</v>
      </c>
      <c r="P13" s="7">
        <f>VLOOKUP($A13,[6]HISTOAOUT23!$A$6:$AV$45,30,0)</f>
        <v>0</v>
      </c>
    </row>
    <row r="14" spans="1:16" x14ac:dyDescent="0.25">
      <c r="A14" s="1" t="s">
        <v>9</v>
      </c>
      <c r="B14" s="7">
        <f>IF(D14=0,0,VLOOKUP($A14,[6]HISTOAOUT23!$A$6:$BB$45,12,0))</f>
        <v>1</v>
      </c>
      <c r="C14" s="1" t="str">
        <f>VLOOKUP(A14,[7]LISTADHERENT!A$5:H$60,3,0)</f>
        <v>NANKAM APPOLINAIRE</v>
      </c>
      <c r="D14" s="7">
        <f>IF(E14="ECHEC",0,VLOOKUP($A14,[6]HISTOAOUT23!$A$7:$AR$45,13,0))</f>
        <v>75000</v>
      </c>
      <c r="E14" s="7" t="str">
        <f>VLOOKUP($A14,[6]HISTOAOUT23!$A$7:$AV$45,8,0)</f>
        <v>BANQUE</v>
      </c>
      <c r="F14" s="7">
        <f>VLOOKUP($A14,[6]HISTOAOUT23!$A$6:$AV$45,36,0)</f>
        <v>0</v>
      </c>
      <c r="G14" s="7">
        <f>VLOOKUP($A14,[6]HISTOAOUT23!$A$6:$AV$45,39,0)</f>
        <v>0</v>
      </c>
      <c r="H14" s="7">
        <f>IF(G14=0,0,VLOOKUP($A14,[6]HISTOAOUT23!$A$6:$AV$45,42,0))</f>
        <v>0</v>
      </c>
      <c r="I14" s="7">
        <f>VLOOKUP($A14,[6]HISTOAOUT23!$A$6:$AV$45,41,0)</f>
        <v>0</v>
      </c>
      <c r="J14" s="7">
        <f>TONTJUIL23!F14+TONTJUIL23!G14</f>
        <v>0</v>
      </c>
      <c r="K14" s="7">
        <f>VLOOKUP($A14,[6]HISTOAOUT23!$A$6:$AV$45,17,0)</f>
        <v>0</v>
      </c>
      <c r="L14" s="7" t="str">
        <f>IF(K14&lt;&gt;0,VLOOKUP($A14,[6]HISTOAOUT23!$A$6:$BB$45,8,0),"ECHEC")</f>
        <v>ECHEC</v>
      </c>
      <c r="M14" s="7">
        <f>IF(P14=0,0,VLOOKUP($A14,[6]HISTOAOUT23!$A$6:$AV$45,32,0))</f>
        <v>0</v>
      </c>
      <c r="N14" s="7">
        <f>VLOOKUP($A14,[6]HISTOAOUT23!$A$6:$AV$45,33,0)</f>
        <v>0</v>
      </c>
      <c r="O14" s="7">
        <f t="shared" si="0"/>
        <v>0</v>
      </c>
      <c r="P14" s="7">
        <f>VLOOKUP($A14,[6]HISTOAOUT23!$A$6:$AV$45,30,0)</f>
        <v>0</v>
      </c>
    </row>
    <row r="15" spans="1:16" x14ac:dyDescent="0.25">
      <c r="A15" s="1" t="s">
        <v>37</v>
      </c>
      <c r="B15" s="7">
        <f>IF(D15=0,0,VLOOKUP($A15,[6]HISTOAOUT23!$A$6:$BB$45,12,0))</f>
        <v>1</v>
      </c>
      <c r="C15" s="1" t="str">
        <f>VLOOKUP(A15,[7]LISTADHERENT!A$5:H$60,3,0)</f>
        <v>NGONDIEP CLAUDE</v>
      </c>
      <c r="D15" s="7">
        <f>IF(E15="ECHEC",0,VLOOKUP($A15,[6]HISTOAOUT23!$A$7:$AR$45,13,0))</f>
        <v>75000</v>
      </c>
      <c r="E15" s="7" t="str">
        <f>VLOOKUP($A15,[6]HISTOAOUT23!$A$7:$AV$45,8,0)</f>
        <v>BANQUE</v>
      </c>
      <c r="F15" s="7">
        <f>VLOOKUP($A15,[6]HISTOAOUT23!$A$6:$AV$45,36,0)</f>
        <v>167000</v>
      </c>
      <c r="G15" s="7">
        <f>VLOOKUP($A15,[6]HISTOAOUT23!$A$6:$AV$45,39,0)</f>
        <v>4000</v>
      </c>
      <c r="H15" s="7" t="str">
        <f>IF(G15=0,0,VLOOKUP($A15,[6]HISTOAOUT23!$A$6:$AV$45,42,0))</f>
        <v>BANQUE</v>
      </c>
      <c r="I15" s="7">
        <f>VLOOKUP($A15,[6]HISTOAOUT23!$A$6:$AV$45,41,0)</f>
        <v>0</v>
      </c>
      <c r="J15" s="7">
        <f>TONTJUIL23!F15+TONTJUIL23!G15</f>
        <v>169000</v>
      </c>
      <c r="K15" s="7">
        <f>VLOOKUP($A15,[6]HISTOAOUT23!$A$6:$AV$45,17,0)</f>
        <v>169000</v>
      </c>
      <c r="L15" s="7" t="str">
        <f>IF(K15&lt;&gt;0,VLOOKUP($A15,[6]HISTOAOUT23!$A$6:$BB$45,8,0),"ECHEC")</f>
        <v>BANQUE</v>
      </c>
      <c r="M15" s="7">
        <f>IF(P15=0,0,VLOOKUP($A15,[6]HISTOAOUT23!$A$6:$AV$45,32,0))</f>
        <v>0</v>
      </c>
      <c r="N15" s="7">
        <f>VLOOKUP($A15,[6]HISTOAOUT23!$A$6:$AV$45,33,0)</f>
        <v>0</v>
      </c>
      <c r="O15" s="7">
        <f t="shared" si="0"/>
        <v>0</v>
      </c>
      <c r="P15" s="7">
        <f>VLOOKUP($A15,[6]HISTOAOUT23!$A$6:$AV$45,30,0)</f>
        <v>0</v>
      </c>
    </row>
    <row r="16" spans="1:16" x14ac:dyDescent="0.25">
      <c r="A16" s="1" t="s">
        <v>21</v>
      </c>
      <c r="B16" s="7">
        <f>IF(D16=0,0,VLOOKUP($A16,[6]HISTOAOUT23!$A$6:$BB$45,12,0))</f>
        <v>2</v>
      </c>
      <c r="C16" s="1" t="str">
        <f>VLOOKUP(A16,[7]LISTADHERENT!A$5:H$60,3,0)</f>
        <v>NGUIEMEGNI MATHIEU BLAISE</v>
      </c>
      <c r="D16" s="7">
        <f>IF(E16="ECHEC",0,VLOOKUP($A16,[6]HISTOAOUT23!$A$7:$AR$45,13,0))</f>
        <v>150000</v>
      </c>
      <c r="E16" s="7" t="str">
        <f>VLOOKUP($A16,[6]HISTOAOUT23!$A$7:$AV$45,8,0)</f>
        <v>BANQUE</v>
      </c>
      <c r="F16" s="7">
        <f>VLOOKUP($A16,[6]HISTOAOUT23!$A$6:$AV$45,36,0)</f>
        <v>0</v>
      </c>
      <c r="G16" s="7">
        <f>VLOOKUP($A16,[6]HISTOAOUT23!$A$6:$AV$45,39,0)</f>
        <v>0</v>
      </c>
      <c r="H16" s="7">
        <f>IF(G16=0,0,VLOOKUP($A16,[6]HISTOAOUT23!$A$6:$AV$45,42,0))</f>
        <v>0</v>
      </c>
      <c r="I16" s="7">
        <f>VLOOKUP($A16,[6]HISTOAOUT23!$A$6:$AV$45,41,0)</f>
        <v>0</v>
      </c>
      <c r="J16" s="7">
        <f>TONTJUIL23!F16+TONTJUIL23!G16</f>
        <v>0</v>
      </c>
      <c r="K16" s="7">
        <f>VLOOKUP($A16,[6]HISTOAOUT23!$A$6:$AV$45,17,0)</f>
        <v>0</v>
      </c>
      <c r="L16" s="7" t="str">
        <f>IF(K16&lt;&gt;0,VLOOKUP($A16,[6]HISTOAOUT23!$A$6:$BB$45,8,0),"ECHEC")</f>
        <v>ECHEC</v>
      </c>
      <c r="M16" s="7" t="str">
        <f>IF(P16=0,0,VLOOKUP($A16,[6]HISTOAOUT23!$A$6:$AV$45,32,0))</f>
        <v>BANQUE</v>
      </c>
      <c r="N16" s="7">
        <f>VLOOKUP($A16,[6]HISTOAOUT23!$A$6:$AV$45,33,0)</f>
        <v>0</v>
      </c>
      <c r="O16" s="7">
        <f t="shared" si="0"/>
        <v>892500</v>
      </c>
      <c r="P16" s="7">
        <f>VLOOKUP($A16,[6]HISTOAOUT23!$A$6:$AV$45,30,0)</f>
        <v>7500</v>
      </c>
    </row>
    <row r="17" spans="1:16" x14ac:dyDescent="0.25">
      <c r="A17" s="1" t="s">
        <v>28</v>
      </c>
      <c r="B17" s="7">
        <f>IF(D17=0,0,VLOOKUP($A17,[6]HISTOAOUT23!$A$6:$BB$45,12,0))</f>
        <v>1</v>
      </c>
      <c r="C17" s="1" t="str">
        <f>VLOOKUP(A17,[7]LISTADHERENT!A$5:H$60,3,0)</f>
        <v>PATEGO NJOSSU GUSTAVE</v>
      </c>
      <c r="D17" s="7">
        <f>IF(E17="ECHEC",0,VLOOKUP($A17,[6]HISTOAOUT23!$A$7:$AR$45,13,0))</f>
        <v>75000</v>
      </c>
      <c r="E17" s="7" t="str">
        <f>VLOOKUP($A17,[6]HISTOAOUT23!$A$7:$AV$45,8,0)</f>
        <v>BANQUE</v>
      </c>
      <c r="F17" s="7">
        <f>VLOOKUP($A17,[6]HISTOAOUT23!$A$6:$AV$45,36,0)</f>
        <v>0</v>
      </c>
      <c r="G17" s="7">
        <f>VLOOKUP($A17,[6]HISTOAOUT23!$A$6:$AV$45,39,0)</f>
        <v>0</v>
      </c>
      <c r="H17" s="7">
        <f>IF(G17=0,0,VLOOKUP($A17,[6]HISTOAOUT23!$A$6:$AV$45,42,0))</f>
        <v>0</v>
      </c>
      <c r="I17" s="7">
        <f>VLOOKUP($A17,[6]HISTOAOUT23!$A$6:$AV$45,41,0)</f>
        <v>0</v>
      </c>
      <c r="J17" s="7">
        <f>TONTJUIL23!F17+TONTJUIL23!G17</f>
        <v>0</v>
      </c>
      <c r="K17" s="7">
        <f>VLOOKUP($A17,[6]HISTOAOUT23!$A$6:$AV$45,17,0)</f>
        <v>0</v>
      </c>
      <c r="L17" s="7" t="str">
        <f>IF(K17&lt;&gt;0,VLOOKUP($A17,[6]HISTOAOUT23!$A$6:$BB$45,8,0),"ECHEC")</f>
        <v>ECHEC</v>
      </c>
      <c r="M17" s="7">
        <f>IF(P17=0,0,VLOOKUP($A17,[6]HISTOAOUT23!$A$6:$AV$45,32,0))</f>
        <v>0</v>
      </c>
      <c r="N17" s="7">
        <f>VLOOKUP($A17,[6]HISTOAOUT23!$A$6:$AV$45,33,0)</f>
        <v>0</v>
      </c>
      <c r="O17" s="7">
        <f t="shared" si="0"/>
        <v>0</v>
      </c>
      <c r="P17" s="7">
        <f>VLOOKUP($A17,[6]HISTOAOUT23!$A$6:$AV$45,30,0)</f>
        <v>0</v>
      </c>
    </row>
    <row r="18" spans="1:16" x14ac:dyDescent="0.25">
      <c r="A18" s="9" t="s">
        <v>36</v>
      </c>
      <c r="B18" s="7">
        <f>IF(D18=0,0,VLOOKUP($A18,[6]HISTOAOUT23!$A$6:$BB$45,12,0))</f>
        <v>1</v>
      </c>
      <c r="C18" s="1" t="str">
        <f>VLOOKUP(A18,[7]LISTADHERENT!A$5:H$60,3,0)</f>
        <v>SIME BRICE</v>
      </c>
      <c r="D18" s="7">
        <f>IF(E18="ECHEC",0,VLOOKUP($A18,[6]HISTOAOUT23!$A$7:$AR$45,13,0))</f>
        <v>75000</v>
      </c>
      <c r="E18" s="7" t="str">
        <f>VLOOKUP($A18,[6]HISTOAOUT23!$A$7:$AV$45,8,0)</f>
        <v>BANQUE</v>
      </c>
      <c r="F18" s="7">
        <f>VLOOKUP($A18,[6]HISTOAOUT23!$A$6:$AV$45,36,0)</f>
        <v>0</v>
      </c>
      <c r="G18" s="7">
        <f>VLOOKUP($A18,[6]HISTOAOUT23!$A$6:$AV$45,39,0)</f>
        <v>0</v>
      </c>
      <c r="H18" s="7">
        <f>IF(G18=0,0,VLOOKUP($A18,[6]HISTOAOUT23!$A$6:$AV$45,42,0))</f>
        <v>0</v>
      </c>
      <c r="I18" s="7">
        <f>VLOOKUP($A18,[6]HISTOAOUT23!$A$6:$AV$45,41,0)</f>
        <v>0</v>
      </c>
      <c r="J18" s="7">
        <f>TONTJUIL23!F18+TONTJUIL23!G18</f>
        <v>0</v>
      </c>
      <c r="K18" s="7">
        <f>VLOOKUP($A18,[6]HISTOAOUT23!$A$6:$AV$45,17,0)</f>
        <v>0</v>
      </c>
      <c r="L18" s="7" t="str">
        <f>IF(K18&lt;&gt;0,VLOOKUP($A18,[6]HISTOAOUT23!$A$6:$BB$45,8,0),"ECHEC")</f>
        <v>ECHEC</v>
      </c>
      <c r="M18" s="7" t="str">
        <f>IF(P18=0,0,VLOOKUP($A18,[6]HISTOAOUT23!$A$6:$AV$45,32,0))</f>
        <v>BANQUE</v>
      </c>
      <c r="N18" s="7">
        <f>VLOOKUP($A18,[6]HISTOAOUT23!$A$6:$AV$45,33,0)</f>
        <v>0</v>
      </c>
      <c r="O18" s="7">
        <f t="shared" si="0"/>
        <v>892500</v>
      </c>
      <c r="P18" s="7">
        <f>VLOOKUP($A18,[6]HISTOAOUT23!$A$6:$AV$45,30,0)</f>
        <v>7500</v>
      </c>
    </row>
    <row r="19" spans="1:16" x14ac:dyDescent="0.25">
      <c r="A19" s="9" t="s">
        <v>50</v>
      </c>
      <c r="B19" s="7">
        <f>IF(D19=0,0,VLOOKUP($A19,[6]HISTOAOUT23!$A$6:$BB$45,12,0))</f>
        <v>1</v>
      </c>
      <c r="C19" s="1" t="str">
        <f>VLOOKUP(A19,[7]LISTADHERENT!A$5:H$60,3,0)</f>
        <v>TCHOUAMOU MATHIEU</v>
      </c>
      <c r="D19" s="7">
        <f>IF(E19="ECHEC",0,VLOOKUP($A19,[6]HISTOAOUT23!$A$7:$AR$45,13,0))</f>
        <v>75000</v>
      </c>
      <c r="E19" s="7" t="str">
        <f>VLOOKUP($A19,[6]HISTOAOUT23!$A$7:$AV$45,8,0)</f>
        <v>BANQUE</v>
      </c>
      <c r="F19" s="7">
        <f>VLOOKUP($A19,[6]HISTOAOUT23!$A$6:$AV$45,36,0)</f>
        <v>75000</v>
      </c>
      <c r="G19" s="7">
        <f>VLOOKUP($A19,[6]HISTOAOUT23!$A$6:$AV$45,39,0)</f>
        <v>1000</v>
      </c>
      <c r="H19" s="7" t="str">
        <f>IF(G19=0,0,VLOOKUP($A19,[6]HISTOAOUT23!$A$6:$AV$45,42,0))</f>
        <v>BANQUE</v>
      </c>
      <c r="I19" s="7">
        <f>VLOOKUP($A19,[6]HISTOAOUT23!$A$6:$AV$45,41,0)</f>
        <v>0</v>
      </c>
      <c r="J19" s="7">
        <f>TONTJUIL23!F19+TONTJUIL23!G19</f>
        <v>76000</v>
      </c>
      <c r="K19" s="7">
        <f>VLOOKUP($A19,[6]HISTOAOUT23!$A$6:$AV$45,17,0)</f>
        <v>76000</v>
      </c>
      <c r="L19" s="7" t="str">
        <f>IF(K19&lt;&gt;0,VLOOKUP($A19,[6]HISTOAOUT23!$A$6:$BB$45,8,0),"ECHEC")</f>
        <v>BANQUE</v>
      </c>
      <c r="M19" s="7">
        <f>IF(P19=0,0,VLOOKUP($A19,[6]HISTOAOUT23!$A$6:$AV$45,32,0))</f>
        <v>0</v>
      </c>
      <c r="N19" s="7">
        <f>VLOOKUP($A19,[6]HISTOAOUT23!$A$6:$AV$45,33,0)</f>
        <v>0</v>
      </c>
      <c r="O19" s="7">
        <f t="shared" si="0"/>
        <v>0</v>
      </c>
      <c r="P19" s="7">
        <f>VLOOKUP($A19,[6]HISTOAOUT23!$A$6:$AV$45,30,0)</f>
        <v>0</v>
      </c>
    </row>
    <row r="20" spans="1:16" x14ac:dyDescent="0.25">
      <c r="A20" s="1" t="s">
        <v>20</v>
      </c>
      <c r="B20" s="7">
        <f>IF(D20=0,0,VLOOKUP($A20,[6]HISTOAOUT23!$A$6:$BB$45,12,0))</f>
        <v>2</v>
      </c>
      <c r="C20" s="1" t="str">
        <f>VLOOKUP(A20,[7]LISTADHERENT!A$5:H$60,3,0)</f>
        <v>YOUMBI EMMANUEL</v>
      </c>
      <c r="D20" s="7">
        <f>IF(E20="ECHEC",0,VLOOKUP($A20,[6]HISTOAOUT23!$A$7:$AR$45,13,0))</f>
        <v>150000</v>
      </c>
      <c r="E20" s="7" t="str">
        <f>VLOOKUP($A20,[6]HISTOAOUT23!$A$7:$AV$45,8,0)</f>
        <v>BANQUE</v>
      </c>
      <c r="F20" s="7">
        <f>VLOOKUP($A20,[6]HISTOAOUT23!$A$6:$AV$45,36,0)</f>
        <v>0</v>
      </c>
      <c r="G20" s="7">
        <f>VLOOKUP($A20,[6]HISTOAOUT23!$A$6:$AV$45,39,0)</f>
        <v>0</v>
      </c>
      <c r="H20" s="7">
        <f>IF(G20=0,0,VLOOKUP($A20,[6]HISTOAOUT23!$A$6:$AV$45,42,0))</f>
        <v>0</v>
      </c>
      <c r="I20" s="7">
        <f>VLOOKUP($A20,[6]HISTOAOUT23!$A$6:$AV$45,41,0)</f>
        <v>0</v>
      </c>
      <c r="J20" s="7">
        <f>TONTJUIL23!F20+TONTJUIL23!G20</f>
        <v>0</v>
      </c>
      <c r="K20" s="7">
        <f>VLOOKUP($A20,[6]HISTOAOUT23!$A$6:$AV$45,17,0)</f>
        <v>0</v>
      </c>
      <c r="L20" s="7" t="str">
        <f>IF(K20&lt;&gt;0,VLOOKUP($A20,[6]HISTOAOUT23!$A$6:$BB$45,8,0),"ECHEC")</f>
        <v>ECHEC</v>
      </c>
      <c r="M20" s="7">
        <f>IF(P20=0,0,VLOOKUP($A20,[6]HISTOAOUT23!$A$6:$AV$45,32,0))</f>
        <v>0</v>
      </c>
      <c r="N20" s="7">
        <f>VLOOKUP($A20,[6]HISTOAOUT23!$A$6:$AV$45,33,0)</f>
        <v>0</v>
      </c>
      <c r="O20" s="7">
        <f t="shared" si="0"/>
        <v>0</v>
      </c>
      <c r="P20" s="7">
        <f>VLOOKUP($A20,[6]HISTOAOUT23!$A$6:$AV$45,30,0)</f>
        <v>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1">SUM(D6:D22)</f>
        <v>1275000</v>
      </c>
      <c r="E23" s="8">
        <f t="shared" si="1"/>
        <v>0</v>
      </c>
      <c r="F23" s="8">
        <f t="shared" si="1"/>
        <v>559000</v>
      </c>
      <c r="G23" s="8">
        <f t="shared" si="1"/>
        <v>9000</v>
      </c>
      <c r="H23" s="8">
        <f t="shared" si="1"/>
        <v>0</v>
      </c>
      <c r="I23" s="8">
        <f t="shared" si="1"/>
        <v>0</v>
      </c>
      <c r="J23" s="8">
        <f t="shared" si="1"/>
        <v>321000</v>
      </c>
      <c r="K23" s="8">
        <f t="shared" si="1"/>
        <v>321000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1785000</v>
      </c>
      <c r="P23" s="8">
        <f t="shared" si="1"/>
        <v>15000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D29+E29+P23+TONTJUIL23!M30</f>
        <v>2361000</v>
      </c>
      <c r="L25" s="5"/>
      <c r="M25"/>
      <c r="N25" s="5"/>
    </row>
    <row r="26" spans="1:16" s="2" customFormat="1" ht="18" x14ac:dyDescent="0.25">
      <c r="D26" s="8">
        <f>SUMIFS(D6:D22,E6:E22,"ESPECES")</f>
        <v>0</v>
      </c>
      <c r="E26" s="8">
        <f>SUMIFS(K7:K20,L7:L20,"ESPECES")</f>
        <v>0</v>
      </c>
      <c r="F26" s="8">
        <f>SUMIFS(F7:F22,H7:H22,"ESPECES")</f>
        <v>0</v>
      </c>
      <c r="G26" s="8">
        <f>SUMIFS(O7:O22,M7:M22,"ESPECES")</f>
        <v>0</v>
      </c>
      <c r="H26" s="8">
        <f>D26+E26-F26-G26</f>
        <v>0</v>
      </c>
      <c r="I26" s="8"/>
      <c r="J26" s="8" t="s">
        <v>33</v>
      </c>
      <c r="K26" s="8">
        <f>C3*COUNTIF(O7:O22,"&gt;0")</f>
        <v>1800000</v>
      </c>
      <c r="L26" s="8">
        <f>D3</f>
        <v>2</v>
      </c>
      <c r="M26" s="8">
        <f>COUNTIF(O7:O17,"&gt;0")</f>
        <v>1</v>
      </c>
      <c r="N26" s="8"/>
    </row>
    <row r="27" spans="1:16" s="2" customFormat="1" ht="18" x14ac:dyDescent="0.25">
      <c r="D27" s="8">
        <f>SUMIFS(D6:D22,E6:E22,"BANQUE")</f>
        <v>1275000</v>
      </c>
      <c r="E27" s="8">
        <f>SUMIFS(K7:K20,L7:L20,"BANQUE")</f>
        <v>321000</v>
      </c>
      <c r="F27" s="8">
        <f>SUMIFS(F7:F22,H7:H22,"BANQUE")</f>
        <v>559000</v>
      </c>
      <c r="G27" s="8">
        <f>SUMIFS(O7:O22,M7:M22,"BANQUE")</f>
        <v>1785000</v>
      </c>
      <c r="H27" s="8">
        <f>D27+E27-F27-G27</f>
        <v>-748000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561000</v>
      </c>
      <c r="L28" s="8"/>
      <c r="M28" s="8"/>
      <c r="N28" s="8"/>
    </row>
    <row r="29" spans="1:16" s="2" customFormat="1" ht="18" x14ac:dyDescent="0.25">
      <c r="D29" s="8">
        <f>D26+D27</f>
        <v>1275000</v>
      </c>
      <c r="E29" s="8">
        <f>E26+E27</f>
        <v>321000</v>
      </c>
      <c r="F29" s="8">
        <f>F26+F27</f>
        <v>559000</v>
      </c>
      <c r="G29" s="8">
        <f t="shared" ref="G29:H29" si="2">G26+G27</f>
        <v>1785000</v>
      </c>
      <c r="H29" s="8">
        <f t="shared" si="2"/>
        <v>-748000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2000</v>
      </c>
      <c r="L30"/>
      <c r="M30" s="8">
        <f>K30</f>
        <v>2000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TONTJUIL23!M32+TONTAOUT23!K32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0</v>
      </c>
      <c r="M33" s="8">
        <f>TONTJUIL23!M33+TONTAOUT23!K33</f>
        <v>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xSplit="3" ySplit="5" topLeftCell="F21" activePane="bottomRight" state="frozen"/>
      <selection activeCell="E16" sqref="E16"/>
      <selection pane="topRight" activeCell="E16" sqref="E16"/>
      <selection pane="bottomLeft" activeCell="E16" sqref="E16"/>
      <selection pane="bottomRight" activeCell="H31" sqref="H31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2</v>
      </c>
      <c r="E3" s="1"/>
      <c r="L3" s="1"/>
      <c r="M3" s="1"/>
    </row>
    <row r="4" spans="1:16" s="12" customFormat="1" ht="18" x14ac:dyDescent="0.25">
      <c r="B4" s="13"/>
      <c r="C4" s="19">
        <v>45182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IF(D6=0,0,VLOOKUP($A6,[6]HISTOSEPT23!$A$6:$BB$45,12,0))</f>
        <v>1</v>
      </c>
      <c r="C6" s="1" t="str">
        <f>VLOOKUP(A6,[7]LISTADHERENT!A$5:H$60,3,0)</f>
        <v>ASELBY</v>
      </c>
      <c r="D6" s="7">
        <f>IF(E6="ECHEC",0,VLOOKUP($A6,[6]HISTOSEPT23!$A$6:$AR$45,13,0))</f>
        <v>75000</v>
      </c>
      <c r="E6" s="7" t="str">
        <f>VLOOKUP($A6,[6]HISTOSEPT23!$A$6:$AV$45,8,0)</f>
        <v>BANQUE</v>
      </c>
      <c r="F6" s="7">
        <f>VLOOKUP($A6,[6]HISTOSEPT23!$A$6:$AV$45,36,0)</f>
        <v>0</v>
      </c>
      <c r="G6" s="7">
        <f>VLOOKUP($A6,[6]HISTOSEPT23!$A$6:$AV$45,39,0)</f>
        <v>0</v>
      </c>
      <c r="H6" s="7">
        <f>IF(G6=0,0,VLOOKUP($A6,[6]HISTOSEPT23!$A$6:$AV$45,42,0))</f>
        <v>0</v>
      </c>
      <c r="I6" s="7">
        <f>VLOOKUP($A6,[6]HISTOSEPT23!$A$6:$AV$45,41,0)</f>
        <v>0</v>
      </c>
      <c r="J6" s="7">
        <f>TONTAOUT23!F6+TONTAOUT23!G6</f>
        <v>0</v>
      </c>
      <c r="K6" s="7">
        <f>VLOOKUP($A6,[6]HISTOSEPT23!$A$6:$AV$45,17,0)</f>
        <v>0</v>
      </c>
      <c r="L6" s="7" t="str">
        <f>IF(K6&lt;&gt;0,VLOOKUP($A6,[6]HISTOSEPT23!$A$6:$BB$45,8,0),"ECHEC")</f>
        <v>ECHEC</v>
      </c>
      <c r="M6" s="7">
        <f>IF(P6=0,0,VLOOKUP($A6,[6]HISTOSEPT23!$A$6:$AV$45,32,0))</f>
        <v>0</v>
      </c>
      <c r="N6" s="7">
        <f>VLOOKUP($A6,[6]HISTOSEPT23!$A$6:$AV$45,33,0)</f>
        <v>0</v>
      </c>
      <c r="O6" s="7">
        <f t="shared" ref="O6:O20" si="0">IF(P6=0,0,($C$3-P6))</f>
        <v>0</v>
      </c>
      <c r="P6" s="7">
        <f>VLOOKUP($A6,[6]HISTOSEPT23!$A$6:$AV$45,30,0)</f>
        <v>0</v>
      </c>
    </row>
    <row r="7" spans="1:16" x14ac:dyDescent="0.25">
      <c r="A7" s="1" t="s">
        <v>25</v>
      </c>
      <c r="B7" s="7">
        <f>IF(D7=0,0,VLOOKUP($A7,[6]HISTOSEPT23!$A$6:$BB$45,12,0))</f>
        <v>1</v>
      </c>
      <c r="C7" s="1" t="str">
        <f>VLOOKUP(A7,[7]LISTADHERENT!A$5:H$60,3,0)</f>
        <v>BOUTCHOUANG WILLIAM</v>
      </c>
      <c r="D7" s="7">
        <f>IF(E7="ECHEC",0,VLOOKUP($A7,[6]HISTOSEPT23!$A$6:$AR$45,13,0))</f>
        <v>75000</v>
      </c>
      <c r="E7" s="7" t="str">
        <f>VLOOKUP($A7,[6]HISTOSEPT23!$A$6:$AV$45,8,0)</f>
        <v>BANQUE</v>
      </c>
      <c r="F7" s="7">
        <f>VLOOKUP($A7,[6]HISTOSEPT23!$A$6:$AV$45,36,0)</f>
        <v>0</v>
      </c>
      <c r="G7" s="7">
        <f>VLOOKUP($A7,[6]HISTOSEPT23!$A$6:$AV$45,39,0)</f>
        <v>0</v>
      </c>
      <c r="H7" s="7">
        <f>IF(G7=0,0,VLOOKUP($A7,[6]HISTOSEPT23!$A$6:$AV$45,42,0))</f>
        <v>0</v>
      </c>
      <c r="I7" s="7">
        <f>VLOOKUP($A7,[6]HISTOSEPT23!$A$6:$AV$45,41,0)</f>
        <v>0</v>
      </c>
      <c r="J7" s="7">
        <f>TONTAOUT23!F7+TONTAOUT23!G7</f>
        <v>0</v>
      </c>
      <c r="K7" s="7">
        <f>VLOOKUP($A7,[6]HISTOSEPT23!$A$6:$AV$45,17,0)</f>
        <v>0</v>
      </c>
      <c r="L7" s="7" t="str">
        <f>IF(K7&lt;&gt;0,VLOOKUP($A7,[6]HISTOSEPT23!$A$6:$BB$45,8,0),"ECHEC")</f>
        <v>ECHEC</v>
      </c>
      <c r="M7" s="7" t="str">
        <f>IF(P7=0,0,VLOOKUP($A7,[6]HISTOSEPT23!$A$6:$AV$45,32,0))</f>
        <v>BANQUE</v>
      </c>
      <c r="N7" s="7">
        <f>VLOOKUP($A7,[6]HISTOSEPT23!$A$6:$AV$45,33,0)</f>
        <v>0</v>
      </c>
      <c r="O7" s="7">
        <f t="shared" si="0"/>
        <v>892500</v>
      </c>
      <c r="P7" s="7">
        <f>VLOOKUP($A7,[6]HISTOSEPT23!$A$6:$AV$45,30,0)</f>
        <v>7500</v>
      </c>
    </row>
    <row r="8" spans="1:16" x14ac:dyDescent="0.25">
      <c r="A8" s="1" t="s">
        <v>26</v>
      </c>
      <c r="B8" s="7">
        <f>IF(D8=0,0,VLOOKUP($A8,[6]HISTOSEPT23!$A$6:$BB$45,12,0))</f>
        <v>1</v>
      </c>
      <c r="C8" s="1" t="str">
        <f>VLOOKUP(A8,[7]LISTADHERENT!A$5:H$60,3,0)</f>
        <v>DJOUKWE NANGUEN GUY BLAISE</v>
      </c>
      <c r="D8" s="7">
        <f>IF(E8="ECHEC",0,VLOOKUP($A8,[6]HISTOSEPT23!$A$7:$AR$45,13,0))</f>
        <v>75000</v>
      </c>
      <c r="E8" s="7" t="str">
        <f>VLOOKUP($A8,[6]HISTOSEPT23!$A$7:$AV$45,8,0)</f>
        <v>BANQUE</v>
      </c>
      <c r="F8" s="7">
        <f>VLOOKUP($A8,[6]HISTOSEPT23!$A$6:$AV$45,36,0)</f>
        <v>58000</v>
      </c>
      <c r="G8" s="7">
        <f>VLOOKUP($A8,[6]HISTOSEPT23!$A$6:$AV$45,39,0)</f>
        <v>1000</v>
      </c>
      <c r="H8" s="7">
        <f>IF(G8=0,0,VLOOKUP($A8,[6]HISTOSEPT23!$A$6:$AV$45,42,0))</f>
        <v>0</v>
      </c>
      <c r="I8" s="7">
        <f>VLOOKUP($A8,[6]HISTOSEPT23!$A$6:$AV$45,41,0)</f>
        <v>0</v>
      </c>
      <c r="J8" s="7">
        <f>TONTAOUT23!F8+TONTAOUT23!G8</f>
        <v>169000</v>
      </c>
      <c r="K8" s="7">
        <f>VLOOKUP($A8,[6]HISTOSEPT23!$A$6:$AV$45,17,0)</f>
        <v>169000</v>
      </c>
      <c r="L8" s="7" t="str">
        <f>IF(K8&lt;&gt;0,VLOOKUP($A8,[6]HISTOSEPT23!$A$6:$BB$45,8,0),"ECHEC")</f>
        <v>BANQUE</v>
      </c>
      <c r="M8" s="7">
        <f>IF(P8=0,0,VLOOKUP($A8,[6]HISTOSEPT23!$A$6:$AV$45,32,0))</f>
        <v>0</v>
      </c>
      <c r="N8" s="7">
        <f>VLOOKUP($A8,[6]HISTOSEPT23!$A$6:$AV$45,33,0)</f>
        <v>0</v>
      </c>
      <c r="O8" s="7">
        <f t="shared" si="0"/>
        <v>0</v>
      </c>
      <c r="P8" s="7">
        <f>VLOOKUP($A8,[6]HISTOSEPT23!$A$6:$AV$45,30,0)</f>
        <v>0</v>
      </c>
    </row>
    <row r="9" spans="1:16" x14ac:dyDescent="0.25">
      <c r="A9" s="1" t="s">
        <v>35</v>
      </c>
      <c r="B9" s="7">
        <f>IF(D9=0,0,VLOOKUP($A9,[6]HISTOSEPT23!$A$6:$BB$45,12,0))</f>
        <v>1</v>
      </c>
      <c r="C9" s="1" t="str">
        <f>VLOOKUP(A9,[7]LISTADHERENT!A$5:H$60,3,0)</f>
        <v>DJUOMBESSY ANTOINE</v>
      </c>
      <c r="D9" s="7">
        <f>IF(E9="ECHEC",0,VLOOKUP($A9,[6]HISTOSEPT23!$A$7:$AR$45,13,0))</f>
        <v>75000</v>
      </c>
      <c r="E9" s="7" t="str">
        <f>VLOOKUP($A9,[6]HISTOSEPT23!$A$7:$AV$45,8,0)</f>
        <v>BANQUE</v>
      </c>
      <c r="F9" s="7">
        <f>VLOOKUP($A9,[6]HISTOSEPT23!$A$6:$AV$45,36,0)</f>
        <v>0</v>
      </c>
      <c r="G9" s="7">
        <f>VLOOKUP($A9,[6]HISTOSEPT23!$A$6:$AV$45,39,0)</f>
        <v>0</v>
      </c>
      <c r="H9" s="7">
        <f>IF(G9=0,0,VLOOKUP($A9,[6]HISTOSEPT23!$A$6:$AV$45,42,0))</f>
        <v>0</v>
      </c>
      <c r="I9" s="7">
        <f>VLOOKUP($A9,[6]HISTOSEPT23!$A$6:$AV$45,41,0)</f>
        <v>0</v>
      </c>
      <c r="J9" s="7">
        <f>TONTAOUT23!F9+TONTAOUT23!G9</f>
        <v>0</v>
      </c>
      <c r="K9" s="7">
        <f>VLOOKUP($A9,[6]HISTOSEPT23!$A$6:$AV$45,17,0)</f>
        <v>0</v>
      </c>
      <c r="L9" s="7" t="str">
        <f>IF(K9&lt;&gt;0,VLOOKUP($A9,[6]HISTOSEPT23!$A$6:$BB$45,8,0),"ECHEC")</f>
        <v>ECHEC</v>
      </c>
      <c r="M9" s="7">
        <f>IF(P9=0,0,VLOOKUP($A9,[6]HISTOSEPT23!$A$6:$AV$45,32,0))</f>
        <v>0</v>
      </c>
      <c r="N9" s="7">
        <f>VLOOKUP($A9,[6]HISTOSEPT23!$A$6:$AV$45,33,0)</f>
        <v>0</v>
      </c>
      <c r="O9" s="7">
        <f t="shared" si="0"/>
        <v>0</v>
      </c>
      <c r="P9" s="7">
        <f>VLOOKUP($A9,[6]HISTOSEPT23!$A$6:$AV$45,30,0)</f>
        <v>0</v>
      </c>
    </row>
    <row r="10" spans="1:16" x14ac:dyDescent="0.25">
      <c r="A10" s="1" t="s">
        <v>19</v>
      </c>
      <c r="B10" s="7">
        <f>IF(D10=0,0,VLOOKUP($A10,[6]HISTOSEPT23!$A$6:$BB$45,12,0))</f>
        <v>1</v>
      </c>
      <c r="C10" s="1" t="str">
        <f>VLOOKUP(A10,[7]LISTADHERENT!A$5:H$60,3,0)</f>
        <v>HOTCHO BENJAMIN</v>
      </c>
      <c r="D10" s="7">
        <f>IF(E10="ECHEC",0,VLOOKUP($A10,[6]HISTOSEPT23!$A$7:$AR$45,13,0))</f>
        <v>75000</v>
      </c>
      <c r="E10" s="7" t="str">
        <f>VLOOKUP($A10,[6]HISTOSEPT23!$A$7:$AV$45,8,0)</f>
        <v>BANQUE</v>
      </c>
      <c r="F10" s="7">
        <f>VLOOKUP($A10,[6]HISTOSEPT23!$A$6:$AV$45,36,0)</f>
        <v>0</v>
      </c>
      <c r="G10" s="7">
        <f>VLOOKUP($A10,[6]HISTOSEPT23!$A$6:$AV$45,39,0)</f>
        <v>0</v>
      </c>
      <c r="H10" s="7">
        <f>IF(G10=0,0,VLOOKUP($A10,[6]HISTOSEPT23!$A$6:$AV$45,42,0))</f>
        <v>0</v>
      </c>
      <c r="I10" s="7">
        <f>VLOOKUP($A10,[6]HISTOSEPT23!$A$6:$AV$45,41,0)</f>
        <v>0</v>
      </c>
      <c r="J10" s="7">
        <f>TONTAOUT23!F10+TONTAOUT23!G10</f>
        <v>0</v>
      </c>
      <c r="K10" s="7">
        <f>VLOOKUP($A10,[6]HISTOSEPT23!$A$6:$AV$45,17,0)</f>
        <v>0</v>
      </c>
      <c r="L10" s="7" t="str">
        <f>IF(K10&lt;&gt;0,VLOOKUP($A10,[6]HISTOSEPT23!$A$6:$BB$45,8,0),"ECHEC")</f>
        <v>ECHEC</v>
      </c>
      <c r="M10" s="7">
        <f>IF(P10=0,0,VLOOKUP($A10,[6]HISTOSEPT23!$A$6:$AV$45,32,0))</f>
        <v>0</v>
      </c>
      <c r="N10" s="7">
        <f>VLOOKUP($A10,[6]HISTOSEPT23!$A$6:$AV$45,33,0)</f>
        <v>0</v>
      </c>
      <c r="O10" s="7">
        <f t="shared" si="0"/>
        <v>0</v>
      </c>
      <c r="P10" s="7">
        <f>VLOOKUP($A10,[6]HISTOSEPT23!$A$6:$AV$45,30,0)</f>
        <v>0</v>
      </c>
    </row>
    <row r="11" spans="1:16" x14ac:dyDescent="0.25">
      <c r="A11" s="1" t="s">
        <v>27</v>
      </c>
      <c r="B11" s="7">
        <f>IF(D11=0,0,VLOOKUP($A11,[6]HISTOSEPT23!$A$6:$BB$45,12,0))</f>
        <v>1</v>
      </c>
      <c r="C11" s="1" t="str">
        <f>VLOOKUP(A11,[7]LISTADHERENT!A$5:H$60,3,0)</f>
        <v>HENGUE PAUL OMER</v>
      </c>
      <c r="D11" s="7">
        <f>IF(E11="ECHEC",0,VLOOKUP($A11,[6]HISTOSEPT23!$A$7:$AR$45,13,0))</f>
        <v>75000</v>
      </c>
      <c r="E11" s="7" t="str">
        <f>VLOOKUP($A11,[6]HISTOSEPT23!$A$7:$AV$45,8,0)</f>
        <v>BANQUE</v>
      </c>
      <c r="F11" s="7">
        <f>VLOOKUP($A11,[6]HISTOSEPT23!$A$6:$AV$45,36,0)</f>
        <v>0</v>
      </c>
      <c r="G11" s="7">
        <f>VLOOKUP($A11,[6]HISTOSEPT23!$A$6:$AV$45,39,0)</f>
        <v>0</v>
      </c>
      <c r="H11" s="7">
        <f>IF(G11=0,0,VLOOKUP($A11,[6]HISTOSEPT23!$A$6:$AV$45,42,0))</f>
        <v>0</v>
      </c>
      <c r="I11" s="7">
        <f>VLOOKUP($A11,[6]HISTOSEPT23!$A$6:$AV$45,41,0)</f>
        <v>0</v>
      </c>
      <c r="J11" s="7">
        <f>TONTAOUT23!F11+TONTAOUT23!G11</f>
        <v>0</v>
      </c>
      <c r="K11" s="7">
        <f>VLOOKUP($A11,[6]HISTOSEPT23!$A$6:$AV$45,17,0)</f>
        <v>0</v>
      </c>
      <c r="L11" s="7" t="str">
        <f>IF(K11&lt;&gt;0,VLOOKUP($A11,[6]HISTOSEPT23!$A$6:$BB$45,8,0),"ECHEC")</f>
        <v>ECHEC</v>
      </c>
      <c r="M11" s="7">
        <f>IF(P11=0,0,VLOOKUP($A11,[6]HISTOSEPT23!$A$6:$AV$45,32,0))</f>
        <v>0</v>
      </c>
      <c r="N11" s="7">
        <f>VLOOKUP($A11,[6]HISTOSEPT23!$A$6:$AV$45,33,0)</f>
        <v>0</v>
      </c>
      <c r="O11" s="7">
        <f t="shared" si="0"/>
        <v>0</v>
      </c>
      <c r="P11" s="7">
        <f>VLOOKUP($A11,[6]HISTOSEPT23!$A$6:$AV$45,30,0)</f>
        <v>0</v>
      </c>
    </row>
    <row r="12" spans="1:16" x14ac:dyDescent="0.25">
      <c r="A12" s="1" t="s">
        <v>8</v>
      </c>
      <c r="B12" s="7">
        <f>IF(D12=0,0,VLOOKUP($A12,[6]HISTOSEPT23!$A$6:$BB$45,12,0))</f>
        <v>1</v>
      </c>
      <c r="C12" s="1" t="str">
        <f>VLOOKUP(A12,[7]LISTADHERENT!A$5:H$60,3,0)</f>
        <v>KOUATCHO MESSACK</v>
      </c>
      <c r="D12" s="7">
        <f>IF(E12="ECHEC",0,VLOOKUP($A12,[6]HISTOSEPT23!$A$7:$AR$45,13,0))</f>
        <v>75000</v>
      </c>
      <c r="E12" s="7" t="str">
        <f>VLOOKUP($A12,[6]HISTOSEPT23!$A$7:$AV$45,8,0)</f>
        <v>BANQUE</v>
      </c>
      <c r="F12" s="7">
        <f>VLOOKUP($A12,[6]HISTOSEPT23!$A$6:$AV$45,36,0)</f>
        <v>0</v>
      </c>
      <c r="G12" s="7">
        <f>VLOOKUP($A12,[6]HISTOSEPT23!$A$6:$AV$45,39,0)</f>
        <v>0</v>
      </c>
      <c r="H12" s="7">
        <f>IF(G12=0,0,VLOOKUP($A12,[6]HISTOSEPT23!$A$6:$AV$45,42,0))</f>
        <v>0</v>
      </c>
      <c r="I12" s="7">
        <f>VLOOKUP($A12,[6]HISTOSEPT23!$A$6:$AV$45,41,0)</f>
        <v>0</v>
      </c>
      <c r="J12" s="7">
        <f>TONTAOUT23!F12+TONTAOUT23!G12</f>
        <v>0</v>
      </c>
      <c r="K12" s="7">
        <f>VLOOKUP($A12,[6]HISTOSEPT23!$A$6:$AV$45,17,0)</f>
        <v>0</v>
      </c>
      <c r="L12" s="7" t="str">
        <f>IF(K12&lt;&gt;0,VLOOKUP($A12,[6]HISTOSEPT23!$A$6:$BB$45,8,0),"ECHEC")</f>
        <v>ECHEC</v>
      </c>
      <c r="M12" s="7">
        <f>IF(P12=0,0,VLOOKUP($A12,[6]HISTOSEPT23!$A$6:$AV$45,32,0))</f>
        <v>0</v>
      </c>
      <c r="N12" s="7">
        <f>VLOOKUP($A12,[6]HISTOSEPT23!$A$6:$AV$45,33,0)</f>
        <v>0</v>
      </c>
      <c r="O12" s="7">
        <f t="shared" si="0"/>
        <v>0</v>
      </c>
      <c r="P12" s="7">
        <f>VLOOKUP($A12,[6]HISTOSEPT23!$A$6:$AV$45,30,0)</f>
        <v>0</v>
      </c>
    </row>
    <row r="13" spans="1:16" x14ac:dyDescent="0.25">
      <c r="A13" s="1" t="s">
        <v>22</v>
      </c>
      <c r="B13" s="7">
        <f>IF(D13=0,0,VLOOKUP($A13,[6]HISTOSEPT23!$A$6:$BB$45,12,0))</f>
        <v>1</v>
      </c>
      <c r="C13" s="1" t="str">
        <f>VLOOKUP(A13,[7]LISTADHERENT!A$5:H$60,3,0)</f>
        <v>MBOGNING TUGMA GUY</v>
      </c>
      <c r="D13" s="7">
        <f>IF(E13="ECHEC",0,VLOOKUP($A13,[6]HISTOSEPT23!$A$7:$AR$45,13,0))</f>
        <v>75000</v>
      </c>
      <c r="E13" s="7" t="str">
        <f>VLOOKUP($A13,[6]HISTOSEPT23!$A$7:$AV$45,8,0)</f>
        <v>BANQUE</v>
      </c>
      <c r="F13" s="7">
        <f>VLOOKUP($A13,[6]HISTOSEPT23!$A$6:$AV$45,36,0)</f>
        <v>0</v>
      </c>
      <c r="G13" s="7">
        <f>VLOOKUP($A13,[6]HISTOSEPT23!$A$6:$AV$45,39,0)</f>
        <v>0</v>
      </c>
      <c r="H13" s="7">
        <f>IF(G13=0,0,VLOOKUP($A13,[6]HISTOSEPT23!$A$6:$AV$45,42,0))</f>
        <v>0</v>
      </c>
      <c r="I13" s="7">
        <f>VLOOKUP($A13,[6]HISTOSEPT23!$A$6:$AV$45,41,0)</f>
        <v>0</v>
      </c>
      <c r="J13" s="7">
        <f>TONTAOUT23!F13+TONTAOUT23!G13</f>
        <v>152000</v>
      </c>
      <c r="K13" s="7">
        <f>VLOOKUP($A13,[6]HISTOSEPT23!$A$6:$AV$45,17,0)</f>
        <v>152000</v>
      </c>
      <c r="L13" s="7" t="str">
        <f>IF(K13&lt;&gt;0,VLOOKUP($A13,[6]HISTOSEPT23!$A$6:$BB$45,8,0),"ECHEC")</f>
        <v>BANQUE</v>
      </c>
      <c r="M13" s="7">
        <f>IF(P13=0,0,VLOOKUP($A13,[6]HISTOSEPT23!$A$6:$AV$45,32,0))</f>
        <v>0</v>
      </c>
      <c r="N13" s="7">
        <f>VLOOKUP($A13,[6]HISTOSEPT23!$A$6:$AV$45,33,0)</f>
        <v>0</v>
      </c>
      <c r="O13" s="7">
        <f t="shared" si="0"/>
        <v>0</v>
      </c>
      <c r="P13" s="7">
        <f>VLOOKUP($A13,[6]HISTOSEPT23!$A$6:$AV$45,30,0)</f>
        <v>0</v>
      </c>
    </row>
    <row r="14" spans="1:16" x14ac:dyDescent="0.25">
      <c r="A14" s="1" t="s">
        <v>9</v>
      </c>
      <c r="B14" s="7">
        <f>IF(D14=0,0,VLOOKUP($A14,[6]HISTOSEPT23!$A$6:$BB$45,12,0))</f>
        <v>1</v>
      </c>
      <c r="C14" s="1" t="str">
        <f>VLOOKUP(A14,[7]LISTADHERENT!A$5:H$60,3,0)</f>
        <v>NANKAM APPOLINAIRE</v>
      </c>
      <c r="D14" s="7">
        <f>IF(E14="ECHEC",0,VLOOKUP($A14,[6]HISTOSEPT23!$A$7:$AR$45,13,0))</f>
        <v>75000</v>
      </c>
      <c r="E14" s="7" t="str">
        <f>VLOOKUP($A14,[6]HISTOSEPT23!$A$7:$AV$45,8,0)</f>
        <v>BANQUE</v>
      </c>
      <c r="F14" s="7">
        <f>VLOOKUP($A14,[6]HISTOSEPT23!$A$6:$AV$45,36,0)</f>
        <v>0</v>
      </c>
      <c r="G14" s="7">
        <f>VLOOKUP($A14,[6]HISTOSEPT23!$A$6:$AV$45,39,0)</f>
        <v>0</v>
      </c>
      <c r="H14" s="7">
        <f>IF(G14=0,0,VLOOKUP($A14,[6]HISTOSEPT23!$A$6:$AV$45,42,0))</f>
        <v>0</v>
      </c>
      <c r="I14" s="7">
        <f>VLOOKUP($A14,[6]HISTOSEPT23!$A$6:$AV$45,41,0)</f>
        <v>0</v>
      </c>
      <c r="J14" s="7">
        <f>TONTAOUT23!F14+TONTAOUT23!G14</f>
        <v>0</v>
      </c>
      <c r="K14" s="7">
        <f>VLOOKUP($A14,[6]HISTOSEPT23!$A$6:$AV$45,17,0)</f>
        <v>0</v>
      </c>
      <c r="L14" s="7" t="str">
        <f>IF(K14&lt;&gt;0,VLOOKUP($A14,[6]HISTOSEPT23!$A$6:$BB$45,8,0),"ECHEC")</f>
        <v>ECHEC</v>
      </c>
      <c r="M14" s="7" t="str">
        <f>IF(P14=0,0,VLOOKUP($A14,[6]HISTOSEPT23!$A$6:$AV$45,32,0))</f>
        <v>BANQUE</v>
      </c>
      <c r="N14" s="7">
        <f>VLOOKUP($A14,[6]HISTOSEPT23!$A$6:$AV$45,33,0)</f>
        <v>0</v>
      </c>
      <c r="O14" s="7">
        <f t="shared" si="0"/>
        <v>892500</v>
      </c>
      <c r="P14" s="7">
        <f>VLOOKUP($A14,[6]HISTOSEPT23!$A$6:$AV$45,30,0)</f>
        <v>7500</v>
      </c>
    </row>
    <row r="15" spans="1:16" x14ac:dyDescent="0.25">
      <c r="A15" s="1" t="s">
        <v>37</v>
      </c>
      <c r="B15" s="7">
        <f>IF(D15=0,0,VLOOKUP($A15,[6]HISTOSEPT23!$A$6:$BB$45,12,0))</f>
        <v>1</v>
      </c>
      <c r="C15" s="1" t="str">
        <f>VLOOKUP(A15,[7]LISTADHERENT!A$5:H$60,3,0)</f>
        <v>NGONDIEP CLAUDE</v>
      </c>
      <c r="D15" s="7">
        <f>IF(E15="ECHEC",0,VLOOKUP($A15,[6]HISTOSEPT23!$A$7:$AR$45,13,0))</f>
        <v>75000</v>
      </c>
      <c r="E15" s="7" t="str">
        <f>VLOOKUP($A15,[6]HISTOSEPT23!$A$7:$AV$45,8,0)</f>
        <v>BANQUE</v>
      </c>
      <c r="F15" s="7">
        <f>VLOOKUP($A15,[6]HISTOSEPT23!$A$6:$AV$45,36,0)</f>
        <v>0</v>
      </c>
      <c r="G15" s="7">
        <f>VLOOKUP($A15,[6]HISTOSEPT23!$A$6:$AV$45,39,0)</f>
        <v>0</v>
      </c>
      <c r="H15" s="7">
        <f>IF(G15=0,0,VLOOKUP($A15,[6]HISTOSEPT23!$A$6:$AV$45,42,0))</f>
        <v>0</v>
      </c>
      <c r="I15" s="7">
        <f>VLOOKUP($A15,[6]HISTOSEPT23!$A$6:$AV$45,41,0)</f>
        <v>0</v>
      </c>
      <c r="J15" s="7">
        <f>TONTAOUT23!F15+TONTAOUT23!G15</f>
        <v>171000</v>
      </c>
      <c r="K15" s="7">
        <f>VLOOKUP($A15,[6]HISTOSEPT23!$A$6:$AV$45,17,0)</f>
        <v>171000</v>
      </c>
      <c r="L15" s="7" t="str">
        <f>IF(K15&lt;&gt;0,VLOOKUP($A15,[6]HISTOSEPT23!$A$6:$BB$45,8,0),"ECHEC")</f>
        <v>BANQUE</v>
      </c>
      <c r="M15" s="7">
        <f>IF(P15=0,0,VLOOKUP($A15,[6]HISTOSEPT23!$A$6:$AV$45,32,0))</f>
        <v>0</v>
      </c>
      <c r="N15" s="7">
        <f>VLOOKUP($A15,[6]HISTOSEPT23!$A$6:$AV$45,33,0)</f>
        <v>0</v>
      </c>
      <c r="O15" s="7">
        <f t="shared" si="0"/>
        <v>0</v>
      </c>
      <c r="P15" s="7">
        <f>VLOOKUP($A15,[6]HISTOSEPT23!$A$6:$AV$45,30,0)</f>
        <v>0</v>
      </c>
    </row>
    <row r="16" spans="1:16" x14ac:dyDescent="0.25">
      <c r="A16" s="1" t="s">
        <v>21</v>
      </c>
      <c r="B16" s="7">
        <f>IF(D16=0,0,VLOOKUP($A16,[6]HISTOSEPT23!$A$6:$BB$45,12,0))</f>
        <v>2</v>
      </c>
      <c r="C16" s="1" t="str">
        <f>VLOOKUP(A16,[7]LISTADHERENT!A$5:H$60,3,0)</f>
        <v>NGUIEMEGNI MATHIEU BLAISE</v>
      </c>
      <c r="D16" s="7">
        <f>IF(E16="ECHEC",0,VLOOKUP($A16,[6]HISTOSEPT23!$A$7:$AR$45,13,0))</f>
        <v>150000</v>
      </c>
      <c r="E16" s="7" t="str">
        <f>VLOOKUP($A16,[6]HISTOSEPT23!$A$7:$AV$45,8,0)</f>
        <v>BANQUE</v>
      </c>
      <c r="F16" s="7">
        <f>VLOOKUP($A16,[6]HISTOSEPT23!$A$6:$AV$45,36,0)</f>
        <v>0</v>
      </c>
      <c r="G16" s="7">
        <f>VLOOKUP($A16,[6]HISTOSEPT23!$A$6:$AV$45,39,0)</f>
        <v>0</v>
      </c>
      <c r="H16" s="7">
        <f>IF(G16=0,0,VLOOKUP($A16,[6]HISTOSEPT23!$A$6:$AV$45,42,0))</f>
        <v>0</v>
      </c>
      <c r="I16" s="7">
        <f>VLOOKUP($A16,[6]HISTOSEPT23!$A$6:$AV$45,41,0)</f>
        <v>0</v>
      </c>
      <c r="J16" s="7">
        <f>TONTAOUT23!F16+TONTAOUT23!G16</f>
        <v>0</v>
      </c>
      <c r="K16" s="7">
        <f>VLOOKUP($A16,[6]HISTOSEPT23!$A$6:$AV$45,17,0)</f>
        <v>0</v>
      </c>
      <c r="L16" s="7" t="str">
        <f>IF(K16&lt;&gt;0,VLOOKUP($A16,[6]HISTOSEPT23!$A$6:$BB$45,8,0),"ECHEC")</f>
        <v>ECHEC</v>
      </c>
      <c r="M16" s="7">
        <f>IF(P16=0,0,VLOOKUP($A16,[6]HISTOSEPT23!$A$6:$AV$45,32,0))</f>
        <v>0</v>
      </c>
      <c r="N16" s="7">
        <f>VLOOKUP($A16,[6]HISTOSEPT23!$A$6:$AV$45,33,0)</f>
        <v>0</v>
      </c>
      <c r="O16" s="7">
        <f t="shared" si="0"/>
        <v>0</v>
      </c>
      <c r="P16" s="7">
        <f>VLOOKUP($A16,[6]HISTOSEPT23!$A$6:$AV$45,30,0)</f>
        <v>0</v>
      </c>
    </row>
    <row r="17" spans="1:16" x14ac:dyDescent="0.25">
      <c r="A17" s="1" t="s">
        <v>28</v>
      </c>
      <c r="B17" s="7">
        <f>IF(D17=0,0,VLOOKUP($A17,[6]HISTOSEPT23!$A$6:$BB$45,12,0))</f>
        <v>1</v>
      </c>
      <c r="C17" s="1" t="str">
        <f>VLOOKUP(A17,[7]LISTADHERENT!A$5:H$60,3,0)</f>
        <v>PATEGO NJOSSU GUSTAVE</v>
      </c>
      <c r="D17" s="7">
        <f>IF(E17="ECHEC",0,VLOOKUP($A17,[6]HISTOSEPT23!$A$7:$AR$45,13,0))</f>
        <v>75000</v>
      </c>
      <c r="E17" s="7" t="str">
        <f>VLOOKUP($A17,[6]HISTOSEPT23!$A$7:$AV$45,8,0)</f>
        <v>BANQUE</v>
      </c>
      <c r="F17" s="7">
        <f>VLOOKUP($A17,[6]HISTOSEPT23!$A$6:$AV$45,36,0)</f>
        <v>0</v>
      </c>
      <c r="G17" s="7">
        <f>VLOOKUP($A17,[6]HISTOSEPT23!$A$6:$AV$45,39,0)</f>
        <v>0</v>
      </c>
      <c r="H17" s="7">
        <f>IF(G17=0,0,VLOOKUP($A17,[6]HISTOSEPT23!$A$6:$AV$45,42,0))</f>
        <v>0</v>
      </c>
      <c r="I17" s="7">
        <f>VLOOKUP($A17,[6]HISTOSEPT23!$A$6:$AV$45,41,0)</f>
        <v>0</v>
      </c>
      <c r="J17" s="7">
        <f>TONTAOUT23!F17+TONTAOUT23!G17</f>
        <v>0</v>
      </c>
      <c r="K17" s="7">
        <f>VLOOKUP($A17,[6]HISTOSEPT23!$A$6:$AV$45,17,0)</f>
        <v>0</v>
      </c>
      <c r="L17" s="7" t="str">
        <f>IF(K17&lt;&gt;0,VLOOKUP($A17,[6]HISTOSEPT23!$A$6:$BB$45,8,0),"ECHEC")</f>
        <v>ECHEC</v>
      </c>
      <c r="M17" s="7">
        <f>IF(P17=0,0,VLOOKUP($A17,[6]HISTOSEPT23!$A$6:$AV$45,32,0))</f>
        <v>0</v>
      </c>
      <c r="N17" s="7">
        <f>VLOOKUP($A17,[6]HISTOSEPT23!$A$6:$AV$45,33,0)</f>
        <v>0</v>
      </c>
      <c r="O17" s="7">
        <f t="shared" si="0"/>
        <v>0</v>
      </c>
      <c r="P17" s="7">
        <f>VLOOKUP($A17,[6]HISTOSEPT23!$A$6:$AV$45,30,0)</f>
        <v>0</v>
      </c>
    </row>
    <row r="18" spans="1:16" x14ac:dyDescent="0.25">
      <c r="A18" s="9" t="s">
        <v>36</v>
      </c>
      <c r="B18" s="7">
        <f>IF(D18=0,0,VLOOKUP($A18,[6]HISTOSEPT23!$A$6:$BB$45,12,0))</f>
        <v>1</v>
      </c>
      <c r="C18" s="1" t="str">
        <f>VLOOKUP(A18,[7]LISTADHERENT!A$5:H$60,3,0)</f>
        <v>SIME BRICE</v>
      </c>
      <c r="D18" s="7">
        <f>IF(E18="ECHEC",0,VLOOKUP($A18,[6]HISTOSEPT23!$A$7:$AR$45,13,0))</f>
        <v>75000</v>
      </c>
      <c r="E18" s="7" t="str">
        <f>VLOOKUP($A18,[6]HISTOSEPT23!$A$7:$AV$45,8,0)</f>
        <v>BANQUE</v>
      </c>
      <c r="F18" s="7">
        <f>VLOOKUP($A18,[6]HISTOSEPT23!$A$6:$AV$45,36,0)</f>
        <v>0</v>
      </c>
      <c r="G18" s="7">
        <f>VLOOKUP($A18,[6]HISTOSEPT23!$A$6:$AV$45,39,0)</f>
        <v>0</v>
      </c>
      <c r="H18" s="7">
        <f>IF(G18=0,0,VLOOKUP($A18,[6]HISTOSEPT23!$A$6:$AV$45,42,0))</f>
        <v>0</v>
      </c>
      <c r="I18" s="7">
        <f>VLOOKUP($A18,[6]HISTOSEPT23!$A$6:$AV$45,41,0)</f>
        <v>0</v>
      </c>
      <c r="J18" s="7">
        <f>TONTAOUT23!F18+TONTAOUT23!G18</f>
        <v>0</v>
      </c>
      <c r="K18" s="7">
        <f>VLOOKUP($A18,[6]HISTOSEPT23!$A$6:$AV$45,17,0)</f>
        <v>0</v>
      </c>
      <c r="L18" s="7" t="str">
        <f>IF(K18&lt;&gt;0,VLOOKUP($A18,[6]HISTOSEPT23!$A$6:$BB$45,8,0),"ECHEC")</f>
        <v>ECHEC</v>
      </c>
      <c r="M18" s="7">
        <f>IF(P18=0,0,VLOOKUP($A18,[6]HISTOSEPT23!$A$6:$AV$45,32,0))</f>
        <v>0</v>
      </c>
      <c r="N18" s="7">
        <f>VLOOKUP($A18,[6]HISTOSEPT23!$A$6:$AV$45,33,0)</f>
        <v>0</v>
      </c>
      <c r="O18" s="7">
        <f t="shared" si="0"/>
        <v>0</v>
      </c>
      <c r="P18" s="7">
        <f>VLOOKUP($A18,[6]HISTOSEPT23!$A$6:$AV$45,30,0)</f>
        <v>0</v>
      </c>
    </row>
    <row r="19" spans="1:16" x14ac:dyDescent="0.25">
      <c r="A19" s="9" t="s">
        <v>50</v>
      </c>
      <c r="B19" s="7">
        <f>IF(D19=0,0,VLOOKUP($A19,[6]HISTOSEPT23!$A$6:$BB$45,12,0))</f>
        <v>1</v>
      </c>
      <c r="C19" s="1" t="str">
        <f>VLOOKUP(A19,[7]LISTADHERENT!A$5:H$60,3,0)</f>
        <v>TCHOUAMOU MATHIEU</v>
      </c>
      <c r="D19" s="7">
        <f>IF(E19="ECHEC",0,VLOOKUP($A19,[6]HISTOSEPT23!$A$7:$AR$45,13,0))</f>
        <v>75000</v>
      </c>
      <c r="E19" s="7" t="str">
        <f>VLOOKUP($A19,[6]HISTOSEPT23!$A$7:$AV$45,8,0)</f>
        <v>BANQUE</v>
      </c>
      <c r="F19" s="7">
        <f>VLOOKUP($A19,[6]HISTOSEPT23!$A$6:$AV$45,36,0)</f>
        <v>0</v>
      </c>
      <c r="G19" s="7">
        <f>VLOOKUP($A19,[6]HISTOSEPT23!$A$6:$AV$45,39,0)</f>
        <v>0</v>
      </c>
      <c r="H19" s="7">
        <f>IF(G19=0,0,VLOOKUP($A19,[6]HISTOSEPT23!$A$6:$AV$45,42,0))</f>
        <v>0</v>
      </c>
      <c r="I19" s="7">
        <f>VLOOKUP($A19,[6]HISTOSEPT23!$A$6:$AV$45,41,0)</f>
        <v>0</v>
      </c>
      <c r="J19" s="7">
        <f>TONTAOUT23!F19+TONTAOUT23!G19</f>
        <v>76000</v>
      </c>
      <c r="K19" s="7">
        <f>VLOOKUP($A19,[6]HISTOSEPT23!$A$6:$AV$45,17,0)</f>
        <v>76000</v>
      </c>
      <c r="L19" s="7" t="str">
        <f>IF(K19&lt;&gt;0,VLOOKUP($A19,[6]HISTOSEPT23!$A$6:$BB$45,8,0),"ECHEC")</f>
        <v>BANQUE</v>
      </c>
      <c r="M19" s="7">
        <f>IF(P19=0,0,VLOOKUP($A19,[6]HISTOSEPT23!$A$6:$AV$45,32,0))</f>
        <v>0</v>
      </c>
      <c r="N19" s="7">
        <f>VLOOKUP($A19,[6]HISTOSEPT23!$A$6:$AV$45,33,0)</f>
        <v>0</v>
      </c>
      <c r="O19" s="7">
        <f t="shared" si="0"/>
        <v>0</v>
      </c>
      <c r="P19" s="7">
        <f>VLOOKUP($A19,[6]HISTOSEPT23!$A$6:$AV$45,30,0)</f>
        <v>0</v>
      </c>
    </row>
    <row r="20" spans="1:16" x14ac:dyDescent="0.25">
      <c r="A20" s="1" t="s">
        <v>20</v>
      </c>
      <c r="B20" s="7">
        <f>IF(D20=0,0,VLOOKUP($A20,[6]HISTOSEPT23!$A$6:$BB$45,12,0))</f>
        <v>2</v>
      </c>
      <c r="C20" s="1" t="str">
        <f>VLOOKUP(A20,[7]LISTADHERENT!A$5:H$60,3,0)</f>
        <v>YOUMBI EMMANUEL</v>
      </c>
      <c r="D20" s="7">
        <f>IF(E20="ECHEC",0,VLOOKUP($A20,[6]HISTOSEPT23!$A$7:$AR$45,13,0))</f>
        <v>150000</v>
      </c>
      <c r="E20" s="7" t="str">
        <f>VLOOKUP($A20,[6]HISTOSEPT23!$A$7:$AV$45,8,0)</f>
        <v>BANQUE</v>
      </c>
      <c r="F20" s="7">
        <f>VLOOKUP($A20,[6]HISTOSEPT23!$A$6:$AV$45,36,0)</f>
        <v>0</v>
      </c>
      <c r="G20" s="7">
        <f>VLOOKUP($A20,[6]HISTOSEPT23!$A$6:$AV$45,39,0)</f>
        <v>0</v>
      </c>
      <c r="H20" s="7">
        <f>IF(G20=0,0,VLOOKUP($A20,[6]HISTOSEPT23!$A$6:$AV$45,42,0))</f>
        <v>0</v>
      </c>
      <c r="I20" s="7">
        <f>VLOOKUP($A20,[6]HISTOSEPT23!$A$6:$AV$45,41,0)</f>
        <v>0</v>
      </c>
      <c r="J20" s="7">
        <f>TONTAOUT23!F20+TONTAOUT23!G20</f>
        <v>0</v>
      </c>
      <c r="K20" s="7">
        <f>VLOOKUP($A20,[6]HISTOSEPT23!$A$6:$AV$45,17,0)</f>
        <v>0</v>
      </c>
      <c r="L20" s="7" t="str">
        <f>IF(K20&lt;&gt;0,VLOOKUP($A20,[6]HISTOSEPT23!$A$6:$BB$45,8,0),"ECHEC")</f>
        <v>ECHEC</v>
      </c>
      <c r="M20" s="7">
        <f>IF(P20=0,0,VLOOKUP($A20,[6]HISTOSEPT23!$A$6:$AV$45,32,0))</f>
        <v>0</v>
      </c>
      <c r="N20" s="7">
        <f>VLOOKUP($A20,[6]HISTOSEPT23!$A$6:$AV$45,33,0)</f>
        <v>0</v>
      </c>
      <c r="O20" s="7">
        <f t="shared" si="0"/>
        <v>0</v>
      </c>
      <c r="P20" s="7">
        <f>VLOOKUP($A20,[6]HISTOSEPT23!$A$6:$AV$45,30,0)</f>
        <v>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1">SUM(D6:D22)</f>
        <v>1275000</v>
      </c>
      <c r="E23" s="8">
        <f t="shared" si="1"/>
        <v>0</v>
      </c>
      <c r="F23" s="8">
        <f t="shared" si="1"/>
        <v>58000</v>
      </c>
      <c r="G23" s="8">
        <f t="shared" si="1"/>
        <v>1000</v>
      </c>
      <c r="H23" s="8">
        <f t="shared" si="1"/>
        <v>0</v>
      </c>
      <c r="I23" s="8">
        <f t="shared" si="1"/>
        <v>0</v>
      </c>
      <c r="J23" s="8">
        <f t="shared" si="1"/>
        <v>568000</v>
      </c>
      <c r="K23" s="8">
        <f t="shared" si="1"/>
        <v>568000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1785000</v>
      </c>
      <c r="P23" s="8">
        <f t="shared" si="1"/>
        <v>15000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D29+E29+P23+TONTAOUT23!M30</f>
        <v>1860000</v>
      </c>
      <c r="L25" s="5"/>
      <c r="M25"/>
      <c r="N25" s="5"/>
    </row>
    <row r="26" spans="1:16" s="2" customFormat="1" ht="18" x14ac:dyDescent="0.25">
      <c r="D26" s="8">
        <f>SUMIFS(D6:D22,E6:E22,"ESPECES")</f>
        <v>0</v>
      </c>
      <c r="E26" s="8">
        <f>SUMIFS(K6:K20,L6:L20,"ESPECES")</f>
        <v>0</v>
      </c>
      <c r="F26" s="8">
        <f>SUMIFS(F6:F22,H6:H22,"ESPECES")</f>
        <v>0</v>
      </c>
      <c r="G26" s="8">
        <f>SUMIFS(O6:O22,M6:M22,"ESPECES")</f>
        <v>0</v>
      </c>
      <c r="H26" s="8">
        <f>D26+E26-F26-G26</f>
        <v>0</v>
      </c>
      <c r="I26" s="8"/>
      <c r="J26" s="8" t="s">
        <v>33</v>
      </c>
      <c r="K26" s="8">
        <f>C3*COUNTIF(O7:O22,"&gt;0")</f>
        <v>1800000</v>
      </c>
      <c r="L26" s="8">
        <f>D3</f>
        <v>2</v>
      </c>
      <c r="M26" s="8">
        <f>COUNTIF(O7:O17,"&gt;0")</f>
        <v>2</v>
      </c>
      <c r="N26" s="8"/>
    </row>
    <row r="27" spans="1:16" s="2" customFormat="1" ht="18" x14ac:dyDescent="0.25">
      <c r="D27" s="8">
        <f>SUMIFS(D6:D22,E6:E22,"BANQUE")</f>
        <v>1275000</v>
      </c>
      <c r="E27" s="8">
        <f>SUMIFS(K6:K20,L6:L20,"BANQUE")</f>
        <v>568000</v>
      </c>
      <c r="F27" s="8">
        <f>SUMIFS(F6:F22,H6:H22,"BANQUE")</f>
        <v>0</v>
      </c>
      <c r="G27" s="8">
        <f>SUMIFS(O7:O22,M7:M22,"BANQUE")</f>
        <v>1785000</v>
      </c>
      <c r="H27" s="8">
        <f>D27+E27-F27-G27</f>
        <v>58000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K25-K26+2000</f>
        <v>62000</v>
      </c>
      <c r="L28" s="8"/>
      <c r="M28" s="8"/>
      <c r="N28" s="8"/>
    </row>
    <row r="29" spans="1:16" s="2" customFormat="1" ht="18" x14ac:dyDescent="0.25">
      <c r="D29" s="8">
        <f>D26+D27</f>
        <v>1275000</v>
      </c>
      <c r="E29" s="8">
        <f>E26+E27</f>
        <v>568000</v>
      </c>
      <c r="F29" s="8">
        <f>F26+F27</f>
        <v>0</v>
      </c>
      <c r="G29" s="8">
        <f t="shared" ref="G29:H29" si="2">G26+G27</f>
        <v>1785000</v>
      </c>
      <c r="H29" s="8">
        <f t="shared" si="2"/>
        <v>58000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4000</v>
      </c>
      <c r="L30"/>
      <c r="M30" s="8">
        <f>K30</f>
        <v>4000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TONTAOUT23!M32+TONTSEPT23!K32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0</v>
      </c>
      <c r="M33" s="8">
        <f>TONTAOUT23!M33+TONTSEPT23!K33</f>
        <v>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xSplit="3" ySplit="5" topLeftCell="F19" activePane="bottomRight" state="frozen"/>
      <selection activeCell="E16" sqref="E16"/>
      <selection pane="topRight" activeCell="E16" sqref="E16"/>
      <selection pane="bottomLeft" activeCell="E16" sqref="E16"/>
      <selection pane="bottomRight" activeCell="O32" sqref="O32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1</v>
      </c>
      <c r="E3" s="1"/>
      <c r="L3" s="1"/>
      <c r="M3" s="1"/>
    </row>
    <row r="4" spans="1:16" s="12" customFormat="1" ht="18" x14ac:dyDescent="0.25">
      <c r="B4" s="13"/>
      <c r="C4" s="19">
        <v>45212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IF(D6=0,0,VLOOKUP($A6,[6]HISTOOCT23!$A$6:$BB$45,12,0))</f>
        <v>1</v>
      </c>
      <c r="C6" s="1" t="str">
        <f>VLOOKUP(A6,[7]LISTADHERENT!A$5:H$60,3,0)</f>
        <v>ASELBY</v>
      </c>
      <c r="D6" s="7">
        <f>IF(E6="ECHEC",0,VLOOKUP($A6,[6]HISTOOCT23!$A$6:$AR$45,13,0))</f>
        <v>75000</v>
      </c>
      <c r="E6" s="7" t="str">
        <f>VLOOKUP($A6,[6]HISTOOCT23!$A$6:$AV$45,8,0)</f>
        <v>BANQUE</v>
      </c>
      <c r="F6" s="7">
        <f>VLOOKUP($A6,[6]HISTOOCT23!$A$6:$AV$45,36,0)</f>
        <v>0</v>
      </c>
      <c r="G6" s="7">
        <f>VLOOKUP($A6,[6]HISTOOCT23!$A$6:$AV$45,39,0)</f>
        <v>0</v>
      </c>
      <c r="H6" s="7">
        <f>IF(G6=0,0,VLOOKUP($A6,[6]HISTOOCT23!$A$6:$AV$45,42,0))</f>
        <v>0</v>
      </c>
      <c r="I6" s="7">
        <f>VLOOKUP($A6,[6]HISTOOCT23!$A$6:$AV$45,41,0)</f>
        <v>0</v>
      </c>
      <c r="J6" s="7">
        <f>TONTSEPT23!F6+TONTSEPT23!G6</f>
        <v>0</v>
      </c>
      <c r="K6" s="7">
        <f>VLOOKUP($A6,[6]HISTOOCT23!$A$6:$AV$45,17,0)</f>
        <v>0</v>
      </c>
      <c r="L6" s="7" t="str">
        <f>IF(K6&lt;&gt;0,VLOOKUP($A6,[6]HISTOOCT23!$A$6:$BB$45,8,0),"ECHEC")</f>
        <v>ECHEC</v>
      </c>
      <c r="M6" s="7">
        <f>IF(P6=0,0,VLOOKUP($A6,[6]HISTOOCT23!$A$6:$AV$45,32,0))</f>
        <v>0</v>
      </c>
      <c r="N6" s="7">
        <f>VLOOKUP($A6,[6]HISTOOCT23!$A$6:$AV$45,33,0)</f>
        <v>0</v>
      </c>
      <c r="O6" s="7">
        <f t="shared" ref="O6:O20" si="0">IF(P6=0,0,($C$3-P6))</f>
        <v>0</v>
      </c>
      <c r="P6" s="7">
        <f>VLOOKUP($A6,[6]HISTOOCT23!$A$6:$AV$45,30,0)</f>
        <v>0</v>
      </c>
    </row>
    <row r="7" spans="1:16" x14ac:dyDescent="0.25">
      <c r="A7" s="1" t="s">
        <v>25</v>
      </c>
      <c r="B7" s="7">
        <f>IF(D7=0,0,VLOOKUP($A7,[6]HISTOOCT23!$A$6:$BB$45,12,0))</f>
        <v>1</v>
      </c>
      <c r="C7" s="1" t="str">
        <f>VLOOKUP(A7,[7]LISTADHERENT!A$5:H$60,3,0)</f>
        <v>BOUTCHOUANG WILLIAM</v>
      </c>
      <c r="D7" s="7">
        <f>IF(E7="ECHEC",0,VLOOKUP($A7,[6]HISTOOCT23!$A$6:$AR$45,13,0))</f>
        <v>75000</v>
      </c>
      <c r="E7" s="7" t="str">
        <f>VLOOKUP($A7,[6]HISTOOCT23!$A$6:$AV$45,8,0)</f>
        <v>ESPECES</v>
      </c>
      <c r="F7" s="7">
        <f>VLOOKUP($A7,[6]HISTOOCT23!$A$6:$AV$45,36,0)</f>
        <v>0</v>
      </c>
      <c r="G7" s="7">
        <f>VLOOKUP($A7,[6]HISTOOCT23!$A$6:$AV$45,39,0)</f>
        <v>0</v>
      </c>
      <c r="H7" s="7">
        <f>IF(G7=0,0,VLOOKUP($A7,[6]HISTOOCT23!$A$6:$AV$45,42,0))</f>
        <v>0</v>
      </c>
      <c r="I7" s="7">
        <f>VLOOKUP($A7,[6]HISTOOCT23!$A$6:$AV$45,41,0)</f>
        <v>0</v>
      </c>
      <c r="J7" s="7">
        <f>TONTSEPT23!F7+TONTSEPT23!G7</f>
        <v>0</v>
      </c>
      <c r="K7" s="7">
        <f>VLOOKUP($A7,[6]HISTOOCT23!$A$6:$AV$45,17,0)</f>
        <v>0</v>
      </c>
      <c r="L7" s="7" t="str">
        <f>IF(K7&lt;&gt;0,VLOOKUP($A7,[6]HISTOOCT23!$A$6:$BB$45,8,0),"ECHEC")</f>
        <v>ECHEC</v>
      </c>
      <c r="M7" s="7">
        <f>IF(P7=0,0,VLOOKUP($A7,[6]HISTOOCT23!$A$6:$AV$45,32,0))</f>
        <v>0</v>
      </c>
      <c r="N7" s="7">
        <f>VLOOKUP($A7,[6]HISTOOCT23!$A$6:$AV$45,33,0)</f>
        <v>0</v>
      </c>
      <c r="O7" s="7">
        <f t="shared" si="0"/>
        <v>0</v>
      </c>
      <c r="P7" s="7">
        <f>VLOOKUP($A7,[6]HISTOOCT23!$A$6:$AV$45,30,0)</f>
        <v>0</v>
      </c>
    </row>
    <row r="8" spans="1:16" x14ac:dyDescent="0.25">
      <c r="A8" s="1" t="s">
        <v>26</v>
      </c>
      <c r="B8" s="7">
        <f>IF(D8=0,0,VLOOKUP($A8,[6]HISTOOCT23!$A$6:$BB$45,12,0))</f>
        <v>1</v>
      </c>
      <c r="C8" s="1" t="str">
        <f>VLOOKUP(A8,[7]LISTADHERENT!A$5:H$60,3,0)</f>
        <v>DJOUKWE NANGUEN GUY BLAISE</v>
      </c>
      <c r="D8" s="7">
        <f>IF(E8="ECHEC",0,VLOOKUP($A8,[6]HISTOOCT23!$A$7:$AR$45,13,0))</f>
        <v>75000</v>
      </c>
      <c r="E8" s="7" t="str">
        <f>VLOOKUP($A8,[6]HISTOOCT23!$A$7:$AV$45,8,0)</f>
        <v>BANQUE</v>
      </c>
      <c r="F8" s="7">
        <f>VLOOKUP($A8,[6]HISTOOCT23!$A$6:$AV$45,36,0)</f>
        <v>75000</v>
      </c>
      <c r="G8" s="7">
        <f>VLOOKUP($A8,[6]HISTOOCT23!$A$6:$AV$45,39,0)</f>
        <v>1000</v>
      </c>
      <c r="H8" s="7" t="str">
        <f>IF(G8=0,0,VLOOKUP($A8,[6]HISTOOCT23!$A$6:$AV$45,42,0))</f>
        <v>BANQUE</v>
      </c>
      <c r="I8" s="7">
        <f>VLOOKUP($A8,[6]HISTOOCT23!$A$6:$AV$45,41,0)</f>
        <v>0</v>
      </c>
      <c r="J8" s="7">
        <f>TONTSEPT23!F8+TONTSEPT23!G8</f>
        <v>59000</v>
      </c>
      <c r="K8" s="7">
        <f>VLOOKUP($A8,[6]HISTOOCT23!$A$6:$AV$45,17,0)</f>
        <v>59000</v>
      </c>
      <c r="L8" s="7" t="str">
        <f>IF(K8&lt;&gt;0,VLOOKUP($A8,[6]HISTOOCT23!$A$6:$BB$45,8,0),"ECHEC")</f>
        <v>BANQUE</v>
      </c>
      <c r="M8" s="7">
        <f>IF(P8=0,0,VLOOKUP($A8,[6]HISTOOCT23!$A$6:$AV$45,32,0))</f>
        <v>0</v>
      </c>
      <c r="N8" s="7">
        <f>VLOOKUP($A8,[6]HISTOOCT23!$A$6:$AV$45,33,0)</f>
        <v>0</v>
      </c>
      <c r="O8" s="7">
        <f t="shared" si="0"/>
        <v>0</v>
      </c>
      <c r="P8" s="7">
        <f>VLOOKUP($A8,[6]HISTOOCT23!$A$6:$AV$45,30,0)</f>
        <v>0</v>
      </c>
    </row>
    <row r="9" spans="1:16" x14ac:dyDescent="0.25">
      <c r="A9" s="1" t="s">
        <v>35</v>
      </c>
      <c r="B9" s="7">
        <f>IF(D9=0,0,VLOOKUP($A9,[6]HISTOOCT23!$A$6:$BB$45,12,0))</f>
        <v>1</v>
      </c>
      <c r="C9" s="1" t="str">
        <f>VLOOKUP(A9,[7]LISTADHERENT!A$5:H$60,3,0)</f>
        <v>DJUOMBESSY ANTOINE</v>
      </c>
      <c r="D9" s="7">
        <f>IF(E9="ECHEC",0,VLOOKUP($A9,[6]HISTOOCT23!$A$7:$AR$45,13,0))</f>
        <v>75000</v>
      </c>
      <c r="E9" s="7" t="str">
        <f>VLOOKUP($A9,[6]HISTOOCT23!$A$7:$AV$45,8,0)</f>
        <v>BANQUE</v>
      </c>
      <c r="F9" s="7">
        <f>VLOOKUP($A9,[6]HISTOOCT23!$A$6:$AV$45,36,0)</f>
        <v>0</v>
      </c>
      <c r="G9" s="7">
        <f>VLOOKUP($A9,[6]HISTOOCT23!$A$6:$AV$45,39,0)</f>
        <v>0</v>
      </c>
      <c r="H9" s="7">
        <f>IF(G9=0,0,VLOOKUP($A9,[6]HISTOOCT23!$A$6:$AV$45,42,0))</f>
        <v>0</v>
      </c>
      <c r="I9" s="7">
        <f>VLOOKUP($A9,[6]HISTOOCT23!$A$6:$AV$45,41,0)</f>
        <v>0</v>
      </c>
      <c r="J9" s="7">
        <f>TONTSEPT23!F9+TONTSEPT23!G9</f>
        <v>0</v>
      </c>
      <c r="K9" s="7">
        <f>VLOOKUP($A9,[6]HISTOOCT23!$A$6:$AV$45,17,0)</f>
        <v>0</v>
      </c>
      <c r="L9" s="7" t="str">
        <f>IF(K9&lt;&gt;0,VLOOKUP($A9,[6]HISTOOCT23!$A$6:$BB$45,8,0),"ECHEC")</f>
        <v>ECHEC</v>
      </c>
      <c r="M9" s="7">
        <f>IF(P9=0,0,VLOOKUP($A9,[6]HISTOOCT23!$A$6:$AV$45,32,0))</f>
        <v>0</v>
      </c>
      <c r="N9" s="7">
        <f>VLOOKUP($A9,[6]HISTOOCT23!$A$6:$AV$45,33,0)</f>
        <v>0</v>
      </c>
      <c r="O9" s="7">
        <f t="shared" si="0"/>
        <v>0</v>
      </c>
      <c r="P9" s="7">
        <f>VLOOKUP($A9,[6]HISTOOCT23!$A$6:$AV$45,30,0)</f>
        <v>0</v>
      </c>
    </row>
    <row r="10" spans="1:16" x14ac:dyDescent="0.25">
      <c r="A10" s="1" t="s">
        <v>19</v>
      </c>
      <c r="B10" s="7">
        <f>IF(D10=0,0,VLOOKUP($A10,[6]HISTOOCT23!$A$6:$BB$45,12,0))</f>
        <v>1</v>
      </c>
      <c r="C10" s="1" t="str">
        <f>VLOOKUP(A10,[7]LISTADHERENT!A$5:H$60,3,0)</f>
        <v>HOTCHO BENJAMIN</v>
      </c>
      <c r="D10" s="7">
        <f>IF(E10="ECHEC",0,VLOOKUP($A10,[6]HISTOOCT23!$A$7:$AR$45,13,0))</f>
        <v>75000</v>
      </c>
      <c r="E10" s="7" t="str">
        <f>VLOOKUP($A10,[6]HISTOOCT23!$A$7:$AV$45,8,0)</f>
        <v>BANQUE</v>
      </c>
      <c r="F10" s="7">
        <f>VLOOKUP($A10,[6]HISTOOCT23!$A$6:$AV$45,36,0)</f>
        <v>0</v>
      </c>
      <c r="G10" s="7">
        <f>VLOOKUP($A10,[6]HISTOOCT23!$A$6:$AV$45,39,0)</f>
        <v>0</v>
      </c>
      <c r="H10" s="7">
        <f>IF(G10=0,0,VLOOKUP($A10,[6]HISTOOCT23!$A$6:$AV$45,42,0))</f>
        <v>0</v>
      </c>
      <c r="I10" s="7">
        <f>VLOOKUP($A10,[6]HISTOOCT23!$A$6:$AV$45,41,0)</f>
        <v>0</v>
      </c>
      <c r="J10" s="7">
        <f>TONTSEPT23!F10+TONTSEPT23!G10</f>
        <v>0</v>
      </c>
      <c r="K10" s="7">
        <f>VLOOKUP($A10,[6]HISTOOCT23!$A$6:$AV$45,17,0)</f>
        <v>0</v>
      </c>
      <c r="L10" s="7" t="str">
        <f>IF(K10&lt;&gt;0,VLOOKUP($A10,[6]HISTOOCT23!$A$6:$BB$45,8,0),"ECHEC")</f>
        <v>ECHEC</v>
      </c>
      <c r="M10" s="7">
        <f>IF(P10=0,0,VLOOKUP($A10,[6]HISTOOCT23!$A$6:$AV$45,32,0))</f>
        <v>0</v>
      </c>
      <c r="N10" s="7">
        <f>VLOOKUP($A10,[6]HISTOOCT23!$A$6:$AV$45,33,0)</f>
        <v>0</v>
      </c>
      <c r="O10" s="7">
        <f t="shared" si="0"/>
        <v>0</v>
      </c>
      <c r="P10" s="7">
        <f>VLOOKUP($A10,[6]HISTOOCT23!$A$6:$AV$45,30,0)</f>
        <v>0</v>
      </c>
    </row>
    <row r="11" spans="1:16" x14ac:dyDescent="0.25">
      <c r="A11" s="1" t="s">
        <v>27</v>
      </c>
      <c r="B11" s="7">
        <f>IF(D11=0,0,VLOOKUP($A11,[6]HISTOOCT23!$A$6:$BB$45,12,0))</f>
        <v>1</v>
      </c>
      <c r="C11" s="1" t="str">
        <f>VLOOKUP(A11,[7]LISTADHERENT!A$5:H$60,3,0)</f>
        <v>HENGUE PAUL OMER</v>
      </c>
      <c r="D11" s="7">
        <f>IF(E11="ECHEC",0,VLOOKUP($A11,[6]HISTOOCT23!$A$7:$AR$45,13,0))</f>
        <v>75000</v>
      </c>
      <c r="E11" s="7" t="str">
        <f>VLOOKUP($A11,[6]HISTOOCT23!$A$7:$AV$45,8,0)</f>
        <v>BANQUE</v>
      </c>
      <c r="F11" s="7">
        <f>VLOOKUP($A11,[6]HISTOOCT23!$A$6:$AV$45,36,0)</f>
        <v>0</v>
      </c>
      <c r="G11" s="7">
        <f>VLOOKUP($A11,[6]HISTOOCT23!$A$6:$AV$45,39,0)</f>
        <v>0</v>
      </c>
      <c r="H11" s="7">
        <f>IF(G11=0,0,VLOOKUP($A11,[6]HISTOOCT23!$A$6:$AV$45,42,0))</f>
        <v>0</v>
      </c>
      <c r="I11" s="7">
        <f>VLOOKUP($A11,[6]HISTOOCT23!$A$6:$AV$45,41,0)</f>
        <v>0</v>
      </c>
      <c r="J11" s="7">
        <f>TONTSEPT23!F11+TONTSEPT23!G11</f>
        <v>0</v>
      </c>
      <c r="K11" s="7">
        <f>VLOOKUP($A11,[6]HISTOOCT23!$A$6:$AV$45,17,0)</f>
        <v>0</v>
      </c>
      <c r="L11" s="7" t="str">
        <f>IF(K11&lt;&gt;0,VLOOKUP($A11,[6]HISTOOCT23!$A$6:$BB$45,8,0),"ECHEC")</f>
        <v>ECHEC</v>
      </c>
      <c r="M11" s="7">
        <f>IF(P11=0,0,VLOOKUP($A11,[6]HISTOOCT23!$A$6:$AV$45,32,0))</f>
        <v>0</v>
      </c>
      <c r="N11" s="7">
        <f>VLOOKUP($A11,[6]HISTOOCT23!$A$6:$AV$45,33,0)</f>
        <v>0</v>
      </c>
      <c r="O11" s="7">
        <f t="shared" si="0"/>
        <v>0</v>
      </c>
      <c r="P11" s="7">
        <f>VLOOKUP($A11,[6]HISTOOCT23!$A$6:$AV$45,30,0)</f>
        <v>0</v>
      </c>
    </row>
    <row r="12" spans="1:16" x14ac:dyDescent="0.25">
      <c r="A12" s="1" t="s">
        <v>8</v>
      </c>
      <c r="B12" s="7">
        <f>IF(D12=0,0,VLOOKUP($A12,[6]HISTOOCT23!$A$6:$BB$45,12,0))</f>
        <v>1</v>
      </c>
      <c r="C12" s="1" t="str">
        <f>VLOOKUP(A12,[7]LISTADHERENT!A$5:H$60,3,0)</f>
        <v>KOUATCHO MESSACK</v>
      </c>
      <c r="D12" s="7">
        <f>IF(E12="ECHEC",0,VLOOKUP($A12,[6]HISTOOCT23!$A$7:$AR$45,13,0))</f>
        <v>75000</v>
      </c>
      <c r="E12" s="7" t="str">
        <f>VLOOKUP($A12,[6]HISTOOCT23!$A$7:$AV$45,8,0)</f>
        <v>BANQUE</v>
      </c>
      <c r="F12" s="7">
        <f>VLOOKUP($A12,[6]HISTOOCT23!$A$6:$AV$45,36,0)</f>
        <v>150000</v>
      </c>
      <c r="G12" s="7">
        <f>VLOOKUP($A12,[6]HISTOOCT23!$A$6:$AV$45,39,0)</f>
        <v>2000</v>
      </c>
      <c r="H12" s="7" t="str">
        <f>IF(G12=0,0,VLOOKUP($A12,[6]HISTOOCT23!$A$6:$AV$45,42,0))</f>
        <v>BANQUE</v>
      </c>
      <c r="I12" s="7">
        <f>VLOOKUP($A12,[6]HISTOOCT23!$A$6:$AV$45,41,0)</f>
        <v>0</v>
      </c>
      <c r="J12" s="7">
        <f>TONTSEPT23!F12+TONTSEPT23!G12</f>
        <v>0</v>
      </c>
      <c r="K12" s="7">
        <f>VLOOKUP($A12,[6]HISTOOCT23!$A$6:$AV$45,17,0)</f>
        <v>0</v>
      </c>
      <c r="L12" s="7" t="str">
        <f>IF(K12&lt;&gt;0,VLOOKUP($A12,[6]HISTOOCT23!$A$6:$BB$45,8,0),"ECHEC")</f>
        <v>ECHEC</v>
      </c>
      <c r="M12" s="7">
        <f>IF(P12=0,0,VLOOKUP($A12,[6]HISTOOCT23!$A$6:$AV$45,32,0))</f>
        <v>0</v>
      </c>
      <c r="N12" s="7">
        <f>VLOOKUP($A12,[6]HISTOOCT23!$A$6:$AV$45,33,0)</f>
        <v>0</v>
      </c>
      <c r="O12" s="7">
        <f t="shared" si="0"/>
        <v>0</v>
      </c>
      <c r="P12" s="7">
        <f>VLOOKUP($A12,[6]HISTOOCT23!$A$6:$AV$45,30,0)</f>
        <v>0</v>
      </c>
    </row>
    <row r="13" spans="1:16" x14ac:dyDescent="0.25">
      <c r="A13" s="1" t="s">
        <v>22</v>
      </c>
      <c r="B13" s="7">
        <f>IF(D13=0,0,VLOOKUP($A13,[6]HISTOOCT23!$A$6:$BB$45,12,0))</f>
        <v>1</v>
      </c>
      <c r="C13" s="1" t="str">
        <f>VLOOKUP(A13,[7]LISTADHERENT!A$5:H$60,3,0)</f>
        <v>MBOGNING TUGMA GUY</v>
      </c>
      <c r="D13" s="7">
        <f>IF(E13="ECHEC",0,VLOOKUP($A13,[6]HISTOOCT23!$A$7:$AR$45,13,0))</f>
        <v>75000</v>
      </c>
      <c r="E13" s="7" t="str">
        <f>VLOOKUP($A13,[6]HISTOOCT23!$A$7:$AV$45,8,0)</f>
        <v>BANQUE</v>
      </c>
      <c r="F13" s="7">
        <f>VLOOKUP($A13,[6]HISTOOCT23!$A$6:$AV$45,36,0)</f>
        <v>150000</v>
      </c>
      <c r="G13" s="7">
        <f>VLOOKUP($A13,[6]HISTOOCT23!$A$6:$AV$45,39,0)</f>
        <v>2000</v>
      </c>
      <c r="H13" s="7" t="str">
        <f>IF(G13=0,0,VLOOKUP($A13,[6]HISTOOCT23!$A$6:$AV$45,42,0))</f>
        <v>BANQUE</v>
      </c>
      <c r="I13" s="7">
        <f>VLOOKUP($A13,[6]HISTOOCT23!$A$6:$AV$45,41,0)</f>
        <v>0</v>
      </c>
      <c r="J13" s="7">
        <f>TONTSEPT23!F13+TONTSEPT23!G13</f>
        <v>0</v>
      </c>
      <c r="K13" s="7">
        <f>VLOOKUP($A13,[6]HISTOOCT23!$A$6:$AV$45,17,0)</f>
        <v>0</v>
      </c>
      <c r="L13" s="7" t="str">
        <f>IF(K13&lt;&gt;0,VLOOKUP($A13,[6]HISTOOCT23!$A$6:$BB$45,8,0),"ECHEC")</f>
        <v>ECHEC</v>
      </c>
      <c r="M13" s="7">
        <f>IF(P13=0,0,VLOOKUP($A13,[6]HISTOOCT23!$A$6:$AV$45,32,0))</f>
        <v>0</v>
      </c>
      <c r="N13" s="7">
        <f>VLOOKUP($A13,[6]HISTOOCT23!$A$6:$AV$45,33,0)</f>
        <v>0</v>
      </c>
      <c r="O13" s="7">
        <f t="shared" si="0"/>
        <v>0</v>
      </c>
      <c r="P13" s="7">
        <f>VLOOKUP($A13,[6]HISTOOCT23!$A$6:$AV$45,30,0)</f>
        <v>0</v>
      </c>
    </row>
    <row r="14" spans="1:16" x14ac:dyDescent="0.25">
      <c r="A14" s="1" t="s">
        <v>9</v>
      </c>
      <c r="B14" s="7">
        <f>IF(D14=0,0,VLOOKUP($A14,[6]HISTOOCT23!$A$6:$BB$45,12,0))</f>
        <v>1</v>
      </c>
      <c r="C14" s="1" t="str">
        <f>VLOOKUP(A14,[7]LISTADHERENT!A$5:H$60,3,0)</f>
        <v>NANKAM APPOLINAIRE</v>
      </c>
      <c r="D14" s="7">
        <f>IF(E14="ECHEC",0,VLOOKUP($A14,[6]HISTOOCT23!$A$7:$AR$45,13,0))</f>
        <v>75000</v>
      </c>
      <c r="E14" s="7" t="str">
        <f>VLOOKUP($A14,[6]HISTOOCT23!$A$7:$AV$45,8,0)</f>
        <v>BANQUE</v>
      </c>
      <c r="F14" s="7">
        <f>VLOOKUP($A14,[6]HISTOOCT23!$A$6:$AV$45,36,0)</f>
        <v>0</v>
      </c>
      <c r="G14" s="7">
        <f>VLOOKUP($A14,[6]HISTOOCT23!$A$6:$AV$45,39,0)</f>
        <v>0</v>
      </c>
      <c r="H14" s="7">
        <f>IF(G14=0,0,VLOOKUP($A14,[6]HISTOOCT23!$A$6:$AV$45,42,0))</f>
        <v>0</v>
      </c>
      <c r="I14" s="7">
        <f>VLOOKUP($A14,[6]HISTOOCT23!$A$6:$AV$45,41,0)</f>
        <v>0</v>
      </c>
      <c r="J14" s="7">
        <f>TONTSEPT23!F14+TONTSEPT23!G14</f>
        <v>0</v>
      </c>
      <c r="K14" s="7">
        <f>VLOOKUP($A14,[6]HISTOOCT23!$A$6:$AV$45,17,0)</f>
        <v>0</v>
      </c>
      <c r="L14" s="7" t="str">
        <f>IF(K14&lt;&gt;0,VLOOKUP($A14,[6]HISTOOCT23!$A$6:$BB$45,8,0),"ECHEC")</f>
        <v>ECHEC</v>
      </c>
      <c r="M14" s="7">
        <f>IF(P14=0,0,VLOOKUP($A14,[6]HISTOOCT23!$A$6:$AV$45,32,0))</f>
        <v>0</v>
      </c>
      <c r="N14" s="7">
        <f>VLOOKUP($A14,[6]HISTOOCT23!$A$6:$AV$45,33,0)</f>
        <v>0</v>
      </c>
      <c r="O14" s="7">
        <f t="shared" si="0"/>
        <v>0</v>
      </c>
      <c r="P14" s="7">
        <f>VLOOKUP($A14,[6]HISTOOCT23!$A$6:$AV$45,30,0)</f>
        <v>0</v>
      </c>
    </row>
    <row r="15" spans="1:16" x14ac:dyDescent="0.25">
      <c r="A15" s="1" t="s">
        <v>37</v>
      </c>
      <c r="B15" s="7">
        <f>IF(D15=0,0,VLOOKUP($A15,[6]HISTOOCT23!$A$6:$BB$45,12,0))</f>
        <v>1</v>
      </c>
      <c r="C15" s="1" t="str">
        <f>VLOOKUP(A15,[7]LISTADHERENT!A$5:H$60,3,0)</f>
        <v>NGONDIEP CLAUDE</v>
      </c>
      <c r="D15" s="7">
        <f>IF(E15="ECHEC",0,VLOOKUP($A15,[6]HISTOOCT23!$A$7:$AR$45,13,0))</f>
        <v>75000</v>
      </c>
      <c r="E15" s="7" t="str">
        <f>VLOOKUP($A15,[6]HISTOOCT23!$A$7:$AV$45,8,0)</f>
        <v>BANQUE</v>
      </c>
      <c r="F15" s="7">
        <f>VLOOKUP($A15,[6]HISTOOCT23!$A$6:$AV$45,36,0)</f>
        <v>0</v>
      </c>
      <c r="G15" s="7">
        <f>VLOOKUP($A15,[6]HISTOOCT23!$A$6:$AV$45,39,0)</f>
        <v>0</v>
      </c>
      <c r="H15" s="7">
        <f>IF(G15=0,0,VLOOKUP($A15,[6]HISTOOCT23!$A$6:$AV$45,42,0))</f>
        <v>0</v>
      </c>
      <c r="I15" s="7">
        <f>VLOOKUP($A15,[6]HISTOOCT23!$A$6:$AV$45,41,0)</f>
        <v>0</v>
      </c>
      <c r="J15" s="7">
        <f>TONTSEPT23!F15+TONTSEPT23!G15</f>
        <v>0</v>
      </c>
      <c r="K15" s="7">
        <f>VLOOKUP($A15,[6]HISTOOCT23!$A$6:$AV$45,17,0)</f>
        <v>0</v>
      </c>
      <c r="L15" s="7" t="str">
        <f>IF(K15&lt;&gt;0,VLOOKUP($A15,[6]HISTOOCT23!$A$6:$BB$45,8,0),"ECHEC")</f>
        <v>ECHEC</v>
      </c>
      <c r="M15" s="7">
        <f>IF(P15=0,0,VLOOKUP($A15,[6]HISTOOCT23!$A$6:$AV$45,32,0))</f>
        <v>0</v>
      </c>
      <c r="N15" s="7">
        <f>VLOOKUP($A15,[6]HISTOOCT23!$A$6:$AV$45,33,0)</f>
        <v>0</v>
      </c>
      <c r="O15" s="7">
        <f t="shared" si="0"/>
        <v>0</v>
      </c>
      <c r="P15" s="7">
        <f>VLOOKUP($A15,[6]HISTOOCT23!$A$6:$AV$45,30,0)</f>
        <v>0</v>
      </c>
    </row>
    <row r="16" spans="1:16" x14ac:dyDescent="0.25">
      <c r="A16" s="1" t="s">
        <v>21</v>
      </c>
      <c r="B16" s="7">
        <f>IF(D16=0,0,VLOOKUP($A16,[6]HISTOOCT23!$A$6:$BB$45,12,0))</f>
        <v>2</v>
      </c>
      <c r="C16" s="1" t="str">
        <f>VLOOKUP(A16,[7]LISTADHERENT!A$5:H$60,3,0)</f>
        <v>NGUIEMEGNI MATHIEU BLAISE</v>
      </c>
      <c r="D16" s="7">
        <f>IF(E16="ECHEC",0,VLOOKUP($A16,[6]HISTOOCT23!$A$7:$AR$45,13,0))</f>
        <v>150000</v>
      </c>
      <c r="E16" s="7" t="str">
        <f>VLOOKUP($A16,[6]HISTOOCT23!$A$7:$AV$45,8,0)</f>
        <v>BANQUE</v>
      </c>
      <c r="F16" s="7">
        <f>VLOOKUP($A16,[6]HISTOOCT23!$A$6:$AV$45,36,0)</f>
        <v>0</v>
      </c>
      <c r="G16" s="7">
        <f>VLOOKUP($A16,[6]HISTOOCT23!$A$6:$AV$45,39,0)</f>
        <v>0</v>
      </c>
      <c r="H16" s="7">
        <f>IF(G16=0,0,VLOOKUP($A16,[6]HISTOOCT23!$A$6:$AV$45,42,0))</f>
        <v>0</v>
      </c>
      <c r="I16" s="7">
        <f>VLOOKUP($A16,[6]HISTOOCT23!$A$6:$AV$45,41,0)</f>
        <v>0</v>
      </c>
      <c r="J16" s="7">
        <f>TONTSEPT23!F16+TONTSEPT23!G16</f>
        <v>0</v>
      </c>
      <c r="K16" s="7">
        <f>VLOOKUP($A16,[6]HISTOOCT23!$A$6:$AV$45,17,0)</f>
        <v>0</v>
      </c>
      <c r="L16" s="7" t="str">
        <f>IF(K16&lt;&gt;0,VLOOKUP($A16,[6]HISTOOCT23!$A$6:$BB$45,8,0),"ECHEC")</f>
        <v>ECHEC</v>
      </c>
      <c r="M16" s="7">
        <f>IF(P16=0,0,VLOOKUP($A16,[6]HISTOOCT23!$A$6:$AV$45,32,0))</f>
        <v>0</v>
      </c>
      <c r="N16" s="7">
        <f>VLOOKUP($A16,[6]HISTOOCT23!$A$6:$AV$45,33,0)</f>
        <v>0</v>
      </c>
      <c r="O16" s="7">
        <f t="shared" si="0"/>
        <v>0</v>
      </c>
      <c r="P16" s="7">
        <f>VLOOKUP($A16,[6]HISTOOCT23!$A$6:$AV$45,30,0)</f>
        <v>0</v>
      </c>
    </row>
    <row r="17" spans="1:16" x14ac:dyDescent="0.25">
      <c r="A17" s="1" t="s">
        <v>28</v>
      </c>
      <c r="B17" s="7">
        <f>IF(D17=0,0,VLOOKUP($A17,[6]HISTOOCT23!$A$6:$BB$45,12,0))</f>
        <v>1</v>
      </c>
      <c r="C17" s="1" t="str">
        <f>VLOOKUP(A17,[7]LISTADHERENT!A$5:H$60,3,0)</f>
        <v>PATEGO NJOSSU GUSTAVE</v>
      </c>
      <c r="D17" s="7">
        <f>IF(E17="ECHEC",0,VLOOKUP($A17,[6]HISTOOCT23!$A$7:$AR$45,13,0))</f>
        <v>75000</v>
      </c>
      <c r="E17" s="7" t="str">
        <f>VLOOKUP($A17,[6]HISTOOCT23!$A$7:$AV$45,8,0)</f>
        <v>BANQUE</v>
      </c>
      <c r="F17" s="7">
        <f>VLOOKUP($A17,[6]HISTOOCT23!$A$6:$AV$45,36,0)</f>
        <v>0</v>
      </c>
      <c r="G17" s="7">
        <f>VLOOKUP($A17,[6]HISTOOCT23!$A$6:$AV$45,39,0)</f>
        <v>0</v>
      </c>
      <c r="H17" s="7">
        <f>IF(G17=0,0,VLOOKUP($A17,[6]HISTOOCT23!$A$6:$AV$45,42,0))</f>
        <v>0</v>
      </c>
      <c r="I17" s="7">
        <f>VLOOKUP($A17,[6]HISTOOCT23!$A$6:$AV$45,41,0)</f>
        <v>0</v>
      </c>
      <c r="J17" s="7">
        <f>TONTSEPT23!F17+TONTSEPT23!G17</f>
        <v>0</v>
      </c>
      <c r="K17" s="7">
        <f>VLOOKUP($A17,[6]HISTOOCT23!$A$6:$AV$45,17,0)</f>
        <v>0</v>
      </c>
      <c r="L17" s="7" t="str">
        <f>IF(K17&lt;&gt;0,VLOOKUP($A17,[6]HISTOOCT23!$A$6:$BB$45,8,0),"ECHEC")</f>
        <v>ECHEC</v>
      </c>
      <c r="M17" s="7">
        <f>IF(P17=0,0,VLOOKUP($A17,[6]HISTOOCT23!$A$6:$AV$45,32,0))</f>
        <v>0</v>
      </c>
      <c r="N17" s="7">
        <f>VLOOKUP($A17,[6]HISTOOCT23!$A$6:$AV$45,33,0)</f>
        <v>0</v>
      </c>
      <c r="O17" s="7">
        <f t="shared" si="0"/>
        <v>0</v>
      </c>
      <c r="P17" s="7">
        <f>VLOOKUP($A17,[6]HISTOOCT23!$A$6:$AV$45,30,0)</f>
        <v>0</v>
      </c>
    </row>
    <row r="18" spans="1:16" x14ac:dyDescent="0.25">
      <c r="A18" s="9" t="s">
        <v>36</v>
      </c>
      <c r="B18" s="7">
        <f>IF(D18=0,0,VLOOKUP($A18,[6]HISTOOCT23!$A$6:$BB$45,12,0))</f>
        <v>1</v>
      </c>
      <c r="C18" s="1" t="str">
        <f>VLOOKUP(A18,[7]LISTADHERENT!A$5:H$60,3,0)</f>
        <v>SIME BRICE</v>
      </c>
      <c r="D18" s="7">
        <f>IF(E18="ECHEC",0,VLOOKUP($A18,[6]HISTOOCT23!$A$7:$AR$45,13,0))</f>
        <v>75000</v>
      </c>
      <c r="E18" s="7" t="str">
        <f>VLOOKUP($A18,[6]HISTOOCT23!$A$7:$AV$45,8,0)</f>
        <v>BANQUE</v>
      </c>
      <c r="F18" s="7">
        <f>VLOOKUP($A18,[6]HISTOOCT23!$A$6:$AV$45,36,0)</f>
        <v>0</v>
      </c>
      <c r="G18" s="7">
        <f>VLOOKUP($A18,[6]HISTOOCT23!$A$6:$AV$45,39,0)</f>
        <v>0</v>
      </c>
      <c r="H18" s="7">
        <f>IF(G18=0,0,VLOOKUP($A18,[6]HISTOOCT23!$A$6:$AV$45,42,0))</f>
        <v>0</v>
      </c>
      <c r="I18" s="7">
        <f>VLOOKUP($A18,[6]HISTOOCT23!$A$6:$AV$45,41,0)</f>
        <v>0</v>
      </c>
      <c r="J18" s="7">
        <f>TONTSEPT23!F18+TONTSEPT23!G18</f>
        <v>0</v>
      </c>
      <c r="K18" s="7">
        <f>VLOOKUP($A18,[6]HISTOOCT23!$A$6:$AV$45,17,0)</f>
        <v>0</v>
      </c>
      <c r="L18" s="7" t="str">
        <f>IF(K18&lt;&gt;0,VLOOKUP($A18,[6]HISTOOCT23!$A$6:$BB$45,8,0),"ECHEC")</f>
        <v>ECHEC</v>
      </c>
      <c r="M18" s="7">
        <f>IF(P18=0,0,VLOOKUP($A18,[6]HISTOOCT23!$A$6:$AV$45,32,0))</f>
        <v>0</v>
      </c>
      <c r="N18" s="7">
        <f>VLOOKUP($A18,[6]HISTOOCT23!$A$6:$AV$45,33,0)</f>
        <v>0</v>
      </c>
      <c r="O18" s="7">
        <f t="shared" si="0"/>
        <v>0</v>
      </c>
      <c r="P18" s="7">
        <f>VLOOKUP($A18,[6]HISTOOCT23!$A$6:$AV$45,30,0)</f>
        <v>0</v>
      </c>
    </row>
    <row r="19" spans="1:16" x14ac:dyDescent="0.25">
      <c r="A19" s="9" t="s">
        <v>50</v>
      </c>
      <c r="B19" s="7">
        <f>IF(D19=0,0,VLOOKUP($A19,[6]HISTOOCT23!$A$6:$BB$45,12,0))</f>
        <v>1</v>
      </c>
      <c r="C19" s="1" t="str">
        <f>VLOOKUP(A19,[7]LISTADHERENT!A$5:H$60,3,0)</f>
        <v>TCHOUAMOU MATHIEU</v>
      </c>
      <c r="D19" s="7">
        <f>IF(E19="ECHEC",0,VLOOKUP($A19,[6]HISTOOCT23!$A$7:$AR$45,13,0))</f>
        <v>75000</v>
      </c>
      <c r="E19" s="7" t="str">
        <f>VLOOKUP($A19,[6]HISTOOCT23!$A$7:$AV$45,8,0)</f>
        <v>BANQUE</v>
      </c>
      <c r="F19" s="7">
        <f>VLOOKUP($A19,[6]HISTOOCT23!$A$6:$AV$45,36,0)</f>
        <v>0</v>
      </c>
      <c r="G19" s="7">
        <f>VLOOKUP($A19,[6]HISTOOCT23!$A$6:$AV$45,39,0)</f>
        <v>0</v>
      </c>
      <c r="H19" s="7">
        <f>IF(G19=0,0,VLOOKUP($A19,[6]HISTOOCT23!$A$6:$AV$45,42,0))</f>
        <v>0</v>
      </c>
      <c r="I19" s="7">
        <f>VLOOKUP($A19,[6]HISTOOCT23!$A$6:$AV$45,41,0)</f>
        <v>0</v>
      </c>
      <c r="J19" s="7">
        <f>TONTSEPT23!F19+TONTSEPT23!G19</f>
        <v>0</v>
      </c>
      <c r="K19" s="7">
        <f>VLOOKUP($A19,[6]HISTOOCT23!$A$6:$AV$45,17,0)</f>
        <v>0</v>
      </c>
      <c r="L19" s="7" t="str">
        <f>IF(K19&lt;&gt;0,VLOOKUP($A19,[6]HISTOOCT23!$A$6:$BB$45,8,0),"ECHEC")</f>
        <v>ECHEC</v>
      </c>
      <c r="M19" s="7">
        <f>IF(P19=0,0,VLOOKUP($A19,[6]HISTOOCT23!$A$6:$AV$45,32,0))</f>
        <v>0</v>
      </c>
      <c r="N19" s="7">
        <f>VLOOKUP($A19,[6]HISTOOCT23!$A$6:$AV$45,33,0)</f>
        <v>0</v>
      </c>
      <c r="O19" s="7">
        <f t="shared" si="0"/>
        <v>0</v>
      </c>
      <c r="P19" s="7">
        <f>VLOOKUP($A19,[6]HISTOOCT23!$A$6:$AV$45,30,0)</f>
        <v>0</v>
      </c>
    </row>
    <row r="20" spans="1:16" x14ac:dyDescent="0.25">
      <c r="A20" s="1" t="s">
        <v>20</v>
      </c>
      <c r="B20" s="7">
        <f>IF(D20=0,0,VLOOKUP($A20,[6]HISTOOCT23!$A$6:$BB$45,12,0))</f>
        <v>2</v>
      </c>
      <c r="C20" s="1" t="str">
        <f>VLOOKUP(A20,[7]LISTADHERENT!A$5:H$60,3,0)</f>
        <v>YOUMBI EMMANUEL</v>
      </c>
      <c r="D20" s="7">
        <f>IF(E20="ECHEC",0,VLOOKUP($A20,[6]HISTOOCT23!$A$7:$AR$45,13,0))</f>
        <v>150000</v>
      </c>
      <c r="E20" s="7" t="str">
        <f>VLOOKUP($A20,[6]HISTOOCT23!$A$7:$AV$45,8,0)</f>
        <v>BANQUE</v>
      </c>
      <c r="F20" s="7">
        <f>VLOOKUP($A20,[6]HISTOOCT23!$A$6:$AV$45,36,0)</f>
        <v>0</v>
      </c>
      <c r="G20" s="7">
        <f>VLOOKUP($A20,[6]HISTOOCT23!$A$6:$AV$45,39,0)</f>
        <v>0</v>
      </c>
      <c r="H20" s="7">
        <f>IF(G20=0,0,VLOOKUP($A20,[6]HISTOOCT23!$A$6:$AV$45,42,0))</f>
        <v>0</v>
      </c>
      <c r="I20" s="7">
        <f>VLOOKUP($A20,[6]HISTOOCT23!$A$6:$AV$45,41,0)</f>
        <v>0</v>
      </c>
      <c r="J20" s="7">
        <f>TONTSEPT23!F20+TONTSEPT23!G20</f>
        <v>0</v>
      </c>
      <c r="K20" s="7">
        <f>VLOOKUP($A20,[6]HISTOOCT23!$A$6:$AV$45,17,0)</f>
        <v>0</v>
      </c>
      <c r="L20" s="7" t="str">
        <f>IF(K20&lt;&gt;0,VLOOKUP($A20,[6]HISTOOCT23!$A$6:$BB$45,8,0),"ECHEC")</f>
        <v>ECHEC</v>
      </c>
      <c r="M20" s="7">
        <f>IF(P20=0,0,VLOOKUP($A20,[6]HISTOOCT23!$A$6:$AV$45,32,0))</f>
        <v>0</v>
      </c>
      <c r="N20" s="7">
        <f>VLOOKUP($A20,[6]HISTOOCT23!$A$6:$AV$45,33,0)</f>
        <v>0</v>
      </c>
      <c r="O20" s="7">
        <f t="shared" si="0"/>
        <v>0</v>
      </c>
      <c r="P20" s="7">
        <f>VLOOKUP($A20,[6]HISTOOCT23!$A$6:$AV$45,30,0)</f>
        <v>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1">SUM(D6:D22)</f>
        <v>1275000</v>
      </c>
      <c r="E23" s="8">
        <f t="shared" si="1"/>
        <v>0</v>
      </c>
      <c r="F23" s="8">
        <f t="shared" si="1"/>
        <v>375000</v>
      </c>
      <c r="G23" s="8">
        <f t="shared" si="1"/>
        <v>5000</v>
      </c>
      <c r="H23" s="8">
        <f t="shared" si="1"/>
        <v>0</v>
      </c>
      <c r="I23" s="8">
        <f t="shared" si="1"/>
        <v>0</v>
      </c>
      <c r="J23" s="8">
        <f t="shared" si="1"/>
        <v>59000</v>
      </c>
      <c r="K23" s="8">
        <f t="shared" si="1"/>
        <v>59000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0</v>
      </c>
      <c r="P23" s="8">
        <f t="shared" si="1"/>
        <v>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D29+E29+P23+TONTSEPT23!M30</f>
        <v>1338000</v>
      </c>
      <c r="L25" s="5"/>
      <c r="M25"/>
      <c r="N25" s="5"/>
    </row>
    <row r="26" spans="1:16" s="2" customFormat="1" ht="18" x14ac:dyDescent="0.25">
      <c r="D26" s="8">
        <f>SUMIFS(D6:D22,E6:E22,"ESPECES")</f>
        <v>75000</v>
      </c>
      <c r="E26" s="8">
        <f>SUMIFS(K6:K20,L6:L20,"ESPECES")</f>
        <v>0</v>
      </c>
      <c r="F26" s="8">
        <f>SUMIFS(F6:F22,H6:H22,"ESPECES")</f>
        <v>0</v>
      </c>
      <c r="G26" s="8">
        <f>SUMIFS(O7:O22,M7:M22,"ESPECES")</f>
        <v>0</v>
      </c>
      <c r="H26" s="8">
        <f>D26+E26-F26-G26</f>
        <v>75000</v>
      </c>
      <c r="I26" s="8"/>
      <c r="J26" s="8" t="s">
        <v>33</v>
      </c>
      <c r="K26" s="8">
        <f>C3*COUNTIF(O7:O22,"&gt;0")</f>
        <v>0</v>
      </c>
      <c r="L26" s="8">
        <f>D3</f>
        <v>1</v>
      </c>
      <c r="M26" s="8">
        <f>COUNTIF(O7:O17,"&gt;0")</f>
        <v>0</v>
      </c>
      <c r="N26" s="8"/>
    </row>
    <row r="27" spans="1:16" s="2" customFormat="1" ht="18" x14ac:dyDescent="0.25">
      <c r="D27" s="8">
        <f>SUMIFS(D6:D22,E6:E22,"BANQUE")</f>
        <v>1200000</v>
      </c>
      <c r="E27" s="8">
        <f>SUMIFS(K6:K20,L6:L20,"BANQUE")</f>
        <v>59000</v>
      </c>
      <c r="F27" s="8">
        <f>SUMIFS(F6:F22,H6:H22,"BANQUE")</f>
        <v>375000</v>
      </c>
      <c r="G27" s="8">
        <f>SUMIFS(O7:O22,M7:M22,"BANQUE")</f>
        <v>0</v>
      </c>
      <c r="H27" s="8">
        <f>D27+E27-F27-G27</f>
        <v>884000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1338000</v>
      </c>
      <c r="L28" s="8"/>
      <c r="M28" s="8"/>
      <c r="N28" s="8"/>
    </row>
    <row r="29" spans="1:16" s="2" customFormat="1" ht="18" x14ac:dyDescent="0.25">
      <c r="D29" s="8">
        <f>D26+D27</f>
        <v>1275000</v>
      </c>
      <c r="E29" s="8">
        <f>E26+E27</f>
        <v>59000</v>
      </c>
      <c r="F29" s="8">
        <f>F26+F27</f>
        <v>375000</v>
      </c>
      <c r="G29" s="8">
        <f t="shared" ref="G29:H29" si="2">G26+G27</f>
        <v>0</v>
      </c>
      <c r="H29" s="8">
        <f t="shared" si="2"/>
        <v>959000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963000</v>
      </c>
      <c r="L30"/>
      <c r="M30" s="8">
        <f>K30</f>
        <v>963000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TONTSEPT23!M32+TONTOCT23!K32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0</v>
      </c>
      <c r="M33" s="8">
        <f>TONTSEPT23!M33+TONTOCT23!K33</f>
        <v>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xSplit="3" ySplit="5" topLeftCell="G27" activePane="bottomRight" state="frozen"/>
      <selection activeCell="E16" sqref="E16"/>
      <selection pane="topRight" activeCell="E16" sqref="E16"/>
      <selection pane="bottomLeft" activeCell="E16" sqref="E16"/>
      <selection pane="bottomRight" activeCell="F13" sqref="F13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2</v>
      </c>
      <c r="E3" s="1"/>
      <c r="L3" s="1"/>
      <c r="M3" s="1"/>
    </row>
    <row r="4" spans="1:16" s="12" customFormat="1" ht="18" x14ac:dyDescent="0.25">
      <c r="B4" s="13"/>
      <c r="C4" s="19">
        <v>45243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IF(D6=0,0,VLOOKUP($A6,[6]HISTONOV23!$A$6:$BB$45,12,0))</f>
        <v>1</v>
      </c>
      <c r="C6" s="1" t="str">
        <f>VLOOKUP(A6,[7]LISTADHERENT!A$5:H$60,3,0)</f>
        <v>ASELBY</v>
      </c>
      <c r="D6" s="7">
        <f>IF(E6="ECHEC",0,VLOOKUP($A6,[6]HISTONOV23!$A$6:$AR$45,13,0))</f>
        <v>75000</v>
      </c>
      <c r="E6" s="7" t="str">
        <f>VLOOKUP($A6,[6]HISTONOV23!$A$6:$AV$45,8,0)</f>
        <v>BANQUE</v>
      </c>
      <c r="F6" s="7">
        <f>VLOOKUP($A6,[6]HISTONOV23!$A$6:$AV$45,36,0)</f>
        <v>0</v>
      </c>
      <c r="G6" s="7">
        <f>VLOOKUP($A6,[6]HISTONOV23!$A$6:$AV$45,39,0)</f>
        <v>0</v>
      </c>
      <c r="H6" s="7">
        <f>IF(G6=0,0,VLOOKUP($A6,[6]HISTONOV23!$A$6:$AV$45,42,0))</f>
        <v>0</v>
      </c>
      <c r="I6" s="7">
        <f>VLOOKUP($A6,[6]HISTONOV23!$A$6:$AV$45,41,0)</f>
        <v>0</v>
      </c>
      <c r="J6" s="7">
        <f>TONTOCT23!F6+TONTOCT23!G6</f>
        <v>0</v>
      </c>
      <c r="K6" s="7">
        <f>VLOOKUP($A6,[6]HISTONOV23!$A$6:$AV$45,17,0)</f>
        <v>0</v>
      </c>
      <c r="L6" s="7" t="str">
        <f>IF(K6&lt;&gt;0,VLOOKUP($A6,[6]HISTONOV23!$A$6:$BB$45,8,0),"ECHEC")</f>
        <v>ECHEC</v>
      </c>
      <c r="M6" s="7">
        <f>IF(P6=0,0,VLOOKUP($A6,[6]HISTONOV23!$A$6:$AV$45,32,0))</f>
        <v>0</v>
      </c>
      <c r="N6" s="7">
        <f>VLOOKUP($A6,[6]HISTONOV23!$A$6:$AV$45,33,0)</f>
        <v>0</v>
      </c>
      <c r="O6" s="7">
        <f t="shared" ref="O6:O20" si="0">IF(P6=0,0,($C$3-P6))</f>
        <v>0</v>
      </c>
      <c r="P6" s="7">
        <f>VLOOKUP($A6,[6]HISTONOV23!$A$6:$AV$45,30,0)</f>
        <v>0</v>
      </c>
    </row>
    <row r="7" spans="1:16" x14ac:dyDescent="0.25">
      <c r="A7" s="1" t="s">
        <v>25</v>
      </c>
      <c r="B7" s="7">
        <f>IF(D7=0,0,VLOOKUP($A7,[6]HISTONOV23!$A$6:$BB$45,12,0))</f>
        <v>1</v>
      </c>
      <c r="C7" s="1" t="str">
        <f>VLOOKUP(A7,[7]LISTADHERENT!A$5:H$60,3,0)</f>
        <v>BOUTCHOUANG WILLIAM</v>
      </c>
      <c r="D7" s="7">
        <f>IF(E7="ECHEC",0,VLOOKUP($A7,[6]HISTONOV23!$A$6:$AR$45,13,0))</f>
        <v>75000</v>
      </c>
      <c r="E7" s="7" t="str">
        <f>VLOOKUP($A7,[6]HISTONOV23!$A$6:$AV$45,8,0)</f>
        <v>BANQUE</v>
      </c>
      <c r="F7" s="7">
        <f>VLOOKUP($A7,[6]HISTONOV23!$A$6:$AV$45,36,0)</f>
        <v>100000</v>
      </c>
      <c r="G7" s="7">
        <f>VLOOKUP($A7,[6]HISTONOV23!$A$6:$AV$45,39,0)</f>
        <v>1000</v>
      </c>
      <c r="H7" s="7" t="str">
        <f>IF(G7=0,0,VLOOKUP($A7,[6]HISTONOV23!$A$6:$AV$45,42,0))</f>
        <v>BANQUE</v>
      </c>
      <c r="I7" s="7">
        <f>VLOOKUP($A7,[6]HISTONOV23!$A$6:$AV$45,41,0)</f>
        <v>0</v>
      </c>
      <c r="J7" s="7">
        <f>TONTOCT23!F7+TONTOCT23!G7</f>
        <v>0</v>
      </c>
      <c r="K7" s="7">
        <f>VLOOKUP($A7,[6]HISTONOV23!$A$6:$AV$45,17,0)</f>
        <v>0</v>
      </c>
      <c r="L7" s="7" t="str">
        <f>IF(K7&lt;&gt;0,VLOOKUP($A7,[6]HISTONOV23!$A$6:$BB$45,8,0),"ECHEC")</f>
        <v>ECHEC</v>
      </c>
      <c r="M7" s="7">
        <f>IF(P7=0,0,VLOOKUP($A7,[6]HISTONOV23!$A$6:$AV$45,32,0))</f>
        <v>0</v>
      </c>
      <c r="N7" s="7">
        <f>VLOOKUP($A7,[6]HISTONOV23!$A$6:$AV$45,33,0)</f>
        <v>0</v>
      </c>
      <c r="O7" s="7">
        <f t="shared" si="0"/>
        <v>0</v>
      </c>
      <c r="P7" s="7">
        <f>VLOOKUP($A7,[6]HISTONOV23!$A$6:$AV$45,30,0)</f>
        <v>0</v>
      </c>
    </row>
    <row r="8" spans="1:16" x14ac:dyDescent="0.25">
      <c r="A8" s="1" t="s">
        <v>26</v>
      </c>
      <c r="B8" s="7">
        <f>IF(D8=0,0,VLOOKUP($A8,[6]HISTONOV23!$A$6:$BB$45,12,0))</f>
        <v>1</v>
      </c>
      <c r="C8" s="1" t="str">
        <f>VLOOKUP(A8,[7]LISTADHERENT!A$5:H$60,3,0)</f>
        <v>DJOUKWE NANGUEN GUY BLAISE</v>
      </c>
      <c r="D8" s="7">
        <f>IF(E8="ECHEC",0,VLOOKUP($A8,[6]HISTONOV23!$A$7:$AR$45,13,0))</f>
        <v>75000</v>
      </c>
      <c r="E8" s="7" t="str">
        <f>VLOOKUP($A8,[6]HISTONOV23!$A$7:$AV$45,8,0)</f>
        <v>BANQUE</v>
      </c>
      <c r="F8" s="7">
        <f>VLOOKUP($A8,[6]HISTONOV23!$A$6:$AV$45,36,0)</f>
        <v>76000</v>
      </c>
      <c r="G8" s="7">
        <f>VLOOKUP($A8,[6]HISTONOV23!$A$6:$AV$45,39,0)</f>
        <v>1000</v>
      </c>
      <c r="H8" s="7" t="str">
        <f>IF(G8=0,0,VLOOKUP($A8,[6]HISTONOV23!$A$6:$AV$45,42,0))</f>
        <v>BANQUE</v>
      </c>
      <c r="I8" s="7">
        <f>VLOOKUP($A8,[6]HISTONOV23!$A$6:$AV$45,41,0)</f>
        <v>0</v>
      </c>
      <c r="J8" s="7">
        <f>TONTOCT23!F8+TONTOCT23!G8</f>
        <v>76000</v>
      </c>
      <c r="K8" s="7">
        <f>VLOOKUP($A8,[6]HISTONOV23!$A$6:$AV$45,17,0)</f>
        <v>76000</v>
      </c>
      <c r="L8" s="7" t="str">
        <f>IF(K8&lt;&gt;0,VLOOKUP($A8,[6]HISTONOV23!$A$6:$BB$45,8,0),"ECHEC")</f>
        <v>BANQUE</v>
      </c>
      <c r="M8" s="7">
        <f>IF(P8=0,0,VLOOKUP($A8,[6]HISTONOV23!$A$6:$AV$45,32,0))</f>
        <v>0</v>
      </c>
      <c r="N8" s="7">
        <f>VLOOKUP($A8,[6]HISTONOV23!$A$6:$AV$45,33,0)</f>
        <v>0</v>
      </c>
      <c r="O8" s="7">
        <f t="shared" si="0"/>
        <v>0</v>
      </c>
      <c r="P8" s="7">
        <f>VLOOKUP($A8,[6]HISTONOV23!$A$6:$AV$45,30,0)</f>
        <v>0</v>
      </c>
    </row>
    <row r="9" spans="1:16" x14ac:dyDescent="0.25">
      <c r="A9" s="1" t="s">
        <v>35</v>
      </c>
      <c r="B9" s="7">
        <f>IF(D9=0,0,VLOOKUP($A9,[6]HISTONOV23!$A$6:$BB$45,12,0))</f>
        <v>1</v>
      </c>
      <c r="C9" s="1" t="str">
        <f>VLOOKUP(A9,[7]LISTADHERENT!A$5:H$60,3,0)</f>
        <v>DJUOMBESSY ANTOINE</v>
      </c>
      <c r="D9" s="7">
        <f>IF(E9="ECHEC",0,VLOOKUP($A9,[6]HISTONOV23!$A$7:$AR$45,13,0))</f>
        <v>75000</v>
      </c>
      <c r="E9" s="7" t="str">
        <f>VLOOKUP($A9,[6]HISTONOV23!$A$7:$AV$45,8,0)</f>
        <v>BANQUE</v>
      </c>
      <c r="F9" s="7">
        <f>VLOOKUP($A9,[6]HISTONOV23!$A$6:$AV$45,36,0)</f>
        <v>50000</v>
      </c>
      <c r="G9" s="7">
        <f>VLOOKUP($A9,[6]HISTONOV23!$A$6:$AV$45,39,0)</f>
        <v>1000</v>
      </c>
      <c r="H9" s="7" t="str">
        <f>IF(G9=0,0,VLOOKUP($A9,[6]HISTONOV23!$A$6:$AV$45,42,0))</f>
        <v>BANQUE</v>
      </c>
      <c r="I9" s="7">
        <f>VLOOKUP($A9,[6]HISTONOV23!$A$6:$AV$45,41,0)</f>
        <v>0</v>
      </c>
      <c r="J9" s="7">
        <f>TONTOCT23!F9+TONTOCT23!G9</f>
        <v>0</v>
      </c>
      <c r="K9" s="7">
        <f>VLOOKUP($A9,[6]HISTONOV23!$A$6:$AV$45,17,0)</f>
        <v>0</v>
      </c>
      <c r="L9" s="7" t="str">
        <f>IF(K9&lt;&gt;0,VLOOKUP($A9,[6]HISTONOV23!$A$6:$BB$45,8,0),"ECHEC")</f>
        <v>ECHEC</v>
      </c>
      <c r="M9" s="7">
        <f>IF(P9=0,0,VLOOKUP($A9,[6]HISTONOV23!$A$6:$AV$45,32,0))</f>
        <v>0</v>
      </c>
      <c r="N9" s="7">
        <f>VLOOKUP($A9,[6]HISTONOV23!$A$6:$AV$45,33,0)</f>
        <v>0</v>
      </c>
      <c r="O9" s="7">
        <f t="shared" si="0"/>
        <v>0</v>
      </c>
      <c r="P9" s="7">
        <f>VLOOKUP($A9,[6]HISTONOV23!$A$6:$AV$45,30,0)</f>
        <v>0</v>
      </c>
    </row>
    <row r="10" spans="1:16" x14ac:dyDescent="0.25">
      <c r="A10" s="1" t="s">
        <v>19</v>
      </c>
      <c r="B10" s="7">
        <f>IF(D10=0,0,VLOOKUP($A10,[6]HISTONOV23!$A$6:$BB$45,12,0))</f>
        <v>1</v>
      </c>
      <c r="C10" s="1" t="str">
        <f>VLOOKUP(A10,[7]LISTADHERENT!A$5:H$60,3,0)</f>
        <v>HOTCHO BENJAMIN</v>
      </c>
      <c r="D10" s="7">
        <f>IF(E10="ECHEC",0,VLOOKUP($A10,[6]HISTONOV23!$A$7:$AR$45,13,0))</f>
        <v>75000</v>
      </c>
      <c r="E10" s="7" t="str">
        <f>VLOOKUP($A10,[6]HISTONOV23!$A$7:$AV$45,8,0)</f>
        <v>BANQUE</v>
      </c>
      <c r="F10" s="7">
        <f>VLOOKUP($A10,[6]HISTONOV23!$A$6:$AV$45,36,0)</f>
        <v>0</v>
      </c>
      <c r="G10" s="7">
        <f>VLOOKUP($A10,[6]HISTONOV23!$A$6:$AV$45,39,0)</f>
        <v>0</v>
      </c>
      <c r="H10" s="7">
        <f>IF(G10=0,0,VLOOKUP($A10,[6]HISTONOV23!$A$6:$AV$45,42,0))</f>
        <v>0</v>
      </c>
      <c r="I10" s="7">
        <f>VLOOKUP($A10,[6]HISTONOV23!$A$6:$AV$45,41,0)</f>
        <v>0</v>
      </c>
      <c r="J10" s="7">
        <f>TONTOCT23!F10+TONTOCT23!G10</f>
        <v>0</v>
      </c>
      <c r="K10" s="7">
        <f>VLOOKUP($A10,[6]HISTONOV23!$A$6:$AV$45,17,0)</f>
        <v>0</v>
      </c>
      <c r="L10" s="7" t="str">
        <f>IF(K10&lt;&gt;0,VLOOKUP($A10,[6]HISTONOV23!$A$6:$BB$45,8,0),"ECHEC")</f>
        <v>ECHEC</v>
      </c>
      <c r="M10" s="7">
        <f>IF(P10=0,0,VLOOKUP($A10,[6]HISTONOV23!$A$6:$AV$45,32,0))</f>
        <v>0</v>
      </c>
      <c r="N10" s="7">
        <f>VLOOKUP($A10,[6]HISTONOV23!$A$6:$AV$45,33,0)</f>
        <v>0</v>
      </c>
      <c r="O10" s="7">
        <f t="shared" si="0"/>
        <v>0</v>
      </c>
      <c r="P10" s="7">
        <f>VLOOKUP($A10,[6]HISTONOV23!$A$6:$AV$45,30,0)</f>
        <v>0</v>
      </c>
    </row>
    <row r="11" spans="1:16" x14ac:dyDescent="0.25">
      <c r="A11" s="1" t="s">
        <v>27</v>
      </c>
      <c r="B11" s="7">
        <f>IF(D11=0,0,VLOOKUP($A11,[6]HISTONOV23!$A$6:$BB$45,12,0))</f>
        <v>1</v>
      </c>
      <c r="C11" s="1" t="str">
        <f>VLOOKUP(A11,[7]LISTADHERENT!A$5:H$60,3,0)</f>
        <v>HENGUE PAUL OMER</v>
      </c>
      <c r="D11" s="7">
        <f>IF(E11="ECHEC",0,VLOOKUP($A11,[6]HISTONOV23!$A$7:$AR$45,13,0))</f>
        <v>75000</v>
      </c>
      <c r="E11" s="7" t="str">
        <f>VLOOKUP($A11,[6]HISTONOV23!$A$7:$AV$45,8,0)</f>
        <v>BANQUE</v>
      </c>
      <c r="F11" s="7">
        <f>VLOOKUP($A11,[6]HISTONOV23!$A$6:$AV$45,36,0)</f>
        <v>0</v>
      </c>
      <c r="G11" s="7">
        <f>VLOOKUP($A11,[6]HISTONOV23!$A$6:$AV$45,39,0)</f>
        <v>0</v>
      </c>
      <c r="H11" s="7">
        <f>IF(G11=0,0,VLOOKUP($A11,[6]HISTONOV23!$A$6:$AV$45,42,0))</f>
        <v>0</v>
      </c>
      <c r="I11" s="7">
        <f>VLOOKUP($A11,[6]HISTONOV23!$A$6:$AV$45,41,0)</f>
        <v>0</v>
      </c>
      <c r="J11" s="7">
        <f>TONTOCT23!F11+TONTOCT23!G11</f>
        <v>0</v>
      </c>
      <c r="K11" s="7">
        <f>VLOOKUP($A11,[6]HISTONOV23!$A$6:$AV$45,17,0)</f>
        <v>0</v>
      </c>
      <c r="L11" s="7" t="str">
        <f>IF(K11&lt;&gt;0,VLOOKUP($A11,[6]HISTONOV23!$A$6:$BB$45,8,0),"ECHEC")</f>
        <v>ECHEC</v>
      </c>
      <c r="M11" s="7">
        <f>IF(P11=0,0,VLOOKUP($A11,[6]HISTONOV23!$A$6:$AV$45,32,0))</f>
        <v>0</v>
      </c>
      <c r="N11" s="7">
        <f>VLOOKUP($A11,[6]HISTONOV23!$A$6:$AV$45,33,0)</f>
        <v>0</v>
      </c>
      <c r="O11" s="7">
        <f t="shared" si="0"/>
        <v>0</v>
      </c>
      <c r="P11" s="7">
        <f>VLOOKUP($A11,[6]HISTONOV23!$A$6:$AV$45,30,0)</f>
        <v>0</v>
      </c>
    </row>
    <row r="12" spans="1:16" x14ac:dyDescent="0.25">
      <c r="A12" s="1" t="s">
        <v>8</v>
      </c>
      <c r="B12" s="7">
        <f>IF(D12=0,0,VLOOKUP($A12,[6]HISTONOV23!$A$6:$BB$45,12,0))</f>
        <v>1</v>
      </c>
      <c r="C12" s="1" t="str">
        <f>VLOOKUP(A12,[7]LISTADHERENT!A$5:H$60,3,0)</f>
        <v>KOUATCHO MESSACK</v>
      </c>
      <c r="D12" s="7">
        <f>IF(E12="ECHEC",0,VLOOKUP($A12,[6]HISTONOV23!$A$7:$AR$45,13,0))</f>
        <v>75000</v>
      </c>
      <c r="E12" s="7" t="str">
        <f>VLOOKUP($A12,[6]HISTONOV23!$A$7:$AV$45,8,0)</f>
        <v>BANQUE</v>
      </c>
      <c r="F12" s="7">
        <f>VLOOKUP($A12,[6]HISTONOV23!$A$6:$AV$45,36,0)</f>
        <v>200000</v>
      </c>
      <c r="G12" s="7">
        <f>VLOOKUP($A12,[6]HISTONOV23!$A$6:$AV$45,39,0)</f>
        <v>2000</v>
      </c>
      <c r="H12" s="7" t="str">
        <f>IF(G12=0,0,VLOOKUP($A12,[6]HISTONOV23!$A$6:$AV$45,42,0))</f>
        <v>BANQUE</v>
      </c>
      <c r="I12" s="7">
        <f>VLOOKUP($A12,[6]HISTONOV23!$A$6:$AV$45,41,0)</f>
        <v>0</v>
      </c>
      <c r="J12" s="7">
        <f>TONTOCT23!F12+TONTOCT23!G12</f>
        <v>152000</v>
      </c>
      <c r="K12" s="7">
        <f>VLOOKUP($A12,[6]HISTONOV23!$A$6:$AV$45,17,0)</f>
        <v>152000</v>
      </c>
      <c r="L12" s="7" t="str">
        <f>IF(K12&lt;&gt;0,VLOOKUP($A12,[6]HISTONOV23!$A$6:$BB$45,8,0),"ECHEC")</f>
        <v>BANQUE</v>
      </c>
      <c r="M12" s="7">
        <f>IF(P12=0,0,VLOOKUP($A12,[6]HISTONOV23!$A$6:$AV$45,32,0))</f>
        <v>0</v>
      </c>
      <c r="N12" s="7">
        <f>VLOOKUP($A12,[6]HISTONOV23!$A$6:$AV$45,33,0)</f>
        <v>0</v>
      </c>
      <c r="O12" s="7">
        <f t="shared" si="0"/>
        <v>0</v>
      </c>
      <c r="P12" s="7">
        <f>VLOOKUP($A12,[6]HISTONOV23!$A$6:$AV$45,30,0)</f>
        <v>0</v>
      </c>
    </row>
    <row r="13" spans="1:16" x14ac:dyDescent="0.25">
      <c r="A13" s="1" t="s">
        <v>22</v>
      </c>
      <c r="B13" s="7">
        <f>IF(D13=0,0,VLOOKUP($A13,[6]HISTONOV23!$A$6:$BB$45,12,0))</f>
        <v>1</v>
      </c>
      <c r="C13" s="1" t="str">
        <f>VLOOKUP(A13,[7]LISTADHERENT!A$5:H$60,3,0)</f>
        <v>MBOGNING TUGMA GUY</v>
      </c>
      <c r="D13" s="7">
        <f>IF(E13="ECHEC",0,VLOOKUP($A13,[6]HISTONOV23!$A$7:$AR$45,13,0))</f>
        <v>75000</v>
      </c>
      <c r="E13" s="7" t="str">
        <f>VLOOKUP($A13,[6]HISTONOV23!$A$7:$AV$45,8,0)</f>
        <v>BANQUE</v>
      </c>
      <c r="F13" s="7">
        <f>VLOOKUP($A13,[6]HISTONOV23!$A$6:$AV$45,36,0)</f>
        <v>303000</v>
      </c>
      <c r="G13" s="7">
        <f>VLOOKUP($A13,[6]HISTONOV23!$A$6:$AV$45,39,0)</f>
        <v>4000</v>
      </c>
      <c r="H13" s="7" t="str">
        <f>IF(G13=0,0,VLOOKUP($A13,[6]HISTONOV23!$A$6:$AV$45,42,0))</f>
        <v>BANQUE</v>
      </c>
      <c r="I13" s="7">
        <f>VLOOKUP($A13,[6]HISTONOV23!$A$6:$AV$45,41,0)</f>
        <v>0</v>
      </c>
      <c r="J13" s="7">
        <f>TONTOCT23!F13+TONTOCT23!G13</f>
        <v>152000</v>
      </c>
      <c r="K13" s="7">
        <f>VLOOKUP($A13,[6]HISTONOV23!$A$6:$AV$45,17,0)</f>
        <v>152000</v>
      </c>
      <c r="L13" s="7" t="str">
        <f>IF(K13&lt;&gt;0,VLOOKUP($A13,[6]HISTONOV23!$A$6:$BB$45,8,0),"ECHEC")</f>
        <v>BANQUE</v>
      </c>
      <c r="M13" s="7">
        <f>IF(P13=0,0,VLOOKUP($A13,[6]HISTONOV23!$A$6:$AV$45,32,0))</f>
        <v>0</v>
      </c>
      <c r="N13" s="7">
        <f>VLOOKUP($A13,[6]HISTONOV23!$A$6:$AV$45,33,0)</f>
        <v>0</v>
      </c>
      <c r="O13" s="7">
        <f t="shared" si="0"/>
        <v>0</v>
      </c>
      <c r="P13" s="7">
        <f>VLOOKUP($A13,[6]HISTONOV23!$A$6:$AV$45,30,0)</f>
        <v>0</v>
      </c>
    </row>
    <row r="14" spans="1:16" x14ac:dyDescent="0.25">
      <c r="A14" s="1" t="s">
        <v>9</v>
      </c>
      <c r="B14" s="7">
        <f>IF(D14=0,0,VLOOKUP($A14,[6]HISTONOV23!$A$6:$BB$45,12,0))</f>
        <v>1</v>
      </c>
      <c r="C14" s="1" t="str">
        <f>VLOOKUP(A14,[7]LISTADHERENT!A$5:H$60,3,0)</f>
        <v>NANKAM APPOLINAIRE</v>
      </c>
      <c r="D14" s="7">
        <f>IF(E14="ECHEC",0,VLOOKUP($A14,[6]HISTONOV23!$A$7:$AR$45,13,0))</f>
        <v>75000</v>
      </c>
      <c r="E14" s="7" t="str">
        <f>VLOOKUP($A14,[6]HISTONOV23!$A$7:$AV$45,8,0)</f>
        <v>BANQUE</v>
      </c>
      <c r="F14" s="7">
        <f>VLOOKUP($A14,[6]HISTONOV23!$A$6:$AV$45,36,0)</f>
        <v>0</v>
      </c>
      <c r="G14" s="7">
        <f>VLOOKUP($A14,[6]HISTONOV23!$A$6:$AV$45,39,0)</f>
        <v>0</v>
      </c>
      <c r="H14" s="7">
        <f>IF(G14=0,0,VLOOKUP($A14,[6]HISTONOV23!$A$6:$AV$45,42,0))</f>
        <v>0</v>
      </c>
      <c r="I14" s="7">
        <f>VLOOKUP($A14,[6]HISTONOV23!$A$6:$AV$45,41,0)</f>
        <v>0</v>
      </c>
      <c r="J14" s="7">
        <f>TONTOCT23!F14+TONTOCT23!G14</f>
        <v>0</v>
      </c>
      <c r="K14" s="7">
        <f>VLOOKUP($A14,[6]HISTONOV23!$A$6:$AV$45,17,0)</f>
        <v>0</v>
      </c>
      <c r="L14" s="7" t="str">
        <f>IF(K14&lt;&gt;0,VLOOKUP($A14,[6]HISTONOV23!$A$6:$BB$45,8,0),"ECHEC")</f>
        <v>ECHEC</v>
      </c>
      <c r="M14" s="7">
        <f>IF(P14=0,0,VLOOKUP($A14,[6]HISTONOV23!$A$6:$AV$45,32,0))</f>
        <v>0</v>
      </c>
      <c r="N14" s="7">
        <f>VLOOKUP($A14,[6]HISTONOV23!$A$6:$AV$45,33,0)</f>
        <v>0</v>
      </c>
      <c r="O14" s="7">
        <f t="shared" si="0"/>
        <v>0</v>
      </c>
      <c r="P14" s="7">
        <f>VLOOKUP($A14,[6]HISTONOV23!$A$6:$AV$45,30,0)</f>
        <v>0</v>
      </c>
    </row>
    <row r="15" spans="1:16" x14ac:dyDescent="0.25">
      <c r="A15" s="1" t="s">
        <v>37</v>
      </c>
      <c r="B15" s="7">
        <f>IF(D15=0,0,VLOOKUP($A15,[6]HISTONOV23!$A$6:$BB$45,12,0))</f>
        <v>1</v>
      </c>
      <c r="C15" s="1" t="str">
        <f>VLOOKUP(A15,[7]LISTADHERENT!A$5:H$60,3,0)</f>
        <v>NGONDIEP CLAUDE</v>
      </c>
      <c r="D15" s="7">
        <f>IF(E15="ECHEC",0,VLOOKUP($A15,[6]HISTONOV23!$A$7:$AR$45,13,0))</f>
        <v>75000</v>
      </c>
      <c r="E15" s="7" t="str">
        <f>VLOOKUP($A15,[6]HISTONOV23!$A$7:$AV$45,8,0)</f>
        <v>BANQUE</v>
      </c>
      <c r="F15" s="7">
        <f>VLOOKUP($A15,[6]HISTONOV23!$A$6:$AV$45,36,0)</f>
        <v>0</v>
      </c>
      <c r="G15" s="7">
        <f>VLOOKUP($A15,[6]HISTONOV23!$A$6:$AV$45,39,0)</f>
        <v>0</v>
      </c>
      <c r="H15" s="7">
        <f>IF(G15=0,0,VLOOKUP($A15,[6]HISTONOV23!$A$6:$AV$45,42,0))</f>
        <v>0</v>
      </c>
      <c r="I15" s="7">
        <f>VLOOKUP($A15,[6]HISTONOV23!$A$6:$AV$45,41,0)</f>
        <v>0</v>
      </c>
      <c r="J15" s="7">
        <f>TONTOCT23!F15+TONTOCT23!G15</f>
        <v>0</v>
      </c>
      <c r="K15" s="7">
        <f>VLOOKUP($A15,[6]HISTONOV23!$A$6:$AV$45,17,0)</f>
        <v>0</v>
      </c>
      <c r="L15" s="7" t="str">
        <f>IF(K15&lt;&gt;0,VLOOKUP($A15,[6]HISTONOV23!$A$6:$BB$45,8,0),"ECHEC")</f>
        <v>ECHEC</v>
      </c>
      <c r="M15" s="7">
        <f>IF(P15=0,0,VLOOKUP($A15,[6]HISTONOV23!$A$6:$AV$45,32,0))</f>
        <v>0</v>
      </c>
      <c r="N15" s="7">
        <f>VLOOKUP($A15,[6]HISTONOV23!$A$6:$AV$45,33,0)</f>
        <v>0</v>
      </c>
      <c r="O15" s="7">
        <f t="shared" si="0"/>
        <v>0</v>
      </c>
      <c r="P15" s="7">
        <f>VLOOKUP($A15,[6]HISTONOV23!$A$6:$AV$45,30,0)</f>
        <v>0</v>
      </c>
    </row>
    <row r="16" spans="1:16" x14ac:dyDescent="0.25">
      <c r="A16" s="1" t="s">
        <v>21</v>
      </c>
      <c r="B16" s="7">
        <f>IF(D16=0,0,VLOOKUP($A16,[6]HISTONOV23!$A$6:$BB$45,12,0))</f>
        <v>2</v>
      </c>
      <c r="C16" s="1" t="str">
        <f>VLOOKUP(A16,[7]LISTADHERENT!A$5:H$60,3,0)</f>
        <v>NGUIEMEGNI MATHIEU BLAISE</v>
      </c>
      <c r="D16" s="7">
        <f>IF(E16="ECHEC",0,VLOOKUP($A16,[6]HISTONOV23!$A$7:$AR$45,13,0))</f>
        <v>150000</v>
      </c>
      <c r="E16" s="7" t="str">
        <f>VLOOKUP($A16,[6]HISTONOV23!$A$7:$AV$45,8,0)</f>
        <v>BANQUE</v>
      </c>
      <c r="F16" s="7">
        <f>VLOOKUP($A16,[6]HISTONOV23!$A$6:$AV$45,36,0)</f>
        <v>0</v>
      </c>
      <c r="G16" s="7">
        <f>VLOOKUP($A16,[6]HISTONOV23!$A$6:$AV$45,39,0)</f>
        <v>0</v>
      </c>
      <c r="H16" s="7">
        <f>IF(G16=0,0,VLOOKUP($A16,[6]HISTONOV23!$A$6:$AV$45,42,0))</f>
        <v>0</v>
      </c>
      <c r="I16" s="7">
        <f>VLOOKUP($A16,[6]HISTONOV23!$A$6:$AV$45,41,0)</f>
        <v>0</v>
      </c>
      <c r="J16" s="7">
        <f>TONTOCT23!F16+TONTOCT23!G16</f>
        <v>0</v>
      </c>
      <c r="K16" s="7">
        <f>VLOOKUP($A16,[6]HISTONOV23!$A$6:$AV$45,17,0)</f>
        <v>0</v>
      </c>
      <c r="L16" s="7" t="str">
        <f>IF(K16&lt;&gt;0,VLOOKUP($A16,[6]HISTONOV23!$A$6:$BB$45,8,0),"ECHEC")</f>
        <v>ECHEC</v>
      </c>
      <c r="M16" s="7">
        <f>IF(P16=0,0,VLOOKUP($A16,[6]HISTONOV23!$A$6:$AV$45,32,0))</f>
        <v>0</v>
      </c>
      <c r="N16" s="7">
        <f>VLOOKUP($A16,[6]HISTONOV23!$A$6:$AV$45,33,0)</f>
        <v>0</v>
      </c>
      <c r="O16" s="7">
        <f t="shared" si="0"/>
        <v>0</v>
      </c>
      <c r="P16" s="7">
        <f>VLOOKUP($A16,[6]HISTONOV23!$A$6:$AV$45,30,0)</f>
        <v>0</v>
      </c>
    </row>
    <row r="17" spans="1:16" x14ac:dyDescent="0.25">
      <c r="A17" s="1" t="s">
        <v>28</v>
      </c>
      <c r="B17" s="7">
        <f>IF(D17=0,0,VLOOKUP($A17,[6]HISTONOV23!$A$6:$BB$45,12,0))</f>
        <v>1</v>
      </c>
      <c r="C17" s="1" t="str">
        <f>VLOOKUP(A17,[7]LISTADHERENT!A$5:H$60,3,0)</f>
        <v>PATEGO NJOSSU GUSTAVE</v>
      </c>
      <c r="D17" s="7">
        <f>IF(E17="ECHEC",0,VLOOKUP($A17,[6]HISTONOV23!$A$7:$AR$45,13,0))</f>
        <v>75000</v>
      </c>
      <c r="E17" s="7" t="str">
        <f>VLOOKUP($A17,[6]HISTONOV23!$A$7:$AV$45,8,0)</f>
        <v>BANQUE</v>
      </c>
      <c r="F17" s="7">
        <f>VLOOKUP($A17,[6]HISTONOV23!$A$6:$AV$45,36,0)</f>
        <v>0</v>
      </c>
      <c r="G17" s="7">
        <f>VLOOKUP($A17,[6]HISTONOV23!$A$6:$AV$45,39,0)</f>
        <v>0</v>
      </c>
      <c r="H17" s="7">
        <f>IF(G17=0,0,VLOOKUP($A17,[6]HISTONOV23!$A$6:$AV$45,42,0))</f>
        <v>0</v>
      </c>
      <c r="I17" s="7">
        <f>VLOOKUP($A17,[6]HISTONOV23!$A$6:$AV$45,41,0)</f>
        <v>0</v>
      </c>
      <c r="J17" s="7">
        <f>TONTOCT23!F17+TONTOCT23!G17</f>
        <v>0</v>
      </c>
      <c r="K17" s="7">
        <f>VLOOKUP($A17,[6]HISTONOV23!$A$6:$AV$45,17,0)</f>
        <v>0</v>
      </c>
      <c r="L17" s="7" t="str">
        <f>IF(K17&lt;&gt;0,VLOOKUP($A17,[6]HISTONOV23!$A$6:$BB$45,8,0),"ECHEC")</f>
        <v>ECHEC</v>
      </c>
      <c r="M17" s="7">
        <f>IF(P17=0,0,VLOOKUP($A17,[6]HISTONOV23!$A$6:$AV$45,32,0))</f>
        <v>0</v>
      </c>
      <c r="N17" s="7">
        <f>VLOOKUP($A17,[6]HISTONOV23!$A$6:$AV$45,33,0)</f>
        <v>0</v>
      </c>
      <c r="O17" s="7">
        <f t="shared" si="0"/>
        <v>892500</v>
      </c>
      <c r="P17" s="7">
        <f>VLOOKUP($A17,[6]HISTONOV23!$A$6:$AV$45,30,0)</f>
        <v>7500</v>
      </c>
    </row>
    <row r="18" spans="1:16" x14ac:dyDescent="0.25">
      <c r="A18" s="9" t="s">
        <v>36</v>
      </c>
      <c r="B18" s="7">
        <f>IF(D18=0,0,VLOOKUP($A18,[6]HISTONOV23!$A$6:$BB$45,12,0))</f>
        <v>1</v>
      </c>
      <c r="C18" s="1" t="str">
        <f>VLOOKUP(A18,[7]LISTADHERENT!A$5:H$60,3,0)</f>
        <v>SIME BRICE</v>
      </c>
      <c r="D18" s="7">
        <f>IF(E18="ECHEC",0,VLOOKUP($A18,[6]HISTONOV23!$A$7:$AR$45,13,0))</f>
        <v>75000</v>
      </c>
      <c r="E18" s="7" t="str">
        <f>VLOOKUP($A18,[6]HISTONOV23!$A$7:$AV$45,8,0)</f>
        <v>BANQUE</v>
      </c>
      <c r="F18" s="7">
        <f>VLOOKUP($A18,[6]HISTONOV23!$A$6:$AV$45,36,0)</f>
        <v>0</v>
      </c>
      <c r="G18" s="7">
        <f>VLOOKUP($A18,[6]HISTONOV23!$A$6:$AV$45,39,0)</f>
        <v>0</v>
      </c>
      <c r="H18" s="7">
        <f>IF(G18=0,0,VLOOKUP($A18,[6]HISTONOV23!$A$6:$AV$45,42,0))</f>
        <v>0</v>
      </c>
      <c r="I18" s="7">
        <f>VLOOKUP($A18,[6]HISTONOV23!$A$6:$AV$45,41,0)</f>
        <v>0</v>
      </c>
      <c r="J18" s="7">
        <f>TONTOCT23!F18+TONTOCT23!G18</f>
        <v>0</v>
      </c>
      <c r="K18" s="7">
        <f>VLOOKUP($A18,[6]HISTONOV23!$A$6:$AV$45,17,0)</f>
        <v>0</v>
      </c>
      <c r="L18" s="7" t="str">
        <f>IF(K18&lt;&gt;0,VLOOKUP($A18,[6]HISTONOV23!$A$6:$BB$45,8,0),"ECHEC")</f>
        <v>ECHEC</v>
      </c>
      <c r="M18" s="7">
        <f>IF(P18=0,0,VLOOKUP($A18,[6]HISTONOV23!$A$6:$AV$45,32,0))</f>
        <v>0</v>
      </c>
      <c r="N18" s="7">
        <f>VLOOKUP($A18,[6]HISTONOV23!$A$6:$AV$45,33,0)</f>
        <v>0</v>
      </c>
      <c r="O18" s="7">
        <f t="shared" si="0"/>
        <v>0</v>
      </c>
      <c r="P18" s="7">
        <f>VLOOKUP($A18,[6]HISTONOV23!$A$6:$AV$45,30,0)</f>
        <v>0</v>
      </c>
    </row>
    <row r="19" spans="1:16" x14ac:dyDescent="0.25">
      <c r="A19" s="9" t="s">
        <v>50</v>
      </c>
      <c r="B19" s="7">
        <f>IF(D19=0,0,VLOOKUP($A19,[6]HISTONOV23!$A$6:$BB$45,12,0))</f>
        <v>1</v>
      </c>
      <c r="C19" s="1" t="str">
        <f>VLOOKUP(A19,[7]LISTADHERENT!A$5:H$60,3,0)</f>
        <v>TCHOUAMOU MATHIEU</v>
      </c>
      <c r="D19" s="7">
        <f>IF(E19="ECHEC",0,VLOOKUP($A19,[6]HISTONOV23!$A$7:$AR$45,13,0))</f>
        <v>75000</v>
      </c>
      <c r="E19" s="7" t="str">
        <f>VLOOKUP($A19,[6]HISTONOV23!$A$7:$AV$45,8,0)</f>
        <v>BANQUE</v>
      </c>
      <c r="F19" s="7">
        <f>VLOOKUP($A19,[6]HISTONOV23!$A$6:$AV$45,36,0)</f>
        <v>100000</v>
      </c>
      <c r="G19" s="7">
        <f>VLOOKUP($A19,[6]HISTONOV23!$A$6:$AV$45,39,0)</f>
        <v>1000</v>
      </c>
      <c r="H19" s="7" t="str">
        <f>IF(G19=0,0,VLOOKUP($A19,[6]HISTONOV23!$A$6:$AV$45,42,0))</f>
        <v>BANQUE</v>
      </c>
      <c r="I19" s="7">
        <f>VLOOKUP($A19,[6]HISTONOV23!$A$6:$AV$45,41,0)</f>
        <v>0</v>
      </c>
      <c r="J19" s="7">
        <f>TONTOCT23!F19+TONTOCT23!G19</f>
        <v>0</v>
      </c>
      <c r="K19" s="7">
        <f>VLOOKUP($A19,[6]HISTONOV23!$A$6:$AV$45,17,0)</f>
        <v>0</v>
      </c>
      <c r="L19" s="7" t="str">
        <f>IF(K19&lt;&gt;0,VLOOKUP($A19,[6]HISTONOV23!$A$6:$BB$45,8,0),"ECHEC")</f>
        <v>ECHEC</v>
      </c>
      <c r="M19" s="7">
        <f>IF(P19=0,0,VLOOKUP($A19,[6]HISTONOV23!$A$6:$AV$45,32,0))</f>
        <v>0</v>
      </c>
      <c r="N19" s="7">
        <f>VLOOKUP($A19,[6]HISTONOV23!$A$6:$AV$45,33,0)</f>
        <v>0</v>
      </c>
      <c r="O19" s="7">
        <f t="shared" si="0"/>
        <v>0</v>
      </c>
      <c r="P19" s="7">
        <f>VLOOKUP($A19,[6]HISTONOV23!$A$6:$AV$45,30,0)</f>
        <v>0</v>
      </c>
    </row>
    <row r="20" spans="1:16" x14ac:dyDescent="0.25">
      <c r="A20" s="1" t="s">
        <v>20</v>
      </c>
      <c r="B20" s="7">
        <f>IF(D20=0,0,VLOOKUP($A20,[6]HISTONOV23!$A$6:$BB$45,12,0))</f>
        <v>2</v>
      </c>
      <c r="C20" s="1" t="str">
        <f>VLOOKUP(A20,[7]LISTADHERENT!A$5:H$60,3,0)</f>
        <v>YOUMBI EMMANUEL</v>
      </c>
      <c r="D20" s="7">
        <f>IF(E20="ECHEC",0,VLOOKUP($A20,[6]HISTONOV23!$A$7:$AR$45,13,0))</f>
        <v>150000</v>
      </c>
      <c r="E20" s="7" t="str">
        <f>VLOOKUP($A20,[6]HISTONOV23!$A$7:$AV$45,8,0)</f>
        <v>BANQUE</v>
      </c>
      <c r="F20" s="7">
        <f>VLOOKUP($A20,[6]HISTONOV23!$A$6:$AV$45,36,0)</f>
        <v>0</v>
      </c>
      <c r="G20" s="7">
        <f>VLOOKUP($A20,[6]HISTONOV23!$A$6:$AV$45,39,0)</f>
        <v>0</v>
      </c>
      <c r="H20" s="7">
        <f>IF(G20=0,0,VLOOKUP($A20,[6]HISTONOV23!$A$6:$AV$45,42,0))</f>
        <v>0</v>
      </c>
      <c r="I20" s="7">
        <f>VLOOKUP($A20,[6]HISTONOV23!$A$6:$AV$45,41,0)</f>
        <v>0</v>
      </c>
      <c r="J20" s="7">
        <f>TONTOCT23!F20+TONTOCT23!G20</f>
        <v>0</v>
      </c>
      <c r="K20" s="7">
        <f>VLOOKUP($A20,[6]HISTONOV23!$A$6:$AV$45,17,0)</f>
        <v>0</v>
      </c>
      <c r="L20" s="7" t="str">
        <f>IF(K20&lt;&gt;0,VLOOKUP($A20,[6]HISTONOV23!$A$6:$BB$45,8,0),"ECHEC")</f>
        <v>ECHEC</v>
      </c>
      <c r="M20" s="7">
        <f>IF(P20=0,0,VLOOKUP($A20,[6]HISTONOV23!$A$6:$AV$45,32,0))</f>
        <v>0</v>
      </c>
      <c r="N20" s="7">
        <f>VLOOKUP($A20,[6]HISTONOV23!$A$6:$AV$45,33,0)</f>
        <v>0</v>
      </c>
      <c r="O20" s="7">
        <f t="shared" si="0"/>
        <v>892500</v>
      </c>
      <c r="P20" s="7">
        <f>VLOOKUP($A20,[6]HISTONOV23!$A$6:$AV$45,30,0)</f>
        <v>7500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1">SUM(D6:D22)</f>
        <v>1275000</v>
      </c>
      <c r="E23" s="8">
        <f t="shared" si="1"/>
        <v>0</v>
      </c>
      <c r="F23" s="8">
        <f t="shared" si="1"/>
        <v>829000</v>
      </c>
      <c r="G23" s="8">
        <f t="shared" si="1"/>
        <v>10000</v>
      </c>
      <c r="H23" s="8">
        <f t="shared" si="1"/>
        <v>0</v>
      </c>
      <c r="I23" s="8">
        <f t="shared" si="1"/>
        <v>0</v>
      </c>
      <c r="J23" s="8">
        <f t="shared" si="1"/>
        <v>380000</v>
      </c>
      <c r="K23" s="8">
        <f t="shared" si="1"/>
        <v>380000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1785000</v>
      </c>
      <c r="P23" s="8">
        <f t="shared" si="1"/>
        <v>15000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D29+E29+P23+TONTOCT23!M30</f>
        <v>2633000</v>
      </c>
      <c r="L25" s="5"/>
      <c r="M25"/>
      <c r="N25" s="5"/>
    </row>
    <row r="26" spans="1:16" s="2" customFormat="1" ht="18" x14ac:dyDescent="0.25">
      <c r="D26" s="8">
        <f>SUMIFS(D6:D22,E6:E22,"ESPECES")</f>
        <v>0</v>
      </c>
      <c r="E26" s="8">
        <f>SUMIFS(K6:K20,L6:L20,"ESPECES")</f>
        <v>0</v>
      </c>
      <c r="F26" s="8">
        <f>SUMIFS(F7:F22,H7:H22,"ESPECES")</f>
        <v>0</v>
      </c>
      <c r="G26" s="8">
        <f>SUMIFS(O7:O22,M7:M22,"ESPECES")</f>
        <v>0</v>
      </c>
      <c r="H26" s="8">
        <f>D26+E26-F26-G26</f>
        <v>0</v>
      </c>
      <c r="I26" s="8"/>
      <c r="J26" s="8" t="s">
        <v>33</v>
      </c>
      <c r="K26" s="8">
        <f>C3*COUNTIF(O7:O22,"&gt;0")</f>
        <v>1800000</v>
      </c>
      <c r="L26" s="8">
        <f>D3</f>
        <v>2</v>
      </c>
      <c r="M26" s="8">
        <f>COUNTIF(O7:O17,"&gt;0")</f>
        <v>1</v>
      </c>
      <c r="N26" s="8"/>
    </row>
    <row r="27" spans="1:16" s="2" customFormat="1" ht="18" x14ac:dyDescent="0.25">
      <c r="D27" s="8">
        <f>SUMIFS(D6:D22,E6:E22,"BANQUE")</f>
        <v>1275000</v>
      </c>
      <c r="E27" s="8">
        <f>SUMIFS(K6:K20,L6:L20,"BANQUE")</f>
        <v>380000</v>
      </c>
      <c r="F27" s="8">
        <f>SUMIFS(F7:F22,H7:H22,"BANQUE")</f>
        <v>829000</v>
      </c>
      <c r="G27" s="8">
        <f>SUMIFS(O7:O22,M7:M22,"BANQUE")</f>
        <v>0</v>
      </c>
      <c r="H27" s="8">
        <f>D27+E27-F27-G27</f>
        <v>826000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833000</v>
      </c>
      <c r="L28" s="8"/>
      <c r="M28" s="8"/>
      <c r="N28" s="8"/>
    </row>
    <row r="29" spans="1:16" s="2" customFormat="1" ht="18" x14ac:dyDescent="0.25">
      <c r="D29" s="8">
        <f>D26+D27</f>
        <v>1275000</v>
      </c>
      <c r="E29" s="8">
        <f>E26+E27</f>
        <v>380000</v>
      </c>
      <c r="F29" s="8">
        <f>F26+F27</f>
        <v>829000</v>
      </c>
      <c r="G29" s="8">
        <f t="shared" ref="G29:H29" si="2">G26+G27</f>
        <v>0</v>
      </c>
      <c r="H29" s="8">
        <f t="shared" si="2"/>
        <v>826000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4000</v>
      </c>
      <c r="L30"/>
      <c r="M30" s="8">
        <f>K30</f>
        <v>4000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TONTOCT23!M32+TONTNOV23!K32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0</v>
      </c>
      <c r="M33" s="8">
        <f>TONTOCT23!M33+TONTNOV23!K33</f>
        <v>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>
      <pane xSplit="3" ySplit="5" topLeftCell="J6" activePane="bottomRight" state="frozen"/>
      <selection activeCell="E16" sqref="E16"/>
      <selection pane="topRight" activeCell="E16" sqref="E16"/>
      <selection pane="bottomLeft" activeCell="E16" sqref="E16"/>
      <selection pane="bottomRight" activeCell="M26" sqref="M2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16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2</v>
      </c>
      <c r="E3" s="1"/>
      <c r="L3" s="1"/>
      <c r="M3" s="1"/>
    </row>
    <row r="4" spans="1:16" s="12" customFormat="1" ht="18" x14ac:dyDescent="0.25">
      <c r="B4" s="13"/>
      <c r="C4" s="19">
        <v>45273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16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</row>
    <row r="6" spans="1:16" x14ac:dyDescent="0.25">
      <c r="A6" s="1" t="s">
        <v>49</v>
      </c>
      <c r="B6" s="7">
        <f>IF(D6=0,0,VLOOKUP($A6,[6]HISTODEC23!$A$6:$BB$45,12,0))</f>
        <v>1</v>
      </c>
      <c r="C6" s="1" t="str">
        <f>VLOOKUP(A6,[7]LISTADHERENT!A$5:H$60,3,0)</f>
        <v>ASELBY</v>
      </c>
      <c r="D6" s="7">
        <f>IF(E6="ECHEC",0,VLOOKUP($A6,[6]HISTODEC23!$A$6:$AR$45,13,0))</f>
        <v>75000</v>
      </c>
      <c r="E6" s="7" t="str">
        <f>VLOOKUP($A6,[6]HISTODEC23!$A$6:$AV$45,8,0)</f>
        <v>BANQUE</v>
      </c>
      <c r="F6" s="7">
        <f>VLOOKUP($A6,[6]HISTODEC23!$A$6:$AV$45,36,0)</f>
        <v>0</v>
      </c>
      <c r="G6" s="7">
        <f>VLOOKUP($A6,[6]HISTODEC23!$A$6:$AV$45,39,0)</f>
        <v>0</v>
      </c>
      <c r="H6" s="7">
        <f>IF(G6=0,0,VLOOKUP($A6,[6]HISTODEC23!$A$6:$AV$45,42,0))</f>
        <v>0</v>
      </c>
      <c r="I6" s="7">
        <f>VLOOKUP($A6,[6]HISTODEC23!$A$6:$AV$45,41,0)</f>
        <v>0</v>
      </c>
      <c r="J6" s="7">
        <f>TONTNOV23!F6+TONTNOV23!G6</f>
        <v>0</v>
      </c>
      <c r="K6" s="7">
        <f>VLOOKUP($A6,[6]HISTODEC23!$A$6:$AV$45,17,0)</f>
        <v>0</v>
      </c>
      <c r="L6" s="7" t="str">
        <f>IF(K6&lt;&gt;0,VLOOKUP($A6,[6]HISTODEC23!$A$6:$BB$45,8,0),"ECHEC")</f>
        <v>ECHEC</v>
      </c>
      <c r="M6" s="7">
        <f>IF(P6=0,0,VLOOKUP($A6,[6]HISTODEC23!$A$6:$AV$45,32,0))</f>
        <v>0</v>
      </c>
      <c r="N6" s="7">
        <f>VLOOKUP($A6,[6]HISTODEC23!$A$6:$AV$45,33,0)</f>
        <v>0</v>
      </c>
      <c r="O6" s="7">
        <f t="shared" ref="O6" si="0">IF(P6=0,0,($C$3-P6))</f>
        <v>892500</v>
      </c>
      <c r="P6" s="7">
        <f>VLOOKUP($A6,[6]HISTODEC23!$A$6:$AV$45,30,0)</f>
        <v>7500</v>
      </c>
    </row>
    <row r="7" spans="1:16" x14ac:dyDescent="0.25">
      <c r="A7" s="1" t="s">
        <v>25</v>
      </c>
      <c r="B7" s="7">
        <f>IF(D7=0,0,VLOOKUP($A7,[6]HISTODEC23!$A$6:$BB$45,12,0))</f>
        <v>1</v>
      </c>
      <c r="C7" s="1" t="str">
        <f>VLOOKUP(A7,[7]LISTADHERENT!A$5:H$60,3,0)</f>
        <v>BOUTCHOUANG WILLIAM</v>
      </c>
      <c r="D7" s="7">
        <f>IF(E7="ECHEC",0,VLOOKUP($A7,[6]HISTODEC23!$A$6:$AR$45,13,0))</f>
        <v>75000</v>
      </c>
      <c r="E7" s="7" t="str">
        <f>VLOOKUP($A7,[6]HISTODEC23!$A$6:$AV$45,8,0)</f>
        <v>BANQUE</v>
      </c>
      <c r="F7" s="7">
        <f>VLOOKUP($A7,[6]HISTODEC23!$A$6:$AV$45,36,0)</f>
        <v>0</v>
      </c>
      <c r="G7" s="7">
        <f>VLOOKUP($A7,[6]HISTODEC23!$A$6:$AV$45,39,0)</f>
        <v>0</v>
      </c>
      <c r="H7" s="7">
        <f>IF(G7=0,0,VLOOKUP($A7,[6]HISTODEC23!$A$6:$AV$45,42,0))</f>
        <v>0</v>
      </c>
      <c r="I7" s="7">
        <f>VLOOKUP($A7,[6]HISTODEC23!$A$6:$AV$45,41,0)</f>
        <v>0</v>
      </c>
      <c r="J7" s="7">
        <f>TONTNOV23!F7+TONTNOV23!G7</f>
        <v>101000</v>
      </c>
      <c r="K7" s="7">
        <f>VLOOKUP($A7,[6]HISTODEC23!$A$6:$AV$45,17,0)</f>
        <v>0</v>
      </c>
      <c r="L7" s="7" t="str">
        <f>IF(K7&lt;&gt;0,VLOOKUP($A7,[6]HISTODEC23!$A$6:$BB$45,8,0),"ECHEC")</f>
        <v>ECHEC</v>
      </c>
      <c r="M7" s="7">
        <f>IF(P7=0,0,VLOOKUP($A7,[6]HISTODEC23!$A$6:$AV$45,32,0))</f>
        <v>0</v>
      </c>
      <c r="N7" s="7">
        <f>VLOOKUP($A7,[6]HISTODEC23!$A$6:$AV$45,33,0)</f>
        <v>0</v>
      </c>
      <c r="O7" s="7">
        <f t="shared" ref="O7:O20" si="1">IF(P7=0,0,($C$3-P7))</f>
        <v>0</v>
      </c>
      <c r="P7" s="7">
        <f>VLOOKUP($A7,[6]HISTODEC23!$A$6:$AV$45,30,0)</f>
        <v>0</v>
      </c>
    </row>
    <row r="8" spans="1:16" x14ac:dyDescent="0.25">
      <c r="A8" s="1" t="s">
        <v>26</v>
      </c>
      <c r="B8" s="7">
        <f>IF(D8=0,0,VLOOKUP($A8,[6]HISTODEC23!$A$6:$BB$45,12,0))</f>
        <v>1</v>
      </c>
      <c r="C8" s="1" t="str">
        <f>VLOOKUP(A8,[7]LISTADHERENT!A$5:H$60,3,0)</f>
        <v>DJOUKWE NANGUEN GUY BLAISE</v>
      </c>
      <c r="D8" s="7">
        <f>IF(E8="ECHEC",0,VLOOKUP($A8,[6]HISTODEC23!$A$6:$AR$45,13,0))</f>
        <v>75000</v>
      </c>
      <c r="E8" s="7" t="str">
        <f>VLOOKUP($A8,[6]HISTODEC23!$A$6:$AV$45,8,0)</f>
        <v>BANQUE</v>
      </c>
      <c r="F8" s="7">
        <f>VLOOKUP($A8,[6]HISTODEC23!$A$6:$AV$45,36,0)</f>
        <v>0</v>
      </c>
      <c r="G8" s="7">
        <f>VLOOKUP($A8,[6]HISTODEC23!$A$6:$AV$45,39,0)</f>
        <v>0</v>
      </c>
      <c r="H8" s="7">
        <f>IF(G8=0,0,VLOOKUP($A8,[6]HISTODEC23!$A$6:$AV$45,42,0))</f>
        <v>0</v>
      </c>
      <c r="I8" s="7">
        <f>VLOOKUP($A8,[6]HISTODEC23!$A$6:$AV$45,41,0)</f>
        <v>0</v>
      </c>
      <c r="J8" s="7">
        <f>TONTNOV23!F8+TONTNOV23!G8</f>
        <v>77000</v>
      </c>
      <c r="K8" s="7">
        <f>VLOOKUP($A8,[6]HISTODEC23!$A$6:$AV$45,17,0)</f>
        <v>77000</v>
      </c>
      <c r="L8" s="7" t="str">
        <f>IF(K8&lt;&gt;0,VLOOKUP($A8,[6]HISTODEC23!$A$6:$BB$45,8,0),"ECHEC")</f>
        <v>BANQUE</v>
      </c>
      <c r="M8" s="7">
        <f>IF(P8=0,0,VLOOKUP($A8,[6]HISTODEC23!$A$6:$AV$45,32,0))</f>
        <v>0</v>
      </c>
      <c r="N8" s="7">
        <f>VLOOKUP($A8,[6]HISTODEC23!$A$6:$AV$45,33,0)</f>
        <v>0</v>
      </c>
      <c r="O8" s="7">
        <f t="shared" si="1"/>
        <v>0</v>
      </c>
      <c r="P8" s="7">
        <f>VLOOKUP($A8,[6]HISTODEC23!$A$6:$AV$45,30,0)</f>
        <v>0</v>
      </c>
    </row>
    <row r="9" spans="1:16" x14ac:dyDescent="0.25">
      <c r="A9" s="1" t="s">
        <v>35</v>
      </c>
      <c r="B9" s="7">
        <f>IF(D9=0,0,VLOOKUP($A9,[6]HISTODEC23!$A$6:$BB$45,12,0))</f>
        <v>1</v>
      </c>
      <c r="C9" s="1" t="str">
        <f>VLOOKUP(A9,[7]LISTADHERENT!A$5:H$60,3,0)</f>
        <v>DJUOMBESSY ANTOINE</v>
      </c>
      <c r="D9" s="7">
        <f>IF(E9="ECHEC",0,VLOOKUP($A9,[6]HISTODEC23!$A$6:$AR$45,13,0))</f>
        <v>75000</v>
      </c>
      <c r="E9" s="7" t="str">
        <f>VLOOKUP($A9,[6]HISTODEC23!$A$6:$AV$45,8,0)</f>
        <v>BANQUE</v>
      </c>
      <c r="F9" s="7">
        <f>VLOOKUP($A9,[6]HISTODEC23!$A$6:$AV$45,36,0)</f>
        <v>0</v>
      </c>
      <c r="G9" s="7">
        <f>VLOOKUP($A9,[6]HISTODEC23!$A$6:$AV$45,39,0)</f>
        <v>0</v>
      </c>
      <c r="H9" s="7">
        <f>IF(G9=0,0,VLOOKUP($A9,[6]HISTODEC23!$A$6:$AV$45,42,0))</f>
        <v>0</v>
      </c>
      <c r="I9" s="7">
        <f>VLOOKUP($A9,[6]HISTODEC23!$A$6:$AV$45,41,0)</f>
        <v>0</v>
      </c>
      <c r="J9" s="7">
        <f>TONTNOV23!F9+TONTNOV23!G9</f>
        <v>51000</v>
      </c>
      <c r="K9" s="7">
        <f>VLOOKUP($A9,[6]HISTODEC23!$A$6:$AV$45,17,0)</f>
        <v>51000</v>
      </c>
      <c r="L9" s="7" t="str">
        <f>IF(K9&lt;&gt;0,VLOOKUP($A9,[6]HISTODEC23!$A$6:$BB$45,8,0),"ECHEC")</f>
        <v>BANQUE</v>
      </c>
      <c r="M9" s="7">
        <f>IF(P9=0,0,VLOOKUP($A9,[6]HISTODEC23!$A$6:$AV$45,32,0))</f>
        <v>0</v>
      </c>
      <c r="N9" s="7">
        <f>VLOOKUP($A9,[6]HISTODEC23!$A$6:$AV$45,33,0)</f>
        <v>0</v>
      </c>
      <c r="O9" s="7">
        <f t="shared" si="1"/>
        <v>0</v>
      </c>
      <c r="P9" s="7">
        <f>VLOOKUP($A9,[6]HISTODEC23!$A$6:$AV$45,30,0)</f>
        <v>0</v>
      </c>
    </row>
    <row r="10" spans="1:16" x14ac:dyDescent="0.25">
      <c r="A10" s="1" t="s">
        <v>19</v>
      </c>
      <c r="B10" s="7">
        <f>IF(D10=0,0,VLOOKUP($A10,[6]HISTODEC23!$A$6:$BB$45,12,0))</f>
        <v>1</v>
      </c>
      <c r="C10" s="1" t="str">
        <f>VLOOKUP(A10,[7]LISTADHERENT!A$5:H$60,3,0)</f>
        <v>HOTCHO BENJAMIN</v>
      </c>
      <c r="D10" s="7">
        <f>IF(E10="ECHEC",0,VLOOKUP($A10,[6]HISTODEC23!$A$6:$AR$45,13,0))</f>
        <v>75000</v>
      </c>
      <c r="E10" s="7" t="str">
        <f>VLOOKUP($A10,[6]HISTODEC23!$A$6:$AV$45,8,0)</f>
        <v>BANQUE</v>
      </c>
      <c r="F10" s="7">
        <f>VLOOKUP($A10,[6]HISTODEC23!$A$6:$AV$45,36,0)</f>
        <v>0</v>
      </c>
      <c r="G10" s="7">
        <f>VLOOKUP($A10,[6]HISTODEC23!$A$6:$AV$45,39,0)</f>
        <v>0</v>
      </c>
      <c r="H10" s="7">
        <f>IF(G10=0,0,VLOOKUP($A10,[6]HISTODEC23!$A$6:$AV$45,42,0))</f>
        <v>0</v>
      </c>
      <c r="I10" s="7">
        <f>VLOOKUP($A10,[6]HISTODEC23!$A$6:$AV$45,41,0)</f>
        <v>0</v>
      </c>
      <c r="J10" s="7">
        <f>TONTNOV23!F10+TONTNOV23!G10</f>
        <v>0</v>
      </c>
      <c r="K10" s="7">
        <f>VLOOKUP($A10,[6]HISTODEC23!$A$6:$AV$45,17,0)</f>
        <v>0</v>
      </c>
      <c r="L10" s="7" t="str">
        <f>IF(K10&lt;&gt;0,VLOOKUP($A10,[6]HISTODEC23!$A$6:$BB$45,8,0),"ECHEC")</f>
        <v>ECHEC</v>
      </c>
      <c r="M10" s="7">
        <f>IF(P10=0,0,VLOOKUP($A10,[6]HISTODEC23!$A$6:$AV$45,32,0))</f>
        <v>0</v>
      </c>
      <c r="N10" s="7">
        <f>VLOOKUP($A10,[6]HISTODEC23!$A$6:$AV$45,33,0)</f>
        <v>0</v>
      </c>
      <c r="O10" s="7">
        <f t="shared" si="1"/>
        <v>0</v>
      </c>
      <c r="P10" s="7">
        <f>VLOOKUP($A10,[6]HISTODEC23!$A$6:$AV$45,30,0)</f>
        <v>0</v>
      </c>
    </row>
    <row r="11" spans="1:16" x14ac:dyDescent="0.25">
      <c r="A11" s="1" t="s">
        <v>27</v>
      </c>
      <c r="B11" s="7">
        <f>IF(D11=0,0,VLOOKUP($A11,[6]HISTODEC23!$A$6:$BB$45,12,0))</f>
        <v>1</v>
      </c>
      <c r="C11" s="1" t="str">
        <f>VLOOKUP(A11,[7]LISTADHERENT!A$5:H$60,3,0)</f>
        <v>HENGUE PAUL OMER</v>
      </c>
      <c r="D11" s="7">
        <f>IF(E11="ECHEC",0,VLOOKUP($A11,[6]HISTODEC23!$A$6:$AR$45,13,0))</f>
        <v>75000</v>
      </c>
      <c r="E11" s="7" t="str">
        <f>VLOOKUP($A11,[6]HISTODEC23!$A$6:$AV$45,8,0)</f>
        <v>BANQUE</v>
      </c>
      <c r="F11" s="7">
        <f>VLOOKUP($A11,[6]HISTODEC23!$A$6:$AV$45,36,0)</f>
        <v>0</v>
      </c>
      <c r="G11" s="7">
        <f>VLOOKUP($A11,[6]HISTODEC23!$A$6:$AV$45,39,0)</f>
        <v>0</v>
      </c>
      <c r="H11" s="7">
        <f>IF(G11=0,0,VLOOKUP($A11,[6]HISTODEC23!$A$6:$AV$45,42,0))</f>
        <v>0</v>
      </c>
      <c r="I11" s="7">
        <f>VLOOKUP($A11,[6]HISTODEC23!$A$6:$AV$45,41,0)</f>
        <v>0</v>
      </c>
      <c r="J11" s="7">
        <f>TONTNOV23!F11+TONTNOV23!G11</f>
        <v>0</v>
      </c>
      <c r="K11" s="7">
        <f>VLOOKUP($A11,[6]HISTODEC23!$A$6:$AV$45,17,0)</f>
        <v>0</v>
      </c>
      <c r="L11" s="7" t="str">
        <f>IF(K11&lt;&gt;0,VLOOKUP($A11,[6]HISTODEC23!$A$6:$BB$45,8,0),"ECHEC")</f>
        <v>ECHEC</v>
      </c>
      <c r="M11" s="7">
        <f>IF(P11=0,0,VLOOKUP($A11,[6]HISTODEC23!$A$6:$AV$45,32,0))</f>
        <v>0</v>
      </c>
      <c r="N11" s="7">
        <f>VLOOKUP($A11,[6]HISTODEC23!$A$6:$AV$45,33,0)</f>
        <v>0</v>
      </c>
      <c r="O11" s="7">
        <f t="shared" si="1"/>
        <v>0</v>
      </c>
      <c r="P11" s="7">
        <f>VLOOKUP($A11,[6]HISTODEC23!$A$6:$AV$45,30,0)</f>
        <v>0</v>
      </c>
    </row>
    <row r="12" spans="1:16" x14ac:dyDescent="0.25">
      <c r="A12" s="1" t="s">
        <v>8</v>
      </c>
      <c r="B12" s="7">
        <f>IF(D12=0,0,VLOOKUP($A12,[6]HISTODEC23!$A$6:$BB$45,12,0))</f>
        <v>1</v>
      </c>
      <c r="C12" s="1" t="str">
        <f>VLOOKUP(A12,[7]LISTADHERENT!A$5:H$60,3,0)</f>
        <v>KOUATCHO MESSACK</v>
      </c>
      <c r="D12" s="7">
        <f>IF(E12="ECHEC",0,VLOOKUP($A12,[6]HISTODEC23!$A$6:$AR$45,13,0))</f>
        <v>75000</v>
      </c>
      <c r="E12" s="7" t="str">
        <f>VLOOKUP($A12,[6]HISTODEC23!$A$6:$AV$45,8,0)</f>
        <v>BANQUE</v>
      </c>
      <c r="F12" s="7">
        <f>VLOOKUP($A12,[6]HISTODEC23!$A$6:$AV$45,36,0)</f>
        <v>0</v>
      </c>
      <c r="G12" s="7">
        <f>VLOOKUP($A12,[6]HISTODEC23!$A$6:$AV$45,39,0)</f>
        <v>0</v>
      </c>
      <c r="H12" s="7">
        <f>IF(G12=0,0,VLOOKUP($A12,[6]HISTODEC23!$A$6:$AV$45,42,0))</f>
        <v>0</v>
      </c>
      <c r="I12" s="7">
        <f>VLOOKUP($A12,[6]HISTODEC23!$A$6:$AV$45,41,0)</f>
        <v>0</v>
      </c>
      <c r="J12" s="7">
        <f>TONTNOV23!F12+TONTNOV23!G12</f>
        <v>202000</v>
      </c>
      <c r="K12" s="7">
        <f>VLOOKUP($A12,[6]HISTODEC23!$A$6:$AV$45,17,0)</f>
        <v>202000</v>
      </c>
      <c r="L12" s="7" t="str">
        <f>IF(K12&lt;&gt;0,VLOOKUP($A12,[6]HISTODEC23!$A$6:$BB$45,8,0),"ECHEC")</f>
        <v>BANQUE</v>
      </c>
      <c r="M12" s="7">
        <f>IF(P12=0,0,VLOOKUP($A12,[6]HISTODEC23!$A$6:$AV$45,32,0))</f>
        <v>0</v>
      </c>
      <c r="N12" s="7">
        <f>VLOOKUP($A12,[6]HISTODEC23!$A$6:$AV$45,33,0)</f>
        <v>0</v>
      </c>
      <c r="O12" s="7">
        <f t="shared" si="1"/>
        <v>0</v>
      </c>
      <c r="P12" s="7">
        <f>VLOOKUP($A12,[6]HISTODEC23!$A$6:$AV$45,30,0)</f>
        <v>0</v>
      </c>
    </row>
    <row r="13" spans="1:16" x14ac:dyDescent="0.25">
      <c r="A13" s="1" t="s">
        <v>22</v>
      </c>
      <c r="B13" s="7">
        <f>IF(D13=0,0,VLOOKUP($A13,[6]HISTODEC23!$A$6:$BB$45,12,0))</f>
        <v>1</v>
      </c>
      <c r="C13" s="1" t="str">
        <f>VLOOKUP(A13,[7]LISTADHERENT!A$5:H$60,3,0)</f>
        <v>MBOGNING TUGMA GUY</v>
      </c>
      <c r="D13" s="7">
        <f>IF(E13="ECHEC",0,VLOOKUP($A13,[6]HISTODEC23!$A$6:$AR$45,13,0))</f>
        <v>75000</v>
      </c>
      <c r="E13" s="7" t="str">
        <f>VLOOKUP($A13,[6]HISTODEC23!$A$6:$AV$45,8,0)</f>
        <v>ESPECES</v>
      </c>
      <c r="F13" s="7">
        <f>VLOOKUP($A13,[6]HISTODEC23!$A$6:$AV$45,36,0)</f>
        <v>0</v>
      </c>
      <c r="G13" s="7">
        <f>VLOOKUP($A13,[6]HISTODEC23!$A$6:$AV$45,39,0)</f>
        <v>0</v>
      </c>
      <c r="H13" s="7">
        <f>IF(G13=0,0,VLOOKUP($A13,[6]HISTODEC23!$A$6:$AV$45,42,0))</f>
        <v>0</v>
      </c>
      <c r="I13" s="7">
        <f>VLOOKUP($A13,[6]HISTODEC23!$A$6:$AV$45,41,0)</f>
        <v>0</v>
      </c>
      <c r="J13" s="7">
        <f>TONTNOV23!F13+TONTNOV23!G13</f>
        <v>307000</v>
      </c>
      <c r="K13" s="7">
        <f>VLOOKUP($A13,[6]HISTODEC23!$A$6:$AV$45,17,0)</f>
        <v>307000</v>
      </c>
      <c r="L13" s="7" t="str">
        <f>IF(K13&lt;&gt;0,VLOOKUP($A13,[6]HISTODEC23!$A$6:$BB$45,8,0),"ECHEC")</f>
        <v>ESPECES</v>
      </c>
      <c r="M13" s="7">
        <f>IF(P13=0,0,VLOOKUP($A13,[6]HISTODEC23!$A$6:$AV$45,32,0))</f>
        <v>0</v>
      </c>
      <c r="N13" s="7">
        <f>VLOOKUP($A13,[6]HISTODEC23!$A$6:$AV$45,33,0)</f>
        <v>0</v>
      </c>
      <c r="O13" s="7">
        <f t="shared" si="1"/>
        <v>0</v>
      </c>
      <c r="P13" s="7">
        <f>VLOOKUP($A13,[6]HISTODEC23!$A$6:$AV$45,30,0)</f>
        <v>0</v>
      </c>
    </row>
    <row r="14" spans="1:16" x14ac:dyDescent="0.25">
      <c r="A14" s="1" t="s">
        <v>9</v>
      </c>
      <c r="B14" s="7">
        <f>IF(D14=0,0,VLOOKUP($A14,[6]HISTODEC23!$A$6:$BB$45,12,0))</f>
        <v>1</v>
      </c>
      <c r="C14" s="1" t="str">
        <f>VLOOKUP(A14,[7]LISTADHERENT!A$5:H$60,3,0)</f>
        <v>NANKAM APPOLINAIRE</v>
      </c>
      <c r="D14" s="7">
        <f>IF(E14="ECHEC",0,VLOOKUP($A14,[6]HISTODEC23!$A$6:$AR$45,13,0))</f>
        <v>75000</v>
      </c>
      <c r="E14" s="7" t="str">
        <f>VLOOKUP($A14,[6]HISTODEC23!$A$6:$AV$45,8,0)</f>
        <v>BANQUE</v>
      </c>
      <c r="F14" s="7">
        <f>VLOOKUP($A14,[6]HISTODEC23!$A$6:$AV$45,36,0)</f>
        <v>0</v>
      </c>
      <c r="G14" s="7">
        <f>VLOOKUP($A14,[6]HISTODEC23!$A$6:$AV$45,39,0)</f>
        <v>0</v>
      </c>
      <c r="H14" s="7">
        <f>IF(G14=0,0,VLOOKUP($A14,[6]HISTODEC23!$A$6:$AV$45,42,0))</f>
        <v>0</v>
      </c>
      <c r="I14" s="7">
        <f>VLOOKUP($A14,[6]HISTODEC23!$A$6:$AV$45,41,0)</f>
        <v>0</v>
      </c>
      <c r="J14" s="7">
        <f>TONTNOV23!F14+TONTNOV23!G14</f>
        <v>0</v>
      </c>
      <c r="K14" s="7">
        <f>VLOOKUP($A14,[6]HISTODEC23!$A$6:$AV$45,17,0)</f>
        <v>0</v>
      </c>
      <c r="L14" s="7" t="str">
        <f>IF(K14&lt;&gt;0,VLOOKUP($A14,[6]HISTODEC23!$A$6:$BB$45,8,0),"ECHEC")</f>
        <v>ECHEC</v>
      </c>
      <c r="M14" s="7">
        <f>IF(P14=0,0,VLOOKUP($A14,[6]HISTODEC23!$A$6:$AV$45,32,0))</f>
        <v>0</v>
      </c>
      <c r="N14" s="7">
        <f>VLOOKUP($A14,[6]HISTODEC23!$A$6:$AV$45,33,0)</f>
        <v>0</v>
      </c>
      <c r="O14" s="7">
        <f t="shared" si="1"/>
        <v>0</v>
      </c>
      <c r="P14" s="7">
        <f>VLOOKUP($A14,[6]HISTODEC23!$A$6:$AV$45,30,0)</f>
        <v>0</v>
      </c>
    </row>
    <row r="15" spans="1:16" x14ac:dyDescent="0.25">
      <c r="A15" s="1" t="s">
        <v>37</v>
      </c>
      <c r="B15" s="7">
        <f>IF(D15=0,0,VLOOKUP($A15,[6]HISTODEC23!$A$6:$BB$45,12,0))</f>
        <v>1</v>
      </c>
      <c r="C15" s="1" t="str">
        <f>VLOOKUP(A15,[7]LISTADHERENT!A$5:H$60,3,0)</f>
        <v>NGONDIEP CLAUDE</v>
      </c>
      <c r="D15" s="7">
        <f>IF(E15="ECHEC",0,VLOOKUP($A15,[6]HISTODEC23!$A$6:$AR$45,13,0))</f>
        <v>75000</v>
      </c>
      <c r="E15" s="7" t="str">
        <f>VLOOKUP($A15,[6]HISTODEC23!$A$6:$AV$45,8,0)</f>
        <v>BANQUE</v>
      </c>
      <c r="F15" s="7">
        <f>VLOOKUP($A15,[6]HISTODEC23!$A$6:$AV$45,36,0)</f>
        <v>0</v>
      </c>
      <c r="G15" s="7">
        <f>VLOOKUP($A15,[6]HISTODEC23!$A$6:$AV$45,39,0)</f>
        <v>0</v>
      </c>
      <c r="H15" s="7">
        <f>IF(G15=0,0,VLOOKUP($A15,[6]HISTODEC23!$A$6:$AV$45,42,0))</f>
        <v>0</v>
      </c>
      <c r="I15" s="7">
        <f>VLOOKUP($A15,[6]HISTODEC23!$A$6:$AV$45,41,0)</f>
        <v>0</v>
      </c>
      <c r="J15" s="7">
        <f>TONTNOV23!F15+TONTNOV23!G15</f>
        <v>0</v>
      </c>
      <c r="K15" s="7">
        <f>VLOOKUP($A15,[6]HISTODEC23!$A$6:$AV$45,17,0)</f>
        <v>0</v>
      </c>
      <c r="L15" s="7" t="str">
        <f>IF(K15&lt;&gt;0,VLOOKUP($A15,[6]HISTODEC23!$A$6:$BB$45,8,0),"ECHEC")</f>
        <v>ECHEC</v>
      </c>
      <c r="M15" s="7">
        <f>IF(P15=0,0,VLOOKUP($A15,[6]HISTODEC23!$A$6:$AV$45,32,0))</f>
        <v>0</v>
      </c>
      <c r="N15" s="7">
        <f>VLOOKUP($A15,[6]HISTODEC23!$A$6:$AV$45,33,0)</f>
        <v>0</v>
      </c>
      <c r="O15" s="7">
        <f t="shared" si="1"/>
        <v>0</v>
      </c>
      <c r="P15" s="7">
        <f>VLOOKUP($A15,[6]HISTODEC23!$A$6:$AV$45,30,0)</f>
        <v>0</v>
      </c>
    </row>
    <row r="16" spans="1:16" x14ac:dyDescent="0.25">
      <c r="A16" s="1" t="s">
        <v>21</v>
      </c>
      <c r="B16" s="7">
        <f>IF(D16=0,0,VLOOKUP($A16,[6]HISTODEC23!$A$6:$BB$45,12,0))</f>
        <v>2</v>
      </c>
      <c r="C16" s="1" t="str">
        <f>VLOOKUP(A16,[7]LISTADHERENT!A$5:H$60,3,0)</f>
        <v>NGUIEMEGNI MATHIEU BLAISE</v>
      </c>
      <c r="D16" s="7">
        <f>IF(E16="ECHEC",0,VLOOKUP($A16,[6]HISTODEC23!$A$6:$AR$45,13,0))</f>
        <v>150000</v>
      </c>
      <c r="E16" s="7" t="str">
        <f>VLOOKUP($A16,[6]HISTODEC23!$A$6:$AV$45,8,0)</f>
        <v>BANQUE</v>
      </c>
      <c r="F16" s="7">
        <f>VLOOKUP($A16,[6]HISTODEC23!$A$6:$AV$45,36,0)</f>
        <v>0</v>
      </c>
      <c r="G16" s="7">
        <f>VLOOKUP($A16,[6]HISTODEC23!$A$6:$AV$45,39,0)</f>
        <v>0</v>
      </c>
      <c r="H16" s="7">
        <f>IF(G16=0,0,VLOOKUP($A16,[6]HISTODEC23!$A$6:$AV$45,42,0))</f>
        <v>0</v>
      </c>
      <c r="I16" s="7">
        <f>VLOOKUP($A16,[6]HISTODEC23!$A$6:$AV$45,41,0)</f>
        <v>0</v>
      </c>
      <c r="J16" s="7">
        <f>TONTNOV23!F16+TONTNOV23!G16</f>
        <v>0</v>
      </c>
      <c r="K16" s="7">
        <f>VLOOKUP($A16,[6]HISTODEC23!$A$6:$AV$45,17,0)</f>
        <v>0</v>
      </c>
      <c r="L16" s="7" t="str">
        <f>IF(K16&lt;&gt;0,VLOOKUP($A16,[6]HISTODEC23!$A$6:$BB$45,8,0),"ECHEC")</f>
        <v>ECHEC</v>
      </c>
      <c r="M16" s="7">
        <f>IF(P16=0,0,VLOOKUP($A16,[6]HISTODEC23!$A$6:$AV$45,32,0))</f>
        <v>0</v>
      </c>
      <c r="N16" s="7">
        <f>VLOOKUP($A16,[6]HISTODEC23!$A$6:$AV$45,33,0)</f>
        <v>0</v>
      </c>
      <c r="O16" s="7">
        <f t="shared" si="1"/>
        <v>0</v>
      </c>
      <c r="P16" s="7">
        <f>VLOOKUP($A16,[6]HISTODEC23!$A$6:$AV$45,30,0)</f>
        <v>0</v>
      </c>
    </row>
    <row r="17" spans="1:16" x14ac:dyDescent="0.25">
      <c r="A17" s="1" t="s">
        <v>28</v>
      </c>
      <c r="B17" s="7">
        <f>IF(D17=0,0,VLOOKUP($A17,[6]HISTODEC23!$A$6:$BB$45,12,0))</f>
        <v>1</v>
      </c>
      <c r="C17" s="1" t="str">
        <f>VLOOKUP(A17,[7]LISTADHERENT!A$5:H$60,3,0)</f>
        <v>PATEGO NJOSSU GUSTAVE</v>
      </c>
      <c r="D17" s="7">
        <f>IF(E17="ECHEC",0,VLOOKUP($A17,[6]HISTODEC23!$A$6:$AR$45,13,0))</f>
        <v>75000</v>
      </c>
      <c r="E17" s="7" t="str">
        <f>VLOOKUP($A17,[6]HISTODEC23!$A$6:$AV$45,8,0)</f>
        <v>BANQUE</v>
      </c>
      <c r="F17" s="7">
        <f>VLOOKUP($A17,[6]HISTODEC23!$A$6:$AV$45,36,0)</f>
        <v>0</v>
      </c>
      <c r="G17" s="7">
        <f>VLOOKUP($A17,[6]HISTODEC23!$A$6:$AV$45,39,0)</f>
        <v>0</v>
      </c>
      <c r="H17" s="7">
        <f>IF(G17=0,0,VLOOKUP($A17,[6]HISTODEC23!$A$6:$AV$45,42,0))</f>
        <v>0</v>
      </c>
      <c r="I17" s="7">
        <f>VLOOKUP($A17,[6]HISTODEC23!$A$6:$AV$45,41,0)</f>
        <v>0</v>
      </c>
      <c r="J17" s="7">
        <f>TONTNOV23!F17+TONTNOV23!G17</f>
        <v>0</v>
      </c>
      <c r="K17" s="7">
        <f>VLOOKUP($A17,[6]HISTODEC23!$A$6:$AV$45,17,0)</f>
        <v>0</v>
      </c>
      <c r="L17" s="7" t="str">
        <f>IF(K17&lt;&gt;0,VLOOKUP($A17,[6]HISTODEC23!$A$6:$BB$45,8,0),"ECHEC")</f>
        <v>ECHEC</v>
      </c>
      <c r="M17" s="7">
        <f>IF(P17=0,0,VLOOKUP($A17,[6]HISTODEC23!$A$6:$AV$45,32,0))</f>
        <v>0</v>
      </c>
      <c r="N17" s="7">
        <f>VLOOKUP($A17,[6]HISTODEC23!$A$6:$AV$45,33,0)</f>
        <v>0</v>
      </c>
      <c r="O17" s="7">
        <f t="shared" si="1"/>
        <v>0</v>
      </c>
      <c r="P17" s="7">
        <f>VLOOKUP($A17,[6]HISTODEC23!$A$6:$AV$45,30,0)</f>
        <v>0</v>
      </c>
    </row>
    <row r="18" spans="1:16" x14ac:dyDescent="0.25">
      <c r="A18" s="9" t="s">
        <v>36</v>
      </c>
      <c r="B18" s="7">
        <f>IF(D18=0,0,VLOOKUP($A18,[6]HISTODEC23!$A$6:$BB$45,12,0))</f>
        <v>1</v>
      </c>
      <c r="C18" s="1" t="str">
        <f>VLOOKUP(A18,[7]LISTADHERENT!A$5:H$60,3,0)</f>
        <v>SIME BRICE</v>
      </c>
      <c r="D18" s="7">
        <f>IF(E18="ECHEC",0,VLOOKUP($A18,[6]HISTODEC23!$A$6:$AR$45,13,0))</f>
        <v>75000</v>
      </c>
      <c r="E18" s="7" t="str">
        <f>VLOOKUP($A18,[6]HISTODEC23!$A$6:$AV$45,8,0)</f>
        <v>BANQUE</v>
      </c>
      <c r="F18" s="7">
        <f>VLOOKUP($A18,[6]HISTODEC23!$A$6:$AV$45,36,0)</f>
        <v>0</v>
      </c>
      <c r="G18" s="7">
        <f>VLOOKUP($A18,[6]HISTODEC23!$A$6:$AV$45,39,0)</f>
        <v>0</v>
      </c>
      <c r="H18" s="7">
        <f>IF(G18=0,0,VLOOKUP($A18,[6]HISTODEC23!$A$6:$AV$45,42,0))</f>
        <v>0</v>
      </c>
      <c r="I18" s="7">
        <f>VLOOKUP($A18,[6]HISTODEC23!$A$6:$AV$45,41,0)</f>
        <v>0</v>
      </c>
      <c r="J18" s="7">
        <f>TONTNOV23!F18+TONTNOV23!G18</f>
        <v>0</v>
      </c>
      <c r="K18" s="7">
        <f>VLOOKUP($A18,[6]HISTODEC23!$A$6:$AV$45,17,0)</f>
        <v>0</v>
      </c>
      <c r="L18" s="7" t="str">
        <f>IF(K18&lt;&gt;0,VLOOKUP($A18,[6]HISTODEC23!$A$6:$BB$45,8,0),"ECHEC")</f>
        <v>ECHEC</v>
      </c>
      <c r="M18" s="7">
        <f>IF(P18=0,0,VLOOKUP($A18,[6]HISTODEC23!$A$6:$AV$45,32,0))</f>
        <v>0</v>
      </c>
      <c r="N18" s="7">
        <f>VLOOKUP($A18,[6]HISTODEC23!$A$6:$AV$45,33,0)</f>
        <v>0</v>
      </c>
      <c r="O18" s="7">
        <f t="shared" si="1"/>
        <v>0</v>
      </c>
      <c r="P18" s="7">
        <f>VLOOKUP($A18,[6]HISTODEC23!$A$6:$AV$45,30,0)</f>
        <v>0</v>
      </c>
    </row>
    <row r="19" spans="1:16" x14ac:dyDescent="0.25">
      <c r="A19" s="9" t="s">
        <v>50</v>
      </c>
      <c r="B19" s="7">
        <f>IF(D19=0,0,VLOOKUP($A19,[6]HISTODEC23!$A$6:$BB$45,12,0))</f>
        <v>1</v>
      </c>
      <c r="C19" s="1" t="str">
        <f>VLOOKUP(A19,[7]LISTADHERENT!A$5:H$60,3,0)</f>
        <v>TCHOUAMOU MATHIEU</v>
      </c>
      <c r="D19" s="7">
        <f>IF(E19="ECHEC",0,VLOOKUP($A19,[6]HISTODEC23!$A$6:$AR$45,13,0))</f>
        <v>75000</v>
      </c>
      <c r="E19" s="7" t="str">
        <f>VLOOKUP($A19,[6]HISTODEC23!$A$6:$AV$45,8,0)</f>
        <v>BANQUE</v>
      </c>
      <c r="F19" s="7">
        <f>VLOOKUP($A19,[6]HISTODEC23!$A$6:$AV$45,36,0)</f>
        <v>0</v>
      </c>
      <c r="G19" s="7">
        <f>VLOOKUP($A19,[6]HISTODEC23!$A$6:$AV$45,39,0)</f>
        <v>0</v>
      </c>
      <c r="H19" s="7">
        <f>IF(G19=0,0,VLOOKUP($A19,[6]HISTODEC23!$A$6:$AV$45,42,0))</f>
        <v>0</v>
      </c>
      <c r="I19" s="7">
        <f>VLOOKUP($A19,[6]HISTODEC23!$A$6:$AV$45,41,0)</f>
        <v>0</v>
      </c>
      <c r="J19" s="7">
        <f>TONTNOV23!F19+TONTNOV23!G19</f>
        <v>101000</v>
      </c>
      <c r="K19" s="7">
        <f>VLOOKUP($A19,[6]HISTODEC23!$A$6:$AV$45,17,0)</f>
        <v>101000</v>
      </c>
      <c r="L19" s="7" t="str">
        <f>IF(K19&lt;&gt;0,VLOOKUP($A19,[6]HISTODEC23!$A$6:$BB$45,8,0),"ECHEC")</f>
        <v>BANQUE</v>
      </c>
      <c r="M19" s="7">
        <f>IF(P19=0,0,VLOOKUP($A19,[6]HISTODEC23!$A$6:$AV$45,32,0))</f>
        <v>0</v>
      </c>
      <c r="N19" s="7">
        <f>VLOOKUP($A19,[6]HISTODEC23!$A$6:$AV$45,33,0)</f>
        <v>0</v>
      </c>
      <c r="O19" s="7">
        <f t="shared" si="1"/>
        <v>0</v>
      </c>
      <c r="P19" s="7">
        <f>VLOOKUP($A19,[6]HISTODEC23!$A$6:$AV$45,30,0)</f>
        <v>0</v>
      </c>
    </row>
    <row r="20" spans="1:16" x14ac:dyDescent="0.25">
      <c r="A20" s="1" t="s">
        <v>20</v>
      </c>
      <c r="B20" s="7">
        <f>IF(D20=0,0,VLOOKUP($A20,[6]HISTODEC23!$A$6:$BB$45,12,0))</f>
        <v>2</v>
      </c>
      <c r="C20" s="1" t="str">
        <f>VLOOKUP(A20,[7]LISTADHERENT!A$5:H$60,3,0)</f>
        <v>YOUMBI EMMANUEL</v>
      </c>
      <c r="D20" s="7">
        <f>IF(E20="ECHEC",0,VLOOKUP($A20,[6]HISTODEC23!$A$6:$AR$45,13,0))</f>
        <v>150000</v>
      </c>
      <c r="E20" s="7" t="str">
        <f>VLOOKUP($A20,[6]HISTODEC23!$A$6:$AV$45,8,0)</f>
        <v>BANQUE</v>
      </c>
      <c r="F20" s="7">
        <f>VLOOKUP($A20,[6]HISTODEC23!$A$6:$AV$45,36,0)</f>
        <v>0</v>
      </c>
      <c r="G20" s="7">
        <f>VLOOKUP($A20,[6]HISTODEC23!$A$6:$AV$45,39,0)</f>
        <v>0</v>
      </c>
      <c r="H20" s="7">
        <f>IF(G20=0,0,VLOOKUP($A20,[6]HISTODEC23!$A$6:$AV$45,42,0))</f>
        <v>0</v>
      </c>
      <c r="I20" s="7">
        <f>VLOOKUP($A20,[6]HISTODEC23!$A$6:$AV$45,41,0)</f>
        <v>0</v>
      </c>
      <c r="J20" s="7">
        <f>TONTNOV23!F20+TONTNOV23!G20</f>
        <v>0</v>
      </c>
      <c r="K20" s="7">
        <f>VLOOKUP($A20,[6]HISTODEC23!$A$6:$AV$45,17,0)</f>
        <v>0</v>
      </c>
      <c r="L20" s="7" t="str">
        <f>IF(K20&lt;&gt;0,VLOOKUP($A20,[6]HISTODEC23!$A$6:$BB$45,8,0),"ECHEC")</f>
        <v>ECHEC</v>
      </c>
      <c r="M20" s="7">
        <f>IF(P20=0,0,VLOOKUP($A20,[6]HISTODEC23!$A$6:$AV$45,32,0))</f>
        <v>0</v>
      </c>
      <c r="N20" s="7">
        <f>VLOOKUP($A20,[6]HISTODEC23!$A$6:$AV$45,33,0)</f>
        <v>0</v>
      </c>
      <c r="O20" s="7">
        <f t="shared" si="1"/>
        <v>0</v>
      </c>
      <c r="P20" s="7">
        <f>VLOOKUP($A20,[6]HISTODEC23!$A$6:$AV$45,30,0)</f>
        <v>0</v>
      </c>
    </row>
    <row r="21" spans="1:16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16" ht="18" x14ac:dyDescent="0.25">
      <c r="A22" s="1" t="s">
        <v>38</v>
      </c>
      <c r="B22" s="8">
        <f>SUM(B6:B21)</f>
        <v>17</v>
      </c>
      <c r="G22" s="11"/>
    </row>
    <row r="23" spans="1:16" ht="18" x14ac:dyDescent="0.25">
      <c r="A23" s="1" t="s">
        <v>39</v>
      </c>
      <c r="B23" s="15">
        <f>COUNT(D6:D21)</f>
        <v>15</v>
      </c>
      <c r="C23" s="8"/>
      <c r="D23" s="8">
        <f t="shared" ref="D23:P23" si="2">SUM(D6:D22)</f>
        <v>1275000</v>
      </c>
      <c r="E23" s="8">
        <f t="shared" si="2"/>
        <v>0</v>
      </c>
      <c r="F23" s="8">
        <f t="shared" si="2"/>
        <v>0</v>
      </c>
      <c r="G23" s="8">
        <f t="shared" si="2"/>
        <v>0</v>
      </c>
      <c r="H23" s="8">
        <f t="shared" si="2"/>
        <v>0</v>
      </c>
      <c r="I23" s="8">
        <f t="shared" si="2"/>
        <v>0</v>
      </c>
      <c r="J23" s="8">
        <f t="shared" si="2"/>
        <v>839000</v>
      </c>
      <c r="K23" s="8">
        <f t="shared" si="2"/>
        <v>738000</v>
      </c>
      <c r="L23" s="8">
        <f t="shared" si="2"/>
        <v>0</v>
      </c>
      <c r="M23" s="8">
        <f t="shared" si="2"/>
        <v>0</v>
      </c>
      <c r="N23" s="8">
        <f t="shared" si="2"/>
        <v>0</v>
      </c>
      <c r="O23" s="8">
        <f t="shared" si="2"/>
        <v>892500</v>
      </c>
      <c r="P23" s="8">
        <f t="shared" si="2"/>
        <v>7500</v>
      </c>
    </row>
    <row r="24" spans="1:16" s="2" customFormat="1" ht="29.25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16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D29+E29+P23+TONTNOV23!M30</f>
        <v>2024500</v>
      </c>
      <c r="L25" s="5"/>
      <c r="M25"/>
      <c r="N25" s="5"/>
    </row>
    <row r="26" spans="1:16" s="2" customFormat="1" ht="18" x14ac:dyDescent="0.25">
      <c r="D26" s="8">
        <f>SUMIFS(D6:D22,E6:E22,"ESPECES")</f>
        <v>75000</v>
      </c>
      <c r="E26" s="8">
        <f>SUMIFS(K6:K20,L6:L20,"ESPECES")</f>
        <v>307000</v>
      </c>
      <c r="F26" s="8">
        <f>SUMIFS(F7:F22,H7:H22,"ESPECES")</f>
        <v>0</v>
      </c>
      <c r="G26" s="8">
        <f>SUMIFS(O7:O22,M7:M22,"ESPECES")</f>
        <v>0</v>
      </c>
      <c r="H26" s="8">
        <f>D26+E26-F26-G26</f>
        <v>382000</v>
      </c>
      <c r="I26" s="8"/>
      <c r="J26" s="8" t="s">
        <v>33</v>
      </c>
      <c r="K26" s="8">
        <f>C3*COUNTIF(O7:O22,"&gt;0")</f>
        <v>0</v>
      </c>
      <c r="L26" s="8">
        <f>D3</f>
        <v>2</v>
      </c>
      <c r="M26" s="8">
        <f>COUNTIF(O6:O17,"&gt;0")</f>
        <v>1</v>
      </c>
      <c r="N26" s="8"/>
    </row>
    <row r="27" spans="1:16" s="2" customFormat="1" ht="18" x14ac:dyDescent="0.25">
      <c r="D27" s="8">
        <f>SUMIFS(D6:D22,E6:E22,"BANQUE")</f>
        <v>1200000</v>
      </c>
      <c r="E27" s="8">
        <f>SUMIFS(K6:K20,L6:L20,"BANQUE")</f>
        <v>431000</v>
      </c>
      <c r="F27" s="8">
        <f>SUMIFS(F7:F22,H7:H22,"BANQUE")</f>
        <v>0</v>
      </c>
      <c r="G27" s="8">
        <f>SUMIFS(O7:O22,M7:M22,"BANQUE")</f>
        <v>0</v>
      </c>
      <c r="H27" s="8">
        <f>D27+E27-F27-G27</f>
        <v>1631000</v>
      </c>
      <c r="I27" s="8"/>
      <c r="K27" s="8"/>
      <c r="L27" s="8"/>
      <c r="M27" s="8"/>
      <c r="N27" s="8"/>
    </row>
    <row r="28" spans="1:16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2024500</v>
      </c>
      <c r="L28" s="8"/>
      <c r="M28" s="8"/>
      <c r="N28" s="8"/>
    </row>
    <row r="29" spans="1:16" s="2" customFormat="1" ht="18" x14ac:dyDescent="0.25">
      <c r="D29" s="8">
        <f>D26+D27</f>
        <v>1275000</v>
      </c>
      <c r="E29" s="8">
        <f>E26+E27</f>
        <v>738000</v>
      </c>
      <c r="F29" s="8">
        <f>F26+F27</f>
        <v>0</v>
      </c>
      <c r="G29" s="8">
        <f t="shared" ref="G29:H29" si="3">G26+G27</f>
        <v>0</v>
      </c>
      <c r="H29" s="8">
        <f t="shared" si="3"/>
        <v>2013000</v>
      </c>
      <c r="I29" s="8"/>
      <c r="K29" s="8"/>
      <c r="L29" s="8"/>
      <c r="M29" s="8"/>
      <c r="N29" s="8"/>
    </row>
    <row r="30" spans="1:16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2024500</v>
      </c>
      <c r="L30"/>
      <c r="M30" s="8">
        <f>K30</f>
        <v>2024500</v>
      </c>
      <c r="N30" s="8" t="s">
        <v>30</v>
      </c>
    </row>
    <row r="31" spans="1:16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16" ht="18" x14ac:dyDescent="0.25">
      <c r="J32" s="8" t="s">
        <v>46</v>
      </c>
      <c r="K32" s="8">
        <f>COUNTIFS(E7:E21,"ECHEC")*75000</f>
        <v>0</v>
      </c>
      <c r="M32" s="8">
        <f>TONTNOV23!M32+TONTDEC23!K32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101000</v>
      </c>
      <c r="M33" s="8">
        <f>TONTNOV23!M33+TONTDEC23!K33</f>
        <v>101000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pane xSplit="3" ySplit="5" topLeftCell="I21" activePane="bottomRight" state="frozen"/>
      <selection activeCell="E16" sqref="E16"/>
      <selection pane="topRight" activeCell="E16" sqref="E16"/>
      <selection pane="bottomLeft" activeCell="E16" sqref="E16"/>
      <selection pane="bottomRight" activeCell="T6" sqref="T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9" customWidth="1"/>
    <col min="14" max="14" width="15.5703125" style="3" customWidth="1"/>
    <col min="15" max="16" width="18.140625" style="2" customWidth="1"/>
    <col min="19" max="19" width="13.140625" customWidth="1"/>
    <col min="20" max="20" width="14.140625" customWidth="1"/>
  </cols>
  <sheetData>
    <row r="1" spans="1:20" x14ac:dyDescent="0.25">
      <c r="A1" s="1" t="s">
        <v>0</v>
      </c>
      <c r="B1" s="1" t="s">
        <v>1</v>
      </c>
      <c r="D1" s="1"/>
      <c r="E1" s="1"/>
      <c r="L1" s="1"/>
      <c r="M1" s="1"/>
    </row>
    <row r="2" spans="1:20" x14ac:dyDescent="0.25">
      <c r="A2" s="1" t="s">
        <v>2</v>
      </c>
      <c r="B2" s="1">
        <v>2023</v>
      </c>
      <c r="C2" s="1" t="s">
        <v>31</v>
      </c>
      <c r="D2" s="1" t="s">
        <v>34</v>
      </c>
      <c r="E2" s="1"/>
      <c r="L2" s="1"/>
      <c r="M2" s="1"/>
    </row>
    <row r="3" spans="1:20" x14ac:dyDescent="0.25">
      <c r="A3" s="1" t="s">
        <v>32</v>
      </c>
      <c r="B3" s="4">
        <v>75000</v>
      </c>
      <c r="C3" s="4">
        <f>B3*12</f>
        <v>900000</v>
      </c>
      <c r="D3" s="1">
        <f>ROUNDDOWN(K25/C3,0)</f>
        <v>0</v>
      </c>
      <c r="E3" s="1"/>
      <c r="L3" s="1"/>
      <c r="M3" s="1"/>
    </row>
    <row r="4" spans="1:20" s="12" customFormat="1" ht="18" x14ac:dyDescent="0.25">
      <c r="B4" s="13"/>
      <c r="C4" s="19" t="s">
        <v>53</v>
      </c>
      <c r="D4" s="20"/>
      <c r="E4" s="20"/>
      <c r="F4" s="20"/>
      <c r="G4" s="20"/>
      <c r="H4" s="20"/>
      <c r="I4" s="20"/>
      <c r="J4" s="20"/>
      <c r="L4" s="14"/>
      <c r="M4" s="14"/>
      <c r="N4" s="14"/>
      <c r="O4" s="14"/>
    </row>
    <row r="5" spans="1:20" ht="57.75" x14ac:dyDescent="0.25">
      <c r="A5" s="1" t="s">
        <v>3</v>
      </c>
      <c r="B5" s="1" t="s">
        <v>40</v>
      </c>
      <c r="C5" s="1" t="s">
        <v>4</v>
      </c>
      <c r="D5" s="5" t="s">
        <v>5</v>
      </c>
      <c r="E5" s="6" t="s">
        <v>41</v>
      </c>
      <c r="F5" s="4" t="s">
        <v>15</v>
      </c>
      <c r="G5" s="5" t="s">
        <v>11</v>
      </c>
      <c r="H5" s="5" t="s">
        <v>16</v>
      </c>
      <c r="I5" s="10" t="s">
        <v>24</v>
      </c>
      <c r="J5" s="5" t="s">
        <v>42</v>
      </c>
      <c r="K5" s="5" t="s">
        <v>13</v>
      </c>
      <c r="L5" s="5" t="s">
        <v>12</v>
      </c>
      <c r="M5" s="5" t="s">
        <v>43</v>
      </c>
      <c r="N5" s="5" t="s">
        <v>24</v>
      </c>
      <c r="O5" s="5" t="s">
        <v>44</v>
      </c>
      <c r="P5" s="5" t="s">
        <v>14</v>
      </c>
      <c r="Q5" s="5" t="s">
        <v>51</v>
      </c>
      <c r="R5" s="5" t="s">
        <v>52</v>
      </c>
      <c r="S5" s="5" t="s">
        <v>55</v>
      </c>
    </row>
    <row r="6" spans="1:20" ht="18.75" x14ac:dyDescent="0.3">
      <c r="A6" s="1" t="s">
        <v>49</v>
      </c>
      <c r="B6" s="7">
        <f>TONTJANV23!B6+TONTFEV23!B6+TONTMARS23!B6+TONTAVRIL23!B6+TONTMAI23!B6+TONTJUIN23!B6+TONTJUIL23!B6+TONTAOUT23!B6+TONTSEPT23!B6+TONTOCT23!B6+TONTNOV23!B6+TONTDEC23!B6</f>
        <v>12</v>
      </c>
      <c r="C6" s="1" t="str">
        <f>VLOOKUP(A6,[7]LISTADHERENT!A$5:H$60,3,0)</f>
        <v>ASELBY</v>
      </c>
      <c r="D6" s="7">
        <f>TONTJANV23!D6+TONTFEV23!D6+TONTMARS23!D6+TONTAVRIL23!D6+TONTMAI23!D6+TONTJUIN23!D6+TONTJUIL23!D6+TONTAOUT23!D6+TONTSEPT23!D6+TONTOCT23!D6+TONTNOV23!D6+TONTDEC23!D6</f>
        <v>900000</v>
      </c>
      <c r="E6" s="7"/>
      <c r="F6" s="7">
        <f>TONTJANV23!F6+TONTFEV23!F6+TONTMARS23!F6+TONTAVRIL23!F6+TONTMAI23!F6+TONTJUIN23!F6+TONTJUIL23!F6+TONTAOUT23!F6+TONTSEPT23!F6+TONTOCT23!F6+TONTNOV23!F6+TONTDEC23!F6</f>
        <v>0</v>
      </c>
      <c r="G6" s="7">
        <f>TONTJANV23!G6+TONTFEV23!G6+TONTMARS23!G6+TONTAVRIL23!G6+TONTMAI23!G6+TONTJUIN23!G6+TONTJUIL23!G6+TONTAOUT23!G6+TONTSEPT23!G6+TONTOCT23!G6+TONTNOV23!G6+TONTDEC23!G6</f>
        <v>0</v>
      </c>
      <c r="H6" s="7"/>
      <c r="I6" s="7"/>
      <c r="J6" s="7">
        <f>TONTJANV23!J6+TONTFEV23!J6+TONTMARS23!J6+TONTAVRIL23!J6+TONTMAI23!J6+TONTJUIN23!J6+TONTJUIL23!J6+TONTAOUT23!J6+TONTSEPT23!J6+TONTOCT23!J6+TONTNOV23!J6+TONTDEC23!J6</f>
        <v>0</v>
      </c>
      <c r="K6" s="7">
        <f>TONTJANV23!K6+TONTFEV23!K6+TONTMARS23!K6+TONTAVRIL23!K6+TONTMAI23!K6+TONTJUIN23!K6+TONTJUIL23!K6+TONTAOUT23!K6+TONTSEPT23!K6+TONTOCT23!K6+TONTNOV23!K6+TONTDEC23!K6</f>
        <v>0</v>
      </c>
      <c r="L6" s="7"/>
      <c r="M6" s="7"/>
      <c r="N6" s="7"/>
      <c r="O6" s="7">
        <f>TONTJANV23!O6+TONTFEV23!O6+TONTMARS23!O6+TONTAVRIL23!O6+TONTMAI23!O6+TONTJUIN23!O6+TONTJUIL23!O6+TONTAOUT23!O6+TONTSEPT23!O6+TONTOCT23!O6+TONTNOV23!O6+TONTDEC23!O6</f>
        <v>892500</v>
      </c>
      <c r="P6" s="7">
        <f>TONTJANV23!P6+TONTFEV23!P6+TONTMARS23!P6+TONTAVRIL23!P6+TONTMAI23!P6+TONTJUIN23!P6+TONTJUIL23!P6+TONTAOUT23!P6+TONTSEPT23!P6+TONTOCT23!P6+TONTNOV23!P6+TONTDEC23!P6</f>
        <v>7500</v>
      </c>
      <c r="Q6" s="16">
        <v>45261</v>
      </c>
      <c r="S6" s="8">
        <f>$P$29</f>
        <v>19029.411764705881</v>
      </c>
      <c r="T6" s="8">
        <v>18000</v>
      </c>
    </row>
    <row r="7" spans="1:20" ht="18.75" x14ac:dyDescent="0.3">
      <c r="A7" s="1" t="s">
        <v>25</v>
      </c>
      <c r="B7" s="7">
        <f>TONTJANV23!B7+TONTFEV23!B7+TONTMARS23!B7+TONTAVRIL23!B7+TONTMAI23!B7+TONTJUIN23!B7+TONTJUIL23!B7+TONTAOUT23!B7+TONTSEPT23!B7+TONTOCT23!B7+TONTNOV23!B7+TONTDEC23!B7</f>
        <v>12</v>
      </c>
      <c r="C7" s="1" t="str">
        <f>VLOOKUP(A7,[7]LISTADHERENT!A$5:H$60,3,0)</f>
        <v>BOUTCHOUANG WILLIAM</v>
      </c>
      <c r="D7" s="7">
        <f>TONTJANV23!D7+TONTFEV23!D7+TONTMARS23!D7+TONTAVRIL23!D7+TONTMAI23!D7+TONTJUIN23!D7+TONTJUIL23!D7+TONTAOUT23!D7+TONTSEPT23!D7+TONTOCT23!D7+TONTNOV23!D7+TONTDEC23!D7</f>
        <v>900000</v>
      </c>
      <c r="E7" s="7"/>
      <c r="F7" s="7">
        <f>TONTJANV23!F7+TONTFEV23!F7+TONTMARS23!F7+TONTAVRIL23!F7+TONTMAI23!F7+TONTJUIN23!F7+TONTJUIL23!F7+TONTAOUT23!F7+TONTSEPT23!F7+TONTOCT23!F7+TONTNOV23!F7+TONTDEC23!F7</f>
        <v>100000</v>
      </c>
      <c r="G7" s="7">
        <f>TONTJANV23!G7+TONTFEV23!G7+TONTMARS23!G7+TONTAVRIL23!G7+TONTMAI23!G7+TONTJUIN23!G7+TONTJUIL23!G7+TONTAOUT23!G7+TONTSEPT23!G7+TONTOCT23!G7+TONTNOV23!G7+TONTDEC23!G7</f>
        <v>1000</v>
      </c>
      <c r="H7" s="7"/>
      <c r="I7" s="7"/>
      <c r="J7" s="7">
        <f>TONTJANV23!J7+TONTFEV23!J7+TONTMARS23!J7+TONTAVRIL23!J7+TONTMAI23!J7+TONTJUIN23!J7+TONTJUIL23!J7+TONTAOUT23!J7+TONTSEPT23!J7+TONTOCT23!J7+TONTNOV23!J7+TONTDEC23!J7</f>
        <v>101000</v>
      </c>
      <c r="K7" s="7">
        <f>TONTJANV23!K7+TONTFEV23!K7+TONTMARS23!K7+TONTAVRIL23!K7+TONTMAI23!K7+TONTJUIN23!K7+TONTJUIL23!K7+TONTAOUT23!K7+TONTSEPT23!K7+TONTOCT23!K7+TONTNOV23!K7+TONTDEC23!K7</f>
        <v>0</v>
      </c>
      <c r="L7" s="7"/>
      <c r="M7" s="7"/>
      <c r="N7" s="7"/>
      <c r="O7" s="7">
        <f>TONTJANV23!O7+TONTFEV23!O7+TONTMARS23!O7+TONTAVRIL23!O7+TONTMAI23!O7+TONTJUIN23!O7+TONTJUIL23!O7+TONTAOUT23!O7+TONTSEPT23!O7+TONTOCT23!O7+TONTNOV23!O7+TONTDEC23!O7</f>
        <v>892500</v>
      </c>
      <c r="P7" s="7">
        <f>TONTJANV23!P7+TONTFEV23!P7+TONTMARS23!P7+TONTAVRIL23!P7+TONTMAI23!P7+TONTJUIN23!P7+TONTJUIL23!P7+TONTAOUT23!P7+TONTSEPT23!P7+TONTOCT23!P7+TONTNOV23!P7+TONTDEC23!P7</f>
        <v>7500</v>
      </c>
      <c r="Q7" s="16">
        <v>45170</v>
      </c>
      <c r="S7" s="8">
        <f t="shared" ref="S7:S19" si="0">$P$27/17</f>
        <v>19029.411764705881</v>
      </c>
      <c r="T7" s="8">
        <v>18000</v>
      </c>
    </row>
    <row r="8" spans="1:20" ht="18.75" x14ac:dyDescent="0.3">
      <c r="A8" s="1" t="s">
        <v>26</v>
      </c>
      <c r="B8" s="7">
        <f>TONTJANV23!B8+TONTFEV23!B8+TONTMARS23!B8+TONTAVRIL23!B8+TONTMAI23!B8+TONTJUIN23!B8+TONTJUIL23!B8+TONTAOUT23!B8+TONTSEPT23!B8+TONTOCT23!B8+TONTNOV23!B8+TONTDEC23!B8</f>
        <v>12</v>
      </c>
      <c r="C8" s="1" t="str">
        <f>VLOOKUP(A8,[7]LISTADHERENT!A$5:H$60,3,0)</f>
        <v>DJOUKWE NANGUEN GUY BLAISE</v>
      </c>
      <c r="D8" s="7">
        <f>TONTJANV23!D8+TONTFEV23!D8+TONTMARS23!D8+TONTAVRIL23!D8+TONTMAI23!D8+TONTJUIN23!D8+TONTJUIL23!D8+TONTAOUT23!D8+TONTSEPT23!D8+TONTOCT23!D8+TONTNOV23!D8+TONTDEC23!D8</f>
        <v>900000</v>
      </c>
      <c r="E8" s="7"/>
      <c r="F8" s="7">
        <f>TONTJANV23!F8+TONTFEV23!F8+TONTMARS23!F8+TONTAVRIL23!F8+TONTMAI23!F8+TONTJUIN23!F8+TONTJUIL23!F8+TONTAOUT23!F8+TONTSEPT23!F8+TONTOCT23!F8+TONTNOV23!F8+TONTDEC23!F8</f>
        <v>726000</v>
      </c>
      <c r="G8" s="7">
        <f>TONTJANV23!G8+TONTFEV23!G8+TONTMARS23!G8+TONTAVRIL23!G8+TONTMAI23!G8+TONTJUIN23!G8+TONTJUIL23!G8+TONTAOUT23!G8+TONTSEPT23!G8+TONTOCT23!G8+TONTNOV23!G8+TONTDEC23!G8</f>
        <v>11000</v>
      </c>
      <c r="H8" s="7"/>
      <c r="I8" s="7"/>
      <c r="J8" s="7">
        <f>TONTJANV23!J8+TONTFEV23!J8+TONTMARS23!J8+TONTAVRIL23!J8+TONTMAI23!J8+TONTJUIN23!J8+TONTJUIL23!J8+TONTAOUT23!J8+TONTSEPT23!J8+TONTOCT23!J8+TONTNOV23!J8+TONTDEC23!J8</f>
        <v>737000</v>
      </c>
      <c r="K8" s="7">
        <f>TONTJANV23!K8+TONTFEV23!K8+TONTMARS23!K8+TONTAVRIL23!K8+TONTMAI23!K8+TONTJUIN23!K8+TONTJUIL23!K8+TONTAOUT23!K8+TONTSEPT23!K8+TONTOCT23!K8+TONTNOV23!K8+TONTDEC23!K8</f>
        <v>737000</v>
      </c>
      <c r="L8" s="7"/>
      <c r="M8" s="7"/>
      <c r="N8" s="7"/>
      <c r="O8" s="7">
        <f>TONTJANV23!O8+TONTFEV23!O8+TONTMARS23!O8+TONTAVRIL23!O8+TONTMAI23!O8+TONTJUIN23!O8+TONTJUIL23!O8+TONTAOUT23!O8+TONTSEPT23!O8+TONTOCT23!O8+TONTNOV23!O8+TONTDEC23!O8</f>
        <v>892500</v>
      </c>
      <c r="P8" s="7">
        <f>TONTJANV23!P8+TONTFEV23!P8+TONTMARS23!P8+TONTAVRIL23!P8+TONTMAI23!P8+TONTJUIN23!P8+TONTJUIL23!P8+TONTAOUT23!P8+TONTSEPT23!P8+TONTOCT23!P8+TONTNOV23!P8+TONTDEC23!P8</f>
        <v>7500</v>
      </c>
      <c r="Q8" s="16">
        <v>44986</v>
      </c>
      <c r="S8" s="8">
        <f t="shared" si="0"/>
        <v>19029.411764705881</v>
      </c>
      <c r="T8" s="8">
        <v>18000</v>
      </c>
    </row>
    <row r="9" spans="1:20" ht="18.75" x14ac:dyDescent="0.3">
      <c r="A9" s="1" t="s">
        <v>35</v>
      </c>
      <c r="B9" s="7">
        <f>TONTJANV23!B9+TONTFEV23!B9+TONTMARS23!B9+TONTAVRIL23!B9+TONTMAI23!B9+TONTJUIN23!B9+TONTJUIL23!B9+TONTAOUT23!B9+TONTSEPT23!B9+TONTOCT23!B9+TONTNOV23!B9+TONTDEC23!B9</f>
        <v>12</v>
      </c>
      <c r="C9" s="1" t="str">
        <f>VLOOKUP(A9,[7]LISTADHERENT!A$5:H$60,3,0)</f>
        <v>DJUOMBESSY ANTOINE</v>
      </c>
      <c r="D9" s="7">
        <f>TONTJANV23!D9+TONTFEV23!D9+TONTMARS23!D9+TONTAVRIL23!D9+TONTMAI23!D9+TONTJUIN23!D9+TONTJUIL23!D9+TONTAOUT23!D9+TONTSEPT23!D9+TONTOCT23!D9+TONTNOV23!D9+TONTDEC23!D9</f>
        <v>900000</v>
      </c>
      <c r="E9" s="7"/>
      <c r="F9" s="7">
        <f>TONTJANV23!F9+TONTFEV23!F9+TONTMARS23!F9+TONTAVRIL23!F9+TONTMAI23!F9+TONTJUIN23!F9+TONTJUIL23!F9+TONTAOUT23!F9+TONTSEPT23!F9+TONTOCT23!F9+TONTNOV23!F9+TONTDEC23!F9</f>
        <v>88000</v>
      </c>
      <c r="G9" s="7">
        <f>TONTJANV23!G9+TONTFEV23!G9+TONTMARS23!G9+TONTAVRIL23!G9+TONTMAI23!G9+TONTJUIN23!G9+TONTJUIL23!G9+TONTAOUT23!G9+TONTSEPT23!G9+TONTOCT23!G9+TONTNOV23!G9+TONTDEC23!G9</f>
        <v>2000</v>
      </c>
      <c r="H9" s="7"/>
      <c r="I9" s="7"/>
      <c r="J9" s="7">
        <f>TONTJANV23!J9+TONTFEV23!J9+TONTMARS23!J9+TONTAVRIL23!J9+TONTMAI23!J9+TONTJUIN23!J9+TONTJUIL23!J9+TONTAOUT23!J9+TONTSEPT23!J9+TONTOCT23!J9+TONTNOV23!J9+TONTDEC23!J9</f>
        <v>90000</v>
      </c>
      <c r="K9" s="7">
        <f>TONTJANV23!K9+TONTFEV23!K9+TONTMARS23!K9+TONTAVRIL23!K9+TONTMAI23!K9+TONTJUIN23!K9+TONTJUIL23!K9+TONTAOUT23!K9+TONTSEPT23!K9+TONTOCT23!K9+TONTNOV23!K9+TONTDEC23!K9</f>
        <v>90000</v>
      </c>
      <c r="L9" s="7"/>
      <c r="M9" s="7"/>
      <c r="N9" s="7"/>
      <c r="O9" s="7">
        <f>TONTJANV23!O9+TONTFEV23!O9+TONTMARS23!O9+TONTAVRIL23!O9+TONTMAI23!O9+TONTJUIN23!O9+TONTJUIL23!O9+TONTAOUT23!O9+TONTSEPT23!O9+TONTOCT23!O9+TONTNOV23!O9+TONTDEC23!O9</f>
        <v>890000</v>
      </c>
      <c r="P9" s="7">
        <f>TONTJANV23!P9+TONTFEV23!P9+TONTMARS23!P9+TONTAVRIL23!P9+TONTMAI23!P9+TONTJUIN23!P9+TONTJUIL23!P9+TONTAOUT23!P9+TONTSEPT23!P9+TONTOCT23!P9+TONTNOV23!P9+TONTDEC23!P9</f>
        <v>10000</v>
      </c>
      <c r="Q9" s="16">
        <v>45047</v>
      </c>
      <c r="S9" s="8">
        <f t="shared" si="0"/>
        <v>19029.411764705881</v>
      </c>
      <c r="T9" s="8">
        <v>18000</v>
      </c>
    </row>
    <row r="10" spans="1:20" ht="18.75" x14ac:dyDescent="0.3">
      <c r="A10" s="1" t="s">
        <v>19</v>
      </c>
      <c r="B10" s="7">
        <f>TONTJANV23!B10+TONTFEV23!B10+TONTMARS23!B10+TONTAVRIL23!B10+TONTMAI23!B10+TONTJUIN23!B10+TONTJUIL23!B10+TONTAOUT23!B10+TONTSEPT23!B10+TONTOCT23!B10+TONTNOV23!B10+TONTDEC23!B10</f>
        <v>12</v>
      </c>
      <c r="C10" s="1" t="str">
        <f>VLOOKUP(A10,[7]LISTADHERENT!A$5:H$60,3,0)</f>
        <v>HOTCHO BENJAMIN</v>
      </c>
      <c r="D10" s="7">
        <f>TONTJANV23!D10+TONTFEV23!D10+TONTMARS23!D10+TONTAVRIL23!D10+TONTMAI23!D10+TONTJUIN23!D10+TONTJUIL23!D10+TONTAOUT23!D10+TONTSEPT23!D10+TONTOCT23!D10+TONTNOV23!D10+TONTDEC23!D10</f>
        <v>900000</v>
      </c>
      <c r="E10" s="7"/>
      <c r="F10" s="7">
        <f>TONTJANV23!F10+TONTFEV23!F10+TONTMARS23!F10+TONTAVRIL23!F10+TONTMAI23!F10+TONTJUIN23!F10+TONTJUIL23!F10+TONTAOUT23!F10+TONTSEPT23!F10+TONTOCT23!F10+TONTNOV23!F10+TONTDEC23!F10</f>
        <v>0</v>
      </c>
      <c r="G10" s="7">
        <f>TONTJANV23!G10+TONTFEV23!G10+TONTMARS23!G10+TONTAVRIL23!G10+TONTMAI23!G10+TONTJUIN23!G10+TONTJUIL23!G10+TONTAOUT23!G10+TONTSEPT23!G10+TONTOCT23!G10+TONTNOV23!G10+TONTDEC23!G10</f>
        <v>0</v>
      </c>
      <c r="H10" s="7"/>
      <c r="I10" s="7"/>
      <c r="J10" s="7">
        <f>TONTJANV23!J10+TONTFEV23!J10+TONTMARS23!J10+TONTAVRIL23!J10+TONTMAI23!J10+TONTJUIN23!J10+TONTJUIL23!J10+TONTAOUT23!J10+TONTSEPT23!J10+TONTOCT23!J10+TONTNOV23!J10+TONTDEC23!J10</f>
        <v>0</v>
      </c>
      <c r="K10" s="7">
        <f>TONTJANV23!K10+TONTFEV23!K10+TONTMARS23!K10+TONTAVRIL23!K10+TONTMAI23!K10+TONTJUIN23!K10+TONTJUIL23!K10+TONTAOUT23!K10+TONTSEPT23!K10+TONTOCT23!K10+TONTNOV23!K10+TONTDEC23!K10</f>
        <v>0</v>
      </c>
      <c r="L10" s="7"/>
      <c r="M10" s="7"/>
      <c r="N10" s="7"/>
      <c r="O10" s="7">
        <f>TONTJANV23!O10+TONTFEV23!O10+TONTMARS23!O10+TONTAVRIL23!O10+TONTMAI23!O10+TONTJUIN23!O10+TONTJUIL23!O10+TONTAOUT23!O10+TONTSEPT23!O10+TONTOCT23!O10+TONTNOV23!O10+TONTDEC23!O10</f>
        <v>880000</v>
      </c>
      <c r="P10" s="7">
        <f>TONTJANV23!P10+TONTFEV23!P10+TONTMARS23!P10+TONTAVRIL23!P10+TONTMAI23!P10+TONTJUIN23!P10+TONTJUIL23!P10+TONTAOUT23!P10+TONTSEPT23!P10+TONTOCT23!P10+TONTNOV23!P10+TONTDEC23!P10</f>
        <v>20000</v>
      </c>
      <c r="Q10" s="16">
        <v>44958</v>
      </c>
      <c r="S10" s="8">
        <f t="shared" si="0"/>
        <v>19029.411764705881</v>
      </c>
      <c r="T10" s="8">
        <v>18000</v>
      </c>
    </row>
    <row r="11" spans="1:20" ht="18.75" x14ac:dyDescent="0.3">
      <c r="A11" s="1" t="s">
        <v>27</v>
      </c>
      <c r="B11" s="7">
        <f>TONTJANV23!B11+TONTFEV23!B11+TONTMARS23!B11+TONTAVRIL23!B11+TONTMAI23!B11+TONTJUIN23!B11+TONTJUIL23!B11+TONTAOUT23!B11+TONTSEPT23!B11+TONTOCT23!B11+TONTNOV23!B11+TONTDEC23!B11</f>
        <v>12</v>
      </c>
      <c r="C11" s="1" t="str">
        <f>VLOOKUP(A11,[7]LISTADHERENT!A$5:H$60,3,0)</f>
        <v>HENGUE PAUL OMER</v>
      </c>
      <c r="D11" s="7">
        <f>TONTJANV23!D11+TONTFEV23!D11+TONTMARS23!D11+TONTAVRIL23!D11+TONTMAI23!D11+TONTJUIN23!D11+TONTJUIL23!D11+TONTAOUT23!D11+TONTSEPT23!D11+TONTOCT23!D11+TONTNOV23!D11+TONTDEC23!D11</f>
        <v>900000</v>
      </c>
      <c r="E11" s="7"/>
      <c r="F11" s="7">
        <f>TONTJANV23!F11+TONTFEV23!F11+TONTMARS23!F11+TONTAVRIL23!F11+TONTMAI23!F11+TONTJUIN23!F11+TONTJUIL23!F11+TONTAOUT23!F11+TONTSEPT23!F11+TONTOCT23!F11+TONTNOV23!F11+TONTDEC23!F11</f>
        <v>0</v>
      </c>
      <c r="G11" s="7">
        <f>TONTJANV23!G11+TONTFEV23!G11+TONTMARS23!G11+TONTAVRIL23!G11+TONTMAI23!G11+TONTJUIN23!G11+TONTJUIL23!G11+TONTAOUT23!G11+TONTSEPT23!G11+TONTOCT23!G11+TONTNOV23!G11+TONTDEC23!G11</f>
        <v>0</v>
      </c>
      <c r="H11" s="7"/>
      <c r="I11" s="7"/>
      <c r="J11" s="7">
        <f>TONTJANV23!J11+TONTFEV23!J11+TONTMARS23!J11+TONTAVRIL23!J11+TONTMAI23!J11+TONTJUIN23!J11+TONTJUIL23!J11+TONTAOUT23!J11+TONTSEPT23!J11+TONTOCT23!J11+TONTNOV23!J11+TONTDEC23!J11</f>
        <v>0</v>
      </c>
      <c r="K11" s="7">
        <f>TONTJANV23!K11+TONTFEV23!K11+TONTMARS23!K11+TONTAVRIL23!K11+TONTMAI23!K11+TONTJUIN23!K11+TONTJUIL23!K11+TONTAOUT23!K11+TONTSEPT23!K11+TONTOCT23!K11+TONTNOV23!K11+TONTDEC23!K11</f>
        <v>0</v>
      </c>
      <c r="L11" s="7"/>
      <c r="M11" s="7"/>
      <c r="N11" s="7"/>
      <c r="O11" s="7">
        <f>TONTJANV23!O11+TONTFEV23!O11+TONTMARS23!O11+TONTAVRIL23!O11+TONTMAI23!O11+TONTJUIN23!O11+TONTJUIL23!O11+TONTAOUT23!O11+TONTSEPT23!O11+TONTOCT23!O11+TONTNOV23!O11+TONTDEC23!O11</f>
        <v>892500</v>
      </c>
      <c r="P11" s="7">
        <f>TONTJANV23!P11+TONTFEV23!P11+TONTMARS23!P11+TONTAVRIL23!P11+TONTMAI23!P11+TONTJUIN23!P11+TONTJUIL23!P11+TONTAOUT23!P11+TONTSEPT23!P11+TONTOCT23!P11+TONTNOV23!P11+TONTDEC23!P11</f>
        <v>7500</v>
      </c>
      <c r="Q11" s="16">
        <v>45139</v>
      </c>
      <c r="S11" s="8">
        <f t="shared" si="0"/>
        <v>19029.411764705881</v>
      </c>
      <c r="T11" s="8">
        <v>18000</v>
      </c>
    </row>
    <row r="12" spans="1:20" ht="18.75" x14ac:dyDescent="0.3">
      <c r="A12" s="1" t="s">
        <v>8</v>
      </c>
      <c r="B12" s="7">
        <f>TONTJANV23!B12+TONTFEV23!B12+TONTMARS23!B12+TONTAVRIL23!B12+TONTMAI23!B12+TONTJUIN23!B12+TONTJUIL23!B12+TONTAOUT23!B12+TONTSEPT23!B12+TONTOCT23!B12+TONTNOV23!B12+TONTDEC23!B12</f>
        <v>12</v>
      </c>
      <c r="C12" s="1" t="str">
        <f>VLOOKUP(A12,[7]LISTADHERENT!A$5:H$60,3,0)</f>
        <v>KOUATCHO MESSACK</v>
      </c>
      <c r="D12" s="7">
        <f>TONTJANV23!D12+TONTFEV23!D12+TONTMARS23!D12+TONTAVRIL23!D12+TONTMAI23!D12+TONTJUIN23!D12+TONTJUIL23!D12+TONTAOUT23!D12+TONTSEPT23!D12+TONTOCT23!D12+TONTNOV23!D12+TONTDEC23!D12</f>
        <v>900000</v>
      </c>
      <c r="E12" s="7"/>
      <c r="F12" s="7">
        <f>TONTJANV23!F12+TONTFEV23!F12+TONTMARS23!F12+TONTAVRIL23!F12+TONTMAI23!F12+TONTJUIN23!F12+TONTJUIL23!F12+TONTAOUT23!F12+TONTSEPT23!F12+TONTOCT23!F12+TONTNOV23!F12+TONTDEC23!F12</f>
        <v>550000</v>
      </c>
      <c r="G12" s="7">
        <f>TONTJANV23!G12+TONTFEV23!G12+TONTMARS23!G12+TONTAVRIL23!G12+TONTMAI23!G12+TONTJUIN23!G12+TONTJUIL23!G12+TONTAOUT23!G12+TONTSEPT23!G12+TONTOCT23!G12+TONTNOV23!G12+TONTDEC23!G12</f>
        <v>7000</v>
      </c>
      <c r="H12" s="7"/>
      <c r="I12" s="7"/>
      <c r="J12" s="7">
        <f>TONTJANV23!J12+TONTFEV23!J12+TONTMARS23!J12+TONTAVRIL23!J12+TONTMAI23!J12+TONTJUIN23!J12+TONTJUIL23!J12+TONTAOUT23!J12+TONTSEPT23!J12+TONTOCT23!J12+TONTNOV23!J12+TONTDEC23!J12</f>
        <v>557000</v>
      </c>
      <c r="K12" s="7">
        <f>TONTJANV23!K12+TONTFEV23!K12+TONTMARS23!K12+TONTAVRIL23!K12+TONTMAI23!K12+TONTJUIN23!K12+TONTJUIL23!K12+TONTAOUT23!K12+TONTSEPT23!K12+TONTOCT23!K12+TONTNOV23!K12+TONTDEC23!K12</f>
        <v>557000</v>
      </c>
      <c r="L12" s="7"/>
      <c r="M12" s="7"/>
      <c r="N12" s="7"/>
      <c r="O12" s="7">
        <f>TONTJANV23!O12+TONTFEV23!O12+TONTMARS23!O12+TONTAVRIL23!O12+TONTMAI23!O12+TONTJUIN23!O12+TONTJUIL23!O12+TONTAOUT23!O12+TONTSEPT23!O12+TONTOCT23!O12+TONTNOV23!O12+TONTDEC23!O12</f>
        <v>887000</v>
      </c>
      <c r="P12" s="7">
        <f>TONTJANV23!P12+TONTFEV23!P12+TONTMARS23!P12+TONTAVRIL23!P12+TONTMAI23!P12+TONTJUIN23!P12+TONTJUIL23!P12+TONTAOUT23!P12+TONTSEPT23!P12+TONTOCT23!P12+TONTNOV23!P12+TONTDEC23!P12</f>
        <v>13000</v>
      </c>
      <c r="Q12" s="16">
        <v>45017</v>
      </c>
      <c r="S12" s="8">
        <f t="shared" si="0"/>
        <v>19029.411764705881</v>
      </c>
      <c r="T12" s="8">
        <v>18000</v>
      </c>
    </row>
    <row r="13" spans="1:20" ht="18.75" x14ac:dyDescent="0.3">
      <c r="A13" s="1" t="s">
        <v>22</v>
      </c>
      <c r="B13" s="7">
        <f>TONTJANV23!B13+TONTFEV23!B13+TONTMARS23!B13+TONTAVRIL23!B13+TONTMAI23!B13+TONTJUIN23!B13+TONTJUIL23!B13+TONTAOUT23!B13+TONTSEPT23!B13+TONTOCT23!B13+TONTNOV23!B13+TONTDEC23!B13</f>
        <v>12</v>
      </c>
      <c r="C13" s="1" t="str">
        <f>VLOOKUP(A13,[7]LISTADHERENT!A$5:H$60,3,0)</f>
        <v>MBOGNING TUGMA GUY</v>
      </c>
      <c r="D13" s="7">
        <f>TONTJANV23!D13+TONTFEV23!D13+TONTMARS23!D13+TONTAVRIL23!D13+TONTMAI23!D13+TONTJUIN23!D13+TONTJUIL23!D13+TONTAOUT23!D13+TONTSEPT23!D13+TONTOCT23!D13+TONTNOV23!D13+TONTDEC23!D13</f>
        <v>900000</v>
      </c>
      <c r="E13" s="7"/>
      <c r="F13" s="7">
        <f>TONTJANV23!F13+TONTFEV23!F13+TONTMARS23!F13+TONTAVRIL23!F13+TONTMAI23!F13+TONTJUIN23!F13+TONTJUIL23!F13+TONTAOUT23!F13+TONTSEPT23!F13+TONTOCT23!F13+TONTNOV23!F13+TONTDEC23!F13</f>
        <v>883000</v>
      </c>
      <c r="G13" s="7">
        <f>TONTJANV23!G13+TONTFEV23!G13+TONTMARS23!G13+TONTAVRIL23!G13+TONTMAI23!G13+TONTJUIN23!G13+TONTJUIL23!G13+TONTAOUT23!G13+TONTSEPT23!G13+TONTOCT23!G13+TONTNOV23!G13+TONTDEC23!G13</f>
        <v>13000</v>
      </c>
      <c r="H13" s="7"/>
      <c r="I13" s="7"/>
      <c r="J13" s="7">
        <f>TONTJANV23!J13+TONTFEV23!J13+TONTMARS23!J13+TONTAVRIL23!J13+TONTMAI23!J13+TONTJUIN23!J13+TONTJUIL23!J13+TONTAOUT23!J13+TONTSEPT23!J13+TONTOCT23!J13+TONTNOV23!J13+TONTDEC23!J13</f>
        <v>896000</v>
      </c>
      <c r="K13" s="7">
        <f>TONTJANV23!K13+TONTFEV23!K13+TONTMARS23!K13+TONTAVRIL23!K13+TONTMAI23!K13+TONTJUIN23!K13+TONTJUIL23!K13+TONTAOUT23!K13+TONTSEPT23!K13+TONTOCT23!K13+TONTNOV23!K13+TONTDEC23!K13</f>
        <v>896000</v>
      </c>
      <c r="L13" s="7"/>
      <c r="M13" s="7"/>
      <c r="N13" s="7"/>
      <c r="O13" s="7">
        <f>TONTJANV23!O13+TONTFEV23!O13+TONTMARS23!O13+TONTAVRIL23!O13+TONTMAI23!O13+TONTJUIN23!O13+TONTJUIL23!O13+TONTAOUT23!O13+TONTSEPT23!O13+TONTOCT23!O13+TONTNOV23!O13+TONTDEC23!O13</f>
        <v>878000</v>
      </c>
      <c r="P13" s="7">
        <f>TONTJANV23!P13+TONTFEV23!P13+TONTMARS23!P13+TONTAVRIL23!P13+TONTMAI23!P13+TONTJUIN23!P13+TONTJUIL23!P13+TONTAOUT23!P13+TONTSEPT23!P13+TONTOCT23!P13+TONTNOV23!P13+TONTDEC23!P13</f>
        <v>22000</v>
      </c>
      <c r="Q13" s="16">
        <v>44958</v>
      </c>
      <c r="S13" s="8">
        <f t="shared" si="0"/>
        <v>19029.411764705881</v>
      </c>
      <c r="T13" s="8">
        <v>18000</v>
      </c>
    </row>
    <row r="14" spans="1:20" ht="18.75" x14ac:dyDescent="0.3">
      <c r="A14" s="1" t="s">
        <v>9</v>
      </c>
      <c r="B14" s="7">
        <f>TONTJANV23!B14+TONTFEV23!B14+TONTMARS23!B14+TONTAVRIL23!B14+TONTMAI23!B14+TONTJUIN23!B14+TONTJUIL23!B14+TONTAOUT23!B14+TONTSEPT23!B14+TONTOCT23!B14+TONTNOV23!B14+TONTDEC23!B14</f>
        <v>12</v>
      </c>
      <c r="C14" s="1" t="str">
        <f>VLOOKUP(A14,[7]LISTADHERENT!A$5:H$60,3,0)</f>
        <v>NANKAM APPOLINAIRE</v>
      </c>
      <c r="D14" s="7">
        <f>TONTJANV23!D14+TONTFEV23!D14+TONTMARS23!D14+TONTAVRIL23!D14+TONTMAI23!D14+TONTJUIN23!D14+TONTJUIL23!D14+TONTAOUT23!D14+TONTSEPT23!D14+TONTOCT23!D14+TONTNOV23!D14+TONTDEC23!D14</f>
        <v>900000</v>
      </c>
      <c r="E14" s="7"/>
      <c r="F14" s="7">
        <f>TONTJANV23!F14+TONTFEV23!F14+TONTMARS23!F14+TONTAVRIL23!F14+TONTMAI23!F14+TONTJUIN23!F14+TONTJUIL23!F14+TONTAOUT23!F14+TONTSEPT23!F14+TONTOCT23!F14+TONTNOV23!F14+TONTDEC23!F14</f>
        <v>0</v>
      </c>
      <c r="G14" s="7">
        <f>TONTJANV23!G14+TONTFEV23!G14+TONTMARS23!G14+TONTAVRIL23!G14+TONTMAI23!G14+TONTJUIN23!G14+TONTJUIL23!G14+TONTAOUT23!G14+TONTSEPT23!G14+TONTOCT23!G14+TONTNOV23!G14+TONTDEC23!G14</f>
        <v>0</v>
      </c>
      <c r="H14" s="7"/>
      <c r="I14" s="7"/>
      <c r="J14" s="7">
        <f>TONTJANV23!J14+TONTFEV23!J14+TONTMARS23!J14+TONTAVRIL23!J14+TONTMAI23!J14+TONTJUIN23!J14+TONTJUIL23!J14+TONTAOUT23!J14+TONTSEPT23!J14+TONTOCT23!J14+TONTNOV23!J14+TONTDEC23!J14</f>
        <v>0</v>
      </c>
      <c r="K14" s="7">
        <f>TONTJANV23!K14+TONTFEV23!K14+TONTMARS23!K14+TONTAVRIL23!K14+TONTMAI23!K14+TONTJUIN23!K14+TONTJUIL23!K14+TONTAOUT23!K14+TONTSEPT23!K14+TONTOCT23!K14+TONTNOV23!K14+TONTDEC23!K14</f>
        <v>0</v>
      </c>
      <c r="L14" s="7"/>
      <c r="M14" s="7"/>
      <c r="N14" s="7"/>
      <c r="O14" s="7">
        <f>TONTJANV23!O14+TONTFEV23!O14+TONTMARS23!O14+TONTAVRIL23!O14+TONTMAI23!O14+TONTJUIN23!O14+TONTJUIL23!O14+TONTAOUT23!O14+TONTSEPT23!O14+TONTOCT23!O14+TONTNOV23!O14+TONTDEC23!O14</f>
        <v>892500</v>
      </c>
      <c r="P14" s="7">
        <f>TONTJANV23!P14+TONTFEV23!P14+TONTMARS23!P14+TONTAVRIL23!P14+TONTMAI23!P14+TONTJUIN23!P14+TONTJUIL23!P14+TONTAOUT23!P14+TONTSEPT23!P14+TONTOCT23!P14+TONTNOV23!P14+TONTDEC23!P14</f>
        <v>7500</v>
      </c>
      <c r="Q14" s="16">
        <v>45170</v>
      </c>
      <c r="S14" s="8">
        <f t="shared" si="0"/>
        <v>19029.411764705881</v>
      </c>
      <c r="T14" s="8">
        <v>18000</v>
      </c>
    </row>
    <row r="15" spans="1:20" ht="18.75" x14ac:dyDescent="0.3">
      <c r="A15" s="1" t="s">
        <v>37</v>
      </c>
      <c r="B15" s="7">
        <f>TONTJANV23!B15+TONTFEV23!B15+TONTMARS23!B15+TONTAVRIL23!B15+TONTMAI23!B15+TONTJUIN23!B15+TONTJUIL23!B15+TONTAOUT23!B15+TONTSEPT23!B15+TONTOCT23!B15+TONTNOV23!B15+TONTDEC23!B15</f>
        <v>12</v>
      </c>
      <c r="C15" s="1" t="str">
        <f>VLOOKUP(A15,[7]LISTADHERENT!A$5:H$60,3,0)</f>
        <v>NGONDIEP CLAUDE</v>
      </c>
      <c r="D15" s="7">
        <f>TONTJANV23!D15+TONTFEV23!D15+TONTMARS23!D15+TONTAVRIL23!D15+TONTMAI23!D15+TONTJUIN23!D15+TONTJUIL23!D15+TONTAOUT23!D15+TONTSEPT23!D15+TONTOCT23!D15+TONTNOV23!D15+TONTDEC23!D15</f>
        <v>900000</v>
      </c>
      <c r="E15" s="7"/>
      <c r="F15" s="7">
        <f>TONTJANV23!F15+TONTFEV23!F15+TONTMARS23!F15+TONTAVRIL23!F15+TONTMAI23!F15+TONTJUIN23!F15+TONTJUIL23!F15+TONTAOUT23!F15+TONTSEPT23!F15+TONTOCT23!F15+TONTNOV23!F15+TONTDEC23!F15</f>
        <v>434000</v>
      </c>
      <c r="G15" s="7">
        <f>TONTJANV23!G15+TONTFEV23!G15+TONTMARS23!G15+TONTAVRIL23!G15+TONTMAI23!G15+TONTJUIN23!G15+TONTJUIL23!G15+TONTAOUT23!G15+TONTSEPT23!G15+TONTOCT23!G15+TONTNOV23!G15+TONTDEC23!G15</f>
        <v>8000</v>
      </c>
      <c r="H15" s="7"/>
      <c r="I15" s="7"/>
      <c r="J15" s="7">
        <f>TONTJANV23!J15+TONTFEV23!J15+TONTMARS23!J15+TONTAVRIL23!J15+TONTMAI23!J15+TONTJUIN23!J15+TONTJUIL23!J15+TONTAOUT23!J15+TONTSEPT23!J15+TONTOCT23!J15+TONTNOV23!J15+TONTDEC23!J15</f>
        <v>442000</v>
      </c>
      <c r="K15" s="7">
        <f>TONTJANV23!K15+TONTFEV23!K15+TONTMARS23!K15+TONTAVRIL23!K15+TONTMAI23!K15+TONTJUIN23!K15+TONTJUIL23!K15+TONTAOUT23!K15+TONTSEPT23!K15+TONTOCT23!K15+TONTNOV23!K15+TONTDEC23!K15</f>
        <v>442000</v>
      </c>
      <c r="L15" s="7"/>
      <c r="M15" s="7"/>
      <c r="N15" s="7"/>
      <c r="O15" s="7">
        <f>TONTJANV23!O15+TONTFEV23!O15+TONTMARS23!O15+TONTAVRIL23!O15+TONTMAI23!O15+TONTJUIN23!O15+TONTJUIL23!O15+TONTAOUT23!O15+TONTSEPT23!O15+TONTOCT23!O15+TONTNOV23!O15+TONTDEC23!O15</f>
        <v>795000</v>
      </c>
      <c r="P15" s="7">
        <f>TONTJANV23!P15+TONTFEV23!P15+TONTMARS23!P15+TONTAVRIL23!P15+TONTMAI23!P15+TONTJUIN23!P15+TONTJUIL23!P15+TONTAOUT23!P15+TONTSEPT23!P15+TONTOCT23!P15+TONTNOV23!P15+TONTDEC23!P15</f>
        <v>105000</v>
      </c>
      <c r="Q15" s="16">
        <v>44927</v>
      </c>
      <c r="S15" s="8">
        <f t="shared" si="0"/>
        <v>19029.411764705881</v>
      </c>
      <c r="T15" s="8">
        <v>18000</v>
      </c>
    </row>
    <row r="16" spans="1:20" ht="18.75" x14ac:dyDescent="0.3">
      <c r="A16" s="1" t="s">
        <v>21</v>
      </c>
      <c r="B16" s="7">
        <f>TONTJANV23!B16+TONTFEV23!B16+TONTMARS23!B16+TONTAVRIL23!B16+TONTMAI23!B16+TONTJUIN23!B16+TONTJUIL23!B16+TONTAOUT23!B16+TONTSEPT23!B16+TONTOCT23!B16+TONTNOV23!B16+TONTDEC23!B16</f>
        <v>24</v>
      </c>
      <c r="C16" s="1" t="str">
        <f>VLOOKUP(A16,[7]LISTADHERENT!A$5:H$60,3,0)</f>
        <v>NGUIEMEGNI MATHIEU BLAISE</v>
      </c>
      <c r="D16" s="7">
        <f>TONTJANV23!D16+TONTFEV23!D16+TONTMARS23!D16+TONTAVRIL23!D16+TONTMAI23!D16+TONTJUIN23!D16+TONTJUIL23!D16+TONTAOUT23!D16+TONTSEPT23!D16+TONTOCT23!D16+TONTNOV23!D16+TONTDEC23!D16</f>
        <v>1800000</v>
      </c>
      <c r="E16" s="7"/>
      <c r="F16" s="7">
        <f>TONTJANV23!F16+TONTFEV23!F16+TONTMARS23!F16+TONTAVRIL23!F16+TONTMAI23!F16+TONTJUIN23!F16+TONTJUIL23!F16+TONTAOUT23!F16+TONTSEPT23!F16+TONTOCT23!F16+TONTNOV23!F16+TONTDEC23!F16</f>
        <v>250000</v>
      </c>
      <c r="G16" s="7">
        <f>TONTJANV23!G16+TONTFEV23!G16+TONTMARS23!G16+TONTAVRIL23!G16+TONTMAI23!G16+TONTJUIN23!G16+TONTJUIL23!G16+TONTAOUT23!G16+TONTSEPT23!G16+TONTOCT23!G16+TONTNOV23!G16+TONTDEC23!G16</f>
        <v>5000</v>
      </c>
      <c r="H16" s="7"/>
      <c r="I16" s="7"/>
      <c r="J16" s="7">
        <f>TONTJANV23!J16+TONTFEV23!J16+TONTMARS23!J16+TONTAVRIL23!J16+TONTMAI23!J16+TONTJUIN23!J16+TONTJUIL23!J16+TONTAOUT23!J16+TONTSEPT23!J16+TONTOCT23!J16+TONTNOV23!J16+TONTDEC23!J16</f>
        <v>255000</v>
      </c>
      <c r="K16" s="7">
        <f>TONTJANV23!K16+TONTFEV23!K16+TONTMARS23!K16+TONTAVRIL23!K16+TONTMAI23!K16+TONTJUIN23!K16+TONTJUIL23!K16+TONTAOUT23!K16+TONTSEPT23!K16+TONTOCT23!K16+TONTNOV23!K16+TONTDEC23!K16</f>
        <v>255000</v>
      </c>
      <c r="L16" s="7"/>
      <c r="M16" s="7"/>
      <c r="N16" s="7"/>
      <c r="O16" s="7">
        <f>TONTJANV23!O16+TONTFEV23!O16+TONTMARS23!O16+TONTAVRIL23!O16+TONTMAI23!O16+TONTJUIN23!O16+TONTJUIL23!O16+TONTAOUT23!O16+TONTSEPT23!O16+TONTOCT23!O16+TONTNOV23!O16+TONTDEC23!O16</f>
        <v>1777500</v>
      </c>
      <c r="P16" s="7">
        <f>TONTJANV23!P16+TONTFEV23!P16+TONTMARS23!P16+TONTAVRIL23!P16+TONTMAI23!P16+TONTJUIN23!P16+TONTJUIL23!P16+TONTAOUT23!P16+TONTSEPT23!P16+TONTOCT23!P16+TONTNOV23!P16+TONTDEC23!P16</f>
        <v>22500</v>
      </c>
      <c r="Q16" s="16">
        <v>45047</v>
      </c>
      <c r="R16" s="16">
        <v>45139</v>
      </c>
      <c r="S16" s="8">
        <f>$P$27/17*2</f>
        <v>38058.823529411762</v>
      </c>
      <c r="T16" s="8">
        <v>36000</v>
      </c>
    </row>
    <row r="17" spans="1:21" ht="18.75" x14ac:dyDescent="0.3">
      <c r="A17" s="1" t="s">
        <v>28</v>
      </c>
      <c r="B17" s="7">
        <f>TONTJANV23!B17+TONTFEV23!B17+TONTMARS23!B17+TONTAVRIL23!B17+TONTMAI23!B17+TONTJUIN23!B17+TONTJUIL23!B17+TONTAOUT23!B17+TONTSEPT23!B17+TONTOCT23!B17+TONTNOV23!B17+TONTDEC23!B17</f>
        <v>12</v>
      </c>
      <c r="C17" s="1" t="str">
        <f>VLOOKUP(A17,[7]LISTADHERENT!A$5:H$60,3,0)</f>
        <v>PATEGO NJOSSU GUSTAVE</v>
      </c>
      <c r="D17" s="7">
        <f>TONTJANV23!D17+TONTFEV23!D17+TONTMARS23!D17+TONTAVRIL23!D17+TONTMAI23!D17+TONTJUIN23!D17+TONTJUIL23!D17+TONTAOUT23!D17+TONTSEPT23!D17+TONTOCT23!D17+TONTNOV23!D17+TONTDEC23!D17</f>
        <v>900000</v>
      </c>
      <c r="E17" s="7"/>
      <c r="F17" s="7">
        <f>TONTJANV23!F17+TONTFEV23!F17+TONTMARS23!F17+TONTAVRIL23!F17+TONTMAI23!F17+TONTJUIN23!F17+TONTJUIL23!F17+TONTAOUT23!F17+TONTSEPT23!F17+TONTOCT23!F17+TONTNOV23!F17+TONTDEC23!F17</f>
        <v>0</v>
      </c>
      <c r="G17" s="7">
        <f>TONTJANV23!G17+TONTFEV23!G17+TONTMARS23!G17+TONTAVRIL23!G17+TONTMAI23!G17+TONTJUIN23!G17+TONTJUIL23!G17+TONTAOUT23!G17+TONTSEPT23!G17+TONTOCT23!G17+TONTNOV23!G17+TONTDEC23!G17</f>
        <v>0</v>
      </c>
      <c r="H17" s="7"/>
      <c r="I17" s="7"/>
      <c r="J17" s="7">
        <f>TONTJANV23!J17+TONTFEV23!J17+TONTMARS23!J17+TONTAVRIL23!J17+TONTMAI23!J17+TONTJUIN23!J17+TONTJUIL23!J17+TONTAOUT23!J17+TONTSEPT23!J17+TONTOCT23!J17+TONTNOV23!J17+TONTDEC23!J17</f>
        <v>0</v>
      </c>
      <c r="K17" s="7">
        <f>TONTJANV23!K17+TONTFEV23!K17+TONTMARS23!K17+TONTAVRIL23!K17+TONTMAI23!K17+TONTJUIN23!K17+TONTJUIL23!K17+TONTAOUT23!K17+TONTSEPT23!K17+TONTOCT23!K17+TONTNOV23!K17+TONTDEC23!K17</f>
        <v>0</v>
      </c>
      <c r="L17" s="7"/>
      <c r="M17" s="7"/>
      <c r="N17" s="7"/>
      <c r="O17" s="7">
        <f>TONTJANV23!O17+TONTFEV23!O17+TONTMARS23!O17+TONTAVRIL23!O17+TONTMAI23!O17+TONTJUIN23!O17+TONTJUIL23!O17+TONTAOUT23!O17+TONTSEPT23!O17+TONTOCT23!O17+TONTNOV23!O17+TONTDEC23!O17</f>
        <v>892500</v>
      </c>
      <c r="P17" s="7">
        <f>TONTJANV23!P17+TONTFEV23!P17+TONTMARS23!P17+TONTAVRIL23!P17+TONTMAI23!P17+TONTJUIN23!P17+TONTJUIL23!P17+TONTAOUT23!P17+TONTSEPT23!P17+TONTOCT23!P17+TONTNOV23!P17+TONTDEC23!P17</f>
        <v>7500</v>
      </c>
      <c r="Q17" s="16">
        <v>45231</v>
      </c>
      <c r="S17" s="8">
        <f t="shared" si="0"/>
        <v>19029.411764705881</v>
      </c>
      <c r="T17" s="8">
        <v>18000</v>
      </c>
    </row>
    <row r="18" spans="1:21" ht="18.75" x14ac:dyDescent="0.3">
      <c r="A18" s="9" t="s">
        <v>36</v>
      </c>
      <c r="B18" s="7">
        <f>TONTJANV23!B18+TONTFEV23!B18+TONTMARS23!B18+TONTAVRIL23!B18+TONTMAI23!B18+TONTJUIN23!B18+TONTJUIL23!B18+TONTAOUT23!B18+TONTSEPT23!B18+TONTOCT23!B18+TONTNOV23!B18+TONTDEC23!B18</f>
        <v>12</v>
      </c>
      <c r="C18" s="1" t="str">
        <f>VLOOKUP(A18,[7]LISTADHERENT!A$5:H$60,3,0)</f>
        <v>SIME BRICE</v>
      </c>
      <c r="D18" s="7">
        <f>TONTJANV23!D18+TONTFEV23!D18+TONTMARS23!D18+TONTAVRIL23!D18+TONTMAI23!D18+TONTJUIN23!D18+TONTJUIL23!D18+TONTAOUT23!D18+TONTSEPT23!D18+TONTOCT23!D18+TONTNOV23!D18+TONTDEC23!D18</f>
        <v>900000</v>
      </c>
      <c r="E18" s="7"/>
      <c r="F18" s="7">
        <f>TONTJANV23!F18+TONTFEV23!F18+TONTMARS23!F18+TONTAVRIL23!F18+TONTMAI23!F18+TONTJUIN23!F18+TONTJUIL23!F18+TONTAOUT23!F18+TONTSEPT23!F18+TONTOCT23!F18+TONTNOV23!F18+TONTDEC23!F18</f>
        <v>0</v>
      </c>
      <c r="G18" s="7">
        <f>TONTJANV23!G18+TONTFEV23!G18+TONTMARS23!G18+TONTAVRIL23!G18+TONTMAI23!G18+TONTJUIN23!G18+TONTJUIL23!G18+TONTAOUT23!G18+TONTSEPT23!G18+TONTOCT23!G18+TONTNOV23!G18+TONTDEC23!G18</f>
        <v>0</v>
      </c>
      <c r="H18" s="7"/>
      <c r="I18" s="7"/>
      <c r="J18" s="7">
        <f>TONTJANV23!J18+TONTFEV23!J18+TONTMARS23!J18+TONTAVRIL23!J18+TONTMAI23!J18+TONTJUIN23!J18+TONTJUIL23!J18+TONTAOUT23!J18+TONTSEPT23!J18+TONTOCT23!J18+TONTNOV23!J18+TONTDEC23!J18</f>
        <v>0</v>
      </c>
      <c r="K18" s="7">
        <f>TONTJANV23!K18+TONTFEV23!K18+TONTMARS23!K18+TONTAVRIL23!K18+TONTMAI23!K18+TONTJUIN23!K18+TONTJUIL23!K18+TONTAOUT23!K18+TONTSEPT23!K18+TONTOCT23!K18+TONTNOV23!K18+TONTDEC23!K18</f>
        <v>0</v>
      </c>
      <c r="L18" s="7"/>
      <c r="M18" s="7"/>
      <c r="N18" s="7"/>
      <c r="O18" s="7">
        <f>TONTJANV23!O18+TONTFEV23!O18+TONTMARS23!O18+TONTAVRIL23!O18+TONTMAI23!O18+TONTJUIN23!O18+TONTJUIL23!O18+TONTAOUT23!O18+TONTSEPT23!O18+TONTOCT23!O18+TONTNOV23!O18+TONTDEC23!O18</f>
        <v>892500</v>
      </c>
      <c r="P18" s="7">
        <f>TONTJANV23!P18+TONTFEV23!P18+TONTMARS23!P18+TONTAVRIL23!P18+TONTMAI23!P18+TONTJUIN23!P18+TONTJUIL23!P18+TONTAOUT23!P18+TONTSEPT23!P18+TONTOCT23!P18+TONTNOV23!P18+TONTDEC23!P18</f>
        <v>7500</v>
      </c>
      <c r="Q18" s="16">
        <v>45139</v>
      </c>
      <c r="S18" s="8">
        <f t="shared" si="0"/>
        <v>19029.411764705881</v>
      </c>
      <c r="T18" s="8">
        <v>18000</v>
      </c>
    </row>
    <row r="19" spans="1:21" ht="18.75" x14ac:dyDescent="0.3">
      <c r="A19" s="9" t="s">
        <v>50</v>
      </c>
      <c r="B19" s="7">
        <f>TONTJANV23!B19+TONTFEV23!B19+TONTMARS23!B19+TONTAVRIL23!B19+TONTMAI23!B19+TONTJUIN23!B19+TONTJUIL23!B19+TONTAOUT23!B19+TONTSEPT23!B19+TONTOCT23!B19+TONTNOV23!B19+TONTDEC23!B19</f>
        <v>12</v>
      </c>
      <c r="C19" s="1" t="str">
        <f>VLOOKUP(A19,[7]LISTADHERENT!A$5:H$60,3,0)</f>
        <v>TCHOUAMOU MATHIEU</v>
      </c>
      <c r="D19" s="7">
        <f>TONTJANV23!D19+TONTFEV23!D19+TONTMARS23!D19+TONTAVRIL23!D19+TONTMAI23!D19+TONTJUIN23!D19+TONTJUIL23!D19+TONTAOUT23!D19+TONTSEPT23!D19+TONTOCT23!D19+TONTNOV23!D19+TONTDEC23!D19</f>
        <v>900000</v>
      </c>
      <c r="E19" s="7"/>
      <c r="F19" s="7">
        <f>TONTJANV23!F19+TONTFEV23!F19+TONTMARS23!F19+TONTAVRIL23!F19+TONTMAI23!F19+TONTJUIN23!F19+TONTJUIL23!F19+TONTAOUT23!F19+TONTSEPT23!F19+TONTOCT23!F19+TONTNOV23!F19+TONTDEC23!F19</f>
        <v>588000</v>
      </c>
      <c r="G19" s="7">
        <f>TONTJANV23!G19+TONTFEV23!G19+TONTMARS23!G19+TONTAVRIL23!G19+TONTMAI23!G19+TONTJUIN23!G19+TONTJUIL23!G19+TONTAOUT23!G19+TONTSEPT23!G19+TONTOCT23!G19+TONTNOV23!G19+TONTDEC23!G19</f>
        <v>9000</v>
      </c>
      <c r="H19" s="7"/>
      <c r="I19" s="7"/>
      <c r="J19" s="7">
        <f>TONTJANV23!J19+TONTFEV23!J19+TONTMARS23!J19+TONTAVRIL23!J19+TONTMAI23!J19+TONTJUIN23!J19+TONTJUIL23!J19+TONTAOUT23!J19+TONTSEPT23!J19+TONTOCT23!J19+TONTNOV23!J19+TONTDEC23!J19</f>
        <v>597000</v>
      </c>
      <c r="K19" s="7">
        <f>TONTJANV23!K19+TONTFEV23!K19+TONTMARS23!K19+TONTAVRIL23!K19+TONTMAI23!K19+TONTJUIN23!K19+TONTJUIL23!K19+TONTAOUT23!K19+TONTSEPT23!K19+TONTOCT23!K19+TONTNOV23!K19+TONTDEC23!K19</f>
        <v>597000</v>
      </c>
      <c r="L19" s="7"/>
      <c r="M19" s="7"/>
      <c r="N19" s="7"/>
      <c r="O19" s="7">
        <f>TONTJANV23!O19+TONTFEV23!O19+TONTMARS23!O19+TONTAVRIL23!O19+TONTMAI23!O19+TONTJUIN23!O19+TONTJUIL23!O19+TONTAOUT23!O19+TONTSEPT23!O19+TONTOCT23!O19+TONTNOV23!O19+TONTDEC23!O19</f>
        <v>892500</v>
      </c>
      <c r="P19" s="7">
        <f>TONTJANV23!P19+TONTFEV23!P19+TONTMARS23!P19+TONTAVRIL23!P19+TONTMAI23!P19+TONTJUIN23!P19+TONTJUIL23!P19+TONTAOUT23!P19+TONTSEPT23!P19+TONTOCT23!P19+TONTNOV23!P19+TONTDEC23!P19</f>
        <v>7500</v>
      </c>
      <c r="Q19" s="16">
        <v>44986</v>
      </c>
      <c r="S19" s="8">
        <f t="shared" si="0"/>
        <v>19029.411764705881</v>
      </c>
      <c r="T19" s="8">
        <v>18000</v>
      </c>
    </row>
    <row r="20" spans="1:21" ht="18.75" x14ac:dyDescent="0.3">
      <c r="A20" s="1" t="s">
        <v>20</v>
      </c>
      <c r="B20" s="7">
        <f>TONTJANV23!B20+TONTFEV23!B20+TONTMARS23!B20+TONTAVRIL23!B20+TONTMAI23!B20+TONTJUIN23!B20+TONTJUIL23!B20+TONTAOUT23!B20+TONTSEPT23!B20+TONTOCT23!B20+TONTNOV23!B20+TONTDEC23!B20</f>
        <v>24</v>
      </c>
      <c r="C20" s="1" t="str">
        <f>VLOOKUP(A20,[7]LISTADHERENT!A$5:H$60,3,0)</f>
        <v>YOUMBI EMMANUEL</v>
      </c>
      <c r="D20" s="7">
        <f>TONTJANV23!D20+TONTFEV23!D20+TONTMARS23!D20+TONTAVRIL23!D20+TONTMAI23!D20+TONTJUIN23!D20+TONTJUIL23!D20+TONTAOUT23!D20+TONTSEPT23!D20+TONTOCT23!D20+TONTNOV23!D20+TONTDEC23!D20</f>
        <v>1800000</v>
      </c>
      <c r="E20" s="7"/>
      <c r="F20" s="7">
        <f>TONTJANV23!F20+TONTFEV23!F20+TONTMARS23!F20+TONTAVRIL23!F20+TONTMAI23!F20+TONTJUIN23!F20+TONTJUIL23!F20+TONTAOUT23!F20+TONTSEPT23!F20+TONTOCT23!F20+TONTNOV23!F20+TONTDEC23!F20</f>
        <v>0</v>
      </c>
      <c r="G20" s="7">
        <f>TONTJANV23!G20+TONTFEV23!G20+TONTMARS23!G20+TONTAVRIL23!G20+TONTMAI23!G20+TONTJUIN23!G20+TONTJUIL23!G20+TONTAOUT23!G20+TONTSEPT23!G20+TONTOCT23!G20+TONTNOV23!G20+TONTDEC23!G20</f>
        <v>0</v>
      </c>
      <c r="H20" s="7"/>
      <c r="I20" s="7"/>
      <c r="J20" s="7">
        <f>TONTJANV23!J20+TONTFEV23!J20+TONTMARS23!J20+TONTAVRIL23!J20+TONTMAI23!J20+TONTJUIN23!J20+TONTJUIL23!J20+TONTAOUT23!J20+TONTSEPT23!J20+TONTOCT23!J20+TONTNOV23!J20+TONTDEC23!J20</f>
        <v>0</v>
      </c>
      <c r="K20" s="7">
        <f>TONTJANV23!K20+TONTFEV23!K20+TONTMARS23!K20+TONTAVRIL23!K20+TONTMAI23!K20+TONTJUIN23!K20+TONTJUIL23!K20+TONTAOUT23!K20+TONTSEPT23!K20+TONTOCT23!K20+TONTNOV23!K20+TONTDEC23!K20</f>
        <v>0</v>
      </c>
      <c r="L20" s="7"/>
      <c r="M20" s="7"/>
      <c r="N20" s="7"/>
      <c r="O20" s="7">
        <f>TONTJANV23!O20+TONTFEV23!O20+TONTMARS23!O20+TONTAVRIL23!O20+TONTMAI23!O20+TONTJUIN23!O20+TONTJUIL23!O20+TONTAOUT23!O20+TONTSEPT23!O20+TONTOCT23!O20+TONTNOV23!O20+TONTDEC23!O20</f>
        <v>1785000</v>
      </c>
      <c r="P20" s="7">
        <f>TONTJANV23!P20+TONTFEV23!P20+TONTMARS23!P20+TONTAVRIL23!P20+TONTMAI23!P20+TONTJUIN23!P20+TONTJUIL23!P20+TONTAOUT23!P20+TONTSEPT23!P20+TONTOCT23!P20+TONTNOV23!P20+TONTDEC23!P20</f>
        <v>15000</v>
      </c>
      <c r="Q20" s="16">
        <v>45078</v>
      </c>
      <c r="R20" s="16">
        <v>45231</v>
      </c>
      <c r="S20" s="8">
        <f>$P$27/17*2</f>
        <v>38058.823529411762</v>
      </c>
      <c r="T20" s="8">
        <v>36000</v>
      </c>
    </row>
    <row r="21" spans="1:21" x14ac:dyDescent="0.25">
      <c r="A21" s="1"/>
      <c r="B21" s="7"/>
      <c r="C21" s="1"/>
      <c r="D21" s="7"/>
      <c r="E21" s="7"/>
      <c r="F21" s="7"/>
      <c r="G21" s="7"/>
      <c r="H21" s="7"/>
      <c r="I21" s="7"/>
      <c r="J21"/>
      <c r="K21" s="7"/>
      <c r="L21" s="7"/>
      <c r="M21" s="7"/>
      <c r="N21" s="7"/>
      <c r="O21" s="7"/>
      <c r="P21" s="7"/>
    </row>
    <row r="22" spans="1:21" ht="18" x14ac:dyDescent="0.25">
      <c r="A22" s="1" t="s">
        <v>38</v>
      </c>
      <c r="B22" s="8">
        <f>SUM(B6:B21)</f>
        <v>204</v>
      </c>
      <c r="G22" s="11"/>
    </row>
    <row r="23" spans="1:21" ht="18" x14ac:dyDescent="0.25">
      <c r="A23" s="1" t="s">
        <v>39</v>
      </c>
      <c r="B23" s="15">
        <f>COUNT(D6:D21)</f>
        <v>15</v>
      </c>
      <c r="C23" s="8"/>
      <c r="D23" s="8">
        <f t="shared" ref="D23:P23" si="1">SUM(D6:D22)</f>
        <v>15300000</v>
      </c>
      <c r="E23" s="8">
        <f t="shared" si="1"/>
        <v>0</v>
      </c>
      <c r="F23" s="8">
        <f t="shared" si="1"/>
        <v>3619000</v>
      </c>
      <c r="G23" s="8">
        <f t="shared" si="1"/>
        <v>56000</v>
      </c>
      <c r="H23" s="8">
        <f t="shared" si="1"/>
        <v>0</v>
      </c>
      <c r="I23" s="8">
        <f t="shared" si="1"/>
        <v>0</v>
      </c>
      <c r="J23" s="8">
        <f t="shared" si="1"/>
        <v>3675000</v>
      </c>
      <c r="K23" s="8">
        <f t="shared" si="1"/>
        <v>3574000</v>
      </c>
      <c r="L23" s="8">
        <f t="shared" si="1"/>
        <v>0</v>
      </c>
      <c r="M23" s="8">
        <f t="shared" si="1"/>
        <v>0</v>
      </c>
      <c r="N23" s="8">
        <f t="shared" si="1"/>
        <v>0</v>
      </c>
      <c r="O23" s="8">
        <f t="shared" si="1"/>
        <v>15032500</v>
      </c>
      <c r="P23" s="8">
        <f t="shared" si="1"/>
        <v>267500</v>
      </c>
      <c r="S23" s="8">
        <f t="shared" ref="S23:T23" si="2">SUM(S6:S22)</f>
        <v>323499.99999999994</v>
      </c>
      <c r="T23" s="8">
        <f t="shared" si="2"/>
        <v>306000</v>
      </c>
      <c r="U23" s="8">
        <f>S23-T23</f>
        <v>17499.999999999942</v>
      </c>
    </row>
    <row r="24" spans="1:21" s="2" customFormat="1" x14ac:dyDescent="0.25">
      <c r="B24"/>
      <c r="C24"/>
      <c r="D24"/>
      <c r="E24"/>
      <c r="F24"/>
      <c r="G24" s="11"/>
      <c r="H24" s="3"/>
      <c r="I24" s="3"/>
      <c r="J24" s="3"/>
      <c r="L24" s="5" t="s">
        <v>34</v>
      </c>
      <c r="M24" s="5" t="s">
        <v>45</v>
      </c>
      <c r="N24" s="3"/>
    </row>
    <row r="25" spans="1:21" s="2" customFormat="1" ht="29.25" x14ac:dyDescent="0.25">
      <c r="D25" s="5" t="s">
        <v>5</v>
      </c>
      <c r="E25" s="5" t="s">
        <v>13</v>
      </c>
      <c r="F25" s="5" t="s">
        <v>15</v>
      </c>
      <c r="G25" s="5" t="s">
        <v>17</v>
      </c>
      <c r="H25" s="5" t="s">
        <v>18</v>
      </c>
      <c r="I25" s="5"/>
      <c r="J25" s="8" t="s">
        <v>48</v>
      </c>
      <c r="K25" s="8">
        <f>D29+E29+P23+TONTJANV23!M30</f>
        <v>342500</v>
      </c>
      <c r="L25" s="5"/>
      <c r="M25"/>
      <c r="N25" s="5"/>
      <c r="O25" s="17" t="s">
        <v>11</v>
      </c>
      <c r="P25" s="8">
        <f>+G23</f>
        <v>56000</v>
      </c>
    </row>
    <row r="26" spans="1:21" s="2" customFormat="1" ht="18" x14ac:dyDescent="0.25">
      <c r="D26" s="8">
        <f>SUMIFS(D6:D22,E6:E22,"ESPECES")</f>
        <v>0</v>
      </c>
      <c r="E26" s="8">
        <f>SUMIFS(K7:K17,L7:L17,"ESPECES")</f>
        <v>0</v>
      </c>
      <c r="F26" s="8">
        <f>SUMIFS(F7:F22,H7:H22,"ESPECES")</f>
        <v>0</v>
      </c>
      <c r="G26" s="8">
        <f>SUMIFS(O7:O22,M7:M22,"ESPECES")</f>
        <v>0</v>
      </c>
      <c r="H26" s="8">
        <f>D26+E26-F26-G26</f>
        <v>0</v>
      </c>
      <c r="I26" s="8"/>
      <c r="J26" s="8" t="s">
        <v>33</v>
      </c>
      <c r="K26" s="8">
        <f>C3*COUNTIF(O7:O22,"&gt;0")</f>
        <v>12600000</v>
      </c>
      <c r="L26" s="8">
        <f>D3</f>
        <v>0</v>
      </c>
      <c r="M26" s="8">
        <f>COUNTIF(O7:O17,"&gt;0")</f>
        <v>11</v>
      </c>
      <c r="N26" s="8"/>
    </row>
    <row r="27" spans="1:21" s="2" customFormat="1" ht="18" x14ac:dyDescent="0.25">
      <c r="D27" s="8">
        <f>SUMIFS(D6:D22,E6:E22,"BANQUE")</f>
        <v>0</v>
      </c>
      <c r="E27" s="8">
        <f>SUMIFS(K7:K17,L7:L17,"BANQUE")</f>
        <v>0</v>
      </c>
      <c r="F27" s="8">
        <f>SUMIFS(F7:F22,H7:H22,"BANQUE")</f>
        <v>0</v>
      </c>
      <c r="G27" s="8">
        <f>SUMIFS(O7:O22,M7:M22,"BANQUE")</f>
        <v>0</v>
      </c>
      <c r="H27" s="8">
        <f>D27+E27-F27-G27</f>
        <v>0</v>
      </c>
      <c r="I27" s="8"/>
      <c r="K27" s="8"/>
      <c r="L27" s="8"/>
      <c r="M27" s="8"/>
      <c r="N27" s="8"/>
      <c r="O27" s="17" t="s">
        <v>54</v>
      </c>
      <c r="P27" s="18">
        <f>P23+P25</f>
        <v>323500</v>
      </c>
    </row>
    <row r="28" spans="1:21" s="2" customFormat="1" ht="18" x14ac:dyDescent="0.25">
      <c r="D28" s="8"/>
      <c r="E28" s="8"/>
      <c r="F28" s="8"/>
      <c r="G28" s="8"/>
      <c r="I28" s="8"/>
      <c r="J28" s="8" t="s">
        <v>23</v>
      </c>
      <c r="K28" s="8">
        <f>K25-K26</f>
        <v>-12257500</v>
      </c>
      <c r="L28" s="8"/>
      <c r="M28" s="8"/>
      <c r="N28" s="8"/>
    </row>
    <row r="29" spans="1:21" s="2" customFormat="1" ht="18" x14ac:dyDescent="0.25">
      <c r="D29" s="8">
        <f>D26+D27</f>
        <v>0</v>
      </c>
      <c r="E29" s="8">
        <f>E26+E27</f>
        <v>0</v>
      </c>
      <c r="F29" s="8">
        <f>F26+F27</f>
        <v>0</v>
      </c>
      <c r="G29" s="8">
        <f t="shared" ref="G29:H29" si="3">G26+G27</f>
        <v>0</v>
      </c>
      <c r="H29" s="8">
        <f t="shared" si="3"/>
        <v>0</v>
      </c>
      <c r="I29" s="8"/>
      <c r="K29" s="8"/>
      <c r="L29" s="8"/>
      <c r="M29" s="8"/>
      <c r="N29" s="8"/>
      <c r="O29" s="17" t="s">
        <v>56</v>
      </c>
      <c r="P29" s="18">
        <f>P27/17</f>
        <v>19029.411764705881</v>
      </c>
    </row>
    <row r="30" spans="1:21" s="2" customFormat="1" ht="18" x14ac:dyDescent="0.25">
      <c r="D30" s="8"/>
      <c r="E30"/>
      <c r="F30"/>
      <c r="G30" s="3"/>
      <c r="H30" s="3"/>
      <c r="I30" s="3"/>
      <c r="J30" s="8" t="s">
        <v>29</v>
      </c>
      <c r="K30" s="8">
        <f>K28-F23</f>
        <v>-15876500</v>
      </c>
      <c r="L30"/>
      <c r="M30" s="8">
        <f>K30</f>
        <v>-15876500</v>
      </c>
      <c r="N30" s="8" t="s">
        <v>30</v>
      </c>
    </row>
    <row r="31" spans="1:21" s="2" customFormat="1" x14ac:dyDescent="0.25">
      <c r="D31" s="5"/>
      <c r="E31"/>
      <c r="F31"/>
      <c r="G31" s="3"/>
      <c r="H31" s="3"/>
      <c r="I31" s="3"/>
      <c r="L31"/>
      <c r="M31" s="3"/>
      <c r="N31" s="3"/>
    </row>
    <row r="32" spans="1:21" ht="18" x14ac:dyDescent="0.25">
      <c r="J32" s="8" t="s">
        <v>46</v>
      </c>
      <c r="K32" s="8">
        <f>COUNTIFS(E7:E21,"ECHEC")*75000</f>
        <v>0</v>
      </c>
      <c r="M32" s="8">
        <f>TONTJANV23!M32+TONTRESUME23!K32</f>
        <v>0</v>
      </c>
      <c r="N32" s="8" t="s">
        <v>30</v>
      </c>
    </row>
    <row r="33" spans="10:14" ht="18" x14ac:dyDescent="0.25">
      <c r="J33" s="8" t="s">
        <v>47</v>
      </c>
      <c r="K33" s="8">
        <f>J23-E29</f>
        <v>3675000</v>
      </c>
      <c r="M33" s="8">
        <f>TONTJANV23!M33+TONTRESUME23!K33</f>
        <v>3675000</v>
      </c>
      <c r="N33" s="8" t="s">
        <v>30</v>
      </c>
    </row>
  </sheetData>
  <autoFilter ref="A5:P16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2</vt:i4>
      </vt:variant>
    </vt:vector>
  </HeadingPairs>
  <TitlesOfParts>
    <vt:vector size="16" baseType="lpstr">
      <vt:lpstr>MODEPAID</vt:lpstr>
      <vt:lpstr>TONTJANV23</vt:lpstr>
      <vt:lpstr>TONTFEV23</vt:lpstr>
      <vt:lpstr>TONTMARS23</vt:lpstr>
      <vt:lpstr>TONTAVRIL23</vt:lpstr>
      <vt:lpstr>TONTMAI23</vt:lpstr>
      <vt:lpstr>TONTJUIN23</vt:lpstr>
      <vt:lpstr>TONTJUIL23</vt:lpstr>
      <vt:lpstr>TONTAOUT23</vt:lpstr>
      <vt:lpstr>TONTSEPT23</vt:lpstr>
      <vt:lpstr>TONTOCT23</vt:lpstr>
      <vt:lpstr>TONTNOV23</vt:lpstr>
      <vt:lpstr>TONTDEC23</vt:lpstr>
      <vt:lpstr>TONTRESUME23</vt:lpstr>
      <vt:lpstr>MODEPAID!MODEPAID</vt:lpstr>
      <vt:lpstr>VALMODEPAID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2016-12-19T08:36:25Z</dcterms:created>
  <dcterms:modified xsi:type="dcterms:W3CDTF">2024-02-10T12:40:03Z</dcterms:modified>
</cp:coreProperties>
</file>