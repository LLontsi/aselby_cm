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</sheets>
</workbook>
</file>

<file path=xl/sharedStrings.xml><?xml version="1.0" encoding="utf-8"?>
<sst xmlns="http://schemas.openxmlformats.org/spreadsheetml/2006/main" count="752" uniqueCount="58">
  <si>
    <t>ASSOCIATION</t>
  </si>
  <si>
    <t>ASELBY</t>
  </si>
  <si>
    <t>ANNEE</t>
  </si>
  <si>
    <t>MATRICULE</t>
  </si>
  <si>
    <t>NOM ET PRENOM</t>
  </si>
  <si>
    <t>MONTANT TONTINE</t>
  </si>
  <si>
    <t>ECHEC</t>
  </si>
  <si>
    <t>BANQUE</t>
  </si>
  <si>
    <t>AS201619</t>
  </si>
  <si>
    <t>AS201622</t>
  </si>
  <si>
    <t>AS201624</t>
  </si>
  <si>
    <t>ESPECES</t>
  </si>
  <si>
    <t>INTERET PETIT LOT</t>
  </si>
  <si>
    <t>MODE VERSEMENT REMBOURSEMENT</t>
  </si>
  <si>
    <t>REMBOURSEMENT PETIT LOT</t>
  </si>
  <si>
    <t>INTERET LOT PRINCIPAL</t>
  </si>
  <si>
    <t>VENTE PETIT LOT</t>
  </si>
  <si>
    <t>MODE VERSEMENT VENTE PETIT LOT</t>
  </si>
  <si>
    <t>VENTE LOT PRINCIPAL</t>
  </si>
  <si>
    <t>SOLDE EN CAISSE</t>
  </si>
  <si>
    <t>AS201608</t>
  </si>
  <si>
    <t>AS201613</t>
  </si>
  <si>
    <t>AS201649</t>
  </si>
  <si>
    <t>PETIT LOT</t>
  </si>
  <si>
    <t>NUMERO CHEQUE</t>
  </si>
  <si>
    <t>TONTINE + REMB + INTERET VENTE</t>
  </si>
  <si>
    <t>AS201617</t>
  </si>
  <si>
    <t>RELIQUAT</t>
  </si>
  <si>
    <t>CUMUL</t>
  </si>
  <si>
    <t>NBREPART</t>
  </si>
  <si>
    <t>MODE VERSEMENT</t>
  </si>
  <si>
    <t>MONTANT A REMBOURSER PETIT LOT</t>
  </si>
  <si>
    <t>MODE VERSEMENTLOT PRINCIPAL</t>
  </si>
  <si>
    <t>MONTANT  LOT PRINCIPAL</t>
  </si>
  <si>
    <t>LOT PRINCIPAL</t>
  </si>
  <si>
    <t>ECHEC TONTINE MOIS</t>
  </si>
  <si>
    <t>ECHEC REMBOURSEMENT MOIS</t>
  </si>
  <si>
    <t>TONIINE</t>
  </si>
  <si>
    <t xml:space="preserve">TAUX TONTINE </t>
  </si>
  <si>
    <t>NBRE PART</t>
  </si>
  <si>
    <t>TOTAL PART</t>
  </si>
  <si>
    <t>NBRE ADHERENT</t>
  </si>
  <si>
    <t>PART VENDUE</t>
  </si>
  <si>
    <t>AS201626</t>
  </si>
  <si>
    <t>AS201648</t>
  </si>
  <si>
    <t>TOTAL</t>
  </si>
  <si>
    <t>AS201638</t>
  </si>
  <si>
    <t>AS201604</t>
  </si>
  <si>
    <t>MOIS OBTENTION</t>
  </si>
  <si>
    <t>MOIS OBTENTION 2</t>
  </si>
  <si>
    <t>INTERET A REPARTIR</t>
  </si>
  <si>
    <t>REPARTITION INTERET</t>
  </si>
  <si>
    <t>INTERET/ADHERENT</t>
  </si>
  <si>
    <t>AS201659</t>
  </si>
  <si>
    <t>AS201653</t>
  </si>
  <si>
    <t>AS201660</t>
  </si>
  <si>
    <t>RECAPITULATIF</t>
  </si>
  <si>
    <t>INTERET PERCU PAR ADHERENT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</si>
</sst>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;@"/>
    <numFmt numFmtId="165" formatCode="[$-40C]mmmm\-yy;@"/>
    <numFmt numFmtId="166" formatCode="[$-40C]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b/>
      <sz val="16"/>
      <name val="Arial"/>
      <family val="2"/>
    </font>
    <font>
      <sz val="14"/>
      <color rgb="FF0070C0"/>
      <name val="Britannic Bold"/>
      <family val="2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5" fillId="0" borderId="0" xfId="0" applyNumberFormat="1" applyFont="1"/>
    <xf numFmtId="166" fontId="6" fillId="0" borderId="0" xfId="0" applyNumberFormat="1" applyFont="1"/>
    <xf numFmtId="3" fontId="7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;@"/>
    <numFmt numFmtId="165" formatCode="[$-40C]mmmm\-yy;@"/>
    <numFmt numFmtId="166" formatCode="[$-40C]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b/>
      <sz val="16"/>
      <name val="Arial"/>
      <family val="2"/>
    </font>
    <font>
      <sz val="14"/>
      <color rgb="FF0070C0"/>
      <name val="Britannic Bold"/>
      <family val="2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5" fillId="0" borderId="0" xfId="0" applyNumberFormat="1" applyFont="1"/>
    <xf numFmtId="166" fontId="6" fillId="0" borderId="0" xfId="0" applyNumberFormat="1" applyFont="1"/>
    <xf numFmtId="3" fontId="7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ColWidth="11" defaultRowHeight="15" x14ac:dyDescent="0.25"/>
  <sheetData>
    <row r="1" spans="1:1" x14ac:dyDescent="0.25">
      <c r="A1" t="s">
        <v>7</v>
      </c>
    </row>
    <row r="2" spans="1:1" x14ac:dyDescent="0.25">
      <c r="A2" t="s">
        <v>11</v>
      </c>
    </row>
    <row r="3" spans="1:1" x14ac:dyDescent="0.25">
      <c r="A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F18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2</v>
      </c>
      <c r="E3" s="1"/>
      <c r="L3" s="1"/>
      <c r="M3" s="1"/>
    </row>
    <row r="4" spans="1:16" s="12" customFormat="1" ht="18" x14ac:dyDescent="0.25">
      <c r="B4" s="13"/>
      <c r="C4" s="18">
        <v>45395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IF(D6=0,0,VLOOKUP($A6,[6]HISTOAVRIL24!$A$6:$BQ$47,14,0))</f>
        <v>0</v>
      </c>
      <c r="C6" s="1" t="str">
        <f>VLOOKUP(A6,[7]LISTADHERENT!A$5:H$60,3,0)</f>
        <v>ASELBY</v>
      </c>
      <c r="D6" s="7">
        <f>IF(E6="ECHEC",0,VLOOKUP($A6,[6]HISTOAVRIL24!$A$6:$BB$47,15,0))</f>
        <v>0</v>
      </c>
      <c r="E6" s="7" t="str">
        <f>VLOOKUP($A6,[6]HISTOAVRIL24!$A$6:$BB$47,8,0)</f>
        <v>ECHEC</v>
      </c>
      <c r="F6" s="7">
        <f>VLOOKUP($A6,[6]HISTOAVRIL24!$A$6:$BB$47,37,0)</f>
        <v>0</v>
      </c>
      <c r="G6" s="7">
        <f>VLOOKUP($A6,[6]HISTOAVRIL24!$A$6:$BB$47,40,0)</f>
        <v>0</v>
      </c>
      <c r="H6" s="7" t="str">
        <f>IF(F6&lt;&gt;0,VLOOKUP($A6,[6]HISTOAVRIL24!$A$6:$BB$47,42,0),"ECHEC")</f>
        <v>ECHEC</v>
      </c>
      <c r="I6" s="7">
        <f>VLOOKUP($A6,[6]HISTOAVRIL24!$A$6:$BB$47,41,0)</f>
        <v>0</v>
      </c>
      <c r="J6" s="7">
        <f>TONTMARS24!F6+TONTMARS24!G6</f>
        <v>0</v>
      </c>
      <c r="K6" s="7">
        <f>VLOOKUP($A6,[6]HISTOAVRIL24!$A$6:$BB$47,18,0)</f>
        <v>0</v>
      </c>
      <c r="L6" s="7" t="str">
        <f>IF(K6&lt;&gt;0,VLOOKUP($A6,[6]HISTOAVRIL24!$A$6:$BB$47,42,0),"ECHEC")</f>
        <v>ECHEC</v>
      </c>
      <c r="M6" s="7" t="str">
        <f>IF(P6&lt;&gt;0,VLOOKUP($A6,[6]HISTOAVRIL24!$A$6:$BB$47,32,0),"ECHEC")</f>
        <v>ECHEC</v>
      </c>
      <c r="N6" s="7">
        <f>VLOOKUP($A6,[6]HISTOAVRIL24!$A$6:$BB$47,33,0)</f>
        <v>0</v>
      </c>
      <c r="O6" s="7">
        <f t="shared" ref="O6:O19" si="0">IF(P6=0,0,($C$3-P6))</f>
        <v>0</v>
      </c>
      <c r="P6" s="7">
        <f>VLOOKUP($A6,[6]HISTOAVRIL24!$A$6:$BB$47,31,0)</f>
        <v>0</v>
      </c>
    </row>
    <row r="7" spans="1:16" x14ac:dyDescent="0.25">
      <c r="A7" s="1" t="s">
        <v>47</v>
      </c>
      <c r="B7" s="7">
        <f>IF(D7=0,0,VLOOKUP($A7,[6]HISTOAVRIL24!$A$6:$BQ$47,14,0))</f>
        <v>2</v>
      </c>
      <c r="C7" s="1" t="str">
        <f>VLOOKUP(A7,[7]LISTADHERENT!A$5:H$60,3,0)</f>
        <v xml:space="preserve">DJOMO JEAN PAUL </v>
      </c>
      <c r="D7" s="7">
        <f>IF(E7="ECHEC",0,VLOOKUP($A7,[6]HISTOAVRIL24!$A$6:$BB$47,15,0))</f>
        <v>200000</v>
      </c>
      <c r="E7" s="7" t="str">
        <f>VLOOKUP($A7,[6]HISTOAVRIL24!$A$6:$BB$47,8,0)</f>
        <v>BANQUE</v>
      </c>
      <c r="F7" s="7">
        <f>VLOOKUP($A7,[6]HISTOAVRIL24!$A$6:$BB$47,37,0)</f>
        <v>0</v>
      </c>
      <c r="G7" s="7">
        <f>VLOOKUP($A7,[6]HISTOAVRIL24!$A$6:$BB$47,40,0)</f>
        <v>0</v>
      </c>
      <c r="H7" s="7" t="str">
        <f>IF(F7&lt;&gt;0,VLOOKUP($A7,[6]HISTOAVRIL24!$A$6:$BB$47,42,0),"ECHEC")</f>
        <v>ECHEC</v>
      </c>
      <c r="I7" s="7">
        <f>VLOOKUP($A7,[6]HISTOAVRIL24!$A$6:$BB$47,41,0)</f>
        <v>0</v>
      </c>
      <c r="J7" s="7">
        <f>TONTMARS24!F7+TONTMARS24!G7</f>
        <v>207500</v>
      </c>
      <c r="K7" s="7">
        <f>VLOOKUP($A7,[6]HISTOAVRIL24!$A$6:$BB$47,18,0)</f>
        <v>207500</v>
      </c>
      <c r="L7" s="7">
        <f>IF(K7&lt;&gt;0,VLOOKUP($A7,[6]HISTOAVRIL24!$A$6:$BB$47,42,0),"ECHEC")</f>
        <v>0</v>
      </c>
      <c r="M7" s="7" t="str">
        <f>IF(P7&lt;&gt;0,VLOOKUP($A7,[6]HISTOAVRIL24!$A$6:$BB$47,32,0),"ECHEC")</f>
        <v>ECHEC</v>
      </c>
      <c r="N7" s="7">
        <f>VLOOKUP($A7,[6]HISTOAVRIL24!$A$6:$BB$47,33,0)</f>
        <v>0</v>
      </c>
      <c r="O7" s="7">
        <f t="shared" si="0"/>
        <v>0</v>
      </c>
      <c r="P7" s="7">
        <f>VLOOKUP($A7,[6]HISTOAVRIL24!$A$6:$BB$47,31,0)</f>
        <v>0</v>
      </c>
    </row>
    <row r="8" spans="1:16" x14ac:dyDescent="0.25">
      <c r="A8" s="1" t="s">
        <v>20</v>
      </c>
      <c r="B8" s="7">
        <f>IF(D8=0,0,VLOOKUP($A8,[6]HISTOAVRIL24!$A$6:$BQ$47,14,0))</f>
        <v>2</v>
      </c>
      <c r="C8" s="1" t="str">
        <f>VLOOKUP(A8,[7]LISTADHERENT!A$5:H$60,3,0)</f>
        <v>DJUOMBESSY ANTOINE</v>
      </c>
      <c r="D8" s="7">
        <f>IF(E8="ECHEC",0,VLOOKUP($A8,[6]HISTOAVRIL24!$A$6:$BB$47,15,0))</f>
        <v>200000</v>
      </c>
      <c r="E8" s="7" t="str">
        <f>VLOOKUP($A8,[6]HISTOAVRIL24!$A$6:$BB$47,8,0)</f>
        <v>BANQUE</v>
      </c>
      <c r="F8" s="7">
        <f>VLOOKUP($A8,[6]HISTOAVRIL24!$A$6:$BB$47,37,0)</f>
        <v>0</v>
      </c>
      <c r="G8" s="7">
        <f>VLOOKUP($A8,[6]HISTOAVRIL24!$A$6:$BB$47,40,0)</f>
        <v>0</v>
      </c>
      <c r="H8" s="7" t="str">
        <f>IF(F8&lt;&gt;0,VLOOKUP($A8,[6]HISTOAVRIL24!$A$6:$BB$47,42,0),"ECHEC")</f>
        <v>ECHEC</v>
      </c>
      <c r="I8" s="7">
        <f>VLOOKUP($A8,[6]HISTOAVRIL24!$A$6:$BB$47,41,0)</f>
        <v>0</v>
      </c>
      <c r="J8" s="7">
        <f>TONTMARS24!F8+TONTMARS24!G8</f>
        <v>0</v>
      </c>
      <c r="K8" s="7">
        <f>VLOOKUP($A8,[6]HISTOAVRIL24!$A$6:$BB$47,18,0)</f>
        <v>0</v>
      </c>
      <c r="L8" s="7" t="str">
        <f>IF(K8&lt;&gt;0,VLOOKUP($A8,[6]HISTOAVRIL24!$A$6:$BB$47,42,0),"ECHEC")</f>
        <v>ECHEC</v>
      </c>
      <c r="M8" s="7" t="str">
        <f>IF(P8&lt;&gt;0,VLOOKUP($A8,[6]HISTOAVRIL24!$A$6:$BB$47,32,0),"ECHEC")</f>
        <v>ECHEC</v>
      </c>
      <c r="N8" s="7">
        <f>VLOOKUP($A8,[6]HISTOAVRIL24!$A$6:$BB$47,33,0)</f>
        <v>0</v>
      </c>
      <c r="O8" s="7">
        <f t="shared" si="0"/>
        <v>0</v>
      </c>
      <c r="P8" s="7">
        <f>VLOOKUP($A8,[6]HISTOAVRIL24!$A$6:$BB$47,31,0)</f>
        <v>0</v>
      </c>
    </row>
    <row r="9" spans="1:16" x14ac:dyDescent="0.25">
      <c r="A9" s="1" t="s">
        <v>21</v>
      </c>
      <c r="B9" s="7">
        <f>IF(D9=0,0,VLOOKUP($A9,[6]HISTOAVRIL24!$A$6:$BQ$47,14,0))</f>
        <v>1</v>
      </c>
      <c r="C9" s="1" t="str">
        <f>VLOOKUP(A9,[7]LISTADHERENT!A$5:H$60,3,0)</f>
        <v>HOTCHO BENJAMIN</v>
      </c>
      <c r="D9" s="7">
        <f>IF(E9="ECHEC",0,VLOOKUP($A9,[6]HISTOAVRIL24!$A$6:$BB$47,15,0))</f>
        <v>100000</v>
      </c>
      <c r="E9" s="7" t="str">
        <f>VLOOKUP($A9,[6]HISTOAVRIL24!$A$6:$BB$47,8,0)</f>
        <v>BANQUE</v>
      </c>
      <c r="F9" s="7">
        <f>VLOOKUP($A9,[6]HISTOAVRIL24!$A$6:$BB$47,37,0)</f>
        <v>0</v>
      </c>
      <c r="G9" s="7">
        <f>VLOOKUP($A9,[6]HISTOAVRIL24!$A$6:$BB$47,40,0)</f>
        <v>0</v>
      </c>
      <c r="H9" s="7" t="str">
        <f>IF(F9&lt;&gt;0,VLOOKUP($A9,[6]HISTOAVRIL24!$A$6:$BB$47,42,0),"ECHEC")</f>
        <v>ECHEC</v>
      </c>
      <c r="I9" s="7">
        <f>VLOOKUP($A9,[6]HISTOAVRIL24!$A$6:$BB$47,41,0)</f>
        <v>0</v>
      </c>
      <c r="J9" s="7">
        <f>TONTMARS24!F9+TONTMARS24!G9</f>
        <v>0</v>
      </c>
      <c r="K9" s="7">
        <f>VLOOKUP($A9,[6]HISTOAVRIL24!$A$6:$BB$47,18,0)</f>
        <v>0</v>
      </c>
      <c r="L9" s="7" t="str">
        <f>IF(K9&lt;&gt;0,VLOOKUP($A9,[6]HISTOAVRIL24!$A$6:$BB$47,42,0),"ECHEC")</f>
        <v>ECHEC</v>
      </c>
      <c r="M9" s="7">
        <f>IF(P9&lt;&gt;0,VLOOKUP($A9,[6]HISTOAVRIL24!$A$6:$BB$47,32,0),"ECHEC")</f>
        <v>0</v>
      </c>
      <c r="N9" s="7">
        <f>VLOOKUP($A9,[6]HISTOAVRIL24!$A$6:$BB$47,33,0)</f>
        <v>0</v>
      </c>
      <c r="O9" s="7">
        <f t="shared" si="0"/>
        <v>1185000</v>
      </c>
      <c r="P9" s="7">
        <f>VLOOKUP($A9,[6]HISTOAVRIL24!$A$6:$BB$47,31,0)</f>
        <v>15000</v>
      </c>
    </row>
    <row r="10" spans="1:16" x14ac:dyDescent="0.25">
      <c r="A10" s="1" t="s">
        <v>26</v>
      </c>
      <c r="B10" s="7">
        <f>IF(D10=0,0,VLOOKUP($A10,[6]HISTOAVRIL24!$A$6:$BQ$47,14,0))</f>
        <v>1</v>
      </c>
      <c r="C10" s="1" t="str">
        <f>VLOOKUP(A10,[7]LISTADHERENT!A$5:H$60,3,0)</f>
        <v>KOUAMOU MOISE</v>
      </c>
      <c r="D10" s="7">
        <f>IF(E10="ECHEC",0,VLOOKUP($A10,[6]HISTOAVRIL24!$A$6:$BB$47,15,0))</f>
        <v>100000</v>
      </c>
      <c r="E10" s="7" t="str">
        <f>VLOOKUP($A10,[6]HISTOAVRIL24!$A$6:$BB$47,8,0)</f>
        <v>BANQUE</v>
      </c>
      <c r="F10" s="7">
        <f>VLOOKUP($A10,[6]HISTOAVRIL24!$A$6:$BB$47,37,0)</f>
        <v>0</v>
      </c>
      <c r="G10" s="7">
        <f>VLOOKUP($A10,[6]HISTOAVRIL24!$A$6:$BB$47,40,0)</f>
        <v>0</v>
      </c>
      <c r="H10" s="7" t="str">
        <f>IF(F10&lt;&gt;0,VLOOKUP($A10,[6]HISTOAVRIL24!$A$6:$BB$47,42,0),"ECHEC")</f>
        <v>ECHEC</v>
      </c>
      <c r="I10" s="7">
        <f>VLOOKUP($A10,[6]HISTOAVRIL24!$A$6:$BB$47,41,0)</f>
        <v>0</v>
      </c>
      <c r="J10" s="7">
        <f>TONTMARS24!F10+TONTMARS24!G10</f>
        <v>0</v>
      </c>
      <c r="K10" s="7">
        <f>VLOOKUP($A10,[6]HISTOAVRIL24!$A$6:$BB$47,18,0)</f>
        <v>0</v>
      </c>
      <c r="L10" s="7" t="str">
        <f>IF(K10&lt;&gt;0,VLOOKUP($A10,[6]HISTOAVRIL24!$A$6:$BB$47,42,0),"ECHEC")</f>
        <v>ECHEC</v>
      </c>
      <c r="M10" s="7" t="str">
        <f>IF(P10&lt;&gt;0,VLOOKUP($A10,[6]HISTOAVRIL24!$A$6:$BB$47,32,0),"ECHEC")</f>
        <v>ECHEC</v>
      </c>
      <c r="N10" s="7">
        <f>VLOOKUP($A10,[6]HISTOAVRIL24!$A$6:$BB$47,33,0)</f>
        <v>0</v>
      </c>
      <c r="O10" s="7">
        <f t="shared" si="0"/>
        <v>0</v>
      </c>
      <c r="P10" s="7">
        <f>VLOOKUP($A10,[6]HISTOAVRIL24!$A$6:$BB$47,31,0)</f>
        <v>0</v>
      </c>
    </row>
    <row r="11" spans="1:16" x14ac:dyDescent="0.25">
      <c r="A11" s="1" t="s">
        <v>8</v>
      </c>
      <c r="B11" s="7">
        <f>IF(D11=0,0,VLOOKUP($A11,[6]HISTOAVRIL24!$A$6:$BQ$47,14,0))</f>
        <v>1</v>
      </c>
      <c r="C11" s="1" t="str">
        <f>VLOOKUP(A11,[7]LISTADHERENT!A$5:H$60,3,0)</f>
        <v>KOUATCHO MESSACK</v>
      </c>
      <c r="D11" s="7">
        <f>IF(E11="ECHEC",0,VLOOKUP($A11,[6]HISTOAVRIL24!$A$6:$BB$47,15,0))</f>
        <v>100000</v>
      </c>
      <c r="E11" s="7" t="str">
        <f>VLOOKUP($A11,[6]HISTOAVRIL24!$A$6:$BB$47,8,0)</f>
        <v>BANQUE</v>
      </c>
      <c r="F11" s="7">
        <f>VLOOKUP($A11,[6]HISTOAVRIL24!$A$6:$BB$47,37,0)</f>
        <v>200000</v>
      </c>
      <c r="G11" s="7">
        <f>VLOOKUP($A11,[6]HISTOAVRIL24!$A$6:$BB$47,40,0)</f>
        <v>5000</v>
      </c>
      <c r="H11" s="7" t="str">
        <f>IF(F11&lt;&gt;0,VLOOKUP($A11,[6]HISTOAVRIL24!$A$6:$BB$47,42,0),"ECHEC")</f>
        <v>BANQUE</v>
      </c>
      <c r="I11" s="7">
        <f>VLOOKUP($A11,[6]HISTOAVRIL24!$A$6:$BB$47,41,0)</f>
        <v>0</v>
      </c>
      <c r="J11" s="7">
        <f>TONTMARS24!F11+TONTMARS24!G11</f>
        <v>202000</v>
      </c>
      <c r="K11" s="7">
        <f>VLOOKUP($A11,[6]HISTOAVRIL24!$A$6:$BB$47,18,0)</f>
        <v>202000</v>
      </c>
      <c r="L11" s="7" t="str">
        <f>IF(K11&lt;&gt;0,VLOOKUP($A11,[6]HISTOAVRIL24!$A$6:$BB$47,42,0),"ECHEC")</f>
        <v>BANQUE</v>
      </c>
      <c r="M11" s="7" t="str">
        <f>IF(P11&lt;&gt;0,VLOOKUP($A11,[6]HISTOAVRIL24!$A$6:$BB$47,32,0),"ECHEC")</f>
        <v>ECHEC</v>
      </c>
      <c r="N11" s="7">
        <f>VLOOKUP($A11,[6]HISTOAVRIL24!$A$6:$BB$47,33,0)</f>
        <v>0</v>
      </c>
      <c r="O11" s="7">
        <f t="shared" si="0"/>
        <v>0</v>
      </c>
      <c r="P11" s="7">
        <f>VLOOKUP($A11,[6]HISTOAVRIL24!$A$6:$BB$47,31,0)</f>
        <v>0</v>
      </c>
    </row>
    <row r="12" spans="1:16" x14ac:dyDescent="0.25">
      <c r="A12" s="1" t="s">
        <v>22</v>
      </c>
      <c r="B12" s="7">
        <f>IF(D12=0,0,VLOOKUP($A12,[6]HISTOAVRIL24!$A$6:$BQ$47,14,0))</f>
        <v>1</v>
      </c>
      <c r="C12" s="1" t="str">
        <f>VLOOKUP(A12,[7]LISTADHERENT!A$5:H$60,3,0)</f>
        <v>MBOGNING TUGMA GUY</v>
      </c>
      <c r="D12" s="7">
        <f>IF(E12="ECHEC",0,VLOOKUP($A12,[6]HISTOAVRIL24!$A$6:$BB$47,15,0))</f>
        <v>100000</v>
      </c>
      <c r="E12" s="7" t="str">
        <f>VLOOKUP($A12,[6]HISTOAVRIL24!$A$6:$BB$47,8,0)</f>
        <v>BANQUE</v>
      </c>
      <c r="F12" s="7">
        <f>VLOOKUP($A12,[6]HISTOAVRIL24!$A$6:$BB$47,37,0)</f>
        <v>70000</v>
      </c>
      <c r="G12" s="7">
        <f>VLOOKUP($A12,[6]HISTOAVRIL24!$A$6:$BB$47,40,0)</f>
        <v>1000</v>
      </c>
      <c r="H12" s="7" t="str">
        <f>IF(F12&lt;&gt;0,VLOOKUP($A12,[6]HISTOAVRIL24!$A$6:$BB$47,42,0),"ECHEC")</f>
        <v>BANQUE</v>
      </c>
      <c r="I12" s="7">
        <f>VLOOKUP($A12,[6]HISTOAVRIL24!$A$6:$BB$47,41,0)</f>
        <v>0</v>
      </c>
      <c r="J12" s="7">
        <f>TONTMARS24!F12+TONTMARS24!G12</f>
        <v>202000</v>
      </c>
      <c r="K12" s="7">
        <f>VLOOKUP($A12,[6]HISTOAVRIL24!$A$6:$BB$47,18,0)</f>
        <v>202000</v>
      </c>
      <c r="L12" s="7" t="str">
        <f>IF(K12&lt;&gt;0,VLOOKUP($A12,[6]HISTOAVRIL24!$A$6:$BB$47,42,0),"ECHEC")</f>
        <v>BANQUE</v>
      </c>
      <c r="M12" s="7" t="str">
        <f>IF(P12&lt;&gt;0,VLOOKUP($A12,[6]HISTOAVRIL24!$A$6:$BB$47,32,0),"ECHEC")</f>
        <v>ECHEC</v>
      </c>
      <c r="N12" s="7">
        <f>VLOOKUP($A12,[6]HISTOAVRIL24!$A$6:$BB$47,33,0)</f>
        <v>0</v>
      </c>
      <c r="O12" s="7">
        <f t="shared" si="0"/>
        <v>0</v>
      </c>
      <c r="P12" s="7">
        <f>VLOOKUP($A12,[6]HISTOAVRIL24!$A$6:$BB$47,31,0)</f>
        <v>0</v>
      </c>
    </row>
    <row r="13" spans="1:16" x14ac:dyDescent="0.25">
      <c r="A13" s="1" t="s">
        <v>9</v>
      </c>
      <c r="B13" s="7">
        <f>IF(D13=0,0,VLOOKUP($A13,[6]HISTOAVRIL24!$A$6:$BQ$47,14,0))</f>
        <v>2</v>
      </c>
      <c r="C13" s="1" t="str">
        <f>VLOOKUP(A13,[7]LISTADHERENT!A$5:H$60,3,0)</f>
        <v>NDJOMO ETIENNE</v>
      </c>
      <c r="D13" s="7">
        <f>IF(E13="ECHEC",0,VLOOKUP($A13,[6]HISTOAVRIL24!$A$6:$BB$47,15,0))</f>
        <v>200000</v>
      </c>
      <c r="E13" s="7" t="str">
        <f>VLOOKUP($A13,[6]HISTOAVRIL24!$A$6:$BB$47,8,0)</f>
        <v>BANQUE</v>
      </c>
      <c r="F13" s="7">
        <f>VLOOKUP($A13,[6]HISTOAVRIL24!$A$6:$BB$47,37,0)</f>
        <v>0</v>
      </c>
      <c r="G13" s="7">
        <f>VLOOKUP($A13,[6]HISTOAVRIL24!$A$6:$BB$47,40,0)</f>
        <v>0</v>
      </c>
      <c r="H13" s="7" t="str">
        <f>IF(F13&lt;&gt;0,VLOOKUP($A13,[6]HISTOAVRIL24!$A$6:$BB$47,42,0),"ECHEC")</f>
        <v>ECHEC</v>
      </c>
      <c r="I13" s="7">
        <f>VLOOKUP($A13,[6]HISTOAVRIL24!$A$6:$BB$47,41,0)</f>
        <v>0</v>
      </c>
      <c r="J13" s="7">
        <f>TONTMARS24!F13+TONTMARS24!G13</f>
        <v>202000</v>
      </c>
      <c r="K13" s="7">
        <f>VLOOKUP($A13,[6]HISTOAVRIL24!$A$6:$BB$47,18,0)</f>
        <v>202000</v>
      </c>
      <c r="L13" s="7">
        <f>IF(K13&lt;&gt;0,VLOOKUP($A13,[6]HISTOAVRIL24!$A$6:$BB$47,42,0),"ECHEC")</f>
        <v>0</v>
      </c>
      <c r="M13" s="7" t="str">
        <f>IF(P13&lt;&gt;0,VLOOKUP($A13,[6]HISTOAVRIL24!$A$6:$BB$47,32,0),"ECHEC")</f>
        <v>ECHEC</v>
      </c>
      <c r="N13" s="7">
        <f>VLOOKUP($A13,[6]HISTOAVRIL24!$A$6:$BB$47,33,0)</f>
        <v>0</v>
      </c>
      <c r="O13" s="7">
        <f t="shared" si="0"/>
        <v>0</v>
      </c>
      <c r="P13" s="7">
        <f>VLOOKUP($A13,[6]HISTOAVRIL24!$A$6:$BB$47,31,0)</f>
        <v>0</v>
      </c>
    </row>
    <row r="14" spans="1:16" x14ac:dyDescent="0.25">
      <c r="A14" s="1" t="s">
        <v>10</v>
      </c>
      <c r="B14" s="7">
        <f>IF(D14=0,0,VLOOKUP($A14,[6]HISTOAVRIL24!$A$6:$BQ$47,14,0))</f>
        <v>1</v>
      </c>
      <c r="C14" s="1" t="str">
        <f>VLOOKUP(A14,[7]LISTADHERENT!A$5:H$60,3,0)</f>
        <v>NGONDIEP CLAUDE</v>
      </c>
      <c r="D14" s="7">
        <f>IF(E14="ECHEC",0,VLOOKUP($A14,[6]HISTOAVRIL24!$A$6:$BB$47,15,0))</f>
        <v>100000</v>
      </c>
      <c r="E14" s="7" t="str">
        <f>VLOOKUP($A14,[6]HISTOAVRIL24!$A$6:$BB$47,8,0)</f>
        <v>ESPECES</v>
      </c>
      <c r="F14" s="7">
        <f>VLOOKUP($A14,[6]HISTOAVRIL24!$A$6:$BB$47,37,0)</f>
        <v>101000</v>
      </c>
      <c r="G14" s="7">
        <f>VLOOKUP($A14,[6]HISTOAVRIL24!$A$6:$BB$47,40,0)</f>
        <v>2000</v>
      </c>
      <c r="H14" s="7" t="str">
        <f>IF(F14&lt;&gt;0,VLOOKUP($A14,[6]HISTOAVRIL24!$A$6:$BB$47,42,0),"ECHEC")</f>
        <v>BANQUE</v>
      </c>
      <c r="I14" s="7">
        <f>VLOOKUP($A14,[6]HISTOAVRIL24!$A$6:$BB$47,41,0)</f>
        <v>0</v>
      </c>
      <c r="J14" s="7">
        <f>TONTMARS24!F14+TONTMARS24!G14</f>
        <v>102000</v>
      </c>
      <c r="K14" s="7">
        <f>VLOOKUP($A14,[6]HISTOAVRIL24!$A$6:$BB$47,18,0)</f>
        <v>102000</v>
      </c>
      <c r="L14" s="7" t="str">
        <f>IF(K14&lt;&gt;0,VLOOKUP($A14,[6]HISTOAVRIL24!$A$6:$BB$47,42,0),"ECHEC")</f>
        <v>BANQUE</v>
      </c>
      <c r="M14" s="7" t="str">
        <f>IF(P14&lt;&gt;0,VLOOKUP($A14,[6]HISTOAVRIL24!$A$6:$BB$47,32,0),"ECHEC")</f>
        <v>ECHEC</v>
      </c>
      <c r="N14" s="7">
        <f>VLOOKUP($A14,[6]HISTOAVRIL24!$A$6:$BB$47,33,0)</f>
        <v>0</v>
      </c>
      <c r="O14" s="7">
        <f t="shared" si="0"/>
        <v>0</v>
      </c>
      <c r="P14" s="7">
        <f>VLOOKUP($A14,[6]HISTOAVRIL24!$A$6:$BB$47,31,0)</f>
        <v>0</v>
      </c>
    </row>
    <row r="15" spans="1:16" x14ac:dyDescent="0.25">
      <c r="A15" s="1" t="s">
        <v>43</v>
      </c>
      <c r="B15" s="7">
        <f>IF(D15=0,0,VLOOKUP($A15,[6]HISTOAVRIL24!$A$6:$BQ$47,14,0))</f>
        <v>1</v>
      </c>
      <c r="C15" s="1" t="str">
        <f>VLOOKUP(A15,[7]LISTADHERENT!A$5:H$60,3,0)</f>
        <v>NGUIEMEGNI MATHIEU BLAISE</v>
      </c>
      <c r="D15" s="7">
        <f>IF(E15="ECHEC",0,VLOOKUP($A15,[6]HISTOAVRIL24!$A$6:$BB$47,15,0))</f>
        <v>100000</v>
      </c>
      <c r="E15" s="7" t="str">
        <f>VLOOKUP($A15,[6]HISTOAVRIL24!$A$6:$BB$47,8,0)</f>
        <v>BANQUE</v>
      </c>
      <c r="F15" s="7">
        <f>VLOOKUP($A15,[6]HISTOAVRIL24!$A$6:$BB$47,37,0)</f>
        <v>200000</v>
      </c>
      <c r="G15" s="7">
        <f>VLOOKUP($A15,[6]HISTOAVRIL24!$A$6:$BB$47,40,0)</f>
        <v>5500</v>
      </c>
      <c r="H15" s="7" t="str">
        <f>IF(F15&lt;&gt;0,VLOOKUP($A15,[6]HISTOAVRIL24!$A$6:$BB$47,42,0),"ECHEC")</f>
        <v>BANQUE</v>
      </c>
      <c r="I15" s="7">
        <f>VLOOKUP($A15,[6]HISTOAVRIL24!$A$6:$BB$47,41,0)</f>
        <v>0</v>
      </c>
      <c r="J15" s="7">
        <f>TONTMARS24!F15+TONTMARS24!G15</f>
        <v>202000</v>
      </c>
      <c r="K15" s="7">
        <f>VLOOKUP($A15,[6]HISTOAVRIL24!$A$6:$BB$47,18,0)</f>
        <v>202000</v>
      </c>
      <c r="L15" s="7" t="str">
        <f>IF(K15&lt;&gt;0,VLOOKUP($A15,[6]HISTOAVRIL24!$A$6:$BB$47,42,0),"ECHEC")</f>
        <v>BANQUE</v>
      </c>
      <c r="M15" s="7" t="str">
        <f>IF(P15&lt;&gt;0,VLOOKUP($A15,[6]HISTOAVRIL24!$A$6:$BB$47,32,0),"ECHEC")</f>
        <v>ECHEC</v>
      </c>
      <c r="N15" s="7">
        <f>VLOOKUP($A15,[6]HISTOAVRIL24!$A$6:$BB$47,33,0)</f>
        <v>0</v>
      </c>
      <c r="O15" s="7">
        <f t="shared" si="0"/>
        <v>0</v>
      </c>
      <c r="P15" s="7">
        <f>VLOOKUP($A15,[6]HISTOAVRIL24!$A$6:$BB$47,31,0)</f>
        <v>0</v>
      </c>
    </row>
    <row r="16" spans="1:16" x14ac:dyDescent="0.25">
      <c r="A16" s="1" t="s">
        <v>54</v>
      </c>
      <c r="B16" s="7">
        <f>IF(D16=0,0,VLOOKUP($A16,[6]HISTOAVRIL24!$A$6:$BQ$47,14,0))</f>
        <v>2</v>
      </c>
      <c r="C16" s="1" t="str">
        <f>VLOOKUP(A16,[7]LISTADHERENT!A$5:H$60,3,0)</f>
        <v>SIME BRICE</v>
      </c>
      <c r="D16" s="7">
        <f>IF(E16="ECHEC",0,VLOOKUP($A16,[6]HISTOAVRIL24!$A$6:$BB$47,15,0))</f>
        <v>200000</v>
      </c>
      <c r="E16" s="7" t="str">
        <f>VLOOKUP($A16,[6]HISTOAVRIL24!$A$6:$BB$47,8,0)</f>
        <v>BANQUE</v>
      </c>
      <c r="F16" s="7">
        <f>VLOOKUP($A16,[6]HISTOAVRIL24!$A$6:$BB$47,37,0)</f>
        <v>0</v>
      </c>
      <c r="G16" s="7">
        <f>VLOOKUP($A16,[6]HISTOAVRIL24!$A$6:$BB$47,40,0)</f>
        <v>0</v>
      </c>
      <c r="H16" s="7" t="str">
        <f>IF(F16&lt;&gt;0,VLOOKUP($A16,[6]HISTOAVRIL24!$A$6:$BB$47,42,0),"ECHEC")</f>
        <v>ECHEC</v>
      </c>
      <c r="I16" s="7">
        <f>VLOOKUP($A16,[6]HISTOAVRIL24!$A$6:$BB$47,41,0)</f>
        <v>0</v>
      </c>
      <c r="J16" s="7">
        <f>TONTMARS24!F16+TONTMARS24!G16</f>
        <v>0</v>
      </c>
      <c r="K16" s="7">
        <f>VLOOKUP($A16,[6]HISTOAVRIL24!$A$6:$BB$47,18,0)</f>
        <v>0</v>
      </c>
      <c r="L16" s="7" t="str">
        <f>IF(K16&lt;&gt;0,VLOOKUP($A16,[6]HISTOAVRIL24!$A$6:$BB$47,42,0),"ECHEC")</f>
        <v>ECHEC</v>
      </c>
      <c r="M16" s="7" t="str">
        <f>IF(P16&lt;&gt;0,VLOOKUP($A16,[6]HISTOAVRIL24!$A$6:$BB$47,32,0),"ECHEC")</f>
        <v>ECHEC</v>
      </c>
      <c r="N16" s="7">
        <f>VLOOKUP($A16,[6]HISTOAVRIL24!$A$6:$BB$47,33,0)</f>
        <v>0</v>
      </c>
      <c r="O16" s="7">
        <f t="shared" si="0"/>
        <v>0</v>
      </c>
      <c r="P16" s="7">
        <f>VLOOKUP($A16,[6]HISTOAVRIL24!$A$6:$BB$47,31,0)</f>
        <v>0</v>
      </c>
    </row>
    <row r="17" spans="1:16" x14ac:dyDescent="0.25">
      <c r="A17" s="1" t="s">
        <v>55</v>
      </c>
      <c r="B17" s="7">
        <f>IF(D17=0,0,VLOOKUP($A17,[6]HISTOAVRIL24!$A$6:$BQ$47,14,0))</f>
        <v>1</v>
      </c>
      <c r="C17" s="1" t="str">
        <f>VLOOKUP(A17,[7]LISTADHERENT!A$5:H$60,3,0)</f>
        <v>TCHOUATEU AUGUSTIN</v>
      </c>
      <c r="D17" s="7">
        <f>IF(E17="ECHEC",0,VLOOKUP($A17,[6]HISTOAVRIL24!$A$6:$BB$47,15,0))</f>
        <v>100000</v>
      </c>
      <c r="E17" s="7" t="str">
        <f>VLOOKUP($A17,[6]HISTOAVRIL24!$A$6:$BB$47,8,0)</f>
        <v>BANQUE</v>
      </c>
      <c r="F17" s="7">
        <f>VLOOKUP($A17,[6]HISTOAVRIL24!$A$6:$BB$47,37,0)</f>
        <v>0</v>
      </c>
      <c r="G17" s="7">
        <f>VLOOKUP($A17,[6]HISTOAVRIL24!$A$6:$BB$47,40,0)</f>
        <v>0</v>
      </c>
      <c r="H17" s="7" t="str">
        <f>IF(F17&lt;&gt;0,VLOOKUP($A17,[6]HISTOAVRIL24!$A$6:$BB$47,42,0),"ECHEC")</f>
        <v>ECHEC</v>
      </c>
      <c r="I17" s="7">
        <f>VLOOKUP($A17,[6]HISTOAVRIL24!$A$6:$BB$47,41,0)</f>
        <v>0</v>
      </c>
      <c r="J17" s="7">
        <f>TONTMARS24!F17+TONTMARS24!G17</f>
        <v>0</v>
      </c>
      <c r="K17" s="7">
        <f>VLOOKUP($A17,[6]HISTOAVRIL24!$A$6:$BB$47,18,0)</f>
        <v>0</v>
      </c>
      <c r="L17" s="7" t="str">
        <f>IF(K17&lt;&gt;0,VLOOKUP($A17,[6]HISTOAVRIL24!$A$6:$BB$47,42,0),"ECHEC")</f>
        <v>ECHEC</v>
      </c>
      <c r="M17" s="7" t="str">
        <f>IF(P17&lt;&gt;0,VLOOKUP($A17,[6]HISTOAVRIL24!$A$6:$BB$47,32,0),"ECHEC")</f>
        <v>ECHEC</v>
      </c>
      <c r="N17" s="7">
        <f>VLOOKUP($A17,[6]HISTOAVRIL24!$A$6:$BB$47,33,0)</f>
        <v>0</v>
      </c>
      <c r="O17" s="7">
        <f t="shared" si="0"/>
        <v>0</v>
      </c>
      <c r="P17" s="7">
        <f>VLOOKUP($A17,[6]HISTOAVRIL24!$A$6:$BB$47,31,0)</f>
        <v>0</v>
      </c>
    </row>
    <row r="18" spans="1:16" x14ac:dyDescent="0.25">
      <c r="A18" s="1" t="s">
        <v>46</v>
      </c>
      <c r="B18" s="7">
        <f>IF(D18=0,0,VLOOKUP($A18,[6]HISTOAVRIL24!$A$6:$BQ$47,14,0))</f>
        <v>1</v>
      </c>
      <c r="C18" s="1" t="str">
        <f>VLOOKUP(A18,[7]LISTADHERENT!A$5:H$60,3,0)</f>
        <v>SIMO PIERRE</v>
      </c>
      <c r="D18" s="7">
        <f>IF(E18="ECHEC",0,VLOOKUP($A18,[6]HISTOAVRIL24!$A$6:$BB$47,15,0))</f>
        <v>100000</v>
      </c>
      <c r="E18" s="7" t="str">
        <f>VLOOKUP($A18,[6]HISTOAVRIL24!$A$6:$BB$47,8,0)</f>
        <v>BANQUE</v>
      </c>
      <c r="F18" s="7">
        <f>VLOOKUP($A18,[6]HISTOAVRIL24!$A$6:$BB$47,37,0)</f>
        <v>0</v>
      </c>
      <c r="G18" s="7">
        <f>VLOOKUP($A18,[6]HISTOAVRIL24!$A$6:$BB$47,40,0)</f>
        <v>0</v>
      </c>
      <c r="H18" s="7" t="str">
        <f>IF(F18&lt;&gt;0,VLOOKUP($A18,[6]HISTOAVRIL24!$A$6:$BB$47,42,0),"ECHEC")</f>
        <v>ECHEC</v>
      </c>
      <c r="I18" s="7">
        <f>VLOOKUP($A18,[6]HISTOAVRIL24!$A$6:$BB$47,41,0)</f>
        <v>0</v>
      </c>
      <c r="J18" s="7">
        <f>TONTMARS24!F18+TONTMARS24!G18</f>
        <v>0</v>
      </c>
      <c r="K18" s="7">
        <f>VLOOKUP($A18,[6]HISTOAVRIL24!$A$6:$BB$47,18,0)</f>
        <v>0</v>
      </c>
      <c r="L18" s="7" t="str">
        <f>IF(K18&lt;&gt;0,VLOOKUP($A18,[6]HISTOAVRIL24!$A$6:$BB$47,42,0),"ECHEC")</f>
        <v>ECHEC</v>
      </c>
      <c r="M18" s="7">
        <f>IF(P18&lt;&gt;0,VLOOKUP($A18,[6]HISTOAVRIL24!$A$6:$BB$47,32,0),"ECHEC")</f>
        <v>0</v>
      </c>
      <c r="N18" s="7">
        <f>VLOOKUP($A18,[6]HISTOAVRIL24!$A$6:$BB$47,33,0)</f>
        <v>0</v>
      </c>
      <c r="O18" s="7">
        <f t="shared" si="0"/>
        <v>1160000</v>
      </c>
      <c r="P18" s="7">
        <f>VLOOKUP($A18,[6]HISTOAVRIL24!$A$6:$BB$47,31,0)</f>
        <v>40000</v>
      </c>
    </row>
    <row r="19" spans="1:16" x14ac:dyDescent="0.25">
      <c r="A19" s="1" t="s">
        <v>53</v>
      </c>
      <c r="B19" s="7">
        <f>IF(D19=0,0,VLOOKUP($A19,[6]HISTOAVRIL24!$A$6:$BQ$47,14,0))</f>
        <v>1</v>
      </c>
      <c r="C19" s="1" t="str">
        <f>VLOOKUP(A19,[7]LISTADHERENT!A$5:H$60,3,0)</f>
        <v>YIALA ALAIN OSCAR</v>
      </c>
      <c r="D19" s="7">
        <f>IF(E19="ECHEC",0,VLOOKUP($A19,[6]HISTOAVRIL24!$A$6:$BB$47,15,0))</f>
        <v>100000</v>
      </c>
      <c r="E19" s="7" t="str">
        <f>VLOOKUP($A19,[6]HISTOAVRIL24!$A$6:$BB$47,8,0)</f>
        <v>BANQUE</v>
      </c>
      <c r="F19" s="7">
        <f>VLOOKUP($A19,[6]HISTOAVRIL24!$A$6:$BB$47,37,0)</f>
        <v>0</v>
      </c>
      <c r="G19" s="7">
        <f>VLOOKUP($A19,[6]HISTOAVRIL24!$A$6:$BB$47,40,0)</f>
        <v>0</v>
      </c>
      <c r="H19" s="7" t="str">
        <f>IF(F19&lt;&gt;0,VLOOKUP($A19,[6]HISTOAVRIL24!$A$6:$BB$47,42,0),"ECHEC")</f>
        <v>ECHEC</v>
      </c>
      <c r="I19" s="7">
        <f>VLOOKUP($A19,[6]HISTOAVRIL24!$A$6:$BB$47,41,0)</f>
        <v>0</v>
      </c>
      <c r="J19" s="7">
        <f>TONTMARS24!F19+TONTMARS24!G19</f>
        <v>0</v>
      </c>
      <c r="K19" s="7">
        <f>VLOOKUP($A19,[6]HISTOAVRIL24!$A$6:$BB$47,18,0)</f>
        <v>0</v>
      </c>
      <c r="L19" s="7" t="str">
        <f>IF(K19&lt;&gt;0,VLOOKUP($A19,[6]HISTOAVRIL24!$A$6:$BB$47,42,0),"ECHEC")</f>
        <v>ECHEC</v>
      </c>
      <c r="M19" s="7" t="str">
        <f>IF(P19&lt;&gt;0,VLOOKUP($A19,[6]HISTOAVRIL24!$A$6:$BB$47,32,0),"ECHEC")</f>
        <v>ECHEC</v>
      </c>
      <c r="N19" s="7">
        <f>VLOOKUP($A19,[6]HISTOAVRIL24!$A$6:$BB$47,33,0)</f>
        <v>0</v>
      </c>
      <c r="O19" s="7">
        <f t="shared" si="0"/>
        <v>0</v>
      </c>
      <c r="P19" s="7">
        <f>VLOOKUP($A19,[6]HISTOAVRIL24!$A$6:$BB$47,31,0)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571000</v>
      </c>
      <c r="G22" s="8">
        <f t="shared" si="1"/>
        <v>13500</v>
      </c>
      <c r="H22" s="8">
        <f t="shared" si="1"/>
        <v>0</v>
      </c>
      <c r="I22" s="8">
        <f t="shared" si="1"/>
        <v>0</v>
      </c>
      <c r="J22" s="8">
        <f t="shared" si="1"/>
        <v>1117500</v>
      </c>
      <c r="K22" s="8">
        <f t="shared" si="1"/>
        <v>1117500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2345000</v>
      </c>
      <c r="P22" s="8">
        <f t="shared" si="1"/>
        <v>55000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D28+E28+P22+TONTMARS24!N29</f>
        <v>2463000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2400000</v>
      </c>
      <c r="M25" s="8">
        <f>D3</f>
        <v>2</v>
      </c>
      <c r="N25" s="8">
        <f>COUNTIF(O8:O19,"&gt;0")</f>
        <v>2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708000</v>
      </c>
      <c r="F26" s="8">
        <f>SUMIFS(F6:F20,H6:H20,"BANQUE")</f>
        <v>571000</v>
      </c>
      <c r="G26" s="8">
        <f>SUMIFS(O6:O20,M6:M20,"BANQUE")</f>
        <v>0</v>
      </c>
      <c r="H26" s="8">
        <f>D26+E26-F26-G26</f>
        <v>1737000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63000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708000</v>
      </c>
      <c r="F28" s="8">
        <f>F25+F26</f>
        <v>571000</v>
      </c>
      <c r="G28" s="8">
        <f t="shared" ref="G28:H28" si="2">G25+G26</f>
        <v>0</v>
      </c>
      <c r="H28" s="8">
        <f t="shared" si="2"/>
        <v>1837000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-508000</v>
      </c>
      <c r="M29"/>
      <c r="N29" s="8">
        <f>L29</f>
        <v>-508000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409500</v>
      </c>
      <c r="N32" s="8">
        <f>L32</f>
        <v>409500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G18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2</v>
      </c>
      <c r="E3" s="1"/>
      <c r="L3" s="1"/>
      <c r="M3" s="1"/>
    </row>
    <row r="4" spans="1:16" s="12" customFormat="1" ht="18" x14ac:dyDescent="0.25">
      <c r="B4" s="13"/>
      <c r="C4" s="18">
        <v>45456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IF(D6=0,0,VLOOKUP($A6,[6]HISTOJUIN24!$A$6:$BQ$47,14,0))</f>
        <v>0</v>
      </c>
      <c r="C6" s="1" t="str">
        <f>VLOOKUP(A6,[7]LISTADHERENT!A$5:H$60,3,0)</f>
        <v>ASELBY</v>
      </c>
      <c r="D6" s="7">
        <f>IF(E6="ECHEC",0,VLOOKUP($A6,[6]HISTOJUIN24!$A$6:$BB$47,15,0))</f>
        <v>0</v>
      </c>
      <c r="E6" s="7" t="str">
        <f>VLOOKUP($A6,[6]HISTOJUIN24!$A$6:$BB$47,8,0)</f>
        <v>ECHEC</v>
      </c>
      <c r="F6" s="7">
        <f>VLOOKUP($A6,[6]HISTOJUIN24!$A$6:$BB$47,37,0)</f>
        <v>0</v>
      </c>
      <c r="G6" s="7">
        <f>VLOOKUP($A6,[6]HISTOJUIN24!$A$6:$BB$47,40,0)</f>
        <v>0</v>
      </c>
      <c r="H6" s="7" t="str">
        <f>IF(F6&lt;&gt;0,VLOOKUP($A6,[6]HISTOJUIN24!$A$6:$BB$47,42,0),"ECHEC")</f>
        <v>ECHEC</v>
      </c>
      <c r="I6" s="7">
        <f>VLOOKUP($A6,[6]HISTOJUIN24!$A$6:$BB$47,41,0)</f>
        <v>0</v>
      </c>
      <c r="J6" s="7">
        <f>TONTMAI24!F6+TONTMAI24!G6</f>
        <v>0</v>
      </c>
      <c r="K6" s="7">
        <f>VLOOKUP($A6,[6]HISTOJUIN24!$A$6:$BB$47,18,0)</f>
        <v>0</v>
      </c>
      <c r="L6" s="7" t="str">
        <f>IF(K6&lt;&gt;0,VLOOKUP($A6,[6]HISTOJUIN24!$A$6:$BB$47,42,0),"ECHEC")</f>
        <v>ECHEC</v>
      </c>
      <c r="M6" s="7" t="str">
        <f>IF(P6&lt;&gt;0,VLOOKUP($A6,[6]HISTOJUIN24!$A$6:$BB$47,32,0),"ECHEC")</f>
        <v>ECHEC</v>
      </c>
      <c r="N6" s="7">
        <f>VLOOKUP($A6,[6]HISTOJUIN24!$A$6:$BB$47,33,0)</f>
        <v>0</v>
      </c>
      <c r="O6" s="7">
        <f t="shared" ref="O6:O19" si="0">IF(P6=0,0,($C$3-P6))</f>
        <v>0</v>
      </c>
      <c r="P6" s="7">
        <f>VLOOKUP($A6,[6]HISTOJUIN24!$A$6:$BB$47,31,0)</f>
        <v>0</v>
      </c>
    </row>
    <row r="7" spans="1:16" x14ac:dyDescent="0.25">
      <c r="A7" s="1" t="s">
        <v>47</v>
      </c>
      <c r="B7" s="7">
        <f>IF(D7=0,0,VLOOKUP($A7,[6]HISTOJUIN24!$A$6:$BQ$47,14,0))</f>
        <v>2</v>
      </c>
      <c r="C7" s="1" t="str">
        <f>VLOOKUP(A7,[7]LISTADHERENT!A$5:H$60,3,0)</f>
        <v xml:space="preserve">DJOMO JEAN PAUL </v>
      </c>
      <c r="D7" s="7">
        <f>IF(E7="ECHEC",0,VLOOKUP($A7,[6]HISTOJUIN24!$A$6:$BB$47,15,0))</f>
        <v>200000</v>
      </c>
      <c r="E7" s="7" t="str">
        <f>VLOOKUP($A7,[6]HISTOJUIN24!$A$6:$BB$47,8,0)</f>
        <v>BANQUE</v>
      </c>
      <c r="F7" s="7">
        <f>VLOOKUP($A7,[6]HISTOJUIN24!$A$6:$BB$47,37,0)</f>
        <v>0</v>
      </c>
      <c r="G7" s="7">
        <f>VLOOKUP($A7,[6]HISTOJUIN24!$A$6:$BB$47,40,0)</f>
        <v>0</v>
      </c>
      <c r="H7" s="7" t="str">
        <f>IF(F7&lt;&gt;0,VLOOKUP($A7,[6]HISTOJUIN24!$A$6:$BB$47,42,0),"ECHEC")</f>
        <v>ECHEC</v>
      </c>
      <c r="I7" s="7">
        <f>VLOOKUP($A7,[6]HISTOJUIN24!$A$6:$BB$47,41,0)</f>
        <v>0</v>
      </c>
      <c r="J7" s="7">
        <f>TONTMAI24!F7+TONTMAI24!G7</f>
        <v>0</v>
      </c>
      <c r="K7" s="7">
        <f>VLOOKUP($A7,[6]HISTOJUIN24!$A$6:$BB$47,18,0)</f>
        <v>0</v>
      </c>
      <c r="L7" s="7" t="str">
        <f>IF(K7&lt;&gt;0,VLOOKUP($A7,[6]HISTOJUIN24!$A$6:$BB$47,42,0),"ECHEC")</f>
        <v>ECHEC</v>
      </c>
      <c r="M7" s="7" t="str">
        <f>IF(P7&lt;&gt;0,VLOOKUP($A7,[6]HISTOJUIN24!$A$6:$BB$47,32,0),"ECHEC")</f>
        <v>ECHEC</v>
      </c>
      <c r="N7" s="7">
        <f>VLOOKUP($A7,[6]HISTOJUIN24!$A$6:$BB$47,33,0)</f>
        <v>0</v>
      </c>
      <c r="O7" s="7">
        <f t="shared" si="0"/>
        <v>0</v>
      </c>
      <c r="P7" s="7">
        <f>VLOOKUP($A7,[6]HISTOJUIN24!$A$6:$BB$47,31,0)</f>
        <v>0</v>
      </c>
    </row>
    <row r="8" spans="1:16" x14ac:dyDescent="0.25">
      <c r="A8" s="1" t="s">
        <v>20</v>
      </c>
      <c r="B8" s="7">
        <f>IF(D8=0,0,VLOOKUP($A8,[6]HISTOJUIN24!$A$6:$BQ$47,14,0))</f>
        <v>2</v>
      </c>
      <c r="C8" s="1" t="str">
        <f>VLOOKUP(A8,[7]LISTADHERENT!A$5:H$60,3,0)</f>
        <v>DJUOMBESSY ANTOINE</v>
      </c>
      <c r="D8" s="7">
        <f>IF(E8="ECHEC",0,VLOOKUP($A8,[6]HISTOJUIN24!$A$6:$BB$47,15,0))</f>
        <v>200000</v>
      </c>
      <c r="E8" s="7" t="str">
        <f>VLOOKUP($A8,[6]HISTOJUIN24!$A$6:$BB$47,8,0)</f>
        <v>BANQUE</v>
      </c>
      <c r="F8" s="7">
        <f>VLOOKUP($A8,[6]HISTOJUIN24!$A$6:$BB$47,37,0)</f>
        <v>0</v>
      </c>
      <c r="G8" s="7">
        <f>VLOOKUP($A8,[6]HISTOJUIN24!$A$6:$BB$47,40,0)</f>
        <v>0</v>
      </c>
      <c r="H8" s="7" t="str">
        <f>IF(F8&lt;&gt;0,VLOOKUP($A8,[6]HISTOJUIN24!$A$6:$BB$47,42,0),"ECHEC")</f>
        <v>ECHEC</v>
      </c>
      <c r="I8" s="7">
        <f>VLOOKUP($A8,[6]HISTOJUIN24!$A$6:$BB$47,41,0)</f>
        <v>0</v>
      </c>
      <c r="J8" s="7">
        <f>TONTMAI24!F8+TONTMAI24!G8</f>
        <v>0</v>
      </c>
      <c r="K8" s="7">
        <f>VLOOKUP($A8,[6]HISTOJUIN24!$A$6:$BB$47,18,0)</f>
        <v>0</v>
      </c>
      <c r="L8" s="7" t="str">
        <f>IF(K8&lt;&gt;0,VLOOKUP($A8,[6]HISTOJUIN24!$A$6:$BB$47,42,0),"ECHEC")</f>
        <v>ECHEC</v>
      </c>
      <c r="M8" s="7" t="str">
        <f>IF(P8&lt;&gt;0,VLOOKUP($A8,[6]HISTOJUIN24!$A$6:$BB$47,32,0),"ECHEC")</f>
        <v>ECHEC</v>
      </c>
      <c r="N8" s="7">
        <f>VLOOKUP($A8,[6]HISTOJUIN24!$A$6:$BB$47,33,0)</f>
        <v>0</v>
      </c>
      <c r="O8" s="7">
        <f t="shared" si="0"/>
        <v>0</v>
      </c>
      <c r="P8" s="7">
        <f>VLOOKUP($A8,[6]HISTOJUIN24!$A$6:$BB$47,31,0)</f>
        <v>0</v>
      </c>
    </row>
    <row r="9" spans="1:16" x14ac:dyDescent="0.25">
      <c r="A9" s="1" t="s">
        <v>21</v>
      </c>
      <c r="B9" s="7">
        <f>IF(D9=0,0,VLOOKUP($A9,[6]HISTOJUIN24!$A$6:$BQ$47,14,0))</f>
        <v>1</v>
      </c>
      <c r="C9" s="1" t="str">
        <f>VLOOKUP(A9,[7]LISTADHERENT!A$5:H$60,3,0)</f>
        <v>HOTCHO BENJAMIN</v>
      </c>
      <c r="D9" s="7">
        <f>IF(E9="ECHEC",0,VLOOKUP($A9,[6]HISTOJUIN24!$A$6:$BB$47,15,0))</f>
        <v>100000</v>
      </c>
      <c r="E9" s="7" t="str">
        <f>VLOOKUP($A9,[6]HISTOJUIN24!$A$6:$BB$47,8,0)</f>
        <v>BANQUE</v>
      </c>
      <c r="F9" s="7">
        <f>VLOOKUP($A9,[6]HISTOJUIN24!$A$6:$BB$47,37,0)</f>
        <v>0</v>
      </c>
      <c r="G9" s="7">
        <f>VLOOKUP($A9,[6]HISTOJUIN24!$A$6:$BB$47,40,0)</f>
        <v>0</v>
      </c>
      <c r="H9" s="7" t="str">
        <f>IF(F9&lt;&gt;0,VLOOKUP($A9,[6]HISTOJUIN24!$A$6:$BB$47,42,0),"ECHEC")</f>
        <v>ECHEC</v>
      </c>
      <c r="I9" s="7">
        <f>VLOOKUP($A9,[6]HISTOJUIN24!$A$6:$BB$47,41,0)</f>
        <v>0</v>
      </c>
      <c r="J9" s="7">
        <f>TONTMAI24!F9+TONTMAI24!G9</f>
        <v>0</v>
      </c>
      <c r="K9" s="7">
        <f>VLOOKUP($A9,[6]HISTOJUIN24!$A$6:$BB$47,18,0)</f>
        <v>0</v>
      </c>
      <c r="L9" s="7" t="str">
        <f>IF(K9&lt;&gt;0,VLOOKUP($A9,[6]HISTOJUIN24!$A$6:$BB$47,42,0),"ECHEC")</f>
        <v>ECHEC</v>
      </c>
      <c r="M9" s="7" t="str">
        <f>IF(P9&lt;&gt;0,VLOOKUP($A9,[6]HISTOJUIN24!$A$6:$BB$47,32,0),"ECHEC")</f>
        <v>ECHEC</v>
      </c>
      <c r="N9" s="7">
        <f>VLOOKUP($A9,[6]HISTOJUIN24!$A$6:$BB$47,33,0)</f>
        <v>0</v>
      </c>
      <c r="O9" s="7">
        <f t="shared" si="0"/>
        <v>0</v>
      </c>
      <c r="P9" s="7">
        <f>VLOOKUP($A9,[6]HISTOJUIN24!$A$6:$BB$47,31,0)</f>
        <v>0</v>
      </c>
    </row>
    <row r="10" spans="1:16" x14ac:dyDescent="0.25">
      <c r="A10" s="1" t="s">
        <v>26</v>
      </c>
      <c r="B10" s="7">
        <f>IF(D10=0,0,VLOOKUP($A10,[6]HISTOJUIN24!$A$6:$BQ$47,14,0))</f>
        <v>1</v>
      </c>
      <c r="C10" s="1" t="str">
        <f>VLOOKUP(A10,[7]LISTADHERENT!A$5:H$60,3,0)</f>
        <v>KOUAMOU MOISE</v>
      </c>
      <c r="D10" s="7">
        <f>IF(E10="ECHEC",0,VLOOKUP($A10,[6]HISTOJUIN24!$A$6:$BB$47,15,0))</f>
        <v>100000</v>
      </c>
      <c r="E10" s="7" t="str">
        <f>VLOOKUP($A10,[6]HISTOJUIN24!$A$6:$BB$47,8,0)</f>
        <v>BANQUE</v>
      </c>
      <c r="F10" s="7">
        <f>VLOOKUP($A10,[6]HISTOJUIN24!$A$6:$BB$47,37,0)</f>
        <v>0</v>
      </c>
      <c r="G10" s="7">
        <f>VLOOKUP($A10,[6]HISTOJUIN24!$A$6:$BB$47,40,0)</f>
        <v>0</v>
      </c>
      <c r="H10" s="7" t="str">
        <f>IF(F10&lt;&gt;0,VLOOKUP($A10,[6]HISTOJUIN24!$A$6:$BB$47,42,0),"ECHEC")</f>
        <v>ECHEC</v>
      </c>
      <c r="I10" s="7">
        <f>VLOOKUP($A10,[6]HISTOJUIN24!$A$6:$BB$47,41,0)</f>
        <v>0</v>
      </c>
      <c r="J10" s="7">
        <f>TONTMAI24!F10+TONTMAI24!G10</f>
        <v>0</v>
      </c>
      <c r="K10" s="7">
        <f>VLOOKUP($A10,[6]HISTOJUIN24!$A$6:$BB$47,18,0)</f>
        <v>0</v>
      </c>
      <c r="L10" s="7" t="str">
        <f>IF(K10&lt;&gt;0,VLOOKUP($A10,[6]HISTOJUIN24!$A$6:$BB$47,42,0),"ECHEC")</f>
        <v>ECHEC</v>
      </c>
      <c r="M10" s="7" t="str">
        <f>IF(P10&lt;&gt;0,VLOOKUP($A10,[6]HISTOJUIN24!$A$6:$BB$47,32,0),"ECHEC")</f>
        <v>ECHEC</v>
      </c>
      <c r="N10" s="7">
        <f>VLOOKUP($A10,[6]HISTOJUIN24!$A$6:$BB$47,33,0)</f>
        <v>0</v>
      </c>
      <c r="O10" s="7">
        <f t="shared" si="0"/>
        <v>0</v>
      </c>
      <c r="P10" s="7">
        <f>VLOOKUP($A10,[6]HISTOJUIN24!$A$6:$BB$47,31,0)</f>
        <v>0</v>
      </c>
    </row>
    <row r="11" spans="1:16" x14ac:dyDescent="0.25">
      <c r="A11" s="1" t="s">
        <v>8</v>
      </c>
      <c r="B11" s="7">
        <f>IF(D11=0,0,VLOOKUP($A11,[6]HISTOJUIN24!$A$6:$BQ$47,14,0))</f>
        <v>1</v>
      </c>
      <c r="C11" s="1" t="str">
        <f>VLOOKUP(A11,[7]LISTADHERENT!A$5:H$60,3,0)</f>
        <v>KOUATCHO MESSACK</v>
      </c>
      <c r="D11" s="7">
        <f>IF(E11="ECHEC",0,VLOOKUP($A11,[6]HISTOJUIN24!$A$6:$BB$47,15,0))</f>
        <v>100000</v>
      </c>
      <c r="E11" s="7" t="str">
        <f>VLOOKUP($A11,[6]HISTOJUIN24!$A$6:$BB$47,8,0)</f>
        <v>BANQUE</v>
      </c>
      <c r="F11" s="7">
        <f>VLOOKUP($A11,[6]HISTOJUIN24!$A$6:$BB$47,37,0)</f>
        <v>0</v>
      </c>
      <c r="G11" s="7">
        <f>VLOOKUP($A11,[6]HISTOJUIN24!$A$6:$BB$47,40,0)</f>
        <v>0</v>
      </c>
      <c r="H11" s="7" t="str">
        <f>IF(F11&lt;&gt;0,VLOOKUP($A11,[6]HISTOJUIN24!$A$6:$BB$47,42,0),"ECHEC")</f>
        <v>ECHEC</v>
      </c>
      <c r="I11" s="7">
        <f>VLOOKUP($A11,[6]HISTOJUIN24!$A$6:$BB$47,41,0)</f>
        <v>0</v>
      </c>
      <c r="J11" s="7">
        <f>TONTMAI24!F11+TONTMAI24!G11</f>
        <v>0</v>
      </c>
      <c r="K11" s="7">
        <f>VLOOKUP($A11,[6]HISTOJUIN24!$A$6:$BB$47,18,0)</f>
        <v>0</v>
      </c>
      <c r="L11" s="7" t="str">
        <f>IF(K11&lt;&gt;0,VLOOKUP($A11,[6]HISTOJUIN24!$A$6:$BB$47,42,0),"ECHEC")</f>
        <v>ECHEC</v>
      </c>
      <c r="M11" s="7" t="str">
        <f>IF(P11&lt;&gt;0,VLOOKUP($A11,[6]HISTOJUIN24!$A$6:$BB$47,32,0),"ECHEC")</f>
        <v>ECHEC</v>
      </c>
      <c r="N11" s="7">
        <f>VLOOKUP($A11,[6]HISTOJUIN24!$A$6:$BB$47,33,0)</f>
        <v>0</v>
      </c>
      <c r="O11" s="7">
        <f t="shared" si="0"/>
        <v>0</v>
      </c>
      <c r="P11" s="7">
        <f>VLOOKUP($A11,[6]HISTOJUIN24!$A$6:$BB$47,31,0)</f>
        <v>0</v>
      </c>
    </row>
    <row r="12" spans="1:16" x14ac:dyDescent="0.25">
      <c r="A12" s="1" t="s">
        <v>22</v>
      </c>
      <c r="B12" s="7">
        <f>IF(D12=0,0,VLOOKUP($A12,[6]HISTOJUIN24!$A$6:$BQ$47,14,0))</f>
        <v>1</v>
      </c>
      <c r="C12" s="1" t="str">
        <f>VLOOKUP(A12,[7]LISTADHERENT!A$5:H$60,3,0)</f>
        <v>MBOGNING TUGMA GUY</v>
      </c>
      <c r="D12" s="7">
        <f>IF(E12="ECHEC",0,VLOOKUP($A12,[6]HISTOJUIN24!$A$6:$BB$47,15,0))</f>
        <v>100000</v>
      </c>
      <c r="E12" s="7" t="str">
        <f>VLOOKUP($A12,[6]HISTOJUIN24!$A$6:$BB$47,8,0)</f>
        <v>BANQUE</v>
      </c>
      <c r="F12" s="7">
        <f>VLOOKUP($A12,[6]HISTOJUIN24!$A$6:$BB$47,37,0)</f>
        <v>0</v>
      </c>
      <c r="G12" s="7">
        <f>VLOOKUP($A12,[6]HISTOJUIN24!$A$6:$BB$47,40,0)</f>
        <v>0</v>
      </c>
      <c r="H12" s="7" t="str">
        <f>IF(F12&lt;&gt;0,VLOOKUP($A12,[6]HISTOJUIN24!$A$6:$BB$47,42,0),"ECHEC")</f>
        <v>ECHEC</v>
      </c>
      <c r="I12" s="7">
        <f>VLOOKUP($A12,[6]HISTOJUIN24!$A$6:$BB$47,41,0)</f>
        <v>0</v>
      </c>
      <c r="J12" s="7">
        <f>TONTMAI24!F12+TONTMAI24!G12</f>
        <v>0</v>
      </c>
      <c r="K12" s="7">
        <f>VLOOKUP($A12,[6]HISTOJUIN24!$A$6:$BB$47,18,0)</f>
        <v>0</v>
      </c>
      <c r="L12" s="7" t="str">
        <f>IF(K12&lt;&gt;0,VLOOKUP($A12,[6]HISTOJUIN24!$A$6:$BB$47,42,0),"ECHEC")</f>
        <v>ECHEC</v>
      </c>
      <c r="M12" s="7" t="str">
        <f>IF(P12&lt;&gt;0,VLOOKUP($A12,[6]HISTOJUIN24!$A$6:$BB$47,32,0),"ECHEC")</f>
        <v>ECHEC</v>
      </c>
      <c r="N12" s="7">
        <f>VLOOKUP($A12,[6]HISTOJUIN24!$A$6:$BB$47,33,0)</f>
        <v>0</v>
      </c>
      <c r="O12" s="7">
        <f t="shared" si="0"/>
        <v>0</v>
      </c>
      <c r="P12" s="7">
        <f>VLOOKUP($A12,[6]HISTOJUIN24!$A$6:$BB$47,31,0)</f>
        <v>0</v>
      </c>
    </row>
    <row r="13" spans="1:16" x14ac:dyDescent="0.25">
      <c r="A13" s="1" t="s">
        <v>9</v>
      </c>
      <c r="B13" s="7">
        <f>IF(D13=0,0,VLOOKUP($A13,[6]HISTOJUIN24!$A$6:$BQ$47,14,0))</f>
        <v>2</v>
      </c>
      <c r="C13" s="1" t="str">
        <f>VLOOKUP(A13,[7]LISTADHERENT!A$5:H$60,3,0)</f>
        <v>NDJOMO ETIENNE</v>
      </c>
      <c r="D13" s="7">
        <f>IF(E13="ECHEC",0,VLOOKUP($A13,[6]HISTOJUIN24!$A$6:$BB$47,15,0))</f>
        <v>200000</v>
      </c>
      <c r="E13" s="7" t="str">
        <f>VLOOKUP($A13,[6]HISTOJUIN24!$A$6:$BB$47,8,0)</f>
        <v>BANQUE</v>
      </c>
      <c r="F13" s="7">
        <f>VLOOKUP($A13,[6]HISTOJUIN24!$A$6:$BB$47,37,0)</f>
        <v>0</v>
      </c>
      <c r="G13" s="7">
        <f>VLOOKUP($A13,[6]HISTOJUIN24!$A$6:$BB$47,40,0)</f>
        <v>0</v>
      </c>
      <c r="H13" s="7" t="str">
        <f>IF(F13&lt;&gt;0,VLOOKUP($A13,[6]HISTOJUIN24!$A$6:$BB$47,42,0),"ECHEC")</f>
        <v>ECHEC</v>
      </c>
      <c r="I13" s="7">
        <f>VLOOKUP($A13,[6]HISTOJUIN24!$A$6:$BB$47,41,0)</f>
        <v>0</v>
      </c>
      <c r="J13" s="7">
        <f>TONTMAI24!F13+TONTMAI24!G13</f>
        <v>0</v>
      </c>
      <c r="K13" s="7">
        <f>VLOOKUP($A13,[6]HISTOJUIN24!$A$6:$BB$47,18,0)</f>
        <v>0</v>
      </c>
      <c r="L13" s="7" t="str">
        <f>IF(K13&lt;&gt;0,VLOOKUP($A13,[6]HISTOJUIN24!$A$6:$BB$47,42,0),"ECHEC")</f>
        <v>ECHEC</v>
      </c>
      <c r="M13" s="7" t="str">
        <f>IF(P13&lt;&gt;0,VLOOKUP($A13,[6]HISTOJUIN24!$A$6:$BB$47,32,0),"ECHEC")</f>
        <v>ECHEC</v>
      </c>
      <c r="N13" s="7">
        <f>VLOOKUP($A13,[6]HISTOJUIN24!$A$6:$BB$47,33,0)</f>
        <v>0</v>
      </c>
      <c r="O13" s="7">
        <f t="shared" si="0"/>
        <v>0</v>
      </c>
      <c r="P13" s="7">
        <f>VLOOKUP($A13,[6]HISTOJUIN24!$A$6:$BB$47,31,0)</f>
        <v>0</v>
      </c>
    </row>
    <row r="14" spans="1:16" x14ac:dyDescent="0.25">
      <c r="A14" s="1" t="s">
        <v>10</v>
      </c>
      <c r="B14" s="7">
        <f>IF(D14=0,0,VLOOKUP($A14,[6]HISTOJUIN24!$A$6:$BQ$47,14,0))</f>
        <v>1</v>
      </c>
      <c r="C14" s="1" t="str">
        <f>VLOOKUP(A14,[7]LISTADHERENT!A$5:H$60,3,0)</f>
        <v>NGONDIEP CLAUDE</v>
      </c>
      <c r="D14" s="7">
        <f>IF(E14="ECHEC",0,VLOOKUP($A14,[6]HISTOJUIN24!$A$6:$BB$47,15,0))</f>
        <v>100000</v>
      </c>
      <c r="E14" s="7" t="str">
        <f>VLOOKUP($A14,[6]HISTOJUIN24!$A$6:$BB$47,8,0)</f>
        <v>ESPECES</v>
      </c>
      <c r="F14" s="7">
        <f>VLOOKUP($A14,[6]HISTOJUIN24!$A$6:$BB$47,37,0)</f>
        <v>0</v>
      </c>
      <c r="G14" s="7">
        <f>VLOOKUP($A14,[6]HISTOJUIN24!$A$6:$BB$47,40,0)</f>
        <v>0</v>
      </c>
      <c r="H14" s="7" t="str">
        <f>IF(F14&lt;&gt;0,VLOOKUP($A14,[6]HISTOJUIN24!$A$6:$BB$47,42,0),"ECHEC")</f>
        <v>ECHEC</v>
      </c>
      <c r="I14" s="7">
        <f>VLOOKUP($A14,[6]HISTOJUIN24!$A$6:$BB$47,41,0)</f>
        <v>0</v>
      </c>
      <c r="J14" s="7">
        <f>TONTMAI24!F14+TONTMAI24!G14</f>
        <v>0</v>
      </c>
      <c r="K14" s="7">
        <f>VLOOKUP($A14,[6]HISTOJUIN24!$A$6:$BB$47,18,0)</f>
        <v>0</v>
      </c>
      <c r="L14" s="7" t="str">
        <f>IF(K14&lt;&gt;0,VLOOKUP($A14,[6]HISTOJUIN24!$A$6:$BB$47,42,0),"ECHEC")</f>
        <v>ECHEC</v>
      </c>
      <c r="M14" s="7" t="str">
        <f>IF(P14&lt;&gt;0,VLOOKUP($A14,[6]HISTOJUIN24!$A$6:$BB$47,32,0),"ECHEC")</f>
        <v>ECHEC</v>
      </c>
      <c r="N14" s="7">
        <f>VLOOKUP($A14,[6]HISTOJUIN24!$A$6:$BB$47,33,0)</f>
        <v>0</v>
      </c>
      <c r="O14" s="7">
        <f t="shared" si="0"/>
        <v>0</v>
      </c>
      <c r="P14" s="7">
        <f>VLOOKUP($A14,[6]HISTOJUIN24!$A$6:$BB$47,31,0)</f>
        <v>0</v>
      </c>
    </row>
    <row r="15" spans="1:16" x14ac:dyDescent="0.25">
      <c r="A15" s="1" t="s">
        <v>43</v>
      </c>
      <c r="B15" s="7">
        <f>IF(D15=0,0,VLOOKUP($A15,[6]HISTOJUIN24!$A$6:$BQ$47,14,0))</f>
        <v>1</v>
      </c>
      <c r="C15" s="1" t="str">
        <f>VLOOKUP(A15,[7]LISTADHERENT!A$5:H$60,3,0)</f>
        <v>NGUIEMEGNI MATHIEU BLAISE</v>
      </c>
      <c r="D15" s="7">
        <f>IF(E15="ECHEC",0,VLOOKUP($A15,[6]HISTOJUIN24!$A$6:$BB$47,15,0))</f>
        <v>100000</v>
      </c>
      <c r="E15" s="7" t="str">
        <f>VLOOKUP($A15,[6]HISTOJUIN24!$A$6:$BB$47,8,0)</f>
        <v>BANQUE</v>
      </c>
      <c r="F15" s="7">
        <f>VLOOKUP($A15,[6]HISTOJUIN24!$A$6:$BB$47,37,0)</f>
        <v>0</v>
      </c>
      <c r="G15" s="7">
        <f>VLOOKUP($A15,[6]HISTOJUIN24!$A$6:$BB$47,40,0)</f>
        <v>0</v>
      </c>
      <c r="H15" s="7" t="str">
        <f>IF(F15&lt;&gt;0,VLOOKUP($A15,[6]HISTOJUIN24!$A$6:$BB$47,42,0),"ECHEC")</f>
        <v>ECHEC</v>
      </c>
      <c r="I15" s="7">
        <f>VLOOKUP($A15,[6]HISTOJUIN24!$A$6:$BB$47,41,0)</f>
        <v>0</v>
      </c>
      <c r="J15" s="7">
        <f>TONTMAI24!F15+TONTMAI24!G15</f>
        <v>0</v>
      </c>
      <c r="K15" s="7">
        <f>VLOOKUP($A15,[6]HISTOJUIN24!$A$6:$BB$47,18,0)</f>
        <v>0</v>
      </c>
      <c r="L15" s="7" t="str">
        <f>IF(K15&lt;&gt;0,VLOOKUP($A15,[6]HISTOJUIN24!$A$6:$BB$47,42,0),"ECHEC")</f>
        <v>ECHEC</v>
      </c>
      <c r="M15" s="7" t="str">
        <f>IF(P15&lt;&gt;0,VLOOKUP($A15,[6]HISTOJUIN24!$A$6:$BB$47,32,0),"ECHEC")</f>
        <v>ECHEC</v>
      </c>
      <c r="N15" s="7">
        <f>VLOOKUP($A15,[6]HISTOJUIN24!$A$6:$BB$47,33,0)</f>
        <v>0</v>
      </c>
      <c r="O15" s="7">
        <f t="shared" si="0"/>
        <v>0</v>
      </c>
      <c r="P15" s="7">
        <f>VLOOKUP($A15,[6]HISTOJUIN24!$A$6:$BB$47,31,0)</f>
        <v>0</v>
      </c>
    </row>
    <row r="16" spans="1:16" x14ac:dyDescent="0.25">
      <c r="A16" s="1" t="s">
        <v>54</v>
      </c>
      <c r="B16" s="7">
        <f>IF(D16=0,0,VLOOKUP($A16,[6]HISTOJUIN24!$A$6:$BQ$47,14,0))</f>
        <v>2</v>
      </c>
      <c r="C16" s="1" t="str">
        <f>VLOOKUP(A16,[7]LISTADHERENT!A$5:H$60,3,0)</f>
        <v>SIME BRICE</v>
      </c>
      <c r="D16" s="7">
        <f>IF(E16="ECHEC",0,VLOOKUP($A16,[6]HISTOJUIN24!$A$6:$BB$47,15,0))</f>
        <v>200000</v>
      </c>
      <c r="E16" s="7" t="str">
        <f>VLOOKUP($A16,[6]HISTOJUIN24!$A$6:$BB$47,8,0)</f>
        <v>BANQUE</v>
      </c>
      <c r="F16" s="7">
        <f>VLOOKUP($A16,[6]HISTOJUIN24!$A$6:$BB$47,37,0)</f>
        <v>0</v>
      </c>
      <c r="G16" s="7">
        <f>VLOOKUP($A16,[6]HISTOJUIN24!$A$6:$BB$47,40,0)</f>
        <v>0</v>
      </c>
      <c r="H16" s="7" t="str">
        <f>IF(F16&lt;&gt;0,VLOOKUP($A16,[6]HISTOJUIN24!$A$6:$BB$47,42,0),"ECHEC")</f>
        <v>ECHEC</v>
      </c>
      <c r="I16" s="7">
        <f>VLOOKUP($A16,[6]HISTOJUIN24!$A$6:$BB$47,41,0)</f>
        <v>0</v>
      </c>
      <c r="J16" s="7">
        <f>TONTMAI24!F16+TONTMAI24!G16</f>
        <v>0</v>
      </c>
      <c r="K16" s="7">
        <f>VLOOKUP($A16,[6]HISTOJUIN24!$A$6:$BB$47,18,0)</f>
        <v>0</v>
      </c>
      <c r="L16" s="7" t="str">
        <f>IF(K16&lt;&gt;0,VLOOKUP($A16,[6]HISTOJUIN24!$A$6:$BB$47,42,0),"ECHEC")</f>
        <v>ECHEC</v>
      </c>
      <c r="M16" s="7" t="str">
        <f>IF(P16&lt;&gt;0,VLOOKUP($A16,[6]HISTOJUIN24!$A$6:$BB$47,32,0),"ECHEC")</f>
        <v>ECHEC</v>
      </c>
      <c r="N16" s="7">
        <f>VLOOKUP($A16,[6]HISTOJUIN24!$A$6:$BB$47,33,0)</f>
        <v>0</v>
      </c>
      <c r="O16" s="7">
        <f t="shared" si="0"/>
        <v>0</v>
      </c>
      <c r="P16" s="7">
        <f>VLOOKUP($A16,[6]HISTOJUIN24!$A$6:$BB$47,31,0)</f>
        <v>0</v>
      </c>
    </row>
    <row r="17" spans="1:16" x14ac:dyDescent="0.25">
      <c r="A17" s="1" t="s">
        <v>55</v>
      </c>
      <c r="B17" s="7">
        <f>IF(D17=0,0,VLOOKUP($A17,[6]HISTOJUIN24!$A$6:$BQ$47,14,0))</f>
        <v>1</v>
      </c>
      <c r="C17" s="1" t="str">
        <f>VLOOKUP(A17,[7]LISTADHERENT!A$5:H$60,3,0)</f>
        <v>TCHOUATEU AUGUSTIN</v>
      </c>
      <c r="D17" s="7">
        <f>IF(E17="ECHEC",0,VLOOKUP($A17,[6]HISTOJUIN24!$A$6:$BB$47,15,0))</f>
        <v>100000</v>
      </c>
      <c r="E17" s="7" t="str">
        <f>VLOOKUP($A17,[6]HISTOJUIN24!$A$6:$BB$47,8,0)</f>
        <v>BANQUE</v>
      </c>
      <c r="F17" s="7">
        <f>VLOOKUP($A17,[6]HISTOJUIN24!$A$6:$BB$47,37,0)</f>
        <v>0</v>
      </c>
      <c r="G17" s="7">
        <f>VLOOKUP($A17,[6]HISTOJUIN24!$A$6:$BB$47,40,0)</f>
        <v>0</v>
      </c>
      <c r="H17" s="7" t="str">
        <f>IF(F17&lt;&gt;0,VLOOKUP($A17,[6]HISTOJUIN24!$A$6:$BB$47,42,0),"ECHEC")</f>
        <v>ECHEC</v>
      </c>
      <c r="I17" s="7">
        <f>VLOOKUP($A17,[6]HISTOJUIN24!$A$6:$BB$47,41,0)</f>
        <v>0</v>
      </c>
      <c r="J17" s="7">
        <f>TONTMAI24!F17+TONTMAI24!G17</f>
        <v>0</v>
      </c>
      <c r="K17" s="7">
        <f>VLOOKUP($A17,[6]HISTOJUIN24!$A$6:$BB$47,18,0)</f>
        <v>0</v>
      </c>
      <c r="L17" s="7" t="str">
        <f>IF(K17&lt;&gt;0,VLOOKUP($A17,[6]HISTOJUIN24!$A$6:$BB$47,42,0),"ECHEC")</f>
        <v>ECHEC</v>
      </c>
      <c r="M17" s="7" t="str">
        <f>IF(P17&lt;&gt;0,VLOOKUP($A17,[6]HISTOJUIN24!$A$6:$BB$47,32,0),"ECHEC")</f>
        <v>ECHEC</v>
      </c>
      <c r="N17" s="7">
        <f>VLOOKUP($A17,[6]HISTOJUIN24!$A$6:$BB$47,33,0)</f>
        <v>0</v>
      </c>
      <c r="O17" s="7">
        <f t="shared" si="0"/>
        <v>0</v>
      </c>
      <c r="P17" s="7">
        <f>VLOOKUP($A17,[6]HISTOJUIN24!$A$6:$BB$47,31,0)</f>
        <v>0</v>
      </c>
    </row>
    <row r="18" spans="1:16" x14ac:dyDescent="0.25">
      <c r="A18" s="1" t="s">
        <v>46</v>
      </c>
      <c r="B18" s="7">
        <f>IF(D18=0,0,VLOOKUP($A18,[6]HISTOJUIN24!$A$6:$BQ$47,14,0))</f>
        <v>1</v>
      </c>
      <c r="C18" s="1" t="str">
        <f>VLOOKUP(A18,[7]LISTADHERENT!A$5:H$60,3,0)</f>
        <v>SIMO PIERRE</v>
      </c>
      <c r="D18" s="7">
        <f>IF(E18="ECHEC",0,VLOOKUP($A18,[6]HISTOJUIN24!$A$6:$BB$47,15,0))</f>
        <v>100000</v>
      </c>
      <c r="E18" s="7" t="str">
        <f>VLOOKUP($A18,[6]HISTOJUIN24!$A$6:$BB$47,8,0)</f>
        <v>BANQUE</v>
      </c>
      <c r="F18" s="7">
        <f>VLOOKUP($A18,[6]HISTOJUIN24!$A$6:$BB$47,37,0)</f>
        <v>0</v>
      </c>
      <c r="G18" s="7">
        <f>VLOOKUP($A18,[6]HISTOJUIN24!$A$6:$BB$47,40,0)</f>
        <v>0</v>
      </c>
      <c r="H18" s="7" t="str">
        <f>IF(F18&lt;&gt;0,VLOOKUP($A18,[6]HISTOJUIN24!$A$6:$BB$47,42,0),"ECHEC")</f>
        <v>ECHEC</v>
      </c>
      <c r="I18" s="7">
        <f>VLOOKUP($A18,[6]HISTOJUIN24!$A$6:$BB$47,41,0)</f>
        <v>0</v>
      </c>
      <c r="J18" s="7">
        <f>TONTMAI24!F18+TONTMAI24!G18</f>
        <v>0</v>
      </c>
      <c r="K18" s="7">
        <f>VLOOKUP($A18,[6]HISTOJUIN24!$A$6:$BB$47,18,0)</f>
        <v>0</v>
      </c>
      <c r="L18" s="7" t="str">
        <f>IF(K18&lt;&gt;0,VLOOKUP($A18,[6]HISTOJUIN24!$A$6:$BB$47,42,0),"ECHEC")</f>
        <v>ECHEC</v>
      </c>
      <c r="M18" s="7" t="str">
        <f>IF(P18&lt;&gt;0,VLOOKUP($A18,[6]HISTOJUIN24!$A$6:$BB$47,32,0),"ECHEC")</f>
        <v>ECHEC</v>
      </c>
      <c r="N18" s="7">
        <f>VLOOKUP($A18,[6]HISTOJUIN24!$A$6:$BB$47,33,0)</f>
        <v>0</v>
      </c>
      <c r="O18" s="7">
        <f t="shared" si="0"/>
        <v>0</v>
      </c>
      <c r="P18" s="7">
        <f>VLOOKUP($A18,[6]HISTOJUIN24!$A$6:$BB$47,31,0)</f>
        <v>0</v>
      </c>
    </row>
    <row r="19" spans="1:16" x14ac:dyDescent="0.25">
      <c r="A19" s="1" t="s">
        <v>53</v>
      </c>
      <c r="B19" s="7">
        <f>IF(D19=0,0,VLOOKUP($A19,[6]HISTOJUIN24!$A$6:$BQ$47,14,0))</f>
        <v>1</v>
      </c>
      <c r="C19" s="1" t="str">
        <f>VLOOKUP(A19,[7]LISTADHERENT!A$5:H$60,3,0)</f>
        <v>YIALA ALAIN OSCAR</v>
      </c>
      <c r="D19" s="7">
        <f>IF(E19="ECHEC",0,VLOOKUP($A19,[6]HISTOJUIN24!$A$6:$BB$47,15,0))</f>
        <v>100000</v>
      </c>
      <c r="E19" s="7" t="str">
        <f>VLOOKUP($A19,[6]HISTOJUIN24!$A$6:$BB$47,8,0)</f>
        <v>BANQUE</v>
      </c>
      <c r="F19" s="7">
        <f>VLOOKUP($A19,[6]HISTOJUIN24!$A$6:$BB$47,37,0)</f>
        <v>0</v>
      </c>
      <c r="G19" s="7">
        <f>VLOOKUP($A19,[6]HISTOJUIN24!$A$6:$BB$47,40,0)</f>
        <v>0</v>
      </c>
      <c r="H19" s="7" t="str">
        <f>IF(F19&lt;&gt;0,VLOOKUP($A19,[6]HISTOJUIN24!$A$6:$BB$47,42,0),"ECHEC")</f>
        <v>ECHEC</v>
      </c>
      <c r="I19" s="7">
        <f>VLOOKUP($A19,[6]HISTOJUIN24!$A$6:$BB$47,41,0)</f>
        <v>0</v>
      </c>
      <c r="J19" s="7">
        <f>TONTMAI24!F19+TONTMAI24!G19</f>
        <v>0</v>
      </c>
      <c r="K19" s="7">
        <f>VLOOKUP($A19,[6]HISTOJUIN24!$A$6:$BB$47,18,0)</f>
        <v>0</v>
      </c>
      <c r="L19" s="7" t="str">
        <f>IF(K19&lt;&gt;0,VLOOKUP($A19,[6]HISTOJUIN24!$A$6:$BB$47,42,0),"ECHEC")</f>
        <v>ECHEC</v>
      </c>
      <c r="M19" s="7" t="str">
        <f>IF(P19&lt;&gt;0,VLOOKUP($A19,[6]HISTOJUIN24!$A$6:$BB$47,32,0),"ECHEC")</f>
        <v>ECHEC</v>
      </c>
      <c r="N19" s="7">
        <f>VLOOKUP($A19,[6]HISTOJUIN24!$A$6:$BB$47,33,0)</f>
        <v>0</v>
      </c>
      <c r="O19" s="7">
        <f t="shared" si="0"/>
        <v>0</v>
      </c>
      <c r="P19" s="7">
        <f>VLOOKUP($A19,[6]HISTOJUIN24!$A$6:$BB$47,31,0)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D28+E28+P22+TONTMAI24!N29</f>
        <v>2892000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2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2892000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2892000</v>
      </c>
      <c r="M29"/>
      <c r="N29" s="8">
        <f>L29</f>
        <v>2892000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H18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3</v>
      </c>
      <c r="E3" s="1"/>
      <c r="L3" s="1"/>
      <c r="M3" s="1"/>
    </row>
    <row r="4" spans="1:16" s="12" customFormat="1" ht="18" x14ac:dyDescent="0.25">
      <c r="B4" s="13"/>
      <c r="C4" s="18">
        <v>45486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IF(D6=0,0,VLOOKUP($A6,[6]HISTOJUIL24!$A$6:$BQ$47,14,0))</f>
        <v>0</v>
      </c>
      <c r="C6" s="1" t="str">
        <f>VLOOKUP(A6,[7]LISTADHERENT!A$5:H$60,3,0)</f>
        <v>ASELBY</v>
      </c>
      <c r="D6" s="7">
        <f>IF(E6="ECHEC",0,VLOOKUP($A6,[6]HISTOJUIL24!$A$6:$BB$47,15,0))</f>
        <v>0</v>
      </c>
      <c r="E6" s="7" t="str">
        <f>VLOOKUP($A6,[6]HISTOJUIL24!$A$6:$BB$47,8,0)</f>
        <v>ECHEC</v>
      </c>
      <c r="F6" s="7">
        <f>VLOOKUP($A6,[6]HISTOJUIL24!$A$6:$BB$47,37,0)</f>
        <v>0</v>
      </c>
      <c r="G6" s="7">
        <f>VLOOKUP($A6,[6]HISTOJUIL24!$A$6:$BB$47,40,0)</f>
        <v>0</v>
      </c>
      <c r="H6" s="7" t="str">
        <f>IF(F6&lt;&gt;0,VLOOKUP($A6,[6]HISTOJUIL24!$A$6:$BB$47,42,0),"ECHEC")</f>
        <v>ECHEC</v>
      </c>
      <c r="I6" s="7">
        <f>VLOOKUP($A6,[6]HISTOJUIL24!$A$6:$BB$47,41,0)</f>
        <v>0</v>
      </c>
      <c r="J6" s="7">
        <f>TONTJUIN24!F6+TONTJUIN24!G6</f>
        <v>0</v>
      </c>
      <c r="K6" s="7">
        <f>VLOOKUP($A6,[6]HISTOJUIL24!$A$6:$BB$47,18,0)</f>
        <v>0</v>
      </c>
      <c r="L6" s="7" t="str">
        <f>IF(K6&lt;&gt;0,VLOOKUP($A6,[6]HISTOJUIL24!$A$6:$BB$47,42,0),"ECHEC")</f>
        <v>ECHEC</v>
      </c>
      <c r="M6" s="7" t="str">
        <f>IF(P6&lt;&gt;0,VLOOKUP($A6,[6]HISTOJUIL24!$A$6:$BB$47,32,0),"ECHEC")</f>
        <v>ECHEC</v>
      </c>
      <c r="N6" s="7">
        <f>VLOOKUP($A6,[6]HISTOJUIL24!$A$6:$BB$47,33,0)</f>
        <v>0</v>
      </c>
      <c r="O6" s="7">
        <f t="shared" ref="O6:O19" si="0">IF(P6=0,0,($C$3-P6))</f>
        <v>0</v>
      </c>
      <c r="P6" s="7">
        <f>VLOOKUP($A6,[6]HISTOJUIL24!$A$6:$BB$47,31,0)</f>
        <v>0</v>
      </c>
    </row>
    <row r="7" spans="1:16" x14ac:dyDescent="0.25">
      <c r="A7" s="1" t="s">
        <v>47</v>
      </c>
      <c r="B7" s="7">
        <f>IF(D7=0,0,VLOOKUP($A7,[6]HISTOJUIL24!$A$6:$BQ$47,14,0))</f>
        <v>2</v>
      </c>
      <c r="C7" s="1" t="str">
        <f>VLOOKUP(A7,[7]LISTADHERENT!A$5:H$60,3,0)</f>
        <v xml:space="preserve">DJOMO JEAN PAUL </v>
      </c>
      <c r="D7" s="7">
        <f>IF(E7="ECHEC",0,VLOOKUP($A7,[6]HISTOJUIL24!$A$6:$BB$47,15,0))</f>
        <v>200000</v>
      </c>
      <c r="E7" s="7" t="str">
        <f>VLOOKUP($A7,[6]HISTOJUIL24!$A$6:$BB$47,8,0)</f>
        <v>BANQUE</v>
      </c>
      <c r="F7" s="7">
        <f>VLOOKUP($A7,[6]HISTOJUIL24!$A$6:$BB$47,37,0)</f>
        <v>0</v>
      </c>
      <c r="G7" s="7">
        <f>VLOOKUP($A7,[6]HISTOJUIL24!$A$6:$BB$47,40,0)</f>
        <v>0</v>
      </c>
      <c r="H7" s="7" t="str">
        <f>IF(F7&lt;&gt;0,VLOOKUP($A7,[6]HISTOJUIL24!$A$6:$BB$47,42,0),"ECHEC")</f>
        <v>ECHEC</v>
      </c>
      <c r="I7" s="7">
        <f>VLOOKUP($A7,[6]HISTOJUIL24!$A$6:$BB$47,41,0)</f>
        <v>0</v>
      </c>
      <c r="J7" s="7">
        <f>TONTJUIN24!F7+TONTJUIN24!G7</f>
        <v>0</v>
      </c>
      <c r="K7" s="7">
        <f>VLOOKUP($A7,[6]HISTOJUIL24!$A$6:$BB$47,18,0)</f>
        <v>0</v>
      </c>
      <c r="L7" s="7" t="str">
        <f>IF(K7&lt;&gt;0,VLOOKUP($A7,[6]HISTOJUIL24!$A$6:$BB$47,42,0),"ECHEC")</f>
        <v>ECHEC</v>
      </c>
      <c r="M7" s="7" t="str">
        <f>IF(P7&lt;&gt;0,VLOOKUP($A7,[6]HISTOJUIL24!$A$6:$BB$47,32,0),"ECHEC")</f>
        <v>ECHEC</v>
      </c>
      <c r="N7" s="7">
        <f>VLOOKUP($A7,[6]HISTOJUIL24!$A$6:$BB$47,33,0)</f>
        <v>0</v>
      </c>
      <c r="O7" s="7">
        <f t="shared" si="0"/>
        <v>0</v>
      </c>
      <c r="P7" s="7">
        <f>VLOOKUP($A7,[6]HISTOJUIL24!$A$6:$BB$47,31,0)</f>
        <v>0</v>
      </c>
    </row>
    <row r="8" spans="1:16" x14ac:dyDescent="0.25">
      <c r="A8" s="1" t="s">
        <v>20</v>
      </c>
      <c r="B8" s="7">
        <f>IF(D8=0,0,VLOOKUP($A8,[6]HISTOJUIL24!$A$6:$BQ$47,14,0))</f>
        <v>2</v>
      </c>
      <c r="C8" s="1" t="str">
        <f>VLOOKUP(A8,[7]LISTADHERENT!A$5:H$60,3,0)</f>
        <v>DJUOMBESSY ANTOINE</v>
      </c>
      <c r="D8" s="7">
        <f>IF(E8="ECHEC",0,VLOOKUP($A8,[6]HISTOJUIL24!$A$6:$BB$47,15,0))</f>
        <v>200000</v>
      </c>
      <c r="E8" s="7" t="str">
        <f>VLOOKUP($A8,[6]HISTOJUIL24!$A$6:$BB$47,8,0)</f>
        <v>BANQUE</v>
      </c>
      <c r="F8" s="7">
        <f>VLOOKUP($A8,[6]HISTOJUIL24!$A$6:$BB$47,37,0)</f>
        <v>0</v>
      </c>
      <c r="G8" s="7">
        <f>VLOOKUP($A8,[6]HISTOJUIL24!$A$6:$BB$47,40,0)</f>
        <v>0</v>
      </c>
      <c r="H8" s="7" t="str">
        <f>IF(F8&lt;&gt;0,VLOOKUP($A8,[6]HISTOJUIL24!$A$6:$BB$47,42,0),"ECHEC")</f>
        <v>ECHEC</v>
      </c>
      <c r="I8" s="7">
        <f>VLOOKUP($A8,[6]HISTOJUIL24!$A$6:$BB$47,41,0)</f>
        <v>0</v>
      </c>
      <c r="J8" s="7">
        <f>TONTJUIN24!F8+TONTJUIN24!G8</f>
        <v>0</v>
      </c>
      <c r="K8" s="7">
        <f>VLOOKUP($A8,[6]HISTOJUIL24!$A$6:$BB$47,18,0)</f>
        <v>0</v>
      </c>
      <c r="L8" s="7" t="str">
        <f>IF(K8&lt;&gt;0,VLOOKUP($A8,[6]HISTOJUIL24!$A$6:$BB$47,42,0),"ECHEC")</f>
        <v>ECHEC</v>
      </c>
      <c r="M8" s="7" t="str">
        <f>IF(P8&lt;&gt;0,VLOOKUP($A8,[6]HISTOJUIL24!$A$6:$BB$47,32,0),"ECHEC")</f>
        <v>ECHEC</v>
      </c>
      <c r="N8" s="7">
        <f>VLOOKUP($A8,[6]HISTOJUIL24!$A$6:$BB$47,33,0)</f>
        <v>0</v>
      </c>
      <c r="O8" s="7">
        <f t="shared" si="0"/>
        <v>0</v>
      </c>
      <c r="P8" s="7">
        <f>VLOOKUP($A8,[6]HISTOJUIL24!$A$6:$BB$47,31,0)</f>
        <v>0</v>
      </c>
    </row>
    <row r="9" spans="1:16" x14ac:dyDescent="0.25">
      <c r="A9" s="1" t="s">
        <v>21</v>
      </c>
      <c r="B9" s="7">
        <f>IF(D9=0,0,VLOOKUP($A9,[6]HISTOJUIL24!$A$6:$BQ$47,14,0))</f>
        <v>1</v>
      </c>
      <c r="C9" s="1" t="str">
        <f>VLOOKUP(A9,[7]LISTADHERENT!A$5:H$60,3,0)</f>
        <v>HOTCHO BENJAMIN</v>
      </c>
      <c r="D9" s="7">
        <f>IF(E9="ECHEC",0,VLOOKUP($A9,[6]HISTOJUIL24!$A$6:$BB$47,15,0))</f>
        <v>100000</v>
      </c>
      <c r="E9" s="7" t="str">
        <f>VLOOKUP($A9,[6]HISTOJUIL24!$A$6:$BB$47,8,0)</f>
        <v>BANQUE</v>
      </c>
      <c r="F9" s="7">
        <f>VLOOKUP($A9,[6]HISTOJUIL24!$A$6:$BB$47,37,0)</f>
        <v>0</v>
      </c>
      <c r="G9" s="7">
        <f>VLOOKUP($A9,[6]HISTOJUIL24!$A$6:$BB$47,40,0)</f>
        <v>0</v>
      </c>
      <c r="H9" s="7" t="str">
        <f>IF(F9&lt;&gt;0,VLOOKUP($A9,[6]HISTOJUIL24!$A$6:$BB$47,42,0),"ECHEC")</f>
        <v>ECHEC</v>
      </c>
      <c r="I9" s="7">
        <f>VLOOKUP($A9,[6]HISTOJUIL24!$A$6:$BB$47,41,0)</f>
        <v>0</v>
      </c>
      <c r="J9" s="7">
        <f>TONTJUIN24!F9+TONTJUIN24!G9</f>
        <v>0</v>
      </c>
      <c r="K9" s="7">
        <f>VLOOKUP($A9,[6]HISTOJUIL24!$A$6:$BB$47,18,0)</f>
        <v>0</v>
      </c>
      <c r="L9" s="7" t="str">
        <f>IF(K9&lt;&gt;0,VLOOKUP($A9,[6]HISTOJUIL24!$A$6:$BB$47,42,0),"ECHEC")</f>
        <v>ECHEC</v>
      </c>
      <c r="M9" s="7" t="str">
        <f>IF(P9&lt;&gt;0,VLOOKUP($A9,[6]HISTOJUIL24!$A$6:$BB$47,32,0),"ECHEC")</f>
        <v>ECHEC</v>
      </c>
      <c r="N9" s="7">
        <f>VLOOKUP($A9,[6]HISTOJUIL24!$A$6:$BB$47,33,0)</f>
        <v>0</v>
      </c>
      <c r="O9" s="7">
        <f t="shared" si="0"/>
        <v>0</v>
      </c>
      <c r="P9" s="7">
        <f>VLOOKUP($A9,[6]HISTOJUIL24!$A$6:$BB$47,31,0)</f>
        <v>0</v>
      </c>
    </row>
    <row r="10" spans="1:16" x14ac:dyDescent="0.25">
      <c r="A10" s="1" t="s">
        <v>26</v>
      </c>
      <c r="B10" s="7">
        <f>IF(D10=0,0,VLOOKUP($A10,[6]HISTOJUIL24!$A$6:$BQ$47,14,0))</f>
        <v>1</v>
      </c>
      <c r="C10" s="1" t="str">
        <f>VLOOKUP(A10,[7]LISTADHERENT!A$5:H$60,3,0)</f>
        <v>KOUAMOU MOISE</v>
      </c>
      <c r="D10" s="7">
        <f>IF(E10="ECHEC",0,VLOOKUP($A10,[6]HISTOJUIL24!$A$6:$BB$47,15,0))</f>
        <v>100000</v>
      </c>
      <c r="E10" s="7" t="str">
        <f>VLOOKUP($A10,[6]HISTOJUIL24!$A$6:$BB$47,8,0)</f>
        <v>BANQUE</v>
      </c>
      <c r="F10" s="7">
        <f>VLOOKUP($A10,[6]HISTOJUIL24!$A$6:$BB$47,37,0)</f>
        <v>0</v>
      </c>
      <c r="G10" s="7">
        <f>VLOOKUP($A10,[6]HISTOJUIL24!$A$6:$BB$47,40,0)</f>
        <v>0</v>
      </c>
      <c r="H10" s="7" t="str">
        <f>IF(F10&lt;&gt;0,VLOOKUP($A10,[6]HISTOJUIL24!$A$6:$BB$47,42,0),"ECHEC")</f>
        <v>ECHEC</v>
      </c>
      <c r="I10" s="7">
        <f>VLOOKUP($A10,[6]HISTOJUIL24!$A$6:$BB$47,41,0)</f>
        <v>0</v>
      </c>
      <c r="J10" s="7">
        <f>TONTJUIN24!F10+TONTJUIN24!G10</f>
        <v>0</v>
      </c>
      <c r="K10" s="7">
        <f>VLOOKUP($A10,[6]HISTOJUIL24!$A$6:$BB$47,18,0)</f>
        <v>0</v>
      </c>
      <c r="L10" s="7" t="str">
        <f>IF(K10&lt;&gt;0,VLOOKUP($A10,[6]HISTOJUIL24!$A$6:$BB$47,42,0),"ECHEC")</f>
        <v>ECHEC</v>
      </c>
      <c r="M10" s="7" t="str">
        <f>IF(P10&lt;&gt;0,VLOOKUP($A10,[6]HISTOJUIL24!$A$6:$BB$47,32,0),"ECHEC")</f>
        <v>ECHEC</v>
      </c>
      <c r="N10" s="7">
        <f>VLOOKUP($A10,[6]HISTOJUIL24!$A$6:$BB$47,33,0)</f>
        <v>0</v>
      </c>
      <c r="O10" s="7">
        <f t="shared" si="0"/>
        <v>0</v>
      </c>
      <c r="P10" s="7">
        <f>VLOOKUP($A10,[6]HISTOJUIL24!$A$6:$BB$47,31,0)</f>
        <v>0</v>
      </c>
    </row>
    <row r="11" spans="1:16" x14ac:dyDescent="0.25">
      <c r="A11" s="1" t="s">
        <v>8</v>
      </c>
      <c r="B11" s="7">
        <f>IF(D11=0,0,VLOOKUP($A11,[6]HISTOJUIL24!$A$6:$BQ$47,14,0))</f>
        <v>1</v>
      </c>
      <c r="C11" s="1" t="str">
        <f>VLOOKUP(A11,[7]LISTADHERENT!A$5:H$60,3,0)</f>
        <v>KOUATCHO MESSACK</v>
      </c>
      <c r="D11" s="7">
        <f>IF(E11="ECHEC",0,VLOOKUP($A11,[6]HISTOJUIL24!$A$6:$BB$47,15,0))</f>
        <v>100000</v>
      </c>
      <c r="E11" s="7" t="str">
        <f>VLOOKUP($A11,[6]HISTOJUIL24!$A$6:$BB$47,8,0)</f>
        <v>BANQUE</v>
      </c>
      <c r="F11" s="7">
        <f>VLOOKUP($A11,[6]HISTOJUIL24!$A$6:$BB$47,37,0)</f>
        <v>0</v>
      </c>
      <c r="G11" s="7">
        <f>VLOOKUP($A11,[6]HISTOJUIL24!$A$6:$BB$47,40,0)</f>
        <v>0</v>
      </c>
      <c r="H11" s="7" t="str">
        <f>IF(F11&lt;&gt;0,VLOOKUP($A11,[6]HISTOJUIL24!$A$6:$BB$47,42,0),"ECHEC")</f>
        <v>ECHEC</v>
      </c>
      <c r="I11" s="7">
        <f>VLOOKUP($A11,[6]HISTOJUIL24!$A$6:$BB$47,41,0)</f>
        <v>0</v>
      </c>
      <c r="J11" s="7">
        <f>TONTJUIN24!F11+TONTJUIN24!G11</f>
        <v>0</v>
      </c>
      <c r="K11" s="7">
        <f>VLOOKUP($A11,[6]HISTOJUIL24!$A$6:$BB$47,18,0)</f>
        <v>0</v>
      </c>
      <c r="L11" s="7" t="str">
        <f>IF(K11&lt;&gt;0,VLOOKUP($A11,[6]HISTOJUIL24!$A$6:$BB$47,42,0),"ECHEC")</f>
        <v>ECHEC</v>
      </c>
      <c r="M11" s="7" t="str">
        <f>IF(P11&lt;&gt;0,VLOOKUP($A11,[6]HISTOJUIL24!$A$6:$BB$47,32,0),"ECHEC")</f>
        <v>ECHEC</v>
      </c>
      <c r="N11" s="7">
        <f>VLOOKUP($A11,[6]HISTOJUIL24!$A$6:$BB$47,33,0)</f>
        <v>0</v>
      </c>
      <c r="O11" s="7">
        <f t="shared" si="0"/>
        <v>0</v>
      </c>
      <c r="P11" s="7">
        <f>VLOOKUP($A11,[6]HISTOJUIL24!$A$6:$BB$47,31,0)</f>
        <v>0</v>
      </c>
    </row>
    <row r="12" spans="1:16" x14ac:dyDescent="0.25">
      <c r="A12" s="1" t="s">
        <v>22</v>
      </c>
      <c r="B12" s="7">
        <f>IF(D12=0,0,VLOOKUP($A12,[6]HISTOJUIL24!$A$6:$BQ$47,14,0))</f>
        <v>1</v>
      </c>
      <c r="C12" s="1" t="str">
        <f>VLOOKUP(A12,[7]LISTADHERENT!A$5:H$60,3,0)</f>
        <v>MBOGNING TUGMA GUY</v>
      </c>
      <c r="D12" s="7">
        <f>IF(E12="ECHEC",0,VLOOKUP($A12,[6]HISTOJUIL24!$A$6:$BB$47,15,0))</f>
        <v>100000</v>
      </c>
      <c r="E12" s="7" t="str">
        <f>VLOOKUP($A12,[6]HISTOJUIL24!$A$6:$BB$47,8,0)</f>
        <v>BANQUE</v>
      </c>
      <c r="F12" s="7">
        <f>VLOOKUP($A12,[6]HISTOJUIL24!$A$6:$BB$47,37,0)</f>
        <v>0</v>
      </c>
      <c r="G12" s="7">
        <f>VLOOKUP($A12,[6]HISTOJUIL24!$A$6:$BB$47,40,0)</f>
        <v>0</v>
      </c>
      <c r="H12" s="7" t="str">
        <f>IF(F12&lt;&gt;0,VLOOKUP($A12,[6]HISTOJUIL24!$A$6:$BB$47,42,0),"ECHEC")</f>
        <v>ECHEC</v>
      </c>
      <c r="I12" s="7">
        <f>VLOOKUP($A12,[6]HISTOJUIL24!$A$6:$BB$47,41,0)</f>
        <v>0</v>
      </c>
      <c r="J12" s="7">
        <f>TONTJUIN24!F12+TONTJUIN24!G12</f>
        <v>0</v>
      </c>
      <c r="K12" s="7">
        <f>VLOOKUP($A12,[6]HISTOJUIL24!$A$6:$BB$47,18,0)</f>
        <v>0</v>
      </c>
      <c r="L12" s="7" t="str">
        <f>IF(K12&lt;&gt;0,VLOOKUP($A12,[6]HISTOJUIL24!$A$6:$BB$47,42,0),"ECHEC")</f>
        <v>ECHEC</v>
      </c>
      <c r="M12" s="7" t="str">
        <f>IF(P12&lt;&gt;0,VLOOKUP($A12,[6]HISTOJUIL24!$A$6:$BB$47,32,0),"ECHEC")</f>
        <v>ECHEC</v>
      </c>
      <c r="N12" s="7">
        <f>VLOOKUP($A12,[6]HISTOJUIL24!$A$6:$BB$47,33,0)</f>
        <v>0</v>
      </c>
      <c r="O12" s="7">
        <f t="shared" si="0"/>
        <v>0</v>
      </c>
      <c r="P12" s="7">
        <f>VLOOKUP($A12,[6]HISTOJUIL24!$A$6:$BB$47,31,0)</f>
        <v>0</v>
      </c>
    </row>
    <row r="13" spans="1:16" x14ac:dyDescent="0.25">
      <c r="A13" s="1" t="s">
        <v>9</v>
      </c>
      <c r="B13" s="7">
        <f>IF(D13=0,0,VLOOKUP($A13,[6]HISTOJUIL24!$A$6:$BQ$47,14,0))</f>
        <v>2</v>
      </c>
      <c r="C13" s="1" t="str">
        <f>VLOOKUP(A13,[7]LISTADHERENT!A$5:H$60,3,0)</f>
        <v>NDJOMO ETIENNE</v>
      </c>
      <c r="D13" s="7">
        <f>IF(E13="ECHEC",0,VLOOKUP($A13,[6]HISTOJUIL24!$A$6:$BB$47,15,0))</f>
        <v>200000</v>
      </c>
      <c r="E13" s="7" t="str">
        <f>VLOOKUP($A13,[6]HISTOJUIL24!$A$6:$BB$47,8,0)</f>
        <v>BANQUE</v>
      </c>
      <c r="F13" s="7">
        <f>VLOOKUP($A13,[6]HISTOJUIL24!$A$6:$BB$47,37,0)</f>
        <v>0</v>
      </c>
      <c r="G13" s="7">
        <f>VLOOKUP($A13,[6]HISTOJUIL24!$A$6:$BB$47,40,0)</f>
        <v>0</v>
      </c>
      <c r="H13" s="7" t="str">
        <f>IF(F13&lt;&gt;0,VLOOKUP($A13,[6]HISTOJUIL24!$A$6:$BB$47,42,0),"ECHEC")</f>
        <v>ECHEC</v>
      </c>
      <c r="I13" s="7">
        <f>VLOOKUP($A13,[6]HISTOJUIL24!$A$6:$BB$47,41,0)</f>
        <v>0</v>
      </c>
      <c r="J13" s="7">
        <f>TONTJUIN24!F13+TONTJUIN24!G13</f>
        <v>0</v>
      </c>
      <c r="K13" s="7">
        <f>VLOOKUP($A13,[6]HISTOJUIL24!$A$6:$BB$47,18,0)</f>
        <v>0</v>
      </c>
      <c r="L13" s="7" t="str">
        <f>IF(K13&lt;&gt;0,VLOOKUP($A13,[6]HISTOJUIL24!$A$6:$BB$47,42,0),"ECHEC")</f>
        <v>ECHEC</v>
      </c>
      <c r="M13" s="7" t="str">
        <f>IF(P13&lt;&gt;0,VLOOKUP($A13,[6]HISTOJUIL24!$A$6:$BB$47,32,0),"ECHEC")</f>
        <v>ECHEC</v>
      </c>
      <c r="N13" s="7">
        <f>VLOOKUP($A13,[6]HISTOJUIL24!$A$6:$BB$47,33,0)</f>
        <v>0</v>
      </c>
      <c r="O13" s="7">
        <f t="shared" si="0"/>
        <v>0</v>
      </c>
      <c r="P13" s="7">
        <f>VLOOKUP($A13,[6]HISTOJUIL24!$A$6:$BB$47,31,0)</f>
        <v>0</v>
      </c>
    </row>
    <row r="14" spans="1:16" x14ac:dyDescent="0.25">
      <c r="A14" s="1" t="s">
        <v>10</v>
      </c>
      <c r="B14" s="7">
        <f>IF(D14=0,0,VLOOKUP($A14,[6]HISTOJUIL24!$A$6:$BQ$47,14,0))</f>
        <v>1</v>
      </c>
      <c r="C14" s="1" t="str">
        <f>VLOOKUP(A14,[7]LISTADHERENT!A$5:H$60,3,0)</f>
        <v>NGONDIEP CLAUDE</v>
      </c>
      <c r="D14" s="7">
        <f>IF(E14="ECHEC",0,VLOOKUP($A14,[6]HISTOJUIL24!$A$6:$BB$47,15,0))</f>
        <v>100000</v>
      </c>
      <c r="E14" s="7" t="str">
        <f>VLOOKUP($A14,[6]HISTOJUIL24!$A$6:$BB$47,8,0)</f>
        <v>ESPECES</v>
      </c>
      <c r="F14" s="7">
        <f>VLOOKUP($A14,[6]HISTOJUIL24!$A$6:$BB$47,37,0)</f>
        <v>0</v>
      </c>
      <c r="G14" s="7">
        <f>VLOOKUP($A14,[6]HISTOJUIL24!$A$6:$BB$47,40,0)</f>
        <v>0</v>
      </c>
      <c r="H14" s="7" t="str">
        <f>IF(F14&lt;&gt;0,VLOOKUP($A14,[6]HISTOJUIL24!$A$6:$BB$47,42,0),"ECHEC")</f>
        <v>ECHEC</v>
      </c>
      <c r="I14" s="7">
        <f>VLOOKUP($A14,[6]HISTOJUIL24!$A$6:$BB$47,41,0)</f>
        <v>0</v>
      </c>
      <c r="J14" s="7">
        <f>TONTJUIN24!F14+TONTJUIN24!G14</f>
        <v>0</v>
      </c>
      <c r="K14" s="7">
        <f>VLOOKUP($A14,[6]HISTOJUIL24!$A$6:$BB$47,18,0)</f>
        <v>0</v>
      </c>
      <c r="L14" s="7" t="str">
        <f>IF(K14&lt;&gt;0,VLOOKUP($A14,[6]HISTOJUIL24!$A$6:$BB$47,42,0),"ECHEC")</f>
        <v>ECHEC</v>
      </c>
      <c r="M14" s="7" t="str">
        <f>IF(P14&lt;&gt;0,VLOOKUP($A14,[6]HISTOJUIL24!$A$6:$BB$47,32,0),"ECHEC")</f>
        <v>ECHEC</v>
      </c>
      <c r="N14" s="7">
        <f>VLOOKUP($A14,[6]HISTOJUIL24!$A$6:$BB$47,33,0)</f>
        <v>0</v>
      </c>
      <c r="O14" s="7">
        <f t="shared" si="0"/>
        <v>0</v>
      </c>
      <c r="P14" s="7">
        <f>VLOOKUP($A14,[6]HISTOJUIL24!$A$6:$BB$47,31,0)</f>
        <v>0</v>
      </c>
    </row>
    <row r="15" spans="1:16" x14ac:dyDescent="0.25">
      <c r="A15" s="1" t="s">
        <v>43</v>
      </c>
      <c r="B15" s="7">
        <f>IF(D15=0,0,VLOOKUP($A15,[6]HISTOJUIL24!$A$6:$BQ$47,14,0))</f>
        <v>1</v>
      </c>
      <c r="C15" s="1" t="str">
        <f>VLOOKUP(A15,[7]LISTADHERENT!A$5:H$60,3,0)</f>
        <v>NGUIEMEGNI MATHIEU BLAISE</v>
      </c>
      <c r="D15" s="7">
        <f>IF(E15="ECHEC",0,VLOOKUP($A15,[6]HISTOJUIL24!$A$6:$BB$47,15,0))</f>
        <v>100000</v>
      </c>
      <c r="E15" s="7" t="str">
        <f>VLOOKUP($A15,[6]HISTOJUIL24!$A$6:$BB$47,8,0)</f>
        <v>BANQUE</v>
      </c>
      <c r="F15" s="7">
        <f>VLOOKUP($A15,[6]HISTOJUIL24!$A$6:$BB$47,37,0)</f>
        <v>0</v>
      </c>
      <c r="G15" s="7">
        <f>VLOOKUP($A15,[6]HISTOJUIL24!$A$6:$BB$47,40,0)</f>
        <v>0</v>
      </c>
      <c r="H15" s="7" t="str">
        <f>IF(F15&lt;&gt;0,VLOOKUP($A15,[6]HISTOJUIL24!$A$6:$BB$47,42,0),"ECHEC")</f>
        <v>ECHEC</v>
      </c>
      <c r="I15" s="7">
        <f>VLOOKUP($A15,[6]HISTOJUIL24!$A$6:$BB$47,41,0)</f>
        <v>0</v>
      </c>
      <c r="J15" s="7">
        <f>TONTJUIN24!F15+TONTJUIN24!G15</f>
        <v>0</v>
      </c>
      <c r="K15" s="7">
        <f>VLOOKUP($A15,[6]HISTOJUIL24!$A$6:$BB$47,18,0)</f>
        <v>0</v>
      </c>
      <c r="L15" s="7" t="str">
        <f>IF(K15&lt;&gt;0,VLOOKUP($A15,[6]HISTOJUIL24!$A$6:$BB$47,42,0),"ECHEC")</f>
        <v>ECHEC</v>
      </c>
      <c r="M15" s="7" t="str">
        <f>IF(P15&lt;&gt;0,VLOOKUP($A15,[6]HISTOJUIL24!$A$6:$BB$47,32,0),"ECHEC")</f>
        <v>ECHEC</v>
      </c>
      <c r="N15" s="7">
        <f>VLOOKUP($A15,[6]HISTOJUIL24!$A$6:$BB$47,33,0)</f>
        <v>0</v>
      </c>
      <c r="O15" s="7">
        <f t="shared" si="0"/>
        <v>0</v>
      </c>
      <c r="P15" s="7">
        <f>VLOOKUP($A15,[6]HISTOJUIL24!$A$6:$BB$47,31,0)</f>
        <v>0</v>
      </c>
    </row>
    <row r="16" spans="1:16" x14ac:dyDescent="0.25">
      <c r="A16" s="1" t="s">
        <v>54</v>
      </c>
      <c r="B16" s="7">
        <f>IF(D16=0,0,VLOOKUP($A16,[6]HISTOJUIL24!$A$6:$BQ$47,14,0))</f>
        <v>2</v>
      </c>
      <c r="C16" s="1" t="str">
        <f>VLOOKUP(A16,[7]LISTADHERENT!A$5:H$60,3,0)</f>
        <v>SIME BRICE</v>
      </c>
      <c r="D16" s="7">
        <f>IF(E16="ECHEC",0,VLOOKUP($A16,[6]HISTOJUIL24!$A$6:$BB$47,15,0))</f>
        <v>200000</v>
      </c>
      <c r="E16" s="7" t="str">
        <f>VLOOKUP($A16,[6]HISTOJUIL24!$A$6:$BB$47,8,0)</f>
        <v>BANQUE</v>
      </c>
      <c r="F16" s="7">
        <f>VLOOKUP($A16,[6]HISTOJUIL24!$A$6:$BB$47,37,0)</f>
        <v>0</v>
      </c>
      <c r="G16" s="7">
        <f>VLOOKUP($A16,[6]HISTOJUIL24!$A$6:$BB$47,40,0)</f>
        <v>0</v>
      </c>
      <c r="H16" s="7" t="str">
        <f>IF(F16&lt;&gt;0,VLOOKUP($A16,[6]HISTOJUIL24!$A$6:$BB$47,42,0),"ECHEC")</f>
        <v>ECHEC</v>
      </c>
      <c r="I16" s="7">
        <f>VLOOKUP($A16,[6]HISTOJUIL24!$A$6:$BB$47,41,0)</f>
        <v>0</v>
      </c>
      <c r="J16" s="7">
        <f>TONTJUIN24!F16+TONTJUIN24!G16</f>
        <v>0</v>
      </c>
      <c r="K16" s="7">
        <f>VLOOKUP($A16,[6]HISTOJUIL24!$A$6:$BB$47,18,0)</f>
        <v>0</v>
      </c>
      <c r="L16" s="7" t="str">
        <f>IF(K16&lt;&gt;0,VLOOKUP($A16,[6]HISTOJUIL24!$A$6:$BB$47,42,0),"ECHEC")</f>
        <v>ECHEC</v>
      </c>
      <c r="M16" s="7" t="str">
        <f>IF(P16&lt;&gt;0,VLOOKUP($A16,[6]HISTOJUIL24!$A$6:$BB$47,32,0),"ECHEC")</f>
        <v>ECHEC</v>
      </c>
      <c r="N16" s="7">
        <f>VLOOKUP($A16,[6]HISTOJUIL24!$A$6:$BB$47,33,0)</f>
        <v>0</v>
      </c>
      <c r="O16" s="7">
        <f t="shared" si="0"/>
        <v>0</v>
      </c>
      <c r="P16" s="7">
        <f>VLOOKUP($A16,[6]HISTOJUIL24!$A$6:$BB$47,31,0)</f>
        <v>0</v>
      </c>
    </row>
    <row r="17" spans="1:16" x14ac:dyDescent="0.25">
      <c r="A17" s="1" t="s">
        <v>55</v>
      </c>
      <c r="B17" s="7">
        <f>IF(D17=0,0,VLOOKUP($A17,[6]HISTOJUIL24!$A$6:$BQ$47,14,0))</f>
        <v>1</v>
      </c>
      <c r="C17" s="1" t="str">
        <f>VLOOKUP(A17,[7]LISTADHERENT!A$5:H$60,3,0)</f>
        <v>TCHOUATEU AUGUSTIN</v>
      </c>
      <c r="D17" s="7">
        <f>IF(E17="ECHEC",0,VLOOKUP($A17,[6]HISTOJUIL24!$A$6:$BB$47,15,0))</f>
        <v>100000</v>
      </c>
      <c r="E17" s="7" t="str">
        <f>VLOOKUP($A17,[6]HISTOJUIL24!$A$6:$BB$47,8,0)</f>
        <v>BANQUE</v>
      </c>
      <c r="F17" s="7">
        <f>VLOOKUP($A17,[6]HISTOJUIL24!$A$6:$BB$47,37,0)</f>
        <v>0</v>
      </c>
      <c r="G17" s="7">
        <f>VLOOKUP($A17,[6]HISTOJUIL24!$A$6:$BB$47,40,0)</f>
        <v>0</v>
      </c>
      <c r="H17" s="7" t="str">
        <f>IF(F17&lt;&gt;0,VLOOKUP($A17,[6]HISTOJUIL24!$A$6:$BB$47,42,0),"ECHEC")</f>
        <v>ECHEC</v>
      </c>
      <c r="I17" s="7">
        <f>VLOOKUP($A17,[6]HISTOJUIL24!$A$6:$BB$47,41,0)</f>
        <v>0</v>
      </c>
      <c r="J17" s="7">
        <f>TONTJUIN24!F17+TONTJUIN24!G17</f>
        <v>0</v>
      </c>
      <c r="K17" s="7">
        <f>VLOOKUP($A17,[6]HISTOJUIL24!$A$6:$BB$47,18,0)</f>
        <v>0</v>
      </c>
      <c r="L17" s="7" t="str">
        <f>IF(K17&lt;&gt;0,VLOOKUP($A17,[6]HISTOJUIL24!$A$6:$BB$47,42,0),"ECHEC")</f>
        <v>ECHEC</v>
      </c>
      <c r="M17" s="7" t="str">
        <f>IF(P17&lt;&gt;0,VLOOKUP($A17,[6]HISTOJUIL24!$A$6:$BB$47,32,0),"ECHEC")</f>
        <v>ECHEC</v>
      </c>
      <c r="N17" s="7">
        <f>VLOOKUP($A17,[6]HISTOJUIL24!$A$6:$BB$47,33,0)</f>
        <v>0</v>
      </c>
      <c r="O17" s="7">
        <f t="shared" si="0"/>
        <v>0</v>
      </c>
      <c r="P17" s="7">
        <f>VLOOKUP($A17,[6]HISTOJUIL24!$A$6:$BB$47,31,0)</f>
        <v>0</v>
      </c>
    </row>
    <row r="18" spans="1:16" x14ac:dyDescent="0.25">
      <c r="A18" s="1" t="s">
        <v>46</v>
      </c>
      <c r="B18" s="7">
        <f>IF(D18=0,0,VLOOKUP($A18,[6]HISTOJUIL24!$A$6:$BQ$47,14,0))</f>
        <v>1</v>
      </c>
      <c r="C18" s="1" t="str">
        <f>VLOOKUP(A18,[7]LISTADHERENT!A$5:H$60,3,0)</f>
        <v>SIMO PIERRE</v>
      </c>
      <c r="D18" s="7">
        <f>IF(E18="ECHEC",0,VLOOKUP($A18,[6]HISTOJUIL24!$A$6:$BB$47,15,0))</f>
        <v>100000</v>
      </c>
      <c r="E18" s="7" t="str">
        <f>VLOOKUP($A18,[6]HISTOJUIL24!$A$6:$BB$47,8,0)</f>
        <v>BANQUE</v>
      </c>
      <c r="F18" s="7">
        <f>VLOOKUP($A18,[6]HISTOJUIL24!$A$6:$BB$47,37,0)</f>
        <v>0</v>
      </c>
      <c r="G18" s="7">
        <f>VLOOKUP($A18,[6]HISTOJUIL24!$A$6:$BB$47,40,0)</f>
        <v>0</v>
      </c>
      <c r="H18" s="7" t="str">
        <f>IF(F18&lt;&gt;0,VLOOKUP($A18,[6]HISTOJUIL24!$A$6:$BB$47,42,0),"ECHEC")</f>
        <v>ECHEC</v>
      </c>
      <c r="I18" s="7">
        <f>VLOOKUP($A18,[6]HISTOJUIL24!$A$6:$BB$47,41,0)</f>
        <v>0</v>
      </c>
      <c r="J18" s="7">
        <f>TONTJUIN24!F18+TONTJUIN24!G18</f>
        <v>0</v>
      </c>
      <c r="K18" s="7">
        <f>VLOOKUP($A18,[6]HISTOJUIL24!$A$6:$BB$47,18,0)</f>
        <v>0</v>
      </c>
      <c r="L18" s="7" t="str">
        <f>IF(K18&lt;&gt;0,VLOOKUP($A18,[6]HISTOJUIL24!$A$6:$BB$47,42,0),"ECHEC")</f>
        <v>ECHEC</v>
      </c>
      <c r="M18" s="7" t="str">
        <f>IF(P18&lt;&gt;0,VLOOKUP($A18,[6]HISTOJUIL24!$A$6:$BB$47,32,0),"ECHEC")</f>
        <v>ECHEC</v>
      </c>
      <c r="N18" s="7">
        <f>VLOOKUP($A18,[6]HISTOJUIL24!$A$6:$BB$47,33,0)</f>
        <v>0</v>
      </c>
      <c r="O18" s="7">
        <f t="shared" si="0"/>
        <v>0</v>
      </c>
      <c r="P18" s="7">
        <f>VLOOKUP($A18,[6]HISTOJUIL24!$A$6:$BB$47,31,0)</f>
        <v>0</v>
      </c>
    </row>
    <row r="19" spans="1:16" x14ac:dyDescent="0.25">
      <c r="A19" s="1" t="s">
        <v>53</v>
      </c>
      <c r="B19" s="7">
        <f>IF(D19=0,0,VLOOKUP($A19,[6]HISTOJUIL24!$A$6:$BQ$47,14,0))</f>
        <v>1</v>
      </c>
      <c r="C19" s="1" t="str">
        <f>VLOOKUP(A19,[7]LISTADHERENT!A$5:H$60,3,0)</f>
        <v>YIALA ALAIN OSCAR</v>
      </c>
      <c r="D19" s="7">
        <f>IF(E19="ECHEC",0,VLOOKUP($A19,[6]HISTOJUIL24!$A$6:$BB$47,15,0))</f>
        <v>100000</v>
      </c>
      <c r="E19" s="7" t="str">
        <f>VLOOKUP($A19,[6]HISTOJUIL24!$A$6:$BB$47,8,0)</f>
        <v>BANQUE</v>
      </c>
      <c r="F19" s="7">
        <f>VLOOKUP($A19,[6]HISTOJUIL24!$A$6:$BB$47,37,0)</f>
        <v>0</v>
      </c>
      <c r="G19" s="7">
        <f>VLOOKUP($A19,[6]HISTOJUIL24!$A$6:$BB$47,40,0)</f>
        <v>0</v>
      </c>
      <c r="H19" s="7" t="str">
        <f>IF(F19&lt;&gt;0,VLOOKUP($A19,[6]HISTOJUIL24!$A$6:$BB$47,42,0),"ECHEC")</f>
        <v>ECHEC</v>
      </c>
      <c r="I19" s="7">
        <f>VLOOKUP($A19,[6]HISTOJUIL24!$A$6:$BB$47,41,0)</f>
        <v>0</v>
      </c>
      <c r="J19" s="7">
        <f>TONTJUIN24!F19+TONTJUIN24!G19</f>
        <v>0</v>
      </c>
      <c r="K19" s="7">
        <f>VLOOKUP($A19,[6]HISTOJUIL24!$A$6:$BB$47,18,0)</f>
        <v>0</v>
      </c>
      <c r="L19" s="7" t="str">
        <f>IF(K19&lt;&gt;0,VLOOKUP($A19,[6]HISTOJUIL24!$A$6:$BB$47,42,0),"ECHEC")</f>
        <v>ECHEC</v>
      </c>
      <c r="M19" s="7" t="str">
        <f>IF(P19&lt;&gt;0,VLOOKUP($A19,[6]HISTOJUIL24!$A$6:$BB$47,32,0),"ECHEC")</f>
        <v>ECHEC</v>
      </c>
      <c r="N19" s="7">
        <f>VLOOKUP($A19,[6]HISTOJUIL24!$A$6:$BB$47,33,0)</f>
        <v>0</v>
      </c>
      <c r="O19" s="7">
        <f t="shared" si="0"/>
        <v>0</v>
      </c>
      <c r="P19" s="7">
        <f>VLOOKUP($A19,[6]HISTOJUIL24!$A$6:$BB$47,31,0)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D28+E28+P22+TONTJUIN24!N29</f>
        <v>4592000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3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4592000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4592000</v>
      </c>
      <c r="M29"/>
      <c r="N29" s="8">
        <f>L29</f>
        <v>4592000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I21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5</v>
      </c>
      <c r="E3" s="1"/>
      <c r="L3" s="1"/>
      <c r="M3" s="1"/>
    </row>
    <row r="4" spans="1:16" s="12" customFormat="1" ht="18" x14ac:dyDescent="0.25">
      <c r="B4" s="13"/>
      <c r="C4" s="18">
        <v>45517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IF(D6=0,0,VLOOKUP($A6,[6]HISTOAOUT24!$A$6:$BQ$47,14,0))</f>
        <v>0</v>
      </c>
      <c r="C6" s="1" t="str">
        <f>VLOOKUP(A6,[7]LISTADHERENT!A$5:H$60,3,0)</f>
        <v>ASELBY</v>
      </c>
      <c r="D6" s="7">
        <f>IF(E6="ECHEC",0,VLOOKUP($A6,[6]HISTOAOUT24!$A$6:$BB$47,15,0))</f>
        <v>0</v>
      </c>
      <c r="E6" s="7" t="str">
        <f>VLOOKUP($A6,[6]HISTOAOUT24!$A$6:$BB$47,8,0)</f>
        <v>ECHEC</v>
      </c>
      <c r="F6" s="7">
        <f>VLOOKUP($A6,[6]HISTOAOUT24!$A$6:$BB$47,37,0)</f>
        <v>0</v>
      </c>
      <c r="G6" s="7">
        <f>VLOOKUP($A6,[6]HISTOAOUT24!$A$6:$BB$47,40,0)</f>
        <v>0</v>
      </c>
      <c r="H6" s="7" t="str">
        <f>IF(F6&lt;&gt;0,VLOOKUP($A6,[6]HISTOAOUT24!$A$6:$BB$47,42,0),"ECHEC")</f>
        <v>ECHEC</v>
      </c>
      <c r="I6" s="7">
        <f>VLOOKUP($A6,[6]HISTOAOUT24!$A$6:$BB$47,41,0)</f>
        <v>0</v>
      </c>
      <c r="J6" s="7">
        <f>TONTJUIL24!F6+TONTJUIL24!G6</f>
        <v>0</v>
      </c>
      <c r="K6" s="7">
        <f>VLOOKUP($A6,[6]HISTOAOUT24!$A$6:$BB$47,18,0)</f>
        <v>0</v>
      </c>
      <c r="L6" s="7" t="str">
        <f>IF(K6&lt;&gt;0,VLOOKUP($A6,[6]HISTOAOUT24!$A$6:$BB$47,42,0),"ECHEC")</f>
        <v>ECHEC</v>
      </c>
      <c r="M6" s="7" t="str">
        <f>IF(P6&lt;&gt;0,VLOOKUP($A6,[6]HISTOAOUT24!$A$6:$BB$47,32,0),"ECHEC")</f>
        <v>ECHEC</v>
      </c>
      <c r="N6" s="7">
        <f>VLOOKUP($A6,[6]HISTOAOUT24!$A$6:$BB$47,33,0)</f>
        <v>0</v>
      </c>
      <c r="O6" s="7">
        <f t="shared" ref="O6:O19" si="0">IF(P6=0,0,($C$3-P6))</f>
        <v>0</v>
      </c>
      <c r="P6" s="7">
        <f>VLOOKUP($A6,[6]HISTOAOUT24!$A$6:$BB$47,31,0)</f>
        <v>0</v>
      </c>
    </row>
    <row r="7" spans="1:16" x14ac:dyDescent="0.25">
      <c r="A7" s="1" t="s">
        <v>47</v>
      </c>
      <c r="B7" s="7">
        <f>IF(D7=0,0,VLOOKUP($A7,[6]HISTOAOUT24!$A$6:$BQ$47,14,0))</f>
        <v>2</v>
      </c>
      <c r="C7" s="1" t="str">
        <f>VLOOKUP(A7,[7]LISTADHERENT!A$5:H$60,3,0)</f>
        <v xml:space="preserve">DJOMO JEAN PAUL </v>
      </c>
      <c r="D7" s="7">
        <f>IF(E7="ECHEC",0,VLOOKUP($A7,[6]HISTOAOUT24!$A$6:$BB$47,15,0))</f>
        <v>200000</v>
      </c>
      <c r="E7" s="7" t="str">
        <f>VLOOKUP($A7,[6]HISTOAOUT24!$A$6:$BB$47,8,0)</f>
        <v>BANQUE</v>
      </c>
      <c r="F7" s="7">
        <f>VLOOKUP($A7,[6]HISTOAOUT24!$A$6:$BB$47,37,0)</f>
        <v>0</v>
      </c>
      <c r="G7" s="7">
        <f>VLOOKUP($A7,[6]HISTOAOUT24!$A$6:$BB$47,40,0)</f>
        <v>0</v>
      </c>
      <c r="H7" s="7" t="str">
        <f>IF(F7&lt;&gt;0,VLOOKUP($A7,[6]HISTOAOUT24!$A$6:$BB$47,42,0),"ECHEC")</f>
        <v>ECHEC</v>
      </c>
      <c r="I7" s="7">
        <f>VLOOKUP($A7,[6]HISTOAOUT24!$A$6:$BB$47,41,0)</f>
        <v>0</v>
      </c>
      <c r="J7" s="7">
        <f>TONTJUIL24!F7+TONTJUIL24!G7</f>
        <v>0</v>
      </c>
      <c r="K7" s="7">
        <f>VLOOKUP($A7,[6]HISTOAOUT24!$A$6:$BB$47,18,0)</f>
        <v>0</v>
      </c>
      <c r="L7" s="7" t="str">
        <f>IF(K7&lt;&gt;0,VLOOKUP($A7,[6]HISTOAOUT24!$A$6:$BB$47,42,0),"ECHEC")</f>
        <v>ECHEC</v>
      </c>
      <c r="M7" s="7" t="str">
        <f>IF(P7&lt;&gt;0,VLOOKUP($A7,[6]HISTOAOUT24!$A$6:$BB$47,32,0),"ECHEC")</f>
        <v>ECHEC</v>
      </c>
      <c r="N7" s="7">
        <f>VLOOKUP($A7,[6]HISTOAOUT24!$A$6:$BB$47,33,0)</f>
        <v>0</v>
      </c>
      <c r="O7" s="7">
        <f t="shared" si="0"/>
        <v>0</v>
      </c>
      <c r="P7" s="7">
        <f>VLOOKUP($A7,[6]HISTOAOUT24!$A$6:$BB$47,31,0)</f>
        <v>0</v>
      </c>
    </row>
    <row r="8" spans="1:16" x14ac:dyDescent="0.25">
      <c r="A8" s="1" t="s">
        <v>20</v>
      </c>
      <c r="B8" s="7">
        <f>IF(D8=0,0,VLOOKUP($A8,[6]HISTOAOUT24!$A$6:$BQ$47,14,0))</f>
        <v>2</v>
      </c>
      <c r="C8" s="1" t="str">
        <f>VLOOKUP(A8,[7]LISTADHERENT!A$5:H$60,3,0)</f>
        <v>DJUOMBESSY ANTOINE</v>
      </c>
      <c r="D8" s="7">
        <f>IF(E8="ECHEC",0,VLOOKUP($A8,[6]HISTOAOUT24!$A$6:$BB$47,15,0))</f>
        <v>200000</v>
      </c>
      <c r="E8" s="7" t="str">
        <f>VLOOKUP($A8,[6]HISTOAOUT24!$A$6:$BB$47,8,0)</f>
        <v>BANQUE</v>
      </c>
      <c r="F8" s="7">
        <f>VLOOKUP($A8,[6]HISTOAOUT24!$A$6:$BB$47,37,0)</f>
        <v>0</v>
      </c>
      <c r="G8" s="7">
        <f>VLOOKUP($A8,[6]HISTOAOUT24!$A$6:$BB$47,40,0)</f>
        <v>0</v>
      </c>
      <c r="H8" s="7" t="str">
        <f>IF(F8&lt;&gt;0,VLOOKUP($A8,[6]HISTOAOUT24!$A$6:$BB$47,42,0),"ECHEC")</f>
        <v>ECHEC</v>
      </c>
      <c r="I8" s="7">
        <f>VLOOKUP($A8,[6]HISTOAOUT24!$A$6:$BB$47,41,0)</f>
        <v>0</v>
      </c>
      <c r="J8" s="7">
        <f>TONTJUIL24!F8+TONTJUIL24!G8</f>
        <v>0</v>
      </c>
      <c r="K8" s="7">
        <f>VLOOKUP($A8,[6]HISTOAOUT24!$A$6:$BB$47,18,0)</f>
        <v>0</v>
      </c>
      <c r="L8" s="7" t="str">
        <f>IF(K8&lt;&gt;0,VLOOKUP($A8,[6]HISTOAOUT24!$A$6:$BB$47,42,0),"ECHEC")</f>
        <v>ECHEC</v>
      </c>
      <c r="M8" s="7" t="str">
        <f>IF(P8&lt;&gt;0,VLOOKUP($A8,[6]HISTOAOUT24!$A$6:$BB$47,32,0),"ECHEC")</f>
        <v>ECHEC</v>
      </c>
      <c r="N8" s="7">
        <f>VLOOKUP($A8,[6]HISTOAOUT24!$A$6:$BB$47,33,0)</f>
        <v>0</v>
      </c>
      <c r="O8" s="7">
        <f t="shared" si="0"/>
        <v>0</v>
      </c>
      <c r="P8" s="7">
        <f>VLOOKUP($A8,[6]HISTOAOUT24!$A$6:$BB$47,31,0)</f>
        <v>0</v>
      </c>
    </row>
    <row r="9" spans="1:16" x14ac:dyDescent="0.25">
      <c r="A9" s="1" t="s">
        <v>21</v>
      </c>
      <c r="B9" s="7">
        <f>IF(D9=0,0,VLOOKUP($A9,[6]HISTOAOUT24!$A$6:$BQ$47,14,0))</f>
        <v>1</v>
      </c>
      <c r="C9" s="1" t="str">
        <f>VLOOKUP(A9,[7]LISTADHERENT!A$5:H$60,3,0)</f>
        <v>HOTCHO BENJAMIN</v>
      </c>
      <c r="D9" s="7">
        <f>IF(E9="ECHEC",0,VLOOKUP($A9,[6]HISTOAOUT24!$A$6:$BB$47,15,0))</f>
        <v>100000</v>
      </c>
      <c r="E9" s="7" t="str">
        <f>VLOOKUP($A9,[6]HISTOAOUT24!$A$6:$BB$47,8,0)</f>
        <v>BANQUE</v>
      </c>
      <c r="F9" s="7">
        <f>VLOOKUP($A9,[6]HISTOAOUT24!$A$6:$BB$47,37,0)</f>
        <v>0</v>
      </c>
      <c r="G9" s="7">
        <f>VLOOKUP($A9,[6]HISTOAOUT24!$A$6:$BB$47,40,0)</f>
        <v>0</v>
      </c>
      <c r="H9" s="7" t="str">
        <f>IF(F9&lt;&gt;0,VLOOKUP($A9,[6]HISTOAOUT24!$A$6:$BB$47,42,0),"ECHEC")</f>
        <v>ECHEC</v>
      </c>
      <c r="I9" s="7">
        <f>VLOOKUP($A9,[6]HISTOAOUT24!$A$6:$BB$47,41,0)</f>
        <v>0</v>
      </c>
      <c r="J9" s="7">
        <f>TONTJUIL24!F9+TONTJUIL24!G9</f>
        <v>0</v>
      </c>
      <c r="K9" s="7">
        <f>VLOOKUP($A9,[6]HISTOAOUT24!$A$6:$BB$47,18,0)</f>
        <v>0</v>
      </c>
      <c r="L9" s="7" t="str">
        <f>IF(K9&lt;&gt;0,VLOOKUP($A9,[6]HISTOAOUT24!$A$6:$BB$47,42,0),"ECHEC")</f>
        <v>ECHEC</v>
      </c>
      <c r="M9" s="7" t="str">
        <f>IF(P9&lt;&gt;0,VLOOKUP($A9,[6]HISTOAOUT24!$A$6:$BB$47,32,0),"ECHEC")</f>
        <v>ECHEC</v>
      </c>
      <c r="N9" s="7">
        <f>VLOOKUP($A9,[6]HISTOAOUT24!$A$6:$BB$47,33,0)</f>
        <v>0</v>
      </c>
      <c r="O9" s="7">
        <f t="shared" si="0"/>
        <v>0</v>
      </c>
      <c r="P9" s="7">
        <f>VLOOKUP($A9,[6]HISTOAOUT24!$A$6:$BB$47,31,0)</f>
        <v>0</v>
      </c>
    </row>
    <row r="10" spans="1:16" x14ac:dyDescent="0.25">
      <c r="A10" s="1" t="s">
        <v>26</v>
      </c>
      <c r="B10" s="7">
        <f>IF(D10=0,0,VLOOKUP($A10,[6]HISTOAOUT24!$A$6:$BQ$47,14,0))</f>
        <v>1</v>
      </c>
      <c r="C10" s="1" t="str">
        <f>VLOOKUP(A10,[7]LISTADHERENT!A$5:H$60,3,0)</f>
        <v>KOUAMOU MOISE</v>
      </c>
      <c r="D10" s="7">
        <f>IF(E10="ECHEC",0,VLOOKUP($A10,[6]HISTOAOUT24!$A$6:$BB$47,15,0))</f>
        <v>100000</v>
      </c>
      <c r="E10" s="7" t="str">
        <f>VLOOKUP($A10,[6]HISTOAOUT24!$A$6:$BB$47,8,0)</f>
        <v>BANQUE</v>
      </c>
      <c r="F10" s="7">
        <f>VLOOKUP($A10,[6]HISTOAOUT24!$A$6:$BB$47,37,0)</f>
        <v>0</v>
      </c>
      <c r="G10" s="7">
        <f>VLOOKUP($A10,[6]HISTOAOUT24!$A$6:$BB$47,40,0)</f>
        <v>0</v>
      </c>
      <c r="H10" s="7" t="str">
        <f>IF(F10&lt;&gt;0,VLOOKUP($A10,[6]HISTOAOUT24!$A$6:$BB$47,42,0),"ECHEC")</f>
        <v>ECHEC</v>
      </c>
      <c r="I10" s="7">
        <f>VLOOKUP($A10,[6]HISTOAOUT24!$A$6:$BB$47,41,0)</f>
        <v>0</v>
      </c>
      <c r="J10" s="7">
        <f>TONTJUIL24!F10+TONTJUIL24!G10</f>
        <v>0</v>
      </c>
      <c r="K10" s="7">
        <f>VLOOKUP($A10,[6]HISTOAOUT24!$A$6:$BB$47,18,0)</f>
        <v>0</v>
      </c>
      <c r="L10" s="7" t="str">
        <f>IF(K10&lt;&gt;0,VLOOKUP($A10,[6]HISTOAOUT24!$A$6:$BB$47,42,0),"ECHEC")</f>
        <v>ECHEC</v>
      </c>
      <c r="M10" s="7" t="str">
        <f>IF(P10&lt;&gt;0,VLOOKUP($A10,[6]HISTOAOUT24!$A$6:$BB$47,32,0),"ECHEC")</f>
        <v>ECHEC</v>
      </c>
      <c r="N10" s="7">
        <f>VLOOKUP($A10,[6]HISTOAOUT24!$A$6:$BB$47,33,0)</f>
        <v>0</v>
      </c>
      <c r="O10" s="7">
        <f t="shared" si="0"/>
        <v>0</v>
      </c>
      <c r="P10" s="7">
        <f>VLOOKUP($A10,[6]HISTOAOUT24!$A$6:$BB$47,31,0)</f>
        <v>0</v>
      </c>
    </row>
    <row r="11" spans="1:16" x14ac:dyDescent="0.25">
      <c r="A11" s="1" t="s">
        <v>8</v>
      </c>
      <c r="B11" s="7">
        <f>IF(D11=0,0,VLOOKUP($A11,[6]HISTOAOUT24!$A$6:$BQ$47,14,0))</f>
        <v>1</v>
      </c>
      <c r="C11" s="1" t="str">
        <f>VLOOKUP(A11,[7]LISTADHERENT!A$5:H$60,3,0)</f>
        <v>KOUATCHO MESSACK</v>
      </c>
      <c r="D11" s="7">
        <f>IF(E11="ECHEC",0,VLOOKUP($A11,[6]HISTOAOUT24!$A$6:$BB$47,15,0))</f>
        <v>100000</v>
      </c>
      <c r="E11" s="7" t="str">
        <f>VLOOKUP($A11,[6]HISTOAOUT24!$A$6:$BB$47,8,0)</f>
        <v>BANQUE</v>
      </c>
      <c r="F11" s="7">
        <f>VLOOKUP($A11,[6]HISTOAOUT24!$A$6:$BB$47,37,0)</f>
        <v>0</v>
      </c>
      <c r="G11" s="7">
        <f>VLOOKUP($A11,[6]HISTOAOUT24!$A$6:$BB$47,40,0)</f>
        <v>0</v>
      </c>
      <c r="H11" s="7" t="str">
        <f>IF(F11&lt;&gt;0,VLOOKUP($A11,[6]HISTOAOUT24!$A$6:$BB$47,42,0),"ECHEC")</f>
        <v>ECHEC</v>
      </c>
      <c r="I11" s="7">
        <f>VLOOKUP($A11,[6]HISTOAOUT24!$A$6:$BB$47,41,0)</f>
        <v>0</v>
      </c>
      <c r="J11" s="7">
        <f>TONTJUIL24!F11+TONTJUIL24!G11</f>
        <v>0</v>
      </c>
      <c r="K11" s="7">
        <f>VLOOKUP($A11,[6]HISTOAOUT24!$A$6:$BB$47,18,0)</f>
        <v>0</v>
      </c>
      <c r="L11" s="7" t="str">
        <f>IF(K11&lt;&gt;0,VLOOKUP($A11,[6]HISTOAOUT24!$A$6:$BB$47,42,0),"ECHEC")</f>
        <v>ECHEC</v>
      </c>
      <c r="M11" s="7" t="str">
        <f>IF(P11&lt;&gt;0,VLOOKUP($A11,[6]HISTOAOUT24!$A$6:$BB$47,32,0),"ECHEC")</f>
        <v>ECHEC</v>
      </c>
      <c r="N11" s="7">
        <f>VLOOKUP($A11,[6]HISTOAOUT24!$A$6:$BB$47,33,0)</f>
        <v>0</v>
      </c>
      <c r="O11" s="7">
        <f t="shared" si="0"/>
        <v>0</v>
      </c>
      <c r="P11" s="7">
        <f>VLOOKUP($A11,[6]HISTOAOUT24!$A$6:$BB$47,31,0)</f>
        <v>0</v>
      </c>
    </row>
    <row r="12" spans="1:16" x14ac:dyDescent="0.25">
      <c r="A12" s="1" t="s">
        <v>22</v>
      </c>
      <c r="B12" s="7">
        <f>IF(D12=0,0,VLOOKUP($A12,[6]HISTOAOUT24!$A$6:$BQ$47,14,0))</f>
        <v>1</v>
      </c>
      <c r="C12" s="1" t="str">
        <f>VLOOKUP(A12,[7]LISTADHERENT!A$5:H$60,3,0)</f>
        <v>MBOGNING TUGMA GUY</v>
      </c>
      <c r="D12" s="7">
        <f>IF(E12="ECHEC",0,VLOOKUP($A12,[6]HISTOAOUT24!$A$6:$BB$47,15,0))</f>
        <v>100000</v>
      </c>
      <c r="E12" s="7" t="str">
        <f>VLOOKUP($A12,[6]HISTOAOUT24!$A$6:$BB$47,8,0)</f>
        <v>BANQUE</v>
      </c>
      <c r="F12" s="7">
        <f>VLOOKUP($A12,[6]HISTOAOUT24!$A$6:$BB$47,37,0)</f>
        <v>0</v>
      </c>
      <c r="G12" s="7">
        <f>VLOOKUP($A12,[6]HISTOAOUT24!$A$6:$BB$47,40,0)</f>
        <v>0</v>
      </c>
      <c r="H12" s="7" t="str">
        <f>IF(F12&lt;&gt;0,VLOOKUP($A12,[6]HISTOAOUT24!$A$6:$BB$47,42,0),"ECHEC")</f>
        <v>ECHEC</v>
      </c>
      <c r="I12" s="7">
        <f>VLOOKUP($A12,[6]HISTOAOUT24!$A$6:$BB$47,41,0)</f>
        <v>0</v>
      </c>
      <c r="J12" s="7">
        <f>TONTJUIL24!F12+TONTJUIL24!G12</f>
        <v>0</v>
      </c>
      <c r="K12" s="7">
        <f>VLOOKUP($A12,[6]HISTOAOUT24!$A$6:$BB$47,18,0)</f>
        <v>0</v>
      </c>
      <c r="L12" s="7" t="str">
        <f>IF(K12&lt;&gt;0,VLOOKUP($A12,[6]HISTOAOUT24!$A$6:$BB$47,42,0),"ECHEC")</f>
        <v>ECHEC</v>
      </c>
      <c r="M12" s="7" t="str">
        <f>IF(P12&lt;&gt;0,VLOOKUP($A12,[6]HISTOAOUT24!$A$6:$BB$47,32,0),"ECHEC")</f>
        <v>ECHEC</v>
      </c>
      <c r="N12" s="7">
        <f>VLOOKUP($A12,[6]HISTOAOUT24!$A$6:$BB$47,33,0)</f>
        <v>0</v>
      </c>
      <c r="O12" s="7">
        <f t="shared" si="0"/>
        <v>0</v>
      </c>
      <c r="P12" s="7">
        <f>VLOOKUP($A12,[6]HISTOAOUT24!$A$6:$BB$47,31,0)</f>
        <v>0</v>
      </c>
    </row>
    <row r="13" spans="1:16" x14ac:dyDescent="0.25">
      <c r="A13" s="1" t="s">
        <v>9</v>
      </c>
      <c r="B13" s="7">
        <f>IF(D13=0,0,VLOOKUP($A13,[6]HISTOAOUT24!$A$6:$BQ$47,14,0))</f>
        <v>2</v>
      </c>
      <c r="C13" s="1" t="str">
        <f>VLOOKUP(A13,[7]LISTADHERENT!A$5:H$60,3,0)</f>
        <v>NDJOMO ETIENNE</v>
      </c>
      <c r="D13" s="7">
        <f>IF(E13="ECHEC",0,VLOOKUP($A13,[6]HISTOAOUT24!$A$6:$BB$47,15,0))</f>
        <v>200000</v>
      </c>
      <c r="E13" s="7" t="str">
        <f>VLOOKUP($A13,[6]HISTOAOUT24!$A$6:$BB$47,8,0)</f>
        <v>BANQUE</v>
      </c>
      <c r="F13" s="7">
        <f>VLOOKUP($A13,[6]HISTOAOUT24!$A$6:$BB$47,37,0)</f>
        <v>0</v>
      </c>
      <c r="G13" s="7">
        <f>VLOOKUP($A13,[6]HISTOAOUT24!$A$6:$BB$47,40,0)</f>
        <v>0</v>
      </c>
      <c r="H13" s="7" t="str">
        <f>IF(F13&lt;&gt;0,VLOOKUP($A13,[6]HISTOAOUT24!$A$6:$BB$47,42,0),"ECHEC")</f>
        <v>ECHEC</v>
      </c>
      <c r="I13" s="7">
        <f>VLOOKUP($A13,[6]HISTOAOUT24!$A$6:$BB$47,41,0)</f>
        <v>0</v>
      </c>
      <c r="J13" s="7">
        <f>TONTJUIL24!F13+TONTJUIL24!G13</f>
        <v>0</v>
      </c>
      <c r="K13" s="7">
        <f>VLOOKUP($A13,[6]HISTOAOUT24!$A$6:$BB$47,18,0)</f>
        <v>0</v>
      </c>
      <c r="L13" s="7" t="str">
        <f>IF(K13&lt;&gt;0,VLOOKUP($A13,[6]HISTOAOUT24!$A$6:$BB$47,42,0),"ECHEC")</f>
        <v>ECHEC</v>
      </c>
      <c r="M13" s="7" t="str">
        <f>IF(P13&lt;&gt;0,VLOOKUP($A13,[6]HISTOAOUT24!$A$6:$BB$47,32,0),"ECHEC")</f>
        <v>ECHEC</v>
      </c>
      <c r="N13" s="7">
        <f>VLOOKUP($A13,[6]HISTOAOUT24!$A$6:$BB$47,33,0)</f>
        <v>0</v>
      </c>
      <c r="O13" s="7">
        <f t="shared" si="0"/>
        <v>0</v>
      </c>
      <c r="P13" s="7">
        <f>VLOOKUP($A13,[6]HISTOAOUT24!$A$6:$BB$47,31,0)</f>
        <v>0</v>
      </c>
    </row>
    <row r="14" spans="1:16" x14ac:dyDescent="0.25">
      <c r="A14" s="1" t="s">
        <v>10</v>
      </c>
      <c r="B14" s="7">
        <f>IF(D14=0,0,VLOOKUP($A14,[6]HISTOAOUT24!$A$6:$BQ$47,14,0))</f>
        <v>1</v>
      </c>
      <c r="C14" s="1" t="str">
        <f>VLOOKUP(A14,[7]LISTADHERENT!A$5:H$60,3,0)</f>
        <v>NGONDIEP CLAUDE</v>
      </c>
      <c r="D14" s="7">
        <f>IF(E14="ECHEC",0,VLOOKUP($A14,[6]HISTOAOUT24!$A$6:$BB$47,15,0))</f>
        <v>100000</v>
      </c>
      <c r="E14" s="7" t="str">
        <f>VLOOKUP($A14,[6]HISTOAOUT24!$A$6:$BB$47,8,0)</f>
        <v>ESPECES</v>
      </c>
      <c r="F14" s="7">
        <f>VLOOKUP($A14,[6]HISTOAOUT24!$A$6:$BB$47,37,0)</f>
        <v>0</v>
      </c>
      <c r="G14" s="7">
        <f>VLOOKUP($A14,[6]HISTOAOUT24!$A$6:$BB$47,40,0)</f>
        <v>0</v>
      </c>
      <c r="H14" s="7" t="str">
        <f>IF(F14&lt;&gt;0,VLOOKUP($A14,[6]HISTOAOUT24!$A$6:$BB$47,42,0),"ECHEC")</f>
        <v>ECHEC</v>
      </c>
      <c r="I14" s="7">
        <f>VLOOKUP($A14,[6]HISTOAOUT24!$A$6:$BB$47,41,0)</f>
        <v>0</v>
      </c>
      <c r="J14" s="7">
        <f>TONTJUIL24!F14+TONTJUIL24!G14</f>
        <v>0</v>
      </c>
      <c r="K14" s="7">
        <f>VLOOKUP($A14,[6]HISTOAOUT24!$A$6:$BB$47,18,0)</f>
        <v>0</v>
      </c>
      <c r="L14" s="7" t="str">
        <f>IF(K14&lt;&gt;0,VLOOKUP($A14,[6]HISTOAOUT24!$A$6:$BB$47,42,0),"ECHEC")</f>
        <v>ECHEC</v>
      </c>
      <c r="M14" s="7" t="str">
        <f>IF(P14&lt;&gt;0,VLOOKUP($A14,[6]HISTOAOUT24!$A$6:$BB$47,32,0),"ECHEC")</f>
        <v>ECHEC</v>
      </c>
      <c r="N14" s="7">
        <f>VLOOKUP($A14,[6]HISTOAOUT24!$A$6:$BB$47,33,0)</f>
        <v>0</v>
      </c>
      <c r="O14" s="7">
        <f t="shared" si="0"/>
        <v>0</v>
      </c>
      <c r="P14" s="7">
        <f>VLOOKUP($A14,[6]HISTOAOUT24!$A$6:$BB$47,31,0)</f>
        <v>0</v>
      </c>
    </row>
    <row r="15" spans="1:16" x14ac:dyDescent="0.25">
      <c r="A15" s="1" t="s">
        <v>43</v>
      </c>
      <c r="B15" s="7">
        <f>IF(D15=0,0,VLOOKUP($A15,[6]HISTOAOUT24!$A$6:$BQ$47,14,0))</f>
        <v>1</v>
      </c>
      <c r="C15" s="1" t="str">
        <f>VLOOKUP(A15,[7]LISTADHERENT!A$5:H$60,3,0)</f>
        <v>NGUIEMEGNI MATHIEU BLAISE</v>
      </c>
      <c r="D15" s="7">
        <f>IF(E15="ECHEC",0,VLOOKUP($A15,[6]HISTOAOUT24!$A$6:$BB$47,15,0))</f>
        <v>100000</v>
      </c>
      <c r="E15" s="7" t="str">
        <f>VLOOKUP($A15,[6]HISTOAOUT24!$A$6:$BB$47,8,0)</f>
        <v>BANQUE</v>
      </c>
      <c r="F15" s="7">
        <f>VLOOKUP($A15,[6]HISTOAOUT24!$A$6:$BB$47,37,0)</f>
        <v>0</v>
      </c>
      <c r="G15" s="7">
        <f>VLOOKUP($A15,[6]HISTOAOUT24!$A$6:$BB$47,40,0)</f>
        <v>0</v>
      </c>
      <c r="H15" s="7" t="str">
        <f>IF(F15&lt;&gt;0,VLOOKUP($A15,[6]HISTOAOUT24!$A$6:$BB$47,42,0),"ECHEC")</f>
        <v>ECHEC</v>
      </c>
      <c r="I15" s="7">
        <f>VLOOKUP($A15,[6]HISTOAOUT24!$A$6:$BB$47,41,0)</f>
        <v>0</v>
      </c>
      <c r="J15" s="7">
        <f>TONTJUIL24!F15+TONTJUIL24!G15</f>
        <v>0</v>
      </c>
      <c r="K15" s="7">
        <f>VLOOKUP($A15,[6]HISTOAOUT24!$A$6:$BB$47,18,0)</f>
        <v>0</v>
      </c>
      <c r="L15" s="7" t="str">
        <f>IF(K15&lt;&gt;0,VLOOKUP($A15,[6]HISTOAOUT24!$A$6:$BB$47,42,0),"ECHEC")</f>
        <v>ECHEC</v>
      </c>
      <c r="M15" s="7" t="str">
        <f>IF(P15&lt;&gt;0,VLOOKUP($A15,[6]HISTOAOUT24!$A$6:$BB$47,32,0),"ECHEC")</f>
        <v>ECHEC</v>
      </c>
      <c r="N15" s="7">
        <f>VLOOKUP($A15,[6]HISTOAOUT24!$A$6:$BB$47,33,0)</f>
        <v>0</v>
      </c>
      <c r="O15" s="7">
        <f t="shared" si="0"/>
        <v>0</v>
      </c>
      <c r="P15" s="7">
        <f>VLOOKUP($A15,[6]HISTOAOUT24!$A$6:$BB$47,31,0)</f>
        <v>0</v>
      </c>
    </row>
    <row r="16" spans="1:16" x14ac:dyDescent="0.25">
      <c r="A16" s="1" t="s">
        <v>54</v>
      </c>
      <c r="B16" s="7">
        <f>IF(D16=0,0,VLOOKUP($A16,[6]HISTOAOUT24!$A$6:$BQ$47,14,0))</f>
        <v>2</v>
      </c>
      <c r="C16" s="1" t="str">
        <f>VLOOKUP(A16,[7]LISTADHERENT!A$5:H$60,3,0)</f>
        <v>SIME BRICE</v>
      </c>
      <c r="D16" s="7">
        <f>IF(E16="ECHEC",0,VLOOKUP($A16,[6]HISTOAOUT24!$A$6:$BB$47,15,0))</f>
        <v>200000</v>
      </c>
      <c r="E16" s="7" t="str">
        <f>VLOOKUP($A16,[6]HISTOAOUT24!$A$6:$BB$47,8,0)</f>
        <v>BANQUE</v>
      </c>
      <c r="F16" s="7">
        <f>VLOOKUP($A16,[6]HISTOAOUT24!$A$6:$BB$47,37,0)</f>
        <v>0</v>
      </c>
      <c r="G16" s="7">
        <f>VLOOKUP($A16,[6]HISTOAOUT24!$A$6:$BB$47,40,0)</f>
        <v>0</v>
      </c>
      <c r="H16" s="7" t="str">
        <f>IF(F16&lt;&gt;0,VLOOKUP($A16,[6]HISTOAOUT24!$A$6:$BB$47,42,0),"ECHEC")</f>
        <v>ECHEC</v>
      </c>
      <c r="I16" s="7">
        <f>VLOOKUP($A16,[6]HISTOAOUT24!$A$6:$BB$47,41,0)</f>
        <v>0</v>
      </c>
      <c r="J16" s="7">
        <f>TONTJUIL24!F16+TONTJUIL24!G16</f>
        <v>0</v>
      </c>
      <c r="K16" s="7">
        <f>VLOOKUP($A16,[6]HISTOAOUT24!$A$6:$BB$47,18,0)</f>
        <v>0</v>
      </c>
      <c r="L16" s="7" t="str">
        <f>IF(K16&lt;&gt;0,VLOOKUP($A16,[6]HISTOAOUT24!$A$6:$BB$47,42,0),"ECHEC")</f>
        <v>ECHEC</v>
      </c>
      <c r="M16" s="7" t="str">
        <f>IF(P16&lt;&gt;0,VLOOKUP($A16,[6]HISTOAOUT24!$A$6:$BB$47,32,0),"ECHEC")</f>
        <v>ECHEC</v>
      </c>
      <c r="N16" s="7">
        <f>VLOOKUP($A16,[6]HISTOAOUT24!$A$6:$BB$47,33,0)</f>
        <v>0</v>
      </c>
      <c r="O16" s="7">
        <f t="shared" si="0"/>
        <v>0</v>
      </c>
      <c r="P16" s="7">
        <f>VLOOKUP($A16,[6]HISTOAOUT24!$A$6:$BB$47,31,0)</f>
        <v>0</v>
      </c>
    </row>
    <row r="17" spans="1:16" x14ac:dyDescent="0.25">
      <c r="A17" s="1" t="s">
        <v>55</v>
      </c>
      <c r="B17" s="7">
        <f>IF(D17=0,0,VLOOKUP($A17,[6]HISTOAOUT24!$A$6:$BQ$47,14,0))</f>
        <v>1</v>
      </c>
      <c r="C17" s="1" t="str">
        <f>VLOOKUP(A17,[7]LISTADHERENT!A$5:H$60,3,0)</f>
        <v>TCHOUATEU AUGUSTIN</v>
      </c>
      <c r="D17" s="7">
        <f>IF(E17="ECHEC",0,VLOOKUP($A17,[6]HISTOAOUT24!$A$6:$BB$47,15,0))</f>
        <v>100000</v>
      </c>
      <c r="E17" s="7" t="str">
        <f>VLOOKUP($A17,[6]HISTOAOUT24!$A$6:$BB$47,8,0)</f>
        <v>BANQUE</v>
      </c>
      <c r="F17" s="7">
        <f>VLOOKUP($A17,[6]HISTOAOUT24!$A$6:$BB$47,37,0)</f>
        <v>0</v>
      </c>
      <c r="G17" s="7">
        <f>VLOOKUP($A17,[6]HISTOAOUT24!$A$6:$BB$47,40,0)</f>
        <v>0</v>
      </c>
      <c r="H17" s="7" t="str">
        <f>IF(F17&lt;&gt;0,VLOOKUP($A17,[6]HISTOAOUT24!$A$6:$BB$47,42,0),"ECHEC")</f>
        <v>ECHEC</v>
      </c>
      <c r="I17" s="7">
        <f>VLOOKUP($A17,[6]HISTOAOUT24!$A$6:$BB$47,41,0)</f>
        <v>0</v>
      </c>
      <c r="J17" s="7">
        <f>TONTJUIL24!F17+TONTJUIL24!G17</f>
        <v>0</v>
      </c>
      <c r="K17" s="7">
        <f>VLOOKUP($A17,[6]HISTOAOUT24!$A$6:$BB$47,18,0)</f>
        <v>0</v>
      </c>
      <c r="L17" s="7" t="str">
        <f>IF(K17&lt;&gt;0,VLOOKUP($A17,[6]HISTOAOUT24!$A$6:$BB$47,42,0),"ECHEC")</f>
        <v>ECHEC</v>
      </c>
      <c r="M17" s="7" t="str">
        <f>IF(P17&lt;&gt;0,VLOOKUP($A17,[6]HISTOAOUT24!$A$6:$BB$47,32,0),"ECHEC")</f>
        <v>ECHEC</v>
      </c>
      <c r="N17" s="7">
        <f>VLOOKUP($A17,[6]HISTOAOUT24!$A$6:$BB$47,33,0)</f>
        <v>0</v>
      </c>
      <c r="O17" s="7">
        <f t="shared" si="0"/>
        <v>0</v>
      </c>
      <c r="P17" s="7">
        <f>VLOOKUP($A17,[6]HISTOAOUT24!$A$6:$BB$47,31,0)</f>
        <v>0</v>
      </c>
    </row>
    <row r="18" spans="1:16" x14ac:dyDescent="0.25">
      <c r="A18" s="1" t="s">
        <v>46</v>
      </c>
      <c r="B18" s="7">
        <f>IF(D18=0,0,VLOOKUP($A18,[6]HISTOAOUT24!$A$6:$BQ$47,14,0))</f>
        <v>1</v>
      </c>
      <c r="C18" s="1" t="str">
        <f>VLOOKUP(A18,[7]LISTADHERENT!A$5:H$60,3,0)</f>
        <v>SIMO PIERRE</v>
      </c>
      <c r="D18" s="7">
        <f>IF(E18="ECHEC",0,VLOOKUP($A18,[6]HISTOAOUT24!$A$6:$BB$47,15,0))</f>
        <v>100000</v>
      </c>
      <c r="E18" s="7" t="str">
        <f>VLOOKUP($A18,[6]HISTOAOUT24!$A$6:$BB$47,8,0)</f>
        <v>BANQUE</v>
      </c>
      <c r="F18" s="7">
        <f>VLOOKUP($A18,[6]HISTOAOUT24!$A$6:$BB$47,37,0)</f>
        <v>0</v>
      </c>
      <c r="G18" s="7">
        <f>VLOOKUP($A18,[6]HISTOAOUT24!$A$6:$BB$47,40,0)</f>
        <v>0</v>
      </c>
      <c r="H18" s="7" t="str">
        <f>IF(F18&lt;&gt;0,VLOOKUP($A18,[6]HISTOAOUT24!$A$6:$BB$47,42,0),"ECHEC")</f>
        <v>ECHEC</v>
      </c>
      <c r="I18" s="7">
        <f>VLOOKUP($A18,[6]HISTOAOUT24!$A$6:$BB$47,41,0)</f>
        <v>0</v>
      </c>
      <c r="J18" s="7">
        <f>TONTJUIL24!F18+TONTJUIL24!G18</f>
        <v>0</v>
      </c>
      <c r="K18" s="7">
        <f>VLOOKUP($A18,[6]HISTOAOUT24!$A$6:$BB$47,18,0)</f>
        <v>0</v>
      </c>
      <c r="L18" s="7" t="str">
        <f>IF(K18&lt;&gt;0,VLOOKUP($A18,[6]HISTOAOUT24!$A$6:$BB$47,42,0),"ECHEC")</f>
        <v>ECHEC</v>
      </c>
      <c r="M18" s="7" t="str">
        <f>IF(P18&lt;&gt;0,VLOOKUP($A18,[6]HISTOAOUT24!$A$6:$BB$47,32,0),"ECHEC")</f>
        <v>ECHEC</v>
      </c>
      <c r="N18" s="7">
        <f>VLOOKUP($A18,[6]HISTOAOUT24!$A$6:$BB$47,33,0)</f>
        <v>0</v>
      </c>
      <c r="O18" s="7">
        <f t="shared" si="0"/>
        <v>0</v>
      </c>
      <c r="P18" s="7">
        <f>VLOOKUP($A18,[6]HISTOAOUT24!$A$6:$BB$47,31,0)</f>
        <v>0</v>
      </c>
    </row>
    <row r="19" spans="1:16" x14ac:dyDescent="0.25">
      <c r="A19" s="1" t="s">
        <v>53</v>
      </c>
      <c r="B19" s="7">
        <f>IF(D19=0,0,VLOOKUP($A19,[6]HISTOAOUT24!$A$6:$BQ$47,14,0))</f>
        <v>1</v>
      </c>
      <c r="C19" s="1" t="str">
        <f>VLOOKUP(A19,[7]LISTADHERENT!A$5:H$60,3,0)</f>
        <v>YIALA ALAIN OSCAR</v>
      </c>
      <c r="D19" s="7">
        <f>IF(E19="ECHEC",0,VLOOKUP($A19,[6]HISTOAOUT24!$A$6:$BB$47,15,0))</f>
        <v>100000</v>
      </c>
      <c r="E19" s="7" t="str">
        <f>VLOOKUP($A19,[6]HISTOAOUT24!$A$6:$BB$47,8,0)</f>
        <v>BANQUE</v>
      </c>
      <c r="F19" s="7">
        <f>VLOOKUP($A19,[6]HISTOAOUT24!$A$6:$BB$47,37,0)</f>
        <v>0</v>
      </c>
      <c r="G19" s="7">
        <f>VLOOKUP($A19,[6]HISTOAOUT24!$A$6:$BB$47,40,0)</f>
        <v>0</v>
      </c>
      <c r="H19" s="7" t="str">
        <f>IF(F19&lt;&gt;0,VLOOKUP($A19,[6]HISTOAOUT24!$A$6:$BB$47,42,0),"ECHEC")</f>
        <v>ECHEC</v>
      </c>
      <c r="I19" s="7">
        <f>VLOOKUP($A19,[6]HISTOAOUT24!$A$6:$BB$47,41,0)</f>
        <v>0</v>
      </c>
      <c r="J19" s="7">
        <f>TONTJUIL24!F19+TONTJUIL24!G19</f>
        <v>0</v>
      </c>
      <c r="K19" s="7">
        <f>VLOOKUP($A19,[6]HISTOAOUT24!$A$6:$BB$47,18,0)</f>
        <v>0</v>
      </c>
      <c r="L19" s="7" t="str">
        <f>IF(K19&lt;&gt;0,VLOOKUP($A19,[6]HISTOAOUT24!$A$6:$BB$47,42,0),"ECHEC")</f>
        <v>ECHEC</v>
      </c>
      <c r="M19" s="7" t="str">
        <f>IF(P19&lt;&gt;0,VLOOKUP($A19,[6]HISTOAOUT24!$A$6:$BB$47,32,0),"ECHEC")</f>
        <v>ECHEC</v>
      </c>
      <c r="N19" s="7">
        <f>VLOOKUP($A19,[6]HISTOAOUT24!$A$6:$BB$47,33,0)</f>
        <v>0</v>
      </c>
      <c r="O19" s="7">
        <f t="shared" si="0"/>
        <v>0</v>
      </c>
      <c r="P19" s="7">
        <f>VLOOKUP($A19,[6]HISTOAOUT24!$A$6:$BB$47,31,0)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D28+E28+P22+TONTJUIL24!N29</f>
        <v>6292000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5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6292000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6292000</v>
      </c>
      <c r="M29"/>
      <c r="N29" s="8">
        <f>L29</f>
        <v>6292000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G18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6</v>
      </c>
      <c r="E3" s="1"/>
      <c r="L3" s="1"/>
      <c r="M3" s="1"/>
    </row>
    <row r="4" spans="1:16" s="12" customFormat="1" ht="18" x14ac:dyDescent="0.25">
      <c r="B4" s="13"/>
      <c r="C4" s="18">
        <v>45548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IF(D6=0,0,VLOOKUP($A6,[6]HISTOSEPT24!$A$6:$BQ$47,14,0))</f>
        <v>0</v>
      </c>
      <c r="C6" s="1" t="str">
        <f>VLOOKUP(A6,[7]LISTADHERENT!A$5:H$60,3,0)</f>
        <v>ASELBY</v>
      </c>
      <c r="D6" s="7">
        <f>IF(E6="ECHEC",0,VLOOKUP($A6,[6]HISTOSEPT24!$A$6:$BB$47,15,0))</f>
        <v>0</v>
      </c>
      <c r="E6" s="7" t="str">
        <f>VLOOKUP($A6,[6]HISTOSEPT24!$A$6:$BB$47,8,0)</f>
        <v>ECHEC</v>
      </c>
      <c r="F6" s="7">
        <f>VLOOKUP($A6,[6]HISTOSEPT24!$A$6:$BB$47,37,0)</f>
        <v>0</v>
      </c>
      <c r="G6" s="7">
        <f>VLOOKUP($A6,[6]HISTOSEPT24!$A$6:$BB$47,40,0)</f>
        <v>0</v>
      </c>
      <c r="H6" s="7" t="str">
        <f>IF(F6&lt;&gt;0,VLOOKUP($A6,[6]HISTOSEPT24!$A$6:$BB$47,42,0),"ECHEC")</f>
        <v>ECHEC</v>
      </c>
      <c r="I6" s="7">
        <f>VLOOKUP($A6,[6]HISTOSEPT24!$A$6:$BB$47,41,0)</f>
        <v>0</v>
      </c>
      <c r="J6" s="7">
        <f>TONTAOUT24!F6+TONTAOUT24!G6</f>
        <v>0</v>
      </c>
      <c r="K6" s="7">
        <f>VLOOKUP($A6,[6]HISTOSEPT24!$A$6:$BB$47,18,0)</f>
        <v>0</v>
      </c>
      <c r="L6" s="7" t="str">
        <f>IF(K6&lt;&gt;0,VLOOKUP($A6,[6]HISTOSEPT24!$A$6:$BB$47,42,0),"ECHEC")</f>
        <v>ECHEC</v>
      </c>
      <c r="M6" s="7" t="str">
        <f>IF(P6&lt;&gt;0,VLOOKUP($A6,[6]HISTOSEPT24!$A$6:$BB$47,32,0),"ECHEC")</f>
        <v>ECHEC</v>
      </c>
      <c r="N6" s="7">
        <f>VLOOKUP($A6,[6]HISTOSEPT24!$A$6:$BB$47,33,0)</f>
        <v>0</v>
      </c>
      <c r="O6" s="7">
        <f t="shared" ref="O6:O19" si="0">IF(P6=0,0,($C$3-P6))</f>
        <v>0</v>
      </c>
      <c r="P6" s="7">
        <f>VLOOKUP($A6,[6]HISTOSEPT24!$A$6:$BB$47,31,0)</f>
        <v>0</v>
      </c>
    </row>
    <row r="7" spans="1:16" x14ac:dyDescent="0.25">
      <c r="A7" s="1" t="s">
        <v>47</v>
      </c>
      <c r="B7" s="7">
        <f>IF(D7=0,0,VLOOKUP($A7,[6]HISTOSEPT24!$A$6:$BQ$47,14,0))</f>
        <v>2</v>
      </c>
      <c r="C7" s="1" t="str">
        <f>VLOOKUP(A7,[7]LISTADHERENT!A$5:H$60,3,0)</f>
        <v xml:space="preserve">DJOMO JEAN PAUL </v>
      </c>
      <c r="D7" s="7">
        <f>IF(E7="ECHEC",0,VLOOKUP($A7,[6]HISTOSEPT24!$A$6:$BB$47,15,0))</f>
        <v>200000</v>
      </c>
      <c r="E7" s="7" t="str">
        <f>VLOOKUP($A7,[6]HISTOSEPT24!$A$6:$BB$47,8,0)</f>
        <v>BANQUE</v>
      </c>
      <c r="F7" s="7">
        <f>VLOOKUP($A7,[6]HISTOSEPT24!$A$6:$BB$47,37,0)</f>
        <v>0</v>
      </c>
      <c r="G7" s="7">
        <f>VLOOKUP($A7,[6]HISTOSEPT24!$A$6:$BB$47,40,0)</f>
        <v>0</v>
      </c>
      <c r="H7" s="7" t="str">
        <f>IF(F7&lt;&gt;0,VLOOKUP($A7,[6]HISTOSEPT24!$A$6:$BB$47,42,0),"ECHEC")</f>
        <v>ECHEC</v>
      </c>
      <c r="I7" s="7">
        <f>VLOOKUP($A7,[6]HISTOSEPT24!$A$6:$BB$47,41,0)</f>
        <v>0</v>
      </c>
      <c r="J7" s="7">
        <f>TONTAOUT24!F7+TONTAOUT24!G7</f>
        <v>0</v>
      </c>
      <c r="K7" s="7">
        <f>VLOOKUP($A7,[6]HISTOSEPT24!$A$6:$BB$47,18,0)</f>
        <v>0</v>
      </c>
      <c r="L7" s="7" t="str">
        <f>IF(K7&lt;&gt;0,VLOOKUP($A7,[6]HISTOSEPT24!$A$6:$BB$47,42,0),"ECHEC")</f>
        <v>ECHEC</v>
      </c>
      <c r="M7" s="7" t="str">
        <f>IF(P7&lt;&gt;0,VLOOKUP($A7,[6]HISTOSEPT24!$A$6:$BB$47,32,0),"ECHEC")</f>
        <v>ECHEC</v>
      </c>
      <c r="N7" s="7">
        <f>VLOOKUP($A7,[6]HISTOSEPT24!$A$6:$BB$47,33,0)</f>
        <v>0</v>
      </c>
      <c r="O7" s="7">
        <f t="shared" si="0"/>
        <v>0</v>
      </c>
      <c r="P7" s="7">
        <f>VLOOKUP($A7,[6]HISTOSEPT24!$A$6:$BB$47,31,0)</f>
        <v>0</v>
      </c>
    </row>
    <row r="8" spans="1:16" x14ac:dyDescent="0.25">
      <c r="A8" s="1" t="s">
        <v>20</v>
      </c>
      <c r="B8" s="7">
        <f>IF(D8=0,0,VLOOKUP($A8,[6]HISTOSEPT24!$A$6:$BQ$47,14,0))</f>
        <v>2</v>
      </c>
      <c r="C8" s="1" t="str">
        <f>VLOOKUP(A8,[7]LISTADHERENT!A$5:H$60,3,0)</f>
        <v>DJUOMBESSY ANTOINE</v>
      </c>
      <c r="D8" s="7">
        <f>IF(E8="ECHEC",0,VLOOKUP($A8,[6]HISTOSEPT24!$A$6:$BB$47,15,0))</f>
        <v>200000</v>
      </c>
      <c r="E8" s="7" t="str">
        <f>VLOOKUP($A8,[6]HISTOSEPT24!$A$6:$BB$47,8,0)</f>
        <v>BANQUE</v>
      </c>
      <c r="F8" s="7">
        <f>VLOOKUP($A8,[6]HISTOSEPT24!$A$6:$BB$47,37,0)</f>
        <v>0</v>
      </c>
      <c r="G8" s="7">
        <f>VLOOKUP($A8,[6]HISTOSEPT24!$A$6:$BB$47,40,0)</f>
        <v>0</v>
      </c>
      <c r="H8" s="7" t="str">
        <f>IF(F8&lt;&gt;0,VLOOKUP($A8,[6]HISTOSEPT24!$A$6:$BB$47,42,0),"ECHEC")</f>
        <v>ECHEC</v>
      </c>
      <c r="I8" s="7">
        <f>VLOOKUP($A8,[6]HISTOSEPT24!$A$6:$BB$47,41,0)</f>
        <v>0</v>
      </c>
      <c r="J8" s="7">
        <f>TONTAOUT24!F8+TONTAOUT24!G8</f>
        <v>0</v>
      </c>
      <c r="K8" s="7">
        <f>VLOOKUP($A8,[6]HISTOSEPT24!$A$6:$BB$47,18,0)</f>
        <v>0</v>
      </c>
      <c r="L8" s="7" t="str">
        <f>IF(K8&lt;&gt;0,VLOOKUP($A8,[6]HISTOSEPT24!$A$6:$BB$47,42,0),"ECHEC")</f>
        <v>ECHEC</v>
      </c>
      <c r="M8" s="7" t="str">
        <f>IF(P8&lt;&gt;0,VLOOKUP($A8,[6]HISTOSEPT24!$A$6:$BB$47,32,0),"ECHEC")</f>
        <v>ECHEC</v>
      </c>
      <c r="N8" s="7">
        <f>VLOOKUP($A8,[6]HISTOSEPT24!$A$6:$BB$47,33,0)</f>
        <v>0</v>
      </c>
      <c r="O8" s="7">
        <f t="shared" si="0"/>
        <v>0</v>
      </c>
      <c r="P8" s="7">
        <f>VLOOKUP($A8,[6]HISTOSEPT24!$A$6:$BB$47,31,0)</f>
        <v>0</v>
      </c>
    </row>
    <row r="9" spans="1:16" x14ac:dyDescent="0.25">
      <c r="A9" s="1" t="s">
        <v>21</v>
      </c>
      <c r="B9" s="7">
        <f>IF(D9=0,0,VLOOKUP($A9,[6]HISTOSEPT24!$A$6:$BQ$47,14,0))</f>
        <v>1</v>
      </c>
      <c r="C9" s="1" t="str">
        <f>VLOOKUP(A9,[7]LISTADHERENT!A$5:H$60,3,0)</f>
        <v>HOTCHO BENJAMIN</v>
      </c>
      <c r="D9" s="7">
        <f>IF(E9="ECHEC",0,VLOOKUP($A9,[6]HISTOSEPT24!$A$6:$BB$47,15,0))</f>
        <v>100000</v>
      </c>
      <c r="E9" s="7" t="str">
        <f>VLOOKUP($A9,[6]HISTOSEPT24!$A$6:$BB$47,8,0)</f>
        <v>BANQUE</v>
      </c>
      <c r="F9" s="7">
        <f>VLOOKUP($A9,[6]HISTOSEPT24!$A$6:$BB$47,37,0)</f>
        <v>0</v>
      </c>
      <c r="G9" s="7">
        <f>VLOOKUP($A9,[6]HISTOSEPT24!$A$6:$BB$47,40,0)</f>
        <v>0</v>
      </c>
      <c r="H9" s="7" t="str">
        <f>IF(F9&lt;&gt;0,VLOOKUP($A9,[6]HISTOSEPT24!$A$6:$BB$47,42,0),"ECHEC")</f>
        <v>ECHEC</v>
      </c>
      <c r="I9" s="7">
        <f>VLOOKUP($A9,[6]HISTOSEPT24!$A$6:$BB$47,41,0)</f>
        <v>0</v>
      </c>
      <c r="J9" s="7">
        <f>TONTAOUT24!F9+TONTAOUT24!G9</f>
        <v>0</v>
      </c>
      <c r="K9" s="7">
        <f>VLOOKUP($A9,[6]HISTOSEPT24!$A$6:$BB$47,18,0)</f>
        <v>0</v>
      </c>
      <c r="L9" s="7" t="str">
        <f>IF(K9&lt;&gt;0,VLOOKUP($A9,[6]HISTOSEPT24!$A$6:$BB$47,42,0),"ECHEC")</f>
        <v>ECHEC</v>
      </c>
      <c r="M9" s="7" t="str">
        <f>IF(P9&lt;&gt;0,VLOOKUP($A9,[6]HISTOSEPT24!$A$6:$BB$47,32,0),"ECHEC")</f>
        <v>ECHEC</v>
      </c>
      <c r="N9" s="7">
        <f>VLOOKUP($A9,[6]HISTOSEPT24!$A$6:$BB$47,33,0)</f>
        <v>0</v>
      </c>
      <c r="O9" s="7">
        <f t="shared" si="0"/>
        <v>0</v>
      </c>
      <c r="P9" s="7">
        <f>VLOOKUP($A9,[6]HISTOSEPT24!$A$6:$BB$47,31,0)</f>
        <v>0</v>
      </c>
    </row>
    <row r="10" spans="1:16" x14ac:dyDescent="0.25">
      <c r="A10" s="1" t="s">
        <v>26</v>
      </c>
      <c r="B10" s="7">
        <f>IF(D10=0,0,VLOOKUP($A10,[6]HISTOSEPT24!$A$6:$BQ$47,14,0))</f>
        <v>1</v>
      </c>
      <c r="C10" s="1" t="str">
        <f>VLOOKUP(A10,[7]LISTADHERENT!A$5:H$60,3,0)</f>
        <v>KOUAMOU MOISE</v>
      </c>
      <c r="D10" s="7">
        <f>IF(E10="ECHEC",0,VLOOKUP($A10,[6]HISTOSEPT24!$A$6:$BB$47,15,0))</f>
        <v>100000</v>
      </c>
      <c r="E10" s="7" t="str">
        <f>VLOOKUP($A10,[6]HISTOSEPT24!$A$6:$BB$47,8,0)</f>
        <v>BANQUE</v>
      </c>
      <c r="F10" s="7">
        <f>VLOOKUP($A10,[6]HISTOSEPT24!$A$6:$BB$47,37,0)</f>
        <v>0</v>
      </c>
      <c r="G10" s="7">
        <f>VLOOKUP($A10,[6]HISTOSEPT24!$A$6:$BB$47,40,0)</f>
        <v>0</v>
      </c>
      <c r="H10" s="7" t="str">
        <f>IF(F10&lt;&gt;0,VLOOKUP($A10,[6]HISTOSEPT24!$A$6:$BB$47,42,0),"ECHEC")</f>
        <v>ECHEC</v>
      </c>
      <c r="I10" s="7">
        <f>VLOOKUP($A10,[6]HISTOSEPT24!$A$6:$BB$47,41,0)</f>
        <v>0</v>
      </c>
      <c r="J10" s="7">
        <f>TONTAOUT24!F10+TONTAOUT24!G10</f>
        <v>0</v>
      </c>
      <c r="K10" s="7">
        <f>VLOOKUP($A10,[6]HISTOSEPT24!$A$6:$BB$47,18,0)</f>
        <v>0</v>
      </c>
      <c r="L10" s="7" t="str">
        <f>IF(K10&lt;&gt;0,VLOOKUP($A10,[6]HISTOSEPT24!$A$6:$BB$47,42,0),"ECHEC")</f>
        <v>ECHEC</v>
      </c>
      <c r="M10" s="7" t="str">
        <f>IF(P10&lt;&gt;0,VLOOKUP($A10,[6]HISTOSEPT24!$A$6:$BB$47,32,0),"ECHEC")</f>
        <v>ECHEC</v>
      </c>
      <c r="N10" s="7">
        <f>VLOOKUP($A10,[6]HISTOSEPT24!$A$6:$BB$47,33,0)</f>
        <v>0</v>
      </c>
      <c r="O10" s="7">
        <f t="shared" si="0"/>
        <v>0</v>
      </c>
      <c r="P10" s="7">
        <f>VLOOKUP($A10,[6]HISTOSEPT24!$A$6:$BB$47,31,0)</f>
        <v>0</v>
      </c>
    </row>
    <row r="11" spans="1:16" x14ac:dyDescent="0.25">
      <c r="A11" s="1" t="s">
        <v>8</v>
      </c>
      <c r="B11" s="7">
        <f>IF(D11=0,0,VLOOKUP($A11,[6]HISTOSEPT24!$A$6:$BQ$47,14,0))</f>
        <v>1</v>
      </c>
      <c r="C11" s="1" t="str">
        <f>VLOOKUP(A11,[7]LISTADHERENT!A$5:H$60,3,0)</f>
        <v>KOUATCHO MESSACK</v>
      </c>
      <c r="D11" s="7">
        <f>IF(E11="ECHEC",0,VLOOKUP($A11,[6]HISTOSEPT24!$A$6:$BB$47,15,0))</f>
        <v>100000</v>
      </c>
      <c r="E11" s="7" t="str">
        <f>VLOOKUP($A11,[6]HISTOSEPT24!$A$6:$BB$47,8,0)</f>
        <v>BANQUE</v>
      </c>
      <c r="F11" s="7">
        <f>VLOOKUP($A11,[6]HISTOSEPT24!$A$6:$BB$47,37,0)</f>
        <v>0</v>
      </c>
      <c r="G11" s="7">
        <f>VLOOKUP($A11,[6]HISTOSEPT24!$A$6:$BB$47,40,0)</f>
        <v>0</v>
      </c>
      <c r="H11" s="7" t="str">
        <f>IF(F11&lt;&gt;0,VLOOKUP($A11,[6]HISTOSEPT24!$A$6:$BB$47,42,0),"ECHEC")</f>
        <v>ECHEC</v>
      </c>
      <c r="I11" s="7">
        <f>VLOOKUP($A11,[6]HISTOSEPT24!$A$6:$BB$47,41,0)</f>
        <v>0</v>
      </c>
      <c r="J11" s="7">
        <f>TONTAOUT24!F11+TONTAOUT24!G11</f>
        <v>0</v>
      </c>
      <c r="K11" s="7">
        <f>VLOOKUP($A11,[6]HISTOSEPT24!$A$6:$BB$47,18,0)</f>
        <v>0</v>
      </c>
      <c r="L11" s="7" t="str">
        <f>IF(K11&lt;&gt;0,VLOOKUP($A11,[6]HISTOSEPT24!$A$6:$BB$47,42,0),"ECHEC")</f>
        <v>ECHEC</v>
      </c>
      <c r="M11" s="7" t="str">
        <f>IF(P11&lt;&gt;0,VLOOKUP($A11,[6]HISTOSEPT24!$A$6:$BB$47,32,0),"ECHEC")</f>
        <v>ECHEC</v>
      </c>
      <c r="N11" s="7">
        <f>VLOOKUP($A11,[6]HISTOSEPT24!$A$6:$BB$47,33,0)</f>
        <v>0</v>
      </c>
      <c r="O11" s="7">
        <f t="shared" si="0"/>
        <v>0</v>
      </c>
      <c r="P11" s="7">
        <f>VLOOKUP($A11,[6]HISTOSEPT24!$A$6:$BB$47,31,0)</f>
        <v>0</v>
      </c>
    </row>
    <row r="12" spans="1:16" x14ac:dyDescent="0.25">
      <c r="A12" s="1" t="s">
        <v>22</v>
      </c>
      <c r="B12" s="7">
        <f>IF(D12=0,0,VLOOKUP($A12,[6]HISTOSEPT24!$A$6:$BQ$47,14,0))</f>
        <v>1</v>
      </c>
      <c r="C12" s="1" t="str">
        <f>VLOOKUP(A12,[7]LISTADHERENT!A$5:H$60,3,0)</f>
        <v>MBOGNING TUGMA GUY</v>
      </c>
      <c r="D12" s="7">
        <f>IF(E12="ECHEC",0,VLOOKUP($A12,[6]HISTOSEPT24!$A$6:$BB$47,15,0))</f>
        <v>100000</v>
      </c>
      <c r="E12" s="7" t="str">
        <f>VLOOKUP($A12,[6]HISTOSEPT24!$A$6:$BB$47,8,0)</f>
        <v>BANQUE</v>
      </c>
      <c r="F12" s="7">
        <f>VLOOKUP($A12,[6]HISTOSEPT24!$A$6:$BB$47,37,0)</f>
        <v>0</v>
      </c>
      <c r="G12" s="7">
        <f>VLOOKUP($A12,[6]HISTOSEPT24!$A$6:$BB$47,40,0)</f>
        <v>0</v>
      </c>
      <c r="H12" s="7" t="str">
        <f>IF(F12&lt;&gt;0,VLOOKUP($A12,[6]HISTOSEPT24!$A$6:$BB$47,42,0),"ECHEC")</f>
        <v>ECHEC</v>
      </c>
      <c r="I12" s="7">
        <f>VLOOKUP($A12,[6]HISTOSEPT24!$A$6:$BB$47,41,0)</f>
        <v>0</v>
      </c>
      <c r="J12" s="7">
        <f>TONTAOUT24!F12+TONTAOUT24!G12</f>
        <v>0</v>
      </c>
      <c r="K12" s="7">
        <f>VLOOKUP($A12,[6]HISTOSEPT24!$A$6:$BB$47,18,0)</f>
        <v>0</v>
      </c>
      <c r="L12" s="7" t="str">
        <f>IF(K12&lt;&gt;0,VLOOKUP($A12,[6]HISTOSEPT24!$A$6:$BB$47,42,0),"ECHEC")</f>
        <v>ECHEC</v>
      </c>
      <c r="M12" s="7" t="str">
        <f>IF(P12&lt;&gt;0,VLOOKUP($A12,[6]HISTOSEPT24!$A$6:$BB$47,32,0),"ECHEC")</f>
        <v>ECHEC</v>
      </c>
      <c r="N12" s="7">
        <f>VLOOKUP($A12,[6]HISTOSEPT24!$A$6:$BB$47,33,0)</f>
        <v>0</v>
      </c>
      <c r="O12" s="7">
        <f t="shared" si="0"/>
        <v>0</v>
      </c>
      <c r="P12" s="7">
        <f>VLOOKUP($A12,[6]HISTOSEPT24!$A$6:$BB$47,31,0)</f>
        <v>0</v>
      </c>
    </row>
    <row r="13" spans="1:16" x14ac:dyDescent="0.25">
      <c r="A13" s="1" t="s">
        <v>9</v>
      </c>
      <c r="B13" s="7">
        <f>IF(D13=0,0,VLOOKUP($A13,[6]HISTOSEPT24!$A$6:$BQ$47,14,0))</f>
        <v>2</v>
      </c>
      <c r="C13" s="1" t="str">
        <f>VLOOKUP(A13,[7]LISTADHERENT!A$5:H$60,3,0)</f>
        <v>NDJOMO ETIENNE</v>
      </c>
      <c r="D13" s="7">
        <f>IF(E13="ECHEC",0,VLOOKUP($A13,[6]HISTOSEPT24!$A$6:$BB$47,15,0))</f>
        <v>200000</v>
      </c>
      <c r="E13" s="7" t="str">
        <f>VLOOKUP($A13,[6]HISTOSEPT24!$A$6:$BB$47,8,0)</f>
        <v>BANQUE</v>
      </c>
      <c r="F13" s="7">
        <f>VLOOKUP($A13,[6]HISTOSEPT24!$A$6:$BB$47,37,0)</f>
        <v>0</v>
      </c>
      <c r="G13" s="7">
        <f>VLOOKUP($A13,[6]HISTOSEPT24!$A$6:$BB$47,40,0)</f>
        <v>0</v>
      </c>
      <c r="H13" s="7" t="str">
        <f>IF(F13&lt;&gt;0,VLOOKUP($A13,[6]HISTOSEPT24!$A$6:$BB$47,42,0),"ECHEC")</f>
        <v>ECHEC</v>
      </c>
      <c r="I13" s="7">
        <f>VLOOKUP($A13,[6]HISTOSEPT24!$A$6:$BB$47,41,0)</f>
        <v>0</v>
      </c>
      <c r="J13" s="7">
        <f>TONTAOUT24!F13+TONTAOUT24!G13</f>
        <v>0</v>
      </c>
      <c r="K13" s="7">
        <f>VLOOKUP($A13,[6]HISTOSEPT24!$A$6:$BB$47,18,0)</f>
        <v>0</v>
      </c>
      <c r="L13" s="7" t="str">
        <f>IF(K13&lt;&gt;0,VLOOKUP($A13,[6]HISTOSEPT24!$A$6:$BB$47,42,0),"ECHEC")</f>
        <v>ECHEC</v>
      </c>
      <c r="M13" s="7" t="str">
        <f>IF(P13&lt;&gt;0,VLOOKUP($A13,[6]HISTOSEPT24!$A$6:$BB$47,32,0),"ECHEC")</f>
        <v>ECHEC</v>
      </c>
      <c r="N13" s="7">
        <f>VLOOKUP($A13,[6]HISTOSEPT24!$A$6:$BB$47,33,0)</f>
        <v>0</v>
      </c>
      <c r="O13" s="7">
        <f t="shared" si="0"/>
        <v>0</v>
      </c>
      <c r="P13" s="7">
        <f>VLOOKUP($A13,[6]HISTOSEPT24!$A$6:$BB$47,31,0)</f>
        <v>0</v>
      </c>
    </row>
    <row r="14" spans="1:16" x14ac:dyDescent="0.25">
      <c r="A14" s="1" t="s">
        <v>10</v>
      </c>
      <c r="B14" s="7">
        <f>IF(D14=0,0,VLOOKUP($A14,[6]HISTOSEPT24!$A$6:$BQ$47,14,0))</f>
        <v>1</v>
      </c>
      <c r="C14" s="1" t="str">
        <f>VLOOKUP(A14,[7]LISTADHERENT!A$5:H$60,3,0)</f>
        <v>NGONDIEP CLAUDE</v>
      </c>
      <c r="D14" s="7">
        <f>IF(E14="ECHEC",0,VLOOKUP($A14,[6]HISTOSEPT24!$A$6:$BB$47,15,0))</f>
        <v>100000</v>
      </c>
      <c r="E14" s="7" t="str">
        <f>VLOOKUP($A14,[6]HISTOSEPT24!$A$6:$BB$47,8,0)</f>
        <v>ESPECES</v>
      </c>
      <c r="F14" s="7">
        <f>VLOOKUP($A14,[6]HISTOSEPT24!$A$6:$BB$47,37,0)</f>
        <v>0</v>
      </c>
      <c r="G14" s="7">
        <f>VLOOKUP($A14,[6]HISTOSEPT24!$A$6:$BB$47,40,0)</f>
        <v>0</v>
      </c>
      <c r="H14" s="7" t="str">
        <f>IF(F14&lt;&gt;0,VLOOKUP($A14,[6]HISTOSEPT24!$A$6:$BB$47,42,0),"ECHEC")</f>
        <v>ECHEC</v>
      </c>
      <c r="I14" s="7">
        <f>VLOOKUP($A14,[6]HISTOSEPT24!$A$6:$BB$47,41,0)</f>
        <v>0</v>
      </c>
      <c r="J14" s="7">
        <f>TONTAOUT24!F14+TONTAOUT24!G14</f>
        <v>0</v>
      </c>
      <c r="K14" s="7">
        <f>VLOOKUP($A14,[6]HISTOSEPT24!$A$6:$BB$47,18,0)</f>
        <v>0</v>
      </c>
      <c r="L14" s="7" t="str">
        <f>IF(K14&lt;&gt;0,VLOOKUP($A14,[6]HISTOSEPT24!$A$6:$BB$47,42,0),"ECHEC")</f>
        <v>ECHEC</v>
      </c>
      <c r="M14" s="7" t="str">
        <f>IF(P14&lt;&gt;0,VLOOKUP($A14,[6]HISTOSEPT24!$A$6:$BB$47,32,0),"ECHEC")</f>
        <v>ECHEC</v>
      </c>
      <c r="N14" s="7">
        <f>VLOOKUP($A14,[6]HISTOSEPT24!$A$6:$BB$47,33,0)</f>
        <v>0</v>
      </c>
      <c r="O14" s="7">
        <f t="shared" si="0"/>
        <v>0</v>
      </c>
      <c r="P14" s="7">
        <f>VLOOKUP($A14,[6]HISTOSEPT24!$A$6:$BB$47,31,0)</f>
        <v>0</v>
      </c>
    </row>
    <row r="15" spans="1:16" x14ac:dyDescent="0.25">
      <c r="A15" s="1" t="s">
        <v>43</v>
      </c>
      <c r="B15" s="7">
        <f>IF(D15=0,0,VLOOKUP($A15,[6]HISTOSEPT24!$A$6:$BQ$47,14,0))</f>
        <v>1</v>
      </c>
      <c r="C15" s="1" t="str">
        <f>VLOOKUP(A15,[7]LISTADHERENT!A$5:H$60,3,0)</f>
        <v>NGUIEMEGNI MATHIEU BLAISE</v>
      </c>
      <c r="D15" s="7">
        <f>IF(E15="ECHEC",0,VLOOKUP($A15,[6]HISTOSEPT24!$A$6:$BB$47,15,0))</f>
        <v>100000</v>
      </c>
      <c r="E15" s="7" t="str">
        <f>VLOOKUP($A15,[6]HISTOSEPT24!$A$6:$BB$47,8,0)</f>
        <v>BANQUE</v>
      </c>
      <c r="F15" s="7">
        <f>VLOOKUP($A15,[6]HISTOSEPT24!$A$6:$BB$47,37,0)</f>
        <v>0</v>
      </c>
      <c r="G15" s="7">
        <f>VLOOKUP($A15,[6]HISTOSEPT24!$A$6:$BB$47,40,0)</f>
        <v>0</v>
      </c>
      <c r="H15" s="7" t="str">
        <f>IF(F15&lt;&gt;0,VLOOKUP($A15,[6]HISTOSEPT24!$A$6:$BB$47,42,0),"ECHEC")</f>
        <v>ECHEC</v>
      </c>
      <c r="I15" s="7">
        <f>VLOOKUP($A15,[6]HISTOSEPT24!$A$6:$BB$47,41,0)</f>
        <v>0</v>
      </c>
      <c r="J15" s="7">
        <f>TONTAOUT24!F15+TONTAOUT24!G15</f>
        <v>0</v>
      </c>
      <c r="K15" s="7">
        <f>VLOOKUP($A15,[6]HISTOSEPT24!$A$6:$BB$47,18,0)</f>
        <v>0</v>
      </c>
      <c r="L15" s="7" t="str">
        <f>IF(K15&lt;&gt;0,VLOOKUP($A15,[6]HISTOSEPT24!$A$6:$BB$47,42,0),"ECHEC")</f>
        <v>ECHEC</v>
      </c>
      <c r="M15" s="7" t="str">
        <f>IF(P15&lt;&gt;0,VLOOKUP($A15,[6]HISTOSEPT24!$A$6:$BB$47,32,0),"ECHEC")</f>
        <v>ECHEC</v>
      </c>
      <c r="N15" s="7">
        <f>VLOOKUP($A15,[6]HISTOSEPT24!$A$6:$BB$47,33,0)</f>
        <v>0</v>
      </c>
      <c r="O15" s="7">
        <f t="shared" si="0"/>
        <v>0</v>
      </c>
      <c r="P15" s="7">
        <f>VLOOKUP($A15,[6]HISTOSEPT24!$A$6:$BB$47,31,0)</f>
        <v>0</v>
      </c>
    </row>
    <row r="16" spans="1:16" x14ac:dyDescent="0.25">
      <c r="A16" s="1" t="s">
        <v>54</v>
      </c>
      <c r="B16" s="7">
        <f>IF(D16=0,0,VLOOKUP($A16,[6]HISTOSEPT24!$A$6:$BQ$47,14,0))</f>
        <v>2</v>
      </c>
      <c r="C16" s="1" t="str">
        <f>VLOOKUP(A16,[7]LISTADHERENT!A$5:H$60,3,0)</f>
        <v>SIME BRICE</v>
      </c>
      <c r="D16" s="7">
        <f>IF(E16="ECHEC",0,VLOOKUP($A16,[6]HISTOSEPT24!$A$6:$BB$47,15,0))</f>
        <v>200000</v>
      </c>
      <c r="E16" s="7" t="str">
        <f>VLOOKUP($A16,[6]HISTOSEPT24!$A$6:$BB$47,8,0)</f>
        <v>BANQUE</v>
      </c>
      <c r="F16" s="7">
        <f>VLOOKUP($A16,[6]HISTOSEPT24!$A$6:$BB$47,37,0)</f>
        <v>0</v>
      </c>
      <c r="G16" s="7">
        <f>VLOOKUP($A16,[6]HISTOSEPT24!$A$6:$BB$47,40,0)</f>
        <v>0</v>
      </c>
      <c r="H16" s="7" t="str">
        <f>IF(F16&lt;&gt;0,VLOOKUP($A16,[6]HISTOSEPT24!$A$6:$BB$47,42,0),"ECHEC")</f>
        <v>ECHEC</v>
      </c>
      <c r="I16" s="7">
        <f>VLOOKUP($A16,[6]HISTOSEPT24!$A$6:$BB$47,41,0)</f>
        <v>0</v>
      </c>
      <c r="J16" s="7">
        <f>TONTAOUT24!F16+TONTAOUT24!G16</f>
        <v>0</v>
      </c>
      <c r="K16" s="7">
        <f>VLOOKUP($A16,[6]HISTOSEPT24!$A$6:$BB$47,18,0)</f>
        <v>0</v>
      </c>
      <c r="L16" s="7" t="str">
        <f>IF(K16&lt;&gt;0,VLOOKUP($A16,[6]HISTOSEPT24!$A$6:$BB$47,42,0),"ECHEC")</f>
        <v>ECHEC</v>
      </c>
      <c r="M16" s="7" t="str">
        <f>IF(P16&lt;&gt;0,VLOOKUP($A16,[6]HISTOSEPT24!$A$6:$BB$47,32,0),"ECHEC")</f>
        <v>ECHEC</v>
      </c>
      <c r="N16" s="7">
        <f>VLOOKUP($A16,[6]HISTOSEPT24!$A$6:$BB$47,33,0)</f>
        <v>0</v>
      </c>
      <c r="O16" s="7">
        <f t="shared" si="0"/>
        <v>0</v>
      </c>
      <c r="P16" s="7">
        <f>VLOOKUP($A16,[6]HISTOSEPT24!$A$6:$BB$47,31,0)</f>
        <v>0</v>
      </c>
    </row>
    <row r="17" spans="1:16" x14ac:dyDescent="0.25">
      <c r="A17" s="1" t="s">
        <v>55</v>
      </c>
      <c r="B17" s="7">
        <f>IF(D17=0,0,VLOOKUP($A17,[6]HISTOSEPT24!$A$6:$BQ$47,14,0))</f>
        <v>1</v>
      </c>
      <c r="C17" s="1" t="str">
        <f>VLOOKUP(A17,[7]LISTADHERENT!A$5:H$60,3,0)</f>
        <v>TCHOUATEU AUGUSTIN</v>
      </c>
      <c r="D17" s="7">
        <f>IF(E17="ECHEC",0,VLOOKUP($A17,[6]HISTOSEPT24!$A$6:$BB$47,15,0))</f>
        <v>100000</v>
      </c>
      <c r="E17" s="7" t="str">
        <f>VLOOKUP($A17,[6]HISTOSEPT24!$A$6:$BB$47,8,0)</f>
        <v>BANQUE</v>
      </c>
      <c r="F17" s="7">
        <f>VLOOKUP($A17,[6]HISTOSEPT24!$A$6:$BB$47,37,0)</f>
        <v>0</v>
      </c>
      <c r="G17" s="7">
        <f>VLOOKUP($A17,[6]HISTOSEPT24!$A$6:$BB$47,40,0)</f>
        <v>0</v>
      </c>
      <c r="H17" s="7" t="str">
        <f>IF(F17&lt;&gt;0,VLOOKUP($A17,[6]HISTOSEPT24!$A$6:$BB$47,42,0),"ECHEC")</f>
        <v>ECHEC</v>
      </c>
      <c r="I17" s="7">
        <f>VLOOKUP($A17,[6]HISTOSEPT24!$A$6:$BB$47,41,0)</f>
        <v>0</v>
      </c>
      <c r="J17" s="7">
        <f>TONTAOUT24!F17+TONTAOUT24!G17</f>
        <v>0</v>
      </c>
      <c r="K17" s="7">
        <f>VLOOKUP($A17,[6]HISTOSEPT24!$A$6:$BB$47,18,0)</f>
        <v>0</v>
      </c>
      <c r="L17" s="7" t="str">
        <f>IF(K17&lt;&gt;0,VLOOKUP($A17,[6]HISTOSEPT24!$A$6:$BB$47,42,0),"ECHEC")</f>
        <v>ECHEC</v>
      </c>
      <c r="M17" s="7" t="str">
        <f>IF(P17&lt;&gt;0,VLOOKUP($A17,[6]HISTOSEPT24!$A$6:$BB$47,32,0),"ECHEC")</f>
        <v>ECHEC</v>
      </c>
      <c r="N17" s="7">
        <f>VLOOKUP($A17,[6]HISTOSEPT24!$A$6:$BB$47,33,0)</f>
        <v>0</v>
      </c>
      <c r="O17" s="7">
        <f t="shared" si="0"/>
        <v>0</v>
      </c>
      <c r="P17" s="7">
        <f>VLOOKUP($A17,[6]HISTOSEPT24!$A$6:$BB$47,31,0)</f>
        <v>0</v>
      </c>
    </row>
    <row r="18" spans="1:16" x14ac:dyDescent="0.25">
      <c r="A18" s="1" t="s">
        <v>46</v>
      </c>
      <c r="B18" s="7">
        <f>IF(D18=0,0,VLOOKUP($A18,[6]HISTOSEPT24!$A$6:$BQ$47,14,0))</f>
        <v>1</v>
      </c>
      <c r="C18" s="1" t="str">
        <f>VLOOKUP(A18,[7]LISTADHERENT!A$5:H$60,3,0)</f>
        <v>SIMO PIERRE</v>
      </c>
      <c r="D18" s="7">
        <f>IF(E18="ECHEC",0,VLOOKUP($A18,[6]HISTOSEPT24!$A$6:$BB$47,15,0))</f>
        <v>100000</v>
      </c>
      <c r="E18" s="7" t="str">
        <f>VLOOKUP($A18,[6]HISTOSEPT24!$A$6:$BB$47,8,0)</f>
        <v>BANQUE</v>
      </c>
      <c r="F18" s="7">
        <f>VLOOKUP($A18,[6]HISTOSEPT24!$A$6:$BB$47,37,0)</f>
        <v>0</v>
      </c>
      <c r="G18" s="7">
        <f>VLOOKUP($A18,[6]HISTOSEPT24!$A$6:$BB$47,40,0)</f>
        <v>0</v>
      </c>
      <c r="H18" s="7" t="str">
        <f>IF(F18&lt;&gt;0,VLOOKUP($A18,[6]HISTOSEPT24!$A$6:$BB$47,42,0),"ECHEC")</f>
        <v>ECHEC</v>
      </c>
      <c r="I18" s="7">
        <f>VLOOKUP($A18,[6]HISTOSEPT24!$A$6:$BB$47,41,0)</f>
        <v>0</v>
      </c>
      <c r="J18" s="7">
        <f>TONTAOUT24!F18+TONTAOUT24!G18</f>
        <v>0</v>
      </c>
      <c r="K18" s="7">
        <f>VLOOKUP($A18,[6]HISTOSEPT24!$A$6:$BB$47,18,0)</f>
        <v>0</v>
      </c>
      <c r="L18" s="7" t="str">
        <f>IF(K18&lt;&gt;0,VLOOKUP($A18,[6]HISTOSEPT24!$A$6:$BB$47,42,0),"ECHEC")</f>
        <v>ECHEC</v>
      </c>
      <c r="M18" s="7" t="str">
        <f>IF(P18&lt;&gt;0,VLOOKUP($A18,[6]HISTOSEPT24!$A$6:$BB$47,32,0),"ECHEC")</f>
        <v>ECHEC</v>
      </c>
      <c r="N18" s="7">
        <f>VLOOKUP($A18,[6]HISTOSEPT24!$A$6:$BB$47,33,0)</f>
        <v>0</v>
      </c>
      <c r="O18" s="7">
        <f t="shared" si="0"/>
        <v>0</v>
      </c>
      <c r="P18" s="7">
        <f>VLOOKUP($A18,[6]HISTOSEPT24!$A$6:$BB$47,31,0)</f>
        <v>0</v>
      </c>
    </row>
    <row r="19" spans="1:16" x14ac:dyDescent="0.25">
      <c r="A19" s="1" t="s">
        <v>53</v>
      </c>
      <c r="B19" s="7">
        <f>IF(D19=0,0,VLOOKUP($A19,[6]HISTOSEPT24!$A$6:$BQ$47,14,0))</f>
        <v>1</v>
      </c>
      <c r="C19" s="1" t="str">
        <f>VLOOKUP(A19,[7]LISTADHERENT!A$5:H$60,3,0)</f>
        <v>YIALA ALAIN OSCAR</v>
      </c>
      <c r="D19" s="7">
        <f>IF(E19="ECHEC",0,VLOOKUP($A19,[6]HISTOSEPT24!$A$6:$BB$47,15,0))</f>
        <v>100000</v>
      </c>
      <c r="E19" s="7" t="str">
        <f>VLOOKUP($A19,[6]HISTOSEPT24!$A$6:$BB$47,8,0)</f>
        <v>BANQUE</v>
      </c>
      <c r="F19" s="7">
        <f>VLOOKUP($A19,[6]HISTOSEPT24!$A$6:$BB$47,37,0)</f>
        <v>0</v>
      </c>
      <c r="G19" s="7">
        <f>VLOOKUP($A19,[6]HISTOSEPT24!$A$6:$BB$47,40,0)</f>
        <v>0</v>
      </c>
      <c r="H19" s="7" t="str">
        <f>IF(F19&lt;&gt;0,VLOOKUP($A19,[6]HISTOSEPT24!$A$6:$BB$47,42,0),"ECHEC")</f>
        <v>ECHEC</v>
      </c>
      <c r="I19" s="7">
        <f>VLOOKUP($A19,[6]HISTOSEPT24!$A$6:$BB$47,41,0)</f>
        <v>0</v>
      </c>
      <c r="J19" s="7">
        <f>TONTAOUT24!F19+TONTAOUT24!G19</f>
        <v>0</v>
      </c>
      <c r="K19" s="7">
        <f>VLOOKUP($A19,[6]HISTOSEPT24!$A$6:$BB$47,18,0)</f>
        <v>0</v>
      </c>
      <c r="L19" s="7" t="str">
        <f>IF(K19&lt;&gt;0,VLOOKUP($A19,[6]HISTOSEPT24!$A$6:$BB$47,42,0),"ECHEC")</f>
        <v>ECHEC</v>
      </c>
      <c r="M19" s="7" t="str">
        <f>IF(P19&lt;&gt;0,VLOOKUP($A19,[6]HISTOSEPT24!$A$6:$BB$47,32,0),"ECHEC")</f>
        <v>ECHEC</v>
      </c>
      <c r="N19" s="7">
        <f>VLOOKUP($A19,[6]HISTOSEPT24!$A$6:$BB$47,33,0)</f>
        <v>0</v>
      </c>
      <c r="O19" s="7">
        <f t="shared" si="0"/>
        <v>0</v>
      </c>
      <c r="P19" s="7">
        <f>VLOOKUP($A19,[6]HISTOSEPT24!$A$6:$BB$47,31,0)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D28+E28+P22+TONTAOUT24!N29</f>
        <v>7992000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6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7992000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7992000</v>
      </c>
      <c r="M29"/>
      <c r="N29" s="8">
        <f>L29</f>
        <v>7992000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902000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875000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100000</v>
      </c>
      <c r="BK6" s="9">
        <f>HISTOJANV24!BK6+HISTOFEV24!BK6+HISTOMARS24!BK6+HISTOAVRIL24!BK6+HISTOMAI24!BK6+HISTOJUIN24!BK6+HISTOJUIL24!BK6+HISTOAOUT24!BK6+HISTOSEPT24!BK6+HISTOOCT24!BK6+HISTONOV24!BK6+HISTODEC24!BK6</f>
        <v>200000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61000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0</v>
      </c>
      <c r="H7" s="10"/>
      <c r="I7" s="9">
        <f>HISTOJANV24!I7+HISTOFEV24!I7+HISTOMARS24!I7+HISTOAVRIL24!I7+HISTOMAI24!I7+HISTOJUIN24!I7+HISTOJUIL24!I7+HISTOAOUT24!I7+HISTOSEPT24!I7+HISTOOCT24!I7+HISTONOV24!I7+HISTODEC24!I7</f>
        <v>22000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47000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375000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750000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457500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25000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430000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102000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326000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100000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100000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1072000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477000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41000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1371000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40000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1000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25000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324000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1388000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918000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1122000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15000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472000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40000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150000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375000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780000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105000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330000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130000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551000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470000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20000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372000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45000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150000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877000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720000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25000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150000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375000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780000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30000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482000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55000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357000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1125000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681500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25000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100000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150000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375000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652000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750000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700000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375000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920000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325000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500000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350000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25000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180000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30000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80000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55000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50000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375000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15434000</v>
      </c>
      <c r="E40" s="5">
        <f t="shared" si="7"/>
        <v>801500</v>
      </c>
      <c r="F40" s="5">
        <f t="shared" si="7"/>
        <v>1500000</v>
      </c>
      <c r="G40" s="5">
        <f t="shared" si="7"/>
        <v>12000</v>
      </c>
      <c r="H40" s="5">
        <f t="shared" si="7"/>
        <v>0</v>
      </c>
      <c r="I40" s="5">
        <f t="shared" si="7"/>
        <v>1018000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298500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9805500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291000</v>
      </c>
      <c r="AJ40" s="5">
        <f t="shared" si="9"/>
        <v>389000</v>
      </c>
      <c r="AK40" s="5">
        <f t="shared" si="9"/>
        <v>1636500</v>
      </c>
      <c r="AL40" s="5">
        <f t="shared" si="9"/>
        <v>7500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1818000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2575000</v>
      </c>
      <c r="AX40" s="5">
        <f t="shared" si="9"/>
        <v>4704000</v>
      </c>
      <c r="AY40" s="5">
        <f t="shared" si="9"/>
        <v>8336500</v>
      </c>
      <c r="AZ40" s="5">
        <f t="shared" si="9"/>
        <v>19030000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17003800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100000</v>
      </c>
      <c r="BK40" s="5">
        <f t="shared" si="10"/>
        <v>200000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19030000</v>
      </c>
      <c r="D47" s="9">
        <f>SUMIFS(D8:D40,H8:H40,"BANQUE")</f>
        <v>0</v>
      </c>
      <c r="F47" s="9">
        <f>E40</f>
        <v>801500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36814000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VLOOKUP(A6,[18]HISTOBQUEJUIN23!$A$6:$G$44,3,0)</f>
        <v>175000</v>
      </c>
      <c r="E6" s="9">
        <f>VLOOKUP(A6,[18]HISTOBQUEJUIN23!$A$6:$G$39,4,0)</f>
        <v>0</v>
      </c>
      <c r="F6" s="9">
        <f>VLOOKUP(A6,[18]HISTOBQUEJUIN23!$A$6:$G$39,5,0)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VLOOKUP(A7,[18]HISTOBQUEJUIN23!$A$6:$G$44,3,0)</f>
        <v>40000</v>
      </c>
      <c r="E7" s="9">
        <f>VLOOKUP(A7,[18]HISTOBQUEJUIN23!$A$6:$G$39,4,0)</f>
        <v>0</v>
      </c>
      <c r="F7" s="9">
        <f>VLOOKUP(A7,[18]HISTOBQUEJUIN23!$A$6:$G$39,5,0)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VLOOKUP(A8,[18]HISTOBQUEJUIN23!$A$6:$G$44,3,0)+500000</f>
        <v>615000</v>
      </c>
      <c r="E8" s="9">
        <f>VLOOKUP(A8,[18]HISTOBQUEJUIN23!$A$6:$G$39,4,0)</f>
        <v>0</v>
      </c>
      <c r="F8" s="9">
        <f>VLOOKUP(A8,[18]HISTOBQUEJUIN23!$A$6:$G$39,5,0)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VLOOKUP(A9,[18]HISTOBQUEJUIN23!$A$6:$G$44,3,0)</f>
        <v>191000</v>
      </c>
      <c r="E9" s="9">
        <f>VLOOKUP(A9,[18]HISTOBQUEJUIN23!$A$6:$G$39,4,0)</f>
        <v>0</v>
      </c>
      <c r="F9" s="9">
        <f>VLOOKUP(A9,[18]HISTOBQUEJUIN23!$A$6:$G$39,5,0)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VLOOKUP(A10,[18]HISTOBQUEJUIN23!$A$6:$G$44,3,0)</f>
        <v>0</v>
      </c>
      <c r="E10" s="9">
        <f>VLOOKUP(A10,[18]HISTOBQUEJUIN23!$A$6:$G$39,4,0)</f>
        <v>43000</v>
      </c>
      <c r="F10" s="9">
        <f>VLOOKUP(A10,[18]HISTOBQUEJUIN23!$A$6:$G$39,5,0)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-500</v>
      </c>
      <c r="D11" s="9">
        <f>VLOOKUP(A11,[18]HISTOBQUEJUIN23!$A$6:$G$44,3,0)+81500</f>
        <v>251500</v>
      </c>
      <c r="E11" s="9">
        <f>VLOOKUP(A11,[18]HISTOBQUEJUIN23!$A$6:$G$39,4,0)</f>
        <v>0</v>
      </c>
      <c r="F11" s="9">
        <f>VLOOKUP(A11,[18]HISTOBQUEJUIN23!$A$6:$G$39,5,0)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VLOOKUP(A12,[18]HISTOBQUEJUIN23!$A$6:$G$44,3,0)+202500</f>
        <v>590500</v>
      </c>
      <c r="E12" s="9">
        <f>VLOOKUP(A12,[18]HISTOBQUEJUIN23!$A$6:$G$39,4,0)</f>
        <v>0</v>
      </c>
      <c r="F12" s="9">
        <f>VLOOKUP(A12,[18]HISTOBQUEJUIN23!$A$6:$G$39,5,0)+1000000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VLOOKUP($A12,[13]TONTJUIN23!$A$6:$P$20,10,0)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VLOOKUP(A13,[18]HISTOBQUEJUIN23!$A$6:$G$44,3,0)</f>
        <v>40000</v>
      </c>
      <c r="E13" s="9">
        <f>VLOOKUP(A13,[18]HISTOBQUEJUIN23!$A$6:$G$39,4,0)</f>
        <v>0</v>
      </c>
      <c r="F13" s="9">
        <f>VLOOKUP(A13,[18]HISTOBQUEJUIN23!$A$6:$G$39,5,0)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VLOOKUP(A14,[18]HISTOBQUEJUIN23!$A$6:$G$44,3,0)</f>
        <v>40000</v>
      </c>
      <c r="E14" s="9">
        <f>VLOOKUP(A14,[18]HISTOBQUEJUIN23!$A$6:$G$39,4,0)</f>
        <v>0</v>
      </c>
      <c r="F14" s="9">
        <f>VLOOKUP(A14,[18]HISTOBQUEJUIN23!$A$6:$G$39,5,0)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VLOOKUP(A15,[18]HISTOBQUEJUIN23!$A$6:$G$44,3,0)</f>
        <v>115000</v>
      </c>
      <c r="E15" s="9">
        <f>VLOOKUP(A15,[18]HISTOBQUEJUIN23!$A$6:$G$39,4,0)</f>
        <v>0</v>
      </c>
      <c r="F15" s="9">
        <f>VLOOKUP(A15,[18]HISTOBQUEJUIN23!$A$6:$G$39,5,0)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VLOOKUP(A16,[18]HISTOBQUEJUIN23!$A$6:$G$44,3,0)</f>
        <v>250000</v>
      </c>
      <c r="E16" s="9">
        <f>VLOOKUP(A16,[18]HISTOBQUEJUIN23!$A$6:$G$39,4,0)</f>
        <v>0</v>
      </c>
      <c r="F16" s="9">
        <f>VLOOKUP(A16,[18]HISTOBQUEJUIN23!$A$6:$G$39,5,0)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VLOOKUP($A16,[13]TONTJUIN23!$A$6:$P$20,10,0)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VLOOKUP(A17,[18]HISTOBQUEJUIN23!$A$6:$G$44,3,0)</f>
        <v>140000</v>
      </c>
      <c r="E17" s="9">
        <f>VLOOKUP(A17,[18]HISTOBQUEJUIN23!$A$6:$G$39,4,0)</f>
        <v>0</v>
      </c>
      <c r="F17" s="9">
        <f>VLOOKUP(A17,[18]HISTOBQUEJUIN23!$A$6:$G$39,5,0)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VLOOKUP(A18,[18]HISTOBQUEJUIN23!$A$6:$G$44,3,0)</f>
        <v>1215000</v>
      </c>
      <c r="E18" s="9">
        <f>VLOOKUP(A18,[18]HISTOBQUEJUIN23!$A$6:$G$39,4,0)</f>
        <v>0</v>
      </c>
      <c r="F18" s="9">
        <f>VLOOKUP(A18,[18]HISTOBQUEJUIN23!$A$6:$G$39,5,0)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VLOOKUP($A18,[13]TONTJUIN23!$A$6:$P$20,10,0)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VLOOKUP(A19,[18]HISTOBQUEJUIN23!$A$6:$G$44,3,0)</f>
        <v>40000</v>
      </c>
      <c r="E19" s="9">
        <f>VLOOKUP(A19,[18]HISTOBQUEJUIN23!$A$6:$G$39,4,0)</f>
        <v>0</v>
      </c>
      <c r="F19" s="9">
        <f>VLOOKUP(A19,[18]HISTOBQUEJUIN23!$A$6:$G$39,5,0)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D20+E20+F20-U20-BB20-202000-81500-500000</f>
        <v>0</v>
      </c>
      <c r="D20" s="9">
        <f>VLOOKUP(A20,[18]HISTOBQUEJUIN23!$A$6:$G$44,3,0)-500</f>
        <v>997500</v>
      </c>
      <c r="E20" s="9">
        <f>VLOOKUP(A20,[18]HISTOBQUEJUIN23!$A$6:$G$39,4,0)</f>
        <v>0</v>
      </c>
      <c r="F20" s="9">
        <f>VLOOKUP(A20,[18]HISTOBQUEJUIN23!$A$6:$G$39,5,0)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VLOOKUP($A20,[13]TONTJUIN23!$A$6:$P$20,10,0)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VLOOKUP(A21,[18]HISTOBQUEJUIN23!$A$6:$G$44,3,0)</f>
        <v>40000</v>
      </c>
      <c r="E21" s="9">
        <f>VLOOKUP(A21,[18]HISTOBQUEJUIN23!$A$6:$G$39,4,0)</f>
        <v>0</v>
      </c>
      <c r="F21" s="9">
        <f>VLOOKUP(A21,[18]HISTOBQUEJUIN23!$A$6:$G$39,5,0)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VLOOKUP(A22,[18]HISTOBQUEJUIN23!$A$6:$G$44,3,0)</f>
        <v>115000</v>
      </c>
      <c r="E22" s="9">
        <f>VLOOKUP(A22,[18]HISTOBQUEJUIN23!$A$6:$G$39,4,0)</f>
        <v>0</v>
      </c>
      <c r="F22" s="9">
        <f>VLOOKUP(A22,[18]HISTOBQUEJUIN23!$A$6:$G$39,5,0)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VLOOKUP(A23,[18]HISTOBQUEJUIN23!$A$6:$G$44,3,0)</f>
        <v>452000</v>
      </c>
      <c r="E23" s="9">
        <f>VLOOKUP(A23,[18]HISTOBQUEJUIN23!$A$6:$G$39,4,0)</f>
        <v>0</v>
      </c>
      <c r="F23" s="9">
        <f>VLOOKUP(A23,[18]HISTOBQUEJUIN23!$A$6:$G$39,5,0)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VLOOKUP(A24,[18]HISTOBQUEJUIN23!$A$6:$G$44,3,0)</f>
        <v>215000</v>
      </c>
      <c r="E24" s="9">
        <f>VLOOKUP(A24,[18]HISTOBQUEJUIN23!$A$6:$G$39,4,0)</f>
        <v>0</v>
      </c>
      <c r="F24" s="9">
        <f>VLOOKUP(A24,[18]HISTOBQUEJUIN23!$A$6:$G$39,5,0)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VLOOKUP($A24,[13]TONTJUIN23!$A$6:$P$20,10,0)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VLOOKUP(A25,[18]HISTOBQUEJUIN23!$A$6:$G$44,3,0)</f>
        <v>350000</v>
      </c>
      <c r="E25" s="9">
        <f>VLOOKUP(A25,[18]HISTOBQUEJUIN23!$A$6:$G$39,4,0)</f>
        <v>0</v>
      </c>
      <c r="F25" s="9">
        <f>VLOOKUP(A25,[18]HISTOBQUEJUIN23!$A$6:$G$39,5,0)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VLOOKUP($A25,[13]TONTJUIN23!$A$6:$P$20,10,0)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VLOOKUP(A26,[18]HISTOBQUEJUIN23!$A$6:$G$44,3,0)</f>
        <v>40000</v>
      </c>
      <c r="E26" s="9">
        <f>VLOOKUP(A26,[18]HISTOBQUEJUIN23!$A$6:$G$39,4,0)</f>
        <v>0</v>
      </c>
      <c r="F26" s="9">
        <f>VLOOKUP(A26,[18]HISTOBQUEJUIN23!$A$6:$G$39,5,0)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VLOOKUP(A27,[18]HISTOBQUEJUIN23!$A$6:$G$44,3,0)</f>
        <v>45000</v>
      </c>
      <c r="E27" s="9">
        <f>VLOOKUP(A27,[18]HISTOBQUEJUIN23!$A$6:$G$39,4,0)</f>
        <v>0</v>
      </c>
      <c r="F27" s="9">
        <f>VLOOKUP(A27,[18]HISTOBQUEJUIN23!$A$6:$G$39,5,0)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VLOOKUP(A28,[18]HISTOBQUEJUIN23!$A$6:$G$44,3,0)</f>
        <v>115000</v>
      </c>
      <c r="E28" s="9">
        <f>VLOOKUP(A28,[18]HISTOBQUEJUIN23!$A$6:$G$39,4,0)</f>
        <v>0</v>
      </c>
      <c r="F28" s="9">
        <f>VLOOKUP(A28,[18]HISTOBQUEJUIN23!$A$6:$G$39,5,0)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VLOOKUP(A29,[18]HISTOBQUEJUIN23!$A$6:$G$44,3,0)</f>
        <v>40000</v>
      </c>
      <c r="E29" s="9">
        <f>VLOOKUP(A29,[18]HISTOBQUEJUIN23!$A$6:$G$39,4,0)</f>
        <v>0</v>
      </c>
      <c r="F29" s="9">
        <f>VLOOKUP(A29,[18]HISTOBQUEJUIN23!$A$6:$G$39,5,0)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VLOOKUP(A30,[18]HISTOBQUEJUIN23!$A$6:$G$44,3,0)</f>
        <v>115000</v>
      </c>
      <c r="E30" s="9">
        <f>VLOOKUP(A30,[18]HISTOBQUEJUIN23!$A$6:$G$39,4,0)</f>
        <v>0</v>
      </c>
      <c r="F30" s="9">
        <f>VLOOKUP(A30,[18]HISTOBQUEJUIN23!$A$6:$G$39,5,0)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VLOOKUP(A31,[18]HISTOBQUEJUIN23!$A$6:$G$44,3,0)</f>
        <v>140000</v>
      </c>
      <c r="E31" s="9">
        <f>VLOOKUP(A31,[18]HISTOBQUEJUIN23!$A$6:$G$39,4,0)</f>
        <v>0</v>
      </c>
      <c r="F31" s="9">
        <f>VLOOKUP(A31,[18]HISTOBQUEJUIN23!$A$6:$G$39,5,0)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VLOOKUP(A32,[18]HISTOBQUEJUIN23!$A$6:$G$44,3,0)</f>
        <v>217000</v>
      </c>
      <c r="E32" s="9">
        <f>VLOOKUP(A32,[18]HISTOBQUEJUIN23!$A$6:$G$39,4,0)</f>
        <v>0</v>
      </c>
      <c r="F32" s="9">
        <f>VLOOKUP(A32,[18]HISTOBQUEJUIN23!$A$6:$G$39,5,0)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VLOOKUP(A33,[18]HISTOBQUEJUIN23!$A$6:$G$44,3,0)</f>
        <v>40000</v>
      </c>
      <c r="E33" s="9">
        <f>VLOOKUP(A33,[18]HISTOBQUEJUIN23!$A$6:$G$39,4,0)</f>
        <v>0</v>
      </c>
      <c r="F33" s="9">
        <f>VLOOKUP(A33,[18]HISTOBQUEJUIN23!$A$6:$G$39,5,0)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VLOOKUP(A34,[18]HISTOBQUEJUIN23!$A$6:$G$44,3,0)</f>
        <v>100000</v>
      </c>
      <c r="E34" s="9">
        <f>VLOOKUP(A34,[18]HISTOBQUEJUIN23!$A$6:$G$39,4,0)</f>
        <v>0</v>
      </c>
      <c r="F34" s="9">
        <f>VLOOKUP(A34,[18]HISTOBQUEJUIN23!$A$6:$G$39,5,0)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VLOOKUP(A35,[18]HISTOBQUEJUIN23!$A$6:$G$44,3,0)</f>
        <v>40000</v>
      </c>
      <c r="E35" s="9">
        <f>VLOOKUP(A35,[18]HISTOBQUEJUIN23!$A$6:$G$39,4,0)</f>
        <v>0</v>
      </c>
      <c r="F35" s="9">
        <f>VLOOKUP(A35,[18]HISTOBQUEJUIN23!$A$6:$G$39,5,0)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VLOOKUP(A36,[18]HISTOBQUEJUIN23!$A$6:$G$44,3,0)</f>
        <v>290000</v>
      </c>
      <c r="E36" s="9">
        <f>VLOOKUP(A36,[18]HISTOBQUEJUIN23!$A$6:$G$39,4,0)</f>
        <v>0</v>
      </c>
      <c r="F36" s="9">
        <f>VLOOKUP(A36,[18]HISTOBQUEJUIN23!$A$6:$G$39,5,0)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VLOOKUP($A36,[13]TONTJUIN23!$A$6:$P$20,10,0)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180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