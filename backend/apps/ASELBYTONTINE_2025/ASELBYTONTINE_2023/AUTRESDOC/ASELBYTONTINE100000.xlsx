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15480" windowHeight="6810" firstSheet="11" activeTab="13"/>
  </bookViews>
  <sheets>
    <sheet name="Feuil1" sheetId="23" r:id="rId1"/>
    <sheet name="MODEPAID" sheetId="3" r:id="rId2"/>
    <sheet name="TONTNOV" sheetId="29" r:id="rId3"/>
    <sheet name="TONTDEC" sheetId="44" r:id="rId4"/>
    <sheet name="TONTJANV" sheetId="45" r:id="rId5"/>
    <sheet name="TONTFEV" sheetId="46" r:id="rId6"/>
    <sheet name="TONTMARS" sheetId="47" r:id="rId7"/>
    <sheet name="TONTAVRIL" sheetId="48" r:id="rId8"/>
    <sheet name="TONTMAI" sheetId="49" r:id="rId9"/>
    <sheet name="TONTJUIN" sheetId="50" r:id="rId10"/>
    <sheet name="TONTJUIL" sheetId="51" r:id="rId11"/>
    <sheet name="TONTAOUT" sheetId="52" r:id="rId12"/>
    <sheet name="TONTSEPT" sheetId="53" r:id="rId13"/>
    <sheet name="TONT0CT" sheetId="54" r:id="rId14"/>
    <sheet name="TONTNOV20" sheetId="55" r:id="rId15"/>
    <sheet name="TONTDEC20" sheetId="57" r:id="rId16"/>
    <sheet name="TONTRESUME" sheetId="59" r:id="rId17"/>
  </sheets>
  <externalReferences>
    <externalReference r:id="rId18"/>
  </externalReferences>
  <definedNames>
    <definedName name="_xlnm._FilterDatabase" localSheetId="13" hidden="1">TONT0CT!$A$5:$Q$23</definedName>
    <definedName name="_xlnm._FilterDatabase" localSheetId="11" hidden="1">TONTAOUT!$A$5:$Q$23</definedName>
    <definedName name="_xlnm._FilterDatabase" localSheetId="7" hidden="1">TONTAVRIL!$A$5:$Q$23</definedName>
    <definedName name="_xlnm._FilterDatabase" localSheetId="3" hidden="1">TONTDEC!$A$5:$P$23</definedName>
    <definedName name="_xlnm._FilterDatabase" localSheetId="15" hidden="1">TONTDEC20!$A$5:$Q$23</definedName>
    <definedName name="_xlnm._FilterDatabase" localSheetId="5" hidden="1">TONTFEV!$A$5:$Q$23</definedName>
    <definedName name="_xlnm._FilterDatabase" localSheetId="4" hidden="1">TONTJANV!$A$5:$Q$23</definedName>
    <definedName name="_xlnm._FilterDatabase" localSheetId="10" hidden="1">TONTJUIL!$A$5:$Q$23</definedName>
    <definedName name="_xlnm._FilterDatabase" localSheetId="9" hidden="1">TONTJUIN!$A$5:$Q$23</definedName>
    <definedName name="_xlnm._FilterDatabase" localSheetId="8" hidden="1">TONTMAI!$A$5:$Q$23</definedName>
    <definedName name="_xlnm._FilterDatabase" localSheetId="6" hidden="1">TONTMARS!$A$5:$Q$23</definedName>
    <definedName name="_xlnm._FilterDatabase" localSheetId="2" hidden="1">TONTNOV!$A$5:$Q$23</definedName>
    <definedName name="_xlnm._FilterDatabase" localSheetId="14" hidden="1">TONTNOV20!$A$5:$Q$23</definedName>
    <definedName name="_xlnm._FilterDatabase" localSheetId="16" hidden="1">TONTRESUME!$A$5:$I$23</definedName>
    <definedName name="_xlnm._FilterDatabase" localSheetId="12" hidden="1">TONTSEPT!$A$5:$Q$23</definedName>
    <definedName name="MODEPAID" localSheetId="1">MODEPAID!$A$1:$A$3</definedName>
    <definedName name="MODEPAID" localSheetId="13">#REF!</definedName>
    <definedName name="MODEPAID" localSheetId="11">#REF!</definedName>
    <definedName name="MODEPAID" localSheetId="7">#REF!</definedName>
    <definedName name="MODEPAID" localSheetId="3">#REF!</definedName>
    <definedName name="MODEPAID" localSheetId="15">#REF!</definedName>
    <definedName name="MODEPAID" localSheetId="5">#REF!</definedName>
    <definedName name="MODEPAID" localSheetId="4">#REF!</definedName>
    <definedName name="MODEPAID" localSheetId="10">#REF!</definedName>
    <definedName name="MODEPAID" localSheetId="9">#REF!</definedName>
    <definedName name="MODEPAID" localSheetId="8">#REF!</definedName>
    <definedName name="MODEPAID" localSheetId="6">#REF!</definedName>
    <definedName name="MODEPAID" localSheetId="2">#REF!</definedName>
    <definedName name="MODEPAID" localSheetId="14">#REF!</definedName>
    <definedName name="MODEPAID" localSheetId="16">#REF!</definedName>
    <definedName name="MODEPAID" localSheetId="12">#REF!</definedName>
    <definedName name="MODEPAID">#REF!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54" l="1"/>
  <c r="C11" i="54"/>
  <c r="J7" i="59" l="1"/>
  <c r="J8" i="59"/>
  <c r="J9" i="59"/>
  <c r="J10" i="59"/>
  <c r="J11" i="59"/>
  <c r="J12" i="59"/>
  <c r="J13" i="59"/>
  <c r="J14" i="59"/>
  <c r="J15" i="59"/>
  <c r="J16" i="59"/>
  <c r="J17" i="59"/>
  <c r="J18" i="59"/>
  <c r="J19" i="59"/>
  <c r="J20" i="59"/>
  <c r="J21" i="59"/>
  <c r="J22" i="59"/>
  <c r="J23" i="59"/>
  <c r="J6" i="59"/>
  <c r="J25" i="59" s="1"/>
  <c r="C14" i="54" l="1"/>
  <c r="C12" i="54"/>
  <c r="L33" i="53" l="1"/>
  <c r="L33" i="52"/>
  <c r="L34" i="51"/>
  <c r="L33" i="50"/>
  <c r="L33" i="48"/>
  <c r="J15" i="47"/>
  <c r="L29" i="45"/>
  <c r="L28" i="44"/>
  <c r="L27" i="44"/>
  <c r="L27" i="29"/>
  <c r="G33" i="59" l="1"/>
  <c r="G32" i="59"/>
  <c r="J17" i="51" l="1"/>
  <c r="J15" i="51"/>
  <c r="J16" i="51"/>
  <c r="J18" i="51"/>
  <c r="J19" i="51"/>
  <c r="J20" i="51"/>
  <c r="J21" i="51"/>
  <c r="J22" i="51"/>
  <c r="J23" i="51"/>
  <c r="J17" i="50"/>
  <c r="J7" i="51" l="1"/>
  <c r="J8" i="51"/>
  <c r="J9" i="51"/>
  <c r="J10" i="51"/>
  <c r="J11" i="51"/>
  <c r="J12" i="51"/>
  <c r="J13" i="51"/>
  <c r="J14" i="51"/>
  <c r="J22" i="49" l="1"/>
  <c r="J17" i="48"/>
  <c r="J22" i="48" l="1"/>
  <c r="J21" i="48"/>
  <c r="J20" i="48"/>
  <c r="J19" i="48"/>
  <c r="J18" i="48"/>
  <c r="J16" i="48"/>
  <c r="J15" i="48"/>
  <c r="J14" i="48"/>
  <c r="J13" i="48"/>
  <c r="J12" i="48"/>
  <c r="J11" i="48"/>
  <c r="J10" i="48"/>
  <c r="J9" i="48"/>
  <c r="J8" i="48"/>
  <c r="J7" i="48"/>
  <c r="J6" i="48"/>
  <c r="J23" i="48"/>
  <c r="H7" i="59" l="1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6" i="59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6" i="59"/>
  <c r="J7" i="57" l="1"/>
  <c r="J8" i="57"/>
  <c r="J9" i="57"/>
  <c r="J10" i="57"/>
  <c r="J11" i="57"/>
  <c r="J12" i="57"/>
  <c r="J13" i="57"/>
  <c r="J14" i="57"/>
  <c r="J15" i="57"/>
  <c r="J16" i="57"/>
  <c r="J17" i="57"/>
  <c r="J18" i="57"/>
  <c r="J19" i="57"/>
  <c r="J20" i="57"/>
  <c r="J21" i="57"/>
  <c r="J22" i="57"/>
  <c r="J23" i="57"/>
  <c r="J6" i="57"/>
  <c r="J7" i="55"/>
  <c r="J8" i="55"/>
  <c r="J9" i="55"/>
  <c r="J10" i="55"/>
  <c r="J11" i="55"/>
  <c r="J12" i="55"/>
  <c r="J13" i="55"/>
  <c r="J14" i="55"/>
  <c r="J15" i="55"/>
  <c r="J16" i="55"/>
  <c r="J17" i="55"/>
  <c r="J18" i="55"/>
  <c r="J19" i="55"/>
  <c r="J20" i="55"/>
  <c r="J21" i="55"/>
  <c r="J22" i="55"/>
  <c r="J23" i="55"/>
  <c r="J6" i="55"/>
  <c r="J7" i="54"/>
  <c r="J8" i="54"/>
  <c r="J9" i="54"/>
  <c r="J10" i="54"/>
  <c r="J11" i="54"/>
  <c r="J12" i="54"/>
  <c r="J13" i="54"/>
  <c r="J14" i="54"/>
  <c r="J15" i="54"/>
  <c r="J16" i="54"/>
  <c r="J17" i="54"/>
  <c r="J18" i="54"/>
  <c r="J19" i="54"/>
  <c r="J20" i="54"/>
  <c r="J21" i="54"/>
  <c r="J22" i="54"/>
  <c r="J23" i="54"/>
  <c r="J6" i="54"/>
  <c r="J7" i="53"/>
  <c r="F7" i="59" s="1"/>
  <c r="J8" i="53"/>
  <c r="J9" i="53"/>
  <c r="J10" i="53"/>
  <c r="J11" i="53"/>
  <c r="F11" i="59" s="1"/>
  <c r="J12" i="53"/>
  <c r="F12" i="59" s="1"/>
  <c r="J13" i="53"/>
  <c r="J14" i="53"/>
  <c r="J15" i="53"/>
  <c r="J16" i="53"/>
  <c r="J17" i="53"/>
  <c r="F17" i="59" s="1"/>
  <c r="J18" i="53"/>
  <c r="F18" i="59" s="1"/>
  <c r="J19" i="53"/>
  <c r="F19" i="59" s="1"/>
  <c r="J20" i="53"/>
  <c r="F20" i="59" s="1"/>
  <c r="J21" i="53"/>
  <c r="F21" i="59" s="1"/>
  <c r="J22" i="53"/>
  <c r="J23" i="53"/>
  <c r="F23" i="59" s="1"/>
  <c r="J6" i="53"/>
  <c r="F6" i="59" s="1"/>
  <c r="J7" i="52"/>
  <c r="J8" i="52"/>
  <c r="J9" i="52"/>
  <c r="J10" i="52"/>
  <c r="J11" i="52"/>
  <c r="J12" i="52"/>
  <c r="J13" i="52"/>
  <c r="J14" i="52"/>
  <c r="J15" i="52"/>
  <c r="J16" i="52"/>
  <c r="J17" i="52"/>
  <c r="J18" i="52"/>
  <c r="J19" i="52"/>
  <c r="J20" i="52"/>
  <c r="J21" i="52"/>
  <c r="J22" i="52"/>
  <c r="J23" i="52"/>
  <c r="J6" i="52"/>
  <c r="F9" i="59"/>
  <c r="J6" i="51"/>
  <c r="J7" i="50"/>
  <c r="J8" i="50"/>
  <c r="J9" i="50"/>
  <c r="J10" i="50"/>
  <c r="J11" i="50"/>
  <c r="J12" i="50"/>
  <c r="J13" i="50"/>
  <c r="J14" i="50"/>
  <c r="J15" i="50"/>
  <c r="J16" i="50"/>
  <c r="J18" i="50"/>
  <c r="J19" i="50"/>
  <c r="J20" i="50"/>
  <c r="J21" i="50"/>
  <c r="J22" i="50"/>
  <c r="J23" i="50"/>
  <c r="J6" i="50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3" i="49"/>
  <c r="J6" i="49"/>
  <c r="J7" i="47"/>
  <c r="J8" i="47"/>
  <c r="J9" i="47"/>
  <c r="J10" i="47"/>
  <c r="J11" i="47"/>
  <c r="J12" i="47"/>
  <c r="J13" i="47"/>
  <c r="J14" i="47"/>
  <c r="J16" i="47"/>
  <c r="F16" i="59" s="1"/>
  <c r="J17" i="47"/>
  <c r="J18" i="47"/>
  <c r="J19" i="47"/>
  <c r="J20" i="47"/>
  <c r="J21" i="47"/>
  <c r="J22" i="47"/>
  <c r="J23" i="47"/>
  <c r="J6" i="47"/>
  <c r="J7" i="46"/>
  <c r="J8" i="46"/>
  <c r="J9" i="46"/>
  <c r="J10" i="46"/>
  <c r="J11" i="46"/>
  <c r="J12" i="46"/>
  <c r="J13" i="46"/>
  <c r="J14" i="46"/>
  <c r="F14" i="59" s="1"/>
  <c r="J15" i="46"/>
  <c r="J16" i="46"/>
  <c r="J17" i="46"/>
  <c r="J18" i="46"/>
  <c r="J19" i="46"/>
  <c r="J20" i="46"/>
  <c r="J21" i="46"/>
  <c r="J22" i="46"/>
  <c r="J23" i="46"/>
  <c r="J6" i="46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6" i="45"/>
  <c r="J7" i="44"/>
  <c r="J9" i="44"/>
  <c r="J11" i="44"/>
  <c r="J12" i="44"/>
  <c r="J13" i="44"/>
  <c r="J14" i="44"/>
  <c r="J15" i="44"/>
  <c r="J16" i="44"/>
  <c r="J17" i="44"/>
  <c r="J18" i="44"/>
  <c r="J19" i="44"/>
  <c r="J20" i="44"/>
  <c r="J21" i="44"/>
  <c r="J23" i="44"/>
  <c r="J6" i="44"/>
  <c r="H25" i="59"/>
  <c r="E25" i="59"/>
  <c r="D25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B7" i="59"/>
  <c r="B6" i="59"/>
  <c r="F30" i="57"/>
  <c r="E30" i="57"/>
  <c r="D30" i="57"/>
  <c r="C30" i="57"/>
  <c r="F29" i="57"/>
  <c r="F32" i="57" s="1"/>
  <c r="E29" i="57"/>
  <c r="E32" i="57" s="1"/>
  <c r="D29" i="57"/>
  <c r="D32" i="57" s="1"/>
  <c r="L27" i="57" s="1"/>
  <c r="C29" i="57"/>
  <c r="C32" i="57" s="1"/>
  <c r="O25" i="57"/>
  <c r="C35" i="57" s="1"/>
  <c r="G25" i="57"/>
  <c r="C36" i="57" s="1"/>
  <c r="F25" i="57"/>
  <c r="C25" i="57"/>
  <c r="N23" i="57"/>
  <c r="D23" i="57"/>
  <c r="C23" i="57"/>
  <c r="B23" i="57"/>
  <c r="N22" i="57"/>
  <c r="D22" i="57"/>
  <c r="C22" i="57"/>
  <c r="B22" i="57"/>
  <c r="N21" i="57"/>
  <c r="D21" i="57"/>
  <c r="C21" i="57"/>
  <c r="B21" i="57"/>
  <c r="N20" i="57"/>
  <c r="D20" i="57"/>
  <c r="C20" i="57"/>
  <c r="B20" i="57"/>
  <c r="N19" i="57"/>
  <c r="D19" i="57"/>
  <c r="C19" i="57"/>
  <c r="B19" i="57"/>
  <c r="N18" i="57"/>
  <c r="D18" i="57"/>
  <c r="C18" i="57"/>
  <c r="B18" i="57"/>
  <c r="N17" i="57"/>
  <c r="D17" i="57"/>
  <c r="C17" i="57"/>
  <c r="B17" i="57"/>
  <c r="N16" i="57"/>
  <c r="D16" i="57"/>
  <c r="C16" i="57"/>
  <c r="B16" i="57"/>
  <c r="N15" i="57"/>
  <c r="D15" i="57"/>
  <c r="C15" i="57"/>
  <c r="B15" i="57"/>
  <c r="N14" i="57"/>
  <c r="D14" i="57"/>
  <c r="C14" i="57"/>
  <c r="B14" i="57"/>
  <c r="N13" i="57"/>
  <c r="D13" i="57"/>
  <c r="C13" i="57"/>
  <c r="B13" i="57"/>
  <c r="N12" i="57"/>
  <c r="D12" i="57"/>
  <c r="C12" i="57"/>
  <c r="B12" i="57"/>
  <c r="N11" i="57"/>
  <c r="D11" i="57"/>
  <c r="C11" i="57"/>
  <c r="B11" i="57"/>
  <c r="N10" i="57"/>
  <c r="D10" i="57"/>
  <c r="C10" i="57"/>
  <c r="B10" i="57"/>
  <c r="N9" i="57"/>
  <c r="D9" i="57"/>
  <c r="C9" i="57"/>
  <c r="B9" i="57"/>
  <c r="N8" i="57"/>
  <c r="D8" i="57"/>
  <c r="C8" i="57"/>
  <c r="B8" i="57"/>
  <c r="N7" i="57"/>
  <c r="D7" i="57"/>
  <c r="C7" i="57"/>
  <c r="B7" i="57"/>
  <c r="N6" i="57"/>
  <c r="N25" i="57" s="1"/>
  <c r="D6" i="57"/>
  <c r="D25" i="57" s="1"/>
  <c r="C6" i="57"/>
  <c r="B6" i="57"/>
  <c r="F30" i="55"/>
  <c r="E30" i="55"/>
  <c r="D30" i="55"/>
  <c r="C30" i="55"/>
  <c r="F29" i="55"/>
  <c r="F32" i="55" s="1"/>
  <c r="E29" i="55"/>
  <c r="E32" i="55" s="1"/>
  <c r="D29" i="55"/>
  <c r="C29" i="55"/>
  <c r="C32" i="55" s="1"/>
  <c r="O25" i="55"/>
  <c r="C35" i="55" s="1"/>
  <c r="G25" i="55"/>
  <c r="C36" i="55" s="1"/>
  <c r="F25" i="55"/>
  <c r="N23" i="55"/>
  <c r="D23" i="55"/>
  <c r="C23" i="55"/>
  <c r="B23" i="55"/>
  <c r="N22" i="55"/>
  <c r="D22" i="55"/>
  <c r="C22" i="55"/>
  <c r="B22" i="55"/>
  <c r="N21" i="55"/>
  <c r="D21" i="55"/>
  <c r="C21" i="55"/>
  <c r="B21" i="55"/>
  <c r="N20" i="55"/>
  <c r="D20" i="55"/>
  <c r="C20" i="55"/>
  <c r="B20" i="55"/>
  <c r="N19" i="55"/>
  <c r="D19" i="55"/>
  <c r="C19" i="55"/>
  <c r="B19" i="55"/>
  <c r="N18" i="55"/>
  <c r="D18" i="55"/>
  <c r="C18" i="55"/>
  <c r="B18" i="55"/>
  <c r="N17" i="55"/>
  <c r="D17" i="55"/>
  <c r="C17" i="55"/>
  <c r="B17" i="55"/>
  <c r="N16" i="55"/>
  <c r="D16" i="55"/>
  <c r="C16" i="55"/>
  <c r="B16" i="55"/>
  <c r="N15" i="55"/>
  <c r="D15" i="55"/>
  <c r="C15" i="55"/>
  <c r="B15" i="55"/>
  <c r="N14" i="55"/>
  <c r="D14" i="55"/>
  <c r="C14" i="55"/>
  <c r="B14" i="55"/>
  <c r="N13" i="55"/>
  <c r="D13" i="55"/>
  <c r="C13" i="55"/>
  <c r="B13" i="55"/>
  <c r="N12" i="55"/>
  <c r="D12" i="55"/>
  <c r="C12" i="55"/>
  <c r="B12" i="55"/>
  <c r="N11" i="55"/>
  <c r="D11" i="55"/>
  <c r="C11" i="55"/>
  <c r="B11" i="55"/>
  <c r="N10" i="55"/>
  <c r="D10" i="55"/>
  <c r="C10" i="55"/>
  <c r="B10" i="55"/>
  <c r="N9" i="55"/>
  <c r="D9" i="55"/>
  <c r="C9" i="55"/>
  <c r="B9" i="55"/>
  <c r="N8" i="55"/>
  <c r="D8" i="55"/>
  <c r="C8" i="55"/>
  <c r="B8" i="55"/>
  <c r="N7" i="55"/>
  <c r="D7" i="55"/>
  <c r="C7" i="55"/>
  <c r="B7" i="55"/>
  <c r="N6" i="55"/>
  <c r="N25" i="55" s="1"/>
  <c r="D6" i="55"/>
  <c r="D25" i="55" s="1"/>
  <c r="C6" i="55"/>
  <c r="C25" i="55" s="1"/>
  <c r="B6" i="55"/>
  <c r="F30" i="54"/>
  <c r="E30" i="54"/>
  <c r="D30" i="54"/>
  <c r="F29" i="54"/>
  <c r="F32" i="54" s="1"/>
  <c r="E29" i="54"/>
  <c r="D29" i="54"/>
  <c r="D32" i="54" s="1"/>
  <c r="O25" i="54"/>
  <c r="C35" i="54" s="1"/>
  <c r="G25" i="54"/>
  <c r="C36" i="54" s="1"/>
  <c r="F25" i="54"/>
  <c r="N23" i="54"/>
  <c r="D23" i="54"/>
  <c r="C23" i="54"/>
  <c r="B23" i="54"/>
  <c r="N22" i="54"/>
  <c r="D22" i="54"/>
  <c r="C22" i="54"/>
  <c r="B22" i="54"/>
  <c r="N21" i="54"/>
  <c r="D21" i="54"/>
  <c r="C21" i="54"/>
  <c r="B21" i="54"/>
  <c r="N20" i="54"/>
  <c r="D20" i="54"/>
  <c r="C20" i="54"/>
  <c r="B20" i="54"/>
  <c r="N19" i="54"/>
  <c r="D19" i="54"/>
  <c r="C19" i="54"/>
  <c r="B19" i="54"/>
  <c r="N18" i="54"/>
  <c r="D18" i="54"/>
  <c r="C18" i="54"/>
  <c r="C29" i="54" s="1"/>
  <c r="B18" i="54"/>
  <c r="N17" i="54"/>
  <c r="D17" i="54"/>
  <c r="C17" i="54"/>
  <c r="B17" i="54"/>
  <c r="N16" i="54"/>
  <c r="D16" i="54"/>
  <c r="C16" i="54"/>
  <c r="B16" i="54"/>
  <c r="N15" i="54"/>
  <c r="D15" i="54"/>
  <c r="C15" i="54"/>
  <c r="B15" i="54"/>
  <c r="N14" i="54"/>
  <c r="D14" i="54"/>
  <c r="C30" i="54"/>
  <c r="B14" i="54"/>
  <c r="N13" i="54"/>
  <c r="D13" i="54"/>
  <c r="C13" i="54"/>
  <c r="B13" i="54"/>
  <c r="N12" i="54"/>
  <c r="D12" i="54"/>
  <c r="B12" i="54"/>
  <c r="N11" i="54"/>
  <c r="D11" i="54"/>
  <c r="B11" i="54"/>
  <c r="N10" i="54"/>
  <c r="D10" i="54"/>
  <c r="B10" i="54"/>
  <c r="N9" i="54"/>
  <c r="D9" i="54"/>
  <c r="C9" i="54"/>
  <c r="B9" i="54"/>
  <c r="N8" i="54"/>
  <c r="D8" i="54"/>
  <c r="C8" i="54"/>
  <c r="B8" i="54"/>
  <c r="N7" i="54"/>
  <c r="D7" i="54"/>
  <c r="C7" i="54"/>
  <c r="B7" i="54"/>
  <c r="N6" i="54"/>
  <c r="N25" i="54" s="1"/>
  <c r="D6" i="54"/>
  <c r="D25" i="54" s="1"/>
  <c r="C6" i="54"/>
  <c r="B6" i="54"/>
  <c r="F30" i="53"/>
  <c r="E30" i="53"/>
  <c r="D30" i="53"/>
  <c r="C30" i="53"/>
  <c r="F29" i="53"/>
  <c r="F32" i="53" s="1"/>
  <c r="E29" i="53"/>
  <c r="D29" i="53"/>
  <c r="D32" i="53" s="1"/>
  <c r="C29" i="53"/>
  <c r="O25" i="53"/>
  <c r="C35" i="53" s="1"/>
  <c r="G25" i="53"/>
  <c r="C36" i="53" s="1"/>
  <c r="F25" i="53"/>
  <c r="D25" i="53"/>
  <c r="N23" i="53"/>
  <c r="D23" i="53"/>
  <c r="C23" i="53"/>
  <c r="B23" i="53"/>
  <c r="N22" i="53"/>
  <c r="D22" i="53"/>
  <c r="C22" i="53"/>
  <c r="B22" i="53"/>
  <c r="N21" i="53"/>
  <c r="D21" i="53"/>
  <c r="C21" i="53"/>
  <c r="B21" i="53"/>
  <c r="N20" i="53"/>
  <c r="D20" i="53"/>
  <c r="C20" i="53"/>
  <c r="B20" i="53"/>
  <c r="N19" i="53"/>
  <c r="D19" i="53"/>
  <c r="C19" i="53"/>
  <c r="B19" i="53"/>
  <c r="N18" i="53"/>
  <c r="D18" i="53"/>
  <c r="C18" i="53"/>
  <c r="B18" i="53"/>
  <c r="N17" i="53"/>
  <c r="D17" i="53"/>
  <c r="C17" i="53"/>
  <c r="B17" i="53"/>
  <c r="N16" i="53"/>
  <c r="D16" i="53"/>
  <c r="C16" i="53"/>
  <c r="B16" i="53"/>
  <c r="N15" i="53"/>
  <c r="D15" i="53"/>
  <c r="C15" i="53"/>
  <c r="B15" i="53"/>
  <c r="N14" i="53"/>
  <c r="D14" i="53"/>
  <c r="C14" i="53"/>
  <c r="B14" i="53"/>
  <c r="N13" i="53"/>
  <c r="D13" i="53"/>
  <c r="C13" i="53"/>
  <c r="B13" i="53"/>
  <c r="N12" i="53"/>
  <c r="D12" i="53"/>
  <c r="C12" i="53"/>
  <c r="B12" i="53"/>
  <c r="N11" i="53"/>
  <c r="D11" i="53"/>
  <c r="C11" i="53"/>
  <c r="B11" i="53"/>
  <c r="N10" i="53"/>
  <c r="D10" i="53"/>
  <c r="C10" i="53"/>
  <c r="B10" i="53"/>
  <c r="N9" i="53"/>
  <c r="D9" i="53"/>
  <c r="C9" i="53"/>
  <c r="B9" i="53"/>
  <c r="N8" i="53"/>
  <c r="D8" i="53"/>
  <c r="C8" i="53"/>
  <c r="B8" i="53"/>
  <c r="N7" i="53"/>
  <c r="D7" i="53"/>
  <c r="C7" i="53"/>
  <c r="B7" i="53"/>
  <c r="N6" i="53"/>
  <c r="N25" i="53" s="1"/>
  <c r="D6" i="53"/>
  <c r="C6" i="53"/>
  <c r="B6" i="53"/>
  <c r="F30" i="52"/>
  <c r="E30" i="52"/>
  <c r="D30" i="52"/>
  <c r="F29" i="52"/>
  <c r="E29" i="52"/>
  <c r="D29" i="52"/>
  <c r="O25" i="52"/>
  <c r="C35" i="52" s="1"/>
  <c r="G25" i="52"/>
  <c r="C36" i="52" s="1"/>
  <c r="F25" i="52"/>
  <c r="N23" i="52"/>
  <c r="G23" i="59" s="1"/>
  <c r="D23" i="52"/>
  <c r="C23" i="52"/>
  <c r="B23" i="52"/>
  <c r="N22" i="52"/>
  <c r="D22" i="52"/>
  <c r="C22" i="52"/>
  <c r="B22" i="52"/>
  <c r="N21" i="52"/>
  <c r="D21" i="52"/>
  <c r="C21" i="52"/>
  <c r="B21" i="52"/>
  <c r="N20" i="52"/>
  <c r="G20" i="59" s="1"/>
  <c r="D20" i="52"/>
  <c r="C20" i="52"/>
  <c r="B20" i="52"/>
  <c r="N19" i="52"/>
  <c r="G19" i="59" s="1"/>
  <c r="D19" i="52"/>
  <c r="C19" i="52"/>
  <c r="B19" i="52"/>
  <c r="N18" i="52"/>
  <c r="D18" i="52"/>
  <c r="C18" i="52"/>
  <c r="B18" i="52"/>
  <c r="N17" i="52"/>
  <c r="D17" i="52"/>
  <c r="C17" i="52"/>
  <c r="B17" i="52"/>
  <c r="N16" i="52"/>
  <c r="D16" i="52"/>
  <c r="C16" i="52"/>
  <c r="B16" i="52"/>
  <c r="N15" i="52"/>
  <c r="G15" i="59" s="1"/>
  <c r="D15" i="52"/>
  <c r="C15" i="52"/>
  <c r="B15" i="52"/>
  <c r="N14" i="52"/>
  <c r="D14" i="52"/>
  <c r="C14" i="52"/>
  <c r="B14" i="52"/>
  <c r="N13" i="52"/>
  <c r="D13" i="52"/>
  <c r="C13" i="52"/>
  <c r="B13" i="52"/>
  <c r="N12" i="52"/>
  <c r="G12" i="59" s="1"/>
  <c r="D12" i="52"/>
  <c r="C12" i="52"/>
  <c r="B12" i="52"/>
  <c r="N11" i="52"/>
  <c r="D11" i="52"/>
  <c r="C11" i="52"/>
  <c r="B11" i="52"/>
  <c r="N10" i="52"/>
  <c r="D10" i="52"/>
  <c r="C10" i="52"/>
  <c r="B10" i="52"/>
  <c r="N9" i="52"/>
  <c r="D9" i="52"/>
  <c r="C9" i="52"/>
  <c r="B9" i="52"/>
  <c r="N8" i="52"/>
  <c r="G8" i="59" s="1"/>
  <c r="D8" i="52"/>
  <c r="C8" i="52"/>
  <c r="B8" i="52"/>
  <c r="N7" i="52"/>
  <c r="D7" i="52"/>
  <c r="C7" i="52"/>
  <c r="C30" i="52" s="1"/>
  <c r="B7" i="52"/>
  <c r="N6" i="52"/>
  <c r="D6" i="52"/>
  <c r="C6" i="52"/>
  <c r="B6" i="52"/>
  <c r="F30" i="51"/>
  <c r="E30" i="51"/>
  <c r="D30" i="51"/>
  <c r="F29" i="51"/>
  <c r="F32" i="51" s="1"/>
  <c r="E29" i="51"/>
  <c r="E32" i="51" s="1"/>
  <c r="D29" i="51"/>
  <c r="C29" i="51"/>
  <c r="O25" i="51"/>
  <c r="C35" i="51" s="1"/>
  <c r="G25" i="51"/>
  <c r="C36" i="51" s="1"/>
  <c r="F25" i="51"/>
  <c r="D25" i="51"/>
  <c r="N23" i="51"/>
  <c r="D23" i="51"/>
  <c r="C23" i="51"/>
  <c r="B23" i="51"/>
  <c r="N22" i="51"/>
  <c r="D22" i="51"/>
  <c r="C22" i="51"/>
  <c r="B22" i="51"/>
  <c r="N21" i="51"/>
  <c r="D21" i="51"/>
  <c r="C21" i="51"/>
  <c r="B21" i="51"/>
  <c r="N20" i="51"/>
  <c r="D20" i="51"/>
  <c r="C20" i="51"/>
  <c r="B20" i="51"/>
  <c r="N19" i="51"/>
  <c r="D19" i="51"/>
  <c r="C19" i="51"/>
  <c r="B19" i="51"/>
  <c r="N18" i="51"/>
  <c r="D18" i="51"/>
  <c r="C18" i="51"/>
  <c r="B18" i="51"/>
  <c r="N17" i="51"/>
  <c r="D17" i="51"/>
  <c r="C17" i="51"/>
  <c r="B17" i="51"/>
  <c r="N16" i="51"/>
  <c r="D16" i="51"/>
  <c r="C16" i="51"/>
  <c r="B16" i="51"/>
  <c r="N15" i="51"/>
  <c r="D15" i="51"/>
  <c r="C15" i="51"/>
  <c r="B15" i="51"/>
  <c r="N14" i="51"/>
  <c r="D14" i="51"/>
  <c r="C14" i="51"/>
  <c r="B14" i="51"/>
  <c r="N13" i="51"/>
  <c r="D13" i="51"/>
  <c r="C13" i="51"/>
  <c r="B13" i="51"/>
  <c r="N12" i="51"/>
  <c r="D12" i="51"/>
  <c r="C12" i="51"/>
  <c r="B12" i="51"/>
  <c r="N11" i="51"/>
  <c r="D11" i="51"/>
  <c r="C11" i="51"/>
  <c r="B11" i="51"/>
  <c r="N10" i="51"/>
  <c r="D10" i="51"/>
  <c r="C10" i="51"/>
  <c r="B10" i="51"/>
  <c r="N9" i="51"/>
  <c r="D9" i="51"/>
  <c r="C9" i="51"/>
  <c r="B9" i="51"/>
  <c r="N8" i="51"/>
  <c r="D8" i="51"/>
  <c r="C8" i="51"/>
  <c r="B8" i="51"/>
  <c r="N7" i="51"/>
  <c r="D7" i="51"/>
  <c r="C7" i="51"/>
  <c r="B7" i="51"/>
  <c r="N6" i="51"/>
  <c r="N25" i="51" s="1"/>
  <c r="D6" i="51"/>
  <c r="C6" i="51"/>
  <c r="B6" i="51"/>
  <c r="F30" i="50"/>
  <c r="E30" i="50"/>
  <c r="D30" i="50"/>
  <c r="F29" i="50"/>
  <c r="F32" i="50" s="1"/>
  <c r="E29" i="50"/>
  <c r="D29" i="50"/>
  <c r="O25" i="50"/>
  <c r="C35" i="50" s="1"/>
  <c r="G25" i="50"/>
  <c r="C36" i="50" s="1"/>
  <c r="F25" i="50"/>
  <c r="N23" i="50"/>
  <c r="D23" i="50"/>
  <c r="C23" i="50"/>
  <c r="B23" i="50"/>
  <c r="N22" i="50"/>
  <c r="G22" i="59" s="1"/>
  <c r="D22" i="50"/>
  <c r="C22" i="50"/>
  <c r="B22" i="50"/>
  <c r="N21" i="50"/>
  <c r="D21" i="50"/>
  <c r="C21" i="50"/>
  <c r="B21" i="50"/>
  <c r="N20" i="50"/>
  <c r="D20" i="50"/>
  <c r="C20" i="50"/>
  <c r="B20" i="50"/>
  <c r="N19" i="50"/>
  <c r="D19" i="50"/>
  <c r="C19" i="50"/>
  <c r="B19" i="50"/>
  <c r="N18" i="50"/>
  <c r="D18" i="50"/>
  <c r="C18" i="50"/>
  <c r="B18" i="50"/>
  <c r="N17" i="50"/>
  <c r="D17" i="50"/>
  <c r="C17" i="50"/>
  <c r="C29" i="50" s="1"/>
  <c r="B17" i="50"/>
  <c r="N16" i="50"/>
  <c r="D16" i="50"/>
  <c r="C16" i="50"/>
  <c r="B16" i="50"/>
  <c r="N15" i="50"/>
  <c r="D15" i="50"/>
  <c r="C15" i="50"/>
  <c r="B15" i="50"/>
  <c r="N14" i="50"/>
  <c r="D14" i="50"/>
  <c r="C14" i="50"/>
  <c r="B14" i="50"/>
  <c r="N13" i="50"/>
  <c r="D13" i="50"/>
  <c r="C13" i="50"/>
  <c r="B13" i="50"/>
  <c r="N12" i="50"/>
  <c r="D12" i="50"/>
  <c r="C12" i="50"/>
  <c r="B12" i="50"/>
  <c r="N11" i="50"/>
  <c r="D11" i="50"/>
  <c r="C11" i="50"/>
  <c r="B11" i="50"/>
  <c r="N10" i="50"/>
  <c r="D10" i="50"/>
  <c r="C10" i="50"/>
  <c r="B10" i="50"/>
  <c r="N9" i="50"/>
  <c r="D9" i="50"/>
  <c r="C9" i="50"/>
  <c r="B9" i="50"/>
  <c r="N8" i="50"/>
  <c r="D8" i="50"/>
  <c r="C8" i="50"/>
  <c r="B8" i="50"/>
  <c r="N7" i="50"/>
  <c r="D7" i="50"/>
  <c r="C7" i="50"/>
  <c r="B7" i="50"/>
  <c r="N6" i="50"/>
  <c r="N25" i="50" s="1"/>
  <c r="D6" i="50"/>
  <c r="C6" i="50"/>
  <c r="C25" i="50" s="1"/>
  <c r="B6" i="50"/>
  <c r="F30" i="49"/>
  <c r="E30" i="49"/>
  <c r="D30" i="49"/>
  <c r="F29" i="49"/>
  <c r="E29" i="49"/>
  <c r="D29" i="49"/>
  <c r="C29" i="49"/>
  <c r="O25" i="49"/>
  <c r="C35" i="49" s="1"/>
  <c r="G25" i="49"/>
  <c r="C36" i="49" s="1"/>
  <c r="F25" i="49"/>
  <c r="N23" i="49"/>
  <c r="D23" i="49"/>
  <c r="C23" i="49"/>
  <c r="B23" i="49"/>
  <c r="N22" i="49"/>
  <c r="D22" i="49"/>
  <c r="C22" i="49"/>
  <c r="B22" i="49"/>
  <c r="N21" i="49"/>
  <c r="D21" i="49"/>
  <c r="C21" i="49"/>
  <c r="B21" i="49"/>
  <c r="N20" i="49"/>
  <c r="D20" i="49"/>
  <c r="C20" i="49"/>
  <c r="B20" i="49"/>
  <c r="N19" i="49"/>
  <c r="D19" i="49"/>
  <c r="C19" i="49"/>
  <c r="B19" i="49"/>
  <c r="N18" i="49"/>
  <c r="D18" i="49"/>
  <c r="C18" i="49"/>
  <c r="B18" i="49"/>
  <c r="N17" i="49"/>
  <c r="D17" i="49"/>
  <c r="C17" i="49"/>
  <c r="B17" i="49"/>
  <c r="N16" i="49"/>
  <c r="D16" i="49"/>
  <c r="C16" i="49"/>
  <c r="B16" i="49"/>
  <c r="N15" i="49"/>
  <c r="D15" i="49"/>
  <c r="C15" i="49"/>
  <c r="B15" i="49"/>
  <c r="N14" i="49"/>
  <c r="D14" i="49"/>
  <c r="C14" i="49"/>
  <c r="B14" i="49"/>
  <c r="N13" i="49"/>
  <c r="D13" i="49"/>
  <c r="C13" i="49"/>
  <c r="B13" i="49"/>
  <c r="N12" i="49"/>
  <c r="D12" i="49"/>
  <c r="C12" i="49"/>
  <c r="B12" i="49"/>
  <c r="N11" i="49"/>
  <c r="D11" i="49"/>
  <c r="C11" i="49"/>
  <c r="B11" i="49"/>
  <c r="N10" i="49"/>
  <c r="D10" i="49"/>
  <c r="C10" i="49"/>
  <c r="B10" i="49"/>
  <c r="N9" i="49"/>
  <c r="D9" i="49"/>
  <c r="C9" i="49"/>
  <c r="B9" i="49"/>
  <c r="N8" i="49"/>
  <c r="D8" i="49"/>
  <c r="C8" i="49"/>
  <c r="B8" i="49"/>
  <c r="N7" i="49"/>
  <c r="D7" i="49"/>
  <c r="C7" i="49"/>
  <c r="B7" i="49"/>
  <c r="N6" i="49"/>
  <c r="N25" i="49" s="1"/>
  <c r="D6" i="49"/>
  <c r="C6" i="49"/>
  <c r="B6" i="49"/>
  <c r="F30" i="48"/>
  <c r="E30" i="48"/>
  <c r="D30" i="48"/>
  <c r="F29" i="48"/>
  <c r="F32" i="48" s="1"/>
  <c r="E29" i="48"/>
  <c r="E32" i="48" s="1"/>
  <c r="D29" i="48"/>
  <c r="C29" i="48"/>
  <c r="O25" i="48"/>
  <c r="C35" i="48" s="1"/>
  <c r="G25" i="48"/>
  <c r="C36" i="48" s="1"/>
  <c r="F25" i="48"/>
  <c r="N23" i="48"/>
  <c r="D23" i="48"/>
  <c r="C23" i="48"/>
  <c r="B23" i="48"/>
  <c r="N22" i="48"/>
  <c r="D22" i="48"/>
  <c r="C22" i="48"/>
  <c r="C30" i="48" s="1"/>
  <c r="B22" i="48"/>
  <c r="N21" i="48"/>
  <c r="D21" i="48"/>
  <c r="C21" i="48"/>
  <c r="B21" i="48"/>
  <c r="N20" i="48"/>
  <c r="D20" i="48"/>
  <c r="C20" i="48"/>
  <c r="B20" i="48"/>
  <c r="N19" i="48"/>
  <c r="D19" i="48"/>
  <c r="C19" i="48"/>
  <c r="B19" i="48"/>
  <c r="N18" i="48"/>
  <c r="D18" i="48"/>
  <c r="C18" i="48"/>
  <c r="B18" i="48"/>
  <c r="N17" i="48"/>
  <c r="D17" i="48"/>
  <c r="C17" i="48"/>
  <c r="B17" i="48"/>
  <c r="N16" i="48"/>
  <c r="D16" i="48"/>
  <c r="C16" i="48"/>
  <c r="B16" i="48"/>
  <c r="N15" i="48"/>
  <c r="D15" i="48"/>
  <c r="C15" i="48"/>
  <c r="B15" i="48"/>
  <c r="N14" i="48"/>
  <c r="D14" i="48"/>
  <c r="C14" i="48"/>
  <c r="B14" i="48"/>
  <c r="N13" i="48"/>
  <c r="G13" i="59" s="1"/>
  <c r="D13" i="48"/>
  <c r="C13" i="48"/>
  <c r="B13" i="48"/>
  <c r="N12" i="48"/>
  <c r="D12" i="48"/>
  <c r="C12" i="48"/>
  <c r="B12" i="48"/>
  <c r="N11" i="48"/>
  <c r="D11" i="48"/>
  <c r="C11" i="48"/>
  <c r="B11" i="48"/>
  <c r="N10" i="48"/>
  <c r="D10" i="48"/>
  <c r="C10" i="48"/>
  <c r="B10" i="48"/>
  <c r="N9" i="48"/>
  <c r="D9" i="48"/>
  <c r="C9" i="48"/>
  <c r="B9" i="48"/>
  <c r="N8" i="48"/>
  <c r="D8" i="48"/>
  <c r="C8" i="48"/>
  <c r="B8" i="48"/>
  <c r="N7" i="48"/>
  <c r="G7" i="59" s="1"/>
  <c r="D7" i="48"/>
  <c r="C7" i="48"/>
  <c r="B7" i="48"/>
  <c r="N6" i="48"/>
  <c r="N25" i="48" s="1"/>
  <c r="D6" i="48"/>
  <c r="C6" i="48"/>
  <c r="B6" i="48"/>
  <c r="F30" i="47"/>
  <c r="E30" i="47"/>
  <c r="D30" i="47"/>
  <c r="F29" i="47"/>
  <c r="F32" i="47" s="1"/>
  <c r="E29" i="47"/>
  <c r="D29" i="47"/>
  <c r="C29" i="47"/>
  <c r="O25" i="47"/>
  <c r="C35" i="47" s="1"/>
  <c r="G25" i="47"/>
  <c r="C36" i="47" s="1"/>
  <c r="F25" i="47"/>
  <c r="N23" i="47"/>
  <c r="D23" i="47"/>
  <c r="C23" i="47"/>
  <c r="B23" i="47"/>
  <c r="N22" i="47"/>
  <c r="D22" i="47"/>
  <c r="C22" i="47"/>
  <c r="B22" i="47"/>
  <c r="N21" i="47"/>
  <c r="D21" i="47"/>
  <c r="C21" i="47"/>
  <c r="B21" i="47"/>
  <c r="N20" i="47"/>
  <c r="D20" i="47"/>
  <c r="C20" i="47"/>
  <c r="B20" i="47"/>
  <c r="N19" i="47"/>
  <c r="D19" i="47"/>
  <c r="C19" i="47"/>
  <c r="B19" i="47"/>
  <c r="N18" i="47"/>
  <c r="D18" i="47"/>
  <c r="C18" i="47"/>
  <c r="B18" i="47"/>
  <c r="N17" i="47"/>
  <c r="D17" i="47"/>
  <c r="C17" i="47"/>
  <c r="B17" i="47"/>
  <c r="N16" i="47"/>
  <c r="D16" i="47"/>
  <c r="C16" i="47"/>
  <c r="B16" i="47"/>
  <c r="N15" i="47"/>
  <c r="D15" i="47"/>
  <c r="C15" i="47"/>
  <c r="B15" i="47"/>
  <c r="N14" i="47"/>
  <c r="D14" i="47"/>
  <c r="C14" i="47"/>
  <c r="B14" i="47"/>
  <c r="N13" i="47"/>
  <c r="D13" i="47"/>
  <c r="C13" i="47"/>
  <c r="B13" i="47"/>
  <c r="N12" i="47"/>
  <c r="D12" i="47"/>
  <c r="C12" i="47"/>
  <c r="B12" i="47"/>
  <c r="N11" i="47"/>
  <c r="D11" i="47"/>
  <c r="C11" i="47"/>
  <c r="B11" i="47"/>
  <c r="N10" i="47"/>
  <c r="D10" i="47"/>
  <c r="C10" i="47"/>
  <c r="B10" i="47"/>
  <c r="N9" i="47"/>
  <c r="D9" i="47"/>
  <c r="C9" i="47"/>
  <c r="B9" i="47"/>
  <c r="N8" i="47"/>
  <c r="D8" i="47"/>
  <c r="C8" i="47"/>
  <c r="B8" i="47"/>
  <c r="N7" i="47"/>
  <c r="D7" i="47"/>
  <c r="C7" i="47"/>
  <c r="C30" i="47" s="1"/>
  <c r="B7" i="47"/>
  <c r="N6" i="47"/>
  <c r="N25" i="47" s="1"/>
  <c r="D6" i="47"/>
  <c r="D25" i="47" s="1"/>
  <c r="C6" i="47"/>
  <c r="C25" i="47" s="1"/>
  <c r="B6" i="47"/>
  <c r="F30" i="46"/>
  <c r="E30" i="46"/>
  <c r="D30" i="46"/>
  <c r="F29" i="46"/>
  <c r="E29" i="46"/>
  <c r="D29" i="46"/>
  <c r="C29" i="46"/>
  <c r="O25" i="46"/>
  <c r="C35" i="46" s="1"/>
  <c r="G25" i="46"/>
  <c r="C36" i="46" s="1"/>
  <c r="F25" i="46"/>
  <c r="N23" i="46"/>
  <c r="D23" i="46"/>
  <c r="C23" i="46"/>
  <c r="B23" i="46"/>
  <c r="N22" i="46"/>
  <c r="D22" i="46"/>
  <c r="C22" i="46"/>
  <c r="B22" i="46"/>
  <c r="N21" i="46"/>
  <c r="D21" i="46"/>
  <c r="C21" i="46"/>
  <c r="B21" i="46"/>
  <c r="N20" i="46"/>
  <c r="D20" i="46"/>
  <c r="C20" i="46"/>
  <c r="B20" i="46"/>
  <c r="N19" i="46"/>
  <c r="D19" i="46"/>
  <c r="C19" i="46"/>
  <c r="B19" i="46"/>
  <c r="N18" i="46"/>
  <c r="D18" i="46"/>
  <c r="C18" i="46"/>
  <c r="B18" i="46"/>
  <c r="N17" i="46"/>
  <c r="D17" i="46"/>
  <c r="C17" i="46"/>
  <c r="B17" i="46"/>
  <c r="N16" i="46"/>
  <c r="G16" i="59" s="1"/>
  <c r="D16" i="46"/>
  <c r="C16" i="46"/>
  <c r="B16" i="46"/>
  <c r="N15" i="46"/>
  <c r="D15" i="46"/>
  <c r="C15" i="46"/>
  <c r="B15" i="46"/>
  <c r="N14" i="46"/>
  <c r="D14" i="46"/>
  <c r="C14" i="46"/>
  <c r="B14" i="46"/>
  <c r="N13" i="46"/>
  <c r="D13" i="46"/>
  <c r="C13" i="46"/>
  <c r="B13" i="46"/>
  <c r="N12" i="46"/>
  <c r="D12" i="46"/>
  <c r="C12" i="46"/>
  <c r="B12" i="46"/>
  <c r="N11" i="46"/>
  <c r="D11" i="46"/>
  <c r="D25" i="46" s="1"/>
  <c r="C11" i="46"/>
  <c r="B11" i="46"/>
  <c r="N10" i="46"/>
  <c r="D10" i="46"/>
  <c r="C10" i="46"/>
  <c r="B10" i="46"/>
  <c r="N9" i="46"/>
  <c r="D9" i="46"/>
  <c r="C9" i="46"/>
  <c r="B9" i="46"/>
  <c r="N8" i="46"/>
  <c r="D8" i="46"/>
  <c r="C8" i="46"/>
  <c r="B8" i="46"/>
  <c r="N7" i="46"/>
  <c r="D7" i="46"/>
  <c r="C7" i="46"/>
  <c r="B7" i="46"/>
  <c r="N6" i="46"/>
  <c r="N25" i="46" s="1"/>
  <c r="D6" i="46"/>
  <c r="C6" i="46"/>
  <c r="C25" i="46" s="1"/>
  <c r="B6" i="46"/>
  <c r="F30" i="45"/>
  <c r="E30" i="45"/>
  <c r="D30" i="45"/>
  <c r="F29" i="45"/>
  <c r="F32" i="45" s="1"/>
  <c r="E29" i="45"/>
  <c r="D29" i="45"/>
  <c r="D32" i="45" s="1"/>
  <c r="C29" i="45"/>
  <c r="O25" i="45"/>
  <c r="C35" i="45" s="1"/>
  <c r="G25" i="45"/>
  <c r="C36" i="45" s="1"/>
  <c r="F25" i="45"/>
  <c r="N23" i="45"/>
  <c r="D23" i="45"/>
  <c r="C23" i="45"/>
  <c r="B23" i="45"/>
  <c r="N22" i="45"/>
  <c r="D22" i="45"/>
  <c r="C22" i="45"/>
  <c r="B22" i="45"/>
  <c r="N21" i="45"/>
  <c r="D21" i="45"/>
  <c r="C21" i="45"/>
  <c r="B21" i="45"/>
  <c r="N20" i="45"/>
  <c r="D20" i="45"/>
  <c r="C20" i="45"/>
  <c r="B20" i="45"/>
  <c r="N19" i="45"/>
  <c r="D19" i="45"/>
  <c r="C19" i="45"/>
  <c r="B19" i="45"/>
  <c r="N18" i="45"/>
  <c r="D18" i="45"/>
  <c r="C18" i="45"/>
  <c r="B18" i="45"/>
  <c r="N17" i="45"/>
  <c r="D17" i="45"/>
  <c r="C17" i="45"/>
  <c r="B17" i="45"/>
  <c r="N16" i="45"/>
  <c r="D16" i="45"/>
  <c r="C16" i="45"/>
  <c r="B16" i="45"/>
  <c r="N15" i="45"/>
  <c r="D15" i="45"/>
  <c r="C15" i="45"/>
  <c r="B15" i="45"/>
  <c r="N14" i="45"/>
  <c r="D14" i="45"/>
  <c r="C14" i="45"/>
  <c r="B14" i="45"/>
  <c r="N13" i="45"/>
  <c r="D13" i="45"/>
  <c r="C13" i="45"/>
  <c r="B13" i="45"/>
  <c r="N12" i="45"/>
  <c r="D12" i="45"/>
  <c r="C12" i="45"/>
  <c r="B12" i="45"/>
  <c r="N11" i="45"/>
  <c r="D11" i="45"/>
  <c r="C11" i="45"/>
  <c r="B11" i="45"/>
  <c r="N10" i="45"/>
  <c r="D10" i="45"/>
  <c r="C10" i="45"/>
  <c r="B10" i="45"/>
  <c r="N9" i="45"/>
  <c r="D9" i="45"/>
  <c r="C9" i="45"/>
  <c r="B9" i="45"/>
  <c r="N8" i="45"/>
  <c r="D8" i="45"/>
  <c r="C8" i="45"/>
  <c r="B8" i="45"/>
  <c r="N7" i="45"/>
  <c r="D7" i="45"/>
  <c r="C7" i="45"/>
  <c r="B7" i="45"/>
  <c r="N6" i="45"/>
  <c r="N25" i="45" s="1"/>
  <c r="D6" i="45"/>
  <c r="D25" i="45" s="1"/>
  <c r="C6" i="45"/>
  <c r="B6" i="45"/>
  <c r="F30" i="44"/>
  <c r="F29" i="44"/>
  <c r="O25" i="44"/>
  <c r="C35" i="44" s="1"/>
  <c r="G25" i="44"/>
  <c r="C36" i="44" s="1"/>
  <c r="N23" i="44"/>
  <c r="D23" i="44"/>
  <c r="C23" i="44"/>
  <c r="B23" i="44"/>
  <c r="N22" i="44"/>
  <c r="D22" i="44"/>
  <c r="C22" i="44"/>
  <c r="B22" i="44"/>
  <c r="N21" i="44"/>
  <c r="D21" i="44"/>
  <c r="C21" i="44"/>
  <c r="B21" i="44"/>
  <c r="N20" i="44"/>
  <c r="D20" i="44"/>
  <c r="C20" i="44"/>
  <c r="B20" i="44"/>
  <c r="N19" i="44"/>
  <c r="D19" i="44"/>
  <c r="C19" i="44"/>
  <c r="B19" i="44"/>
  <c r="N18" i="44"/>
  <c r="D18" i="44"/>
  <c r="C18" i="44"/>
  <c r="B18" i="44"/>
  <c r="N17" i="44"/>
  <c r="D17" i="44"/>
  <c r="C17" i="44"/>
  <c r="B17" i="44"/>
  <c r="N16" i="44"/>
  <c r="D16" i="44"/>
  <c r="C16" i="44"/>
  <c r="B16" i="44"/>
  <c r="N15" i="44"/>
  <c r="D15" i="44"/>
  <c r="C15" i="44"/>
  <c r="B15" i="44"/>
  <c r="N14" i="44"/>
  <c r="D14" i="44"/>
  <c r="C14" i="44"/>
  <c r="B14" i="44"/>
  <c r="N13" i="44"/>
  <c r="D13" i="44"/>
  <c r="C13" i="44"/>
  <c r="B13" i="44"/>
  <c r="N12" i="44"/>
  <c r="D12" i="44"/>
  <c r="C12" i="44"/>
  <c r="B12" i="44"/>
  <c r="N11" i="44"/>
  <c r="D11" i="44"/>
  <c r="C11" i="44"/>
  <c r="B11" i="44"/>
  <c r="N10" i="44"/>
  <c r="E29" i="44"/>
  <c r="D10" i="44"/>
  <c r="C10" i="44"/>
  <c r="B10" i="44"/>
  <c r="N9" i="44"/>
  <c r="D9" i="44"/>
  <c r="C9" i="44"/>
  <c r="B9" i="44"/>
  <c r="N8" i="44"/>
  <c r="F25" i="44"/>
  <c r="D8" i="44"/>
  <c r="C8" i="44"/>
  <c r="B8" i="44"/>
  <c r="N7" i="44"/>
  <c r="D7" i="44"/>
  <c r="C7" i="44"/>
  <c r="B7" i="44"/>
  <c r="N6" i="44"/>
  <c r="D6" i="44"/>
  <c r="C6" i="44"/>
  <c r="B6" i="44"/>
  <c r="D32" i="55" l="1"/>
  <c r="E32" i="54"/>
  <c r="C25" i="54"/>
  <c r="C32" i="54"/>
  <c r="D32" i="48"/>
  <c r="L27" i="48" s="1"/>
  <c r="D32" i="47"/>
  <c r="C25" i="53"/>
  <c r="E32" i="53"/>
  <c r="G21" i="59"/>
  <c r="C11" i="59"/>
  <c r="F15" i="59"/>
  <c r="G11" i="59"/>
  <c r="G18" i="59"/>
  <c r="E32" i="52"/>
  <c r="G9" i="59"/>
  <c r="G14" i="59"/>
  <c r="F32" i="52"/>
  <c r="N25" i="52"/>
  <c r="G6" i="59"/>
  <c r="G17" i="59"/>
  <c r="C29" i="52"/>
  <c r="C32" i="52" s="1"/>
  <c r="D25" i="52"/>
  <c r="C25" i="52"/>
  <c r="D32" i="52"/>
  <c r="G10" i="59"/>
  <c r="C25" i="51"/>
  <c r="C30" i="51"/>
  <c r="G30" i="51" s="1"/>
  <c r="F10" i="59"/>
  <c r="D32" i="51"/>
  <c r="L27" i="51" s="1"/>
  <c r="L28" i="51" s="1"/>
  <c r="F13" i="59"/>
  <c r="E32" i="50"/>
  <c r="D25" i="50"/>
  <c r="C30" i="50"/>
  <c r="G30" i="50" s="1"/>
  <c r="D32" i="49"/>
  <c r="C25" i="48"/>
  <c r="D25" i="48"/>
  <c r="F22" i="59"/>
  <c r="D32" i="50"/>
  <c r="L27" i="50" s="1"/>
  <c r="L28" i="50" s="1"/>
  <c r="L29" i="50" s="1"/>
  <c r="E32" i="49"/>
  <c r="G29" i="50"/>
  <c r="L28" i="48"/>
  <c r="L29" i="48" s="1"/>
  <c r="C32" i="48"/>
  <c r="E32" i="47"/>
  <c r="F32" i="46"/>
  <c r="E32" i="46"/>
  <c r="F8" i="59"/>
  <c r="D32" i="46"/>
  <c r="C17" i="59"/>
  <c r="C18" i="59"/>
  <c r="C22" i="59"/>
  <c r="C23" i="59"/>
  <c r="C13" i="59"/>
  <c r="C10" i="59"/>
  <c r="C8" i="59"/>
  <c r="C30" i="46"/>
  <c r="C32" i="46" s="1"/>
  <c r="E32" i="45"/>
  <c r="F32" i="49"/>
  <c r="C20" i="59"/>
  <c r="C19" i="59"/>
  <c r="C12" i="59"/>
  <c r="C25" i="49"/>
  <c r="C14" i="59"/>
  <c r="C16" i="59"/>
  <c r="C9" i="59"/>
  <c r="C30" i="49"/>
  <c r="C32" i="49" s="1"/>
  <c r="C7" i="59"/>
  <c r="C21" i="59"/>
  <c r="C15" i="59"/>
  <c r="D25" i="49"/>
  <c r="C25" i="45"/>
  <c r="C6" i="59"/>
  <c r="C30" i="45"/>
  <c r="G30" i="45" s="1"/>
  <c r="G30" i="55"/>
  <c r="J25" i="55"/>
  <c r="L27" i="55"/>
  <c r="L28" i="55" s="1"/>
  <c r="L29" i="55" s="1"/>
  <c r="J25" i="57"/>
  <c r="G29" i="53"/>
  <c r="G30" i="53"/>
  <c r="L27" i="54"/>
  <c r="J25" i="54"/>
  <c r="G30" i="52"/>
  <c r="J25" i="53"/>
  <c r="J25" i="51"/>
  <c r="J25" i="50"/>
  <c r="J25" i="48"/>
  <c r="J25" i="47"/>
  <c r="L27" i="46"/>
  <c r="L28" i="46" s="1"/>
  <c r="L29" i="46" s="1"/>
  <c r="J25" i="46"/>
  <c r="L27" i="45"/>
  <c r="L28" i="45" s="1"/>
  <c r="N25" i="44"/>
  <c r="J25" i="45"/>
  <c r="G30" i="57"/>
  <c r="G30" i="54"/>
  <c r="J25" i="52"/>
  <c r="J25" i="49"/>
  <c r="G30" i="48"/>
  <c r="G29" i="47"/>
  <c r="G30" i="47"/>
  <c r="C25" i="44"/>
  <c r="D25" i="44"/>
  <c r="C29" i="44"/>
  <c r="L28" i="57"/>
  <c r="L29" i="57" s="1"/>
  <c r="G29" i="57"/>
  <c r="L27" i="53"/>
  <c r="C32" i="53"/>
  <c r="G29" i="54"/>
  <c r="G29" i="55"/>
  <c r="G29" i="51"/>
  <c r="L27" i="47"/>
  <c r="C32" i="47"/>
  <c r="G29" i="48"/>
  <c r="G29" i="49"/>
  <c r="G29" i="46"/>
  <c r="G29" i="45"/>
  <c r="F32" i="44"/>
  <c r="C30" i="44"/>
  <c r="E30" i="44"/>
  <c r="E32" i="44" s="1"/>
  <c r="L28" i="54" l="1"/>
  <c r="L29" i="54" s="1"/>
  <c r="L27" i="49"/>
  <c r="L28" i="49" s="1"/>
  <c r="L29" i="49" s="1"/>
  <c r="C39" i="49" s="1"/>
  <c r="L27" i="52"/>
  <c r="L28" i="52" s="1"/>
  <c r="L29" i="52" s="1"/>
  <c r="L30" i="52" s="1"/>
  <c r="G25" i="59"/>
  <c r="G32" i="53"/>
  <c r="G29" i="52"/>
  <c r="G32" i="52" s="1"/>
  <c r="L29" i="51"/>
  <c r="C32" i="51"/>
  <c r="C32" i="50"/>
  <c r="F25" i="59"/>
  <c r="G32" i="50"/>
  <c r="G30" i="46"/>
  <c r="G32" i="46" s="1"/>
  <c r="G30" i="49"/>
  <c r="G32" i="49" s="1"/>
  <c r="C32" i="45"/>
  <c r="G32" i="55"/>
  <c r="G32" i="57"/>
  <c r="G32" i="45"/>
  <c r="G32" i="54"/>
  <c r="G32" i="51"/>
  <c r="G32" i="48"/>
  <c r="G32" i="47"/>
  <c r="C32" i="44"/>
  <c r="C39" i="57"/>
  <c r="L30" i="57"/>
  <c r="C39" i="50"/>
  <c r="L30" i="50"/>
  <c r="C39" i="55"/>
  <c r="L30" i="55"/>
  <c r="L28" i="53"/>
  <c r="L29" i="53" s="1"/>
  <c r="L30" i="48"/>
  <c r="C39" i="48"/>
  <c r="L28" i="47"/>
  <c r="L29" i="47" s="1"/>
  <c r="C39" i="46"/>
  <c r="L30" i="46"/>
  <c r="C39" i="45"/>
  <c r="L30" i="45"/>
  <c r="N9" i="29"/>
  <c r="N10" i="29"/>
  <c r="N11" i="29"/>
  <c r="G10" i="29"/>
  <c r="F10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D9" i="29"/>
  <c r="B9" i="29"/>
  <c r="G8" i="29"/>
  <c r="F8" i="29"/>
  <c r="J8" i="44" s="1"/>
  <c r="G22" i="29"/>
  <c r="F22" i="29"/>
  <c r="J22" i="44" s="1"/>
  <c r="D29" i="44" s="1"/>
  <c r="C39" i="54" l="1"/>
  <c r="L30" i="54"/>
  <c r="C39" i="52"/>
  <c r="L30" i="49"/>
  <c r="L30" i="51"/>
  <c r="C39" i="51"/>
  <c r="G29" i="44"/>
  <c r="J10" i="44"/>
  <c r="D30" i="44" s="1"/>
  <c r="G30" i="44" s="1"/>
  <c r="G32" i="44" s="1"/>
  <c r="C39" i="53"/>
  <c r="L30" i="53"/>
  <c r="C39" i="47"/>
  <c r="L30" i="47"/>
  <c r="N18" i="29"/>
  <c r="D18" i="29"/>
  <c r="B18" i="29"/>
  <c r="B19" i="29"/>
  <c r="D19" i="29"/>
  <c r="N19" i="29"/>
  <c r="J25" i="44" l="1"/>
  <c r="D32" i="44"/>
  <c r="L29" i="44" s="1"/>
  <c r="B7" i="29"/>
  <c r="B8" i="29"/>
  <c r="B10" i="29"/>
  <c r="B11" i="29"/>
  <c r="B12" i="29"/>
  <c r="B13" i="29"/>
  <c r="B14" i="29"/>
  <c r="B15" i="29"/>
  <c r="B16" i="29"/>
  <c r="B17" i="29"/>
  <c r="B20" i="29"/>
  <c r="B21" i="29"/>
  <c r="B22" i="29"/>
  <c r="B23" i="29"/>
  <c r="B6" i="29"/>
  <c r="C39" i="44" l="1"/>
  <c r="G30" i="59"/>
  <c r="D29" i="29"/>
  <c r="C6" i="29" l="1"/>
  <c r="C25" i="29" l="1"/>
  <c r="C25" i="59"/>
  <c r="G28" i="59" s="1"/>
  <c r="D30" i="29"/>
  <c r="F30" i="29"/>
  <c r="E30" i="29"/>
  <c r="F29" i="29"/>
  <c r="E29" i="29"/>
  <c r="O25" i="29"/>
  <c r="C35" i="29" s="1"/>
  <c r="G25" i="29"/>
  <c r="C36" i="29" s="1"/>
  <c r="F25" i="29"/>
  <c r="N23" i="29"/>
  <c r="D23" i="29"/>
  <c r="N22" i="29"/>
  <c r="D22" i="29"/>
  <c r="N21" i="29"/>
  <c r="D21" i="29"/>
  <c r="N20" i="29"/>
  <c r="D20" i="29"/>
  <c r="N17" i="29"/>
  <c r="D17" i="29"/>
  <c r="N16" i="29"/>
  <c r="D16" i="29"/>
  <c r="N15" i="29"/>
  <c r="D15" i="29"/>
  <c r="N14" i="29"/>
  <c r="D14" i="29"/>
  <c r="N13" i="29"/>
  <c r="D13" i="29"/>
  <c r="N12" i="29"/>
  <c r="D12" i="29"/>
  <c r="D11" i="29"/>
  <c r="D10" i="29"/>
  <c r="N8" i="29"/>
  <c r="D8" i="29"/>
  <c r="C29" i="29"/>
  <c r="N7" i="29"/>
  <c r="D7" i="29"/>
  <c r="N6" i="29"/>
  <c r="D6" i="29"/>
  <c r="C30" i="29"/>
  <c r="J25" i="29" l="1"/>
  <c r="N25" i="29"/>
  <c r="E32" i="29"/>
  <c r="F32" i="29"/>
  <c r="G30" i="29"/>
  <c r="D25" i="29"/>
  <c r="D32" i="29"/>
  <c r="C32" i="29"/>
  <c r="G29" i="29"/>
  <c r="G32" i="29" l="1"/>
  <c r="L28" i="29"/>
  <c r="L29" i="29" l="1"/>
  <c r="C39" i="29" l="1"/>
  <c r="L30" i="29"/>
  <c r="H12" i="23" l="1"/>
  <c r="H8" i="23"/>
  <c r="H7" i="23"/>
  <c r="H13" i="23" l="1"/>
  <c r="H11" i="23"/>
  <c r="H10" i="23"/>
  <c r="H9" i="23"/>
  <c r="H20" i="23" l="1"/>
  <c r="C14" i="23"/>
  <c r="D22" i="23"/>
  <c r="H17" i="23"/>
  <c r="B12" i="23"/>
  <c r="B11" i="23"/>
  <c r="B10" i="23"/>
  <c r="B9" i="23"/>
  <c r="B8" i="23"/>
  <c r="B7" i="23"/>
  <c r="E11" i="23" l="1"/>
  <c r="E10" i="23"/>
  <c r="H3" i="23"/>
  <c r="D7" i="23"/>
  <c r="D8" i="23"/>
  <c r="D9" i="23"/>
  <c r="D10" i="23"/>
  <c r="D11" i="23"/>
  <c r="D12" i="23"/>
  <c r="E12" i="23" l="1"/>
  <c r="E3" i="23"/>
  <c r="E9" i="23" l="1"/>
  <c r="E8" i="23"/>
  <c r="E7" i="23" l="1"/>
  <c r="H6" i="23" l="1"/>
  <c r="B6" i="23" l="1"/>
  <c r="D6" i="23" s="1"/>
  <c r="E6" i="23"/>
  <c r="H5" i="23" l="1"/>
  <c r="B5" i="23" l="1"/>
  <c r="D5" i="23" s="1"/>
  <c r="E5" i="23"/>
  <c r="H4" i="23" l="1"/>
  <c r="E4" i="23" l="1"/>
  <c r="B4" i="23"/>
  <c r="D4" i="23" s="1"/>
  <c r="B3" i="23" l="1"/>
  <c r="D3" i="23" s="1"/>
  <c r="B2" i="23" l="1"/>
  <c r="D2" i="23" l="1"/>
  <c r="D15" i="23" s="1"/>
  <c r="B14" i="23"/>
  <c r="C15" i="23" s="1"/>
  <c r="H2" i="23" l="1"/>
  <c r="E2" i="23" l="1"/>
  <c r="E15" i="23" l="1"/>
  <c r="H21" i="23" s="1"/>
  <c r="F3" i="23"/>
  <c r="F4" i="23" s="1"/>
  <c r="F5" i="23" s="1"/>
  <c r="F6" i="23" s="1"/>
  <c r="F7" i="23" s="1"/>
  <c r="F8" i="23" s="1"/>
  <c r="F9" i="23" s="1"/>
  <c r="F10" i="23" s="1"/>
  <c r="F11" i="23" s="1"/>
  <c r="F12" i="23" s="1"/>
  <c r="F13" i="23" s="1"/>
</calcChain>
</file>

<file path=xl/comments1.xml><?xml version="1.0" encoding="utf-8"?>
<comments xmlns="http://schemas.openxmlformats.org/spreadsheetml/2006/main">
  <authors>
    <author>DJUOMBESSY</author>
  </authors>
  <commentList>
    <comment ref="L3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KEPSEU FRANCIS NON MEMBRE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L3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KEPSEU FRANCIS NON MEMBRE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J1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212000</t>
        </r>
      </text>
    </comment>
    <comment ref="J17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REMBOURSEMENT 202500
REMBOURSE 180 500 EN ESPECES</t>
        </r>
      </text>
    </comment>
    <comment ref="J2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206000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L29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SIMO MATHIEU AVANCE 6000</t>
        </r>
      </text>
    </comment>
  </commentList>
</comments>
</file>

<file path=xl/sharedStrings.xml><?xml version="1.0" encoding="utf-8"?>
<sst xmlns="http://schemas.openxmlformats.org/spreadsheetml/2006/main" count="1207" uniqueCount="80">
  <si>
    <t>ASSOCIATION</t>
  </si>
  <si>
    <t>ASELBY</t>
  </si>
  <si>
    <t>ANNEE</t>
  </si>
  <si>
    <t xml:space="preserve">TONTINE </t>
  </si>
  <si>
    <t>MATRICULE</t>
  </si>
  <si>
    <t>NOM ET PRENOM</t>
  </si>
  <si>
    <t>MONTANT TONTINE</t>
  </si>
  <si>
    <t>PENALITE</t>
  </si>
  <si>
    <t>REMBOURSEMENT</t>
  </si>
  <si>
    <t>ECHEC</t>
  </si>
  <si>
    <t>BANQUE</t>
  </si>
  <si>
    <t>AS201619</t>
  </si>
  <si>
    <t>AS201622</t>
  </si>
  <si>
    <t>AS201624</t>
  </si>
  <si>
    <t>AS201629</t>
  </si>
  <si>
    <t>AS201636</t>
  </si>
  <si>
    <t>AS201639</t>
  </si>
  <si>
    <t>TOTAL</t>
  </si>
  <si>
    <t>ESPECES</t>
  </si>
  <si>
    <t xml:space="preserve"> </t>
  </si>
  <si>
    <t>TONTINE</t>
  </si>
  <si>
    <t>INTERET PETIT LOT</t>
  </si>
  <si>
    <t>MODE VERSEMENT REMBOURSEMENT</t>
  </si>
  <si>
    <t>MODE VERSEMENT TONTINE</t>
  </si>
  <si>
    <t>MODE VERSEMENT TONTINE PRINCIPAL</t>
  </si>
  <si>
    <t>REMBOURSEMENT PETIT LOT</t>
  </si>
  <si>
    <t>MONTANT TONTINE LOT PRINCIPAL</t>
  </si>
  <si>
    <t>INTERET LOT PRINCIPAL</t>
  </si>
  <si>
    <t>VENTE PETIT LOT</t>
  </si>
  <si>
    <t>MODE VERSEMENT VENTE PETIT LOT</t>
  </si>
  <si>
    <t>DATE VENTE</t>
  </si>
  <si>
    <t>VENTE LOT PRINCIPAL</t>
  </si>
  <si>
    <t>SOLDE EN CAISSE</t>
  </si>
  <si>
    <t>MONTANT PETIT LOT A VENDRE</t>
  </si>
  <si>
    <t>AS201608</t>
  </si>
  <si>
    <t>AS201613</t>
  </si>
  <si>
    <t>AS201637</t>
  </si>
  <si>
    <t>AS201641</t>
  </si>
  <si>
    <t>AS201644</t>
  </si>
  <si>
    <t>AS201647</t>
  </si>
  <si>
    <t>PETIT LOT + INTERET</t>
  </si>
  <si>
    <t>MISE A PRIX</t>
  </si>
  <si>
    <t>INTERET MISE EN VENTE</t>
  </si>
  <si>
    <t>INTERET VENTE</t>
  </si>
  <si>
    <t>INT CUMUL MISE EN VENTE</t>
  </si>
  <si>
    <t>INTERET NON REMB</t>
  </si>
  <si>
    <t>OK</t>
  </si>
  <si>
    <t>NOK</t>
  </si>
  <si>
    <t>FOTSO THOMAS</t>
  </si>
  <si>
    <t>NGONDIEP</t>
  </si>
  <si>
    <t>NANGUEN</t>
  </si>
  <si>
    <t>AS201649</t>
  </si>
  <si>
    <t>AS201614</t>
  </si>
  <si>
    <t>PETIT LOT</t>
  </si>
  <si>
    <t>RESTE</t>
  </si>
  <si>
    <t>NUMERO CHEQUE</t>
  </si>
  <si>
    <t>TONTINE + REMB + INTERET VENTE</t>
  </si>
  <si>
    <t>2019/2020</t>
  </si>
  <si>
    <t>AS201617</t>
  </si>
  <si>
    <t>16/O8/2020</t>
  </si>
  <si>
    <t>RECAPITULATIF</t>
  </si>
  <si>
    <t>EN COMPTE</t>
  </si>
  <si>
    <t>COMPLEMENT TONTINE 9500</t>
  </si>
  <si>
    <t>NKEHEP DAVID</t>
  </si>
  <si>
    <t>ECHEC TONTINE</t>
  </si>
  <si>
    <t>KEHEP DAVID</t>
  </si>
  <si>
    <t>NKEHEP/TYAM</t>
  </si>
  <si>
    <t>ECHEC REMB</t>
  </si>
  <si>
    <t>NKEHEP 200000/TYAM 100000</t>
  </si>
  <si>
    <t>NKEHEP 217000/TYAM 101500</t>
  </si>
  <si>
    <t>ECHEC  REMBOURSEMENT</t>
  </si>
  <si>
    <t>SURPLUS</t>
  </si>
  <si>
    <t>TYAM ERNEST</t>
  </si>
  <si>
    <t>KEHEP/TYAM</t>
  </si>
  <si>
    <t>KEHEP DAVID/SIMO ERIC</t>
  </si>
  <si>
    <t>KEHEP DAVID/TYAM</t>
  </si>
  <si>
    <t>NANGUEM/NGONDIEP/KEHEP</t>
  </si>
  <si>
    <t>KEHEP/SIME ERIC/TYAM</t>
  </si>
  <si>
    <t>KEHEP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</si>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</sst>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Britannic Bold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7" fillId="0" borderId="0" xfId="0" applyNumberFormat="1" applyFont="1"/>
    <xf numFmtId="0" fontId="6" fillId="0" borderId="0" xfId="0" applyFont="1"/>
    <xf numFmtId="3" fontId="9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14" fontId="10" fillId="0" borderId="0" xfId="0" applyNumberFormat="1" applyFont="1"/>
    <xf numFmtId="0" fontId="10" fillId="0" borderId="0" xfId="0" applyFont="1"/>
    <xf numFmtId="17" fontId="0" fillId="0" borderId="0" xfId="0" applyNumberFormat="1"/>
    <xf numFmtId="3" fontId="6" fillId="0" borderId="0" xfId="0" applyNumberFormat="1" applyFont="1"/>
    <xf numFmtId="14" fontId="3" fillId="0" borderId="0" xfId="0" applyNumberFormat="1" applyFont="1"/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11" fillId="0" borderId="0" xfId="0" applyNumberFormat="1" applyFont="1"/>
    <xf numFmtId="3" fontId="0" fillId="0" borderId="0" xfId="0" applyNumberFormat="1" applyAlignment="1">
      <alignment horizontal="center"/>
    </xf>
    <xf numFmtId="14" fontId="9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4" fontId="6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H13" sqref="H13"/>
    </sheetView>
  </sheetViews>
  <sheetFormatPr baseColWidth="10" defaultRowHeight="15" x14ac:dyDescent="0.25"/>
  <cols>
    <col min="1" max="1" width="8" bestFit="1" customWidth="1"/>
    <col min="2" max="2" width="14.28515625" bestFit="1" customWidth="1"/>
    <col min="4" max="4" width="22.140625" bestFit="1" customWidth="1"/>
    <col min="5" max="5" width="17.140625" bestFit="1" customWidth="1"/>
    <col min="6" max="6" width="13" bestFit="1" customWidth="1"/>
    <col min="7" max="7" width="18.42578125" bestFit="1" customWidth="1"/>
    <col min="8" max="8" width="18.5703125" bestFit="1" customWidth="1"/>
    <col min="9" max="9" width="15" bestFit="1" customWidth="1"/>
  </cols>
  <sheetData>
    <row r="1" spans="1:11" x14ac:dyDescent="0.25">
      <c r="B1" t="s">
        <v>43</v>
      </c>
      <c r="C1" t="s">
        <v>41</v>
      </c>
      <c r="D1" t="s">
        <v>42</v>
      </c>
      <c r="E1" t="s">
        <v>21</v>
      </c>
      <c r="F1" t="s">
        <v>44</v>
      </c>
      <c r="G1" t="s">
        <v>45</v>
      </c>
      <c r="H1" t="s">
        <v>40</v>
      </c>
    </row>
    <row r="2" spans="1:11" x14ac:dyDescent="0.25">
      <c r="A2" s="21">
        <v>42979</v>
      </c>
      <c r="B2" s="2" t="e">
        <f>#REF!</f>
        <v>#REF!</v>
      </c>
      <c r="C2" s="2">
        <v>200000</v>
      </c>
      <c r="D2" s="2" t="e">
        <f>B2-C2</f>
        <v>#REF!</v>
      </c>
      <c r="E2" s="2" t="e">
        <f>#REF!</f>
        <v>#REF!</v>
      </c>
      <c r="F2" s="2"/>
      <c r="G2" s="2"/>
      <c r="H2" s="2" t="e">
        <f>#REF!</f>
        <v>#REF!</v>
      </c>
      <c r="I2" t="s">
        <v>46</v>
      </c>
      <c r="J2" s="16"/>
      <c r="K2" s="19"/>
    </row>
    <row r="3" spans="1:11" x14ac:dyDescent="0.25">
      <c r="A3" s="21">
        <v>43009</v>
      </c>
      <c r="B3" s="2" t="e">
        <f>+#REF!</f>
        <v>#REF!</v>
      </c>
      <c r="C3" s="2">
        <v>200000</v>
      </c>
      <c r="D3" s="2" t="e">
        <f t="shared" ref="D3:D12" si="0">B3-C3</f>
        <v>#REF!</v>
      </c>
      <c r="E3" s="2" t="e">
        <f>+#REF!</f>
        <v>#REF!</v>
      </c>
      <c r="F3" s="2" t="e">
        <f>D2+E2+D3</f>
        <v>#REF!</v>
      </c>
      <c r="G3" s="2"/>
      <c r="H3" s="2" t="e">
        <f>#REF!</f>
        <v>#REF!</v>
      </c>
      <c r="I3" t="s">
        <v>46</v>
      </c>
      <c r="J3" s="16"/>
      <c r="K3" s="19"/>
    </row>
    <row r="4" spans="1:11" x14ac:dyDescent="0.25">
      <c r="A4" s="21">
        <v>43040</v>
      </c>
      <c r="B4" s="2" t="e">
        <f>+#REF!</f>
        <v>#REF!</v>
      </c>
      <c r="C4" s="2">
        <v>200000</v>
      </c>
      <c r="D4" s="2" t="e">
        <f t="shared" si="0"/>
        <v>#REF!</v>
      </c>
      <c r="E4" s="2" t="e">
        <f>+#REF!</f>
        <v>#REF!</v>
      </c>
      <c r="F4" s="2" t="e">
        <f>F3+D4+E3</f>
        <v>#REF!</v>
      </c>
      <c r="G4" s="2"/>
      <c r="H4" s="2" t="e">
        <f>#REF!</f>
        <v>#REF!</v>
      </c>
      <c r="I4" t="s">
        <v>46</v>
      </c>
      <c r="J4" s="16"/>
      <c r="K4" s="19"/>
    </row>
    <row r="5" spans="1:11" x14ac:dyDescent="0.25">
      <c r="A5" s="21">
        <v>43070</v>
      </c>
      <c r="B5" s="2" t="e">
        <f>#REF!</f>
        <v>#REF!</v>
      </c>
      <c r="C5" s="2">
        <v>200000</v>
      </c>
      <c r="D5" s="2" t="e">
        <f t="shared" si="0"/>
        <v>#REF!</v>
      </c>
      <c r="E5" s="2" t="e">
        <f>+#REF!</f>
        <v>#REF!</v>
      </c>
      <c r="F5" s="2" t="e">
        <f t="shared" ref="F5:F13" si="1">F4+D5+E4</f>
        <v>#REF!</v>
      </c>
      <c r="G5" s="2">
        <v>200000</v>
      </c>
      <c r="H5" s="22" t="e">
        <f>#REF!</f>
        <v>#REF!</v>
      </c>
      <c r="I5" t="s">
        <v>47</v>
      </c>
      <c r="J5" s="16"/>
      <c r="K5" s="19"/>
    </row>
    <row r="6" spans="1:11" x14ac:dyDescent="0.25">
      <c r="A6" s="21">
        <v>43101</v>
      </c>
      <c r="B6" s="2" t="e">
        <f>+#REF!</f>
        <v>#REF!</v>
      </c>
      <c r="C6" s="2">
        <v>200000</v>
      </c>
      <c r="D6" s="2" t="e">
        <f t="shared" si="0"/>
        <v>#REF!</v>
      </c>
      <c r="E6" s="2" t="e">
        <f>+#REF!</f>
        <v>#REF!</v>
      </c>
      <c r="F6" s="2" t="e">
        <f t="shared" si="1"/>
        <v>#REF!</v>
      </c>
      <c r="G6" s="2"/>
      <c r="H6" s="2" t="e">
        <f>#REF!</f>
        <v>#REF!</v>
      </c>
      <c r="J6" s="16"/>
      <c r="K6" s="19"/>
    </row>
    <row r="7" spans="1:11" x14ac:dyDescent="0.25">
      <c r="A7" s="21">
        <v>43132</v>
      </c>
      <c r="B7" s="2" t="e">
        <f>+#REF!</f>
        <v>#REF!</v>
      </c>
      <c r="C7" s="2">
        <v>200000</v>
      </c>
      <c r="D7" s="2" t="e">
        <f t="shared" si="0"/>
        <v>#REF!</v>
      </c>
      <c r="E7" s="2" t="e">
        <f>+#REF!</f>
        <v>#REF!</v>
      </c>
      <c r="F7" s="2" t="e">
        <f t="shared" si="1"/>
        <v>#REF!</v>
      </c>
      <c r="G7" s="2">
        <v>200000</v>
      </c>
      <c r="H7" s="2" t="e">
        <f>#REF!</f>
        <v>#REF!</v>
      </c>
      <c r="J7" s="16"/>
      <c r="K7" s="19"/>
    </row>
    <row r="8" spans="1:11" x14ac:dyDescent="0.25">
      <c r="A8" s="21">
        <v>43160</v>
      </c>
      <c r="B8" s="2" t="e">
        <f>+#REF!</f>
        <v>#REF!</v>
      </c>
      <c r="C8" s="2">
        <v>200000</v>
      </c>
      <c r="D8" s="2" t="e">
        <f t="shared" si="0"/>
        <v>#REF!</v>
      </c>
      <c r="E8" s="2" t="e">
        <f>+#REF!</f>
        <v>#REF!</v>
      </c>
      <c r="F8" s="2" t="e">
        <f t="shared" si="1"/>
        <v>#REF!</v>
      </c>
      <c r="G8" s="2"/>
      <c r="H8" s="2" t="e">
        <f>#REF!</f>
        <v>#REF!</v>
      </c>
      <c r="J8" s="16"/>
      <c r="K8" s="19"/>
    </row>
    <row r="9" spans="1:11" x14ac:dyDescent="0.25">
      <c r="A9" s="21">
        <v>43191</v>
      </c>
      <c r="B9" s="2" t="e">
        <f>+#REF!</f>
        <v>#REF!</v>
      </c>
      <c r="C9" s="2">
        <v>200000</v>
      </c>
      <c r="D9" s="2" t="e">
        <f t="shared" si="0"/>
        <v>#REF!</v>
      </c>
      <c r="E9" s="2" t="e">
        <f>+#REF!</f>
        <v>#REF!</v>
      </c>
      <c r="F9" s="2" t="e">
        <f t="shared" si="1"/>
        <v>#REF!</v>
      </c>
      <c r="G9" s="2"/>
      <c r="H9" s="2" t="e">
        <f>#REF!</f>
        <v>#REF!</v>
      </c>
      <c r="J9" s="16"/>
      <c r="K9" s="19"/>
    </row>
    <row r="10" spans="1:11" x14ac:dyDescent="0.25">
      <c r="A10" s="21">
        <v>43221</v>
      </c>
      <c r="B10" s="2" t="e">
        <f>+#REF!</f>
        <v>#REF!</v>
      </c>
      <c r="C10" s="2">
        <v>200000</v>
      </c>
      <c r="D10" s="2" t="e">
        <f t="shared" si="0"/>
        <v>#REF!</v>
      </c>
      <c r="E10" s="2" t="e">
        <f>+#REF!</f>
        <v>#REF!</v>
      </c>
      <c r="F10" s="2" t="e">
        <f t="shared" si="1"/>
        <v>#REF!</v>
      </c>
      <c r="G10" s="2"/>
      <c r="H10" s="2" t="e">
        <f>#REF!</f>
        <v>#REF!</v>
      </c>
      <c r="J10" s="16"/>
      <c r="K10" s="19"/>
    </row>
    <row r="11" spans="1:11" x14ac:dyDescent="0.25">
      <c r="A11" s="21">
        <v>43252</v>
      </c>
      <c r="B11" s="2" t="e">
        <f>+#REF!</f>
        <v>#REF!</v>
      </c>
      <c r="C11" s="2">
        <v>200000</v>
      </c>
      <c r="D11" s="2" t="e">
        <f t="shared" si="0"/>
        <v>#REF!</v>
      </c>
      <c r="E11" s="2" t="e">
        <f>+#REF!</f>
        <v>#REF!</v>
      </c>
      <c r="F11" s="2" t="e">
        <f t="shared" si="1"/>
        <v>#REF!</v>
      </c>
      <c r="G11" s="2"/>
      <c r="H11" s="2" t="e">
        <f>#REF!</f>
        <v>#REF!</v>
      </c>
      <c r="J11" s="16"/>
      <c r="K11" s="19"/>
    </row>
    <row r="12" spans="1:11" x14ac:dyDescent="0.25">
      <c r="A12" s="21">
        <v>43282</v>
      </c>
      <c r="B12" s="2" t="e">
        <f>+#REF!</f>
        <v>#REF!</v>
      </c>
      <c r="C12" s="2">
        <v>100000</v>
      </c>
      <c r="D12" s="2" t="e">
        <f t="shared" si="0"/>
        <v>#REF!</v>
      </c>
      <c r="E12" s="2" t="e">
        <f>+#REF!</f>
        <v>#REF!</v>
      </c>
      <c r="F12" s="2" t="e">
        <f t="shared" si="1"/>
        <v>#REF!</v>
      </c>
      <c r="G12" s="2"/>
      <c r="H12" s="2" t="e">
        <f>#REF!</f>
        <v>#REF!</v>
      </c>
      <c r="J12" s="16"/>
      <c r="K12" s="19"/>
    </row>
    <row r="13" spans="1:11" x14ac:dyDescent="0.25">
      <c r="A13" s="21">
        <v>43313</v>
      </c>
      <c r="B13">
        <v>200000</v>
      </c>
      <c r="C13" s="2">
        <v>200000</v>
      </c>
      <c r="D13" s="2">
        <v>0</v>
      </c>
      <c r="E13" s="2">
        <v>0</v>
      </c>
      <c r="F13" s="2" t="e">
        <f t="shared" si="1"/>
        <v>#REF!</v>
      </c>
      <c r="G13" s="2"/>
      <c r="H13" s="2" t="e">
        <f>#REF!</f>
        <v>#REF!</v>
      </c>
      <c r="J13" s="16"/>
      <c r="K13" s="19"/>
    </row>
    <row r="14" spans="1:11" x14ac:dyDescent="0.25">
      <c r="B14" s="2" t="e">
        <f>SUM(B2:B13)</f>
        <v>#REF!</v>
      </c>
      <c r="C14" s="2">
        <f>SUM(C2:C13)</f>
        <v>2300000</v>
      </c>
      <c r="J14" s="16"/>
      <c r="K14" s="19"/>
    </row>
    <row r="15" spans="1:11" ht="18" x14ac:dyDescent="0.25">
      <c r="C15" s="2" t="e">
        <f>+B14-C14</f>
        <v>#REF!</v>
      </c>
      <c r="D15" s="2" t="e">
        <f t="shared" ref="D15:E15" si="2">SUM(D2:D14)</f>
        <v>#REF!</v>
      </c>
      <c r="E15" s="2" t="e">
        <f t="shared" si="2"/>
        <v>#REF!</v>
      </c>
      <c r="H15" s="10">
        <v>1145500</v>
      </c>
      <c r="I15" s="10">
        <v>2300000</v>
      </c>
      <c r="J15" s="16"/>
      <c r="K15" s="19"/>
    </row>
    <row r="16" spans="1:11" ht="18" x14ac:dyDescent="0.25">
      <c r="B16" s="2"/>
      <c r="H16" s="10">
        <v>12000</v>
      </c>
      <c r="I16" s="10"/>
      <c r="J16" s="16"/>
      <c r="K16" s="19"/>
    </row>
    <row r="17" spans="2:11" ht="18" x14ac:dyDescent="0.25">
      <c r="B17" t="s">
        <v>49</v>
      </c>
      <c r="D17" s="2">
        <v>101000</v>
      </c>
      <c r="H17" s="10">
        <f>+H15+H16</f>
        <v>1157500</v>
      </c>
      <c r="I17" s="10"/>
      <c r="J17" s="16"/>
      <c r="K17" s="19"/>
    </row>
    <row r="18" spans="2:11" ht="18" x14ac:dyDescent="0.25">
      <c r="B18" t="s">
        <v>50</v>
      </c>
      <c r="D18" s="2">
        <v>96000</v>
      </c>
      <c r="H18" s="10">
        <v>200000</v>
      </c>
      <c r="I18" s="3"/>
      <c r="J18" s="16"/>
      <c r="K18" s="19"/>
    </row>
    <row r="19" spans="2:11" ht="18" x14ac:dyDescent="0.25">
      <c r="B19" t="s">
        <v>48</v>
      </c>
      <c r="D19" s="2">
        <v>206000</v>
      </c>
      <c r="H19" s="10">
        <v>269000</v>
      </c>
      <c r="J19" s="16"/>
      <c r="K19" s="19"/>
    </row>
    <row r="20" spans="2:11" x14ac:dyDescent="0.25">
      <c r="D20" s="2"/>
      <c r="H20" s="2">
        <f>+H17+H18+H19</f>
        <v>1626500</v>
      </c>
      <c r="J20" s="16"/>
      <c r="K20" s="19"/>
    </row>
    <row r="21" spans="2:11" x14ac:dyDescent="0.25">
      <c r="D21" s="2"/>
      <c r="H21" s="2" t="e">
        <f>D15+E15-H20</f>
        <v>#REF!</v>
      </c>
      <c r="J21" s="16"/>
      <c r="K21" s="19"/>
    </row>
    <row r="22" spans="2:11" x14ac:dyDescent="0.25">
      <c r="D22" s="2">
        <f>SUM(D17:D21)</f>
        <v>403000</v>
      </c>
      <c r="J22" s="8"/>
      <c r="K22" s="11"/>
    </row>
    <row r="23" spans="2:11" x14ac:dyDescent="0.25">
      <c r="J23" s="16"/>
      <c r="K23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10</v>
      </c>
    </row>
    <row r="2" spans="1:1" x14ac:dyDescent="0.25">
      <c r="A2" t="s">
        <v>18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H24" activePane="bottomRight" state="frozen"/>
      <selection activeCell="I3" sqref="I3"/>
      <selection pane="topRight" activeCell="I3" sqref="I3"/>
      <selection pane="bottomLeft" activeCell="I3" sqref="I3"/>
      <selection pane="bottomRight" activeCell="L30" sqref="L3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3.4257812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43793</v>
      </c>
      <c r="D4" s="34"/>
      <c r="E4" s="34"/>
      <c r="F4" s="34"/>
      <c r="G4" s="34"/>
      <c r="H4" s="34"/>
      <c r="I4" s="34"/>
      <c r="J4" s="34"/>
      <c r="K4" s="25"/>
      <c r="L4" s="25"/>
      <c r="M4" s="25"/>
      <c r="N4" s="25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/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/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100000+50000</f>
        <v>150000</v>
      </c>
      <c r="G8" s="8">
        <f>2500+1000</f>
        <v>3500</v>
      </c>
      <c r="H8" s="7" t="s">
        <v>10</v>
      </c>
      <c r="I8" s="14"/>
      <c r="J8" s="8"/>
      <c r="K8" s="7"/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/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100000+100000</f>
        <v>200000</v>
      </c>
      <c r="G10" s="8">
        <f>2500+5500</f>
        <v>8000</v>
      </c>
      <c r="H10" s="7" t="s">
        <v>18</v>
      </c>
      <c r="I10" s="14"/>
      <c r="J10" s="8"/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/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/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/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/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/>
      <c r="G15" s="8"/>
      <c r="H15" s="7"/>
      <c r="I15" s="14"/>
      <c r="J15" s="8"/>
      <c r="K15" s="7"/>
      <c r="L15" s="17"/>
      <c r="M15" s="14"/>
      <c r="N15" s="16">
        <f t="shared" si="2"/>
        <v>1350000</v>
      </c>
      <c r="O15" s="16">
        <v>150000</v>
      </c>
      <c r="P15" s="29">
        <v>43793</v>
      </c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/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/>
      <c r="G17" s="8"/>
      <c r="H17" s="7"/>
      <c r="I17" s="14"/>
      <c r="J17" s="8"/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ref="D18" si="3">IF(E18="ESPECES",0,0)</f>
        <v>0</v>
      </c>
      <c r="E18" s="7" t="s">
        <v>10</v>
      </c>
      <c r="F18" s="8"/>
      <c r="G18" s="8"/>
      <c r="H18" s="7"/>
      <c r="I18" s="14"/>
      <c r="J18" s="8"/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/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/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/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f>100000+100000</f>
        <v>200000</v>
      </c>
      <c r="G22" s="8">
        <f>4000+9000</f>
        <v>13000</v>
      </c>
      <c r="H22" s="7" t="s">
        <v>10</v>
      </c>
      <c r="I22" s="14"/>
      <c r="J22" s="8"/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/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550000</v>
      </c>
      <c r="G25" s="10">
        <f>SUM(G6:G24)</f>
        <v>24500</v>
      </c>
      <c r="H25" s="10"/>
      <c r="I25" s="10"/>
      <c r="J25" s="10">
        <f>SUM(J6:J24)</f>
        <v>0</v>
      </c>
      <c r="K25" s="10"/>
      <c r="L25" s="10"/>
      <c r="M25" s="10"/>
      <c r="N25" s="10">
        <f>SUM(N6:N24)</f>
        <v>1350000</v>
      </c>
      <c r="O25" s="10">
        <f>SUM(O6:O24)</f>
        <v>150000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1950000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100000</v>
      </c>
      <c r="D29" s="10">
        <f>SUMIFS(J6:J23,K6:K23,"ESPECES")</f>
        <v>0</v>
      </c>
      <c r="E29" s="10">
        <f>SUMIFS(F6:F23,H6:H23,"ESPECES")</f>
        <v>200000</v>
      </c>
      <c r="F29" s="10">
        <f>SUMIFS(N6:N23,L6:L23,"ESPECES")</f>
        <v>0</v>
      </c>
      <c r="G29" s="10">
        <f>C29+D29-E29-F29</f>
        <v>-100000</v>
      </c>
      <c r="K29" s="10" t="s">
        <v>53</v>
      </c>
      <c r="L29" s="10">
        <f>L27-L28</f>
        <v>450000</v>
      </c>
      <c r="N29" s="10"/>
    </row>
    <row r="30" spans="1:17" ht="18" x14ac:dyDescent="0.25">
      <c r="B30" s="10" t="s">
        <v>10</v>
      </c>
      <c r="C30" s="10">
        <f>SUMIFS(C6:C23,E6:E23,"BANQUE")</f>
        <v>1700000</v>
      </c>
      <c r="D30" s="10">
        <f>SUMIFS(J6:J23,K6:K23,"BANQUE")</f>
        <v>0</v>
      </c>
      <c r="E30" s="10">
        <f>SUMIFS(F6:F23,H6:H23,"BANQUE")</f>
        <v>350000</v>
      </c>
      <c r="F30" s="10">
        <f>SUMIFS(N6:N23,L6:L23,"BANQUE")</f>
        <v>0</v>
      </c>
      <c r="G30" s="10">
        <f t="shared" ref="G30" si="4">C30+D30-E30-F30</f>
        <v>1350000</v>
      </c>
      <c r="K30" s="13" t="s">
        <v>54</v>
      </c>
      <c r="L30" s="13">
        <f>L29-F25</f>
        <v>-100000</v>
      </c>
      <c r="M30" s="13" t="s">
        <v>71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1800000</v>
      </c>
      <c r="D32" s="10">
        <f t="shared" ref="D32:G32" si="5">D29+D30</f>
        <v>0</v>
      </c>
      <c r="E32" s="10">
        <f t="shared" si="5"/>
        <v>550000</v>
      </c>
      <c r="F32" s="10">
        <f t="shared" si="5"/>
        <v>0</v>
      </c>
      <c r="G32" s="10">
        <f t="shared" si="5"/>
        <v>1250000</v>
      </c>
      <c r="K32" s="10" t="s">
        <v>64</v>
      </c>
      <c r="L32" s="10">
        <v>0</v>
      </c>
    </row>
    <row r="33" spans="2:12" ht="18" x14ac:dyDescent="0.25">
      <c r="B33" s="10"/>
      <c r="C33" s="10"/>
      <c r="D33" s="10"/>
      <c r="K33" s="10" t="s">
        <v>70</v>
      </c>
      <c r="L33" s="10">
        <v>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150000</v>
      </c>
    </row>
    <row r="36" spans="2:12" ht="18" x14ac:dyDescent="0.25">
      <c r="B36" s="10" t="s">
        <v>21</v>
      </c>
      <c r="C36" s="10">
        <f>+G25</f>
        <v>24500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450000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H6:I23 E6:E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"/>
  <sheetViews>
    <sheetView workbookViewId="0">
      <pane xSplit="2" ySplit="5" topLeftCell="H28" activePane="bottomRight" state="frozen"/>
      <selection activeCell="H8" sqref="H8"/>
      <selection pane="topRight" activeCell="H8" sqref="H8"/>
      <selection pane="bottomLeft" activeCell="H8" sqref="H8"/>
      <selection pane="bottomRight" activeCell="L28" sqref="L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6" x14ac:dyDescent="0.25">
      <c r="A1" s="1" t="s">
        <v>0</v>
      </c>
      <c r="B1" s="1" t="s">
        <v>1</v>
      </c>
    </row>
    <row r="2" spans="1:16" x14ac:dyDescent="0.25">
      <c r="A2" s="1" t="s">
        <v>2</v>
      </c>
      <c r="B2" s="1" t="s">
        <v>57</v>
      </c>
    </row>
    <row r="3" spans="1:16" x14ac:dyDescent="0.25">
      <c r="A3" s="1" t="s">
        <v>3</v>
      </c>
      <c r="B3" s="4">
        <v>100000</v>
      </c>
    </row>
    <row r="4" spans="1:16" ht="18" x14ac:dyDescent="0.25">
      <c r="B4" s="5"/>
      <c r="C4" s="33">
        <v>43814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6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</row>
    <row r="6" spans="1:16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TONTNOV!F6+TONTNOV!G6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</row>
    <row r="7" spans="1:16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TONTNOV!F7+TONTNOV!G7</f>
        <v>0</v>
      </c>
      <c r="K7" s="7"/>
      <c r="L7" s="7"/>
      <c r="M7" s="14"/>
      <c r="N7" s="8">
        <f t="shared" si="2"/>
        <v>0</v>
      </c>
      <c r="O7" s="8"/>
      <c r="P7" s="11"/>
    </row>
    <row r="8" spans="1:16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/>
      <c r="G8" s="8"/>
      <c r="H8" s="7"/>
      <c r="I8" s="14"/>
      <c r="J8" s="8">
        <f>TONTNOV!F8+TONTNOV!G8</f>
        <v>153500</v>
      </c>
      <c r="K8" s="7" t="s">
        <v>10</v>
      </c>
      <c r="L8" s="7"/>
      <c r="M8" s="14"/>
      <c r="N8" s="8">
        <f t="shared" si="2"/>
        <v>1250000</v>
      </c>
      <c r="O8" s="8">
        <v>250000</v>
      </c>
      <c r="P8" s="23">
        <v>43814</v>
      </c>
    </row>
    <row r="9" spans="1:16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TONTNOV!F9+TONTNOV!G9</f>
        <v>0</v>
      </c>
      <c r="K9" s="7"/>
      <c r="L9" s="7"/>
      <c r="M9" s="14"/>
      <c r="N9" s="8">
        <f t="shared" si="2"/>
        <v>0</v>
      </c>
      <c r="O9" s="8"/>
      <c r="P9" s="23"/>
    </row>
    <row r="10" spans="1:16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TONTNOV!F10+TONTNOV!G10</f>
        <v>208000</v>
      </c>
      <c r="K10" s="7" t="s">
        <v>10</v>
      </c>
      <c r="L10" s="7"/>
      <c r="M10" s="14"/>
      <c r="N10" s="8">
        <f t="shared" si="2"/>
        <v>0</v>
      </c>
      <c r="O10" s="8"/>
      <c r="P10" s="11"/>
    </row>
    <row r="11" spans="1:16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TONTNOV!F11+TONTNOV!G11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6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TONTNOV!F12+TONTNOV!G12</f>
        <v>0</v>
      </c>
      <c r="K12" s="7"/>
      <c r="L12" s="7"/>
      <c r="M12" s="14"/>
      <c r="N12" s="8">
        <f t="shared" si="2"/>
        <v>0</v>
      </c>
      <c r="O12" s="8"/>
      <c r="P12" s="23"/>
    </row>
    <row r="13" spans="1:16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TONTNOV!F13+TONTNOV!G13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6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TONTNOV!F14+TONTNOV!G14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6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/>
      <c r="G15" s="8"/>
      <c r="H15" s="7"/>
      <c r="I15" s="14"/>
      <c r="J15" s="8">
        <f>TONTNOV!F15+TONTNOV!G15</f>
        <v>0</v>
      </c>
      <c r="K15" s="7"/>
      <c r="L15" s="17"/>
      <c r="M15" s="14"/>
      <c r="N15" s="16">
        <f t="shared" si="2"/>
        <v>0</v>
      </c>
      <c r="O15" s="16"/>
      <c r="P15" s="19"/>
    </row>
    <row r="16" spans="1:16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18</v>
      </c>
      <c r="F16" s="8"/>
      <c r="G16" s="8"/>
      <c r="H16" s="7"/>
      <c r="I16" s="14"/>
      <c r="J16" s="8">
        <f>TONTNOV!F16+TONTNOV!G16</f>
        <v>0</v>
      </c>
      <c r="K16" s="7"/>
      <c r="L16" s="7"/>
      <c r="M16" s="14"/>
      <c r="N16" s="8">
        <f t="shared" si="2"/>
        <v>0</v>
      </c>
      <c r="O16" s="8"/>
      <c r="P16" s="23"/>
    </row>
    <row r="17" spans="1:16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/>
      <c r="G17" s="8"/>
      <c r="H17" s="7"/>
      <c r="I17" s="14"/>
      <c r="J17" s="8">
        <f>TONTNOV!F17+TONTNOV!G17</f>
        <v>0</v>
      </c>
      <c r="K17" s="7"/>
      <c r="L17" s="7"/>
      <c r="M17" s="14"/>
      <c r="N17" s="8">
        <f t="shared" si="2"/>
        <v>1255000</v>
      </c>
      <c r="O17" s="8">
        <v>245000</v>
      </c>
      <c r="P17" s="23">
        <v>43814</v>
      </c>
    </row>
    <row r="18" spans="1:16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TONTNOV!F18+TONTNOV!G18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6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TONTNOV!F19+TONTNOV!G19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6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TONTNOV!F20+TONTNOV!G20</f>
        <v>0</v>
      </c>
      <c r="K20" s="7"/>
      <c r="L20" s="7"/>
      <c r="M20" s="14"/>
      <c r="N20" s="8">
        <f t="shared" si="2"/>
        <v>0</v>
      </c>
      <c r="O20" s="8"/>
      <c r="P20" s="11"/>
    </row>
    <row r="21" spans="1:16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TONTNOV!F21+TONTNOV!G21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6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/>
      <c r="G22" s="8"/>
      <c r="H22" s="7"/>
      <c r="I22" s="14"/>
      <c r="J22" s="8">
        <f>TONTNOV!F22+TONTNOV!G22</f>
        <v>213000</v>
      </c>
      <c r="K22" s="7" t="s">
        <v>18</v>
      </c>
      <c r="L22" s="7"/>
      <c r="M22" s="14"/>
      <c r="N22" s="8">
        <f t="shared" si="2"/>
        <v>0</v>
      </c>
      <c r="O22" s="8"/>
      <c r="P22" s="11"/>
    </row>
    <row r="23" spans="1:16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TONTNOV!F23+TONTNOV!G23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6" x14ac:dyDescent="0.25">
      <c r="L24" s="7"/>
    </row>
    <row r="25" spans="1:16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0</v>
      </c>
      <c r="G25" s="10">
        <f>SUM(G6:G24)</f>
        <v>0</v>
      </c>
      <c r="H25" s="10"/>
      <c r="I25" s="10"/>
      <c r="J25" s="10">
        <f>SUM(J6:J24)</f>
        <v>574500</v>
      </c>
      <c r="K25" s="10"/>
      <c r="L25" s="10"/>
      <c r="M25" s="10"/>
      <c r="N25" s="10">
        <f>SUM(N6:N24)</f>
        <v>2505000</v>
      </c>
      <c r="O25" s="10">
        <f>SUM(O6:O24)</f>
        <v>495000</v>
      </c>
    </row>
    <row r="26" spans="1:16" x14ac:dyDescent="0.25">
      <c r="C26" s="2" t="s">
        <v>19</v>
      </c>
    </row>
    <row r="27" spans="1:16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C25+D32+O25+30500+100000</f>
        <v>3000000</v>
      </c>
      <c r="M27" s="10"/>
    </row>
    <row r="28" spans="1:16" ht="18" x14ac:dyDescent="0.25">
      <c r="J28" s="10"/>
      <c r="K28" s="10" t="s">
        <v>20</v>
      </c>
      <c r="L28" s="10">
        <f>IF(L27&gt;=3000000,1500000*2,1500000)</f>
        <v>3000000</v>
      </c>
    </row>
    <row r="29" spans="1:16" ht="18" x14ac:dyDescent="0.25">
      <c r="B29" s="10" t="s">
        <v>18</v>
      </c>
      <c r="C29" s="10">
        <f>SUMIFS(C6:C23,E6:E23,"ESPECES")</f>
        <v>300000</v>
      </c>
      <c r="D29" s="10">
        <f>SUMIFS(J6:J23,K6:K23,"ESPECES")</f>
        <v>213000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513000</v>
      </c>
      <c r="K29" s="10" t="s">
        <v>53</v>
      </c>
      <c r="L29" s="10">
        <f>L27-L28</f>
        <v>0</v>
      </c>
      <c r="N29" s="10"/>
    </row>
    <row r="30" spans="1:16" ht="18" x14ac:dyDescent="0.25">
      <c r="B30" s="10" t="s">
        <v>10</v>
      </c>
      <c r="C30" s="10">
        <f>SUMIFS(C6:C23,E6:E23,"BANQUE")</f>
        <v>1500000</v>
      </c>
      <c r="D30" s="10">
        <f>SUMIFS(J6:J23,K6:K23,"BANQUE")</f>
        <v>361500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1861500</v>
      </c>
      <c r="K30" s="13" t="s">
        <v>54</v>
      </c>
      <c r="L30" s="13">
        <v>0</v>
      </c>
      <c r="N30" s="10"/>
    </row>
    <row r="31" spans="1:16" ht="18" x14ac:dyDescent="0.25">
      <c r="B31" s="10"/>
      <c r="C31" s="10"/>
      <c r="E31"/>
      <c r="F31" s="10"/>
      <c r="G31" s="10"/>
      <c r="K31" s="10"/>
      <c r="L31" s="10"/>
      <c r="N31" s="10"/>
    </row>
    <row r="32" spans="1:16" ht="18" x14ac:dyDescent="0.25">
      <c r="B32" s="10" t="s">
        <v>17</v>
      </c>
      <c r="C32" s="10">
        <f>C29+C30</f>
        <v>1800000</v>
      </c>
      <c r="D32" s="10">
        <f t="shared" ref="D32:G32" si="4">D29+D30</f>
        <v>574500</v>
      </c>
      <c r="E32" s="10">
        <f t="shared" si="4"/>
        <v>0</v>
      </c>
      <c r="F32" s="10">
        <f t="shared" si="4"/>
        <v>0</v>
      </c>
      <c r="G32" s="10">
        <f t="shared" si="4"/>
        <v>2374500</v>
      </c>
      <c r="K32" s="10" t="s">
        <v>64</v>
      </c>
      <c r="L32" s="10">
        <v>0</v>
      </c>
    </row>
    <row r="33" spans="2:12" ht="18" x14ac:dyDescent="0.25">
      <c r="B33" s="10"/>
      <c r="C33" s="10"/>
      <c r="D33" s="10"/>
      <c r="K33" s="10" t="s">
        <v>70</v>
      </c>
      <c r="L33" s="10">
        <v>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495000</v>
      </c>
    </row>
    <row r="36" spans="2:12" ht="18" x14ac:dyDescent="0.25">
      <c r="B36" s="10" t="s">
        <v>21</v>
      </c>
      <c r="C36" s="10">
        <f>+G25</f>
        <v>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0</v>
      </c>
    </row>
  </sheetData>
  <autoFilter ref="A5:P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30" activePane="bottomRight" state="frozen"/>
      <selection activeCell="H8" sqref="H8"/>
      <selection pane="topRight" activeCell="H8" sqref="H8"/>
      <selection pane="bottomLeft" activeCell="H8" sqref="H8"/>
      <selection pane="bottomRight" activeCell="M32" sqref="M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43848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TONTDEC!F6+TONTDEC!G6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TONTDEC!F7+TONTDEC!G7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100000</v>
      </c>
      <c r="G8" s="8">
        <v>4000</v>
      </c>
      <c r="H8" s="7" t="s">
        <v>18</v>
      </c>
      <c r="I8" s="14"/>
      <c r="J8" s="8">
        <f>TONTDEC!F8+TONTDEC!G8</f>
        <v>0</v>
      </c>
      <c r="K8" s="7"/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TONTDEC!F9+TONTDEC!G9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TONTDEC!F10+TONTDEC!G10</f>
        <v>0</v>
      </c>
      <c r="K10" s="7"/>
      <c r="L10" s="7"/>
      <c r="M10" s="14"/>
      <c r="N10" s="8">
        <f t="shared" si="2"/>
        <v>1270000</v>
      </c>
      <c r="O10" s="8">
        <v>230000</v>
      </c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TONTDEC!F11+TONTDEC!G11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TONTDEC!F12+TONTDEC!G12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TONTDEC!F13+TONTDEC!G13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v>99500</v>
      </c>
      <c r="G14" s="8">
        <v>4000</v>
      </c>
      <c r="H14" s="7" t="s">
        <v>18</v>
      </c>
      <c r="I14" s="14"/>
      <c r="J14" s="8">
        <f>TONTDEC!F14+TONTDEC!G14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v>100000</v>
      </c>
      <c r="G15" s="8">
        <v>6000</v>
      </c>
      <c r="H15" s="7" t="s">
        <v>18</v>
      </c>
      <c r="I15" s="14"/>
      <c r="J15" s="8">
        <f>TONTDEC!F15+TONTDEC!G15</f>
        <v>0</v>
      </c>
      <c r="K15" s="7"/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TONTDEC!F16+TONTDEC!G16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/>
      <c r="G17" s="8"/>
      <c r="H17" s="7"/>
      <c r="I17" s="14"/>
      <c r="J17" s="8">
        <f>TONTDEC!F17+TONTDEC!G17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/>
      <c r="G18" s="8"/>
      <c r="H18" s="7"/>
      <c r="I18" s="14"/>
      <c r="J18" s="8">
        <f>TONTDEC!F18+TONTDEC!G18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TONTDEC!F19+TONTDEC!G19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TONTDEC!F20+TONTDEC!G20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TONTDEC!F21+TONTDEC!G21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200000</v>
      </c>
      <c r="G22" s="8">
        <v>10000</v>
      </c>
      <c r="H22" s="7" t="s">
        <v>18</v>
      </c>
      <c r="I22" s="14"/>
      <c r="J22" s="8">
        <f>TONTDEC!F22+TONTDEC!G22</f>
        <v>0</v>
      </c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TONTDEC!F23+TONTDEC!G23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499500</v>
      </c>
      <c r="G25" s="10">
        <f>SUM(G6:G24)</f>
        <v>24000</v>
      </c>
      <c r="H25" s="10"/>
      <c r="I25" s="10"/>
      <c r="J25" s="10">
        <f>SUM(J6:J24)</f>
        <v>0</v>
      </c>
      <c r="K25" s="10"/>
      <c r="L25" s="10"/>
      <c r="M25" s="10"/>
      <c r="N25" s="10">
        <f>SUM(N6:N24)</f>
        <v>1270000</v>
      </c>
      <c r="O25" s="10">
        <f>SUM(O6:O24)</f>
        <v>230000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2030000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0</v>
      </c>
      <c r="D29" s="10">
        <f>SUMIFS(J6:J23,K6:K23,"ESPECES")</f>
        <v>0</v>
      </c>
      <c r="E29" s="10">
        <f>SUMIFS(F6:F23,H6:H23,"ESPECES")</f>
        <v>499500</v>
      </c>
      <c r="F29" s="10">
        <f>SUMIFS(N6:N23,L6:L23,"ESPECES")</f>
        <v>0</v>
      </c>
      <c r="G29" s="10">
        <f>C29+D29-E29-F29</f>
        <v>-499500</v>
      </c>
      <c r="K29" s="10" t="s">
        <v>53</v>
      </c>
      <c r="L29" s="10">
        <f>L27-L28-30500</f>
        <v>499500</v>
      </c>
      <c r="N29" s="10"/>
    </row>
    <row r="30" spans="1:17" ht="18" x14ac:dyDescent="0.25">
      <c r="B30" s="10" t="s">
        <v>10</v>
      </c>
      <c r="C30" s="10">
        <f>SUMIFS(C6:C23,E6:E23,"BANQUE")</f>
        <v>1800000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1800000</v>
      </c>
      <c r="K30" s="10" t="s">
        <v>54</v>
      </c>
      <c r="L30" s="10">
        <f>L29-F25</f>
        <v>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27"/>
      <c r="N31" s="10"/>
    </row>
    <row r="32" spans="1:17" ht="18" x14ac:dyDescent="0.25">
      <c r="B32" s="10" t="s">
        <v>17</v>
      </c>
      <c r="C32" s="10">
        <f>C29+C30</f>
        <v>1800000</v>
      </c>
      <c r="D32" s="10">
        <f t="shared" ref="D32:G32" si="4">D29+D30</f>
        <v>0</v>
      </c>
      <c r="E32" s="10">
        <f t="shared" si="4"/>
        <v>499500</v>
      </c>
      <c r="F32" s="10">
        <f t="shared" si="4"/>
        <v>0</v>
      </c>
      <c r="G32" s="10">
        <f t="shared" si="4"/>
        <v>1300500</v>
      </c>
    </row>
    <row r="33" spans="2:12" ht="18" x14ac:dyDescent="0.25">
      <c r="B33" s="10"/>
      <c r="C33" s="10"/>
      <c r="D33" s="10"/>
      <c r="K33" s="10" t="s">
        <v>64</v>
      </c>
      <c r="L33" s="10">
        <v>0</v>
      </c>
    </row>
    <row r="34" spans="2:12" ht="18" x14ac:dyDescent="0.25">
      <c r="B34" s="10"/>
      <c r="C34" s="10"/>
      <c r="D34" s="10"/>
      <c r="K34" s="10" t="s">
        <v>70</v>
      </c>
      <c r="L34" s="10">
        <v>0</v>
      </c>
    </row>
    <row r="35" spans="2:12" ht="18" x14ac:dyDescent="0.25">
      <c r="B35" s="10" t="s">
        <v>27</v>
      </c>
      <c r="C35" s="10">
        <f>O25</f>
        <v>230000</v>
      </c>
    </row>
    <row r="36" spans="2:12" ht="18" x14ac:dyDescent="0.25">
      <c r="B36" s="10" t="s">
        <v>21</v>
      </c>
      <c r="C36" s="10">
        <f>+G25</f>
        <v>24000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499500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G27" activePane="bottomRight" state="frozen"/>
      <selection activeCell="H8" sqref="H8"/>
      <selection pane="topRight" activeCell="H8" sqref="H8"/>
      <selection pane="bottomLeft" activeCell="H8" sqref="H8"/>
      <selection pane="bottomRight" activeCell="M31" sqref="M31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43877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TONTJANV!F6+TONTJANV!G6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TONTJANV!F7+TONTJANV!G7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100000</v>
      </c>
      <c r="G8" s="8">
        <v>3000</v>
      </c>
      <c r="H8" s="7"/>
      <c r="I8" s="14"/>
      <c r="J8" s="8">
        <f>TONTJANV!F8+TONTJANV!G8</f>
        <v>104000</v>
      </c>
      <c r="K8" s="7" t="s">
        <v>18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TONTJANV!F9+TONTJANV!G9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v>200000</v>
      </c>
      <c r="G10" s="8">
        <v>5000</v>
      </c>
      <c r="H10" s="7"/>
      <c r="I10" s="14"/>
      <c r="J10" s="8">
        <f>TONTJANV!F10+TONTJANV!G10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TONTJANV!F11+TONTJANV!G11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TONTJANV!F12+TONTJANV!G12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v>100000</v>
      </c>
      <c r="G13" s="8">
        <v>3000</v>
      </c>
      <c r="H13" s="7"/>
      <c r="I13" s="14"/>
      <c r="J13" s="8">
        <f>TONTJANV!F13+TONTJANV!G13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TONTJANV!F14+TONTJANV!G14</f>
        <v>103500</v>
      </c>
      <c r="K14" s="7" t="s">
        <v>18</v>
      </c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>
        <v>213500</v>
      </c>
      <c r="G15" s="8">
        <v>4000</v>
      </c>
      <c r="H15" s="7"/>
      <c r="I15" s="14"/>
      <c r="J15" s="8">
        <f>TONTJANV!F15+TONTJANV!G15</f>
        <v>106000</v>
      </c>
      <c r="K15" s="7" t="s">
        <v>18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v>100000</v>
      </c>
      <c r="G16" s="8">
        <v>2000</v>
      </c>
      <c r="H16" s="7"/>
      <c r="I16" s="14"/>
      <c r="J16" s="8">
        <f>TONTJANV!F16+TONTJANV!G16</f>
        <v>0</v>
      </c>
      <c r="K16" s="7"/>
      <c r="L16" s="7"/>
      <c r="M16" s="14"/>
      <c r="N16" s="8">
        <f t="shared" si="2"/>
        <v>1400000</v>
      </c>
      <c r="O16" s="8">
        <v>100000</v>
      </c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/>
      <c r="G17" s="8"/>
      <c r="H17" s="7"/>
      <c r="I17" s="14"/>
      <c r="J17" s="8">
        <f>TONTJANV!F17+TONTJANV!G17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/>
      <c r="G18" s="8"/>
      <c r="H18" s="7"/>
      <c r="I18" s="14"/>
      <c r="J18" s="8">
        <f>TONTJANV!F18+TONTJANV!G18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TONTJANV!F19+TONTJANV!G19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TONTJANV!F20+TONTJANV!G20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TONTJANV!F21+TONTJANV!G21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210000</v>
      </c>
      <c r="G22" s="8">
        <v>20000</v>
      </c>
      <c r="H22" s="7"/>
      <c r="I22" s="14"/>
      <c r="J22" s="8">
        <f>TONTJANV!F22+TONTJANV!G22</f>
        <v>210000</v>
      </c>
      <c r="K22" s="7" t="s">
        <v>9</v>
      </c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TONTJANV!F23+TONTJANV!G23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923500</v>
      </c>
      <c r="G25" s="10">
        <f>SUM(G6:G24)</f>
        <v>37000</v>
      </c>
      <c r="H25" s="10"/>
      <c r="I25" s="10"/>
      <c r="J25" s="10">
        <f>SUM(J6:J24)</f>
        <v>523500</v>
      </c>
      <c r="K25" s="10"/>
      <c r="L25" s="10"/>
      <c r="M25" s="10"/>
      <c r="N25" s="10">
        <f>SUM(N6:N24)</f>
        <v>1400000</v>
      </c>
      <c r="O25" s="10">
        <f>SUM(O6:O24)</f>
        <v>100000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2213500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100000</v>
      </c>
      <c r="D29" s="10">
        <f>SUMIFS(J6:J23,K6:K23,"ESPECES")</f>
        <v>313500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413500</v>
      </c>
      <c r="K29" s="10" t="s">
        <v>53</v>
      </c>
      <c r="L29" s="10">
        <f>L27-L28</f>
        <v>713500</v>
      </c>
      <c r="N29" s="10"/>
    </row>
    <row r="30" spans="1:17" ht="18" x14ac:dyDescent="0.25">
      <c r="B30" s="10" t="s">
        <v>10</v>
      </c>
      <c r="C30" s="10">
        <f>SUMIFS(C6:C23,E6:E23,"BANQUE")</f>
        <v>1700000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1700000</v>
      </c>
      <c r="K30" s="10" t="s">
        <v>54</v>
      </c>
      <c r="L30" s="10">
        <f>L29-F25</f>
        <v>-210000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1800000</v>
      </c>
      <c r="D32" s="10">
        <f t="shared" ref="D32:G32" si="4">D29+D30</f>
        <v>313500</v>
      </c>
      <c r="E32" s="10">
        <f t="shared" si="4"/>
        <v>0</v>
      </c>
      <c r="F32" s="10">
        <f t="shared" si="4"/>
        <v>0</v>
      </c>
      <c r="G32" s="10">
        <f t="shared" si="4"/>
        <v>2113500</v>
      </c>
      <c r="K32" s="10" t="s">
        <v>64</v>
      </c>
      <c r="L32" s="10">
        <v>0</v>
      </c>
    </row>
    <row r="33" spans="2:13" ht="18" x14ac:dyDescent="0.25">
      <c r="B33" s="10"/>
      <c r="C33" s="10"/>
      <c r="D33" s="10"/>
      <c r="K33" s="10" t="s">
        <v>70</v>
      </c>
      <c r="L33" s="10">
        <v>210000</v>
      </c>
      <c r="M33" s="3" t="s">
        <v>72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100000</v>
      </c>
    </row>
    <row r="36" spans="2:13" ht="18" x14ac:dyDescent="0.25">
      <c r="B36" s="10" t="s">
        <v>21</v>
      </c>
      <c r="C36" s="10">
        <f>+G25</f>
        <v>37000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713500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18" activePane="bottomRight" state="frozen"/>
      <selection activeCell="H8" sqref="H8"/>
      <selection pane="topRight" activeCell="H8" sqref="H8"/>
      <selection pane="bottomLeft" activeCell="H8" sqref="H8"/>
      <selection pane="bottomRight" activeCell="K22" sqref="K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43905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TONTFEV!F6+TONTFEV!G6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TONTFEV!F7+TONTFEV!G7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200000</v>
      </c>
      <c r="G8" s="8">
        <v>2500</v>
      </c>
      <c r="H8" s="7" t="s">
        <v>10</v>
      </c>
      <c r="I8" s="14"/>
      <c r="J8" s="8">
        <f>TONTFEV!F8+TONTFEV!G8</f>
        <v>103000</v>
      </c>
      <c r="K8" s="7" t="s">
        <v>10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TONTFEV!F9+TONTFEV!G9</f>
        <v>0</v>
      </c>
      <c r="K9" s="7"/>
      <c r="L9" s="7"/>
      <c r="M9" s="14"/>
      <c r="N9" s="8">
        <f t="shared" si="2"/>
        <v>1365000</v>
      </c>
      <c r="O9" s="8">
        <v>135000</v>
      </c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v>100000</v>
      </c>
      <c r="G10" s="8">
        <v>1000</v>
      </c>
      <c r="H10" s="7" t="s">
        <v>10</v>
      </c>
      <c r="I10" s="14"/>
      <c r="J10" s="8">
        <f>TONTFEV!F10+TONTFEV!G10</f>
        <v>205000</v>
      </c>
      <c r="K10" s="7" t="s">
        <v>10</v>
      </c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TONTFEV!F11+TONTFEV!G11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TONTFEV!F12+TONTFEV!G12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v>100000</v>
      </c>
      <c r="G13" s="8">
        <v>1500</v>
      </c>
      <c r="H13" s="7" t="s">
        <v>10</v>
      </c>
      <c r="I13" s="14"/>
      <c r="J13" s="8">
        <f>TONTFEV!F13+TONTFEV!G13</f>
        <v>103000</v>
      </c>
      <c r="K13" s="7" t="s">
        <v>10</v>
      </c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TONTFEV!F14+TONTFEV!G14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v>217500</v>
      </c>
      <c r="G15" s="8">
        <v>8000</v>
      </c>
      <c r="H15" s="7" t="s">
        <v>9</v>
      </c>
      <c r="I15" s="14"/>
      <c r="J15" s="8">
        <f>TONTFEV!F15+TONTFEV!G15</f>
        <v>217500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v>200000</v>
      </c>
      <c r="G16" s="8">
        <v>3000</v>
      </c>
      <c r="H16" s="7" t="s">
        <v>10</v>
      </c>
      <c r="I16" s="14"/>
      <c r="J16" s="8">
        <f>TONTFEV!F16+TONTFEV!G16</f>
        <v>102000</v>
      </c>
      <c r="K16" s="7" t="s">
        <v>10</v>
      </c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200000</v>
      </c>
      <c r="G17" s="8">
        <v>2500</v>
      </c>
      <c r="H17" s="7" t="s">
        <v>10</v>
      </c>
      <c r="I17" s="14"/>
      <c r="J17" s="8">
        <f>TONTFEV!F17+TONTFEV!G17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TONTFEV!F18+TONTFEV!G18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TONTFEV!F19+TONTFEV!G19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TONTFEV!F20+TONTFEV!G20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v>200000</v>
      </c>
      <c r="G21" s="8">
        <v>2000</v>
      </c>
      <c r="H21" s="7" t="s">
        <v>10</v>
      </c>
      <c r="I21" s="14"/>
      <c r="J21" s="8">
        <f>TONTFEV!F21+TONTFEV!G21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200000</v>
      </c>
      <c r="G22" s="8">
        <v>2000</v>
      </c>
      <c r="H22" s="7" t="s">
        <v>10</v>
      </c>
      <c r="I22" s="14"/>
      <c r="J22" s="8">
        <f>TONTFEV!F22+TONTFEV!G22</f>
        <v>230000</v>
      </c>
      <c r="K22" s="7" t="s">
        <v>10</v>
      </c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TONTFEV!F23+TONTFEV!G23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1417500</v>
      </c>
      <c r="G25" s="10">
        <f>SUM(G6:G24)</f>
        <v>22500</v>
      </c>
      <c r="H25" s="10"/>
      <c r="I25" s="10"/>
      <c r="J25" s="10">
        <f>SUM(J6:J24)</f>
        <v>960500</v>
      </c>
      <c r="K25" s="10"/>
      <c r="L25" s="10"/>
      <c r="M25" s="10"/>
      <c r="N25" s="10">
        <f>SUM(N6:N24)</f>
        <v>1365000</v>
      </c>
      <c r="O25" s="10">
        <f>SUM(O6:O24)</f>
        <v>135000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2678000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200000</v>
      </c>
      <c r="D29" s="10">
        <f>SUMIFS(J6:J23,K6:K23,"ESPECES")</f>
        <v>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200000</v>
      </c>
      <c r="K29" s="10" t="s">
        <v>53</v>
      </c>
      <c r="L29" s="10">
        <f>L27-L28</f>
        <v>1178000</v>
      </c>
      <c r="N29" s="10"/>
    </row>
    <row r="30" spans="1:17" ht="18" x14ac:dyDescent="0.25">
      <c r="B30" s="10" t="s">
        <v>10</v>
      </c>
      <c r="C30" s="10">
        <f>SUMIFS(C6:C23,E6:E23,"BANQUE")</f>
        <v>1600000</v>
      </c>
      <c r="D30" s="10">
        <f>SUMIFS(J6:J23,K6:K23,"BANQUE")</f>
        <v>743000</v>
      </c>
      <c r="E30" s="10">
        <f>SUMIFS(F6:F23,H6:H23,"BANQUE")</f>
        <v>1200000</v>
      </c>
      <c r="F30" s="10">
        <f>SUMIFS(N6:N23,L6:L23,"BANQUE")</f>
        <v>0</v>
      </c>
      <c r="G30" s="10">
        <f t="shared" ref="G30" si="3">C30+D30-E30-F30</f>
        <v>1143000</v>
      </c>
      <c r="K30" s="10" t="s">
        <v>54</v>
      </c>
      <c r="L30" s="10">
        <f>L29-F25</f>
        <v>-239500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1800000</v>
      </c>
      <c r="D32" s="10">
        <f t="shared" ref="D32:G32" si="4">D29+D30</f>
        <v>743000</v>
      </c>
      <c r="E32" s="10">
        <f t="shared" si="4"/>
        <v>1200000</v>
      </c>
      <c r="F32" s="10">
        <f t="shared" si="4"/>
        <v>0</v>
      </c>
      <c r="G32" s="10">
        <f t="shared" si="4"/>
        <v>1343000</v>
      </c>
      <c r="K32" s="10" t="s">
        <v>64</v>
      </c>
      <c r="L32" s="10">
        <v>0</v>
      </c>
      <c r="N32" s="28"/>
    </row>
    <row r="33" spans="2:13" ht="18" x14ac:dyDescent="0.25">
      <c r="B33" s="10"/>
      <c r="C33" s="10"/>
      <c r="D33" s="10"/>
      <c r="K33" s="10" t="s">
        <v>70</v>
      </c>
      <c r="L33" s="10">
        <v>217500</v>
      </c>
      <c r="M33" s="3" t="s">
        <v>63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135000</v>
      </c>
    </row>
    <row r="36" spans="2:13" ht="18" x14ac:dyDescent="0.25">
      <c r="B36" s="10" t="s">
        <v>21</v>
      </c>
      <c r="C36" s="10">
        <f>+G25</f>
        <v>22500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1178000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27" activePane="bottomRight" state="frozen"/>
      <selection activeCell="H8" sqref="H8"/>
      <selection pane="topRight" activeCell="H8" sqref="H8"/>
      <selection pane="bottomLeft" activeCell="H8" sqref="H8"/>
      <selection pane="bottomRight" activeCell="G20" sqref="G2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6.140625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43940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TONTMARS!F6+TONTMARS!G6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TONTMARS!F7+TONTMARS!G7</f>
        <v>0</v>
      </c>
      <c r="K7" s="7"/>
      <c r="L7" s="7"/>
      <c r="M7" s="14"/>
      <c r="N7" s="8">
        <f t="shared" si="2"/>
        <v>1400000</v>
      </c>
      <c r="O7" s="8">
        <v>100000</v>
      </c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/>
      <c r="G8" s="8"/>
      <c r="H8" s="7"/>
      <c r="I8" s="14"/>
      <c r="J8" s="8">
        <f>TONTMARS!F8+TONTMARS!G8</f>
        <v>202500</v>
      </c>
      <c r="K8" s="7" t="s">
        <v>10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TONTMARS!F9+TONTMARS!G9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TONTMARS!F10+TONTMARS!G10</f>
        <v>101000</v>
      </c>
      <c r="K10" s="7" t="s">
        <v>10</v>
      </c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TONTMARS!F11+TONTMARS!G11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TONTMARS!F12+TONTMARS!G12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TONTMARS!F13+TONTMARS!G13</f>
        <v>101500</v>
      </c>
      <c r="K13" s="7" t="s">
        <v>10</v>
      </c>
      <c r="L13" s="7"/>
      <c r="M13" s="14"/>
      <c r="N13" s="8">
        <f t="shared" si="2"/>
        <v>1400000</v>
      </c>
      <c r="O13" s="8">
        <v>100000</v>
      </c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TONTMARS!F14+TONTMARS!G14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v>225500</v>
      </c>
      <c r="G15" s="8">
        <v>4000</v>
      </c>
      <c r="H15" s="7"/>
      <c r="I15" s="14"/>
      <c r="J15" s="8">
        <f>TONTMARS!F15+TONTMARS!G15</f>
        <v>225500</v>
      </c>
      <c r="K15" s="7"/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TONTMARS!F16+TONTMARS!G16</f>
        <v>203000</v>
      </c>
      <c r="K16" s="7" t="s">
        <v>10</v>
      </c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/>
      <c r="G17" s="8"/>
      <c r="H17" s="7"/>
      <c r="I17" s="14"/>
      <c r="J17" s="8">
        <f>TONTMARS!F17+TONTMARS!G17-22000</f>
        <v>180500</v>
      </c>
      <c r="K17" s="7" t="s">
        <v>18</v>
      </c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TONTMARS!F18+TONTMARS!G18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TONTMARS!F19+TONTMARS!G19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TONTMARS!F20+TONTMARS!G20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TONTMARS!F21+TONTMARS!G21</f>
        <v>202000</v>
      </c>
      <c r="K21" s="7" t="s">
        <v>10</v>
      </c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202000</v>
      </c>
      <c r="G22" s="8">
        <v>4000</v>
      </c>
      <c r="H22" s="7"/>
      <c r="I22" s="14"/>
      <c r="J22" s="8">
        <f>TONTMARS!F22+TONTMARS!G22</f>
        <v>202000</v>
      </c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TONTFEV!F23+TONTFEV!G23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427500</v>
      </c>
      <c r="G25" s="10">
        <f>SUM(G6:G24)</f>
        <v>8000</v>
      </c>
      <c r="H25" s="10"/>
      <c r="I25" s="10"/>
      <c r="J25" s="10">
        <f>SUM(J6:J24)</f>
        <v>1418000</v>
      </c>
      <c r="K25" s="10"/>
      <c r="L25" s="10"/>
      <c r="M25" s="10"/>
      <c r="N25" s="10">
        <f>SUM(N6:N24)</f>
        <v>2800000</v>
      </c>
      <c r="O25" s="10">
        <f>SUM(O6:O24)</f>
        <v>200000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C25+D32+O25+9500</f>
        <v>3000000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3000000</v>
      </c>
    </row>
    <row r="29" spans="1:17" ht="18" x14ac:dyDescent="0.25">
      <c r="B29" s="10" t="s">
        <v>18</v>
      </c>
      <c r="C29" s="10">
        <f>SUMIFS(C6:C23,E6:E23,"ESPECES")</f>
        <v>200000</v>
      </c>
      <c r="D29" s="10">
        <f>SUMIFS(J6:J23,K6:K23,"ESPECES")</f>
        <v>180500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380500</v>
      </c>
      <c r="K29" s="10" t="s">
        <v>53</v>
      </c>
      <c r="L29" s="10">
        <f>L27-L28</f>
        <v>0</v>
      </c>
      <c r="N29" s="10"/>
    </row>
    <row r="30" spans="1:17" ht="18" x14ac:dyDescent="0.25">
      <c r="B30" s="10" t="s">
        <v>10</v>
      </c>
      <c r="C30" s="10">
        <f>SUMIFS(C6:C23,E6:E23,"BANQUE")</f>
        <v>1600000</v>
      </c>
      <c r="D30" s="10">
        <f>SUMIFS(J6:J23,K6:K23,"BANQUE")</f>
        <v>810000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2410000</v>
      </c>
      <c r="K30" s="10" t="s">
        <v>54</v>
      </c>
      <c r="L30" s="10">
        <f>L29-F25</f>
        <v>-427500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1800000</v>
      </c>
      <c r="D32" s="10">
        <f>D29+D30</f>
        <v>990500</v>
      </c>
      <c r="E32" s="10">
        <f t="shared" ref="E32:G32" si="4">E29+E30</f>
        <v>0</v>
      </c>
      <c r="F32" s="10">
        <f t="shared" si="4"/>
        <v>0</v>
      </c>
      <c r="G32" s="10">
        <f t="shared" si="4"/>
        <v>2790500</v>
      </c>
      <c r="J32" t="s">
        <v>62</v>
      </c>
      <c r="K32" s="10" t="s">
        <v>64</v>
      </c>
      <c r="L32" s="10">
        <v>0</v>
      </c>
    </row>
    <row r="33" spans="2:13" ht="18" x14ac:dyDescent="0.25">
      <c r="B33" s="10"/>
      <c r="C33" s="10"/>
      <c r="D33" s="10"/>
      <c r="K33" s="10" t="s">
        <v>70</v>
      </c>
      <c r="L33" s="10">
        <f>225500+202000</f>
        <v>427500</v>
      </c>
      <c r="M33" s="3" t="s">
        <v>73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200000</v>
      </c>
    </row>
    <row r="36" spans="2:13" ht="18" x14ac:dyDescent="0.25">
      <c r="B36" s="10" t="s">
        <v>21</v>
      </c>
      <c r="C36" s="10">
        <f>+G25</f>
        <v>8000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C15" activePane="bottomRight" state="frozen"/>
      <selection activeCell="H8" sqref="H8"/>
      <selection pane="topRight" activeCell="H8" sqref="H8"/>
      <selection pane="bottomLeft" activeCell="H8" sqref="H8"/>
      <selection pane="bottomRight" activeCell="H29" sqref="H2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43968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TONTAVRIL!F6+TONTAVRIL!G6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TONTAVRIL!F7+TONTAVRIL!G7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200000</v>
      </c>
      <c r="G8" s="8">
        <v>10000</v>
      </c>
      <c r="H8" s="7"/>
      <c r="I8" s="14"/>
      <c r="J8" s="8">
        <f>TONTAVRIL!F8+TONTAVRIL!G8</f>
        <v>0</v>
      </c>
      <c r="K8" s="7"/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TONTAVRIL!F9+TONTAVRIL!G9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TONTAVRIL!F10+TONTAVRIL!G10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TONTAVRIL!F11+TONTAVRIL!G11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TONTAVRIL!F12+TONTAVRIL!G12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v>126000</v>
      </c>
      <c r="G13" s="8">
        <v>1000</v>
      </c>
      <c r="H13" s="7"/>
      <c r="I13" s="14"/>
      <c r="J13" s="8">
        <f>TONTAVRIL!F13+TONTAVRIL!G13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TONTAVRIL!F14+TONTAVRIL!G14</f>
        <v>0</v>
      </c>
      <c r="K14" s="7"/>
      <c r="L14" s="7"/>
      <c r="M14" s="14"/>
      <c r="N14" s="8">
        <f t="shared" si="2"/>
        <v>1370000</v>
      </c>
      <c r="O14" s="8">
        <v>130000</v>
      </c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>
        <v>229500</v>
      </c>
      <c r="G15" s="8"/>
      <c r="H15" s="7"/>
      <c r="I15" s="14"/>
      <c r="J15" s="8">
        <f>TONTAVRIL!F15+TONTAVRIL!G15</f>
        <v>229500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TONTAVRIL!F16+TONTAVRIL!G16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200000</v>
      </c>
      <c r="G17" s="8">
        <v>11000</v>
      </c>
      <c r="H17" s="7"/>
      <c r="I17" s="14"/>
      <c r="J17" s="8">
        <f>TONTAVRIL!F17+TONTAVRIL!G17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TONTAVRIL!F18+TONTAVRIL!G18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TONTAVRIL!F19+TONTAVRIL!G19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TONTAVRIL!F20+TONTAVRIL!G20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TONTAVRIL!F21+TONTAVRIL!G21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s="15" customFormat="1" x14ac:dyDescent="0.25">
      <c r="A22" s="30" t="s">
        <v>38</v>
      </c>
      <c r="B22" s="30" t="str">
        <f>VLOOKUP(A22,[1]LISTADHERENT!A$5:H$60,3,0)</f>
        <v>TIEYAM ERNEST</v>
      </c>
      <c r="C22" s="14">
        <f t="shared" si="0"/>
        <v>100000</v>
      </c>
      <c r="D22" s="14">
        <f t="shared" si="1"/>
        <v>0</v>
      </c>
      <c r="E22" s="31" t="s">
        <v>10</v>
      </c>
      <c r="F22" s="14">
        <v>100000</v>
      </c>
      <c r="G22" s="14">
        <v>6000</v>
      </c>
      <c r="H22" s="31"/>
      <c r="I22" s="14"/>
      <c r="J22" s="14">
        <f>TONTAVRIL!F22+TONTAVRIL!G22+206000</f>
        <v>412000</v>
      </c>
      <c r="K22" s="31" t="s">
        <v>18</v>
      </c>
      <c r="L22" s="31"/>
      <c r="M22" s="14"/>
      <c r="N22" s="14">
        <f t="shared" si="2"/>
        <v>0</v>
      </c>
      <c r="O22" s="14"/>
      <c r="P22" s="32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TONTAVRIL!F23+TONTAVRIL!G23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855500</v>
      </c>
      <c r="G25" s="10">
        <f>SUM(G6:G24)</f>
        <v>28000</v>
      </c>
      <c r="H25" s="10"/>
      <c r="I25" s="10"/>
      <c r="J25" s="10">
        <f>SUM(J6:J24)</f>
        <v>641500</v>
      </c>
      <c r="K25" s="10"/>
      <c r="L25" s="10"/>
      <c r="M25" s="10"/>
      <c r="N25" s="10">
        <f>SUM(N6:N24)</f>
        <v>1370000</v>
      </c>
      <c r="O25" s="10">
        <f>SUM(O6:O24)</f>
        <v>130000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2342000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300000</v>
      </c>
      <c r="D29" s="10">
        <f>SUMIFS(J6:J23,K6:K23,"ESPECES")</f>
        <v>412000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712000</v>
      </c>
      <c r="K29" s="10" t="s">
        <v>53</v>
      </c>
      <c r="L29" s="10">
        <f>L27-L28</f>
        <v>842000</v>
      </c>
      <c r="N29" s="10"/>
    </row>
    <row r="30" spans="1:17" ht="18" x14ac:dyDescent="0.25">
      <c r="B30" s="10" t="s">
        <v>10</v>
      </c>
      <c r="C30" s="10">
        <f>SUMIFS(C6:C23,E6:E23,"BANQUE")</f>
        <v>1500000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1500000</v>
      </c>
      <c r="K30" s="10" t="s">
        <v>54</v>
      </c>
      <c r="L30" s="10">
        <f>L29-F25</f>
        <v>-13500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1800000</v>
      </c>
      <c r="D32" s="10">
        <f t="shared" ref="D32:G32" si="4">D29+D30</f>
        <v>412000</v>
      </c>
      <c r="E32" s="10">
        <f t="shared" si="4"/>
        <v>0</v>
      </c>
      <c r="F32" s="10">
        <f t="shared" si="4"/>
        <v>0</v>
      </c>
      <c r="G32" s="10">
        <f t="shared" si="4"/>
        <v>2212000</v>
      </c>
      <c r="K32" s="10" t="s">
        <v>64</v>
      </c>
      <c r="L32" s="10">
        <v>0</v>
      </c>
    </row>
    <row r="33" spans="2:12" ht="18" x14ac:dyDescent="0.25">
      <c r="B33" s="10"/>
      <c r="C33" s="10"/>
      <c r="D33" s="10"/>
      <c r="K33" s="10" t="s">
        <v>70</v>
      </c>
      <c r="L33" s="10">
        <v>229500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130000</v>
      </c>
    </row>
    <row r="36" spans="2:12" ht="18" x14ac:dyDescent="0.25">
      <c r="B36" s="10" t="s">
        <v>21</v>
      </c>
      <c r="C36" s="10">
        <f>+G25</f>
        <v>28000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842000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17" activePane="bottomRight" state="frozen"/>
      <selection activeCell="H8" sqref="H8"/>
      <selection pane="topRight" activeCell="H8" sqref="H8"/>
      <selection pane="bottomLeft" activeCell="H8" sqref="H8"/>
      <selection pane="bottomRight" activeCell="K25" sqref="K2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44003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TONTMAI!F6+TONTMAI!G6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TONTMAI!F7+TONTMAI!G7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200000</v>
      </c>
      <c r="G8" s="8">
        <v>2000</v>
      </c>
      <c r="H8" s="7"/>
      <c r="I8" s="14"/>
      <c r="J8" s="8">
        <f>TONTMAI!F8+TONTMAI!G8</f>
        <v>210000</v>
      </c>
      <c r="K8" s="7" t="s">
        <v>10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TONTMAI!F9+TONTMAI!G9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v>100000</v>
      </c>
      <c r="G10" s="8">
        <v>1000</v>
      </c>
      <c r="H10" s="7"/>
      <c r="I10" s="14"/>
      <c r="J10" s="8">
        <f>TONTMAI!F10+TONTMAI!G10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TONTMAI!F11+TONTMAI!G11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TONTMAI!F12+TONTMAI!G12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v>200000</v>
      </c>
      <c r="G13" s="8">
        <v>2000</v>
      </c>
      <c r="H13" s="7"/>
      <c r="I13" s="14"/>
      <c r="J13" s="8">
        <f>TONTMAI!F13+TONTMAI!G13</f>
        <v>127000</v>
      </c>
      <c r="K13" s="7" t="s">
        <v>18</v>
      </c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TONTMAI!F14+TONTMAI!G14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v>229500</v>
      </c>
      <c r="G15" s="8"/>
      <c r="H15" s="7"/>
      <c r="I15" s="14"/>
      <c r="J15" s="8">
        <f>TONTMAI!F15+TONTMAI!G15</f>
        <v>229500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TONTMAI!F16+TONTMAI!G16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233000</v>
      </c>
      <c r="G17" s="8">
        <v>22000</v>
      </c>
      <c r="H17" s="7"/>
      <c r="I17" s="14"/>
      <c r="J17" s="8">
        <f>TONTMAI!F17+TONTMAI!G17+22000</f>
        <v>233000</v>
      </c>
      <c r="K17" s="7" t="s">
        <v>9</v>
      </c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TONTMAI!F18+TONTMAI!G18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TONTMAI!F19+TONTMAI!G19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TONTMAI!F20+TONTMAI!G20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v>238000</v>
      </c>
      <c r="G21" s="8">
        <v>2000</v>
      </c>
      <c r="H21" s="7"/>
      <c r="I21" s="14"/>
      <c r="J21" s="8">
        <f>TONTMAI!F21+TONTMAI!G21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>
        <v>100000</v>
      </c>
      <c r="G22" s="8">
        <v>1000</v>
      </c>
      <c r="H22" s="7"/>
      <c r="I22" s="14"/>
      <c r="J22" s="8">
        <f>TONTMAI!F22+TONTMAI!G22</f>
        <v>106000</v>
      </c>
      <c r="K22" s="7" t="s">
        <v>10</v>
      </c>
      <c r="L22" s="7"/>
      <c r="M22" s="14"/>
      <c r="N22" s="8">
        <f t="shared" si="2"/>
        <v>1305000</v>
      </c>
      <c r="O22" s="8">
        <v>195000</v>
      </c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TONTMAI!F23+TONTMAI!G23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1700000</v>
      </c>
      <c r="D25" s="10">
        <f>SUM(D6:D24)</f>
        <v>0</v>
      </c>
      <c r="E25" s="10"/>
      <c r="F25" s="10">
        <f>SUM(F6:F24)</f>
        <v>1300500</v>
      </c>
      <c r="G25" s="10">
        <f>SUM(G6:G24)</f>
        <v>30000</v>
      </c>
      <c r="H25" s="10"/>
      <c r="I25" s="10"/>
      <c r="J25" s="10">
        <f>SUM(J6:J24)</f>
        <v>905500</v>
      </c>
      <c r="K25" s="10"/>
      <c r="L25" s="10"/>
      <c r="M25" s="10"/>
      <c r="N25" s="10">
        <f>SUM(N6:N24)</f>
        <v>1305000</v>
      </c>
      <c r="O25" s="10">
        <f>SUM(O6:O24)</f>
        <v>195000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2338000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300000</v>
      </c>
      <c r="D29" s="10">
        <f>SUMIFS(J6:J23,K6:K23,"ESPECES")</f>
        <v>127000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427000</v>
      </c>
      <c r="K29" s="10" t="s">
        <v>53</v>
      </c>
      <c r="L29" s="10">
        <f>L27-L28</f>
        <v>838000</v>
      </c>
      <c r="N29" s="10"/>
    </row>
    <row r="30" spans="1:17" ht="18" x14ac:dyDescent="0.25">
      <c r="B30" s="10" t="s">
        <v>10</v>
      </c>
      <c r="C30" s="10">
        <f>SUMIFS(C6:C23,E6:E23,"BANQUE")</f>
        <v>1400000</v>
      </c>
      <c r="D30" s="10">
        <f>SUMIFS(J6:J23,K6:K23,"BANQUE")</f>
        <v>316000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1716000</v>
      </c>
      <c r="K30" s="10" t="s">
        <v>54</v>
      </c>
      <c r="L30" s="10">
        <f>L29-F25</f>
        <v>-462500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1700000</v>
      </c>
      <c r="D32" s="10">
        <f t="shared" ref="D32:G32" si="4">D29+D30</f>
        <v>443000</v>
      </c>
      <c r="E32" s="10">
        <f t="shared" si="4"/>
        <v>0</v>
      </c>
      <c r="F32" s="10">
        <f t="shared" si="4"/>
        <v>0</v>
      </c>
      <c r="G32" s="10">
        <f t="shared" si="4"/>
        <v>2143000</v>
      </c>
      <c r="K32" s="10" t="s">
        <v>64</v>
      </c>
      <c r="L32" s="10">
        <v>100000</v>
      </c>
      <c r="M32" s="3" t="s">
        <v>65</v>
      </c>
    </row>
    <row r="33" spans="2:13" ht="18" x14ac:dyDescent="0.25">
      <c r="B33" s="10"/>
      <c r="C33" s="10"/>
      <c r="D33" s="10"/>
      <c r="K33" s="10" t="s">
        <v>70</v>
      </c>
      <c r="L33" s="10">
        <f>229500+233000</f>
        <v>462500</v>
      </c>
      <c r="M33" s="3" t="s">
        <v>74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195000</v>
      </c>
    </row>
    <row r="36" spans="2:13" ht="18" x14ac:dyDescent="0.25">
      <c r="B36" s="10" t="s">
        <v>21</v>
      </c>
      <c r="C36" s="10">
        <f>+G25</f>
        <v>30000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838000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30" activePane="bottomRight" state="frozen"/>
      <selection activeCell="H8" sqref="H8"/>
      <selection pane="topRight" activeCell="H8" sqref="H8"/>
      <selection pane="bottomLeft" activeCell="H8" sqref="H8"/>
      <selection pane="bottomRight" activeCell="L20" sqref="L2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5.42578125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44031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TONTJUIN!F6+TONTJUIN!G6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TONTJUIN!F7+TONTJUIN!G7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69000</v>
      </c>
      <c r="G8" s="8">
        <v>1500</v>
      </c>
      <c r="H8" s="7"/>
      <c r="I8" s="14"/>
      <c r="J8" s="14">
        <f>TONTJUIN!F8+TONTJUIN!G8</f>
        <v>202000</v>
      </c>
      <c r="K8" s="7" t="s">
        <v>10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TONTJUIN!F9+TONTJUIN!G9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14">
        <f>TONTJUIN!F10+TONTJUIN!G10</f>
        <v>101000</v>
      </c>
      <c r="K10" s="7" t="s">
        <v>18</v>
      </c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TONTJUIN!F11+TONTJUIN!G11</f>
        <v>0</v>
      </c>
      <c r="K11" s="7"/>
      <c r="L11" s="7"/>
      <c r="M11" s="14"/>
      <c r="N11" s="8">
        <f t="shared" si="2"/>
        <v>1255000</v>
      </c>
      <c r="O11" s="8">
        <v>245000</v>
      </c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TONTJUIN!F12+TONTJUIN!G12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14">
        <f>TONTJUIN!F13+TONTJUIN!G13</f>
        <v>202000</v>
      </c>
      <c r="K13" s="7" t="s">
        <v>10</v>
      </c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TONTJUIN!F14+TONTJUIN!G14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v>229500</v>
      </c>
      <c r="G15" s="8"/>
      <c r="H15" s="7"/>
      <c r="I15" s="14"/>
      <c r="J15" s="8">
        <f>TONTJUIN!F15+TONTJUIN!G15</f>
        <v>229500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TONTJUIN!F16+TONTJUIN!G16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/>
      <c r="G17" s="8"/>
      <c r="H17" s="7"/>
      <c r="I17" s="14"/>
      <c r="J17" s="14">
        <f>TONTJUIN!F17+TONTJUIN!G17+233000</f>
        <v>488000</v>
      </c>
      <c r="K17" s="7" t="s">
        <v>18</v>
      </c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TONTJUIN!F18+TONTJUIN!G18</f>
        <v>0</v>
      </c>
      <c r="K18" s="7"/>
      <c r="L18" s="7"/>
      <c r="M18" s="14"/>
      <c r="N18" s="8">
        <f t="shared" si="2"/>
        <v>1254000</v>
      </c>
      <c r="O18" s="8">
        <v>246000</v>
      </c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8"/>
      <c r="H19" s="7"/>
      <c r="I19" s="14"/>
      <c r="J19" s="8">
        <f>TONTJUIN!F19+TONTJUIN!G19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TONTJUIN!F20+TONTJUIN!G20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14">
        <f>TONTJUIN!F21+TONTJUIN!G21</f>
        <v>240000</v>
      </c>
      <c r="K21" s="7" t="s">
        <v>10</v>
      </c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>
        <v>101000</v>
      </c>
      <c r="G22" s="8">
        <v>2000</v>
      </c>
      <c r="H22" s="7"/>
      <c r="I22" s="14"/>
      <c r="J22" s="8">
        <f>TONTJUIN!F22+TONTJUIN!G22</f>
        <v>101000</v>
      </c>
      <c r="K22" s="7" t="s">
        <v>9</v>
      </c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TONTJUIN!F23+TONTJUIN!G23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1600000</v>
      </c>
      <c r="D25" s="10">
        <f>SUM(D6:D24)</f>
        <v>0</v>
      </c>
      <c r="E25" s="10"/>
      <c r="F25" s="10">
        <f>SUM(F6:F24)</f>
        <v>399500</v>
      </c>
      <c r="G25" s="10">
        <f>SUM(G6:G24)</f>
        <v>3500</v>
      </c>
      <c r="H25" s="10"/>
      <c r="I25" s="10"/>
      <c r="J25" s="10">
        <f>SUM(J6:J24)</f>
        <v>1563500</v>
      </c>
      <c r="K25" s="10"/>
      <c r="L25" s="10"/>
      <c r="M25" s="10"/>
      <c r="N25" s="10">
        <f>SUM(N6:N24)</f>
        <v>2509000</v>
      </c>
      <c r="O25" s="10">
        <f>SUM(O6:O24)</f>
        <v>491000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3324000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3000000</v>
      </c>
    </row>
    <row r="29" spans="1:17" ht="18" x14ac:dyDescent="0.25">
      <c r="B29" s="10" t="s">
        <v>18</v>
      </c>
      <c r="C29" s="10">
        <f>SUMIFS(C6:C23,E6:E23,"ESPECES")</f>
        <v>200000</v>
      </c>
      <c r="D29" s="10">
        <f>SUMIFS(J6:J23,K6:K23,"ESPECES")</f>
        <v>589000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789000</v>
      </c>
      <c r="K29" s="10" t="s">
        <v>53</v>
      </c>
      <c r="L29" s="10">
        <f>L27-L28</f>
        <v>324000</v>
      </c>
      <c r="N29" s="10"/>
    </row>
    <row r="30" spans="1:17" ht="18" x14ac:dyDescent="0.25">
      <c r="B30" s="10" t="s">
        <v>10</v>
      </c>
      <c r="C30" s="10">
        <f>SUMIFS(C6:C23,E6:E23,"BANQUE")</f>
        <v>1400000</v>
      </c>
      <c r="D30" s="10">
        <f>SUMIFS(J6:J23,K6:K23,"BANQUE")</f>
        <v>644000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2044000</v>
      </c>
      <c r="K30" s="10" t="s">
        <v>54</v>
      </c>
      <c r="L30" s="10">
        <f>L29-F25</f>
        <v>-75500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1600000</v>
      </c>
      <c r="D32" s="10">
        <f t="shared" ref="D32:G32" si="4">D29+D30</f>
        <v>1233000</v>
      </c>
      <c r="E32" s="10">
        <f t="shared" si="4"/>
        <v>0</v>
      </c>
      <c r="F32" s="10">
        <f t="shared" si="4"/>
        <v>0</v>
      </c>
      <c r="G32" s="10">
        <f t="shared" si="4"/>
        <v>2833000</v>
      </c>
      <c r="L32" s="10"/>
    </row>
    <row r="33" spans="2:13" ht="18" x14ac:dyDescent="0.25">
      <c r="B33" s="10"/>
      <c r="C33" s="10"/>
      <c r="D33" s="10"/>
      <c r="K33" s="10" t="s">
        <v>64</v>
      </c>
      <c r="L33" s="10">
        <v>200000</v>
      </c>
      <c r="M33" s="3" t="s">
        <v>66</v>
      </c>
    </row>
    <row r="34" spans="2:13" ht="18" x14ac:dyDescent="0.25">
      <c r="B34" s="10"/>
      <c r="C34" s="10"/>
      <c r="D34" s="10"/>
      <c r="K34" s="10" t="s">
        <v>70</v>
      </c>
      <c r="L34" s="10">
        <f>229500+101000</f>
        <v>330500</v>
      </c>
    </row>
    <row r="35" spans="2:13" ht="18" x14ac:dyDescent="0.25">
      <c r="B35" s="10" t="s">
        <v>27</v>
      </c>
      <c r="C35" s="10">
        <f>O25</f>
        <v>491000</v>
      </c>
    </row>
    <row r="36" spans="2:13" ht="18" x14ac:dyDescent="0.25">
      <c r="B36" s="10" t="s">
        <v>21</v>
      </c>
      <c r="C36" s="10">
        <f>+G25</f>
        <v>3500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324000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F17" activePane="bottomRight" state="frozen"/>
      <selection activeCell="H8" sqref="H8"/>
      <selection pane="topRight" activeCell="H8" sqref="H8"/>
      <selection pane="bottomLeft" activeCell="H8" sqref="H8"/>
      <selection pane="bottomRight" activeCell="M33" sqref="M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 t="s">
        <v>59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TONTJUIL!F6+TONTJUIL!G6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TONTJUIL!F7+TONTJUIL!G7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229000</v>
      </c>
      <c r="G8" s="8">
        <v>7000</v>
      </c>
      <c r="H8" s="7"/>
      <c r="I8" s="14"/>
      <c r="J8" s="8">
        <f>TONTJUIL!F8+TONTJUIL!G8</f>
        <v>70500</v>
      </c>
      <c r="K8" s="7" t="s">
        <v>10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18</v>
      </c>
      <c r="F9" s="8"/>
      <c r="G9" s="8"/>
      <c r="H9" s="7"/>
      <c r="I9" s="14"/>
      <c r="J9" s="8">
        <f>TONTJUIL!F9+TONTJUIL!G9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TONTJUIL!F10+TONTJUIL!G10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TONTJUIL!F11+TONTJUIL!G11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TONTJUIL!F12+TONTJUIL!G12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TONTJUIL!F13+TONTJUIL!G13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18</v>
      </c>
      <c r="F14" s="8"/>
      <c r="G14" s="8"/>
      <c r="H14" s="7"/>
      <c r="I14" s="14"/>
      <c r="J14" s="8">
        <f>TONTJUIL!F14+TONTJUIL!G14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v>229500</v>
      </c>
      <c r="G15" s="8"/>
      <c r="H15" s="7"/>
      <c r="I15" s="14"/>
      <c r="J15" s="8">
        <f>TONTJUIL!F15+TONTJUIL!G15</f>
        <v>229500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TONTJUIL!F16+TONTJUIL!G16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200000</v>
      </c>
      <c r="G17" s="8">
        <v>12000</v>
      </c>
      <c r="H17" s="7"/>
      <c r="I17" s="14"/>
      <c r="J17" s="8">
        <f>TONTJUIL!F17+TONTJUIL!G17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TONTJUIL!F18+TONTJUIL!G18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18</v>
      </c>
      <c r="F19" s="8"/>
      <c r="G19" s="8"/>
      <c r="H19" s="7"/>
      <c r="I19" s="14"/>
      <c r="J19" s="8">
        <f>TONTJUIL!F19+TONTJUIL!G19</f>
        <v>0</v>
      </c>
      <c r="K19" s="7"/>
      <c r="L19" s="7"/>
      <c r="M19" s="14"/>
      <c r="N19" s="8">
        <f t="shared" si="2"/>
        <v>1340000</v>
      </c>
      <c r="O19" s="8">
        <v>160000</v>
      </c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18</v>
      </c>
      <c r="F20" s="8"/>
      <c r="G20" s="8"/>
      <c r="H20" s="7"/>
      <c r="I20" s="14"/>
      <c r="J20" s="8">
        <f>TONTJUIL!F20+TONTJUIL!G20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TONTJUIL!F21+TONTJUIL!G21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>
        <v>103000</v>
      </c>
      <c r="G22" s="8">
        <v>4000</v>
      </c>
      <c r="H22" s="7"/>
      <c r="I22" s="14"/>
      <c r="J22" s="8">
        <f>TONTJUIL!F22+TONTJUIL!G22</f>
        <v>103000</v>
      </c>
      <c r="K22" s="7" t="s">
        <v>9</v>
      </c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TONTJUIL!F23+TONTJUIL!G23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1700000</v>
      </c>
      <c r="D25" s="10">
        <f>SUM(D6:D24)</f>
        <v>0</v>
      </c>
      <c r="E25" s="10"/>
      <c r="F25" s="10">
        <f>SUM(F6:F24)</f>
        <v>761500</v>
      </c>
      <c r="G25" s="10">
        <f>SUM(G6:G24)</f>
        <v>23000</v>
      </c>
      <c r="H25" s="10"/>
      <c r="I25" s="10"/>
      <c r="J25" s="10">
        <f>SUM(J6:J24)</f>
        <v>403000</v>
      </c>
      <c r="K25" s="10"/>
      <c r="L25" s="10"/>
      <c r="M25" s="10"/>
      <c r="N25" s="10">
        <f>SUM(N6:N24)</f>
        <v>1340000</v>
      </c>
      <c r="O25" s="10">
        <f>SUM(O6:O24)</f>
        <v>160000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1930500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700000</v>
      </c>
      <c r="D29" s="10">
        <f>SUMIFS(J6:J23,K6:K23,"ESPECES")</f>
        <v>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700000</v>
      </c>
      <c r="K29" s="10" t="s">
        <v>53</v>
      </c>
      <c r="L29" s="10">
        <f>L27-L28</f>
        <v>430500</v>
      </c>
      <c r="N29" s="10"/>
    </row>
    <row r="30" spans="1:17" ht="18" x14ac:dyDescent="0.25">
      <c r="B30" s="10" t="s">
        <v>10</v>
      </c>
      <c r="C30" s="10">
        <f>SUMIFS(C6:C23,E6:E23,"BANQUE")</f>
        <v>1000000</v>
      </c>
      <c r="D30" s="10">
        <f>SUMIFS(J6:J23,K6:K23,"BANQUE")</f>
        <v>70500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1070500</v>
      </c>
      <c r="K30" s="10" t="s">
        <v>54</v>
      </c>
      <c r="L30" s="10">
        <f>L29-F25</f>
        <v>-331000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1700000</v>
      </c>
      <c r="D32" s="10">
        <f t="shared" ref="D32:G32" si="4">D29+D30</f>
        <v>70500</v>
      </c>
      <c r="E32" s="10">
        <f t="shared" si="4"/>
        <v>0</v>
      </c>
      <c r="F32" s="10">
        <f t="shared" si="4"/>
        <v>0</v>
      </c>
      <c r="G32" s="10">
        <f t="shared" si="4"/>
        <v>1770500</v>
      </c>
      <c r="K32" s="10" t="s">
        <v>64</v>
      </c>
      <c r="L32" s="10">
        <v>100000</v>
      </c>
      <c r="M32" s="3" t="s">
        <v>65</v>
      </c>
    </row>
    <row r="33" spans="2:13" ht="18" x14ac:dyDescent="0.25">
      <c r="B33" s="10"/>
      <c r="C33" s="10"/>
      <c r="D33" s="10"/>
      <c r="K33" s="10" t="s">
        <v>70</v>
      </c>
      <c r="L33" s="10">
        <f>229500+103000</f>
        <v>332500</v>
      </c>
      <c r="M33" s="3" t="s">
        <v>75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160000</v>
      </c>
    </row>
    <row r="36" spans="2:13" ht="18" x14ac:dyDescent="0.25">
      <c r="B36" s="10" t="s">
        <v>21</v>
      </c>
      <c r="C36" s="10">
        <f>+G25</f>
        <v>23000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430500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C6" activePane="bottomRight" state="frozen"/>
      <selection activeCell="H8" sqref="H8"/>
      <selection pane="topRight" activeCell="H8" sqref="H8"/>
      <selection pane="bottomLeft" activeCell="H8" sqref="H8"/>
      <selection pane="bottomRight" activeCell="C14" sqref="C1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44094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TONTAOUT!F6+TONTAOUT!G6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TONTAOUT!F7+TONTAOUT!G7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18</v>
      </c>
      <c r="F8" s="8">
        <v>136000</v>
      </c>
      <c r="G8" s="8">
        <v>5000</v>
      </c>
      <c r="H8" s="7"/>
      <c r="I8" s="14"/>
      <c r="J8" s="8">
        <f>TONTAOUT!F8+TONTAOUT!G8</f>
        <v>236000</v>
      </c>
      <c r="K8" s="7" t="s">
        <v>18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TONTAOUT!F9+TONTAOUT!G9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8"/>
      <c r="H10" s="7"/>
      <c r="I10" s="14"/>
      <c r="J10" s="8">
        <f>TONTAOUT!F10+TONTAOUT!G10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TONTAOUT!F11+TONTAOUT!G11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/>
      <c r="G12" s="8"/>
      <c r="H12" s="7"/>
      <c r="I12" s="14"/>
      <c r="J12" s="8">
        <f>TONTAOUT!F12+TONTAOUT!G12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TONTAOUT!F13+TONTAOUT!G13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/>
      <c r="G14" s="8"/>
      <c r="H14" s="7"/>
      <c r="I14" s="14"/>
      <c r="J14" s="8">
        <f>TONTAOUT!F14+TONTAOUT!G14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v>229500</v>
      </c>
      <c r="G15" s="8"/>
      <c r="H15" s="7"/>
      <c r="I15" s="14"/>
      <c r="J15" s="8">
        <f>TONTAOUT!F15+TONTAOUT!G15</f>
        <v>229500</v>
      </c>
      <c r="K15" s="7" t="s">
        <v>9</v>
      </c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8"/>
      <c r="H16" s="7"/>
      <c r="I16" s="14"/>
      <c r="J16" s="8">
        <f>TONTAOUT!F16+TONTAOUT!G16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>
        <v>212000</v>
      </c>
      <c r="G17" s="8">
        <v>24000</v>
      </c>
      <c r="H17" s="7"/>
      <c r="I17" s="14"/>
      <c r="J17" s="8">
        <f>TONTAOUT!F17+TONTAOUT!G17</f>
        <v>212000</v>
      </c>
      <c r="K17" s="7" t="s">
        <v>9</v>
      </c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/>
      <c r="G18" s="8"/>
      <c r="H18" s="7"/>
      <c r="I18" s="14"/>
      <c r="J18" s="8">
        <f>TONTAOUT!F18+TONTAOUT!G18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v>200000</v>
      </c>
      <c r="G19" s="8">
        <v>8000</v>
      </c>
      <c r="H19" s="7"/>
      <c r="I19" s="14"/>
      <c r="J19" s="8">
        <f>TONTAOUT!F19+TONTAOUT!G19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TONTAOUT!F20+TONTAOUT!G20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8"/>
      <c r="H21" s="7"/>
      <c r="I21" s="14"/>
      <c r="J21" s="8">
        <f>TONTAOUT!F21+TONTAOUT!G21</f>
        <v>0</v>
      </c>
      <c r="K21" s="7"/>
      <c r="L21" s="7"/>
      <c r="M21" s="14"/>
      <c r="N21" s="8">
        <f t="shared" si="2"/>
        <v>1400000</v>
      </c>
      <c r="O21" s="8">
        <v>100000</v>
      </c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107000</v>
      </c>
      <c r="G22" s="8"/>
      <c r="H22" s="7"/>
      <c r="I22" s="14"/>
      <c r="J22" s="8">
        <f>TONTAOUT!F22+TONTAOUT!G22</f>
        <v>107000</v>
      </c>
      <c r="K22" s="7" t="s">
        <v>9</v>
      </c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TONTAOUT!F23+TONTAOUT!G23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1500000</v>
      </c>
      <c r="D25" s="10">
        <f>SUM(D6:D24)</f>
        <v>0</v>
      </c>
      <c r="E25" s="10"/>
      <c r="F25" s="10">
        <f>SUM(F6:F24)</f>
        <v>884500</v>
      </c>
      <c r="G25" s="10">
        <f>SUM(G6:G24)</f>
        <v>37000</v>
      </c>
      <c r="H25" s="10"/>
      <c r="I25" s="10"/>
      <c r="J25" s="10">
        <f>SUM(J6:J24)</f>
        <v>784500</v>
      </c>
      <c r="K25" s="10"/>
      <c r="L25" s="10"/>
      <c r="M25" s="10"/>
      <c r="N25" s="10">
        <f>SUM(N6:N24)</f>
        <v>1400000</v>
      </c>
      <c r="O25" s="10">
        <f>SUM(O6:O24)</f>
        <v>100000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1836000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100000</v>
      </c>
      <c r="D29" s="10">
        <f>SUMIFS(J6:J23,K6:K23,"ESPECES")</f>
        <v>236000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336000</v>
      </c>
      <c r="K29" s="10" t="s">
        <v>53</v>
      </c>
      <c r="L29" s="10">
        <f>L27-L28</f>
        <v>336000</v>
      </c>
      <c r="N29" s="10"/>
    </row>
    <row r="30" spans="1:17" ht="18" x14ac:dyDescent="0.25">
      <c r="B30" s="10" t="s">
        <v>10</v>
      </c>
      <c r="C30" s="10">
        <f>SUMIFS(C6:C23,E6:E23,"BANQUE")</f>
        <v>1400000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1400000</v>
      </c>
      <c r="K30" s="10" t="s">
        <v>54</v>
      </c>
      <c r="L30" s="10">
        <f>L29-F25</f>
        <v>-548500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1500000</v>
      </c>
      <c r="D32" s="10">
        <f t="shared" ref="D32:G32" si="4">D29+D30</f>
        <v>236000</v>
      </c>
      <c r="E32" s="10">
        <f t="shared" si="4"/>
        <v>0</v>
      </c>
      <c r="F32" s="10">
        <f t="shared" si="4"/>
        <v>0</v>
      </c>
      <c r="G32" s="10">
        <f t="shared" si="4"/>
        <v>1736000</v>
      </c>
      <c r="K32" s="10" t="s">
        <v>64</v>
      </c>
      <c r="L32" s="10">
        <v>300000</v>
      </c>
      <c r="M32" s="3" t="s">
        <v>76</v>
      </c>
    </row>
    <row r="33" spans="2:13" ht="18" x14ac:dyDescent="0.25">
      <c r="B33" s="10"/>
      <c r="C33" s="10"/>
      <c r="D33" s="10"/>
      <c r="K33" s="10" t="s">
        <v>70</v>
      </c>
      <c r="L33" s="10">
        <f>+F15+F17+F22</f>
        <v>548500</v>
      </c>
      <c r="M33" s="3" t="s">
        <v>77</v>
      </c>
    </row>
    <row r="34" spans="2:13" ht="18" x14ac:dyDescent="0.25">
      <c r="B34" s="10"/>
      <c r="C34" s="10"/>
      <c r="D34" s="10"/>
    </row>
    <row r="35" spans="2:13" ht="18" x14ac:dyDescent="0.25">
      <c r="B35" s="10" t="s">
        <v>27</v>
      </c>
      <c r="C35" s="10">
        <f>O25</f>
        <v>100000</v>
      </c>
    </row>
    <row r="36" spans="2:13" ht="18" x14ac:dyDescent="0.25">
      <c r="B36" s="10" t="s">
        <v>21</v>
      </c>
      <c r="C36" s="10">
        <f>+G25</f>
        <v>37000</v>
      </c>
    </row>
    <row r="38" spans="2:13" ht="18" x14ac:dyDescent="0.25">
      <c r="B38" s="6" t="s">
        <v>6</v>
      </c>
      <c r="C38" s="10">
        <v>1500000</v>
      </c>
    </row>
    <row r="39" spans="2:13" ht="29.25" x14ac:dyDescent="0.25">
      <c r="B39" s="12" t="s">
        <v>33</v>
      </c>
      <c r="C39" s="13">
        <f>L29</f>
        <v>336000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tabSelected="1" workbookViewId="0">
      <pane xSplit="2" ySplit="5" topLeftCell="C6" activePane="bottomRight" state="frozen"/>
      <selection activeCell="H8" sqref="H8"/>
      <selection pane="topRight" activeCell="H8" sqref="H8"/>
      <selection pane="bottomLeft" activeCell="H8" sqref="H8"/>
      <selection pane="bottomRight" activeCell="C12" sqref="C1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44122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8"/>
      <c r="H6" s="7"/>
      <c r="I6" s="14"/>
      <c r="J6" s="8">
        <f>TONTSEPT!F6+TONTSEPT!G6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8"/>
      <c r="H7" s="7"/>
      <c r="I7" s="14"/>
      <c r="J7" s="8">
        <f>TONTSEPT!F7+TONTSEPT!G7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v>200000</v>
      </c>
      <c r="G8" s="8">
        <v>6000</v>
      </c>
      <c r="H8" s="7"/>
      <c r="I8" s="14"/>
      <c r="J8" s="8">
        <f>TONTSEPT!F8+TONTSEPT!G8</f>
        <v>141000</v>
      </c>
      <c r="K8" s="7" t="s">
        <v>18</v>
      </c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8"/>
      <c r="H9" s="7"/>
      <c r="I9" s="14"/>
      <c r="J9" s="8">
        <f>TONTSEPT!F9+TONTSEPT!G9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>IF(E10="ECHEC",0,IF(E10="",0,100000))</f>
        <v>100000</v>
      </c>
      <c r="D10" s="8">
        <f t="shared" si="1"/>
        <v>0</v>
      </c>
      <c r="E10" s="7" t="s">
        <v>10</v>
      </c>
      <c r="F10" s="8">
        <v>159000</v>
      </c>
      <c r="G10" s="8">
        <v>2500</v>
      </c>
      <c r="H10" s="7"/>
      <c r="I10" s="14"/>
      <c r="J10" s="8">
        <f>TONTSEPT!F10+TONTSEPT!G10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>IF(E11="ECHEC",0,IF(E11="",0,100000))</f>
        <v>100000</v>
      </c>
      <c r="D11" s="8">
        <f t="shared" si="1"/>
        <v>0</v>
      </c>
      <c r="E11" s="7" t="s">
        <v>10</v>
      </c>
      <c r="F11" s="8"/>
      <c r="G11" s="8"/>
      <c r="H11" s="7"/>
      <c r="I11" s="14"/>
      <c r="J11" s="8">
        <f>TONTSEPT!F11+TONTSEPT!G11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>IF(E12="ECHEC",0,IF(E12="",0,100000))+100000</f>
        <v>200000</v>
      </c>
      <c r="D12" s="8">
        <f t="shared" si="1"/>
        <v>0</v>
      </c>
      <c r="E12" s="7" t="s">
        <v>10</v>
      </c>
      <c r="F12" s="8"/>
      <c r="G12" s="8"/>
      <c r="H12" s="7"/>
      <c r="I12" s="14"/>
      <c r="J12" s="8">
        <f>TONTSEPT!F12+TONTSEPT!G12</f>
        <v>0</v>
      </c>
      <c r="K12" s="7"/>
      <c r="L12" s="7"/>
      <c r="M12" s="14"/>
      <c r="N12" s="8">
        <f t="shared" si="2"/>
        <v>1390000</v>
      </c>
      <c r="O12" s="8">
        <v>110000</v>
      </c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8"/>
      <c r="H13" s="7"/>
      <c r="I13" s="14"/>
      <c r="J13" s="8">
        <f>TONTSEPT!F13+TONTSEPT!G13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>IF(E14="ECHEC",0,IF(E14="",0,100000))+100000</f>
        <v>200000</v>
      </c>
      <c r="D14" s="8">
        <f t="shared" si="1"/>
        <v>0</v>
      </c>
      <c r="E14" s="7" t="s">
        <v>10</v>
      </c>
      <c r="F14" s="8"/>
      <c r="G14" s="8"/>
      <c r="H14" s="7"/>
      <c r="I14" s="14"/>
      <c r="J14" s="8">
        <f>TONTSEPT!F14+TONTSEPT!G14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v>229500</v>
      </c>
      <c r="G15" s="8"/>
      <c r="H15" s="7"/>
      <c r="I15" s="14"/>
      <c r="J15" s="8">
        <f>TONTSEPT!F15+TONTSEPT!G15</f>
        <v>229500</v>
      </c>
      <c r="K15" s="7"/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v>100000</v>
      </c>
      <c r="G16" s="8">
        <v>1000</v>
      </c>
      <c r="H16" s="7"/>
      <c r="I16" s="14"/>
      <c r="J16" s="8">
        <f>TONTSEPT!F16+TONTSEPT!G16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236000</v>
      </c>
      <c r="G17" s="8"/>
      <c r="H17" s="7"/>
      <c r="I17" s="14"/>
      <c r="J17" s="8">
        <f>TONTSEPT!F17+TONTSEPT!G17</f>
        <v>236000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/>
      <c r="G18" s="8"/>
      <c r="H18" s="7"/>
      <c r="I18" s="14"/>
      <c r="J18" s="8">
        <f>TONTSEPT!F18+TONTSEPT!G18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v>208000</v>
      </c>
      <c r="G19" s="8"/>
      <c r="H19" s="7"/>
      <c r="I19" s="14"/>
      <c r="J19" s="8">
        <f>TONTSEPT!F19+TONTSEPT!G19</f>
        <v>208000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8"/>
      <c r="H20" s="7"/>
      <c r="I20" s="14"/>
      <c r="J20" s="8">
        <f>TONTSEPT!F20+TONTSEPT!G20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v>200000</v>
      </c>
      <c r="G21" s="8">
        <v>4500</v>
      </c>
      <c r="H21" s="7"/>
      <c r="I21" s="14"/>
      <c r="J21" s="8">
        <f>TONTSEPT!F21+TONTSEPT!G21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>
        <v>107000</v>
      </c>
      <c r="G22" s="8"/>
      <c r="H22" s="7"/>
      <c r="I22" s="14"/>
      <c r="J22" s="8">
        <f>TONTSEPT!F22+TONTSEPT!G22</f>
        <v>107000</v>
      </c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8"/>
      <c r="H23" s="7"/>
      <c r="I23" s="7"/>
      <c r="J23" s="8">
        <f>TONTSEPT!F23+TONTSEPT!G23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1900000</v>
      </c>
      <c r="D25" s="10">
        <f>SUM(D6:D24)</f>
        <v>0</v>
      </c>
      <c r="E25" s="10"/>
      <c r="F25" s="10">
        <f>SUM(F6:F24)</f>
        <v>1439500</v>
      </c>
      <c r="G25" s="10">
        <f>SUM(G6:G24)</f>
        <v>14000</v>
      </c>
      <c r="H25" s="10"/>
      <c r="I25" s="10"/>
      <c r="J25" s="10">
        <f>SUM(J6:J24)</f>
        <v>921500</v>
      </c>
      <c r="K25" s="10"/>
      <c r="L25" s="10"/>
      <c r="M25" s="10"/>
      <c r="N25" s="10">
        <f>SUM(N6:N24)</f>
        <v>1390000</v>
      </c>
      <c r="O25" s="10">
        <f>SUM(O6:O24)</f>
        <v>110000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2151000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300000</v>
      </c>
      <c r="D29" s="10">
        <f>SUMIFS(J6:J23,K6:K23,"ESPECES")</f>
        <v>141000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441000</v>
      </c>
      <c r="K29" s="10" t="s">
        <v>53</v>
      </c>
      <c r="L29" s="10">
        <f>L27-L28+8000</f>
        <v>659000</v>
      </c>
      <c r="N29" s="10"/>
    </row>
    <row r="30" spans="1:17" ht="18" x14ac:dyDescent="0.25">
      <c r="B30" s="10" t="s">
        <v>10</v>
      </c>
      <c r="C30" s="10">
        <f>SUMIFS(C6:C23,E6:E23,"BANQUE")</f>
        <v>1600000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1600000</v>
      </c>
      <c r="K30" s="10" t="s">
        <v>54</v>
      </c>
      <c r="L30" s="10">
        <f>L29-F25</f>
        <v>-780500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1900000</v>
      </c>
      <c r="D32" s="10">
        <f t="shared" ref="D32:G32" si="4">D29+D30</f>
        <v>141000</v>
      </c>
      <c r="E32" s="10">
        <f t="shared" si="4"/>
        <v>0</v>
      </c>
      <c r="F32" s="10">
        <f t="shared" si="4"/>
        <v>0</v>
      </c>
      <c r="G32" s="10">
        <f t="shared" si="4"/>
        <v>2041000</v>
      </c>
      <c r="K32" s="10" t="s">
        <v>64</v>
      </c>
      <c r="L32" s="10">
        <v>100000</v>
      </c>
      <c r="M32" s="3" t="s">
        <v>78</v>
      </c>
    </row>
    <row r="33" spans="2:12" ht="18" x14ac:dyDescent="0.25">
      <c r="B33" s="10"/>
      <c r="C33" s="10"/>
      <c r="D33" s="10"/>
      <c r="K33" s="10" t="s">
        <v>70</v>
      </c>
      <c r="L33" s="10">
        <v>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110000</v>
      </c>
    </row>
    <row r="36" spans="2:12" ht="18" x14ac:dyDescent="0.25">
      <c r="B36" s="10" t="s">
        <v>21</v>
      </c>
      <c r="C36" s="10">
        <f>+G25</f>
        <v>14000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659000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K6:L17 H6:I23 E6:E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C27" activePane="bottomRight" state="frozen"/>
      <selection activeCell="H8" sqref="H8"/>
      <selection pane="topRight" activeCell="H8" sqref="H8"/>
      <selection pane="bottomLeft" activeCell="H8" sqref="H8"/>
      <selection pane="bottomRight" activeCell="K32" sqref="K32:L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44150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0</v>
      </c>
      <c r="D6" s="8">
        <f t="shared" ref="D6:D23" si="1">IF(E6="ESPECES",0,0)</f>
        <v>0</v>
      </c>
      <c r="E6" s="7" t="s">
        <v>9</v>
      </c>
      <c r="F6" s="8"/>
      <c r="G6" s="8"/>
      <c r="H6" s="7"/>
      <c r="I6" s="14"/>
      <c r="J6" s="8">
        <f>TONT0CT!F6+TONT0CT!G6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0</v>
      </c>
      <c r="D7" s="8">
        <f t="shared" si="1"/>
        <v>0</v>
      </c>
      <c r="E7" s="7" t="s">
        <v>9</v>
      </c>
      <c r="F7" s="8"/>
      <c r="G7" s="8"/>
      <c r="H7" s="7"/>
      <c r="I7" s="14"/>
      <c r="J7" s="8">
        <f>TONT0CT!F7+TONT0CT!G7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0</v>
      </c>
      <c r="D8" s="8">
        <f t="shared" si="1"/>
        <v>0</v>
      </c>
      <c r="E8" s="7" t="s">
        <v>9</v>
      </c>
      <c r="F8" s="8"/>
      <c r="G8" s="8"/>
      <c r="H8" s="7"/>
      <c r="I8" s="14"/>
      <c r="J8" s="8">
        <f>TONT0CT!F8+TONT0CT!G8</f>
        <v>206000</v>
      </c>
      <c r="K8" s="7"/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0</v>
      </c>
      <c r="D9" s="8">
        <f t="shared" si="1"/>
        <v>0</v>
      </c>
      <c r="E9" s="7" t="s">
        <v>9</v>
      </c>
      <c r="F9" s="8"/>
      <c r="G9" s="8"/>
      <c r="H9" s="7"/>
      <c r="I9" s="14"/>
      <c r="J9" s="8">
        <f>TONT0CT!F9+TONT0CT!G9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0</v>
      </c>
      <c r="D10" s="8">
        <f t="shared" si="1"/>
        <v>0</v>
      </c>
      <c r="E10" s="7" t="s">
        <v>9</v>
      </c>
      <c r="F10" s="8"/>
      <c r="G10" s="8"/>
      <c r="H10" s="7"/>
      <c r="I10" s="14"/>
      <c r="J10" s="8">
        <f>TONT0CT!F10+TONT0CT!G10</f>
        <v>161500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0</v>
      </c>
      <c r="D11" s="8">
        <f t="shared" si="1"/>
        <v>0</v>
      </c>
      <c r="E11" s="7" t="s">
        <v>9</v>
      </c>
      <c r="F11" s="8"/>
      <c r="G11" s="8"/>
      <c r="H11" s="7"/>
      <c r="I11" s="14"/>
      <c r="J11" s="8">
        <f>TONT0CT!F11+TONT0CT!G11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/>
      <c r="G12" s="8"/>
      <c r="H12" s="7"/>
      <c r="I12" s="14"/>
      <c r="J12" s="8">
        <f>TONT0CT!F12+TONT0CT!G12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0</v>
      </c>
      <c r="D13" s="8">
        <f t="shared" si="1"/>
        <v>0</v>
      </c>
      <c r="E13" s="7" t="s">
        <v>9</v>
      </c>
      <c r="F13" s="8"/>
      <c r="G13" s="8"/>
      <c r="H13" s="7"/>
      <c r="I13" s="14"/>
      <c r="J13" s="8">
        <f>TONT0CT!F13+TONT0CT!G13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/>
      <c r="G14" s="8"/>
      <c r="H14" s="7"/>
      <c r="I14" s="14"/>
      <c r="J14" s="8">
        <f>TONT0CT!F14+TONT0CT!G14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/>
      <c r="G15" s="8"/>
      <c r="H15" s="7"/>
      <c r="I15" s="14"/>
      <c r="J15" s="8">
        <f>TONT0CT!F15+TONT0CT!G15</f>
        <v>229500</v>
      </c>
      <c r="K15" s="7"/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0</v>
      </c>
      <c r="D16" s="8">
        <f t="shared" si="1"/>
        <v>0</v>
      </c>
      <c r="E16" s="7" t="s">
        <v>9</v>
      </c>
      <c r="F16" s="8"/>
      <c r="G16" s="8"/>
      <c r="H16" s="7"/>
      <c r="I16" s="14"/>
      <c r="J16" s="8">
        <f>TONT0CT!F16+TONT0CT!G16</f>
        <v>101000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0</v>
      </c>
      <c r="D17" s="8">
        <f t="shared" si="1"/>
        <v>0</v>
      </c>
      <c r="E17" s="7" t="s">
        <v>9</v>
      </c>
      <c r="F17" s="8"/>
      <c r="G17" s="8"/>
      <c r="H17" s="7"/>
      <c r="I17" s="14"/>
      <c r="J17" s="8">
        <f>TONT0CT!F17+TONT0CT!G17</f>
        <v>236000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0</v>
      </c>
      <c r="D18" s="8">
        <f t="shared" si="1"/>
        <v>0</v>
      </c>
      <c r="E18" s="7" t="s">
        <v>9</v>
      </c>
      <c r="F18" s="8"/>
      <c r="G18" s="8"/>
      <c r="H18" s="7"/>
      <c r="I18" s="14"/>
      <c r="J18" s="8">
        <f>TONT0CT!F18+TONT0CT!G18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0</v>
      </c>
      <c r="D19" s="8">
        <f t="shared" si="1"/>
        <v>0</v>
      </c>
      <c r="E19" s="7" t="s">
        <v>9</v>
      </c>
      <c r="F19" s="8"/>
      <c r="G19" s="8"/>
      <c r="H19" s="7"/>
      <c r="I19" s="14"/>
      <c r="J19" s="8">
        <f>TONT0CT!F19+TONT0CT!G19</f>
        <v>208000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0</v>
      </c>
      <c r="D20" s="8">
        <f t="shared" si="1"/>
        <v>0</v>
      </c>
      <c r="E20" s="7" t="s">
        <v>9</v>
      </c>
      <c r="F20" s="8"/>
      <c r="G20" s="8"/>
      <c r="H20" s="7"/>
      <c r="I20" s="14"/>
      <c r="J20" s="8">
        <f>TONT0CT!F20+TONT0CT!G20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0</v>
      </c>
      <c r="D21" s="8">
        <f t="shared" si="1"/>
        <v>0</v>
      </c>
      <c r="E21" s="7" t="s">
        <v>9</v>
      </c>
      <c r="F21" s="8"/>
      <c r="G21" s="8"/>
      <c r="H21" s="7"/>
      <c r="I21" s="14"/>
      <c r="J21" s="8">
        <f>TONT0CT!F21+TONT0CT!G21</f>
        <v>204500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/>
      <c r="G22" s="8"/>
      <c r="H22" s="7"/>
      <c r="I22" s="14"/>
      <c r="J22" s="8">
        <f>TONT0CT!F22+TONT0CT!G22</f>
        <v>107000</v>
      </c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9</v>
      </c>
      <c r="F23" s="8"/>
      <c r="G23" s="8"/>
      <c r="H23" s="7"/>
      <c r="I23" s="7"/>
      <c r="J23" s="8">
        <f>TONT0CT!F23+TONT0CT!G23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0</v>
      </c>
      <c r="D25" s="10">
        <f>SUM(D6:D24)</f>
        <v>0</v>
      </c>
      <c r="E25" s="10"/>
      <c r="F25" s="10">
        <f>SUM(F6:F24)</f>
        <v>0</v>
      </c>
      <c r="G25" s="10">
        <f>SUM(G6:G24)</f>
        <v>0</v>
      </c>
      <c r="H25" s="10"/>
      <c r="I25" s="10"/>
      <c r="J25" s="10">
        <f>SUM(J6:J24)</f>
        <v>1453500</v>
      </c>
      <c r="K25" s="10"/>
      <c r="L25" s="10"/>
      <c r="M25" s="10"/>
      <c r="N25" s="10">
        <f>SUM(N6:N24)</f>
        <v>0</v>
      </c>
      <c r="O25" s="10">
        <f>SUM(O6:O24)</f>
        <v>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0</v>
      </c>
      <c r="D29" s="10">
        <f>SUMIFS(J6:J23,K6:K23,"ESPECES")</f>
        <v>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0</v>
      </c>
      <c r="K29" s="10" t="s">
        <v>53</v>
      </c>
      <c r="L29" s="10">
        <f>L27-L28</f>
        <v>-1500000</v>
      </c>
      <c r="N29" s="10"/>
    </row>
    <row r="30" spans="1:17" ht="18" x14ac:dyDescent="0.25">
      <c r="B30" s="10" t="s">
        <v>10</v>
      </c>
      <c r="C30" s="10">
        <f>SUMIFS(C6:C23,E6:E23,"BANQUE")</f>
        <v>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0</v>
      </c>
      <c r="K30" s="10" t="s">
        <v>54</v>
      </c>
      <c r="L30" s="10">
        <f>L29-F25</f>
        <v>-1500000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0</v>
      </c>
      <c r="D32" s="10">
        <f t="shared" ref="D32:G32" si="4">D29+D30</f>
        <v>0</v>
      </c>
      <c r="E32" s="10">
        <f t="shared" si="4"/>
        <v>0</v>
      </c>
      <c r="F32" s="10">
        <f t="shared" si="4"/>
        <v>0</v>
      </c>
      <c r="G32" s="10">
        <f t="shared" si="4"/>
        <v>0</v>
      </c>
      <c r="K32" s="10" t="s">
        <v>64</v>
      </c>
      <c r="L32" s="10">
        <v>0</v>
      </c>
    </row>
    <row r="33" spans="2:12" ht="18" x14ac:dyDescent="0.25">
      <c r="B33" s="10"/>
      <c r="C33" s="10"/>
      <c r="D33" s="10"/>
      <c r="K33" s="10" t="s">
        <v>70</v>
      </c>
      <c r="L33" s="10">
        <v>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0</v>
      </c>
    </row>
    <row r="36" spans="2:12" ht="18" x14ac:dyDescent="0.25">
      <c r="B36" s="10" t="s">
        <v>21</v>
      </c>
      <c r="C36" s="10">
        <f>+G25</f>
        <v>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-1500000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xSplit="2" ySplit="5" topLeftCell="C32" activePane="bottomRight" state="frozen"/>
      <selection activeCell="H8" sqref="H8"/>
      <selection pane="topRight" activeCell="H8" sqref="H8"/>
      <selection pane="bottomLeft" activeCell="H8" sqref="H8"/>
      <selection pane="bottomRight" activeCell="K32" sqref="K32:L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0" width="17.42578125" customWidth="1"/>
    <col min="11" max="11" width="17.5703125" style="3" bestFit="1" customWidth="1"/>
    <col min="12" max="12" width="17.5703125" style="3" customWidth="1"/>
    <col min="13" max="13" width="15.42578125" style="3" customWidth="1"/>
    <col min="14" max="14" width="17.5703125" style="3" customWidth="1"/>
    <col min="15" max="15" width="19" bestFit="1" customWidth="1"/>
    <col min="16" max="16" width="12.85546875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57</v>
      </c>
    </row>
    <row r="3" spans="1:17" x14ac:dyDescent="0.25">
      <c r="A3" s="1" t="s">
        <v>3</v>
      </c>
      <c r="B3" s="4">
        <v>100000</v>
      </c>
    </row>
    <row r="4" spans="1:17" ht="18" x14ac:dyDescent="0.25">
      <c r="B4" s="5"/>
      <c r="C4" s="33">
        <v>44185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28</v>
      </c>
      <c r="G5" s="6" t="s">
        <v>21</v>
      </c>
      <c r="H5" s="24" t="s">
        <v>29</v>
      </c>
      <c r="I5" s="24" t="s">
        <v>55</v>
      </c>
      <c r="J5" s="24" t="s">
        <v>8</v>
      </c>
      <c r="K5" s="24" t="s">
        <v>22</v>
      </c>
      <c r="L5" s="6" t="s">
        <v>24</v>
      </c>
      <c r="M5" s="24" t="s">
        <v>55</v>
      </c>
      <c r="N5" s="6" t="s">
        <v>26</v>
      </c>
      <c r="O5" s="4" t="s">
        <v>27</v>
      </c>
      <c r="P5" s="6" t="s">
        <v>30</v>
      </c>
      <c r="Q5" s="6"/>
    </row>
    <row r="6" spans="1:17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0</v>
      </c>
      <c r="D6" s="8">
        <f t="shared" ref="D6:D23" si="1">IF(E6="ESPECES",0,0)</f>
        <v>0</v>
      </c>
      <c r="E6" s="7" t="s">
        <v>9</v>
      </c>
      <c r="F6" s="8"/>
      <c r="G6" s="8"/>
      <c r="H6" s="7"/>
      <c r="I6" s="14"/>
      <c r="J6" s="8">
        <f>TONTNOV20!F6+TONTNOV20!G6</f>
        <v>0</v>
      </c>
      <c r="K6" s="7"/>
      <c r="L6" s="7"/>
      <c r="M6" s="14"/>
      <c r="N6" s="8">
        <f t="shared" ref="N6:N23" si="2">IF(O6=0,0,($C$38-O6))</f>
        <v>0</v>
      </c>
      <c r="O6" s="8"/>
      <c r="P6" s="23"/>
      <c r="Q6" s="8"/>
    </row>
    <row r="7" spans="1:17" x14ac:dyDescent="0.25">
      <c r="A7" s="1" t="s">
        <v>35</v>
      </c>
      <c r="B7" s="1" t="str">
        <f>VLOOKUP(A7,[1]LISTADHERENT!A$5:H$60,3,0)</f>
        <v>HOTCHO BENJAMIN</v>
      </c>
      <c r="C7" s="8">
        <f t="shared" si="0"/>
        <v>0</v>
      </c>
      <c r="D7" s="8">
        <f t="shared" si="1"/>
        <v>0</v>
      </c>
      <c r="E7" s="7" t="s">
        <v>9</v>
      </c>
      <c r="F7" s="8"/>
      <c r="G7" s="8"/>
      <c r="H7" s="7"/>
      <c r="I7" s="14"/>
      <c r="J7" s="8">
        <f>TONTNOV20!F7+TONTNOV20!G7</f>
        <v>0</v>
      </c>
      <c r="K7" s="7"/>
      <c r="L7" s="7"/>
      <c r="M7" s="14"/>
      <c r="N7" s="8">
        <f t="shared" si="2"/>
        <v>0</v>
      </c>
      <c r="O7" s="8"/>
      <c r="P7" s="11"/>
    </row>
    <row r="8" spans="1:17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0</v>
      </c>
      <c r="D8" s="8">
        <f t="shared" si="1"/>
        <v>0</v>
      </c>
      <c r="E8" s="7" t="s">
        <v>9</v>
      </c>
      <c r="F8" s="8"/>
      <c r="G8" s="8"/>
      <c r="H8" s="7"/>
      <c r="I8" s="14"/>
      <c r="J8" s="8">
        <f>TONTNOV20!F8+TONTNOV20!G8</f>
        <v>0</v>
      </c>
      <c r="K8" s="7"/>
      <c r="L8" s="7"/>
      <c r="M8" s="14"/>
      <c r="N8" s="8">
        <f t="shared" si="2"/>
        <v>0</v>
      </c>
      <c r="O8" s="8"/>
      <c r="P8" s="23"/>
      <c r="Q8" s="8"/>
    </row>
    <row r="9" spans="1:17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0</v>
      </c>
      <c r="D9" s="8">
        <f t="shared" si="1"/>
        <v>0</v>
      </c>
      <c r="E9" s="7" t="s">
        <v>9</v>
      </c>
      <c r="F9" s="8"/>
      <c r="G9" s="8"/>
      <c r="H9" s="7"/>
      <c r="I9" s="14"/>
      <c r="J9" s="8">
        <f>TONTNOV20!F9+TONTNOV20!G9</f>
        <v>0</v>
      </c>
      <c r="K9" s="7"/>
      <c r="L9" s="7"/>
      <c r="M9" s="14"/>
      <c r="N9" s="8">
        <f t="shared" si="2"/>
        <v>0</v>
      </c>
      <c r="O9" s="8"/>
      <c r="P9" s="23"/>
      <c r="Q9" s="8"/>
    </row>
    <row r="10" spans="1:17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0</v>
      </c>
      <c r="D10" s="8">
        <f t="shared" si="1"/>
        <v>0</v>
      </c>
      <c r="E10" s="7" t="s">
        <v>9</v>
      </c>
      <c r="F10" s="8"/>
      <c r="G10" s="8"/>
      <c r="H10" s="7"/>
      <c r="I10" s="14"/>
      <c r="J10" s="8">
        <f>TONTNOV20!F10+TONTNOV20!G10</f>
        <v>0</v>
      </c>
      <c r="K10" s="7"/>
      <c r="L10" s="7"/>
      <c r="M10" s="14"/>
      <c r="N10" s="8">
        <f t="shared" si="2"/>
        <v>0</v>
      </c>
      <c r="O10" s="8"/>
      <c r="P10" s="11"/>
    </row>
    <row r="11" spans="1:17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0</v>
      </c>
      <c r="D11" s="8">
        <f t="shared" si="1"/>
        <v>0</v>
      </c>
      <c r="E11" s="7" t="s">
        <v>9</v>
      </c>
      <c r="F11" s="8"/>
      <c r="G11" s="8"/>
      <c r="H11" s="7"/>
      <c r="I11" s="14"/>
      <c r="J11" s="8">
        <f>TONTNOV20!F11+TONTNOV20!G11</f>
        <v>0</v>
      </c>
      <c r="K11" s="7"/>
      <c r="L11" s="7"/>
      <c r="M11" s="14"/>
      <c r="N11" s="8">
        <f t="shared" si="2"/>
        <v>0</v>
      </c>
      <c r="O11" s="8"/>
      <c r="P11" s="11"/>
    </row>
    <row r="12" spans="1:17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/>
      <c r="G12" s="8"/>
      <c r="H12" s="7"/>
      <c r="I12" s="14"/>
      <c r="J12" s="8">
        <f>TONTNOV20!F12+TONTNOV20!G12</f>
        <v>0</v>
      </c>
      <c r="K12" s="7"/>
      <c r="L12" s="7"/>
      <c r="M12" s="14"/>
      <c r="N12" s="8">
        <f t="shared" si="2"/>
        <v>0</v>
      </c>
      <c r="O12" s="8"/>
      <c r="P12" s="23"/>
      <c r="Q12" s="8"/>
    </row>
    <row r="13" spans="1:17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0</v>
      </c>
      <c r="D13" s="8">
        <f t="shared" si="1"/>
        <v>0</v>
      </c>
      <c r="E13" s="7" t="s">
        <v>9</v>
      </c>
      <c r="F13" s="8"/>
      <c r="G13" s="8"/>
      <c r="H13" s="7"/>
      <c r="I13" s="14"/>
      <c r="J13" s="8">
        <f>TONTNOV20!F13+TONTNOV20!G13</f>
        <v>0</v>
      </c>
      <c r="K13" s="7"/>
      <c r="L13" s="7"/>
      <c r="M13" s="14"/>
      <c r="N13" s="8">
        <f t="shared" si="2"/>
        <v>0</v>
      </c>
      <c r="O13" s="8"/>
      <c r="P13" s="11"/>
    </row>
    <row r="14" spans="1:17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/>
      <c r="G14" s="8"/>
      <c r="H14" s="7"/>
      <c r="I14" s="14"/>
      <c r="J14" s="8">
        <f>TONTNOV20!F14+TONTNOV20!G14</f>
        <v>0</v>
      </c>
      <c r="K14" s="7"/>
      <c r="L14" s="7"/>
      <c r="M14" s="14"/>
      <c r="N14" s="8">
        <f t="shared" si="2"/>
        <v>0</v>
      </c>
      <c r="O14" s="8"/>
      <c r="P14" s="11"/>
    </row>
    <row r="15" spans="1:17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/>
      <c r="G15" s="8"/>
      <c r="H15" s="7"/>
      <c r="I15" s="14"/>
      <c r="J15" s="8">
        <f>TONTNOV20!F15+TONTNOV20!G15</f>
        <v>0</v>
      </c>
      <c r="K15" s="7"/>
      <c r="L15" s="17"/>
      <c r="M15" s="14"/>
      <c r="N15" s="16">
        <f t="shared" si="2"/>
        <v>0</v>
      </c>
      <c r="O15" s="16"/>
      <c r="P15" s="19"/>
      <c r="Q15" s="20"/>
    </row>
    <row r="16" spans="1:17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0</v>
      </c>
      <c r="D16" s="8">
        <f t="shared" si="1"/>
        <v>0</v>
      </c>
      <c r="E16" s="7" t="s">
        <v>9</v>
      </c>
      <c r="F16" s="8"/>
      <c r="G16" s="8"/>
      <c r="H16" s="7"/>
      <c r="I16" s="14"/>
      <c r="J16" s="8">
        <f>TONTNOV20!F16+TONTNOV20!G16</f>
        <v>0</v>
      </c>
      <c r="K16" s="7"/>
      <c r="L16" s="7"/>
      <c r="M16" s="14"/>
      <c r="N16" s="8">
        <f t="shared" si="2"/>
        <v>0</v>
      </c>
      <c r="O16" s="8"/>
      <c r="P16" s="23"/>
      <c r="Q16" s="8"/>
    </row>
    <row r="17" spans="1:17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0</v>
      </c>
      <c r="D17" s="8">
        <f t="shared" si="1"/>
        <v>0</v>
      </c>
      <c r="E17" s="7" t="s">
        <v>9</v>
      </c>
      <c r="F17" s="8"/>
      <c r="G17" s="8"/>
      <c r="H17" s="7"/>
      <c r="I17" s="14"/>
      <c r="J17" s="8">
        <f>TONTNOV20!F17+TONTNOV20!G17</f>
        <v>0</v>
      </c>
      <c r="K17" s="7"/>
      <c r="L17" s="7"/>
      <c r="M17" s="14"/>
      <c r="N17" s="8">
        <f t="shared" si="2"/>
        <v>0</v>
      </c>
      <c r="O17" s="8"/>
      <c r="P17" s="11"/>
    </row>
    <row r="18" spans="1:17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0</v>
      </c>
      <c r="D18" s="8">
        <f t="shared" si="1"/>
        <v>0</v>
      </c>
      <c r="E18" s="7" t="s">
        <v>9</v>
      </c>
      <c r="F18" s="8"/>
      <c r="G18" s="8"/>
      <c r="H18" s="7"/>
      <c r="I18" s="14"/>
      <c r="J18" s="8">
        <f>TONTNOV20!F18+TONTNOV20!G18</f>
        <v>0</v>
      </c>
      <c r="K18" s="7"/>
      <c r="L18" s="7"/>
      <c r="M18" s="14"/>
      <c r="N18" s="8">
        <f t="shared" si="2"/>
        <v>0</v>
      </c>
      <c r="O18" s="8"/>
      <c r="P18" s="11"/>
    </row>
    <row r="19" spans="1:17" x14ac:dyDescent="0.25">
      <c r="A19" s="1" t="s">
        <v>36</v>
      </c>
      <c r="B19" s="1" t="str">
        <f>VLOOKUP(A19,[1]LISTADHERENT!A$5:H$60,3,0)</f>
        <v>SIME MATHIEU</v>
      </c>
      <c r="C19" s="8">
        <f t="shared" si="0"/>
        <v>0</v>
      </c>
      <c r="D19" s="8">
        <f t="shared" si="1"/>
        <v>0</v>
      </c>
      <c r="E19" s="7" t="s">
        <v>9</v>
      </c>
      <c r="F19" s="8"/>
      <c r="G19" s="8"/>
      <c r="H19" s="7"/>
      <c r="I19" s="14"/>
      <c r="J19" s="8">
        <f>TONTNOV20!F19+TONTNOV20!G19</f>
        <v>0</v>
      </c>
      <c r="K19" s="7"/>
      <c r="L19" s="7"/>
      <c r="M19" s="14"/>
      <c r="N19" s="8">
        <f t="shared" si="2"/>
        <v>0</v>
      </c>
      <c r="O19" s="8"/>
      <c r="P19" s="11"/>
    </row>
    <row r="20" spans="1:17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0</v>
      </c>
      <c r="D20" s="8">
        <f t="shared" si="1"/>
        <v>0</v>
      </c>
      <c r="E20" s="7" t="s">
        <v>9</v>
      </c>
      <c r="F20" s="8"/>
      <c r="G20" s="8"/>
      <c r="H20" s="7"/>
      <c r="I20" s="14"/>
      <c r="J20" s="8">
        <f>TONTNOV20!F20+TONTNOV20!G20</f>
        <v>0</v>
      </c>
      <c r="K20" s="7"/>
      <c r="L20" s="7"/>
      <c r="M20" s="14"/>
      <c r="N20" s="8">
        <f t="shared" si="2"/>
        <v>0</v>
      </c>
      <c r="O20" s="8"/>
      <c r="P20" s="11"/>
      <c r="Q20"/>
    </row>
    <row r="21" spans="1:17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0</v>
      </c>
      <c r="D21" s="8">
        <f t="shared" si="1"/>
        <v>0</v>
      </c>
      <c r="E21" s="7" t="s">
        <v>9</v>
      </c>
      <c r="F21" s="8"/>
      <c r="G21" s="8"/>
      <c r="H21" s="7"/>
      <c r="I21" s="14"/>
      <c r="J21" s="8">
        <f>TONTNOV20!F21+TONTNOV20!G21</f>
        <v>0</v>
      </c>
      <c r="K21" s="7"/>
      <c r="L21" s="7"/>
      <c r="M21" s="14"/>
      <c r="N21" s="8">
        <f t="shared" si="2"/>
        <v>0</v>
      </c>
      <c r="O21" s="8"/>
      <c r="P21" s="11"/>
    </row>
    <row r="22" spans="1:17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/>
      <c r="G22" s="8"/>
      <c r="H22" s="7"/>
      <c r="I22" s="14"/>
      <c r="J22" s="8">
        <f>TONTNOV20!F22+TONTNOV20!G22</f>
        <v>0</v>
      </c>
      <c r="K22" s="7"/>
      <c r="L22" s="7"/>
      <c r="M22" s="14"/>
      <c r="N22" s="8">
        <f t="shared" si="2"/>
        <v>0</v>
      </c>
      <c r="O22" s="8"/>
      <c r="P22" s="11"/>
    </row>
    <row r="23" spans="1:17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9</v>
      </c>
      <c r="F23" s="8"/>
      <c r="G23" s="8"/>
      <c r="H23" s="7"/>
      <c r="I23" s="7"/>
      <c r="J23" s="8">
        <f>TONTNOV20!F23+TONTNOV20!G23</f>
        <v>0</v>
      </c>
      <c r="K23" s="7"/>
      <c r="L23" s="7"/>
      <c r="M23" s="14"/>
      <c r="N23" s="8">
        <f t="shared" si="2"/>
        <v>0</v>
      </c>
      <c r="O23" s="8"/>
      <c r="P23" s="11"/>
    </row>
    <row r="24" spans="1:17" x14ac:dyDescent="0.25">
      <c r="L24" s="7"/>
    </row>
    <row r="25" spans="1:17" ht="18" x14ac:dyDescent="0.25">
      <c r="A25" s="9" t="s">
        <v>17</v>
      </c>
      <c r="B25" s="9"/>
      <c r="C25" s="10">
        <f>SUM(C6:C24)</f>
        <v>0</v>
      </c>
      <c r="D25" s="10">
        <f>SUM(D6:D24)</f>
        <v>0</v>
      </c>
      <c r="E25" s="10"/>
      <c r="F25" s="10">
        <f>SUM(F6:F24)</f>
        <v>0</v>
      </c>
      <c r="G25" s="10">
        <f>SUM(G6:G24)</f>
        <v>0</v>
      </c>
      <c r="H25" s="10"/>
      <c r="I25" s="10"/>
      <c r="J25" s="10">
        <f>SUM(J6:J24)</f>
        <v>0</v>
      </c>
      <c r="K25" s="10"/>
      <c r="L25" s="10"/>
      <c r="M25" s="10"/>
      <c r="N25" s="10">
        <f>SUM(N6:N24)</f>
        <v>0</v>
      </c>
      <c r="O25" s="10">
        <f>SUM(O6:O24)</f>
        <v>0</v>
      </c>
    </row>
    <row r="26" spans="1:17" x14ac:dyDescent="0.25">
      <c r="C26" s="2" t="s">
        <v>19</v>
      </c>
    </row>
    <row r="27" spans="1:17" ht="43.5" x14ac:dyDescent="0.25">
      <c r="C27" s="6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J27" s="10"/>
      <c r="K27" s="10" t="s">
        <v>56</v>
      </c>
      <c r="L27" s="10">
        <f>C25+D32+O25</f>
        <v>0</v>
      </c>
      <c r="M27" s="10"/>
    </row>
    <row r="28" spans="1:17" ht="18" x14ac:dyDescent="0.25">
      <c r="J28" s="10"/>
      <c r="K28" s="10" t="s">
        <v>20</v>
      </c>
      <c r="L28" s="10">
        <f>IF(L27&gt;=3000000,1500000*2,1500000)</f>
        <v>1500000</v>
      </c>
    </row>
    <row r="29" spans="1:17" ht="18" x14ac:dyDescent="0.25">
      <c r="B29" s="10" t="s">
        <v>18</v>
      </c>
      <c r="C29" s="10">
        <f>SUMIFS(C6:C23,E6:E23,"ESPECES")</f>
        <v>0</v>
      </c>
      <c r="D29" s="10">
        <f>SUMIFS(J6:J23,K6:K23,"ESPECES")</f>
        <v>0</v>
      </c>
      <c r="E29" s="10">
        <f>SUMIFS(F6:F23,H6:H23,"ESPECES")</f>
        <v>0</v>
      </c>
      <c r="F29" s="10">
        <f>SUMIFS(N6:N23,L6:L23,"ESPECES")</f>
        <v>0</v>
      </c>
      <c r="G29" s="10">
        <f>C29+D29-E29-F29</f>
        <v>0</v>
      </c>
      <c r="K29" s="10" t="s">
        <v>53</v>
      </c>
      <c r="L29" s="10">
        <f>L27-L28</f>
        <v>-1500000</v>
      </c>
      <c r="N29" s="10"/>
    </row>
    <row r="30" spans="1:17" ht="18" x14ac:dyDescent="0.25">
      <c r="B30" s="10" t="s">
        <v>10</v>
      </c>
      <c r="C30" s="10">
        <f>SUMIFS(C6:C23,E6:E23,"BANQUE")</f>
        <v>0</v>
      </c>
      <c r="D30" s="10">
        <f>SUMIFS(J6:J23,K6:K23,"BANQUE")</f>
        <v>0</v>
      </c>
      <c r="E30" s="10">
        <f>SUMIFS(F6:F23,H6:H23,"BANQUE")</f>
        <v>0</v>
      </c>
      <c r="F30" s="10">
        <f>SUMIFS(N6:N23,L6:L23,"BANQUE")</f>
        <v>0</v>
      </c>
      <c r="G30" s="10">
        <f t="shared" ref="G30" si="3">C30+D30-E30-F30</f>
        <v>0</v>
      </c>
      <c r="K30" s="10" t="s">
        <v>54</v>
      </c>
      <c r="L30" s="10">
        <f>L29-F25</f>
        <v>-1500000</v>
      </c>
      <c r="N30" s="10"/>
    </row>
    <row r="31" spans="1:17" ht="18" x14ac:dyDescent="0.25">
      <c r="B31" s="10"/>
      <c r="C31" s="10"/>
      <c r="E31"/>
      <c r="F31" s="10"/>
      <c r="G31" s="10"/>
      <c r="K31" s="10"/>
      <c r="L31" s="10"/>
      <c r="N31" s="10"/>
    </row>
    <row r="32" spans="1:17" ht="18" x14ac:dyDescent="0.25">
      <c r="B32" s="10" t="s">
        <v>17</v>
      </c>
      <c r="C32" s="10">
        <f>C29+C30</f>
        <v>0</v>
      </c>
      <c r="D32" s="10">
        <f t="shared" ref="D32:G32" si="4">D29+D30</f>
        <v>0</v>
      </c>
      <c r="E32" s="10">
        <f t="shared" si="4"/>
        <v>0</v>
      </c>
      <c r="F32" s="10">
        <f t="shared" si="4"/>
        <v>0</v>
      </c>
      <c r="G32" s="10">
        <f t="shared" si="4"/>
        <v>0</v>
      </c>
      <c r="K32" s="10" t="s">
        <v>64</v>
      </c>
      <c r="L32" s="10">
        <v>0</v>
      </c>
    </row>
    <row r="33" spans="2:12" ht="18" x14ac:dyDescent="0.25">
      <c r="B33" s="10"/>
      <c r="C33" s="10"/>
      <c r="D33" s="10"/>
      <c r="K33" s="10" t="s">
        <v>70</v>
      </c>
      <c r="L33" s="10">
        <v>0</v>
      </c>
    </row>
    <row r="34" spans="2:12" ht="18" x14ac:dyDescent="0.25">
      <c r="B34" s="10"/>
      <c r="C34" s="10"/>
      <c r="D34" s="10"/>
    </row>
    <row r="35" spans="2:12" ht="18" x14ac:dyDescent="0.25">
      <c r="B35" s="10" t="s">
        <v>27</v>
      </c>
      <c r="C35" s="10">
        <f>O25</f>
        <v>0</v>
      </c>
    </row>
    <row r="36" spans="2:12" ht="18" x14ac:dyDescent="0.25">
      <c r="B36" s="10" t="s">
        <v>21</v>
      </c>
      <c r="C36" s="10">
        <f>+G25</f>
        <v>0</v>
      </c>
    </row>
    <row r="38" spans="2:12" ht="18" x14ac:dyDescent="0.25">
      <c r="B38" s="6" t="s">
        <v>6</v>
      </c>
      <c r="C38" s="10">
        <v>1500000</v>
      </c>
    </row>
    <row r="39" spans="2:12" ht="29.25" x14ac:dyDescent="0.25">
      <c r="B39" s="12" t="s">
        <v>33</v>
      </c>
      <c r="C39" s="13">
        <f>L29</f>
        <v>-1500000</v>
      </c>
    </row>
  </sheetData>
  <autoFilter ref="A5:Q23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18:L24 K18:K23 E6:E23 H6:I23 K6:L1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xSplit="2" ySplit="5" topLeftCell="E15" activePane="bottomRight" state="frozen"/>
      <selection activeCell="H8" sqref="H8"/>
      <selection pane="topRight" activeCell="H8" sqref="H8"/>
      <selection pane="bottomLeft" activeCell="H8" sqref="H8"/>
      <selection pane="bottomRight" activeCell="M22" sqref="M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8.28515625" customWidth="1"/>
    <col min="5" max="5" width="16.7109375" customWidth="1"/>
    <col min="6" max="6" width="17.42578125" customWidth="1"/>
    <col min="7" max="7" width="17.5703125" style="3" customWidth="1"/>
    <col min="8" max="8" width="19" bestFit="1" customWidth="1"/>
    <col min="9" max="9" width="14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D1" s="4" t="s">
        <v>60</v>
      </c>
    </row>
    <row r="2" spans="1:10" x14ac:dyDescent="0.25">
      <c r="A2" s="1" t="s">
        <v>2</v>
      </c>
      <c r="B2" s="1" t="s">
        <v>57</v>
      </c>
    </row>
    <row r="3" spans="1:10" x14ac:dyDescent="0.25">
      <c r="A3" s="1" t="s">
        <v>3</v>
      </c>
      <c r="B3" s="4">
        <v>100000</v>
      </c>
    </row>
    <row r="4" spans="1:10" ht="18" x14ac:dyDescent="0.25">
      <c r="B4" s="5"/>
      <c r="C4" s="33">
        <v>44185</v>
      </c>
      <c r="D4" s="34"/>
      <c r="E4" s="34"/>
      <c r="F4" s="34"/>
      <c r="G4" s="26"/>
    </row>
    <row r="5" spans="1:10" ht="43.5" x14ac:dyDescent="0.25">
      <c r="A5" s="1" t="s">
        <v>4</v>
      </c>
      <c r="B5" s="1" t="s">
        <v>5</v>
      </c>
      <c r="C5" s="6" t="s">
        <v>6</v>
      </c>
      <c r="D5" s="6" t="s">
        <v>28</v>
      </c>
      <c r="E5" s="6" t="s">
        <v>21</v>
      </c>
      <c r="F5" s="24" t="s">
        <v>8</v>
      </c>
      <c r="G5" s="6" t="s">
        <v>26</v>
      </c>
      <c r="H5" s="4" t="s">
        <v>27</v>
      </c>
      <c r="I5" s="6" t="s">
        <v>30</v>
      </c>
      <c r="J5" s="6" t="s">
        <v>79</v>
      </c>
    </row>
    <row r="6" spans="1:10" x14ac:dyDescent="0.25">
      <c r="A6" s="1" t="s">
        <v>34</v>
      </c>
      <c r="B6" s="1" t="str">
        <f>VLOOKUP(A6,[1]LISTADHERENT!A$5:H$60,3,0)</f>
        <v>DJUOMBESSY ANTOINE</v>
      </c>
      <c r="C6" s="8">
        <f>TONTNOV!C6+TONTDEC!C6+TONTJANV!C6+TONTFEV!C6+TONTMARS!C6+TONTAVRIL!C6+TONTMAI!C6+TONTJUIN!C6+TONTJUIL!C6+TONTAOUT!C6+TONTSEPT!C6+TONT0CT!C6+TONTNOV20!C6+TONTDEC20!C6</f>
        <v>1200000</v>
      </c>
      <c r="D6" s="8">
        <f>TONTNOV!F6+TONTDEC!F6+TONTJANV!F6+TONTFEV!F6+TONTMARS!F6+TONTAVRIL!F6+TONTMAI!F6+TONTJUIN!F6+TONTJUIL!F6+TONTAOUT!F6+TONTSEPT!F6+TONT0CT!F6+TONTNOV20!F6+TONTDEC20!F6</f>
        <v>0</v>
      </c>
      <c r="E6" s="8">
        <f>TONTNOV!G6+TONTDEC!G6+TONTJANV!G6+TONTFEV!G6+TONTMARS!G6+TONTAVRIL!G6+TONTMAI!G6+TONTJUIN!G6+TONTJUIL!G6+TONTAOUT!G6+TONTSEPT!G6+TONT0CT!G6+TONTNOV20!G6+TONTDEC20!G6</f>
        <v>0</v>
      </c>
      <c r="F6" s="8">
        <f>TONTNOV!J6+TONTDEC!J6+TONTJANV!J6+TONTFEV!J6+TONTMARS!J6+TONTAVRIL!J6+TONTMAI!J6+TONTJUIN!J6+TONTJUIL!J6+TONTAOUT!J6+TONTSEPT!J6+TONT0CT!J6+TONTNOV20!J6+TONTDEC20!J6</f>
        <v>0</v>
      </c>
      <c r="G6" s="8">
        <f>TONTNOV!N6+TONTDEC!N6+TONTJANV!N6+TONTFEV!N6+TONTMARS!N6+TONTAVRIL!N6+TONTMAI!N6+TONTJUIN!N6+TONTJUIL!N6+TONTAOUT!N6+TONTSEPT!N6+TONT0CT!N6+TONTNOV20!N6+TONTDEC20!N6</f>
        <v>0</v>
      </c>
      <c r="H6" s="8">
        <f>TONTNOV!O6+TONTDEC!O6+TONTJANV!O6+TONTFEV!O6+TONTMARS!O6+TONTAVRIL!O6+TONTMAI!O6+TONTJUIN!O6+TONTJUIL!O6+TONTAOUT!O6+TONTSEPT!O6+TONT0CT!O6+TONTNOV20!O6+TONTDEC20!O6</f>
        <v>0</v>
      </c>
      <c r="I6" s="23"/>
      <c r="J6" s="8">
        <f>IF(G6=0,0,(H6-100000))</f>
        <v>0</v>
      </c>
    </row>
    <row r="7" spans="1:10" x14ac:dyDescent="0.25">
      <c r="A7" s="1" t="s">
        <v>35</v>
      </c>
      <c r="B7" s="1" t="str">
        <f>VLOOKUP(A7,[1]LISTADHERENT!A$5:H$60,3,0)</f>
        <v>HOTCHO BENJAMIN</v>
      </c>
      <c r="C7" s="8">
        <f>TONTNOV!C7+TONTDEC!C7+TONTJANV!C7+TONTFEV!C7+TONTMARS!C7+TONTAVRIL!C7+TONTMAI!C7+TONTJUIN!C7+TONTJUIL!C7+TONTAOUT!C7+TONTSEPT!C7+TONT0CT!C7+TONTNOV20!C7+TONTDEC20!C7</f>
        <v>1200000</v>
      </c>
      <c r="D7" s="8">
        <f>TONTNOV!F7+TONTDEC!F7+TONTJANV!F7+TONTFEV!F7+TONTMARS!F7+TONTAVRIL!F7+TONTMAI!F7+TONTJUIN!F7+TONTJUIL!F7+TONTAOUT!F7+TONTSEPT!F7+TONT0CT!F7+TONTNOV20!F7+TONTDEC20!F7</f>
        <v>0</v>
      </c>
      <c r="E7" s="8">
        <f>TONTNOV!G7+TONTDEC!G7+TONTJANV!G7+TONTFEV!G7+TONTMARS!G7+TONTAVRIL!G7+TONTMAI!G7+TONTJUIN!G7+TONTJUIL!G7+TONTAOUT!G7+TONTSEPT!G7+TONT0CT!G7+TONTNOV20!G7+TONTDEC20!G7</f>
        <v>0</v>
      </c>
      <c r="F7" s="8">
        <f>TONTNOV!J7+TONTDEC!J7+TONTJANV!J7+TONTFEV!J7+TONTMARS!J7+TONTAVRIL!J7+TONTMAI!J7+TONTJUIN!J7+TONTJUIL!J7+TONTAOUT!J7+TONTSEPT!J7+TONT0CT!J7+TONTNOV20!J7+TONTDEC20!J7</f>
        <v>0</v>
      </c>
      <c r="G7" s="8">
        <f>TONTNOV!N7+TONTDEC!N7+TONTJANV!N7+TONTFEV!N7+TONTMARS!N7+TONTAVRIL!N7+TONTMAI!N7+TONTJUIN!N7+TONTJUIL!N7+TONTAOUT!N7+TONTSEPT!N7+TONT0CT!N7+TONTNOV20!N7+TONTDEC20!N7</f>
        <v>1400000</v>
      </c>
      <c r="H7" s="8">
        <f>TONTNOV!O7+TONTDEC!O7+TONTJANV!O7+TONTFEV!O7+TONTMARS!O7+TONTAVRIL!O7+TONTMAI!O7+TONTJUIN!O7+TONTJUIL!O7+TONTAOUT!O7+TONTSEPT!O7+TONT0CT!O7+TONTNOV20!O7+TONTDEC20!O7</f>
        <v>100000</v>
      </c>
      <c r="I7" s="23">
        <v>43940</v>
      </c>
      <c r="J7" s="8">
        <f t="shared" ref="J7:J23" si="0">IF(G7=0,0,(H7-100000))</f>
        <v>0</v>
      </c>
    </row>
    <row r="8" spans="1:10" s="15" customFormat="1" x14ac:dyDescent="0.25">
      <c r="A8" s="1" t="s">
        <v>11</v>
      </c>
      <c r="B8" s="1" t="str">
        <f>VLOOKUP(A8,[1]LISTADHERENT!A$5:H$60,3,0)</f>
        <v>KOUATCHO MESSACK</v>
      </c>
      <c r="C8" s="8">
        <f>TONTNOV!C8+TONTDEC!C8+TONTJANV!C8+TONTFEV!C8+TONTMARS!C8+TONTAVRIL!C8+TONTMAI!C8+TONTJUIN!C8+TONTJUIL!C8+TONTAOUT!C8+TONTSEPT!C8+TONT0CT!C8+TONTNOV20!C8+TONTDEC20!C8</f>
        <v>1200000</v>
      </c>
      <c r="D8" s="8">
        <f>TONTNOV!F8+TONTDEC!F8+TONTJANV!F8+TONTFEV!F8+TONTMARS!F8+TONTAVRIL!F8+TONTMAI!F8+TONTJUIN!F8+TONTJUIL!F8+TONTAOUT!F8+TONTSEPT!F8+TONT0CT!F8+TONTNOV20!F8+TONTDEC20!F8</f>
        <v>1584000</v>
      </c>
      <c r="E8" s="8">
        <f>TONTNOV!G8+TONTDEC!G8+TONTJANV!G8+TONTFEV!G8+TONTMARS!G8+TONTAVRIL!G8+TONTMAI!G8+TONTJUIN!G8+TONTJUIL!G8+TONTAOUT!G8+TONTSEPT!G8+TONT0CT!G8+TONTNOV20!G8+TONTDEC20!G8</f>
        <v>44500</v>
      </c>
      <c r="F8" s="8">
        <f>TONTNOV!J8+TONTDEC!J8+TONTJANV!J8+TONTFEV!J8+TONTMARS!J8+TONTAVRIL!J8+TONTMAI!J8+TONTJUIN!J8+TONTJUIL!J8+TONTAOUT!J8+TONTSEPT!J8+TONT0CT!J8+TONTNOV20!J8+TONTDEC20!J8</f>
        <v>1628500</v>
      </c>
      <c r="G8" s="8">
        <f>TONTNOV!N8+TONTDEC!N8+TONTJANV!N8+TONTFEV!N8+TONTMARS!N8+TONTAVRIL!N8+TONTMAI!N8+TONTJUIN!N8+TONTJUIL!N8+TONTAOUT!N8+TONTSEPT!N8+TONT0CT!N8+TONTNOV20!N8+TONTDEC20!N8</f>
        <v>1250000</v>
      </c>
      <c r="H8" s="8">
        <f>TONTNOV!O8+TONTDEC!O8+TONTJANV!O8+TONTFEV!O8+TONTMARS!O8+TONTAVRIL!O8+TONTMAI!O8+TONTJUIN!O8+TONTJUIL!O8+TONTAOUT!O8+TONTSEPT!O8+TONT0CT!O8+TONTNOV20!O8+TONTDEC20!O8</f>
        <v>250000</v>
      </c>
      <c r="I8" s="23">
        <v>43819</v>
      </c>
      <c r="J8" s="8">
        <f t="shared" si="0"/>
        <v>150000</v>
      </c>
    </row>
    <row r="9" spans="1:10" s="15" customFormat="1" x14ac:dyDescent="0.25">
      <c r="A9" s="1" t="s">
        <v>58</v>
      </c>
      <c r="B9" s="1" t="str">
        <f>VLOOKUP(A9,[1]LISTADHERENT!A$5:H$60,3,0)</f>
        <v>KOUAMOU MOISE</v>
      </c>
      <c r="C9" s="8">
        <f>TONTNOV!C9+TONTDEC!C9+TONTJANV!C9+TONTFEV!C9+TONTMARS!C9+TONTAVRIL!C9+TONTMAI!C9+TONTJUIN!C9+TONTJUIL!C9+TONTAOUT!C9+TONTSEPT!C9+TONT0CT!C9+TONTNOV20!C9+TONTDEC20!C9</f>
        <v>1200000</v>
      </c>
      <c r="D9" s="8">
        <f>TONTNOV!F9+TONTDEC!F9+TONTJANV!F9+TONTFEV!F9+TONTMARS!F9+TONTAVRIL!F9+TONTMAI!F9+TONTJUIN!F9+TONTJUIL!F9+TONTAOUT!F9+TONTSEPT!F9+TONT0CT!F9+TONTNOV20!F9+TONTDEC20!F9</f>
        <v>0</v>
      </c>
      <c r="E9" s="8">
        <f>TONTNOV!G9+TONTDEC!G9+TONTJANV!G9+TONTFEV!G9+TONTMARS!G9+TONTAVRIL!G9+TONTMAI!G9+TONTJUIN!G9+TONTJUIL!G9+TONTAOUT!G9+TONTSEPT!G9+TONT0CT!G9+TONTNOV20!G9+TONTDEC20!G9</f>
        <v>0</v>
      </c>
      <c r="F9" s="8">
        <f>TONTNOV!J9+TONTDEC!J9+TONTJANV!J9+TONTFEV!J9+TONTMARS!J9+TONTAVRIL!J9+TONTMAI!J9+TONTJUIN!J9+TONTJUIL!J9+TONTAOUT!J9+TONTSEPT!J9+TONT0CT!J9+TONTNOV20!J9+TONTDEC20!J9</f>
        <v>0</v>
      </c>
      <c r="G9" s="8">
        <f>TONTNOV!N9+TONTDEC!N9+TONTJANV!N9+TONTFEV!N9+TONTMARS!N9+TONTAVRIL!N9+TONTMAI!N9+TONTJUIN!N9+TONTJUIL!N9+TONTAOUT!N9+TONTSEPT!N9+TONT0CT!N9+TONTNOV20!N9+TONTDEC20!N9</f>
        <v>1365000</v>
      </c>
      <c r="H9" s="8">
        <f>TONTNOV!O9+TONTDEC!O9+TONTJANV!O9+TONTFEV!O9+TONTMARS!O9+TONTAVRIL!O9+TONTMAI!O9+TONTJUIN!O9+TONTJUIL!O9+TONTAOUT!O9+TONTSEPT!O9+TONT0CT!O9+TONTNOV20!O9+TONTDEC20!O9</f>
        <v>135000</v>
      </c>
      <c r="I9" s="23">
        <v>43912</v>
      </c>
      <c r="J9" s="8">
        <f t="shared" si="0"/>
        <v>35000</v>
      </c>
    </row>
    <row r="10" spans="1:10" x14ac:dyDescent="0.25">
      <c r="A10" s="1" t="s">
        <v>51</v>
      </c>
      <c r="B10" s="1" t="str">
        <f>VLOOKUP(A10,[1]LISTADHERENT!A$5:H$60,3,0)</f>
        <v>MBOGNING TUGMA GUY</v>
      </c>
      <c r="C10" s="8">
        <f>TONTNOV!C10+TONTDEC!C10+TONTJANV!C10+TONTFEV!C10+TONTMARS!C10+TONTAVRIL!C10+TONTMAI!C10+TONTJUIN!C10+TONTJUIL!C10+TONTAOUT!C10+TONTSEPT!C10+TONT0CT!C10+TONTNOV20!C10+TONTDEC20!C10</f>
        <v>1200000</v>
      </c>
      <c r="D10" s="8">
        <f>TONTNOV!F10+TONTDEC!F10+TONTJANV!F10+TONTFEV!F10+TONTMARS!F10+TONTAVRIL!F10+TONTMAI!F10+TONTJUIN!F10+TONTJUIL!F10+TONTAOUT!F10+TONTSEPT!F10+TONT0CT!F10+TONTNOV20!F10+TONTDEC20!F10</f>
        <v>759000</v>
      </c>
      <c r="E10" s="8">
        <f>TONTNOV!G10+TONTDEC!G10+TONTJANV!G10+TONTFEV!G10+TONTMARS!G10+TONTAVRIL!G10+TONTMAI!G10+TONTJUIN!G10+TONTJUIL!G10+TONTAOUT!G10+TONTSEPT!G10+TONT0CT!G10+TONTNOV20!G10+TONTDEC20!G10</f>
        <v>17500</v>
      </c>
      <c r="F10" s="8">
        <f>TONTNOV!J10+TONTDEC!J10+TONTJANV!J10+TONTFEV!J10+TONTMARS!J10+TONTAVRIL!J10+TONTMAI!J10+TONTJUIN!J10+TONTJUIL!J10+TONTAOUT!J10+TONTSEPT!J10+TONT0CT!J10+TONTNOV20!J10+TONTDEC20!J10</f>
        <v>776500</v>
      </c>
      <c r="G10" s="8">
        <f>TONTNOV!N10+TONTDEC!N10+TONTJANV!N10+TONTFEV!N10+TONTMARS!N10+TONTAVRIL!N10+TONTMAI!N10+TONTJUIN!N10+TONTJUIL!N10+TONTAOUT!N10+TONTSEPT!N10+TONT0CT!N10+TONTNOV20!N10+TONTDEC20!N10</f>
        <v>1270000</v>
      </c>
      <c r="H10" s="8">
        <f>TONTNOV!O10+TONTDEC!O10+TONTJANV!O10+TONTFEV!O10+TONTMARS!O10+TONTAVRIL!O10+TONTMAI!O10+TONTJUIN!O10+TONTJUIL!O10+TONTAOUT!O10+TONTSEPT!O10+TONT0CT!O10+TONTNOV20!O10+TONTDEC20!O10</f>
        <v>230000</v>
      </c>
      <c r="I10" s="23">
        <v>43849</v>
      </c>
      <c r="J10" s="8">
        <f t="shared" si="0"/>
        <v>130000</v>
      </c>
    </row>
    <row r="11" spans="1:10" x14ac:dyDescent="0.25">
      <c r="A11" s="1" t="s">
        <v>51</v>
      </c>
      <c r="B11" s="1" t="str">
        <f>VLOOKUP(A11,[1]LISTADHERENT!A$5:H$60,3,0)</f>
        <v>MBOGNING TUGMA GUY</v>
      </c>
      <c r="C11" s="8">
        <f>TONTNOV!C11+TONTDEC!C11+TONTJANV!C11+TONTFEV!C11+TONTMARS!C11+TONTAVRIL!C11+TONTMAI!C11+TONTJUIN!C11+TONTJUIL!C11+TONTAOUT!C11+TONTSEPT!C11+TONT0CT!C11+TONTNOV20!C11+TONTDEC20!C11</f>
        <v>1200000</v>
      </c>
      <c r="D11" s="8">
        <f>TONTNOV!F11+TONTDEC!F11+TONTJANV!F11+TONTFEV!F11+TONTMARS!F11+TONTAVRIL!F11+TONTMAI!F11+TONTJUIN!F11+TONTJUIL!F11+TONTAOUT!F11+TONTSEPT!F11+TONT0CT!F11+TONTNOV20!F11+TONTDEC20!F11</f>
        <v>0</v>
      </c>
      <c r="E11" s="8">
        <f>TONTNOV!G11+TONTDEC!G11+TONTJANV!G11+TONTFEV!G11+TONTMARS!G11+TONTAVRIL!G11+TONTMAI!G11+TONTJUIN!G11+TONTJUIL!G11+TONTAOUT!G11+TONTSEPT!G11+TONT0CT!G11+TONTNOV20!G11+TONTDEC20!G11</f>
        <v>0</v>
      </c>
      <c r="F11" s="8">
        <f>TONTNOV!J11+TONTDEC!J11+TONTJANV!J11+TONTFEV!J11+TONTMARS!J11+TONTAVRIL!J11+TONTMAI!J11+TONTJUIN!J11+TONTJUIL!J11+TONTAOUT!J11+TONTSEPT!J11+TONT0CT!J11+TONTNOV20!J11+TONTDEC20!J11</f>
        <v>0</v>
      </c>
      <c r="G11" s="8">
        <f>TONTNOV!N11+TONTDEC!N11+TONTJANV!N11+TONTFEV!N11+TONTMARS!N11+TONTAVRIL!N11+TONTMAI!N11+TONTJUIN!N11+TONTJUIL!N11+TONTAOUT!N11+TONTSEPT!N11+TONT0CT!N11+TONTNOV20!N11+TONTDEC20!N11</f>
        <v>1255000</v>
      </c>
      <c r="H11" s="8">
        <f>TONTNOV!O11+TONTDEC!O11+TONTJANV!O11+TONTFEV!O11+TONTMARS!O11+TONTAVRIL!O11+TONTMAI!O11+TONTJUIN!O11+TONTJUIL!O11+TONTAOUT!O11+TONTSEPT!O11+TONT0CT!O11+TONTNOV20!O11+TONTDEC20!O11</f>
        <v>245000</v>
      </c>
      <c r="I11" s="23">
        <v>44031</v>
      </c>
      <c r="J11" s="8">
        <f t="shared" si="0"/>
        <v>145000</v>
      </c>
    </row>
    <row r="12" spans="1:10" x14ac:dyDescent="0.25">
      <c r="A12" s="1" t="s">
        <v>16</v>
      </c>
      <c r="B12" s="1" t="str">
        <f>VLOOKUP(A12,[1]LISTADHERENT!A$5:H$60,3,0)</f>
        <v>NANGUEN MARTIN</v>
      </c>
      <c r="C12" s="8">
        <f>TONTNOV!C12+TONTDEC!C12+TONTJANV!C12+TONTFEV!C12+TONTMARS!C12+TONTAVRIL!C12+TONTMAI!C12+TONTJUIN!C12+TONTJUIL!C12+TONTAOUT!C12+TONTSEPT!C12+TONT0CT!C12+TONTNOV20!C12+TONTDEC20!C12</f>
        <v>1200000</v>
      </c>
      <c r="D12" s="8">
        <f>TONTNOV!F12+TONTDEC!F12+TONTJANV!F12+TONTFEV!F12+TONTMARS!F12+TONTAVRIL!F12+TONTMAI!F12+TONTJUIN!F12+TONTJUIL!F12+TONTAOUT!F12+TONTSEPT!F12+TONT0CT!F12+TONTNOV20!F12+TONTDEC20!F12</f>
        <v>0</v>
      </c>
      <c r="E12" s="8">
        <f>TONTNOV!G12+TONTDEC!G12+TONTJANV!G12+TONTFEV!G12+TONTMARS!G12+TONTAVRIL!G12+TONTMAI!G12+TONTJUIN!G12+TONTJUIL!G12+TONTAOUT!G12+TONTSEPT!G12+TONT0CT!G12+TONTNOV20!G12+TONTDEC20!G12</f>
        <v>0</v>
      </c>
      <c r="F12" s="8">
        <f>TONTNOV!J12+TONTDEC!J12+TONTJANV!J12+TONTFEV!J12+TONTMARS!J12+TONTAVRIL!J12+TONTMAI!J12+TONTJUIN!J12+TONTJUIL!J12+TONTAOUT!J12+TONTSEPT!J12+TONT0CT!J12+TONTNOV20!J12+TONTDEC20!J12</f>
        <v>0</v>
      </c>
      <c r="G12" s="8">
        <f>TONTNOV!N12+TONTDEC!N12+TONTJANV!N12+TONTFEV!N12+TONTMARS!N12+TONTAVRIL!N12+TONTMAI!N12+TONTJUIN!N12+TONTJUIL!N12+TONTAOUT!N12+TONTSEPT!N12+TONT0CT!N12+TONTNOV20!N12+TONTDEC20!N12</f>
        <v>1390000</v>
      </c>
      <c r="H12" s="8">
        <f>TONTNOV!O12+TONTDEC!O12+TONTJANV!O12+TONTFEV!O12+TONTMARS!O12+TONTAVRIL!O12+TONTMAI!O12+TONTJUIN!O12+TONTJUIL!O12+TONTAOUT!O12+TONTSEPT!O12+TONT0CT!O12+TONTNOV20!O12+TONTDEC20!O12</f>
        <v>110000</v>
      </c>
      <c r="I12" s="23">
        <v>44122</v>
      </c>
      <c r="J12" s="8">
        <f t="shared" si="0"/>
        <v>10000</v>
      </c>
    </row>
    <row r="13" spans="1:10" x14ac:dyDescent="0.25">
      <c r="A13" s="1" t="s">
        <v>12</v>
      </c>
      <c r="B13" s="1" t="str">
        <f>VLOOKUP(A13,[1]LISTADHERENT!A$5:H$60,3,0)</f>
        <v>NDJOMO ETIENNE</v>
      </c>
      <c r="C13" s="8">
        <f>TONTNOV!C13+TONTDEC!C13+TONTJANV!C13+TONTFEV!C13+TONTMARS!C13+TONTAVRIL!C13+TONTMAI!C13+TONTJUIN!C13+TONTJUIL!C13+TONTAOUT!C13+TONTSEPT!C13+TONT0CT!C13+TONTNOV20!C13+TONTDEC20!C13</f>
        <v>1200000</v>
      </c>
      <c r="D13" s="8">
        <f>TONTNOV!F13+TONTDEC!F13+TONTJANV!F13+TONTFEV!F13+TONTMARS!F13+TONTAVRIL!F13+TONTMAI!F13+TONTJUIN!F13+TONTJUIL!F13+TONTAOUT!F13+TONTSEPT!F13+TONT0CT!F13+TONTNOV20!F13+TONTDEC20!F13</f>
        <v>526000</v>
      </c>
      <c r="E13" s="8">
        <f>TONTNOV!G13+TONTDEC!G13+TONTJANV!G13+TONTFEV!G13+TONTMARS!G13+TONTAVRIL!G13+TONTMAI!G13+TONTJUIN!G13+TONTJUIL!G13+TONTAOUT!G13+TONTSEPT!G13+TONT0CT!G13+TONTNOV20!G13+TONTDEC20!G13</f>
        <v>7500</v>
      </c>
      <c r="F13" s="8">
        <f>TONTNOV!J13+TONTDEC!J13+TONTJANV!J13+TONTFEV!J13+TONTMARS!J13+TONTAVRIL!J13+TONTMAI!J13+TONTJUIN!J13+TONTJUIL!J13+TONTAOUT!J13+TONTSEPT!J13+TONT0CT!J13+TONTNOV20!J13+TONTDEC20!J13</f>
        <v>533500</v>
      </c>
      <c r="G13" s="8">
        <f>TONTNOV!N13+TONTDEC!N13+TONTJANV!N13+TONTFEV!N13+TONTMARS!N13+TONTAVRIL!N13+TONTMAI!N13+TONTJUIN!N13+TONTJUIL!N13+TONTAOUT!N13+TONTSEPT!N13+TONT0CT!N13+TONTNOV20!N13+TONTDEC20!N13</f>
        <v>1400000</v>
      </c>
      <c r="H13" s="8">
        <f>TONTNOV!O13+TONTDEC!O13+TONTJANV!O13+TONTFEV!O13+TONTMARS!O13+TONTAVRIL!O13+TONTMAI!O13+TONTJUIN!O13+TONTJUIL!O13+TONTAOUT!O13+TONTSEPT!O13+TONT0CT!O13+TONTNOV20!O13+TONTDEC20!O13</f>
        <v>100000</v>
      </c>
      <c r="I13" s="23">
        <v>43940</v>
      </c>
      <c r="J13" s="8">
        <f t="shared" si="0"/>
        <v>0</v>
      </c>
    </row>
    <row r="14" spans="1:10" x14ac:dyDescent="0.25">
      <c r="A14" s="1" t="s">
        <v>13</v>
      </c>
      <c r="B14" s="1" t="str">
        <f>VLOOKUP(A14,[1]LISTADHERENT!A$5:H$60,3,0)</f>
        <v>NGONDIEP CLAUDE</v>
      </c>
      <c r="C14" s="8">
        <f>TONTNOV!C14+TONTDEC!C14+TONTJANV!C14+TONTFEV!C14+TONTMARS!C14+TONTAVRIL!C14+TONTMAI!C14+TONTJUIN!C14+TONTJUIL!C14+TONTAOUT!C14+TONTSEPT!C14+TONT0CT!C14+TONTNOV20!C14+TONTDEC20!C14</f>
        <v>1200000</v>
      </c>
      <c r="D14" s="8">
        <f>TONTNOV!F14+TONTDEC!F14+TONTJANV!F14+TONTFEV!F14+TONTMARS!F14+TONTAVRIL!F14+TONTMAI!F14+TONTJUIN!F14+TONTJUIL!F14+TONTAOUT!F14+TONTSEPT!F14+TONT0CT!F14+TONTNOV20!F14+TONTDEC20!F14</f>
        <v>99500</v>
      </c>
      <c r="E14" s="8">
        <f>TONTNOV!G14+TONTDEC!G14+TONTJANV!G14+TONTFEV!G14+TONTMARS!G14+TONTAVRIL!G14+TONTMAI!G14+TONTJUIN!G14+TONTJUIL!G14+TONTAOUT!G14+TONTSEPT!G14+TONT0CT!G14+TONTNOV20!G14+TONTDEC20!G14</f>
        <v>4000</v>
      </c>
      <c r="F14" s="8">
        <f>TONTNOV!J14+TONTDEC!J14+TONTJANV!J14+TONTFEV!J14+TONTMARS!J14+TONTAVRIL!J14+TONTMAI!J14+TONTJUIN!J14+TONTJUIL!J14+TONTAOUT!J14+TONTSEPT!J14+TONT0CT!J14+TONTNOV20!J14+TONTDEC20!J14</f>
        <v>103500</v>
      </c>
      <c r="G14" s="8">
        <f>TONTNOV!N14+TONTDEC!N14+TONTJANV!N14+TONTFEV!N14+TONTMARS!N14+TONTAVRIL!N14+TONTMAI!N14+TONTJUIN!N14+TONTJUIL!N14+TONTAOUT!N14+TONTSEPT!N14+TONT0CT!N14+TONTNOV20!N14+TONTDEC20!N14</f>
        <v>1370000</v>
      </c>
      <c r="H14" s="8">
        <f>TONTNOV!O14+TONTDEC!O14+TONTJANV!O14+TONTFEV!O14+TONTMARS!O14+TONTAVRIL!O14+TONTMAI!O14+TONTJUIN!O14+TONTJUIL!O14+TONTAOUT!O14+TONTSEPT!O14+TONT0CT!O14+TONTNOV20!O14+TONTDEC20!O14</f>
        <v>130000</v>
      </c>
      <c r="I14" s="23">
        <v>43968</v>
      </c>
      <c r="J14" s="8">
        <f t="shared" si="0"/>
        <v>30000</v>
      </c>
    </row>
    <row r="15" spans="1:10" x14ac:dyDescent="0.25">
      <c r="A15" s="18" t="s">
        <v>52</v>
      </c>
      <c r="B15" s="1" t="str">
        <f>VLOOKUP(A15,[1]LISTADHERENT!A$5:H$60,3,0)</f>
        <v>NKEHE DAVID</v>
      </c>
      <c r="C15" s="8">
        <f>TONTNOV!C15+TONTDEC!C15+TONTJANV!C15+TONTFEV!C15+TONTMARS!C15+TONTAVRIL!C15+TONTMAI!C15+TONTJUIN!C15+TONTJUIL!C15+TONTAOUT!C15+TONTSEPT!C15+TONT0CT!C15+TONTNOV20!C15+TONTDEC20!C15</f>
        <v>700000</v>
      </c>
      <c r="D15" s="8">
        <f>TONTNOV!F15+TONTDEC!F15+TONTJANV!F15+TONTFEV!F15+TONTMARS!F15+TONTAVRIL!F15+TONTMAI!F15+TONTJUIN!F15+TONTJUIL!F15+TONTAOUT!F15+TONTSEPT!F15+TONT0CT!F15+TONTNOV20!F15+TONTDEC20!F15</f>
        <v>2133500</v>
      </c>
      <c r="E15" s="8">
        <f>TONTNOV!G15+TONTDEC!G15+TONTJANV!G15+TONTFEV!G15+TONTMARS!G15+TONTAVRIL!G15+TONTMAI!G15+TONTJUIN!G15+TONTJUIL!G15+TONTAOUT!G15+TONTSEPT!G15+TONT0CT!G15+TONTNOV20!G15+TONTDEC20!G15</f>
        <v>22000</v>
      </c>
      <c r="F15" s="8">
        <f>TONTNOV!J15+TONTDEC!J15+TONTJANV!J15+TONTFEV!J15+TONTMARS!J15+TONTAVRIL!J15+TONTMAI!J15+TONTJUIN!J15+TONTJUIL!J15+TONTAOUT!J15+TONTSEPT!J15+TONT0CT!J15+TONTNOV20!J15+TONTDEC20!J15</f>
        <v>2155500</v>
      </c>
      <c r="G15" s="8">
        <f>TONTNOV!N15+TONTDEC!N15+TONTJANV!N15+TONTFEV!N15+TONTMARS!N15+TONTAVRIL!N15+TONTMAI!N15+TONTJUIN!N15+TONTJUIL!N15+TONTAOUT!N15+TONTSEPT!N15+TONT0CT!N15+TONTNOV20!N15+TONTDEC20!N15</f>
        <v>1350000</v>
      </c>
      <c r="H15" s="8">
        <f>TONTNOV!O15+TONTDEC!O15+TONTJANV!O15+TONTFEV!O15+TONTMARS!O15+TONTAVRIL!O15+TONTMAI!O15+TONTJUIN!O15+TONTJUIL!O15+TONTAOUT!O15+TONTSEPT!O15+TONT0CT!O15+TONTNOV20!O15+TONTDEC20!O15</f>
        <v>150000</v>
      </c>
      <c r="I15" s="23">
        <v>43793</v>
      </c>
      <c r="J15" s="8">
        <f t="shared" si="0"/>
        <v>50000</v>
      </c>
    </row>
    <row r="16" spans="1:10" x14ac:dyDescent="0.25">
      <c r="A16" s="1" t="s">
        <v>14</v>
      </c>
      <c r="B16" s="1" t="str">
        <f>VLOOKUP(A16,[1]LISTADHERENT!A$5:H$60,3,0)</f>
        <v>NKEPSEU DIEUDONNE</v>
      </c>
      <c r="C16" s="8">
        <f>TONTNOV!C16+TONTDEC!C16+TONTJANV!C16+TONTFEV!C16+TONTMARS!C16+TONTAVRIL!C16+TONTMAI!C16+TONTJUIN!C16+TONTJUIL!C16+TONTAOUT!C16+TONTSEPT!C16+TONT0CT!C16+TONTNOV20!C16+TONTDEC20!C16</f>
        <v>1200000</v>
      </c>
      <c r="D16" s="8">
        <f>TONTNOV!F16+TONTDEC!F16+TONTJANV!F16+TONTFEV!F16+TONTMARS!F16+TONTAVRIL!F16+TONTMAI!F16+TONTJUIN!F16+TONTJUIL!F16+TONTAOUT!F16+TONTSEPT!F16+TONT0CT!F16+TONTNOV20!F16+TONTDEC20!F16</f>
        <v>400000</v>
      </c>
      <c r="E16" s="8">
        <f>TONTNOV!G16+TONTDEC!G16+TONTJANV!G16+TONTFEV!G16+TONTMARS!G16+TONTAVRIL!G16+TONTMAI!G16+TONTJUIN!G16+TONTJUIL!G16+TONTAOUT!G16+TONTSEPT!G16+TONT0CT!G16+TONTNOV20!G16+TONTDEC20!G16</f>
        <v>6000</v>
      </c>
      <c r="F16" s="8">
        <f>TONTNOV!J16+TONTDEC!J16+TONTJANV!J16+TONTFEV!J16+TONTMARS!J16+TONTAVRIL!J16+TONTMAI!J16+TONTJUIN!J16+TONTJUIL!J16+TONTAOUT!J16+TONTSEPT!J16+TONT0CT!J16+TONTNOV20!J16+TONTDEC20!J16</f>
        <v>406000</v>
      </c>
      <c r="G16" s="8">
        <f>TONTNOV!N16+TONTDEC!N16+TONTJANV!N16+TONTFEV!N16+TONTMARS!N16+TONTAVRIL!N16+TONTMAI!N16+TONTJUIN!N16+TONTJUIL!N16+TONTAOUT!N16+TONTSEPT!N16+TONT0CT!N16+TONTNOV20!N16+TONTDEC20!N16</f>
        <v>1400000</v>
      </c>
      <c r="H16" s="8">
        <f>TONTNOV!O16+TONTDEC!O16+TONTJANV!O16+TONTFEV!O16+TONTMARS!O16+TONTAVRIL!O16+TONTMAI!O16+TONTJUIN!O16+TONTJUIL!O16+TONTAOUT!O16+TONTSEPT!O16+TONT0CT!O16+TONTNOV20!O16+TONTDEC20!O16</f>
        <v>100000</v>
      </c>
      <c r="I16" s="23">
        <v>43877</v>
      </c>
      <c r="J16" s="8">
        <f t="shared" si="0"/>
        <v>0</v>
      </c>
    </row>
    <row r="17" spans="1:10" x14ac:dyDescent="0.25">
      <c r="A17" s="1" t="s">
        <v>15</v>
      </c>
      <c r="B17" s="1" t="str">
        <f>VLOOKUP(A17,[1]LISTADHERENT!A$5:H$60,3,0)</f>
        <v>SIMO FONGANG ERIC</v>
      </c>
      <c r="C17" s="8">
        <f>TONTNOV!C17+TONTDEC!C17+TONTJANV!C17+TONTFEV!C17+TONTMARS!C17+TONTAVRIL!C17+TONTMAI!C17+TONTJUIN!C17+TONTJUIL!C17+TONTAOUT!C17+TONTSEPT!C17+TONT0CT!C17+TONTNOV20!C17+TONTDEC20!C17</f>
        <v>1200000</v>
      </c>
      <c r="D17" s="8">
        <f>TONTNOV!F17+TONTDEC!F17+TONTJANV!F17+TONTFEV!F17+TONTMARS!F17+TONTAVRIL!F17+TONTMAI!F17+TONTJUIN!F17+TONTJUIL!F17+TONTAOUT!F17+TONTSEPT!F17+TONT0CT!F17+TONTNOV20!F17+TONTDEC20!F17</f>
        <v>1281000</v>
      </c>
      <c r="E17" s="8">
        <f>TONTNOV!G17+TONTDEC!G17+TONTJANV!G17+TONTFEV!G17+TONTMARS!G17+TONTAVRIL!G17+TONTMAI!G17+TONTJUIN!G17+TONTJUIL!G17+TONTAOUT!G17+TONTSEPT!G17+TONT0CT!G17+TONTNOV20!G17+TONTDEC20!G17</f>
        <v>71500</v>
      </c>
      <c r="F17" s="8">
        <f>TONTNOV!J17+TONTDEC!J17+TONTJANV!J17+TONTFEV!J17+TONTMARS!J17+TONTAVRIL!J17+TONTMAI!J17+TONTJUIN!J17+TONTJUIL!J17+TONTAOUT!J17+TONTSEPT!J17+TONT0CT!J17+TONTNOV20!J17+TONTDEC20!J17</f>
        <v>1585500</v>
      </c>
      <c r="G17" s="8">
        <f>TONTNOV!N17+TONTDEC!N17+TONTJANV!N17+TONTFEV!N17+TONTMARS!N17+TONTAVRIL!N17+TONTMAI!N17+TONTJUIN!N17+TONTJUIL!N17+TONTAOUT!N17+TONTSEPT!N17+TONT0CT!N17+TONTNOV20!N17+TONTDEC20!N17</f>
        <v>1255000</v>
      </c>
      <c r="H17" s="8">
        <f>TONTNOV!O17+TONTDEC!O17+TONTJANV!O17+TONTFEV!O17+TONTMARS!O17+TONTAVRIL!O17+TONTMAI!O17+TONTJUIN!O17+TONTJUIL!O17+TONTAOUT!O17+TONTSEPT!O17+TONT0CT!O17+TONTNOV20!O17+TONTDEC20!O17</f>
        <v>245000</v>
      </c>
      <c r="I17" s="23">
        <v>43819</v>
      </c>
      <c r="J17" s="8">
        <f t="shared" si="0"/>
        <v>145000</v>
      </c>
    </row>
    <row r="18" spans="1:10" x14ac:dyDescent="0.25">
      <c r="A18" s="1" t="s">
        <v>15</v>
      </c>
      <c r="B18" s="1" t="str">
        <f>VLOOKUP(A18,[1]LISTADHERENT!A$5:H$60,3,0)</f>
        <v>SIMO FONGANG ERIC</v>
      </c>
      <c r="C18" s="8">
        <f>TONTNOV!C18+TONTDEC!C18+TONTJANV!C18+TONTFEV!C18+TONTMARS!C18+TONTAVRIL!C18+TONTMAI!C18+TONTJUIN!C18+TONTJUIL!C18+TONTAOUT!C18+TONTSEPT!C18+TONT0CT!C18+TONTNOV20!C18+TONTDEC20!C18</f>
        <v>1200000</v>
      </c>
      <c r="D18" s="8">
        <f>TONTNOV!F18+TONTDEC!F18+TONTJANV!F18+TONTFEV!F18+TONTMARS!F18+TONTAVRIL!F18+TONTMAI!F18+TONTJUIN!F18+TONTJUIL!F18+TONTAOUT!F18+TONTSEPT!F18+TONT0CT!F18+TONTNOV20!F18+TONTDEC20!F18</f>
        <v>0</v>
      </c>
      <c r="E18" s="8">
        <f>TONTNOV!G18+TONTDEC!G18+TONTJANV!G18+TONTFEV!G18+TONTMARS!G18+TONTAVRIL!G18+TONTMAI!G18+TONTJUIN!G18+TONTJUIL!G18+TONTAOUT!G18+TONTSEPT!G18+TONT0CT!G18+TONTNOV20!G18+TONTDEC20!G18</f>
        <v>0</v>
      </c>
      <c r="F18" s="8">
        <f>TONTNOV!J18+TONTDEC!J18+TONTJANV!J18+TONTFEV!J18+TONTMARS!J18+TONTAVRIL!J18+TONTMAI!J18+TONTJUIN!J18+TONTJUIL!J18+TONTAOUT!J18+TONTSEPT!J18+TONT0CT!J18+TONTNOV20!J18+TONTDEC20!J18</f>
        <v>0</v>
      </c>
      <c r="G18" s="8">
        <f>TONTNOV!N18+TONTDEC!N18+TONTJANV!N18+TONTFEV!N18+TONTMARS!N18+TONTAVRIL!N18+TONTMAI!N18+TONTJUIN!N18+TONTJUIL!N18+TONTAOUT!N18+TONTSEPT!N18+TONT0CT!N18+TONTNOV20!N18+TONTDEC20!N18</f>
        <v>1254000</v>
      </c>
      <c r="H18" s="8">
        <f>TONTNOV!O18+TONTDEC!O18+TONTJANV!O18+TONTFEV!O18+TONTMARS!O18+TONTAVRIL!O18+TONTMAI!O18+TONTJUIN!O18+TONTJUIL!O18+TONTAOUT!O18+TONTSEPT!O18+TONT0CT!O18+TONTNOV20!O18+TONTDEC20!O18</f>
        <v>246000</v>
      </c>
      <c r="I18" s="23">
        <v>44031</v>
      </c>
      <c r="J18" s="8">
        <f t="shared" si="0"/>
        <v>146000</v>
      </c>
    </row>
    <row r="19" spans="1:10" x14ac:dyDescent="0.25">
      <c r="A19" s="1" t="s">
        <v>36</v>
      </c>
      <c r="B19" s="1" t="str">
        <f>VLOOKUP(A19,[1]LISTADHERENT!A$5:H$60,3,0)</f>
        <v>SIME MATHIEU</v>
      </c>
      <c r="C19" s="8">
        <f>TONTNOV!C19+TONTDEC!C19+TONTJANV!C19+TONTFEV!C19+TONTMARS!C19+TONTAVRIL!C19+TONTMAI!C19+TONTJUIN!C19+TONTJUIL!C19+TONTAOUT!C19+TONTSEPT!C19+TONT0CT!C19+TONTNOV20!C19+TONTDEC20!C19</f>
        <v>1200000</v>
      </c>
      <c r="D19" s="8">
        <f>TONTNOV!F19+TONTDEC!F19+TONTJANV!F19+TONTFEV!F19+TONTMARS!F19+TONTAVRIL!F19+TONTMAI!F19+TONTJUIN!F19+TONTJUIL!F19+TONTAOUT!F19+TONTSEPT!F19+TONT0CT!F19+TONTNOV20!F19+TONTDEC20!F19</f>
        <v>408000</v>
      </c>
      <c r="E19" s="8">
        <f>TONTNOV!G19+TONTDEC!G19+TONTJANV!G19+TONTFEV!G19+TONTMARS!G19+TONTAVRIL!G19+TONTMAI!G19+TONTJUIN!G19+TONTJUIL!G19+TONTAOUT!G19+TONTSEPT!G19+TONT0CT!G19+TONTNOV20!G19+TONTDEC20!G19</f>
        <v>8000</v>
      </c>
      <c r="F19" s="8">
        <f>TONTNOV!J19+TONTDEC!J19+TONTJANV!J19+TONTFEV!J19+TONTMARS!J19+TONTAVRIL!J19+TONTMAI!J19+TONTJUIN!J19+TONTJUIL!J19+TONTAOUT!J19+TONTSEPT!J19+TONT0CT!J19+TONTNOV20!J19+TONTDEC20!J19</f>
        <v>416000</v>
      </c>
      <c r="G19" s="8">
        <f>TONTNOV!N19+TONTDEC!N19+TONTJANV!N19+TONTFEV!N19+TONTMARS!N19+TONTAVRIL!N19+TONTMAI!N19+TONTJUIN!N19+TONTJUIL!N19+TONTAOUT!N19+TONTSEPT!N19+TONT0CT!N19+TONTNOV20!N19+TONTDEC20!N19</f>
        <v>1340000</v>
      </c>
      <c r="H19" s="8">
        <f>TONTNOV!O19+TONTDEC!O19+TONTJANV!O19+TONTFEV!O19+TONTMARS!O19+TONTAVRIL!O19+TONTMAI!O19+TONTJUIN!O19+TONTJUIL!O19+TONTAOUT!O19+TONTSEPT!O19+TONT0CT!O19+TONTNOV20!O19+TONTDEC20!O19</f>
        <v>160000</v>
      </c>
      <c r="I19" s="23">
        <v>44059</v>
      </c>
      <c r="J19" s="8">
        <f t="shared" si="0"/>
        <v>60000</v>
      </c>
    </row>
    <row r="20" spans="1:10" s="15" customFormat="1" x14ac:dyDescent="0.25">
      <c r="A20" s="1" t="s">
        <v>36</v>
      </c>
      <c r="B20" s="1" t="str">
        <f>VLOOKUP(A20,[1]LISTADHERENT!A$5:H$60,3,0)</f>
        <v>SIME MATHIEU</v>
      </c>
      <c r="C20" s="8">
        <f>TONTNOV!C20+TONTDEC!C20+TONTJANV!C20+TONTFEV!C20+TONTMARS!C20+TONTAVRIL!C20+TONTMAI!C20+TONTJUIN!C20+TONTJUIL!C20+TONTAOUT!C20+TONTSEPT!C20+TONT0CT!C20+TONTNOV20!C20+TONTDEC20!C20</f>
        <v>1200000</v>
      </c>
      <c r="D20" s="8">
        <f>TONTNOV!F20+TONTDEC!F20+TONTJANV!F20+TONTFEV!F20+TONTMARS!F20+TONTAVRIL!F20+TONTMAI!F20+TONTJUIN!F20+TONTJUIL!F20+TONTAOUT!F20+TONTSEPT!F20+TONT0CT!F20+TONTNOV20!F20+TONTDEC20!F20</f>
        <v>0</v>
      </c>
      <c r="E20" s="8">
        <f>TONTNOV!G20+TONTDEC!G20+TONTJANV!G20+TONTFEV!G20+TONTMARS!G20+TONTAVRIL!G20+TONTMAI!G20+TONTJUIN!G20+TONTJUIL!G20+TONTAOUT!G20+TONTSEPT!G20+TONT0CT!G20+TONTNOV20!G20+TONTDEC20!G20</f>
        <v>0</v>
      </c>
      <c r="F20" s="8">
        <f>TONTNOV!J20+TONTDEC!J20+TONTJANV!J20+TONTFEV!J20+TONTMARS!J20+TONTAVRIL!J20+TONTMAI!J20+TONTJUIN!J20+TONTJUIL!J20+TONTAOUT!J20+TONTSEPT!J20+TONT0CT!J20+TONTNOV20!J20+TONTDEC20!J20</f>
        <v>0</v>
      </c>
      <c r="G20" s="8">
        <f>TONTNOV!N20+TONTDEC!N20+TONTJANV!N20+TONTFEV!N20+TONTMARS!N20+TONTAVRIL!N20+TONTMAI!N20+TONTJUIN!N20+TONTJUIL!N20+TONTAOUT!N20+TONTSEPT!N20+TONT0CT!N20+TONTNOV20!N20+TONTDEC20!N20</f>
        <v>0</v>
      </c>
      <c r="H20" s="8">
        <f>TONTNOV!O20+TONTDEC!O20+TONTJANV!O20+TONTFEV!O20+TONTMARS!O20+TONTAVRIL!O20+TONTMAI!O20+TONTJUIN!O20+TONTJUIL!O20+TONTAOUT!O20+TONTSEPT!O20+TONT0CT!O20+TONTNOV20!O20+TONTDEC20!O20</f>
        <v>0</v>
      </c>
      <c r="I20" s="11"/>
      <c r="J20" s="8">
        <f t="shared" si="0"/>
        <v>0</v>
      </c>
    </row>
    <row r="21" spans="1:10" x14ac:dyDescent="0.25">
      <c r="A21" s="1" t="s">
        <v>37</v>
      </c>
      <c r="B21" s="1" t="str">
        <f>VLOOKUP(A21,[1]LISTADHERENT!A$5:H$60,3,0)</f>
        <v>TCHOUAMOU MATHIEU</v>
      </c>
      <c r="C21" s="8">
        <f>TONTNOV!C21+TONTDEC!C21+TONTJANV!C21+TONTFEV!C21+TONTMARS!C21+TONTAVRIL!C21+TONTMAI!C21+TONTJUIN!C21+TONTJUIL!C21+TONTAOUT!C21+TONTSEPT!C21+TONT0CT!C21+TONTNOV20!C21+TONTDEC20!C21</f>
        <v>1200000</v>
      </c>
      <c r="D21" s="8">
        <f>TONTNOV!F21+TONTDEC!F21+TONTJANV!F21+TONTFEV!F21+TONTMARS!F21+TONTAVRIL!F21+TONTMAI!F21+TONTJUIN!F21+TONTJUIL!F21+TONTAOUT!F21+TONTSEPT!F21+TONT0CT!F21+TONTNOV20!F21+TONTDEC20!F21</f>
        <v>638000</v>
      </c>
      <c r="E21" s="8">
        <f>TONTNOV!G21+TONTDEC!G21+TONTJANV!G21+TONTFEV!G21+TONTMARS!G21+TONTAVRIL!G21+TONTMAI!G21+TONTJUIN!G21+TONTJUIL!G21+TONTAOUT!G21+TONTSEPT!G21+TONT0CT!G21+TONTNOV20!G21+TONTDEC20!G21</f>
        <v>8500</v>
      </c>
      <c r="F21" s="8">
        <f>TONTNOV!J21+TONTDEC!J21+TONTJANV!J21+TONTFEV!J21+TONTMARS!J21+TONTAVRIL!J21+TONTMAI!J21+TONTJUIN!J21+TONTJUIL!J21+TONTAOUT!J21+TONTSEPT!J21+TONT0CT!J21+TONTNOV20!J21+TONTDEC20!J21</f>
        <v>646500</v>
      </c>
      <c r="G21" s="8">
        <f>TONTNOV!N21+TONTDEC!N21+TONTJANV!N21+TONTFEV!N21+TONTMARS!N21+TONTAVRIL!N21+TONTMAI!N21+TONTJUIN!N21+TONTJUIL!N21+TONTAOUT!N21+TONTSEPT!N21+TONT0CT!N21+TONTNOV20!N21+TONTDEC20!N21</f>
        <v>1400000</v>
      </c>
      <c r="H21" s="8">
        <f>TONTNOV!O21+TONTDEC!O21+TONTJANV!O21+TONTFEV!O21+TONTMARS!O21+TONTAVRIL!O21+TONTMAI!O21+TONTJUIN!O21+TONTJUIL!O21+TONTAOUT!O21+TONTSEPT!O21+TONT0CT!O21+TONTNOV20!O21+TONTDEC20!O21</f>
        <v>100000</v>
      </c>
      <c r="I21" s="23">
        <v>44094</v>
      </c>
      <c r="J21" s="8">
        <f t="shared" si="0"/>
        <v>0</v>
      </c>
    </row>
    <row r="22" spans="1:10" x14ac:dyDescent="0.25">
      <c r="A22" s="1" t="s">
        <v>38</v>
      </c>
      <c r="B22" s="1" t="str">
        <f>VLOOKUP(A22,[1]LISTADHERENT!A$5:H$60,3,0)</f>
        <v>TIEYAM ERNEST</v>
      </c>
      <c r="C22" s="8">
        <f>TONTNOV!C22+TONTDEC!C22+TONTJANV!C22+TONTFEV!C22+TONTMARS!C22+TONTAVRIL!C22+TONTMAI!C22+TONTJUIN!C22+TONTJUIL!C22+TONTAOUT!C22+TONTSEPT!C22+TONT0CT!C22+TONTNOV20!C22+TONTDEC20!C22</f>
        <v>1100000</v>
      </c>
      <c r="D22" s="8">
        <f>TONTNOV!F22+TONTDEC!F22+TONTJANV!F22+TONTFEV!F22+TONTMARS!F22+TONTAVRIL!F22+TONTMAI!F22+TONTJUIN!F22+TONTJUIL!F22+TONTAOUT!F22+TONTSEPT!F22+TONT0CT!F22+TONTNOV20!F22+TONTDEC20!F22</f>
        <v>1630000</v>
      </c>
      <c r="E22" s="8">
        <f>TONTNOV!G22+TONTDEC!G22+TONTJANV!G22+TONTFEV!G22+TONTMARS!G22+TONTAVRIL!G22+TONTMAI!G22+TONTJUIN!G22+TONTJUIL!G22+TONTAOUT!G22+TONTSEPT!G22+TONT0CT!G22+TONTNOV20!G22+TONTDEC20!G22</f>
        <v>62000</v>
      </c>
      <c r="F22" s="8">
        <f>TONTNOV!J22+TONTDEC!J22+TONTJANV!J22+TONTFEV!J22+TONTMARS!J22+TONTAVRIL!J22+TONTMAI!J22+TONTJUIN!J22+TONTJUIL!J22+TONTAOUT!J22+TONTSEPT!J22+TONT0CT!J22+TONTNOV20!J22+TONTDEC20!J22</f>
        <v>1898000</v>
      </c>
      <c r="G22" s="8">
        <f>TONTNOV!N22+TONTDEC!N22+TONTJANV!N22+TONTFEV!N22+TONTMARS!N22+TONTAVRIL!N22+TONTMAI!N22+TONTJUIN!N22+TONTJUIL!N22+TONTAOUT!N22+TONTSEPT!N22+TONT0CT!N22+TONTNOV20!N22+TONTDEC20!N22</f>
        <v>1305000</v>
      </c>
      <c r="H22" s="8">
        <f>TONTNOV!O22+TONTDEC!O22+TONTJANV!O22+TONTFEV!O22+TONTMARS!O22+TONTAVRIL!O22+TONTMAI!O22+TONTJUIN!O22+TONTJUIL!O22+TONTAOUT!O22+TONTSEPT!O22+TONT0CT!O22+TONTNOV20!O22+TONTDEC20!O22</f>
        <v>195000</v>
      </c>
      <c r="I22" s="23">
        <v>44003</v>
      </c>
      <c r="J22" s="8">
        <f t="shared" si="0"/>
        <v>95000</v>
      </c>
    </row>
    <row r="23" spans="1:10" x14ac:dyDescent="0.25">
      <c r="A23" s="1" t="s">
        <v>39</v>
      </c>
      <c r="B23" s="1" t="str">
        <f>VLOOKUP(A23,[1]LISTADHERENT!A$5:H$60,3,0)</f>
        <v>YOUMBI EMMANUEL</v>
      </c>
      <c r="C23" s="8">
        <f>TONTNOV!C23+TONTDEC!C23+TONTJANV!C23+TONTFEV!C23+TONTMARS!C23+TONTAVRIL!C23+TONTMAI!C23+TONTJUIN!C23+TONTJUIL!C23+TONTAOUT!C23+TONTSEPT!C23+TONT0CT!C23+TONTNOV20!C23+TONTDEC20!C23</f>
        <v>1200000</v>
      </c>
      <c r="D23" s="8">
        <f>TONTNOV!F23+TONTDEC!F23+TONTJANV!F23+TONTFEV!F23+TONTMARS!F23+TONTAVRIL!F23+TONTMAI!F23+TONTJUIN!F23+TONTJUIL!F23+TONTAOUT!F23+TONTSEPT!F23+TONT0CT!F23+TONTNOV20!F23+TONTDEC20!F23</f>
        <v>0</v>
      </c>
      <c r="E23" s="8">
        <f>TONTNOV!G23+TONTDEC!G23+TONTJANV!G23+TONTFEV!G23+TONTMARS!G23+TONTAVRIL!G23+TONTMAI!G23+TONTJUIN!G23+TONTJUIL!G23+TONTAOUT!G23+TONTSEPT!G23+TONT0CT!G23+TONTNOV20!G23+TONTDEC20!G23</f>
        <v>0</v>
      </c>
      <c r="F23" s="8">
        <f>TONTNOV!J23+TONTDEC!J23+TONTJANV!J23+TONTFEV!J23+TONTMARS!J23+TONTAVRIL!J23+TONTMAI!J23+TONTJUIN!J23+TONTJUIL!J23+TONTAOUT!J23+TONTSEPT!J23+TONT0CT!J23+TONTNOV20!J23+TONTDEC20!J23</f>
        <v>0</v>
      </c>
      <c r="G23" s="8">
        <f>TONTNOV!N23+TONTDEC!N23+TONTJANV!N23+TONTFEV!N23+TONTMARS!N23+TONTAVRIL!N23+TONTMAI!N23+TONTJUIN!N23+TONTJUIL!N23+TONTAOUT!N23+TONTSEPT!N23+TONT0CT!N23+TONTNOV20!N23+TONTDEC20!N23</f>
        <v>0</v>
      </c>
      <c r="H23" s="8">
        <f>TONTNOV!O23+TONTDEC!O23+TONTJANV!O23+TONTFEV!O23+TONTMARS!O23+TONTAVRIL!O23+TONTMAI!O23+TONTJUIN!O23+TONTJUIL!O23+TONTAOUT!O23+TONTSEPT!O23+TONT0CT!O23+TONTNOV20!O23+TONTDEC20!O23</f>
        <v>0</v>
      </c>
      <c r="I23" s="11"/>
      <c r="J23" s="8">
        <f t="shared" si="0"/>
        <v>0</v>
      </c>
    </row>
    <row r="25" spans="1:10" ht="18" x14ac:dyDescent="0.25">
      <c r="A25" s="9" t="s">
        <v>17</v>
      </c>
      <c r="B25" s="9"/>
      <c r="C25" s="10">
        <f t="shared" ref="C25:J25" si="1">SUM(C6:C24)</f>
        <v>21000000</v>
      </c>
      <c r="D25" s="10">
        <f t="shared" si="1"/>
        <v>9459000</v>
      </c>
      <c r="E25" s="10">
        <f t="shared" si="1"/>
        <v>251500</v>
      </c>
      <c r="F25" s="10">
        <f t="shared" si="1"/>
        <v>10149500</v>
      </c>
      <c r="G25" s="10">
        <f t="shared" si="1"/>
        <v>20004000</v>
      </c>
      <c r="H25" s="10">
        <f t="shared" si="1"/>
        <v>2496000</v>
      </c>
      <c r="J25" s="10">
        <f t="shared" si="1"/>
        <v>996000</v>
      </c>
    </row>
    <row r="26" spans="1:10" x14ac:dyDescent="0.25">
      <c r="C26" s="2" t="s">
        <v>19</v>
      </c>
    </row>
    <row r="27" spans="1:10" ht="18" x14ac:dyDescent="0.25">
      <c r="B27" s="10"/>
      <c r="C27" s="10"/>
    </row>
    <row r="28" spans="1:10" ht="18" x14ac:dyDescent="0.25">
      <c r="B28" s="10"/>
      <c r="C28" s="10"/>
      <c r="F28" t="s">
        <v>61</v>
      </c>
      <c r="G28" s="28">
        <f>(G25+H25)-C25</f>
        <v>1500000</v>
      </c>
    </row>
    <row r="30" spans="1:10" x14ac:dyDescent="0.25">
      <c r="F30" t="s">
        <v>54</v>
      </c>
      <c r="G30" s="28">
        <f>TONTNOV!L30+TONTDEC!L30+TONTJANV!L30+TONTFEV!L30+TONTMARS!L30+TONTAVRIL!L30+TONTMAI!L30+TONTJUIN!L30+TONTJUIL!L30</f>
        <v>-1528500</v>
      </c>
    </row>
    <row r="32" spans="1:10" x14ac:dyDescent="0.25">
      <c r="F32" t="s">
        <v>64</v>
      </c>
      <c r="G32" s="28">
        <f>TONTJUIN!L32+TONTJUIL!L32</f>
        <v>100000</v>
      </c>
      <c r="H32" t="s">
        <v>68</v>
      </c>
    </row>
    <row r="33" spans="6:8" x14ac:dyDescent="0.25">
      <c r="F33" t="s">
        <v>67</v>
      </c>
      <c r="G33" s="28">
        <f>+TONTMARS!N32+TONTJUIL!L33</f>
        <v>200000</v>
      </c>
      <c r="H33" t="s">
        <v>69</v>
      </c>
    </row>
  </sheetData>
  <autoFilter ref="A5:I23">
    <sortState ref="A6:I23">
      <sortCondition ref="B6:B32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2</vt:i4>
      </vt:variant>
    </vt:vector>
  </HeadingPairs>
  <TitlesOfParts>
    <vt:vector size="19" baseType="lpstr">
      <vt:lpstr>Feuil1</vt:lpstr>
      <vt:lpstr>MODEPAID</vt:lpstr>
      <vt:lpstr>TONTNOV</vt:lpstr>
      <vt:lpstr>TONTDEC</vt:lpstr>
      <vt:lpstr>TONTJANV</vt:lpstr>
      <vt:lpstr>TONTFEV</vt:lpstr>
      <vt:lpstr>TONTMARS</vt:lpstr>
      <vt:lpstr>TONTAVRIL</vt:lpstr>
      <vt:lpstr>TONTMAI</vt:lpstr>
      <vt:lpstr>TONTJUIN</vt:lpstr>
      <vt:lpstr>TONTJUIL</vt:lpstr>
      <vt:lpstr>TONTAOUT</vt:lpstr>
      <vt:lpstr>TONTSEPT</vt:lpstr>
      <vt:lpstr>TONT0CT</vt:lpstr>
      <vt:lpstr>TONTNOV20</vt:lpstr>
      <vt:lpstr>TONTDEC20</vt:lpstr>
      <vt:lpstr>TONTRESUME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2020-11-02T11:30:08Z</dcterms:modified>
</cp:coreProperties>
</file>