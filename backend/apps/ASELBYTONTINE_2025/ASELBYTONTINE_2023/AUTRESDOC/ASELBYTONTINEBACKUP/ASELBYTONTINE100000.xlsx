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0" yWindow="0" windowWidth="20490" windowHeight="6810" activeTab="3"/>
  </bookViews>
  <sheets>
    <sheet name="MODEPAID" sheetId="3" r:id="rId1"/>
    <sheet name="RECAP" sheetId="5" r:id="rId2"/>
    <sheet name="TONTDEC2016" sheetId="1" r:id="rId3"/>
    <sheet name="TONTJANV" sheetId="4" r:id="rId4"/>
  </sheets>
  <externalReferences>
    <externalReference r:id="rId5"/>
  </externalReferences>
  <definedNames>
    <definedName name="_xlnm._FilterDatabase" localSheetId="1" hidden="1">RECAP!$A$5:$J$31</definedName>
    <definedName name="_xlnm._FilterDatabase" localSheetId="2" hidden="1">TONTDEC2016!$A$5:$J$31</definedName>
    <definedName name="_xlnm._FilterDatabase" localSheetId="3" hidden="1">TONTJANV!$A$5:$J$31</definedName>
    <definedName name="MODEPAID" localSheetId="0">MODEPAID!$A$1:$A$3</definedName>
    <definedName name="MODEPAID" localSheetId="1">#REF!</definedName>
    <definedName name="MODEPAID" localSheetId="3">#REF!</definedName>
    <definedName name="MODEPAID">#REF!</definedName>
    <definedName name="VALMODEPAID">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4" l="1"/>
  <c r="F23" i="4"/>
  <c r="G9" i="4"/>
  <c r="F9" i="4"/>
  <c r="F33" i="4" s="1"/>
  <c r="G29" i="4"/>
  <c r="F29" i="4"/>
  <c r="I33" i="5"/>
  <c r="H33" i="5"/>
  <c r="G33" i="5"/>
  <c r="F33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D20" i="5"/>
  <c r="C20" i="5"/>
  <c r="B20" i="5"/>
  <c r="D19" i="5"/>
  <c r="C19" i="5"/>
  <c r="B19" i="5"/>
  <c r="D18" i="5"/>
  <c r="C18" i="5"/>
  <c r="B18" i="5"/>
  <c r="D17" i="5"/>
  <c r="C17" i="5"/>
  <c r="B17" i="5"/>
  <c r="D16" i="5"/>
  <c r="C16" i="5"/>
  <c r="B16" i="5"/>
  <c r="D15" i="5"/>
  <c r="C15" i="5"/>
  <c r="B15" i="5"/>
  <c r="D14" i="5"/>
  <c r="C14" i="5"/>
  <c r="B14" i="5"/>
  <c r="D13" i="5"/>
  <c r="C13" i="5"/>
  <c r="B13" i="5"/>
  <c r="D12" i="5"/>
  <c r="C12" i="5"/>
  <c r="B12" i="5"/>
  <c r="D11" i="5"/>
  <c r="B11" i="5"/>
  <c r="D10" i="5"/>
  <c r="B10" i="5"/>
  <c r="D9" i="5"/>
  <c r="C9" i="5"/>
  <c r="B9" i="5"/>
  <c r="D8" i="5"/>
  <c r="C8" i="5"/>
  <c r="B8" i="5"/>
  <c r="D7" i="5"/>
  <c r="D33" i="5" s="1"/>
  <c r="C7" i="5"/>
  <c r="B7" i="5"/>
  <c r="D6" i="5"/>
  <c r="C6" i="5"/>
  <c r="C33" i="5" s="1"/>
  <c r="B6" i="5"/>
  <c r="I33" i="4"/>
  <c r="H33" i="4"/>
  <c r="G33" i="4"/>
  <c r="D31" i="4"/>
  <c r="C31" i="4"/>
  <c r="B31" i="4"/>
  <c r="D30" i="4"/>
  <c r="C30" i="4"/>
  <c r="B30" i="4"/>
  <c r="D29" i="4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23" i="4"/>
  <c r="B23" i="4"/>
  <c r="D22" i="4"/>
  <c r="C22" i="4"/>
  <c r="B22" i="4"/>
  <c r="C21" i="4"/>
  <c r="B21" i="4"/>
  <c r="C20" i="4"/>
  <c r="B20" i="4"/>
  <c r="D19" i="4"/>
  <c r="C19" i="4"/>
  <c r="B19" i="4"/>
  <c r="D18" i="4"/>
  <c r="C18" i="4"/>
  <c r="B18" i="4"/>
  <c r="D17" i="4"/>
  <c r="C17" i="4"/>
  <c r="B17" i="4"/>
  <c r="D16" i="4"/>
  <c r="C16" i="4"/>
  <c r="B16" i="4"/>
  <c r="D15" i="4"/>
  <c r="C15" i="4"/>
  <c r="B15" i="4"/>
  <c r="D14" i="4"/>
  <c r="C14" i="4"/>
  <c r="B14" i="4"/>
  <c r="D13" i="4"/>
  <c r="C13" i="4"/>
  <c r="B13" i="4"/>
  <c r="D12" i="4"/>
  <c r="C12" i="4"/>
  <c r="B12" i="4"/>
  <c r="D11" i="4"/>
  <c r="B11" i="4"/>
  <c r="D10" i="4"/>
  <c r="B10" i="4"/>
  <c r="D9" i="4"/>
  <c r="C9" i="4"/>
  <c r="B9" i="4"/>
  <c r="D8" i="4"/>
  <c r="C8" i="4"/>
  <c r="B8" i="4"/>
  <c r="D7" i="4"/>
  <c r="D33" i="4" s="1"/>
  <c r="C7" i="4"/>
  <c r="B7" i="4"/>
  <c r="D6" i="4"/>
  <c r="C6" i="4"/>
  <c r="B6" i="4"/>
  <c r="C33" i="4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2" i="1"/>
  <c r="D23" i="1"/>
  <c r="D25" i="1"/>
  <c r="D26" i="1"/>
  <c r="D28" i="1"/>
  <c r="D29" i="1"/>
  <c r="D30" i="1"/>
  <c r="D31" i="1"/>
  <c r="D6" i="1"/>
  <c r="C30" i="1" l="1"/>
  <c r="B30" i="1"/>
  <c r="C27" i="1"/>
  <c r="B27" i="1"/>
  <c r="C24" i="1"/>
  <c r="B24" i="1"/>
  <c r="C20" i="1"/>
  <c r="B20" i="1"/>
  <c r="C21" i="1"/>
  <c r="B21" i="1"/>
  <c r="B11" i="1"/>
  <c r="I33" i="1" l="1"/>
  <c r="H33" i="1"/>
  <c r="G33" i="1"/>
  <c r="F33" i="1"/>
  <c r="C31" i="1"/>
  <c r="B31" i="1"/>
  <c r="C29" i="1"/>
  <c r="B29" i="1"/>
  <c r="C28" i="1"/>
  <c r="B28" i="1"/>
  <c r="C26" i="1"/>
  <c r="B26" i="1"/>
  <c r="C25" i="1"/>
  <c r="B25" i="1"/>
  <c r="C23" i="1"/>
  <c r="B23" i="1"/>
  <c r="C22" i="1"/>
  <c r="B22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B10" i="1"/>
  <c r="C9" i="1"/>
  <c r="B9" i="1"/>
  <c r="C8" i="1"/>
  <c r="B8" i="1"/>
  <c r="C7" i="1"/>
  <c r="B7" i="1"/>
  <c r="C6" i="1"/>
  <c r="B6" i="1"/>
  <c r="C33" i="1" l="1"/>
  <c r="D33" i="1"/>
</calcChain>
</file>

<file path=xl/sharedStrings.xml><?xml version="1.0" encoding="utf-8"?>
<sst xmlns="http://schemas.openxmlformats.org/spreadsheetml/2006/main" count="210" uniqueCount="40">
  <si>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</si>
  <si>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</si>
  <si>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</si>
  <si>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</si>
  <si>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</si>
  <si>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</si>
  <si>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</si>
  <si>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</si>
  <si>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</si>
  <si>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</si>
  <si>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PRÊT</t>
  </si>
  <si>
    <t>INTERET PRÊT</t>
  </si>
  <si>
    <t>REMBOURSEMENT</t>
  </si>
  <si>
    <t>STATUT PRÊT</t>
  </si>
  <si>
    <t>INTERET ACHAT</t>
  </si>
  <si>
    <t>DATE ACHAT</t>
  </si>
  <si>
    <t>ECHEC</t>
  </si>
  <si>
    <t>AS201602</t>
  </si>
  <si>
    <t>AS201606</t>
  </si>
  <si>
    <t>BANQUE</t>
  </si>
  <si>
    <t>AS201607</t>
  </si>
  <si>
    <t>AS201609</t>
  </si>
  <si>
    <t>AS201612</t>
  </si>
  <si>
    <t>AS201614</t>
  </si>
  <si>
    <t>AS201617</t>
  </si>
  <si>
    <t>AS201618</t>
  </si>
  <si>
    <t>AS201619</t>
  </si>
  <si>
    <t>AS201621</t>
  </si>
  <si>
    <t>AS201622</t>
  </si>
  <si>
    <t>AS201624</t>
  </si>
  <si>
    <t>AS201628</t>
  </si>
  <si>
    <t>AS201629</t>
  </si>
  <si>
    <t>AS201633</t>
  </si>
  <si>
    <t>AS201635</t>
  </si>
  <si>
    <t>AS201636</t>
  </si>
  <si>
    <t>AS201639</t>
  </si>
  <si>
    <t>AS201642</t>
  </si>
  <si>
    <t>AS201645</t>
  </si>
  <si>
    <t>TOTAL</t>
  </si>
  <si>
    <t>ESPECES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</si>
</sst>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C]d\-mmm\-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D5">
            <v>0</v>
          </cell>
          <cell r="E5">
            <v>677841881</v>
          </cell>
          <cell r="F5">
            <v>0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D6">
            <v>0</v>
          </cell>
          <cell r="E6">
            <v>677704694</v>
          </cell>
          <cell r="F6">
            <v>0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D7">
            <v>0</v>
          </cell>
          <cell r="E7">
            <v>677881912</v>
          </cell>
          <cell r="F7">
            <v>0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D8">
            <v>0</v>
          </cell>
          <cell r="E8">
            <v>677986676</v>
          </cell>
          <cell r="F8">
            <v>0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D9">
            <v>0</v>
          </cell>
          <cell r="E9">
            <v>675250451</v>
          </cell>
          <cell r="F9">
            <v>0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DJOUNKEP SAMUEL</v>
          </cell>
          <cell r="C10" t="str">
            <v>COMPTABLE RETRAITE</v>
          </cell>
          <cell r="D10">
            <v>0</v>
          </cell>
          <cell r="E10">
            <v>697103557</v>
          </cell>
          <cell r="F10">
            <v>0</v>
          </cell>
          <cell r="G10" t="str">
            <v>BIYEM ASSI LYCEE</v>
          </cell>
          <cell r="H10">
            <v>42401</v>
          </cell>
        </row>
        <row r="11">
          <cell r="A11" t="str">
            <v>AS201607</v>
          </cell>
          <cell r="B11" t="str">
            <v>DJUOMBESSY ANTOINE</v>
          </cell>
          <cell r="C11" t="str">
            <v>ANALYSTE CONCEPTEUR SI</v>
          </cell>
          <cell r="D11">
            <v>0</v>
          </cell>
          <cell r="E11">
            <v>677501239</v>
          </cell>
          <cell r="F11">
            <v>699324095</v>
          </cell>
          <cell r="G11" t="str">
            <v>MESSASSI</v>
          </cell>
          <cell r="H11">
            <v>43647</v>
          </cell>
        </row>
        <row r="12">
          <cell r="A12" t="str">
            <v>AS201608</v>
          </cell>
          <cell r="B12" t="str">
            <v>DONHOU DAVID</v>
          </cell>
          <cell r="C12" t="str">
            <v>MAGISTRAT</v>
          </cell>
          <cell r="D12">
            <v>0</v>
          </cell>
          <cell r="E12">
            <v>699908065</v>
          </cell>
          <cell r="F12">
            <v>0</v>
          </cell>
          <cell r="G12" t="str">
            <v>TONGOLO</v>
          </cell>
          <cell r="H12">
            <v>42979</v>
          </cell>
        </row>
        <row r="13">
          <cell r="A13" t="str">
            <v>AS201609</v>
          </cell>
          <cell r="B13" t="str">
            <v>FOTSO THOMAS</v>
          </cell>
          <cell r="C13" t="str">
            <v>CADRE BANQUE</v>
          </cell>
          <cell r="D13">
            <v>0</v>
          </cell>
          <cell r="E13">
            <v>677910278</v>
          </cell>
          <cell r="F13">
            <v>0</v>
          </cell>
          <cell r="G13" t="str">
            <v>OYOMABANG</v>
          </cell>
          <cell r="H13">
            <v>43344</v>
          </cell>
        </row>
        <row r="14">
          <cell r="A14" t="str">
            <v>AS201610</v>
          </cell>
          <cell r="B14" t="str">
            <v>HENGUE PAUL OMER</v>
          </cell>
          <cell r="C14" t="str">
            <v>SOCIOLOGUE</v>
          </cell>
          <cell r="D14">
            <v>0</v>
          </cell>
          <cell r="E14">
            <v>694468080</v>
          </cell>
          <cell r="F14">
            <v>0</v>
          </cell>
          <cell r="G14" t="str">
            <v>MESSASSI</v>
          </cell>
          <cell r="H14">
            <v>42583</v>
          </cell>
        </row>
        <row r="15">
          <cell r="A15" t="str">
            <v>AS201611</v>
          </cell>
          <cell r="B15" t="str">
            <v>HODIEP JULES</v>
          </cell>
          <cell r="C15" t="str">
            <v>CADRE CNPS</v>
          </cell>
          <cell r="D15">
            <v>0</v>
          </cell>
          <cell r="E15">
            <v>675291170</v>
          </cell>
          <cell r="F15">
            <v>0</v>
          </cell>
          <cell r="G15" t="str">
            <v>NYOM 2</v>
          </cell>
          <cell r="H15">
            <v>43009</v>
          </cell>
        </row>
        <row r="16">
          <cell r="A16" t="str">
            <v>AS201612</v>
          </cell>
          <cell r="B16" t="str">
            <v>HOTCHO BENJAMIN</v>
          </cell>
          <cell r="C16" t="str">
            <v>COMPTABLE</v>
          </cell>
          <cell r="D16">
            <v>0</v>
          </cell>
          <cell r="E16">
            <v>699956355</v>
          </cell>
          <cell r="F16">
            <v>0</v>
          </cell>
          <cell r="G16" t="str">
            <v>DAMAS</v>
          </cell>
          <cell r="H16">
            <v>42614</v>
          </cell>
        </row>
        <row r="17">
          <cell r="A17" t="str">
            <v>AS201613</v>
          </cell>
          <cell r="B17" t="str">
            <v>KEPHE DAVID</v>
          </cell>
          <cell r="C17" t="str">
            <v>OPERATEUR ECONOMIQUE</v>
          </cell>
          <cell r="D17">
            <v>0</v>
          </cell>
          <cell r="E17">
            <v>677053815</v>
          </cell>
          <cell r="F17">
            <v>0</v>
          </cell>
          <cell r="G17" t="str">
            <v>MESSASSI</v>
          </cell>
          <cell r="H17">
            <v>43374</v>
          </cell>
        </row>
        <row r="18">
          <cell r="A18" t="str">
            <v>AS201614</v>
          </cell>
          <cell r="B18" t="str">
            <v>KEPSEU FRANCIS</v>
          </cell>
          <cell r="C18" t="str">
            <v>OFFICIER DE POLICE RETRAITE</v>
          </cell>
          <cell r="D18">
            <v>0</v>
          </cell>
          <cell r="E18">
            <v>699528700</v>
          </cell>
          <cell r="F18">
            <v>0</v>
          </cell>
          <cell r="G18" t="str">
            <v>SIMBOCK</v>
          </cell>
          <cell r="H18">
            <v>43405</v>
          </cell>
        </row>
        <row r="19">
          <cell r="A19" t="str">
            <v>AS201615</v>
          </cell>
          <cell r="B19" t="str">
            <v>KEPSEU HENANG RENE</v>
          </cell>
          <cell r="C19" t="str">
            <v>CADRE SONEL RETRAITE</v>
          </cell>
          <cell r="D19">
            <v>0</v>
          </cell>
          <cell r="E19">
            <v>699843118</v>
          </cell>
          <cell r="F19">
            <v>0</v>
          </cell>
          <cell r="G19" t="str">
            <v>BIYEM ASSI LYCEE</v>
          </cell>
          <cell r="H19">
            <v>42522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D20">
            <v>0</v>
          </cell>
          <cell r="E20">
            <v>699335584</v>
          </cell>
          <cell r="F20">
            <v>0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D21">
            <v>0</v>
          </cell>
          <cell r="E21">
            <v>675836725</v>
          </cell>
          <cell r="F21">
            <v>0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D22">
            <v>0</v>
          </cell>
          <cell r="E22">
            <v>696564847</v>
          </cell>
          <cell r="F22">
            <v>0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D23">
            <v>0</v>
          </cell>
          <cell r="E23">
            <v>677735778</v>
          </cell>
          <cell r="F23">
            <v>0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NANGUEN MARTIN</v>
          </cell>
          <cell r="C24" t="str">
            <v>SECRETAIRE D'ADMINISTRATION</v>
          </cell>
          <cell r="D24">
            <v>0</v>
          </cell>
          <cell r="E24">
            <v>677648306</v>
          </cell>
          <cell r="F24">
            <v>0</v>
          </cell>
          <cell r="G24" t="str">
            <v>RUE MANGUIERS</v>
          </cell>
          <cell r="H24">
            <v>43040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D25">
            <v>0</v>
          </cell>
          <cell r="E25">
            <v>693055118</v>
          </cell>
          <cell r="F25">
            <v>0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D26">
            <v>0</v>
          </cell>
          <cell r="E26">
            <v>677553702</v>
          </cell>
          <cell r="F26">
            <v>0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D27">
            <v>0</v>
          </cell>
          <cell r="E27">
            <v>699358350</v>
          </cell>
          <cell r="F27">
            <v>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D28">
            <v>0</v>
          </cell>
          <cell r="E28">
            <v>675249207</v>
          </cell>
          <cell r="F28">
            <v>0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D29">
            <v>0</v>
          </cell>
          <cell r="E29">
            <v>677766503</v>
          </cell>
          <cell r="F29">
            <v>0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D30">
            <v>0</v>
          </cell>
          <cell r="E30">
            <v>677068360</v>
          </cell>
          <cell r="F30">
            <v>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D31">
            <v>0</v>
          </cell>
          <cell r="E31">
            <v>670909070</v>
          </cell>
          <cell r="F31">
            <v>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D32">
            <v>0</v>
          </cell>
          <cell r="E32">
            <v>676659191</v>
          </cell>
          <cell r="F32">
            <v>0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D33">
            <v>0</v>
          </cell>
          <cell r="E33">
            <v>677575366</v>
          </cell>
          <cell r="F33">
            <v>0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NTEPDIE TUEMAC MZ</v>
          </cell>
          <cell r="C34" t="str">
            <v>OPERATEUR ECONOMIQUE</v>
          </cell>
          <cell r="D34">
            <v>0</v>
          </cell>
          <cell r="E34">
            <v>677377251</v>
          </cell>
          <cell r="F34">
            <v>0</v>
          </cell>
          <cell r="G34" t="str">
            <v>MONTEE JOUVENCE</v>
          </cell>
          <cell r="H34">
            <v>43282</v>
          </cell>
        </row>
        <row r="35">
          <cell r="A35" t="str">
            <v>AS201631</v>
          </cell>
          <cell r="B35" t="str">
            <v>NTOMBOU ADOLPHE</v>
          </cell>
          <cell r="C35" t="str">
            <v xml:space="preserve">INGENIEUR </v>
          </cell>
          <cell r="D35">
            <v>0</v>
          </cell>
          <cell r="E35">
            <v>677867173</v>
          </cell>
          <cell r="F35">
            <v>0</v>
          </cell>
          <cell r="G35" t="str">
            <v>BIYEM ASSI LYCEE</v>
          </cell>
          <cell r="H35">
            <v>42461</v>
          </cell>
        </row>
        <row r="36">
          <cell r="A36" t="str">
            <v>AS201632</v>
          </cell>
          <cell r="B36" t="str">
            <v>PATEGO NJOSSU GUSTAVE</v>
          </cell>
          <cell r="C36" t="str">
            <v>INGENIEUR T-P</v>
          </cell>
          <cell r="D36">
            <v>0</v>
          </cell>
          <cell r="E36">
            <v>699995086</v>
          </cell>
          <cell r="F36">
            <v>0</v>
          </cell>
          <cell r="G36" t="str">
            <v>EBOGO 1(SOA)</v>
          </cell>
          <cell r="H36">
            <v>43525</v>
          </cell>
        </row>
        <row r="37">
          <cell r="A37" t="str">
            <v>AS201633</v>
          </cell>
          <cell r="B37" t="str">
            <v>SEUNOU RICHELOT</v>
          </cell>
          <cell r="C37" t="str">
            <v>OPERATEUR ECONOMIQUE</v>
          </cell>
          <cell r="D37">
            <v>0</v>
          </cell>
          <cell r="E37">
            <v>677054646</v>
          </cell>
          <cell r="F37">
            <v>0</v>
          </cell>
          <cell r="G37" t="str">
            <v>EMANA</v>
          </cell>
          <cell r="H37">
            <v>43160</v>
          </cell>
        </row>
        <row r="38">
          <cell r="A38" t="str">
            <v>AS201634</v>
          </cell>
          <cell r="B38" t="str">
            <v>SIME ABEL</v>
          </cell>
          <cell r="C38" t="str">
            <v>OPERATEUR ECONOMIQUE</v>
          </cell>
          <cell r="D38">
            <v>0</v>
          </cell>
          <cell r="E38">
            <v>699549665</v>
          </cell>
          <cell r="F38">
            <v>0</v>
          </cell>
          <cell r="G38" t="str">
            <v>ELEVEUR</v>
          </cell>
          <cell r="H38">
            <v>43556</v>
          </cell>
        </row>
        <row r="39">
          <cell r="A39" t="str">
            <v>AS201635</v>
          </cell>
          <cell r="B39" t="str">
            <v>SIME FONGANG ERIC</v>
          </cell>
          <cell r="C39" t="str">
            <v>CADRE BANQUE</v>
          </cell>
          <cell r="D39">
            <v>0</v>
          </cell>
          <cell r="E39">
            <v>699350133</v>
          </cell>
          <cell r="F39">
            <v>0</v>
          </cell>
          <cell r="G39" t="str">
            <v>DAMAS</v>
          </cell>
          <cell r="H39">
            <v>43435</v>
          </cell>
        </row>
        <row r="40">
          <cell r="A40" t="str">
            <v>AS201636</v>
          </cell>
          <cell r="B40" t="str">
            <v>SIME MATHIEU</v>
          </cell>
          <cell r="C40" t="str">
            <v>CHEF ENTREPRISE</v>
          </cell>
          <cell r="D40">
            <v>0</v>
          </cell>
          <cell r="E40">
            <v>677477649</v>
          </cell>
          <cell r="F40">
            <v>0</v>
          </cell>
          <cell r="G40" t="str">
            <v>PARC NATIONAL</v>
          </cell>
          <cell r="H40">
            <v>42948</v>
          </cell>
        </row>
        <row r="41">
          <cell r="A41" t="str">
            <v>AS201637</v>
          </cell>
          <cell r="B41" t="str">
            <v>SIME PIERRE</v>
          </cell>
          <cell r="C41" t="str">
            <v>TECHNICIEN DE SANTE RETRAITE</v>
          </cell>
          <cell r="D41">
            <v>0</v>
          </cell>
          <cell r="E41">
            <v>677546060</v>
          </cell>
          <cell r="F41">
            <v>0</v>
          </cell>
          <cell r="G41" t="str">
            <v>OYOMABANG</v>
          </cell>
          <cell r="H41">
            <v>42736</v>
          </cell>
        </row>
        <row r="42">
          <cell r="A42" t="str">
            <v>AS201638</v>
          </cell>
          <cell r="B42" t="str">
            <v>TCHOUAMOU JEAN PAUL</v>
          </cell>
          <cell r="C42" t="str">
            <v>CADRE CNPS</v>
          </cell>
          <cell r="D42">
            <v>0</v>
          </cell>
          <cell r="E42">
            <v>677780149</v>
          </cell>
          <cell r="F42">
            <v>0</v>
          </cell>
          <cell r="G42" t="str">
            <v>MESSASSI</v>
          </cell>
          <cell r="H42">
            <v>42552</v>
          </cell>
        </row>
        <row r="43">
          <cell r="A43" t="str">
            <v>AS201639</v>
          </cell>
          <cell r="B43" t="str">
            <v>TCHOUAMOU MATHIEU</v>
          </cell>
          <cell r="C43" t="str">
            <v>OFFICIER SUPERIEUR</v>
          </cell>
          <cell r="D43">
            <v>0</v>
          </cell>
          <cell r="E43">
            <v>699778906</v>
          </cell>
          <cell r="F43">
            <v>0</v>
          </cell>
          <cell r="G43" t="str">
            <v>MENDONG</v>
          </cell>
          <cell r="H43">
            <v>43709</v>
          </cell>
        </row>
        <row r="44">
          <cell r="A44" t="str">
            <v>AS201640</v>
          </cell>
          <cell r="B44" t="str">
            <v>TCHOUANTE FRANCOIS</v>
          </cell>
          <cell r="C44" t="str">
            <v>ENSEIGNANT</v>
          </cell>
          <cell r="D44">
            <v>0</v>
          </cell>
          <cell r="E44">
            <v>678639806</v>
          </cell>
          <cell r="F44">
            <v>0</v>
          </cell>
          <cell r="G44" t="str">
            <v>MENDONG</v>
          </cell>
          <cell r="H44">
            <v>43252</v>
          </cell>
        </row>
        <row r="45">
          <cell r="A45" t="str">
            <v>AS201641</v>
          </cell>
          <cell r="B45" t="str">
            <v>TCHOUTOU NANA CLAUDE</v>
          </cell>
          <cell r="C45" t="str">
            <v>OPERATEUR ECONOMIQUE</v>
          </cell>
          <cell r="D45">
            <v>0</v>
          </cell>
          <cell r="E45">
            <v>677775940</v>
          </cell>
          <cell r="F45">
            <v>0</v>
          </cell>
          <cell r="G45" t="str">
            <v>NKOL FOULOU</v>
          </cell>
          <cell r="H45">
            <v>43221</v>
          </cell>
        </row>
        <row r="46">
          <cell r="A46" t="str">
            <v>AS201642</v>
          </cell>
          <cell r="B46" t="str">
            <v>TIEYAM ERNEST</v>
          </cell>
          <cell r="C46" t="str">
            <v>INGENIEUR ELECTRONICIEN</v>
          </cell>
          <cell r="D46">
            <v>0</v>
          </cell>
          <cell r="E46">
            <v>677508603</v>
          </cell>
          <cell r="F46">
            <v>0</v>
          </cell>
          <cell r="G46" t="str">
            <v>BASTOS</v>
          </cell>
          <cell r="H46">
            <v>42856</v>
          </cell>
        </row>
        <row r="47">
          <cell r="A47" t="str">
            <v>AS201643</v>
          </cell>
          <cell r="B47" t="str">
            <v>TUGMA PIERRE LOTI</v>
          </cell>
          <cell r="C47" t="str">
            <v>PROFESSEUR DES LYCEES RETRAITE</v>
          </cell>
          <cell r="D47">
            <v>0</v>
          </cell>
          <cell r="E47">
            <v>677726329</v>
          </cell>
          <cell r="F47">
            <v>0</v>
          </cell>
          <cell r="G47" t="str">
            <v>BIYEM ASSI LYCEE</v>
          </cell>
          <cell r="H47">
            <v>42430</v>
          </cell>
        </row>
        <row r="48">
          <cell r="A48" t="str">
            <v>AS201644</v>
          </cell>
          <cell r="B48" t="str">
            <v>YEPMOU JEAN JACQUES</v>
          </cell>
          <cell r="C48" t="str">
            <v>ADMINISTRATEUR CIVIL</v>
          </cell>
          <cell r="D48">
            <v>0</v>
          </cell>
          <cell r="E48">
            <v>699663416</v>
          </cell>
          <cell r="F48">
            <v>0</v>
          </cell>
          <cell r="G48" t="str">
            <v>MENDONG (NKOLZIE)</v>
          </cell>
          <cell r="H48">
            <v>42826</v>
          </cell>
        </row>
        <row r="49">
          <cell r="A49" t="str">
            <v>AS201645</v>
          </cell>
          <cell r="B49" t="str">
            <v>YOUMBI EMMANUEL</v>
          </cell>
          <cell r="C49" t="str">
            <v>PROFESSEUR DES UNIVERSITES</v>
          </cell>
          <cell r="D49">
            <v>0</v>
          </cell>
          <cell r="E49">
            <v>677547311</v>
          </cell>
          <cell r="F49">
            <v>0</v>
          </cell>
          <cell r="G49" t="str">
            <v>MENDONG (GUINNESS)</v>
          </cell>
          <cell r="H49">
            <v>42675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RowHeight="15" x14ac:dyDescent="0.25"/>
  <sheetData>
    <row r="1" spans="1:1" x14ac:dyDescent="0.25">
      <c r="A1" t="s">
        <v>19</v>
      </c>
    </row>
    <row r="2" spans="1:1" x14ac:dyDescent="0.25">
      <c r="A2" t="s">
        <v>39</v>
      </c>
    </row>
    <row r="3" spans="1:1" x14ac:dyDescent="0.25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C17" sqref="C1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" t="s">
        <v>2</v>
      </c>
      <c r="B2" s="1" t="s">
        <v>3</v>
      </c>
    </row>
    <row r="3" spans="1:11" x14ac:dyDescent="0.25">
      <c r="A3" s="1" t="s">
        <v>4</v>
      </c>
      <c r="B3" s="4">
        <v>100000</v>
      </c>
    </row>
    <row r="4" spans="1:11" ht="18" x14ac:dyDescent="0.25">
      <c r="B4" s="5"/>
      <c r="C4" s="11">
        <v>42723</v>
      </c>
      <c r="D4" s="12"/>
      <c r="E4" s="12"/>
      <c r="F4" s="12"/>
      <c r="G4" s="12"/>
      <c r="H4" s="12"/>
    </row>
    <row r="5" spans="1:11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</row>
    <row r="6" spans="1:11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IF(E6="ESPECES",1000,0)</f>
        <v>1000</v>
      </c>
      <c r="E6" s="7" t="s">
        <v>39</v>
      </c>
      <c r="F6" s="8"/>
      <c r="G6" s="8"/>
      <c r="J6" s="8"/>
    </row>
    <row r="7" spans="1:11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IF(E7="ESPECES",1000,0)</f>
        <v>0</v>
      </c>
      <c r="E7" s="7" t="s">
        <v>19</v>
      </c>
      <c r="F7" s="8"/>
      <c r="G7" s="8"/>
      <c r="J7" s="8"/>
    </row>
    <row r="8" spans="1:11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J8" s="8">
        <v>155000</v>
      </c>
    </row>
    <row r="9" spans="1:11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1000</v>
      </c>
      <c r="E9" s="7" t="s">
        <v>39</v>
      </c>
      <c r="F9" s="8">
        <v>200000</v>
      </c>
      <c r="G9" s="8">
        <v>2500</v>
      </c>
      <c r="J9" s="8"/>
    </row>
    <row r="10" spans="1:11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J10" s="8"/>
    </row>
    <row r="11" spans="1:11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J11" s="8"/>
    </row>
    <row r="12" spans="1:11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J12" s="8"/>
    </row>
    <row r="13" spans="1:11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1000</v>
      </c>
      <c r="E13" s="7" t="s">
        <v>39</v>
      </c>
      <c r="F13" s="8">
        <v>100000</v>
      </c>
      <c r="G13" s="8">
        <v>1000</v>
      </c>
      <c r="J13" s="8"/>
    </row>
    <row r="14" spans="1:11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1000</v>
      </c>
      <c r="E14" s="7" t="s">
        <v>39</v>
      </c>
      <c r="F14" s="8"/>
      <c r="G14" s="8"/>
      <c r="J14" s="8"/>
    </row>
    <row r="15" spans="1:11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1000</v>
      </c>
      <c r="E15" s="7" t="s">
        <v>39</v>
      </c>
      <c r="F15" s="8">
        <v>200000</v>
      </c>
      <c r="G15" s="8">
        <v>2000</v>
      </c>
      <c r="J15" s="8"/>
    </row>
    <row r="16" spans="1:11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J16" s="8"/>
    </row>
    <row r="17" spans="1:10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1000</v>
      </c>
      <c r="E17" s="7" t="s">
        <v>39</v>
      </c>
      <c r="F17" s="8"/>
      <c r="G17" s="8"/>
      <c r="J17" s="8"/>
    </row>
    <row r="18" spans="1:10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>
        <v>100000</v>
      </c>
      <c r="G18" s="8">
        <v>1000</v>
      </c>
      <c r="J18" s="8"/>
    </row>
    <row r="19" spans="1:10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1000</v>
      </c>
      <c r="E19" s="7" t="s">
        <v>39</v>
      </c>
      <c r="F19" s="8">
        <v>200000</v>
      </c>
      <c r="G19" s="8">
        <v>2000</v>
      </c>
      <c r="J19" s="8"/>
    </row>
    <row r="20" spans="1:10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>
        <f t="shared" si="1"/>
        <v>1000</v>
      </c>
      <c r="E20" s="7" t="s">
        <v>39</v>
      </c>
      <c r="F20" s="8"/>
      <c r="G20" s="8"/>
      <c r="J20" s="8"/>
    </row>
    <row r="21" spans="1:10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>
        <f t="shared" si="1"/>
        <v>1000</v>
      </c>
      <c r="E21" s="7" t="s">
        <v>39</v>
      </c>
      <c r="F21" s="8"/>
      <c r="G21" s="8"/>
      <c r="J21" s="8"/>
    </row>
    <row r="22" spans="1:10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1000</v>
      </c>
      <c r="E22" s="7" t="s">
        <v>39</v>
      </c>
      <c r="F22" s="8"/>
      <c r="G22" s="8"/>
      <c r="J22" s="8"/>
    </row>
    <row r="23" spans="1:10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1000</v>
      </c>
      <c r="E23" s="7" t="s">
        <v>39</v>
      </c>
      <c r="F23" s="8">
        <v>200000</v>
      </c>
      <c r="G23" s="8">
        <v>2000</v>
      </c>
      <c r="J23" s="8"/>
    </row>
    <row r="24" spans="1:10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19</v>
      </c>
      <c r="F24" s="8"/>
      <c r="G24" s="8"/>
      <c r="J24" s="8"/>
    </row>
    <row r="25" spans="1:10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J25" s="8"/>
    </row>
    <row r="26" spans="1:10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1000</v>
      </c>
      <c r="E26" s="7" t="s">
        <v>39</v>
      </c>
      <c r="F26" s="8"/>
      <c r="G26" s="8"/>
      <c r="J26" s="8"/>
    </row>
    <row r="27" spans="1:10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1000</v>
      </c>
      <c r="E27" s="7" t="s">
        <v>39</v>
      </c>
      <c r="F27" s="8"/>
      <c r="G27" s="8"/>
      <c r="J27" s="8"/>
    </row>
    <row r="28" spans="1:10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J28" s="8"/>
    </row>
    <row r="29" spans="1:10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/>
      <c r="G29" s="8"/>
      <c r="J29" s="8"/>
    </row>
    <row r="30" spans="1:10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J30" s="8"/>
    </row>
    <row r="31" spans="1:10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13000</v>
      </c>
      <c r="E33" s="10"/>
      <c r="F33" s="10">
        <f>SUM(F6:F32)</f>
        <v>1000000</v>
      </c>
      <c r="G33" s="10">
        <f>SUM(G6:G32)</f>
        <v>10500</v>
      </c>
      <c r="H33" s="10">
        <f>SUM(H6:H32)</f>
        <v>0</v>
      </c>
      <c r="I33" s="10">
        <f>SUM(I6:I32)</f>
        <v>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workbookViewId="0">
      <pane xSplit="2" ySplit="5" topLeftCell="C24" activePane="bottomRight" state="frozen"/>
      <selection activeCell="I3" sqref="I3"/>
      <selection pane="topRight" activeCell="I3" sqref="I3"/>
      <selection pane="bottomLeft" activeCell="I3" sqref="I3"/>
      <selection pane="bottomRight" activeCell="D27" sqref="D27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" t="s">
        <v>2</v>
      </c>
      <c r="B2" s="1" t="s">
        <v>3</v>
      </c>
    </row>
    <row r="3" spans="1:11" x14ac:dyDescent="0.25">
      <c r="A3" s="1" t="s">
        <v>4</v>
      </c>
      <c r="B3" s="4">
        <v>100000</v>
      </c>
    </row>
    <row r="4" spans="1:11" ht="18" x14ac:dyDescent="0.25">
      <c r="B4" s="5"/>
      <c r="C4" s="11">
        <v>42723</v>
      </c>
      <c r="D4" s="12"/>
      <c r="E4" s="12"/>
      <c r="F4" s="12"/>
      <c r="G4" s="12"/>
      <c r="H4" s="12"/>
    </row>
    <row r="5" spans="1:11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</row>
    <row r="6" spans="1:11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IF(E6="ESPECES",1000,0)</f>
        <v>1000</v>
      </c>
      <c r="E6" s="7" t="s">
        <v>39</v>
      </c>
      <c r="F6" s="8"/>
      <c r="G6" s="8"/>
      <c r="J6" s="8"/>
    </row>
    <row r="7" spans="1:11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IF(E7="ESPECES",1000,0)</f>
        <v>0</v>
      </c>
      <c r="E7" s="7" t="s">
        <v>19</v>
      </c>
      <c r="F7" s="8"/>
      <c r="G7" s="8"/>
      <c r="J7" s="8"/>
    </row>
    <row r="8" spans="1:11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J8" s="8">
        <v>155000</v>
      </c>
    </row>
    <row r="9" spans="1:11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1000</v>
      </c>
      <c r="E9" s="7" t="s">
        <v>39</v>
      </c>
      <c r="F9" s="8">
        <v>200000</v>
      </c>
      <c r="G9" s="8">
        <v>2500</v>
      </c>
      <c r="J9" s="8"/>
    </row>
    <row r="10" spans="1:11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J10" s="8"/>
    </row>
    <row r="11" spans="1:11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J11" s="8"/>
    </row>
    <row r="12" spans="1:11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J12" s="8"/>
    </row>
    <row r="13" spans="1:11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1000</v>
      </c>
      <c r="E13" s="7" t="s">
        <v>39</v>
      </c>
      <c r="F13" s="8">
        <v>100000</v>
      </c>
      <c r="G13" s="8">
        <v>1000</v>
      </c>
      <c r="J13" s="8"/>
    </row>
    <row r="14" spans="1:11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1000</v>
      </c>
      <c r="E14" s="7" t="s">
        <v>39</v>
      </c>
      <c r="F14" s="8"/>
      <c r="G14" s="8"/>
      <c r="J14" s="8"/>
    </row>
    <row r="15" spans="1:11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1000</v>
      </c>
      <c r="E15" s="7" t="s">
        <v>39</v>
      </c>
      <c r="F15" s="8">
        <v>200000</v>
      </c>
      <c r="G15" s="8">
        <v>2000</v>
      </c>
      <c r="J15" s="8"/>
    </row>
    <row r="16" spans="1:11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J16" s="8"/>
    </row>
    <row r="17" spans="1:10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1000</v>
      </c>
      <c r="E17" s="7" t="s">
        <v>39</v>
      </c>
      <c r="F17" s="8"/>
      <c r="G17" s="8"/>
      <c r="J17" s="8"/>
    </row>
    <row r="18" spans="1:10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>
        <v>100000</v>
      </c>
      <c r="G18" s="8">
        <v>1000</v>
      </c>
      <c r="J18" s="8"/>
    </row>
    <row r="19" spans="1:10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1000</v>
      </c>
      <c r="E19" s="7" t="s">
        <v>39</v>
      </c>
      <c r="F19" s="8">
        <v>200000</v>
      </c>
      <c r="G19" s="8">
        <v>2000</v>
      </c>
      <c r="J19" s="8"/>
    </row>
    <row r="20" spans="1:10" x14ac:dyDescent="0.25">
      <c r="A20" s="1" t="s">
        <v>30</v>
      </c>
      <c r="B20" s="1" t="str">
        <f>VLOOKUP(A20,[1]LISTADHERENT!A$5:H$49,2)</f>
        <v>NKAMGANG JUSTIN DEJOLIE</v>
      </c>
      <c r="C20" s="8">
        <f t="shared" ref="C20" si="2">IF(E20="ECHEC",0,100000)</f>
        <v>100000</v>
      </c>
      <c r="D20" s="8"/>
      <c r="E20" s="7" t="s">
        <v>39</v>
      </c>
      <c r="F20" s="8"/>
      <c r="G20" s="8"/>
      <c r="J20" s="8"/>
    </row>
    <row r="21" spans="1:10" x14ac:dyDescent="0.25">
      <c r="A21" s="1" t="s">
        <v>30</v>
      </c>
      <c r="B21" s="1" t="str">
        <f>VLOOKUP(A21,[1]LISTADHERENT!A$5:H$49,2)</f>
        <v>NKAMGANG JUSTIN DEJOLIE</v>
      </c>
      <c r="C21" s="8">
        <f t="shared" ref="C21" si="3">IF(E21="ECHEC",0,100000)</f>
        <v>100000</v>
      </c>
      <c r="D21" s="8"/>
      <c r="E21" s="7" t="s">
        <v>39</v>
      </c>
      <c r="F21" s="8"/>
      <c r="G21" s="8"/>
      <c r="J21" s="8"/>
    </row>
    <row r="22" spans="1:10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1000</v>
      </c>
      <c r="E22" s="7" t="s">
        <v>39</v>
      </c>
      <c r="F22" s="8"/>
      <c r="G22" s="8"/>
      <c r="J22" s="8"/>
    </row>
    <row r="23" spans="1:10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1000</v>
      </c>
      <c r="E23" s="7" t="s">
        <v>39</v>
      </c>
      <c r="F23" s="8">
        <v>200000</v>
      </c>
      <c r="G23" s="8">
        <v>2000</v>
      </c>
      <c r="J23" s="8"/>
    </row>
    <row r="24" spans="1:10" x14ac:dyDescent="0.25">
      <c r="A24" s="1" t="s">
        <v>32</v>
      </c>
      <c r="B24" s="1" t="str">
        <f>VLOOKUP(A24,[1]LISTADHERENT!A$5:H$49,2)</f>
        <v>SEUNOU RICHELOT</v>
      </c>
      <c r="C24" s="8">
        <f t="shared" ref="C24" si="4">IF(E24="ECHEC",0,100000)</f>
        <v>100000</v>
      </c>
      <c r="D24" s="8"/>
      <c r="E24" s="7" t="s">
        <v>39</v>
      </c>
      <c r="F24" s="8"/>
      <c r="G24" s="8"/>
      <c r="J24" s="8"/>
    </row>
    <row r="25" spans="1:10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J25" s="8"/>
    </row>
    <row r="26" spans="1:10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1000</v>
      </c>
      <c r="E26" s="7" t="s">
        <v>39</v>
      </c>
      <c r="F26" s="8"/>
      <c r="G26" s="8"/>
      <c r="J26" s="8"/>
    </row>
    <row r="27" spans="1:10" x14ac:dyDescent="0.25">
      <c r="A27" s="1" t="s">
        <v>34</v>
      </c>
      <c r="B27" s="1" t="str">
        <f>VLOOKUP(A27,[1]LISTADHERENT!A$5:H$49,2)</f>
        <v>SIME MATHIEU</v>
      </c>
      <c r="C27" s="8">
        <f t="shared" ref="C27" si="5">IF(E27="ECHEC",0,100000)</f>
        <v>100000</v>
      </c>
      <c r="D27" s="8"/>
      <c r="E27" s="7" t="s">
        <v>39</v>
      </c>
      <c r="F27" s="8"/>
      <c r="G27" s="8"/>
      <c r="J27" s="8"/>
    </row>
    <row r="28" spans="1:10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J28" s="8"/>
    </row>
    <row r="29" spans="1:10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/>
      <c r="G29" s="8"/>
      <c r="J29" s="8"/>
    </row>
    <row r="30" spans="1:10" x14ac:dyDescent="0.25">
      <c r="A30" s="1" t="s">
        <v>36</v>
      </c>
      <c r="B30" s="1" t="str">
        <f>VLOOKUP(A30,[1]LISTADHERENT!A$5:H$49,2)</f>
        <v>TIEYAM ERNEST</v>
      </c>
      <c r="C30" s="8">
        <f t="shared" ref="C30" si="6">IF(E30="ECHEC",0,100000)</f>
        <v>100000</v>
      </c>
      <c r="D30" s="8">
        <f t="shared" si="1"/>
        <v>0</v>
      </c>
      <c r="E30" s="7" t="s">
        <v>19</v>
      </c>
      <c r="F30" s="8"/>
      <c r="G30" s="8"/>
      <c r="J30" s="8"/>
    </row>
    <row r="31" spans="1:10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10000</v>
      </c>
      <c r="E33" s="10"/>
      <c r="F33" s="10">
        <f>SUM(F6:F32)</f>
        <v>1000000</v>
      </c>
      <c r="G33" s="10">
        <f>SUM(G6:G32)</f>
        <v>10500</v>
      </c>
      <c r="H33" s="10">
        <f>SUM(H6:H32)</f>
        <v>0</v>
      </c>
      <c r="I33" s="10">
        <f>SUM(I6:I32)</f>
        <v>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workbookViewId="0">
      <pane xSplit="2" ySplit="5" topLeftCell="C24" activePane="bottomRight" state="frozen"/>
      <selection activeCell="I3" sqref="I3"/>
      <selection pane="topRight" activeCell="I3" sqref="I3"/>
      <selection pane="bottomLeft" activeCell="I3" sqref="I3"/>
      <selection pane="bottomRight" activeCell="E23" sqref="E2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1" x14ac:dyDescent="0.25">
      <c r="A1" s="1" t="s">
        <v>0</v>
      </c>
      <c r="B1" s="1" t="s">
        <v>1</v>
      </c>
    </row>
    <row r="2" spans="1:11" x14ac:dyDescent="0.25">
      <c r="A2" s="1" t="s">
        <v>2</v>
      </c>
      <c r="B2" s="1" t="s">
        <v>3</v>
      </c>
    </row>
    <row r="3" spans="1:11" x14ac:dyDescent="0.25">
      <c r="A3" s="1" t="s">
        <v>4</v>
      </c>
      <c r="B3" s="4">
        <v>100000</v>
      </c>
    </row>
    <row r="4" spans="1:11" ht="18" x14ac:dyDescent="0.25">
      <c r="B4" s="5"/>
      <c r="C4" s="11">
        <v>42750</v>
      </c>
      <c r="D4" s="12"/>
      <c r="E4" s="12"/>
      <c r="F4" s="12"/>
      <c r="G4" s="12"/>
      <c r="H4" s="12"/>
    </row>
    <row r="5" spans="1:11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</row>
    <row r="6" spans="1:11" x14ac:dyDescent="0.25">
      <c r="A6" s="1" t="s">
        <v>17</v>
      </c>
      <c r="B6" s="1" t="str">
        <f>VLOOKUP(A6,[1]LISTADHERENT!A$5:H$49,2)</f>
        <v>BOUTCHOUANG WILLIAM</v>
      </c>
      <c r="C6" s="8">
        <f t="shared" ref="C6:C31" si="0">IF(E6="ECHEC",0,100000)</f>
        <v>100000</v>
      </c>
      <c r="D6" s="8">
        <f>IF(E6="ESPECES",1000,0)</f>
        <v>1000</v>
      </c>
      <c r="E6" s="7" t="s">
        <v>39</v>
      </c>
      <c r="F6" s="8"/>
      <c r="G6" s="8"/>
      <c r="J6" s="8"/>
    </row>
    <row r="7" spans="1:11" x14ac:dyDescent="0.25">
      <c r="A7" s="1" t="s">
        <v>18</v>
      </c>
      <c r="B7" s="1" t="str">
        <f>VLOOKUP(A7,[1]LISTADHERENT!A$5:H$49,2)</f>
        <v>DJOUNKEP SAMUEL</v>
      </c>
      <c r="C7" s="8">
        <f t="shared" si="0"/>
        <v>100000</v>
      </c>
      <c r="D7" s="8">
        <f t="shared" ref="D7:D31" si="1">IF(E7="ESPECES",1000,0)</f>
        <v>0</v>
      </c>
      <c r="E7" s="7" t="s">
        <v>19</v>
      </c>
      <c r="F7" s="8"/>
      <c r="G7" s="8"/>
      <c r="J7" s="8"/>
    </row>
    <row r="8" spans="1:11" x14ac:dyDescent="0.25">
      <c r="A8" s="1" t="s">
        <v>20</v>
      </c>
      <c r="B8" s="1" t="str">
        <f>VLOOKUP(A8,[1]LISTADHERENT!A$5:H$49,2)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J8" s="8">
        <v>155000</v>
      </c>
    </row>
    <row r="9" spans="1:11" x14ac:dyDescent="0.25">
      <c r="A9" s="1" t="s">
        <v>21</v>
      </c>
      <c r="B9" s="1" t="str">
        <f>VLOOKUP(A9,[1]LISTADHERENT!A$5:H$49,2)</f>
        <v>FOTSO THOMAS</v>
      </c>
      <c r="C9" s="8">
        <f t="shared" si="0"/>
        <v>100000</v>
      </c>
      <c r="D9" s="8">
        <f t="shared" si="1"/>
        <v>1000</v>
      </c>
      <c r="E9" s="7" t="s">
        <v>39</v>
      </c>
      <c r="F9" s="8">
        <f>100000+100000</f>
        <v>200000</v>
      </c>
      <c r="G9" s="8">
        <f>2500+2500</f>
        <v>5000</v>
      </c>
      <c r="J9" s="8"/>
    </row>
    <row r="10" spans="1:11" x14ac:dyDescent="0.25">
      <c r="A10" s="1" t="s">
        <v>22</v>
      </c>
      <c r="B10" s="1" t="str">
        <f>VLOOKUP(A10,[1]LISTADHERENT!A$5:H$49,2)</f>
        <v>HOTCHO BENJAMIN</v>
      </c>
      <c r="C10" s="8">
        <v>100000</v>
      </c>
      <c r="D10" s="8">
        <f t="shared" si="1"/>
        <v>0</v>
      </c>
      <c r="E10" s="7" t="s">
        <v>19</v>
      </c>
      <c r="F10" s="8"/>
      <c r="G10" s="8"/>
      <c r="J10" s="8"/>
    </row>
    <row r="11" spans="1:11" x14ac:dyDescent="0.25">
      <c r="A11" s="1" t="s">
        <v>22</v>
      </c>
      <c r="B11" s="1" t="str">
        <f>VLOOKUP(A11,[1]LISTADHERENT!A$5:H$49,2)</f>
        <v>HOTCHO BENJAMIN</v>
      </c>
      <c r="C11" s="8">
        <v>100000</v>
      </c>
      <c r="D11" s="8">
        <f t="shared" si="1"/>
        <v>0</v>
      </c>
      <c r="E11" s="7" t="s">
        <v>19</v>
      </c>
      <c r="F11" s="8"/>
      <c r="G11" s="8"/>
      <c r="J11" s="8"/>
    </row>
    <row r="12" spans="1:11" x14ac:dyDescent="0.25">
      <c r="A12" s="1" t="s">
        <v>23</v>
      </c>
      <c r="B12" s="1" t="str">
        <f>VLOOKUP(A12,[1]LISTADHERENT!A$5:H$49,2)</f>
        <v>KEPSEU FRANCIS</v>
      </c>
      <c r="C12" s="8">
        <f t="shared" si="0"/>
        <v>100000</v>
      </c>
      <c r="D12" s="8">
        <f t="shared" si="1"/>
        <v>1000</v>
      </c>
      <c r="E12" s="7" t="s">
        <v>39</v>
      </c>
      <c r="F12" s="8"/>
      <c r="G12" s="8"/>
      <c r="J12" s="8"/>
    </row>
    <row r="13" spans="1:11" x14ac:dyDescent="0.25">
      <c r="A13" s="1" t="s">
        <v>24</v>
      </c>
      <c r="B13" s="1" t="str">
        <f>VLOOKUP(A13,[1]LISTADHERENT!A$5:H$49,2)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/>
      <c r="G13" s="8"/>
      <c r="J13" s="8"/>
    </row>
    <row r="14" spans="1:11" x14ac:dyDescent="0.25">
      <c r="A14" s="1" t="s">
        <v>25</v>
      </c>
      <c r="B14" s="1" t="str">
        <f>VLOOKUP(A14,[1]LISTADHERENT!A$5:H$49,2)</f>
        <v>KOUAMOU VICTOR PEGUY</v>
      </c>
      <c r="C14" s="8">
        <f t="shared" si="0"/>
        <v>100000</v>
      </c>
      <c r="D14" s="8">
        <f t="shared" si="1"/>
        <v>1000</v>
      </c>
      <c r="E14" s="7" t="s">
        <v>39</v>
      </c>
      <c r="F14" s="8">
        <v>100000</v>
      </c>
      <c r="G14" s="8">
        <v>1500</v>
      </c>
      <c r="J14" s="8"/>
    </row>
    <row r="15" spans="1:11" x14ac:dyDescent="0.25">
      <c r="A15" s="1" t="s">
        <v>26</v>
      </c>
      <c r="B15" s="1" t="str">
        <f>VLOOKUP(A15,[1]LISTADHERENT!A$5:H$49,2)</f>
        <v>KOUATCHO MESSACK</v>
      </c>
      <c r="C15" s="8">
        <f t="shared" si="0"/>
        <v>100000</v>
      </c>
      <c r="D15" s="8">
        <f t="shared" si="1"/>
        <v>1000</v>
      </c>
      <c r="E15" s="7" t="s">
        <v>39</v>
      </c>
      <c r="F15" s="8">
        <v>100000</v>
      </c>
      <c r="G15" s="8">
        <v>1500</v>
      </c>
      <c r="J15" s="8"/>
    </row>
    <row r="16" spans="1:11" x14ac:dyDescent="0.25">
      <c r="A16" s="1" t="s">
        <v>27</v>
      </c>
      <c r="B16" s="1" t="str">
        <f>VLOOKUP(A16,[1]LISTADHERENT!A$5:H$49,2)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J16" s="8"/>
    </row>
    <row r="17" spans="1:10" x14ac:dyDescent="0.25">
      <c r="A17" s="1" t="s">
        <v>28</v>
      </c>
      <c r="B17" s="1" t="str">
        <f>VLOOKUP(A17,[1]LISTADHERENT!A$5:H$49,2)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>
        <v>100000</v>
      </c>
      <c r="G17" s="8">
        <v>1000</v>
      </c>
      <c r="J17" s="8"/>
    </row>
    <row r="18" spans="1:10" x14ac:dyDescent="0.25">
      <c r="A18" s="1" t="s">
        <v>29</v>
      </c>
      <c r="B18" s="1" t="str">
        <f>VLOOKUP(A18,[1]LISTADHERENT!A$5:H$49,2)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J18" s="8"/>
    </row>
    <row r="19" spans="1:10" x14ac:dyDescent="0.25">
      <c r="A19" s="1" t="s">
        <v>30</v>
      </c>
      <c r="B19" s="1" t="str">
        <f>VLOOKUP(A19,[1]LISTADHERENT!A$5:H$49,2)</f>
        <v>NKAMGANG JUSTIN DEJOLIE</v>
      </c>
      <c r="C19" s="8">
        <f t="shared" si="0"/>
        <v>100000</v>
      </c>
      <c r="D19" s="8">
        <f t="shared" si="1"/>
        <v>1000</v>
      </c>
      <c r="E19" s="7" t="s">
        <v>39</v>
      </c>
      <c r="F19" s="8">
        <v>83000</v>
      </c>
      <c r="G19" s="8">
        <v>1000</v>
      </c>
      <c r="J19" s="8">
        <v>127000</v>
      </c>
    </row>
    <row r="20" spans="1:10" x14ac:dyDescent="0.25">
      <c r="A20" s="1" t="s">
        <v>30</v>
      </c>
      <c r="B20" s="1" t="str">
        <f>VLOOKUP(A20,[1]LISTADHERENT!A$5:H$49,2)</f>
        <v>NKAMGANG JUSTIN DEJOLIE</v>
      </c>
      <c r="C20" s="8">
        <f t="shared" si="0"/>
        <v>100000</v>
      </c>
      <c r="D20" s="8"/>
      <c r="E20" s="7" t="s">
        <v>39</v>
      </c>
      <c r="F20" s="8"/>
      <c r="G20" s="8"/>
      <c r="J20" s="8"/>
    </row>
    <row r="21" spans="1:10" x14ac:dyDescent="0.25">
      <c r="A21" s="1" t="s">
        <v>30</v>
      </c>
      <c r="B21" s="1" t="str">
        <f>VLOOKUP(A21,[1]LISTADHERENT!A$5:H$49,2)</f>
        <v>NKAMGANG JUSTIN DEJOLIE</v>
      </c>
      <c r="C21" s="8">
        <f t="shared" si="0"/>
        <v>100000</v>
      </c>
      <c r="D21" s="8"/>
      <c r="E21" s="7" t="s">
        <v>39</v>
      </c>
      <c r="F21" s="8"/>
      <c r="G21" s="8"/>
      <c r="J21" s="8"/>
    </row>
    <row r="22" spans="1:10" x14ac:dyDescent="0.25">
      <c r="A22" s="1" t="s">
        <v>31</v>
      </c>
      <c r="B22" s="1" t="str">
        <f>VLOOKUP(A22,[1]LISTADHERENT!A$5:H$49,2)</f>
        <v>NKEPSEU DIEUDONNE</v>
      </c>
      <c r="C22" s="8">
        <f t="shared" si="0"/>
        <v>100000</v>
      </c>
      <c r="D22" s="8">
        <f t="shared" si="1"/>
        <v>1000</v>
      </c>
      <c r="E22" s="7" t="s">
        <v>39</v>
      </c>
      <c r="F22" s="8">
        <v>100000</v>
      </c>
      <c r="G22" s="8">
        <v>1000</v>
      </c>
      <c r="J22" s="8">
        <v>127000</v>
      </c>
    </row>
    <row r="23" spans="1:10" x14ac:dyDescent="0.25">
      <c r="A23" s="1" t="s">
        <v>32</v>
      </c>
      <c r="B23" s="1" t="str">
        <f>VLOOKUP(A23,[1]LISTADHERENT!A$5:H$49,2)</f>
        <v>SEUNOU RICHELOT</v>
      </c>
      <c r="C23" s="8">
        <f t="shared" si="0"/>
        <v>100000</v>
      </c>
      <c r="D23" s="8">
        <f t="shared" si="1"/>
        <v>1000</v>
      </c>
      <c r="E23" s="7" t="s">
        <v>39</v>
      </c>
      <c r="F23" s="8">
        <f>100000+100000</f>
        <v>200000</v>
      </c>
      <c r="G23" s="8">
        <f>2500+1000</f>
        <v>3500</v>
      </c>
      <c r="J23" s="8"/>
    </row>
    <row r="24" spans="1:10" x14ac:dyDescent="0.25">
      <c r="A24" s="1" t="s">
        <v>32</v>
      </c>
      <c r="B24" s="1" t="str">
        <f>VLOOKUP(A24,[1]LISTADHERENT!A$5:H$49,2)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19</v>
      </c>
      <c r="F24" s="8"/>
      <c r="G24" s="8"/>
      <c r="J24" s="8"/>
    </row>
    <row r="25" spans="1:10" x14ac:dyDescent="0.25">
      <c r="A25" s="1" t="s">
        <v>33</v>
      </c>
      <c r="B25" s="1" t="str">
        <f>VLOOKUP(A25,[1]LISTADHERENT!A$5:H$49,2)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J25" s="8"/>
    </row>
    <row r="26" spans="1:10" x14ac:dyDescent="0.25">
      <c r="A26" s="1" t="s">
        <v>34</v>
      </c>
      <c r="B26" s="1" t="str">
        <f>VLOOKUP(A26,[1]LISTADHERENT!A$5:H$49,2)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J26" s="8"/>
    </row>
    <row r="27" spans="1:10" x14ac:dyDescent="0.25">
      <c r="A27" s="1" t="s">
        <v>34</v>
      </c>
      <c r="B27" s="1" t="str">
        <f>VLOOKUP(A27,[1]LISTADHERENT!A$5:H$49,2)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J27" s="8"/>
    </row>
    <row r="28" spans="1:10" x14ac:dyDescent="0.25">
      <c r="A28" s="1" t="s">
        <v>35</v>
      </c>
      <c r="B28" s="1" t="str">
        <f>VLOOKUP(A28,[1]LISTADHERENT!A$5:H$49,2)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J28" s="8"/>
    </row>
    <row r="29" spans="1:10" x14ac:dyDescent="0.25">
      <c r="A29" s="1" t="s">
        <v>36</v>
      </c>
      <c r="B29" s="1" t="str">
        <f>VLOOKUP(A29,[1]LISTADHERENT!A$5:H$49,2)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>
        <f>100000+100000</f>
        <v>200000</v>
      </c>
      <c r="G29" s="8">
        <f>2500+2500</f>
        <v>5000</v>
      </c>
      <c r="J29" s="8"/>
    </row>
    <row r="30" spans="1:10" x14ac:dyDescent="0.25">
      <c r="A30" s="1" t="s">
        <v>36</v>
      </c>
      <c r="B30" s="1" t="str">
        <f>VLOOKUP(A30,[1]LISTADHERENT!A$5:H$49,2)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J30" s="8"/>
    </row>
    <row r="31" spans="1:10" x14ac:dyDescent="0.25">
      <c r="A31" s="1" t="s">
        <v>37</v>
      </c>
      <c r="B31" s="1" t="str">
        <f>VLOOKUP(A31,[1]LISTADHERENT!A$5:H$49,2)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8000</v>
      </c>
      <c r="E33" s="10"/>
      <c r="F33" s="10">
        <f>SUM(F6:F32)</f>
        <v>1083000</v>
      </c>
      <c r="G33" s="10">
        <f>SUM(G6:G32)</f>
        <v>19500</v>
      </c>
      <c r="H33" s="10">
        <f>SUM(H6:H32)</f>
        <v>0</v>
      </c>
      <c r="I33" s="10">
        <f>SUM(I6:I32)</f>
        <v>0</v>
      </c>
    </row>
  </sheetData>
  <autoFilter ref="A5:J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2</vt:i4>
      </vt:variant>
    </vt:vector>
  </HeadingPairs>
  <TitlesOfParts>
    <vt:vector size="6" baseType="lpstr">
      <vt:lpstr>MODEPAID</vt:lpstr>
      <vt:lpstr>RECAP</vt:lpstr>
      <vt:lpstr>TONTDEC2016</vt:lpstr>
      <vt:lpstr>TONTJANV</vt:lpstr>
      <vt:lpstr>MODEPAID!MODEPAID</vt:lpstr>
      <vt:lpstr>VALMODEPAID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ASELBY</cp:lastModifiedBy>
  <dcterms:created xsi:type="dcterms:W3CDTF">2016-12-19T08:36:25Z</dcterms:created>
  <dcterms:modified xsi:type="dcterms:W3CDTF">2017-01-15T16:20:16Z</dcterms:modified>
</cp:coreProperties>
</file>