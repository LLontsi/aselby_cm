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SELBYTONTINE\"/>
    </mc:Choice>
  </mc:AlternateContent>
  <bookViews>
    <workbookView xWindow="0" yWindow="0" windowWidth="20490" windowHeight="6810"/>
  </bookViews>
  <sheets>
    <sheet name="FICHESUIVI" sheetId="14" r:id="rId1"/>
    <sheet name="TRAVAUXINVENTAIRE" sheetId="1" r:id="rId2"/>
    <sheet name="TRAVAUXINVENTAIREDEC" sheetId="2" r:id="rId3"/>
    <sheet name="EPARGNE" sheetId="12" r:id="rId4"/>
    <sheet name="FONDS DE ROULEMENT" sheetId="3" r:id="rId5"/>
    <sheet name="FRAIS EXCEPTIONNEL" sheetId="4" r:id="rId6"/>
    <sheet name="COLLATION" sheetId="5" r:id="rId7"/>
    <sheet name="MUTUELLE" sheetId="6" r:id="rId8"/>
    <sheet name="SANCTION" sheetId="7" r:id="rId9"/>
    <sheet name="INSCRIPTION" sheetId="8" r:id="rId10"/>
    <sheet name="EMPRUNT" sheetId="9" r:id="rId11"/>
    <sheet name="COMPLEMENT TONTINE" sheetId="11" r:id="rId12"/>
    <sheet name="FONDS DE CAISSE" sheetId="13" r:id="rId13"/>
  </sheets>
  <externalReferences>
    <externalReference r:id="rId14"/>
    <externalReference r:id="rId15"/>
  </externalReferences>
  <definedNames>
    <definedName name="_xlnm._FilterDatabase" localSheetId="1" hidden="1">TRAVAUXINVENTAIRE!$A$4:$AC$50</definedName>
    <definedName name="_xlnm._FilterDatabase" localSheetId="2" hidden="1">TRAVAUXINVENTAIREDEC!$A$5:$J$48</definedName>
    <definedName name="MODEPAID">[1]Feuil2!$A$1:$A$3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2" l="1"/>
  <c r="B6" i="2"/>
  <c r="B7" i="2"/>
  <c r="B8" i="2"/>
  <c r="B9" i="2"/>
  <c r="B10" i="2"/>
  <c r="B11" i="2"/>
  <c r="B12" i="2"/>
  <c r="B4" i="2"/>
  <c r="D12" i="2"/>
  <c r="E12" i="2"/>
  <c r="F12" i="2"/>
  <c r="G12" i="2"/>
  <c r="H12" i="2"/>
  <c r="I12" i="2"/>
  <c r="J12" i="2"/>
  <c r="K12" i="2"/>
  <c r="L12" i="2"/>
  <c r="M12" i="2"/>
  <c r="N12" i="2"/>
  <c r="C12" i="2"/>
  <c r="D11" i="2"/>
  <c r="E11" i="2"/>
  <c r="F11" i="2"/>
  <c r="G11" i="2"/>
  <c r="H11" i="2"/>
  <c r="I11" i="2"/>
  <c r="J11" i="2"/>
  <c r="K11" i="2"/>
  <c r="L11" i="2"/>
  <c r="M11" i="2"/>
  <c r="N11" i="2"/>
  <c r="C11" i="2"/>
  <c r="D10" i="2"/>
  <c r="E10" i="2"/>
  <c r="F10" i="2"/>
  <c r="G10" i="2"/>
  <c r="H10" i="2"/>
  <c r="I10" i="2"/>
  <c r="J10" i="2"/>
  <c r="K10" i="2"/>
  <c r="L10" i="2"/>
  <c r="M10" i="2"/>
  <c r="N10" i="2"/>
  <c r="C10" i="2"/>
  <c r="D8" i="2"/>
  <c r="E8" i="2"/>
  <c r="F8" i="2"/>
  <c r="G8" i="2"/>
  <c r="H8" i="2"/>
  <c r="I8" i="2"/>
  <c r="J8" i="2"/>
  <c r="K8" i="2"/>
  <c r="L8" i="2"/>
  <c r="M8" i="2"/>
  <c r="N8" i="2"/>
  <c r="C8" i="2"/>
  <c r="D7" i="2"/>
  <c r="E7" i="2"/>
  <c r="F7" i="2"/>
  <c r="G7" i="2"/>
  <c r="H7" i="2"/>
  <c r="I7" i="2"/>
  <c r="J7" i="2"/>
  <c r="K7" i="2"/>
  <c r="L7" i="2"/>
  <c r="M7" i="2"/>
  <c r="N7" i="2"/>
  <c r="C7" i="2"/>
  <c r="D6" i="2"/>
  <c r="E6" i="2"/>
  <c r="F6" i="2"/>
  <c r="G6" i="2"/>
  <c r="H6" i="2"/>
  <c r="I6" i="2"/>
  <c r="J6" i="2"/>
  <c r="K6" i="2"/>
  <c r="L6" i="2"/>
  <c r="M6" i="2"/>
  <c r="N6" i="2"/>
  <c r="C6" i="2"/>
  <c r="B19" i="2"/>
  <c r="D5" i="2"/>
  <c r="E5" i="2"/>
  <c r="F5" i="2"/>
  <c r="G5" i="2"/>
  <c r="H5" i="2"/>
  <c r="I5" i="2"/>
  <c r="J5" i="2"/>
  <c r="K5" i="2"/>
  <c r="L5" i="2"/>
  <c r="M5" i="2"/>
  <c r="N5" i="2"/>
  <c r="C5" i="2"/>
  <c r="D4" i="2"/>
  <c r="E4" i="2"/>
  <c r="F4" i="2"/>
  <c r="G4" i="2"/>
  <c r="H4" i="2"/>
  <c r="I4" i="2"/>
  <c r="J4" i="2"/>
  <c r="K4" i="2"/>
  <c r="L4" i="2"/>
  <c r="M4" i="2"/>
  <c r="N4" i="2"/>
  <c r="C4" i="2"/>
  <c r="M17" i="4"/>
  <c r="L17" i="4"/>
  <c r="K17" i="4"/>
  <c r="J17" i="4"/>
  <c r="I17" i="4"/>
  <c r="H17" i="4"/>
  <c r="G17" i="4"/>
  <c r="F17" i="4"/>
  <c r="E17" i="4"/>
  <c r="D17" i="4"/>
  <c r="C17" i="4"/>
  <c r="B17" i="4"/>
  <c r="M17" i="13"/>
  <c r="L17" i="13"/>
  <c r="K17" i="13"/>
  <c r="J17" i="13"/>
  <c r="I17" i="13"/>
  <c r="H17" i="13"/>
  <c r="G17" i="13"/>
  <c r="F17" i="13"/>
  <c r="E17" i="13"/>
  <c r="D17" i="13"/>
  <c r="C17" i="13"/>
  <c r="B17" i="13"/>
  <c r="C32" i="9"/>
  <c r="D32" i="9"/>
  <c r="E32" i="9"/>
  <c r="F32" i="9"/>
  <c r="G32" i="9"/>
  <c r="H32" i="9"/>
  <c r="I32" i="9"/>
  <c r="J32" i="9"/>
  <c r="K32" i="9"/>
  <c r="L32" i="9"/>
  <c r="M32" i="9"/>
  <c r="B32" i="9"/>
  <c r="M17" i="11"/>
  <c r="L17" i="11"/>
  <c r="K17" i="11"/>
  <c r="J17" i="11"/>
  <c r="I17" i="11"/>
  <c r="H17" i="11"/>
  <c r="G17" i="11"/>
  <c r="F17" i="11"/>
  <c r="E17" i="11"/>
  <c r="D17" i="11"/>
  <c r="C17" i="11"/>
  <c r="B17" i="11"/>
  <c r="C17" i="5"/>
  <c r="D17" i="5"/>
  <c r="E17" i="5"/>
  <c r="F17" i="5"/>
  <c r="G17" i="5"/>
  <c r="H17" i="5"/>
  <c r="I17" i="5"/>
  <c r="J17" i="5"/>
  <c r="K17" i="5"/>
  <c r="L17" i="5"/>
  <c r="M17" i="5"/>
  <c r="C17" i="12"/>
  <c r="D17" i="12"/>
  <c r="E17" i="12"/>
  <c r="F17" i="12"/>
  <c r="G17" i="12"/>
  <c r="H17" i="12"/>
  <c r="I17" i="12"/>
  <c r="J17" i="12"/>
  <c r="K17" i="12"/>
  <c r="L17" i="12"/>
  <c r="M17" i="12"/>
  <c r="B17" i="12"/>
  <c r="C18" i="3"/>
  <c r="D18" i="3"/>
  <c r="E18" i="3"/>
  <c r="F18" i="3"/>
  <c r="G18" i="3"/>
  <c r="H18" i="3"/>
  <c r="I18" i="3"/>
  <c r="J18" i="3"/>
  <c r="K18" i="3"/>
  <c r="L18" i="3"/>
  <c r="M18" i="3"/>
  <c r="C19" i="6"/>
  <c r="D19" i="6"/>
  <c r="E19" i="6"/>
  <c r="F19" i="6"/>
  <c r="G19" i="6"/>
  <c r="H19" i="6"/>
  <c r="I19" i="6"/>
  <c r="J19" i="6"/>
  <c r="K19" i="6"/>
  <c r="L19" i="6"/>
  <c r="M19" i="6"/>
  <c r="B19" i="6"/>
  <c r="B17" i="5"/>
  <c r="B18" i="3"/>
  <c r="F67" i="1"/>
  <c r="F63" i="1"/>
  <c r="M54" i="1"/>
  <c r="L54" i="1"/>
  <c r="F65" i="1" s="1"/>
  <c r="K54" i="1"/>
  <c r="D54" i="1"/>
  <c r="E58" i="1" s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H52" i="1"/>
  <c r="G52" i="1"/>
  <c r="F52" i="1"/>
  <c r="C52" i="1"/>
  <c r="B52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G51" i="1"/>
  <c r="F51" i="1"/>
  <c r="C51" i="1"/>
  <c r="E51" i="1" s="1"/>
  <c r="B51" i="1"/>
  <c r="AB50" i="1"/>
  <c r="AA50" i="1"/>
  <c r="Z50" i="1"/>
  <c r="Y50" i="1"/>
  <c r="X50" i="1"/>
  <c r="W50" i="1"/>
  <c r="V50" i="1"/>
  <c r="U50" i="1"/>
  <c r="T50" i="1"/>
  <c r="S50" i="1"/>
  <c r="R50" i="1"/>
  <c r="O50" i="1" s="1"/>
  <c r="I50" i="1" s="1"/>
  <c r="Q50" i="1"/>
  <c r="P50" i="1"/>
  <c r="H50" i="1"/>
  <c r="G50" i="1"/>
  <c r="F50" i="1"/>
  <c r="C50" i="1"/>
  <c r="E50" i="1" s="1"/>
  <c r="B50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G49" i="1"/>
  <c r="F49" i="1"/>
  <c r="H49" i="1" s="1"/>
  <c r="C49" i="1"/>
  <c r="E49" i="1" s="1"/>
  <c r="B49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G48" i="1"/>
  <c r="F48" i="1"/>
  <c r="H48" i="1" s="1"/>
  <c r="C48" i="1"/>
  <c r="B48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G47" i="1"/>
  <c r="F47" i="1"/>
  <c r="E47" i="1"/>
  <c r="B47" i="1"/>
  <c r="AB46" i="1"/>
  <c r="AA46" i="1"/>
  <c r="Z46" i="1"/>
  <c r="Y46" i="1"/>
  <c r="X46" i="1"/>
  <c r="W46" i="1"/>
  <c r="V46" i="1"/>
  <c r="U46" i="1"/>
  <c r="T46" i="1"/>
  <c r="S46" i="1"/>
  <c r="R46" i="1"/>
  <c r="O46" i="1" s="1"/>
  <c r="I46" i="1" s="1"/>
  <c r="Q46" i="1"/>
  <c r="P46" i="1"/>
  <c r="G46" i="1"/>
  <c r="F46" i="1"/>
  <c r="H46" i="1" s="1"/>
  <c r="E46" i="1"/>
  <c r="C46" i="1"/>
  <c r="B46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G45" i="1"/>
  <c r="F45" i="1"/>
  <c r="C45" i="1"/>
  <c r="E45" i="1" s="1"/>
  <c r="B45" i="1"/>
  <c r="AB44" i="1"/>
  <c r="AA44" i="1"/>
  <c r="Z44" i="1"/>
  <c r="Y44" i="1"/>
  <c r="X44" i="1"/>
  <c r="W44" i="1"/>
  <c r="V44" i="1"/>
  <c r="U44" i="1"/>
  <c r="T44" i="1"/>
  <c r="S44" i="1"/>
  <c r="R44" i="1"/>
  <c r="O44" i="1" s="1"/>
  <c r="I44" i="1" s="1"/>
  <c r="Q44" i="1"/>
  <c r="P44" i="1"/>
  <c r="H44" i="1"/>
  <c r="G44" i="1"/>
  <c r="F44" i="1"/>
  <c r="E44" i="1"/>
  <c r="B44" i="1"/>
  <c r="AB43" i="1"/>
  <c r="AA43" i="1"/>
  <c r="Z43" i="1"/>
  <c r="Y43" i="1"/>
  <c r="X43" i="1"/>
  <c r="W43" i="1"/>
  <c r="V43" i="1"/>
  <c r="U43" i="1"/>
  <c r="T43" i="1"/>
  <c r="S43" i="1"/>
  <c r="R43" i="1"/>
  <c r="O43" i="1" s="1"/>
  <c r="I43" i="1" s="1"/>
  <c r="Q43" i="1"/>
  <c r="P43" i="1"/>
  <c r="G43" i="1"/>
  <c r="F43" i="1"/>
  <c r="H43" i="1" s="1"/>
  <c r="C43" i="1"/>
  <c r="E43" i="1" s="1"/>
  <c r="B43" i="1"/>
  <c r="AB42" i="1"/>
  <c r="AA42" i="1"/>
  <c r="Z42" i="1"/>
  <c r="Y42" i="1"/>
  <c r="X42" i="1"/>
  <c r="W42" i="1"/>
  <c r="V42" i="1"/>
  <c r="U42" i="1"/>
  <c r="T42" i="1"/>
  <c r="S42" i="1"/>
  <c r="R42" i="1"/>
  <c r="O42" i="1" s="1"/>
  <c r="I42" i="1" s="1"/>
  <c r="Q42" i="1"/>
  <c r="P42" i="1"/>
  <c r="G42" i="1"/>
  <c r="F42" i="1"/>
  <c r="H42" i="1" s="1"/>
  <c r="E42" i="1"/>
  <c r="C42" i="1"/>
  <c r="B42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I41" i="1" s="1"/>
  <c r="G41" i="1"/>
  <c r="F41" i="1"/>
  <c r="E41" i="1"/>
  <c r="C41" i="1"/>
  <c r="B41" i="1"/>
  <c r="AB40" i="1"/>
  <c r="AA40" i="1"/>
  <c r="Z40" i="1"/>
  <c r="Y40" i="1"/>
  <c r="X40" i="1"/>
  <c r="W40" i="1"/>
  <c r="V40" i="1"/>
  <c r="U40" i="1"/>
  <c r="T40" i="1"/>
  <c r="S40" i="1"/>
  <c r="R40" i="1"/>
  <c r="Q40" i="1"/>
  <c r="E40" i="1" s="1"/>
  <c r="P40" i="1"/>
  <c r="O40" i="1"/>
  <c r="I40" i="1" s="1"/>
  <c r="N40" i="1"/>
  <c r="G40" i="1"/>
  <c r="F40" i="1"/>
  <c r="H40" i="1" s="1"/>
  <c r="J40" i="1" s="1"/>
  <c r="B40" i="1"/>
  <c r="AB39" i="1"/>
  <c r="AA39" i="1"/>
  <c r="Z39" i="1"/>
  <c r="Y39" i="1"/>
  <c r="X39" i="1"/>
  <c r="W39" i="1"/>
  <c r="V39" i="1"/>
  <c r="U39" i="1"/>
  <c r="T39" i="1"/>
  <c r="S39" i="1"/>
  <c r="R39" i="1"/>
  <c r="O39" i="1" s="1"/>
  <c r="I39" i="1" s="1"/>
  <c r="Q39" i="1"/>
  <c r="P39" i="1"/>
  <c r="G39" i="1"/>
  <c r="F39" i="1"/>
  <c r="H39" i="1" s="1"/>
  <c r="C39" i="1"/>
  <c r="E39" i="1" s="1"/>
  <c r="B39" i="1"/>
  <c r="AB38" i="1"/>
  <c r="AA38" i="1"/>
  <c r="Z38" i="1"/>
  <c r="Y38" i="1"/>
  <c r="X38" i="1"/>
  <c r="W38" i="1"/>
  <c r="V38" i="1"/>
  <c r="U38" i="1"/>
  <c r="T38" i="1"/>
  <c r="S38" i="1"/>
  <c r="R38" i="1"/>
  <c r="O38" i="1" s="1"/>
  <c r="I38" i="1" s="1"/>
  <c r="Q38" i="1"/>
  <c r="P38" i="1"/>
  <c r="G38" i="1"/>
  <c r="F38" i="1"/>
  <c r="H38" i="1" s="1"/>
  <c r="E38" i="1"/>
  <c r="C38" i="1"/>
  <c r="B38" i="1"/>
  <c r="B37" i="1"/>
  <c r="AB36" i="1"/>
  <c r="AA36" i="1"/>
  <c r="Z36" i="1"/>
  <c r="Y36" i="1"/>
  <c r="X36" i="1"/>
  <c r="W36" i="1"/>
  <c r="V36" i="1"/>
  <c r="U36" i="1"/>
  <c r="T36" i="1"/>
  <c r="S36" i="1"/>
  <c r="R36" i="1"/>
  <c r="O36" i="1" s="1"/>
  <c r="I36" i="1" s="1"/>
  <c r="Q36" i="1"/>
  <c r="P36" i="1"/>
  <c r="G36" i="1"/>
  <c r="F36" i="1"/>
  <c r="H36" i="1" s="1"/>
  <c r="J36" i="1" s="1"/>
  <c r="C36" i="1"/>
  <c r="E36" i="1" s="1"/>
  <c r="B36" i="1"/>
  <c r="B35" i="1"/>
  <c r="AB34" i="1"/>
  <c r="AA34" i="1"/>
  <c r="Z34" i="1"/>
  <c r="Y34" i="1"/>
  <c r="X34" i="1"/>
  <c r="W34" i="1"/>
  <c r="V34" i="1"/>
  <c r="U34" i="1"/>
  <c r="T34" i="1"/>
  <c r="S34" i="1"/>
  <c r="R34" i="1"/>
  <c r="O34" i="1" s="1"/>
  <c r="I34" i="1" s="1"/>
  <c r="Q34" i="1"/>
  <c r="P34" i="1"/>
  <c r="G34" i="1"/>
  <c r="F34" i="1"/>
  <c r="H34" i="1" s="1"/>
  <c r="C34" i="1"/>
  <c r="E34" i="1" s="1"/>
  <c r="B34" i="1"/>
  <c r="AB33" i="1"/>
  <c r="AA33" i="1"/>
  <c r="Z33" i="1"/>
  <c r="Y33" i="1"/>
  <c r="X33" i="1"/>
  <c r="W33" i="1"/>
  <c r="V33" i="1"/>
  <c r="U33" i="1"/>
  <c r="T33" i="1"/>
  <c r="S33" i="1"/>
  <c r="R33" i="1"/>
  <c r="O33" i="1" s="1"/>
  <c r="I33" i="1" s="1"/>
  <c r="Q33" i="1"/>
  <c r="P33" i="1"/>
  <c r="G33" i="1"/>
  <c r="F33" i="1"/>
  <c r="H33" i="1" s="1"/>
  <c r="E33" i="1"/>
  <c r="B33" i="1"/>
  <c r="AB32" i="1"/>
  <c r="AA32" i="1"/>
  <c r="Z32" i="1"/>
  <c r="Y32" i="1"/>
  <c r="X32" i="1"/>
  <c r="W32" i="1"/>
  <c r="V32" i="1"/>
  <c r="U32" i="1"/>
  <c r="T32" i="1"/>
  <c r="S32" i="1"/>
  <c r="R32" i="1"/>
  <c r="O32" i="1" s="1"/>
  <c r="I32" i="1" s="1"/>
  <c r="Q32" i="1"/>
  <c r="P32" i="1"/>
  <c r="H32" i="1"/>
  <c r="G32" i="1"/>
  <c r="F32" i="1"/>
  <c r="C32" i="1"/>
  <c r="E32" i="1" s="1"/>
  <c r="B32" i="1"/>
  <c r="AB31" i="1"/>
  <c r="AA31" i="1"/>
  <c r="Z31" i="1"/>
  <c r="Y31" i="1"/>
  <c r="X31" i="1"/>
  <c r="W31" i="1"/>
  <c r="V31" i="1"/>
  <c r="U31" i="1"/>
  <c r="T31" i="1"/>
  <c r="S31" i="1"/>
  <c r="R31" i="1"/>
  <c r="O31" i="1" s="1"/>
  <c r="I31" i="1" s="1"/>
  <c r="Q31" i="1"/>
  <c r="P31" i="1"/>
  <c r="G31" i="1"/>
  <c r="F31" i="1"/>
  <c r="H31" i="1" s="1"/>
  <c r="J31" i="1" s="1"/>
  <c r="E31" i="1"/>
  <c r="B31" i="1"/>
  <c r="AB30" i="1"/>
  <c r="AA30" i="1"/>
  <c r="Z30" i="1"/>
  <c r="Y30" i="1"/>
  <c r="X30" i="1"/>
  <c r="W30" i="1"/>
  <c r="V30" i="1"/>
  <c r="U30" i="1"/>
  <c r="T30" i="1"/>
  <c r="S30" i="1"/>
  <c r="O30" i="1" s="1"/>
  <c r="R30" i="1"/>
  <c r="Q30" i="1"/>
  <c r="H30" i="1" s="1"/>
  <c r="P30" i="1"/>
  <c r="N30" i="1"/>
  <c r="G30" i="1"/>
  <c r="F30" i="1"/>
  <c r="C30" i="1"/>
  <c r="E30" i="1" s="1"/>
  <c r="B30" i="1"/>
  <c r="AB29" i="1"/>
  <c r="AA29" i="1"/>
  <c r="Z29" i="1"/>
  <c r="Y29" i="1"/>
  <c r="X29" i="1"/>
  <c r="W29" i="1"/>
  <c r="V29" i="1"/>
  <c r="U29" i="1"/>
  <c r="T29" i="1"/>
  <c r="S29" i="1"/>
  <c r="R29" i="1"/>
  <c r="O29" i="1" s="1"/>
  <c r="I29" i="1" s="1"/>
  <c r="Q29" i="1"/>
  <c r="P29" i="1"/>
  <c r="G29" i="1"/>
  <c r="F29" i="1"/>
  <c r="H29" i="1" s="1"/>
  <c r="J29" i="1" s="1"/>
  <c r="C29" i="1"/>
  <c r="E29" i="1" s="1"/>
  <c r="B29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I28" i="1"/>
  <c r="G28" i="1"/>
  <c r="F28" i="1"/>
  <c r="H28" i="1" s="1"/>
  <c r="J28" i="1" s="1"/>
  <c r="E28" i="1"/>
  <c r="C28" i="1"/>
  <c r="B28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I27" i="1" s="1"/>
  <c r="G27" i="1"/>
  <c r="F27" i="1"/>
  <c r="C27" i="1"/>
  <c r="B27" i="1"/>
  <c r="AB26" i="1"/>
  <c r="AA26" i="1"/>
  <c r="Z26" i="1"/>
  <c r="Y26" i="1"/>
  <c r="X26" i="1"/>
  <c r="W26" i="1"/>
  <c r="V26" i="1"/>
  <c r="U26" i="1"/>
  <c r="T26" i="1"/>
  <c r="S26" i="1"/>
  <c r="R26" i="1"/>
  <c r="Q26" i="1"/>
  <c r="E26" i="1" s="1"/>
  <c r="P26" i="1"/>
  <c r="O26" i="1"/>
  <c r="I26" i="1" s="1"/>
  <c r="G26" i="1"/>
  <c r="F26" i="1"/>
  <c r="H26" i="1" s="1"/>
  <c r="C26" i="1"/>
  <c r="B26" i="1"/>
  <c r="AB25" i="1"/>
  <c r="AA25" i="1"/>
  <c r="Z25" i="1"/>
  <c r="Y25" i="1"/>
  <c r="X25" i="1"/>
  <c r="W25" i="1"/>
  <c r="V25" i="1"/>
  <c r="U25" i="1"/>
  <c r="T25" i="1"/>
  <c r="S25" i="1"/>
  <c r="R25" i="1"/>
  <c r="Q25" i="1"/>
  <c r="E25" i="1" s="1"/>
  <c r="P25" i="1"/>
  <c r="O25" i="1"/>
  <c r="I25" i="1" s="1"/>
  <c r="G25" i="1"/>
  <c r="F25" i="1"/>
  <c r="H25" i="1" s="1"/>
  <c r="C25" i="1"/>
  <c r="B25" i="1"/>
  <c r="AB24" i="1"/>
  <c r="AA24" i="1"/>
  <c r="Z24" i="1"/>
  <c r="Y24" i="1"/>
  <c r="X24" i="1"/>
  <c r="W24" i="1"/>
  <c r="V24" i="1"/>
  <c r="U24" i="1"/>
  <c r="T24" i="1"/>
  <c r="S24" i="1"/>
  <c r="R24" i="1"/>
  <c r="Q24" i="1"/>
  <c r="E24" i="1" s="1"/>
  <c r="P24" i="1"/>
  <c r="O24" i="1"/>
  <c r="I24" i="1" s="1"/>
  <c r="G24" i="1"/>
  <c r="F24" i="1"/>
  <c r="H24" i="1" s="1"/>
  <c r="C24" i="1"/>
  <c r="B24" i="1"/>
  <c r="AB23" i="1"/>
  <c r="AA23" i="1"/>
  <c r="Z23" i="1"/>
  <c r="Y23" i="1"/>
  <c r="X23" i="1"/>
  <c r="W23" i="1"/>
  <c r="V23" i="1"/>
  <c r="U23" i="1"/>
  <c r="T23" i="1"/>
  <c r="S23" i="1"/>
  <c r="R23" i="1"/>
  <c r="Q23" i="1"/>
  <c r="E23" i="1" s="1"/>
  <c r="P23" i="1"/>
  <c r="O23" i="1"/>
  <c r="I23" i="1" s="1"/>
  <c r="G23" i="1"/>
  <c r="F23" i="1"/>
  <c r="H23" i="1" s="1"/>
  <c r="C23" i="1"/>
  <c r="B23" i="1"/>
  <c r="AB22" i="1"/>
  <c r="AA22" i="1"/>
  <c r="Z22" i="1"/>
  <c r="Y22" i="1"/>
  <c r="X22" i="1"/>
  <c r="W22" i="1"/>
  <c r="V22" i="1"/>
  <c r="U22" i="1"/>
  <c r="T22" i="1"/>
  <c r="S22" i="1"/>
  <c r="R22" i="1"/>
  <c r="Q22" i="1"/>
  <c r="E22" i="1" s="1"/>
  <c r="P22" i="1"/>
  <c r="O22" i="1"/>
  <c r="I22" i="1" s="1"/>
  <c r="G22" i="1"/>
  <c r="F22" i="1"/>
  <c r="H22" i="1" s="1"/>
  <c r="B22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G21" i="1"/>
  <c r="F21" i="1"/>
  <c r="H21" i="1" s="1"/>
  <c r="C21" i="1"/>
  <c r="E21" i="1" s="1"/>
  <c r="B21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H20" i="1"/>
  <c r="G20" i="1"/>
  <c r="F20" i="1"/>
  <c r="C20" i="1"/>
  <c r="B20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N19" i="1"/>
  <c r="N54" i="1" s="1"/>
  <c r="F64" i="1" s="1"/>
  <c r="G19" i="1"/>
  <c r="F19" i="1"/>
  <c r="H19" i="1" s="1"/>
  <c r="C19" i="1"/>
  <c r="E19" i="1" s="1"/>
  <c r="B19" i="1"/>
  <c r="AB18" i="1"/>
  <c r="AA18" i="1"/>
  <c r="Z18" i="1"/>
  <c r="Y18" i="1"/>
  <c r="X18" i="1"/>
  <c r="W18" i="1"/>
  <c r="V18" i="1"/>
  <c r="U18" i="1"/>
  <c r="T18" i="1"/>
  <c r="S18" i="1"/>
  <c r="R18" i="1"/>
  <c r="O18" i="1" s="1"/>
  <c r="I18" i="1" s="1"/>
  <c r="Q18" i="1"/>
  <c r="P18" i="1"/>
  <c r="G18" i="1"/>
  <c r="F18" i="1"/>
  <c r="C18" i="1"/>
  <c r="B18" i="1"/>
  <c r="AB17" i="1"/>
  <c r="AA17" i="1"/>
  <c r="Z17" i="1"/>
  <c r="Y17" i="1"/>
  <c r="X17" i="1"/>
  <c r="W17" i="1"/>
  <c r="V17" i="1"/>
  <c r="U17" i="1"/>
  <c r="T17" i="1"/>
  <c r="S17" i="1"/>
  <c r="R17" i="1"/>
  <c r="Q17" i="1"/>
  <c r="E17" i="1" s="1"/>
  <c r="P17" i="1"/>
  <c r="O17" i="1"/>
  <c r="N17" i="1"/>
  <c r="G17" i="1"/>
  <c r="F17" i="1"/>
  <c r="B17" i="1"/>
  <c r="AB16" i="1"/>
  <c r="AA16" i="1"/>
  <c r="Z16" i="1"/>
  <c r="Y16" i="1"/>
  <c r="X16" i="1"/>
  <c r="W16" i="1"/>
  <c r="V16" i="1"/>
  <c r="U16" i="1"/>
  <c r="T16" i="1"/>
  <c r="S16" i="1"/>
  <c r="R16" i="1"/>
  <c r="Q16" i="1"/>
  <c r="H16" i="1" s="1"/>
  <c r="P16" i="1"/>
  <c r="O16" i="1"/>
  <c r="I16" i="1" s="1"/>
  <c r="G16" i="1"/>
  <c r="F16" i="1"/>
  <c r="C16" i="1"/>
  <c r="B16" i="1"/>
  <c r="AB15" i="1"/>
  <c r="AA15" i="1"/>
  <c r="Z15" i="1"/>
  <c r="Y15" i="1"/>
  <c r="X15" i="1"/>
  <c r="W15" i="1"/>
  <c r="V15" i="1"/>
  <c r="U15" i="1"/>
  <c r="T15" i="1"/>
  <c r="S15" i="1"/>
  <c r="R15" i="1"/>
  <c r="O15" i="1" s="1"/>
  <c r="I15" i="1" s="1"/>
  <c r="Q15" i="1"/>
  <c r="P15" i="1"/>
  <c r="G15" i="1"/>
  <c r="F15" i="1"/>
  <c r="C15" i="1"/>
  <c r="B15" i="1"/>
  <c r="AB14" i="1"/>
  <c r="AA14" i="1"/>
  <c r="Z14" i="1"/>
  <c r="Y14" i="1"/>
  <c r="X14" i="1"/>
  <c r="W14" i="1"/>
  <c r="V14" i="1"/>
  <c r="U14" i="1"/>
  <c r="T14" i="1"/>
  <c r="S14" i="1"/>
  <c r="R14" i="1"/>
  <c r="Q14" i="1"/>
  <c r="H14" i="1" s="1"/>
  <c r="P14" i="1"/>
  <c r="O14" i="1"/>
  <c r="I14" i="1" s="1"/>
  <c r="G14" i="1"/>
  <c r="F14" i="1"/>
  <c r="C14" i="1"/>
  <c r="B14" i="1"/>
  <c r="AB13" i="1"/>
  <c r="AA13" i="1"/>
  <c r="Z13" i="1"/>
  <c r="Y13" i="1"/>
  <c r="X13" i="1"/>
  <c r="W13" i="1"/>
  <c r="V13" i="1"/>
  <c r="U13" i="1"/>
  <c r="T13" i="1"/>
  <c r="S13" i="1"/>
  <c r="R13" i="1"/>
  <c r="O13" i="1" s="1"/>
  <c r="I13" i="1" s="1"/>
  <c r="Q13" i="1"/>
  <c r="E13" i="1" s="1"/>
  <c r="P13" i="1"/>
  <c r="G13" i="1"/>
  <c r="F13" i="1"/>
  <c r="B13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G12" i="1"/>
  <c r="F12" i="1"/>
  <c r="H12" i="1" s="1"/>
  <c r="C12" i="1"/>
  <c r="E12" i="1" s="1"/>
  <c r="B12" i="1"/>
  <c r="B11" i="1"/>
  <c r="AB10" i="1"/>
  <c r="AA10" i="1"/>
  <c r="Z10" i="1"/>
  <c r="Y10" i="1"/>
  <c r="X10" i="1"/>
  <c r="W10" i="1"/>
  <c r="V10" i="1"/>
  <c r="U10" i="1"/>
  <c r="T10" i="1"/>
  <c r="S10" i="1"/>
  <c r="R10" i="1"/>
  <c r="O10" i="1" s="1"/>
  <c r="I10" i="1" s="1"/>
  <c r="Q10" i="1"/>
  <c r="P10" i="1"/>
  <c r="G10" i="1"/>
  <c r="F10" i="1"/>
  <c r="H10" i="1" s="1"/>
  <c r="C10" i="1"/>
  <c r="B10" i="1"/>
  <c r="AB9" i="1"/>
  <c r="AA9" i="1"/>
  <c r="Z9" i="1"/>
  <c r="Y9" i="1"/>
  <c r="X9" i="1"/>
  <c r="W9" i="1"/>
  <c r="V9" i="1"/>
  <c r="U9" i="1"/>
  <c r="T9" i="1"/>
  <c r="S9" i="1"/>
  <c r="R9" i="1"/>
  <c r="O9" i="1" s="1"/>
  <c r="I9" i="1" s="1"/>
  <c r="Q9" i="1"/>
  <c r="P9" i="1"/>
  <c r="G9" i="1"/>
  <c r="F9" i="1"/>
  <c r="C9" i="1"/>
  <c r="B9" i="1"/>
  <c r="AB8" i="1"/>
  <c r="AA8" i="1"/>
  <c r="Z8" i="1"/>
  <c r="Y8" i="1"/>
  <c r="X8" i="1"/>
  <c r="W8" i="1"/>
  <c r="V8" i="1"/>
  <c r="U8" i="1"/>
  <c r="T8" i="1"/>
  <c r="S8" i="1"/>
  <c r="R8" i="1"/>
  <c r="O8" i="1" s="1"/>
  <c r="I8" i="1" s="1"/>
  <c r="Q8" i="1"/>
  <c r="P8" i="1"/>
  <c r="G8" i="1"/>
  <c r="F8" i="1"/>
  <c r="H8" i="1" s="1"/>
  <c r="C8" i="1"/>
  <c r="B8" i="1"/>
  <c r="AB7" i="1"/>
  <c r="AA7" i="1"/>
  <c r="Z7" i="1"/>
  <c r="Y7" i="1"/>
  <c r="X7" i="1"/>
  <c r="W7" i="1"/>
  <c r="V7" i="1"/>
  <c r="U7" i="1"/>
  <c r="T7" i="1"/>
  <c r="S7" i="1"/>
  <c r="R7" i="1"/>
  <c r="O7" i="1" s="1"/>
  <c r="I7" i="1" s="1"/>
  <c r="Q7" i="1"/>
  <c r="P7" i="1"/>
  <c r="G7" i="1"/>
  <c r="F7" i="1"/>
  <c r="C7" i="1"/>
  <c r="B7" i="1"/>
  <c r="AB6" i="1"/>
  <c r="AA6" i="1"/>
  <c r="Z6" i="1"/>
  <c r="Y6" i="1"/>
  <c r="X6" i="1"/>
  <c r="W6" i="1"/>
  <c r="V6" i="1"/>
  <c r="U6" i="1"/>
  <c r="T6" i="1"/>
  <c r="S6" i="1"/>
  <c r="R6" i="1"/>
  <c r="O6" i="1" s="1"/>
  <c r="I6" i="1" s="1"/>
  <c r="Q6" i="1"/>
  <c r="P6" i="1"/>
  <c r="G6" i="1"/>
  <c r="F6" i="1"/>
  <c r="H6" i="1" s="1"/>
  <c r="C6" i="1"/>
  <c r="B6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I5" i="1"/>
  <c r="G5" i="1"/>
  <c r="F5" i="1"/>
  <c r="C5" i="1"/>
  <c r="B5" i="1"/>
  <c r="J39" i="1" l="1"/>
  <c r="O49" i="1"/>
  <c r="I49" i="1" s="1"/>
  <c r="J49" i="1" s="1"/>
  <c r="H7" i="1"/>
  <c r="J7" i="1" s="1"/>
  <c r="H9" i="1"/>
  <c r="J9" i="1" s="1"/>
  <c r="E15" i="1"/>
  <c r="H17" i="1"/>
  <c r="H18" i="1"/>
  <c r="J18" i="1" s="1"/>
  <c r="O19" i="1"/>
  <c r="I19" i="1" s="1"/>
  <c r="J19" i="1" s="1"/>
  <c r="E20" i="1"/>
  <c r="I45" i="1"/>
  <c r="H47" i="1"/>
  <c r="O47" i="1"/>
  <c r="I47" i="1" s="1"/>
  <c r="E48" i="1"/>
  <c r="O52" i="1"/>
  <c r="I52" i="1" s="1"/>
  <c r="P54" i="1"/>
  <c r="T54" i="1"/>
  <c r="X54" i="1"/>
  <c r="AB54" i="1"/>
  <c r="J16" i="1"/>
  <c r="J20" i="1"/>
  <c r="G54" i="1"/>
  <c r="J14" i="1"/>
  <c r="H27" i="1"/>
  <c r="J34" i="1"/>
  <c r="J43" i="1"/>
  <c r="J52" i="1"/>
  <c r="E6" i="1"/>
  <c r="E8" i="1"/>
  <c r="E10" i="1"/>
  <c r="I17" i="1"/>
  <c r="O20" i="1"/>
  <c r="I20" i="1" s="1"/>
  <c r="J32" i="1"/>
  <c r="J33" i="1"/>
  <c r="H41" i="1"/>
  <c r="J41" i="1" s="1"/>
  <c r="J42" i="1"/>
  <c r="J44" i="1"/>
  <c r="H45" i="1"/>
  <c r="J46" i="1"/>
  <c r="O48" i="1"/>
  <c r="I48" i="1" s="1"/>
  <c r="J48" i="1" s="1"/>
  <c r="J56" i="1" s="1"/>
  <c r="J50" i="1"/>
  <c r="H51" i="1"/>
  <c r="O51" i="1"/>
  <c r="I51" i="1" s="1"/>
  <c r="E52" i="1"/>
  <c r="A52" i="2"/>
  <c r="I52" i="2"/>
  <c r="G52" i="2"/>
  <c r="D52" i="2"/>
  <c r="E52" i="2"/>
  <c r="J52" i="2"/>
  <c r="B52" i="2"/>
  <c r="H52" i="2"/>
  <c r="J23" i="1"/>
  <c r="J24" i="1"/>
  <c r="J26" i="1"/>
  <c r="J51" i="1"/>
  <c r="Q54" i="1"/>
  <c r="E60" i="1" s="1"/>
  <c r="G57" i="1" s="1"/>
  <c r="Y54" i="1"/>
  <c r="J27" i="1"/>
  <c r="E5" i="1"/>
  <c r="C54" i="1"/>
  <c r="O12" i="1"/>
  <c r="I12" i="1" s="1"/>
  <c r="J12" i="1" s="1"/>
  <c r="R54" i="1"/>
  <c r="V54" i="1"/>
  <c r="Z54" i="1"/>
  <c r="E14" i="1"/>
  <c r="E16" i="1"/>
  <c r="E18" i="1"/>
  <c r="J38" i="1"/>
  <c r="J6" i="1"/>
  <c r="J8" i="1"/>
  <c r="J10" i="1"/>
  <c r="J22" i="1"/>
  <c r="J25" i="1"/>
  <c r="H5" i="1"/>
  <c r="U54" i="1"/>
  <c r="F54" i="1"/>
  <c r="E59" i="1" s="1"/>
  <c r="S54" i="1"/>
  <c r="W54" i="1"/>
  <c r="AA54" i="1"/>
  <c r="E7" i="1"/>
  <c r="E9" i="1"/>
  <c r="H13" i="1"/>
  <c r="J13" i="1" s="1"/>
  <c r="H15" i="1"/>
  <c r="J15" i="1" s="1"/>
  <c r="O21" i="1"/>
  <c r="I21" i="1" s="1"/>
  <c r="J21" i="1" s="1"/>
  <c r="E27" i="1"/>
  <c r="I30" i="1"/>
  <c r="J30" i="1" s="1"/>
  <c r="J47" i="1" l="1"/>
  <c r="J17" i="1"/>
  <c r="J45" i="1"/>
  <c r="H54" i="1"/>
  <c r="J5" i="1"/>
  <c r="I54" i="1"/>
  <c r="O54" i="1"/>
  <c r="F66" i="1" s="1"/>
  <c r="E54" i="1"/>
  <c r="J55" i="1" l="1"/>
  <c r="F62" i="1" s="1"/>
  <c r="G69" i="1" s="1"/>
  <c r="G71" i="1" s="1"/>
  <c r="J54" i="1"/>
</calcChain>
</file>

<file path=xl/sharedStrings.xml><?xml version="1.0" encoding="utf-8"?>
<sst xmlns="http://schemas.openxmlformats.org/spreadsheetml/2006/main" count="230" uniqueCount="163">
  <si>
    <t>ASSOCIATION</t>
  </si>
  <si>
    <t>ASELBY</t>
  </si>
  <si>
    <t>ANNEE</t>
  </si>
  <si>
    <t>2016/2017</t>
  </si>
  <si>
    <t xml:space="preserve">TONTINE </t>
  </si>
  <si>
    <t>20 000</t>
  </si>
  <si>
    <t>MATRICULE</t>
  </si>
  <si>
    <t>NOM ET PRENOM</t>
  </si>
  <si>
    <t>FONDS DE CAISSE</t>
  </si>
  <si>
    <t>RELIQUAT 2015</t>
  </si>
  <si>
    <t>CAPITAL DEPART</t>
  </si>
  <si>
    <t>REPARTITION INTERET</t>
  </si>
  <si>
    <t>CAPITAL COMPOSE FIN</t>
  </si>
  <si>
    <t>CAPITAL TOTAL A PERCEVOIR</t>
  </si>
  <si>
    <t>RETENUE</t>
  </si>
  <si>
    <t>CAPITAL  A DISTRIBUER</t>
  </si>
  <si>
    <t>MONTANT EFFECTIVEMENT VERSE</t>
  </si>
  <si>
    <t>COMPLEMENT FONDS</t>
  </si>
  <si>
    <t>SANCTION</t>
  </si>
  <si>
    <t>RETOUR EN CAISSE MUTUELLE</t>
  </si>
  <si>
    <t>FRAIS FIXE A PRELEVER</t>
  </si>
  <si>
    <t>MONTANT VERSE</t>
  </si>
  <si>
    <t>EPARGNE</t>
  </si>
  <si>
    <t>FONDS DE ROULEMENT</t>
  </si>
  <si>
    <t>FRAIS EXCEPTIONNEL</t>
  </si>
  <si>
    <t>COLLATION</t>
  </si>
  <si>
    <t>MUTUELLE</t>
  </si>
  <si>
    <t>TONTINE</t>
  </si>
  <si>
    <t>EMPRUNT</t>
  </si>
  <si>
    <t>INTERET EMPRUNT</t>
  </si>
  <si>
    <t>REMBOURSEMENT</t>
  </si>
  <si>
    <t>PENALITE EMPRUNT</t>
  </si>
  <si>
    <t>PENALITE FONDS</t>
  </si>
  <si>
    <t>INTERET ACHAT</t>
  </si>
  <si>
    <t>DATE ACHAT</t>
  </si>
  <si>
    <t>AS201648</t>
  </si>
  <si>
    <t>AS201601</t>
  </si>
  <si>
    <t>AS201602</t>
  </si>
  <si>
    <t>AS201603</t>
  </si>
  <si>
    <t>AS201604</t>
  </si>
  <si>
    <t>AS201605</t>
  </si>
  <si>
    <t>AS201606</t>
  </si>
  <si>
    <t>AS201607</t>
  </si>
  <si>
    <t>AS201608</t>
  </si>
  <si>
    <t>AS201609</t>
  </si>
  <si>
    <t>AS201610</t>
  </si>
  <si>
    <t>AS201611</t>
  </si>
  <si>
    <t>AS201612</t>
  </si>
  <si>
    <t>AS201613</t>
  </si>
  <si>
    <t>AS201614</t>
  </si>
  <si>
    <t>AS201615</t>
  </si>
  <si>
    <t>AS201616</t>
  </si>
  <si>
    <t>AS201617</t>
  </si>
  <si>
    <t>AS201618</t>
  </si>
  <si>
    <t>AS201619</t>
  </si>
  <si>
    <t>AS201620</t>
  </si>
  <si>
    <t>AS201621</t>
  </si>
  <si>
    <t>AS201622</t>
  </si>
  <si>
    <t>AS201623</t>
  </si>
  <si>
    <t>AS201624</t>
  </si>
  <si>
    <t>AS201625</t>
  </si>
  <si>
    <t>AS201626</t>
  </si>
  <si>
    <t>AS201627</t>
  </si>
  <si>
    <t>AS201628</t>
  </si>
  <si>
    <t>AS201629</t>
  </si>
  <si>
    <t>AS201630</t>
  </si>
  <si>
    <t>AS201631</t>
  </si>
  <si>
    <t>AS201632</t>
  </si>
  <si>
    <t>AS201633</t>
  </si>
  <si>
    <t>AS201634</t>
  </si>
  <si>
    <t>AS201635</t>
  </si>
  <si>
    <t>AS201636</t>
  </si>
  <si>
    <t>AS201637</t>
  </si>
  <si>
    <t>AS201638</t>
  </si>
  <si>
    <t>AS201639</t>
  </si>
  <si>
    <t>AS201640</t>
  </si>
  <si>
    <t>AS201641</t>
  </si>
  <si>
    <t>AS201642</t>
  </si>
  <si>
    <t>AS201643</t>
  </si>
  <si>
    <t>AS201644</t>
  </si>
  <si>
    <t>AS201645</t>
  </si>
  <si>
    <t>AS201646</t>
  </si>
  <si>
    <t>AS201647</t>
  </si>
  <si>
    <t>TOTAL</t>
  </si>
  <si>
    <t>TOTAL A DISTRIBUER</t>
  </si>
  <si>
    <t>CAPITAL A DISTRIBUER</t>
  </si>
  <si>
    <t>INTERET 2016</t>
  </si>
  <si>
    <t>EPARGNE 2016</t>
  </si>
  <si>
    <t>CAPITAL EFFECTIVEMENT DISTRIBUE</t>
  </si>
  <si>
    <t>RETOUR MUTUELLE</t>
  </si>
  <si>
    <t>FRAIS FIXE A COMPLETER</t>
  </si>
  <si>
    <t>RELIQUAT</t>
  </si>
  <si>
    <t>INSCRIPTION</t>
  </si>
  <si>
    <t>PENALITE INSCRIPTION</t>
  </si>
  <si>
    <t>DEC2015</t>
  </si>
  <si>
    <t>TROP PERCU</t>
  </si>
  <si>
    <t>GRATIFICATION BUREAU</t>
  </si>
  <si>
    <t>NKAMGANG JUSTIN DEJOLIE</t>
  </si>
  <si>
    <t>TCHOUAMOU MATHIEU</t>
  </si>
  <si>
    <t>NDJOMO ETIENNE</t>
  </si>
  <si>
    <t>OBSEQUES DJOSSEU JOSUE</t>
  </si>
  <si>
    <t>FUNERAILLES CHEF DE FAMILLE</t>
  </si>
  <si>
    <t>TAXI BANQUE</t>
  </si>
  <si>
    <t>PAIEMENT EPARGNE 2015</t>
  </si>
  <si>
    <t>LOWE JEAN</t>
  </si>
  <si>
    <t>KOUAMOU VICTOR PEGUY</t>
  </si>
  <si>
    <t>KEPSEU FRANCIS</t>
  </si>
  <si>
    <t>BOUTCHOUANG WILLIAM</t>
  </si>
  <si>
    <t>OBSEQUES PÈRE HOTCHO</t>
  </si>
  <si>
    <t>NJEPDJIO MBOUKAM DELUXE</t>
  </si>
  <si>
    <t>TCHOUANTE FRANCOIS</t>
  </si>
  <si>
    <t>DJOUKWE GUY</t>
  </si>
  <si>
    <t>COMPLEMENT TONTINE</t>
  </si>
  <si>
    <t>CHINGUE FABRICE</t>
  </si>
  <si>
    <t>SIMO PIERRE</t>
  </si>
  <si>
    <t>TCHIAM ERNEST</t>
  </si>
  <si>
    <t>KOUATCHO MESSACK</t>
  </si>
  <si>
    <t>FOTSO THOMAS</t>
  </si>
  <si>
    <t>PHOTOCOPIE DES DOCUMENTS</t>
  </si>
  <si>
    <t>OUVERTURE COMPTE</t>
  </si>
  <si>
    <t>KOUAMOU MOISE</t>
  </si>
  <si>
    <t>OBSEQUES BEAU PÈRE NTOMBO</t>
  </si>
  <si>
    <t>OBSEQUES BELLE MERE KEPSEU FRANCIS</t>
  </si>
  <si>
    <t xml:space="preserve">COMMISSION FINANCE </t>
  </si>
  <si>
    <t>KOUAMOU EMMANUEL</t>
  </si>
  <si>
    <t>NANKAM APPOLINAIRE</t>
  </si>
  <si>
    <t xml:space="preserve">DJOMO JEAN PAUL </t>
  </si>
  <si>
    <t>DJUOMBESSY ANTOINE</t>
  </si>
  <si>
    <t>BAKOP ACHILLE</t>
  </si>
  <si>
    <t>REUNION DE BUREAU</t>
  </si>
  <si>
    <t>OBSEUES ENFANT KOUAMO EMMANUEL</t>
  </si>
  <si>
    <t>ACHAT ORDINATEUR</t>
  </si>
  <si>
    <t>OBSEQUES NTOMBO ADOLPHE</t>
  </si>
  <si>
    <t>OBSEQUES PÈRE BAKOP</t>
  </si>
  <si>
    <t>OBSEQUES PÈRE MBOUTCHOUANG</t>
  </si>
  <si>
    <t>OBSEQUES MERE SIMO MATHIEU</t>
  </si>
  <si>
    <t>SIME MATHIEU</t>
  </si>
  <si>
    <t>SIME FONGANG ERIC</t>
  </si>
  <si>
    <t>OBSEQUES NKEPSEU HENANG</t>
  </si>
  <si>
    <t>VEILLEE NKEPSEU HENANG</t>
  </si>
  <si>
    <t>SEUNOU RICHELOT</t>
  </si>
  <si>
    <t>NKEPSEU DIEUDONNE</t>
  </si>
  <si>
    <t>LAVAGE ECHAPPE</t>
  </si>
  <si>
    <t>COOMMISSION BUREAU</t>
  </si>
  <si>
    <t>SOLDE COMPTE NTOMBOU ADOLPHE</t>
  </si>
  <si>
    <t>SOLDE COMPTE DJOSSEU JOSUE</t>
  </si>
  <si>
    <t>OBSEQUES BEAU PÈRE BOUTCHOUANG</t>
  </si>
  <si>
    <t>OBSEQUES MERE DOWOU DAVID</t>
  </si>
  <si>
    <t>COMMUNICATION</t>
  </si>
  <si>
    <t>TOTAUX</t>
  </si>
  <si>
    <t>DATE TONTINE</t>
  </si>
  <si>
    <t>LIEU RECEPTION</t>
  </si>
  <si>
    <t>NOM ADHERENT</t>
  </si>
  <si>
    <t>ENTREE</t>
  </si>
  <si>
    <t>SORTIE</t>
  </si>
  <si>
    <t>NOM ACHETEUR</t>
  </si>
  <si>
    <t>INTERET ACHAT TONTINE</t>
  </si>
  <si>
    <t>EMPRUNT/REMBOURSEMENT</t>
  </si>
  <si>
    <t>MONTANT INTERET ACHAT</t>
  </si>
  <si>
    <t>TONTINE 20 000</t>
  </si>
  <si>
    <t>TONTINE 60 000</t>
  </si>
  <si>
    <t>TONTINE 100 000</t>
  </si>
  <si>
    <t>NATURE 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</si>
</sst>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1"/>
      <color theme="1"/>
      <name val="Castellar"/>
      <family val="1"/>
    </font>
    <font>
      <sz val="11"/>
      <color rgb="FFFF0000"/>
      <name val="Britannic Bold"/>
      <family val="2"/>
    </font>
    <font>
      <sz val="11"/>
      <color rgb="FFFF0000"/>
      <name val="Castellar"/>
      <family val="1"/>
    </font>
    <font>
      <sz val="11"/>
      <name val="Britannic Bold"/>
      <family val="2"/>
    </font>
    <font>
      <sz val="11"/>
      <name val="Castellar"/>
      <family val="1"/>
    </font>
    <font>
      <sz val="11"/>
      <name val="Calibri"/>
      <family val="2"/>
      <scheme val="minor"/>
    </font>
    <font>
      <sz val="14"/>
      <color theme="1"/>
      <name val="Britannic Bold"/>
      <family val="2"/>
    </font>
    <font>
      <sz val="14"/>
      <color rgb="FF00B050"/>
      <name val="Britannic Bold"/>
      <family val="2"/>
    </font>
    <font>
      <sz val="11"/>
      <color rgb="FF00B050"/>
      <name val="Calibri"/>
      <family val="2"/>
      <scheme val="minor"/>
    </font>
    <font>
      <sz val="14"/>
      <color rgb="FFFF0000"/>
      <name val="Britannic Bold"/>
      <family val="2"/>
    </font>
    <font>
      <sz val="10"/>
      <color theme="1"/>
      <name val="Britannic Bold"/>
      <family val="2"/>
    </font>
    <font>
      <sz val="12"/>
      <color theme="1"/>
      <name val="Britannic Bol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0" xfId="0" applyFont="1"/>
    <xf numFmtId="3" fontId="3" fillId="0" borderId="0" xfId="0" applyNumberFormat="1" applyFont="1"/>
    <xf numFmtId="3" fontId="0" fillId="0" borderId="0" xfId="0" applyNumberFormat="1"/>
    <xf numFmtId="0" fontId="0" fillId="0" borderId="0" xfId="0" applyAlignment="1">
      <alignment horizontal="center"/>
    </xf>
    <xf numFmtId="3" fontId="3" fillId="0" borderId="0" xfId="0" applyNumberFormat="1" applyFont="1" applyAlignment="1">
      <alignment wrapText="1"/>
    </xf>
    <xf numFmtId="3" fontId="4" fillId="0" borderId="0" xfId="0" applyNumberFormat="1" applyFont="1"/>
    <xf numFmtId="0" fontId="5" fillId="0" borderId="0" xfId="0" applyFont="1"/>
    <xf numFmtId="3" fontId="5" fillId="0" borderId="0" xfId="0" applyNumberFormat="1" applyFont="1"/>
    <xf numFmtId="3" fontId="6" fillId="0" borderId="0" xfId="0" applyNumberFormat="1" applyFont="1"/>
    <xf numFmtId="0" fontId="1" fillId="0" borderId="0" xfId="0" applyFont="1"/>
    <xf numFmtId="3" fontId="1" fillId="0" borderId="0" xfId="0" applyNumberFormat="1" applyFont="1"/>
    <xf numFmtId="0" fontId="7" fillId="0" borderId="0" xfId="0" applyFont="1"/>
    <xf numFmtId="3" fontId="7" fillId="0" borderId="0" xfId="0" applyNumberFormat="1" applyFont="1"/>
    <xf numFmtId="3" fontId="8" fillId="0" borderId="0" xfId="0" applyNumberFormat="1" applyFont="1"/>
    <xf numFmtId="3" fontId="9" fillId="0" borderId="0" xfId="0" applyNumberFormat="1" applyFont="1"/>
    <xf numFmtId="0" fontId="9" fillId="0" borderId="0" xfId="0" applyFont="1"/>
    <xf numFmtId="0" fontId="10" fillId="0" borderId="0" xfId="0" applyFont="1"/>
    <xf numFmtId="3" fontId="10" fillId="0" borderId="0" xfId="0" applyNumberFormat="1" applyFont="1"/>
    <xf numFmtId="0" fontId="11" fillId="0" borderId="0" xfId="0" applyFont="1"/>
    <xf numFmtId="0" fontId="12" fillId="0" borderId="0" xfId="0" applyFont="1"/>
    <xf numFmtId="3" fontId="12" fillId="0" borderId="0" xfId="0" applyNumberFormat="1" applyFont="1"/>
    <xf numFmtId="3" fontId="11" fillId="0" borderId="0" xfId="0" applyNumberFormat="1" applyFont="1"/>
    <xf numFmtId="0" fontId="12" fillId="0" borderId="0" xfId="0" applyFont="1" applyAlignment="1">
      <alignment horizontal="center"/>
    </xf>
    <xf numFmtId="3" fontId="13" fillId="0" borderId="0" xfId="0" applyNumberFormat="1" applyFont="1"/>
    <xf numFmtId="3" fontId="14" fillId="0" borderId="0" xfId="0" applyNumberFormat="1" applyFont="1"/>
    <xf numFmtId="3" fontId="15" fillId="0" borderId="0" xfId="0" applyNumberFormat="1" applyFont="1"/>
    <xf numFmtId="17" fontId="0" fillId="0" borderId="0" xfId="0" applyNumberFormat="1"/>
    <xf numFmtId="0" fontId="0" fillId="0" borderId="0" xfId="0" applyAlignment="1">
      <alignment horizontal="left"/>
    </xf>
    <xf numFmtId="3" fontId="2" fillId="0" borderId="0" xfId="0" applyNumberFormat="1" applyFont="1"/>
    <xf numFmtId="17" fontId="2" fillId="0" borderId="0" xfId="0" applyNumberFormat="1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ONTINE2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APEMPRUNTREMB"/>
      <sheetName val="LISTADHERENT"/>
      <sheetName val="TRAVAUXINVENTAIREBACKUP"/>
      <sheetName val="TRAVAUXINVENTAIRE"/>
      <sheetName val="FONDSDECAISSE"/>
      <sheetName val="TONT20000DEC2015"/>
      <sheetName val="TONT20000JANV"/>
      <sheetName val="TONT20000FEV"/>
      <sheetName val="TONT20000MARS"/>
      <sheetName val="TONT20000AVRIL"/>
      <sheetName val="TONT20000MAI"/>
      <sheetName val="TONT20000JUIN"/>
      <sheetName val="TONT20000JUIL"/>
      <sheetName val="TONT20000AOUT"/>
      <sheetName val="TONT20000SEPT"/>
      <sheetName val="TONT20000OCT"/>
      <sheetName val="TONT20000NOV"/>
      <sheetName val="RECAPTONT20000"/>
    </sheetNames>
    <sheetDataSet>
      <sheetData sheetId="0"/>
      <sheetData sheetId="1">
        <row r="5">
          <cell r="A5" t="str">
            <v>AS201601</v>
          </cell>
          <cell r="B5" t="str">
            <v>BAKOP ACHILLE</v>
          </cell>
          <cell r="C5" t="str">
            <v>FONCTIONNAIRE DE POLICE</v>
          </cell>
          <cell r="E5">
            <v>677841881</v>
          </cell>
          <cell r="G5" t="str">
            <v>NKOLBISSON</v>
          </cell>
          <cell r="H5">
            <v>42887</v>
          </cell>
        </row>
        <row r="6">
          <cell r="A6" t="str">
            <v>AS201602</v>
          </cell>
          <cell r="B6" t="str">
            <v>BOUTCHOUANG WILLIAM</v>
          </cell>
          <cell r="C6" t="str">
            <v>OPERATEUR ECONOMIQUE</v>
          </cell>
          <cell r="E6">
            <v>677704694</v>
          </cell>
          <cell r="G6" t="str">
            <v>EMANA</v>
          </cell>
          <cell r="H6">
            <v>43191</v>
          </cell>
        </row>
        <row r="7">
          <cell r="A7" t="str">
            <v>AS201603</v>
          </cell>
          <cell r="B7" t="str">
            <v>CHINGUE FABRICE</v>
          </cell>
          <cell r="C7" t="str">
            <v>OPERATEUR ECONOMIQUE</v>
          </cell>
          <cell r="E7">
            <v>677881912</v>
          </cell>
          <cell r="G7" t="str">
            <v>SANTA BARBARA</v>
          </cell>
          <cell r="H7">
            <v>43466</v>
          </cell>
        </row>
        <row r="8">
          <cell r="A8" t="str">
            <v>AS201604</v>
          </cell>
          <cell r="B8" t="str">
            <v xml:space="preserve">DJOMO JEAN PAUL </v>
          </cell>
          <cell r="C8" t="str">
            <v>RETRAITE</v>
          </cell>
          <cell r="E8">
            <v>677986676</v>
          </cell>
          <cell r="G8" t="str">
            <v>RUE MANGUIERS</v>
          </cell>
          <cell r="H8">
            <v>43132</v>
          </cell>
        </row>
        <row r="9">
          <cell r="A9" t="str">
            <v>AS201605</v>
          </cell>
          <cell r="B9" t="str">
            <v>DJOUKWE GUY</v>
          </cell>
          <cell r="C9" t="str">
            <v>PROFESSEUR DES LYCEES TECHNIQUE</v>
          </cell>
          <cell r="E9">
            <v>675250451</v>
          </cell>
          <cell r="G9" t="str">
            <v>RUE MANGUIERS</v>
          </cell>
          <cell r="H9">
            <v>43313</v>
          </cell>
        </row>
        <row r="10">
          <cell r="A10" t="str">
            <v>AS201606</v>
          </cell>
          <cell r="B10" t="str">
            <v>DJOSSEU JOSUE</v>
          </cell>
          <cell r="C10" t="str">
            <v>PROFESSEUR DES LYCEES TECHNIQUE</v>
          </cell>
          <cell r="E10">
            <v>675250451</v>
          </cell>
          <cell r="G10" t="str">
            <v>RUE MANGUIERS</v>
          </cell>
          <cell r="H10">
            <v>43313</v>
          </cell>
        </row>
        <row r="11">
          <cell r="A11" t="str">
            <v>AS201607</v>
          </cell>
          <cell r="B11" t="str">
            <v>DJOUNKEP SAMUEL</v>
          </cell>
          <cell r="C11" t="str">
            <v>COMPTABLE RETRAITE</v>
          </cell>
          <cell r="E11">
            <v>697103557</v>
          </cell>
          <cell r="G11" t="str">
            <v>BIYEM ASSI LYCEE</v>
          </cell>
          <cell r="H11">
            <v>42401</v>
          </cell>
        </row>
        <row r="12">
          <cell r="A12" t="str">
            <v>AS201608</v>
          </cell>
          <cell r="B12" t="str">
            <v>DJUOMBESSY ANTOINE</v>
          </cell>
          <cell r="C12" t="str">
            <v>ANALYSTE CONCEPTEUR SI</v>
          </cell>
          <cell r="E12">
            <v>677501239</v>
          </cell>
          <cell r="F12">
            <v>699324095</v>
          </cell>
          <cell r="G12" t="str">
            <v>MESSASSI</v>
          </cell>
          <cell r="H12">
            <v>43647</v>
          </cell>
        </row>
        <row r="13">
          <cell r="A13" t="str">
            <v>AS201609</v>
          </cell>
          <cell r="B13" t="str">
            <v>DONHOU DAVID</v>
          </cell>
          <cell r="C13" t="str">
            <v>MAGISTRAT</v>
          </cell>
          <cell r="E13">
            <v>699908065</v>
          </cell>
          <cell r="G13" t="str">
            <v>TONGOLO</v>
          </cell>
          <cell r="H13">
            <v>42979</v>
          </cell>
        </row>
        <row r="14">
          <cell r="A14" t="str">
            <v>AS201610</v>
          </cell>
          <cell r="B14" t="str">
            <v>FOTSO THOMAS</v>
          </cell>
          <cell r="C14" t="str">
            <v>CADRE BANQUE</v>
          </cell>
          <cell r="E14">
            <v>677910278</v>
          </cell>
          <cell r="G14" t="str">
            <v>OYOMABANG</v>
          </cell>
          <cell r="H14">
            <v>43344</v>
          </cell>
        </row>
        <row r="15">
          <cell r="A15" t="str">
            <v>AS201611</v>
          </cell>
          <cell r="B15" t="str">
            <v>HENGUE PAUL OMER</v>
          </cell>
          <cell r="C15" t="str">
            <v>SOCIOLOGUE</v>
          </cell>
          <cell r="E15">
            <v>694468080</v>
          </cell>
          <cell r="G15" t="str">
            <v>MESSASSI</v>
          </cell>
          <cell r="H15">
            <v>42583</v>
          </cell>
        </row>
        <row r="16">
          <cell r="A16" t="str">
            <v>AS201612</v>
          </cell>
          <cell r="B16" t="str">
            <v>HODIEP JULES</v>
          </cell>
          <cell r="C16" t="str">
            <v>CADRE CNPS</v>
          </cell>
          <cell r="E16">
            <v>675291170</v>
          </cell>
          <cell r="G16" t="str">
            <v>NYOM 2</v>
          </cell>
          <cell r="H16">
            <v>43009</v>
          </cell>
        </row>
        <row r="17">
          <cell r="A17" t="str">
            <v>AS201613</v>
          </cell>
          <cell r="B17" t="str">
            <v>HOTCHO BENJAMIN</v>
          </cell>
          <cell r="C17" t="str">
            <v>COMPTABLE</v>
          </cell>
          <cell r="E17">
            <v>699956355</v>
          </cell>
          <cell r="G17" t="str">
            <v>DAMAS</v>
          </cell>
          <cell r="H17">
            <v>42614</v>
          </cell>
        </row>
        <row r="18">
          <cell r="A18" t="str">
            <v>AS201614</v>
          </cell>
          <cell r="B18" t="str">
            <v>KEPHE DAVID</v>
          </cell>
          <cell r="C18" t="str">
            <v>OPERATEUR ECONOMIQUE</v>
          </cell>
          <cell r="E18">
            <v>677053815</v>
          </cell>
          <cell r="G18" t="str">
            <v>MESSASSI</v>
          </cell>
          <cell r="H18">
            <v>43374</v>
          </cell>
        </row>
        <row r="19">
          <cell r="A19" t="str">
            <v>AS201615</v>
          </cell>
          <cell r="B19" t="str">
            <v>KEPSEU FRANCIS</v>
          </cell>
          <cell r="C19" t="str">
            <v>OFFICIER DE POLICE RETRAITE</v>
          </cell>
          <cell r="E19">
            <v>699528700</v>
          </cell>
          <cell r="G19" t="str">
            <v>SIMBOCK</v>
          </cell>
          <cell r="H19">
            <v>43405</v>
          </cell>
        </row>
        <row r="20">
          <cell r="A20" t="str">
            <v>AS201616</v>
          </cell>
          <cell r="B20" t="str">
            <v>KOUAMOU EMMANUEL</v>
          </cell>
          <cell r="C20" t="str">
            <v>OPERATEUR ECONOMIQUE</v>
          </cell>
          <cell r="E20">
            <v>699335584</v>
          </cell>
          <cell r="G20" t="str">
            <v>MONTEE JOUVENCE</v>
          </cell>
          <cell r="H20">
            <v>42795</v>
          </cell>
        </row>
        <row r="21">
          <cell r="A21" t="str">
            <v>AS201617</v>
          </cell>
          <cell r="B21" t="str">
            <v>KOUAMOU MOISE</v>
          </cell>
          <cell r="C21" t="str">
            <v>INGENIEUR E-F</v>
          </cell>
          <cell r="E21">
            <v>675836725</v>
          </cell>
          <cell r="G21" t="str">
            <v>DAMAS</v>
          </cell>
          <cell r="H21">
            <v>42370</v>
          </cell>
        </row>
        <row r="22">
          <cell r="A22" t="str">
            <v>AS201618</v>
          </cell>
          <cell r="B22" t="str">
            <v>KOUAMOU VICTOR PEGUY</v>
          </cell>
          <cell r="C22" t="str">
            <v>S/OFFICIER SUPERIEUR</v>
          </cell>
          <cell r="E22">
            <v>696564847</v>
          </cell>
          <cell r="G22" t="str">
            <v>MESSASSI</v>
          </cell>
          <cell r="H22">
            <v>43617</v>
          </cell>
        </row>
        <row r="23">
          <cell r="A23" t="str">
            <v>AS201619</v>
          </cell>
          <cell r="B23" t="str">
            <v>KOUATCHO MESSACK</v>
          </cell>
          <cell r="C23" t="str">
            <v>INSPECTEUR DE TRAVAIL</v>
          </cell>
          <cell r="E23">
            <v>677735778</v>
          </cell>
          <cell r="G23" t="str">
            <v>SANTA BARBARA</v>
          </cell>
          <cell r="H23">
            <v>42644</v>
          </cell>
        </row>
        <row r="24">
          <cell r="A24" t="str">
            <v>AS201620</v>
          </cell>
          <cell r="B24" t="str">
            <v>LOWE JEAN</v>
          </cell>
          <cell r="C24" t="str">
            <v>PROFESSEUR DE LYCEE</v>
          </cell>
        </row>
        <row r="25">
          <cell r="A25" t="str">
            <v>AS201621</v>
          </cell>
          <cell r="B25" t="str">
            <v>NANKAM APPOLINAIRE</v>
          </cell>
          <cell r="C25" t="str">
            <v>ENSEIGNANT</v>
          </cell>
          <cell r="E25">
            <v>693055118</v>
          </cell>
          <cell r="G25" t="str">
            <v>DAMAS</v>
          </cell>
          <cell r="H25">
            <v>43678</v>
          </cell>
        </row>
        <row r="26">
          <cell r="A26" t="str">
            <v>AS201622</v>
          </cell>
          <cell r="B26" t="str">
            <v>NDJOMO ETIENNE</v>
          </cell>
          <cell r="C26" t="str">
            <v>COMPTABLE</v>
          </cell>
          <cell r="E26">
            <v>677553702</v>
          </cell>
          <cell r="G26" t="str">
            <v>MONTEE JOUVENCE</v>
          </cell>
          <cell r="H26">
            <v>42705</v>
          </cell>
        </row>
        <row r="27">
          <cell r="A27" t="str">
            <v>AS201623</v>
          </cell>
          <cell r="B27" t="str">
            <v>NDOMBOU JEAN CLAUDE</v>
          </cell>
          <cell r="C27" t="str">
            <v>ING AGRONOME RETRAITE</v>
          </cell>
          <cell r="E27">
            <v>699358350</v>
          </cell>
          <cell r="G27" t="str">
            <v>ETOUG EBE</v>
          </cell>
          <cell r="H27">
            <v>42767</v>
          </cell>
        </row>
        <row r="28">
          <cell r="A28" t="str">
            <v>AS201624</v>
          </cell>
          <cell r="B28" t="str">
            <v>NGONDIEP CLAUDE</v>
          </cell>
          <cell r="C28" t="str">
            <v>DAS(DIRECTEUR ADMINISTRATEUR SOCIETE)</v>
          </cell>
          <cell r="E28">
            <v>675249207</v>
          </cell>
          <cell r="G28" t="str">
            <v>CITE VERTE</v>
          </cell>
          <cell r="H28">
            <v>43070</v>
          </cell>
        </row>
        <row r="29">
          <cell r="A29" t="str">
            <v>AS201625</v>
          </cell>
          <cell r="B29" t="str">
            <v>NGONGANG JEAN THEODORE</v>
          </cell>
          <cell r="C29" t="str">
            <v>CHEF ENTREPRISE</v>
          </cell>
          <cell r="E29">
            <v>677766503</v>
          </cell>
          <cell r="G29" t="str">
            <v>RUE MANGUIERS</v>
          </cell>
          <cell r="H29">
            <v>42491</v>
          </cell>
        </row>
        <row r="30">
          <cell r="A30" t="str">
            <v>AS201626</v>
          </cell>
          <cell r="B30" t="str">
            <v>NGUIEMEGNI MATHIEU BLAISE</v>
          </cell>
          <cell r="C30" t="str">
            <v>CADRE CADASTRE</v>
          </cell>
          <cell r="E30">
            <v>677068360</v>
          </cell>
          <cell r="G30" t="str">
            <v>MONATELE</v>
          </cell>
          <cell r="H30">
            <v>43101</v>
          </cell>
        </row>
        <row r="31">
          <cell r="A31" t="str">
            <v>AS201627</v>
          </cell>
          <cell r="B31" t="str">
            <v>NJEPDJIO MBOUKAM DELUXE</v>
          </cell>
          <cell r="C31" t="str">
            <v>OPERATEUR ECONOMIQUE</v>
          </cell>
          <cell r="E31">
            <v>670909070</v>
          </cell>
          <cell r="G31" t="str">
            <v>MENDONG</v>
          </cell>
          <cell r="H31">
            <v>43586</v>
          </cell>
        </row>
        <row r="32">
          <cell r="A32" t="str">
            <v>AS201628</v>
          </cell>
          <cell r="B32" t="str">
            <v>NKAMGANG JUSTIN DEJOLIE</v>
          </cell>
          <cell r="C32" t="str">
            <v>DELEGUE COMMERCIAL</v>
          </cell>
          <cell r="E32">
            <v>676659191</v>
          </cell>
          <cell r="G32" t="str">
            <v>MENDONG</v>
          </cell>
          <cell r="H32">
            <v>43497</v>
          </cell>
        </row>
        <row r="33">
          <cell r="A33" t="str">
            <v>AS201629</v>
          </cell>
          <cell r="B33" t="str">
            <v>NKEPSEU DIEUDONNE</v>
          </cell>
          <cell r="C33" t="str">
            <v>OPERATEUR ECONOMIQUE</v>
          </cell>
          <cell r="E33">
            <v>677575366</v>
          </cell>
          <cell r="G33" t="str">
            <v>ESSOS</v>
          </cell>
          <cell r="H33">
            <v>42917</v>
          </cell>
        </row>
        <row r="34">
          <cell r="A34" t="str">
            <v>AS201630</v>
          </cell>
          <cell r="B34" t="str">
            <v>NKEPSEU HENANG RENE</v>
          </cell>
          <cell r="C34" t="str">
            <v>CADRE SONEL RETRAITE</v>
          </cell>
          <cell r="E34">
            <v>699843118</v>
          </cell>
          <cell r="G34" t="str">
            <v>BIYEM ASSI LYCEE</v>
          </cell>
          <cell r="H34">
            <v>42522</v>
          </cell>
        </row>
        <row r="35">
          <cell r="A35" t="str">
            <v>AS201631</v>
          </cell>
          <cell r="B35" t="str">
            <v>NTEPDIE TUEMAC MZ</v>
          </cell>
          <cell r="C35" t="str">
            <v>OPERATEUR ECONOMIQUE</v>
          </cell>
          <cell r="E35">
            <v>677377251</v>
          </cell>
          <cell r="G35" t="str">
            <v>MONTEE JOUVENCE</v>
          </cell>
          <cell r="H35">
            <v>43282</v>
          </cell>
        </row>
        <row r="36">
          <cell r="A36" t="str">
            <v>AS201632</v>
          </cell>
          <cell r="B36" t="str">
            <v>NTOMBOU ADOLPHE</v>
          </cell>
          <cell r="C36" t="str">
            <v xml:space="preserve">INGENIEUR </v>
          </cell>
          <cell r="E36">
            <v>677867173</v>
          </cell>
          <cell r="G36" t="str">
            <v>BIYEM ASSI LYCEE</v>
          </cell>
          <cell r="H36">
            <v>42461</v>
          </cell>
        </row>
        <row r="37">
          <cell r="A37" t="str">
            <v>AS201633</v>
          </cell>
          <cell r="B37" t="str">
            <v>PATEGO NJOSSU GUSTAVE</v>
          </cell>
          <cell r="C37" t="str">
            <v>INGENIEUR T-P</v>
          </cell>
          <cell r="E37">
            <v>699995086</v>
          </cell>
          <cell r="G37" t="str">
            <v>EBOGO 1(SOA)</v>
          </cell>
          <cell r="H37">
            <v>43525</v>
          </cell>
        </row>
        <row r="38">
          <cell r="A38" t="str">
            <v>AS201634</v>
          </cell>
          <cell r="B38" t="str">
            <v>SEUNOU RICHELOT</v>
          </cell>
          <cell r="C38" t="str">
            <v>OPERATEUR ECONOMIQUE</v>
          </cell>
          <cell r="E38">
            <v>677054646</v>
          </cell>
          <cell r="G38" t="str">
            <v>EMANA</v>
          </cell>
          <cell r="H38">
            <v>43160</v>
          </cell>
        </row>
        <row r="39">
          <cell r="A39" t="str">
            <v>AS201635</v>
          </cell>
          <cell r="B39" t="str">
            <v>SIME ABEL</v>
          </cell>
          <cell r="C39" t="str">
            <v>OPERATEUR ECONOMIQUE</v>
          </cell>
          <cell r="E39">
            <v>699549665</v>
          </cell>
          <cell r="G39" t="str">
            <v>ELEVEUR</v>
          </cell>
          <cell r="H39">
            <v>43556</v>
          </cell>
        </row>
        <row r="40">
          <cell r="A40" t="str">
            <v>AS201636</v>
          </cell>
          <cell r="B40" t="str">
            <v>SIME FONGANG ERIC</v>
          </cell>
          <cell r="C40" t="str">
            <v>CADRE BANQUE</v>
          </cell>
          <cell r="E40">
            <v>699350133</v>
          </cell>
          <cell r="G40" t="str">
            <v>DAMAS</v>
          </cell>
          <cell r="H40">
            <v>43435</v>
          </cell>
        </row>
        <row r="41">
          <cell r="A41" t="str">
            <v>AS201637</v>
          </cell>
          <cell r="B41" t="str">
            <v>SIME MATHIEU</v>
          </cell>
          <cell r="C41" t="str">
            <v>CHEF ENTREPRISE</v>
          </cell>
          <cell r="E41">
            <v>677477649</v>
          </cell>
          <cell r="G41" t="str">
            <v>PARC NATIONAL</v>
          </cell>
          <cell r="H41">
            <v>42948</v>
          </cell>
        </row>
        <row r="42">
          <cell r="A42" t="str">
            <v>AS201638</v>
          </cell>
          <cell r="B42" t="str">
            <v>SIME PIERRE</v>
          </cell>
          <cell r="C42" t="str">
            <v>TECHNICIEN DE SANTE RETRAITE</v>
          </cell>
          <cell r="E42">
            <v>677546060</v>
          </cell>
          <cell r="G42" t="str">
            <v>OYOMABANG</v>
          </cell>
          <cell r="H42">
            <v>42736</v>
          </cell>
        </row>
        <row r="43">
          <cell r="A43" t="str">
            <v>AS201639</v>
          </cell>
          <cell r="B43" t="str">
            <v>TAGNE NANGUEN MARTIN</v>
          </cell>
          <cell r="C43" t="str">
            <v>SECRETAIRE D'ADMINISTRATION</v>
          </cell>
          <cell r="E43">
            <v>677648306</v>
          </cell>
          <cell r="G43" t="str">
            <v>RUE MANGUIERS</v>
          </cell>
          <cell r="H43">
            <v>43040</v>
          </cell>
        </row>
        <row r="44">
          <cell r="A44" t="str">
            <v>AS201640</v>
          </cell>
          <cell r="B44" t="str">
            <v>TCHOUAMOU JEAN PAUL</v>
          </cell>
          <cell r="C44" t="str">
            <v>CADRE CNPS</v>
          </cell>
          <cell r="E44">
            <v>677780149</v>
          </cell>
          <cell r="G44" t="str">
            <v>MESSASSI</v>
          </cell>
          <cell r="H44">
            <v>42552</v>
          </cell>
        </row>
        <row r="45">
          <cell r="A45" t="str">
            <v>AS201641</v>
          </cell>
          <cell r="B45" t="str">
            <v>TCHOUAMOU MATHIEU</v>
          </cell>
          <cell r="C45" t="str">
            <v>OFFICIER SUPERIEUR</v>
          </cell>
          <cell r="E45">
            <v>699778906</v>
          </cell>
          <cell r="G45" t="str">
            <v>MENDONG</v>
          </cell>
          <cell r="H45">
            <v>43709</v>
          </cell>
        </row>
        <row r="46">
          <cell r="A46" t="str">
            <v>AS201642</v>
          </cell>
          <cell r="B46" t="str">
            <v>TCHOUANTE FRANCOIS</v>
          </cell>
          <cell r="C46" t="str">
            <v>ENSEIGNANT</v>
          </cell>
          <cell r="E46">
            <v>678639806</v>
          </cell>
          <cell r="G46" t="str">
            <v>MENDONG</v>
          </cell>
          <cell r="H46">
            <v>43252</v>
          </cell>
        </row>
        <row r="47">
          <cell r="A47" t="str">
            <v>AS201643</v>
          </cell>
          <cell r="B47" t="str">
            <v>TCHOUTOU NANA CLAUDE</v>
          </cell>
          <cell r="C47" t="str">
            <v>OPERATEUR ECONOMIQUE</v>
          </cell>
          <cell r="E47">
            <v>677775940</v>
          </cell>
          <cell r="G47" t="str">
            <v>NKOL FOULOU</v>
          </cell>
          <cell r="H47">
            <v>43221</v>
          </cell>
        </row>
        <row r="48">
          <cell r="A48" t="str">
            <v>AS201644</v>
          </cell>
          <cell r="B48" t="str">
            <v>TIEYAM ERNEST</v>
          </cell>
          <cell r="C48" t="str">
            <v>INGENIEUR ELECTRONICIEN</v>
          </cell>
          <cell r="E48">
            <v>677508603</v>
          </cell>
          <cell r="G48" t="str">
            <v>BASTOS</v>
          </cell>
          <cell r="H48">
            <v>42856</v>
          </cell>
        </row>
        <row r="49">
          <cell r="A49" t="str">
            <v>AS201645</v>
          </cell>
          <cell r="B49" t="str">
            <v>TUGMA PIERRE LOTI</v>
          </cell>
          <cell r="C49" t="str">
            <v>PROFESSEUR DES LYCEES RETRAITE</v>
          </cell>
          <cell r="E49">
            <v>677726329</v>
          </cell>
          <cell r="G49" t="str">
            <v>BIYEM ASSI LYCEE</v>
          </cell>
          <cell r="H49">
            <v>42430</v>
          </cell>
        </row>
        <row r="50">
          <cell r="A50" t="str">
            <v>AS201646</v>
          </cell>
          <cell r="B50" t="str">
            <v>YEPMOU JEAN JACQUES</v>
          </cell>
          <cell r="C50" t="str">
            <v>ADMINISTRATEUR CIVIL</v>
          </cell>
          <cell r="E50">
            <v>699663416</v>
          </cell>
          <cell r="G50" t="str">
            <v>MENDONG (NKOLZIE)</v>
          </cell>
          <cell r="H50">
            <v>42826</v>
          </cell>
        </row>
        <row r="51">
          <cell r="A51" t="str">
            <v>AS201647</v>
          </cell>
          <cell r="B51" t="str">
            <v>YOUMBI EMMANUEL</v>
          </cell>
          <cell r="C51" t="str">
            <v>PROFESSEUR DES UNIVERSITES</v>
          </cell>
          <cell r="E51">
            <v>677547311</v>
          </cell>
          <cell r="G51" t="str">
            <v>MENDONG (GUINNESS)</v>
          </cell>
          <cell r="H51">
            <v>42675</v>
          </cell>
        </row>
        <row r="52">
          <cell r="A52" t="str">
            <v>AS201648</v>
          </cell>
          <cell r="B52" t="str">
            <v>ASELBY</v>
          </cell>
          <cell r="C52" t="str">
            <v>ASSOCIATION DES ELITES BANGOU DE YAOUNDE</v>
          </cell>
        </row>
      </sheetData>
      <sheetData sheetId="2"/>
      <sheetData sheetId="3"/>
      <sheetData sheetId="4">
        <row r="5">
          <cell r="A5" t="str">
            <v>AS201648</v>
          </cell>
          <cell r="B5" t="str">
            <v>ASELBY</v>
          </cell>
          <cell r="C5">
            <v>0</v>
          </cell>
        </row>
        <row r="6">
          <cell r="A6" t="str">
            <v>AS201601</v>
          </cell>
          <cell r="B6" t="str">
            <v>BAKOP ACHILLE</v>
          </cell>
          <cell r="C6">
            <v>390000</v>
          </cell>
        </row>
        <row r="7">
          <cell r="A7" t="str">
            <v>AS201602</v>
          </cell>
          <cell r="B7" t="str">
            <v>BOUTCHOUANG WILLIAM</v>
          </cell>
          <cell r="C7">
            <v>390000</v>
          </cell>
        </row>
        <row r="8">
          <cell r="A8" t="str">
            <v>AS201603</v>
          </cell>
          <cell r="B8" t="str">
            <v>CHINGUE FABRICE</v>
          </cell>
          <cell r="C8">
            <v>390000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390000</v>
          </cell>
        </row>
        <row r="10">
          <cell r="A10" t="str">
            <v>AS201605</v>
          </cell>
          <cell r="B10" t="str">
            <v>DJOUKWE GUY</v>
          </cell>
          <cell r="C10">
            <v>390000</v>
          </cell>
        </row>
        <row r="11">
          <cell r="A11" t="str">
            <v>AS201606</v>
          </cell>
          <cell r="B11" t="str">
            <v>DJOSSEU JOSUE</v>
          </cell>
          <cell r="C11">
            <v>0</v>
          </cell>
        </row>
        <row r="12">
          <cell r="A12" t="str">
            <v>AS201607</v>
          </cell>
          <cell r="B12" t="str">
            <v>DJOUNKEP SAMUEL</v>
          </cell>
          <cell r="C12">
            <v>390000</v>
          </cell>
        </row>
        <row r="13">
          <cell r="A13" t="str">
            <v>AS201608</v>
          </cell>
          <cell r="B13" t="str">
            <v>DJUOMBESSY ANTOINE</v>
          </cell>
          <cell r="C13">
            <v>319134</v>
          </cell>
        </row>
        <row r="14">
          <cell r="A14" t="str">
            <v>AS201609</v>
          </cell>
          <cell r="B14" t="str">
            <v>DONHOU DAVID</v>
          </cell>
          <cell r="C14">
            <v>390000</v>
          </cell>
        </row>
        <row r="15">
          <cell r="A15" t="str">
            <v>AS201610</v>
          </cell>
          <cell r="B15" t="str">
            <v>FOTSO THOMAS</v>
          </cell>
          <cell r="C15">
            <v>390000</v>
          </cell>
        </row>
        <row r="16">
          <cell r="A16" t="str">
            <v>AS201611</v>
          </cell>
          <cell r="B16" t="str">
            <v>HENGUE PAUL OMER</v>
          </cell>
          <cell r="C16">
            <v>390000</v>
          </cell>
        </row>
        <row r="17">
          <cell r="A17" t="str">
            <v>AS201612</v>
          </cell>
          <cell r="B17" t="str">
            <v>HODIEP JULES</v>
          </cell>
          <cell r="C17">
            <v>0</v>
          </cell>
        </row>
        <row r="18">
          <cell r="A18" t="str">
            <v>AS201613</v>
          </cell>
          <cell r="B18" t="str">
            <v>HOTCHO BENJAMIN</v>
          </cell>
          <cell r="C18">
            <v>390000</v>
          </cell>
        </row>
        <row r="19">
          <cell r="A19" t="str">
            <v>AS201614</v>
          </cell>
          <cell r="B19" t="str">
            <v>KEPHE DAVID</v>
          </cell>
          <cell r="C19">
            <v>0</v>
          </cell>
        </row>
        <row r="20">
          <cell r="A20" t="str">
            <v>AS201615</v>
          </cell>
          <cell r="B20" t="str">
            <v>KEPSEU FRANCIS</v>
          </cell>
          <cell r="C20">
            <v>390000</v>
          </cell>
        </row>
        <row r="21">
          <cell r="A21" t="str">
            <v>AS201616</v>
          </cell>
          <cell r="B21" t="str">
            <v>KOUAMOU EMMANUEL</v>
          </cell>
          <cell r="C21">
            <v>390000</v>
          </cell>
        </row>
        <row r="22">
          <cell r="A22" t="str">
            <v>AS201617</v>
          </cell>
          <cell r="B22" t="str">
            <v>KOUAMOU MOISE</v>
          </cell>
          <cell r="C22">
            <v>315000</v>
          </cell>
        </row>
        <row r="23">
          <cell r="A23" t="str">
            <v>AS201618</v>
          </cell>
          <cell r="B23" t="str">
            <v>KOUAMOU VICTOR PEGUY</v>
          </cell>
          <cell r="C23">
            <v>390000</v>
          </cell>
        </row>
        <row r="24">
          <cell r="A24" t="str">
            <v>AS201619</v>
          </cell>
          <cell r="B24" t="str">
            <v>KOUATCHO MESSACK</v>
          </cell>
          <cell r="C24">
            <v>390000</v>
          </cell>
        </row>
        <row r="25">
          <cell r="A25" t="str">
            <v>AS201620</v>
          </cell>
          <cell r="B25" t="str">
            <v>LOWE JEAN</v>
          </cell>
          <cell r="C25">
            <v>390000</v>
          </cell>
        </row>
        <row r="26">
          <cell r="A26" t="str">
            <v>AS201621</v>
          </cell>
          <cell r="B26" t="str">
            <v>NANKAM APPOLINAIRE</v>
          </cell>
          <cell r="C26">
            <v>390000</v>
          </cell>
        </row>
        <row r="27">
          <cell r="A27" t="str">
            <v>AS201622</v>
          </cell>
          <cell r="B27" t="str">
            <v>NDJOMO ETIENNE</v>
          </cell>
          <cell r="C27">
            <v>390000</v>
          </cell>
        </row>
        <row r="28">
          <cell r="A28" t="str">
            <v>AS201623</v>
          </cell>
          <cell r="B28" t="str">
            <v>NDOMBOU JEAN CLAUDE</v>
          </cell>
          <cell r="C28">
            <v>0</v>
          </cell>
        </row>
        <row r="29">
          <cell r="A29" t="str">
            <v>AS201624</v>
          </cell>
          <cell r="B29" t="str">
            <v>NGONDIEP CLAUDE</v>
          </cell>
          <cell r="C29">
            <v>390000</v>
          </cell>
        </row>
        <row r="30">
          <cell r="A30" t="str">
            <v>AS201625</v>
          </cell>
          <cell r="B30" t="str">
            <v>NGONGANG JEAN THEODORE</v>
          </cell>
          <cell r="C30">
            <v>0</v>
          </cell>
        </row>
        <row r="31">
          <cell r="A31" t="str">
            <v>AS201626</v>
          </cell>
          <cell r="B31" t="str">
            <v>NGUIEMEGNI MATHIEU BLAISE</v>
          </cell>
          <cell r="C31">
            <v>14889</v>
          </cell>
        </row>
        <row r="32">
          <cell r="A32" t="str">
            <v>AS201627</v>
          </cell>
          <cell r="B32" t="str">
            <v>NJEPDJIO MBOUKAM DELUXE</v>
          </cell>
          <cell r="C32">
            <v>390000</v>
          </cell>
        </row>
        <row r="33">
          <cell r="A33" t="str">
            <v>AS201628</v>
          </cell>
          <cell r="B33" t="str">
            <v>NKAMGANG JUSTIN DEJOLIE</v>
          </cell>
          <cell r="C33">
            <v>0</v>
          </cell>
        </row>
        <row r="34">
          <cell r="A34" t="str">
            <v>AS201629</v>
          </cell>
          <cell r="B34" t="str">
            <v>NKEPSEU DIEUDONNE</v>
          </cell>
          <cell r="C34">
            <v>390000</v>
          </cell>
        </row>
        <row r="35">
          <cell r="A35" t="str">
            <v>AS201630</v>
          </cell>
          <cell r="B35" t="str">
            <v>NKEPSEU HENANG RENE</v>
          </cell>
          <cell r="C35">
            <v>390000</v>
          </cell>
        </row>
        <row r="36">
          <cell r="A36" t="str">
            <v>AS201631</v>
          </cell>
          <cell r="B36" t="str">
            <v>NTEPDIE TUEMAC MZ</v>
          </cell>
          <cell r="C36">
            <v>0</v>
          </cell>
        </row>
        <row r="37">
          <cell r="A37" t="str">
            <v>AS201632</v>
          </cell>
          <cell r="B37" t="str">
            <v>NTOMBOU ADOLPHE</v>
          </cell>
          <cell r="C37">
            <v>0</v>
          </cell>
        </row>
        <row r="38">
          <cell r="A38" t="str">
            <v>AS201633</v>
          </cell>
          <cell r="B38" t="str">
            <v>PATEGO NJOSSU GUSTAVE</v>
          </cell>
          <cell r="C38">
            <v>390000</v>
          </cell>
        </row>
        <row r="39">
          <cell r="A39" t="str">
            <v>AS201634</v>
          </cell>
          <cell r="B39" t="str">
            <v>SEUNOU RICHELOT</v>
          </cell>
          <cell r="C39">
            <v>390000</v>
          </cell>
        </row>
        <row r="40">
          <cell r="A40" t="str">
            <v>AS201635</v>
          </cell>
          <cell r="B40" t="str">
            <v>SIME ABEL</v>
          </cell>
          <cell r="C40">
            <v>0</v>
          </cell>
        </row>
        <row r="41">
          <cell r="A41" t="str">
            <v>AS201636</v>
          </cell>
          <cell r="B41" t="str">
            <v>SIME FONGANG ERIC</v>
          </cell>
          <cell r="C41">
            <v>390000</v>
          </cell>
        </row>
        <row r="42">
          <cell r="A42" t="str">
            <v>AS201637</v>
          </cell>
          <cell r="B42" t="str">
            <v>SIME MATHIEU</v>
          </cell>
          <cell r="C42">
            <v>390000</v>
          </cell>
        </row>
        <row r="43">
          <cell r="A43" t="str">
            <v>AS201638</v>
          </cell>
          <cell r="B43" t="str">
            <v>SIME PIERRE</v>
          </cell>
          <cell r="C43">
            <v>390000</v>
          </cell>
        </row>
        <row r="44">
          <cell r="A44" t="str">
            <v>AS201639</v>
          </cell>
          <cell r="B44" t="str">
            <v>TAGNE NANGUEN MARTIN</v>
          </cell>
          <cell r="C44">
            <v>0</v>
          </cell>
        </row>
        <row r="45">
          <cell r="A45" t="str">
            <v>AS201640</v>
          </cell>
          <cell r="B45" t="str">
            <v>TCHOUAMOU JEAN PAUL</v>
          </cell>
          <cell r="C45">
            <v>0</v>
          </cell>
        </row>
        <row r="46">
          <cell r="A46" t="str">
            <v>AS201641</v>
          </cell>
          <cell r="B46" t="str">
            <v>TCHOUAMOU MATHIEU</v>
          </cell>
          <cell r="C46">
            <v>390000</v>
          </cell>
        </row>
        <row r="47">
          <cell r="A47" t="str">
            <v>AS201642</v>
          </cell>
          <cell r="B47" t="str">
            <v>TCHOUANTE FRANCOIS</v>
          </cell>
          <cell r="C47">
            <v>257119</v>
          </cell>
        </row>
        <row r="48">
          <cell r="A48" t="str">
            <v>AS201643</v>
          </cell>
          <cell r="B48" t="str">
            <v>TCHOUTOU NANA CLAUDE</v>
          </cell>
          <cell r="C48">
            <v>0</v>
          </cell>
        </row>
        <row r="49">
          <cell r="A49" t="str">
            <v>AS201644</v>
          </cell>
          <cell r="B49" t="str">
            <v>TIEYAM ERNEST</v>
          </cell>
          <cell r="C49">
            <v>390000</v>
          </cell>
        </row>
        <row r="50">
          <cell r="A50" t="str">
            <v>AS201645</v>
          </cell>
          <cell r="B50" t="str">
            <v>TUGMA PIERRE LOTI</v>
          </cell>
          <cell r="C50">
            <v>390000</v>
          </cell>
        </row>
        <row r="51">
          <cell r="A51" t="str">
            <v>AS201646</v>
          </cell>
          <cell r="B51" t="str">
            <v>YEPMOU JEAN JACQUES</v>
          </cell>
          <cell r="C51">
            <v>390000</v>
          </cell>
        </row>
        <row r="52">
          <cell r="A52" t="str">
            <v>AS201647</v>
          </cell>
          <cell r="B52" t="str">
            <v>YOUMBI EMMANUEL</v>
          </cell>
          <cell r="C52">
            <v>390000</v>
          </cell>
        </row>
      </sheetData>
      <sheetData sheetId="5">
        <row r="5">
          <cell r="E5">
            <v>1799.2102095459891</v>
          </cell>
        </row>
        <row r="6">
          <cell r="E6">
            <v>2412.1954641402754</v>
          </cell>
          <cell r="H6">
            <v>20000</v>
          </cell>
          <cell r="I6">
            <v>3000</v>
          </cell>
          <cell r="J6">
            <v>500</v>
          </cell>
          <cell r="K6">
            <v>1000</v>
          </cell>
          <cell r="L6">
            <v>2500</v>
          </cell>
          <cell r="N6">
            <v>13000</v>
          </cell>
          <cell r="P6">
            <v>0</v>
          </cell>
        </row>
        <row r="7">
          <cell r="E7">
            <v>2232.1754751721387</v>
          </cell>
          <cell r="H7">
            <v>20000</v>
          </cell>
          <cell r="I7">
            <v>3000</v>
          </cell>
          <cell r="J7">
            <v>500</v>
          </cell>
          <cell r="K7">
            <v>1000</v>
          </cell>
          <cell r="L7">
            <v>2500</v>
          </cell>
          <cell r="N7">
            <v>13000</v>
          </cell>
          <cell r="P7">
            <v>0</v>
          </cell>
        </row>
        <row r="8">
          <cell r="E8">
            <v>2232.9559086503241</v>
          </cell>
          <cell r="H8">
            <v>20000</v>
          </cell>
          <cell r="I8">
            <v>3000</v>
          </cell>
          <cell r="J8">
            <v>500</v>
          </cell>
          <cell r="K8">
            <v>1000</v>
          </cell>
          <cell r="L8">
            <v>2500</v>
          </cell>
          <cell r="N8">
            <v>13000</v>
          </cell>
          <cell r="P8">
            <v>0</v>
          </cell>
        </row>
        <row r="9">
          <cell r="E9">
            <v>2268.6635679348433</v>
          </cell>
          <cell r="H9">
            <v>20000</v>
          </cell>
          <cell r="I9">
            <v>3000</v>
          </cell>
          <cell r="J9">
            <v>500</v>
          </cell>
          <cell r="K9">
            <v>1000</v>
          </cell>
          <cell r="L9">
            <v>2500</v>
          </cell>
          <cell r="N9">
            <v>13000</v>
          </cell>
          <cell r="P9">
            <v>0</v>
          </cell>
        </row>
        <row r="10">
          <cell r="E10">
            <v>2284.2100290329022</v>
          </cell>
          <cell r="H10">
            <v>25000</v>
          </cell>
          <cell r="I10">
            <v>8000</v>
          </cell>
          <cell r="J10">
            <v>500</v>
          </cell>
          <cell r="K10">
            <v>1000</v>
          </cell>
          <cell r="L10">
            <v>2500</v>
          </cell>
          <cell r="N10">
            <v>13000</v>
          </cell>
          <cell r="P10">
            <v>0</v>
          </cell>
        </row>
        <row r="12">
          <cell r="E12">
            <v>7796.3551323069523</v>
          </cell>
          <cell r="H12">
            <v>20000</v>
          </cell>
          <cell r="I12">
            <v>3000</v>
          </cell>
          <cell r="J12">
            <v>500</v>
          </cell>
          <cell r="K12">
            <v>1000</v>
          </cell>
          <cell r="L12">
            <v>2500</v>
          </cell>
          <cell r="N12">
            <v>13000</v>
          </cell>
          <cell r="P12">
            <v>0</v>
          </cell>
        </row>
        <row r="13">
          <cell r="E13">
            <v>1821.7692613175993</v>
          </cell>
          <cell r="H13">
            <v>20000</v>
          </cell>
          <cell r="I13">
            <v>3000</v>
          </cell>
          <cell r="J13">
            <v>500</v>
          </cell>
          <cell r="K13">
            <v>1000</v>
          </cell>
          <cell r="L13">
            <v>2500</v>
          </cell>
          <cell r="N13">
            <v>13000</v>
          </cell>
          <cell r="P13">
            <v>0</v>
          </cell>
        </row>
        <row r="14">
          <cell r="E14">
            <v>2475.5236821744925</v>
          </cell>
          <cell r="H14">
            <v>20000</v>
          </cell>
          <cell r="I14">
            <v>3000</v>
          </cell>
          <cell r="J14">
            <v>500</v>
          </cell>
          <cell r="K14">
            <v>1000</v>
          </cell>
          <cell r="L14">
            <v>2500</v>
          </cell>
          <cell r="N14">
            <v>13000</v>
          </cell>
          <cell r="P14">
            <v>0</v>
          </cell>
        </row>
        <row r="15">
          <cell r="E15">
            <v>2241.303153677874</v>
          </cell>
          <cell r="H15">
            <v>20000</v>
          </cell>
          <cell r="I15">
            <v>3000</v>
          </cell>
          <cell r="J15">
            <v>500</v>
          </cell>
          <cell r="K15">
            <v>1000</v>
          </cell>
          <cell r="L15">
            <v>2500</v>
          </cell>
          <cell r="N15">
            <v>13000</v>
          </cell>
          <cell r="P15">
            <v>0</v>
          </cell>
        </row>
        <row r="16">
          <cell r="E16">
            <v>2222.5388183110645</v>
          </cell>
          <cell r="H16">
            <v>20000</v>
          </cell>
          <cell r="I16">
            <v>3000</v>
          </cell>
          <cell r="J16">
            <v>500</v>
          </cell>
          <cell r="K16">
            <v>1000</v>
          </cell>
          <cell r="L16">
            <v>2500</v>
          </cell>
          <cell r="N16">
            <v>13000</v>
          </cell>
          <cell r="P16">
            <v>0</v>
          </cell>
        </row>
        <row r="17">
          <cell r="E17">
            <v>16.965945177947059</v>
          </cell>
          <cell r="H17">
            <v>20000</v>
          </cell>
          <cell r="I17">
            <v>3000</v>
          </cell>
          <cell r="J17">
            <v>500</v>
          </cell>
          <cell r="K17">
            <v>1000</v>
          </cell>
          <cell r="L17">
            <v>2500</v>
          </cell>
          <cell r="N17">
            <v>13000</v>
          </cell>
          <cell r="P17">
            <v>0</v>
          </cell>
        </row>
        <row r="18">
          <cell r="E18">
            <v>2271.8701315734752</v>
          </cell>
          <cell r="H18">
            <v>20000</v>
          </cell>
          <cell r="I18">
            <v>3000</v>
          </cell>
          <cell r="J18">
            <v>500</v>
          </cell>
          <cell r="K18">
            <v>1000</v>
          </cell>
          <cell r="L18">
            <v>2500</v>
          </cell>
          <cell r="N18">
            <v>13000</v>
          </cell>
          <cell r="P18">
            <v>0</v>
          </cell>
        </row>
        <row r="19">
          <cell r="E19">
            <v>89.325701361891262</v>
          </cell>
          <cell r="H19">
            <v>20000</v>
          </cell>
          <cell r="I19">
            <v>3000</v>
          </cell>
          <cell r="J19">
            <v>500</v>
          </cell>
          <cell r="K19">
            <v>1000</v>
          </cell>
          <cell r="L19">
            <v>2500</v>
          </cell>
          <cell r="N19">
            <v>13000</v>
          </cell>
          <cell r="P19">
            <v>0</v>
          </cell>
        </row>
        <row r="20">
          <cell r="E20">
            <v>3297.0317136358672</v>
          </cell>
          <cell r="H20">
            <v>23000</v>
          </cell>
          <cell r="I20">
            <v>6000</v>
          </cell>
          <cell r="J20">
            <v>500</v>
          </cell>
          <cell r="K20">
            <v>1000</v>
          </cell>
          <cell r="L20">
            <v>2500</v>
          </cell>
          <cell r="N20">
            <v>13000</v>
          </cell>
          <cell r="P20">
            <v>0</v>
          </cell>
        </row>
        <row r="21">
          <cell r="E21">
            <v>2237.9382412175814</v>
          </cell>
          <cell r="H21">
            <v>20000</v>
          </cell>
          <cell r="I21">
            <v>3000</v>
          </cell>
          <cell r="J21">
            <v>500</v>
          </cell>
          <cell r="K21">
            <v>1000</v>
          </cell>
          <cell r="L21">
            <v>2500</v>
          </cell>
          <cell r="N21">
            <v>13000</v>
          </cell>
          <cell r="P21">
            <v>0</v>
          </cell>
        </row>
        <row r="22">
          <cell r="E22">
            <v>1810.2606951718919</v>
          </cell>
          <cell r="H22">
            <v>20000</v>
          </cell>
          <cell r="I22">
            <v>3000</v>
          </cell>
          <cell r="J22">
            <v>500</v>
          </cell>
          <cell r="K22">
            <v>1000</v>
          </cell>
          <cell r="L22">
            <v>2500</v>
          </cell>
          <cell r="N22">
            <v>13000</v>
          </cell>
          <cell r="P22">
            <v>0</v>
          </cell>
        </row>
        <row r="23">
          <cell r="E23">
            <v>2429.6873536187391</v>
          </cell>
          <cell r="H23">
            <v>20000</v>
          </cell>
          <cell r="I23">
            <v>3000</v>
          </cell>
          <cell r="J23">
            <v>500</v>
          </cell>
          <cell r="K23">
            <v>1000</v>
          </cell>
          <cell r="L23">
            <v>2500</v>
          </cell>
          <cell r="N23">
            <v>13000</v>
          </cell>
          <cell r="P23">
            <v>0</v>
          </cell>
        </row>
        <row r="24">
          <cell r="E24">
            <v>2222.5388183110645</v>
          </cell>
          <cell r="H24">
            <v>20000</v>
          </cell>
          <cell r="I24">
            <v>3000</v>
          </cell>
          <cell r="J24">
            <v>500</v>
          </cell>
          <cell r="K24">
            <v>1000</v>
          </cell>
          <cell r="L24">
            <v>2500</v>
          </cell>
          <cell r="N24">
            <v>13000</v>
          </cell>
          <cell r="O24">
            <v>600000</v>
          </cell>
          <cell r="P24">
            <v>72000</v>
          </cell>
        </row>
        <row r="25">
          <cell r="E25">
            <v>2247.031987832961</v>
          </cell>
          <cell r="H25">
            <v>20000</v>
          </cell>
          <cell r="I25">
            <v>3000</v>
          </cell>
          <cell r="J25">
            <v>500</v>
          </cell>
          <cell r="K25">
            <v>1000</v>
          </cell>
          <cell r="L25">
            <v>2500</v>
          </cell>
          <cell r="N25">
            <v>13000</v>
          </cell>
          <cell r="P25">
            <v>0</v>
          </cell>
        </row>
        <row r="26">
          <cell r="E26">
            <v>2247.484413037706</v>
          </cell>
          <cell r="H26">
            <v>20000</v>
          </cell>
          <cell r="I26">
            <v>3000</v>
          </cell>
          <cell r="J26">
            <v>500</v>
          </cell>
          <cell r="K26">
            <v>1000</v>
          </cell>
          <cell r="L26">
            <v>2500</v>
          </cell>
          <cell r="N26">
            <v>13000</v>
          </cell>
          <cell r="P26">
            <v>0</v>
          </cell>
        </row>
        <row r="27">
          <cell r="E27">
            <v>2262.4653426298332</v>
          </cell>
          <cell r="H27">
            <v>25000</v>
          </cell>
          <cell r="I27">
            <v>8000</v>
          </cell>
          <cell r="J27">
            <v>500</v>
          </cell>
          <cell r="K27">
            <v>1000</v>
          </cell>
          <cell r="L27">
            <v>2500</v>
          </cell>
          <cell r="N27">
            <v>13000</v>
          </cell>
          <cell r="O27">
            <v>400000</v>
          </cell>
          <cell r="P27">
            <v>12000</v>
          </cell>
        </row>
        <row r="28">
          <cell r="E28">
            <v>0</v>
          </cell>
          <cell r="H28">
            <v>0</v>
          </cell>
          <cell r="P28">
            <v>0</v>
          </cell>
        </row>
        <row r="29">
          <cell r="E29">
            <v>3238.0863647726196</v>
          </cell>
          <cell r="H29">
            <v>20000</v>
          </cell>
          <cell r="I29">
            <v>3000</v>
          </cell>
          <cell r="J29">
            <v>500</v>
          </cell>
          <cell r="K29">
            <v>1000</v>
          </cell>
          <cell r="L29">
            <v>2500</v>
          </cell>
          <cell r="N29">
            <v>13000</v>
          </cell>
          <cell r="P29">
            <v>0</v>
          </cell>
        </row>
        <row r="30">
          <cell r="E30">
            <v>16.965945177947059</v>
          </cell>
          <cell r="H30">
            <v>20000</v>
          </cell>
          <cell r="I30">
            <v>3000</v>
          </cell>
          <cell r="J30">
            <v>500</v>
          </cell>
          <cell r="K30">
            <v>1000</v>
          </cell>
          <cell r="L30">
            <v>2500</v>
          </cell>
          <cell r="N30">
            <v>13000</v>
          </cell>
          <cell r="P30">
            <v>0</v>
          </cell>
        </row>
        <row r="31">
          <cell r="E31">
            <v>101.16793109609831</v>
          </cell>
          <cell r="H31">
            <v>20000</v>
          </cell>
          <cell r="I31">
            <v>3000</v>
          </cell>
          <cell r="J31">
            <v>500</v>
          </cell>
          <cell r="K31">
            <v>1000</v>
          </cell>
          <cell r="L31">
            <v>2500</v>
          </cell>
          <cell r="N31">
            <v>13000</v>
          </cell>
          <cell r="P31">
            <v>0</v>
          </cell>
        </row>
        <row r="32">
          <cell r="E32">
            <v>2243.6557647425493</v>
          </cell>
          <cell r="H32">
            <v>22000</v>
          </cell>
          <cell r="I32">
            <v>5000</v>
          </cell>
          <cell r="J32">
            <v>500</v>
          </cell>
          <cell r="K32">
            <v>1000</v>
          </cell>
          <cell r="L32">
            <v>2500</v>
          </cell>
          <cell r="N32">
            <v>13000</v>
          </cell>
          <cell r="P32">
            <v>0</v>
          </cell>
        </row>
        <row r="33">
          <cell r="E33">
            <v>33.931890355894119</v>
          </cell>
          <cell r="H33">
            <v>23000</v>
          </cell>
          <cell r="I33">
            <v>6000</v>
          </cell>
          <cell r="J33">
            <v>500</v>
          </cell>
          <cell r="K33">
            <v>1000</v>
          </cell>
          <cell r="L33">
            <v>2500</v>
          </cell>
          <cell r="N33">
            <v>13000</v>
          </cell>
          <cell r="P33">
            <v>0</v>
          </cell>
        </row>
        <row r="34">
          <cell r="E34">
            <v>2300.2371919110028</v>
          </cell>
          <cell r="H34">
            <v>25000</v>
          </cell>
          <cell r="I34">
            <v>8000</v>
          </cell>
          <cell r="J34">
            <v>500</v>
          </cell>
          <cell r="K34">
            <v>1000</v>
          </cell>
          <cell r="L34">
            <v>2500</v>
          </cell>
          <cell r="N34">
            <v>13000</v>
          </cell>
          <cell r="P34">
            <v>0</v>
          </cell>
        </row>
        <row r="36">
          <cell r="E36">
            <v>16.965945177947059</v>
          </cell>
          <cell r="H36">
            <v>20000</v>
          </cell>
          <cell r="I36">
            <v>3000</v>
          </cell>
          <cell r="J36">
            <v>500</v>
          </cell>
          <cell r="K36">
            <v>1000</v>
          </cell>
          <cell r="L36">
            <v>2500</v>
          </cell>
          <cell r="N36">
            <v>13000</v>
          </cell>
          <cell r="P36">
            <v>0</v>
          </cell>
        </row>
        <row r="38">
          <cell r="E38">
            <v>2223.330562419369</v>
          </cell>
          <cell r="H38">
            <v>20000</v>
          </cell>
          <cell r="I38">
            <v>3000</v>
          </cell>
          <cell r="J38">
            <v>500</v>
          </cell>
          <cell r="K38">
            <v>1000</v>
          </cell>
          <cell r="L38">
            <v>2500</v>
          </cell>
          <cell r="N38">
            <v>13000</v>
          </cell>
          <cell r="P38">
            <v>0</v>
          </cell>
        </row>
        <row r="39">
          <cell r="E39">
            <v>2237.4236075471836</v>
          </cell>
          <cell r="H39">
            <v>20000</v>
          </cell>
          <cell r="I39">
            <v>3000</v>
          </cell>
          <cell r="J39">
            <v>500</v>
          </cell>
          <cell r="K39">
            <v>1000</v>
          </cell>
          <cell r="L39">
            <v>2500</v>
          </cell>
          <cell r="N39">
            <v>13000</v>
          </cell>
          <cell r="P39">
            <v>0</v>
          </cell>
        </row>
        <row r="40">
          <cell r="E40">
            <v>16.965945177947059</v>
          </cell>
          <cell r="H40">
            <v>20000</v>
          </cell>
          <cell r="I40">
            <v>3000</v>
          </cell>
          <cell r="J40">
            <v>500</v>
          </cell>
          <cell r="K40">
            <v>1000</v>
          </cell>
          <cell r="L40">
            <v>2500</v>
          </cell>
          <cell r="N40">
            <v>13000</v>
          </cell>
          <cell r="P40">
            <v>0</v>
          </cell>
        </row>
        <row r="41">
          <cell r="E41">
            <v>2228.0923376993128</v>
          </cell>
          <cell r="H41">
            <v>20000</v>
          </cell>
          <cell r="I41">
            <v>3000</v>
          </cell>
          <cell r="J41">
            <v>500</v>
          </cell>
          <cell r="K41">
            <v>1000</v>
          </cell>
          <cell r="L41">
            <v>2500</v>
          </cell>
          <cell r="N41">
            <v>13000</v>
          </cell>
          <cell r="P41">
            <v>0</v>
          </cell>
        </row>
        <row r="42">
          <cell r="E42">
            <v>2226.1355986887893</v>
          </cell>
          <cell r="H42">
            <v>20000</v>
          </cell>
          <cell r="I42">
            <v>3000</v>
          </cell>
          <cell r="J42">
            <v>500</v>
          </cell>
          <cell r="K42">
            <v>1000</v>
          </cell>
          <cell r="L42">
            <v>2500</v>
          </cell>
          <cell r="N42">
            <v>13000</v>
          </cell>
          <cell r="P42">
            <v>0</v>
          </cell>
        </row>
        <row r="43">
          <cell r="E43">
            <v>8025.3388390586442</v>
          </cell>
          <cell r="H43">
            <v>900000</v>
          </cell>
          <cell r="I43">
            <v>883000</v>
          </cell>
          <cell r="J43">
            <v>500</v>
          </cell>
          <cell r="K43">
            <v>1000</v>
          </cell>
          <cell r="L43">
            <v>2500</v>
          </cell>
          <cell r="N43">
            <v>13000</v>
          </cell>
          <cell r="P43">
            <v>0</v>
          </cell>
        </row>
        <row r="44">
          <cell r="E44">
            <v>16.965945177947059</v>
          </cell>
          <cell r="H44">
            <v>20000</v>
          </cell>
          <cell r="I44">
            <v>3000</v>
          </cell>
          <cell r="J44">
            <v>500</v>
          </cell>
          <cell r="K44">
            <v>1000</v>
          </cell>
          <cell r="L44">
            <v>2500</v>
          </cell>
          <cell r="N44">
            <v>13000</v>
          </cell>
          <cell r="P44">
            <v>0</v>
          </cell>
        </row>
        <row r="45">
          <cell r="E45">
            <v>16.965945177947059</v>
          </cell>
          <cell r="H45">
            <v>20000</v>
          </cell>
          <cell r="I45">
            <v>3000</v>
          </cell>
          <cell r="J45">
            <v>500</v>
          </cell>
          <cell r="K45">
            <v>1000</v>
          </cell>
          <cell r="L45">
            <v>2500</v>
          </cell>
          <cell r="N45">
            <v>13000</v>
          </cell>
          <cell r="P45">
            <v>0</v>
          </cell>
        </row>
        <row r="46">
          <cell r="E46">
            <v>2241.9761361699325</v>
          </cell>
          <cell r="H46">
            <v>20000</v>
          </cell>
          <cell r="I46">
            <v>3000</v>
          </cell>
          <cell r="J46">
            <v>500</v>
          </cell>
          <cell r="K46">
            <v>1000</v>
          </cell>
          <cell r="L46">
            <v>2500</v>
          </cell>
          <cell r="N46">
            <v>13000</v>
          </cell>
          <cell r="O46">
            <v>500000</v>
          </cell>
          <cell r="P46">
            <v>15000</v>
          </cell>
        </row>
        <row r="47">
          <cell r="E47">
            <v>1515.8732697592138</v>
          </cell>
          <cell r="H47">
            <v>23000</v>
          </cell>
          <cell r="I47">
            <v>6000</v>
          </cell>
          <cell r="J47">
            <v>500</v>
          </cell>
          <cell r="K47">
            <v>1000</v>
          </cell>
          <cell r="L47">
            <v>2500</v>
          </cell>
          <cell r="N47">
            <v>13000</v>
          </cell>
          <cell r="P47">
            <v>0</v>
          </cell>
        </row>
        <row r="48">
          <cell r="E48">
            <v>16.965945177947059</v>
          </cell>
          <cell r="H48">
            <v>20000</v>
          </cell>
          <cell r="I48">
            <v>3000</v>
          </cell>
          <cell r="J48">
            <v>500</v>
          </cell>
          <cell r="K48">
            <v>1000</v>
          </cell>
          <cell r="L48">
            <v>2500</v>
          </cell>
          <cell r="N48">
            <v>13000</v>
          </cell>
          <cell r="P48">
            <v>0</v>
          </cell>
        </row>
        <row r="49">
          <cell r="E49">
            <v>2227.0856916187545</v>
          </cell>
          <cell r="H49">
            <v>20000</v>
          </cell>
          <cell r="I49">
            <v>3000</v>
          </cell>
          <cell r="J49">
            <v>500</v>
          </cell>
          <cell r="K49">
            <v>1000</v>
          </cell>
          <cell r="L49">
            <v>2500</v>
          </cell>
          <cell r="N49">
            <v>13000</v>
          </cell>
          <cell r="P49">
            <v>0</v>
          </cell>
        </row>
        <row r="50">
          <cell r="E50">
            <v>2322.2759546971561</v>
          </cell>
          <cell r="H50">
            <v>20000</v>
          </cell>
          <cell r="I50">
            <v>3000</v>
          </cell>
          <cell r="J50">
            <v>500</v>
          </cell>
          <cell r="K50">
            <v>1000</v>
          </cell>
          <cell r="L50">
            <v>2500</v>
          </cell>
          <cell r="N50">
            <v>13000</v>
          </cell>
          <cell r="P50">
            <v>0</v>
          </cell>
        </row>
        <row r="51">
          <cell r="E51">
            <v>4604.7667679520264</v>
          </cell>
          <cell r="H51">
            <v>20000</v>
          </cell>
          <cell r="I51">
            <v>3000</v>
          </cell>
          <cell r="J51">
            <v>500</v>
          </cell>
          <cell r="K51">
            <v>1000</v>
          </cell>
          <cell r="L51">
            <v>2500</v>
          </cell>
          <cell r="N51">
            <v>13000</v>
          </cell>
          <cell r="P51">
            <v>0</v>
          </cell>
        </row>
        <row r="52">
          <cell r="E52">
            <v>7896.397655706247</v>
          </cell>
          <cell r="H52">
            <v>20000</v>
          </cell>
          <cell r="I52">
            <v>3000</v>
          </cell>
          <cell r="J52">
            <v>500</v>
          </cell>
          <cell r="K52">
            <v>1000</v>
          </cell>
          <cell r="L52">
            <v>2500</v>
          </cell>
          <cell r="N52">
            <v>13000</v>
          </cell>
          <cell r="P52">
            <v>0</v>
          </cell>
        </row>
      </sheetData>
      <sheetData sheetId="6">
        <row r="5">
          <cell r="C5">
            <v>3347.8158611404015</v>
          </cell>
        </row>
        <row r="6">
          <cell r="C6">
            <v>4519.7974328671799</v>
          </cell>
          <cell r="F6">
            <v>20000</v>
          </cell>
          <cell r="G6">
            <v>3000</v>
          </cell>
          <cell r="H6">
            <v>500</v>
          </cell>
          <cell r="I6">
            <v>1000</v>
          </cell>
          <cell r="J6">
            <v>2500</v>
          </cell>
          <cell r="L6">
            <v>13000</v>
          </cell>
          <cell r="N6">
            <v>0</v>
          </cell>
        </row>
        <row r="7">
          <cell r="C7">
            <v>4184.8316955718537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4186.283859172845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M8">
            <v>1000000</v>
          </cell>
          <cell r="N8">
            <v>60000</v>
          </cell>
        </row>
        <row r="9">
          <cell r="C9">
            <v>4252.7256053805195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4281.6531252292525</v>
          </cell>
          <cell r="F10">
            <v>20000</v>
          </cell>
          <cell r="G10">
            <v>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14747.454386752817</v>
          </cell>
          <cell r="F12">
            <v>40000</v>
          </cell>
          <cell r="G12">
            <v>23000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3421.1830540940409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4637.6331430403716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4201.815695948666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4166.9006319770051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62.960020479868533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4258.692103654158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197.60084131090923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6197.6159922725919</v>
          </cell>
          <cell r="F20">
            <v>23000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4195.5545557849709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3399.7689024417418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N22">
            <v>0</v>
          </cell>
        </row>
        <row r="23">
          <cell r="C23">
            <v>4552.3448387937451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4166.9006319770051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4212.4754186139135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N25">
            <v>0</v>
          </cell>
        </row>
        <row r="26">
          <cell r="C26">
            <v>4213.3172525855025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4293.511224211873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N27">
            <v>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6056.5443021538949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62.960020479868533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219.63584551725538</v>
          </cell>
          <cell r="F31">
            <v>20000</v>
          </cell>
          <cell r="G31">
            <v>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4206.1932326009292</v>
          </cell>
          <cell r="F32">
            <v>20000</v>
          </cell>
          <cell r="G32">
            <v>3000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N32">
            <v>0</v>
          </cell>
        </row>
        <row r="33">
          <cell r="C33">
            <v>125.92004095973707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4363.7938379149236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62.960020479868533</v>
          </cell>
          <cell r="F36">
            <v>20000</v>
          </cell>
          <cell r="G36">
            <v>3000</v>
          </cell>
          <cell r="H36">
            <v>500</v>
          </cell>
          <cell r="I36">
            <v>1000</v>
          </cell>
          <cell r="J36">
            <v>2500</v>
          </cell>
          <cell r="L36">
            <v>13000</v>
          </cell>
          <cell r="N36">
            <v>0</v>
          </cell>
        </row>
        <row r="38">
          <cell r="C38">
            <v>4168.3738414272866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4194.596969642289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62.960020479868533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4177.2341439782622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4173.5932120511388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14964.252628654878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M43">
            <v>200000</v>
          </cell>
          <cell r="N43">
            <v>6000</v>
          </cell>
        </row>
        <row r="44">
          <cell r="C44">
            <v>62.960020479868533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62.960020479868533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4203.0679239814044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N46">
            <v>0</v>
          </cell>
        </row>
        <row r="47">
          <cell r="C47">
            <v>2883.3893065985981</v>
          </cell>
          <cell r="F47">
            <v>23000</v>
          </cell>
          <cell r="G47">
            <v>6000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N47">
            <v>0</v>
          </cell>
        </row>
        <row r="48">
          <cell r="C48">
            <v>31.568773934593359</v>
          </cell>
          <cell r="F48">
            <v>0</v>
          </cell>
          <cell r="N48">
            <v>0</v>
          </cell>
        </row>
        <row r="49">
          <cell r="C49">
            <v>4175.3610633914759</v>
          </cell>
          <cell r="F49">
            <v>20000</v>
          </cell>
          <cell r="G49">
            <v>3000</v>
          </cell>
          <cell r="H49">
            <v>500</v>
          </cell>
          <cell r="I49">
            <v>1000</v>
          </cell>
          <cell r="J49">
            <v>2500</v>
          </cell>
          <cell r="L49">
            <v>13000</v>
          </cell>
          <cell r="M49">
            <v>1000000</v>
          </cell>
          <cell r="N49">
            <v>120000</v>
          </cell>
        </row>
        <row r="50">
          <cell r="C50">
            <v>4352.4829310138348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8599.5458406057733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14724.329946751968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7">
        <row r="5">
          <cell r="C5">
            <v>401.49071086184892</v>
          </cell>
        </row>
        <row r="6">
          <cell r="C6">
            <v>545.76761144944282</v>
          </cell>
          <cell r="F6">
            <v>20000</v>
          </cell>
          <cell r="G6">
            <v>3000</v>
          </cell>
          <cell r="H6">
            <v>500</v>
          </cell>
          <cell r="I6">
            <v>1000</v>
          </cell>
          <cell r="J6">
            <v>2500</v>
          </cell>
          <cell r="L6">
            <v>13000</v>
          </cell>
          <cell r="N6">
            <v>0</v>
          </cell>
        </row>
        <row r="7">
          <cell r="C7">
            <v>505.59645581866323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505.77060822746716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N8">
            <v>0</v>
          </cell>
        </row>
        <row r="9">
          <cell r="C9">
            <v>513.73871191723674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517.20787837957062</v>
          </cell>
          <cell r="F10">
            <v>20000</v>
          </cell>
          <cell r="G10">
            <v>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M10">
            <v>250000</v>
          </cell>
          <cell r="N10">
            <v>7500</v>
          </cell>
        </row>
        <row r="12">
          <cell r="C12">
            <v>1772.3312670347004</v>
          </cell>
          <cell r="F12">
            <v>20000</v>
          </cell>
          <cell r="G12">
            <v>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414.01500431936461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559.89919604210024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507.63328181728349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503.44605216212744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11.276201194420562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514.45425116210515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27.423158228091868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750.70760110374874</v>
          </cell>
          <cell r="F20">
            <v>23000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506.88240730106349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411.44688727649458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N22">
            <v>0</v>
          </cell>
        </row>
        <row r="23">
          <cell r="C23">
            <v>549.67089695980985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503.44605216212744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508.9116614558227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N25">
            <v>0</v>
          </cell>
        </row>
        <row r="26">
          <cell r="C26">
            <v>509.01261937396987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524.83938721178595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N27">
            <v>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730.06376707924278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11.276201194420562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30.065731735595399</v>
          </cell>
          <cell r="F31">
            <v>20000</v>
          </cell>
          <cell r="G31">
            <v>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514.36767551167918</v>
          </cell>
          <cell r="F32">
            <v>25000</v>
          </cell>
          <cell r="G32">
            <v>8000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N32">
            <v>0</v>
          </cell>
        </row>
        <row r="33">
          <cell r="C33">
            <v>22.552402388841124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533.26811140310224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7.5505536824024508</v>
          </cell>
          <cell r="F36">
            <v>0</v>
          </cell>
          <cell r="N36">
            <v>0</v>
          </cell>
        </row>
        <row r="38">
          <cell r="C38">
            <v>503.62272851888508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506.767567669171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11.276201194420562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504.68531060738462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504.24866761139788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1798.3310483444188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N43">
            <v>0</v>
          </cell>
        </row>
        <row r="44">
          <cell r="C44">
            <v>11.276201194420562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11.276201194420562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507.78345672052745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N46">
            <v>0</v>
          </cell>
        </row>
        <row r="47">
          <cell r="C47">
            <v>353.24511117597388</v>
          </cell>
          <cell r="F47">
            <v>23000</v>
          </cell>
          <cell r="G47">
            <v>6000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M47">
            <v>500000</v>
          </cell>
          <cell r="N47">
            <v>15000</v>
          </cell>
        </row>
        <row r="48">
          <cell r="C48">
            <v>7.5115694425389323</v>
          </cell>
          <cell r="F48">
            <v>20000</v>
          </cell>
          <cell r="G48">
            <v>3000</v>
          </cell>
          <cell r="H48">
            <v>500</v>
          </cell>
          <cell r="I48">
            <v>1000</v>
          </cell>
          <cell r="J48">
            <v>2500</v>
          </cell>
          <cell r="L48">
            <v>13000</v>
          </cell>
          <cell r="N48">
            <v>0</v>
          </cell>
        </row>
        <row r="49">
          <cell r="C49">
            <v>504.46067923950699</v>
          </cell>
          <cell r="F49">
            <v>20000</v>
          </cell>
          <cell r="G49">
            <v>3000</v>
          </cell>
          <cell r="H49">
            <v>500</v>
          </cell>
          <cell r="I49">
            <v>1000</v>
          </cell>
          <cell r="J49">
            <v>2500</v>
          </cell>
          <cell r="L49">
            <v>13000</v>
          </cell>
          <cell r="N49">
            <v>0</v>
          </cell>
        </row>
        <row r="50">
          <cell r="C50">
            <v>525.70222521768255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1035.0361842443938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1769.5580416724606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8">
        <row r="5">
          <cell r="C5">
            <v>1043.2007030282837</v>
          </cell>
        </row>
        <row r="6">
          <cell r="C6">
            <v>1427.7464405489461</v>
          </cell>
          <cell r="F6">
            <v>20000</v>
          </cell>
          <cell r="G6">
            <v>3000</v>
          </cell>
          <cell r="H6">
            <v>500</v>
          </cell>
          <cell r="I6">
            <v>1000</v>
          </cell>
          <cell r="J6">
            <v>2500</v>
          </cell>
          <cell r="L6">
            <v>13000</v>
          </cell>
          <cell r="N6">
            <v>0</v>
          </cell>
        </row>
        <row r="7">
          <cell r="C7">
            <v>1323.3689875674552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1323.8214909763346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N8">
            <v>0</v>
          </cell>
        </row>
        <row r="9">
          <cell r="C9">
            <v>1344.5251614376671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1353.5391605029508</v>
          </cell>
          <cell r="F10">
            <v>20000</v>
          </cell>
          <cell r="G10">
            <v>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4614.7493604141828</v>
          </cell>
          <cell r="F12">
            <v>20000</v>
          </cell>
          <cell r="G12">
            <v>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1085.4112166807133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1464.4647968723543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1328.6613100452178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1317.781554170859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38.967572555461153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1346.3843602263232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80.922508183074001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2421.1067339040774</v>
          </cell>
          <cell r="F20">
            <v>163000</v>
          </cell>
          <cell r="G20">
            <v>146000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1326.7102989707016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1078.7384309048482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N22">
            <v>0</v>
          </cell>
        </row>
        <row r="23">
          <cell r="C23">
            <v>1437.8884191262187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1317.781554170859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1331.9829473872085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M25">
            <v>80000</v>
          </cell>
          <cell r="N25">
            <v>2400</v>
          </cell>
        </row>
        <row r="26">
          <cell r="C26">
            <v>1332.24526820395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1389.4822694610575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M27">
            <v>400000</v>
          </cell>
          <cell r="N27">
            <v>12000</v>
          </cell>
          <cell r="O27">
            <v>400000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1906.6065334903549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38.967572555461153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87.78875556128591</v>
          </cell>
          <cell r="F31">
            <v>20000</v>
          </cell>
          <cell r="G31">
            <v>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1355.8278205863812</v>
          </cell>
          <cell r="F32">
            <v>23000</v>
          </cell>
          <cell r="G32">
            <v>6000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M32">
            <v>1000000</v>
          </cell>
          <cell r="N32">
            <v>30000</v>
          </cell>
        </row>
        <row r="33">
          <cell r="C33">
            <v>77.935145110922306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1411.3827786487736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19.61874259264091</v>
          </cell>
          <cell r="F36">
            <v>0</v>
          </cell>
          <cell r="N36">
            <v>0</v>
          </cell>
        </row>
        <row r="38">
          <cell r="C38">
            <v>1318.2406156001566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1326.411909041658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38.967572555461153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1321.0015421963622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1319.8670046639547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4682.3050706886679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N43">
            <v>0</v>
          </cell>
        </row>
        <row r="44">
          <cell r="C44">
            <v>38.967572555461153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38.967572555461153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1329.0515122601207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M46">
            <v>500000</v>
          </cell>
          <cell r="N46">
            <v>15000</v>
          </cell>
          <cell r="O46">
            <v>500000</v>
          </cell>
        </row>
        <row r="47">
          <cell r="C47">
            <v>937.18009638893591</v>
          </cell>
          <cell r="F47">
            <v>23000</v>
          </cell>
          <cell r="G47">
            <v>6000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N47">
            <v>0</v>
          </cell>
        </row>
        <row r="48">
          <cell r="C48">
            <v>19.517449124741379</v>
          </cell>
          <cell r="F48">
            <v>0</v>
          </cell>
          <cell r="N48">
            <v>0</v>
          </cell>
        </row>
        <row r="49">
          <cell r="C49">
            <v>1320.4178783791122</v>
          </cell>
          <cell r="F49">
            <v>20000</v>
          </cell>
          <cell r="G49">
            <v>3000</v>
          </cell>
          <cell r="H49">
            <v>500</v>
          </cell>
          <cell r="I49">
            <v>1000</v>
          </cell>
          <cell r="J49">
            <v>2500</v>
          </cell>
          <cell r="L49">
            <v>13000</v>
          </cell>
          <cell r="N49">
            <v>0</v>
          </cell>
        </row>
        <row r="50">
          <cell r="C50">
            <v>1375.6101782215489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2699.0219776932313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4607.5436379173061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9">
        <row r="5">
          <cell r="C5">
            <v>4206.7983317359185</v>
          </cell>
        </row>
        <row r="6">
          <cell r="C6">
            <v>5796.3762138227676</v>
          </cell>
          <cell r="F6">
            <v>20000</v>
          </cell>
          <cell r="G6">
            <v>3000</v>
          </cell>
          <cell r="H6">
            <v>500</v>
          </cell>
          <cell r="I6">
            <v>1000</v>
          </cell>
          <cell r="J6">
            <v>2500</v>
          </cell>
          <cell r="L6">
            <v>13000</v>
          </cell>
          <cell r="N6">
            <v>0</v>
          </cell>
        </row>
        <row r="7">
          <cell r="C7">
            <v>5375.464979964564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5377.2897396489207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N8">
            <v>0</v>
          </cell>
        </row>
        <row r="9">
          <cell r="C9">
            <v>5460.7791066563577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5561.9012949809658</v>
          </cell>
          <cell r="F10">
            <v>25000</v>
          </cell>
          <cell r="G10">
            <v>8000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18648.245012997726</v>
          </cell>
          <cell r="F12">
            <v>20000</v>
          </cell>
          <cell r="G12">
            <v>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4415.8793981258577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5944.4462061809018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5396.8067345337768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M15">
            <v>1000000</v>
          </cell>
          <cell r="N15">
            <v>120000</v>
          </cell>
        </row>
        <row r="16">
          <cell r="C16">
            <v>5352.933164731644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196.00362198538465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5468.2764888377342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365.1905796762523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14245.578551813711</v>
          </cell>
          <cell r="F20">
            <v>363000</v>
          </cell>
          <cell r="G20">
            <v>346000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5388.939111257022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4388.9708042297325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N22">
            <v>0</v>
          </cell>
        </row>
        <row r="23">
          <cell r="C23">
            <v>5837.2746319656235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5352.933164731644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M24">
            <v>1000000</v>
          </cell>
          <cell r="N24">
            <v>120000</v>
          </cell>
        </row>
        <row r="25">
          <cell r="C25">
            <v>5410.2015284486533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N25">
            <v>0</v>
          </cell>
        </row>
        <row r="26">
          <cell r="C26">
            <v>5411.2593601497292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5706.8450343433278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N27">
            <v>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7727.4215383447627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196.00362198538465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392.87932445192064</v>
          </cell>
          <cell r="F31">
            <v>20000</v>
          </cell>
          <cell r="G31">
            <v>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5545.2215389020466</v>
          </cell>
          <cell r="F32">
            <v>23000</v>
          </cell>
          <cell r="G32">
            <v>6000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N32">
            <v>0</v>
          </cell>
        </row>
        <row r="33">
          <cell r="C33">
            <v>392.00724397076931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5795.1607584869244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79.11430022036761</v>
          </cell>
          <cell r="F36">
            <v>0</v>
          </cell>
          <cell r="N36">
            <v>0</v>
          </cell>
        </row>
        <row r="38">
          <cell r="C38">
            <v>5354.7843702085256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5387.7358276970481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196.00362198538465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5365.9180488623533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5361.3429267551983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18920.66933983815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M43">
            <v>200000</v>
          </cell>
          <cell r="N43">
            <v>6000</v>
          </cell>
          <cell r="O43">
            <v>200000</v>
          </cell>
        </row>
        <row r="44">
          <cell r="C44">
            <v>196.00362198538465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196.00362198538465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5398.3802591891272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N46">
            <v>0</v>
          </cell>
        </row>
        <row r="47">
          <cell r="C47">
            <v>3856.9878724307705</v>
          </cell>
          <cell r="F47">
            <v>23000</v>
          </cell>
          <cell r="G47">
            <v>6000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N47">
            <v>0</v>
          </cell>
        </row>
        <row r="48">
          <cell r="C48">
            <v>117.56929332466937</v>
          </cell>
          <cell r="F48">
            <v>20000</v>
          </cell>
          <cell r="G48">
            <v>3000</v>
          </cell>
          <cell r="H48">
            <v>500</v>
          </cell>
          <cell r="I48">
            <v>1000</v>
          </cell>
          <cell r="J48">
            <v>2500</v>
          </cell>
          <cell r="L48">
            <v>13000</v>
          </cell>
          <cell r="N48">
            <v>0</v>
          </cell>
        </row>
        <row r="49">
          <cell r="C49">
            <v>5363.5643733274583</v>
          </cell>
          <cell r="F49">
            <v>20000</v>
          </cell>
          <cell r="G49">
            <v>3000</v>
          </cell>
          <cell r="H49">
            <v>500</v>
          </cell>
          <cell r="I49">
            <v>1000</v>
          </cell>
          <cell r="J49">
            <v>2500</v>
          </cell>
          <cell r="L49">
            <v>13000</v>
          </cell>
          <cell r="N49">
            <v>0</v>
          </cell>
        </row>
        <row r="50">
          <cell r="C50">
            <v>5586.1321632338813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10922.906318059349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18619.187305031446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10">
        <row r="5">
          <cell r="C5">
            <v>1489.1392586539394</v>
          </cell>
        </row>
        <row r="6">
          <cell r="C6">
            <v>2065.4054888934988</v>
          </cell>
          <cell r="F6">
            <v>20000</v>
          </cell>
          <cell r="G6">
            <v>3000</v>
          </cell>
          <cell r="H6">
            <v>500</v>
          </cell>
          <cell r="I6">
            <v>1000</v>
          </cell>
          <cell r="J6">
            <v>2500</v>
          </cell>
          <cell r="L6">
            <v>13000</v>
          </cell>
          <cell r="N6">
            <v>0</v>
          </cell>
        </row>
        <row r="7">
          <cell r="C7">
            <v>1916.409650890474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1917.0555866043601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N8">
            <v>0</v>
          </cell>
        </row>
        <row r="9">
          <cell r="C9">
            <v>1946.6094858614319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1982.4051215635675</v>
          </cell>
          <cell r="F10">
            <v>20000</v>
          </cell>
          <cell r="G10">
            <v>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8878.2794688617159</v>
          </cell>
          <cell r="F12">
            <v>520000</v>
          </cell>
          <cell r="G12">
            <v>503000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1576.7317178708879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2117.8198955898379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1923.9642903267927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1908.433749032057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82.963253267432648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1949.2634391206589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142.85272760924894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5069.8689540345713</v>
          </cell>
          <cell r="F20">
            <v>23000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1921.1792776473567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1567.2065064378594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N22">
            <v>0</v>
          </cell>
        </row>
        <row r="23">
          <cell r="C23">
            <v>2079.8828741329858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1908.433749032057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1928.705832922202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N25">
            <v>0</v>
          </cell>
        </row>
        <row r="26">
          <cell r="C26">
            <v>1929.0802884085124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2056.3480665836109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N27">
            <v>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2748.9646177665099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82.963253267432648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152.65409996343135</v>
          </cell>
          <cell r="F31">
            <v>20000</v>
          </cell>
          <cell r="G31">
            <v>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1976.5007549542843</v>
          </cell>
          <cell r="F32">
            <v>20000</v>
          </cell>
          <cell r="G32">
            <v>3000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N32">
            <v>0</v>
          </cell>
        </row>
        <row r="33">
          <cell r="C33">
            <v>165.9265065348653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2087.6104189969756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28.005195659205434</v>
          </cell>
          <cell r="F36">
            <v>0</v>
          </cell>
          <cell r="N36">
            <v>0</v>
          </cell>
        </row>
        <row r="38">
          <cell r="C38">
            <v>1909.0890461331003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1920.7533345316781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82.963253267432648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1913.0301901265204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1911.4106701482267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6711.1951357594153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N43">
            <v>0</v>
          </cell>
        </row>
        <row r="44">
          <cell r="C44">
            <v>82.963253267432648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82.963253267432648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1924.5212928626795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N46">
            <v>0</v>
          </cell>
        </row>
        <row r="47">
          <cell r="C47">
            <v>1392.4741747198527</v>
          </cell>
          <cell r="F47">
            <v>23000</v>
          </cell>
          <cell r="G47">
            <v>6000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M47">
            <v>750000</v>
          </cell>
          <cell r="N47">
            <v>90000</v>
          </cell>
        </row>
        <row r="48">
          <cell r="C48">
            <v>41.617647554243668</v>
          </cell>
          <cell r="F48">
            <v>0</v>
          </cell>
          <cell r="N48">
            <v>0</v>
          </cell>
        </row>
        <row r="49">
          <cell r="C49">
            <v>1898.6159175697137</v>
          </cell>
          <cell r="F49">
            <v>0</v>
          </cell>
          <cell r="N49">
            <v>0</v>
          </cell>
        </row>
        <row r="50">
          <cell r="C50">
            <v>1990.9824609892487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3880.1150701202687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6604.4753221608671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11">
        <row r="5">
          <cell r="C5">
            <v>4585.7297697109252</v>
          </cell>
        </row>
        <row r="6">
          <cell r="C6">
            <v>6401.9466331371623</v>
          </cell>
          <cell r="F6">
            <v>20000</v>
          </cell>
          <cell r="G6">
            <v>3000</v>
          </cell>
          <cell r="H6">
            <v>500</v>
          </cell>
          <cell r="I6">
            <v>1000</v>
          </cell>
          <cell r="J6">
            <v>2500</v>
          </cell>
          <cell r="L6">
            <v>13000</v>
          </cell>
          <cell r="N6">
            <v>0</v>
          </cell>
        </row>
        <row r="7">
          <cell r="C7">
            <v>5943.1214118404623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5945.1105385223846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M8">
            <v>1000000</v>
          </cell>
          <cell r="N8">
            <v>120000</v>
          </cell>
          <cell r="O8">
            <v>1000000</v>
          </cell>
        </row>
        <row r="9">
          <cell r="C9">
            <v>6036.1202912010549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6562.6898315546596</v>
          </cell>
          <cell r="F10">
            <v>50000</v>
          </cell>
          <cell r="G10">
            <v>33000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27381.850860139701</v>
          </cell>
          <cell r="F12">
            <v>20000</v>
          </cell>
          <cell r="G12">
            <v>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4897.1002284557744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6563.354173602117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5966.3855456420752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5918.5600215071654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991.01283899713405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6044.2930073506905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481.54168777943136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15695.675275336062</v>
          </cell>
          <cell r="F20">
            <v>23000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5957.8092385714681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5908.6144990872453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M22">
            <v>60000</v>
          </cell>
          <cell r="N22">
            <v>1800</v>
          </cell>
        </row>
        <row r="23">
          <cell r="C23">
            <v>6446.5290159428505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5918.5600215071654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5980.9868886043005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M25">
            <v>80000</v>
          </cell>
          <cell r="N25">
            <v>2400</v>
          </cell>
          <cell r="O25">
            <v>80000</v>
          </cell>
        </row>
        <row r="26">
          <cell r="C26">
            <v>5982.1400055213562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6443.4445335509317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M27">
            <v>400000</v>
          </cell>
          <cell r="N27">
            <v>12000</v>
          </cell>
          <cell r="O27">
            <v>400000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8506.932737300498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297.1150508577407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2177.0792146179242</v>
          </cell>
          <cell r="F31">
            <v>140000</v>
          </cell>
          <cell r="G31">
            <v>123000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6169.8028246816157</v>
          </cell>
          <cell r="F32">
            <v>23000</v>
          </cell>
          <cell r="G32">
            <v>6000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M32">
            <v>1000000</v>
          </cell>
          <cell r="N32">
            <v>120000</v>
          </cell>
          <cell r="O32">
            <v>1000000</v>
          </cell>
        </row>
        <row r="33">
          <cell r="C33">
            <v>594.2301017154814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6539.7153821636693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86.240597509384457</v>
          </cell>
          <cell r="F36">
            <v>0</v>
          </cell>
          <cell r="N36">
            <v>0</v>
          </cell>
        </row>
        <row r="38">
          <cell r="C38">
            <v>5920.5779761120129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5956.4975680783155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297.1150508577407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5932.7145316640308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5927.7273009977625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8845.9213044842309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N43">
            <v>0</v>
          </cell>
        </row>
        <row r="44">
          <cell r="C44">
            <v>297.1150508577407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297.1150508577407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5968.1008070561948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M46">
            <v>500000</v>
          </cell>
          <cell r="N46">
            <v>15000</v>
          </cell>
          <cell r="O46">
            <v>500000</v>
          </cell>
        </row>
        <row r="47">
          <cell r="C47">
            <v>4371.322219379218</v>
          </cell>
          <cell r="F47">
            <v>23000</v>
          </cell>
          <cell r="G47">
            <v>6000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N47">
            <v>0</v>
          </cell>
        </row>
        <row r="48">
          <cell r="C48">
            <v>128.15946139741337</v>
          </cell>
          <cell r="F48">
            <v>0</v>
          </cell>
          <cell r="N48">
            <v>0</v>
          </cell>
        </row>
        <row r="49">
          <cell r="C49">
            <v>5888.3265012039219</v>
          </cell>
          <cell r="F49">
            <v>20000</v>
          </cell>
          <cell r="G49">
            <v>3000</v>
          </cell>
          <cell r="H49">
            <v>500</v>
          </cell>
          <cell r="I49">
            <v>1000</v>
          </cell>
          <cell r="J49">
            <v>2500</v>
          </cell>
          <cell r="L49">
            <v>13000</v>
          </cell>
          <cell r="N49">
            <v>0</v>
          </cell>
        </row>
        <row r="50">
          <cell r="C50">
            <v>6172.7646458722247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11990.253906382681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20379.784864348658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12">
        <row r="5">
          <cell r="C5">
            <v>6882.9796420748517</v>
          </cell>
        </row>
        <row r="6">
          <cell r="C6">
            <v>9609.0416484158559</v>
          </cell>
          <cell r="F6">
            <v>0</v>
          </cell>
          <cell r="N6">
            <v>0</v>
          </cell>
        </row>
        <row r="7">
          <cell r="C7">
            <v>8982.0003176278551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M7">
            <v>1000000</v>
          </cell>
          <cell r="N7">
            <v>40000</v>
          </cell>
        </row>
        <row r="8">
          <cell r="C8">
            <v>8984.9859097025565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N8">
            <v>0</v>
          </cell>
        </row>
        <row r="9">
          <cell r="C9">
            <v>9121.5875644828047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9911.9453937491035</v>
          </cell>
          <cell r="F10">
            <v>20000</v>
          </cell>
          <cell r="G10">
            <v>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41160.594730071018</v>
          </cell>
          <cell r="F12">
            <v>20000</v>
          </cell>
          <cell r="G12">
            <v>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7411.9683113873934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9912.9425420804819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9016.9187640667733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8945.1347459228309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1549.1021304384165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9133.8544536592999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784.40823477588606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23681.791985672429</v>
          </cell>
          <cell r="F20">
            <v>23000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9004.0461025852619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M21">
            <v>1000000</v>
          </cell>
          <cell r="N21">
            <v>120000</v>
          </cell>
        </row>
        <row r="22">
          <cell r="C22">
            <v>8930.2069521399844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M22">
            <v>800000</v>
          </cell>
          <cell r="N22">
            <v>96000</v>
          </cell>
        </row>
        <row r="23">
          <cell r="C23">
            <v>9737.5930945046384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M23">
            <v>1000000</v>
          </cell>
          <cell r="N23">
            <v>32000</v>
          </cell>
        </row>
        <row r="24">
          <cell r="C24">
            <v>8945.1347459228309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9038.8347406731045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N25">
            <v>0</v>
          </cell>
        </row>
        <row r="26">
          <cell r="C26">
            <v>9040.5655186874246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M26">
            <v>1000000</v>
          </cell>
          <cell r="N26">
            <v>120000</v>
          </cell>
        </row>
        <row r="27">
          <cell r="C27">
            <v>9835.6888233090885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N27">
            <v>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12830.16888521765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507.59192611050474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3329.3358396877129</v>
          </cell>
          <cell r="F31">
            <v>20000</v>
          </cell>
          <cell r="G31">
            <v>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9322.2391952276521</v>
          </cell>
          <cell r="F32">
            <v>20000</v>
          </cell>
          <cell r="G32">
            <v>3000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N32">
            <v>0</v>
          </cell>
        </row>
        <row r="33">
          <cell r="C33">
            <v>1015.1838522210095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9980.1871527796702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129.443361642935</v>
          </cell>
          <cell r="F36">
            <v>0</v>
          </cell>
          <cell r="N36">
            <v>0</v>
          </cell>
        </row>
        <row r="38">
          <cell r="C38">
            <v>8948.1636074478902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9002.0773425939733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507.59192611050474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8966.3800460486145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8958.8944311366777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13338.975885192451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M43">
            <v>70000</v>
          </cell>
          <cell r="N43">
            <v>2100</v>
          </cell>
          <cell r="O43">
            <v>200000</v>
          </cell>
        </row>
        <row r="44">
          <cell r="C44">
            <v>507.59192611050474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507.59192611050474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9019.4932963630727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N46">
            <v>0</v>
          </cell>
        </row>
        <row r="47">
          <cell r="C47">
            <v>6684.4337770284474</v>
          </cell>
          <cell r="F47">
            <v>23000</v>
          </cell>
          <cell r="G47">
            <v>6000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N47">
            <v>0</v>
          </cell>
        </row>
        <row r="48">
          <cell r="C48">
            <v>253.99698243298027</v>
          </cell>
          <cell r="F48">
            <v>20000</v>
          </cell>
          <cell r="G48">
            <v>3000</v>
          </cell>
          <cell r="H48">
            <v>500</v>
          </cell>
          <cell r="I48">
            <v>1000</v>
          </cell>
          <cell r="J48">
            <v>2500</v>
          </cell>
          <cell r="L48">
            <v>13000</v>
          </cell>
          <cell r="N48">
            <v>0</v>
          </cell>
        </row>
        <row r="49">
          <cell r="C49">
            <v>8899.7555554328083</v>
          </cell>
          <cell r="F49">
            <v>20000</v>
          </cell>
          <cell r="G49">
            <v>3000</v>
          </cell>
          <cell r="H49">
            <v>500</v>
          </cell>
          <cell r="I49">
            <v>1000</v>
          </cell>
          <cell r="J49">
            <v>2500</v>
          </cell>
          <cell r="L49">
            <v>13000</v>
          </cell>
          <cell r="N49">
            <v>0</v>
          </cell>
        </row>
        <row r="50">
          <cell r="C50">
            <v>9326.6847591797796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18058.481476151763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30650.800188790749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13">
        <row r="5">
          <cell r="C5">
            <v>1655.1432371376136</v>
          </cell>
        </row>
        <row r="6">
          <cell r="C6">
            <v>2325.1996328243877</v>
          </cell>
          <cell r="F6">
            <v>20000</v>
          </cell>
          <cell r="G6">
            <v>3000</v>
          </cell>
          <cell r="H6">
            <v>500</v>
          </cell>
          <cell r="I6">
            <v>1000</v>
          </cell>
          <cell r="J6">
            <v>2500</v>
          </cell>
          <cell r="L6">
            <v>13000</v>
          </cell>
          <cell r="M6">
            <v>500000</v>
          </cell>
          <cell r="N6">
            <v>15000</v>
          </cell>
        </row>
        <row r="7">
          <cell r="C7">
            <v>2174.4156305421038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2175.1335728851391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N8">
            <v>0</v>
          </cell>
        </row>
        <row r="9">
          <cell r="C9">
            <v>2207.9820363193821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M9">
            <v>100000</v>
          </cell>
          <cell r="N9">
            <v>3000</v>
          </cell>
        </row>
        <row r="10">
          <cell r="C10">
            <v>2398.0385938068221</v>
          </cell>
          <cell r="F10">
            <v>20000</v>
          </cell>
          <cell r="G10">
            <v>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9912.3700764300756</v>
          </cell>
          <cell r="F12">
            <v>20000</v>
          </cell>
          <cell r="G12">
            <v>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1949.6534456816089</v>
          </cell>
          <cell r="F13">
            <v>51560</v>
          </cell>
          <cell r="G13">
            <v>34560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M13">
            <v>700000</v>
          </cell>
          <cell r="N13">
            <v>84000</v>
          </cell>
          <cell r="Q13">
            <v>48440</v>
          </cell>
        </row>
        <row r="14">
          <cell r="C14">
            <v>2398.2783770697301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2182.8124344671705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2165.5506033498414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387.0340303329138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2210.931842902723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203.14885331607195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5723.7828339691969</v>
          </cell>
          <cell r="F20">
            <v>23000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2179.7169584229232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2161.9609316945557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N22">
            <v>0</v>
          </cell>
        </row>
        <row r="23">
          <cell r="C23">
            <v>2356.1122706182678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2165.5506033498414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2188.0825474635099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N25">
            <v>0</v>
          </cell>
        </row>
        <row r="26">
          <cell r="C26">
            <v>2188.4987459232402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2403.9062339594061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N27">
            <v>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3099.7808809457488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136.58311216290036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815.12505160755416</v>
          </cell>
          <cell r="F31">
            <v>20000</v>
          </cell>
          <cell r="G31">
            <v>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2256.2325334758511</v>
          </cell>
          <cell r="F32">
            <v>20000</v>
          </cell>
          <cell r="G32">
            <v>3000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N32">
            <v>0</v>
          </cell>
        </row>
        <row r="33">
          <cell r="C33">
            <v>2426.4413742626089</v>
          </cell>
          <cell r="F33">
            <v>395800</v>
          </cell>
          <cell r="G33">
            <v>378800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2438.6536028661694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31.127115835995429</v>
          </cell>
          <cell r="F36">
            <v>0</v>
          </cell>
          <cell r="N36">
            <v>0</v>
          </cell>
        </row>
        <row r="38">
          <cell r="C38">
            <v>2166.27895065437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2179.2435326749796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136.58311216290036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2170.6594394430354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2168.8593811046999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3222.1331918357323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N43">
            <v>0</v>
          </cell>
        </row>
        <row r="44">
          <cell r="C44">
            <v>136.58311216290036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136.58311216290036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2183.4315296760192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N46">
            <v>0</v>
          </cell>
        </row>
        <row r="47">
          <cell r="C47">
            <v>1968.5374346128795</v>
          </cell>
          <cell r="F47">
            <v>23000</v>
          </cell>
          <cell r="G47">
            <v>6000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N47">
            <v>0</v>
          </cell>
        </row>
        <row r="48">
          <cell r="C48">
            <v>75.601389445844561</v>
          </cell>
          <cell r="F48">
            <v>20000</v>
          </cell>
          <cell r="G48">
            <v>3000</v>
          </cell>
          <cell r="H48">
            <v>500</v>
          </cell>
          <cell r="I48">
            <v>1000</v>
          </cell>
          <cell r="J48">
            <v>2500</v>
          </cell>
          <cell r="L48">
            <v>13000</v>
          </cell>
          <cell r="N48">
            <v>0</v>
          </cell>
        </row>
        <row r="49">
          <cell r="C49">
            <v>2169.1613036260346</v>
          </cell>
          <cell r="F49">
            <v>40000</v>
          </cell>
          <cell r="G49">
            <v>6000</v>
          </cell>
          <cell r="H49">
            <v>1000</v>
          </cell>
          <cell r="I49">
            <v>2000</v>
          </cell>
          <cell r="J49">
            <v>5000</v>
          </cell>
          <cell r="L49">
            <v>26000</v>
          </cell>
          <cell r="N49">
            <v>0</v>
          </cell>
        </row>
        <row r="50">
          <cell r="C50">
            <v>2257.3015537974643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4357.0279856193629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7385.0902843512322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14">
        <row r="5">
          <cell r="C5">
            <v>3369.7546752234084</v>
          </cell>
        </row>
        <row r="6">
          <cell r="C6">
            <v>4733.9421493743985</v>
          </cell>
          <cell r="F6">
            <v>0</v>
          </cell>
          <cell r="N6">
            <v>0</v>
          </cell>
        </row>
        <row r="7">
          <cell r="C7">
            <v>4456.3819066137821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4457.8435864930225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N8">
            <v>0</v>
          </cell>
        </row>
        <row r="9">
          <cell r="C9">
            <v>4524.7207369098487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4911.6624581941915</v>
          </cell>
          <cell r="F10">
            <v>20000</v>
          </cell>
          <cell r="G10">
            <v>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20210.310379771541</v>
          </cell>
          <cell r="F12">
            <v>20000</v>
          </cell>
          <cell r="G12">
            <v>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4693.867153968934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4912.1506399739283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4473.4772060709829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4438.333337670123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817.39926839245811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4530.7263346745522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443.02204166469812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11712.06805891186</v>
          </cell>
          <cell r="F20">
            <v>23000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4467.1750355771565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4431.0250198330305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N22">
            <v>0</v>
          </cell>
        </row>
        <row r="23">
          <cell r="C23">
            <v>4826.3034267765306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4438.333337670123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4484.2067837352588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M25">
            <v>80000</v>
          </cell>
          <cell r="N25">
            <v>2400</v>
          </cell>
          <cell r="O25">
            <v>80000</v>
          </cell>
        </row>
        <row r="26">
          <cell r="C26">
            <v>4485.0541343898904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4972.6507775927366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M27">
            <v>400000</v>
          </cell>
          <cell r="N27">
            <v>12000</v>
          </cell>
          <cell r="O27">
            <v>400000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6340.3601683560328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307.49889633950511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9291.0555041436946</v>
          </cell>
          <cell r="F31">
            <v>520000</v>
          </cell>
          <cell r="G31">
            <v>402945</v>
          </cell>
          <cell r="H31">
            <v>500</v>
          </cell>
          <cell r="I31">
            <v>1000</v>
          </cell>
          <cell r="J31">
            <v>2500</v>
          </cell>
          <cell r="K31">
            <v>50000</v>
          </cell>
          <cell r="L31">
            <v>13000</v>
          </cell>
          <cell r="N31">
            <v>0</v>
          </cell>
          <cell r="Q31">
            <v>50055</v>
          </cell>
        </row>
        <row r="32">
          <cell r="C32">
            <v>4622.9553396479487</v>
          </cell>
          <cell r="F32">
            <v>20000</v>
          </cell>
          <cell r="G32">
            <v>3000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N32">
            <v>0</v>
          </cell>
        </row>
        <row r="33">
          <cell r="C33">
            <v>4998.9138434072893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5043.3939653713196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92.797939540450287</v>
          </cell>
          <cell r="F36">
            <v>20000</v>
          </cell>
          <cell r="G36">
            <v>3000</v>
          </cell>
          <cell r="H36">
            <v>500</v>
          </cell>
          <cell r="I36">
            <v>1000</v>
          </cell>
          <cell r="J36">
            <v>2500</v>
          </cell>
          <cell r="L36">
            <v>13000</v>
          </cell>
          <cell r="N36">
            <v>0</v>
          </cell>
        </row>
        <row r="38">
          <cell r="C38">
            <v>4439.8162013157289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4466.2111742075131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4132.791952331715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4448.7345669557299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M41">
            <v>1000000</v>
          </cell>
          <cell r="N41">
            <v>120000</v>
          </cell>
        </row>
        <row r="42">
          <cell r="C42">
            <v>4445.0697753744471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M42">
            <v>800000</v>
          </cell>
          <cell r="N42">
            <v>96000</v>
          </cell>
        </row>
        <row r="43">
          <cell r="C43">
            <v>11984.104881001938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N43">
            <v>0</v>
          </cell>
        </row>
        <row r="44">
          <cell r="C44">
            <v>4132.791952331715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307.49889633950511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4474.7376401697466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N46">
            <v>0</v>
          </cell>
          <cell r="P46">
            <v>40750</v>
          </cell>
        </row>
        <row r="47">
          <cell r="C47">
            <v>4037.228447449218</v>
          </cell>
          <cell r="F47">
            <v>20000</v>
          </cell>
          <cell r="G47">
            <v>3000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N47">
            <v>0</v>
          </cell>
        </row>
        <row r="48">
          <cell r="C48">
            <v>183.34441797281437</v>
          </cell>
          <cell r="F48">
            <v>20000</v>
          </cell>
          <cell r="G48">
            <v>3000</v>
          </cell>
          <cell r="H48">
            <v>500</v>
          </cell>
          <cell r="I48">
            <v>1000</v>
          </cell>
          <cell r="J48">
            <v>2500</v>
          </cell>
          <cell r="L48">
            <v>13000</v>
          </cell>
          <cell r="N48">
            <v>0</v>
          </cell>
        </row>
        <row r="49">
          <cell r="C49">
            <v>4445.6844682934607</v>
          </cell>
          <cell r="F49">
            <v>20000</v>
          </cell>
          <cell r="G49">
            <v>3000</v>
          </cell>
          <cell r="H49">
            <v>500</v>
          </cell>
          <cell r="I49">
            <v>1000</v>
          </cell>
          <cell r="J49">
            <v>2500</v>
          </cell>
          <cell r="L49">
            <v>13000</v>
          </cell>
          <cell r="N49">
            <v>0</v>
          </cell>
        </row>
        <row r="50">
          <cell r="C50">
            <v>4625.1317894837302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8900.0264339849582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15064.947305525868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15">
        <row r="5">
          <cell r="C5">
            <v>2815.3424170785856</v>
          </cell>
        </row>
        <row r="6">
          <cell r="C6">
            <v>4003.7762017877671</v>
          </cell>
          <cell r="F6">
            <v>65000</v>
          </cell>
          <cell r="G6">
            <v>6000</v>
          </cell>
          <cell r="H6">
            <v>1000</v>
          </cell>
          <cell r="I6">
            <v>2000</v>
          </cell>
          <cell r="J6">
            <v>5000</v>
          </cell>
          <cell r="K6">
            <v>25000</v>
          </cell>
          <cell r="L6">
            <v>26000</v>
          </cell>
          <cell r="N6">
            <v>0</v>
          </cell>
        </row>
        <row r="7">
          <cell r="C7">
            <v>3747.5365260085014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3748.757721543735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N8">
            <v>0</v>
          </cell>
        </row>
        <row r="9">
          <cell r="C9">
            <v>3845.2073578289496</v>
          </cell>
          <cell r="F9">
            <v>25000</v>
          </cell>
          <cell r="G9">
            <v>8000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4127.9115894989272</v>
          </cell>
          <cell r="F10">
            <v>20000</v>
          </cell>
          <cell r="G10">
            <v>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16909.53416109231</v>
          </cell>
          <cell r="F12">
            <v>20000</v>
          </cell>
          <cell r="G12">
            <v>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3945.9492755256556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4128.3194526831057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3761.8192042249289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3708.1121063652054</v>
          </cell>
          <cell r="F16">
            <v>0</v>
          </cell>
          <cell r="N16">
            <v>0</v>
          </cell>
        </row>
        <row r="17">
          <cell r="C17">
            <v>707.26114580806995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4199.1743155853119</v>
          </cell>
          <cell r="F18">
            <v>118000</v>
          </cell>
          <cell r="G18">
            <v>51000</v>
          </cell>
          <cell r="H18">
            <v>500</v>
          </cell>
          <cell r="I18">
            <v>1000</v>
          </cell>
          <cell r="J18">
            <v>2500</v>
          </cell>
          <cell r="K18">
            <v>50000</v>
          </cell>
          <cell r="L18">
            <v>13000</v>
          </cell>
          <cell r="N18">
            <v>0</v>
          </cell>
        </row>
        <row r="19">
          <cell r="C19">
            <v>394.47870673480679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9833.8189670028405</v>
          </cell>
          <cell r="F20">
            <v>23000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3756.5539046346098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3726.3515063856189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N22">
            <v>0</v>
          </cell>
        </row>
        <row r="23">
          <cell r="C23">
            <v>4056.5963380956623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3732.4574159212725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3770.7834873929828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N25">
            <v>0</v>
          </cell>
        </row>
        <row r="26">
          <cell r="C26">
            <v>3771.4914268336975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4219.4412605787584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N27">
            <v>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5321.5513800083081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281.25264243544484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7786.7806145869918</v>
          </cell>
          <cell r="F31">
            <v>20000</v>
          </cell>
          <cell r="G31">
            <v>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3886.704298377093</v>
          </cell>
          <cell r="F32">
            <v>20000</v>
          </cell>
          <cell r="G32">
            <v>3000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N32">
            <v>0</v>
          </cell>
        </row>
        <row r="33">
          <cell r="C33">
            <v>4225.1531628528955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4278.5453546354565</v>
          </cell>
          <cell r="F34">
            <v>50000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K34">
            <v>25000</v>
          </cell>
          <cell r="L34">
            <v>13000</v>
          </cell>
          <cell r="M34">
            <v>600000</v>
          </cell>
          <cell r="N34">
            <v>72000</v>
          </cell>
        </row>
        <row r="36">
          <cell r="C36">
            <v>101.87557528331999</v>
          </cell>
          <cell r="F36">
            <v>20000</v>
          </cell>
          <cell r="G36">
            <v>3000</v>
          </cell>
          <cell r="H36">
            <v>500</v>
          </cell>
          <cell r="I36">
            <v>1000</v>
          </cell>
          <cell r="J36">
            <v>2500</v>
          </cell>
          <cell r="L36">
            <v>13000</v>
          </cell>
          <cell r="N36">
            <v>0</v>
          </cell>
        </row>
        <row r="38">
          <cell r="C38">
            <v>3733.6963099425229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3755.7486235207966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M39">
            <v>1000000</v>
          </cell>
          <cell r="N39">
            <v>120000</v>
          </cell>
        </row>
        <row r="40">
          <cell r="C40">
            <v>3477.1855325877636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3741.147372556049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3738.0855344749566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10036.753349309411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M43">
            <v>70000</v>
          </cell>
          <cell r="N43">
            <v>2100</v>
          </cell>
          <cell r="O43">
            <v>70000</v>
          </cell>
        </row>
        <row r="44">
          <cell r="C44">
            <v>3477.1855325877636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281.25264243544484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3762.8722641429913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N46">
            <v>0</v>
          </cell>
          <cell r="P46">
            <v>54075</v>
          </cell>
        </row>
        <row r="47">
          <cell r="C47">
            <v>3397.3447089222987</v>
          </cell>
          <cell r="F47">
            <v>20000</v>
          </cell>
          <cell r="G47">
            <v>3000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N47">
            <v>0</v>
          </cell>
        </row>
        <row r="48">
          <cell r="C48">
            <v>177.5248037930557</v>
          </cell>
          <cell r="F48">
            <v>20000</v>
          </cell>
          <cell r="G48">
            <v>3000</v>
          </cell>
          <cell r="H48">
            <v>500</v>
          </cell>
          <cell r="I48">
            <v>1000</v>
          </cell>
          <cell r="J48">
            <v>2500</v>
          </cell>
          <cell r="L48">
            <v>13000</v>
          </cell>
          <cell r="N48">
            <v>0</v>
          </cell>
        </row>
        <row r="49">
          <cell r="C49">
            <v>3738.5990944266946</v>
          </cell>
          <cell r="F49">
            <v>20000</v>
          </cell>
          <cell r="G49">
            <v>3000</v>
          </cell>
          <cell r="H49">
            <v>500</v>
          </cell>
          <cell r="I49">
            <v>1000</v>
          </cell>
          <cell r="J49">
            <v>2500</v>
          </cell>
          <cell r="L49">
            <v>13000</v>
          </cell>
          <cell r="N49">
            <v>0</v>
          </cell>
        </row>
        <row r="50">
          <cell r="C50">
            <v>3888.5226656269028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7460.0859932772964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12610.717092685598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16">
        <row r="5">
          <cell r="C5">
            <v>5355.9105034780441</v>
          </cell>
          <cell r="E5">
            <v>355097.51531966974</v>
          </cell>
        </row>
        <row r="6">
          <cell r="C6">
            <v>7616.788239557136</v>
          </cell>
          <cell r="E6">
            <v>504993.98315681884</v>
          </cell>
          <cell r="G6">
            <v>0</v>
          </cell>
          <cell r="O6">
            <v>0</v>
          </cell>
        </row>
        <row r="7">
          <cell r="C7">
            <v>7175.2593209874249</v>
          </cell>
          <cell r="E7">
            <v>475720.56235860521</v>
          </cell>
          <cell r="G7">
            <v>20000</v>
          </cell>
          <cell r="H7">
            <v>3000</v>
          </cell>
          <cell r="I7">
            <v>500</v>
          </cell>
          <cell r="J7">
            <v>1000</v>
          </cell>
          <cell r="K7">
            <v>2500</v>
          </cell>
          <cell r="M7">
            <v>13000</v>
          </cell>
          <cell r="N7">
            <v>700000</v>
          </cell>
          <cell r="O7">
            <v>84000</v>
          </cell>
          <cell r="P7">
            <v>1000000</v>
          </cell>
        </row>
        <row r="8">
          <cell r="C8">
            <v>7177.5825247136509</v>
          </cell>
          <cell r="E8">
            <v>475874.59104714065</v>
          </cell>
          <cell r="G8">
            <v>20000</v>
          </cell>
          <cell r="H8">
            <v>3000</v>
          </cell>
          <cell r="I8">
            <v>500</v>
          </cell>
          <cell r="J8">
            <v>1000</v>
          </cell>
          <cell r="K8">
            <v>2500</v>
          </cell>
          <cell r="M8">
            <v>13000</v>
          </cell>
          <cell r="O8">
            <v>0</v>
          </cell>
        </row>
        <row r="9">
          <cell r="C9">
            <v>7391.6962331486939</v>
          </cell>
          <cell r="E9">
            <v>490070.35585907887</v>
          </cell>
          <cell r="G9">
            <v>22000</v>
          </cell>
          <cell r="H9">
            <v>5000</v>
          </cell>
          <cell r="I9">
            <v>500</v>
          </cell>
          <cell r="J9">
            <v>1000</v>
          </cell>
          <cell r="K9">
            <v>2500</v>
          </cell>
          <cell r="M9">
            <v>13000</v>
          </cell>
          <cell r="N9">
            <v>100000</v>
          </cell>
          <cell r="O9">
            <v>3000</v>
          </cell>
        </row>
        <row r="10">
          <cell r="C10">
            <v>7898.8852591507512</v>
          </cell>
          <cell r="E10">
            <v>523697.04973564367</v>
          </cell>
          <cell r="G10">
            <v>20000</v>
          </cell>
          <cell r="H10">
            <v>3000</v>
          </cell>
          <cell r="I10">
            <v>500</v>
          </cell>
          <cell r="J10">
            <v>1000</v>
          </cell>
          <cell r="K10">
            <v>2500</v>
          </cell>
          <cell r="M10">
            <v>13000</v>
          </cell>
          <cell r="O10">
            <v>0</v>
          </cell>
        </row>
        <row r="12">
          <cell r="C12">
            <v>32214.658064408843</v>
          </cell>
          <cell r="E12">
            <v>2135835.732900281</v>
          </cell>
          <cell r="G12">
            <v>20000</v>
          </cell>
          <cell r="H12">
            <v>3000</v>
          </cell>
          <cell r="I12">
            <v>500</v>
          </cell>
          <cell r="J12">
            <v>1000</v>
          </cell>
          <cell r="K12">
            <v>2500</v>
          </cell>
          <cell r="M12">
            <v>13000</v>
          </cell>
          <cell r="O12">
            <v>0</v>
          </cell>
        </row>
        <row r="13">
          <cell r="C13">
            <v>7552.719953383822</v>
          </cell>
          <cell r="E13">
            <v>500746.2480208117</v>
          </cell>
          <cell r="G13">
            <v>20000</v>
          </cell>
          <cell r="H13">
            <v>3000</v>
          </cell>
          <cell r="I13">
            <v>500</v>
          </cell>
          <cell r="J13">
            <v>1000</v>
          </cell>
          <cell r="K13">
            <v>2500</v>
          </cell>
          <cell r="M13">
            <v>13000</v>
          </cell>
          <cell r="O13">
            <v>0</v>
          </cell>
        </row>
        <row r="14">
          <cell r="C14">
            <v>7899.6611785198738</v>
          </cell>
          <cell r="E14">
            <v>523748.4932838293</v>
          </cell>
          <cell r="G14">
            <v>20000</v>
          </cell>
          <cell r="H14">
            <v>3000</v>
          </cell>
          <cell r="I14">
            <v>500</v>
          </cell>
          <cell r="J14">
            <v>1000</v>
          </cell>
          <cell r="K14">
            <v>2500</v>
          </cell>
          <cell r="M14">
            <v>13000</v>
          </cell>
          <cell r="O14">
            <v>0</v>
          </cell>
        </row>
        <row r="15">
          <cell r="C15">
            <v>7202.4307036984974</v>
          </cell>
          <cell r="E15">
            <v>477522.02832452004</v>
          </cell>
          <cell r="G15">
            <v>20000</v>
          </cell>
          <cell r="H15">
            <v>3000</v>
          </cell>
          <cell r="I15">
            <v>500</v>
          </cell>
          <cell r="J15">
            <v>1000</v>
          </cell>
          <cell r="K15">
            <v>2500</v>
          </cell>
          <cell r="M15">
            <v>13000</v>
          </cell>
          <cell r="O15">
            <v>0</v>
          </cell>
        </row>
        <row r="16">
          <cell r="C16">
            <v>7054.3165399980298</v>
          </cell>
          <cell r="E16">
            <v>467702.04132519802</v>
          </cell>
          <cell r="G16">
            <v>0</v>
          </cell>
          <cell r="O16">
            <v>0</v>
          </cell>
        </row>
        <row r="17">
          <cell r="C17">
            <v>1391.4361016512346</v>
          </cell>
          <cell r="E17">
            <v>92252.382130280748</v>
          </cell>
          <cell r="G17">
            <v>20000</v>
          </cell>
          <cell r="H17">
            <v>3000</v>
          </cell>
          <cell r="I17">
            <v>500</v>
          </cell>
          <cell r="J17">
            <v>1000</v>
          </cell>
          <cell r="K17">
            <v>2500</v>
          </cell>
          <cell r="M17">
            <v>13000</v>
          </cell>
          <cell r="O17">
            <v>0</v>
          </cell>
        </row>
        <row r="18">
          <cell r="C18">
            <v>8034.4555474528761</v>
          </cell>
          <cell r="E18">
            <v>532685.37627619994</v>
          </cell>
          <cell r="G18">
            <v>20000</v>
          </cell>
          <cell r="H18">
            <v>3000</v>
          </cell>
          <cell r="I18">
            <v>500</v>
          </cell>
          <cell r="J18">
            <v>1000</v>
          </cell>
          <cell r="K18">
            <v>2500</v>
          </cell>
          <cell r="M18">
            <v>13000</v>
          </cell>
          <cell r="O18">
            <v>0</v>
          </cell>
        </row>
        <row r="19">
          <cell r="C19">
            <v>796.39844634736471</v>
          </cell>
          <cell r="E19">
            <v>52801.313486987739</v>
          </cell>
          <cell r="G19">
            <v>20000</v>
          </cell>
          <cell r="H19">
            <v>3000</v>
          </cell>
          <cell r="I19">
            <v>500</v>
          </cell>
          <cell r="J19">
            <v>1000</v>
          </cell>
          <cell r="K19">
            <v>2500</v>
          </cell>
          <cell r="M19">
            <v>13000</v>
          </cell>
          <cell r="O19">
            <v>0</v>
          </cell>
        </row>
        <row r="20">
          <cell r="C20">
            <v>18799.751436910352</v>
          </cell>
          <cell r="E20">
            <v>1246425.7981045675</v>
          </cell>
          <cell r="G20">
            <v>23000</v>
          </cell>
          <cell r="H20">
            <v>6000</v>
          </cell>
          <cell r="I20">
            <v>500</v>
          </cell>
          <cell r="J20">
            <v>1000</v>
          </cell>
          <cell r="K20">
            <v>2500</v>
          </cell>
          <cell r="M20">
            <v>13000</v>
          </cell>
          <cell r="O20">
            <v>0</v>
          </cell>
        </row>
        <row r="21">
          <cell r="C21">
            <v>7192.4139919803511</v>
          </cell>
          <cell r="E21">
            <v>476857.91912395041</v>
          </cell>
          <cell r="G21">
            <v>20000</v>
          </cell>
          <cell r="H21">
            <v>3000</v>
          </cell>
          <cell r="I21">
            <v>500</v>
          </cell>
          <cell r="J21">
            <v>1000</v>
          </cell>
          <cell r="K21">
            <v>2500</v>
          </cell>
          <cell r="M21">
            <v>13000</v>
          </cell>
          <cell r="O21">
            <v>0</v>
          </cell>
        </row>
        <row r="22">
          <cell r="C22">
            <v>7134.956916410888</v>
          </cell>
          <cell r="E22">
            <v>473048.50805201381</v>
          </cell>
          <cell r="G22">
            <v>20000</v>
          </cell>
          <cell r="H22">
            <v>3000</v>
          </cell>
          <cell r="I22">
            <v>500</v>
          </cell>
          <cell r="J22">
            <v>1000</v>
          </cell>
          <cell r="K22">
            <v>2500</v>
          </cell>
          <cell r="M22">
            <v>13000</v>
          </cell>
          <cell r="O22">
            <v>0</v>
          </cell>
        </row>
        <row r="23">
          <cell r="C23">
            <v>7747.9011393614119</v>
          </cell>
          <cell r="E23">
            <v>513686.78429989645</v>
          </cell>
          <cell r="G23">
            <v>19000</v>
          </cell>
          <cell r="H23">
            <v>2000</v>
          </cell>
          <cell r="I23">
            <v>500</v>
          </cell>
          <cell r="J23">
            <v>1000</v>
          </cell>
          <cell r="K23">
            <v>2500</v>
          </cell>
          <cell r="M23">
            <v>13000</v>
          </cell>
          <cell r="N23">
            <v>800000</v>
          </cell>
          <cell r="O23">
            <v>96000</v>
          </cell>
          <cell r="P23">
            <v>1000000</v>
          </cell>
        </row>
        <row r="24">
          <cell r="C24">
            <v>7146.572805411427</v>
          </cell>
          <cell r="E24">
            <v>473818.64290016744</v>
          </cell>
          <cell r="G24">
            <v>20000</v>
          </cell>
          <cell r="H24">
            <v>3000</v>
          </cell>
          <cell r="I24">
            <v>500</v>
          </cell>
          <cell r="J24">
            <v>1000</v>
          </cell>
          <cell r="K24">
            <v>2500</v>
          </cell>
          <cell r="M24">
            <v>13000</v>
          </cell>
          <cell r="O24">
            <v>0</v>
          </cell>
        </row>
        <row r="25">
          <cell r="C25">
            <v>7219.4843658337613</v>
          </cell>
          <cell r="E25">
            <v>478652.6881903637</v>
          </cell>
          <cell r="G25">
            <v>20000</v>
          </cell>
          <cell r="H25">
            <v>3000</v>
          </cell>
          <cell r="I25">
            <v>500</v>
          </cell>
          <cell r="J25">
            <v>1000</v>
          </cell>
          <cell r="K25">
            <v>2500</v>
          </cell>
          <cell r="M25">
            <v>13000</v>
          </cell>
          <cell r="O25">
            <v>0</v>
          </cell>
        </row>
        <row r="26">
          <cell r="C26">
            <v>7220.8311506025866</v>
          </cell>
          <cell r="E26">
            <v>478741.98018371756</v>
          </cell>
          <cell r="G26">
            <v>20000</v>
          </cell>
          <cell r="H26">
            <v>3000</v>
          </cell>
          <cell r="I26">
            <v>500</v>
          </cell>
          <cell r="J26">
            <v>1000</v>
          </cell>
          <cell r="K26">
            <v>2500</v>
          </cell>
          <cell r="M26">
            <v>13000</v>
          </cell>
          <cell r="O26">
            <v>0</v>
          </cell>
        </row>
        <row r="27">
          <cell r="C27">
            <v>8149.5809421807171</v>
          </cell>
          <cell r="E27">
            <v>540318.20389561309</v>
          </cell>
          <cell r="G27">
            <v>25000</v>
          </cell>
          <cell r="H27">
            <v>8000</v>
          </cell>
          <cell r="I27">
            <v>500</v>
          </cell>
          <cell r="J27">
            <v>1000</v>
          </cell>
          <cell r="K27">
            <v>2500</v>
          </cell>
          <cell r="M27">
            <v>13000</v>
          </cell>
          <cell r="O27">
            <v>0</v>
          </cell>
        </row>
        <row r="28">
          <cell r="C28">
            <v>0</v>
          </cell>
          <cell r="E28">
            <v>0</v>
          </cell>
          <cell r="G28">
            <v>0</v>
          </cell>
          <cell r="O28">
            <v>0</v>
          </cell>
        </row>
        <row r="29">
          <cell r="C29">
            <v>10169.666906376606</v>
          </cell>
          <cell r="E29">
            <v>674250.14808181231</v>
          </cell>
          <cell r="G29">
            <v>20000</v>
          </cell>
          <cell r="H29">
            <v>3000</v>
          </cell>
          <cell r="I29">
            <v>500</v>
          </cell>
          <cell r="J29">
            <v>1000</v>
          </cell>
          <cell r="K29">
            <v>2500</v>
          </cell>
          <cell r="M29">
            <v>13000</v>
          </cell>
          <cell r="O29">
            <v>0</v>
          </cell>
        </row>
        <row r="30">
          <cell r="C30">
            <v>580.99705738320813</v>
          </cell>
          <cell r="E30">
            <v>38520.175299949828</v>
          </cell>
          <cell r="G30">
            <v>20000</v>
          </cell>
          <cell r="H30">
            <v>3000</v>
          </cell>
          <cell r="I30">
            <v>500</v>
          </cell>
          <cell r="J30">
            <v>1000</v>
          </cell>
          <cell r="K30">
            <v>2500</v>
          </cell>
          <cell r="M30">
            <v>13000</v>
          </cell>
          <cell r="O30">
            <v>0</v>
          </cell>
        </row>
        <row r="31">
          <cell r="C31">
            <v>14859.521707293547</v>
          </cell>
          <cell r="E31">
            <v>985188.08962026308</v>
          </cell>
          <cell r="G31">
            <v>20000</v>
          </cell>
          <cell r="H31">
            <v>3000</v>
          </cell>
          <cell r="I31">
            <v>500</v>
          </cell>
          <cell r="J31">
            <v>1000</v>
          </cell>
          <cell r="K31">
            <v>2500</v>
          </cell>
          <cell r="M31">
            <v>13000</v>
          </cell>
          <cell r="O31">
            <v>0</v>
          </cell>
        </row>
        <row r="32">
          <cell r="C32">
            <v>7440.012243847882</v>
          </cell>
          <cell r="E32">
            <v>493273.71322255593</v>
          </cell>
          <cell r="G32">
            <v>20000</v>
          </cell>
          <cell r="H32">
            <v>3000</v>
          </cell>
          <cell r="I32">
            <v>500</v>
          </cell>
          <cell r="J32">
            <v>1000</v>
          </cell>
          <cell r="K32">
            <v>2500</v>
          </cell>
          <cell r="M32">
            <v>13000</v>
          </cell>
          <cell r="O32">
            <v>0</v>
          </cell>
        </row>
        <row r="33">
          <cell r="C33">
            <v>8129.8194568011168</v>
          </cell>
          <cell r="E33">
            <v>539008.01502058154</v>
          </cell>
          <cell r="G33">
            <v>23000</v>
          </cell>
          <cell r="H33">
            <v>6000</v>
          </cell>
          <cell r="I33">
            <v>500</v>
          </cell>
          <cell r="J33">
            <v>1000</v>
          </cell>
          <cell r="K33">
            <v>2500</v>
          </cell>
          <cell r="M33">
            <v>13000</v>
          </cell>
          <cell r="N33">
            <v>1000000</v>
          </cell>
          <cell r="O33">
            <v>120000</v>
          </cell>
        </row>
        <row r="34">
          <cell r="C34">
            <v>8262.0206355681039</v>
          </cell>
          <cell r="E34">
            <v>547772.96919074608</v>
          </cell>
          <cell r="G34">
            <v>50000</v>
          </cell>
          <cell r="H34">
            <v>8000</v>
          </cell>
          <cell r="I34">
            <v>500</v>
          </cell>
          <cell r="J34">
            <v>1000</v>
          </cell>
          <cell r="K34">
            <v>2500</v>
          </cell>
          <cell r="L34">
            <v>25000</v>
          </cell>
          <cell r="M34">
            <v>13000</v>
          </cell>
          <cell r="O34">
            <v>0</v>
          </cell>
        </row>
        <row r="36">
          <cell r="C36">
            <v>239.74992800557587</v>
          </cell>
          <cell r="E36">
            <v>15895.449275630095</v>
          </cell>
          <cell r="G36">
            <v>20000</v>
          </cell>
          <cell r="H36">
            <v>3000</v>
          </cell>
          <cell r="I36">
            <v>500</v>
          </cell>
          <cell r="J36">
            <v>1000</v>
          </cell>
          <cell r="K36">
            <v>2500</v>
          </cell>
          <cell r="M36">
            <v>13000</v>
          </cell>
          <cell r="O36">
            <v>0</v>
          </cell>
        </row>
        <row r="38">
          <cell r="C38">
            <v>7148.9296787568719</v>
          </cell>
          <cell r="E38">
            <v>473974.90388853668</v>
          </cell>
          <cell r="G38">
            <v>20000</v>
          </cell>
          <cell r="H38">
            <v>3000</v>
          </cell>
          <cell r="I38">
            <v>500</v>
          </cell>
          <cell r="J38">
            <v>1000</v>
          </cell>
          <cell r="K38">
            <v>2500</v>
          </cell>
          <cell r="M38">
            <v>13000</v>
          </cell>
          <cell r="O38">
            <v>0</v>
          </cell>
        </row>
        <row r="39">
          <cell r="C39">
            <v>7190.8820243058108</v>
          </cell>
          <cell r="E39">
            <v>476756.34948151035</v>
          </cell>
          <cell r="G39">
            <v>20000</v>
          </cell>
          <cell r="H39">
            <v>3000</v>
          </cell>
          <cell r="I39">
            <v>500</v>
          </cell>
          <cell r="J39">
            <v>1000</v>
          </cell>
          <cell r="K39">
            <v>2500</v>
          </cell>
          <cell r="M39">
            <v>13000</v>
          </cell>
          <cell r="O39">
            <v>0</v>
          </cell>
        </row>
        <row r="40">
          <cell r="C40">
            <v>6660.9432944522287</v>
          </cell>
          <cell r="E40">
            <v>441621.34748316335</v>
          </cell>
          <cell r="G40">
            <v>20000</v>
          </cell>
          <cell r="H40">
            <v>3000</v>
          </cell>
          <cell r="I40">
            <v>500</v>
          </cell>
          <cell r="J40">
            <v>1000</v>
          </cell>
          <cell r="K40">
            <v>2500</v>
          </cell>
          <cell r="M40">
            <v>13000</v>
          </cell>
          <cell r="O40">
            <v>0</v>
          </cell>
        </row>
        <row r="41">
          <cell r="C41">
            <v>7163.1045884487694</v>
          </cell>
          <cell r="E41">
            <v>474914.7021185864</v>
          </cell>
          <cell r="G41">
            <v>20000</v>
          </cell>
          <cell r="H41">
            <v>3000</v>
          </cell>
          <cell r="I41">
            <v>500</v>
          </cell>
          <cell r="J41">
            <v>1000</v>
          </cell>
          <cell r="K41">
            <v>2500</v>
          </cell>
          <cell r="M41">
            <v>13000</v>
          </cell>
          <cell r="O41">
            <v>0</v>
          </cell>
        </row>
        <row r="42">
          <cell r="C42">
            <v>7157.279744323595</v>
          </cell>
          <cell r="E42">
            <v>474528.51424733078</v>
          </cell>
          <cell r="G42">
            <v>20000</v>
          </cell>
          <cell r="H42">
            <v>3000</v>
          </cell>
          <cell r="I42">
            <v>500</v>
          </cell>
          <cell r="J42">
            <v>1000</v>
          </cell>
          <cell r="K42">
            <v>2500</v>
          </cell>
          <cell r="M42">
            <v>13000</v>
          </cell>
          <cell r="O42">
            <v>0</v>
          </cell>
        </row>
        <row r="43">
          <cell r="C43">
            <v>19139.872306686604</v>
          </cell>
          <cell r="E43">
            <v>1268975.8529808545</v>
          </cell>
          <cell r="G43">
            <v>30000</v>
          </cell>
          <cell r="H43">
            <v>3000</v>
          </cell>
          <cell r="I43">
            <v>500</v>
          </cell>
          <cell r="J43">
            <v>1000</v>
          </cell>
          <cell r="K43">
            <v>2500</v>
          </cell>
          <cell r="L43">
            <v>10000</v>
          </cell>
          <cell r="M43">
            <v>13000</v>
          </cell>
          <cell r="N43">
            <v>570000</v>
          </cell>
          <cell r="O43">
            <v>68400</v>
          </cell>
          <cell r="P43">
            <v>70000</v>
          </cell>
        </row>
        <row r="44">
          <cell r="C44">
            <v>6660.9432944522287</v>
          </cell>
          <cell r="E44">
            <v>441621.34748316335</v>
          </cell>
          <cell r="G44">
            <v>20000</v>
          </cell>
          <cell r="H44">
            <v>3000</v>
          </cell>
          <cell r="I44">
            <v>500</v>
          </cell>
          <cell r="J44">
            <v>1000</v>
          </cell>
          <cell r="K44">
            <v>2500</v>
          </cell>
          <cell r="M44">
            <v>13000</v>
          </cell>
          <cell r="O44">
            <v>0</v>
          </cell>
        </row>
        <row r="45">
          <cell r="C45">
            <v>580.99705738320813</v>
          </cell>
          <cell r="E45">
            <v>38520.175299949828</v>
          </cell>
          <cell r="G45">
            <v>70000</v>
          </cell>
          <cell r="H45">
            <v>3000</v>
          </cell>
          <cell r="I45">
            <v>500</v>
          </cell>
          <cell r="J45">
            <v>1000</v>
          </cell>
          <cell r="K45">
            <v>2500</v>
          </cell>
          <cell r="L45">
            <v>50000</v>
          </cell>
          <cell r="M45">
            <v>13000</v>
          </cell>
          <cell r="O45">
            <v>0</v>
          </cell>
        </row>
        <row r="46">
          <cell r="C46">
            <v>7204.4340460421254</v>
          </cell>
          <cell r="E46">
            <v>477654.85016463388</v>
          </cell>
          <cell r="G46">
            <v>20000</v>
          </cell>
          <cell r="H46">
            <v>3000</v>
          </cell>
          <cell r="I46">
            <v>500</v>
          </cell>
          <cell r="J46">
            <v>1000</v>
          </cell>
          <cell r="K46">
            <v>2500</v>
          </cell>
          <cell r="M46">
            <v>13000</v>
          </cell>
          <cell r="O46">
            <v>0</v>
          </cell>
        </row>
        <row r="47">
          <cell r="C47">
            <v>6509.0540239030597</v>
          </cell>
          <cell r="E47">
            <v>431551.07044236845</v>
          </cell>
          <cell r="G47">
            <v>20000</v>
          </cell>
          <cell r="H47">
            <v>3000</v>
          </cell>
          <cell r="I47">
            <v>500</v>
          </cell>
          <cell r="J47">
            <v>1000</v>
          </cell>
          <cell r="K47">
            <v>2500</v>
          </cell>
          <cell r="M47">
            <v>13000</v>
          </cell>
          <cell r="O47">
            <v>0</v>
          </cell>
        </row>
        <row r="48">
          <cell r="C48">
            <v>383.66510333111938</v>
          </cell>
          <cell r="E48">
            <v>25437.042836931963</v>
          </cell>
          <cell r="G48">
            <v>20000</v>
          </cell>
          <cell r="H48">
            <v>3000</v>
          </cell>
          <cell r="I48">
            <v>500</v>
          </cell>
          <cell r="J48">
            <v>1000</v>
          </cell>
          <cell r="K48">
            <v>2500</v>
          </cell>
          <cell r="M48">
            <v>13000</v>
          </cell>
          <cell r="O48">
            <v>0</v>
          </cell>
        </row>
        <row r="49">
          <cell r="C49">
            <v>7158.2567413393026</v>
          </cell>
          <cell r="E49">
            <v>474593.28926784825</v>
          </cell>
          <cell r="G49">
            <v>20000</v>
          </cell>
          <cell r="H49">
            <v>3000</v>
          </cell>
          <cell r="I49">
            <v>500</v>
          </cell>
          <cell r="J49">
            <v>1000</v>
          </cell>
          <cell r="K49">
            <v>2500</v>
          </cell>
          <cell r="M49">
            <v>13000</v>
          </cell>
          <cell r="O49">
            <v>0</v>
          </cell>
        </row>
        <row r="50">
          <cell r="C50">
            <v>7443.4715076991843</v>
          </cell>
          <cell r="E50">
            <v>493503.06283503259</v>
          </cell>
          <cell r="G50">
            <v>20000</v>
          </cell>
          <cell r="H50">
            <v>3000</v>
          </cell>
          <cell r="I50">
            <v>500</v>
          </cell>
          <cell r="J50">
            <v>1000</v>
          </cell>
          <cell r="K50">
            <v>2500</v>
          </cell>
          <cell r="M50">
            <v>13000</v>
          </cell>
          <cell r="O50">
            <v>0</v>
          </cell>
        </row>
        <row r="51">
          <cell r="C51">
            <v>14238.017501237484</v>
          </cell>
          <cell r="E51">
            <v>943982.28545532853</v>
          </cell>
          <cell r="G51">
            <v>20000</v>
          </cell>
          <cell r="H51">
            <v>3000</v>
          </cell>
          <cell r="I51">
            <v>500</v>
          </cell>
          <cell r="J51">
            <v>1000</v>
          </cell>
          <cell r="K51">
            <v>2500</v>
          </cell>
          <cell r="M51">
            <v>13000</v>
          </cell>
          <cell r="O51">
            <v>0</v>
          </cell>
        </row>
        <row r="52">
          <cell r="C52">
            <v>24036.583756452459</v>
          </cell>
          <cell r="E52">
            <v>1593628.4154013947</v>
          </cell>
          <cell r="G52">
            <v>20000</v>
          </cell>
          <cell r="H52">
            <v>3000</v>
          </cell>
          <cell r="I52">
            <v>500</v>
          </cell>
          <cell r="J52">
            <v>1000</v>
          </cell>
          <cell r="K52">
            <v>2500</v>
          </cell>
          <cell r="M52">
            <v>13000</v>
          </cell>
          <cell r="O52">
            <v>0</v>
          </cell>
        </row>
      </sheetData>
      <sheetData sheetId="17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tabSelected="1" workbookViewId="0">
      <selection activeCell="F5" sqref="F5"/>
    </sheetView>
  </sheetViews>
  <sheetFormatPr baseColWidth="10" defaultRowHeight="15" x14ac:dyDescent="0.25"/>
  <cols>
    <col min="1" max="1" width="25.28515625" customWidth="1"/>
    <col min="4" max="4" width="8.85546875" customWidth="1"/>
    <col min="5" max="5" width="9.42578125" customWidth="1"/>
    <col min="6" max="6" width="11.140625" customWidth="1"/>
  </cols>
  <sheetData>
    <row r="1" spans="1:18" ht="30" x14ac:dyDescent="0.25">
      <c r="A1" t="s">
        <v>151</v>
      </c>
      <c r="D1" s="31" t="s">
        <v>159</v>
      </c>
      <c r="E1" s="31" t="s">
        <v>160</v>
      </c>
      <c r="F1" s="31" t="s">
        <v>161</v>
      </c>
      <c r="G1" s="31"/>
    </row>
    <row r="2" spans="1:18" x14ac:dyDescent="0.25">
      <c r="A2" t="s">
        <v>152</v>
      </c>
    </row>
    <row r="3" spans="1:18" x14ac:dyDescent="0.25">
      <c r="A3" t="s">
        <v>150</v>
      </c>
    </row>
    <row r="4" spans="1:18" x14ac:dyDescent="0.25">
      <c r="A4" t="s">
        <v>155</v>
      </c>
    </row>
    <row r="5" spans="1:18" x14ac:dyDescent="0.25">
      <c r="A5" t="s">
        <v>158</v>
      </c>
    </row>
    <row r="6" spans="1:18" ht="47.25" customHeight="1" x14ac:dyDescent="0.25">
      <c r="A6" t="s">
        <v>162</v>
      </c>
      <c r="B6" s="32" t="s">
        <v>22</v>
      </c>
      <c r="C6" s="32"/>
      <c r="D6" s="32" t="s">
        <v>23</v>
      </c>
      <c r="E6" s="32"/>
      <c r="F6" s="32" t="s">
        <v>24</v>
      </c>
      <c r="G6" s="32"/>
      <c r="H6" s="32" t="s">
        <v>25</v>
      </c>
      <c r="I6" s="32"/>
      <c r="J6" s="32" t="s">
        <v>157</v>
      </c>
      <c r="K6" s="32"/>
      <c r="L6" s="31" t="s">
        <v>31</v>
      </c>
      <c r="M6" s="31" t="s">
        <v>32</v>
      </c>
      <c r="N6" s="31" t="s">
        <v>156</v>
      </c>
      <c r="O6" s="32" t="s">
        <v>112</v>
      </c>
      <c r="P6" s="32"/>
      <c r="Q6" s="32" t="s">
        <v>18</v>
      </c>
      <c r="R6" s="32"/>
    </row>
    <row r="7" spans="1:18" x14ac:dyDescent="0.25">
      <c r="B7" t="s">
        <v>153</v>
      </c>
      <c r="C7" t="s">
        <v>154</v>
      </c>
      <c r="D7" t="s">
        <v>153</v>
      </c>
      <c r="E7" t="s">
        <v>154</v>
      </c>
      <c r="F7" t="s">
        <v>153</v>
      </c>
      <c r="G7" t="s">
        <v>154</v>
      </c>
      <c r="H7" t="s">
        <v>153</v>
      </c>
      <c r="I7" t="s">
        <v>154</v>
      </c>
      <c r="J7" t="s">
        <v>153</v>
      </c>
      <c r="K7" t="s">
        <v>154</v>
      </c>
      <c r="L7" t="s">
        <v>153</v>
      </c>
      <c r="M7" t="s">
        <v>153</v>
      </c>
      <c r="N7" t="s">
        <v>153</v>
      </c>
      <c r="O7" t="s">
        <v>153</v>
      </c>
      <c r="P7" t="s">
        <v>154</v>
      </c>
      <c r="Q7" t="s">
        <v>153</v>
      </c>
      <c r="R7" t="s">
        <v>154</v>
      </c>
    </row>
  </sheetData>
  <mergeCells count="7">
    <mergeCell ref="O6:P6"/>
    <mergeCell ref="Q6:R6"/>
    <mergeCell ref="B6:C6"/>
    <mergeCell ref="D6:E6"/>
    <mergeCell ref="F6:G6"/>
    <mergeCell ref="H6:I6"/>
    <mergeCell ref="J6:K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1"/>
  <sheetViews>
    <sheetView workbookViewId="0">
      <pane xSplit="2" ySplit="4" topLeftCell="N29" activePane="bottomRight" state="frozen"/>
      <selection pane="topRight" activeCell="C1" sqref="C1"/>
      <selection pane="bottomLeft" activeCell="A6" sqref="A6"/>
      <selection pane="bottomRight" activeCell="B33" sqref="B33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7" style="3" bestFit="1" customWidth="1"/>
    <col min="4" max="4" width="15.28515625" customWidth="1"/>
    <col min="5" max="5" width="16.85546875" bestFit="1" customWidth="1"/>
    <col min="6" max="6" width="17" bestFit="1" customWidth="1"/>
    <col min="7" max="9" width="17.140625" customWidth="1"/>
    <col min="10" max="12" width="17.28515625" customWidth="1"/>
    <col min="13" max="13" width="13.140625" customWidth="1"/>
    <col min="14" max="14" width="16.28515625" customWidth="1"/>
    <col min="15" max="15" width="13.140625" customWidth="1"/>
    <col min="16" max="16" width="17" style="3" bestFit="1" customWidth="1"/>
    <col min="17" max="17" width="15.140625" bestFit="1" customWidth="1"/>
    <col min="18" max="18" width="17.7109375" style="4" bestFit="1" customWidth="1"/>
    <col min="19" max="19" width="15.7109375" style="3" customWidth="1"/>
    <col min="20" max="20" width="15.140625" style="3" bestFit="1" customWidth="1"/>
    <col min="21" max="21" width="18.28515625" style="3" bestFit="1" customWidth="1"/>
    <col min="22" max="27" width="18.140625" customWidth="1"/>
    <col min="28" max="28" width="21.42578125" style="3" bestFit="1" customWidth="1"/>
    <col min="29" max="29" width="19" bestFit="1" customWidth="1"/>
  </cols>
  <sheetData>
    <row r="1" spans="1:29" x14ac:dyDescent="0.25">
      <c r="A1" s="1" t="s">
        <v>0</v>
      </c>
      <c r="B1" s="1" t="s">
        <v>1</v>
      </c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9" x14ac:dyDescent="0.25">
      <c r="A2" s="1" t="s">
        <v>2</v>
      </c>
      <c r="B2" s="1" t="s">
        <v>3</v>
      </c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9" x14ac:dyDescent="0.25">
      <c r="A3" s="1" t="s">
        <v>4</v>
      </c>
      <c r="B3" s="1" t="s">
        <v>5</v>
      </c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9" ht="42" customHeight="1" x14ac:dyDescent="0.25">
      <c r="A4" s="1" t="s">
        <v>6</v>
      </c>
      <c r="B4" s="1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14</v>
      </c>
      <c r="J4" s="5" t="s">
        <v>15</v>
      </c>
      <c r="K4" s="5" t="s">
        <v>16</v>
      </c>
      <c r="L4" s="5" t="s">
        <v>17</v>
      </c>
      <c r="M4" s="5" t="s">
        <v>18</v>
      </c>
      <c r="N4" s="5" t="s">
        <v>19</v>
      </c>
      <c r="O4" s="5" t="s">
        <v>20</v>
      </c>
      <c r="P4" s="5" t="s">
        <v>21</v>
      </c>
      <c r="Q4" s="5" t="s">
        <v>22</v>
      </c>
      <c r="R4" s="5" t="s">
        <v>23</v>
      </c>
      <c r="S4" s="5" t="s">
        <v>24</v>
      </c>
      <c r="T4" s="5" t="s">
        <v>25</v>
      </c>
      <c r="U4" s="5" t="s">
        <v>26</v>
      </c>
      <c r="V4" s="5" t="s">
        <v>27</v>
      </c>
      <c r="W4" s="5" t="s">
        <v>28</v>
      </c>
      <c r="X4" s="5" t="s">
        <v>29</v>
      </c>
      <c r="Y4" s="5" t="s">
        <v>30</v>
      </c>
      <c r="Z4" s="5" t="s">
        <v>31</v>
      </c>
      <c r="AA4" s="5" t="s">
        <v>32</v>
      </c>
      <c r="AB4" s="2" t="s">
        <v>33</v>
      </c>
      <c r="AC4" s="1" t="s">
        <v>34</v>
      </c>
    </row>
    <row r="5" spans="1:29" x14ac:dyDescent="0.25">
      <c r="A5" s="1" t="s">
        <v>35</v>
      </c>
      <c r="B5" s="1" t="str">
        <f>VLOOKUP(A5,[2]LISTADHERENT!A$5:H$52,2,0)</f>
        <v>ASELBY</v>
      </c>
      <c r="C5" s="2">
        <f>VLOOKUP(A5,[2]FONDSDECAISSE!A$5:C$52,3,0)</f>
        <v>0</v>
      </c>
      <c r="D5" s="2">
        <v>318145</v>
      </c>
      <c r="E5" s="2">
        <f t="shared" ref="E5:E52" si="0">C5+D5+Q5</f>
        <v>318145</v>
      </c>
      <c r="F5" s="2">
        <f>INT([2]TONT20000DEC2015!E5+[2]TONT20000JANV!C5+[2]TONT20000FEV!C5+[2]TONT20000MARS!C5+[2]TONT20000AVRIL!C5+[2]TONT20000MAI!C5+[2]TONT20000JUIN!C5+[2]TONT20000JUIL!C5+[2]TONT20000AOUT!C5+[2]TONT20000SEPT!C5+[2]TONT20000OCT!C5+[2]TONT20000NOV!C5)</f>
        <v>36952</v>
      </c>
      <c r="G5" s="2">
        <f>[2]TONT20000NOV!E5</f>
        <v>355097.51531966974</v>
      </c>
      <c r="H5" s="2">
        <f t="shared" ref="H5:H52" si="1">D5+F5+Q5</f>
        <v>355097</v>
      </c>
      <c r="I5" s="2">
        <f>L5+M5+N5+O5</f>
        <v>0</v>
      </c>
      <c r="J5" s="2">
        <f>H5-I5</f>
        <v>355097</v>
      </c>
      <c r="K5" s="2">
        <v>353000</v>
      </c>
      <c r="L5" s="2">
        <v>0</v>
      </c>
      <c r="M5" s="2">
        <v>0</v>
      </c>
      <c r="N5" s="2">
        <v>0</v>
      </c>
      <c r="O5" s="2">
        <v>0</v>
      </c>
      <c r="P5" s="6">
        <f>[2]TONT20000DEC2015!H5+[2]TONT20000JANV!F5+[2]TONT20000FEV!F5+[2]TONT20000MARS!F5+[2]TONT20000AVRIL!F5+[2]TONT20000MAI!F5+[2]TONT20000JUIN!F5+[2]TONT20000JUIL!F5+[2]TONT20000AOUT!F5+[2]TONT20000SEPT!F5+[2]TONT20000OCT!F5+[2]TONT20000NOV!G5</f>
        <v>0</v>
      </c>
      <c r="Q5" s="6">
        <f>[2]TONT20000DEC2015!I5+[2]TONT20000JANV!G5+[2]TONT20000FEV!G5+[2]TONT20000MARS!G5+[2]TONT20000AVRIL!G5+[2]TONT20000MAI!G5+[2]TONT20000JUIN!G5+[2]TONT20000JUIL!G5+[2]TONT20000AOUT!G5+[2]TONT20000SEPT!G5+[2]TONT20000OCT!G5+[2]TONT20000NOV!H5</f>
        <v>0</v>
      </c>
      <c r="R5" s="6">
        <f>[2]TONT20000DEC2015!J5+[2]TONT20000JANV!H5+[2]TONT20000FEV!H5+[2]TONT20000MARS!H5+[2]TONT20000AVRIL!H5+[2]TONT20000MAI!H5+[2]TONT20000JUIN!H5+[2]TONT20000JUIL!H5+[2]TONT20000AOUT!H5+[2]TONT20000SEPT!H5+[2]TONT20000OCT!H5+[2]TONT20000NOV!I5</f>
        <v>0</v>
      </c>
      <c r="S5" s="6">
        <f>[2]TONT20000DEC2015!K5+[2]TONT20000JANV!I5+[2]TONT20000FEV!I5+[2]TONT20000MARS!I5+[2]TONT20000AVRIL!I5+[2]TONT20000MAI!I5+[2]TONT20000JUIN!I5+[2]TONT20000JUIL!I5+[2]TONT20000AOUT!I5+[2]TONT20000SEPT!I5+[2]TONT20000OCT!I5+[2]TONT20000NOV!J5</f>
        <v>0</v>
      </c>
      <c r="T5" s="6">
        <f>[2]TONT20000DEC2015!L5+[2]TONT20000JANV!J5+[2]TONT20000FEV!J5+[2]TONT20000MARS!J5+[2]TONT20000AVRIL!J5+[2]TONT20000MAI!J5+[2]TONT20000JUIN!J5+[2]TONT20000JUIL!J5+[2]TONT20000AOUT!J5+[2]TONT20000SEPT!J5+[2]TONT20000OCT!J5+[2]TONT20000NOV!K5</f>
        <v>0</v>
      </c>
      <c r="U5" s="6">
        <f>[2]TONT20000DEC2015!M5+[2]TONT20000JANV!K5+[2]TONT20000FEV!K5+[2]TONT20000MARS!K5+[2]TONT20000AVRIL!K5+[2]TONT20000MAI!K5+[2]TONT20000JUIN!K5+[2]TONT20000JUIL!K5+[2]TONT20000AOUT!K5+[2]TONT20000SEPT!K5+[2]TONT20000OCT!K5+[2]TONT20000NOV!L5</f>
        <v>0</v>
      </c>
      <c r="V5" s="6">
        <f>[2]TONT20000DEC2015!N5+[2]TONT20000JANV!L5+[2]TONT20000FEV!L5+[2]TONT20000MARS!L5+[2]TONT20000AVRIL!L5+[2]TONT20000MAI!L5+[2]TONT20000JUIN!L5+[2]TONT20000JUIL!L5+[2]TONT20000AOUT!L5+[2]TONT20000SEPT!L5+[2]TONT20000OCT!L5+[2]TONT20000NOV!M5</f>
        <v>0</v>
      </c>
      <c r="W5" s="6">
        <f>[2]TONT20000DEC2015!O5+[2]TONT20000JANV!M5+[2]TONT20000FEV!M5+[2]TONT20000MARS!M5+[2]TONT20000AVRIL!M5+[2]TONT20000MAI!M5+[2]TONT20000JUIN!M5+[2]TONT20000JUIL!M5+[2]TONT20000AOUT!M5+[2]TONT20000SEPT!M5+[2]TONT20000OCT!M5+[2]TONT20000NOV!N5</f>
        <v>0</v>
      </c>
      <c r="X5" s="6">
        <f>[2]TONT20000DEC2015!P5+[2]TONT20000JANV!N5+[2]TONT20000FEV!N5+[2]TONT20000MARS!N5+[2]TONT20000AVRIL!N5+[2]TONT20000MAI!N5+[2]TONT20000JUIN!N5+[2]TONT20000JUIL!N5+[2]TONT20000AOUT!N5+[2]TONT20000SEPT!N5+[2]TONT20000OCT!N5+[2]TONT20000NOV!O5</f>
        <v>0</v>
      </c>
      <c r="Y5" s="6">
        <f>[2]TONT20000DEC2015!Q5+[2]TONT20000JANV!O5+[2]TONT20000FEV!O5+[2]TONT20000MARS!O5+[2]TONT20000AVRIL!O5+[2]TONT20000MAI!O5+[2]TONT20000JUIN!O5+[2]TONT20000JUIL!O5+[2]TONT20000AOUT!O5+[2]TONT20000SEPT!O5+[2]TONT20000OCT!O5+[2]TONT20000NOV!P5</f>
        <v>0</v>
      </c>
      <c r="Z5" s="6">
        <f>[2]TONT20000DEC2015!R5+[2]TONT20000JANV!P5+[2]TONT20000FEV!P5+[2]TONT20000MARS!P5+[2]TONT20000AVRIL!P5+[2]TONT20000MAI!P5+[2]TONT20000JUIN!P5+[2]TONT20000JUIL!P5+[2]TONT20000AOUT!P5+[2]TONT20000SEPT!P5+[2]TONT20000OCT!P5+[2]TONT20000NOV!Q5</f>
        <v>0</v>
      </c>
      <c r="AA5" s="6">
        <f>[2]TONT20000DEC2015!S5+[2]TONT20000JANV!Q5+[2]TONT20000FEV!Q5+[2]TONT20000MARS!Q5+[2]TONT20000AVRIL!Q5+[2]TONT20000MAI!Q5+[2]TONT20000JUIN!Q5+[2]TONT20000JUIL!Q5+[2]TONT20000AOUT!Q5+[2]TONT20000SEPT!Q5+[2]TONT20000OCT!Q5+[2]TONT20000NOV!R5</f>
        <v>0</v>
      </c>
      <c r="AB5" s="6">
        <f>[2]TONT20000DEC2015!T5+[2]TONT20000JANV!R5+[2]TONT20000FEV!R5+[2]TONT20000MARS!R5+[2]TONT20000AVRIL!R5+[2]TONT20000MAI!R5+[2]TONT20000JUIN!R5+[2]TONT20000JUIL!R5+[2]TONT20000AOUT!R5+[2]TONT20000SEPT!R5+[2]TONT20000OCT!R5+[2]TONT20000NOV!S5</f>
        <v>0</v>
      </c>
    </row>
    <row r="6" spans="1:29" x14ac:dyDescent="0.25">
      <c r="A6" s="1" t="s">
        <v>36</v>
      </c>
      <c r="B6" s="1" t="str">
        <f>VLOOKUP(A6,[2]LISTADHERENT!A$5:H$52,2,0)</f>
        <v>BAKOP ACHILLE</v>
      </c>
      <c r="C6" s="2">
        <f>VLOOKUP(A6,[2]FONDSDECAISSE!A$5:C$52,3,0)</f>
        <v>390000</v>
      </c>
      <c r="D6" s="2">
        <v>33536</v>
      </c>
      <c r="E6" s="2">
        <f t="shared" si="0"/>
        <v>453536</v>
      </c>
      <c r="F6" s="2">
        <f>INT([2]TONT20000DEC2015!E6+[2]TONT20000JANV!C6+[2]TONT20000FEV!C6+[2]TONT20000MARS!C6+[2]TONT20000AVRIL!C6+[2]TONT20000MAI!C6+[2]TONT20000JUIN!C6+[2]TONT20000JUIL!C6+[2]TONT20000AOUT!C6+[2]TONT20000SEPT!C6+[2]TONT20000OCT!C6+[2]TONT20000NOV!C6)</f>
        <v>51457</v>
      </c>
      <c r="G6" s="2">
        <f>[2]TONT20000NOV!E6</f>
        <v>504993.98315681884</v>
      </c>
      <c r="H6" s="2">
        <f>D6+F6+Q6</f>
        <v>114993</v>
      </c>
      <c r="I6" s="2">
        <f t="shared" ref="I6:I52" si="2">L6+M6+N6+O6</f>
        <v>63000</v>
      </c>
      <c r="J6" s="2">
        <f t="shared" ref="J6:J52" si="3">H6-I6</f>
        <v>51993</v>
      </c>
      <c r="K6" s="2">
        <v>0</v>
      </c>
      <c r="L6" s="2">
        <v>30000</v>
      </c>
      <c r="M6" s="2"/>
      <c r="N6" s="2">
        <v>25000</v>
      </c>
      <c r="O6" s="2">
        <f>48000-(R6+S6+T6)</f>
        <v>8000</v>
      </c>
      <c r="P6" s="6">
        <f>[2]TONT20000DEC2015!H6+[2]TONT20000JANV!F6+[2]TONT20000FEV!F6+[2]TONT20000MARS!F6+[2]TONT20000AVRIL!F6+[2]TONT20000MAI!F6+[2]TONT20000JUIN!F6+[2]TONT20000JUIL!F6+[2]TONT20000AOUT!F6+[2]TONT20000SEPT!F6+[2]TONT20000OCT!F6+[2]TONT20000NOV!G6</f>
        <v>225000</v>
      </c>
      <c r="Q6" s="6">
        <f>[2]TONT20000DEC2015!I6+[2]TONT20000JANV!G6+[2]TONT20000FEV!G6+[2]TONT20000MARS!G6+[2]TONT20000AVRIL!G6+[2]TONT20000MAI!G6+[2]TONT20000JUIN!G6+[2]TONT20000JUIL!G6+[2]TONT20000AOUT!G6+[2]TONT20000SEPT!G6+[2]TONT20000OCT!G6+[2]TONT20000NOV!H6</f>
        <v>30000</v>
      </c>
      <c r="R6" s="6">
        <f>[2]TONT20000DEC2015!J6+[2]TONT20000JANV!H6+[2]TONT20000FEV!H6+[2]TONT20000MARS!H6+[2]TONT20000AVRIL!H6+[2]TONT20000MAI!H6+[2]TONT20000JUIN!H6+[2]TONT20000JUIL!H6+[2]TONT20000AOUT!H6+[2]TONT20000SEPT!H6+[2]TONT20000OCT!H6+[2]TONT20000NOV!I6</f>
        <v>5000</v>
      </c>
      <c r="S6" s="6">
        <f>[2]TONT20000DEC2015!K6+[2]TONT20000JANV!I6+[2]TONT20000FEV!I6+[2]TONT20000MARS!I6+[2]TONT20000AVRIL!I6+[2]TONT20000MAI!I6+[2]TONT20000JUIN!I6+[2]TONT20000JUIL!I6+[2]TONT20000AOUT!I6+[2]TONT20000SEPT!I6+[2]TONT20000OCT!I6+[2]TONT20000NOV!J6</f>
        <v>10000</v>
      </c>
      <c r="T6" s="6">
        <f>[2]TONT20000DEC2015!L6+[2]TONT20000JANV!J6+[2]TONT20000FEV!J6+[2]TONT20000MARS!J6+[2]TONT20000AVRIL!J6+[2]TONT20000MAI!J6+[2]TONT20000JUIN!J6+[2]TONT20000JUIL!J6+[2]TONT20000AOUT!J6+[2]TONT20000SEPT!J6+[2]TONT20000OCT!J6+[2]TONT20000NOV!K6</f>
        <v>25000</v>
      </c>
      <c r="U6" s="6">
        <f>[2]TONT20000DEC2015!M6+[2]TONT20000JANV!K6+[2]TONT20000FEV!K6+[2]TONT20000MARS!K6+[2]TONT20000AVRIL!K6+[2]TONT20000MAI!K6+[2]TONT20000JUIN!K6+[2]TONT20000JUIL!K6+[2]TONT20000AOUT!K6+[2]TONT20000SEPT!K6+[2]TONT20000OCT!K6+[2]TONT20000NOV!L6</f>
        <v>25000</v>
      </c>
      <c r="V6" s="6">
        <f>[2]TONT20000DEC2015!N6+[2]TONT20000JANV!L6+[2]TONT20000FEV!L6+[2]TONT20000MARS!L6+[2]TONT20000AVRIL!L6+[2]TONT20000MAI!L6+[2]TONT20000JUIN!L6+[2]TONT20000JUIL!L6+[2]TONT20000AOUT!L6+[2]TONT20000SEPT!L6+[2]TONT20000OCT!L6+[2]TONT20000NOV!M6</f>
        <v>130000</v>
      </c>
      <c r="W6" s="6">
        <f>[2]TONT20000DEC2015!O6+[2]TONT20000JANV!M6+[2]TONT20000FEV!M6+[2]TONT20000MARS!M6+[2]TONT20000AVRIL!M6+[2]TONT20000MAI!M6+[2]TONT20000JUIN!M6+[2]TONT20000JUIL!M6+[2]TONT20000AOUT!M6+[2]TONT20000SEPT!M6+[2]TONT20000OCT!M6+[2]TONT20000NOV!N6</f>
        <v>500000</v>
      </c>
      <c r="X6" s="6">
        <f>[2]TONT20000DEC2015!P6+[2]TONT20000JANV!N6+[2]TONT20000FEV!N6+[2]TONT20000MARS!N6+[2]TONT20000AVRIL!N6+[2]TONT20000MAI!N6+[2]TONT20000JUIN!N6+[2]TONT20000JUIL!N6+[2]TONT20000AOUT!N6+[2]TONT20000SEPT!N6+[2]TONT20000OCT!N6+[2]TONT20000NOV!O6</f>
        <v>15000</v>
      </c>
      <c r="Y6" s="6">
        <f>[2]TONT20000DEC2015!Q6+[2]TONT20000JANV!O6+[2]TONT20000FEV!O6+[2]TONT20000MARS!O6+[2]TONT20000AVRIL!O6+[2]TONT20000MAI!O6+[2]TONT20000JUIN!O6+[2]TONT20000JUIL!O6+[2]TONT20000AOUT!O6+[2]TONT20000SEPT!O6+[2]TONT20000OCT!O6+[2]TONT20000NOV!P6</f>
        <v>0</v>
      </c>
      <c r="Z6" s="6">
        <f>[2]TONT20000DEC2015!R6+[2]TONT20000JANV!P6+[2]TONT20000FEV!P6+[2]TONT20000MARS!P6+[2]TONT20000AVRIL!P6+[2]TONT20000MAI!P6+[2]TONT20000JUIN!P6+[2]TONT20000JUIL!P6+[2]TONT20000AOUT!P6+[2]TONT20000SEPT!P6+[2]TONT20000OCT!P6+[2]TONT20000NOV!Q6</f>
        <v>0</v>
      </c>
      <c r="AA6" s="6">
        <f>[2]TONT20000DEC2015!S6+[2]TONT20000JANV!Q6+[2]TONT20000FEV!Q6+[2]TONT20000MARS!Q6+[2]TONT20000AVRIL!Q6+[2]TONT20000MAI!Q6+[2]TONT20000JUIN!Q6+[2]TONT20000JUIL!Q6+[2]TONT20000AOUT!Q6+[2]TONT20000SEPT!Q6+[2]TONT20000OCT!Q6+[2]TONT20000NOV!R6</f>
        <v>0</v>
      </c>
      <c r="AB6" s="6">
        <f>[2]TONT20000DEC2015!T6+[2]TONT20000JANV!R6+[2]TONT20000FEV!R6+[2]TONT20000MARS!R6+[2]TONT20000AVRIL!R6+[2]TONT20000MAI!R6+[2]TONT20000JUIN!R6+[2]TONT20000JUIL!R6+[2]TONT20000AOUT!R6+[2]TONT20000SEPT!R6+[2]TONT20000OCT!R6+[2]TONT20000NOV!S6</f>
        <v>0</v>
      </c>
    </row>
    <row r="7" spans="1:29" x14ac:dyDescent="0.25">
      <c r="A7" s="1" t="s">
        <v>37</v>
      </c>
      <c r="B7" s="1" t="str">
        <f>VLOOKUP(A7,[2]LISTADHERENT!A$5:H$52,2,0)</f>
        <v>BOUTCHOUANG WILLIAM</v>
      </c>
      <c r="C7" s="2">
        <f>VLOOKUP(A7,[2]FONDSDECAISSE!A$5:C$52,3,0)</f>
        <v>390000</v>
      </c>
      <c r="D7" s="2">
        <v>1704</v>
      </c>
      <c r="E7" s="2">
        <f t="shared" si="0"/>
        <v>427704</v>
      </c>
      <c r="F7" s="2">
        <f>INT([2]TONT20000DEC2015!E7+[2]TONT20000JANV!C7+[2]TONT20000FEV!C7+[2]TONT20000MARS!C7+[2]TONT20000AVRIL!C7+[2]TONT20000MAI!C7+[2]TONT20000JUIN!C7+[2]TONT20000JUIL!C7+[2]TONT20000AOUT!C7+[2]TONT20000SEPT!C7+[2]TONT20000OCT!C7+[2]TONT20000NOV!C7)</f>
        <v>48016</v>
      </c>
      <c r="G7" s="2">
        <f>[2]TONT20000NOV!E7</f>
        <v>475720.56235860521</v>
      </c>
      <c r="H7" s="2">
        <f t="shared" si="1"/>
        <v>85720</v>
      </c>
      <c r="I7" s="2">
        <f t="shared" si="2"/>
        <v>80000</v>
      </c>
      <c r="J7" s="2">
        <f t="shared" si="3"/>
        <v>5720</v>
      </c>
      <c r="K7" s="2">
        <v>3000</v>
      </c>
      <c r="L7" s="2">
        <v>30000</v>
      </c>
      <c r="M7" s="2"/>
      <c r="N7" s="2">
        <v>50000</v>
      </c>
      <c r="O7" s="2">
        <f t="shared" ref="O7:O52" si="4">48000-(R7+S7+T7)</f>
        <v>0</v>
      </c>
      <c r="P7" s="6">
        <f>[2]TONT20000DEC2015!H7+[2]TONT20000JANV!F7+[2]TONT20000FEV!F7+[2]TONT20000MARS!F7+[2]TONT20000AVRIL!F7+[2]TONT20000MAI!F7+[2]TONT20000JUIN!F7+[2]TONT20000JUIL!F7+[2]TONT20000AOUT!F7+[2]TONT20000SEPT!F7+[2]TONT20000OCT!F7+[2]TONT20000NOV!G7</f>
        <v>240000</v>
      </c>
      <c r="Q7" s="6">
        <f>[2]TONT20000DEC2015!I7+[2]TONT20000JANV!G7+[2]TONT20000FEV!G7+[2]TONT20000MARS!G7+[2]TONT20000AVRIL!G7+[2]TONT20000MAI!G7+[2]TONT20000JUIN!G7+[2]TONT20000JUIL!G7+[2]TONT20000AOUT!G7+[2]TONT20000SEPT!G7+[2]TONT20000OCT!G7+[2]TONT20000NOV!H7</f>
        <v>36000</v>
      </c>
      <c r="R7" s="6">
        <f>[2]TONT20000DEC2015!J7+[2]TONT20000JANV!H7+[2]TONT20000FEV!H7+[2]TONT20000MARS!H7+[2]TONT20000AVRIL!H7+[2]TONT20000MAI!H7+[2]TONT20000JUIN!H7+[2]TONT20000JUIL!H7+[2]TONT20000AOUT!H7+[2]TONT20000SEPT!H7+[2]TONT20000OCT!H7+[2]TONT20000NOV!I7</f>
        <v>6000</v>
      </c>
      <c r="S7" s="6">
        <f>[2]TONT20000DEC2015!K7+[2]TONT20000JANV!I7+[2]TONT20000FEV!I7+[2]TONT20000MARS!I7+[2]TONT20000AVRIL!I7+[2]TONT20000MAI!I7+[2]TONT20000JUIN!I7+[2]TONT20000JUIL!I7+[2]TONT20000AOUT!I7+[2]TONT20000SEPT!I7+[2]TONT20000OCT!I7+[2]TONT20000NOV!J7</f>
        <v>12000</v>
      </c>
      <c r="T7" s="6">
        <f>[2]TONT20000DEC2015!L7+[2]TONT20000JANV!J7+[2]TONT20000FEV!J7+[2]TONT20000MARS!J7+[2]TONT20000AVRIL!J7+[2]TONT20000MAI!J7+[2]TONT20000JUIN!J7+[2]TONT20000JUIL!J7+[2]TONT20000AOUT!J7+[2]TONT20000SEPT!J7+[2]TONT20000OCT!J7+[2]TONT20000NOV!K7</f>
        <v>30000</v>
      </c>
      <c r="U7" s="6">
        <f>[2]TONT20000DEC2015!M7+[2]TONT20000JANV!K7+[2]TONT20000FEV!K7+[2]TONT20000MARS!K7+[2]TONT20000AVRIL!K7+[2]TONT20000MAI!K7+[2]TONT20000JUIN!K7+[2]TONT20000JUIL!K7+[2]TONT20000AOUT!K7+[2]TONT20000SEPT!K7+[2]TONT20000OCT!K7+[2]TONT20000NOV!L7</f>
        <v>0</v>
      </c>
      <c r="V7" s="6">
        <f>[2]TONT20000DEC2015!N7+[2]TONT20000JANV!L7+[2]TONT20000FEV!L7+[2]TONT20000MARS!L7+[2]TONT20000AVRIL!L7+[2]TONT20000MAI!L7+[2]TONT20000JUIN!L7+[2]TONT20000JUIL!L7+[2]TONT20000AOUT!L7+[2]TONT20000SEPT!L7+[2]TONT20000OCT!L7+[2]TONT20000NOV!M7</f>
        <v>156000</v>
      </c>
      <c r="W7" s="6">
        <f>[2]TONT20000DEC2015!O7+[2]TONT20000JANV!M7+[2]TONT20000FEV!M7+[2]TONT20000MARS!M7+[2]TONT20000AVRIL!M7+[2]TONT20000MAI!M7+[2]TONT20000JUIN!M7+[2]TONT20000JUIL!M7+[2]TONT20000AOUT!M7+[2]TONT20000SEPT!M7+[2]TONT20000OCT!M7+[2]TONT20000NOV!N7</f>
        <v>1700000</v>
      </c>
      <c r="X7" s="6">
        <f>[2]TONT20000DEC2015!P7+[2]TONT20000JANV!N7+[2]TONT20000FEV!N7+[2]TONT20000MARS!N7+[2]TONT20000AVRIL!N7+[2]TONT20000MAI!N7+[2]TONT20000JUIN!N7+[2]TONT20000JUIL!N7+[2]TONT20000AOUT!N7+[2]TONT20000SEPT!N7+[2]TONT20000OCT!N7+[2]TONT20000NOV!O7</f>
        <v>124000</v>
      </c>
      <c r="Y7" s="6">
        <f>[2]TONT20000DEC2015!Q7+[2]TONT20000JANV!O7+[2]TONT20000FEV!O7+[2]TONT20000MARS!O7+[2]TONT20000AVRIL!O7+[2]TONT20000MAI!O7+[2]TONT20000JUIN!O7+[2]TONT20000JUIL!O7+[2]TONT20000AOUT!O7+[2]TONT20000SEPT!O7+[2]TONT20000OCT!O7+[2]TONT20000NOV!P7</f>
        <v>1000000</v>
      </c>
      <c r="Z7" s="6">
        <f>[2]TONT20000DEC2015!R7+[2]TONT20000JANV!P7+[2]TONT20000FEV!P7+[2]TONT20000MARS!P7+[2]TONT20000AVRIL!P7+[2]TONT20000MAI!P7+[2]TONT20000JUIN!P7+[2]TONT20000JUIL!P7+[2]TONT20000AOUT!P7+[2]TONT20000SEPT!P7+[2]TONT20000OCT!P7+[2]TONT20000NOV!Q7</f>
        <v>0</v>
      </c>
      <c r="AA7" s="6">
        <f>[2]TONT20000DEC2015!S7+[2]TONT20000JANV!Q7+[2]TONT20000FEV!Q7+[2]TONT20000MARS!Q7+[2]TONT20000AVRIL!Q7+[2]TONT20000MAI!Q7+[2]TONT20000JUIN!Q7+[2]TONT20000JUIL!Q7+[2]TONT20000AOUT!Q7+[2]TONT20000SEPT!Q7+[2]TONT20000OCT!Q7+[2]TONT20000NOV!R7</f>
        <v>0</v>
      </c>
      <c r="AB7" s="6">
        <f>[2]TONT20000DEC2015!T7+[2]TONT20000JANV!R7+[2]TONT20000FEV!R7+[2]TONT20000MARS!R7+[2]TONT20000AVRIL!R7+[2]TONT20000MAI!R7+[2]TONT20000JUIN!R7+[2]TONT20000JUIL!R7+[2]TONT20000AOUT!R7+[2]TONT20000SEPT!R7+[2]TONT20000OCT!R7+[2]TONT20000NOV!S7</f>
        <v>0</v>
      </c>
    </row>
    <row r="8" spans="1:29" x14ac:dyDescent="0.25">
      <c r="A8" s="1" t="s">
        <v>38</v>
      </c>
      <c r="B8" s="1" t="str">
        <f>VLOOKUP(A8,[2]LISTADHERENT!A$5:H$52,2,0)</f>
        <v>CHINGUE FABRICE</v>
      </c>
      <c r="C8" s="2">
        <f>VLOOKUP(A8,[2]FONDSDECAISSE!A$5:C$52,3,0)</f>
        <v>390000</v>
      </c>
      <c r="D8" s="2">
        <v>1842</v>
      </c>
      <c r="E8" s="2">
        <f t="shared" si="0"/>
        <v>427842</v>
      </c>
      <c r="F8" s="2">
        <f>INT([2]TONT20000DEC2015!E8+[2]TONT20000JANV!C8+[2]TONT20000FEV!C8+[2]TONT20000MARS!C8+[2]TONT20000AVRIL!C8+[2]TONT20000MAI!C8+[2]TONT20000JUIN!C8+[2]TONT20000JUIL!C8+[2]TONT20000AOUT!C8+[2]TONT20000SEPT!C8+[2]TONT20000OCT!C8+[2]TONT20000NOV!C8)</f>
        <v>48032</v>
      </c>
      <c r="G8" s="2">
        <f>[2]TONT20000NOV!E8</f>
        <v>475874.59104714065</v>
      </c>
      <c r="H8" s="2">
        <f t="shared" si="1"/>
        <v>85874</v>
      </c>
      <c r="I8" s="2">
        <f t="shared" si="2"/>
        <v>80000</v>
      </c>
      <c r="J8" s="2">
        <f t="shared" si="3"/>
        <v>5874</v>
      </c>
      <c r="K8" s="2">
        <v>0</v>
      </c>
      <c r="L8" s="2">
        <v>30000</v>
      </c>
      <c r="M8" s="2"/>
      <c r="N8" s="2">
        <v>50000</v>
      </c>
      <c r="O8" s="2">
        <f t="shared" si="4"/>
        <v>0</v>
      </c>
      <c r="P8" s="6">
        <f>[2]TONT20000DEC2015!H8+[2]TONT20000JANV!F8+[2]TONT20000FEV!F8+[2]TONT20000MARS!F8+[2]TONT20000AVRIL!F8+[2]TONT20000MAI!F8+[2]TONT20000JUIN!F8+[2]TONT20000JUIL!F8+[2]TONT20000AOUT!F8+[2]TONT20000SEPT!F8+[2]TONT20000OCT!F8+[2]TONT20000NOV!G8</f>
        <v>240000</v>
      </c>
      <c r="Q8" s="6">
        <f>[2]TONT20000DEC2015!I8+[2]TONT20000JANV!G8+[2]TONT20000FEV!G8+[2]TONT20000MARS!G8+[2]TONT20000AVRIL!G8+[2]TONT20000MAI!G8+[2]TONT20000JUIN!G8+[2]TONT20000JUIL!G8+[2]TONT20000AOUT!G8+[2]TONT20000SEPT!G8+[2]TONT20000OCT!G8+[2]TONT20000NOV!H8</f>
        <v>36000</v>
      </c>
      <c r="R8" s="6">
        <f>[2]TONT20000DEC2015!J8+[2]TONT20000JANV!H8+[2]TONT20000FEV!H8+[2]TONT20000MARS!H8+[2]TONT20000AVRIL!H8+[2]TONT20000MAI!H8+[2]TONT20000JUIN!H8+[2]TONT20000JUIL!H8+[2]TONT20000AOUT!H8+[2]TONT20000SEPT!H8+[2]TONT20000OCT!H8+[2]TONT20000NOV!I8</f>
        <v>6000</v>
      </c>
      <c r="S8" s="6">
        <f>[2]TONT20000DEC2015!K8+[2]TONT20000JANV!I8+[2]TONT20000FEV!I8+[2]TONT20000MARS!I8+[2]TONT20000AVRIL!I8+[2]TONT20000MAI!I8+[2]TONT20000JUIN!I8+[2]TONT20000JUIL!I8+[2]TONT20000AOUT!I8+[2]TONT20000SEPT!I8+[2]TONT20000OCT!I8+[2]TONT20000NOV!J8</f>
        <v>12000</v>
      </c>
      <c r="T8" s="6">
        <f>[2]TONT20000DEC2015!L8+[2]TONT20000JANV!J8+[2]TONT20000FEV!J8+[2]TONT20000MARS!J8+[2]TONT20000AVRIL!J8+[2]TONT20000MAI!J8+[2]TONT20000JUIN!J8+[2]TONT20000JUIL!J8+[2]TONT20000AOUT!J8+[2]TONT20000SEPT!J8+[2]TONT20000OCT!J8+[2]TONT20000NOV!K8</f>
        <v>30000</v>
      </c>
      <c r="U8" s="6">
        <f>[2]TONT20000DEC2015!M8+[2]TONT20000JANV!K8+[2]TONT20000FEV!K8+[2]TONT20000MARS!K8+[2]TONT20000AVRIL!K8+[2]TONT20000MAI!K8+[2]TONT20000JUIN!K8+[2]TONT20000JUIL!K8+[2]TONT20000AOUT!K8+[2]TONT20000SEPT!K8+[2]TONT20000OCT!K8+[2]TONT20000NOV!L8</f>
        <v>0</v>
      </c>
      <c r="V8" s="6">
        <f>[2]TONT20000DEC2015!N8+[2]TONT20000JANV!L8+[2]TONT20000FEV!L8+[2]TONT20000MARS!L8+[2]TONT20000AVRIL!L8+[2]TONT20000MAI!L8+[2]TONT20000JUIN!L8+[2]TONT20000JUIL!L8+[2]TONT20000AOUT!L8+[2]TONT20000SEPT!L8+[2]TONT20000OCT!L8+[2]TONT20000NOV!M8</f>
        <v>156000</v>
      </c>
      <c r="W8" s="6">
        <f>[2]TONT20000DEC2015!O8+[2]TONT20000JANV!M8+[2]TONT20000FEV!M8+[2]TONT20000MARS!M8+[2]TONT20000AVRIL!M8+[2]TONT20000MAI!M8+[2]TONT20000JUIN!M8+[2]TONT20000JUIL!M8+[2]TONT20000AOUT!M8+[2]TONT20000SEPT!M8+[2]TONT20000OCT!M8+[2]TONT20000NOV!N8</f>
        <v>2000000</v>
      </c>
      <c r="X8" s="6">
        <f>[2]TONT20000DEC2015!P8+[2]TONT20000JANV!N8+[2]TONT20000FEV!N8+[2]TONT20000MARS!N8+[2]TONT20000AVRIL!N8+[2]TONT20000MAI!N8+[2]TONT20000JUIN!N8+[2]TONT20000JUIL!N8+[2]TONT20000AOUT!N8+[2]TONT20000SEPT!N8+[2]TONT20000OCT!N8+[2]TONT20000NOV!O8</f>
        <v>180000</v>
      </c>
      <c r="Y8" s="6">
        <f>[2]TONT20000DEC2015!Q8+[2]TONT20000JANV!O8+[2]TONT20000FEV!O8+[2]TONT20000MARS!O8+[2]TONT20000AVRIL!O8+[2]TONT20000MAI!O8+[2]TONT20000JUIN!O8+[2]TONT20000JUIL!O8+[2]TONT20000AOUT!O8+[2]TONT20000SEPT!O8+[2]TONT20000OCT!O8+[2]TONT20000NOV!P8</f>
        <v>1000000</v>
      </c>
      <c r="Z8" s="6">
        <f>[2]TONT20000DEC2015!R8+[2]TONT20000JANV!P8+[2]TONT20000FEV!P8+[2]TONT20000MARS!P8+[2]TONT20000AVRIL!P8+[2]TONT20000MAI!P8+[2]TONT20000JUIN!P8+[2]TONT20000JUIL!P8+[2]TONT20000AOUT!P8+[2]TONT20000SEPT!P8+[2]TONT20000OCT!P8+[2]TONT20000NOV!Q8</f>
        <v>0</v>
      </c>
      <c r="AA8" s="6">
        <f>[2]TONT20000DEC2015!S8+[2]TONT20000JANV!Q8+[2]TONT20000FEV!Q8+[2]TONT20000MARS!Q8+[2]TONT20000AVRIL!Q8+[2]TONT20000MAI!Q8+[2]TONT20000JUIN!Q8+[2]TONT20000JUIL!Q8+[2]TONT20000AOUT!Q8+[2]TONT20000SEPT!Q8+[2]TONT20000OCT!Q8+[2]TONT20000NOV!R8</f>
        <v>0</v>
      </c>
      <c r="AB8" s="6">
        <f>[2]TONT20000DEC2015!T8+[2]TONT20000JANV!R8+[2]TONT20000FEV!R8+[2]TONT20000MARS!R8+[2]TONT20000AVRIL!R8+[2]TONT20000MAI!R8+[2]TONT20000JUIN!R8+[2]TONT20000JUIL!R8+[2]TONT20000AOUT!R8+[2]TONT20000SEPT!R8+[2]TONT20000OCT!R8+[2]TONT20000NOV!S8</f>
        <v>0</v>
      </c>
    </row>
    <row r="9" spans="1:29" x14ac:dyDescent="0.25">
      <c r="A9" s="1" t="s">
        <v>39</v>
      </c>
      <c r="B9" s="1" t="str">
        <f>VLOOKUP(A9,[2]LISTADHERENT!A$5:H$52,2,0)</f>
        <v xml:space="preserve">DJOMO JEAN PAUL </v>
      </c>
      <c r="C9" s="2">
        <f>VLOOKUP(A9,[2]FONDSDECAISSE!A$5:C$52,3,0)</f>
        <v>390000</v>
      </c>
      <c r="D9" s="2">
        <v>8156</v>
      </c>
      <c r="E9" s="2">
        <f t="shared" si="0"/>
        <v>441156</v>
      </c>
      <c r="F9" s="2">
        <f>INT([2]TONT20000DEC2015!E9+[2]TONT20000JANV!C9+[2]TONT20000FEV!C9+[2]TONT20000MARS!C9+[2]TONT20000AVRIL!C9+[2]TONT20000MAI!C9+[2]TONT20000JUIN!C9+[2]TONT20000JUIL!C9+[2]TONT20000AOUT!C9+[2]TONT20000SEPT!C9+[2]TONT20000OCT!C9+[2]TONT20000NOV!C9)</f>
        <v>48914</v>
      </c>
      <c r="G9" s="2">
        <f>[2]TONT20000NOV!E9</f>
        <v>490070.35585907887</v>
      </c>
      <c r="H9" s="2">
        <f t="shared" si="1"/>
        <v>100070</v>
      </c>
      <c r="I9" s="2">
        <f t="shared" si="2"/>
        <v>80000</v>
      </c>
      <c r="J9" s="2">
        <f t="shared" si="3"/>
        <v>20070</v>
      </c>
      <c r="K9" s="2">
        <v>17500</v>
      </c>
      <c r="L9" s="2">
        <v>30000</v>
      </c>
      <c r="M9" s="2"/>
      <c r="N9" s="2">
        <v>50000</v>
      </c>
      <c r="O9" s="2">
        <f t="shared" si="4"/>
        <v>0</v>
      </c>
      <c r="P9" s="6">
        <f>[2]TONT20000DEC2015!H9+[2]TONT20000JANV!F9+[2]TONT20000FEV!F9+[2]TONT20000MARS!F9+[2]TONT20000AVRIL!F9+[2]TONT20000MAI!F9+[2]TONT20000JUIN!F9+[2]TONT20000JUIL!F9+[2]TONT20000AOUT!F9+[2]TONT20000SEPT!F9+[2]TONT20000OCT!F9+[2]TONT20000NOV!G9</f>
        <v>247000</v>
      </c>
      <c r="Q9" s="6">
        <f>[2]TONT20000DEC2015!I9+[2]TONT20000JANV!G9+[2]TONT20000FEV!G9+[2]TONT20000MARS!G9+[2]TONT20000AVRIL!G9+[2]TONT20000MAI!G9+[2]TONT20000JUIN!G9+[2]TONT20000JUIL!G9+[2]TONT20000AOUT!G9+[2]TONT20000SEPT!G9+[2]TONT20000OCT!G9+[2]TONT20000NOV!H9</f>
        <v>43000</v>
      </c>
      <c r="R9" s="6">
        <f>[2]TONT20000DEC2015!J9+[2]TONT20000JANV!H9+[2]TONT20000FEV!H9+[2]TONT20000MARS!H9+[2]TONT20000AVRIL!H9+[2]TONT20000MAI!H9+[2]TONT20000JUIN!H9+[2]TONT20000JUIL!H9+[2]TONT20000AOUT!H9+[2]TONT20000SEPT!H9+[2]TONT20000OCT!H9+[2]TONT20000NOV!I9</f>
        <v>6000</v>
      </c>
      <c r="S9" s="6">
        <f>[2]TONT20000DEC2015!K9+[2]TONT20000JANV!I9+[2]TONT20000FEV!I9+[2]TONT20000MARS!I9+[2]TONT20000AVRIL!I9+[2]TONT20000MAI!I9+[2]TONT20000JUIN!I9+[2]TONT20000JUIL!I9+[2]TONT20000AOUT!I9+[2]TONT20000SEPT!I9+[2]TONT20000OCT!I9+[2]TONT20000NOV!J9</f>
        <v>12000</v>
      </c>
      <c r="T9" s="6">
        <f>[2]TONT20000DEC2015!L9+[2]TONT20000JANV!J9+[2]TONT20000FEV!J9+[2]TONT20000MARS!J9+[2]TONT20000AVRIL!J9+[2]TONT20000MAI!J9+[2]TONT20000JUIN!J9+[2]TONT20000JUIL!J9+[2]TONT20000AOUT!J9+[2]TONT20000SEPT!J9+[2]TONT20000OCT!J9+[2]TONT20000NOV!K9</f>
        <v>30000</v>
      </c>
      <c r="U9" s="6">
        <f>[2]TONT20000DEC2015!M9+[2]TONT20000JANV!K9+[2]TONT20000FEV!K9+[2]TONT20000MARS!K9+[2]TONT20000AVRIL!K9+[2]TONT20000MAI!K9+[2]TONT20000JUIN!K9+[2]TONT20000JUIL!K9+[2]TONT20000AOUT!K9+[2]TONT20000SEPT!K9+[2]TONT20000OCT!K9+[2]TONT20000NOV!L9</f>
        <v>0</v>
      </c>
      <c r="V9" s="6">
        <f>[2]TONT20000DEC2015!N9+[2]TONT20000JANV!L9+[2]TONT20000FEV!L9+[2]TONT20000MARS!L9+[2]TONT20000AVRIL!L9+[2]TONT20000MAI!L9+[2]TONT20000JUIN!L9+[2]TONT20000JUIL!L9+[2]TONT20000AOUT!L9+[2]TONT20000SEPT!L9+[2]TONT20000OCT!L9+[2]TONT20000NOV!M9</f>
        <v>156000</v>
      </c>
      <c r="W9" s="6">
        <f>[2]TONT20000DEC2015!O9+[2]TONT20000JANV!M9+[2]TONT20000FEV!M9+[2]TONT20000MARS!M9+[2]TONT20000AVRIL!M9+[2]TONT20000MAI!M9+[2]TONT20000JUIN!M9+[2]TONT20000JUIL!M9+[2]TONT20000AOUT!M9+[2]TONT20000SEPT!M9+[2]TONT20000OCT!M9+[2]TONT20000NOV!N9</f>
        <v>200000</v>
      </c>
      <c r="X9" s="6">
        <f>[2]TONT20000DEC2015!P9+[2]TONT20000JANV!N9+[2]TONT20000FEV!N9+[2]TONT20000MARS!N9+[2]TONT20000AVRIL!N9+[2]TONT20000MAI!N9+[2]TONT20000JUIN!N9+[2]TONT20000JUIL!N9+[2]TONT20000AOUT!N9+[2]TONT20000SEPT!N9+[2]TONT20000OCT!N9+[2]TONT20000NOV!O9</f>
        <v>6000</v>
      </c>
      <c r="Y9" s="6">
        <f>[2]TONT20000DEC2015!Q9+[2]TONT20000JANV!O9+[2]TONT20000FEV!O9+[2]TONT20000MARS!O9+[2]TONT20000AVRIL!O9+[2]TONT20000MAI!O9+[2]TONT20000JUIN!O9+[2]TONT20000JUIL!O9+[2]TONT20000AOUT!O9+[2]TONT20000SEPT!O9+[2]TONT20000OCT!O9+[2]TONT20000NOV!P9</f>
        <v>0</v>
      </c>
      <c r="Z9" s="6">
        <f>[2]TONT20000DEC2015!R9+[2]TONT20000JANV!P9+[2]TONT20000FEV!P9+[2]TONT20000MARS!P9+[2]TONT20000AVRIL!P9+[2]TONT20000MAI!P9+[2]TONT20000JUIN!P9+[2]TONT20000JUIL!P9+[2]TONT20000AOUT!P9+[2]TONT20000SEPT!P9+[2]TONT20000OCT!P9+[2]TONT20000NOV!Q9</f>
        <v>0</v>
      </c>
      <c r="AA9" s="6">
        <f>[2]TONT20000DEC2015!S9+[2]TONT20000JANV!Q9+[2]TONT20000FEV!Q9+[2]TONT20000MARS!Q9+[2]TONT20000AVRIL!Q9+[2]TONT20000MAI!Q9+[2]TONT20000JUIN!Q9+[2]TONT20000JUIL!Q9+[2]TONT20000AOUT!Q9+[2]TONT20000SEPT!Q9+[2]TONT20000OCT!Q9+[2]TONT20000NOV!R9</f>
        <v>0</v>
      </c>
      <c r="AB9" s="6">
        <f>[2]TONT20000DEC2015!T9+[2]TONT20000JANV!R9+[2]TONT20000FEV!R9+[2]TONT20000MARS!R9+[2]TONT20000AVRIL!R9+[2]TONT20000MAI!R9+[2]TONT20000JUIN!R9+[2]TONT20000JUIL!R9+[2]TONT20000AOUT!R9+[2]TONT20000SEPT!R9+[2]TONT20000OCT!R9+[2]TONT20000NOV!S9</f>
        <v>0</v>
      </c>
    </row>
    <row r="10" spans="1:29" x14ac:dyDescent="0.25">
      <c r="A10" s="1" t="s">
        <v>40</v>
      </c>
      <c r="B10" s="1" t="str">
        <f>VLOOKUP(A10,[2]LISTADHERENT!A$5:H$52,2,0)</f>
        <v>DJOUKWE GUY</v>
      </c>
      <c r="C10" s="2">
        <f>VLOOKUP(A10,[2]FONDSDECAISSE!A$5:C$52,3,0)</f>
        <v>390000</v>
      </c>
      <c r="D10" s="2">
        <v>5905</v>
      </c>
      <c r="E10" s="2">
        <f t="shared" si="0"/>
        <v>471905</v>
      </c>
      <c r="F10" s="2">
        <f>INT([2]TONT20000DEC2015!E10+[2]TONT20000JANV!C10+[2]TONT20000FEV!C10+[2]TONT20000MARS!C10+[2]TONT20000AVRIL!C10+[2]TONT20000MAI!C10+[2]TONT20000JUIN!C10+[2]TONT20000JUIL!C10+[2]TONT20000AOUT!C10+[2]TONT20000SEPT!C10+[2]TONT20000OCT!C10+[2]TONT20000NOV!C10)</f>
        <v>51792</v>
      </c>
      <c r="G10" s="2">
        <f>[2]TONT20000NOV!E10</f>
        <v>523697.04973564367</v>
      </c>
      <c r="H10" s="2">
        <f t="shared" si="1"/>
        <v>133697</v>
      </c>
      <c r="I10" s="2">
        <f t="shared" si="2"/>
        <v>80000</v>
      </c>
      <c r="J10" s="2">
        <f t="shared" si="3"/>
        <v>53697</v>
      </c>
      <c r="K10" s="2">
        <v>51000</v>
      </c>
      <c r="L10" s="2">
        <v>30000</v>
      </c>
      <c r="M10" s="2"/>
      <c r="N10" s="2">
        <v>50000</v>
      </c>
      <c r="O10" s="2">
        <f t="shared" si="4"/>
        <v>0</v>
      </c>
      <c r="P10" s="6">
        <f>[2]TONT20000DEC2015!H10+[2]TONT20000JANV!F10+[2]TONT20000FEV!F10+[2]TONT20000MARS!F10+[2]TONT20000AVRIL!F10+[2]TONT20000MAI!F10+[2]TONT20000JUIN!F10+[2]TONT20000JUIL!F10+[2]TONT20000AOUT!F10+[2]TONT20000SEPT!F10+[2]TONT20000OCT!F10+[2]TONT20000NOV!G10</f>
        <v>280000</v>
      </c>
      <c r="Q10" s="6">
        <f>[2]TONT20000DEC2015!I10+[2]TONT20000JANV!G10+[2]TONT20000FEV!G10+[2]TONT20000MARS!G10+[2]TONT20000AVRIL!G10+[2]TONT20000MAI!G10+[2]TONT20000JUIN!G10+[2]TONT20000JUIL!G10+[2]TONT20000AOUT!G10+[2]TONT20000SEPT!G10+[2]TONT20000OCT!G10+[2]TONT20000NOV!H10</f>
        <v>76000</v>
      </c>
      <c r="R10" s="6">
        <f>[2]TONT20000DEC2015!J10+[2]TONT20000JANV!H10+[2]TONT20000FEV!H10+[2]TONT20000MARS!H10+[2]TONT20000AVRIL!H10+[2]TONT20000MAI!H10+[2]TONT20000JUIN!H10+[2]TONT20000JUIL!H10+[2]TONT20000AOUT!H10+[2]TONT20000SEPT!H10+[2]TONT20000OCT!H10+[2]TONT20000NOV!I10</f>
        <v>6000</v>
      </c>
      <c r="S10" s="6">
        <f>[2]TONT20000DEC2015!K10+[2]TONT20000JANV!I10+[2]TONT20000FEV!I10+[2]TONT20000MARS!I10+[2]TONT20000AVRIL!I10+[2]TONT20000MAI!I10+[2]TONT20000JUIN!I10+[2]TONT20000JUIL!I10+[2]TONT20000AOUT!I10+[2]TONT20000SEPT!I10+[2]TONT20000OCT!I10+[2]TONT20000NOV!J10</f>
        <v>12000</v>
      </c>
      <c r="T10" s="6">
        <f>[2]TONT20000DEC2015!L10+[2]TONT20000JANV!J10+[2]TONT20000FEV!J10+[2]TONT20000MARS!J10+[2]TONT20000AVRIL!J10+[2]TONT20000MAI!J10+[2]TONT20000JUIN!J10+[2]TONT20000JUIL!J10+[2]TONT20000AOUT!J10+[2]TONT20000SEPT!J10+[2]TONT20000OCT!J10+[2]TONT20000NOV!K10</f>
        <v>30000</v>
      </c>
      <c r="U10" s="6">
        <f>[2]TONT20000DEC2015!M10+[2]TONT20000JANV!K10+[2]TONT20000FEV!K10+[2]TONT20000MARS!K10+[2]TONT20000AVRIL!K10+[2]TONT20000MAI!K10+[2]TONT20000JUIN!K10+[2]TONT20000JUIL!K10+[2]TONT20000AOUT!K10+[2]TONT20000SEPT!K10+[2]TONT20000OCT!K10+[2]TONT20000NOV!L10</f>
        <v>0</v>
      </c>
      <c r="V10" s="6">
        <f>[2]TONT20000DEC2015!N10+[2]TONT20000JANV!L10+[2]TONT20000FEV!L10+[2]TONT20000MARS!L10+[2]TONT20000AVRIL!L10+[2]TONT20000MAI!L10+[2]TONT20000JUIN!L10+[2]TONT20000JUIL!L10+[2]TONT20000AOUT!L10+[2]TONT20000SEPT!L10+[2]TONT20000OCT!L10+[2]TONT20000NOV!M10</f>
        <v>156000</v>
      </c>
      <c r="W10" s="6">
        <f>[2]TONT20000DEC2015!O10+[2]TONT20000JANV!M10+[2]TONT20000FEV!M10+[2]TONT20000MARS!M10+[2]TONT20000AVRIL!M10+[2]TONT20000MAI!M10+[2]TONT20000JUIN!M10+[2]TONT20000JUIL!M10+[2]TONT20000AOUT!M10+[2]TONT20000SEPT!M10+[2]TONT20000OCT!M10+[2]TONT20000NOV!N10</f>
        <v>250000</v>
      </c>
      <c r="X10" s="6">
        <f>[2]TONT20000DEC2015!P10+[2]TONT20000JANV!N10+[2]TONT20000FEV!N10+[2]TONT20000MARS!N10+[2]TONT20000AVRIL!N10+[2]TONT20000MAI!N10+[2]TONT20000JUIN!N10+[2]TONT20000JUIL!N10+[2]TONT20000AOUT!N10+[2]TONT20000SEPT!N10+[2]TONT20000OCT!N10+[2]TONT20000NOV!O10</f>
        <v>7500</v>
      </c>
      <c r="Y10" s="6">
        <f>[2]TONT20000DEC2015!Q10+[2]TONT20000JANV!O10+[2]TONT20000FEV!O10+[2]TONT20000MARS!O10+[2]TONT20000AVRIL!O10+[2]TONT20000MAI!O10+[2]TONT20000JUIN!O10+[2]TONT20000JUIL!O10+[2]TONT20000AOUT!O10+[2]TONT20000SEPT!O10+[2]TONT20000OCT!O10+[2]TONT20000NOV!P10</f>
        <v>0</v>
      </c>
      <c r="Z10" s="6">
        <f>[2]TONT20000DEC2015!R10+[2]TONT20000JANV!P10+[2]TONT20000FEV!P10+[2]TONT20000MARS!P10+[2]TONT20000AVRIL!P10+[2]TONT20000MAI!P10+[2]TONT20000JUIN!P10+[2]TONT20000JUIL!P10+[2]TONT20000AOUT!P10+[2]TONT20000SEPT!P10+[2]TONT20000OCT!P10+[2]TONT20000NOV!Q10</f>
        <v>0</v>
      </c>
      <c r="AA10" s="6">
        <f>[2]TONT20000DEC2015!S10+[2]TONT20000JANV!Q10+[2]TONT20000FEV!Q10+[2]TONT20000MARS!Q10+[2]TONT20000AVRIL!Q10+[2]TONT20000MAI!Q10+[2]TONT20000JUIN!Q10+[2]TONT20000JUIL!Q10+[2]TONT20000AOUT!Q10+[2]TONT20000SEPT!Q10+[2]TONT20000OCT!Q10+[2]TONT20000NOV!R10</f>
        <v>0</v>
      </c>
      <c r="AB10" s="6">
        <f>[2]TONT20000DEC2015!T10+[2]TONT20000JANV!R10+[2]TONT20000FEV!R10+[2]TONT20000MARS!R10+[2]TONT20000AVRIL!R10+[2]TONT20000MAI!R10+[2]TONT20000JUIN!R10+[2]TONT20000JUIL!R10+[2]TONT20000AOUT!R10+[2]TONT20000SEPT!R10+[2]TONT20000OCT!R10+[2]TONT20000NOV!S10</f>
        <v>0</v>
      </c>
    </row>
    <row r="11" spans="1:29" s="10" customFormat="1" x14ac:dyDescent="0.25">
      <c r="A11" s="7" t="s">
        <v>41</v>
      </c>
      <c r="B11" s="7" t="str">
        <f>VLOOKUP(A11,[2]LISTADHERENT!A$5:H$52,2,0)</f>
        <v>DJOSSEU JOSUE</v>
      </c>
      <c r="C11" s="8"/>
      <c r="D11" s="8"/>
      <c r="E11" s="8"/>
      <c r="F11" s="2"/>
      <c r="G11" s="8"/>
      <c r="H11" s="8"/>
      <c r="I11" s="8"/>
      <c r="J11" s="8"/>
      <c r="K11" s="8"/>
      <c r="L11" s="8"/>
      <c r="M11" s="8"/>
      <c r="N11" s="8"/>
      <c r="O11" s="8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29" x14ac:dyDescent="0.25">
      <c r="A12" s="1" t="s">
        <v>42</v>
      </c>
      <c r="B12" s="1" t="str">
        <f>VLOOKUP(A12,[2]LISTADHERENT!A$5:H$52,2,0)</f>
        <v>DJOUNKEP SAMUEL</v>
      </c>
      <c r="C12" s="2">
        <f>VLOOKUP(A12,[2]FONDSDECAISSE!A$5:C$52,3,0)</f>
        <v>390000</v>
      </c>
      <c r="D12" s="2">
        <v>1055294</v>
      </c>
      <c r="E12" s="2">
        <f t="shared" si="0"/>
        <v>2001294</v>
      </c>
      <c r="F12" s="2">
        <f>INT([2]TONT20000DEC2015!E12+[2]TONT20000JANV!C12+[2]TONT20000FEV!C12+[2]TONT20000MARS!C12+[2]TONT20000AVRIL!C12+[2]TONT20000MAI!C12+[2]TONT20000JUIN!C12+[2]TONT20000JUIL!C12+[2]TONT20000AOUT!C12+[2]TONT20000SEPT!C12+[2]TONT20000OCT!C12+[2]TONT20000NOV!C12)</f>
        <v>204246</v>
      </c>
      <c r="G12" s="2">
        <f>[2]TONT20000NOV!E12</f>
        <v>2135835.732900281</v>
      </c>
      <c r="H12" s="2">
        <f t="shared" si="1"/>
        <v>1815540</v>
      </c>
      <c r="I12" s="2">
        <f t="shared" si="2"/>
        <v>80000</v>
      </c>
      <c r="J12" s="2">
        <f t="shared" si="3"/>
        <v>1735540</v>
      </c>
      <c r="K12" s="2">
        <v>1100000</v>
      </c>
      <c r="L12" s="2">
        <v>30000</v>
      </c>
      <c r="M12" s="2"/>
      <c r="N12" s="2">
        <v>50000</v>
      </c>
      <c r="O12" s="2">
        <f t="shared" si="4"/>
        <v>0</v>
      </c>
      <c r="P12" s="6">
        <f>[2]TONT20000DEC2015!H12+[2]TONT20000JANV!F12+[2]TONT20000FEV!F12+[2]TONT20000MARS!F12+[2]TONT20000AVRIL!F12+[2]TONT20000MAI!F12+[2]TONT20000JUIN!F12+[2]TONT20000JUIL!F12+[2]TONT20000AOUT!F12+[2]TONT20000SEPT!F12+[2]TONT20000OCT!F12+[2]TONT20000NOV!G12</f>
        <v>760000</v>
      </c>
      <c r="Q12" s="6">
        <f>[2]TONT20000DEC2015!I12+[2]TONT20000JANV!G12+[2]TONT20000FEV!G12+[2]TONT20000MARS!G12+[2]TONT20000AVRIL!G12+[2]TONT20000MAI!G12+[2]TONT20000JUIN!G12+[2]TONT20000JUIL!G12+[2]TONT20000AOUT!G12+[2]TONT20000SEPT!G12+[2]TONT20000OCT!G12+[2]TONT20000NOV!H12</f>
        <v>556000</v>
      </c>
      <c r="R12" s="6">
        <f>[2]TONT20000DEC2015!J12+[2]TONT20000JANV!H12+[2]TONT20000FEV!H12+[2]TONT20000MARS!H12+[2]TONT20000AVRIL!H12+[2]TONT20000MAI!H12+[2]TONT20000JUIN!H12+[2]TONT20000JUIL!H12+[2]TONT20000AOUT!H12+[2]TONT20000SEPT!H12+[2]TONT20000OCT!H12+[2]TONT20000NOV!I12</f>
        <v>6000</v>
      </c>
      <c r="S12" s="6">
        <f>[2]TONT20000DEC2015!K12+[2]TONT20000JANV!I12+[2]TONT20000FEV!I12+[2]TONT20000MARS!I12+[2]TONT20000AVRIL!I12+[2]TONT20000MAI!I12+[2]TONT20000JUIN!I12+[2]TONT20000JUIL!I12+[2]TONT20000AOUT!I12+[2]TONT20000SEPT!I12+[2]TONT20000OCT!I12+[2]TONT20000NOV!J12</f>
        <v>12000</v>
      </c>
      <c r="T12" s="6">
        <f>[2]TONT20000DEC2015!L12+[2]TONT20000JANV!J12+[2]TONT20000FEV!J12+[2]TONT20000MARS!J12+[2]TONT20000AVRIL!J12+[2]TONT20000MAI!J12+[2]TONT20000JUIN!J12+[2]TONT20000JUIL!J12+[2]TONT20000AOUT!J12+[2]TONT20000SEPT!J12+[2]TONT20000OCT!J12+[2]TONT20000NOV!K12</f>
        <v>30000</v>
      </c>
      <c r="U12" s="6">
        <f>[2]TONT20000DEC2015!M12+[2]TONT20000JANV!K12+[2]TONT20000FEV!K12+[2]TONT20000MARS!K12+[2]TONT20000AVRIL!K12+[2]TONT20000MAI!K12+[2]TONT20000JUIN!K12+[2]TONT20000JUIL!K12+[2]TONT20000AOUT!K12+[2]TONT20000SEPT!K12+[2]TONT20000OCT!K12+[2]TONT20000NOV!L12</f>
        <v>0</v>
      </c>
      <c r="V12" s="6">
        <f>[2]TONT20000DEC2015!N12+[2]TONT20000JANV!L12+[2]TONT20000FEV!L12+[2]TONT20000MARS!L12+[2]TONT20000AVRIL!L12+[2]TONT20000MAI!L12+[2]TONT20000JUIN!L12+[2]TONT20000JUIL!L12+[2]TONT20000AOUT!L12+[2]TONT20000SEPT!L12+[2]TONT20000OCT!L12+[2]TONT20000NOV!M12</f>
        <v>156000</v>
      </c>
      <c r="W12" s="6">
        <f>[2]TONT20000DEC2015!O12+[2]TONT20000JANV!M12+[2]TONT20000FEV!M12+[2]TONT20000MARS!M12+[2]TONT20000AVRIL!M12+[2]TONT20000MAI!M12+[2]TONT20000JUIN!M12+[2]TONT20000JUIL!M12+[2]TONT20000AOUT!M12+[2]TONT20000SEPT!M12+[2]TONT20000OCT!M12+[2]TONT20000NOV!N12</f>
        <v>0</v>
      </c>
      <c r="X12" s="6">
        <f>[2]TONT20000DEC2015!P12+[2]TONT20000JANV!N12+[2]TONT20000FEV!N12+[2]TONT20000MARS!N12+[2]TONT20000AVRIL!N12+[2]TONT20000MAI!N12+[2]TONT20000JUIN!N12+[2]TONT20000JUIL!N12+[2]TONT20000AOUT!N12+[2]TONT20000SEPT!N12+[2]TONT20000OCT!N12+[2]TONT20000NOV!O12</f>
        <v>0</v>
      </c>
      <c r="Y12" s="6">
        <f>[2]TONT20000DEC2015!Q12+[2]TONT20000JANV!O12+[2]TONT20000FEV!O12+[2]TONT20000MARS!O12+[2]TONT20000AVRIL!O12+[2]TONT20000MAI!O12+[2]TONT20000JUIN!O12+[2]TONT20000JUIL!O12+[2]TONT20000AOUT!O12+[2]TONT20000SEPT!O12+[2]TONT20000OCT!O12+[2]TONT20000NOV!P12</f>
        <v>0</v>
      </c>
      <c r="Z12" s="6">
        <f>[2]TONT20000DEC2015!R12+[2]TONT20000JANV!P12+[2]TONT20000FEV!P12+[2]TONT20000MARS!P12+[2]TONT20000AVRIL!P12+[2]TONT20000MAI!P12+[2]TONT20000JUIN!P12+[2]TONT20000JUIL!P12+[2]TONT20000AOUT!P12+[2]TONT20000SEPT!P12+[2]TONT20000OCT!P12+[2]TONT20000NOV!Q12</f>
        <v>0</v>
      </c>
      <c r="AA12" s="6">
        <f>[2]TONT20000DEC2015!S12+[2]TONT20000JANV!Q12+[2]TONT20000FEV!Q12+[2]TONT20000MARS!Q12+[2]TONT20000AVRIL!Q12+[2]TONT20000MAI!Q12+[2]TONT20000JUIN!Q12+[2]TONT20000JUIL!Q12+[2]TONT20000AOUT!Q12+[2]TONT20000SEPT!Q12+[2]TONT20000OCT!Q12+[2]TONT20000NOV!R12</f>
        <v>0</v>
      </c>
      <c r="AB12" s="6">
        <f>[2]TONT20000DEC2015!T12+[2]TONT20000JANV!R12+[2]TONT20000FEV!R12+[2]TONT20000MARS!R12+[2]TONT20000AVRIL!R12+[2]TONT20000MAI!R12+[2]TONT20000JUIN!R12+[2]TONT20000JUIL!R12+[2]TONT20000AOUT!R12+[2]TONT20000SEPT!R12+[2]TONT20000OCT!R12+[2]TONT20000NOV!S12</f>
        <v>0</v>
      </c>
    </row>
    <row r="13" spans="1:29" x14ac:dyDescent="0.25">
      <c r="A13" s="1" t="s">
        <v>43</v>
      </c>
      <c r="B13" s="1" t="str">
        <f>VLOOKUP(A13,[2]LISTADHERENT!A$5:H$52,2,0)</f>
        <v>DJUOMBESSY ANTOINE</v>
      </c>
      <c r="C13" s="2">
        <v>390000</v>
      </c>
      <c r="D13" s="2">
        <v>0</v>
      </c>
      <c r="E13" s="2">
        <f t="shared" si="0"/>
        <v>457560</v>
      </c>
      <c r="F13" s="2">
        <f>INT([2]TONT20000DEC2015!E13+[2]TONT20000JANV!C13+[2]TONT20000FEV!C13+[2]TONT20000MARS!C13+[2]TONT20000AVRIL!C13+[2]TONT20000MAI!C13+[2]TONT20000JUIN!C13+[2]TONT20000JUIL!C13+[2]TONT20000AOUT!C13+[2]TONT20000SEPT!C13+[2]TONT20000OCT!C13+[2]TONT20000NOV!C13)</f>
        <v>43186</v>
      </c>
      <c r="G13" s="2">
        <f>[2]TONT20000NOV!E13</f>
        <v>500746.2480208117</v>
      </c>
      <c r="H13" s="2">
        <f t="shared" si="1"/>
        <v>110746</v>
      </c>
      <c r="I13" s="2">
        <f t="shared" si="2"/>
        <v>80000</v>
      </c>
      <c r="J13" s="2">
        <f t="shared" si="3"/>
        <v>30746</v>
      </c>
      <c r="K13" s="2">
        <v>28000</v>
      </c>
      <c r="L13" s="2">
        <v>30000</v>
      </c>
      <c r="M13" s="2"/>
      <c r="N13" s="2">
        <v>50000</v>
      </c>
      <c r="O13" s="2">
        <f t="shared" si="4"/>
        <v>0</v>
      </c>
      <c r="P13" s="6">
        <f>[2]TONT20000DEC2015!H13+[2]TONT20000JANV!F13+[2]TONT20000FEV!F13+[2]TONT20000MARS!F13+[2]TONT20000AVRIL!F13+[2]TONT20000MAI!F13+[2]TONT20000JUIN!F13+[2]TONT20000JUIL!F13+[2]TONT20000AOUT!F13+[2]TONT20000SEPT!F13+[2]TONT20000OCT!F13+[2]TONT20000NOV!G13</f>
        <v>271560</v>
      </c>
      <c r="Q13" s="6">
        <f>[2]TONT20000DEC2015!I13+[2]TONT20000JANV!G13+[2]TONT20000FEV!G13+[2]TONT20000MARS!G13+[2]TONT20000AVRIL!G13+[2]TONT20000MAI!G13+[2]TONT20000JUIN!G13+[2]TONT20000JUIL!G13+[2]TONT20000AOUT!G13+[2]TONT20000SEPT!G13+[2]TONT20000OCT!G13+[2]TONT20000NOV!H13</f>
        <v>67560</v>
      </c>
      <c r="R13" s="6">
        <f>[2]TONT20000DEC2015!J13+[2]TONT20000JANV!H13+[2]TONT20000FEV!H13+[2]TONT20000MARS!H13+[2]TONT20000AVRIL!H13+[2]TONT20000MAI!H13+[2]TONT20000JUIN!H13+[2]TONT20000JUIL!H13+[2]TONT20000AOUT!H13+[2]TONT20000SEPT!H13+[2]TONT20000OCT!H13+[2]TONT20000NOV!I13</f>
        <v>6000</v>
      </c>
      <c r="S13" s="6">
        <f>[2]TONT20000DEC2015!K13+[2]TONT20000JANV!I13+[2]TONT20000FEV!I13+[2]TONT20000MARS!I13+[2]TONT20000AVRIL!I13+[2]TONT20000MAI!I13+[2]TONT20000JUIN!I13+[2]TONT20000JUIL!I13+[2]TONT20000AOUT!I13+[2]TONT20000SEPT!I13+[2]TONT20000OCT!I13+[2]TONT20000NOV!J13</f>
        <v>12000</v>
      </c>
      <c r="T13" s="6">
        <f>[2]TONT20000DEC2015!L13+[2]TONT20000JANV!J13+[2]TONT20000FEV!J13+[2]TONT20000MARS!J13+[2]TONT20000AVRIL!J13+[2]TONT20000MAI!J13+[2]TONT20000JUIN!J13+[2]TONT20000JUIL!J13+[2]TONT20000AOUT!J13+[2]TONT20000SEPT!J13+[2]TONT20000OCT!J13+[2]TONT20000NOV!K13</f>
        <v>30000</v>
      </c>
      <c r="U13" s="6">
        <f>[2]TONT20000DEC2015!M13+[2]TONT20000JANV!K13+[2]TONT20000FEV!K13+[2]TONT20000MARS!K13+[2]TONT20000AVRIL!K13+[2]TONT20000MAI!K13+[2]TONT20000JUIN!K13+[2]TONT20000JUIL!K13+[2]TONT20000AOUT!K13+[2]TONT20000SEPT!K13+[2]TONT20000OCT!K13+[2]TONT20000NOV!L13</f>
        <v>0</v>
      </c>
      <c r="V13" s="6">
        <f>[2]TONT20000DEC2015!N13+[2]TONT20000JANV!L13+[2]TONT20000FEV!L13+[2]TONT20000MARS!L13+[2]TONT20000AVRIL!L13+[2]TONT20000MAI!L13+[2]TONT20000JUIN!L13+[2]TONT20000JUIL!L13+[2]TONT20000AOUT!L13+[2]TONT20000SEPT!L13+[2]TONT20000OCT!L13+[2]TONT20000NOV!M13</f>
        <v>156000</v>
      </c>
      <c r="W13" s="6">
        <f>[2]TONT20000DEC2015!O13+[2]TONT20000JANV!M13+[2]TONT20000FEV!M13+[2]TONT20000MARS!M13+[2]TONT20000AVRIL!M13+[2]TONT20000MAI!M13+[2]TONT20000JUIN!M13+[2]TONT20000JUIL!M13+[2]TONT20000AOUT!M13+[2]TONT20000SEPT!M13+[2]TONT20000OCT!M13+[2]TONT20000NOV!N13</f>
        <v>700000</v>
      </c>
      <c r="X13" s="6">
        <f>[2]TONT20000DEC2015!P13+[2]TONT20000JANV!N13+[2]TONT20000FEV!N13+[2]TONT20000MARS!N13+[2]TONT20000AVRIL!N13+[2]TONT20000MAI!N13+[2]TONT20000JUIN!N13+[2]TONT20000JUIL!N13+[2]TONT20000AOUT!N13+[2]TONT20000SEPT!N13+[2]TONT20000OCT!N13+[2]TONT20000NOV!O13</f>
        <v>84000</v>
      </c>
      <c r="Y13" s="6">
        <f>[2]TONT20000DEC2015!Q13+[2]TONT20000JANV!O13+[2]TONT20000FEV!O13+[2]TONT20000MARS!O13+[2]TONT20000AVRIL!O13+[2]TONT20000MAI!O13+[2]TONT20000JUIN!O13+[2]TONT20000JUIL!O13+[2]TONT20000AOUT!O13+[2]TONT20000SEPT!O13+[2]TONT20000OCT!O13+[2]TONT20000NOV!P13</f>
        <v>0</v>
      </c>
      <c r="Z13" s="6">
        <f>[2]TONT20000DEC2015!R13+[2]TONT20000JANV!P13+[2]TONT20000FEV!P13+[2]TONT20000MARS!P13+[2]TONT20000AVRIL!P13+[2]TONT20000MAI!P13+[2]TONT20000JUIN!P13+[2]TONT20000JUIL!P13+[2]TONT20000AOUT!P13+[2]TONT20000SEPT!P13+[2]TONT20000OCT!P13+[2]TONT20000NOV!Q13</f>
        <v>0</v>
      </c>
      <c r="AA13" s="6">
        <f>[2]TONT20000DEC2015!S13+[2]TONT20000JANV!Q13+[2]TONT20000FEV!Q13+[2]TONT20000MARS!Q13+[2]TONT20000AVRIL!Q13+[2]TONT20000MAI!Q13+[2]TONT20000JUIN!Q13+[2]TONT20000JUIL!Q13+[2]TONT20000AOUT!Q13+[2]TONT20000SEPT!Q13+[2]TONT20000OCT!Q13+[2]TONT20000NOV!R13</f>
        <v>48440</v>
      </c>
      <c r="AB13" s="6">
        <f>[2]TONT20000DEC2015!T13+[2]TONT20000JANV!R13+[2]TONT20000FEV!R13+[2]TONT20000MARS!R13+[2]TONT20000AVRIL!R13+[2]TONT20000MAI!R13+[2]TONT20000JUIN!R13+[2]TONT20000JUIL!R13+[2]TONT20000AOUT!R13+[2]TONT20000SEPT!R13+[2]TONT20000OCT!R13+[2]TONT20000NOV!S13</f>
        <v>0</v>
      </c>
    </row>
    <row r="14" spans="1:29" x14ac:dyDescent="0.25">
      <c r="A14" s="1" t="s">
        <v>44</v>
      </c>
      <c r="B14" s="1" t="str">
        <f>VLOOKUP(A14,[2]LISTADHERENT!A$5:H$52,2,0)</f>
        <v>DONHOU DAVID</v>
      </c>
      <c r="C14" s="2">
        <f>VLOOKUP(A14,[2]FONDSDECAISSE!A$5:C$52,3,0)</f>
        <v>390000</v>
      </c>
      <c r="D14" s="2">
        <v>44734</v>
      </c>
      <c r="E14" s="2">
        <f t="shared" si="0"/>
        <v>470734</v>
      </c>
      <c r="F14" s="2">
        <f>INT([2]TONT20000DEC2015!E14+[2]TONT20000JANV!C14+[2]TONT20000FEV!C14+[2]TONT20000MARS!C14+[2]TONT20000AVRIL!C14+[2]TONT20000MAI!C14+[2]TONT20000JUIN!C14+[2]TONT20000JUIL!C14+[2]TONT20000AOUT!C14+[2]TONT20000SEPT!C14+[2]TONT20000OCT!C14+[2]TONT20000NOV!C14)</f>
        <v>53014</v>
      </c>
      <c r="G14" s="2">
        <f>[2]TONT20000NOV!E14</f>
        <v>523748.4932838293</v>
      </c>
      <c r="H14" s="2">
        <f t="shared" si="1"/>
        <v>133748</v>
      </c>
      <c r="I14" s="2">
        <f t="shared" si="2"/>
        <v>80000</v>
      </c>
      <c r="J14" s="2">
        <f t="shared" si="3"/>
        <v>53748</v>
      </c>
      <c r="K14" s="2">
        <v>0</v>
      </c>
      <c r="L14" s="2">
        <v>30000</v>
      </c>
      <c r="M14" s="2"/>
      <c r="N14" s="2">
        <v>50000</v>
      </c>
      <c r="O14" s="2">
        <f t="shared" si="4"/>
        <v>0</v>
      </c>
      <c r="P14" s="6">
        <f>[2]TONT20000DEC2015!H14+[2]TONT20000JANV!F14+[2]TONT20000FEV!F14+[2]TONT20000MARS!F14+[2]TONT20000AVRIL!F14+[2]TONT20000MAI!F14+[2]TONT20000JUIN!F14+[2]TONT20000JUIL!F14+[2]TONT20000AOUT!F14+[2]TONT20000SEPT!F14+[2]TONT20000OCT!F14+[2]TONT20000NOV!G14</f>
        <v>240000</v>
      </c>
      <c r="Q14" s="6">
        <f>[2]TONT20000DEC2015!I14+[2]TONT20000JANV!G14+[2]TONT20000FEV!G14+[2]TONT20000MARS!G14+[2]TONT20000AVRIL!G14+[2]TONT20000MAI!G14+[2]TONT20000JUIN!G14+[2]TONT20000JUIL!G14+[2]TONT20000AOUT!G14+[2]TONT20000SEPT!G14+[2]TONT20000OCT!G14+[2]TONT20000NOV!H14</f>
        <v>36000</v>
      </c>
      <c r="R14" s="6">
        <f>[2]TONT20000DEC2015!J14+[2]TONT20000JANV!H14+[2]TONT20000FEV!H14+[2]TONT20000MARS!H14+[2]TONT20000AVRIL!H14+[2]TONT20000MAI!H14+[2]TONT20000JUIN!H14+[2]TONT20000JUIL!H14+[2]TONT20000AOUT!H14+[2]TONT20000SEPT!H14+[2]TONT20000OCT!H14+[2]TONT20000NOV!I14</f>
        <v>6000</v>
      </c>
      <c r="S14" s="6">
        <f>[2]TONT20000DEC2015!K14+[2]TONT20000JANV!I14+[2]TONT20000FEV!I14+[2]TONT20000MARS!I14+[2]TONT20000AVRIL!I14+[2]TONT20000MAI!I14+[2]TONT20000JUIN!I14+[2]TONT20000JUIL!I14+[2]TONT20000AOUT!I14+[2]TONT20000SEPT!I14+[2]TONT20000OCT!I14+[2]TONT20000NOV!J14</f>
        <v>12000</v>
      </c>
      <c r="T14" s="6">
        <f>[2]TONT20000DEC2015!L14+[2]TONT20000JANV!J14+[2]TONT20000FEV!J14+[2]TONT20000MARS!J14+[2]TONT20000AVRIL!J14+[2]TONT20000MAI!J14+[2]TONT20000JUIN!J14+[2]TONT20000JUIL!J14+[2]TONT20000AOUT!J14+[2]TONT20000SEPT!J14+[2]TONT20000OCT!J14+[2]TONT20000NOV!K14</f>
        <v>30000</v>
      </c>
      <c r="U14" s="6">
        <f>[2]TONT20000DEC2015!M14+[2]TONT20000JANV!K14+[2]TONT20000FEV!K14+[2]TONT20000MARS!K14+[2]TONT20000AVRIL!K14+[2]TONT20000MAI!K14+[2]TONT20000JUIN!K14+[2]TONT20000JUIL!K14+[2]TONT20000AOUT!K14+[2]TONT20000SEPT!K14+[2]TONT20000OCT!K14+[2]TONT20000NOV!L14</f>
        <v>0</v>
      </c>
      <c r="V14" s="6">
        <f>[2]TONT20000DEC2015!N14+[2]TONT20000JANV!L14+[2]TONT20000FEV!L14+[2]TONT20000MARS!L14+[2]TONT20000AVRIL!L14+[2]TONT20000MAI!L14+[2]TONT20000JUIN!L14+[2]TONT20000JUIL!L14+[2]TONT20000AOUT!L14+[2]TONT20000SEPT!L14+[2]TONT20000OCT!L14+[2]TONT20000NOV!M14</f>
        <v>156000</v>
      </c>
      <c r="W14" s="6">
        <f>[2]TONT20000DEC2015!O14+[2]TONT20000JANV!M14+[2]TONT20000FEV!M14+[2]TONT20000MARS!M14+[2]TONT20000AVRIL!M14+[2]TONT20000MAI!M14+[2]TONT20000JUIN!M14+[2]TONT20000JUIL!M14+[2]TONT20000AOUT!M14+[2]TONT20000SEPT!M14+[2]TONT20000OCT!M14+[2]TONT20000NOV!N14</f>
        <v>0</v>
      </c>
      <c r="X14" s="6">
        <f>[2]TONT20000DEC2015!P14+[2]TONT20000JANV!N14+[2]TONT20000FEV!N14+[2]TONT20000MARS!N14+[2]TONT20000AVRIL!N14+[2]TONT20000MAI!N14+[2]TONT20000JUIN!N14+[2]TONT20000JUIL!N14+[2]TONT20000AOUT!N14+[2]TONT20000SEPT!N14+[2]TONT20000OCT!N14+[2]TONT20000NOV!O14</f>
        <v>0</v>
      </c>
      <c r="Y14" s="6">
        <f>[2]TONT20000DEC2015!Q14+[2]TONT20000JANV!O14+[2]TONT20000FEV!O14+[2]TONT20000MARS!O14+[2]TONT20000AVRIL!O14+[2]TONT20000MAI!O14+[2]TONT20000JUIN!O14+[2]TONT20000JUIL!O14+[2]TONT20000AOUT!O14+[2]TONT20000SEPT!O14+[2]TONT20000OCT!O14+[2]TONT20000NOV!P14</f>
        <v>0</v>
      </c>
      <c r="Z14" s="6">
        <f>[2]TONT20000DEC2015!R14+[2]TONT20000JANV!P14+[2]TONT20000FEV!P14+[2]TONT20000MARS!P14+[2]TONT20000AVRIL!P14+[2]TONT20000MAI!P14+[2]TONT20000JUIN!P14+[2]TONT20000JUIL!P14+[2]TONT20000AOUT!P14+[2]TONT20000SEPT!P14+[2]TONT20000OCT!P14+[2]TONT20000NOV!Q14</f>
        <v>0</v>
      </c>
      <c r="AA14" s="6">
        <f>[2]TONT20000DEC2015!S14+[2]TONT20000JANV!Q14+[2]TONT20000FEV!Q14+[2]TONT20000MARS!Q14+[2]TONT20000AVRIL!Q14+[2]TONT20000MAI!Q14+[2]TONT20000JUIN!Q14+[2]TONT20000JUIL!Q14+[2]TONT20000AOUT!Q14+[2]TONT20000SEPT!Q14+[2]TONT20000OCT!Q14+[2]TONT20000NOV!R14</f>
        <v>0</v>
      </c>
      <c r="AB14" s="6">
        <f>[2]TONT20000DEC2015!T14+[2]TONT20000JANV!R14+[2]TONT20000FEV!R14+[2]TONT20000MARS!R14+[2]TONT20000AVRIL!R14+[2]TONT20000MAI!R14+[2]TONT20000JUIN!R14+[2]TONT20000JUIL!R14+[2]TONT20000AOUT!R14+[2]TONT20000SEPT!R14+[2]TONT20000OCT!R14+[2]TONT20000NOV!S14</f>
        <v>0</v>
      </c>
      <c r="AC14" s="3"/>
    </row>
    <row r="15" spans="1:29" x14ac:dyDescent="0.25">
      <c r="A15" s="1" t="s">
        <v>45</v>
      </c>
      <c r="B15" s="1" t="str">
        <f>VLOOKUP(A15,[2]LISTADHERENT!A$5:H$52,2,0)</f>
        <v>FOTSO THOMAS</v>
      </c>
      <c r="C15" s="2">
        <f>VLOOKUP(A15,[2]FONDSDECAISSE!A$5:C$52,3,0)</f>
        <v>390000</v>
      </c>
      <c r="D15" s="2">
        <v>3318</v>
      </c>
      <c r="E15" s="2">
        <f t="shared" si="0"/>
        <v>429318</v>
      </c>
      <c r="F15" s="2">
        <f>INT([2]TONT20000DEC2015!E15+[2]TONT20000JANV!C15+[2]TONT20000FEV!C15+[2]TONT20000MARS!C15+[2]TONT20000AVRIL!C15+[2]TONT20000MAI!C15+[2]TONT20000JUIN!C15+[2]TONT20000JUIL!C15+[2]TONT20000AOUT!C15+[2]TONT20000SEPT!C15+[2]TONT20000OCT!C15+[2]TONT20000NOV!C15)</f>
        <v>48204</v>
      </c>
      <c r="G15" s="2">
        <f>[2]TONT20000NOV!E15</f>
        <v>477522.02832452004</v>
      </c>
      <c r="H15" s="2">
        <f t="shared" si="1"/>
        <v>87522</v>
      </c>
      <c r="I15" s="2">
        <f t="shared" si="2"/>
        <v>80000</v>
      </c>
      <c r="J15" s="2">
        <f t="shared" si="3"/>
        <v>7522</v>
      </c>
      <c r="K15" s="2">
        <v>5000</v>
      </c>
      <c r="L15" s="2">
        <v>30000</v>
      </c>
      <c r="M15" s="2"/>
      <c r="N15" s="2">
        <v>50000</v>
      </c>
      <c r="O15" s="2">
        <f t="shared" si="4"/>
        <v>0</v>
      </c>
      <c r="P15" s="6">
        <f>[2]TONT20000DEC2015!H15+[2]TONT20000JANV!F15+[2]TONT20000FEV!F15+[2]TONT20000MARS!F15+[2]TONT20000AVRIL!F15+[2]TONT20000MAI!F15+[2]TONT20000JUIN!F15+[2]TONT20000JUIL!F15+[2]TONT20000AOUT!F15+[2]TONT20000SEPT!F15+[2]TONT20000OCT!F15+[2]TONT20000NOV!G15</f>
        <v>240000</v>
      </c>
      <c r="Q15" s="6">
        <f>[2]TONT20000DEC2015!I15+[2]TONT20000JANV!G15+[2]TONT20000FEV!G15+[2]TONT20000MARS!G15+[2]TONT20000AVRIL!G15+[2]TONT20000MAI!G15+[2]TONT20000JUIN!G15+[2]TONT20000JUIL!G15+[2]TONT20000AOUT!G15+[2]TONT20000SEPT!G15+[2]TONT20000OCT!G15+[2]TONT20000NOV!H15</f>
        <v>36000</v>
      </c>
      <c r="R15" s="6">
        <f>[2]TONT20000DEC2015!J15+[2]TONT20000JANV!H15+[2]TONT20000FEV!H15+[2]TONT20000MARS!H15+[2]TONT20000AVRIL!H15+[2]TONT20000MAI!H15+[2]TONT20000JUIN!H15+[2]TONT20000JUIL!H15+[2]TONT20000AOUT!H15+[2]TONT20000SEPT!H15+[2]TONT20000OCT!H15+[2]TONT20000NOV!I15</f>
        <v>6000</v>
      </c>
      <c r="S15" s="6">
        <f>[2]TONT20000DEC2015!K15+[2]TONT20000JANV!I15+[2]TONT20000FEV!I15+[2]TONT20000MARS!I15+[2]TONT20000AVRIL!I15+[2]TONT20000MAI!I15+[2]TONT20000JUIN!I15+[2]TONT20000JUIL!I15+[2]TONT20000AOUT!I15+[2]TONT20000SEPT!I15+[2]TONT20000OCT!I15+[2]TONT20000NOV!J15</f>
        <v>12000</v>
      </c>
      <c r="T15" s="6">
        <f>[2]TONT20000DEC2015!L15+[2]TONT20000JANV!J15+[2]TONT20000FEV!J15+[2]TONT20000MARS!J15+[2]TONT20000AVRIL!J15+[2]TONT20000MAI!J15+[2]TONT20000JUIN!J15+[2]TONT20000JUIL!J15+[2]TONT20000AOUT!J15+[2]TONT20000SEPT!J15+[2]TONT20000OCT!J15+[2]TONT20000NOV!K15</f>
        <v>30000</v>
      </c>
      <c r="U15" s="6">
        <f>[2]TONT20000DEC2015!M15+[2]TONT20000JANV!K15+[2]TONT20000FEV!K15+[2]TONT20000MARS!K15+[2]TONT20000AVRIL!K15+[2]TONT20000MAI!K15+[2]TONT20000JUIN!K15+[2]TONT20000JUIL!K15+[2]TONT20000AOUT!K15+[2]TONT20000SEPT!K15+[2]TONT20000OCT!K15+[2]TONT20000NOV!L15</f>
        <v>0</v>
      </c>
      <c r="V15" s="6">
        <f>[2]TONT20000DEC2015!N15+[2]TONT20000JANV!L15+[2]TONT20000FEV!L15+[2]TONT20000MARS!L15+[2]TONT20000AVRIL!L15+[2]TONT20000MAI!L15+[2]TONT20000JUIN!L15+[2]TONT20000JUIL!L15+[2]TONT20000AOUT!L15+[2]TONT20000SEPT!L15+[2]TONT20000OCT!L15+[2]TONT20000NOV!M15</f>
        <v>156000</v>
      </c>
      <c r="W15" s="6">
        <f>[2]TONT20000DEC2015!O15+[2]TONT20000JANV!M15+[2]TONT20000FEV!M15+[2]TONT20000MARS!M15+[2]TONT20000AVRIL!M15+[2]TONT20000MAI!M15+[2]TONT20000JUIN!M15+[2]TONT20000JUIL!M15+[2]TONT20000AOUT!M15+[2]TONT20000SEPT!M15+[2]TONT20000OCT!M15+[2]TONT20000NOV!N15</f>
        <v>1000000</v>
      </c>
      <c r="X15" s="6">
        <f>[2]TONT20000DEC2015!P15+[2]TONT20000JANV!N15+[2]TONT20000FEV!N15+[2]TONT20000MARS!N15+[2]TONT20000AVRIL!N15+[2]TONT20000MAI!N15+[2]TONT20000JUIN!N15+[2]TONT20000JUIL!N15+[2]TONT20000AOUT!N15+[2]TONT20000SEPT!N15+[2]TONT20000OCT!N15+[2]TONT20000NOV!O15</f>
        <v>120000</v>
      </c>
      <c r="Y15" s="6">
        <f>[2]TONT20000DEC2015!Q15+[2]TONT20000JANV!O15+[2]TONT20000FEV!O15+[2]TONT20000MARS!O15+[2]TONT20000AVRIL!O15+[2]TONT20000MAI!O15+[2]TONT20000JUIN!O15+[2]TONT20000JUIL!O15+[2]TONT20000AOUT!O15+[2]TONT20000SEPT!O15+[2]TONT20000OCT!O15+[2]TONT20000NOV!P15</f>
        <v>0</v>
      </c>
      <c r="Z15" s="6">
        <f>[2]TONT20000DEC2015!R15+[2]TONT20000JANV!P15+[2]TONT20000FEV!P15+[2]TONT20000MARS!P15+[2]TONT20000AVRIL!P15+[2]TONT20000MAI!P15+[2]TONT20000JUIN!P15+[2]TONT20000JUIL!P15+[2]TONT20000AOUT!P15+[2]TONT20000SEPT!P15+[2]TONT20000OCT!P15+[2]TONT20000NOV!Q15</f>
        <v>0</v>
      </c>
      <c r="AA15" s="6">
        <f>[2]TONT20000DEC2015!S15+[2]TONT20000JANV!Q15+[2]TONT20000FEV!Q15+[2]TONT20000MARS!Q15+[2]TONT20000AVRIL!Q15+[2]TONT20000MAI!Q15+[2]TONT20000JUIN!Q15+[2]TONT20000JUIL!Q15+[2]TONT20000AOUT!Q15+[2]TONT20000SEPT!Q15+[2]TONT20000OCT!Q15+[2]TONT20000NOV!R15</f>
        <v>0</v>
      </c>
      <c r="AB15" s="6">
        <f>[2]TONT20000DEC2015!T15+[2]TONT20000JANV!R15+[2]TONT20000FEV!R15+[2]TONT20000MARS!R15+[2]TONT20000AVRIL!R15+[2]TONT20000MAI!R15+[2]TONT20000JUIN!R15+[2]TONT20000JUIL!R15+[2]TONT20000AOUT!R15+[2]TONT20000SEPT!R15+[2]TONT20000OCT!R15+[2]TONT20000NOV!S15</f>
        <v>0</v>
      </c>
      <c r="AC15" s="3"/>
    </row>
    <row r="16" spans="1:29" x14ac:dyDescent="0.25">
      <c r="A16" s="1" t="s">
        <v>46</v>
      </c>
      <c r="B16" s="1" t="str">
        <f>VLOOKUP(A16,[2]LISTADHERENT!A$5:H$52,2,0)</f>
        <v>HENGUE PAUL OMER</v>
      </c>
      <c r="C16" s="2">
        <f>VLOOKUP(A16,[2]FONDSDECAISSE!A$5:C$52,3,0)</f>
        <v>390000</v>
      </c>
      <c r="D16" s="2"/>
      <c r="E16" s="2">
        <f t="shared" si="0"/>
        <v>420000</v>
      </c>
      <c r="F16" s="2">
        <f>INT([2]TONT20000DEC2015!E16+[2]TONT20000JANV!C16+[2]TONT20000FEV!C16+[2]TONT20000MARS!C16+[2]TONT20000AVRIL!C16+[2]TONT20000MAI!C16+[2]TONT20000JUIN!C16+[2]TONT20000JUIL!C16+[2]TONT20000AOUT!C16+[2]TONT20000SEPT!C16+[2]TONT20000OCT!C16+[2]TONT20000NOV!C16)</f>
        <v>47702</v>
      </c>
      <c r="G16" s="2">
        <f>[2]TONT20000NOV!E16</f>
        <v>467702.04132519802</v>
      </c>
      <c r="H16" s="2">
        <f t="shared" si="1"/>
        <v>77702</v>
      </c>
      <c r="I16" s="2">
        <f t="shared" si="2"/>
        <v>88000</v>
      </c>
      <c r="J16" s="2">
        <f t="shared" si="3"/>
        <v>-10298</v>
      </c>
      <c r="K16" s="2">
        <v>0</v>
      </c>
      <c r="L16" s="2">
        <v>30000</v>
      </c>
      <c r="M16" s="2"/>
      <c r="N16" s="2">
        <v>50000</v>
      </c>
      <c r="O16" s="2">
        <f t="shared" si="4"/>
        <v>8000</v>
      </c>
      <c r="P16" s="6">
        <f>[2]TONT20000DEC2015!H16+[2]TONT20000JANV!F16+[2]TONT20000FEV!F16+[2]TONT20000MARS!F16+[2]TONT20000AVRIL!F16+[2]TONT20000MAI!F16+[2]TONT20000JUIN!F16+[2]TONT20000JUIL!F16+[2]TONT20000AOUT!F16+[2]TONT20000SEPT!F16+[2]TONT20000OCT!F16+[2]TONT20000NOV!G16</f>
        <v>200000</v>
      </c>
      <c r="Q16" s="6">
        <f>[2]TONT20000DEC2015!I16+[2]TONT20000JANV!G16+[2]TONT20000FEV!G16+[2]TONT20000MARS!G16+[2]TONT20000AVRIL!G16+[2]TONT20000MAI!G16+[2]TONT20000JUIN!G16+[2]TONT20000JUIL!G16+[2]TONT20000AOUT!G16+[2]TONT20000SEPT!G16+[2]TONT20000OCT!G16+[2]TONT20000NOV!H16</f>
        <v>30000</v>
      </c>
      <c r="R16" s="6">
        <f>[2]TONT20000DEC2015!J16+[2]TONT20000JANV!H16+[2]TONT20000FEV!H16+[2]TONT20000MARS!H16+[2]TONT20000AVRIL!H16+[2]TONT20000MAI!H16+[2]TONT20000JUIN!H16+[2]TONT20000JUIL!H16+[2]TONT20000AOUT!H16+[2]TONT20000SEPT!H16+[2]TONT20000OCT!H16+[2]TONT20000NOV!I16</f>
        <v>5000</v>
      </c>
      <c r="S16" s="6">
        <f>[2]TONT20000DEC2015!K16+[2]TONT20000JANV!I16+[2]TONT20000FEV!I16+[2]TONT20000MARS!I16+[2]TONT20000AVRIL!I16+[2]TONT20000MAI!I16+[2]TONT20000JUIN!I16+[2]TONT20000JUIL!I16+[2]TONT20000AOUT!I16+[2]TONT20000SEPT!I16+[2]TONT20000OCT!I16+[2]TONT20000NOV!J16</f>
        <v>10000</v>
      </c>
      <c r="T16" s="6">
        <f>[2]TONT20000DEC2015!L16+[2]TONT20000JANV!J16+[2]TONT20000FEV!J16+[2]TONT20000MARS!J16+[2]TONT20000AVRIL!J16+[2]TONT20000MAI!J16+[2]TONT20000JUIN!J16+[2]TONT20000JUIL!J16+[2]TONT20000AOUT!J16+[2]TONT20000SEPT!J16+[2]TONT20000OCT!J16+[2]TONT20000NOV!K16</f>
        <v>25000</v>
      </c>
      <c r="U16" s="6">
        <f>[2]TONT20000DEC2015!M16+[2]TONT20000JANV!K16+[2]TONT20000FEV!K16+[2]TONT20000MARS!K16+[2]TONT20000AVRIL!K16+[2]TONT20000MAI!K16+[2]TONT20000JUIN!K16+[2]TONT20000JUIL!K16+[2]TONT20000AOUT!K16+[2]TONT20000SEPT!K16+[2]TONT20000OCT!K16+[2]TONT20000NOV!L16</f>
        <v>0</v>
      </c>
      <c r="V16" s="6">
        <f>[2]TONT20000DEC2015!N16+[2]TONT20000JANV!L16+[2]TONT20000FEV!L16+[2]TONT20000MARS!L16+[2]TONT20000AVRIL!L16+[2]TONT20000MAI!L16+[2]TONT20000JUIN!L16+[2]TONT20000JUIL!L16+[2]TONT20000AOUT!L16+[2]TONT20000SEPT!L16+[2]TONT20000OCT!L16+[2]TONT20000NOV!M16</f>
        <v>130000</v>
      </c>
      <c r="W16" s="6">
        <f>[2]TONT20000DEC2015!O16+[2]TONT20000JANV!M16+[2]TONT20000FEV!M16+[2]TONT20000MARS!M16+[2]TONT20000AVRIL!M16+[2]TONT20000MAI!M16+[2]TONT20000JUIN!M16+[2]TONT20000JUIL!M16+[2]TONT20000AOUT!M16+[2]TONT20000SEPT!M16+[2]TONT20000OCT!M16+[2]TONT20000NOV!N16</f>
        <v>0</v>
      </c>
      <c r="X16" s="6">
        <f>[2]TONT20000DEC2015!P16+[2]TONT20000JANV!N16+[2]TONT20000FEV!N16+[2]TONT20000MARS!N16+[2]TONT20000AVRIL!N16+[2]TONT20000MAI!N16+[2]TONT20000JUIN!N16+[2]TONT20000JUIL!N16+[2]TONT20000AOUT!N16+[2]TONT20000SEPT!N16+[2]TONT20000OCT!N16+[2]TONT20000NOV!O16</f>
        <v>0</v>
      </c>
      <c r="Y16" s="6">
        <f>[2]TONT20000DEC2015!Q16+[2]TONT20000JANV!O16+[2]TONT20000FEV!O16+[2]TONT20000MARS!O16+[2]TONT20000AVRIL!O16+[2]TONT20000MAI!O16+[2]TONT20000JUIN!O16+[2]TONT20000JUIL!O16+[2]TONT20000AOUT!O16+[2]TONT20000SEPT!O16+[2]TONT20000OCT!O16+[2]TONT20000NOV!P16</f>
        <v>0</v>
      </c>
      <c r="Z16" s="6">
        <f>[2]TONT20000DEC2015!R16+[2]TONT20000JANV!P16+[2]TONT20000FEV!P16+[2]TONT20000MARS!P16+[2]TONT20000AVRIL!P16+[2]TONT20000MAI!P16+[2]TONT20000JUIN!P16+[2]TONT20000JUIL!P16+[2]TONT20000AOUT!P16+[2]TONT20000SEPT!P16+[2]TONT20000OCT!P16+[2]TONT20000NOV!Q16</f>
        <v>0</v>
      </c>
      <c r="AA16" s="6">
        <f>[2]TONT20000DEC2015!S16+[2]TONT20000JANV!Q16+[2]TONT20000FEV!Q16+[2]TONT20000MARS!Q16+[2]TONT20000AVRIL!Q16+[2]TONT20000MAI!Q16+[2]TONT20000JUIN!Q16+[2]TONT20000JUIL!Q16+[2]TONT20000AOUT!Q16+[2]TONT20000SEPT!Q16+[2]TONT20000OCT!Q16+[2]TONT20000NOV!R16</f>
        <v>0</v>
      </c>
      <c r="AB16" s="6">
        <f>[2]TONT20000DEC2015!T16+[2]TONT20000JANV!R16+[2]TONT20000FEV!R16+[2]TONT20000MARS!R16+[2]TONT20000AVRIL!R16+[2]TONT20000MAI!R16+[2]TONT20000JUIN!R16+[2]TONT20000JUIL!R16+[2]TONT20000AOUT!R16+[2]TONT20000SEPT!R16+[2]TONT20000OCT!R16+[2]TONT20000NOV!S16</f>
        <v>0</v>
      </c>
      <c r="AC16" s="3"/>
    </row>
    <row r="17" spans="1:29" x14ac:dyDescent="0.25">
      <c r="A17" s="1" t="s">
        <v>47</v>
      </c>
      <c r="B17" s="1" t="str">
        <f>VLOOKUP(A17,[2]LISTADHERENT!A$5:H$52,2,0)</f>
        <v>HODIEP JULES</v>
      </c>
      <c r="C17" s="2">
        <v>50000</v>
      </c>
      <c r="D17" s="2">
        <v>0</v>
      </c>
      <c r="E17" s="2">
        <f t="shared" si="0"/>
        <v>58100</v>
      </c>
      <c r="F17" s="2">
        <f>INT([2]TONT20000DEC2015!E17+[2]TONT20000JANV!C17+[2]TONT20000FEV!C17+[2]TONT20000MARS!C17+[2]TONT20000AVRIL!C17+[2]TONT20000MAI!C17+[2]TONT20000JUIN!C17+[2]TONT20000JUIL!C17+[2]TONT20000AOUT!C17+[2]TONT20000SEPT!C17+[2]TONT20000OCT!C17+[2]TONT20000NOV!C17)</f>
        <v>6252</v>
      </c>
      <c r="G17" s="2">
        <f>[2]TONT20000NOV!E17</f>
        <v>92252.382130280748</v>
      </c>
      <c r="H17" s="2">
        <f t="shared" si="1"/>
        <v>14352</v>
      </c>
      <c r="I17" s="2">
        <f t="shared" si="2"/>
        <v>14092</v>
      </c>
      <c r="J17" s="2">
        <f t="shared" si="3"/>
        <v>260</v>
      </c>
      <c r="K17" s="2">
        <v>0</v>
      </c>
      <c r="L17" s="2"/>
      <c r="M17" s="2"/>
      <c r="N17" s="2">
        <f>50000-35908</f>
        <v>14092</v>
      </c>
      <c r="O17" s="2">
        <f t="shared" si="4"/>
        <v>0</v>
      </c>
      <c r="P17" s="6">
        <f>[2]TONT20000DEC2015!H17+[2]TONT20000JANV!F17+[2]TONT20000FEV!F17+[2]TONT20000MARS!F17+[2]TONT20000AVRIL!F17+[2]TONT20000MAI!F17+[2]TONT20000JUIN!F17+[2]TONT20000JUIL!F17+[2]TONT20000AOUT!F17+[2]TONT20000SEPT!F17+[2]TONT20000OCT!F17+[2]TONT20000NOV!G17</f>
        <v>240000</v>
      </c>
      <c r="Q17" s="6">
        <f>[2]TONT20000DEC2015!I17+[2]TONT20000JANV!G17+[2]TONT20000FEV!G17+[2]TONT20000MARS!G17+[2]TONT20000AVRIL!G17+[2]TONT20000MAI!G17+[2]TONT20000JUIN!G17+[2]TONT20000JUIL!G17+[2]TONT20000AOUT!G17+[2]TONT20000SEPT!G17+[2]TONT20000OCT!G17+[2]TONT20000NOV!H17-18000-9900</f>
        <v>8100</v>
      </c>
      <c r="R17" s="6">
        <f>[2]TONT20000DEC2015!J17+[2]TONT20000JANV!H17+[2]TONT20000FEV!H17+[2]TONT20000MARS!H17+[2]TONT20000AVRIL!H17+[2]TONT20000MAI!H17+[2]TONT20000JUIN!H17+[2]TONT20000JUIL!H17+[2]TONT20000AOUT!H17+[2]TONT20000SEPT!H17+[2]TONT20000OCT!H17+[2]TONT20000NOV!I17</f>
        <v>6000</v>
      </c>
      <c r="S17" s="6">
        <f>[2]TONT20000DEC2015!K17+[2]TONT20000JANV!I17+[2]TONT20000FEV!I17+[2]TONT20000MARS!I17+[2]TONT20000AVRIL!I17+[2]TONT20000MAI!I17+[2]TONT20000JUIN!I17+[2]TONT20000JUIL!I17+[2]TONT20000AOUT!I17+[2]TONT20000SEPT!I17+[2]TONT20000OCT!I17+[2]TONT20000NOV!J17</f>
        <v>12000</v>
      </c>
      <c r="T17" s="6">
        <f>[2]TONT20000DEC2015!L17+[2]TONT20000JANV!J17+[2]TONT20000FEV!J17+[2]TONT20000MARS!J17+[2]TONT20000AVRIL!J17+[2]TONT20000MAI!J17+[2]TONT20000JUIN!J17+[2]TONT20000JUIL!J17+[2]TONT20000AOUT!J17+[2]TONT20000SEPT!J17+[2]TONT20000OCT!J17+[2]TONT20000NOV!K17</f>
        <v>30000</v>
      </c>
      <c r="U17" s="6">
        <f>[2]TONT20000DEC2015!M17+[2]TONT20000JANV!K17+[2]TONT20000FEV!K17+[2]TONT20000MARS!K17+[2]TONT20000AVRIL!K17+[2]TONT20000MAI!K17+[2]TONT20000JUIN!K17+[2]TONT20000JUIL!K17+[2]TONT20000AOUT!K17+[2]TONT20000SEPT!K17+[2]TONT20000OCT!K17+[2]TONT20000NOV!L17</f>
        <v>0</v>
      </c>
      <c r="V17" s="6">
        <f>[2]TONT20000DEC2015!N17+[2]TONT20000JANV!L17+[2]TONT20000FEV!L17+[2]TONT20000MARS!L17+[2]TONT20000AVRIL!L17+[2]TONT20000MAI!L17+[2]TONT20000JUIN!L17+[2]TONT20000JUIL!L17+[2]TONT20000AOUT!L17+[2]TONT20000SEPT!L17+[2]TONT20000OCT!L17+[2]TONT20000NOV!M17</f>
        <v>156000</v>
      </c>
      <c r="W17" s="6">
        <f>[2]TONT20000DEC2015!O17+[2]TONT20000JANV!M17+[2]TONT20000FEV!M17+[2]TONT20000MARS!M17+[2]TONT20000AVRIL!M17+[2]TONT20000MAI!M17+[2]TONT20000JUIN!M17+[2]TONT20000JUIL!M17+[2]TONT20000AOUT!M17+[2]TONT20000SEPT!M17+[2]TONT20000OCT!M17+[2]TONT20000NOV!N17</f>
        <v>0</v>
      </c>
      <c r="X17" s="6">
        <f>[2]TONT20000DEC2015!P17+[2]TONT20000JANV!N17+[2]TONT20000FEV!N17+[2]TONT20000MARS!N17+[2]TONT20000AVRIL!N17+[2]TONT20000MAI!N17+[2]TONT20000JUIN!N17+[2]TONT20000JUIL!N17+[2]TONT20000AOUT!N17+[2]TONT20000SEPT!N17+[2]TONT20000OCT!N17+[2]TONT20000NOV!O17</f>
        <v>0</v>
      </c>
      <c r="Y17" s="6">
        <f>[2]TONT20000DEC2015!Q17+[2]TONT20000JANV!O17+[2]TONT20000FEV!O17+[2]TONT20000MARS!O17+[2]TONT20000AVRIL!O17+[2]TONT20000MAI!O17+[2]TONT20000JUIN!O17+[2]TONT20000JUIL!O17+[2]TONT20000AOUT!O17+[2]TONT20000SEPT!O17+[2]TONT20000OCT!O17+[2]TONT20000NOV!P17</f>
        <v>0</v>
      </c>
      <c r="Z17" s="6">
        <f>[2]TONT20000DEC2015!R17+[2]TONT20000JANV!P17+[2]TONT20000FEV!P17+[2]TONT20000MARS!P17+[2]TONT20000AVRIL!P17+[2]TONT20000MAI!P17+[2]TONT20000JUIN!P17+[2]TONT20000JUIL!P17+[2]TONT20000AOUT!P17+[2]TONT20000SEPT!P17+[2]TONT20000OCT!P17+[2]TONT20000NOV!Q17</f>
        <v>0</v>
      </c>
      <c r="AA17" s="6">
        <f>[2]TONT20000DEC2015!S17+[2]TONT20000JANV!Q17+[2]TONT20000FEV!Q17+[2]TONT20000MARS!Q17+[2]TONT20000AVRIL!Q17+[2]TONT20000MAI!Q17+[2]TONT20000JUIN!Q17+[2]TONT20000JUIL!Q17+[2]TONT20000AOUT!Q17+[2]TONT20000SEPT!Q17+[2]TONT20000OCT!Q17+[2]TONT20000NOV!R17</f>
        <v>0</v>
      </c>
      <c r="AB17" s="6">
        <f>[2]TONT20000DEC2015!T17+[2]TONT20000JANV!R17+[2]TONT20000FEV!R17+[2]TONT20000MARS!R17+[2]TONT20000AVRIL!R17+[2]TONT20000MAI!R17+[2]TONT20000JUIN!R17+[2]TONT20000JUIL!R17+[2]TONT20000AOUT!R17+[2]TONT20000SEPT!R17+[2]TONT20000OCT!R17+[2]TONT20000NOV!S17</f>
        <v>0</v>
      </c>
      <c r="AC17" s="3"/>
    </row>
    <row r="18" spans="1:29" x14ac:dyDescent="0.25">
      <c r="A18" s="1" t="s">
        <v>48</v>
      </c>
      <c r="B18" s="1" t="str">
        <f>VLOOKUP(A18,[2]LISTADHERENT!A$5:H$52,2,0)</f>
        <v>HOTCHO BENJAMIN</v>
      </c>
      <c r="C18" s="2">
        <f>VLOOKUP(A18,[2]FONDSDECAISSE!A$5:C$52,3,0)</f>
        <v>390000</v>
      </c>
      <c r="D18" s="2">
        <v>8723</v>
      </c>
      <c r="E18" s="2">
        <f t="shared" si="0"/>
        <v>482723</v>
      </c>
      <c r="F18" s="2">
        <f>INT([2]TONT20000DEC2015!E18+[2]TONT20000JANV!C18+[2]TONT20000FEV!C18+[2]TONT20000MARS!C18+[2]TONT20000AVRIL!C18+[2]TONT20000MAI!C18+[2]TONT20000JUIN!C18+[2]TONT20000JUIL!C18+[2]TONT20000AOUT!C18+[2]TONT20000SEPT!C18+[2]TONT20000OCT!C18+[2]TONT20000NOV!C18)</f>
        <v>49962</v>
      </c>
      <c r="G18" s="2">
        <f>[2]TONT20000NOV!E18</f>
        <v>532685.37627619994</v>
      </c>
      <c r="H18" s="2">
        <f t="shared" si="1"/>
        <v>142685</v>
      </c>
      <c r="I18" s="2">
        <f t="shared" si="2"/>
        <v>30000</v>
      </c>
      <c r="J18" s="2">
        <f t="shared" si="3"/>
        <v>112685</v>
      </c>
      <c r="K18" s="2">
        <v>0</v>
      </c>
      <c r="L18" s="2">
        <v>30000</v>
      </c>
      <c r="M18" s="2"/>
      <c r="N18" s="2">
        <v>0</v>
      </c>
      <c r="O18" s="2">
        <f t="shared" si="4"/>
        <v>0</v>
      </c>
      <c r="P18" s="6">
        <f>[2]TONT20000DEC2015!H18+[2]TONT20000JANV!F18+[2]TONT20000FEV!F18+[2]TONT20000MARS!F18+[2]TONT20000AVRIL!F18+[2]TONT20000MAI!F18+[2]TONT20000JUIN!F18+[2]TONT20000JUIL!F18+[2]TONT20000AOUT!F18+[2]TONT20000SEPT!F18+[2]TONT20000OCT!F18+[2]TONT20000NOV!G18</f>
        <v>338000</v>
      </c>
      <c r="Q18" s="6">
        <f>[2]TONT20000DEC2015!I18+[2]TONT20000JANV!G18+[2]TONT20000FEV!G18+[2]TONT20000MARS!G18+[2]TONT20000AVRIL!G18+[2]TONT20000MAI!G18+[2]TONT20000JUIN!G18+[2]TONT20000JUIL!G18+[2]TONT20000AOUT!G18+[2]TONT20000SEPT!G18+[2]TONT20000OCT!G18+[2]TONT20000NOV!H18</f>
        <v>84000</v>
      </c>
      <c r="R18" s="6">
        <f>[2]TONT20000DEC2015!J18+[2]TONT20000JANV!H18+[2]TONT20000FEV!H18+[2]TONT20000MARS!H18+[2]TONT20000AVRIL!H18+[2]TONT20000MAI!H18+[2]TONT20000JUIN!H18+[2]TONT20000JUIL!H18+[2]TONT20000AOUT!H18+[2]TONT20000SEPT!H18+[2]TONT20000OCT!H18+[2]TONT20000NOV!I18</f>
        <v>6000</v>
      </c>
      <c r="S18" s="6">
        <f>[2]TONT20000DEC2015!K18+[2]TONT20000JANV!I18+[2]TONT20000FEV!I18+[2]TONT20000MARS!I18+[2]TONT20000AVRIL!I18+[2]TONT20000MAI!I18+[2]TONT20000JUIN!I18+[2]TONT20000JUIL!I18+[2]TONT20000AOUT!I18+[2]TONT20000SEPT!I18+[2]TONT20000OCT!I18+[2]TONT20000NOV!J18</f>
        <v>12000</v>
      </c>
      <c r="T18" s="6">
        <f>[2]TONT20000DEC2015!L18+[2]TONT20000JANV!J18+[2]TONT20000FEV!J18+[2]TONT20000MARS!J18+[2]TONT20000AVRIL!J18+[2]TONT20000MAI!J18+[2]TONT20000JUIN!J18+[2]TONT20000JUIL!J18+[2]TONT20000AOUT!J18+[2]TONT20000SEPT!J18+[2]TONT20000OCT!J18+[2]TONT20000NOV!K18</f>
        <v>30000</v>
      </c>
      <c r="U18" s="6">
        <f>[2]TONT20000DEC2015!M18+[2]TONT20000JANV!K18+[2]TONT20000FEV!K18+[2]TONT20000MARS!K18+[2]TONT20000AVRIL!K18+[2]TONT20000MAI!K18+[2]TONT20000JUIN!K18+[2]TONT20000JUIL!K18+[2]TONT20000AOUT!K18+[2]TONT20000SEPT!K18+[2]TONT20000OCT!K18+[2]TONT20000NOV!L18</f>
        <v>50000</v>
      </c>
      <c r="V18" s="6">
        <f>[2]TONT20000DEC2015!N18+[2]TONT20000JANV!L18+[2]TONT20000FEV!L18+[2]TONT20000MARS!L18+[2]TONT20000AVRIL!L18+[2]TONT20000MAI!L18+[2]TONT20000JUIN!L18+[2]TONT20000JUIL!L18+[2]TONT20000AOUT!L18+[2]TONT20000SEPT!L18+[2]TONT20000OCT!L18+[2]TONT20000NOV!M18</f>
        <v>156000</v>
      </c>
      <c r="W18" s="6">
        <f>[2]TONT20000DEC2015!O18+[2]TONT20000JANV!M18+[2]TONT20000FEV!M18+[2]TONT20000MARS!M18+[2]TONT20000AVRIL!M18+[2]TONT20000MAI!M18+[2]TONT20000JUIN!M18+[2]TONT20000JUIL!M18+[2]TONT20000AOUT!M18+[2]TONT20000SEPT!M18+[2]TONT20000OCT!M18+[2]TONT20000NOV!N18</f>
        <v>0</v>
      </c>
      <c r="X18" s="6">
        <f>[2]TONT20000DEC2015!P18+[2]TONT20000JANV!N18+[2]TONT20000FEV!N18+[2]TONT20000MARS!N18+[2]TONT20000AVRIL!N18+[2]TONT20000MAI!N18+[2]TONT20000JUIN!N18+[2]TONT20000JUIL!N18+[2]TONT20000AOUT!N18+[2]TONT20000SEPT!N18+[2]TONT20000OCT!N18+[2]TONT20000NOV!O18</f>
        <v>0</v>
      </c>
      <c r="Y18" s="6">
        <f>[2]TONT20000DEC2015!Q18+[2]TONT20000JANV!O18+[2]TONT20000FEV!O18+[2]TONT20000MARS!O18+[2]TONT20000AVRIL!O18+[2]TONT20000MAI!O18+[2]TONT20000JUIN!O18+[2]TONT20000JUIL!O18+[2]TONT20000AOUT!O18+[2]TONT20000SEPT!O18+[2]TONT20000OCT!O18+[2]TONT20000NOV!P18</f>
        <v>0</v>
      </c>
      <c r="Z18" s="6">
        <f>[2]TONT20000DEC2015!R18+[2]TONT20000JANV!P18+[2]TONT20000FEV!P18+[2]TONT20000MARS!P18+[2]TONT20000AVRIL!P18+[2]TONT20000MAI!P18+[2]TONT20000JUIN!P18+[2]TONT20000JUIL!P18+[2]TONT20000AOUT!P18+[2]TONT20000SEPT!P18+[2]TONT20000OCT!P18+[2]TONT20000NOV!Q18</f>
        <v>0</v>
      </c>
      <c r="AA18" s="6">
        <f>[2]TONT20000DEC2015!S18+[2]TONT20000JANV!Q18+[2]TONT20000FEV!Q18+[2]TONT20000MARS!Q18+[2]TONT20000AVRIL!Q18+[2]TONT20000MAI!Q18+[2]TONT20000JUIN!Q18+[2]TONT20000JUIL!Q18+[2]TONT20000AOUT!Q18+[2]TONT20000SEPT!Q18+[2]TONT20000OCT!Q18+[2]TONT20000NOV!R18</f>
        <v>0</v>
      </c>
      <c r="AB18" s="6">
        <f>[2]TONT20000DEC2015!T18+[2]TONT20000JANV!R18+[2]TONT20000FEV!R18+[2]TONT20000MARS!R18+[2]TONT20000AVRIL!R18+[2]TONT20000MAI!R18+[2]TONT20000JUIN!R18+[2]TONT20000JUIL!R18+[2]TONT20000AOUT!R18+[2]TONT20000SEPT!R18+[2]TONT20000OCT!R18+[2]TONT20000NOV!S18</f>
        <v>0</v>
      </c>
      <c r="AC18" s="3"/>
    </row>
    <row r="19" spans="1:29" x14ac:dyDescent="0.25">
      <c r="A19" s="1" t="s">
        <v>49</v>
      </c>
      <c r="B19" s="1" t="str">
        <f>VLOOKUP(A19,[2]LISTADHERENT!A$5:H$52,2,0)</f>
        <v>KEPHE DAVID</v>
      </c>
      <c r="C19" s="2">
        <f>VLOOKUP(A19,[2]FONDSDECAISSE!A$5:C$52,3,0)</f>
        <v>0</v>
      </c>
      <c r="D19" s="2">
        <v>12795</v>
      </c>
      <c r="E19" s="2">
        <f t="shared" si="0"/>
        <v>18000</v>
      </c>
      <c r="F19" s="2">
        <f>INT([2]TONT20000DEC2015!E19+[2]TONT20000JANV!C19+[2]TONT20000FEV!C19+[2]TONT20000MARS!C19+[2]TONT20000AVRIL!C19+[2]TONT20000MAI!C19+[2]TONT20000JUIN!C19+[2]TONT20000JUIL!C19+[2]TONT20000AOUT!C19+[2]TONT20000SEPT!C19+[2]TONT20000OCT!C19+[2]TONT20000NOV!C19)</f>
        <v>4006</v>
      </c>
      <c r="G19" s="2">
        <f>[2]TONT20000NOV!E19</f>
        <v>52801.313486987739</v>
      </c>
      <c r="H19" s="2">
        <f t="shared" si="1"/>
        <v>22006</v>
      </c>
      <c r="I19" s="2">
        <f t="shared" si="2"/>
        <v>21829</v>
      </c>
      <c r="J19" s="2">
        <f t="shared" si="3"/>
        <v>177</v>
      </c>
      <c r="K19" s="2">
        <v>0</v>
      </c>
      <c r="L19" s="2"/>
      <c r="M19" s="2"/>
      <c r="N19" s="2">
        <f>50000-24839-3332</f>
        <v>21829</v>
      </c>
      <c r="O19" s="2">
        <f t="shared" si="4"/>
        <v>0</v>
      </c>
      <c r="P19" s="6">
        <f>[2]TONT20000DEC2015!H19+[2]TONT20000JANV!F19+[2]TONT20000FEV!F19+[2]TONT20000MARS!F19+[2]TONT20000AVRIL!F19+[2]TONT20000MAI!F19+[2]TONT20000JUIN!F19+[2]TONT20000JUIL!F19+[2]TONT20000AOUT!F19+[2]TONT20000SEPT!F19+[2]TONT20000OCT!F19+[2]TONT20000NOV!G19</f>
        <v>240000</v>
      </c>
      <c r="Q19" s="6">
        <f>[2]TONT20000DEC2015!I19+[2]TONT20000JANV!G19+[2]TONT20000FEV!G19+[2]TONT20000MARS!G19+[2]TONT20000AVRIL!G19+[2]TONT20000MAI!G19+[2]TONT20000JUIN!G19+[2]TONT20000JUIL!G19+[2]TONT20000AOUT!G19+[2]TONT20000SEPT!G19+[2]TONT20000OCT!G19+[2]TONT20000NOV!H19-30795</f>
        <v>5205</v>
      </c>
      <c r="R19" s="6">
        <f>[2]TONT20000DEC2015!J19+[2]TONT20000JANV!H19+[2]TONT20000FEV!H19+[2]TONT20000MARS!H19+[2]TONT20000AVRIL!H19+[2]TONT20000MAI!H19+[2]TONT20000JUIN!H19+[2]TONT20000JUIL!H19+[2]TONT20000AOUT!H19+[2]TONT20000SEPT!H19+[2]TONT20000OCT!H19+[2]TONT20000NOV!I19</f>
        <v>6000</v>
      </c>
      <c r="S19" s="6">
        <f>[2]TONT20000DEC2015!K19+[2]TONT20000JANV!I19+[2]TONT20000FEV!I19+[2]TONT20000MARS!I19+[2]TONT20000AVRIL!I19+[2]TONT20000MAI!I19+[2]TONT20000JUIN!I19+[2]TONT20000JUIL!I19+[2]TONT20000AOUT!I19+[2]TONT20000SEPT!I19+[2]TONT20000OCT!I19+[2]TONT20000NOV!J19</f>
        <v>12000</v>
      </c>
      <c r="T19" s="6">
        <f>[2]TONT20000DEC2015!L19+[2]TONT20000JANV!J19+[2]TONT20000FEV!J19+[2]TONT20000MARS!J19+[2]TONT20000AVRIL!J19+[2]TONT20000MAI!J19+[2]TONT20000JUIN!J19+[2]TONT20000JUIL!J19+[2]TONT20000AOUT!J19+[2]TONT20000SEPT!J19+[2]TONT20000OCT!J19+[2]TONT20000NOV!K19</f>
        <v>30000</v>
      </c>
      <c r="U19" s="6">
        <f>[2]TONT20000DEC2015!M19+[2]TONT20000JANV!K19+[2]TONT20000FEV!K19+[2]TONT20000MARS!K19+[2]TONT20000AVRIL!K19+[2]TONT20000MAI!K19+[2]TONT20000JUIN!K19+[2]TONT20000JUIL!K19+[2]TONT20000AOUT!K19+[2]TONT20000SEPT!K19+[2]TONT20000OCT!K19+[2]TONT20000NOV!L19</f>
        <v>0</v>
      </c>
      <c r="V19" s="6">
        <f>[2]TONT20000DEC2015!N19+[2]TONT20000JANV!L19+[2]TONT20000FEV!L19+[2]TONT20000MARS!L19+[2]TONT20000AVRIL!L19+[2]TONT20000MAI!L19+[2]TONT20000JUIN!L19+[2]TONT20000JUIL!L19+[2]TONT20000AOUT!L19+[2]TONT20000SEPT!L19+[2]TONT20000OCT!L19+[2]TONT20000NOV!M19</f>
        <v>156000</v>
      </c>
      <c r="W19" s="6">
        <f>[2]TONT20000DEC2015!O19+[2]TONT20000JANV!M19+[2]TONT20000FEV!M19+[2]TONT20000MARS!M19+[2]TONT20000AVRIL!M19+[2]TONT20000MAI!M19+[2]TONT20000JUIN!M19+[2]TONT20000JUIL!M19+[2]TONT20000AOUT!M19+[2]TONT20000SEPT!M19+[2]TONT20000OCT!M19+[2]TONT20000NOV!N19</f>
        <v>0</v>
      </c>
      <c r="X19" s="6">
        <f>[2]TONT20000DEC2015!P19+[2]TONT20000JANV!N19+[2]TONT20000FEV!N19+[2]TONT20000MARS!N19+[2]TONT20000AVRIL!N19+[2]TONT20000MAI!N19+[2]TONT20000JUIN!N19+[2]TONT20000JUIL!N19+[2]TONT20000AOUT!N19+[2]TONT20000SEPT!N19+[2]TONT20000OCT!N19+[2]TONT20000NOV!O19</f>
        <v>0</v>
      </c>
      <c r="Y19" s="6">
        <f>[2]TONT20000DEC2015!Q19+[2]TONT20000JANV!O19+[2]TONT20000FEV!O19+[2]TONT20000MARS!O19+[2]TONT20000AVRIL!O19+[2]TONT20000MAI!O19+[2]TONT20000JUIN!O19+[2]TONT20000JUIL!O19+[2]TONT20000AOUT!O19+[2]TONT20000SEPT!O19+[2]TONT20000OCT!O19+[2]TONT20000NOV!P19</f>
        <v>0</v>
      </c>
      <c r="Z19" s="6">
        <f>[2]TONT20000DEC2015!R19+[2]TONT20000JANV!P19+[2]TONT20000FEV!P19+[2]TONT20000MARS!P19+[2]TONT20000AVRIL!P19+[2]TONT20000MAI!P19+[2]TONT20000JUIN!P19+[2]TONT20000JUIL!P19+[2]TONT20000AOUT!P19+[2]TONT20000SEPT!P19+[2]TONT20000OCT!P19+[2]TONT20000NOV!Q19</f>
        <v>0</v>
      </c>
      <c r="AA19" s="6">
        <f>[2]TONT20000DEC2015!S19+[2]TONT20000JANV!Q19+[2]TONT20000FEV!Q19+[2]TONT20000MARS!Q19+[2]TONT20000AVRIL!Q19+[2]TONT20000MAI!Q19+[2]TONT20000JUIN!Q19+[2]TONT20000JUIL!Q19+[2]TONT20000AOUT!Q19+[2]TONT20000SEPT!Q19+[2]TONT20000OCT!Q19+[2]TONT20000NOV!R19</f>
        <v>0</v>
      </c>
      <c r="AB19" s="6">
        <f>[2]TONT20000DEC2015!T19+[2]TONT20000JANV!R19+[2]TONT20000FEV!R19+[2]TONT20000MARS!R19+[2]TONT20000AVRIL!R19+[2]TONT20000MAI!R19+[2]TONT20000JUIN!R19+[2]TONT20000JUIL!R19+[2]TONT20000AOUT!R19+[2]TONT20000SEPT!R19+[2]TONT20000OCT!R19+[2]TONT20000NOV!S19</f>
        <v>0</v>
      </c>
      <c r="AC19" s="3"/>
    </row>
    <row r="20" spans="1:29" x14ac:dyDescent="0.25">
      <c r="A20" s="1" t="s">
        <v>50</v>
      </c>
      <c r="B20" s="1" t="str">
        <f>VLOOKUP(A20,[2]LISTADHERENT!A$5:H$52,2,0)</f>
        <v>KEPSEU FRANCIS</v>
      </c>
      <c r="C20" s="2">
        <f>VLOOKUP(A20,[2]FONDSDECAISSE!A$5:C$52,3,0)</f>
        <v>390000</v>
      </c>
      <c r="D20" s="2">
        <v>186997</v>
      </c>
      <c r="E20" s="2">
        <f t="shared" si="0"/>
        <v>1128997</v>
      </c>
      <c r="F20" s="2">
        <f>INT([2]TONT20000DEC2015!E20+[2]TONT20000JANV!C20+[2]TONT20000FEV!C20+[2]TONT20000MARS!C20+[2]TONT20000AVRIL!C20+[2]TONT20000MAI!C20+[2]TONT20000JUIN!C20+[2]TONT20000JUIL!C20+[2]TONT20000AOUT!C20+[2]TONT20000SEPT!C20+[2]TONT20000OCT!C20+[2]TONT20000NOV!C20)</f>
        <v>117428</v>
      </c>
      <c r="G20" s="2">
        <f>[2]TONT20000NOV!E20</f>
        <v>1246425.7981045675</v>
      </c>
      <c r="H20" s="2">
        <f t="shared" si="1"/>
        <v>856425</v>
      </c>
      <c r="I20" s="2">
        <f t="shared" si="2"/>
        <v>80000</v>
      </c>
      <c r="J20" s="2">
        <f t="shared" si="3"/>
        <v>776425</v>
      </c>
      <c r="K20" s="2">
        <v>71000</v>
      </c>
      <c r="L20" s="2">
        <v>30000</v>
      </c>
      <c r="M20" s="2"/>
      <c r="N20" s="2">
        <v>50000</v>
      </c>
      <c r="O20" s="2">
        <f t="shared" si="4"/>
        <v>0</v>
      </c>
      <c r="P20" s="6">
        <f>[2]TONT20000DEC2015!H20+[2]TONT20000JANV!F20+[2]TONT20000FEV!F20+[2]TONT20000MARS!F20+[2]TONT20000AVRIL!F20+[2]TONT20000MAI!F20+[2]TONT20000JUIN!F20+[2]TONT20000JUIL!F20+[2]TONT20000AOUT!F20+[2]TONT20000SEPT!F20+[2]TONT20000OCT!F20+[2]TONT20000NOV!G20</f>
        <v>756000</v>
      </c>
      <c r="Q20" s="6">
        <f>[2]TONT20000DEC2015!I20+[2]TONT20000JANV!G20+[2]TONT20000FEV!G20+[2]TONT20000MARS!G20+[2]TONT20000AVRIL!G20+[2]TONT20000MAI!G20+[2]TONT20000JUIN!G20+[2]TONT20000JUIL!G20+[2]TONT20000AOUT!G20+[2]TONT20000SEPT!G20+[2]TONT20000OCT!G20+[2]TONT20000NOV!H20</f>
        <v>552000</v>
      </c>
      <c r="R20" s="6">
        <f>[2]TONT20000DEC2015!J20+[2]TONT20000JANV!H20+[2]TONT20000FEV!H20+[2]TONT20000MARS!H20+[2]TONT20000AVRIL!H20+[2]TONT20000MAI!H20+[2]TONT20000JUIN!H20+[2]TONT20000JUIL!H20+[2]TONT20000AOUT!H20+[2]TONT20000SEPT!H20+[2]TONT20000OCT!H20+[2]TONT20000NOV!I20</f>
        <v>6000</v>
      </c>
      <c r="S20" s="6">
        <f>[2]TONT20000DEC2015!K20+[2]TONT20000JANV!I20+[2]TONT20000FEV!I20+[2]TONT20000MARS!I20+[2]TONT20000AVRIL!I20+[2]TONT20000MAI!I20+[2]TONT20000JUIN!I20+[2]TONT20000JUIL!I20+[2]TONT20000AOUT!I20+[2]TONT20000SEPT!I20+[2]TONT20000OCT!I20+[2]TONT20000NOV!J20</f>
        <v>12000</v>
      </c>
      <c r="T20" s="6">
        <f>[2]TONT20000DEC2015!L20+[2]TONT20000JANV!J20+[2]TONT20000FEV!J20+[2]TONT20000MARS!J20+[2]TONT20000AVRIL!J20+[2]TONT20000MAI!J20+[2]TONT20000JUIN!J20+[2]TONT20000JUIL!J20+[2]TONT20000AOUT!J20+[2]TONT20000SEPT!J20+[2]TONT20000OCT!J20+[2]TONT20000NOV!K20</f>
        <v>30000</v>
      </c>
      <c r="U20" s="6">
        <f>[2]TONT20000DEC2015!M20+[2]TONT20000JANV!K20+[2]TONT20000FEV!K20+[2]TONT20000MARS!K20+[2]TONT20000AVRIL!K20+[2]TONT20000MAI!K20+[2]TONT20000JUIN!K20+[2]TONT20000JUIL!K20+[2]TONT20000AOUT!K20+[2]TONT20000SEPT!K20+[2]TONT20000OCT!K20+[2]TONT20000NOV!L20</f>
        <v>0</v>
      </c>
      <c r="V20" s="6">
        <f>[2]TONT20000DEC2015!N20+[2]TONT20000JANV!L20+[2]TONT20000FEV!L20+[2]TONT20000MARS!L20+[2]TONT20000AVRIL!L20+[2]TONT20000MAI!L20+[2]TONT20000JUIN!L20+[2]TONT20000JUIL!L20+[2]TONT20000AOUT!L20+[2]TONT20000SEPT!L20+[2]TONT20000OCT!L20+[2]TONT20000NOV!M20</f>
        <v>156000</v>
      </c>
      <c r="W20" s="6">
        <f>[2]TONT20000DEC2015!O20+[2]TONT20000JANV!M20+[2]TONT20000FEV!M20+[2]TONT20000MARS!M20+[2]TONT20000AVRIL!M20+[2]TONT20000MAI!M20+[2]TONT20000JUIN!M20+[2]TONT20000JUIL!M20+[2]TONT20000AOUT!M20+[2]TONT20000SEPT!M20+[2]TONT20000OCT!M20+[2]TONT20000NOV!N20</f>
        <v>0</v>
      </c>
      <c r="X20" s="6">
        <f>[2]TONT20000DEC2015!P20+[2]TONT20000JANV!N20+[2]TONT20000FEV!N20+[2]TONT20000MARS!N20+[2]TONT20000AVRIL!N20+[2]TONT20000MAI!N20+[2]TONT20000JUIN!N20+[2]TONT20000JUIL!N20+[2]TONT20000AOUT!N20+[2]TONT20000SEPT!N20+[2]TONT20000OCT!N20+[2]TONT20000NOV!O20</f>
        <v>0</v>
      </c>
      <c r="Y20" s="6">
        <f>[2]TONT20000DEC2015!Q20+[2]TONT20000JANV!O20+[2]TONT20000FEV!O20+[2]TONT20000MARS!O20+[2]TONT20000AVRIL!O20+[2]TONT20000MAI!O20+[2]TONT20000JUIN!O20+[2]TONT20000JUIL!O20+[2]TONT20000AOUT!O20+[2]TONT20000SEPT!O20+[2]TONT20000OCT!O20+[2]TONT20000NOV!P20</f>
        <v>0</v>
      </c>
      <c r="Z20" s="6">
        <f>[2]TONT20000DEC2015!R20+[2]TONT20000JANV!P20+[2]TONT20000FEV!P20+[2]TONT20000MARS!P20+[2]TONT20000AVRIL!P20+[2]TONT20000MAI!P20+[2]TONT20000JUIN!P20+[2]TONT20000JUIL!P20+[2]TONT20000AOUT!P20+[2]TONT20000SEPT!P20+[2]TONT20000OCT!P20+[2]TONT20000NOV!Q20</f>
        <v>0</v>
      </c>
      <c r="AA20" s="6">
        <f>[2]TONT20000DEC2015!S20+[2]TONT20000JANV!Q20+[2]TONT20000FEV!Q20+[2]TONT20000MARS!Q20+[2]TONT20000AVRIL!Q20+[2]TONT20000MAI!Q20+[2]TONT20000JUIN!Q20+[2]TONT20000JUIL!Q20+[2]TONT20000AOUT!Q20+[2]TONT20000SEPT!Q20+[2]TONT20000OCT!Q20+[2]TONT20000NOV!R20</f>
        <v>0</v>
      </c>
      <c r="AB20" s="6">
        <f>[2]TONT20000DEC2015!T20+[2]TONT20000JANV!R20+[2]TONT20000FEV!R20+[2]TONT20000MARS!R20+[2]TONT20000AVRIL!R20+[2]TONT20000MAI!R20+[2]TONT20000JUIN!R20+[2]TONT20000JUIL!R20+[2]TONT20000AOUT!R20+[2]TONT20000SEPT!R20+[2]TONT20000OCT!R20+[2]TONT20000NOV!S20</f>
        <v>0</v>
      </c>
      <c r="AC20" s="3"/>
    </row>
    <row r="21" spans="1:29" x14ac:dyDescent="0.25">
      <c r="A21" s="1" t="s">
        <v>51</v>
      </c>
      <c r="B21" s="1" t="str">
        <f>VLOOKUP(A21,[2]LISTADHERENT!A$5:H$52,2,0)</f>
        <v>KOUAMOU EMMANUEL</v>
      </c>
      <c r="C21" s="2">
        <f>VLOOKUP(A21,[2]FONDSDECAISSE!A$5:C$52,3,0)</f>
        <v>390000</v>
      </c>
      <c r="D21" s="2">
        <v>2723</v>
      </c>
      <c r="E21" s="2">
        <f t="shared" si="0"/>
        <v>428723</v>
      </c>
      <c r="F21" s="2">
        <f>INT([2]TONT20000DEC2015!E21+[2]TONT20000JANV!C21+[2]TONT20000FEV!C21+[2]TONT20000MARS!C21+[2]TONT20000AVRIL!C21+[2]TONT20000MAI!C21+[2]TONT20000JUIN!C21+[2]TONT20000JUIL!C21+[2]TONT20000AOUT!C21+[2]TONT20000SEPT!C21+[2]TONT20000OCT!C21+[2]TONT20000NOV!C21)</f>
        <v>48134</v>
      </c>
      <c r="G21" s="2">
        <f>[2]TONT20000NOV!E21</f>
        <v>476857.91912395041</v>
      </c>
      <c r="H21" s="2">
        <f t="shared" si="1"/>
        <v>86857</v>
      </c>
      <c r="I21" s="2">
        <f t="shared" si="2"/>
        <v>80000</v>
      </c>
      <c r="J21" s="2">
        <f t="shared" si="3"/>
        <v>6857</v>
      </c>
      <c r="K21" s="2">
        <v>4500</v>
      </c>
      <c r="L21" s="2">
        <v>30000</v>
      </c>
      <c r="M21" s="2"/>
      <c r="N21" s="2">
        <v>50000</v>
      </c>
      <c r="O21" s="2">
        <f t="shared" si="4"/>
        <v>0</v>
      </c>
      <c r="P21" s="6">
        <f>[2]TONT20000DEC2015!H21+[2]TONT20000JANV!F21+[2]TONT20000FEV!F21+[2]TONT20000MARS!F21+[2]TONT20000AVRIL!F21+[2]TONT20000MAI!F21+[2]TONT20000JUIN!F21+[2]TONT20000JUIL!F21+[2]TONT20000AOUT!F21+[2]TONT20000SEPT!F21+[2]TONT20000OCT!F21+[2]TONT20000NOV!G21</f>
        <v>240000</v>
      </c>
      <c r="Q21" s="6">
        <f>[2]TONT20000DEC2015!I21+[2]TONT20000JANV!G21+[2]TONT20000FEV!G21+[2]TONT20000MARS!G21+[2]TONT20000AVRIL!G21+[2]TONT20000MAI!G21+[2]TONT20000JUIN!G21+[2]TONT20000JUIL!G21+[2]TONT20000AOUT!G21+[2]TONT20000SEPT!G21+[2]TONT20000OCT!G21+[2]TONT20000NOV!H21</f>
        <v>36000</v>
      </c>
      <c r="R21" s="6">
        <f>[2]TONT20000DEC2015!J21+[2]TONT20000JANV!H21+[2]TONT20000FEV!H21+[2]TONT20000MARS!H21+[2]TONT20000AVRIL!H21+[2]TONT20000MAI!H21+[2]TONT20000JUIN!H21+[2]TONT20000JUIL!H21+[2]TONT20000AOUT!H21+[2]TONT20000SEPT!H21+[2]TONT20000OCT!H21+[2]TONT20000NOV!I21</f>
        <v>6000</v>
      </c>
      <c r="S21" s="6">
        <f>[2]TONT20000DEC2015!K21+[2]TONT20000JANV!I21+[2]TONT20000FEV!I21+[2]TONT20000MARS!I21+[2]TONT20000AVRIL!I21+[2]TONT20000MAI!I21+[2]TONT20000JUIN!I21+[2]TONT20000JUIL!I21+[2]TONT20000AOUT!I21+[2]TONT20000SEPT!I21+[2]TONT20000OCT!I21+[2]TONT20000NOV!J21</f>
        <v>12000</v>
      </c>
      <c r="T21" s="6">
        <f>[2]TONT20000DEC2015!L21+[2]TONT20000JANV!J21+[2]TONT20000FEV!J21+[2]TONT20000MARS!J21+[2]TONT20000AVRIL!J21+[2]TONT20000MAI!J21+[2]TONT20000JUIN!J21+[2]TONT20000JUIL!J21+[2]TONT20000AOUT!J21+[2]TONT20000SEPT!J21+[2]TONT20000OCT!J21+[2]TONT20000NOV!K21</f>
        <v>30000</v>
      </c>
      <c r="U21" s="6">
        <f>[2]TONT20000DEC2015!M21+[2]TONT20000JANV!K21+[2]TONT20000FEV!K21+[2]TONT20000MARS!K21+[2]TONT20000AVRIL!K21+[2]TONT20000MAI!K21+[2]TONT20000JUIN!K21+[2]TONT20000JUIL!K21+[2]TONT20000AOUT!K21+[2]TONT20000SEPT!K21+[2]TONT20000OCT!K21+[2]TONT20000NOV!L21</f>
        <v>0</v>
      </c>
      <c r="V21" s="6">
        <f>[2]TONT20000DEC2015!N21+[2]TONT20000JANV!L21+[2]TONT20000FEV!L21+[2]TONT20000MARS!L21+[2]TONT20000AVRIL!L21+[2]TONT20000MAI!L21+[2]TONT20000JUIN!L21+[2]TONT20000JUIL!L21+[2]TONT20000AOUT!L21+[2]TONT20000SEPT!L21+[2]TONT20000OCT!L21+[2]TONT20000NOV!M21</f>
        <v>156000</v>
      </c>
      <c r="W21" s="6">
        <f>[2]TONT20000DEC2015!O21+[2]TONT20000JANV!M21+[2]TONT20000FEV!M21+[2]TONT20000MARS!M21+[2]TONT20000AVRIL!M21+[2]TONT20000MAI!M21+[2]TONT20000JUIN!M21+[2]TONT20000JUIL!M21+[2]TONT20000AOUT!M21+[2]TONT20000SEPT!M21+[2]TONT20000OCT!M21+[2]TONT20000NOV!N21</f>
        <v>1000000</v>
      </c>
      <c r="X21" s="6">
        <f>[2]TONT20000DEC2015!P21+[2]TONT20000JANV!N21+[2]TONT20000FEV!N21+[2]TONT20000MARS!N21+[2]TONT20000AVRIL!N21+[2]TONT20000MAI!N21+[2]TONT20000JUIN!N21+[2]TONT20000JUIL!N21+[2]TONT20000AOUT!N21+[2]TONT20000SEPT!N21+[2]TONT20000OCT!N21+[2]TONT20000NOV!O21</f>
        <v>120000</v>
      </c>
      <c r="Y21" s="6">
        <f>[2]TONT20000DEC2015!Q21+[2]TONT20000JANV!O21+[2]TONT20000FEV!O21+[2]TONT20000MARS!O21+[2]TONT20000AVRIL!O21+[2]TONT20000MAI!O21+[2]TONT20000JUIN!O21+[2]TONT20000JUIL!O21+[2]TONT20000AOUT!O21+[2]TONT20000SEPT!O21+[2]TONT20000OCT!O21+[2]TONT20000NOV!P21</f>
        <v>0</v>
      </c>
      <c r="Z21" s="6">
        <f>[2]TONT20000DEC2015!R21+[2]TONT20000JANV!P21+[2]TONT20000FEV!P21+[2]TONT20000MARS!P21+[2]TONT20000AVRIL!P21+[2]TONT20000MAI!P21+[2]TONT20000JUIN!P21+[2]TONT20000JUIL!P21+[2]TONT20000AOUT!P21+[2]TONT20000SEPT!P21+[2]TONT20000OCT!P21+[2]TONT20000NOV!Q21</f>
        <v>0</v>
      </c>
      <c r="AA21" s="6">
        <f>[2]TONT20000DEC2015!S21+[2]TONT20000JANV!Q21+[2]TONT20000FEV!Q21+[2]TONT20000MARS!Q21+[2]TONT20000AVRIL!Q21+[2]TONT20000MAI!Q21+[2]TONT20000JUIN!Q21+[2]TONT20000JUIL!Q21+[2]TONT20000AOUT!Q21+[2]TONT20000SEPT!Q21+[2]TONT20000OCT!Q21+[2]TONT20000NOV!R21</f>
        <v>0</v>
      </c>
      <c r="AB21" s="6">
        <f>[2]TONT20000DEC2015!T21+[2]TONT20000JANV!R21+[2]TONT20000FEV!R21+[2]TONT20000MARS!R21+[2]TONT20000AVRIL!R21+[2]TONT20000MAI!R21+[2]TONT20000JUIN!R21+[2]TONT20000JUIL!R21+[2]TONT20000AOUT!R21+[2]TONT20000SEPT!R21+[2]TONT20000OCT!R21+[2]TONT20000NOV!S21</f>
        <v>0</v>
      </c>
      <c r="AC21" s="3"/>
    </row>
    <row r="22" spans="1:29" ht="12.75" customHeight="1" x14ac:dyDescent="0.25">
      <c r="A22" s="1" t="s">
        <v>52</v>
      </c>
      <c r="B22" s="1" t="str">
        <f>VLOOKUP(A22,[2]LISTADHERENT!A$5:H$52,2,0)</f>
        <v>KOUAMOU MOISE</v>
      </c>
      <c r="C22" s="2">
        <v>390000</v>
      </c>
      <c r="D22" s="2">
        <v>2099</v>
      </c>
      <c r="E22" s="2">
        <f t="shared" si="0"/>
        <v>428099</v>
      </c>
      <c r="F22" s="2">
        <f>INT([2]TONT20000DEC2015!E22+[2]TONT20000JANV!C22+[2]TONT20000FEV!C22+[2]TONT20000MARS!C22+[2]TONT20000AVRIL!C22+[2]TONT20000MAI!C22+[2]TONT20000JUIN!C22+[2]TONT20000JUIL!C22+[2]TONT20000AOUT!C22+[2]TONT20000SEPT!C22+[2]TONT20000OCT!C22+[2]TONT20000NOV!C22)</f>
        <v>44949</v>
      </c>
      <c r="G22" s="2">
        <f>[2]TONT20000NOV!E22</f>
        <v>473048.50805201381</v>
      </c>
      <c r="H22" s="2">
        <f t="shared" si="1"/>
        <v>83048</v>
      </c>
      <c r="I22" s="2">
        <f t="shared" si="2"/>
        <v>80000</v>
      </c>
      <c r="J22" s="2">
        <f t="shared" si="3"/>
        <v>3048</v>
      </c>
      <c r="K22" s="2">
        <v>0</v>
      </c>
      <c r="L22" s="2">
        <v>30000</v>
      </c>
      <c r="M22" s="2"/>
      <c r="N22" s="2">
        <v>50000</v>
      </c>
      <c r="O22" s="2">
        <f t="shared" si="4"/>
        <v>0</v>
      </c>
      <c r="P22" s="6">
        <f>[2]TONT20000DEC2015!H22+[2]TONT20000JANV!F22+[2]TONT20000FEV!F22+[2]TONT20000MARS!F22+[2]TONT20000AVRIL!F22+[2]TONT20000MAI!F22+[2]TONT20000JUIN!F22+[2]TONT20000JUIL!F22+[2]TONT20000AOUT!F22+[2]TONT20000SEPT!F22+[2]TONT20000OCT!F22+[2]TONT20000NOV!G22</f>
        <v>240000</v>
      </c>
      <c r="Q22" s="6">
        <f>[2]TONT20000DEC2015!I22+[2]TONT20000JANV!G22+[2]TONT20000FEV!G22+[2]TONT20000MARS!G22+[2]TONT20000AVRIL!G22+[2]TONT20000MAI!G22+[2]TONT20000JUIN!G22+[2]TONT20000JUIL!G22+[2]TONT20000AOUT!G22+[2]TONT20000SEPT!G22+[2]TONT20000OCT!G22+[2]TONT20000NOV!H22</f>
        <v>36000</v>
      </c>
      <c r="R22" s="6">
        <f>[2]TONT20000DEC2015!J22+[2]TONT20000JANV!H22+[2]TONT20000FEV!H22+[2]TONT20000MARS!H22+[2]TONT20000AVRIL!H22+[2]TONT20000MAI!H22+[2]TONT20000JUIN!H22+[2]TONT20000JUIL!H22+[2]TONT20000AOUT!H22+[2]TONT20000SEPT!H22+[2]TONT20000OCT!H22+[2]TONT20000NOV!I22</f>
        <v>6000</v>
      </c>
      <c r="S22" s="6">
        <f>[2]TONT20000DEC2015!K22+[2]TONT20000JANV!I22+[2]TONT20000FEV!I22+[2]TONT20000MARS!I22+[2]TONT20000AVRIL!I22+[2]TONT20000MAI!I22+[2]TONT20000JUIN!I22+[2]TONT20000JUIL!I22+[2]TONT20000AOUT!I22+[2]TONT20000SEPT!I22+[2]TONT20000OCT!I22+[2]TONT20000NOV!J22</f>
        <v>12000</v>
      </c>
      <c r="T22" s="6">
        <f>[2]TONT20000DEC2015!L22+[2]TONT20000JANV!J22+[2]TONT20000FEV!J22+[2]TONT20000MARS!J22+[2]TONT20000AVRIL!J22+[2]TONT20000MAI!J22+[2]TONT20000JUIN!J22+[2]TONT20000JUIL!J22+[2]TONT20000AOUT!J22+[2]TONT20000SEPT!J22+[2]TONT20000OCT!J22+[2]TONT20000NOV!K22</f>
        <v>30000</v>
      </c>
      <c r="U22" s="6">
        <f>[2]TONT20000DEC2015!M22+[2]TONT20000JANV!K22+[2]TONT20000FEV!K22+[2]TONT20000MARS!K22+[2]TONT20000AVRIL!K22+[2]TONT20000MAI!K22+[2]TONT20000JUIN!K22+[2]TONT20000JUIL!K22+[2]TONT20000AOUT!K22+[2]TONT20000SEPT!K22+[2]TONT20000OCT!K22+[2]TONT20000NOV!L22</f>
        <v>0</v>
      </c>
      <c r="V22" s="6">
        <f>[2]TONT20000DEC2015!N22+[2]TONT20000JANV!L22+[2]TONT20000FEV!L22+[2]TONT20000MARS!L22+[2]TONT20000AVRIL!L22+[2]TONT20000MAI!L22+[2]TONT20000JUIN!L22+[2]TONT20000JUIL!L22+[2]TONT20000AOUT!L22+[2]TONT20000SEPT!L22+[2]TONT20000OCT!L22+[2]TONT20000NOV!M22</f>
        <v>156000</v>
      </c>
      <c r="W22" s="6">
        <f>[2]TONT20000DEC2015!O22+[2]TONT20000JANV!M22+[2]TONT20000FEV!M22+[2]TONT20000MARS!M22+[2]TONT20000AVRIL!M22+[2]TONT20000MAI!M22+[2]TONT20000JUIN!M22+[2]TONT20000JUIL!M22+[2]TONT20000AOUT!M22+[2]TONT20000SEPT!M22+[2]TONT20000OCT!M22+[2]TONT20000NOV!N22</f>
        <v>860000</v>
      </c>
      <c r="X22" s="6">
        <f>[2]TONT20000DEC2015!P22+[2]TONT20000JANV!N22+[2]TONT20000FEV!N22+[2]TONT20000MARS!N22+[2]TONT20000AVRIL!N22+[2]TONT20000MAI!N22+[2]TONT20000JUIN!N22+[2]TONT20000JUIL!N22+[2]TONT20000AOUT!N22+[2]TONT20000SEPT!N22+[2]TONT20000OCT!N22+[2]TONT20000NOV!O22</f>
        <v>97800</v>
      </c>
      <c r="Y22" s="6">
        <f>[2]TONT20000DEC2015!Q22+[2]TONT20000JANV!O22+[2]TONT20000FEV!O22+[2]TONT20000MARS!O22+[2]TONT20000AVRIL!O22+[2]TONT20000MAI!O22+[2]TONT20000JUIN!O22+[2]TONT20000JUIL!O22+[2]TONT20000AOUT!O22+[2]TONT20000SEPT!O22+[2]TONT20000OCT!O22+[2]TONT20000NOV!P22</f>
        <v>0</v>
      </c>
      <c r="Z22" s="6">
        <f>[2]TONT20000DEC2015!R22+[2]TONT20000JANV!P22+[2]TONT20000FEV!P22+[2]TONT20000MARS!P22+[2]TONT20000AVRIL!P22+[2]TONT20000MAI!P22+[2]TONT20000JUIN!P22+[2]TONT20000JUIL!P22+[2]TONT20000AOUT!P22+[2]TONT20000SEPT!P22+[2]TONT20000OCT!P22+[2]TONT20000NOV!Q22</f>
        <v>0</v>
      </c>
      <c r="AA22" s="6">
        <f>[2]TONT20000DEC2015!S22+[2]TONT20000JANV!Q22+[2]TONT20000FEV!Q22+[2]TONT20000MARS!Q22+[2]TONT20000AVRIL!Q22+[2]TONT20000MAI!Q22+[2]TONT20000JUIN!Q22+[2]TONT20000JUIL!Q22+[2]TONT20000AOUT!Q22+[2]TONT20000SEPT!Q22+[2]TONT20000OCT!Q22+[2]TONT20000NOV!R22</f>
        <v>0</v>
      </c>
      <c r="AB22" s="6">
        <f>[2]TONT20000DEC2015!T22+[2]TONT20000JANV!R22+[2]TONT20000FEV!R22+[2]TONT20000MARS!R22+[2]TONT20000AVRIL!R22+[2]TONT20000MAI!R22+[2]TONT20000JUIN!R22+[2]TONT20000JUIL!R22+[2]TONT20000AOUT!R22+[2]TONT20000SEPT!R22+[2]TONT20000OCT!R22+[2]TONT20000NOV!S22</f>
        <v>0</v>
      </c>
      <c r="AC22" s="3"/>
    </row>
    <row r="23" spans="1:29" x14ac:dyDescent="0.25">
      <c r="A23" s="1" t="s">
        <v>53</v>
      </c>
      <c r="B23" s="1" t="str">
        <f>VLOOKUP(A23,[2]LISTADHERENT!A$5:H$52,2,0)</f>
        <v>KOUAMOU VICTOR PEGUY</v>
      </c>
      <c r="C23" s="2">
        <f>VLOOKUP(A23,[2]FONDSDECAISSE!A$5:C$52,3,0)</f>
        <v>390000</v>
      </c>
      <c r="D23" s="2">
        <v>36629</v>
      </c>
      <c r="E23" s="2">
        <f t="shared" si="0"/>
        <v>461629</v>
      </c>
      <c r="F23" s="2">
        <f>INT([2]TONT20000DEC2015!E23+[2]TONT20000JANV!C23+[2]TONT20000FEV!C23+[2]TONT20000MARS!C23+[2]TONT20000AVRIL!C23+[2]TONT20000MAI!C23+[2]TONT20000JUIN!C23+[2]TONT20000JUIL!C23+[2]TONT20000AOUT!C23+[2]TONT20000SEPT!C23+[2]TONT20000OCT!C23+[2]TONT20000NOV!C23)</f>
        <v>52057</v>
      </c>
      <c r="G23" s="2">
        <f>[2]TONT20000NOV!E23</f>
        <v>513686.78429989645</v>
      </c>
      <c r="H23" s="2">
        <f t="shared" si="1"/>
        <v>123686</v>
      </c>
      <c r="I23" s="2">
        <f t="shared" si="2"/>
        <v>80000</v>
      </c>
      <c r="J23" s="2">
        <f t="shared" si="3"/>
        <v>43686</v>
      </c>
      <c r="K23" s="2">
        <v>41000</v>
      </c>
      <c r="L23" s="2">
        <v>30000</v>
      </c>
      <c r="M23" s="2"/>
      <c r="N23" s="2">
        <v>50000</v>
      </c>
      <c r="O23" s="2">
        <f t="shared" si="4"/>
        <v>0</v>
      </c>
      <c r="P23" s="6">
        <f>[2]TONT20000DEC2015!H23+[2]TONT20000JANV!F23+[2]TONT20000FEV!F23+[2]TONT20000MARS!F23+[2]TONT20000AVRIL!F23+[2]TONT20000MAI!F23+[2]TONT20000JUIN!F23+[2]TONT20000JUIL!F23+[2]TONT20000AOUT!F23+[2]TONT20000SEPT!F23+[2]TONT20000OCT!F23+[2]TONT20000NOV!G23</f>
        <v>239000</v>
      </c>
      <c r="Q23" s="6">
        <f>[2]TONT20000DEC2015!I23+[2]TONT20000JANV!G23+[2]TONT20000FEV!G23+[2]TONT20000MARS!G23+[2]TONT20000AVRIL!G23+[2]TONT20000MAI!G23+[2]TONT20000JUIN!G23+[2]TONT20000JUIL!G23+[2]TONT20000AOUT!G23+[2]TONT20000SEPT!G23+[2]TONT20000OCT!G23+[2]TONT20000NOV!H23</f>
        <v>35000</v>
      </c>
      <c r="R23" s="6">
        <f>[2]TONT20000DEC2015!J23+[2]TONT20000JANV!H23+[2]TONT20000FEV!H23+[2]TONT20000MARS!H23+[2]TONT20000AVRIL!H23+[2]TONT20000MAI!H23+[2]TONT20000JUIN!H23+[2]TONT20000JUIL!H23+[2]TONT20000AOUT!H23+[2]TONT20000SEPT!H23+[2]TONT20000OCT!H23+[2]TONT20000NOV!I23</f>
        <v>6000</v>
      </c>
      <c r="S23" s="6">
        <f>[2]TONT20000DEC2015!K23+[2]TONT20000JANV!I23+[2]TONT20000FEV!I23+[2]TONT20000MARS!I23+[2]TONT20000AVRIL!I23+[2]TONT20000MAI!I23+[2]TONT20000JUIN!I23+[2]TONT20000JUIL!I23+[2]TONT20000AOUT!I23+[2]TONT20000SEPT!I23+[2]TONT20000OCT!I23+[2]TONT20000NOV!J23</f>
        <v>12000</v>
      </c>
      <c r="T23" s="6">
        <f>[2]TONT20000DEC2015!L23+[2]TONT20000JANV!J23+[2]TONT20000FEV!J23+[2]TONT20000MARS!J23+[2]TONT20000AVRIL!J23+[2]TONT20000MAI!J23+[2]TONT20000JUIN!J23+[2]TONT20000JUIL!J23+[2]TONT20000AOUT!J23+[2]TONT20000SEPT!J23+[2]TONT20000OCT!J23+[2]TONT20000NOV!K23</f>
        <v>30000</v>
      </c>
      <c r="U23" s="6">
        <f>[2]TONT20000DEC2015!M23+[2]TONT20000JANV!K23+[2]TONT20000FEV!K23+[2]TONT20000MARS!K23+[2]TONT20000AVRIL!K23+[2]TONT20000MAI!K23+[2]TONT20000JUIN!K23+[2]TONT20000JUIL!K23+[2]TONT20000AOUT!K23+[2]TONT20000SEPT!K23+[2]TONT20000OCT!K23+[2]TONT20000NOV!L23</f>
        <v>0</v>
      </c>
      <c r="V23" s="6">
        <f>[2]TONT20000DEC2015!N23+[2]TONT20000JANV!L23+[2]TONT20000FEV!L23+[2]TONT20000MARS!L23+[2]TONT20000AVRIL!L23+[2]TONT20000MAI!L23+[2]TONT20000JUIN!L23+[2]TONT20000JUIL!L23+[2]TONT20000AOUT!L23+[2]TONT20000SEPT!L23+[2]TONT20000OCT!L23+[2]TONT20000NOV!M23</f>
        <v>156000</v>
      </c>
      <c r="W23" s="6">
        <f>[2]TONT20000DEC2015!O23+[2]TONT20000JANV!M23+[2]TONT20000FEV!M23+[2]TONT20000MARS!M23+[2]TONT20000AVRIL!M23+[2]TONT20000MAI!M23+[2]TONT20000JUIN!M23+[2]TONT20000JUIL!M23+[2]TONT20000AOUT!M23+[2]TONT20000SEPT!M23+[2]TONT20000OCT!M23+[2]TONT20000NOV!N23</f>
        <v>1800000</v>
      </c>
      <c r="X23" s="6">
        <f>[2]TONT20000DEC2015!P23+[2]TONT20000JANV!N23+[2]TONT20000FEV!N23+[2]TONT20000MARS!N23+[2]TONT20000AVRIL!N23+[2]TONT20000MAI!N23+[2]TONT20000JUIN!N23+[2]TONT20000JUIL!N23+[2]TONT20000AOUT!N23+[2]TONT20000SEPT!N23+[2]TONT20000OCT!N23+[2]TONT20000NOV!O23</f>
        <v>128000</v>
      </c>
      <c r="Y23" s="6">
        <f>[2]TONT20000DEC2015!Q23+[2]TONT20000JANV!O23+[2]TONT20000FEV!O23+[2]TONT20000MARS!O23+[2]TONT20000AVRIL!O23+[2]TONT20000MAI!O23+[2]TONT20000JUIN!O23+[2]TONT20000JUIL!O23+[2]TONT20000AOUT!O23+[2]TONT20000SEPT!O23+[2]TONT20000OCT!O23+[2]TONT20000NOV!P23</f>
        <v>1000000</v>
      </c>
      <c r="Z23" s="6">
        <f>[2]TONT20000DEC2015!R23+[2]TONT20000JANV!P23+[2]TONT20000FEV!P23+[2]TONT20000MARS!P23+[2]TONT20000AVRIL!P23+[2]TONT20000MAI!P23+[2]TONT20000JUIN!P23+[2]TONT20000JUIL!P23+[2]TONT20000AOUT!P23+[2]TONT20000SEPT!P23+[2]TONT20000OCT!P23+[2]TONT20000NOV!Q23</f>
        <v>0</v>
      </c>
      <c r="AA23" s="6">
        <f>[2]TONT20000DEC2015!S23+[2]TONT20000JANV!Q23+[2]TONT20000FEV!Q23+[2]TONT20000MARS!Q23+[2]TONT20000AVRIL!Q23+[2]TONT20000MAI!Q23+[2]TONT20000JUIN!Q23+[2]TONT20000JUIL!Q23+[2]TONT20000AOUT!Q23+[2]TONT20000SEPT!Q23+[2]TONT20000OCT!Q23+[2]TONT20000NOV!R23</f>
        <v>0</v>
      </c>
      <c r="AB23" s="6">
        <f>[2]TONT20000DEC2015!T23+[2]TONT20000JANV!R23+[2]TONT20000FEV!R23+[2]TONT20000MARS!R23+[2]TONT20000AVRIL!R23+[2]TONT20000MAI!R23+[2]TONT20000JUIN!R23+[2]TONT20000JUIL!R23+[2]TONT20000AOUT!R23+[2]TONT20000SEPT!R23+[2]TONT20000OCT!R23+[2]TONT20000NOV!S23</f>
        <v>0</v>
      </c>
      <c r="AC23" s="3"/>
    </row>
    <row r="24" spans="1:29" x14ac:dyDescent="0.25">
      <c r="A24" s="1" t="s">
        <v>54</v>
      </c>
      <c r="B24" s="1" t="str">
        <f>VLOOKUP(A24,[2]LISTADHERENT!A$5:H$52,2,0)</f>
        <v>KOUATCHO MESSACK</v>
      </c>
      <c r="C24" s="2">
        <f>VLOOKUP(A24,[2]FONDSDECAISSE!A$5:C$52,3,0)</f>
        <v>390000</v>
      </c>
      <c r="D24" s="2">
        <v>0</v>
      </c>
      <c r="E24" s="2">
        <f t="shared" si="0"/>
        <v>426000</v>
      </c>
      <c r="F24" s="2">
        <f>INT([2]TONT20000DEC2015!E24+[2]TONT20000JANV!C24+[2]TONT20000FEV!C24+[2]TONT20000MARS!C24+[2]TONT20000AVRIL!C24+[2]TONT20000MAI!C24+[2]TONT20000JUIN!C24+[2]TONT20000JUIL!C24+[2]TONT20000AOUT!C24+[2]TONT20000SEPT!C24+[2]TONT20000OCT!C24+[2]TONT20000NOV!C24)</f>
        <v>47818</v>
      </c>
      <c r="G24" s="2">
        <f>[2]TONT20000NOV!E24</f>
        <v>473818.64290016744</v>
      </c>
      <c r="H24" s="2">
        <f t="shared" si="1"/>
        <v>83818</v>
      </c>
      <c r="I24" s="2">
        <f t="shared" si="2"/>
        <v>80000</v>
      </c>
      <c r="J24" s="2">
        <f t="shared" si="3"/>
        <v>3818</v>
      </c>
      <c r="K24" s="2">
        <v>0</v>
      </c>
      <c r="L24" s="2">
        <v>30000</v>
      </c>
      <c r="M24" s="2"/>
      <c r="N24" s="2">
        <v>50000</v>
      </c>
      <c r="O24" s="2">
        <f t="shared" si="4"/>
        <v>0</v>
      </c>
      <c r="P24" s="6">
        <f>[2]TONT20000DEC2015!H24+[2]TONT20000JANV!F24+[2]TONT20000FEV!F24+[2]TONT20000MARS!F24+[2]TONT20000AVRIL!F24+[2]TONT20000MAI!F24+[2]TONT20000JUIN!F24+[2]TONT20000JUIL!F24+[2]TONT20000AOUT!F24+[2]TONT20000SEPT!F24+[2]TONT20000OCT!F24+[2]TONT20000NOV!G24</f>
        <v>240000</v>
      </c>
      <c r="Q24" s="6">
        <f>[2]TONT20000DEC2015!I24+[2]TONT20000JANV!G24+[2]TONT20000FEV!G24+[2]TONT20000MARS!G24+[2]TONT20000AVRIL!G24+[2]TONT20000MAI!G24+[2]TONT20000JUIN!G24+[2]TONT20000JUIL!G24+[2]TONT20000AOUT!G24+[2]TONT20000SEPT!G24+[2]TONT20000OCT!G24+[2]TONT20000NOV!H24</f>
        <v>36000</v>
      </c>
      <c r="R24" s="6">
        <f>[2]TONT20000DEC2015!J24+[2]TONT20000JANV!H24+[2]TONT20000FEV!H24+[2]TONT20000MARS!H24+[2]TONT20000AVRIL!H24+[2]TONT20000MAI!H24+[2]TONT20000JUIN!H24+[2]TONT20000JUIL!H24+[2]TONT20000AOUT!H24+[2]TONT20000SEPT!H24+[2]TONT20000OCT!H24+[2]TONT20000NOV!I24</f>
        <v>6000</v>
      </c>
      <c r="S24" s="6">
        <f>[2]TONT20000DEC2015!K24+[2]TONT20000JANV!I24+[2]TONT20000FEV!I24+[2]TONT20000MARS!I24+[2]TONT20000AVRIL!I24+[2]TONT20000MAI!I24+[2]TONT20000JUIN!I24+[2]TONT20000JUIL!I24+[2]TONT20000AOUT!I24+[2]TONT20000SEPT!I24+[2]TONT20000OCT!I24+[2]TONT20000NOV!J24</f>
        <v>12000</v>
      </c>
      <c r="T24" s="6">
        <f>[2]TONT20000DEC2015!L24+[2]TONT20000JANV!J24+[2]TONT20000FEV!J24+[2]TONT20000MARS!J24+[2]TONT20000AVRIL!J24+[2]TONT20000MAI!J24+[2]TONT20000JUIN!J24+[2]TONT20000JUIL!J24+[2]TONT20000AOUT!J24+[2]TONT20000SEPT!J24+[2]TONT20000OCT!J24+[2]TONT20000NOV!K24</f>
        <v>30000</v>
      </c>
      <c r="U24" s="6">
        <f>[2]TONT20000DEC2015!M24+[2]TONT20000JANV!K24+[2]TONT20000FEV!K24+[2]TONT20000MARS!K24+[2]TONT20000AVRIL!K24+[2]TONT20000MAI!K24+[2]TONT20000JUIN!K24+[2]TONT20000JUIL!K24+[2]TONT20000AOUT!K24+[2]TONT20000SEPT!K24+[2]TONT20000OCT!K24+[2]TONT20000NOV!L24</f>
        <v>0</v>
      </c>
      <c r="V24" s="6">
        <f>[2]TONT20000DEC2015!N24+[2]TONT20000JANV!L24+[2]TONT20000FEV!L24+[2]TONT20000MARS!L24+[2]TONT20000AVRIL!L24+[2]TONT20000MAI!L24+[2]TONT20000JUIN!L24+[2]TONT20000JUIL!L24+[2]TONT20000AOUT!L24+[2]TONT20000SEPT!L24+[2]TONT20000OCT!L24+[2]TONT20000NOV!M24</f>
        <v>156000</v>
      </c>
      <c r="W24" s="6">
        <f>[2]TONT20000DEC2015!O24+[2]TONT20000JANV!M24+[2]TONT20000FEV!M24+[2]TONT20000MARS!M24+[2]TONT20000AVRIL!M24+[2]TONT20000MAI!M24+[2]TONT20000JUIN!M24+[2]TONT20000JUIL!M24+[2]TONT20000AOUT!M24+[2]TONT20000SEPT!M24+[2]TONT20000OCT!M24+[2]TONT20000NOV!N24</f>
        <v>1600000</v>
      </c>
      <c r="X24" s="6">
        <f>[2]TONT20000DEC2015!P24+[2]TONT20000JANV!N24+[2]TONT20000FEV!N24+[2]TONT20000MARS!N24+[2]TONT20000AVRIL!N24+[2]TONT20000MAI!N24+[2]TONT20000JUIN!N24+[2]TONT20000JUIL!N24+[2]TONT20000AOUT!N24+[2]TONT20000SEPT!N24+[2]TONT20000OCT!N24+[2]TONT20000NOV!O24</f>
        <v>192000</v>
      </c>
      <c r="Y24" s="6">
        <f>[2]TONT20000DEC2015!Q24+[2]TONT20000JANV!O24+[2]TONT20000FEV!O24+[2]TONT20000MARS!O24+[2]TONT20000AVRIL!O24+[2]TONT20000MAI!O24+[2]TONT20000JUIN!O24+[2]TONT20000JUIL!O24+[2]TONT20000AOUT!O24+[2]TONT20000SEPT!O24+[2]TONT20000OCT!O24+[2]TONT20000NOV!P24</f>
        <v>0</v>
      </c>
      <c r="Z24" s="6">
        <f>[2]TONT20000DEC2015!R24+[2]TONT20000JANV!P24+[2]TONT20000FEV!P24+[2]TONT20000MARS!P24+[2]TONT20000AVRIL!P24+[2]TONT20000MAI!P24+[2]TONT20000JUIN!P24+[2]TONT20000JUIL!P24+[2]TONT20000AOUT!P24+[2]TONT20000SEPT!P24+[2]TONT20000OCT!P24+[2]TONT20000NOV!Q24</f>
        <v>0</v>
      </c>
      <c r="AA24" s="6">
        <f>[2]TONT20000DEC2015!S24+[2]TONT20000JANV!Q24+[2]TONT20000FEV!Q24+[2]TONT20000MARS!Q24+[2]TONT20000AVRIL!Q24+[2]TONT20000MAI!Q24+[2]TONT20000JUIN!Q24+[2]TONT20000JUIL!Q24+[2]TONT20000AOUT!Q24+[2]TONT20000SEPT!Q24+[2]TONT20000OCT!Q24+[2]TONT20000NOV!R24</f>
        <v>0</v>
      </c>
      <c r="AB24" s="6">
        <f>[2]TONT20000DEC2015!T24+[2]TONT20000JANV!R24+[2]TONT20000FEV!R24+[2]TONT20000MARS!R24+[2]TONT20000AVRIL!R24+[2]TONT20000MAI!R24+[2]TONT20000JUIN!R24+[2]TONT20000JUIL!R24+[2]TONT20000AOUT!R24+[2]TONT20000SEPT!R24+[2]TONT20000OCT!R24+[2]TONT20000NOV!S24</f>
        <v>0</v>
      </c>
      <c r="AC24" s="3"/>
    </row>
    <row r="25" spans="1:29" x14ac:dyDescent="0.25">
      <c r="A25" s="1" t="s">
        <v>55</v>
      </c>
      <c r="B25" s="1" t="str">
        <f>VLOOKUP(A25,[2]LISTADHERENT!A$5:H$52,2,0)</f>
        <v>LOWE JEAN</v>
      </c>
      <c r="C25" s="2">
        <f>VLOOKUP(A25,[2]FONDSDECAISSE!A$5:C$52,3,0)</f>
        <v>390000</v>
      </c>
      <c r="D25" s="2">
        <v>4331</v>
      </c>
      <c r="E25" s="2">
        <f t="shared" si="0"/>
        <v>430331</v>
      </c>
      <c r="F25" s="2">
        <f>INT([2]TONT20000DEC2015!E25+[2]TONT20000JANV!C25+[2]TONT20000FEV!C25+[2]TONT20000MARS!C25+[2]TONT20000AVRIL!C25+[2]TONT20000MAI!C25+[2]TONT20000JUIN!C25+[2]TONT20000JUIL!C25+[2]TONT20000AOUT!C25+[2]TONT20000SEPT!C25+[2]TONT20000OCT!C25+[2]TONT20000NOV!C25)</f>
        <v>48321</v>
      </c>
      <c r="G25" s="2">
        <f>[2]TONT20000NOV!E25</f>
        <v>478652.6881903637</v>
      </c>
      <c r="H25" s="2">
        <f t="shared" si="1"/>
        <v>88652</v>
      </c>
      <c r="I25" s="2">
        <f t="shared" si="2"/>
        <v>80000</v>
      </c>
      <c r="J25" s="2">
        <f t="shared" si="3"/>
        <v>8652</v>
      </c>
      <c r="K25" s="2">
        <v>6000</v>
      </c>
      <c r="L25" s="2">
        <v>30000</v>
      </c>
      <c r="M25" s="2"/>
      <c r="N25" s="2">
        <v>50000</v>
      </c>
      <c r="O25" s="2">
        <f t="shared" si="4"/>
        <v>0</v>
      </c>
      <c r="P25" s="6">
        <f>[2]TONT20000DEC2015!H25+[2]TONT20000JANV!F25+[2]TONT20000FEV!F25+[2]TONT20000MARS!F25+[2]TONT20000AVRIL!F25+[2]TONT20000MAI!F25+[2]TONT20000JUIN!F25+[2]TONT20000JUIL!F25+[2]TONT20000AOUT!F25+[2]TONT20000SEPT!F25+[2]TONT20000OCT!F25+[2]TONT20000NOV!G25</f>
        <v>240000</v>
      </c>
      <c r="Q25" s="6">
        <f>[2]TONT20000DEC2015!I25+[2]TONT20000JANV!G25+[2]TONT20000FEV!G25+[2]TONT20000MARS!G25+[2]TONT20000AVRIL!G25+[2]TONT20000MAI!G25+[2]TONT20000JUIN!G25+[2]TONT20000JUIL!G25+[2]TONT20000AOUT!G25+[2]TONT20000SEPT!G25+[2]TONT20000OCT!G25+[2]TONT20000NOV!H25</f>
        <v>36000</v>
      </c>
      <c r="R25" s="6">
        <f>[2]TONT20000DEC2015!J25+[2]TONT20000JANV!H25+[2]TONT20000FEV!H25+[2]TONT20000MARS!H25+[2]TONT20000AVRIL!H25+[2]TONT20000MAI!H25+[2]TONT20000JUIN!H25+[2]TONT20000JUIL!H25+[2]TONT20000AOUT!H25+[2]TONT20000SEPT!H25+[2]TONT20000OCT!H25+[2]TONT20000NOV!I25</f>
        <v>6000</v>
      </c>
      <c r="S25" s="6">
        <f>[2]TONT20000DEC2015!K25+[2]TONT20000JANV!I25+[2]TONT20000FEV!I25+[2]TONT20000MARS!I25+[2]TONT20000AVRIL!I25+[2]TONT20000MAI!I25+[2]TONT20000JUIN!I25+[2]TONT20000JUIL!I25+[2]TONT20000AOUT!I25+[2]TONT20000SEPT!I25+[2]TONT20000OCT!I25+[2]TONT20000NOV!J25</f>
        <v>12000</v>
      </c>
      <c r="T25" s="6">
        <f>[2]TONT20000DEC2015!L25+[2]TONT20000JANV!J25+[2]TONT20000FEV!J25+[2]TONT20000MARS!J25+[2]TONT20000AVRIL!J25+[2]TONT20000MAI!J25+[2]TONT20000JUIN!J25+[2]TONT20000JUIL!J25+[2]TONT20000AOUT!J25+[2]TONT20000SEPT!J25+[2]TONT20000OCT!J25+[2]TONT20000NOV!K25</f>
        <v>30000</v>
      </c>
      <c r="U25" s="6">
        <f>[2]TONT20000DEC2015!M25+[2]TONT20000JANV!K25+[2]TONT20000FEV!K25+[2]TONT20000MARS!K25+[2]TONT20000AVRIL!K25+[2]TONT20000MAI!K25+[2]TONT20000JUIN!K25+[2]TONT20000JUIL!K25+[2]TONT20000AOUT!K25+[2]TONT20000SEPT!K25+[2]TONT20000OCT!K25+[2]TONT20000NOV!L25</f>
        <v>0</v>
      </c>
      <c r="V25" s="6">
        <f>[2]TONT20000DEC2015!N25+[2]TONT20000JANV!L25+[2]TONT20000FEV!L25+[2]TONT20000MARS!L25+[2]TONT20000AVRIL!L25+[2]TONT20000MAI!L25+[2]TONT20000JUIN!L25+[2]TONT20000JUIL!L25+[2]TONT20000AOUT!L25+[2]TONT20000SEPT!L25+[2]TONT20000OCT!L25+[2]TONT20000NOV!M25</f>
        <v>156000</v>
      </c>
      <c r="W25" s="6">
        <f>[2]TONT20000DEC2015!O25+[2]TONT20000JANV!M25+[2]TONT20000FEV!M25+[2]TONT20000MARS!M25+[2]TONT20000AVRIL!M25+[2]TONT20000MAI!M25+[2]TONT20000JUIN!M25+[2]TONT20000JUIL!M25+[2]TONT20000AOUT!M25+[2]TONT20000SEPT!M25+[2]TONT20000OCT!M25+[2]TONT20000NOV!N25</f>
        <v>240000</v>
      </c>
      <c r="X25" s="6">
        <f>[2]TONT20000DEC2015!P25+[2]TONT20000JANV!N25+[2]TONT20000FEV!N25+[2]TONT20000MARS!N25+[2]TONT20000AVRIL!N25+[2]TONT20000MAI!N25+[2]TONT20000JUIN!N25+[2]TONT20000JUIL!N25+[2]TONT20000AOUT!N25+[2]TONT20000SEPT!N25+[2]TONT20000OCT!N25+[2]TONT20000NOV!O25</f>
        <v>7200</v>
      </c>
      <c r="Y25" s="6">
        <f>[2]TONT20000DEC2015!Q25+[2]TONT20000JANV!O25+[2]TONT20000FEV!O25+[2]TONT20000MARS!O25+[2]TONT20000AVRIL!O25+[2]TONT20000MAI!O25+[2]TONT20000JUIN!O25+[2]TONT20000JUIL!O25+[2]TONT20000AOUT!O25+[2]TONT20000SEPT!O25+[2]TONT20000OCT!O25+[2]TONT20000NOV!P25</f>
        <v>160000</v>
      </c>
      <c r="Z25" s="6">
        <f>[2]TONT20000DEC2015!R25+[2]TONT20000JANV!P25+[2]TONT20000FEV!P25+[2]TONT20000MARS!P25+[2]TONT20000AVRIL!P25+[2]TONT20000MAI!P25+[2]TONT20000JUIN!P25+[2]TONT20000JUIL!P25+[2]TONT20000AOUT!P25+[2]TONT20000SEPT!P25+[2]TONT20000OCT!P25+[2]TONT20000NOV!Q25</f>
        <v>0</v>
      </c>
      <c r="AA25" s="6">
        <f>[2]TONT20000DEC2015!S25+[2]TONT20000JANV!Q25+[2]TONT20000FEV!Q25+[2]TONT20000MARS!Q25+[2]TONT20000AVRIL!Q25+[2]TONT20000MAI!Q25+[2]TONT20000JUIN!Q25+[2]TONT20000JUIL!Q25+[2]TONT20000AOUT!Q25+[2]TONT20000SEPT!Q25+[2]TONT20000OCT!Q25+[2]TONT20000NOV!R25</f>
        <v>0</v>
      </c>
      <c r="AB25" s="6">
        <f>[2]TONT20000DEC2015!T25+[2]TONT20000JANV!R25+[2]TONT20000FEV!R25+[2]TONT20000MARS!R25+[2]TONT20000AVRIL!R25+[2]TONT20000MAI!R25+[2]TONT20000JUIN!R25+[2]TONT20000JUIL!R25+[2]TONT20000AOUT!R25+[2]TONT20000SEPT!R25+[2]TONT20000OCT!R25+[2]TONT20000NOV!S25</f>
        <v>0</v>
      </c>
      <c r="AC25" s="3"/>
    </row>
    <row r="26" spans="1:29" x14ac:dyDescent="0.25">
      <c r="A26" s="1" t="s">
        <v>56</v>
      </c>
      <c r="B26" s="1" t="str">
        <f>VLOOKUP(A26,[2]LISTADHERENT!A$5:H$52,2,0)</f>
        <v>NANKAM APPOLINAIRE</v>
      </c>
      <c r="C26" s="2">
        <f>VLOOKUP(A26,[2]FONDSDECAISSE!A$5:C$52,3,0)</f>
        <v>390000</v>
      </c>
      <c r="D26" s="2">
        <v>4411</v>
      </c>
      <c r="E26" s="2">
        <f t="shared" si="0"/>
        <v>430411</v>
      </c>
      <c r="F26" s="2">
        <f>INT([2]TONT20000DEC2015!E26+[2]TONT20000JANV!C26+[2]TONT20000FEV!C26+[2]TONT20000MARS!C26+[2]TONT20000AVRIL!C26+[2]TONT20000MAI!C26+[2]TONT20000JUIN!C26+[2]TONT20000JUIL!C26+[2]TONT20000AOUT!C26+[2]TONT20000SEPT!C26+[2]TONT20000OCT!C26+[2]TONT20000NOV!C26)</f>
        <v>48330</v>
      </c>
      <c r="G26" s="2">
        <f>[2]TONT20000NOV!E26</f>
        <v>478741.98018371756</v>
      </c>
      <c r="H26" s="2">
        <f t="shared" si="1"/>
        <v>88741</v>
      </c>
      <c r="I26" s="2">
        <f t="shared" si="2"/>
        <v>80000</v>
      </c>
      <c r="J26" s="2">
        <f t="shared" si="3"/>
        <v>8741</v>
      </c>
      <c r="K26" s="2">
        <v>6000</v>
      </c>
      <c r="L26" s="2">
        <v>30000</v>
      </c>
      <c r="M26" s="2"/>
      <c r="N26" s="2">
        <v>50000</v>
      </c>
      <c r="O26" s="2">
        <f t="shared" si="4"/>
        <v>0</v>
      </c>
      <c r="P26" s="6">
        <f>[2]TONT20000DEC2015!H26+[2]TONT20000JANV!F26+[2]TONT20000FEV!F26+[2]TONT20000MARS!F26+[2]TONT20000AVRIL!F26+[2]TONT20000MAI!F26+[2]TONT20000JUIN!F26+[2]TONT20000JUIL!F26+[2]TONT20000AOUT!F26+[2]TONT20000SEPT!F26+[2]TONT20000OCT!F26+[2]TONT20000NOV!G26</f>
        <v>240000</v>
      </c>
      <c r="Q26" s="6">
        <f>[2]TONT20000DEC2015!I26+[2]TONT20000JANV!G26+[2]TONT20000FEV!G26+[2]TONT20000MARS!G26+[2]TONT20000AVRIL!G26+[2]TONT20000MAI!G26+[2]TONT20000JUIN!G26+[2]TONT20000JUIL!G26+[2]TONT20000AOUT!G26+[2]TONT20000SEPT!G26+[2]TONT20000OCT!G26+[2]TONT20000NOV!H26</f>
        <v>36000</v>
      </c>
      <c r="R26" s="6">
        <f>[2]TONT20000DEC2015!J26+[2]TONT20000JANV!H26+[2]TONT20000FEV!H26+[2]TONT20000MARS!H26+[2]TONT20000AVRIL!H26+[2]TONT20000MAI!H26+[2]TONT20000JUIN!H26+[2]TONT20000JUIL!H26+[2]TONT20000AOUT!H26+[2]TONT20000SEPT!H26+[2]TONT20000OCT!H26+[2]TONT20000NOV!I26</f>
        <v>6000</v>
      </c>
      <c r="S26" s="6">
        <f>[2]TONT20000DEC2015!K26+[2]TONT20000JANV!I26+[2]TONT20000FEV!I26+[2]TONT20000MARS!I26+[2]TONT20000AVRIL!I26+[2]TONT20000MAI!I26+[2]TONT20000JUIN!I26+[2]TONT20000JUIL!I26+[2]TONT20000AOUT!I26+[2]TONT20000SEPT!I26+[2]TONT20000OCT!I26+[2]TONT20000NOV!J26</f>
        <v>12000</v>
      </c>
      <c r="T26" s="6">
        <f>[2]TONT20000DEC2015!L26+[2]TONT20000JANV!J26+[2]TONT20000FEV!J26+[2]TONT20000MARS!J26+[2]TONT20000AVRIL!J26+[2]TONT20000MAI!J26+[2]TONT20000JUIN!J26+[2]TONT20000JUIL!J26+[2]TONT20000AOUT!J26+[2]TONT20000SEPT!J26+[2]TONT20000OCT!J26+[2]TONT20000NOV!K26</f>
        <v>30000</v>
      </c>
      <c r="U26" s="6">
        <f>[2]TONT20000DEC2015!M26+[2]TONT20000JANV!K26+[2]TONT20000FEV!K26+[2]TONT20000MARS!K26+[2]TONT20000AVRIL!K26+[2]TONT20000MAI!K26+[2]TONT20000JUIN!K26+[2]TONT20000JUIL!K26+[2]TONT20000AOUT!K26+[2]TONT20000SEPT!K26+[2]TONT20000OCT!K26+[2]TONT20000NOV!L26</f>
        <v>0</v>
      </c>
      <c r="V26" s="6">
        <f>[2]TONT20000DEC2015!N26+[2]TONT20000JANV!L26+[2]TONT20000FEV!L26+[2]TONT20000MARS!L26+[2]TONT20000AVRIL!L26+[2]TONT20000MAI!L26+[2]TONT20000JUIN!L26+[2]TONT20000JUIL!L26+[2]TONT20000AOUT!L26+[2]TONT20000SEPT!L26+[2]TONT20000OCT!L26+[2]TONT20000NOV!M26</f>
        <v>156000</v>
      </c>
      <c r="W26" s="6">
        <f>[2]TONT20000DEC2015!O26+[2]TONT20000JANV!M26+[2]TONT20000FEV!M26+[2]TONT20000MARS!M26+[2]TONT20000AVRIL!M26+[2]TONT20000MAI!M26+[2]TONT20000JUIN!M26+[2]TONT20000JUIL!M26+[2]TONT20000AOUT!M26+[2]TONT20000SEPT!M26+[2]TONT20000OCT!M26+[2]TONT20000NOV!N26</f>
        <v>1000000</v>
      </c>
      <c r="X26" s="6">
        <f>[2]TONT20000DEC2015!P26+[2]TONT20000JANV!N26+[2]TONT20000FEV!N26+[2]TONT20000MARS!N26+[2]TONT20000AVRIL!N26+[2]TONT20000MAI!N26+[2]TONT20000JUIN!N26+[2]TONT20000JUIL!N26+[2]TONT20000AOUT!N26+[2]TONT20000SEPT!N26+[2]TONT20000OCT!N26+[2]TONT20000NOV!O26</f>
        <v>120000</v>
      </c>
      <c r="Y26" s="6">
        <f>[2]TONT20000DEC2015!Q26+[2]TONT20000JANV!O26+[2]TONT20000FEV!O26+[2]TONT20000MARS!O26+[2]TONT20000AVRIL!O26+[2]TONT20000MAI!O26+[2]TONT20000JUIN!O26+[2]TONT20000JUIL!O26+[2]TONT20000AOUT!O26+[2]TONT20000SEPT!O26+[2]TONT20000OCT!O26+[2]TONT20000NOV!P26</f>
        <v>0</v>
      </c>
      <c r="Z26" s="6">
        <f>[2]TONT20000DEC2015!R26+[2]TONT20000JANV!P26+[2]TONT20000FEV!P26+[2]TONT20000MARS!P26+[2]TONT20000AVRIL!P26+[2]TONT20000MAI!P26+[2]TONT20000JUIN!P26+[2]TONT20000JUIL!P26+[2]TONT20000AOUT!P26+[2]TONT20000SEPT!P26+[2]TONT20000OCT!P26+[2]TONT20000NOV!Q26</f>
        <v>0</v>
      </c>
      <c r="AA26" s="6">
        <f>[2]TONT20000DEC2015!S26+[2]TONT20000JANV!Q26+[2]TONT20000FEV!Q26+[2]TONT20000MARS!Q26+[2]TONT20000AVRIL!Q26+[2]TONT20000MAI!Q26+[2]TONT20000JUIN!Q26+[2]TONT20000JUIL!Q26+[2]TONT20000AOUT!Q26+[2]TONT20000SEPT!Q26+[2]TONT20000OCT!Q26+[2]TONT20000NOV!R26</f>
        <v>0</v>
      </c>
      <c r="AB26" s="6">
        <f>[2]TONT20000DEC2015!T26+[2]TONT20000JANV!R26+[2]TONT20000FEV!R26+[2]TONT20000MARS!R26+[2]TONT20000AVRIL!R26+[2]TONT20000MAI!R26+[2]TONT20000JUIN!R26+[2]TONT20000JUIL!R26+[2]TONT20000AOUT!R26+[2]TONT20000SEPT!R26+[2]TONT20000OCT!R26+[2]TONT20000NOV!S26</f>
        <v>0</v>
      </c>
      <c r="AC26" s="3"/>
    </row>
    <row r="27" spans="1:29" x14ac:dyDescent="0.25">
      <c r="A27" s="1" t="s">
        <v>57</v>
      </c>
      <c r="B27" s="1" t="str">
        <f>VLOOKUP(A27,[2]LISTADHERENT!A$5:H$52,2,0)</f>
        <v>NDJOMO ETIENNE</v>
      </c>
      <c r="C27" s="2">
        <f>VLOOKUP(A27,[2]FONDSDECAISSE!A$5:C$52,3,0)</f>
        <v>390000</v>
      </c>
      <c r="D27" s="2">
        <v>2060</v>
      </c>
      <c r="E27" s="2">
        <f t="shared" si="0"/>
        <v>488060</v>
      </c>
      <c r="F27" s="2">
        <f>INT([2]TONT20000DEC2015!E27+[2]TONT20000JANV!C27+[2]TONT20000FEV!C27+[2]TONT20000MARS!C27+[2]TONT20000AVRIL!C27+[2]TONT20000MAI!C27+[2]TONT20000JUIN!C27+[2]TONT20000JUIL!C27+[2]TONT20000AOUT!C27+[2]TONT20000SEPT!C27+[2]TONT20000OCT!C27+[2]TONT20000NOV!C27)</f>
        <v>52258</v>
      </c>
      <c r="G27" s="2">
        <f>[2]TONT20000NOV!E27</f>
        <v>540318.20389561309</v>
      </c>
      <c r="H27" s="2">
        <f t="shared" si="1"/>
        <v>150318</v>
      </c>
      <c r="I27" s="2">
        <f t="shared" si="2"/>
        <v>80000</v>
      </c>
      <c r="J27" s="2">
        <f t="shared" si="3"/>
        <v>70318</v>
      </c>
      <c r="K27" s="2">
        <v>67500</v>
      </c>
      <c r="L27" s="2">
        <v>30000</v>
      </c>
      <c r="M27" s="2"/>
      <c r="N27" s="2">
        <v>50000</v>
      </c>
      <c r="O27" s="2">
        <f t="shared" si="4"/>
        <v>0</v>
      </c>
      <c r="P27" s="6">
        <f>[2]TONT20000DEC2015!H27+[2]TONT20000JANV!F27+[2]TONT20000FEV!F27+[2]TONT20000MARS!F27+[2]TONT20000AVRIL!F27+[2]TONT20000MAI!F27+[2]TONT20000JUIN!F27+[2]TONT20000JUIL!F27+[2]TONT20000AOUT!F27+[2]TONT20000SEPT!F27+[2]TONT20000OCT!F27+[2]TONT20000NOV!G27</f>
        <v>300000</v>
      </c>
      <c r="Q27" s="6">
        <f>[2]TONT20000DEC2015!I27+[2]TONT20000JANV!G27+[2]TONT20000FEV!G27+[2]TONT20000MARS!G27+[2]TONT20000AVRIL!G27+[2]TONT20000MAI!G27+[2]TONT20000JUIN!G27+[2]TONT20000JUIL!G27+[2]TONT20000AOUT!G27+[2]TONT20000SEPT!G27+[2]TONT20000OCT!G27+[2]TONT20000NOV!H27</f>
        <v>96000</v>
      </c>
      <c r="R27" s="6">
        <f>[2]TONT20000DEC2015!J27+[2]TONT20000JANV!H27+[2]TONT20000FEV!H27+[2]TONT20000MARS!H27+[2]TONT20000AVRIL!H27+[2]TONT20000MAI!H27+[2]TONT20000JUIN!H27+[2]TONT20000JUIL!H27+[2]TONT20000AOUT!H27+[2]TONT20000SEPT!H27+[2]TONT20000OCT!H27+[2]TONT20000NOV!I27</f>
        <v>6000</v>
      </c>
      <c r="S27" s="6">
        <f>[2]TONT20000DEC2015!K27+[2]TONT20000JANV!I27+[2]TONT20000FEV!I27+[2]TONT20000MARS!I27+[2]TONT20000AVRIL!I27+[2]TONT20000MAI!I27+[2]TONT20000JUIN!I27+[2]TONT20000JUIL!I27+[2]TONT20000AOUT!I27+[2]TONT20000SEPT!I27+[2]TONT20000OCT!I27+[2]TONT20000NOV!J27</f>
        <v>12000</v>
      </c>
      <c r="T27" s="6">
        <f>[2]TONT20000DEC2015!L27+[2]TONT20000JANV!J27+[2]TONT20000FEV!J27+[2]TONT20000MARS!J27+[2]TONT20000AVRIL!J27+[2]TONT20000MAI!J27+[2]TONT20000JUIN!J27+[2]TONT20000JUIL!J27+[2]TONT20000AOUT!J27+[2]TONT20000SEPT!J27+[2]TONT20000OCT!J27+[2]TONT20000NOV!K27</f>
        <v>30000</v>
      </c>
      <c r="U27" s="6">
        <f>[2]TONT20000DEC2015!M27+[2]TONT20000JANV!K27+[2]TONT20000FEV!K27+[2]TONT20000MARS!K27+[2]TONT20000AVRIL!K27+[2]TONT20000MAI!K27+[2]TONT20000JUIN!K27+[2]TONT20000JUIL!K27+[2]TONT20000AOUT!K27+[2]TONT20000SEPT!K27+[2]TONT20000OCT!K27+[2]TONT20000NOV!L27</f>
        <v>0</v>
      </c>
      <c r="V27" s="6">
        <f>[2]TONT20000DEC2015!N27+[2]TONT20000JANV!L27+[2]TONT20000FEV!L27+[2]TONT20000MARS!L27+[2]TONT20000AVRIL!L27+[2]TONT20000MAI!L27+[2]TONT20000JUIN!L27+[2]TONT20000JUIL!L27+[2]TONT20000AOUT!L27+[2]TONT20000SEPT!L27+[2]TONT20000OCT!L27+[2]TONT20000NOV!M27</f>
        <v>156000</v>
      </c>
      <c r="W27" s="6">
        <f>[2]TONT20000DEC2015!O27+[2]TONT20000JANV!M27+[2]TONT20000FEV!M27+[2]TONT20000MARS!M27+[2]TONT20000AVRIL!M27+[2]TONT20000MAI!M27+[2]TONT20000JUIN!M27+[2]TONT20000JUIL!M27+[2]TONT20000AOUT!M27+[2]TONT20000SEPT!M27+[2]TONT20000OCT!M27+[2]TONT20000NOV!N27</f>
        <v>1600000</v>
      </c>
      <c r="X27" s="6">
        <f>[2]TONT20000DEC2015!P27+[2]TONT20000JANV!N27+[2]TONT20000FEV!N27+[2]TONT20000MARS!N27+[2]TONT20000AVRIL!N27+[2]TONT20000MAI!N27+[2]TONT20000JUIN!N27+[2]TONT20000JUIL!N27+[2]TONT20000AOUT!N27+[2]TONT20000SEPT!N27+[2]TONT20000OCT!N27+[2]TONT20000NOV!O27</f>
        <v>48000</v>
      </c>
      <c r="Y27" s="6">
        <f>[2]TONT20000DEC2015!Q27+[2]TONT20000JANV!O27+[2]TONT20000FEV!O27+[2]TONT20000MARS!O27+[2]TONT20000AVRIL!O27+[2]TONT20000MAI!O27+[2]TONT20000JUIN!O27+[2]TONT20000JUIL!O27+[2]TONT20000AOUT!O27+[2]TONT20000SEPT!O27+[2]TONT20000OCT!O27+[2]TONT20000NOV!P27</f>
        <v>1200000</v>
      </c>
      <c r="Z27" s="6">
        <f>[2]TONT20000DEC2015!R27+[2]TONT20000JANV!P27+[2]TONT20000FEV!P27+[2]TONT20000MARS!P27+[2]TONT20000AVRIL!P27+[2]TONT20000MAI!P27+[2]TONT20000JUIN!P27+[2]TONT20000JUIL!P27+[2]TONT20000AOUT!P27+[2]TONT20000SEPT!P27+[2]TONT20000OCT!P27+[2]TONT20000NOV!Q27</f>
        <v>0</v>
      </c>
      <c r="AA27" s="6">
        <f>[2]TONT20000DEC2015!S27+[2]TONT20000JANV!Q27+[2]TONT20000FEV!Q27+[2]TONT20000MARS!Q27+[2]TONT20000AVRIL!Q27+[2]TONT20000MAI!Q27+[2]TONT20000JUIN!Q27+[2]TONT20000JUIL!Q27+[2]TONT20000AOUT!Q27+[2]TONT20000SEPT!Q27+[2]TONT20000OCT!Q27+[2]TONT20000NOV!R27</f>
        <v>0</v>
      </c>
      <c r="AB27" s="6">
        <f>[2]TONT20000DEC2015!T27+[2]TONT20000JANV!R27+[2]TONT20000FEV!R27+[2]TONT20000MARS!R27+[2]TONT20000AVRIL!R27+[2]TONT20000MAI!R27+[2]TONT20000JUIN!R27+[2]TONT20000JUIL!R27+[2]TONT20000AOUT!R27+[2]TONT20000SEPT!R27+[2]TONT20000OCT!R27+[2]TONT20000NOV!S27</f>
        <v>0</v>
      </c>
      <c r="AC27" s="3"/>
    </row>
    <row r="28" spans="1:29" ht="0.75" customHeight="1" x14ac:dyDescent="0.25">
      <c r="A28" s="1" t="s">
        <v>58</v>
      </c>
      <c r="B28" s="1" t="str">
        <f>VLOOKUP(A28,[2]LISTADHERENT!A$5:H$52,2,0)</f>
        <v>NDOMBOU JEAN CLAUDE</v>
      </c>
      <c r="C28" s="2">
        <f>VLOOKUP(A28,[2]FONDSDECAISSE!A$5:C$52,3,0)</f>
        <v>0</v>
      </c>
      <c r="D28" s="2">
        <v>0</v>
      </c>
      <c r="E28" s="2">
        <f t="shared" si="0"/>
        <v>0</v>
      </c>
      <c r="F28" s="2">
        <f>INT([2]TONT20000DEC2015!E28+[2]TONT20000JANV!C28+[2]TONT20000FEV!C28+[2]TONT20000MARS!C28+[2]TONT20000AVRIL!C28+[2]TONT20000MAI!C28+[2]TONT20000JUIN!C28+[2]TONT20000JUIL!C28+[2]TONT20000AOUT!C28+[2]TONT20000SEPT!C28+[2]TONT20000OCT!C28+[2]TONT20000NOV!C28)</f>
        <v>0</v>
      </c>
      <c r="G28" s="2">
        <f>[2]TONT20000NOV!E28</f>
        <v>0</v>
      </c>
      <c r="H28" s="2">
        <f t="shared" si="1"/>
        <v>0</v>
      </c>
      <c r="I28" s="2">
        <f t="shared" si="2"/>
        <v>0</v>
      </c>
      <c r="J28" s="2">
        <f t="shared" si="3"/>
        <v>0</v>
      </c>
      <c r="K28" s="2"/>
      <c r="L28" s="2"/>
      <c r="M28" s="2"/>
      <c r="N28" s="2"/>
      <c r="O28" s="2"/>
      <c r="P28" s="6">
        <f>[2]TONT20000DEC2015!H28+[2]TONT20000JANV!F28+[2]TONT20000FEV!F28+[2]TONT20000MARS!F28+[2]TONT20000AVRIL!F28+[2]TONT20000MAI!F28+[2]TONT20000JUIN!F28+[2]TONT20000JUIL!F28+[2]TONT20000AOUT!F28+[2]TONT20000SEPT!F28+[2]TONT20000OCT!F28+[2]TONT20000NOV!G28</f>
        <v>0</v>
      </c>
      <c r="Q28" s="6">
        <f>[2]TONT20000DEC2015!I28+[2]TONT20000JANV!G28+[2]TONT20000FEV!G28+[2]TONT20000MARS!G28+[2]TONT20000AVRIL!G28+[2]TONT20000MAI!G28+[2]TONT20000JUIN!G28+[2]TONT20000JUIL!G28+[2]TONT20000AOUT!G28+[2]TONT20000SEPT!G28+[2]TONT20000OCT!G28+[2]TONT20000NOV!H28</f>
        <v>0</v>
      </c>
      <c r="R28" s="6">
        <f>[2]TONT20000DEC2015!J28+[2]TONT20000JANV!H28+[2]TONT20000FEV!H28+[2]TONT20000MARS!H28+[2]TONT20000AVRIL!H28+[2]TONT20000MAI!H28+[2]TONT20000JUIN!H28+[2]TONT20000JUIL!H28+[2]TONT20000AOUT!H28+[2]TONT20000SEPT!H28+[2]TONT20000OCT!H28+[2]TONT20000NOV!I28</f>
        <v>0</v>
      </c>
      <c r="S28" s="6">
        <f>[2]TONT20000DEC2015!K28+[2]TONT20000JANV!I28+[2]TONT20000FEV!I28+[2]TONT20000MARS!I28+[2]TONT20000AVRIL!I28+[2]TONT20000MAI!I28+[2]TONT20000JUIN!I28+[2]TONT20000JUIL!I28+[2]TONT20000AOUT!I28+[2]TONT20000SEPT!I28+[2]TONT20000OCT!I28+[2]TONT20000NOV!J28</f>
        <v>0</v>
      </c>
      <c r="T28" s="6">
        <f>[2]TONT20000DEC2015!L28+[2]TONT20000JANV!J28+[2]TONT20000FEV!J28+[2]TONT20000MARS!J28+[2]TONT20000AVRIL!J28+[2]TONT20000MAI!J28+[2]TONT20000JUIN!J28+[2]TONT20000JUIL!J28+[2]TONT20000AOUT!J28+[2]TONT20000SEPT!J28+[2]TONT20000OCT!J28+[2]TONT20000NOV!K28</f>
        <v>0</v>
      </c>
      <c r="U28" s="6">
        <f>[2]TONT20000DEC2015!M28+[2]TONT20000JANV!K28+[2]TONT20000FEV!K28+[2]TONT20000MARS!K28+[2]TONT20000AVRIL!K28+[2]TONT20000MAI!K28+[2]TONT20000JUIN!K28+[2]TONT20000JUIL!K28+[2]TONT20000AOUT!K28+[2]TONT20000SEPT!K28+[2]TONT20000OCT!K28+[2]TONT20000NOV!L28</f>
        <v>0</v>
      </c>
      <c r="V28" s="6">
        <f>[2]TONT20000DEC2015!N28+[2]TONT20000JANV!L28+[2]TONT20000FEV!L28+[2]TONT20000MARS!L28+[2]TONT20000AVRIL!L28+[2]TONT20000MAI!L28+[2]TONT20000JUIN!L28+[2]TONT20000JUIL!L28+[2]TONT20000AOUT!L28+[2]TONT20000SEPT!L28+[2]TONT20000OCT!L28+[2]TONT20000NOV!M28</f>
        <v>0</v>
      </c>
      <c r="W28" s="6">
        <f>[2]TONT20000DEC2015!O28+[2]TONT20000JANV!M28+[2]TONT20000FEV!M28+[2]TONT20000MARS!M28+[2]TONT20000AVRIL!M28+[2]TONT20000MAI!M28+[2]TONT20000JUIN!M28+[2]TONT20000JUIL!M28+[2]TONT20000AOUT!M28+[2]TONT20000SEPT!M28+[2]TONT20000OCT!M28+[2]TONT20000NOV!N28</f>
        <v>0</v>
      </c>
      <c r="X28" s="6">
        <f>[2]TONT20000DEC2015!P28+[2]TONT20000JANV!N28+[2]TONT20000FEV!N28+[2]TONT20000MARS!N28+[2]TONT20000AVRIL!N28+[2]TONT20000MAI!N28+[2]TONT20000JUIN!N28+[2]TONT20000JUIL!N28+[2]TONT20000AOUT!N28+[2]TONT20000SEPT!N28+[2]TONT20000OCT!N28+[2]TONT20000NOV!O28</f>
        <v>0</v>
      </c>
      <c r="Y28" s="6">
        <f>[2]TONT20000DEC2015!Q28+[2]TONT20000JANV!O28+[2]TONT20000FEV!O28+[2]TONT20000MARS!O28+[2]TONT20000AVRIL!O28+[2]TONT20000MAI!O28+[2]TONT20000JUIN!O28+[2]TONT20000JUIL!O28+[2]TONT20000AOUT!O28+[2]TONT20000SEPT!O28+[2]TONT20000OCT!O28+[2]TONT20000NOV!P28</f>
        <v>0</v>
      </c>
      <c r="Z28" s="6">
        <f>[2]TONT20000DEC2015!R28+[2]TONT20000JANV!P28+[2]TONT20000FEV!P28+[2]TONT20000MARS!P28+[2]TONT20000AVRIL!P28+[2]TONT20000MAI!P28+[2]TONT20000JUIN!P28+[2]TONT20000JUIL!P28+[2]TONT20000AOUT!P28+[2]TONT20000SEPT!P28+[2]TONT20000OCT!P28+[2]TONT20000NOV!Q28</f>
        <v>0</v>
      </c>
      <c r="AA28" s="6">
        <f>[2]TONT20000DEC2015!S28+[2]TONT20000JANV!Q28+[2]TONT20000FEV!Q28+[2]TONT20000MARS!Q28+[2]TONT20000AVRIL!Q28+[2]TONT20000MAI!Q28+[2]TONT20000JUIN!Q28+[2]TONT20000JUIL!Q28+[2]TONT20000AOUT!Q28+[2]TONT20000SEPT!Q28+[2]TONT20000OCT!Q28+[2]TONT20000NOV!R28</f>
        <v>0</v>
      </c>
      <c r="AB28" s="6">
        <f>[2]TONT20000DEC2015!T28+[2]TONT20000JANV!R28+[2]TONT20000FEV!R28+[2]TONT20000MARS!R28+[2]TONT20000AVRIL!R28+[2]TONT20000MAI!R28+[2]TONT20000JUIN!R28+[2]TONT20000JUIL!R28+[2]TONT20000AOUT!R28+[2]TONT20000SEPT!R28+[2]TONT20000OCT!R28+[2]TONT20000NOV!S28</f>
        <v>0</v>
      </c>
      <c r="AC28" s="3"/>
    </row>
    <row r="29" spans="1:29" x14ac:dyDescent="0.25">
      <c r="A29" s="1" t="s">
        <v>59</v>
      </c>
      <c r="B29" s="1" t="str">
        <f>VLOOKUP(A29,[2]LISTADHERENT!A$5:H$52,2,0)</f>
        <v>NGONDIEP CLAUDE</v>
      </c>
      <c r="C29" s="2">
        <f>VLOOKUP(A29,[2]FONDSDECAISSE!A$5:C$52,3,0)</f>
        <v>390000</v>
      </c>
      <c r="D29" s="2">
        <v>179574</v>
      </c>
      <c r="E29" s="2">
        <f t="shared" si="0"/>
        <v>605574</v>
      </c>
      <c r="F29" s="2">
        <f>INT([2]TONT20000DEC2015!E29+[2]TONT20000JANV!C29+[2]TONT20000FEV!C29+[2]TONT20000MARS!C29+[2]TONT20000AVRIL!C29+[2]TONT20000MAI!C29+[2]TONT20000JUIN!C29+[2]TONT20000JUIL!C29+[2]TONT20000AOUT!C29+[2]TONT20000SEPT!C29+[2]TONT20000OCT!C29+[2]TONT20000NOV!C29)</f>
        <v>68676</v>
      </c>
      <c r="G29" s="2">
        <f>[2]TONT20000NOV!E29</f>
        <v>674250.14808181231</v>
      </c>
      <c r="H29" s="2">
        <f t="shared" si="1"/>
        <v>284250</v>
      </c>
      <c r="I29" s="2">
        <f t="shared" si="2"/>
        <v>80000</v>
      </c>
      <c r="J29" s="2">
        <f t="shared" si="3"/>
        <v>204250</v>
      </c>
      <c r="K29" s="2">
        <v>201000</v>
      </c>
      <c r="L29" s="2">
        <v>30000</v>
      </c>
      <c r="M29" s="2"/>
      <c r="N29" s="2">
        <v>50000</v>
      </c>
      <c r="O29" s="2">
        <f t="shared" si="4"/>
        <v>0</v>
      </c>
      <c r="P29" s="6">
        <f>[2]TONT20000DEC2015!H29+[2]TONT20000JANV!F29+[2]TONT20000FEV!F29+[2]TONT20000MARS!F29+[2]TONT20000AVRIL!F29+[2]TONT20000MAI!F29+[2]TONT20000JUIN!F29+[2]TONT20000JUIL!F29+[2]TONT20000AOUT!F29+[2]TONT20000SEPT!F29+[2]TONT20000OCT!F29+[2]TONT20000NOV!G29</f>
        <v>240000</v>
      </c>
      <c r="Q29" s="6">
        <f>[2]TONT20000DEC2015!I29+[2]TONT20000JANV!G29+[2]TONT20000FEV!G29+[2]TONT20000MARS!G29+[2]TONT20000AVRIL!G29+[2]TONT20000MAI!G29+[2]TONT20000JUIN!G29+[2]TONT20000JUIL!G29+[2]TONT20000AOUT!G29+[2]TONT20000SEPT!G29+[2]TONT20000OCT!G29+[2]TONT20000NOV!H29</f>
        <v>36000</v>
      </c>
      <c r="R29" s="6">
        <f>[2]TONT20000DEC2015!J29+[2]TONT20000JANV!H29+[2]TONT20000FEV!H29+[2]TONT20000MARS!H29+[2]TONT20000AVRIL!H29+[2]TONT20000MAI!H29+[2]TONT20000JUIN!H29+[2]TONT20000JUIL!H29+[2]TONT20000AOUT!H29+[2]TONT20000SEPT!H29+[2]TONT20000OCT!H29+[2]TONT20000NOV!I29</f>
        <v>6000</v>
      </c>
      <c r="S29" s="6">
        <f>[2]TONT20000DEC2015!K29+[2]TONT20000JANV!I29+[2]TONT20000FEV!I29+[2]TONT20000MARS!I29+[2]TONT20000AVRIL!I29+[2]TONT20000MAI!I29+[2]TONT20000JUIN!I29+[2]TONT20000JUIL!I29+[2]TONT20000AOUT!I29+[2]TONT20000SEPT!I29+[2]TONT20000OCT!I29+[2]TONT20000NOV!J29</f>
        <v>12000</v>
      </c>
      <c r="T29" s="6">
        <f>[2]TONT20000DEC2015!L29+[2]TONT20000JANV!J29+[2]TONT20000FEV!J29+[2]TONT20000MARS!J29+[2]TONT20000AVRIL!J29+[2]TONT20000MAI!J29+[2]TONT20000JUIN!J29+[2]TONT20000JUIL!J29+[2]TONT20000AOUT!J29+[2]TONT20000SEPT!J29+[2]TONT20000OCT!J29+[2]TONT20000NOV!K29</f>
        <v>30000</v>
      </c>
      <c r="U29" s="6">
        <f>[2]TONT20000DEC2015!M29+[2]TONT20000JANV!K29+[2]TONT20000FEV!K29+[2]TONT20000MARS!K29+[2]TONT20000AVRIL!K29+[2]TONT20000MAI!K29+[2]TONT20000JUIN!K29+[2]TONT20000JUIL!K29+[2]TONT20000AOUT!K29+[2]TONT20000SEPT!K29+[2]TONT20000OCT!K29+[2]TONT20000NOV!L29</f>
        <v>0</v>
      </c>
      <c r="V29" s="6">
        <f>[2]TONT20000DEC2015!N29+[2]TONT20000JANV!L29+[2]TONT20000FEV!L29+[2]TONT20000MARS!L29+[2]TONT20000AVRIL!L29+[2]TONT20000MAI!L29+[2]TONT20000JUIN!L29+[2]TONT20000JUIL!L29+[2]TONT20000AOUT!L29+[2]TONT20000SEPT!L29+[2]TONT20000OCT!L29+[2]TONT20000NOV!M29</f>
        <v>156000</v>
      </c>
      <c r="W29" s="6">
        <f>[2]TONT20000DEC2015!O29+[2]TONT20000JANV!M29+[2]TONT20000FEV!M29+[2]TONT20000MARS!M29+[2]TONT20000AVRIL!M29+[2]TONT20000MAI!M29+[2]TONT20000JUIN!M29+[2]TONT20000JUIL!M29+[2]TONT20000AOUT!M29+[2]TONT20000SEPT!M29+[2]TONT20000OCT!M29+[2]TONT20000NOV!N29</f>
        <v>0</v>
      </c>
      <c r="X29" s="6">
        <f>[2]TONT20000DEC2015!P29+[2]TONT20000JANV!N29+[2]TONT20000FEV!N29+[2]TONT20000MARS!N29+[2]TONT20000AVRIL!N29+[2]TONT20000MAI!N29+[2]TONT20000JUIN!N29+[2]TONT20000JUIL!N29+[2]TONT20000AOUT!N29+[2]TONT20000SEPT!N29+[2]TONT20000OCT!N29+[2]TONT20000NOV!O29</f>
        <v>0</v>
      </c>
      <c r="Y29" s="6">
        <f>[2]TONT20000DEC2015!Q29+[2]TONT20000JANV!O29+[2]TONT20000FEV!O29+[2]TONT20000MARS!O29+[2]TONT20000AVRIL!O29+[2]TONT20000MAI!O29+[2]TONT20000JUIN!O29+[2]TONT20000JUIL!O29+[2]TONT20000AOUT!O29+[2]TONT20000SEPT!O29+[2]TONT20000OCT!O29+[2]TONT20000NOV!P29</f>
        <v>0</v>
      </c>
      <c r="Z29" s="6">
        <f>[2]TONT20000DEC2015!R29+[2]TONT20000JANV!P29+[2]TONT20000FEV!P29+[2]TONT20000MARS!P29+[2]TONT20000AVRIL!P29+[2]TONT20000MAI!P29+[2]TONT20000JUIN!P29+[2]TONT20000JUIL!P29+[2]TONT20000AOUT!P29+[2]TONT20000SEPT!P29+[2]TONT20000OCT!P29+[2]TONT20000NOV!Q29</f>
        <v>0</v>
      </c>
      <c r="AA29" s="6">
        <f>[2]TONT20000DEC2015!S29+[2]TONT20000JANV!Q29+[2]TONT20000FEV!Q29+[2]TONT20000MARS!Q29+[2]TONT20000AVRIL!Q29+[2]TONT20000MAI!Q29+[2]TONT20000JUIN!Q29+[2]TONT20000JUIL!Q29+[2]TONT20000AOUT!Q29+[2]TONT20000SEPT!Q29+[2]TONT20000OCT!Q29+[2]TONT20000NOV!R29</f>
        <v>0</v>
      </c>
      <c r="AB29" s="6">
        <f>[2]TONT20000DEC2015!T29+[2]TONT20000JANV!R29+[2]TONT20000FEV!R29+[2]TONT20000MARS!R29+[2]TONT20000AVRIL!R29+[2]TONT20000MAI!R29+[2]TONT20000JUIN!R29+[2]TONT20000JUIL!R29+[2]TONT20000AOUT!R29+[2]TONT20000SEPT!R29+[2]TONT20000OCT!R29+[2]TONT20000NOV!S29</f>
        <v>0</v>
      </c>
      <c r="AC29" s="3"/>
    </row>
    <row r="30" spans="1:29" x14ac:dyDescent="0.25">
      <c r="A30" s="1" t="s">
        <v>60</v>
      </c>
      <c r="B30" s="1" t="str">
        <f>VLOOKUP(A30,[2]LISTADHERENT!A$5:H$52,2,0)</f>
        <v>NGONGANG JEAN THEODORE</v>
      </c>
      <c r="C30" s="2">
        <f>VLOOKUP(A30,[2]FONDSDECAISSE!A$5:C$52,3,0)</f>
        <v>0</v>
      </c>
      <c r="D30" s="2">
        <v>0</v>
      </c>
      <c r="E30" s="2">
        <f t="shared" si="0"/>
        <v>17782</v>
      </c>
      <c r="F30" s="2">
        <f>INT([2]TONT20000DEC2015!E30+[2]TONT20000JANV!C30+[2]TONT20000FEV!C30+[2]TONT20000MARS!C30+[2]TONT20000AVRIL!C30+[2]TONT20000MAI!C30+[2]TONT20000JUIN!C30+[2]TONT20000JUIL!C30+[2]TONT20000AOUT!C30+[2]TONT20000SEPT!C30+[2]TONT20000OCT!C30+[2]TONT20000NOV!C30)</f>
        <v>2520</v>
      </c>
      <c r="G30" s="2">
        <f>[2]TONT20000NOV!E30</f>
        <v>38520.175299949828</v>
      </c>
      <c r="H30" s="2">
        <f t="shared" si="1"/>
        <v>20302</v>
      </c>
      <c r="I30" s="2">
        <f t="shared" si="2"/>
        <v>20196</v>
      </c>
      <c r="J30" s="2">
        <f t="shared" si="3"/>
        <v>106</v>
      </c>
      <c r="K30" s="2">
        <v>0</v>
      </c>
      <c r="L30" s="2"/>
      <c r="M30" s="2"/>
      <c r="N30" s="2">
        <f>50000-29804</f>
        <v>20196</v>
      </c>
      <c r="O30" s="2">
        <f t="shared" si="4"/>
        <v>0</v>
      </c>
      <c r="P30" s="6">
        <f>[2]TONT20000DEC2015!H30+[2]TONT20000JANV!F30+[2]TONT20000FEV!F30+[2]TONT20000MARS!F30+[2]TONT20000AVRIL!F30+[2]TONT20000MAI!F30+[2]TONT20000JUIN!F30+[2]TONT20000JUIL!F30+[2]TONT20000AOUT!F30+[2]TONT20000SEPT!F30+[2]TONT20000OCT!F30+[2]TONT20000NOV!G30</f>
        <v>240000</v>
      </c>
      <c r="Q30" s="6">
        <f>[2]TONT20000DEC2015!I30+[2]TONT20000JANV!G30+[2]TONT20000FEV!G30+[2]TONT20000MARS!G30+[2]TONT20000AVRIL!G30+[2]TONT20000MAI!G30+[2]TONT20000JUIN!G30+[2]TONT20000JUIL!G30+[2]TONT20000AOUT!G30+[2]TONT20000SEPT!G30+[2]TONT20000OCT!G30+[2]TONT20000NOV!H30-18218</f>
        <v>17782</v>
      </c>
      <c r="R30" s="6">
        <f>[2]TONT20000DEC2015!J30+[2]TONT20000JANV!H30+[2]TONT20000FEV!H30+[2]TONT20000MARS!H30+[2]TONT20000AVRIL!H30+[2]TONT20000MAI!H30+[2]TONT20000JUIN!H30+[2]TONT20000JUIL!H30+[2]TONT20000AOUT!H30+[2]TONT20000SEPT!H30+[2]TONT20000OCT!H30+[2]TONT20000NOV!I30</f>
        <v>6000</v>
      </c>
      <c r="S30" s="6">
        <f>[2]TONT20000DEC2015!K30+[2]TONT20000JANV!I30+[2]TONT20000FEV!I30+[2]TONT20000MARS!I30+[2]TONT20000AVRIL!I30+[2]TONT20000MAI!I30+[2]TONT20000JUIN!I30+[2]TONT20000JUIL!I30+[2]TONT20000AOUT!I30+[2]TONT20000SEPT!I30+[2]TONT20000OCT!I30+[2]TONT20000NOV!J30</f>
        <v>12000</v>
      </c>
      <c r="T30" s="6">
        <f>[2]TONT20000DEC2015!L30+[2]TONT20000JANV!J30+[2]TONT20000FEV!J30+[2]TONT20000MARS!J30+[2]TONT20000AVRIL!J30+[2]TONT20000MAI!J30+[2]TONT20000JUIN!J30+[2]TONT20000JUIL!J30+[2]TONT20000AOUT!J30+[2]TONT20000SEPT!J30+[2]TONT20000OCT!J30+[2]TONT20000NOV!K30</f>
        <v>30000</v>
      </c>
      <c r="U30" s="6">
        <f>[2]TONT20000DEC2015!M30+[2]TONT20000JANV!K30+[2]TONT20000FEV!K30+[2]TONT20000MARS!K30+[2]TONT20000AVRIL!K30+[2]TONT20000MAI!K30+[2]TONT20000JUIN!K30+[2]TONT20000JUIL!K30+[2]TONT20000AOUT!K30+[2]TONT20000SEPT!K30+[2]TONT20000OCT!K30+[2]TONT20000NOV!L30</f>
        <v>0</v>
      </c>
      <c r="V30" s="6">
        <f>[2]TONT20000DEC2015!N30+[2]TONT20000JANV!L30+[2]TONT20000FEV!L30+[2]TONT20000MARS!L30+[2]TONT20000AVRIL!L30+[2]TONT20000MAI!L30+[2]TONT20000JUIN!L30+[2]TONT20000JUIL!L30+[2]TONT20000AOUT!L30+[2]TONT20000SEPT!L30+[2]TONT20000OCT!L30+[2]TONT20000NOV!M30</f>
        <v>156000</v>
      </c>
      <c r="W30" s="6">
        <f>[2]TONT20000DEC2015!O30+[2]TONT20000JANV!M30+[2]TONT20000FEV!M30+[2]TONT20000MARS!M30+[2]TONT20000AVRIL!M30+[2]TONT20000MAI!M30+[2]TONT20000JUIN!M30+[2]TONT20000JUIL!M30+[2]TONT20000AOUT!M30+[2]TONT20000SEPT!M30+[2]TONT20000OCT!M30+[2]TONT20000NOV!N30</f>
        <v>0</v>
      </c>
      <c r="X30" s="6">
        <f>[2]TONT20000DEC2015!P30+[2]TONT20000JANV!N30+[2]TONT20000FEV!N30+[2]TONT20000MARS!N30+[2]TONT20000AVRIL!N30+[2]TONT20000MAI!N30+[2]TONT20000JUIN!N30+[2]TONT20000JUIL!N30+[2]TONT20000AOUT!N30+[2]TONT20000SEPT!N30+[2]TONT20000OCT!N30+[2]TONT20000NOV!O30</f>
        <v>0</v>
      </c>
      <c r="Y30" s="6">
        <f>[2]TONT20000DEC2015!Q30+[2]TONT20000JANV!O30+[2]TONT20000FEV!O30+[2]TONT20000MARS!O30+[2]TONT20000AVRIL!O30+[2]TONT20000MAI!O30+[2]TONT20000JUIN!O30+[2]TONT20000JUIL!O30+[2]TONT20000AOUT!O30+[2]TONT20000SEPT!O30+[2]TONT20000OCT!O30+[2]TONT20000NOV!P30</f>
        <v>0</v>
      </c>
      <c r="Z30" s="6">
        <f>[2]TONT20000DEC2015!R30+[2]TONT20000JANV!P30+[2]TONT20000FEV!P30+[2]TONT20000MARS!P30+[2]TONT20000AVRIL!P30+[2]TONT20000MAI!P30+[2]TONT20000JUIN!P30+[2]TONT20000JUIL!P30+[2]TONT20000AOUT!P30+[2]TONT20000SEPT!P30+[2]TONT20000OCT!P30+[2]TONT20000NOV!Q30</f>
        <v>0</v>
      </c>
      <c r="AA30" s="6">
        <f>[2]TONT20000DEC2015!S30+[2]TONT20000JANV!Q30+[2]TONT20000FEV!Q30+[2]TONT20000MARS!Q30+[2]TONT20000AVRIL!Q30+[2]TONT20000MAI!Q30+[2]TONT20000JUIN!Q30+[2]TONT20000JUIL!Q30+[2]TONT20000AOUT!Q30+[2]TONT20000SEPT!Q30+[2]TONT20000OCT!Q30+[2]TONT20000NOV!R30</f>
        <v>0</v>
      </c>
      <c r="AB30" s="6">
        <f>[2]TONT20000DEC2015!T30+[2]TONT20000JANV!R30+[2]TONT20000FEV!R30+[2]TONT20000MARS!R30+[2]TONT20000AVRIL!R30+[2]TONT20000MAI!R30+[2]TONT20000JUIN!R30+[2]TONT20000JUIL!R30+[2]TONT20000AOUT!R30+[2]TONT20000SEPT!R30+[2]TONT20000OCT!R30+[2]TONT20000NOV!S30</f>
        <v>0</v>
      </c>
      <c r="AC30" s="3"/>
    </row>
    <row r="31" spans="1:29" x14ac:dyDescent="0.25">
      <c r="A31" s="1" t="s">
        <v>61</v>
      </c>
      <c r="B31" s="1" t="str">
        <f>VLOOKUP(A31,[2]LISTADHERENT!A$5:H$52,2,0)</f>
        <v>NGUIEMEGNI MATHIEU BLAISE</v>
      </c>
      <c r="C31" s="2">
        <v>390000</v>
      </c>
      <c r="D31" s="2">
        <v>0</v>
      </c>
      <c r="E31" s="2">
        <f t="shared" si="0"/>
        <v>945945</v>
      </c>
      <c r="F31" s="2">
        <f>INT([2]TONT20000DEC2015!E31+[2]TONT20000JANV!C31+[2]TONT20000FEV!C31+[2]TONT20000MARS!C31+[2]TONT20000AVRIL!C31+[2]TONT20000MAI!C31+[2]TONT20000JUIN!C31+[2]TONT20000JUIL!C31+[2]TONT20000AOUT!C31+[2]TONT20000SEPT!C31+[2]TONT20000OCT!C31+[2]TONT20000NOV!C31)</f>
        <v>39243</v>
      </c>
      <c r="G31" s="2">
        <f>[2]TONT20000NOV!E31</f>
        <v>985188.08962026308</v>
      </c>
      <c r="H31" s="2">
        <f t="shared" si="1"/>
        <v>595188</v>
      </c>
      <c r="I31" s="2">
        <f t="shared" si="2"/>
        <v>30000</v>
      </c>
      <c r="J31" s="2">
        <f t="shared" si="3"/>
        <v>565188</v>
      </c>
      <c r="K31" s="2">
        <v>0</v>
      </c>
      <c r="L31" s="2">
        <v>30000</v>
      </c>
      <c r="M31" s="2"/>
      <c r="N31" s="2">
        <v>0</v>
      </c>
      <c r="O31" s="2">
        <f t="shared" si="4"/>
        <v>0</v>
      </c>
      <c r="P31" s="6">
        <f>[2]TONT20000DEC2015!H31+[2]TONT20000JANV!F31+[2]TONT20000FEV!F31+[2]TONT20000MARS!F31+[2]TONT20000AVRIL!F31+[2]TONT20000MAI!F31+[2]TONT20000JUIN!F31+[2]TONT20000JUIL!F31+[2]TONT20000AOUT!F31+[2]TONT20000SEPT!F31+[2]TONT20000OCT!F31+[2]TONT20000NOV!G31</f>
        <v>860000</v>
      </c>
      <c r="Q31" s="6">
        <f>[2]TONT20000DEC2015!I31+[2]TONT20000JANV!G31+[2]TONT20000FEV!G31+[2]TONT20000MARS!G31+[2]TONT20000AVRIL!G31+[2]TONT20000MAI!G31+[2]TONT20000JUIN!G31+[2]TONT20000JUIL!G31+[2]TONT20000AOUT!G31+[2]TONT20000SEPT!G31+[2]TONT20000OCT!G31+[2]TONT20000NOV!H31</f>
        <v>555945</v>
      </c>
      <c r="R31" s="6">
        <f>[2]TONT20000DEC2015!J31+[2]TONT20000JANV!H31+[2]TONT20000FEV!H31+[2]TONT20000MARS!H31+[2]TONT20000AVRIL!H31+[2]TONT20000MAI!H31+[2]TONT20000JUIN!H31+[2]TONT20000JUIL!H31+[2]TONT20000AOUT!H31+[2]TONT20000SEPT!H31+[2]TONT20000OCT!H31+[2]TONT20000NOV!I31</f>
        <v>6000</v>
      </c>
      <c r="S31" s="6">
        <f>[2]TONT20000DEC2015!K31+[2]TONT20000JANV!I31+[2]TONT20000FEV!I31+[2]TONT20000MARS!I31+[2]TONT20000AVRIL!I31+[2]TONT20000MAI!I31+[2]TONT20000JUIN!I31+[2]TONT20000JUIL!I31+[2]TONT20000AOUT!I31+[2]TONT20000SEPT!I31+[2]TONT20000OCT!I31+[2]TONT20000NOV!J31</f>
        <v>12000</v>
      </c>
      <c r="T31" s="6">
        <f>[2]TONT20000DEC2015!L31+[2]TONT20000JANV!J31+[2]TONT20000FEV!J31+[2]TONT20000MARS!J31+[2]TONT20000AVRIL!J31+[2]TONT20000MAI!J31+[2]TONT20000JUIN!J31+[2]TONT20000JUIL!J31+[2]TONT20000AOUT!J31+[2]TONT20000SEPT!J31+[2]TONT20000OCT!J31+[2]TONT20000NOV!K31</f>
        <v>30000</v>
      </c>
      <c r="U31" s="6">
        <f>[2]TONT20000DEC2015!M31+[2]TONT20000JANV!K31+[2]TONT20000FEV!K31+[2]TONT20000MARS!K31+[2]TONT20000AVRIL!K31+[2]TONT20000MAI!K31+[2]TONT20000JUIN!K31+[2]TONT20000JUIL!K31+[2]TONT20000AOUT!K31+[2]TONT20000SEPT!K31+[2]TONT20000OCT!K31+[2]TONT20000NOV!L31</f>
        <v>50000</v>
      </c>
      <c r="V31" s="6">
        <f>[2]TONT20000DEC2015!N31+[2]TONT20000JANV!L31+[2]TONT20000FEV!L31+[2]TONT20000MARS!L31+[2]TONT20000AVRIL!L31+[2]TONT20000MAI!L31+[2]TONT20000JUIN!L31+[2]TONT20000JUIL!L31+[2]TONT20000AOUT!L31+[2]TONT20000SEPT!L31+[2]TONT20000OCT!L31+[2]TONT20000NOV!M31</f>
        <v>156000</v>
      </c>
      <c r="W31" s="6">
        <f>[2]TONT20000DEC2015!O31+[2]TONT20000JANV!M31+[2]TONT20000FEV!M31+[2]TONT20000MARS!M31+[2]TONT20000AVRIL!M31+[2]TONT20000MAI!M31+[2]TONT20000JUIN!M31+[2]TONT20000JUIL!M31+[2]TONT20000AOUT!M31+[2]TONT20000SEPT!M31+[2]TONT20000OCT!M31+[2]TONT20000NOV!N31</f>
        <v>0</v>
      </c>
      <c r="X31" s="6">
        <f>[2]TONT20000DEC2015!P31+[2]TONT20000JANV!N31+[2]TONT20000FEV!N31+[2]TONT20000MARS!N31+[2]TONT20000AVRIL!N31+[2]TONT20000MAI!N31+[2]TONT20000JUIN!N31+[2]TONT20000JUIL!N31+[2]TONT20000AOUT!N31+[2]TONT20000SEPT!N31+[2]TONT20000OCT!N31+[2]TONT20000NOV!O31</f>
        <v>0</v>
      </c>
      <c r="Y31" s="6">
        <f>[2]TONT20000DEC2015!Q31+[2]TONT20000JANV!O31+[2]TONT20000FEV!O31+[2]TONT20000MARS!O31+[2]TONT20000AVRIL!O31+[2]TONT20000MAI!O31+[2]TONT20000JUIN!O31+[2]TONT20000JUIL!O31+[2]TONT20000AOUT!O31+[2]TONT20000SEPT!O31+[2]TONT20000OCT!O31+[2]TONT20000NOV!P31</f>
        <v>0</v>
      </c>
      <c r="Z31" s="6">
        <f>[2]TONT20000DEC2015!R31+[2]TONT20000JANV!P31+[2]TONT20000FEV!P31+[2]TONT20000MARS!P31+[2]TONT20000AVRIL!P31+[2]TONT20000MAI!P31+[2]TONT20000JUIN!P31+[2]TONT20000JUIL!P31+[2]TONT20000AOUT!P31+[2]TONT20000SEPT!P31+[2]TONT20000OCT!P31+[2]TONT20000NOV!Q31</f>
        <v>0</v>
      </c>
      <c r="AA31" s="6">
        <f>[2]TONT20000DEC2015!S31+[2]TONT20000JANV!Q31+[2]TONT20000FEV!Q31+[2]TONT20000MARS!Q31+[2]TONT20000AVRIL!Q31+[2]TONT20000MAI!Q31+[2]TONT20000JUIN!Q31+[2]TONT20000JUIL!Q31+[2]TONT20000AOUT!Q31+[2]TONT20000SEPT!Q31+[2]TONT20000OCT!Q31+[2]TONT20000NOV!R31</f>
        <v>50055</v>
      </c>
      <c r="AB31" s="6">
        <f>[2]TONT20000DEC2015!T31+[2]TONT20000JANV!R31+[2]TONT20000FEV!R31+[2]TONT20000MARS!R31+[2]TONT20000AVRIL!R31+[2]TONT20000MAI!R31+[2]TONT20000JUIN!R31+[2]TONT20000JUIL!R31+[2]TONT20000AOUT!R31+[2]TONT20000SEPT!R31+[2]TONT20000OCT!R31+[2]TONT20000NOV!S31</f>
        <v>0</v>
      </c>
      <c r="AC31" s="3"/>
    </row>
    <row r="32" spans="1:29" x14ac:dyDescent="0.25">
      <c r="A32" s="1" t="s">
        <v>62</v>
      </c>
      <c r="B32" s="1" t="str">
        <f>VLOOKUP(A32,[2]LISTADHERENT!A$5:H$52,2,0)</f>
        <v>NJEPDJIO MBOUKAM DELUXE</v>
      </c>
      <c r="C32" s="2">
        <f>VLOOKUP(A32,[2]FONDSDECAISSE!A$5:C$52,3,0)</f>
        <v>390000</v>
      </c>
      <c r="D32" s="2">
        <v>1734</v>
      </c>
      <c r="E32" s="2">
        <f t="shared" si="0"/>
        <v>443734</v>
      </c>
      <c r="F32" s="2">
        <f>INT([2]TONT20000DEC2015!E32+[2]TONT20000JANV!C32+[2]TONT20000FEV!C32+[2]TONT20000MARS!C32+[2]TONT20000AVRIL!C32+[2]TONT20000MAI!C32+[2]TONT20000JUIN!C32+[2]TONT20000JUIL!C32+[2]TONT20000AOUT!C32+[2]TONT20000SEPT!C32+[2]TONT20000OCT!C32+[2]TONT20000NOV!C32)</f>
        <v>49539</v>
      </c>
      <c r="G32" s="2">
        <f>[2]TONT20000NOV!E32</f>
        <v>493273.71322255593</v>
      </c>
      <c r="H32" s="2">
        <f t="shared" si="1"/>
        <v>103273</v>
      </c>
      <c r="I32" s="2">
        <f t="shared" si="2"/>
        <v>80000</v>
      </c>
      <c r="J32" s="2">
        <f t="shared" si="3"/>
        <v>23273</v>
      </c>
      <c r="K32" s="2">
        <v>20500</v>
      </c>
      <c r="L32" s="2">
        <v>30000</v>
      </c>
      <c r="M32" s="2"/>
      <c r="N32" s="2">
        <v>50000</v>
      </c>
      <c r="O32" s="2">
        <f t="shared" si="4"/>
        <v>0</v>
      </c>
      <c r="P32" s="6">
        <f>[2]TONT20000DEC2015!H32+[2]TONT20000JANV!F32+[2]TONT20000FEV!F32+[2]TONT20000MARS!F32+[2]TONT20000AVRIL!F32+[2]TONT20000MAI!F32+[2]TONT20000JUIN!F32+[2]TONT20000JUIL!F32+[2]TONT20000AOUT!F32+[2]TONT20000SEPT!F32+[2]TONT20000OCT!F32+[2]TONT20000NOV!G32</f>
        <v>256000</v>
      </c>
      <c r="Q32" s="6">
        <f>[2]TONT20000DEC2015!I32+[2]TONT20000JANV!G32+[2]TONT20000FEV!G32+[2]TONT20000MARS!G32+[2]TONT20000AVRIL!G32+[2]TONT20000MAI!G32+[2]TONT20000JUIN!G32+[2]TONT20000JUIL!G32+[2]TONT20000AOUT!G32+[2]TONT20000SEPT!G32+[2]TONT20000OCT!G32+[2]TONT20000NOV!H32</f>
        <v>52000</v>
      </c>
      <c r="R32" s="6">
        <f>[2]TONT20000DEC2015!J32+[2]TONT20000JANV!H32+[2]TONT20000FEV!H32+[2]TONT20000MARS!H32+[2]TONT20000AVRIL!H32+[2]TONT20000MAI!H32+[2]TONT20000JUIN!H32+[2]TONT20000JUIL!H32+[2]TONT20000AOUT!H32+[2]TONT20000SEPT!H32+[2]TONT20000OCT!H32+[2]TONT20000NOV!I32</f>
        <v>6000</v>
      </c>
      <c r="S32" s="6">
        <f>[2]TONT20000DEC2015!K32+[2]TONT20000JANV!I32+[2]TONT20000FEV!I32+[2]TONT20000MARS!I32+[2]TONT20000AVRIL!I32+[2]TONT20000MAI!I32+[2]TONT20000JUIN!I32+[2]TONT20000JUIL!I32+[2]TONT20000AOUT!I32+[2]TONT20000SEPT!I32+[2]TONT20000OCT!I32+[2]TONT20000NOV!J32</f>
        <v>12000</v>
      </c>
      <c r="T32" s="6">
        <f>[2]TONT20000DEC2015!L32+[2]TONT20000JANV!J32+[2]TONT20000FEV!J32+[2]TONT20000MARS!J32+[2]TONT20000AVRIL!J32+[2]TONT20000MAI!J32+[2]TONT20000JUIN!J32+[2]TONT20000JUIL!J32+[2]TONT20000AOUT!J32+[2]TONT20000SEPT!J32+[2]TONT20000OCT!J32+[2]TONT20000NOV!K32</f>
        <v>30000</v>
      </c>
      <c r="U32" s="6">
        <f>[2]TONT20000DEC2015!M32+[2]TONT20000JANV!K32+[2]TONT20000FEV!K32+[2]TONT20000MARS!K32+[2]TONT20000AVRIL!K32+[2]TONT20000MAI!K32+[2]TONT20000JUIN!K32+[2]TONT20000JUIL!K32+[2]TONT20000AOUT!K32+[2]TONT20000SEPT!K32+[2]TONT20000OCT!K32+[2]TONT20000NOV!L32</f>
        <v>0</v>
      </c>
      <c r="V32" s="6">
        <f>[2]TONT20000DEC2015!N32+[2]TONT20000JANV!L32+[2]TONT20000FEV!L32+[2]TONT20000MARS!L32+[2]TONT20000AVRIL!L32+[2]TONT20000MAI!L32+[2]TONT20000JUIN!L32+[2]TONT20000JUIL!L32+[2]TONT20000AOUT!L32+[2]TONT20000SEPT!L32+[2]TONT20000OCT!L32+[2]TONT20000NOV!M32</f>
        <v>156000</v>
      </c>
      <c r="W32" s="6">
        <f>[2]TONT20000DEC2015!O32+[2]TONT20000JANV!M32+[2]TONT20000FEV!M32+[2]TONT20000MARS!M32+[2]TONT20000AVRIL!M32+[2]TONT20000MAI!M32+[2]TONT20000JUIN!M32+[2]TONT20000JUIL!M32+[2]TONT20000AOUT!M32+[2]TONT20000SEPT!M32+[2]TONT20000OCT!M32+[2]TONT20000NOV!N32</f>
        <v>2000000</v>
      </c>
      <c r="X32" s="6">
        <f>[2]TONT20000DEC2015!P32+[2]TONT20000JANV!N32+[2]TONT20000FEV!N32+[2]TONT20000MARS!N32+[2]TONT20000AVRIL!N32+[2]TONT20000MAI!N32+[2]TONT20000JUIN!N32+[2]TONT20000JUIL!N32+[2]TONT20000AOUT!N32+[2]TONT20000SEPT!N32+[2]TONT20000OCT!N32+[2]TONT20000NOV!O32</f>
        <v>150000</v>
      </c>
      <c r="Y32" s="6">
        <f>[2]TONT20000DEC2015!Q32+[2]TONT20000JANV!O32+[2]TONT20000FEV!O32+[2]TONT20000MARS!O32+[2]TONT20000AVRIL!O32+[2]TONT20000MAI!O32+[2]TONT20000JUIN!O32+[2]TONT20000JUIL!O32+[2]TONT20000AOUT!O32+[2]TONT20000SEPT!O32+[2]TONT20000OCT!O32+[2]TONT20000NOV!P32</f>
        <v>1000000</v>
      </c>
      <c r="Z32" s="6">
        <f>[2]TONT20000DEC2015!R32+[2]TONT20000JANV!P32+[2]TONT20000FEV!P32+[2]TONT20000MARS!P32+[2]TONT20000AVRIL!P32+[2]TONT20000MAI!P32+[2]TONT20000JUIN!P32+[2]TONT20000JUIL!P32+[2]TONT20000AOUT!P32+[2]TONT20000SEPT!P32+[2]TONT20000OCT!P32+[2]TONT20000NOV!Q32</f>
        <v>0</v>
      </c>
      <c r="AA32" s="6">
        <f>[2]TONT20000DEC2015!S32+[2]TONT20000JANV!Q32+[2]TONT20000FEV!Q32+[2]TONT20000MARS!Q32+[2]TONT20000AVRIL!Q32+[2]TONT20000MAI!Q32+[2]TONT20000JUIN!Q32+[2]TONT20000JUIL!Q32+[2]TONT20000AOUT!Q32+[2]TONT20000SEPT!Q32+[2]TONT20000OCT!Q32+[2]TONT20000NOV!R32</f>
        <v>0</v>
      </c>
      <c r="AB32" s="6">
        <f>[2]TONT20000DEC2015!T32+[2]TONT20000JANV!R32+[2]TONT20000FEV!R32+[2]TONT20000MARS!R32+[2]TONT20000AVRIL!R32+[2]TONT20000MAI!R32+[2]TONT20000JUIN!R32+[2]TONT20000JUIL!R32+[2]TONT20000AOUT!R32+[2]TONT20000SEPT!R32+[2]TONT20000OCT!R32+[2]TONT20000NOV!S32</f>
        <v>0</v>
      </c>
      <c r="AC32" s="3"/>
    </row>
    <row r="33" spans="1:29" x14ac:dyDescent="0.25">
      <c r="A33" s="1" t="s">
        <v>63</v>
      </c>
      <c r="B33" s="1" t="str">
        <f>VLOOKUP(A33,[2]LISTADHERENT!A$5:H$52,2,0)</f>
        <v>NKAMGANG JUSTIN DEJOLIE</v>
      </c>
      <c r="C33" s="2">
        <v>372800</v>
      </c>
      <c r="D33" s="2">
        <v>0</v>
      </c>
      <c r="E33" s="2">
        <f t="shared" si="0"/>
        <v>444800</v>
      </c>
      <c r="F33" s="2">
        <f>INT([2]TONT20000DEC2015!E33+[2]TONT20000JANV!C33+[2]TONT20000FEV!C33+[2]TONT20000MARS!C33+[2]TONT20000AVRIL!C33+[2]TONT20000MAI!C33+[2]TONT20000JUIN!C33+[2]TONT20000JUIL!C33+[2]TONT20000AOUT!C33+[2]TONT20000SEPT!C33+[2]TONT20000OCT!C33+[2]TONT20000NOV!C33)</f>
        <v>22208</v>
      </c>
      <c r="G33" s="2">
        <f>[2]TONT20000NOV!E33</f>
        <v>539008.01502058154</v>
      </c>
      <c r="H33" s="2">
        <f t="shared" si="1"/>
        <v>94208</v>
      </c>
      <c r="I33" s="2">
        <f t="shared" si="2"/>
        <v>80000</v>
      </c>
      <c r="J33" s="2">
        <f t="shared" si="3"/>
        <v>14208</v>
      </c>
      <c r="K33" s="2">
        <v>0</v>
      </c>
      <c r="L33" s="2">
        <v>30000</v>
      </c>
      <c r="M33" s="2"/>
      <c r="N33" s="2">
        <v>50000</v>
      </c>
      <c r="O33" s="2">
        <f t="shared" si="4"/>
        <v>0</v>
      </c>
      <c r="P33" s="6">
        <f>[2]TONT20000DEC2015!H33+[2]TONT20000JANV!F33+[2]TONT20000FEV!F33+[2]TONT20000MARS!F33+[2]TONT20000AVRIL!F33+[2]TONT20000MAI!F33+[2]TONT20000JUIN!F33+[2]TONT20000JUIL!F33+[2]TONT20000AOUT!F33+[2]TONT20000SEPT!F33+[2]TONT20000OCT!F33+[2]TONT20000NOV!G33</f>
        <v>648800</v>
      </c>
      <c r="Q33" s="6">
        <f>[2]TONT20000DEC2015!I33+[2]TONT20000JANV!G33+[2]TONT20000FEV!G33+[2]TONT20000MARS!G33+[2]TONT20000AVRIL!G33+[2]TONT20000MAI!G33+[2]TONT20000JUIN!G33+[2]TONT20000JUIL!G33+[2]TONT20000AOUT!G33+[2]TONT20000SEPT!G33+[2]TONT20000OCT!G33+[2]TONT20000NOV!H33-372800</f>
        <v>72000</v>
      </c>
      <c r="R33" s="6">
        <f>[2]TONT20000DEC2015!J33+[2]TONT20000JANV!H33+[2]TONT20000FEV!H33+[2]TONT20000MARS!H33+[2]TONT20000AVRIL!H33+[2]TONT20000MAI!H33+[2]TONT20000JUIN!H33+[2]TONT20000JUIL!H33+[2]TONT20000AOUT!H33+[2]TONT20000SEPT!H33+[2]TONT20000OCT!H33+[2]TONT20000NOV!I33</f>
        <v>6000</v>
      </c>
      <c r="S33" s="6">
        <f>[2]TONT20000DEC2015!K33+[2]TONT20000JANV!I33+[2]TONT20000FEV!I33+[2]TONT20000MARS!I33+[2]TONT20000AVRIL!I33+[2]TONT20000MAI!I33+[2]TONT20000JUIN!I33+[2]TONT20000JUIL!I33+[2]TONT20000AOUT!I33+[2]TONT20000SEPT!I33+[2]TONT20000OCT!I33+[2]TONT20000NOV!J33</f>
        <v>12000</v>
      </c>
      <c r="T33" s="6">
        <f>[2]TONT20000DEC2015!L33+[2]TONT20000JANV!J33+[2]TONT20000FEV!J33+[2]TONT20000MARS!J33+[2]TONT20000AVRIL!J33+[2]TONT20000MAI!J33+[2]TONT20000JUIN!J33+[2]TONT20000JUIL!J33+[2]TONT20000AOUT!J33+[2]TONT20000SEPT!J33+[2]TONT20000OCT!J33+[2]TONT20000NOV!K33</f>
        <v>30000</v>
      </c>
      <c r="U33" s="6">
        <f>[2]TONT20000DEC2015!M33+[2]TONT20000JANV!K33+[2]TONT20000FEV!K33+[2]TONT20000MARS!K33+[2]TONT20000AVRIL!K33+[2]TONT20000MAI!K33+[2]TONT20000JUIN!K33+[2]TONT20000JUIL!K33+[2]TONT20000AOUT!K33+[2]TONT20000SEPT!K33+[2]TONT20000OCT!K33+[2]TONT20000NOV!L33</f>
        <v>0</v>
      </c>
      <c r="V33" s="6">
        <f>[2]TONT20000DEC2015!N33+[2]TONT20000JANV!L33+[2]TONT20000FEV!L33+[2]TONT20000MARS!L33+[2]TONT20000AVRIL!L33+[2]TONT20000MAI!L33+[2]TONT20000JUIN!L33+[2]TONT20000JUIL!L33+[2]TONT20000AOUT!L33+[2]TONT20000SEPT!L33+[2]TONT20000OCT!L33+[2]TONT20000NOV!M33</f>
        <v>156000</v>
      </c>
      <c r="W33" s="6">
        <f>[2]TONT20000DEC2015!O33+[2]TONT20000JANV!M33+[2]TONT20000FEV!M33+[2]TONT20000MARS!M33+[2]TONT20000AVRIL!M33+[2]TONT20000MAI!M33+[2]TONT20000JUIN!M33+[2]TONT20000JUIL!M33+[2]TONT20000AOUT!M33+[2]TONT20000SEPT!M33+[2]TONT20000OCT!M33+[2]TONT20000NOV!N33</f>
        <v>1000000</v>
      </c>
      <c r="X33" s="6">
        <f>[2]TONT20000DEC2015!P33+[2]TONT20000JANV!N33+[2]TONT20000FEV!N33+[2]TONT20000MARS!N33+[2]TONT20000AVRIL!N33+[2]TONT20000MAI!N33+[2]TONT20000JUIN!N33+[2]TONT20000JUIL!N33+[2]TONT20000AOUT!N33+[2]TONT20000SEPT!N33+[2]TONT20000OCT!N33+[2]TONT20000NOV!O33</f>
        <v>120000</v>
      </c>
      <c r="Y33" s="6">
        <f>[2]TONT20000DEC2015!Q33+[2]TONT20000JANV!O33+[2]TONT20000FEV!O33+[2]TONT20000MARS!O33+[2]TONT20000AVRIL!O33+[2]TONT20000MAI!O33+[2]TONT20000JUIN!O33+[2]TONT20000JUIL!O33+[2]TONT20000AOUT!O33+[2]TONT20000SEPT!O33+[2]TONT20000OCT!O33+[2]TONT20000NOV!P33</f>
        <v>0</v>
      </c>
      <c r="Z33" s="6">
        <f>[2]TONT20000DEC2015!R33+[2]TONT20000JANV!P33+[2]TONT20000FEV!P33+[2]TONT20000MARS!P33+[2]TONT20000AVRIL!P33+[2]TONT20000MAI!P33+[2]TONT20000JUIN!P33+[2]TONT20000JUIL!P33+[2]TONT20000AOUT!P33+[2]TONT20000SEPT!P33+[2]TONT20000OCT!P33+[2]TONT20000NOV!Q33</f>
        <v>0</v>
      </c>
      <c r="AA33" s="6">
        <f>[2]TONT20000DEC2015!S33+[2]TONT20000JANV!Q33+[2]TONT20000FEV!Q33+[2]TONT20000MARS!Q33+[2]TONT20000AVRIL!Q33+[2]TONT20000MAI!Q33+[2]TONT20000JUIN!Q33+[2]TONT20000JUIL!Q33+[2]TONT20000AOUT!Q33+[2]TONT20000SEPT!Q33+[2]TONT20000OCT!Q33+[2]TONT20000NOV!R33</f>
        <v>0</v>
      </c>
      <c r="AB33" s="6">
        <f>[2]TONT20000DEC2015!T33+[2]TONT20000JANV!R33+[2]TONT20000FEV!R33+[2]TONT20000MARS!R33+[2]TONT20000AVRIL!R33+[2]TONT20000MAI!R33+[2]TONT20000JUIN!R33+[2]TONT20000JUIL!R33+[2]TONT20000AOUT!R33+[2]TONT20000SEPT!R33+[2]TONT20000OCT!R33+[2]TONT20000NOV!S33</f>
        <v>0</v>
      </c>
      <c r="AC33" s="3"/>
    </row>
    <row r="34" spans="1:29" x14ac:dyDescent="0.25">
      <c r="A34" s="1" t="s">
        <v>64</v>
      </c>
      <c r="B34" s="1" t="str">
        <f>VLOOKUP(A34,[2]LISTADHERENT!A$5:H$52,2,0)</f>
        <v>NKEPSEU DIEUDONNE</v>
      </c>
      <c r="C34" s="2">
        <f>VLOOKUP(A34,[2]FONDSDECAISSE!A$5:C$52,3,0)</f>
        <v>390000</v>
      </c>
      <c r="D34" s="2">
        <v>8739</v>
      </c>
      <c r="E34" s="2">
        <f t="shared" si="0"/>
        <v>494739</v>
      </c>
      <c r="F34" s="2">
        <f>INT([2]TONT20000DEC2015!E34+[2]TONT20000JANV!C34+[2]TONT20000FEV!C34+[2]TONT20000MARS!C34+[2]TONT20000AVRIL!C34+[2]TONT20000MAI!C34+[2]TONT20000JUIN!C34+[2]TONT20000JUIL!C34+[2]TONT20000AOUT!C34+[2]TONT20000SEPT!C34+[2]TONT20000OCT!C34+[2]TONT20000NOV!C34)</f>
        <v>53033</v>
      </c>
      <c r="G34" s="2">
        <f>[2]TONT20000NOV!E34</f>
        <v>547772.96919074608</v>
      </c>
      <c r="H34" s="2">
        <f t="shared" si="1"/>
        <v>157772</v>
      </c>
      <c r="I34" s="2">
        <f t="shared" si="2"/>
        <v>30000</v>
      </c>
      <c r="J34" s="2">
        <f t="shared" si="3"/>
        <v>127772</v>
      </c>
      <c r="K34" s="2">
        <v>125000</v>
      </c>
      <c r="L34" s="2">
        <v>30000</v>
      </c>
      <c r="M34" s="2"/>
      <c r="N34" s="2">
        <v>0</v>
      </c>
      <c r="O34" s="2">
        <f t="shared" si="4"/>
        <v>0</v>
      </c>
      <c r="P34" s="6">
        <f>[2]TONT20000DEC2015!H34+[2]TONT20000JANV!F34+[2]TONT20000FEV!F34+[2]TONT20000MARS!F34+[2]TONT20000AVRIL!F34+[2]TONT20000MAI!F34+[2]TONT20000JUIN!F34+[2]TONT20000JUIL!F34+[2]TONT20000AOUT!F34+[2]TONT20000SEPT!F34+[2]TONT20000OCT!F34+[2]TONT20000NOV!G34</f>
        <v>350000</v>
      </c>
      <c r="Q34" s="6">
        <f>[2]TONT20000DEC2015!I34+[2]TONT20000JANV!G34+[2]TONT20000FEV!G34+[2]TONT20000MARS!G34+[2]TONT20000AVRIL!G34+[2]TONT20000MAI!G34+[2]TONT20000JUIN!G34+[2]TONT20000JUIL!G34+[2]TONT20000AOUT!G34+[2]TONT20000SEPT!G34+[2]TONT20000OCT!G34+[2]TONT20000NOV!H34</f>
        <v>96000</v>
      </c>
      <c r="R34" s="6">
        <f>[2]TONT20000DEC2015!J34+[2]TONT20000JANV!H34+[2]TONT20000FEV!H34+[2]TONT20000MARS!H34+[2]TONT20000AVRIL!H34+[2]TONT20000MAI!H34+[2]TONT20000JUIN!H34+[2]TONT20000JUIL!H34+[2]TONT20000AOUT!H34+[2]TONT20000SEPT!H34+[2]TONT20000OCT!H34+[2]TONT20000NOV!I34</f>
        <v>6000</v>
      </c>
      <c r="S34" s="6">
        <f>[2]TONT20000DEC2015!K34+[2]TONT20000JANV!I34+[2]TONT20000FEV!I34+[2]TONT20000MARS!I34+[2]TONT20000AVRIL!I34+[2]TONT20000MAI!I34+[2]TONT20000JUIN!I34+[2]TONT20000JUIL!I34+[2]TONT20000AOUT!I34+[2]TONT20000SEPT!I34+[2]TONT20000OCT!I34+[2]TONT20000NOV!J34</f>
        <v>12000</v>
      </c>
      <c r="T34" s="6">
        <f>[2]TONT20000DEC2015!L34+[2]TONT20000JANV!J34+[2]TONT20000FEV!J34+[2]TONT20000MARS!J34+[2]TONT20000AVRIL!J34+[2]TONT20000MAI!J34+[2]TONT20000JUIN!J34+[2]TONT20000JUIL!J34+[2]TONT20000AOUT!J34+[2]TONT20000SEPT!J34+[2]TONT20000OCT!J34+[2]TONT20000NOV!K34</f>
        <v>30000</v>
      </c>
      <c r="U34" s="6">
        <f>[2]TONT20000DEC2015!M34+[2]TONT20000JANV!K34+[2]TONT20000FEV!K34+[2]TONT20000MARS!K34+[2]TONT20000AVRIL!K34+[2]TONT20000MAI!K34+[2]TONT20000JUIN!K34+[2]TONT20000JUIL!K34+[2]TONT20000AOUT!K34+[2]TONT20000SEPT!K34+[2]TONT20000OCT!K34+[2]TONT20000NOV!L34</f>
        <v>50000</v>
      </c>
      <c r="V34" s="6">
        <f>[2]TONT20000DEC2015!N34+[2]TONT20000JANV!L34+[2]TONT20000FEV!L34+[2]TONT20000MARS!L34+[2]TONT20000AVRIL!L34+[2]TONT20000MAI!L34+[2]TONT20000JUIN!L34+[2]TONT20000JUIL!L34+[2]TONT20000AOUT!L34+[2]TONT20000SEPT!L34+[2]TONT20000OCT!L34+[2]TONT20000NOV!M34</f>
        <v>156000</v>
      </c>
      <c r="W34" s="6">
        <f>[2]TONT20000DEC2015!O34+[2]TONT20000JANV!M34+[2]TONT20000FEV!M34+[2]TONT20000MARS!M34+[2]TONT20000AVRIL!M34+[2]TONT20000MAI!M34+[2]TONT20000JUIN!M34+[2]TONT20000JUIL!M34+[2]TONT20000AOUT!M34+[2]TONT20000SEPT!M34+[2]TONT20000OCT!M34+[2]TONT20000NOV!N34</f>
        <v>600000</v>
      </c>
      <c r="X34" s="6">
        <f>[2]TONT20000DEC2015!P34+[2]TONT20000JANV!N34+[2]TONT20000FEV!N34+[2]TONT20000MARS!N34+[2]TONT20000AVRIL!N34+[2]TONT20000MAI!N34+[2]TONT20000JUIN!N34+[2]TONT20000JUIL!N34+[2]TONT20000AOUT!N34+[2]TONT20000SEPT!N34+[2]TONT20000OCT!N34+[2]TONT20000NOV!O34</f>
        <v>72000</v>
      </c>
      <c r="Y34" s="6">
        <f>[2]TONT20000DEC2015!Q34+[2]TONT20000JANV!O34+[2]TONT20000FEV!O34+[2]TONT20000MARS!O34+[2]TONT20000AVRIL!O34+[2]TONT20000MAI!O34+[2]TONT20000JUIN!O34+[2]TONT20000JUIL!O34+[2]TONT20000AOUT!O34+[2]TONT20000SEPT!O34+[2]TONT20000OCT!O34+[2]TONT20000NOV!P34</f>
        <v>0</v>
      </c>
      <c r="Z34" s="6">
        <f>[2]TONT20000DEC2015!R34+[2]TONT20000JANV!P34+[2]TONT20000FEV!P34+[2]TONT20000MARS!P34+[2]TONT20000AVRIL!P34+[2]TONT20000MAI!P34+[2]TONT20000JUIN!P34+[2]TONT20000JUIL!P34+[2]TONT20000AOUT!P34+[2]TONT20000SEPT!P34+[2]TONT20000OCT!P34+[2]TONT20000NOV!Q34</f>
        <v>0</v>
      </c>
      <c r="AA34" s="6">
        <f>[2]TONT20000DEC2015!S34+[2]TONT20000JANV!Q34+[2]TONT20000FEV!Q34+[2]TONT20000MARS!Q34+[2]TONT20000AVRIL!Q34+[2]TONT20000MAI!Q34+[2]TONT20000JUIN!Q34+[2]TONT20000JUIL!Q34+[2]TONT20000AOUT!Q34+[2]TONT20000SEPT!Q34+[2]TONT20000OCT!Q34+[2]TONT20000NOV!R34</f>
        <v>0</v>
      </c>
      <c r="AB34" s="6">
        <f>[2]TONT20000DEC2015!T34+[2]TONT20000JANV!R34+[2]TONT20000FEV!R34+[2]TONT20000MARS!R34+[2]TONT20000AVRIL!R34+[2]TONT20000MAI!R34+[2]TONT20000JUIN!R34+[2]TONT20000JUIL!R34+[2]TONT20000AOUT!R34+[2]TONT20000SEPT!R34+[2]TONT20000OCT!R34+[2]TONT20000NOV!S34</f>
        <v>0</v>
      </c>
      <c r="AC34" s="3"/>
    </row>
    <row r="35" spans="1:29" s="10" customFormat="1" x14ac:dyDescent="0.25">
      <c r="A35" s="7" t="s">
        <v>65</v>
      </c>
      <c r="B35" s="7" t="str">
        <f>VLOOKUP(A35,[2]LISTADHERENT!A$5:H$52,2,0)</f>
        <v>NKEPSEU HENANG RENE</v>
      </c>
      <c r="C35" s="8"/>
      <c r="D35" s="8"/>
      <c r="E35" s="8"/>
      <c r="F35" s="2"/>
      <c r="G35" s="8"/>
      <c r="H35" s="8"/>
      <c r="I35" s="8"/>
      <c r="J35" s="8"/>
      <c r="K35" s="8"/>
      <c r="L35" s="8"/>
      <c r="M35" s="8"/>
      <c r="N35" s="8"/>
      <c r="O35" s="8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11"/>
    </row>
    <row r="36" spans="1:29" x14ac:dyDescent="0.25">
      <c r="A36" s="1" t="s">
        <v>66</v>
      </c>
      <c r="B36" s="1" t="str">
        <f>VLOOKUP(A36,[2]LISTADHERENT!A$5:H$52,2,0)</f>
        <v>NTEPDIE TUEMAC MZ</v>
      </c>
      <c r="C36" s="2">
        <f>VLOOKUP(A36,[2]FONDSDECAISSE!A$5:C$52,3,0)</f>
        <v>0</v>
      </c>
      <c r="D36" s="2">
        <v>0</v>
      </c>
      <c r="E36" s="2">
        <f t="shared" si="0"/>
        <v>15000</v>
      </c>
      <c r="F36" s="2">
        <f>INT([2]TONT20000DEC2015!E36+[2]TONT20000JANV!C36+[2]TONT20000FEV!C36+[2]TONT20000MARS!C36+[2]TONT20000AVRIL!C36+[2]TONT20000MAI!C36+[2]TONT20000JUIN!C36+[2]TONT20000JUIL!C36+[2]TONT20000AOUT!C36+[2]TONT20000SEPT!C36+[2]TONT20000OCT!C36+[2]TONT20000NOV!C36)</f>
        <v>895</v>
      </c>
      <c r="G36" s="2">
        <f>[2]TONT20000NOV!E36</f>
        <v>15895.449275630095</v>
      </c>
      <c r="H36" s="2">
        <f t="shared" si="1"/>
        <v>15895</v>
      </c>
      <c r="I36" s="2">
        <f t="shared" si="2"/>
        <v>28000</v>
      </c>
      <c r="J36" s="2">
        <f t="shared" si="3"/>
        <v>-12105</v>
      </c>
      <c r="K36" s="2">
        <v>0</v>
      </c>
      <c r="L36" s="2"/>
      <c r="M36" s="2"/>
      <c r="N36" s="2"/>
      <c r="O36" s="2">
        <f>48000-(R36+S36+T36)</f>
        <v>28000</v>
      </c>
      <c r="P36" s="6">
        <f>[2]TONT20000DEC2015!H36+[2]TONT20000JANV!F36+[2]TONT20000FEV!F36+[2]TONT20000MARS!F36+[2]TONT20000AVRIL!F36+[2]TONT20000MAI!F36+[2]TONT20000JUIN!F36+[2]TONT20000JUIL!F36+[2]TONT20000AOUT!F36+[2]TONT20000SEPT!F36+[2]TONT20000OCT!F36+[2]TONT20000NOV!G36</f>
        <v>100000</v>
      </c>
      <c r="Q36" s="6">
        <f>[2]TONT20000DEC2015!I36+[2]TONT20000JANV!G36+[2]TONT20000FEV!G36+[2]TONT20000MARS!G36+[2]TONT20000AVRIL!G36+[2]TONT20000MAI!G36+[2]TONT20000JUIN!G36+[2]TONT20000JUIL!G36+[2]TONT20000AOUT!G36+[2]TONT20000SEPT!G36+[2]TONT20000OCT!G36+[2]TONT20000NOV!H36</f>
        <v>15000</v>
      </c>
      <c r="R36" s="6">
        <f>[2]TONT20000DEC2015!J36+[2]TONT20000JANV!H36+[2]TONT20000FEV!H36+[2]TONT20000MARS!H36+[2]TONT20000AVRIL!H36+[2]TONT20000MAI!H36+[2]TONT20000JUIN!H36+[2]TONT20000JUIL!H36+[2]TONT20000AOUT!H36+[2]TONT20000SEPT!H36+[2]TONT20000OCT!H36+[2]TONT20000NOV!I36</f>
        <v>2500</v>
      </c>
      <c r="S36" s="6">
        <f>[2]TONT20000DEC2015!K36+[2]TONT20000JANV!I36+[2]TONT20000FEV!I36+[2]TONT20000MARS!I36+[2]TONT20000AVRIL!I36+[2]TONT20000MAI!I36+[2]TONT20000JUIN!I36+[2]TONT20000JUIL!I36+[2]TONT20000AOUT!I36+[2]TONT20000SEPT!I36+[2]TONT20000OCT!I36+[2]TONT20000NOV!J36</f>
        <v>5000</v>
      </c>
      <c r="T36" s="6">
        <f>[2]TONT20000DEC2015!L36+[2]TONT20000JANV!J36+[2]TONT20000FEV!J36+[2]TONT20000MARS!J36+[2]TONT20000AVRIL!J36+[2]TONT20000MAI!J36+[2]TONT20000JUIN!J36+[2]TONT20000JUIL!J36+[2]TONT20000AOUT!J36+[2]TONT20000SEPT!J36+[2]TONT20000OCT!J36+[2]TONT20000NOV!K36</f>
        <v>12500</v>
      </c>
      <c r="U36" s="6">
        <f>[2]TONT20000DEC2015!M36+[2]TONT20000JANV!K36+[2]TONT20000FEV!K36+[2]TONT20000MARS!K36+[2]TONT20000AVRIL!K36+[2]TONT20000MAI!K36+[2]TONT20000JUIN!K36+[2]TONT20000JUIL!K36+[2]TONT20000AOUT!K36+[2]TONT20000SEPT!K36+[2]TONT20000OCT!K36+[2]TONT20000NOV!L36</f>
        <v>0</v>
      </c>
      <c r="V36" s="6">
        <f>[2]TONT20000DEC2015!N36+[2]TONT20000JANV!L36+[2]TONT20000FEV!L36+[2]TONT20000MARS!L36+[2]TONT20000AVRIL!L36+[2]TONT20000MAI!L36+[2]TONT20000JUIN!L36+[2]TONT20000JUIL!L36+[2]TONT20000AOUT!L36+[2]TONT20000SEPT!L36+[2]TONT20000OCT!L36+[2]TONT20000NOV!M36</f>
        <v>65000</v>
      </c>
      <c r="W36" s="6">
        <f>[2]TONT20000DEC2015!O36+[2]TONT20000JANV!M36+[2]TONT20000FEV!M36+[2]TONT20000MARS!M36+[2]TONT20000AVRIL!M36+[2]TONT20000MAI!M36+[2]TONT20000JUIN!M36+[2]TONT20000JUIL!M36+[2]TONT20000AOUT!M36+[2]TONT20000SEPT!M36+[2]TONT20000OCT!M36+[2]TONT20000NOV!N36</f>
        <v>0</v>
      </c>
      <c r="X36" s="6">
        <f>[2]TONT20000DEC2015!P36+[2]TONT20000JANV!N36+[2]TONT20000FEV!N36+[2]TONT20000MARS!N36+[2]TONT20000AVRIL!N36+[2]TONT20000MAI!N36+[2]TONT20000JUIN!N36+[2]TONT20000JUIL!N36+[2]TONT20000AOUT!N36+[2]TONT20000SEPT!N36+[2]TONT20000OCT!N36+[2]TONT20000NOV!O36</f>
        <v>0</v>
      </c>
      <c r="Y36" s="6">
        <f>[2]TONT20000DEC2015!Q36+[2]TONT20000JANV!O36+[2]TONT20000FEV!O36+[2]TONT20000MARS!O36+[2]TONT20000AVRIL!O36+[2]TONT20000MAI!O36+[2]TONT20000JUIN!O36+[2]TONT20000JUIL!O36+[2]TONT20000AOUT!O36+[2]TONT20000SEPT!O36+[2]TONT20000OCT!O36+[2]TONT20000NOV!P36</f>
        <v>0</v>
      </c>
      <c r="Z36" s="6">
        <f>[2]TONT20000DEC2015!R36+[2]TONT20000JANV!P36+[2]TONT20000FEV!P36+[2]TONT20000MARS!P36+[2]TONT20000AVRIL!P36+[2]TONT20000MAI!P36+[2]TONT20000JUIN!P36+[2]TONT20000JUIL!P36+[2]TONT20000AOUT!P36+[2]TONT20000SEPT!P36+[2]TONT20000OCT!P36+[2]TONT20000NOV!Q36</f>
        <v>0</v>
      </c>
      <c r="AA36" s="6">
        <f>[2]TONT20000DEC2015!S36+[2]TONT20000JANV!Q36+[2]TONT20000FEV!Q36+[2]TONT20000MARS!Q36+[2]TONT20000AVRIL!Q36+[2]TONT20000MAI!Q36+[2]TONT20000JUIN!Q36+[2]TONT20000JUIL!Q36+[2]TONT20000AOUT!Q36+[2]TONT20000SEPT!Q36+[2]TONT20000OCT!Q36+[2]TONT20000NOV!R36</f>
        <v>0</v>
      </c>
      <c r="AB36" s="6">
        <f>[2]TONT20000DEC2015!T36+[2]TONT20000JANV!R36+[2]TONT20000FEV!R36+[2]TONT20000MARS!R36+[2]TONT20000AVRIL!R36+[2]TONT20000MAI!R36+[2]TONT20000JUIN!R36+[2]TONT20000JUIL!R36+[2]TONT20000AOUT!R36+[2]TONT20000SEPT!R36+[2]TONT20000OCT!R36+[2]TONT20000NOV!S36</f>
        <v>0</v>
      </c>
      <c r="AC36" s="3"/>
    </row>
    <row r="37" spans="1:29" s="10" customFormat="1" x14ac:dyDescent="0.25">
      <c r="A37" s="7" t="s">
        <v>67</v>
      </c>
      <c r="B37" s="7" t="str">
        <f>VLOOKUP(A37,[2]LISTADHERENT!A$5:H$52,2,0)</f>
        <v>NTOMBOU ADOLPHE</v>
      </c>
      <c r="C37" s="8"/>
      <c r="D37" s="8"/>
      <c r="E37" s="8"/>
      <c r="F37" s="2"/>
      <c r="G37" s="8"/>
      <c r="H37" s="2"/>
      <c r="I37" s="2"/>
      <c r="J37" s="2"/>
      <c r="K37" s="2"/>
      <c r="L37" s="8"/>
      <c r="M37" s="8"/>
      <c r="N37" s="8"/>
      <c r="O37" s="8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11"/>
    </row>
    <row r="38" spans="1:29" x14ac:dyDescent="0.25">
      <c r="A38" s="1" t="s">
        <v>68</v>
      </c>
      <c r="B38" s="1" t="str">
        <f>VLOOKUP(A38,[2]LISTADHERENT!A$5:H$52,2,0)</f>
        <v>PATEGO NJOSSU GUSTAVE</v>
      </c>
      <c r="C38" s="2">
        <f>VLOOKUP(A38,[2]FONDSDECAISSE!A$5:C$52,3,0)</f>
        <v>390000</v>
      </c>
      <c r="D38" s="2">
        <v>140</v>
      </c>
      <c r="E38" s="2">
        <f t="shared" si="0"/>
        <v>426140</v>
      </c>
      <c r="F38" s="2">
        <f>INT([2]TONT20000DEC2015!E38+[2]TONT20000JANV!C38+[2]TONT20000FEV!C38+[2]TONT20000MARS!C38+[2]TONT20000AVRIL!C38+[2]TONT20000MAI!C38+[2]TONT20000JUIN!C38+[2]TONT20000JUIL!C38+[2]TONT20000AOUT!C38+[2]TONT20000SEPT!C38+[2]TONT20000OCT!C38+[2]TONT20000NOV!C38)</f>
        <v>47834</v>
      </c>
      <c r="G38" s="2">
        <f>[2]TONT20000NOV!E38</f>
        <v>473974.90388853668</v>
      </c>
      <c r="H38" s="2">
        <f t="shared" si="1"/>
        <v>83974</v>
      </c>
      <c r="I38" s="2">
        <f t="shared" si="2"/>
        <v>80000</v>
      </c>
      <c r="J38" s="2">
        <f t="shared" si="3"/>
        <v>3974</v>
      </c>
      <c r="K38" s="2">
        <v>1500</v>
      </c>
      <c r="L38" s="2">
        <v>30000</v>
      </c>
      <c r="M38" s="2"/>
      <c r="N38" s="2">
        <v>50000</v>
      </c>
      <c r="O38" s="2">
        <f t="shared" si="4"/>
        <v>0</v>
      </c>
      <c r="P38" s="6">
        <f>[2]TONT20000DEC2015!H38+[2]TONT20000JANV!F38+[2]TONT20000FEV!F38+[2]TONT20000MARS!F38+[2]TONT20000AVRIL!F38+[2]TONT20000MAI!F38+[2]TONT20000JUIN!F38+[2]TONT20000JUIL!F38+[2]TONT20000AOUT!F38+[2]TONT20000SEPT!F38+[2]TONT20000OCT!F38+[2]TONT20000NOV!G38</f>
        <v>240000</v>
      </c>
      <c r="Q38" s="6">
        <f>[2]TONT20000DEC2015!I38+[2]TONT20000JANV!G38+[2]TONT20000FEV!G38+[2]TONT20000MARS!G38+[2]TONT20000AVRIL!G38+[2]TONT20000MAI!G38+[2]TONT20000JUIN!G38+[2]TONT20000JUIL!G38+[2]TONT20000AOUT!G38+[2]TONT20000SEPT!G38+[2]TONT20000OCT!G38+[2]TONT20000NOV!H38</f>
        <v>36000</v>
      </c>
      <c r="R38" s="6">
        <f>[2]TONT20000DEC2015!J38+[2]TONT20000JANV!H38+[2]TONT20000FEV!H38+[2]TONT20000MARS!H38+[2]TONT20000AVRIL!H38+[2]TONT20000MAI!H38+[2]TONT20000JUIN!H38+[2]TONT20000JUIL!H38+[2]TONT20000AOUT!H38+[2]TONT20000SEPT!H38+[2]TONT20000OCT!H38+[2]TONT20000NOV!I38</f>
        <v>6000</v>
      </c>
      <c r="S38" s="6">
        <f>[2]TONT20000DEC2015!K38+[2]TONT20000JANV!I38+[2]TONT20000FEV!I38+[2]TONT20000MARS!I38+[2]TONT20000AVRIL!I38+[2]TONT20000MAI!I38+[2]TONT20000JUIN!I38+[2]TONT20000JUIL!I38+[2]TONT20000AOUT!I38+[2]TONT20000SEPT!I38+[2]TONT20000OCT!I38+[2]TONT20000NOV!J38</f>
        <v>12000</v>
      </c>
      <c r="T38" s="6">
        <f>[2]TONT20000DEC2015!L38+[2]TONT20000JANV!J38+[2]TONT20000FEV!J38+[2]TONT20000MARS!J38+[2]TONT20000AVRIL!J38+[2]TONT20000MAI!J38+[2]TONT20000JUIN!J38+[2]TONT20000JUIL!J38+[2]TONT20000AOUT!J38+[2]TONT20000SEPT!J38+[2]TONT20000OCT!J38+[2]TONT20000NOV!K38</f>
        <v>30000</v>
      </c>
      <c r="U38" s="6">
        <f>[2]TONT20000DEC2015!M38+[2]TONT20000JANV!K38+[2]TONT20000FEV!K38+[2]TONT20000MARS!K38+[2]TONT20000AVRIL!K38+[2]TONT20000MAI!K38+[2]TONT20000JUIN!K38+[2]TONT20000JUIL!K38+[2]TONT20000AOUT!K38+[2]TONT20000SEPT!K38+[2]TONT20000OCT!K38+[2]TONT20000NOV!L38</f>
        <v>0</v>
      </c>
      <c r="V38" s="6">
        <f>[2]TONT20000DEC2015!N38+[2]TONT20000JANV!L38+[2]TONT20000FEV!L38+[2]TONT20000MARS!L38+[2]TONT20000AVRIL!L38+[2]TONT20000MAI!L38+[2]TONT20000JUIN!L38+[2]TONT20000JUIL!L38+[2]TONT20000AOUT!L38+[2]TONT20000SEPT!L38+[2]TONT20000OCT!L38+[2]TONT20000NOV!M38</f>
        <v>156000</v>
      </c>
      <c r="W38" s="6">
        <f>[2]TONT20000DEC2015!O38+[2]TONT20000JANV!M38+[2]TONT20000FEV!M38+[2]TONT20000MARS!M38+[2]TONT20000AVRIL!M38+[2]TONT20000MAI!M38+[2]TONT20000JUIN!M38+[2]TONT20000JUIL!M38+[2]TONT20000AOUT!M38+[2]TONT20000SEPT!M38+[2]TONT20000OCT!M38+[2]TONT20000NOV!N38</f>
        <v>0</v>
      </c>
      <c r="X38" s="6">
        <f>[2]TONT20000DEC2015!P38+[2]TONT20000JANV!N38+[2]TONT20000FEV!N38+[2]TONT20000MARS!N38+[2]TONT20000AVRIL!N38+[2]TONT20000MAI!N38+[2]TONT20000JUIN!N38+[2]TONT20000JUIL!N38+[2]TONT20000AOUT!N38+[2]TONT20000SEPT!N38+[2]TONT20000OCT!N38+[2]TONT20000NOV!O38</f>
        <v>0</v>
      </c>
      <c r="Y38" s="6">
        <f>[2]TONT20000DEC2015!Q38+[2]TONT20000JANV!O38+[2]TONT20000FEV!O38+[2]TONT20000MARS!O38+[2]TONT20000AVRIL!O38+[2]TONT20000MAI!O38+[2]TONT20000JUIN!O38+[2]TONT20000JUIL!O38+[2]TONT20000AOUT!O38+[2]TONT20000SEPT!O38+[2]TONT20000OCT!O38+[2]TONT20000NOV!P38</f>
        <v>0</v>
      </c>
      <c r="Z38" s="6">
        <f>[2]TONT20000DEC2015!R38+[2]TONT20000JANV!P38+[2]TONT20000FEV!P38+[2]TONT20000MARS!P38+[2]TONT20000AVRIL!P38+[2]TONT20000MAI!P38+[2]TONT20000JUIN!P38+[2]TONT20000JUIL!P38+[2]TONT20000AOUT!P38+[2]TONT20000SEPT!P38+[2]TONT20000OCT!P38+[2]TONT20000NOV!Q38</f>
        <v>0</v>
      </c>
      <c r="AA38" s="6">
        <f>[2]TONT20000DEC2015!S38+[2]TONT20000JANV!Q38+[2]TONT20000FEV!Q38+[2]TONT20000MARS!Q38+[2]TONT20000AVRIL!Q38+[2]TONT20000MAI!Q38+[2]TONT20000JUIN!Q38+[2]TONT20000JUIL!Q38+[2]TONT20000AOUT!Q38+[2]TONT20000SEPT!Q38+[2]TONT20000OCT!Q38+[2]TONT20000NOV!R38</f>
        <v>0</v>
      </c>
      <c r="AB38" s="6">
        <f>[2]TONT20000DEC2015!T38+[2]TONT20000JANV!R38+[2]TONT20000FEV!R38+[2]TONT20000MARS!R38+[2]TONT20000AVRIL!R38+[2]TONT20000MAI!R38+[2]TONT20000JUIN!R38+[2]TONT20000JUIL!R38+[2]TONT20000AOUT!R38+[2]TONT20000SEPT!R38+[2]TONT20000OCT!R38+[2]TONT20000NOV!S38</f>
        <v>0</v>
      </c>
      <c r="AC38" s="3"/>
    </row>
    <row r="39" spans="1:29" x14ac:dyDescent="0.25">
      <c r="A39" s="1" t="s">
        <v>69</v>
      </c>
      <c r="B39" s="1" t="str">
        <f>VLOOKUP(A39,[2]LISTADHERENT!A$5:H$52,2,0)</f>
        <v>SEUNOU RICHELOT</v>
      </c>
      <c r="C39" s="2">
        <f>VLOOKUP(A39,[2]FONDSDECAISSE!A$5:C$52,3,0)</f>
        <v>390000</v>
      </c>
      <c r="D39" s="2">
        <v>2632</v>
      </c>
      <c r="E39" s="2">
        <f t="shared" si="0"/>
        <v>428632</v>
      </c>
      <c r="F39" s="2">
        <f>INT([2]TONT20000DEC2015!E39+[2]TONT20000JANV!C39+[2]TONT20000FEV!C39+[2]TONT20000MARS!C39+[2]TONT20000AVRIL!C39+[2]TONT20000MAI!C39+[2]TONT20000JUIN!C39+[2]TONT20000JUIL!C39+[2]TONT20000AOUT!C39+[2]TONT20000SEPT!C39+[2]TONT20000OCT!C39+[2]TONT20000NOV!C39)</f>
        <v>48124</v>
      </c>
      <c r="G39" s="2">
        <f>[2]TONT20000NOV!E39</f>
        <v>476756.34948151035</v>
      </c>
      <c r="H39" s="2">
        <f t="shared" si="1"/>
        <v>86756</v>
      </c>
      <c r="I39" s="2">
        <f t="shared" si="2"/>
        <v>80000</v>
      </c>
      <c r="J39" s="2">
        <f t="shared" si="3"/>
        <v>6756</v>
      </c>
      <c r="K39" s="2">
        <v>0</v>
      </c>
      <c r="L39" s="2">
        <v>30000</v>
      </c>
      <c r="M39" s="2"/>
      <c r="N39" s="2">
        <v>50000</v>
      </c>
      <c r="O39" s="2">
        <f t="shared" si="4"/>
        <v>0</v>
      </c>
      <c r="P39" s="6">
        <f>[2]TONT20000DEC2015!H39+[2]TONT20000JANV!F39+[2]TONT20000FEV!F39+[2]TONT20000MARS!F39+[2]TONT20000AVRIL!F39+[2]TONT20000MAI!F39+[2]TONT20000JUIN!F39+[2]TONT20000JUIL!F39+[2]TONT20000AOUT!F39+[2]TONT20000SEPT!F39+[2]TONT20000OCT!F39+[2]TONT20000NOV!G39</f>
        <v>240000</v>
      </c>
      <c r="Q39" s="6">
        <f>[2]TONT20000DEC2015!I39+[2]TONT20000JANV!G39+[2]TONT20000FEV!G39+[2]TONT20000MARS!G39+[2]TONT20000AVRIL!G39+[2]TONT20000MAI!G39+[2]TONT20000JUIN!G39+[2]TONT20000JUIL!G39+[2]TONT20000AOUT!G39+[2]TONT20000SEPT!G39+[2]TONT20000OCT!G39+[2]TONT20000NOV!H39</f>
        <v>36000</v>
      </c>
      <c r="R39" s="6">
        <f>[2]TONT20000DEC2015!J39+[2]TONT20000JANV!H39+[2]TONT20000FEV!H39+[2]TONT20000MARS!H39+[2]TONT20000AVRIL!H39+[2]TONT20000MAI!H39+[2]TONT20000JUIN!H39+[2]TONT20000JUIL!H39+[2]TONT20000AOUT!H39+[2]TONT20000SEPT!H39+[2]TONT20000OCT!H39+[2]TONT20000NOV!I39</f>
        <v>6000</v>
      </c>
      <c r="S39" s="6">
        <f>[2]TONT20000DEC2015!K39+[2]TONT20000JANV!I39+[2]TONT20000FEV!I39+[2]TONT20000MARS!I39+[2]TONT20000AVRIL!I39+[2]TONT20000MAI!I39+[2]TONT20000JUIN!I39+[2]TONT20000JUIL!I39+[2]TONT20000AOUT!I39+[2]TONT20000SEPT!I39+[2]TONT20000OCT!I39+[2]TONT20000NOV!J39</f>
        <v>12000</v>
      </c>
      <c r="T39" s="6">
        <f>[2]TONT20000DEC2015!L39+[2]TONT20000JANV!J39+[2]TONT20000FEV!J39+[2]TONT20000MARS!J39+[2]TONT20000AVRIL!J39+[2]TONT20000MAI!J39+[2]TONT20000JUIN!J39+[2]TONT20000JUIL!J39+[2]TONT20000AOUT!J39+[2]TONT20000SEPT!J39+[2]TONT20000OCT!J39+[2]TONT20000NOV!K39</f>
        <v>30000</v>
      </c>
      <c r="U39" s="6">
        <f>[2]TONT20000DEC2015!M39+[2]TONT20000JANV!K39+[2]TONT20000FEV!K39+[2]TONT20000MARS!K39+[2]TONT20000AVRIL!K39+[2]TONT20000MAI!K39+[2]TONT20000JUIN!K39+[2]TONT20000JUIL!K39+[2]TONT20000AOUT!K39+[2]TONT20000SEPT!K39+[2]TONT20000OCT!K39+[2]TONT20000NOV!L39</f>
        <v>0</v>
      </c>
      <c r="V39" s="6">
        <f>[2]TONT20000DEC2015!N39+[2]TONT20000JANV!L39+[2]TONT20000FEV!L39+[2]TONT20000MARS!L39+[2]TONT20000AVRIL!L39+[2]TONT20000MAI!L39+[2]TONT20000JUIN!L39+[2]TONT20000JUIL!L39+[2]TONT20000AOUT!L39+[2]TONT20000SEPT!L39+[2]TONT20000OCT!L39+[2]TONT20000NOV!M39</f>
        <v>156000</v>
      </c>
      <c r="W39" s="6">
        <f>[2]TONT20000DEC2015!O39+[2]TONT20000JANV!M39+[2]TONT20000FEV!M39+[2]TONT20000MARS!M39+[2]TONT20000AVRIL!M39+[2]TONT20000MAI!M39+[2]TONT20000JUIN!M39+[2]TONT20000JUIL!M39+[2]TONT20000AOUT!M39+[2]TONT20000SEPT!M39+[2]TONT20000OCT!M39+[2]TONT20000NOV!N39</f>
        <v>1000000</v>
      </c>
      <c r="X39" s="6">
        <f>[2]TONT20000DEC2015!P39+[2]TONT20000JANV!N39+[2]TONT20000FEV!N39+[2]TONT20000MARS!N39+[2]TONT20000AVRIL!N39+[2]TONT20000MAI!N39+[2]TONT20000JUIN!N39+[2]TONT20000JUIL!N39+[2]TONT20000AOUT!N39+[2]TONT20000SEPT!N39+[2]TONT20000OCT!N39+[2]TONT20000NOV!O39</f>
        <v>120000</v>
      </c>
      <c r="Y39" s="6">
        <f>[2]TONT20000DEC2015!Q39+[2]TONT20000JANV!O39+[2]TONT20000FEV!O39+[2]TONT20000MARS!O39+[2]TONT20000AVRIL!O39+[2]TONT20000MAI!O39+[2]TONT20000JUIN!O39+[2]TONT20000JUIL!O39+[2]TONT20000AOUT!O39+[2]TONT20000SEPT!O39+[2]TONT20000OCT!O39+[2]TONT20000NOV!P39</f>
        <v>0</v>
      </c>
      <c r="Z39" s="6">
        <f>[2]TONT20000DEC2015!R39+[2]TONT20000JANV!P39+[2]TONT20000FEV!P39+[2]TONT20000MARS!P39+[2]TONT20000AVRIL!P39+[2]TONT20000MAI!P39+[2]TONT20000JUIN!P39+[2]TONT20000JUIL!P39+[2]TONT20000AOUT!P39+[2]TONT20000SEPT!P39+[2]TONT20000OCT!P39+[2]TONT20000NOV!Q39</f>
        <v>0</v>
      </c>
      <c r="AA39" s="6">
        <f>[2]TONT20000DEC2015!S39+[2]TONT20000JANV!Q39+[2]TONT20000FEV!Q39+[2]TONT20000MARS!Q39+[2]TONT20000AVRIL!Q39+[2]TONT20000MAI!Q39+[2]TONT20000JUIN!Q39+[2]TONT20000JUIL!Q39+[2]TONT20000AOUT!Q39+[2]TONT20000SEPT!Q39+[2]TONT20000OCT!Q39+[2]TONT20000NOV!R39</f>
        <v>0</v>
      </c>
      <c r="AB39" s="6">
        <f>[2]TONT20000DEC2015!T39+[2]TONT20000JANV!R39+[2]TONT20000FEV!R39+[2]TONT20000MARS!R39+[2]TONT20000AVRIL!R39+[2]TONT20000MAI!R39+[2]TONT20000JUIN!R39+[2]TONT20000JUIL!R39+[2]TONT20000AOUT!R39+[2]TONT20000SEPT!R39+[2]TONT20000OCT!R39+[2]TONT20000NOV!S39</f>
        <v>0</v>
      </c>
      <c r="AC39" s="3"/>
    </row>
    <row r="40" spans="1:29" x14ac:dyDescent="0.25">
      <c r="A40" s="1" t="s">
        <v>70</v>
      </c>
      <c r="B40" s="1" t="str">
        <f>VLOOKUP(A40,[2]LISTADHERENT!A$5:H$52,2,0)</f>
        <v>SIME ABEL</v>
      </c>
      <c r="C40" s="2">
        <v>390000</v>
      </c>
      <c r="D40" s="2">
        <v>0</v>
      </c>
      <c r="E40" s="2">
        <f t="shared" si="0"/>
        <v>398873</v>
      </c>
      <c r="F40" s="2">
        <f>INT([2]TONT20000DEC2015!E40+[2]TONT20000JANV!C40+[2]TONT20000FEV!C40+[2]TONT20000MARS!C40+[2]TONT20000AVRIL!C40+[2]TONT20000MAI!C40+[2]TONT20000JUIN!C40+[2]TONT20000JUIL!C40+[2]TONT20000AOUT!C40+[2]TONT20000SEPT!C40+[2]TONT20000OCT!C40+[2]TONT20000NOV!C40)</f>
        <v>15621</v>
      </c>
      <c r="G40" s="2">
        <f>[2]TONT20000NOV!E40</f>
        <v>441621.34748316335</v>
      </c>
      <c r="H40" s="2">
        <f t="shared" si="1"/>
        <v>24494</v>
      </c>
      <c r="I40" s="2">
        <f t="shared" si="2"/>
        <v>24006</v>
      </c>
      <c r="J40" s="2">
        <f t="shared" si="3"/>
        <v>488</v>
      </c>
      <c r="K40" s="2">
        <v>0</v>
      </c>
      <c r="L40" s="2"/>
      <c r="M40" s="2"/>
      <c r="N40" s="2">
        <f>50000-25994</f>
        <v>24006</v>
      </c>
      <c r="O40" s="2">
        <f t="shared" si="4"/>
        <v>0</v>
      </c>
      <c r="P40" s="6">
        <f>[2]TONT20000DEC2015!H40+[2]TONT20000JANV!F40+[2]TONT20000FEV!F40+[2]TONT20000MARS!F40+[2]TONT20000AVRIL!F40+[2]TONT20000MAI!F40+[2]TONT20000JUIN!F40+[2]TONT20000JUIL!F40+[2]TONT20000AOUT!F40+[2]TONT20000SEPT!F40+[2]TONT20000OCT!F40+[2]TONT20000NOV!G40</f>
        <v>240000</v>
      </c>
      <c r="Q40" s="6">
        <f>[2]TONT20000DEC2015!I40+[2]TONT20000JANV!G40+[2]TONT20000FEV!G40+[2]TONT20000MARS!G40+[2]TONT20000AVRIL!G40+[2]TONT20000MAI!G40+[2]TONT20000JUIN!G40+[2]TONT20000JUIL!G40+[2]TONT20000AOUT!G40+[2]TONT20000SEPT!G40+[2]TONT20000OCT!G40+[2]TONT20000NOV!H40-27127</f>
        <v>8873</v>
      </c>
      <c r="R40" s="6">
        <f>[2]TONT20000DEC2015!J40+[2]TONT20000JANV!H40+[2]TONT20000FEV!H40+[2]TONT20000MARS!H40+[2]TONT20000AVRIL!H40+[2]TONT20000MAI!H40+[2]TONT20000JUIN!H40+[2]TONT20000JUIL!H40+[2]TONT20000AOUT!H40+[2]TONT20000SEPT!H40+[2]TONT20000OCT!H40+[2]TONT20000NOV!I40</f>
        <v>6000</v>
      </c>
      <c r="S40" s="6">
        <f>[2]TONT20000DEC2015!K40+[2]TONT20000JANV!I40+[2]TONT20000FEV!I40+[2]TONT20000MARS!I40+[2]TONT20000AVRIL!I40+[2]TONT20000MAI!I40+[2]TONT20000JUIN!I40+[2]TONT20000JUIL!I40+[2]TONT20000AOUT!I40+[2]TONT20000SEPT!I40+[2]TONT20000OCT!I40+[2]TONT20000NOV!J40</f>
        <v>12000</v>
      </c>
      <c r="T40" s="6">
        <f>[2]TONT20000DEC2015!L40+[2]TONT20000JANV!J40+[2]TONT20000FEV!J40+[2]TONT20000MARS!J40+[2]TONT20000AVRIL!J40+[2]TONT20000MAI!J40+[2]TONT20000JUIN!J40+[2]TONT20000JUIL!J40+[2]TONT20000AOUT!J40+[2]TONT20000SEPT!J40+[2]TONT20000OCT!J40+[2]TONT20000NOV!K40</f>
        <v>30000</v>
      </c>
      <c r="U40" s="6">
        <f>[2]TONT20000DEC2015!M40+[2]TONT20000JANV!K40+[2]TONT20000FEV!K40+[2]TONT20000MARS!K40+[2]TONT20000AVRIL!K40+[2]TONT20000MAI!K40+[2]TONT20000JUIN!K40+[2]TONT20000JUIL!K40+[2]TONT20000AOUT!K40+[2]TONT20000SEPT!K40+[2]TONT20000OCT!K40+[2]TONT20000NOV!L40</f>
        <v>0</v>
      </c>
      <c r="V40" s="6">
        <f>[2]TONT20000DEC2015!N40+[2]TONT20000JANV!L40+[2]TONT20000FEV!L40+[2]TONT20000MARS!L40+[2]TONT20000AVRIL!L40+[2]TONT20000MAI!L40+[2]TONT20000JUIN!L40+[2]TONT20000JUIL!L40+[2]TONT20000AOUT!L40+[2]TONT20000SEPT!L40+[2]TONT20000OCT!L40+[2]TONT20000NOV!M40</f>
        <v>156000</v>
      </c>
      <c r="W40" s="6">
        <f>[2]TONT20000DEC2015!O40+[2]TONT20000JANV!M40+[2]TONT20000FEV!M40+[2]TONT20000MARS!M40+[2]TONT20000AVRIL!M40+[2]TONT20000MAI!M40+[2]TONT20000JUIN!M40+[2]TONT20000JUIL!M40+[2]TONT20000AOUT!M40+[2]TONT20000SEPT!M40+[2]TONT20000OCT!M40+[2]TONT20000NOV!N40</f>
        <v>0</v>
      </c>
      <c r="X40" s="6">
        <f>[2]TONT20000DEC2015!P40+[2]TONT20000JANV!N40+[2]TONT20000FEV!N40+[2]TONT20000MARS!N40+[2]TONT20000AVRIL!N40+[2]TONT20000MAI!N40+[2]TONT20000JUIN!N40+[2]TONT20000JUIL!N40+[2]TONT20000AOUT!N40+[2]TONT20000SEPT!N40+[2]TONT20000OCT!N40+[2]TONT20000NOV!O40</f>
        <v>0</v>
      </c>
      <c r="Y40" s="6">
        <f>[2]TONT20000DEC2015!Q40+[2]TONT20000JANV!O40+[2]TONT20000FEV!O40+[2]TONT20000MARS!O40+[2]TONT20000AVRIL!O40+[2]TONT20000MAI!O40+[2]TONT20000JUIN!O40+[2]TONT20000JUIL!O40+[2]TONT20000AOUT!O40+[2]TONT20000SEPT!O40+[2]TONT20000OCT!O40+[2]TONT20000NOV!P40</f>
        <v>0</v>
      </c>
      <c r="Z40" s="6">
        <f>[2]TONT20000DEC2015!R40+[2]TONT20000JANV!P40+[2]TONT20000FEV!P40+[2]TONT20000MARS!P40+[2]TONT20000AVRIL!P40+[2]TONT20000MAI!P40+[2]TONT20000JUIN!P40+[2]TONT20000JUIL!P40+[2]TONT20000AOUT!P40+[2]TONT20000SEPT!P40+[2]TONT20000OCT!P40+[2]TONT20000NOV!Q40</f>
        <v>0</v>
      </c>
      <c r="AA40" s="6">
        <f>[2]TONT20000DEC2015!S40+[2]TONT20000JANV!Q40+[2]TONT20000FEV!Q40+[2]TONT20000MARS!Q40+[2]TONT20000AVRIL!Q40+[2]TONT20000MAI!Q40+[2]TONT20000JUIN!Q40+[2]TONT20000JUIL!Q40+[2]TONT20000AOUT!Q40+[2]TONT20000SEPT!Q40+[2]TONT20000OCT!Q40+[2]TONT20000NOV!R40</f>
        <v>0</v>
      </c>
      <c r="AB40" s="6">
        <f>[2]TONT20000DEC2015!T40+[2]TONT20000JANV!R40+[2]TONT20000FEV!R40+[2]TONT20000MARS!R40+[2]TONT20000AVRIL!R40+[2]TONT20000MAI!R40+[2]TONT20000JUIN!R40+[2]TONT20000JUIL!R40+[2]TONT20000AOUT!R40+[2]TONT20000SEPT!R40+[2]TONT20000OCT!R40+[2]TONT20000NOV!S40</f>
        <v>0</v>
      </c>
      <c r="AC40" s="3"/>
    </row>
    <row r="41" spans="1:29" x14ac:dyDescent="0.25">
      <c r="A41" s="1" t="s">
        <v>71</v>
      </c>
      <c r="B41" s="1" t="str">
        <f>VLOOKUP(A41,[2]LISTADHERENT!A$5:H$52,2,0)</f>
        <v>SIME FONGANG ERIC</v>
      </c>
      <c r="C41" s="2">
        <f>VLOOKUP(A41,[2]FONDSDECAISSE!A$5:C$52,3,0)</f>
        <v>390000</v>
      </c>
      <c r="D41" s="2">
        <v>982</v>
      </c>
      <c r="E41" s="2">
        <f t="shared" si="0"/>
        <v>426982</v>
      </c>
      <c r="F41" s="2">
        <f>INT([2]TONT20000DEC2015!E41+[2]TONT20000JANV!C41+[2]TONT20000FEV!C41+[2]TONT20000MARS!C41+[2]TONT20000AVRIL!C41+[2]TONT20000MAI!C41+[2]TONT20000JUIN!C41+[2]TONT20000JUIL!C41+[2]TONT20000AOUT!C41+[2]TONT20000SEPT!C41+[2]TONT20000OCT!C41+[2]TONT20000NOV!C41)</f>
        <v>47932</v>
      </c>
      <c r="G41" s="2">
        <f>[2]TONT20000NOV!E41</f>
        <v>474914.7021185864</v>
      </c>
      <c r="H41" s="2">
        <f t="shared" si="1"/>
        <v>84914</v>
      </c>
      <c r="I41" s="2">
        <f t="shared" si="2"/>
        <v>80000</v>
      </c>
      <c r="J41" s="2">
        <f t="shared" si="3"/>
        <v>4914</v>
      </c>
      <c r="K41" s="2">
        <v>0</v>
      </c>
      <c r="L41" s="2">
        <v>30000</v>
      </c>
      <c r="M41" s="2"/>
      <c r="N41" s="2">
        <v>50000</v>
      </c>
      <c r="O41" s="2">
        <f t="shared" si="4"/>
        <v>0</v>
      </c>
      <c r="P41" s="6">
        <f>[2]TONT20000DEC2015!H41+[2]TONT20000JANV!F41+[2]TONT20000FEV!F41+[2]TONT20000MARS!F41+[2]TONT20000AVRIL!F41+[2]TONT20000MAI!F41+[2]TONT20000JUIN!F41+[2]TONT20000JUIL!F41+[2]TONT20000AOUT!F41+[2]TONT20000SEPT!F41+[2]TONT20000OCT!F41+[2]TONT20000NOV!G41</f>
        <v>240000</v>
      </c>
      <c r="Q41" s="6">
        <f>[2]TONT20000DEC2015!I41+[2]TONT20000JANV!G41+[2]TONT20000FEV!G41+[2]TONT20000MARS!G41+[2]TONT20000AVRIL!G41+[2]TONT20000MAI!G41+[2]TONT20000JUIN!G41+[2]TONT20000JUIL!G41+[2]TONT20000AOUT!G41+[2]TONT20000SEPT!G41+[2]TONT20000OCT!G41+[2]TONT20000NOV!H41</f>
        <v>36000</v>
      </c>
      <c r="R41" s="6">
        <f>[2]TONT20000DEC2015!J41+[2]TONT20000JANV!H41+[2]TONT20000FEV!H41+[2]TONT20000MARS!H41+[2]TONT20000AVRIL!H41+[2]TONT20000MAI!H41+[2]TONT20000JUIN!H41+[2]TONT20000JUIL!H41+[2]TONT20000AOUT!H41+[2]TONT20000SEPT!H41+[2]TONT20000OCT!H41+[2]TONT20000NOV!I41</f>
        <v>6000</v>
      </c>
      <c r="S41" s="6">
        <f>[2]TONT20000DEC2015!K41+[2]TONT20000JANV!I41+[2]TONT20000FEV!I41+[2]TONT20000MARS!I41+[2]TONT20000AVRIL!I41+[2]TONT20000MAI!I41+[2]TONT20000JUIN!I41+[2]TONT20000JUIL!I41+[2]TONT20000AOUT!I41+[2]TONT20000SEPT!I41+[2]TONT20000OCT!I41+[2]TONT20000NOV!J41</f>
        <v>12000</v>
      </c>
      <c r="T41" s="6">
        <f>[2]TONT20000DEC2015!L41+[2]TONT20000JANV!J41+[2]TONT20000FEV!J41+[2]TONT20000MARS!J41+[2]TONT20000AVRIL!J41+[2]TONT20000MAI!J41+[2]TONT20000JUIN!J41+[2]TONT20000JUIL!J41+[2]TONT20000AOUT!J41+[2]TONT20000SEPT!J41+[2]TONT20000OCT!J41+[2]TONT20000NOV!K41</f>
        <v>30000</v>
      </c>
      <c r="U41" s="6">
        <f>[2]TONT20000DEC2015!M41+[2]TONT20000JANV!K41+[2]TONT20000FEV!K41+[2]TONT20000MARS!K41+[2]TONT20000AVRIL!K41+[2]TONT20000MAI!K41+[2]TONT20000JUIN!K41+[2]TONT20000JUIL!K41+[2]TONT20000AOUT!K41+[2]TONT20000SEPT!K41+[2]TONT20000OCT!K41+[2]TONT20000NOV!L41</f>
        <v>0</v>
      </c>
      <c r="V41" s="6">
        <f>[2]TONT20000DEC2015!N41+[2]TONT20000JANV!L41+[2]TONT20000FEV!L41+[2]TONT20000MARS!L41+[2]TONT20000AVRIL!L41+[2]TONT20000MAI!L41+[2]TONT20000JUIN!L41+[2]TONT20000JUIL!L41+[2]TONT20000AOUT!L41+[2]TONT20000SEPT!L41+[2]TONT20000OCT!L41+[2]TONT20000NOV!M41</f>
        <v>156000</v>
      </c>
      <c r="W41" s="6">
        <f>[2]TONT20000DEC2015!O41+[2]TONT20000JANV!M41+[2]TONT20000FEV!M41+[2]TONT20000MARS!M41+[2]TONT20000AVRIL!M41+[2]TONT20000MAI!M41+[2]TONT20000JUIN!M41+[2]TONT20000JUIL!M41+[2]TONT20000AOUT!M41+[2]TONT20000SEPT!M41+[2]TONT20000OCT!M41+[2]TONT20000NOV!N41</f>
        <v>1000000</v>
      </c>
      <c r="X41" s="6">
        <f>[2]TONT20000DEC2015!P41+[2]TONT20000JANV!N41+[2]TONT20000FEV!N41+[2]TONT20000MARS!N41+[2]TONT20000AVRIL!N41+[2]TONT20000MAI!N41+[2]TONT20000JUIN!N41+[2]TONT20000JUIL!N41+[2]TONT20000AOUT!N41+[2]TONT20000SEPT!N41+[2]TONT20000OCT!N41+[2]TONT20000NOV!O41</f>
        <v>120000</v>
      </c>
      <c r="Y41" s="6">
        <f>[2]TONT20000DEC2015!Q41+[2]TONT20000JANV!O41+[2]TONT20000FEV!O41+[2]TONT20000MARS!O41+[2]TONT20000AVRIL!O41+[2]TONT20000MAI!O41+[2]TONT20000JUIN!O41+[2]TONT20000JUIL!O41+[2]TONT20000AOUT!O41+[2]TONT20000SEPT!O41+[2]TONT20000OCT!O41+[2]TONT20000NOV!P41</f>
        <v>0</v>
      </c>
      <c r="Z41" s="6">
        <f>[2]TONT20000DEC2015!R41+[2]TONT20000JANV!P41+[2]TONT20000FEV!P41+[2]TONT20000MARS!P41+[2]TONT20000AVRIL!P41+[2]TONT20000MAI!P41+[2]TONT20000JUIN!P41+[2]TONT20000JUIL!P41+[2]TONT20000AOUT!P41+[2]TONT20000SEPT!P41+[2]TONT20000OCT!P41+[2]TONT20000NOV!Q41</f>
        <v>0</v>
      </c>
      <c r="AA41" s="6">
        <f>[2]TONT20000DEC2015!S41+[2]TONT20000JANV!Q41+[2]TONT20000FEV!Q41+[2]TONT20000MARS!Q41+[2]TONT20000AVRIL!Q41+[2]TONT20000MAI!Q41+[2]TONT20000JUIN!Q41+[2]TONT20000JUIL!Q41+[2]TONT20000AOUT!Q41+[2]TONT20000SEPT!Q41+[2]TONT20000OCT!Q41+[2]TONT20000NOV!R41</f>
        <v>0</v>
      </c>
      <c r="AB41" s="6">
        <f>[2]TONT20000DEC2015!T41+[2]TONT20000JANV!R41+[2]TONT20000FEV!R41+[2]TONT20000MARS!R41+[2]TONT20000AVRIL!R41+[2]TONT20000MAI!R41+[2]TONT20000JUIN!R41+[2]TONT20000JUIL!R41+[2]TONT20000AOUT!R41+[2]TONT20000SEPT!R41+[2]TONT20000OCT!R41+[2]TONT20000NOV!S41</f>
        <v>0</v>
      </c>
      <c r="AC41" s="3"/>
    </row>
    <row r="42" spans="1:29" x14ac:dyDescent="0.25">
      <c r="A42" s="1" t="s">
        <v>72</v>
      </c>
      <c r="B42" s="1" t="str">
        <f>VLOOKUP(A42,[2]LISTADHERENT!A$5:H$52,2,0)</f>
        <v>SIME MATHIEU</v>
      </c>
      <c r="C42" s="2">
        <f>VLOOKUP(A42,[2]FONDSDECAISSE!A$5:C$52,3,0)</f>
        <v>390000</v>
      </c>
      <c r="D42" s="2">
        <v>636</v>
      </c>
      <c r="E42" s="2">
        <f t="shared" si="0"/>
        <v>426636</v>
      </c>
      <c r="F42" s="2">
        <f>INT([2]TONT20000DEC2015!E42+[2]TONT20000JANV!C42+[2]TONT20000FEV!C42+[2]TONT20000MARS!C42+[2]TONT20000AVRIL!C42+[2]TONT20000MAI!C42+[2]TONT20000JUIN!C42+[2]TONT20000JUIL!C42+[2]TONT20000AOUT!C42+[2]TONT20000SEPT!C42+[2]TONT20000OCT!C42+[2]TONT20000NOV!C42)</f>
        <v>47892</v>
      </c>
      <c r="G42" s="2">
        <f>[2]TONT20000NOV!E42</f>
        <v>474528.51424733078</v>
      </c>
      <c r="H42" s="2">
        <f t="shared" si="1"/>
        <v>84528</v>
      </c>
      <c r="I42" s="2">
        <f t="shared" si="2"/>
        <v>80000</v>
      </c>
      <c r="J42" s="2">
        <f t="shared" si="3"/>
        <v>4528</v>
      </c>
      <c r="K42" s="2">
        <v>0</v>
      </c>
      <c r="L42" s="2">
        <v>30000</v>
      </c>
      <c r="M42" s="2"/>
      <c r="N42" s="2">
        <v>50000</v>
      </c>
      <c r="O42" s="2">
        <f t="shared" si="4"/>
        <v>0</v>
      </c>
      <c r="P42" s="6">
        <f>[2]TONT20000DEC2015!H42+[2]TONT20000JANV!F42+[2]TONT20000FEV!F42+[2]TONT20000MARS!F42+[2]TONT20000AVRIL!F42+[2]TONT20000MAI!F42+[2]TONT20000JUIN!F42+[2]TONT20000JUIL!F42+[2]TONT20000AOUT!F42+[2]TONT20000SEPT!F42+[2]TONT20000OCT!F42+[2]TONT20000NOV!G42</f>
        <v>240000</v>
      </c>
      <c r="Q42" s="6">
        <f>[2]TONT20000DEC2015!I42+[2]TONT20000JANV!G42+[2]TONT20000FEV!G42+[2]TONT20000MARS!G42+[2]TONT20000AVRIL!G42+[2]TONT20000MAI!G42+[2]TONT20000JUIN!G42+[2]TONT20000JUIL!G42+[2]TONT20000AOUT!G42+[2]TONT20000SEPT!G42+[2]TONT20000OCT!G42+[2]TONT20000NOV!H42</f>
        <v>36000</v>
      </c>
      <c r="R42" s="6">
        <f>[2]TONT20000DEC2015!J42+[2]TONT20000JANV!H42+[2]TONT20000FEV!H42+[2]TONT20000MARS!H42+[2]TONT20000AVRIL!H42+[2]TONT20000MAI!H42+[2]TONT20000JUIN!H42+[2]TONT20000JUIL!H42+[2]TONT20000AOUT!H42+[2]TONT20000SEPT!H42+[2]TONT20000OCT!H42+[2]TONT20000NOV!I42</f>
        <v>6000</v>
      </c>
      <c r="S42" s="6">
        <f>[2]TONT20000DEC2015!K42+[2]TONT20000JANV!I42+[2]TONT20000FEV!I42+[2]TONT20000MARS!I42+[2]TONT20000AVRIL!I42+[2]TONT20000MAI!I42+[2]TONT20000JUIN!I42+[2]TONT20000JUIL!I42+[2]TONT20000AOUT!I42+[2]TONT20000SEPT!I42+[2]TONT20000OCT!I42+[2]TONT20000NOV!J42</f>
        <v>12000</v>
      </c>
      <c r="T42" s="6">
        <f>[2]TONT20000DEC2015!L42+[2]TONT20000JANV!J42+[2]TONT20000FEV!J42+[2]TONT20000MARS!J42+[2]TONT20000AVRIL!J42+[2]TONT20000MAI!J42+[2]TONT20000JUIN!J42+[2]TONT20000JUIL!J42+[2]TONT20000AOUT!J42+[2]TONT20000SEPT!J42+[2]TONT20000OCT!J42+[2]TONT20000NOV!K42</f>
        <v>30000</v>
      </c>
      <c r="U42" s="6">
        <f>[2]TONT20000DEC2015!M42+[2]TONT20000JANV!K42+[2]TONT20000FEV!K42+[2]TONT20000MARS!K42+[2]TONT20000AVRIL!K42+[2]TONT20000MAI!K42+[2]TONT20000JUIN!K42+[2]TONT20000JUIL!K42+[2]TONT20000AOUT!K42+[2]TONT20000SEPT!K42+[2]TONT20000OCT!K42+[2]TONT20000NOV!L42</f>
        <v>0</v>
      </c>
      <c r="V42" s="6">
        <f>[2]TONT20000DEC2015!N42+[2]TONT20000JANV!L42+[2]TONT20000FEV!L42+[2]TONT20000MARS!L42+[2]TONT20000AVRIL!L42+[2]TONT20000MAI!L42+[2]TONT20000JUIN!L42+[2]TONT20000JUIL!L42+[2]TONT20000AOUT!L42+[2]TONT20000SEPT!L42+[2]TONT20000OCT!L42+[2]TONT20000NOV!M42</f>
        <v>156000</v>
      </c>
      <c r="W42" s="6">
        <f>[2]TONT20000DEC2015!O42+[2]TONT20000JANV!M42+[2]TONT20000FEV!M42+[2]TONT20000MARS!M42+[2]TONT20000AVRIL!M42+[2]TONT20000MAI!M42+[2]TONT20000JUIN!M42+[2]TONT20000JUIL!M42+[2]TONT20000AOUT!M42+[2]TONT20000SEPT!M42+[2]TONT20000OCT!M42+[2]TONT20000NOV!N42</f>
        <v>800000</v>
      </c>
      <c r="X42" s="6">
        <f>[2]TONT20000DEC2015!P42+[2]TONT20000JANV!N42+[2]TONT20000FEV!N42+[2]TONT20000MARS!N42+[2]TONT20000AVRIL!N42+[2]TONT20000MAI!N42+[2]TONT20000JUIN!N42+[2]TONT20000JUIL!N42+[2]TONT20000AOUT!N42+[2]TONT20000SEPT!N42+[2]TONT20000OCT!N42+[2]TONT20000NOV!O42</f>
        <v>96000</v>
      </c>
      <c r="Y42" s="6">
        <f>[2]TONT20000DEC2015!Q42+[2]TONT20000JANV!O42+[2]TONT20000FEV!O42+[2]TONT20000MARS!O42+[2]TONT20000AVRIL!O42+[2]TONT20000MAI!O42+[2]TONT20000JUIN!O42+[2]TONT20000JUIL!O42+[2]TONT20000AOUT!O42+[2]TONT20000SEPT!O42+[2]TONT20000OCT!O42+[2]TONT20000NOV!P42</f>
        <v>0</v>
      </c>
      <c r="Z42" s="6">
        <f>[2]TONT20000DEC2015!R42+[2]TONT20000JANV!P42+[2]TONT20000FEV!P42+[2]TONT20000MARS!P42+[2]TONT20000AVRIL!P42+[2]TONT20000MAI!P42+[2]TONT20000JUIN!P42+[2]TONT20000JUIL!P42+[2]TONT20000AOUT!P42+[2]TONT20000SEPT!P42+[2]TONT20000OCT!P42+[2]TONT20000NOV!Q42</f>
        <v>0</v>
      </c>
      <c r="AA42" s="6">
        <f>[2]TONT20000DEC2015!S42+[2]TONT20000JANV!Q42+[2]TONT20000FEV!Q42+[2]TONT20000MARS!Q42+[2]TONT20000AVRIL!Q42+[2]TONT20000MAI!Q42+[2]TONT20000JUIN!Q42+[2]TONT20000JUIL!Q42+[2]TONT20000AOUT!Q42+[2]TONT20000SEPT!Q42+[2]TONT20000OCT!Q42+[2]TONT20000NOV!R42</f>
        <v>0</v>
      </c>
      <c r="AB42" s="6">
        <f>[2]TONT20000DEC2015!T42+[2]TONT20000JANV!R42+[2]TONT20000FEV!R42+[2]TONT20000MARS!R42+[2]TONT20000AVRIL!R42+[2]TONT20000MAI!R42+[2]TONT20000JUIN!R42+[2]TONT20000JUIL!R42+[2]TONT20000AOUT!R42+[2]TONT20000SEPT!R42+[2]TONT20000OCT!R42+[2]TONT20000NOV!S42</f>
        <v>0</v>
      </c>
      <c r="AC42" s="3"/>
    </row>
    <row r="43" spans="1:29" s="16" customFormat="1" x14ac:dyDescent="0.25">
      <c r="A43" s="12" t="s">
        <v>73</v>
      </c>
      <c r="B43" s="12" t="str">
        <f>VLOOKUP(A43,[2]LISTADHERENT!A$5:H$52,2,0)</f>
        <v>SIME PIERRE</v>
      </c>
      <c r="C43" s="13">
        <f>VLOOKUP(A43,[2]FONDSDECAISSE!A$5:C$52,3,0)</f>
        <v>390000</v>
      </c>
      <c r="D43" s="13">
        <v>146079</v>
      </c>
      <c r="E43" s="13">
        <f t="shared" si="0"/>
        <v>1147306</v>
      </c>
      <c r="F43" s="2">
        <f>INT([2]TONT20000DEC2015!E43+[2]TONT20000JANV!C43+[2]TONT20000FEV!C43+[2]TONT20000MARS!C43+[2]TONT20000AVRIL!C43+[2]TONT20000MAI!C43+[2]TONT20000JUIN!C43+[2]TONT20000JUIL!C43+[2]TONT20000AOUT!C43+[2]TONT20000SEPT!C43+[2]TONT20000OCT!C43+[2]TONT20000NOV!C43)</f>
        <v>121669</v>
      </c>
      <c r="G43" s="13">
        <f>[2]TONT20000NOV!E43</f>
        <v>1268975.8529808545</v>
      </c>
      <c r="H43" s="2">
        <f t="shared" si="1"/>
        <v>878975</v>
      </c>
      <c r="I43" s="2">
        <f t="shared" si="2"/>
        <v>80000</v>
      </c>
      <c r="J43" s="2">
        <f t="shared" si="3"/>
        <v>798975</v>
      </c>
      <c r="K43" s="2">
        <v>693000</v>
      </c>
      <c r="L43" s="2">
        <v>30000</v>
      </c>
      <c r="M43" s="13"/>
      <c r="N43" s="13">
        <v>50000</v>
      </c>
      <c r="O43" s="13">
        <f t="shared" si="4"/>
        <v>0</v>
      </c>
      <c r="P43" s="14">
        <f>[2]TONT20000DEC2015!H43+[2]TONT20000JANV!F43+[2]TONT20000FEV!F43+[2]TONT20000MARS!F43+[2]TONT20000AVRIL!F43+[2]TONT20000MAI!F43+[2]TONT20000JUIN!F43+[2]TONT20000JUIL!F43+[2]TONT20000AOUT!F43+[2]TONT20000SEPT!F43+[2]TONT20000OCT!F43+[2]TONT20000NOV!G43</f>
        <v>1130000</v>
      </c>
      <c r="Q43" s="14">
        <f>[2]TONT20000DEC2015!I43+[2]TONT20000JANV!G43+[2]TONT20000FEV!G43+[2]TONT20000MARS!G43+[2]TONT20000AVRIL!G43+[2]TONT20000MAI!G43+[2]TONT20000JUIN!G43+[2]TONT20000JUIL!G43+[2]TONT20000AOUT!G43+[2]TONT20000SEPT!G43+[2]TONT20000OCT!G43+[2]TONT20000NOV!H43-854773+550000</f>
        <v>611227</v>
      </c>
      <c r="R43" s="14">
        <f>[2]TONT20000DEC2015!J43+[2]TONT20000JANV!H43+[2]TONT20000FEV!H43+[2]TONT20000MARS!H43+[2]TONT20000AVRIL!H43+[2]TONT20000MAI!H43+[2]TONT20000JUIN!H43+[2]TONT20000JUIL!H43+[2]TONT20000AOUT!H43+[2]TONT20000SEPT!H43+[2]TONT20000OCT!H43+[2]TONT20000NOV!I43</f>
        <v>6000</v>
      </c>
      <c r="S43" s="14">
        <f>[2]TONT20000DEC2015!K43+[2]TONT20000JANV!I43+[2]TONT20000FEV!I43+[2]TONT20000MARS!I43+[2]TONT20000AVRIL!I43+[2]TONT20000MAI!I43+[2]TONT20000JUIN!I43+[2]TONT20000JUIL!I43+[2]TONT20000AOUT!I43+[2]TONT20000SEPT!I43+[2]TONT20000OCT!I43+[2]TONT20000NOV!J43</f>
        <v>12000</v>
      </c>
      <c r="T43" s="14">
        <f>[2]TONT20000DEC2015!L43+[2]TONT20000JANV!J43+[2]TONT20000FEV!J43+[2]TONT20000MARS!J43+[2]TONT20000AVRIL!J43+[2]TONT20000MAI!J43+[2]TONT20000JUIN!J43+[2]TONT20000JUIL!J43+[2]TONT20000AOUT!J43+[2]TONT20000SEPT!J43+[2]TONT20000OCT!J43+[2]TONT20000NOV!K43</f>
        <v>30000</v>
      </c>
      <c r="U43" s="14">
        <f>[2]TONT20000DEC2015!M43+[2]TONT20000JANV!K43+[2]TONT20000FEV!K43+[2]TONT20000MARS!K43+[2]TONT20000AVRIL!K43+[2]TONT20000MAI!K43+[2]TONT20000JUIN!K43+[2]TONT20000JUIL!K43+[2]TONT20000AOUT!K43+[2]TONT20000SEPT!K43+[2]TONT20000OCT!K43+[2]TONT20000NOV!L43</f>
        <v>10000</v>
      </c>
      <c r="V43" s="14">
        <f>[2]TONT20000DEC2015!N43+[2]TONT20000JANV!L43+[2]TONT20000FEV!L43+[2]TONT20000MARS!L43+[2]TONT20000AVRIL!L43+[2]TONT20000MAI!L43+[2]TONT20000JUIN!L43+[2]TONT20000JUIL!L43+[2]TONT20000AOUT!L43+[2]TONT20000SEPT!L43+[2]TONT20000OCT!L43+[2]TONT20000NOV!M43</f>
        <v>156000</v>
      </c>
      <c r="W43" s="14">
        <f>[2]TONT20000DEC2015!O43+[2]TONT20000JANV!M43+[2]TONT20000FEV!M43+[2]TONT20000MARS!M43+[2]TONT20000AVRIL!M43+[2]TONT20000MAI!M43+[2]TONT20000JUIN!M43+[2]TONT20000JUIL!M43+[2]TONT20000AOUT!M43+[2]TONT20000SEPT!M43+[2]TONT20000OCT!M43+[2]TONT20000NOV!N43</f>
        <v>1110000</v>
      </c>
      <c r="X43" s="14">
        <f>[2]TONT20000DEC2015!P43+[2]TONT20000JANV!N43+[2]TONT20000FEV!N43+[2]TONT20000MARS!N43+[2]TONT20000AVRIL!N43+[2]TONT20000MAI!N43+[2]TONT20000JUIN!N43+[2]TONT20000JUIL!N43+[2]TONT20000AOUT!N43+[2]TONT20000SEPT!N43+[2]TONT20000OCT!N43+[2]TONT20000NOV!O43</f>
        <v>84600</v>
      </c>
      <c r="Y43" s="14">
        <f>[2]TONT20000DEC2015!Q43+[2]TONT20000JANV!O43+[2]TONT20000FEV!O43+[2]TONT20000MARS!O43+[2]TONT20000AVRIL!O43+[2]TONT20000MAI!O43+[2]TONT20000JUIN!O43+[2]TONT20000JUIL!O43+[2]TONT20000AOUT!O43+[2]TONT20000SEPT!O43+[2]TONT20000OCT!O43+[2]TONT20000NOV!P43</f>
        <v>540000</v>
      </c>
      <c r="Z43" s="14">
        <f>[2]TONT20000DEC2015!R43+[2]TONT20000JANV!P43+[2]TONT20000FEV!P43+[2]TONT20000MARS!P43+[2]TONT20000AVRIL!P43+[2]TONT20000MAI!P43+[2]TONT20000JUIN!P43+[2]TONT20000JUIL!P43+[2]TONT20000AOUT!P43+[2]TONT20000SEPT!P43+[2]TONT20000OCT!P43+[2]TONT20000NOV!Q43</f>
        <v>0</v>
      </c>
      <c r="AA43" s="14">
        <f>[2]TONT20000DEC2015!S43+[2]TONT20000JANV!Q43+[2]TONT20000FEV!Q43+[2]TONT20000MARS!Q43+[2]TONT20000AVRIL!Q43+[2]TONT20000MAI!Q43+[2]TONT20000JUIN!Q43+[2]TONT20000JUIL!Q43+[2]TONT20000AOUT!Q43+[2]TONT20000SEPT!Q43+[2]TONT20000OCT!Q43+[2]TONT20000NOV!R43</f>
        <v>0</v>
      </c>
      <c r="AB43" s="14">
        <f>[2]TONT20000DEC2015!T43+[2]TONT20000JANV!R43+[2]TONT20000FEV!R43+[2]TONT20000MARS!R43+[2]TONT20000AVRIL!R43+[2]TONT20000MAI!R43+[2]TONT20000JUIN!R43+[2]TONT20000JUIL!R43+[2]TONT20000AOUT!R43+[2]TONT20000SEPT!R43+[2]TONT20000OCT!R43+[2]TONT20000NOV!S43</f>
        <v>0</v>
      </c>
      <c r="AC43" s="15"/>
    </row>
    <row r="44" spans="1:29" x14ac:dyDescent="0.25">
      <c r="A44" s="1" t="s">
        <v>74</v>
      </c>
      <c r="B44" s="1" t="str">
        <f>VLOOKUP(A44,[2]LISTADHERENT!A$5:H$52,2,0)</f>
        <v>TAGNE NANGUEN MARTIN</v>
      </c>
      <c r="C44" s="2">
        <v>390000</v>
      </c>
      <c r="D44" s="2">
        <v>0</v>
      </c>
      <c r="E44" s="2">
        <f t="shared" si="0"/>
        <v>426000</v>
      </c>
      <c r="F44" s="2">
        <f>INT([2]TONT20000DEC2015!E44+[2]TONT20000JANV!C44+[2]TONT20000FEV!C44+[2]TONT20000MARS!C44+[2]TONT20000AVRIL!C44+[2]TONT20000MAI!C44+[2]TONT20000JUIN!C44+[2]TONT20000JUIL!C44+[2]TONT20000AOUT!C44+[2]TONT20000SEPT!C44+[2]TONT20000OCT!C44+[2]TONT20000NOV!C44)</f>
        <v>15621</v>
      </c>
      <c r="G44" s="2">
        <f>[2]TONT20000NOV!E44</f>
        <v>441621.34748316335</v>
      </c>
      <c r="H44" s="2">
        <f t="shared" si="1"/>
        <v>51621</v>
      </c>
      <c r="I44" s="2">
        <f t="shared" si="2"/>
        <v>50000</v>
      </c>
      <c r="J44" s="2">
        <f t="shared" si="3"/>
        <v>1621</v>
      </c>
      <c r="K44" s="2">
        <v>0</v>
      </c>
      <c r="L44" s="2"/>
      <c r="M44" s="2"/>
      <c r="N44" s="2">
        <v>50000</v>
      </c>
      <c r="O44" s="2">
        <f t="shared" si="4"/>
        <v>0</v>
      </c>
      <c r="P44" s="6">
        <f>[2]TONT20000DEC2015!H44+[2]TONT20000JANV!F44+[2]TONT20000FEV!F44+[2]TONT20000MARS!F44+[2]TONT20000AVRIL!F44+[2]TONT20000MAI!F44+[2]TONT20000JUIN!F44+[2]TONT20000JUIL!F44+[2]TONT20000AOUT!F44+[2]TONT20000SEPT!F44+[2]TONT20000OCT!F44+[2]TONT20000NOV!G44</f>
        <v>240000</v>
      </c>
      <c r="Q44" s="6">
        <f>[2]TONT20000DEC2015!I44+[2]TONT20000JANV!G44+[2]TONT20000FEV!G44+[2]TONT20000MARS!G44+[2]TONT20000AVRIL!G44+[2]TONT20000MAI!G44+[2]TONT20000JUIN!G44+[2]TONT20000JUIL!G44+[2]TONT20000AOUT!G44+[2]TONT20000SEPT!G44+[2]TONT20000OCT!G44+[2]TONT20000NOV!H44</f>
        <v>36000</v>
      </c>
      <c r="R44" s="6">
        <f>[2]TONT20000DEC2015!J44+[2]TONT20000JANV!H44+[2]TONT20000FEV!H44+[2]TONT20000MARS!H44+[2]TONT20000AVRIL!H44+[2]TONT20000MAI!H44+[2]TONT20000JUIN!H44+[2]TONT20000JUIL!H44+[2]TONT20000AOUT!H44+[2]TONT20000SEPT!H44+[2]TONT20000OCT!H44+[2]TONT20000NOV!I44</f>
        <v>6000</v>
      </c>
      <c r="S44" s="6">
        <f>[2]TONT20000DEC2015!K44+[2]TONT20000JANV!I44+[2]TONT20000FEV!I44+[2]TONT20000MARS!I44+[2]TONT20000AVRIL!I44+[2]TONT20000MAI!I44+[2]TONT20000JUIN!I44+[2]TONT20000JUIL!I44+[2]TONT20000AOUT!I44+[2]TONT20000SEPT!I44+[2]TONT20000OCT!I44+[2]TONT20000NOV!J44</f>
        <v>12000</v>
      </c>
      <c r="T44" s="6">
        <f>[2]TONT20000DEC2015!L44+[2]TONT20000JANV!J44+[2]TONT20000FEV!J44+[2]TONT20000MARS!J44+[2]TONT20000AVRIL!J44+[2]TONT20000MAI!J44+[2]TONT20000JUIN!J44+[2]TONT20000JUIL!J44+[2]TONT20000AOUT!J44+[2]TONT20000SEPT!J44+[2]TONT20000OCT!J44+[2]TONT20000NOV!K44</f>
        <v>30000</v>
      </c>
      <c r="U44" s="6">
        <f>[2]TONT20000DEC2015!M44+[2]TONT20000JANV!K44+[2]TONT20000FEV!K44+[2]TONT20000MARS!K44+[2]TONT20000AVRIL!K44+[2]TONT20000MAI!K44+[2]TONT20000JUIN!K44+[2]TONT20000JUIL!K44+[2]TONT20000AOUT!K44+[2]TONT20000SEPT!K44+[2]TONT20000OCT!K44+[2]TONT20000NOV!L44</f>
        <v>0</v>
      </c>
      <c r="V44" s="6">
        <f>[2]TONT20000DEC2015!N44+[2]TONT20000JANV!L44+[2]TONT20000FEV!L44+[2]TONT20000MARS!L44+[2]TONT20000AVRIL!L44+[2]TONT20000MAI!L44+[2]TONT20000JUIN!L44+[2]TONT20000JUIL!L44+[2]TONT20000AOUT!L44+[2]TONT20000SEPT!L44+[2]TONT20000OCT!L44+[2]TONT20000NOV!M44</f>
        <v>156000</v>
      </c>
      <c r="W44" s="6">
        <f>[2]TONT20000DEC2015!O44+[2]TONT20000JANV!M44+[2]TONT20000FEV!M44+[2]TONT20000MARS!M44+[2]TONT20000AVRIL!M44+[2]TONT20000MAI!M44+[2]TONT20000JUIN!M44+[2]TONT20000JUIL!M44+[2]TONT20000AOUT!M44+[2]TONT20000SEPT!M44+[2]TONT20000OCT!M44+[2]TONT20000NOV!N44</f>
        <v>0</v>
      </c>
      <c r="X44" s="6">
        <f>[2]TONT20000DEC2015!P44+[2]TONT20000JANV!N44+[2]TONT20000FEV!N44+[2]TONT20000MARS!N44+[2]TONT20000AVRIL!N44+[2]TONT20000MAI!N44+[2]TONT20000JUIN!N44+[2]TONT20000JUIL!N44+[2]TONT20000AOUT!N44+[2]TONT20000SEPT!N44+[2]TONT20000OCT!N44+[2]TONT20000NOV!O44</f>
        <v>0</v>
      </c>
      <c r="Y44" s="6">
        <f>[2]TONT20000DEC2015!Q44+[2]TONT20000JANV!O44+[2]TONT20000FEV!O44+[2]TONT20000MARS!O44+[2]TONT20000AVRIL!O44+[2]TONT20000MAI!O44+[2]TONT20000JUIN!O44+[2]TONT20000JUIL!O44+[2]TONT20000AOUT!O44+[2]TONT20000SEPT!O44+[2]TONT20000OCT!O44+[2]TONT20000NOV!P44</f>
        <v>0</v>
      </c>
      <c r="Z44" s="6">
        <f>[2]TONT20000DEC2015!R44+[2]TONT20000JANV!P44+[2]TONT20000FEV!P44+[2]TONT20000MARS!P44+[2]TONT20000AVRIL!P44+[2]TONT20000MAI!P44+[2]TONT20000JUIN!P44+[2]TONT20000JUIL!P44+[2]TONT20000AOUT!P44+[2]TONT20000SEPT!P44+[2]TONT20000OCT!P44+[2]TONT20000NOV!Q44</f>
        <v>0</v>
      </c>
      <c r="AA44" s="6">
        <f>[2]TONT20000DEC2015!S44+[2]TONT20000JANV!Q44+[2]TONT20000FEV!Q44+[2]TONT20000MARS!Q44+[2]TONT20000AVRIL!Q44+[2]TONT20000MAI!Q44+[2]TONT20000JUIN!Q44+[2]TONT20000JUIL!Q44+[2]TONT20000AOUT!Q44+[2]TONT20000SEPT!Q44+[2]TONT20000OCT!Q44+[2]TONT20000NOV!R44</f>
        <v>0</v>
      </c>
      <c r="AB44" s="6">
        <f>[2]TONT20000DEC2015!T44+[2]TONT20000JANV!R44+[2]TONT20000FEV!R44+[2]TONT20000MARS!R44+[2]TONT20000AVRIL!R44+[2]TONT20000MAI!R44+[2]TONT20000JUIN!R44+[2]TONT20000JUIL!R44+[2]TONT20000AOUT!R44+[2]TONT20000SEPT!R44+[2]TONT20000OCT!R44+[2]TONT20000NOV!S44</f>
        <v>0</v>
      </c>
      <c r="AC44" s="3"/>
    </row>
    <row r="45" spans="1:29" s="16" customFormat="1" x14ac:dyDescent="0.25">
      <c r="A45" s="12" t="s">
        <v>75</v>
      </c>
      <c r="B45" s="12" t="str">
        <f>VLOOKUP(A45,[2]LISTADHERENT!A$5:H$52,2,0)</f>
        <v>TCHOUAMOU JEAN PAUL</v>
      </c>
      <c r="C45" s="13">
        <f>VLOOKUP(A45,[2]FONDSDECAISSE!A$5:C$52,3,0)</f>
        <v>0</v>
      </c>
      <c r="D45" s="13">
        <v>0</v>
      </c>
      <c r="E45" s="13">
        <f t="shared" si="0"/>
        <v>12323</v>
      </c>
      <c r="F45" s="2">
        <f>INT([2]TONT20000DEC2015!E45+[2]TONT20000JANV!C45+[2]TONT20000FEV!C45+[2]TONT20000MARS!C45+[2]TONT20000AVRIL!C45+[2]TONT20000MAI!C45+[2]TONT20000JUIN!C45+[2]TONT20000JUIL!C45+[2]TONT20000AOUT!C45+[2]TONT20000SEPT!C45+[2]TONT20000OCT!C45+[2]TONT20000NOV!C45)</f>
        <v>2520</v>
      </c>
      <c r="G45" s="13">
        <f>[2]TONT20000NOV!E45</f>
        <v>38520.175299949828</v>
      </c>
      <c r="H45" s="13">
        <f t="shared" si="1"/>
        <v>14843</v>
      </c>
      <c r="I45" s="13">
        <f t="shared" si="2"/>
        <v>14737</v>
      </c>
      <c r="J45" s="13">
        <f t="shared" si="3"/>
        <v>106</v>
      </c>
      <c r="K45" s="13">
        <v>0</v>
      </c>
      <c r="L45" s="13"/>
      <c r="M45" s="13"/>
      <c r="N45" s="13">
        <f>50000-35263</f>
        <v>14737</v>
      </c>
      <c r="O45" s="13">
        <f t="shared" si="4"/>
        <v>0</v>
      </c>
      <c r="P45" s="14">
        <f>[2]TONT20000DEC2015!H45+[2]TONT20000JANV!F45+[2]TONT20000FEV!F45+[2]TONT20000MARS!F45+[2]TONT20000AVRIL!F45+[2]TONT20000MAI!F45+[2]TONT20000JUIN!F45+[2]TONT20000JUIL!F45+[2]TONT20000AOUT!F45+[2]TONT20000SEPT!F45+[2]TONT20000OCT!F45+[2]TONT20000NOV!G45</f>
        <v>290000</v>
      </c>
      <c r="Q45" s="14">
        <f>[2]TONT20000DEC2015!I45+[2]TONT20000JANV!G45+[2]TONT20000FEV!G45+[2]TONT20000MARS!G45+[2]TONT20000AVRIL!G45+[2]TONT20000MAI!G45+[2]TONT20000JUIN!G45+[2]TONT20000JUIL!G45+[2]TONT20000AOUT!G45+[2]TONT20000SEPT!G45+[2]TONT20000OCT!G45+[2]TONT20000NOV!H45-23677</f>
        <v>12323</v>
      </c>
      <c r="R45" s="14">
        <f>[2]TONT20000DEC2015!J45+[2]TONT20000JANV!H45+[2]TONT20000FEV!H45+[2]TONT20000MARS!H45+[2]TONT20000AVRIL!H45+[2]TONT20000MAI!H45+[2]TONT20000JUIN!H45+[2]TONT20000JUIL!H45+[2]TONT20000AOUT!H45+[2]TONT20000SEPT!H45+[2]TONT20000OCT!H45+[2]TONT20000NOV!I45</f>
        <v>6000</v>
      </c>
      <c r="S45" s="14">
        <f>[2]TONT20000DEC2015!K45+[2]TONT20000JANV!I45+[2]TONT20000FEV!I45+[2]TONT20000MARS!I45+[2]TONT20000AVRIL!I45+[2]TONT20000MAI!I45+[2]TONT20000JUIN!I45+[2]TONT20000JUIL!I45+[2]TONT20000AOUT!I45+[2]TONT20000SEPT!I45+[2]TONT20000OCT!I45+[2]TONT20000NOV!J45</f>
        <v>12000</v>
      </c>
      <c r="T45" s="14">
        <f>[2]TONT20000DEC2015!L45+[2]TONT20000JANV!J45+[2]TONT20000FEV!J45+[2]TONT20000MARS!J45+[2]TONT20000AVRIL!J45+[2]TONT20000MAI!J45+[2]TONT20000JUIN!J45+[2]TONT20000JUIL!J45+[2]TONT20000AOUT!J45+[2]TONT20000SEPT!J45+[2]TONT20000OCT!J45+[2]TONT20000NOV!K45</f>
        <v>30000</v>
      </c>
      <c r="U45" s="14">
        <f>[2]TONT20000DEC2015!M45+[2]TONT20000JANV!K45+[2]TONT20000FEV!K45+[2]TONT20000MARS!K45+[2]TONT20000AVRIL!K45+[2]TONT20000MAI!K45+[2]TONT20000JUIN!K45+[2]TONT20000JUIL!K45+[2]TONT20000AOUT!K45+[2]TONT20000SEPT!K45+[2]TONT20000OCT!K45+[2]TONT20000NOV!L45</f>
        <v>50000</v>
      </c>
      <c r="V45" s="14">
        <f>[2]TONT20000DEC2015!N45+[2]TONT20000JANV!L45+[2]TONT20000FEV!L45+[2]TONT20000MARS!L45+[2]TONT20000AVRIL!L45+[2]TONT20000MAI!L45+[2]TONT20000JUIN!L45+[2]TONT20000JUIL!L45+[2]TONT20000AOUT!L45+[2]TONT20000SEPT!L45+[2]TONT20000OCT!L45+[2]TONT20000NOV!M45</f>
        <v>156000</v>
      </c>
      <c r="W45" s="14">
        <f>[2]TONT20000DEC2015!O45+[2]TONT20000JANV!M45+[2]TONT20000FEV!M45+[2]TONT20000MARS!M45+[2]TONT20000AVRIL!M45+[2]TONT20000MAI!M45+[2]TONT20000JUIN!M45+[2]TONT20000JUIL!M45+[2]TONT20000AOUT!M45+[2]TONT20000SEPT!M45+[2]TONT20000OCT!M45+[2]TONT20000NOV!N45</f>
        <v>0</v>
      </c>
      <c r="X45" s="14">
        <f>[2]TONT20000DEC2015!P45+[2]TONT20000JANV!N45+[2]TONT20000FEV!N45+[2]TONT20000MARS!N45+[2]TONT20000AVRIL!N45+[2]TONT20000MAI!N45+[2]TONT20000JUIN!N45+[2]TONT20000JUIL!N45+[2]TONT20000AOUT!N45+[2]TONT20000SEPT!N45+[2]TONT20000OCT!N45+[2]TONT20000NOV!O45</f>
        <v>0</v>
      </c>
      <c r="Y45" s="14">
        <f>[2]TONT20000DEC2015!Q45+[2]TONT20000JANV!O45+[2]TONT20000FEV!O45+[2]TONT20000MARS!O45+[2]TONT20000AVRIL!O45+[2]TONT20000MAI!O45+[2]TONT20000JUIN!O45+[2]TONT20000JUIL!O45+[2]TONT20000AOUT!O45+[2]TONT20000SEPT!O45+[2]TONT20000OCT!O45+[2]TONT20000NOV!P45</f>
        <v>0</v>
      </c>
      <c r="Z45" s="14">
        <f>[2]TONT20000DEC2015!R45+[2]TONT20000JANV!P45+[2]TONT20000FEV!P45+[2]TONT20000MARS!P45+[2]TONT20000AVRIL!P45+[2]TONT20000MAI!P45+[2]TONT20000JUIN!P45+[2]TONT20000JUIL!P45+[2]TONT20000AOUT!P45+[2]TONT20000SEPT!P45+[2]TONT20000OCT!P45+[2]TONT20000NOV!Q45</f>
        <v>0</v>
      </c>
      <c r="AA45" s="14">
        <f>[2]TONT20000DEC2015!S45+[2]TONT20000JANV!Q45+[2]TONT20000FEV!Q45+[2]TONT20000MARS!Q45+[2]TONT20000AVRIL!Q45+[2]TONT20000MAI!Q45+[2]TONT20000JUIN!Q45+[2]TONT20000JUIL!Q45+[2]TONT20000AOUT!Q45+[2]TONT20000SEPT!Q45+[2]TONT20000OCT!Q45+[2]TONT20000NOV!R45</f>
        <v>0</v>
      </c>
      <c r="AB45" s="14">
        <f>[2]TONT20000DEC2015!T45+[2]TONT20000JANV!R45+[2]TONT20000FEV!R45+[2]TONT20000MARS!R45+[2]TONT20000AVRIL!R45+[2]TONT20000MAI!R45+[2]TONT20000JUIN!R45+[2]TONT20000JUIL!R45+[2]TONT20000AOUT!R45+[2]TONT20000SEPT!R45+[2]TONT20000OCT!R45+[2]TONT20000NOV!S45</f>
        <v>0</v>
      </c>
      <c r="AC45" s="15"/>
    </row>
    <row r="46" spans="1:29" x14ac:dyDescent="0.25">
      <c r="A46" s="1" t="s">
        <v>76</v>
      </c>
      <c r="B46" s="1" t="str">
        <f>VLOOKUP(A46,[2]LISTADHERENT!A$5:H$52,2,0)</f>
        <v>TCHOUAMOU MATHIEU</v>
      </c>
      <c r="C46" s="2">
        <f>VLOOKUP(A46,[2]FONDSDECAISSE!A$5:C$52,3,0)</f>
        <v>390000</v>
      </c>
      <c r="D46" s="2">
        <v>3437</v>
      </c>
      <c r="E46" s="2">
        <f t="shared" si="0"/>
        <v>429437</v>
      </c>
      <c r="F46" s="2">
        <f>INT([2]TONT20000DEC2015!E46+[2]TONT20000JANV!C46+[2]TONT20000FEV!C46+[2]TONT20000MARS!C46+[2]TONT20000AVRIL!C46+[2]TONT20000MAI!C46+[2]TONT20000JUIN!C46+[2]TONT20000JUIL!C46+[2]TONT20000AOUT!C46+[2]TONT20000SEPT!C46+[2]TONT20000OCT!C46+[2]TONT20000NOV!C46)</f>
        <v>48217</v>
      </c>
      <c r="G46" s="2">
        <f>[2]TONT20000NOV!E46</f>
        <v>477654.85016463388</v>
      </c>
      <c r="H46" s="2">
        <f t="shared" si="1"/>
        <v>87654</v>
      </c>
      <c r="I46" s="2">
        <f t="shared" si="2"/>
        <v>80000</v>
      </c>
      <c r="J46" s="2">
        <f t="shared" si="3"/>
        <v>7654</v>
      </c>
      <c r="K46" s="2">
        <v>5000</v>
      </c>
      <c r="L46" s="2">
        <v>30000</v>
      </c>
      <c r="M46" s="2"/>
      <c r="N46" s="2">
        <v>50000</v>
      </c>
      <c r="O46" s="2">
        <f t="shared" si="4"/>
        <v>0</v>
      </c>
      <c r="P46" s="6">
        <f>[2]TONT20000DEC2015!H46+[2]TONT20000JANV!F46+[2]TONT20000FEV!F46+[2]TONT20000MARS!F46+[2]TONT20000AVRIL!F46+[2]TONT20000MAI!F46+[2]TONT20000JUIN!F46+[2]TONT20000JUIL!F46+[2]TONT20000AOUT!F46+[2]TONT20000SEPT!F46+[2]TONT20000OCT!F46+[2]TONT20000NOV!G46</f>
        <v>240000</v>
      </c>
      <c r="Q46" s="6">
        <f>[2]TONT20000DEC2015!I46+[2]TONT20000JANV!G46+[2]TONT20000FEV!G46+[2]TONT20000MARS!G46+[2]TONT20000AVRIL!G46+[2]TONT20000MAI!G46+[2]TONT20000JUIN!G46+[2]TONT20000JUIL!G46+[2]TONT20000AOUT!G46+[2]TONT20000SEPT!G46+[2]TONT20000OCT!G46+[2]TONT20000NOV!H46</f>
        <v>36000</v>
      </c>
      <c r="R46" s="6">
        <f>[2]TONT20000DEC2015!J46+[2]TONT20000JANV!H46+[2]TONT20000FEV!H46+[2]TONT20000MARS!H46+[2]TONT20000AVRIL!H46+[2]TONT20000MAI!H46+[2]TONT20000JUIN!H46+[2]TONT20000JUIL!H46+[2]TONT20000AOUT!H46+[2]TONT20000SEPT!H46+[2]TONT20000OCT!H46+[2]TONT20000NOV!I46</f>
        <v>6000</v>
      </c>
      <c r="S46" s="6">
        <f>[2]TONT20000DEC2015!K46+[2]TONT20000JANV!I46+[2]TONT20000FEV!I46+[2]TONT20000MARS!I46+[2]TONT20000AVRIL!I46+[2]TONT20000MAI!I46+[2]TONT20000JUIN!I46+[2]TONT20000JUIL!I46+[2]TONT20000AOUT!I46+[2]TONT20000SEPT!I46+[2]TONT20000OCT!I46+[2]TONT20000NOV!J46</f>
        <v>12000</v>
      </c>
      <c r="T46" s="6">
        <f>[2]TONT20000DEC2015!L46+[2]TONT20000JANV!J46+[2]TONT20000FEV!J46+[2]TONT20000MARS!J46+[2]TONT20000AVRIL!J46+[2]TONT20000MAI!J46+[2]TONT20000JUIN!J46+[2]TONT20000JUIL!J46+[2]TONT20000AOUT!J46+[2]TONT20000SEPT!J46+[2]TONT20000OCT!J46+[2]TONT20000NOV!K46</f>
        <v>30000</v>
      </c>
      <c r="U46" s="6">
        <f>[2]TONT20000DEC2015!M46+[2]TONT20000JANV!K46+[2]TONT20000FEV!K46+[2]TONT20000MARS!K46+[2]TONT20000AVRIL!K46+[2]TONT20000MAI!K46+[2]TONT20000JUIN!K46+[2]TONT20000JUIL!K46+[2]TONT20000AOUT!K46+[2]TONT20000SEPT!K46+[2]TONT20000OCT!K46+[2]TONT20000NOV!L46</f>
        <v>0</v>
      </c>
      <c r="V46" s="6">
        <f>[2]TONT20000DEC2015!N46+[2]TONT20000JANV!L46+[2]TONT20000FEV!L46+[2]TONT20000MARS!L46+[2]TONT20000AVRIL!L46+[2]TONT20000MAI!L46+[2]TONT20000JUIN!L46+[2]TONT20000JUIL!L46+[2]TONT20000AOUT!L46+[2]TONT20000SEPT!L46+[2]TONT20000OCT!L46+[2]TONT20000NOV!M46</f>
        <v>156000</v>
      </c>
      <c r="W46" s="6">
        <f>[2]TONT20000DEC2015!O46+[2]TONT20000JANV!M46+[2]TONT20000FEV!M46+[2]TONT20000MARS!M46+[2]TONT20000AVRIL!M46+[2]TONT20000MAI!M46+[2]TONT20000JUIN!M46+[2]TONT20000JUIL!M46+[2]TONT20000AOUT!M46+[2]TONT20000SEPT!M46+[2]TONT20000OCT!M46+[2]TONT20000NOV!N46</f>
        <v>1500000</v>
      </c>
      <c r="X46" s="6">
        <f>[2]TONT20000DEC2015!P46+[2]TONT20000JANV!N46+[2]TONT20000FEV!N46+[2]TONT20000MARS!N46+[2]TONT20000AVRIL!N46+[2]TONT20000MAI!N46+[2]TONT20000JUIN!N46+[2]TONT20000JUIL!N46+[2]TONT20000AOUT!N46+[2]TONT20000SEPT!N46+[2]TONT20000OCT!N46+[2]TONT20000NOV!O46</f>
        <v>45000</v>
      </c>
      <c r="Y46" s="6">
        <f>[2]TONT20000DEC2015!Q46+[2]TONT20000JANV!O46+[2]TONT20000FEV!O46+[2]TONT20000MARS!O46+[2]TONT20000AVRIL!O46+[2]TONT20000MAI!O46+[2]TONT20000JUIN!O46+[2]TONT20000JUIL!O46+[2]TONT20000AOUT!O46+[2]TONT20000SEPT!O46+[2]TONT20000OCT!O46+[2]TONT20000NOV!P46</f>
        <v>1000000</v>
      </c>
      <c r="Z46" s="6">
        <f>[2]TONT20000DEC2015!R46+[2]TONT20000JANV!P46+[2]TONT20000FEV!P46+[2]TONT20000MARS!P46+[2]TONT20000AVRIL!P46+[2]TONT20000MAI!P46+[2]TONT20000JUIN!P46+[2]TONT20000JUIL!P46+[2]TONT20000AOUT!P46+[2]TONT20000SEPT!P46+[2]TONT20000OCT!P46+[2]TONT20000NOV!Q46</f>
        <v>94825</v>
      </c>
      <c r="AA46" s="6">
        <f>[2]TONT20000DEC2015!S46+[2]TONT20000JANV!Q46+[2]TONT20000FEV!Q46+[2]TONT20000MARS!Q46+[2]TONT20000AVRIL!Q46+[2]TONT20000MAI!Q46+[2]TONT20000JUIN!Q46+[2]TONT20000JUIL!Q46+[2]TONT20000AOUT!Q46+[2]TONT20000SEPT!Q46+[2]TONT20000OCT!Q46+[2]TONT20000NOV!R46</f>
        <v>0</v>
      </c>
      <c r="AB46" s="6">
        <f>[2]TONT20000DEC2015!T46+[2]TONT20000JANV!R46+[2]TONT20000FEV!R46+[2]TONT20000MARS!R46+[2]TONT20000AVRIL!R46+[2]TONT20000MAI!R46+[2]TONT20000JUIN!R46+[2]TONT20000JUIL!R46+[2]TONT20000AOUT!R46+[2]TONT20000SEPT!R46+[2]TONT20000OCT!R46+[2]TONT20000NOV!S46</f>
        <v>0</v>
      </c>
      <c r="AC46" s="3"/>
    </row>
    <row r="47" spans="1:29" x14ac:dyDescent="0.25">
      <c r="A47" s="1" t="s">
        <v>77</v>
      </c>
      <c r="B47" s="1" t="str">
        <f>VLOOKUP(A47,[2]LISTADHERENT!A$5:H$52,2,0)</f>
        <v>TCHOUANTE FRANCOIS</v>
      </c>
      <c r="C47" s="2">
        <v>325719</v>
      </c>
      <c r="D47" s="2">
        <v>4925</v>
      </c>
      <c r="E47" s="2">
        <f t="shared" si="0"/>
        <v>393644</v>
      </c>
      <c r="F47" s="2">
        <f>INT([2]TONT20000DEC2015!E47+[2]TONT20000JANV!C47+[2]TONT20000FEV!C47+[2]TONT20000MARS!C47+[2]TONT20000AVRIL!C47+[2]TONT20000MAI!C47+[2]TONT20000JUIN!C47+[2]TONT20000JUIL!C47+[2]TONT20000AOUT!C47+[2]TONT20000SEPT!C47+[2]TONT20000OCT!C47+[2]TONT20000NOV!C47)</f>
        <v>37907</v>
      </c>
      <c r="G47" s="2">
        <f>[2]TONT20000NOV!E47</f>
        <v>431551.07044236845</v>
      </c>
      <c r="H47" s="2">
        <f t="shared" si="1"/>
        <v>105832</v>
      </c>
      <c r="I47" s="2">
        <f t="shared" si="2"/>
        <v>80000</v>
      </c>
      <c r="J47" s="2">
        <f t="shared" si="3"/>
        <v>25832</v>
      </c>
      <c r="K47" s="2">
        <v>0</v>
      </c>
      <c r="L47" s="2">
        <v>30000</v>
      </c>
      <c r="M47" s="2"/>
      <c r="N47" s="2">
        <v>50000</v>
      </c>
      <c r="O47" s="2">
        <f t="shared" si="4"/>
        <v>0</v>
      </c>
      <c r="P47" s="6">
        <f>[2]TONT20000DEC2015!H47+[2]TONT20000JANV!F47+[2]TONT20000FEV!F47+[2]TONT20000MARS!F47+[2]TONT20000AVRIL!F47+[2]TONT20000MAI!F47+[2]TONT20000JUIN!F47+[2]TONT20000JUIL!F47+[2]TONT20000AOUT!F47+[2]TONT20000SEPT!F47+[2]TONT20000OCT!F47+[2]TONT20000NOV!G47</f>
        <v>267000</v>
      </c>
      <c r="Q47" s="6">
        <f>[2]TONT20000DEC2015!I47+[2]TONT20000JANV!G47+[2]TONT20000FEV!G47+[2]TONT20000MARS!G47+[2]TONT20000AVRIL!G47+[2]TONT20000MAI!G47+[2]TONT20000JUIN!G47+[2]TONT20000JUIL!G47+[2]TONT20000AOUT!G47+[2]TONT20000SEPT!G47+[2]TONT20000OCT!G47+[2]TONT20000NOV!H47</f>
        <v>63000</v>
      </c>
      <c r="R47" s="6">
        <f>[2]TONT20000DEC2015!J47+[2]TONT20000JANV!H47+[2]TONT20000FEV!H47+[2]TONT20000MARS!H47+[2]TONT20000AVRIL!H47+[2]TONT20000MAI!H47+[2]TONT20000JUIN!H47+[2]TONT20000JUIL!H47+[2]TONT20000AOUT!H47+[2]TONT20000SEPT!H47+[2]TONT20000OCT!H47+[2]TONT20000NOV!I47</f>
        <v>6000</v>
      </c>
      <c r="S47" s="6">
        <f>[2]TONT20000DEC2015!K47+[2]TONT20000JANV!I47+[2]TONT20000FEV!I47+[2]TONT20000MARS!I47+[2]TONT20000AVRIL!I47+[2]TONT20000MAI!I47+[2]TONT20000JUIN!I47+[2]TONT20000JUIL!I47+[2]TONT20000AOUT!I47+[2]TONT20000SEPT!I47+[2]TONT20000OCT!I47+[2]TONT20000NOV!J47</f>
        <v>12000</v>
      </c>
      <c r="T47" s="6">
        <f>[2]TONT20000DEC2015!L47+[2]TONT20000JANV!J47+[2]TONT20000FEV!J47+[2]TONT20000MARS!J47+[2]TONT20000AVRIL!J47+[2]TONT20000MAI!J47+[2]TONT20000JUIN!J47+[2]TONT20000JUIL!J47+[2]TONT20000AOUT!J47+[2]TONT20000SEPT!J47+[2]TONT20000OCT!J47+[2]TONT20000NOV!K47</f>
        <v>30000</v>
      </c>
      <c r="U47" s="6">
        <f>[2]TONT20000DEC2015!M47+[2]TONT20000JANV!K47+[2]TONT20000FEV!K47+[2]TONT20000MARS!K47+[2]TONT20000AVRIL!K47+[2]TONT20000MAI!K47+[2]TONT20000JUIN!K47+[2]TONT20000JUIL!K47+[2]TONT20000AOUT!K47+[2]TONT20000SEPT!K47+[2]TONT20000OCT!K47+[2]TONT20000NOV!L47</f>
        <v>0</v>
      </c>
      <c r="V47" s="6">
        <f>[2]TONT20000DEC2015!N47+[2]TONT20000JANV!L47+[2]TONT20000FEV!L47+[2]TONT20000MARS!L47+[2]TONT20000AVRIL!L47+[2]TONT20000MAI!L47+[2]TONT20000JUIN!L47+[2]TONT20000JUIL!L47+[2]TONT20000AOUT!L47+[2]TONT20000SEPT!L47+[2]TONT20000OCT!L47+[2]TONT20000NOV!M47</f>
        <v>156000</v>
      </c>
      <c r="W47" s="6">
        <f>[2]TONT20000DEC2015!O47+[2]TONT20000JANV!M47+[2]TONT20000FEV!M47+[2]TONT20000MARS!M47+[2]TONT20000AVRIL!M47+[2]TONT20000MAI!M47+[2]TONT20000JUIN!M47+[2]TONT20000JUIL!M47+[2]TONT20000AOUT!M47+[2]TONT20000SEPT!M47+[2]TONT20000OCT!M47+[2]TONT20000NOV!N47</f>
        <v>1250000</v>
      </c>
      <c r="X47" s="6">
        <f>[2]TONT20000DEC2015!P47+[2]TONT20000JANV!N47+[2]TONT20000FEV!N47+[2]TONT20000MARS!N47+[2]TONT20000AVRIL!N47+[2]TONT20000MAI!N47+[2]TONT20000JUIN!N47+[2]TONT20000JUIL!N47+[2]TONT20000AOUT!N47+[2]TONT20000SEPT!N47+[2]TONT20000OCT!N47+[2]TONT20000NOV!O47</f>
        <v>105000</v>
      </c>
      <c r="Y47" s="6">
        <f>[2]TONT20000DEC2015!Q47+[2]TONT20000JANV!O47+[2]TONT20000FEV!O47+[2]TONT20000MARS!O47+[2]TONT20000AVRIL!O47+[2]TONT20000MAI!O47+[2]TONT20000JUIN!O47+[2]TONT20000JUIL!O47+[2]TONT20000AOUT!O47+[2]TONT20000SEPT!O47+[2]TONT20000OCT!O47+[2]TONT20000NOV!P47</f>
        <v>0</v>
      </c>
      <c r="Z47" s="6">
        <f>[2]TONT20000DEC2015!R47+[2]TONT20000JANV!P47+[2]TONT20000FEV!P47+[2]TONT20000MARS!P47+[2]TONT20000AVRIL!P47+[2]TONT20000MAI!P47+[2]TONT20000JUIN!P47+[2]TONT20000JUIL!P47+[2]TONT20000AOUT!P47+[2]TONT20000SEPT!P47+[2]TONT20000OCT!P47+[2]TONT20000NOV!Q47</f>
        <v>0</v>
      </c>
      <c r="AA47" s="6">
        <f>[2]TONT20000DEC2015!S47+[2]TONT20000JANV!Q47+[2]TONT20000FEV!Q47+[2]TONT20000MARS!Q47+[2]TONT20000AVRIL!Q47+[2]TONT20000MAI!Q47+[2]TONT20000JUIN!Q47+[2]TONT20000JUIL!Q47+[2]TONT20000AOUT!Q47+[2]TONT20000SEPT!Q47+[2]TONT20000OCT!Q47+[2]TONT20000NOV!R47</f>
        <v>0</v>
      </c>
      <c r="AB47" s="6">
        <f>[2]TONT20000DEC2015!T47+[2]TONT20000JANV!R47+[2]TONT20000FEV!R47+[2]TONT20000MARS!R47+[2]TONT20000AVRIL!R47+[2]TONT20000MAI!R47+[2]TONT20000JUIN!R47+[2]TONT20000JUIL!R47+[2]TONT20000AOUT!R47+[2]TONT20000SEPT!R47+[2]TONT20000OCT!R47+[2]TONT20000NOV!S47</f>
        <v>0</v>
      </c>
      <c r="AC47" s="3"/>
    </row>
    <row r="48" spans="1:29" x14ac:dyDescent="0.25">
      <c r="A48" s="1" t="s">
        <v>78</v>
      </c>
      <c r="B48" s="1" t="str">
        <f>VLOOKUP(A48,[2]LISTADHERENT!A$5:H$52,2,0)</f>
        <v>TCHOUTOU NANA CLAUDE</v>
      </c>
      <c r="C48" s="2">
        <f>VLOOKUP(A48,[2]FONDSDECAISSE!A$5:C$52,3,0)</f>
        <v>0</v>
      </c>
      <c r="D48" s="2">
        <v>0</v>
      </c>
      <c r="E48" s="2">
        <f t="shared" si="0"/>
        <v>14126</v>
      </c>
      <c r="F48" s="2">
        <f>INT([2]TONT20000DEC2015!E48+[2]TONT20000JANV!C48+[2]TONT20000FEV!C48+[2]TONT20000MARS!C48+[2]TONT20000AVRIL!C48+[2]TONT20000MAI!C48+[2]TONT20000JUIN!C48+[2]TONT20000JUIL!C48+[2]TONT20000AOUT!C48+[2]TONT20000SEPT!C48+[2]TONT20000OCT!C48+[2]TONT20000NOV!C48)</f>
        <v>1437</v>
      </c>
      <c r="G48" s="2">
        <f>[2]TONT20000NOV!E48</f>
        <v>25437.042836931963</v>
      </c>
      <c r="H48" s="2">
        <f t="shared" si="1"/>
        <v>15563</v>
      </c>
      <c r="I48" s="2">
        <f t="shared" si="2"/>
        <v>16000</v>
      </c>
      <c r="J48" s="2">
        <f t="shared" si="3"/>
        <v>-437</v>
      </c>
      <c r="K48" s="2">
        <v>0</v>
      </c>
      <c r="L48" s="2"/>
      <c r="M48" s="2"/>
      <c r="N48" s="2"/>
      <c r="O48" s="2">
        <f t="shared" si="4"/>
        <v>16000</v>
      </c>
      <c r="P48" s="6">
        <f>[2]TONT20000DEC2015!H48+[2]TONT20000JANV!F48+[2]TONT20000FEV!F48+[2]TONT20000MARS!F48+[2]TONT20000AVRIL!F48+[2]TONT20000MAI!F48+[2]TONT20000JUIN!F48+[2]TONT20000JUIL!F48+[2]TONT20000AOUT!F48+[2]TONT20000SEPT!F48+[2]TONT20000OCT!F48+[2]TONT20000NOV!G48</f>
        <v>160000</v>
      </c>
      <c r="Q48" s="6">
        <f>[2]TONT20000DEC2015!I48+[2]TONT20000JANV!G48+[2]TONT20000FEV!G48+[2]TONT20000MARS!G48+[2]TONT20000AVRIL!G48+[2]TONT20000MAI!G48+[2]TONT20000JUIN!G48+[2]TONT20000JUIL!G48+[2]TONT20000AOUT!G48+[2]TONT20000SEPT!G48+[2]TONT20000OCT!G48+[2]TONT20000NOV!H48-9874</f>
        <v>14126</v>
      </c>
      <c r="R48" s="6">
        <f>[2]TONT20000DEC2015!J48+[2]TONT20000JANV!H48+[2]TONT20000FEV!H48+[2]TONT20000MARS!H48+[2]TONT20000AVRIL!H48+[2]TONT20000MAI!H48+[2]TONT20000JUIN!H48+[2]TONT20000JUIL!H48+[2]TONT20000AOUT!H48+[2]TONT20000SEPT!H48+[2]TONT20000OCT!H48+[2]TONT20000NOV!I48</f>
        <v>4000</v>
      </c>
      <c r="S48" s="6">
        <f>[2]TONT20000DEC2015!K48+[2]TONT20000JANV!I48+[2]TONT20000FEV!I48+[2]TONT20000MARS!I48+[2]TONT20000AVRIL!I48+[2]TONT20000MAI!I48+[2]TONT20000JUIN!I48+[2]TONT20000JUIL!I48+[2]TONT20000AOUT!I48+[2]TONT20000SEPT!I48+[2]TONT20000OCT!I48+[2]TONT20000NOV!J48</f>
        <v>8000</v>
      </c>
      <c r="T48" s="6">
        <f>[2]TONT20000DEC2015!L48+[2]TONT20000JANV!J48+[2]TONT20000FEV!J48+[2]TONT20000MARS!J48+[2]TONT20000AVRIL!J48+[2]TONT20000MAI!J48+[2]TONT20000JUIN!J48+[2]TONT20000JUIL!J48+[2]TONT20000AOUT!J48+[2]TONT20000SEPT!J48+[2]TONT20000OCT!J48+[2]TONT20000NOV!K48</f>
        <v>20000</v>
      </c>
      <c r="U48" s="6">
        <f>[2]TONT20000DEC2015!M48+[2]TONT20000JANV!K48+[2]TONT20000FEV!K48+[2]TONT20000MARS!K48+[2]TONT20000AVRIL!K48+[2]TONT20000MAI!K48+[2]TONT20000JUIN!K48+[2]TONT20000JUIL!K48+[2]TONT20000AOUT!K48+[2]TONT20000SEPT!K48+[2]TONT20000OCT!K48+[2]TONT20000NOV!L48</f>
        <v>0</v>
      </c>
      <c r="V48" s="6">
        <f>[2]TONT20000DEC2015!N48+[2]TONT20000JANV!L48+[2]TONT20000FEV!L48+[2]TONT20000MARS!L48+[2]TONT20000AVRIL!L48+[2]TONT20000MAI!L48+[2]TONT20000JUIN!L48+[2]TONT20000JUIL!L48+[2]TONT20000AOUT!L48+[2]TONT20000SEPT!L48+[2]TONT20000OCT!L48+[2]TONT20000NOV!M48</f>
        <v>104000</v>
      </c>
      <c r="W48" s="6">
        <f>[2]TONT20000DEC2015!O48+[2]TONT20000JANV!M48+[2]TONT20000FEV!M48+[2]TONT20000MARS!M48+[2]TONT20000AVRIL!M48+[2]TONT20000MAI!M48+[2]TONT20000JUIN!M48+[2]TONT20000JUIL!M48+[2]TONT20000AOUT!M48+[2]TONT20000SEPT!M48+[2]TONT20000OCT!M48+[2]TONT20000NOV!N48</f>
        <v>0</v>
      </c>
      <c r="X48" s="6">
        <f>[2]TONT20000DEC2015!P48+[2]TONT20000JANV!N48+[2]TONT20000FEV!N48+[2]TONT20000MARS!N48+[2]TONT20000AVRIL!N48+[2]TONT20000MAI!N48+[2]TONT20000JUIN!N48+[2]TONT20000JUIL!N48+[2]TONT20000AOUT!N48+[2]TONT20000SEPT!N48+[2]TONT20000OCT!N48+[2]TONT20000NOV!O48</f>
        <v>0</v>
      </c>
      <c r="Y48" s="6">
        <f>[2]TONT20000DEC2015!Q48+[2]TONT20000JANV!O48+[2]TONT20000FEV!O48+[2]TONT20000MARS!O48+[2]TONT20000AVRIL!O48+[2]TONT20000MAI!O48+[2]TONT20000JUIN!O48+[2]TONT20000JUIL!O48+[2]TONT20000AOUT!O48+[2]TONT20000SEPT!O48+[2]TONT20000OCT!O48+[2]TONT20000NOV!P48</f>
        <v>0</v>
      </c>
      <c r="Z48" s="6">
        <f>[2]TONT20000DEC2015!R48+[2]TONT20000JANV!P48+[2]TONT20000FEV!P48+[2]TONT20000MARS!P48+[2]TONT20000AVRIL!P48+[2]TONT20000MAI!P48+[2]TONT20000JUIN!P48+[2]TONT20000JUIL!P48+[2]TONT20000AOUT!P48+[2]TONT20000SEPT!P48+[2]TONT20000OCT!P48+[2]TONT20000NOV!Q48</f>
        <v>0</v>
      </c>
      <c r="AA48" s="6">
        <f>[2]TONT20000DEC2015!S48+[2]TONT20000JANV!Q48+[2]TONT20000FEV!Q48+[2]TONT20000MARS!Q48+[2]TONT20000AVRIL!Q48+[2]TONT20000MAI!Q48+[2]TONT20000JUIN!Q48+[2]TONT20000JUIL!Q48+[2]TONT20000AOUT!Q48+[2]TONT20000SEPT!Q48+[2]TONT20000OCT!Q48+[2]TONT20000NOV!R48</f>
        <v>0</v>
      </c>
      <c r="AB48" s="6">
        <f>[2]TONT20000DEC2015!T48+[2]TONT20000JANV!R48+[2]TONT20000FEV!R48+[2]TONT20000MARS!R48+[2]TONT20000AVRIL!R48+[2]TONT20000MAI!R48+[2]TONT20000JUIN!R48+[2]TONT20000JUIL!R48+[2]TONT20000AOUT!R48+[2]TONT20000SEPT!R48+[2]TONT20000OCT!R48+[2]TONT20000NOV!S48</f>
        <v>0</v>
      </c>
      <c r="AC48" s="3"/>
    </row>
    <row r="49" spans="1:29" x14ac:dyDescent="0.25">
      <c r="A49" s="1" t="s">
        <v>79</v>
      </c>
      <c r="B49" s="1" t="str">
        <f>VLOOKUP(A49,[2]LISTADHERENT!A$5:H$52,2,0)</f>
        <v>TIEYAM ERNEST</v>
      </c>
      <c r="C49" s="2">
        <f>VLOOKUP(A49,[2]FONDSDECAISSE!A$5:C$52,3,0)</f>
        <v>390000</v>
      </c>
      <c r="D49" s="2">
        <v>804</v>
      </c>
      <c r="E49" s="2">
        <f t="shared" si="0"/>
        <v>426804</v>
      </c>
      <c r="F49" s="2">
        <f>INT([2]TONT20000DEC2015!E49+[2]TONT20000JANV!C49+[2]TONT20000FEV!C49+[2]TONT20000MARS!C49+[2]TONT20000AVRIL!C49+[2]TONT20000MAI!C49+[2]TONT20000JUIN!C49+[2]TONT20000JUIL!C49+[2]TONT20000AOUT!C49+[2]TONT20000SEPT!C49+[2]TONT20000OCT!C49+[2]TONT20000NOV!C49)</f>
        <v>47789</v>
      </c>
      <c r="G49" s="2">
        <f>[2]TONT20000NOV!E49</f>
        <v>474593.28926784825</v>
      </c>
      <c r="H49" s="2">
        <f t="shared" si="1"/>
        <v>84593</v>
      </c>
      <c r="I49" s="2">
        <f t="shared" si="2"/>
        <v>80000</v>
      </c>
      <c r="J49" s="2">
        <f t="shared" si="3"/>
        <v>4593</v>
      </c>
      <c r="K49" s="2">
        <v>2000</v>
      </c>
      <c r="L49" s="2">
        <v>30000</v>
      </c>
      <c r="M49" s="2"/>
      <c r="N49" s="2">
        <v>50000</v>
      </c>
      <c r="O49" s="2">
        <f t="shared" si="4"/>
        <v>0</v>
      </c>
      <c r="P49" s="6">
        <f>[2]TONT20000DEC2015!H49+[2]TONT20000JANV!F49+[2]TONT20000FEV!F49+[2]TONT20000MARS!F49+[2]TONT20000AVRIL!F49+[2]TONT20000MAI!F49+[2]TONT20000JUIN!F49+[2]TONT20000JUIL!F49+[2]TONT20000AOUT!F49+[2]TONT20000SEPT!F49+[2]TONT20000OCT!F49+[2]TONT20000NOV!G49</f>
        <v>240000</v>
      </c>
      <c r="Q49" s="6">
        <f>[2]TONT20000DEC2015!I49+[2]TONT20000JANV!G49+[2]TONT20000FEV!G49+[2]TONT20000MARS!G49+[2]TONT20000AVRIL!G49+[2]TONT20000MAI!G49+[2]TONT20000JUIN!G49+[2]TONT20000JUIL!G49+[2]TONT20000AOUT!G49+[2]TONT20000SEPT!G49+[2]TONT20000OCT!G49+[2]TONT20000NOV!H49</f>
        <v>36000</v>
      </c>
      <c r="R49" s="6">
        <f>[2]TONT20000DEC2015!J49+[2]TONT20000JANV!H49+[2]TONT20000FEV!H49+[2]TONT20000MARS!H49+[2]TONT20000AVRIL!H49+[2]TONT20000MAI!H49+[2]TONT20000JUIN!H49+[2]TONT20000JUIL!H49+[2]TONT20000AOUT!H49+[2]TONT20000SEPT!H49+[2]TONT20000OCT!H49+[2]TONT20000NOV!I49</f>
        <v>6000</v>
      </c>
      <c r="S49" s="6">
        <f>[2]TONT20000DEC2015!K49+[2]TONT20000JANV!I49+[2]TONT20000FEV!I49+[2]TONT20000MARS!I49+[2]TONT20000AVRIL!I49+[2]TONT20000MAI!I49+[2]TONT20000JUIN!I49+[2]TONT20000JUIL!I49+[2]TONT20000AOUT!I49+[2]TONT20000SEPT!I49+[2]TONT20000OCT!I49+[2]TONT20000NOV!J49</f>
        <v>12000</v>
      </c>
      <c r="T49" s="6">
        <f>[2]TONT20000DEC2015!L49+[2]TONT20000JANV!J49+[2]TONT20000FEV!J49+[2]TONT20000MARS!J49+[2]TONT20000AVRIL!J49+[2]TONT20000MAI!J49+[2]TONT20000JUIN!J49+[2]TONT20000JUIL!J49+[2]TONT20000AOUT!J49+[2]TONT20000SEPT!J49+[2]TONT20000OCT!J49+[2]TONT20000NOV!K49</f>
        <v>30000</v>
      </c>
      <c r="U49" s="6">
        <f>[2]TONT20000DEC2015!M49+[2]TONT20000JANV!K49+[2]TONT20000FEV!K49+[2]TONT20000MARS!K49+[2]TONT20000AVRIL!K49+[2]TONT20000MAI!K49+[2]TONT20000JUIN!K49+[2]TONT20000JUIL!K49+[2]TONT20000AOUT!K49+[2]TONT20000SEPT!K49+[2]TONT20000OCT!K49+[2]TONT20000NOV!L49</f>
        <v>0</v>
      </c>
      <c r="V49" s="6">
        <f>[2]TONT20000DEC2015!N49+[2]TONT20000JANV!L49+[2]TONT20000FEV!L49+[2]TONT20000MARS!L49+[2]TONT20000AVRIL!L49+[2]TONT20000MAI!L49+[2]TONT20000JUIN!L49+[2]TONT20000JUIL!L49+[2]TONT20000AOUT!L49+[2]TONT20000SEPT!L49+[2]TONT20000OCT!L49+[2]TONT20000NOV!M49</f>
        <v>156000</v>
      </c>
      <c r="W49" s="6">
        <f>[2]TONT20000DEC2015!O49+[2]TONT20000JANV!M49+[2]TONT20000FEV!M49+[2]TONT20000MARS!M49+[2]TONT20000AVRIL!M49+[2]TONT20000MAI!M49+[2]TONT20000JUIN!M49+[2]TONT20000JUIL!M49+[2]TONT20000AOUT!M49+[2]TONT20000SEPT!M49+[2]TONT20000OCT!M49+[2]TONT20000NOV!N49</f>
        <v>1000000</v>
      </c>
      <c r="X49" s="6">
        <f>[2]TONT20000DEC2015!P49+[2]TONT20000JANV!N49+[2]TONT20000FEV!N49+[2]TONT20000MARS!N49+[2]TONT20000AVRIL!N49+[2]TONT20000MAI!N49+[2]TONT20000JUIN!N49+[2]TONT20000JUIL!N49+[2]TONT20000AOUT!N49+[2]TONT20000SEPT!N49+[2]TONT20000OCT!N49+[2]TONT20000NOV!O49</f>
        <v>120000</v>
      </c>
      <c r="Y49" s="6">
        <f>[2]TONT20000DEC2015!Q49+[2]TONT20000JANV!O49+[2]TONT20000FEV!O49+[2]TONT20000MARS!O49+[2]TONT20000AVRIL!O49+[2]TONT20000MAI!O49+[2]TONT20000JUIN!O49+[2]TONT20000JUIL!O49+[2]TONT20000AOUT!O49+[2]TONT20000SEPT!O49+[2]TONT20000OCT!O49+[2]TONT20000NOV!P49</f>
        <v>0</v>
      </c>
      <c r="Z49" s="6">
        <f>[2]TONT20000DEC2015!R49+[2]TONT20000JANV!P49+[2]TONT20000FEV!P49+[2]TONT20000MARS!P49+[2]TONT20000AVRIL!P49+[2]TONT20000MAI!P49+[2]TONT20000JUIN!P49+[2]TONT20000JUIL!P49+[2]TONT20000AOUT!P49+[2]TONT20000SEPT!P49+[2]TONT20000OCT!P49+[2]TONT20000NOV!Q49</f>
        <v>0</v>
      </c>
      <c r="AA49" s="6">
        <f>[2]TONT20000DEC2015!S49+[2]TONT20000JANV!Q49+[2]TONT20000FEV!Q49+[2]TONT20000MARS!Q49+[2]TONT20000AVRIL!Q49+[2]TONT20000MAI!Q49+[2]TONT20000JUIN!Q49+[2]TONT20000JUIL!Q49+[2]TONT20000AOUT!Q49+[2]TONT20000SEPT!Q49+[2]TONT20000OCT!Q49+[2]TONT20000NOV!R49</f>
        <v>0</v>
      </c>
      <c r="AB49" s="6">
        <f>[2]TONT20000DEC2015!T49+[2]TONT20000JANV!R49+[2]TONT20000FEV!R49+[2]TONT20000MARS!R49+[2]TONT20000AVRIL!R49+[2]TONT20000MAI!R49+[2]TONT20000JUIN!R49+[2]TONT20000JUIL!R49+[2]TONT20000AOUT!R49+[2]TONT20000SEPT!R49+[2]TONT20000OCT!R49+[2]TONT20000NOV!S49</f>
        <v>0</v>
      </c>
      <c r="AC49" s="3"/>
    </row>
    <row r="50" spans="1:29" x14ac:dyDescent="0.25">
      <c r="A50" s="1" t="s">
        <v>80</v>
      </c>
      <c r="B50" s="1" t="str">
        <f>VLOOKUP(A50,[2]LISTADHERENT!A$5:H$52,2,0)</f>
        <v>TUGMA PIERRE LOTI</v>
      </c>
      <c r="C50" s="2">
        <f>VLOOKUP(A50,[2]FONDSDECAISSE!A$5:C$52,3,0)</f>
        <v>390000</v>
      </c>
      <c r="D50" s="2">
        <v>17636</v>
      </c>
      <c r="E50" s="2">
        <f t="shared" si="0"/>
        <v>443636</v>
      </c>
      <c r="F50" s="2">
        <f>INT([2]TONT20000DEC2015!E50+[2]TONT20000JANV!C50+[2]TONT20000FEV!C50+[2]TONT20000MARS!C50+[2]TONT20000AVRIL!C50+[2]TONT20000MAI!C50+[2]TONT20000JUIN!C50+[2]TONT20000JUIL!C50+[2]TONT20000AOUT!C50+[2]TONT20000SEPT!C50+[2]TONT20000OCT!C50+[2]TONT20000NOV!C50)</f>
        <v>49867</v>
      </c>
      <c r="G50" s="2">
        <f>[2]TONT20000NOV!E50</f>
        <v>493503.06283503259</v>
      </c>
      <c r="H50" s="2">
        <f t="shared" si="1"/>
        <v>103503</v>
      </c>
      <c r="I50" s="2">
        <f t="shared" si="2"/>
        <v>80000</v>
      </c>
      <c r="J50" s="2">
        <f t="shared" si="3"/>
        <v>23503</v>
      </c>
      <c r="K50" s="2">
        <v>21000</v>
      </c>
      <c r="L50" s="2">
        <v>30000</v>
      </c>
      <c r="M50" s="2"/>
      <c r="N50" s="2">
        <v>50000</v>
      </c>
      <c r="O50" s="2">
        <f t="shared" si="4"/>
        <v>0</v>
      </c>
      <c r="P50" s="6">
        <f>[2]TONT20000DEC2015!H50+[2]TONT20000JANV!F50+[2]TONT20000FEV!F50+[2]TONT20000MARS!F50+[2]TONT20000AVRIL!F50+[2]TONT20000MAI!F50+[2]TONT20000JUIN!F50+[2]TONT20000JUIL!F50+[2]TONT20000AOUT!F50+[2]TONT20000SEPT!F50+[2]TONT20000OCT!F50+[2]TONT20000NOV!G50</f>
        <v>240000</v>
      </c>
      <c r="Q50" s="6">
        <f>[2]TONT20000DEC2015!I50+[2]TONT20000JANV!G50+[2]TONT20000FEV!G50+[2]TONT20000MARS!G50+[2]TONT20000AVRIL!G50+[2]TONT20000MAI!G50+[2]TONT20000JUIN!G50+[2]TONT20000JUIL!G50+[2]TONT20000AOUT!G50+[2]TONT20000SEPT!G50+[2]TONT20000OCT!G50+[2]TONT20000NOV!H50</f>
        <v>36000</v>
      </c>
      <c r="R50" s="6">
        <f>[2]TONT20000DEC2015!J50+[2]TONT20000JANV!H50+[2]TONT20000FEV!H50+[2]TONT20000MARS!H50+[2]TONT20000AVRIL!H50+[2]TONT20000MAI!H50+[2]TONT20000JUIN!H50+[2]TONT20000JUIL!H50+[2]TONT20000AOUT!H50+[2]TONT20000SEPT!H50+[2]TONT20000OCT!H50+[2]TONT20000NOV!I50</f>
        <v>6000</v>
      </c>
      <c r="S50" s="6">
        <f>[2]TONT20000DEC2015!K50+[2]TONT20000JANV!I50+[2]TONT20000FEV!I50+[2]TONT20000MARS!I50+[2]TONT20000AVRIL!I50+[2]TONT20000MAI!I50+[2]TONT20000JUIN!I50+[2]TONT20000JUIL!I50+[2]TONT20000AOUT!I50+[2]TONT20000SEPT!I50+[2]TONT20000OCT!I50+[2]TONT20000NOV!J50</f>
        <v>12000</v>
      </c>
      <c r="T50" s="6">
        <f>[2]TONT20000DEC2015!L50+[2]TONT20000JANV!J50+[2]TONT20000FEV!J50+[2]TONT20000MARS!J50+[2]TONT20000AVRIL!J50+[2]TONT20000MAI!J50+[2]TONT20000JUIN!J50+[2]TONT20000JUIL!J50+[2]TONT20000AOUT!J50+[2]TONT20000SEPT!J50+[2]TONT20000OCT!J50+[2]TONT20000NOV!K50</f>
        <v>30000</v>
      </c>
      <c r="U50" s="6">
        <f>[2]TONT20000DEC2015!M50+[2]TONT20000JANV!K50+[2]TONT20000FEV!K50+[2]TONT20000MARS!K50+[2]TONT20000AVRIL!K50+[2]TONT20000MAI!K50+[2]TONT20000JUIN!K50+[2]TONT20000JUIL!K50+[2]TONT20000AOUT!K50+[2]TONT20000SEPT!K50+[2]TONT20000OCT!K50+[2]TONT20000NOV!L50</f>
        <v>0</v>
      </c>
      <c r="V50" s="6">
        <f>[2]TONT20000DEC2015!N50+[2]TONT20000JANV!L50+[2]TONT20000FEV!L50+[2]TONT20000MARS!L50+[2]TONT20000AVRIL!L50+[2]TONT20000MAI!L50+[2]TONT20000JUIN!L50+[2]TONT20000JUIL!L50+[2]TONT20000AOUT!L50+[2]TONT20000SEPT!L50+[2]TONT20000OCT!L50+[2]TONT20000NOV!M50</f>
        <v>156000</v>
      </c>
      <c r="W50" s="6">
        <f>[2]TONT20000DEC2015!O50+[2]TONT20000JANV!M50+[2]TONT20000FEV!M50+[2]TONT20000MARS!M50+[2]TONT20000AVRIL!M50+[2]TONT20000MAI!M50+[2]TONT20000JUIN!M50+[2]TONT20000JUIL!M50+[2]TONT20000AOUT!M50+[2]TONT20000SEPT!M50+[2]TONT20000OCT!M50+[2]TONT20000NOV!N50</f>
        <v>0</v>
      </c>
      <c r="X50" s="6">
        <f>[2]TONT20000DEC2015!P50+[2]TONT20000JANV!N50+[2]TONT20000FEV!N50+[2]TONT20000MARS!N50+[2]TONT20000AVRIL!N50+[2]TONT20000MAI!N50+[2]TONT20000JUIN!N50+[2]TONT20000JUIL!N50+[2]TONT20000AOUT!N50+[2]TONT20000SEPT!N50+[2]TONT20000OCT!N50+[2]TONT20000NOV!O50</f>
        <v>0</v>
      </c>
      <c r="Y50" s="6">
        <f>[2]TONT20000DEC2015!Q50+[2]TONT20000JANV!O50+[2]TONT20000FEV!O50+[2]TONT20000MARS!O50+[2]TONT20000AVRIL!O50+[2]TONT20000MAI!O50+[2]TONT20000JUIN!O50+[2]TONT20000JUIL!O50+[2]TONT20000AOUT!O50+[2]TONT20000SEPT!O50+[2]TONT20000OCT!O50+[2]TONT20000NOV!P50</f>
        <v>0</v>
      </c>
      <c r="Z50" s="6">
        <f>[2]TONT20000DEC2015!R50+[2]TONT20000JANV!P50+[2]TONT20000FEV!P50+[2]TONT20000MARS!P50+[2]TONT20000AVRIL!P50+[2]TONT20000MAI!P50+[2]TONT20000JUIN!P50+[2]TONT20000JUIL!P50+[2]TONT20000AOUT!P50+[2]TONT20000SEPT!P50+[2]TONT20000OCT!P50+[2]TONT20000NOV!Q50</f>
        <v>0</v>
      </c>
      <c r="AA50" s="6">
        <f>[2]TONT20000DEC2015!S50+[2]TONT20000JANV!Q50+[2]TONT20000FEV!Q50+[2]TONT20000MARS!Q50+[2]TONT20000AVRIL!Q50+[2]TONT20000MAI!Q50+[2]TONT20000JUIN!Q50+[2]TONT20000JUIL!Q50+[2]TONT20000AOUT!Q50+[2]TONT20000SEPT!Q50+[2]TONT20000OCT!Q50+[2]TONT20000NOV!R50</f>
        <v>0</v>
      </c>
      <c r="AB50" s="6">
        <f>[2]TONT20000DEC2015!T50+[2]TONT20000JANV!R50+[2]TONT20000FEV!R50+[2]TONT20000MARS!R50+[2]TONT20000AVRIL!R50+[2]TONT20000MAI!R50+[2]TONT20000JUIN!R50+[2]TONT20000JUIL!R50+[2]TONT20000AOUT!R50+[2]TONT20000SEPT!R50+[2]TONT20000OCT!R50+[2]TONT20000NOV!S50</f>
        <v>0</v>
      </c>
      <c r="AC50" s="3"/>
    </row>
    <row r="51" spans="1:29" x14ac:dyDescent="0.25">
      <c r="A51" s="1" t="s">
        <v>81</v>
      </c>
      <c r="B51" s="1" t="str">
        <f>VLOOKUP(A51,[2]LISTADHERENT!A$5:H$52,2,0)</f>
        <v>YEPMOU JEAN JACQUES</v>
      </c>
      <c r="C51" s="2">
        <f>VLOOKUP(A51,[2]FONDSDECAISSE!A$5:C$52,3,0)</f>
        <v>390000</v>
      </c>
      <c r="D51" s="2">
        <v>421237</v>
      </c>
      <c r="E51" s="2">
        <f t="shared" si="0"/>
        <v>847237</v>
      </c>
      <c r="F51" s="2">
        <f>INT([2]TONT20000DEC2015!E51+[2]TONT20000JANV!C51+[2]TONT20000FEV!C51+[2]TONT20000MARS!C51+[2]TONT20000AVRIL!C51+[2]TONT20000MAI!C51+[2]TONT20000JUIN!C51+[2]TONT20000JUIL!C51+[2]TONT20000AOUT!C51+[2]TONT20000SEPT!C51+[2]TONT20000OCT!C51+[2]TONT20000NOV!C51)</f>
        <v>96745</v>
      </c>
      <c r="G51" s="2">
        <f>[2]TONT20000NOV!E51</f>
        <v>943982.28545532853</v>
      </c>
      <c r="H51" s="2">
        <f t="shared" si="1"/>
        <v>553982</v>
      </c>
      <c r="I51" s="2">
        <f t="shared" si="2"/>
        <v>80000</v>
      </c>
      <c r="J51" s="2">
        <f t="shared" si="3"/>
        <v>473982</v>
      </c>
      <c r="K51" s="2">
        <v>80000</v>
      </c>
      <c r="L51" s="2">
        <v>30000</v>
      </c>
      <c r="M51" s="2"/>
      <c r="N51" s="2">
        <v>50000</v>
      </c>
      <c r="O51" s="2">
        <f t="shared" si="4"/>
        <v>0</v>
      </c>
      <c r="P51" s="6">
        <f>[2]TONT20000DEC2015!H51+[2]TONT20000JANV!F51+[2]TONT20000FEV!F51+[2]TONT20000MARS!F51+[2]TONT20000AVRIL!F51+[2]TONT20000MAI!F51+[2]TONT20000JUIN!F51+[2]TONT20000JUIL!F51+[2]TONT20000AOUT!F51+[2]TONT20000SEPT!F51+[2]TONT20000OCT!F51+[2]TONT20000NOV!G51</f>
        <v>240000</v>
      </c>
      <c r="Q51" s="6">
        <f>[2]TONT20000DEC2015!I51+[2]TONT20000JANV!G51+[2]TONT20000FEV!G51+[2]TONT20000MARS!G51+[2]TONT20000AVRIL!G51+[2]TONT20000MAI!G51+[2]TONT20000JUIN!G51+[2]TONT20000JUIL!G51+[2]TONT20000AOUT!G51+[2]TONT20000SEPT!G51+[2]TONT20000OCT!G51+[2]TONT20000NOV!H51</f>
        <v>36000</v>
      </c>
      <c r="R51" s="6">
        <f>[2]TONT20000DEC2015!J51+[2]TONT20000JANV!H51+[2]TONT20000FEV!H51+[2]TONT20000MARS!H51+[2]TONT20000AVRIL!H51+[2]TONT20000MAI!H51+[2]TONT20000JUIN!H51+[2]TONT20000JUIL!H51+[2]TONT20000AOUT!H51+[2]TONT20000SEPT!H51+[2]TONT20000OCT!H51+[2]TONT20000NOV!I51</f>
        <v>6000</v>
      </c>
      <c r="S51" s="6">
        <f>[2]TONT20000DEC2015!K51+[2]TONT20000JANV!I51+[2]TONT20000FEV!I51+[2]TONT20000MARS!I51+[2]TONT20000AVRIL!I51+[2]TONT20000MAI!I51+[2]TONT20000JUIN!I51+[2]TONT20000JUIL!I51+[2]TONT20000AOUT!I51+[2]TONT20000SEPT!I51+[2]TONT20000OCT!I51+[2]TONT20000NOV!J51</f>
        <v>12000</v>
      </c>
      <c r="T51" s="6">
        <f>[2]TONT20000DEC2015!L51+[2]TONT20000JANV!J51+[2]TONT20000FEV!J51+[2]TONT20000MARS!J51+[2]TONT20000AVRIL!J51+[2]TONT20000MAI!J51+[2]TONT20000JUIN!J51+[2]TONT20000JUIL!J51+[2]TONT20000AOUT!J51+[2]TONT20000SEPT!J51+[2]TONT20000OCT!J51+[2]TONT20000NOV!K51</f>
        <v>30000</v>
      </c>
      <c r="U51" s="6">
        <f>[2]TONT20000DEC2015!M51+[2]TONT20000JANV!K51+[2]TONT20000FEV!K51+[2]TONT20000MARS!K51+[2]TONT20000AVRIL!K51+[2]TONT20000MAI!K51+[2]TONT20000JUIN!K51+[2]TONT20000JUIL!K51+[2]TONT20000AOUT!K51+[2]TONT20000SEPT!K51+[2]TONT20000OCT!K51+[2]TONT20000NOV!L51</f>
        <v>0</v>
      </c>
      <c r="V51" s="6">
        <f>[2]TONT20000DEC2015!N51+[2]TONT20000JANV!L51+[2]TONT20000FEV!L51+[2]TONT20000MARS!L51+[2]TONT20000AVRIL!L51+[2]TONT20000MAI!L51+[2]TONT20000JUIN!L51+[2]TONT20000JUIL!L51+[2]TONT20000AOUT!L51+[2]TONT20000SEPT!L51+[2]TONT20000OCT!L51+[2]TONT20000NOV!M51</f>
        <v>156000</v>
      </c>
      <c r="W51" s="6">
        <f>[2]TONT20000DEC2015!O51+[2]TONT20000JANV!M51+[2]TONT20000FEV!M51+[2]TONT20000MARS!M51+[2]TONT20000AVRIL!M51+[2]TONT20000MAI!M51+[2]TONT20000JUIN!M51+[2]TONT20000JUIL!M51+[2]TONT20000AOUT!M51+[2]TONT20000SEPT!M51+[2]TONT20000OCT!M51+[2]TONT20000NOV!N51</f>
        <v>0</v>
      </c>
      <c r="X51" s="6">
        <f>[2]TONT20000DEC2015!P51+[2]TONT20000JANV!N51+[2]TONT20000FEV!N51+[2]TONT20000MARS!N51+[2]TONT20000AVRIL!N51+[2]TONT20000MAI!N51+[2]TONT20000JUIN!N51+[2]TONT20000JUIL!N51+[2]TONT20000AOUT!N51+[2]TONT20000SEPT!N51+[2]TONT20000OCT!N51+[2]TONT20000NOV!O51</f>
        <v>0</v>
      </c>
      <c r="Y51" s="6">
        <f>[2]TONT20000DEC2015!Q51+[2]TONT20000JANV!O51+[2]TONT20000FEV!O51+[2]TONT20000MARS!O51+[2]TONT20000AVRIL!O51+[2]TONT20000MAI!O51+[2]TONT20000JUIN!O51+[2]TONT20000JUIL!O51+[2]TONT20000AOUT!O51+[2]TONT20000SEPT!O51+[2]TONT20000OCT!O51+[2]TONT20000NOV!P51</f>
        <v>0</v>
      </c>
      <c r="Z51" s="6">
        <f>[2]TONT20000DEC2015!R51+[2]TONT20000JANV!P51+[2]TONT20000FEV!P51+[2]TONT20000MARS!P51+[2]TONT20000AVRIL!P51+[2]TONT20000MAI!P51+[2]TONT20000JUIN!P51+[2]TONT20000JUIL!P51+[2]TONT20000AOUT!P51+[2]TONT20000SEPT!P51+[2]TONT20000OCT!P51+[2]TONT20000NOV!Q51</f>
        <v>0</v>
      </c>
      <c r="AA51" s="6">
        <f>[2]TONT20000DEC2015!S51+[2]TONT20000JANV!Q51+[2]TONT20000FEV!Q51+[2]TONT20000MARS!Q51+[2]TONT20000AVRIL!Q51+[2]TONT20000MAI!Q51+[2]TONT20000JUIN!Q51+[2]TONT20000JUIL!Q51+[2]TONT20000AOUT!Q51+[2]TONT20000SEPT!Q51+[2]TONT20000OCT!Q51+[2]TONT20000NOV!R51</f>
        <v>0</v>
      </c>
      <c r="AB51" s="6">
        <f>[2]TONT20000DEC2015!T51+[2]TONT20000JANV!R51+[2]TONT20000FEV!R51+[2]TONT20000MARS!R51+[2]TONT20000AVRIL!R51+[2]TONT20000MAI!R51+[2]TONT20000JUIN!R51+[2]TONT20000JUIL!R51+[2]TONT20000AOUT!R51+[2]TONT20000SEPT!R51+[2]TONT20000OCT!R51+[2]TONT20000NOV!S51</f>
        <v>0</v>
      </c>
      <c r="AC51" s="3"/>
    </row>
    <row r="52" spans="1:29" x14ac:dyDescent="0.25">
      <c r="A52" s="1" t="s">
        <v>82</v>
      </c>
      <c r="B52" s="1" t="str">
        <f>VLOOKUP(A52,[2]LISTADHERENT!A$5:H$52,2,0)</f>
        <v>YOUMBI EMMANUEL</v>
      </c>
      <c r="C52" s="2">
        <f>VLOOKUP(A52,[2]FONDSDECAISSE!A$5:C$52,3,0)</f>
        <v>390000</v>
      </c>
      <c r="D52" s="2">
        <v>1003279</v>
      </c>
      <c r="E52" s="2">
        <f t="shared" si="0"/>
        <v>1429279</v>
      </c>
      <c r="F52" s="2">
        <f>INT([2]TONT20000DEC2015!E52+[2]TONT20000JANV!C52+[2]TONT20000FEV!C52+[2]TONT20000MARS!C52+[2]TONT20000AVRIL!C52+[2]TONT20000MAI!C52+[2]TONT20000JUIN!C52+[2]TONT20000JUIL!C52+[2]TONT20000AOUT!C52+[2]TONT20000SEPT!C52+[2]TONT20000OCT!C52+[2]TONT20000NOV!C52)</f>
        <v>164349</v>
      </c>
      <c r="G52" s="2">
        <f>[2]TONT20000NOV!E52</f>
        <v>1593628.4154013947</v>
      </c>
      <c r="H52" s="2">
        <f t="shared" si="1"/>
        <v>1203628</v>
      </c>
      <c r="I52" s="2">
        <f t="shared" si="2"/>
        <v>80000</v>
      </c>
      <c r="J52" s="2">
        <f t="shared" si="3"/>
        <v>1123628</v>
      </c>
      <c r="K52" s="2">
        <v>240000</v>
      </c>
      <c r="L52" s="2">
        <v>30000</v>
      </c>
      <c r="M52" s="2"/>
      <c r="N52" s="2">
        <v>50000</v>
      </c>
      <c r="O52" s="2">
        <f t="shared" si="4"/>
        <v>0</v>
      </c>
      <c r="P52" s="6">
        <f>[2]TONT20000DEC2015!H52+[2]TONT20000JANV!F52+[2]TONT20000FEV!F52+[2]TONT20000MARS!F52+[2]TONT20000AVRIL!F52+[2]TONT20000MAI!F52+[2]TONT20000JUIN!F52+[2]TONT20000JUIL!F52+[2]TONT20000AOUT!F52+[2]TONT20000SEPT!F52+[2]TONT20000OCT!F52+[2]TONT20000NOV!G52</f>
        <v>240000</v>
      </c>
      <c r="Q52" s="6">
        <f>[2]TONT20000DEC2015!I52+[2]TONT20000JANV!G52+[2]TONT20000FEV!G52+[2]TONT20000MARS!G52+[2]TONT20000AVRIL!G52+[2]TONT20000MAI!G52+[2]TONT20000JUIN!G52+[2]TONT20000JUIL!G52+[2]TONT20000AOUT!G52+[2]TONT20000SEPT!G52+[2]TONT20000OCT!G52+[2]TONT20000NOV!H52</f>
        <v>36000</v>
      </c>
      <c r="R52" s="6">
        <f>[2]TONT20000DEC2015!J52+[2]TONT20000JANV!H52+[2]TONT20000FEV!H52+[2]TONT20000MARS!H52+[2]TONT20000AVRIL!H52+[2]TONT20000MAI!H52+[2]TONT20000JUIN!H52+[2]TONT20000JUIL!H52+[2]TONT20000AOUT!H52+[2]TONT20000SEPT!H52+[2]TONT20000OCT!H52+[2]TONT20000NOV!I52</f>
        <v>6000</v>
      </c>
      <c r="S52" s="6">
        <f>[2]TONT20000DEC2015!K52+[2]TONT20000JANV!I52+[2]TONT20000FEV!I52+[2]TONT20000MARS!I52+[2]TONT20000AVRIL!I52+[2]TONT20000MAI!I52+[2]TONT20000JUIN!I52+[2]TONT20000JUIL!I52+[2]TONT20000AOUT!I52+[2]TONT20000SEPT!I52+[2]TONT20000OCT!I52+[2]TONT20000NOV!J52</f>
        <v>12000</v>
      </c>
      <c r="T52" s="6">
        <f>[2]TONT20000DEC2015!L52+[2]TONT20000JANV!J52+[2]TONT20000FEV!J52+[2]TONT20000MARS!J52+[2]TONT20000AVRIL!J52+[2]TONT20000MAI!J52+[2]TONT20000JUIN!J52+[2]TONT20000JUIL!J52+[2]TONT20000AOUT!J52+[2]TONT20000SEPT!J52+[2]TONT20000OCT!J52+[2]TONT20000NOV!K52</f>
        <v>30000</v>
      </c>
      <c r="U52" s="6">
        <f>[2]TONT20000DEC2015!M52+[2]TONT20000JANV!K52+[2]TONT20000FEV!K52+[2]TONT20000MARS!K52+[2]TONT20000AVRIL!K52+[2]TONT20000MAI!K52+[2]TONT20000JUIN!K52+[2]TONT20000JUIL!K52+[2]TONT20000AOUT!K52+[2]TONT20000SEPT!K52+[2]TONT20000OCT!K52+[2]TONT20000NOV!L52</f>
        <v>0</v>
      </c>
      <c r="V52" s="6">
        <f>[2]TONT20000DEC2015!N52+[2]TONT20000JANV!L52+[2]TONT20000FEV!L52+[2]TONT20000MARS!L52+[2]TONT20000AVRIL!L52+[2]TONT20000MAI!L52+[2]TONT20000JUIN!L52+[2]TONT20000JUIL!L52+[2]TONT20000AOUT!L52+[2]TONT20000SEPT!L52+[2]TONT20000OCT!L52+[2]TONT20000NOV!M52</f>
        <v>156000</v>
      </c>
      <c r="W52" s="6">
        <f>[2]TONT20000DEC2015!O52+[2]TONT20000JANV!M52+[2]TONT20000FEV!M52+[2]TONT20000MARS!M52+[2]TONT20000AVRIL!M52+[2]TONT20000MAI!M52+[2]TONT20000JUIN!M52+[2]TONT20000JUIL!M52+[2]TONT20000AOUT!M52+[2]TONT20000SEPT!M52+[2]TONT20000OCT!M52+[2]TONT20000NOV!N52</f>
        <v>0</v>
      </c>
      <c r="X52" s="6">
        <f>[2]TONT20000DEC2015!P52+[2]TONT20000JANV!N52+[2]TONT20000FEV!N52+[2]TONT20000MARS!N52+[2]TONT20000AVRIL!N52+[2]TONT20000MAI!N52+[2]TONT20000JUIN!N52+[2]TONT20000JUIL!N52+[2]TONT20000AOUT!N52+[2]TONT20000SEPT!N52+[2]TONT20000OCT!N52+[2]TONT20000NOV!O52</f>
        <v>0</v>
      </c>
      <c r="Y52" s="6">
        <f>[2]TONT20000DEC2015!Q52+[2]TONT20000JANV!O52+[2]TONT20000FEV!O52+[2]TONT20000MARS!O52+[2]TONT20000AVRIL!O52+[2]TONT20000MAI!O52+[2]TONT20000JUIN!O52+[2]TONT20000JUIL!O52+[2]TONT20000AOUT!O52+[2]TONT20000SEPT!O52+[2]TONT20000OCT!O52+[2]TONT20000NOV!P52</f>
        <v>0</v>
      </c>
      <c r="Z52" s="6">
        <f>[2]TONT20000DEC2015!R52+[2]TONT20000JANV!P52+[2]TONT20000FEV!P52+[2]TONT20000MARS!P52+[2]TONT20000AVRIL!P52+[2]TONT20000MAI!P52+[2]TONT20000JUIN!P52+[2]TONT20000JUIL!P52+[2]TONT20000AOUT!P52+[2]TONT20000SEPT!P52+[2]TONT20000OCT!P52+[2]TONT20000NOV!Q52</f>
        <v>0</v>
      </c>
      <c r="AA52" s="6">
        <f>[2]TONT20000DEC2015!S52+[2]TONT20000JANV!Q52+[2]TONT20000FEV!Q52+[2]TONT20000MARS!Q52+[2]TONT20000AVRIL!Q52+[2]TONT20000MAI!Q52+[2]TONT20000JUIN!Q52+[2]TONT20000JUIL!Q52+[2]TONT20000AOUT!Q52+[2]TONT20000SEPT!Q52+[2]TONT20000OCT!Q52+[2]TONT20000NOV!R52</f>
        <v>0</v>
      </c>
      <c r="AB52" s="6">
        <f>[2]TONT20000DEC2015!T52+[2]TONT20000JANV!R52+[2]TONT20000FEV!R52+[2]TONT20000MARS!R52+[2]TONT20000AVRIL!R52+[2]TONT20000MAI!R52+[2]TONT20000JUIN!R52+[2]TONT20000JUIL!R52+[2]TONT20000AOUT!R52+[2]TONT20000SEPT!R52+[2]TONT20000OCT!R52+[2]TONT20000NOV!S52</f>
        <v>0</v>
      </c>
      <c r="AC52" s="3"/>
    </row>
    <row r="53" spans="1:29" x14ac:dyDescent="0.25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3"/>
    </row>
    <row r="54" spans="1:29" ht="18" x14ac:dyDescent="0.25">
      <c r="A54" s="17" t="s">
        <v>83</v>
      </c>
      <c r="B54" s="17"/>
      <c r="C54" s="18">
        <f t="shared" ref="C54:AB54" si="5">SUM(C5:C53)</f>
        <v>14398519</v>
      </c>
      <c r="D54" s="18">
        <f t="shared" si="5"/>
        <v>3525236</v>
      </c>
      <c r="E54" s="18">
        <f t="shared" si="5"/>
        <v>21744896</v>
      </c>
      <c r="F54" s="18">
        <f t="shared" si="5"/>
        <v>2230668</v>
      </c>
      <c r="G54" s="18">
        <f t="shared" si="5"/>
        <v>24115469.967073526</v>
      </c>
      <c r="H54" s="18">
        <f t="shared" si="5"/>
        <v>9577045</v>
      </c>
      <c r="I54" s="18">
        <f t="shared" si="5"/>
        <v>2829860</v>
      </c>
      <c r="J54" s="18">
        <f t="shared" si="5"/>
        <v>6747185</v>
      </c>
      <c r="K54" s="18">
        <f t="shared" si="5"/>
        <v>3142500</v>
      </c>
      <c r="L54" s="18">
        <f t="shared" si="5"/>
        <v>1050000</v>
      </c>
      <c r="M54" s="18">
        <f t="shared" si="5"/>
        <v>0</v>
      </c>
      <c r="N54" s="18">
        <f t="shared" si="5"/>
        <v>1719860</v>
      </c>
      <c r="O54" s="18">
        <f t="shared" si="5"/>
        <v>60000</v>
      </c>
      <c r="P54" s="18">
        <f t="shared" si="5"/>
        <v>13438360</v>
      </c>
      <c r="Q54" s="18">
        <f t="shared" si="5"/>
        <v>3821141</v>
      </c>
      <c r="R54" s="18">
        <f t="shared" si="5"/>
        <v>250500</v>
      </c>
      <c r="S54" s="18">
        <f t="shared" si="5"/>
        <v>501000</v>
      </c>
      <c r="T54" s="18">
        <f t="shared" si="5"/>
        <v>1252500</v>
      </c>
      <c r="U54" s="18">
        <f t="shared" si="5"/>
        <v>235000</v>
      </c>
      <c r="V54" s="18">
        <f t="shared" si="5"/>
        <v>6513000</v>
      </c>
      <c r="W54" s="18">
        <f t="shared" si="5"/>
        <v>25710000</v>
      </c>
      <c r="X54" s="18">
        <f t="shared" si="5"/>
        <v>2282100</v>
      </c>
      <c r="Y54" s="18">
        <f t="shared" si="5"/>
        <v>6900000</v>
      </c>
      <c r="Z54" s="18">
        <f t="shared" si="5"/>
        <v>94825</v>
      </c>
      <c r="AA54" s="18">
        <f t="shared" si="5"/>
        <v>98495</v>
      </c>
      <c r="AB54" s="18">
        <f t="shared" si="5"/>
        <v>0</v>
      </c>
      <c r="AC54" s="3"/>
    </row>
    <row r="55" spans="1:29" s="20" customFormat="1" ht="18" x14ac:dyDescent="0.25">
      <c r="A55" s="19" t="s">
        <v>84</v>
      </c>
      <c r="C55" s="21"/>
      <c r="J55" s="22">
        <f>J5+J6+J7+J8+J9+J10+J12+J13+J14+J15+J17+J18+J19+J20+J21+J22+J23+J24+J25+J26+J27+J29+J30+J31+J32+J33+J34+J38+J39+J40+J41+J42+J43+J44+J45+J46+J47+J49+J50+J51+J52</f>
        <v>6770025</v>
      </c>
      <c r="K55" s="22"/>
      <c r="P55" s="21"/>
      <c r="R55" s="23"/>
      <c r="S55" s="21"/>
      <c r="T55" s="21"/>
      <c r="U55" s="21"/>
      <c r="AA55" s="22"/>
      <c r="AB55" s="21"/>
    </row>
    <row r="56" spans="1:29" ht="18" x14ac:dyDescent="0.25">
      <c r="J56" s="24">
        <f>J16+J36+J48</f>
        <v>-22840</v>
      </c>
      <c r="K56" s="24"/>
    </row>
    <row r="57" spans="1:29" ht="18" x14ac:dyDescent="0.25">
      <c r="B57" s="18" t="s">
        <v>85</v>
      </c>
      <c r="G57" s="18">
        <f>E58+E59+E60</f>
        <v>9577045</v>
      </c>
      <c r="H57" s="18"/>
      <c r="I57" s="18"/>
    </row>
    <row r="58" spans="1:29" ht="15.75" x14ac:dyDescent="0.25">
      <c r="D58" s="25" t="s">
        <v>9</v>
      </c>
      <c r="E58" s="26">
        <f>D54</f>
        <v>3525236</v>
      </c>
    </row>
    <row r="59" spans="1:29" ht="15.75" x14ac:dyDescent="0.25">
      <c r="D59" s="25" t="s">
        <v>86</v>
      </c>
      <c r="E59" s="26">
        <f>+F54</f>
        <v>2230668</v>
      </c>
    </row>
    <row r="60" spans="1:29" ht="15.75" x14ac:dyDescent="0.25">
      <c r="D60" s="25" t="s">
        <v>87</v>
      </c>
      <c r="E60" s="26">
        <f>Q54</f>
        <v>3821141</v>
      </c>
    </row>
    <row r="61" spans="1:29" ht="15.75" x14ac:dyDescent="0.25">
      <c r="D61" s="25"/>
      <c r="E61" s="26"/>
    </row>
    <row r="62" spans="1:29" ht="18" x14ac:dyDescent="0.25">
      <c r="B62" s="18" t="s">
        <v>85</v>
      </c>
      <c r="F62" s="18">
        <f>J55</f>
        <v>6770025</v>
      </c>
      <c r="G62" s="18"/>
    </row>
    <row r="63" spans="1:29" ht="18" x14ac:dyDescent="0.25">
      <c r="B63" s="18" t="s">
        <v>88</v>
      </c>
      <c r="F63" s="18">
        <f>K54</f>
        <v>3142500</v>
      </c>
      <c r="G63" s="18"/>
    </row>
    <row r="64" spans="1:29" ht="18" x14ac:dyDescent="0.25">
      <c r="B64" s="18" t="s">
        <v>89</v>
      </c>
      <c r="F64" s="18">
        <f>N54</f>
        <v>1719860</v>
      </c>
      <c r="G64" s="18"/>
    </row>
    <row r="65" spans="2:9" ht="18" x14ac:dyDescent="0.25">
      <c r="B65" s="18" t="s">
        <v>17</v>
      </c>
      <c r="F65" s="18">
        <f>L54</f>
        <v>1050000</v>
      </c>
      <c r="G65" s="18"/>
    </row>
    <row r="66" spans="2:9" ht="18" x14ac:dyDescent="0.25">
      <c r="B66" s="18" t="s">
        <v>90</v>
      </c>
      <c r="F66" s="18">
        <f>O54</f>
        <v>60000</v>
      </c>
      <c r="G66" s="18"/>
    </row>
    <row r="67" spans="2:9" ht="18" x14ac:dyDescent="0.25">
      <c r="B67" s="18" t="s">
        <v>18</v>
      </c>
      <c r="F67" s="18">
        <f>M54</f>
        <v>0</v>
      </c>
      <c r="G67" s="18"/>
    </row>
    <row r="69" spans="2:9" ht="18" x14ac:dyDescent="0.25">
      <c r="B69" s="18" t="s">
        <v>83</v>
      </c>
      <c r="G69" s="18">
        <f>F62+F64+F65+F66+F67</f>
        <v>9599885</v>
      </c>
      <c r="H69" s="18"/>
      <c r="I69" s="18"/>
    </row>
    <row r="71" spans="2:9" ht="18" x14ac:dyDescent="0.25">
      <c r="B71" s="18" t="s">
        <v>91</v>
      </c>
      <c r="G71" s="24">
        <f>G57-G69</f>
        <v>-22840</v>
      </c>
      <c r="H71" s="24"/>
      <c r="I71" s="24"/>
    </row>
  </sheetData>
  <autoFilter ref="A4:AC50"/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53"/>
  <sheetViews>
    <sheetView workbookViewId="0">
      <pane ySplit="3" topLeftCell="A4" activePane="bottomLeft" state="frozen"/>
      <selection pane="bottomLeft" activeCell="C13" sqref="C13"/>
    </sheetView>
  </sheetViews>
  <sheetFormatPr baseColWidth="10" defaultRowHeight="15" x14ac:dyDescent="0.25"/>
  <cols>
    <col min="1" max="1" width="17.7109375" style="4" bestFit="1" customWidth="1"/>
    <col min="2" max="2" width="18.28515625" style="3" bestFit="1" customWidth="1"/>
    <col min="3" max="3" width="18.28515625" style="3" customWidth="1"/>
    <col min="4" max="10" width="18.140625" customWidth="1"/>
    <col min="11" max="12" width="12.5703125" bestFit="1" customWidth="1"/>
    <col min="13" max="13" width="12.28515625" bestFit="1" customWidth="1"/>
    <col min="14" max="14" width="12.140625" bestFit="1" customWidth="1"/>
  </cols>
  <sheetData>
    <row r="3" spans="1:15" x14ac:dyDescent="0.25">
      <c r="B3" s="29" t="s">
        <v>149</v>
      </c>
      <c r="C3" s="29" t="s">
        <v>94</v>
      </c>
      <c r="D3" s="30">
        <v>42370</v>
      </c>
      <c r="E3" s="30">
        <v>42401</v>
      </c>
      <c r="F3" s="30">
        <v>42430</v>
      </c>
      <c r="G3" s="30">
        <v>42461</v>
      </c>
      <c r="H3" s="30">
        <v>42491</v>
      </c>
      <c r="I3" s="30">
        <v>42522</v>
      </c>
      <c r="J3" s="30">
        <v>42552</v>
      </c>
      <c r="K3" s="30">
        <v>42583</v>
      </c>
      <c r="L3" s="30">
        <v>42614</v>
      </c>
      <c r="M3" s="30">
        <v>42644</v>
      </c>
      <c r="N3" s="30">
        <v>42675</v>
      </c>
      <c r="O3" s="27"/>
    </row>
    <row r="4" spans="1:15" x14ac:dyDescent="0.25">
      <c r="A4" s="5" t="s">
        <v>22</v>
      </c>
      <c r="B4" s="6">
        <f>SUM(C4:N4)</f>
        <v>1869000</v>
      </c>
      <c r="C4" s="6">
        <f>EPARGNE!B17</f>
        <v>0</v>
      </c>
      <c r="D4" s="6">
        <f>EPARGNE!C17</f>
        <v>0</v>
      </c>
      <c r="E4" s="6">
        <f>EPARGNE!D17</f>
        <v>1869000</v>
      </c>
      <c r="F4" s="6">
        <f>EPARGNE!E17</f>
        <v>0</v>
      </c>
      <c r="G4" s="6">
        <f>EPARGNE!F17</f>
        <v>0</v>
      </c>
      <c r="H4" s="6">
        <f>EPARGNE!G17</f>
        <v>0</v>
      </c>
      <c r="I4" s="6">
        <f>EPARGNE!H17</f>
        <v>0</v>
      </c>
      <c r="J4" s="6">
        <f>EPARGNE!I17</f>
        <v>0</v>
      </c>
      <c r="K4" s="6">
        <f>EPARGNE!J17</f>
        <v>0</v>
      </c>
      <c r="L4" s="6">
        <f>EPARGNE!K17</f>
        <v>0</v>
      </c>
      <c r="M4" s="6">
        <f>EPARGNE!L17</f>
        <v>0</v>
      </c>
      <c r="N4" s="6">
        <f>EPARGNE!M17</f>
        <v>0</v>
      </c>
      <c r="O4" s="27"/>
    </row>
    <row r="5" spans="1:15" ht="29.25" x14ac:dyDescent="0.25">
      <c r="A5" s="5" t="s">
        <v>23</v>
      </c>
      <c r="B5" s="6">
        <f t="shared" ref="B5:B12" si="0">SUM(C5:N5)</f>
        <v>452400</v>
      </c>
      <c r="C5" s="6">
        <f>'FONDS DE ROULEMENT'!B18</f>
        <v>190400</v>
      </c>
      <c r="D5" s="6">
        <f>'FONDS DE ROULEMENT'!C18</f>
        <v>2000</v>
      </c>
      <c r="E5" s="6">
        <f>'FONDS DE ROULEMENT'!D18</f>
        <v>2000</v>
      </c>
      <c r="F5" s="6">
        <f>'FONDS DE ROULEMENT'!E18</f>
        <v>4000</v>
      </c>
      <c r="G5" s="6">
        <f>'FONDS DE ROULEMENT'!F18</f>
        <v>97000</v>
      </c>
      <c r="H5" s="6">
        <f>'FONDS DE ROULEMENT'!G18</f>
        <v>0</v>
      </c>
      <c r="I5" s="6">
        <f>'FONDS DE ROULEMENT'!H18</f>
        <v>77000</v>
      </c>
      <c r="J5" s="6">
        <f>'FONDS DE ROULEMENT'!I18</f>
        <v>0</v>
      </c>
      <c r="K5" s="6">
        <f>'FONDS DE ROULEMENT'!J18</f>
        <v>21000</v>
      </c>
      <c r="L5" s="6">
        <f>'FONDS DE ROULEMENT'!K18</f>
        <v>0</v>
      </c>
      <c r="M5" s="6">
        <f>'FONDS DE ROULEMENT'!L18</f>
        <v>36000</v>
      </c>
      <c r="N5" s="6">
        <f>'FONDS DE ROULEMENT'!M18</f>
        <v>23000</v>
      </c>
    </row>
    <row r="6" spans="1:15" ht="29.25" x14ac:dyDescent="0.25">
      <c r="A6" s="5" t="s">
        <v>24</v>
      </c>
      <c r="B6" s="6">
        <f t="shared" si="0"/>
        <v>400000</v>
      </c>
      <c r="C6" s="6">
        <f>'FRAIS EXCEPTIONNEL'!B17</f>
        <v>0</v>
      </c>
      <c r="D6" s="6">
        <f>'FRAIS EXCEPTIONNEL'!C17</f>
        <v>0</v>
      </c>
      <c r="E6" s="6">
        <f>'FRAIS EXCEPTIONNEL'!D17</f>
        <v>0</v>
      </c>
      <c r="F6" s="6">
        <f>'FRAIS EXCEPTIONNEL'!E17</f>
        <v>0</v>
      </c>
      <c r="G6" s="6">
        <f>'FRAIS EXCEPTIONNEL'!F17</f>
        <v>0</v>
      </c>
      <c r="H6" s="6">
        <f>'FRAIS EXCEPTIONNEL'!G17</f>
        <v>0</v>
      </c>
      <c r="I6" s="6">
        <f>'FRAIS EXCEPTIONNEL'!H17</f>
        <v>0</v>
      </c>
      <c r="J6" s="6">
        <f>'FRAIS EXCEPTIONNEL'!I17</f>
        <v>0</v>
      </c>
      <c r="K6" s="6">
        <f>'FRAIS EXCEPTIONNEL'!J17</f>
        <v>400000</v>
      </c>
      <c r="L6" s="6">
        <f>'FRAIS EXCEPTIONNEL'!K17</f>
        <v>0</v>
      </c>
      <c r="M6" s="6">
        <f>'FRAIS EXCEPTIONNEL'!L17</f>
        <v>0</v>
      </c>
      <c r="N6" s="6">
        <f>'FRAIS EXCEPTIONNEL'!M17</f>
        <v>0</v>
      </c>
    </row>
    <row r="7" spans="1:15" x14ac:dyDescent="0.25">
      <c r="A7" s="5" t="s">
        <v>25</v>
      </c>
      <c r="B7" s="6">
        <f t="shared" si="0"/>
        <v>1240000</v>
      </c>
      <c r="C7" s="6">
        <f>COLLATION!B17</f>
        <v>100000</v>
      </c>
      <c r="D7" s="6">
        <f>COLLATION!C17</f>
        <v>100000</v>
      </c>
      <c r="E7" s="6">
        <f>COLLATION!D17</f>
        <v>100000</v>
      </c>
      <c r="F7" s="6">
        <f>COLLATION!E17</f>
        <v>100000</v>
      </c>
      <c r="G7" s="6">
        <f>COLLATION!F17</f>
        <v>100000</v>
      </c>
      <c r="H7" s="6">
        <f>COLLATION!G17</f>
        <v>100000</v>
      </c>
      <c r="I7" s="6">
        <f>COLLATION!H17</f>
        <v>100000</v>
      </c>
      <c r="J7" s="6">
        <f>COLLATION!I17</f>
        <v>100000</v>
      </c>
      <c r="K7" s="6">
        <f>COLLATION!J17</f>
        <v>100000</v>
      </c>
      <c r="L7" s="6">
        <f>COLLATION!K17</f>
        <v>140000</v>
      </c>
      <c r="M7" s="6">
        <f>COLLATION!L17</f>
        <v>100000</v>
      </c>
      <c r="N7" s="6">
        <f>COLLATION!M17</f>
        <v>100000</v>
      </c>
    </row>
    <row r="8" spans="1:15" x14ac:dyDescent="0.25">
      <c r="A8" s="5" t="s">
        <v>26</v>
      </c>
      <c r="B8" s="6">
        <f t="shared" si="0"/>
        <v>2495000</v>
      </c>
      <c r="C8" s="6">
        <f>MUTUELLE!B19</f>
        <v>0</v>
      </c>
      <c r="D8" s="6">
        <f>MUTUELLE!C19</f>
        <v>650000</v>
      </c>
      <c r="E8" s="6">
        <f>MUTUELLE!D19</f>
        <v>0</v>
      </c>
      <c r="F8" s="6">
        <f>MUTUELLE!E19</f>
        <v>100000</v>
      </c>
      <c r="G8" s="6">
        <f>MUTUELLE!F19</f>
        <v>0</v>
      </c>
      <c r="H8" s="6">
        <f>MUTUELLE!G19</f>
        <v>0</v>
      </c>
      <c r="I8" s="6">
        <f>MUTUELLE!H19</f>
        <v>200000</v>
      </c>
      <c r="J8" s="6">
        <f>MUTUELLE!I19</f>
        <v>0</v>
      </c>
      <c r="K8" s="6">
        <f>MUTUELLE!J19</f>
        <v>745000</v>
      </c>
      <c r="L8" s="6">
        <f>MUTUELLE!K19</f>
        <v>600000</v>
      </c>
      <c r="M8" s="6">
        <f>MUTUELLE!L19</f>
        <v>0</v>
      </c>
      <c r="N8" s="6">
        <f>MUTUELLE!M19</f>
        <v>200000</v>
      </c>
    </row>
    <row r="9" spans="1:15" x14ac:dyDescent="0.25">
      <c r="A9" s="5" t="s">
        <v>18</v>
      </c>
      <c r="B9" s="6">
        <f t="shared" si="0"/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5" x14ac:dyDescent="0.25">
      <c r="A10" s="5" t="s">
        <v>92</v>
      </c>
      <c r="B10" s="6">
        <f t="shared" si="0"/>
        <v>0</v>
      </c>
      <c r="C10" s="6">
        <f>INSCRIPTION!B17</f>
        <v>0</v>
      </c>
      <c r="D10" s="6">
        <f>INSCRIPTION!C17</f>
        <v>0</v>
      </c>
      <c r="E10" s="6">
        <f>INSCRIPTION!D17</f>
        <v>0</v>
      </c>
      <c r="F10" s="6">
        <f>INSCRIPTION!E17</f>
        <v>0</v>
      </c>
      <c r="G10" s="6">
        <f>INSCRIPTION!F17</f>
        <v>0</v>
      </c>
      <c r="H10" s="6">
        <f>INSCRIPTION!G17</f>
        <v>0</v>
      </c>
      <c r="I10" s="6">
        <f>INSCRIPTION!H17</f>
        <v>0</v>
      </c>
      <c r="J10" s="6">
        <f>INSCRIPTION!I17</f>
        <v>0</v>
      </c>
      <c r="K10" s="6">
        <f>INSCRIPTION!J17</f>
        <v>0</v>
      </c>
      <c r="L10" s="6">
        <f>INSCRIPTION!K17</f>
        <v>0</v>
      </c>
      <c r="M10" s="6">
        <f>INSCRIPTION!L17</f>
        <v>0</v>
      </c>
      <c r="N10" s="6">
        <f>INSCRIPTION!M17</f>
        <v>0</v>
      </c>
    </row>
    <row r="11" spans="1:15" x14ac:dyDescent="0.25">
      <c r="A11" s="5" t="s">
        <v>28</v>
      </c>
      <c r="B11" s="6">
        <f t="shared" si="0"/>
        <v>25710000</v>
      </c>
      <c r="C11" s="6">
        <f>EMPRUNT!B32</f>
        <v>1500000</v>
      </c>
      <c r="D11" s="6">
        <f>EMPRUNT!C32</f>
        <v>2200000</v>
      </c>
      <c r="E11" s="6">
        <f>EMPRUNT!D32</f>
        <v>750000</v>
      </c>
      <c r="F11" s="6">
        <f>EMPRUNT!E32</f>
        <v>1980000</v>
      </c>
      <c r="G11" s="6">
        <f>EMPRUNT!F32</f>
        <v>2200000</v>
      </c>
      <c r="H11" s="6">
        <f>EMPRUNT!G32</f>
        <v>750000</v>
      </c>
      <c r="I11" s="6">
        <f>EMPRUNT!H32</f>
        <v>3040000</v>
      </c>
      <c r="J11" s="6">
        <f>EMPRUNT!I32</f>
        <v>4870000</v>
      </c>
      <c r="K11" s="6">
        <f>EMPRUNT!J32</f>
        <v>1300000</v>
      </c>
      <c r="L11" s="6">
        <f>EMPRUNT!K32</f>
        <v>2280000</v>
      </c>
      <c r="M11" s="6">
        <f>EMPRUNT!L32</f>
        <v>1670000</v>
      </c>
      <c r="N11" s="6">
        <f>EMPRUNT!M32</f>
        <v>3170000</v>
      </c>
    </row>
    <row r="12" spans="1:15" ht="29.25" x14ac:dyDescent="0.25">
      <c r="A12" s="5" t="s">
        <v>112</v>
      </c>
      <c r="B12" s="6">
        <f t="shared" si="0"/>
        <v>303800</v>
      </c>
      <c r="C12" s="6">
        <f>'COMPLEMENT TONTINE'!B17</f>
        <v>0</v>
      </c>
      <c r="D12" s="6">
        <f>'COMPLEMENT TONTINE'!C17</f>
        <v>0</v>
      </c>
      <c r="E12" s="6">
        <f>'COMPLEMENT TONTINE'!D17</f>
        <v>33300</v>
      </c>
      <c r="F12" s="6">
        <f>'COMPLEMENT TONTINE'!E17</f>
        <v>0</v>
      </c>
      <c r="G12" s="6">
        <f>'COMPLEMENT TONTINE'!F17</f>
        <v>0</v>
      </c>
      <c r="H12" s="6">
        <f>'COMPLEMENT TONTINE'!G17</f>
        <v>141000</v>
      </c>
      <c r="I12" s="6">
        <f>'COMPLEMENT TONTINE'!H17</f>
        <v>12500</v>
      </c>
      <c r="J12" s="6">
        <f>'COMPLEMENT TONTINE'!I17</f>
        <v>47000</v>
      </c>
      <c r="K12" s="6">
        <f>'COMPLEMENT TONTINE'!J17</f>
        <v>0</v>
      </c>
      <c r="L12" s="6">
        <f>'COMPLEMENT TONTINE'!K17</f>
        <v>0</v>
      </c>
      <c r="M12" s="6">
        <f>'COMPLEMENT TONTINE'!L17</f>
        <v>32500</v>
      </c>
      <c r="N12" s="6">
        <f>'COMPLEMENT TONTINE'!M17</f>
        <v>37500</v>
      </c>
    </row>
    <row r="13" spans="1:15" ht="29.25" x14ac:dyDescent="0.25">
      <c r="A13" s="5" t="s">
        <v>29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5" ht="29.25" x14ac:dyDescent="0.25">
      <c r="A14" s="5" t="s">
        <v>30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5" ht="29.25" x14ac:dyDescent="0.25">
      <c r="A15" s="5" t="s">
        <v>31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5" ht="29.25" x14ac:dyDescent="0.25">
      <c r="A16" s="5" t="s">
        <v>93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25">
      <c r="A17" s="5" t="s">
        <v>95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x14ac:dyDescent="0.25">
      <c r="A19" s="5" t="s">
        <v>83</v>
      </c>
      <c r="B19" s="2">
        <f>SUM(B4:B17)</f>
        <v>32470200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ht="12.75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4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4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4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4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4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4" ht="0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4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4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4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4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4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4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s="10" customFormat="1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</row>
    <row r="34" spans="1:10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s="10" customFormat="1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</row>
    <row r="36" spans="1:10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 s="16" customForma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</row>
    <row r="42" spans="1:10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 s="16" customForma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</row>
    <row r="44" spans="1:10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spans="1:10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spans="1:10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spans="1:10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spans="1:10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spans="1:10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 ht="18" x14ac:dyDescent="0.25">
      <c r="A52" s="18">
        <f>SUM(A5:A51)</f>
        <v>0</v>
      </c>
      <c r="B52" s="18">
        <f>SUM(B5:B51)</f>
        <v>63071400</v>
      </c>
      <c r="C52" s="18"/>
      <c r="D52" s="18">
        <f>SUM(D5:D51)</f>
        <v>2952000</v>
      </c>
      <c r="E52" s="18">
        <f>SUM(E5:E51)</f>
        <v>885300</v>
      </c>
      <c r="F52" s="18"/>
      <c r="G52" s="18">
        <f>SUM(G5:G51)</f>
        <v>2397000</v>
      </c>
      <c r="H52" s="18">
        <f>SUM(H5:H51)</f>
        <v>991000</v>
      </c>
      <c r="I52" s="18">
        <f>SUM(I5:I51)</f>
        <v>3429500</v>
      </c>
      <c r="J52" s="18">
        <f>SUM(J5:J51)</f>
        <v>5017000</v>
      </c>
    </row>
    <row r="53" spans="1:10" s="20" customFormat="1" ht="18" x14ac:dyDescent="0.25">
      <c r="A53" s="23"/>
      <c r="B53" s="21"/>
      <c r="C53" s="21"/>
      <c r="J53" s="22"/>
    </row>
  </sheetData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7"/>
  <sheetViews>
    <sheetView workbookViewId="0">
      <selection activeCell="A9" sqref="A9"/>
    </sheetView>
  </sheetViews>
  <sheetFormatPr baseColWidth="10" defaultRowHeight="15" x14ac:dyDescent="0.25"/>
  <cols>
    <col min="1" max="1" width="24" bestFit="1" customWidth="1"/>
    <col min="2" max="2" width="11.42578125" style="3"/>
  </cols>
  <sheetData>
    <row r="2" spans="1:14" x14ac:dyDescent="0.25">
      <c r="A2" s="4"/>
      <c r="B2" s="3" t="s">
        <v>94</v>
      </c>
      <c r="C2" s="27">
        <v>42370</v>
      </c>
      <c r="D2" s="27">
        <v>42401</v>
      </c>
      <c r="E2" s="27">
        <v>42430</v>
      </c>
      <c r="F2" s="27">
        <v>42461</v>
      </c>
      <c r="G2" s="27">
        <v>42491</v>
      </c>
      <c r="H2" s="27">
        <v>42522</v>
      </c>
      <c r="I2" s="27">
        <v>42552</v>
      </c>
      <c r="J2" s="27">
        <v>42583</v>
      </c>
      <c r="K2" s="27">
        <v>42614</v>
      </c>
      <c r="L2" s="27">
        <v>42644</v>
      </c>
      <c r="M2" s="27">
        <v>42675</v>
      </c>
      <c r="N2" s="27"/>
    </row>
    <row r="4" spans="1:14" x14ac:dyDescent="0.25">
      <c r="A4" t="s">
        <v>103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4" x14ac:dyDescent="0.25">
      <c r="A5" t="s">
        <v>104</v>
      </c>
      <c r="C5" s="3"/>
      <c r="D5" s="3">
        <v>160000</v>
      </c>
      <c r="E5" s="3"/>
      <c r="F5" s="3"/>
      <c r="G5" s="3"/>
      <c r="H5" s="3"/>
      <c r="I5" s="3"/>
      <c r="J5" s="3"/>
      <c r="K5" s="3"/>
      <c r="L5" s="3"/>
      <c r="M5" s="3"/>
    </row>
    <row r="6" spans="1:14" x14ac:dyDescent="0.25">
      <c r="A6" t="s">
        <v>105</v>
      </c>
      <c r="C6" s="3"/>
      <c r="D6" s="3">
        <v>50000</v>
      </c>
      <c r="E6" s="3"/>
      <c r="F6" s="3"/>
      <c r="G6" s="3"/>
      <c r="H6" s="3"/>
      <c r="I6" s="3"/>
      <c r="J6" s="3"/>
      <c r="K6" s="3"/>
      <c r="L6" s="3"/>
      <c r="M6" s="3"/>
    </row>
    <row r="7" spans="1:14" x14ac:dyDescent="0.25">
      <c r="A7" t="s">
        <v>106</v>
      </c>
      <c r="C7" s="3"/>
      <c r="D7" s="3">
        <v>1609000</v>
      </c>
      <c r="E7" s="3"/>
      <c r="F7" s="3"/>
      <c r="G7" s="3"/>
      <c r="H7" s="3"/>
      <c r="I7" s="3"/>
      <c r="J7" s="3"/>
      <c r="K7" s="3"/>
      <c r="L7" s="3"/>
      <c r="M7" s="3"/>
    </row>
    <row r="8" spans="1:14" x14ac:dyDescent="0.25">
      <c r="A8" t="s">
        <v>107</v>
      </c>
      <c r="C8" s="3"/>
      <c r="D8" s="3">
        <v>50000</v>
      </c>
      <c r="E8" s="3"/>
      <c r="F8" s="3"/>
      <c r="G8" s="3"/>
      <c r="H8" s="3"/>
      <c r="I8" s="3"/>
      <c r="J8" s="3"/>
      <c r="K8" s="3"/>
      <c r="L8" s="3"/>
      <c r="M8" s="3"/>
    </row>
    <row r="9" spans="1:14" x14ac:dyDescent="0.25"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4" x14ac:dyDescent="0.25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4" x14ac:dyDescent="0.25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4" x14ac:dyDescent="0.25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4" x14ac:dyDescent="0.25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4" x14ac:dyDescent="0.25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t="s">
        <v>83</v>
      </c>
      <c r="B17" s="2">
        <f>SUM(B4:B16)</f>
        <v>0</v>
      </c>
      <c r="C17" s="2">
        <f t="shared" ref="C17:M17" si="0">SUM(C4:C16)</f>
        <v>0</v>
      </c>
      <c r="D17" s="2">
        <f t="shared" si="0"/>
        <v>1869000</v>
      </c>
      <c r="E17" s="2">
        <f t="shared" si="0"/>
        <v>0</v>
      </c>
      <c r="F17" s="2">
        <f t="shared" si="0"/>
        <v>0</v>
      </c>
      <c r="G17" s="2">
        <f t="shared" si="0"/>
        <v>0</v>
      </c>
      <c r="H17" s="2">
        <f t="shared" si="0"/>
        <v>0</v>
      </c>
      <c r="I17" s="2">
        <f t="shared" si="0"/>
        <v>0</v>
      </c>
      <c r="J17" s="2">
        <f t="shared" si="0"/>
        <v>0</v>
      </c>
      <c r="K17" s="2">
        <f t="shared" si="0"/>
        <v>0</v>
      </c>
      <c r="L17" s="2">
        <f t="shared" si="0"/>
        <v>0</v>
      </c>
      <c r="M17" s="2">
        <f t="shared" si="0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8"/>
  <sheetViews>
    <sheetView workbookViewId="0">
      <pane ySplit="2" topLeftCell="A3" activePane="bottomLeft" state="frozen"/>
      <selection pane="bottomLeft" activeCell="B18" sqref="B18:M18"/>
    </sheetView>
  </sheetViews>
  <sheetFormatPr baseColWidth="10" defaultRowHeight="15" x14ac:dyDescent="0.25"/>
  <cols>
    <col min="1" max="1" width="28.42578125" bestFit="1" customWidth="1"/>
  </cols>
  <sheetData>
    <row r="2" spans="1:14" x14ac:dyDescent="0.25">
      <c r="A2" s="4"/>
      <c r="B2" s="3" t="s">
        <v>94</v>
      </c>
      <c r="C2" s="27">
        <v>42370</v>
      </c>
      <c r="D2" s="27">
        <v>42401</v>
      </c>
      <c r="E2" s="27">
        <v>42430</v>
      </c>
      <c r="F2" s="27">
        <v>42461</v>
      </c>
      <c r="G2" s="27">
        <v>42491</v>
      </c>
      <c r="H2" s="27">
        <v>42522</v>
      </c>
      <c r="I2" s="27">
        <v>42552</v>
      </c>
      <c r="J2" s="27">
        <v>42583</v>
      </c>
      <c r="K2" s="27">
        <v>42614</v>
      </c>
      <c r="L2" s="27">
        <v>42644</v>
      </c>
      <c r="M2" s="27">
        <v>42675</v>
      </c>
      <c r="N2" s="27"/>
    </row>
    <row r="4" spans="1:14" x14ac:dyDescent="0.25">
      <c r="A4" t="s">
        <v>95</v>
      </c>
    </row>
    <row r="5" spans="1:14" x14ac:dyDescent="0.25">
      <c r="A5" t="s">
        <v>97</v>
      </c>
      <c r="B5" s="3">
        <v>60000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t="s">
        <v>98</v>
      </c>
      <c r="B6" s="3">
        <v>18000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t="s">
        <v>99</v>
      </c>
      <c r="B7" s="3">
        <v>12400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25">
      <c r="A8" t="s">
        <v>96</v>
      </c>
      <c r="B8" s="3">
        <v>100000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25">
      <c r="A9" t="s">
        <v>102</v>
      </c>
      <c r="B9" s="3"/>
      <c r="C9" s="3">
        <v>2000</v>
      </c>
      <c r="D9" s="3">
        <v>2000</v>
      </c>
      <c r="E9" s="3">
        <v>4000</v>
      </c>
      <c r="F9" s="3"/>
      <c r="G9" s="3"/>
      <c r="H9" s="3">
        <v>6000</v>
      </c>
      <c r="I9" s="3"/>
      <c r="J9" s="3">
        <v>6000</v>
      </c>
      <c r="K9" s="3"/>
      <c r="L9" s="3"/>
      <c r="M9" s="3"/>
      <c r="N9" s="3"/>
    </row>
    <row r="10" spans="1:14" x14ac:dyDescent="0.25">
      <c r="A10" t="s">
        <v>118</v>
      </c>
      <c r="B10" s="3"/>
      <c r="C10" s="3"/>
      <c r="D10" s="3"/>
      <c r="E10" s="3"/>
      <c r="F10" s="3">
        <v>55000</v>
      </c>
      <c r="G10" s="3"/>
      <c r="H10" s="3"/>
      <c r="I10" s="3"/>
      <c r="J10" s="3"/>
      <c r="K10" s="3"/>
      <c r="L10" s="3"/>
      <c r="M10" s="3"/>
      <c r="N10" s="3"/>
    </row>
    <row r="11" spans="1:14" x14ac:dyDescent="0.25">
      <c r="A11" t="s">
        <v>119</v>
      </c>
      <c r="B11" s="3"/>
      <c r="C11" s="3"/>
      <c r="D11" s="3"/>
      <c r="E11" s="3"/>
      <c r="F11" s="3">
        <v>42000</v>
      </c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t="s">
        <v>123</v>
      </c>
      <c r="B12" s="3"/>
      <c r="C12" s="3"/>
      <c r="D12" s="3"/>
      <c r="E12" s="3"/>
      <c r="F12" s="3"/>
      <c r="G12" s="3"/>
      <c r="H12" s="3">
        <v>71000</v>
      </c>
      <c r="I12" s="3"/>
      <c r="J12" s="3"/>
      <c r="K12" s="3"/>
      <c r="L12" s="3"/>
      <c r="M12" s="3"/>
      <c r="N12" s="3"/>
    </row>
    <row r="13" spans="1:14" x14ac:dyDescent="0.25">
      <c r="A13" t="s">
        <v>129</v>
      </c>
      <c r="B13" s="3"/>
      <c r="C13" s="3"/>
      <c r="D13" s="3"/>
      <c r="E13" s="3"/>
      <c r="F13" s="3"/>
      <c r="G13" s="3"/>
      <c r="H13" s="3"/>
      <c r="I13" s="3"/>
      <c r="J13" s="3">
        <v>15000</v>
      </c>
      <c r="K13" s="3"/>
      <c r="L13" s="3"/>
      <c r="M13" s="3"/>
      <c r="N13" s="3"/>
    </row>
    <row r="14" spans="1:14" x14ac:dyDescent="0.25">
      <c r="A14" t="s">
        <v>142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>
        <v>15000</v>
      </c>
      <c r="M14" s="3"/>
      <c r="N14" s="3"/>
    </row>
    <row r="15" spans="1:14" x14ac:dyDescent="0.25">
      <c r="A15" t="s">
        <v>143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>
        <v>21000</v>
      </c>
      <c r="M15" s="3">
        <v>18000</v>
      </c>
      <c r="N15" s="3"/>
    </row>
    <row r="16" spans="1:14" x14ac:dyDescent="0.25">
      <c r="A16" t="s">
        <v>148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>
        <v>5000</v>
      </c>
      <c r="N16" s="3"/>
    </row>
    <row r="17" spans="1:14" x14ac:dyDescent="0.2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t="s">
        <v>83</v>
      </c>
      <c r="B18" s="2">
        <f>SUM(B5:B17)</f>
        <v>190400</v>
      </c>
      <c r="C18" s="2">
        <f t="shared" ref="C18:M18" si="0">SUM(C5:C17)</f>
        <v>2000</v>
      </c>
      <c r="D18" s="2">
        <f t="shared" si="0"/>
        <v>2000</v>
      </c>
      <c r="E18" s="2">
        <f t="shared" si="0"/>
        <v>4000</v>
      </c>
      <c r="F18" s="2">
        <f t="shared" si="0"/>
        <v>97000</v>
      </c>
      <c r="G18" s="2">
        <f t="shared" si="0"/>
        <v>0</v>
      </c>
      <c r="H18" s="2">
        <f t="shared" si="0"/>
        <v>77000</v>
      </c>
      <c r="I18" s="2">
        <f t="shared" si="0"/>
        <v>0</v>
      </c>
      <c r="J18" s="2">
        <f t="shared" si="0"/>
        <v>21000</v>
      </c>
      <c r="K18" s="2">
        <f t="shared" si="0"/>
        <v>0</v>
      </c>
      <c r="L18" s="2">
        <f t="shared" si="0"/>
        <v>36000</v>
      </c>
      <c r="M18" s="2">
        <f t="shared" si="0"/>
        <v>23000</v>
      </c>
      <c r="N18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7"/>
  <sheetViews>
    <sheetView workbookViewId="0">
      <selection activeCell="D13" sqref="D13"/>
    </sheetView>
  </sheetViews>
  <sheetFormatPr baseColWidth="10" defaultRowHeight="15" x14ac:dyDescent="0.25"/>
  <cols>
    <col min="1" max="1" width="19.140625" bestFit="1" customWidth="1"/>
  </cols>
  <sheetData>
    <row r="2" spans="1:14" x14ac:dyDescent="0.25">
      <c r="A2" s="4"/>
      <c r="B2" s="3" t="s">
        <v>94</v>
      </c>
      <c r="C2" s="27">
        <v>42370</v>
      </c>
      <c r="D2" s="27">
        <v>42401</v>
      </c>
      <c r="E2" s="27">
        <v>42430</v>
      </c>
      <c r="F2" s="27">
        <v>42461</v>
      </c>
      <c r="G2" s="27">
        <v>42491</v>
      </c>
      <c r="H2" s="27">
        <v>42522</v>
      </c>
      <c r="I2" s="27">
        <v>42552</v>
      </c>
      <c r="J2" s="27">
        <v>42583</v>
      </c>
      <c r="K2" s="27">
        <v>42614</v>
      </c>
      <c r="L2" s="27">
        <v>42644</v>
      </c>
      <c r="M2" s="27">
        <v>42675</v>
      </c>
      <c r="N2" s="27"/>
    </row>
    <row r="4" spans="1:14" x14ac:dyDescent="0.25">
      <c r="A4" t="s">
        <v>131</v>
      </c>
      <c r="B4" s="3"/>
      <c r="C4" s="3"/>
      <c r="D4" s="3"/>
      <c r="E4" s="3"/>
      <c r="F4" s="3"/>
      <c r="G4" s="3"/>
      <c r="H4" s="3"/>
      <c r="I4" s="3"/>
      <c r="J4" s="3">
        <v>400000</v>
      </c>
      <c r="K4" s="3"/>
      <c r="L4" s="3"/>
      <c r="M4" s="3"/>
      <c r="N4" s="3"/>
    </row>
    <row r="17" spans="1:14" x14ac:dyDescent="0.25">
      <c r="A17" t="s">
        <v>83</v>
      </c>
      <c r="B17" s="2">
        <f>SUM(B4:B16)</f>
        <v>0</v>
      </c>
      <c r="C17" s="2">
        <f t="shared" ref="C17:M17" si="0">SUM(C4:C16)</f>
        <v>0</v>
      </c>
      <c r="D17" s="2">
        <f t="shared" si="0"/>
        <v>0</v>
      </c>
      <c r="E17" s="2">
        <f t="shared" si="0"/>
        <v>0</v>
      </c>
      <c r="F17" s="2">
        <f t="shared" si="0"/>
        <v>0</v>
      </c>
      <c r="G17" s="2">
        <f t="shared" si="0"/>
        <v>0</v>
      </c>
      <c r="H17" s="2">
        <f t="shared" si="0"/>
        <v>0</v>
      </c>
      <c r="I17" s="2">
        <f t="shared" si="0"/>
        <v>0</v>
      </c>
      <c r="J17" s="2">
        <f t="shared" si="0"/>
        <v>400000</v>
      </c>
      <c r="K17" s="2">
        <f t="shared" si="0"/>
        <v>0</v>
      </c>
      <c r="L17" s="2">
        <f t="shared" si="0"/>
        <v>0</v>
      </c>
      <c r="M17" s="2">
        <f t="shared" si="0"/>
        <v>0</v>
      </c>
      <c r="N17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7"/>
  <sheetViews>
    <sheetView workbookViewId="0">
      <selection activeCell="J15" sqref="J15"/>
    </sheetView>
  </sheetViews>
  <sheetFormatPr baseColWidth="10" defaultRowHeight="15" x14ac:dyDescent="0.25"/>
  <cols>
    <col min="1" max="1" width="24.42578125" bestFit="1" customWidth="1"/>
    <col min="2" max="2" width="9.5703125" style="3" bestFit="1" customWidth="1"/>
  </cols>
  <sheetData>
    <row r="2" spans="1:14" x14ac:dyDescent="0.25">
      <c r="A2" s="4"/>
      <c r="B2" s="3" t="s">
        <v>94</v>
      </c>
      <c r="C2" s="27">
        <v>42370</v>
      </c>
      <c r="D2" s="27">
        <v>42401</v>
      </c>
      <c r="E2" s="27">
        <v>42430</v>
      </c>
      <c r="F2" s="27">
        <v>42461</v>
      </c>
      <c r="G2" s="27">
        <v>42491</v>
      </c>
      <c r="H2" s="27">
        <v>42522</v>
      </c>
      <c r="I2" s="27">
        <v>42552</v>
      </c>
      <c r="J2" s="27">
        <v>42583</v>
      </c>
      <c r="K2" s="27">
        <v>42614</v>
      </c>
      <c r="L2" s="27">
        <v>42644</v>
      </c>
      <c r="M2" s="27">
        <v>42675</v>
      </c>
      <c r="N2" s="27"/>
    </row>
    <row r="4" spans="1:14" x14ac:dyDescent="0.25">
      <c r="A4" t="s">
        <v>25</v>
      </c>
      <c r="B4" s="3">
        <v>100000</v>
      </c>
      <c r="C4" s="3">
        <v>100000</v>
      </c>
      <c r="D4" s="3">
        <v>100000</v>
      </c>
      <c r="E4" s="3">
        <v>100000</v>
      </c>
      <c r="F4" s="3">
        <v>100000</v>
      </c>
      <c r="G4" s="3">
        <v>100000</v>
      </c>
      <c r="H4" s="3">
        <v>100000</v>
      </c>
      <c r="I4" s="3">
        <v>100000</v>
      </c>
      <c r="J4" s="3">
        <v>100000</v>
      </c>
      <c r="K4" s="3">
        <v>100000</v>
      </c>
      <c r="L4" s="3">
        <v>100000</v>
      </c>
      <c r="M4" s="3">
        <v>100000</v>
      </c>
    </row>
    <row r="5" spans="1:14" x14ac:dyDescent="0.25">
      <c r="A5" t="s">
        <v>139</v>
      </c>
      <c r="C5" s="3"/>
      <c r="D5" s="3"/>
      <c r="E5" s="3"/>
      <c r="F5" s="3"/>
      <c r="G5" s="3"/>
      <c r="H5" s="3"/>
      <c r="I5" s="3"/>
      <c r="J5" s="3"/>
      <c r="K5" s="3">
        <v>40000</v>
      </c>
      <c r="L5" s="3"/>
      <c r="M5" s="3"/>
    </row>
    <row r="6" spans="1:14" x14ac:dyDescent="0.25"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4" x14ac:dyDescent="0.25"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4" x14ac:dyDescent="0.25"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4" x14ac:dyDescent="0.25"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4" x14ac:dyDescent="0.25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4" x14ac:dyDescent="0.25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4" x14ac:dyDescent="0.25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4" x14ac:dyDescent="0.25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4" x14ac:dyDescent="0.25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7" spans="1:13" x14ac:dyDescent="0.25">
      <c r="A17" t="s">
        <v>83</v>
      </c>
      <c r="B17" s="2">
        <f>SUM(B4:B16)</f>
        <v>100000</v>
      </c>
      <c r="C17" s="2">
        <f t="shared" ref="C17:M17" si="0">SUM(C4:C16)</f>
        <v>100000</v>
      </c>
      <c r="D17" s="2">
        <f t="shared" si="0"/>
        <v>100000</v>
      </c>
      <c r="E17" s="2">
        <f t="shared" si="0"/>
        <v>100000</v>
      </c>
      <c r="F17" s="2">
        <f t="shared" si="0"/>
        <v>100000</v>
      </c>
      <c r="G17" s="2">
        <f t="shared" si="0"/>
        <v>100000</v>
      </c>
      <c r="H17" s="2">
        <f t="shared" si="0"/>
        <v>100000</v>
      </c>
      <c r="I17" s="2">
        <f t="shared" si="0"/>
        <v>100000</v>
      </c>
      <c r="J17" s="2">
        <f t="shared" si="0"/>
        <v>100000</v>
      </c>
      <c r="K17" s="2">
        <f t="shared" si="0"/>
        <v>140000</v>
      </c>
      <c r="L17" s="2">
        <f t="shared" si="0"/>
        <v>100000</v>
      </c>
      <c r="M17" s="2">
        <f t="shared" si="0"/>
        <v>100000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9"/>
  <sheetViews>
    <sheetView workbookViewId="0">
      <selection activeCell="A16" sqref="A16"/>
    </sheetView>
  </sheetViews>
  <sheetFormatPr baseColWidth="10" defaultRowHeight="15" x14ac:dyDescent="0.25"/>
  <cols>
    <col min="1" max="1" width="36.42578125" bestFit="1" customWidth="1"/>
  </cols>
  <sheetData>
    <row r="2" spans="1:14" x14ac:dyDescent="0.25">
      <c r="A2" s="4"/>
      <c r="B2" s="3" t="s">
        <v>94</v>
      </c>
      <c r="C2" s="27">
        <v>42370</v>
      </c>
      <c r="D2" s="27">
        <v>42401</v>
      </c>
      <c r="E2" s="27">
        <v>42430</v>
      </c>
      <c r="F2" s="27">
        <v>42461</v>
      </c>
      <c r="G2" s="27">
        <v>42491</v>
      </c>
      <c r="H2" s="27">
        <v>42522</v>
      </c>
      <c r="I2" s="27">
        <v>42552</v>
      </c>
      <c r="J2" s="27">
        <v>42583</v>
      </c>
      <c r="K2" s="27">
        <v>42614</v>
      </c>
      <c r="L2" s="27">
        <v>42644</v>
      </c>
      <c r="M2" s="27">
        <v>42675</v>
      </c>
      <c r="N2" s="27"/>
    </row>
    <row r="3" spans="1:14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t="s">
        <v>100</v>
      </c>
      <c r="B4" s="3"/>
      <c r="C4" s="3">
        <v>500000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t="s">
        <v>101</v>
      </c>
      <c r="B5" s="3"/>
      <c r="C5" s="3">
        <v>150000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t="s">
        <v>108</v>
      </c>
      <c r="B6" s="3"/>
      <c r="C6" s="3"/>
      <c r="D6" s="3"/>
      <c r="E6" s="3">
        <v>100000</v>
      </c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t="s">
        <v>121</v>
      </c>
      <c r="B7" s="3"/>
      <c r="C7" s="3"/>
      <c r="D7" s="3"/>
      <c r="E7" s="3"/>
      <c r="F7" s="3"/>
      <c r="G7" s="3"/>
      <c r="H7" s="3">
        <v>100000</v>
      </c>
      <c r="I7" s="3"/>
      <c r="J7" s="3"/>
      <c r="K7" s="3"/>
      <c r="L7" s="3"/>
      <c r="M7" s="3"/>
      <c r="N7" s="3"/>
    </row>
    <row r="8" spans="1:14" x14ac:dyDescent="0.25">
      <c r="A8" t="s">
        <v>122</v>
      </c>
      <c r="B8" s="3"/>
      <c r="C8" s="3"/>
      <c r="D8" s="3"/>
      <c r="E8" s="3"/>
      <c r="F8" s="3"/>
      <c r="G8" s="3"/>
      <c r="H8" s="3">
        <v>100000</v>
      </c>
      <c r="I8" s="3"/>
      <c r="J8" s="3"/>
      <c r="K8" s="3"/>
      <c r="L8" s="3"/>
      <c r="M8" s="3"/>
      <c r="N8" s="3"/>
    </row>
    <row r="9" spans="1:14" x14ac:dyDescent="0.25">
      <c r="A9" t="s">
        <v>130</v>
      </c>
      <c r="B9" s="3"/>
      <c r="C9" s="3"/>
      <c r="D9" s="3"/>
      <c r="E9" s="3"/>
      <c r="F9" s="3"/>
      <c r="G9" s="3"/>
      <c r="H9" s="3"/>
      <c r="I9" s="3"/>
      <c r="J9" s="3">
        <v>45000</v>
      </c>
      <c r="K9" s="3"/>
      <c r="L9" s="3"/>
      <c r="M9" s="3"/>
      <c r="N9" s="3"/>
    </row>
    <row r="10" spans="1:14" x14ac:dyDescent="0.25">
      <c r="A10" t="s">
        <v>132</v>
      </c>
      <c r="B10" s="3"/>
      <c r="C10" s="3"/>
      <c r="D10" s="3"/>
      <c r="E10" s="3"/>
      <c r="F10" s="3"/>
      <c r="G10" s="3"/>
      <c r="H10" s="3"/>
      <c r="I10" s="3"/>
      <c r="J10" s="3">
        <v>500000</v>
      </c>
      <c r="K10" s="3"/>
      <c r="L10" s="3"/>
      <c r="M10" s="3"/>
      <c r="N10" s="3"/>
    </row>
    <row r="11" spans="1:14" x14ac:dyDescent="0.25">
      <c r="A11" t="s">
        <v>133</v>
      </c>
      <c r="B11" s="3"/>
      <c r="C11" s="3"/>
      <c r="D11" s="3"/>
      <c r="E11" s="3"/>
      <c r="F11" s="3"/>
      <c r="G11" s="3"/>
      <c r="H11" s="3"/>
      <c r="I11" s="3"/>
      <c r="J11" s="3">
        <v>100000</v>
      </c>
      <c r="K11" s="3"/>
      <c r="L11" s="3"/>
      <c r="M11" s="3"/>
      <c r="N11" s="3"/>
    </row>
    <row r="12" spans="1:14" x14ac:dyDescent="0.25">
      <c r="A12" t="s">
        <v>134</v>
      </c>
      <c r="B12" s="3"/>
      <c r="C12" s="3"/>
      <c r="D12" s="3"/>
      <c r="E12" s="3"/>
      <c r="F12" s="3"/>
      <c r="G12" s="3"/>
      <c r="H12" s="3"/>
      <c r="I12" s="3"/>
      <c r="J12" s="3">
        <v>100000</v>
      </c>
      <c r="K12" s="3"/>
      <c r="L12" s="3"/>
      <c r="M12" s="3"/>
      <c r="N12" s="3"/>
    </row>
    <row r="13" spans="1:14" x14ac:dyDescent="0.25">
      <c r="A13" t="s">
        <v>135</v>
      </c>
      <c r="B13" s="3"/>
      <c r="C13" s="3"/>
      <c r="D13" s="3"/>
      <c r="E13" s="3"/>
      <c r="F13" s="3"/>
      <c r="G13" s="3"/>
      <c r="H13" s="3"/>
      <c r="I13" s="3"/>
      <c r="J13" s="3"/>
      <c r="K13" s="3">
        <v>100000</v>
      </c>
      <c r="L13" s="3"/>
      <c r="M13" s="3"/>
      <c r="N13" s="3"/>
    </row>
    <row r="14" spans="1:14" x14ac:dyDescent="0.25">
      <c r="A14" t="s">
        <v>138</v>
      </c>
      <c r="B14" s="3"/>
      <c r="C14" s="3"/>
      <c r="D14" s="3"/>
      <c r="E14" s="3"/>
      <c r="F14" s="3"/>
      <c r="G14" s="3"/>
      <c r="H14" s="3"/>
      <c r="I14" s="3"/>
      <c r="J14" s="3"/>
      <c r="K14" s="3">
        <v>500000</v>
      </c>
      <c r="L14" s="3"/>
      <c r="M14" s="3"/>
      <c r="N14" s="3"/>
    </row>
    <row r="15" spans="1:14" x14ac:dyDescent="0.25">
      <c r="A15" t="s">
        <v>146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>
        <v>100000</v>
      </c>
      <c r="N15" s="3"/>
    </row>
    <row r="16" spans="1:14" x14ac:dyDescent="0.25">
      <c r="A16" t="s">
        <v>147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>
        <v>100000</v>
      </c>
      <c r="N16" s="3"/>
    </row>
    <row r="17" spans="1:14" x14ac:dyDescent="0.2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t="s">
        <v>83</v>
      </c>
      <c r="B19" s="2">
        <f>SUM(B4:B16)</f>
        <v>0</v>
      </c>
      <c r="C19" s="2">
        <f t="shared" ref="C19:M19" si="0">SUM(C4:C16)</f>
        <v>650000</v>
      </c>
      <c r="D19" s="2">
        <f t="shared" si="0"/>
        <v>0</v>
      </c>
      <c r="E19" s="2">
        <f t="shared" si="0"/>
        <v>100000</v>
      </c>
      <c r="F19" s="2">
        <f t="shared" si="0"/>
        <v>0</v>
      </c>
      <c r="G19" s="2">
        <f t="shared" si="0"/>
        <v>0</v>
      </c>
      <c r="H19" s="2">
        <f t="shared" si="0"/>
        <v>200000</v>
      </c>
      <c r="I19" s="2">
        <f t="shared" si="0"/>
        <v>0</v>
      </c>
      <c r="J19" s="2">
        <f t="shared" si="0"/>
        <v>745000</v>
      </c>
      <c r="K19" s="2">
        <f t="shared" si="0"/>
        <v>600000</v>
      </c>
      <c r="L19" s="2">
        <f t="shared" si="0"/>
        <v>0</v>
      </c>
      <c r="M19" s="2">
        <f t="shared" si="0"/>
        <v>200000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"/>
  <sheetViews>
    <sheetView workbookViewId="0">
      <selection activeCell="E12" sqref="E12"/>
    </sheetView>
  </sheetViews>
  <sheetFormatPr baseColWidth="10" defaultRowHeight="15" x14ac:dyDescent="0.25"/>
  <sheetData>
    <row r="2" spans="1:14" x14ac:dyDescent="0.25">
      <c r="A2" s="4"/>
      <c r="B2" s="3" t="s">
        <v>94</v>
      </c>
      <c r="C2" s="27">
        <v>42370</v>
      </c>
      <c r="D2" s="27">
        <v>42401</v>
      </c>
      <c r="E2" s="27">
        <v>42430</v>
      </c>
      <c r="F2" s="27">
        <v>42461</v>
      </c>
      <c r="G2" s="27">
        <v>42491</v>
      </c>
      <c r="H2" s="27">
        <v>42522</v>
      </c>
      <c r="I2" s="27">
        <v>42552</v>
      </c>
      <c r="J2" s="27">
        <v>42583</v>
      </c>
      <c r="K2" s="27">
        <v>42614</v>
      </c>
      <c r="L2" s="27">
        <v>42644</v>
      </c>
      <c r="M2" s="27">
        <v>42675</v>
      </c>
      <c r="N2" s="2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"/>
  <sheetViews>
    <sheetView workbookViewId="0">
      <selection activeCell="A2" sqref="A2:XFD2"/>
    </sheetView>
  </sheetViews>
  <sheetFormatPr baseColWidth="10" defaultRowHeight="15" x14ac:dyDescent="0.25"/>
  <sheetData>
    <row r="2" spans="1:14" x14ac:dyDescent="0.25">
      <c r="A2" s="4"/>
      <c r="B2" s="3" t="s">
        <v>94</v>
      </c>
      <c r="C2" s="27">
        <v>42370</v>
      </c>
      <c r="D2" s="27">
        <v>42401</v>
      </c>
      <c r="E2" s="27">
        <v>42430</v>
      </c>
      <c r="F2" s="27">
        <v>42461</v>
      </c>
      <c r="G2" s="27">
        <v>42491</v>
      </c>
      <c r="H2" s="27">
        <v>42522</v>
      </c>
      <c r="I2" s="27">
        <v>42552</v>
      </c>
      <c r="J2" s="27">
        <v>42583</v>
      </c>
      <c r="K2" s="27">
        <v>42614</v>
      </c>
      <c r="L2" s="27">
        <v>42644</v>
      </c>
      <c r="M2" s="27">
        <v>42675</v>
      </c>
      <c r="N2" s="2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3"/>
  <sheetViews>
    <sheetView workbookViewId="0">
      <pane ySplit="2" topLeftCell="A18" activePane="bottomLeft" state="frozen"/>
      <selection pane="bottomLeft" activeCell="M19" sqref="M19"/>
    </sheetView>
  </sheetViews>
  <sheetFormatPr baseColWidth="10" defaultRowHeight="15" x14ac:dyDescent="0.25"/>
  <cols>
    <col min="1" max="1" width="26.85546875" bestFit="1" customWidth="1"/>
  </cols>
  <sheetData>
    <row r="2" spans="1:14" x14ac:dyDescent="0.25">
      <c r="A2" s="4"/>
      <c r="B2" s="3" t="s">
        <v>94</v>
      </c>
      <c r="C2" s="27">
        <v>42370</v>
      </c>
      <c r="D2" s="27">
        <v>42401</v>
      </c>
      <c r="E2" s="27">
        <v>42430</v>
      </c>
      <c r="F2" s="27">
        <v>42461</v>
      </c>
      <c r="G2" s="27">
        <v>42491</v>
      </c>
      <c r="H2" s="27">
        <v>42522</v>
      </c>
      <c r="I2" s="27">
        <v>42552</v>
      </c>
      <c r="J2" s="27">
        <v>42583</v>
      </c>
      <c r="K2" s="27">
        <v>42614</v>
      </c>
      <c r="L2" s="27">
        <v>42644</v>
      </c>
      <c r="M2" s="27">
        <v>42675</v>
      </c>
      <c r="N2" s="27"/>
    </row>
    <row r="3" spans="1:14" x14ac:dyDescent="0.25">
      <c r="A3" s="4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27"/>
    </row>
    <row r="4" spans="1:14" x14ac:dyDescent="0.25">
      <c r="A4" s="28" t="s">
        <v>98</v>
      </c>
      <c r="B4" s="3">
        <v>500000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27"/>
    </row>
    <row r="5" spans="1:14" x14ac:dyDescent="0.25">
      <c r="A5" s="28" t="s">
        <v>116</v>
      </c>
      <c r="B5" s="3">
        <v>600000</v>
      </c>
      <c r="C5" s="3"/>
      <c r="D5" s="3"/>
      <c r="E5" s="3"/>
      <c r="F5" s="3">
        <v>1000000</v>
      </c>
      <c r="G5" s="3"/>
      <c r="H5" s="3"/>
      <c r="I5" s="3"/>
      <c r="J5" s="3"/>
      <c r="K5" s="3"/>
      <c r="L5" s="3"/>
      <c r="M5" s="3"/>
      <c r="N5" s="27"/>
    </row>
    <row r="6" spans="1:14" x14ac:dyDescent="0.25">
      <c r="A6" s="28" t="s">
        <v>113</v>
      </c>
      <c r="B6" s="3"/>
      <c r="C6" s="3">
        <v>1000000</v>
      </c>
      <c r="D6" s="3"/>
      <c r="E6" s="3"/>
      <c r="F6" s="3"/>
      <c r="G6" s="3"/>
      <c r="H6" s="3">
        <v>1000000</v>
      </c>
      <c r="I6" s="3"/>
      <c r="J6" s="3"/>
      <c r="K6" s="3"/>
      <c r="L6" s="3"/>
      <c r="M6" s="3"/>
      <c r="N6" s="27"/>
    </row>
    <row r="7" spans="1:14" x14ac:dyDescent="0.25">
      <c r="A7" s="28" t="s">
        <v>114</v>
      </c>
      <c r="B7" s="3"/>
      <c r="C7" s="3">
        <v>200000</v>
      </c>
      <c r="D7" s="3"/>
      <c r="E7" s="3"/>
      <c r="F7" s="3">
        <v>200000</v>
      </c>
      <c r="G7" s="3"/>
      <c r="H7" s="3"/>
      <c r="I7" s="3">
        <v>70000</v>
      </c>
      <c r="J7" s="3"/>
      <c r="K7" s="3"/>
      <c r="L7" s="3">
        <v>70000</v>
      </c>
      <c r="M7" s="3">
        <v>570000</v>
      </c>
      <c r="N7" s="27"/>
    </row>
    <row r="8" spans="1:14" x14ac:dyDescent="0.25">
      <c r="A8" s="28" t="s">
        <v>115</v>
      </c>
      <c r="B8" s="3"/>
      <c r="C8" s="3">
        <v>1000000</v>
      </c>
      <c r="D8" s="3"/>
      <c r="E8" s="3"/>
      <c r="F8" s="3"/>
      <c r="G8" s="3"/>
      <c r="H8" s="3"/>
      <c r="I8" s="3"/>
      <c r="J8" s="3"/>
      <c r="K8" s="3"/>
      <c r="L8" s="3"/>
      <c r="M8" s="3"/>
      <c r="N8" s="27"/>
    </row>
    <row r="9" spans="1:14" x14ac:dyDescent="0.25">
      <c r="A9" s="28" t="s">
        <v>110</v>
      </c>
      <c r="B9" s="3"/>
      <c r="C9" s="3"/>
      <c r="D9" s="3">
        <v>500000</v>
      </c>
      <c r="E9" s="3"/>
      <c r="F9" s="3"/>
      <c r="G9" s="3">
        <v>750000</v>
      </c>
      <c r="H9" s="3"/>
      <c r="I9" s="3"/>
      <c r="J9" s="3"/>
      <c r="K9" s="3"/>
      <c r="L9" s="3"/>
      <c r="M9" s="3"/>
      <c r="N9" s="27"/>
    </row>
    <row r="10" spans="1:14" x14ac:dyDescent="0.25">
      <c r="A10" s="28" t="s">
        <v>111</v>
      </c>
      <c r="B10" s="3"/>
      <c r="C10" s="3"/>
      <c r="D10" s="3">
        <v>250000</v>
      </c>
      <c r="E10" s="3"/>
      <c r="F10" s="3"/>
      <c r="G10" s="3"/>
      <c r="H10" s="3"/>
      <c r="I10" s="3"/>
      <c r="J10" s="3"/>
      <c r="K10" s="3"/>
      <c r="L10" s="3"/>
      <c r="M10" s="3"/>
      <c r="N10" s="27"/>
    </row>
    <row r="11" spans="1:14" x14ac:dyDescent="0.25">
      <c r="A11" t="s">
        <v>104</v>
      </c>
      <c r="B11" s="3"/>
      <c r="C11" s="3"/>
      <c r="D11" s="3"/>
      <c r="E11" s="3">
        <v>80000</v>
      </c>
      <c r="F11" s="3"/>
      <c r="G11" s="3"/>
      <c r="H11" s="3">
        <v>80000</v>
      </c>
      <c r="I11" s="3"/>
      <c r="J11" s="3"/>
      <c r="K11" s="3">
        <v>80000</v>
      </c>
      <c r="L11" s="3"/>
      <c r="M11" s="3"/>
    </row>
    <row r="12" spans="1:14" x14ac:dyDescent="0.25">
      <c r="A12" t="s">
        <v>109</v>
      </c>
      <c r="B12" s="3"/>
      <c r="C12" s="3"/>
      <c r="D12" s="3"/>
      <c r="E12" s="3">
        <v>1000000</v>
      </c>
      <c r="F12" s="3"/>
      <c r="G12" s="3"/>
      <c r="H12" s="3">
        <v>1000000</v>
      </c>
      <c r="I12" s="3"/>
      <c r="J12" s="3"/>
      <c r="K12" s="3"/>
      <c r="L12" s="3"/>
      <c r="M12" s="3"/>
    </row>
    <row r="13" spans="1:14" x14ac:dyDescent="0.25">
      <c r="A13" t="s">
        <v>98</v>
      </c>
      <c r="B13" s="3"/>
      <c r="C13" s="3"/>
      <c r="D13" s="3"/>
      <c r="E13" s="3">
        <v>500000</v>
      </c>
      <c r="F13" s="3"/>
      <c r="G13" s="3"/>
      <c r="H13" s="3">
        <v>500000</v>
      </c>
      <c r="I13" s="3"/>
      <c r="J13" s="3"/>
      <c r="K13" s="3"/>
      <c r="L13" s="3"/>
      <c r="M13" s="3"/>
    </row>
    <row r="14" spans="1:14" x14ac:dyDescent="0.25">
      <c r="A14" t="s">
        <v>99</v>
      </c>
      <c r="B14" s="3">
        <v>400000</v>
      </c>
      <c r="C14" s="3"/>
      <c r="D14" s="3"/>
      <c r="E14" s="3">
        <v>400000</v>
      </c>
      <c r="F14" s="3"/>
      <c r="G14" s="3"/>
      <c r="H14" s="3">
        <v>400000</v>
      </c>
      <c r="I14" s="3"/>
      <c r="J14" s="3"/>
      <c r="K14" s="3">
        <v>400000</v>
      </c>
      <c r="L14" s="3"/>
      <c r="M14" s="3"/>
    </row>
    <row r="15" spans="1:14" x14ac:dyDescent="0.25">
      <c r="A15" t="s">
        <v>117</v>
      </c>
      <c r="B15" s="3"/>
      <c r="C15" s="3"/>
      <c r="D15" s="3"/>
      <c r="E15" s="3"/>
      <c r="F15" s="3">
        <v>1000000</v>
      </c>
      <c r="G15" s="3"/>
      <c r="H15" s="3"/>
      <c r="I15" s="3"/>
      <c r="J15" s="3"/>
      <c r="K15" s="3"/>
      <c r="L15" s="3"/>
      <c r="M15" s="3"/>
    </row>
    <row r="16" spans="1:14" x14ac:dyDescent="0.25">
      <c r="A16" t="s">
        <v>120</v>
      </c>
      <c r="B16" s="3"/>
      <c r="C16" s="3"/>
      <c r="D16" s="3"/>
      <c r="E16" s="3"/>
      <c r="F16" s="3"/>
      <c r="G16" s="3"/>
      <c r="H16" s="3">
        <v>60000</v>
      </c>
      <c r="I16" s="3">
        <v>800000</v>
      </c>
      <c r="J16" s="3"/>
      <c r="K16" s="3"/>
      <c r="L16" s="3"/>
      <c r="M16" s="3"/>
    </row>
    <row r="17" spans="1:13" x14ac:dyDescent="0.25">
      <c r="A17" t="s">
        <v>124</v>
      </c>
      <c r="B17" s="3"/>
      <c r="C17" s="3"/>
      <c r="D17" s="3"/>
      <c r="E17" s="3"/>
      <c r="F17" s="3"/>
      <c r="G17" s="3"/>
      <c r="H17" s="3"/>
      <c r="I17" s="3">
        <v>1000000</v>
      </c>
      <c r="J17" s="3"/>
      <c r="K17" s="3"/>
      <c r="L17" s="3"/>
      <c r="M17" s="3"/>
    </row>
    <row r="18" spans="1:13" x14ac:dyDescent="0.25">
      <c r="A18" t="s">
        <v>125</v>
      </c>
      <c r="B18" s="3"/>
      <c r="C18" s="3"/>
      <c r="D18" s="3"/>
      <c r="E18" s="3"/>
      <c r="F18" s="3"/>
      <c r="G18" s="3"/>
      <c r="H18" s="3"/>
      <c r="I18" s="3">
        <v>1000000</v>
      </c>
      <c r="J18" s="3"/>
      <c r="K18" s="3"/>
      <c r="L18" s="3"/>
      <c r="M18" s="3"/>
    </row>
    <row r="19" spans="1:13" x14ac:dyDescent="0.25">
      <c r="A19" t="s">
        <v>107</v>
      </c>
      <c r="B19" s="3"/>
      <c r="C19" s="3"/>
      <c r="D19" s="3"/>
      <c r="E19" s="3"/>
      <c r="F19" s="3"/>
      <c r="G19" s="3"/>
      <c r="H19" s="3"/>
      <c r="I19" s="3">
        <v>1000000</v>
      </c>
      <c r="J19" s="3"/>
      <c r="K19" s="3"/>
      <c r="L19" s="3"/>
      <c r="M19" s="3">
        <v>700000</v>
      </c>
    </row>
    <row r="20" spans="1:13" x14ac:dyDescent="0.25">
      <c r="A20" t="s">
        <v>105</v>
      </c>
      <c r="B20" s="3"/>
      <c r="C20" s="3"/>
      <c r="D20" s="3"/>
      <c r="E20" s="3"/>
      <c r="F20" s="3"/>
      <c r="G20" s="3"/>
      <c r="H20" s="3"/>
      <c r="I20" s="3">
        <v>1000000</v>
      </c>
      <c r="J20" s="3"/>
      <c r="K20" s="3"/>
      <c r="L20" s="3"/>
      <c r="M20" s="3">
        <v>800000</v>
      </c>
    </row>
    <row r="21" spans="1:13" x14ac:dyDescent="0.25">
      <c r="A21" t="s">
        <v>126</v>
      </c>
      <c r="B21" s="3"/>
      <c r="C21" s="3"/>
      <c r="D21" s="3"/>
      <c r="E21" s="3"/>
      <c r="F21" s="3"/>
      <c r="G21" s="3"/>
      <c r="H21" s="3"/>
      <c r="I21" s="3"/>
      <c r="J21" s="3">
        <v>100000</v>
      </c>
      <c r="K21" s="3"/>
      <c r="L21" s="3"/>
      <c r="M21" s="3">
        <v>100000</v>
      </c>
    </row>
    <row r="22" spans="1:13" x14ac:dyDescent="0.25">
      <c r="A22" t="s">
        <v>127</v>
      </c>
      <c r="B22" s="3"/>
      <c r="C22" s="3"/>
      <c r="D22" s="3"/>
      <c r="E22" s="3"/>
      <c r="F22" s="3"/>
      <c r="G22" s="3"/>
      <c r="H22" s="3"/>
      <c r="I22" s="3"/>
      <c r="J22" s="3">
        <v>700000</v>
      </c>
      <c r="K22" s="3"/>
      <c r="L22" s="3"/>
      <c r="M22" s="3"/>
    </row>
    <row r="23" spans="1:13" x14ac:dyDescent="0.25">
      <c r="A23" t="s">
        <v>128</v>
      </c>
      <c r="B23" s="3"/>
      <c r="C23" s="3"/>
      <c r="D23" s="3"/>
      <c r="E23" s="3"/>
      <c r="F23" s="3"/>
      <c r="G23" s="3"/>
      <c r="H23" s="3"/>
      <c r="I23" s="3"/>
      <c r="J23" s="3">
        <v>500000</v>
      </c>
      <c r="K23" s="3"/>
      <c r="L23" s="3"/>
      <c r="M23" s="3"/>
    </row>
    <row r="24" spans="1:13" x14ac:dyDescent="0.25">
      <c r="A24" t="s">
        <v>136</v>
      </c>
      <c r="B24" s="3"/>
      <c r="C24" s="3"/>
      <c r="D24" s="3"/>
      <c r="E24" s="3"/>
      <c r="F24" s="3"/>
      <c r="G24" s="3"/>
      <c r="H24" s="3"/>
      <c r="I24" s="3"/>
      <c r="J24" s="3"/>
      <c r="K24" s="3">
        <v>800000</v>
      </c>
      <c r="L24" s="3"/>
      <c r="M24" s="3"/>
    </row>
    <row r="25" spans="1:13" x14ac:dyDescent="0.25">
      <c r="A25" t="s">
        <v>137</v>
      </c>
      <c r="B25" s="3"/>
      <c r="C25" s="3"/>
      <c r="D25" s="3"/>
      <c r="E25" s="3"/>
      <c r="F25" s="3"/>
      <c r="G25" s="3"/>
      <c r="H25" s="3"/>
      <c r="I25" s="3"/>
      <c r="J25" s="3"/>
      <c r="K25" s="3">
        <v>1000000</v>
      </c>
      <c r="L25" s="3"/>
      <c r="M25" s="3"/>
    </row>
    <row r="26" spans="1:13" x14ac:dyDescent="0.25">
      <c r="A26" t="s">
        <v>140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>
        <v>1000000</v>
      </c>
      <c r="M26" s="3"/>
    </row>
    <row r="27" spans="1:13" x14ac:dyDescent="0.25">
      <c r="A27" t="s">
        <v>141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>
        <v>600000</v>
      </c>
      <c r="M27" s="3"/>
    </row>
    <row r="28" spans="1:13" x14ac:dyDescent="0.25">
      <c r="A28" t="s">
        <v>97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>
        <v>1000000</v>
      </c>
    </row>
    <row r="29" spans="1:13" x14ac:dyDescent="0.2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25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25">
      <c r="A32" t="s">
        <v>83</v>
      </c>
      <c r="B32" s="2">
        <f t="shared" ref="B32:M32" si="0">SUM(B4:B31)</f>
        <v>1500000</v>
      </c>
      <c r="C32" s="2">
        <f t="shared" si="0"/>
        <v>2200000</v>
      </c>
      <c r="D32" s="2">
        <f t="shared" si="0"/>
        <v>750000</v>
      </c>
      <c r="E32" s="2">
        <f t="shared" si="0"/>
        <v>1980000</v>
      </c>
      <c r="F32" s="2">
        <f t="shared" si="0"/>
        <v>2200000</v>
      </c>
      <c r="G32" s="2">
        <f t="shared" si="0"/>
        <v>750000</v>
      </c>
      <c r="H32" s="2">
        <f t="shared" si="0"/>
        <v>3040000</v>
      </c>
      <c r="I32" s="2">
        <f t="shared" si="0"/>
        <v>4870000</v>
      </c>
      <c r="J32" s="2">
        <f t="shared" si="0"/>
        <v>1300000</v>
      </c>
      <c r="K32" s="2">
        <f t="shared" si="0"/>
        <v>2280000</v>
      </c>
      <c r="L32" s="2">
        <f t="shared" si="0"/>
        <v>1670000</v>
      </c>
      <c r="M32" s="2">
        <f t="shared" si="0"/>
        <v>3170000</v>
      </c>
    </row>
    <row r="33" spans="2:13" x14ac:dyDescent="0.25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7"/>
  <sheetViews>
    <sheetView workbookViewId="0">
      <selection activeCell="M10" sqref="M10"/>
    </sheetView>
  </sheetViews>
  <sheetFormatPr baseColWidth="10" defaultRowHeight="15" x14ac:dyDescent="0.25"/>
  <cols>
    <col min="1" max="1" width="22" bestFit="1" customWidth="1"/>
  </cols>
  <sheetData>
    <row r="2" spans="1:14" x14ac:dyDescent="0.25">
      <c r="A2" s="4"/>
      <c r="B2" s="3" t="s">
        <v>94</v>
      </c>
      <c r="C2" s="27">
        <v>42370</v>
      </c>
      <c r="D2" s="27">
        <v>42401</v>
      </c>
      <c r="E2" s="27">
        <v>42430</v>
      </c>
      <c r="F2" s="27">
        <v>42461</v>
      </c>
      <c r="G2" s="27">
        <v>42491</v>
      </c>
      <c r="H2" s="27">
        <v>42522</v>
      </c>
      <c r="I2" s="27">
        <v>42552</v>
      </c>
      <c r="J2" s="27">
        <v>42583</v>
      </c>
      <c r="K2" s="27">
        <v>42614</v>
      </c>
      <c r="L2" s="27">
        <v>42644</v>
      </c>
      <c r="M2" s="27">
        <v>42675</v>
      </c>
      <c r="N2" s="27"/>
    </row>
    <row r="3" spans="1:14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t="s">
        <v>112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3">
        <v>60000</v>
      </c>
      <c r="B5" s="3"/>
      <c r="C5" s="3"/>
      <c r="D5" s="3">
        <v>11300</v>
      </c>
      <c r="E5" s="3"/>
      <c r="F5" s="3"/>
      <c r="G5" s="3">
        <v>1000</v>
      </c>
      <c r="H5" s="3">
        <v>12500</v>
      </c>
      <c r="I5" s="3"/>
      <c r="J5" s="3"/>
      <c r="K5" s="3"/>
      <c r="L5" s="3"/>
      <c r="M5" s="3"/>
      <c r="N5" s="3"/>
    </row>
    <row r="6" spans="1:14" x14ac:dyDescent="0.25">
      <c r="A6" s="3">
        <v>100000</v>
      </c>
      <c r="B6" s="3"/>
      <c r="C6" s="3"/>
      <c r="D6" s="3">
        <v>22000</v>
      </c>
      <c r="E6" s="3"/>
      <c r="F6" s="3"/>
      <c r="G6" s="3"/>
      <c r="H6" s="3"/>
      <c r="I6" s="3">
        <v>47000</v>
      </c>
      <c r="J6" s="3"/>
      <c r="K6" s="3"/>
      <c r="L6" s="3">
        <v>32500</v>
      </c>
      <c r="M6" s="3">
        <v>37500</v>
      </c>
      <c r="N6" s="3"/>
    </row>
    <row r="7" spans="1:14" x14ac:dyDescent="0.25">
      <c r="A7" s="3">
        <v>20000</v>
      </c>
      <c r="B7" s="3"/>
      <c r="C7" s="3"/>
      <c r="D7" s="3"/>
      <c r="E7" s="3"/>
      <c r="F7" s="3"/>
      <c r="G7" s="3">
        <v>140000</v>
      </c>
      <c r="H7" s="3"/>
      <c r="I7" s="3"/>
      <c r="J7" s="3"/>
      <c r="K7" s="3"/>
      <c r="L7" s="3"/>
      <c r="M7" s="3"/>
      <c r="N7" s="3"/>
    </row>
    <row r="8" spans="1:14" x14ac:dyDescent="0.2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2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2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x14ac:dyDescent="0.2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3" x14ac:dyDescent="0.25">
      <c r="A17" t="s">
        <v>83</v>
      </c>
      <c r="B17" s="2">
        <f>SUM(B4:B16)</f>
        <v>0</v>
      </c>
      <c r="C17" s="2">
        <f t="shared" ref="C17:M17" si="0">SUM(C4:C16)</f>
        <v>0</v>
      </c>
      <c r="D17" s="2">
        <f t="shared" si="0"/>
        <v>33300</v>
      </c>
      <c r="E17" s="2">
        <f t="shared" si="0"/>
        <v>0</v>
      </c>
      <c r="F17" s="2">
        <f t="shared" si="0"/>
        <v>0</v>
      </c>
      <c r="G17" s="2">
        <f t="shared" si="0"/>
        <v>141000</v>
      </c>
      <c r="H17" s="2">
        <f t="shared" si="0"/>
        <v>12500</v>
      </c>
      <c r="I17" s="2">
        <f t="shared" si="0"/>
        <v>47000</v>
      </c>
      <c r="J17" s="2">
        <f t="shared" si="0"/>
        <v>0</v>
      </c>
      <c r="K17" s="2">
        <f t="shared" si="0"/>
        <v>0</v>
      </c>
      <c r="L17" s="2">
        <f t="shared" si="0"/>
        <v>32500</v>
      </c>
      <c r="M17" s="2">
        <f t="shared" si="0"/>
        <v>37500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7"/>
  <sheetViews>
    <sheetView workbookViewId="0">
      <selection activeCell="L8" sqref="L8"/>
    </sheetView>
  </sheetViews>
  <sheetFormatPr baseColWidth="10" defaultRowHeight="15" x14ac:dyDescent="0.25"/>
  <cols>
    <col min="1" max="1" width="33.5703125" bestFit="1" customWidth="1"/>
  </cols>
  <sheetData>
    <row r="2" spans="1:14" x14ac:dyDescent="0.25">
      <c r="A2" s="4"/>
      <c r="B2" s="3" t="s">
        <v>94</v>
      </c>
      <c r="C2" s="27">
        <v>42370</v>
      </c>
      <c r="D2" s="27">
        <v>42401</v>
      </c>
      <c r="E2" s="27">
        <v>42430</v>
      </c>
      <c r="F2" s="27">
        <v>42461</v>
      </c>
      <c r="G2" s="27">
        <v>42491</v>
      </c>
      <c r="H2" s="27">
        <v>42522</v>
      </c>
      <c r="I2" s="27">
        <v>42552</v>
      </c>
      <c r="J2" s="27">
        <v>42583</v>
      </c>
      <c r="K2" s="27">
        <v>42614</v>
      </c>
      <c r="L2" s="27">
        <v>42644</v>
      </c>
      <c r="M2" s="27">
        <v>42675</v>
      </c>
      <c r="N2" s="27"/>
    </row>
    <row r="4" spans="1:14" x14ac:dyDescent="0.25">
      <c r="A4" t="s">
        <v>145</v>
      </c>
      <c r="B4" s="3"/>
      <c r="C4" s="3"/>
      <c r="D4" s="3"/>
      <c r="E4" s="3"/>
      <c r="F4" s="3"/>
      <c r="G4" s="3"/>
      <c r="H4" s="3">
        <v>400500</v>
      </c>
      <c r="I4" s="3"/>
      <c r="J4" s="3"/>
      <c r="K4" s="3"/>
      <c r="L4" s="3"/>
      <c r="M4" s="3"/>
    </row>
    <row r="5" spans="1:14" x14ac:dyDescent="0.25">
      <c r="A5" t="s">
        <v>144</v>
      </c>
      <c r="B5" s="3"/>
      <c r="C5" s="3"/>
      <c r="D5" s="3"/>
      <c r="E5" s="3"/>
      <c r="F5" s="3"/>
      <c r="G5" s="3"/>
      <c r="H5" s="3"/>
      <c r="I5" s="3"/>
      <c r="J5" s="3"/>
      <c r="K5" s="3"/>
      <c r="L5" s="3">
        <v>441105</v>
      </c>
      <c r="M5" s="3"/>
    </row>
    <row r="6" spans="1:14" x14ac:dyDescent="0.2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4" x14ac:dyDescent="0.2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4" x14ac:dyDescent="0.2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4" x14ac:dyDescent="0.2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4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4" x14ac:dyDescent="0.2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4" x14ac:dyDescent="0.2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4" x14ac:dyDescent="0.2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4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4" x14ac:dyDescent="0.2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4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t="s">
        <v>83</v>
      </c>
      <c r="B17" s="2">
        <f>SUM(B4:B16)</f>
        <v>0</v>
      </c>
      <c r="C17" s="2">
        <f t="shared" ref="C17:M17" si="0">SUM(C4:C16)</f>
        <v>0</v>
      </c>
      <c r="D17" s="2">
        <f t="shared" si="0"/>
        <v>0</v>
      </c>
      <c r="E17" s="2">
        <f t="shared" si="0"/>
        <v>0</v>
      </c>
      <c r="F17" s="2">
        <f t="shared" si="0"/>
        <v>0</v>
      </c>
      <c r="G17" s="2">
        <f t="shared" si="0"/>
        <v>0</v>
      </c>
      <c r="H17" s="2">
        <f t="shared" si="0"/>
        <v>400500</v>
      </c>
      <c r="I17" s="2">
        <f t="shared" si="0"/>
        <v>0</v>
      </c>
      <c r="J17" s="2">
        <f t="shared" si="0"/>
        <v>0</v>
      </c>
      <c r="K17" s="2">
        <f t="shared" si="0"/>
        <v>0</v>
      </c>
      <c r="L17" s="2">
        <f t="shared" si="0"/>
        <v>441105</v>
      </c>
      <c r="M17" s="2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FICHESUIVI</vt:lpstr>
      <vt:lpstr>TRAVAUXINVENTAIRE</vt:lpstr>
      <vt:lpstr>TRAVAUXINVENTAIREDEC</vt:lpstr>
      <vt:lpstr>EPARGNE</vt:lpstr>
      <vt:lpstr>FONDS DE ROULEMENT</vt:lpstr>
      <vt:lpstr>FRAIS EXCEPTIONNEL</vt:lpstr>
      <vt:lpstr>COLLATION</vt:lpstr>
      <vt:lpstr>MUTUELLE</vt:lpstr>
      <vt:lpstr>SANCTION</vt:lpstr>
      <vt:lpstr>INSCRIPTION</vt:lpstr>
      <vt:lpstr>EMPRUNT</vt:lpstr>
      <vt:lpstr>COMPLEMENT TONTINE</vt:lpstr>
      <vt:lpstr>FONDS DE CAISSE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ASELBY</dc:creator>
  <cp:lastModifiedBy>ASELBY</cp:lastModifiedBy>
  <dcterms:created xsi:type="dcterms:W3CDTF">2017-01-05T17:53:17Z</dcterms:created>
  <dcterms:modified xsi:type="dcterms:W3CDTF">2017-01-06T09:50:15Z</dcterms:modified>
</cp:coreProperties>
</file>